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Cover" sheetId="1" state="visible" r:id="rId3"/>
    <sheet name="01_Revenue_Build" sheetId="2" state="visible" r:id="rId4"/>
    <sheet name="02_Assumptions" sheetId="3" state="visible" r:id="rId5"/>
    <sheet name="03_Income_Statement" sheetId="4" state="visible" r:id="rId6"/>
    <sheet name="04_Balance_Sheet" sheetId="5" state="visible" r:id="rId7"/>
    <sheet name="05_Cash_Flow" sheetId="6" state="visible" r:id="rId8"/>
    <sheet name="06_DCF_Valuation" sheetId="7" state="visible" r:id="rId9"/>
    <sheet name="07_Check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<sst xmlns="http://schemas.openxmlformats.org/spreadsheetml/2006/main" count="3400" uniqueCount="181">
  <si>
    <t xml:space="preserve">Integrated 3-Statement Financial Model &amp; DCF Valuation</t>
  </si>
  <si>
    <t xml:space="preserve">Bijesh BJ — Illustrative IT Services Company (synthetic, for demonstration)</t>
  </si>
  <si>
    <t xml:space="preserve">Prepared by:</t>
  </si>
  <si>
    <t xml:space="preserve">Bijesh BJ, CMA (USA)</t>
  </si>
  <si>
    <t xml:space="preserve">Model date:</t>
  </si>
  <si>
    <t xml:space="preserve">19-Sep-2026</t>
  </si>
  <si>
    <t xml:space="preserve">Currency / units:</t>
  </si>
  <si>
    <t xml:space="preserve">USD, whole dollars</t>
  </si>
  <si>
    <t xml:space="preserve">Periods:</t>
  </si>
  <si>
    <t xml:space="preserve">FY24-FY26 (Apr-Mar), annual</t>
  </si>
  <si>
    <t xml:space="preserve">Color coding (CFI convention)</t>
  </si>
  <si>
    <t xml:space="preserve">Blue</t>
  </si>
  <si>
    <t xml:space="preserve">Hardcoded input - a number typed directly into the cell</t>
  </si>
  <si>
    <t xml:space="preserve">Black</t>
  </si>
  <si>
    <t xml:space="preserve">Formula referencing only cells on the same sheet</t>
  </si>
  <si>
    <t xml:space="preserve">Green</t>
  </si>
  <si>
    <t xml:space="preserve">Formula that links to a different sheet/tab</t>
  </si>
  <si>
    <t xml:space="preserve">Model map</t>
  </si>
  <si>
    <t xml:space="preserve">00_Cover</t>
  </si>
  <si>
    <t xml:space="preserve">This sheet - model purpose, color legend, navigation</t>
  </si>
  <si>
    <t xml:space="preserve">01_Revenue_Build</t>
  </si>
  <si>
    <t xml:space="preserve">1,080-row monthly revenue schedule by product line x region, Units x Avg Price</t>
  </si>
  <si>
    <t xml:space="preserve">02_Assumptions</t>
  </si>
  <si>
    <t xml:space="preserve">All key operating and financing assumptions (blue inputs, yellow = key drivers)</t>
  </si>
  <si>
    <t xml:space="preserve">03_Income_Statement</t>
  </si>
  <si>
    <t xml:space="preserve">Annual IS, FY24-FY26, driven off the revenue build and assumptions</t>
  </si>
  <si>
    <t xml:space="preserve">04_Balance_Sheet</t>
  </si>
  <si>
    <t xml:space="preserve">Annual BS with working-capital and debt schedule links; balance check</t>
  </si>
  <si>
    <t xml:space="preserve">05_Cash_Flow</t>
  </si>
  <si>
    <t xml:space="preserve">Indirect-method CF statement, ties to BS cash roll-forward</t>
  </si>
  <si>
    <t xml:space="preserve">06_DCF_Valuation</t>
  </si>
  <si>
    <t xml:space="preserve">Unlevered FCF, WACC-discounted enterprise value, and a sensitivity table</t>
  </si>
  <si>
    <t xml:space="preserve">07_Checks</t>
  </si>
  <si>
    <t xml:space="preserve">Consolidated model integrity checks - should all read OK</t>
  </si>
  <si>
    <t xml:space="preserve">Bijesh BJ — Illustrative IT Services Company</t>
  </si>
  <si>
    <t xml:space="preserve">Integrated 3-Statement Financial Model &amp; DCF Valuation  |  Revenue Build</t>
  </si>
  <si>
    <t xml:space="preserve">USD, whole dollars unless noted  |  Historical &amp; forecast: FY24-FY26  |  Demonstration / training project - synthetic data</t>
  </si>
  <si>
    <t xml:space="preserve">Product</t>
  </si>
  <si>
    <t xml:space="preserve">Region</t>
  </si>
  <si>
    <t xml:space="preserve">Month</t>
  </si>
  <si>
    <t xml:space="preserve">Units</t>
  </si>
  <si>
    <t xml:space="preserve">AvgPrice_USD</t>
  </si>
  <si>
    <t xml:space="preserve">Revenue_USD</t>
  </si>
  <si>
    <t xml:space="preserve">Managed Services</t>
  </si>
  <si>
    <t xml:space="preserve">UAE</t>
  </si>
  <si>
    <t xml:space="preserve">2023-04</t>
  </si>
  <si>
    <t xml:space="preserve">2023-05</t>
  </si>
  <si>
    <t xml:space="preserve">2023-06</t>
  </si>
  <si>
    <t xml:space="preserve">2023-07</t>
  </si>
  <si>
    <t xml:space="preserve">2023-08</t>
  </si>
  <si>
    <t xml:space="preserve">2023-09</t>
  </si>
  <si>
    <t xml:space="preserve">2023-10</t>
  </si>
  <si>
    <t xml:space="preserve">2023-11</t>
  </si>
  <si>
    <t xml:space="preserve">2023-12</t>
  </si>
  <si>
    <t xml:space="preserve">2024-01</t>
  </si>
  <si>
    <t xml:space="preserve">2024-02</t>
  </si>
  <si>
    <t xml:space="preserve">2024-03</t>
  </si>
  <si>
    <t xml:space="preserve">2024-04</t>
  </si>
  <si>
    <t xml:space="preserve">2024-05</t>
  </si>
  <si>
    <t xml:space="preserve">2024-06</t>
  </si>
  <si>
    <t xml:space="preserve">2024-07</t>
  </si>
  <si>
    <t xml:space="preserve">2024-08</t>
  </si>
  <si>
    <t xml:space="preserve">2024-09</t>
  </si>
  <si>
    <t xml:space="preserve">2024-10</t>
  </si>
  <si>
    <t xml:space="preserve">2024-11</t>
  </si>
  <si>
    <t xml:space="preserve">2024-12</t>
  </si>
  <si>
    <t xml:space="preserve">2025-01</t>
  </si>
  <si>
    <t xml:space="preserve">2025-02</t>
  </si>
  <si>
    <t xml:space="preserve">2025-03</t>
  </si>
  <si>
    <t xml:space="preserve">2025-04</t>
  </si>
  <si>
    <t xml:space="preserve">2025-05</t>
  </si>
  <si>
    <t xml:space="preserve">2025-06</t>
  </si>
  <si>
    <t xml:space="preserve">2025-07</t>
  </si>
  <si>
    <t xml:space="preserve">2025-08</t>
  </si>
  <si>
    <t xml:space="preserve">2025-09</t>
  </si>
  <si>
    <t xml:space="preserve">2025-10</t>
  </si>
  <si>
    <t xml:space="preserve">2025-11</t>
  </si>
  <si>
    <t xml:space="preserve">2025-12</t>
  </si>
  <si>
    <t xml:space="preserve">2026-01</t>
  </si>
  <si>
    <t xml:space="preserve">2026-02</t>
  </si>
  <si>
    <t xml:space="preserve">2026-03</t>
  </si>
  <si>
    <t xml:space="preserve">KSA</t>
  </si>
  <si>
    <t xml:space="preserve">India</t>
  </si>
  <si>
    <t xml:space="preserve">UK</t>
  </si>
  <si>
    <t xml:space="preserve">USA</t>
  </si>
  <si>
    <t xml:space="preserve">Rest of GCC</t>
  </si>
  <si>
    <t xml:space="preserve">Cloud &amp; Infrastructure</t>
  </si>
  <si>
    <t xml:space="preserve">Application Development</t>
  </si>
  <si>
    <t xml:space="preserve">Data &amp; Analytics</t>
  </si>
  <si>
    <t xml:space="preserve">Advisory &amp; Consulting</t>
  </si>
  <si>
    <t xml:space="preserve">Integrated 3-Statement Financial Model &amp; DCF Valuation  |  Assumptions</t>
  </si>
  <si>
    <t xml:space="preserve">COGS % of Revenue</t>
  </si>
  <si>
    <t xml:space="preserve">Direct delivery cost as % of revenue, held constant across forecast</t>
  </si>
  <si>
    <t xml:space="preserve">SG&amp;A % of Revenue</t>
  </si>
  <si>
    <t xml:space="preserve">Combined salaries, marketing, facilities, professional fees</t>
  </si>
  <si>
    <t xml:space="preserve">D&amp;A % of Revenue</t>
  </si>
  <si>
    <t xml:space="preserve">Depreciation &amp; amortization</t>
  </si>
  <si>
    <t xml:space="preserve">Tax Rate</t>
  </si>
  <si>
    <t xml:space="preserve">UAE standard Corporate Tax rate</t>
  </si>
  <si>
    <t xml:space="preserve">Capex % of Revenue</t>
  </si>
  <si>
    <t xml:space="preserve">Maintenance + growth capex</t>
  </si>
  <si>
    <t xml:space="preserve">Accounts Receivable Days</t>
  </si>
  <si>
    <t xml:space="preserve">DSO - average collection period</t>
  </si>
  <si>
    <t xml:space="preserve">Accounts Payable Days</t>
  </si>
  <si>
    <t xml:space="preserve">DPO - average payment period</t>
  </si>
  <si>
    <t xml:space="preserve">Interest Rate on Debt</t>
  </si>
  <si>
    <t xml:space="preserve">Cost of existing term debt</t>
  </si>
  <si>
    <t xml:space="preserve">Opening Debt Balance ($)</t>
  </si>
  <si>
    <t xml:space="preserve">Beginning-of-FY24 outstanding term loan</t>
  </si>
  <si>
    <t xml:space="preserve">Annual Debt Amortization ($)</t>
  </si>
  <si>
    <t xml:space="preserve">Scheduled principal repayment per year</t>
  </si>
  <si>
    <t xml:space="preserve">WACC (for DCF)</t>
  </si>
  <si>
    <t xml:space="preserve">Weighted average cost of capital</t>
  </si>
  <si>
    <t xml:space="preserve">Terminal Growth Rate</t>
  </si>
  <si>
    <t xml:space="preserve">Perpetuity growth applied after FY26</t>
  </si>
  <si>
    <t xml:space="preserve">Opening Cash Balance ($)</t>
  </si>
  <si>
    <t xml:space="preserve">Beginning-of-FY24 cash</t>
  </si>
  <si>
    <t xml:space="preserve">Opening PP&amp;E, net ($)</t>
  </si>
  <si>
    <t xml:space="preserve">Beginning-of-FY24 net fixed assets</t>
  </si>
  <si>
    <t xml:space="preserve">Opening Equity ($)</t>
  </si>
  <si>
    <t xml:space="preserve">Beginning-of-FY24 shareholders' equity (plug-consistent)</t>
  </si>
  <si>
    <t xml:space="preserve">Integrated 3-Statement Financial Model &amp; DCF Valuation  |  Income Statement</t>
  </si>
  <si>
    <t xml:space="preserve">FY24</t>
  </si>
  <si>
    <t xml:space="preserve">FY25</t>
  </si>
  <si>
    <t xml:space="preserve">FY26</t>
  </si>
  <si>
    <t xml:space="preserve">Revenue</t>
  </si>
  <si>
    <t xml:space="preserve">COGS</t>
  </si>
  <si>
    <t xml:space="preserve">Gross Profit</t>
  </si>
  <si>
    <t xml:space="preserve">SG&amp;A</t>
  </si>
  <si>
    <t xml:space="preserve">D&amp;A</t>
  </si>
  <si>
    <t xml:space="preserve">EBIT (Operating Income)</t>
  </si>
  <si>
    <t xml:space="preserve">Interest Expense</t>
  </si>
  <si>
    <t xml:space="preserve">Pre-Tax Income</t>
  </si>
  <si>
    <t xml:space="preserve">Tax Expense</t>
  </si>
  <si>
    <t xml:space="preserve">Net Income</t>
  </si>
  <si>
    <t xml:space="preserve">Integrated 3-Statement Financial Model &amp; DCF Valuation  |  Balance Sheet</t>
  </si>
  <si>
    <t xml:space="preserve">Cash</t>
  </si>
  <si>
    <t xml:space="preserve">Accounts Receivable</t>
  </si>
  <si>
    <t xml:space="preserve">Total Current Assets</t>
  </si>
  <si>
    <t xml:space="preserve">PP&amp;E, net</t>
  </si>
  <si>
    <t xml:space="preserve">TOTAL ASSETS</t>
  </si>
  <si>
    <t xml:space="preserve">Accounts Payable</t>
  </si>
  <si>
    <t xml:space="preserve">Total Current Liabilities</t>
  </si>
  <si>
    <t xml:space="preserve">Term Debt</t>
  </si>
  <si>
    <t xml:space="preserve">TOTAL LIABILITIES</t>
  </si>
  <si>
    <t xml:space="preserve">Retained Earnings / Equity</t>
  </si>
  <si>
    <t xml:space="preserve">TOTAL LIABILITIES + EQUITY</t>
  </si>
  <si>
    <t xml:space="preserve">Balance Check (should be 0)</t>
  </si>
  <si>
    <t xml:space="preserve">Integrated 3-Statement Financial Model &amp; DCF Valuation  |  Cash Flow Statement</t>
  </si>
  <si>
    <t xml:space="preserve">Add: D&amp;A</t>
  </si>
  <si>
    <t xml:space="preserve">Change in Accounts Receivable</t>
  </si>
  <si>
    <t xml:space="preserve">Change in Accounts Payable</t>
  </si>
  <si>
    <t xml:space="preserve">Cash Flow from Operations</t>
  </si>
  <si>
    <t xml:space="preserve">Capex</t>
  </si>
  <si>
    <t xml:space="preserve">Cash Flow from Investing</t>
  </si>
  <si>
    <t xml:space="preserve">Debt Amortization</t>
  </si>
  <si>
    <t xml:space="preserve">Cash Flow from Financing</t>
  </si>
  <si>
    <t xml:space="preserve">Net Change in Cash</t>
  </si>
  <si>
    <t xml:space="preserve">Integrated 3-Statement Financial Model &amp; DCF Valuation  |  DCF Valuation</t>
  </si>
  <si>
    <t xml:space="preserve">EBIT</t>
  </si>
  <si>
    <t xml:space="preserve">Less: Tax on EBIT</t>
  </si>
  <si>
    <t xml:space="preserve">NOPAT</t>
  </si>
  <si>
    <t xml:space="preserve">Less: Capex</t>
  </si>
  <si>
    <t xml:space="preserve">Less: Change in NWC</t>
  </si>
  <si>
    <t xml:space="preserve">Unlevered Free Cash Flow</t>
  </si>
  <si>
    <t xml:space="preserve">Discount Period</t>
  </si>
  <si>
    <t xml:space="preserve">Discount Factor</t>
  </si>
  <si>
    <t xml:space="preserve">PV of FCF</t>
  </si>
  <si>
    <t xml:space="preserve">Terminal Value (Gordon Growth)</t>
  </si>
  <si>
    <t xml:space="preserve">PV of Terminal Value</t>
  </si>
  <si>
    <t xml:space="preserve">Sum of PV of Explicit FCF</t>
  </si>
  <si>
    <t xml:space="preserve">ENTERPRISE VALUE</t>
  </si>
  <si>
    <t xml:space="preserve">Less: Net Debt (FY26 Term Debt - Cash)</t>
  </si>
  <si>
    <t xml:space="preserve">IMPLIED EQUITY VALUE</t>
  </si>
  <si>
    <t xml:space="preserve">Sensitivity - Enterprise Value ($)</t>
  </si>
  <si>
    <t xml:space="preserve">WACC (rows) vs Terminal Growth (columns)</t>
  </si>
  <si>
    <t xml:space="preserve">Integrated 3-Statement Financial Model &amp; DCF Valuation  |  Model Checks</t>
  </si>
  <si>
    <t xml:space="preserve">Balance Sheet balances (Assets = L + E)</t>
  </si>
  <si>
    <t xml:space="preserve">Cash Flow ties to Balance Sheet cash movement</t>
  </si>
  <si>
    <t xml:space="preserve">Net Income flows correctly IS -&gt; CF -&gt; BS equity</t>
  </si>
  <si>
    <t xml:space="preserve">Overall model status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</si>
</sst>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"/>
    <numFmt numFmtId="166" formatCode="\$#,##0;&quot;($&quot;#,##0\);\-"/>
    <numFmt numFmtId="167" formatCode="0.0%"/>
    <numFmt numFmtId="168" formatCode="0"/>
    <numFmt numFmtId="169" formatCode="[&gt;=1000000]\$#,##0.0,,\M;[&lt;=-1000000]&quot;-$&quot;#,##0.0,,\M;\$#,##0,\K"/>
    <numFmt numFmtId="170" formatCode="0.000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0"/>
      <charset val="1"/>
    </font>
    <font>
      <b val="true"/>
      <sz val="18"/>
      <color rgb="FF1B2A41"/>
      <name val="Calibri"/>
      <family val="0"/>
      <charset val="1"/>
    </font>
    <font>
      <i val="true"/>
      <sz val="11"/>
      <color rgb="FFA9812F"/>
      <name val="Calibri"/>
      <family val="0"/>
      <charset val="1"/>
    </font>
    <font>
      <b val="true"/>
      <sz val="10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2"/>
      <color rgb="FF1B2A41"/>
      <name val="Calibri"/>
      <family val="0"/>
      <charset val="1"/>
    </font>
    <font>
      <b val="true"/>
      <sz val="11"/>
      <color rgb="FF0000FF"/>
      <name val="Calibri"/>
      <family val="0"/>
      <charset val="1"/>
    </font>
    <font>
      <sz val="9"/>
      <color rgb="FF5C574B"/>
      <name val="Calibri"/>
      <family val="0"/>
      <charset val="1"/>
    </font>
    <font>
      <b val="true"/>
      <sz val="11"/>
      <color rgb="FF000000"/>
      <name val="Calibri"/>
      <family val="0"/>
      <charset val="1"/>
    </font>
    <font>
      <b val="true"/>
      <sz val="11"/>
      <color rgb="FF008000"/>
      <name val="Calibri"/>
      <family val="0"/>
      <charset val="1"/>
    </font>
    <font>
      <b val="true"/>
      <u val="single"/>
      <sz val="11"/>
      <color rgb="FF1155CC"/>
      <name val="Calibri"/>
      <family val="0"/>
      <charset val="1"/>
    </font>
    <font>
      <sz val="9"/>
      <name val="Calibri"/>
      <family val="0"/>
      <charset val="1"/>
    </font>
    <font>
      <b val="true"/>
      <sz val="14"/>
      <color rgb="FF1B2A41"/>
      <name val="Calibri"/>
      <family val="0"/>
      <charset val="1"/>
    </font>
    <font>
      <b val="true"/>
      <sz val="11"/>
      <color rgb="FFA9812F"/>
      <name val="Calibri"/>
      <family val="0"/>
      <charset val="1"/>
    </font>
    <font>
      <i val="true"/>
      <sz val="9"/>
      <color rgb="FF5C574B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8000"/>
      <name val="Calibri"/>
      <family val="0"/>
      <charset val="1"/>
    </font>
    <font>
      <b val="true"/>
      <sz val="13"/>
      <color rgb="FF1B2A41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2C2"/>
        <bgColor rgb="FFC6E0B4"/>
      </patternFill>
    </fill>
    <fill>
      <patternFill patternType="solid">
        <fgColor rgb="FF1B2A41"/>
        <bgColor rgb="FF003366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D9D2C2"/>
      </left>
      <right style="thin">
        <color rgb="FFD9D2C2"/>
      </right>
      <top style="thin">
        <color rgb="FFD9D2C2"/>
      </top>
      <bottom style="thin">
        <color rgb="FFD9D2C2"/>
      </bottom>
      <diagonal/>
    </border>
    <border diagonalUp="false" diagonalDown="false">
      <left/>
      <right/>
      <top style="thin">
        <color rgb="FF1B2A41"/>
      </top>
      <bottom/>
      <diagonal/>
    </border>
    <border diagonalUp="false" diagonalDown="false">
      <left/>
      <right/>
      <top style="double">
        <color rgb="FF1B2A41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3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9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2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2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2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2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0B4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812F"/>
      <rgbColor rgb="FF800080"/>
      <rgbColor rgb="FF008080"/>
      <rgbColor rgb="FFD9D2C2"/>
      <rgbColor rgb="FF808080"/>
      <rgbColor rgb="FF9999FF"/>
      <rgbColor rgb="FF993366"/>
      <rgbColor rgb="FFFFFFCC"/>
      <rgbColor rgb="FFCCFFFF"/>
      <rgbColor rgb="FF660066"/>
      <rgbColor rgb="FFFF8080"/>
      <rgbColor rgb="FF1155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0B4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5C574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B2A41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Integrated_Financial_Model.xlsx" TargetMode="External"/><Relationship Id="rId2" Type="http://schemas.openxmlformats.org/officeDocument/2006/relationships/hyperlink" Target="Integrated_Financial_Model.xlsx" TargetMode="External"/><Relationship Id="rId3" Type="http://schemas.openxmlformats.org/officeDocument/2006/relationships/hyperlink" Target="Integrated_Financial_Model.xlsx" TargetMode="External"/><Relationship Id="rId4" Type="http://schemas.openxmlformats.org/officeDocument/2006/relationships/hyperlink" Target="Integrated_Financial_Model.xlsx" TargetMode="External"/><Relationship Id="rId5" Type="http://schemas.openxmlformats.org/officeDocument/2006/relationships/hyperlink" Target="Integrated_Financial_Model.xlsx" TargetMode="External"/><Relationship Id="rId6" Type="http://schemas.openxmlformats.org/officeDocument/2006/relationships/hyperlink" Target="Integrated_Financial_Model.xlsx" TargetMode="External"/><Relationship Id="rId7" Type="http://schemas.openxmlformats.org/officeDocument/2006/relationships/hyperlink" Target="Integrated_Financial_Model.xlsx" TargetMode="External"/><Relationship Id="rId8" Type="http://schemas.openxmlformats.org/officeDocument/2006/relationships/hyperlink" Target="Integrated_Financial_Model.xlsx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22"/>
    <col collapsed="false" customWidth="true" hidden="false" outlineLevel="0" max="3" min="3" style="1" width="70"/>
  </cols>
  <sheetData>
    <row r="1" customFormat="false" ht="15" hidden="false" customHeight="false" outlineLevel="0" collapsed="false">
      <c r="A1" s="2"/>
      <c r="B1" s="2"/>
      <c r="C1" s="2"/>
    </row>
    <row r="2" customFormat="false" ht="22.05" hidden="false" customHeight="false" outlineLevel="0" collapsed="false">
      <c r="A2" s="2"/>
      <c r="B2" s="3" t="s">
        <v>0</v>
      </c>
      <c r="C2" s="2"/>
    </row>
    <row r="3" customFormat="false" ht="15" hidden="false" customHeight="fals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1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15" hidden="false" customHeight="false" outlineLevel="0" collapsed="false">
      <c r="A7" s="2"/>
      <c r="B7" s="5" t="s">
        <v>6</v>
      </c>
      <c r="C7" s="6" t="s">
        <v>7</v>
      </c>
    </row>
    <row r="8" customFormat="false" ht="15" hidden="false" customHeight="false" outlineLevel="0" collapsed="false">
      <c r="A8" s="2"/>
      <c r="B8" s="5" t="s">
        <v>8</v>
      </c>
      <c r="C8" s="6" t="s">
        <v>9</v>
      </c>
    </row>
    <row r="9" customFormat="false" ht="15" hidden="false" customHeight="false" outlineLevel="0" collapsed="false">
      <c r="A9" s="2"/>
      <c r="B9" s="2"/>
      <c r="C9" s="2"/>
    </row>
    <row r="10" customFormat="false" ht="15" hidden="false" customHeight="false" outlineLevel="0" collapsed="false">
      <c r="A10" s="2"/>
      <c r="B10" s="2"/>
      <c r="C10" s="2"/>
    </row>
    <row r="11" customFormat="false" ht="15" hidden="false" customHeight="false" outlineLevel="0" collapsed="false">
      <c r="A11" s="2"/>
      <c r="B11" s="7" t="s">
        <v>10</v>
      </c>
      <c r="C11" s="2"/>
    </row>
    <row r="12" customFormat="false" ht="15" hidden="false" customHeight="false" outlineLevel="0" collapsed="false">
      <c r="A12" s="2"/>
      <c r="B12" s="8" t="s">
        <v>11</v>
      </c>
      <c r="C12" s="9" t="s">
        <v>12</v>
      </c>
    </row>
    <row r="13" customFormat="false" ht="15" hidden="false" customHeight="false" outlineLevel="0" collapsed="false">
      <c r="A13" s="2"/>
      <c r="B13" s="10" t="s">
        <v>13</v>
      </c>
      <c r="C13" s="9" t="s">
        <v>14</v>
      </c>
    </row>
    <row r="14" customFormat="false" ht="15" hidden="false" customHeight="false" outlineLevel="0" collapsed="false">
      <c r="A14" s="2"/>
      <c r="B14" s="11" t="s">
        <v>15</v>
      </c>
      <c r="C14" s="9" t="s">
        <v>16</v>
      </c>
    </row>
    <row r="15" customFormat="false" ht="15" hidden="false" customHeight="false" outlineLevel="0" collapsed="false">
      <c r="A15" s="2"/>
      <c r="B15" s="2"/>
      <c r="C15" s="2"/>
    </row>
    <row r="16" customFormat="false" ht="15" hidden="false" customHeight="false" outlineLevel="0" collapsed="false">
      <c r="A16" s="2"/>
      <c r="B16" s="7" t="s">
        <v>17</v>
      </c>
      <c r="C16" s="2"/>
    </row>
    <row r="17" customFormat="false" ht="15" hidden="false" customHeight="false" outlineLevel="0" collapsed="false">
      <c r="A17" s="2"/>
      <c r="B17" s="12" t="s">
        <v>18</v>
      </c>
      <c r="C17" s="13" t="s">
        <v>19</v>
      </c>
    </row>
    <row r="18" customFormat="false" ht="15" hidden="false" customHeight="false" outlineLevel="0" collapsed="false">
      <c r="A18" s="2"/>
      <c r="B18" s="12" t="s">
        <v>20</v>
      </c>
      <c r="C18" s="13" t="s">
        <v>21</v>
      </c>
    </row>
    <row r="19" customFormat="false" ht="15" hidden="false" customHeight="false" outlineLevel="0" collapsed="false">
      <c r="A19" s="2"/>
      <c r="B19" s="12" t="s">
        <v>22</v>
      </c>
      <c r="C19" s="13" t="s">
        <v>23</v>
      </c>
    </row>
    <row r="20" customFormat="false" ht="15" hidden="false" customHeight="false" outlineLevel="0" collapsed="false">
      <c r="A20" s="2"/>
      <c r="B20" s="12" t="s">
        <v>24</v>
      </c>
      <c r="C20" s="13" t="s">
        <v>25</v>
      </c>
    </row>
    <row r="21" customFormat="false" ht="15" hidden="false" customHeight="false" outlineLevel="0" collapsed="false">
      <c r="A21" s="2"/>
      <c r="B21" s="12" t="s">
        <v>26</v>
      </c>
      <c r="C21" s="13" t="s">
        <v>27</v>
      </c>
    </row>
    <row r="22" customFormat="false" ht="15" hidden="false" customHeight="false" outlineLevel="0" collapsed="false">
      <c r="A22" s="2"/>
      <c r="B22" s="12" t="s">
        <v>28</v>
      </c>
      <c r="C22" s="13" t="s">
        <v>29</v>
      </c>
    </row>
    <row r="23" customFormat="false" ht="15" hidden="false" customHeight="false" outlineLevel="0" collapsed="false">
      <c r="A23" s="2"/>
      <c r="B23" s="12" t="s">
        <v>30</v>
      </c>
      <c r="C23" s="13" t="s">
        <v>31</v>
      </c>
    </row>
    <row r="24" customFormat="false" ht="15" hidden="false" customHeight="false" outlineLevel="0" collapsed="false">
      <c r="A24" s="2"/>
      <c r="B24" s="12" t="s">
        <v>32</v>
      </c>
      <c r="C24" s="13" t="s">
        <v>33</v>
      </c>
    </row>
  </sheetData>
  <hyperlinks>
    <hyperlink ref="B17" r:id="rId1" location="'00_Cover'!A1" display="00_Cover"/>
    <hyperlink ref="B18" r:id="rId2" location="'01_Revenue_Build'!A1" display="01_Revenue_Build"/>
    <hyperlink ref="B19" r:id="rId3" location="'02_Assumptions'!A1" display="02_Assumptions"/>
    <hyperlink ref="B20" r:id="rId4" location="'03_Income_Statement'!A1" display="03_Income_Statement"/>
    <hyperlink ref="B21" r:id="rId5" location="'04_Balance_Sheet'!A1" display="04_Balance_Sheet"/>
    <hyperlink ref="B22" r:id="rId6" location="'05_Cash_Flow'!A1" display="05_Cash_Flow"/>
    <hyperlink ref="B23" r:id="rId7" location="'06_DCF_Valuation'!A1" display="06_DCF_Valuation"/>
    <hyperlink ref="B24" r:id="rId8" location="'07_Checks'!A1" display="07_Check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6" min="1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35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18" t="s">
        <v>37</v>
      </c>
      <c r="B7" s="18" t="s">
        <v>38</v>
      </c>
      <c r="C7" s="18" t="s">
        <v>39</v>
      </c>
      <c r="D7" s="18" t="s">
        <v>40</v>
      </c>
      <c r="E7" s="18" t="s">
        <v>41</v>
      </c>
      <c r="F7" s="18" t="s">
        <v>42</v>
      </c>
      <c r="G7" s="2"/>
    </row>
    <row r="8" customFormat="false" ht="15" hidden="false" customHeight="false" outlineLevel="0" collapsed="false">
      <c r="A8" s="19" t="s">
        <v>43</v>
      </c>
      <c r="B8" s="19" t="s">
        <v>44</v>
      </c>
      <c r="C8" s="19" t="s">
        <v>45</v>
      </c>
      <c r="D8" s="20" t="n">
        <v>198.4</v>
      </c>
      <c r="E8" s="21" t="n">
        <v>5737.18</v>
      </c>
      <c r="F8" s="22" t="n">
        <f aca="false">D8*E8</f>
        <v>1138256.512</v>
      </c>
      <c r="G8" s="2"/>
    </row>
    <row r="9" customFormat="false" ht="15" hidden="false" customHeight="false" outlineLevel="0" collapsed="false">
      <c r="A9" s="19" t="s">
        <v>43</v>
      </c>
      <c r="B9" s="19" t="s">
        <v>44</v>
      </c>
      <c r="C9" s="19" t="s">
        <v>46</v>
      </c>
      <c r="D9" s="20" t="n">
        <v>208.6</v>
      </c>
      <c r="E9" s="21" t="n">
        <v>5758.19</v>
      </c>
      <c r="F9" s="22" t="n">
        <f aca="false">D9*E9</f>
        <v>1201158.434</v>
      </c>
      <c r="G9" s="2"/>
    </row>
    <row r="10" customFormat="false" ht="15" hidden="false" customHeight="false" outlineLevel="0" collapsed="false">
      <c r="A10" s="19" t="s">
        <v>43</v>
      </c>
      <c r="B10" s="19" t="s">
        <v>44</v>
      </c>
      <c r="C10" s="19" t="s">
        <v>47</v>
      </c>
      <c r="D10" s="20" t="n">
        <v>210.4</v>
      </c>
      <c r="E10" s="21" t="n">
        <v>5748.16</v>
      </c>
      <c r="F10" s="22" t="n">
        <f aca="false">D10*E10</f>
        <v>1209412.864</v>
      </c>
      <c r="G10" s="2"/>
    </row>
    <row r="11" customFormat="false" ht="15" hidden="false" customHeight="false" outlineLevel="0" collapsed="false">
      <c r="A11" s="19" t="s">
        <v>43</v>
      </c>
      <c r="B11" s="19" t="s">
        <v>44</v>
      </c>
      <c r="C11" s="19" t="s">
        <v>48</v>
      </c>
      <c r="D11" s="20" t="n">
        <v>216.2</v>
      </c>
      <c r="E11" s="21" t="n">
        <v>5778.8</v>
      </c>
      <c r="F11" s="22" t="n">
        <f aca="false">D11*E11</f>
        <v>1249376.56</v>
      </c>
      <c r="G11" s="2"/>
    </row>
    <row r="12" customFormat="false" ht="15" hidden="false" customHeight="false" outlineLevel="0" collapsed="false">
      <c r="A12" s="19" t="s">
        <v>43</v>
      </c>
      <c r="B12" s="19" t="s">
        <v>44</v>
      </c>
      <c r="C12" s="19" t="s">
        <v>49</v>
      </c>
      <c r="D12" s="20" t="n">
        <v>209.6</v>
      </c>
      <c r="E12" s="21" t="n">
        <v>5800.79</v>
      </c>
      <c r="F12" s="22" t="n">
        <f aca="false">D12*E12</f>
        <v>1215845.584</v>
      </c>
      <c r="G12" s="2"/>
    </row>
    <row r="13" customFormat="false" ht="15" hidden="false" customHeight="false" outlineLevel="0" collapsed="false">
      <c r="A13" s="19" t="s">
        <v>43</v>
      </c>
      <c r="B13" s="19" t="s">
        <v>44</v>
      </c>
      <c r="C13" s="19" t="s">
        <v>50</v>
      </c>
      <c r="D13" s="20" t="n">
        <v>208.6</v>
      </c>
      <c r="E13" s="21" t="n">
        <v>5823.05</v>
      </c>
      <c r="F13" s="22" t="n">
        <f aca="false">D13*E13</f>
        <v>1214688.23</v>
      </c>
      <c r="G13" s="2"/>
    </row>
    <row r="14" customFormat="false" ht="15" hidden="false" customHeight="false" outlineLevel="0" collapsed="false">
      <c r="A14" s="19" t="s">
        <v>43</v>
      </c>
      <c r="B14" s="19" t="s">
        <v>44</v>
      </c>
      <c r="C14" s="19" t="s">
        <v>51</v>
      </c>
      <c r="D14" s="20" t="n">
        <v>203.1</v>
      </c>
      <c r="E14" s="21" t="n">
        <v>5812.12</v>
      </c>
      <c r="F14" s="22" t="n">
        <f aca="false">D14*E14</f>
        <v>1180441.572</v>
      </c>
      <c r="G14" s="2"/>
    </row>
    <row r="15" customFormat="false" ht="15" hidden="false" customHeight="false" outlineLevel="0" collapsed="false">
      <c r="A15" s="19" t="s">
        <v>43</v>
      </c>
      <c r="B15" s="19" t="s">
        <v>44</v>
      </c>
      <c r="C15" s="19" t="s">
        <v>52</v>
      </c>
      <c r="D15" s="20" t="n">
        <v>199.7</v>
      </c>
      <c r="E15" s="21" t="n">
        <v>5815.74</v>
      </c>
      <c r="F15" s="22" t="n">
        <f aca="false">D15*E15</f>
        <v>1161403.278</v>
      </c>
      <c r="G15" s="2"/>
    </row>
    <row r="16" customFormat="false" ht="15" hidden="false" customHeight="false" outlineLevel="0" collapsed="false">
      <c r="A16" s="19" t="s">
        <v>43</v>
      </c>
      <c r="B16" s="19" t="s">
        <v>44</v>
      </c>
      <c r="C16" s="19" t="s">
        <v>53</v>
      </c>
      <c r="D16" s="20" t="n">
        <v>205.6</v>
      </c>
      <c r="E16" s="21" t="n">
        <v>5817.51</v>
      </c>
      <c r="F16" s="22" t="n">
        <f aca="false">D16*E16</f>
        <v>1196080.056</v>
      </c>
      <c r="G16" s="2"/>
    </row>
    <row r="17" customFormat="false" ht="15" hidden="false" customHeight="false" outlineLevel="0" collapsed="false">
      <c r="A17" s="19" t="s">
        <v>43</v>
      </c>
      <c r="B17" s="19" t="s">
        <v>44</v>
      </c>
      <c r="C17" s="19" t="s">
        <v>54</v>
      </c>
      <c r="D17" s="20" t="n">
        <v>208.1</v>
      </c>
      <c r="E17" s="21" t="n">
        <v>5836.33</v>
      </c>
      <c r="F17" s="22" t="n">
        <f aca="false">D17*E17</f>
        <v>1214540.273</v>
      </c>
      <c r="G17" s="2"/>
    </row>
    <row r="18" customFormat="false" ht="15" hidden="false" customHeight="false" outlineLevel="0" collapsed="false">
      <c r="A18" s="19" t="s">
        <v>43</v>
      </c>
      <c r="B18" s="19" t="s">
        <v>44</v>
      </c>
      <c r="C18" s="19" t="s">
        <v>55</v>
      </c>
      <c r="D18" s="20" t="n">
        <v>218.1</v>
      </c>
      <c r="E18" s="21" t="n">
        <v>5833.5</v>
      </c>
      <c r="F18" s="22" t="n">
        <f aca="false">D18*E18</f>
        <v>1272286.35</v>
      </c>
      <c r="G18" s="2"/>
    </row>
    <row r="19" customFormat="false" ht="15" hidden="false" customHeight="false" outlineLevel="0" collapsed="false">
      <c r="A19" s="19" t="s">
        <v>43</v>
      </c>
      <c r="B19" s="19" t="s">
        <v>44</v>
      </c>
      <c r="C19" s="19" t="s">
        <v>56</v>
      </c>
      <c r="D19" s="20" t="n">
        <v>229.6</v>
      </c>
      <c r="E19" s="21" t="n">
        <v>5817.21</v>
      </c>
      <c r="F19" s="22" t="n">
        <f aca="false">D19*E19</f>
        <v>1335631.416</v>
      </c>
      <c r="G19" s="2"/>
    </row>
    <row r="20" customFormat="false" ht="15" hidden="false" customHeight="false" outlineLevel="0" collapsed="false">
      <c r="A20" s="19" t="s">
        <v>43</v>
      </c>
      <c r="B20" s="19" t="s">
        <v>44</v>
      </c>
      <c r="C20" s="19" t="s">
        <v>57</v>
      </c>
      <c r="D20" s="20" t="n">
        <v>236.6</v>
      </c>
      <c r="E20" s="21" t="n">
        <v>5816.02</v>
      </c>
      <c r="F20" s="22" t="n">
        <f aca="false">D20*E20</f>
        <v>1376070.332</v>
      </c>
      <c r="G20" s="2"/>
    </row>
    <row r="21" customFormat="false" ht="15" hidden="false" customHeight="false" outlineLevel="0" collapsed="false">
      <c r="A21" s="19" t="s">
        <v>43</v>
      </c>
      <c r="B21" s="19" t="s">
        <v>44</v>
      </c>
      <c r="C21" s="19" t="s">
        <v>58</v>
      </c>
      <c r="D21" s="20" t="n">
        <v>238</v>
      </c>
      <c r="E21" s="21" t="n">
        <v>5823.88</v>
      </c>
      <c r="F21" s="22" t="n">
        <f aca="false">D21*E21</f>
        <v>1386083.44</v>
      </c>
      <c r="G21" s="2"/>
    </row>
    <row r="22" customFormat="false" ht="15" hidden="false" customHeight="false" outlineLevel="0" collapsed="false">
      <c r="A22" s="19" t="s">
        <v>43</v>
      </c>
      <c r="B22" s="19" t="s">
        <v>44</v>
      </c>
      <c r="C22" s="19" t="s">
        <v>59</v>
      </c>
      <c r="D22" s="20" t="n">
        <v>241.5</v>
      </c>
      <c r="E22" s="21" t="n">
        <v>5819.89</v>
      </c>
      <c r="F22" s="22" t="n">
        <f aca="false">D22*E22</f>
        <v>1405503.435</v>
      </c>
      <c r="G22" s="2"/>
    </row>
    <row r="23" customFormat="false" ht="15" hidden="false" customHeight="false" outlineLevel="0" collapsed="false">
      <c r="A23" s="19" t="s">
        <v>43</v>
      </c>
      <c r="B23" s="19" t="s">
        <v>44</v>
      </c>
      <c r="C23" s="19" t="s">
        <v>60</v>
      </c>
      <c r="D23" s="20" t="n">
        <v>239.6</v>
      </c>
      <c r="E23" s="21" t="n">
        <v>5852.71</v>
      </c>
      <c r="F23" s="22" t="n">
        <f aca="false">D23*E23</f>
        <v>1402309.316</v>
      </c>
      <c r="G23" s="2"/>
    </row>
    <row r="24" customFormat="false" ht="15" hidden="false" customHeight="false" outlineLevel="0" collapsed="false">
      <c r="A24" s="19" t="s">
        <v>43</v>
      </c>
      <c r="B24" s="19" t="s">
        <v>44</v>
      </c>
      <c r="C24" s="19" t="s">
        <v>61</v>
      </c>
      <c r="D24" s="20" t="n">
        <v>234.5</v>
      </c>
      <c r="E24" s="21" t="n">
        <v>5850.55</v>
      </c>
      <c r="F24" s="22" t="n">
        <f aca="false">D24*E24</f>
        <v>1371953.975</v>
      </c>
      <c r="G24" s="2"/>
    </row>
    <row r="25" customFormat="false" ht="15" hidden="false" customHeight="false" outlineLevel="0" collapsed="false">
      <c r="A25" s="19" t="s">
        <v>43</v>
      </c>
      <c r="B25" s="19" t="s">
        <v>44</v>
      </c>
      <c r="C25" s="19" t="s">
        <v>62</v>
      </c>
      <c r="D25" s="20" t="n">
        <v>244.3</v>
      </c>
      <c r="E25" s="21" t="n">
        <v>5883.61</v>
      </c>
      <c r="F25" s="22" t="n">
        <f aca="false">D25*E25</f>
        <v>1437365.923</v>
      </c>
      <c r="G25" s="2"/>
    </row>
    <row r="26" customFormat="false" ht="15" hidden="false" customHeight="false" outlineLevel="0" collapsed="false">
      <c r="A26" s="19" t="s">
        <v>43</v>
      </c>
      <c r="B26" s="19" t="s">
        <v>44</v>
      </c>
      <c r="C26" s="19" t="s">
        <v>63</v>
      </c>
      <c r="D26" s="20" t="n">
        <v>237.7</v>
      </c>
      <c r="E26" s="21" t="n">
        <v>5879.66</v>
      </c>
      <c r="F26" s="22" t="n">
        <f aca="false">D26*E26</f>
        <v>1397595.182</v>
      </c>
      <c r="G26" s="2"/>
    </row>
    <row r="27" customFormat="false" ht="15" hidden="false" customHeight="false" outlineLevel="0" collapsed="false">
      <c r="A27" s="19" t="s">
        <v>43</v>
      </c>
      <c r="B27" s="19" t="s">
        <v>44</v>
      </c>
      <c r="C27" s="19" t="s">
        <v>64</v>
      </c>
      <c r="D27" s="20" t="n">
        <v>241.7</v>
      </c>
      <c r="E27" s="21" t="n">
        <v>5886.89</v>
      </c>
      <c r="F27" s="22" t="n">
        <f aca="false">D27*E27</f>
        <v>1422861.313</v>
      </c>
      <c r="G27" s="2"/>
    </row>
    <row r="28" customFormat="false" ht="15" hidden="false" customHeight="false" outlineLevel="0" collapsed="false">
      <c r="A28" s="19" t="s">
        <v>43</v>
      </c>
      <c r="B28" s="19" t="s">
        <v>44</v>
      </c>
      <c r="C28" s="19" t="s">
        <v>65</v>
      </c>
      <c r="D28" s="20" t="n">
        <v>236.3</v>
      </c>
      <c r="E28" s="21" t="n">
        <v>5870.06</v>
      </c>
      <c r="F28" s="22" t="n">
        <f aca="false">D28*E28</f>
        <v>1387095.178</v>
      </c>
      <c r="G28" s="2"/>
    </row>
    <row r="29" customFormat="false" ht="15" hidden="false" customHeight="false" outlineLevel="0" collapsed="false">
      <c r="A29" s="19" t="s">
        <v>43</v>
      </c>
      <c r="B29" s="19" t="s">
        <v>44</v>
      </c>
      <c r="C29" s="19" t="s">
        <v>66</v>
      </c>
      <c r="D29" s="20" t="n">
        <v>231.1</v>
      </c>
      <c r="E29" s="21" t="n">
        <v>5876.92</v>
      </c>
      <c r="F29" s="22" t="n">
        <f aca="false">D29*E29</f>
        <v>1358156.212</v>
      </c>
      <c r="G29" s="2"/>
    </row>
    <row r="30" customFormat="false" ht="15" hidden="false" customHeight="false" outlineLevel="0" collapsed="false">
      <c r="A30" s="19" t="s">
        <v>43</v>
      </c>
      <c r="B30" s="19" t="s">
        <v>44</v>
      </c>
      <c r="C30" s="19" t="s">
        <v>67</v>
      </c>
      <c r="D30" s="20" t="n">
        <v>239.9</v>
      </c>
      <c r="E30" s="21" t="n">
        <v>5871.5</v>
      </c>
      <c r="F30" s="22" t="n">
        <f aca="false">D30*E30</f>
        <v>1408572.85</v>
      </c>
      <c r="G30" s="2"/>
    </row>
    <row r="31" customFormat="false" ht="15" hidden="false" customHeight="false" outlineLevel="0" collapsed="false">
      <c r="A31" s="19" t="s">
        <v>43</v>
      </c>
      <c r="B31" s="19" t="s">
        <v>44</v>
      </c>
      <c r="C31" s="19" t="s">
        <v>68</v>
      </c>
      <c r="D31" s="20" t="n">
        <v>235.5</v>
      </c>
      <c r="E31" s="21" t="n">
        <v>5878.37</v>
      </c>
      <c r="F31" s="22" t="n">
        <f aca="false">D31*E31</f>
        <v>1384356.135</v>
      </c>
      <c r="G31" s="2"/>
    </row>
    <row r="32" customFormat="false" ht="15" hidden="false" customHeight="false" outlineLevel="0" collapsed="false">
      <c r="A32" s="19" t="s">
        <v>43</v>
      </c>
      <c r="B32" s="19" t="s">
        <v>44</v>
      </c>
      <c r="C32" s="19" t="s">
        <v>69</v>
      </c>
      <c r="D32" s="20" t="n">
        <v>228.8</v>
      </c>
      <c r="E32" s="21" t="n">
        <v>5875.83</v>
      </c>
      <c r="F32" s="22" t="n">
        <f aca="false">D32*E32</f>
        <v>1344389.904</v>
      </c>
      <c r="G32" s="2"/>
    </row>
    <row r="33" customFormat="false" ht="15" hidden="false" customHeight="false" outlineLevel="0" collapsed="false">
      <c r="A33" s="19" t="s">
        <v>43</v>
      </c>
      <c r="B33" s="19" t="s">
        <v>44</v>
      </c>
      <c r="C33" s="19" t="s">
        <v>70</v>
      </c>
      <c r="D33" s="20" t="n">
        <v>227.4</v>
      </c>
      <c r="E33" s="21" t="n">
        <v>5899.75</v>
      </c>
      <c r="F33" s="22" t="n">
        <f aca="false">D33*E33</f>
        <v>1341603.15</v>
      </c>
      <c r="G33" s="2"/>
    </row>
    <row r="34" customFormat="false" ht="15" hidden="false" customHeight="false" outlineLevel="0" collapsed="false">
      <c r="A34" s="19" t="s">
        <v>43</v>
      </c>
      <c r="B34" s="19" t="s">
        <v>44</v>
      </c>
      <c r="C34" s="19" t="s">
        <v>71</v>
      </c>
      <c r="D34" s="20" t="n">
        <v>220.6</v>
      </c>
      <c r="E34" s="21" t="n">
        <v>5895.03</v>
      </c>
      <c r="F34" s="22" t="n">
        <f aca="false">D34*E34</f>
        <v>1300443.618</v>
      </c>
      <c r="G34" s="2"/>
    </row>
    <row r="35" customFormat="false" ht="15" hidden="false" customHeight="false" outlineLevel="0" collapsed="false">
      <c r="A35" s="19" t="s">
        <v>43</v>
      </c>
      <c r="B35" s="19" t="s">
        <v>44</v>
      </c>
      <c r="C35" s="19" t="s">
        <v>72</v>
      </c>
      <c r="D35" s="20" t="n">
        <v>219.5</v>
      </c>
      <c r="E35" s="21" t="n">
        <v>5897.3</v>
      </c>
      <c r="F35" s="22" t="n">
        <f aca="false">D35*E35</f>
        <v>1294457.35</v>
      </c>
      <c r="G35" s="2"/>
    </row>
    <row r="36" customFormat="false" ht="15" hidden="false" customHeight="false" outlineLevel="0" collapsed="false">
      <c r="A36" s="19" t="s">
        <v>43</v>
      </c>
      <c r="B36" s="19" t="s">
        <v>44</v>
      </c>
      <c r="C36" s="19" t="s">
        <v>73</v>
      </c>
      <c r="D36" s="20" t="n">
        <v>220.8</v>
      </c>
      <c r="E36" s="21" t="n">
        <v>5907.74</v>
      </c>
      <c r="F36" s="22" t="n">
        <f aca="false">D36*E36</f>
        <v>1304428.992</v>
      </c>
      <c r="G36" s="2"/>
    </row>
    <row r="37" customFormat="false" ht="15" hidden="false" customHeight="false" outlineLevel="0" collapsed="false">
      <c r="A37" s="19" t="s">
        <v>43</v>
      </c>
      <c r="B37" s="19" t="s">
        <v>44</v>
      </c>
      <c r="C37" s="19" t="s">
        <v>74</v>
      </c>
      <c r="D37" s="20" t="n">
        <v>233.4</v>
      </c>
      <c r="E37" s="21" t="n">
        <v>5936.54</v>
      </c>
      <c r="F37" s="22" t="n">
        <f aca="false">D37*E37</f>
        <v>1385588.436</v>
      </c>
      <c r="G37" s="2"/>
    </row>
    <row r="38" customFormat="false" ht="15" hidden="false" customHeight="false" outlineLevel="0" collapsed="false">
      <c r="A38" s="19" t="s">
        <v>43</v>
      </c>
      <c r="B38" s="19" t="s">
        <v>44</v>
      </c>
      <c r="C38" s="19" t="s">
        <v>75</v>
      </c>
      <c r="D38" s="20" t="n">
        <v>239.7</v>
      </c>
      <c r="E38" s="21" t="n">
        <v>5932.43</v>
      </c>
      <c r="F38" s="22" t="n">
        <f aca="false">D38*E38</f>
        <v>1422003.471</v>
      </c>
      <c r="G38" s="2"/>
    </row>
    <row r="39" customFormat="false" ht="15" hidden="false" customHeight="false" outlineLevel="0" collapsed="false">
      <c r="A39" s="19" t="s">
        <v>43</v>
      </c>
      <c r="B39" s="19" t="s">
        <v>44</v>
      </c>
      <c r="C39" s="19" t="s">
        <v>76</v>
      </c>
      <c r="D39" s="20" t="n">
        <v>249.5</v>
      </c>
      <c r="E39" s="21" t="n">
        <v>5950.9</v>
      </c>
      <c r="F39" s="22" t="n">
        <f aca="false">D39*E39</f>
        <v>1484749.55</v>
      </c>
      <c r="G39" s="2"/>
    </row>
    <row r="40" customFormat="false" ht="15" hidden="false" customHeight="false" outlineLevel="0" collapsed="false">
      <c r="A40" s="19" t="s">
        <v>43</v>
      </c>
      <c r="B40" s="19" t="s">
        <v>44</v>
      </c>
      <c r="C40" s="19" t="s">
        <v>77</v>
      </c>
      <c r="D40" s="20" t="n">
        <v>258.4</v>
      </c>
      <c r="E40" s="21" t="n">
        <v>5967.27</v>
      </c>
      <c r="F40" s="22" t="n">
        <f aca="false">D40*E40</f>
        <v>1541942.568</v>
      </c>
      <c r="G40" s="2"/>
    </row>
    <row r="41" customFormat="false" ht="15" hidden="false" customHeight="false" outlineLevel="0" collapsed="false">
      <c r="A41" s="19" t="s">
        <v>43</v>
      </c>
      <c r="B41" s="19" t="s">
        <v>44</v>
      </c>
      <c r="C41" s="19" t="s">
        <v>78</v>
      </c>
      <c r="D41" s="20" t="n">
        <v>251.3</v>
      </c>
      <c r="E41" s="21" t="n">
        <v>5992.23</v>
      </c>
      <c r="F41" s="22" t="n">
        <f aca="false">D41*E41</f>
        <v>1505847.399</v>
      </c>
      <c r="G41" s="2"/>
    </row>
    <row r="42" customFormat="false" ht="15" hidden="false" customHeight="false" outlineLevel="0" collapsed="false">
      <c r="A42" s="19" t="s">
        <v>43</v>
      </c>
      <c r="B42" s="19" t="s">
        <v>44</v>
      </c>
      <c r="C42" s="19" t="s">
        <v>79</v>
      </c>
      <c r="D42" s="20" t="n">
        <v>248.3</v>
      </c>
      <c r="E42" s="21" t="n">
        <v>6027.25</v>
      </c>
      <c r="F42" s="22" t="n">
        <f aca="false">D42*E42</f>
        <v>1496566.175</v>
      </c>
      <c r="G42" s="2"/>
    </row>
    <row r="43" customFormat="false" ht="15" hidden="false" customHeight="false" outlineLevel="0" collapsed="false">
      <c r="A43" s="19" t="s">
        <v>43</v>
      </c>
      <c r="B43" s="19" t="s">
        <v>44</v>
      </c>
      <c r="C43" s="19" t="s">
        <v>80</v>
      </c>
      <c r="D43" s="20" t="n">
        <v>258.3</v>
      </c>
      <c r="E43" s="21" t="n">
        <v>6033.16</v>
      </c>
      <c r="F43" s="22" t="n">
        <f aca="false">D43*E43</f>
        <v>1558365.228</v>
      </c>
      <c r="G43" s="2"/>
    </row>
    <row r="44" customFormat="false" ht="15" hidden="false" customHeight="false" outlineLevel="0" collapsed="false">
      <c r="A44" s="19" t="s">
        <v>43</v>
      </c>
      <c r="B44" s="19" t="s">
        <v>81</v>
      </c>
      <c r="C44" s="19" t="s">
        <v>45</v>
      </c>
      <c r="D44" s="20" t="n">
        <v>110.6</v>
      </c>
      <c r="E44" s="21" t="n">
        <v>5055.73</v>
      </c>
      <c r="F44" s="22" t="n">
        <f aca="false">D44*E44</f>
        <v>559163.738</v>
      </c>
      <c r="G44" s="2"/>
    </row>
    <row r="45" customFormat="false" ht="15" hidden="false" customHeight="false" outlineLevel="0" collapsed="false">
      <c r="A45" s="19" t="s">
        <v>43</v>
      </c>
      <c r="B45" s="19" t="s">
        <v>81</v>
      </c>
      <c r="C45" s="19" t="s">
        <v>46</v>
      </c>
      <c r="D45" s="20" t="n">
        <v>116.5</v>
      </c>
      <c r="E45" s="21" t="n">
        <v>5047.88</v>
      </c>
      <c r="F45" s="22" t="n">
        <f aca="false">D45*E45</f>
        <v>588078.02</v>
      </c>
      <c r="G45" s="2"/>
    </row>
    <row r="46" customFormat="false" ht="15" hidden="false" customHeight="false" outlineLevel="0" collapsed="false">
      <c r="A46" s="19" t="s">
        <v>43</v>
      </c>
      <c r="B46" s="19" t="s">
        <v>81</v>
      </c>
      <c r="C46" s="19" t="s">
        <v>47</v>
      </c>
      <c r="D46" s="20" t="n">
        <v>118.7</v>
      </c>
      <c r="E46" s="21" t="n">
        <v>5045.57</v>
      </c>
      <c r="F46" s="22" t="n">
        <f aca="false">D46*E46</f>
        <v>598909.159</v>
      </c>
      <c r="G46" s="2"/>
    </row>
    <row r="47" customFormat="false" ht="15" hidden="false" customHeight="false" outlineLevel="0" collapsed="false">
      <c r="A47" s="19" t="s">
        <v>43</v>
      </c>
      <c r="B47" s="19" t="s">
        <v>81</v>
      </c>
      <c r="C47" s="19" t="s">
        <v>48</v>
      </c>
      <c r="D47" s="20" t="n">
        <v>121.7</v>
      </c>
      <c r="E47" s="21" t="n">
        <v>5035.22</v>
      </c>
      <c r="F47" s="22" t="n">
        <f aca="false">D47*E47</f>
        <v>612786.274</v>
      </c>
      <c r="G47" s="2"/>
    </row>
    <row r="48" customFormat="false" ht="15" hidden="false" customHeight="false" outlineLevel="0" collapsed="false">
      <c r="A48" s="19" t="s">
        <v>43</v>
      </c>
      <c r="B48" s="19" t="s">
        <v>81</v>
      </c>
      <c r="C48" s="19" t="s">
        <v>49</v>
      </c>
      <c r="D48" s="20" t="n">
        <v>129.2</v>
      </c>
      <c r="E48" s="21" t="n">
        <v>5028.8</v>
      </c>
      <c r="F48" s="22" t="n">
        <f aca="false">D48*E48</f>
        <v>649720.96</v>
      </c>
      <c r="G48" s="2"/>
    </row>
    <row r="49" customFormat="false" ht="15" hidden="false" customHeight="false" outlineLevel="0" collapsed="false">
      <c r="A49" s="19" t="s">
        <v>43</v>
      </c>
      <c r="B49" s="19" t="s">
        <v>81</v>
      </c>
      <c r="C49" s="19" t="s">
        <v>50</v>
      </c>
      <c r="D49" s="20" t="n">
        <v>127.3</v>
      </c>
      <c r="E49" s="21" t="n">
        <v>5032.99</v>
      </c>
      <c r="F49" s="22" t="n">
        <f aca="false">D49*E49</f>
        <v>640699.627</v>
      </c>
      <c r="G49" s="2"/>
    </row>
    <row r="50" customFormat="false" ht="15" hidden="false" customHeight="false" outlineLevel="0" collapsed="false">
      <c r="A50" s="19" t="s">
        <v>43</v>
      </c>
      <c r="B50" s="19" t="s">
        <v>81</v>
      </c>
      <c r="C50" s="19" t="s">
        <v>51</v>
      </c>
      <c r="D50" s="20" t="n">
        <v>135.7</v>
      </c>
      <c r="E50" s="21" t="n">
        <v>5028.99</v>
      </c>
      <c r="F50" s="22" t="n">
        <f aca="false">D50*E50</f>
        <v>682433.943</v>
      </c>
      <c r="G50" s="2"/>
    </row>
    <row r="51" customFormat="false" ht="15" hidden="false" customHeight="false" outlineLevel="0" collapsed="false">
      <c r="A51" s="19" t="s">
        <v>43</v>
      </c>
      <c r="B51" s="19" t="s">
        <v>81</v>
      </c>
      <c r="C51" s="19" t="s">
        <v>52</v>
      </c>
      <c r="D51" s="20" t="n">
        <v>135.6</v>
      </c>
      <c r="E51" s="21" t="n">
        <v>5050.75</v>
      </c>
      <c r="F51" s="22" t="n">
        <f aca="false">D51*E51</f>
        <v>684881.7</v>
      </c>
      <c r="G51" s="2"/>
    </row>
    <row r="52" customFormat="false" ht="15" hidden="false" customHeight="false" outlineLevel="0" collapsed="false">
      <c r="A52" s="19" t="s">
        <v>43</v>
      </c>
      <c r="B52" s="19" t="s">
        <v>81</v>
      </c>
      <c r="C52" s="19" t="s">
        <v>53</v>
      </c>
      <c r="D52" s="20" t="n">
        <v>143.8</v>
      </c>
      <c r="E52" s="21" t="n">
        <v>5066.93</v>
      </c>
      <c r="F52" s="22" t="n">
        <f aca="false">D52*E52</f>
        <v>728624.534</v>
      </c>
      <c r="G52" s="2"/>
    </row>
    <row r="53" customFormat="false" ht="15" hidden="false" customHeight="false" outlineLevel="0" collapsed="false">
      <c r="A53" s="19" t="s">
        <v>43</v>
      </c>
      <c r="B53" s="19" t="s">
        <v>81</v>
      </c>
      <c r="C53" s="19" t="s">
        <v>54</v>
      </c>
      <c r="D53" s="20" t="n">
        <v>151.2</v>
      </c>
      <c r="E53" s="21" t="n">
        <v>5056.15</v>
      </c>
      <c r="F53" s="22" t="n">
        <f aca="false">D53*E53</f>
        <v>764489.88</v>
      </c>
      <c r="G53" s="2"/>
    </row>
    <row r="54" customFormat="false" ht="15" hidden="false" customHeight="false" outlineLevel="0" collapsed="false">
      <c r="A54" s="19" t="s">
        <v>43</v>
      </c>
      <c r="B54" s="19" t="s">
        <v>81</v>
      </c>
      <c r="C54" s="19" t="s">
        <v>55</v>
      </c>
      <c r="D54" s="20" t="n">
        <v>158.5</v>
      </c>
      <c r="E54" s="21" t="n">
        <v>5048.54</v>
      </c>
      <c r="F54" s="22" t="n">
        <f aca="false">D54*E54</f>
        <v>800193.59</v>
      </c>
      <c r="G54" s="2"/>
    </row>
    <row r="55" customFormat="false" ht="15" hidden="false" customHeight="false" outlineLevel="0" collapsed="false">
      <c r="A55" s="19" t="s">
        <v>43</v>
      </c>
      <c r="B55" s="19" t="s">
        <v>81</v>
      </c>
      <c r="C55" s="19" t="s">
        <v>56</v>
      </c>
      <c r="D55" s="20" t="n">
        <v>160.2</v>
      </c>
      <c r="E55" s="21" t="n">
        <v>5037.06</v>
      </c>
      <c r="F55" s="22" t="n">
        <f aca="false">D55*E55</f>
        <v>806937.012</v>
      </c>
      <c r="G55" s="2"/>
    </row>
    <row r="56" customFormat="false" ht="15" hidden="false" customHeight="false" outlineLevel="0" collapsed="false">
      <c r="A56" s="19" t="s">
        <v>43</v>
      </c>
      <c r="B56" s="19" t="s">
        <v>81</v>
      </c>
      <c r="C56" s="19" t="s">
        <v>57</v>
      </c>
      <c r="D56" s="20" t="n">
        <v>168.4</v>
      </c>
      <c r="E56" s="21" t="n">
        <v>5024.53</v>
      </c>
      <c r="F56" s="22" t="n">
        <f aca="false">D56*E56</f>
        <v>846130.852</v>
      </c>
      <c r="G56" s="2"/>
    </row>
    <row r="57" customFormat="false" ht="15" hidden="false" customHeight="false" outlineLevel="0" collapsed="false">
      <c r="A57" s="19" t="s">
        <v>43</v>
      </c>
      <c r="B57" s="19" t="s">
        <v>81</v>
      </c>
      <c r="C57" s="19" t="s">
        <v>58</v>
      </c>
      <c r="D57" s="20" t="n">
        <v>168.2</v>
      </c>
      <c r="E57" s="21" t="n">
        <v>5020.4</v>
      </c>
      <c r="F57" s="22" t="n">
        <f aca="false">D57*E57</f>
        <v>844431.28</v>
      </c>
      <c r="G57" s="2"/>
    </row>
    <row r="58" customFormat="false" ht="15" hidden="false" customHeight="false" outlineLevel="0" collapsed="false">
      <c r="A58" s="19" t="s">
        <v>43</v>
      </c>
      <c r="B58" s="19" t="s">
        <v>81</v>
      </c>
      <c r="C58" s="19" t="s">
        <v>59</v>
      </c>
      <c r="D58" s="20" t="n">
        <v>175.9</v>
      </c>
      <c r="E58" s="21" t="n">
        <v>5017.57</v>
      </c>
      <c r="F58" s="22" t="n">
        <f aca="false">D58*E58</f>
        <v>882590.563</v>
      </c>
      <c r="G58" s="2"/>
    </row>
    <row r="59" customFormat="false" ht="15" hidden="false" customHeight="false" outlineLevel="0" collapsed="false">
      <c r="A59" s="19" t="s">
        <v>43</v>
      </c>
      <c r="B59" s="19" t="s">
        <v>81</v>
      </c>
      <c r="C59" s="19" t="s">
        <v>60</v>
      </c>
      <c r="D59" s="20" t="n">
        <v>183.5</v>
      </c>
      <c r="E59" s="21" t="n">
        <v>5009.5</v>
      </c>
      <c r="F59" s="22" t="n">
        <f aca="false">D59*E59</f>
        <v>919243.25</v>
      </c>
      <c r="G59" s="2"/>
    </row>
    <row r="60" customFormat="false" ht="15" hidden="false" customHeight="false" outlineLevel="0" collapsed="false">
      <c r="A60" s="19" t="s">
        <v>43</v>
      </c>
      <c r="B60" s="19" t="s">
        <v>81</v>
      </c>
      <c r="C60" s="19" t="s">
        <v>61</v>
      </c>
      <c r="D60" s="20" t="n">
        <v>194.2</v>
      </c>
      <c r="E60" s="21" t="n">
        <v>5030.81</v>
      </c>
      <c r="F60" s="22" t="n">
        <f aca="false">D60*E60</f>
        <v>976983.302</v>
      </c>
      <c r="G60" s="2"/>
    </row>
    <row r="61" customFormat="false" ht="15" hidden="false" customHeight="false" outlineLevel="0" collapsed="false">
      <c r="A61" s="19" t="s">
        <v>43</v>
      </c>
      <c r="B61" s="19" t="s">
        <v>81</v>
      </c>
      <c r="C61" s="19" t="s">
        <v>62</v>
      </c>
      <c r="D61" s="20" t="n">
        <v>197.9</v>
      </c>
      <c r="E61" s="21" t="n">
        <v>5017</v>
      </c>
      <c r="F61" s="22" t="n">
        <f aca="false">D61*E61</f>
        <v>992864.3</v>
      </c>
      <c r="G61" s="2"/>
    </row>
    <row r="62" customFormat="false" ht="15" hidden="false" customHeight="false" outlineLevel="0" collapsed="false">
      <c r="A62" s="19" t="s">
        <v>43</v>
      </c>
      <c r="B62" s="19" t="s">
        <v>81</v>
      </c>
      <c r="C62" s="19" t="s">
        <v>63</v>
      </c>
      <c r="D62" s="20" t="n">
        <v>208</v>
      </c>
      <c r="E62" s="21" t="n">
        <v>5045.64</v>
      </c>
      <c r="F62" s="22" t="n">
        <f aca="false">D62*E62</f>
        <v>1049493.12</v>
      </c>
      <c r="G62" s="2"/>
    </row>
    <row r="63" customFormat="false" ht="15" hidden="false" customHeight="false" outlineLevel="0" collapsed="false">
      <c r="A63" s="19" t="s">
        <v>43</v>
      </c>
      <c r="B63" s="19" t="s">
        <v>81</v>
      </c>
      <c r="C63" s="19" t="s">
        <v>64</v>
      </c>
      <c r="D63" s="20" t="n">
        <v>216.2</v>
      </c>
      <c r="E63" s="21" t="n">
        <v>5040.04</v>
      </c>
      <c r="F63" s="22" t="n">
        <f aca="false">D63*E63</f>
        <v>1089656.648</v>
      </c>
      <c r="G63" s="2"/>
    </row>
    <row r="64" customFormat="false" ht="15" hidden="false" customHeight="false" outlineLevel="0" collapsed="false">
      <c r="A64" s="19" t="s">
        <v>43</v>
      </c>
      <c r="B64" s="19" t="s">
        <v>81</v>
      </c>
      <c r="C64" s="19" t="s">
        <v>65</v>
      </c>
      <c r="D64" s="20" t="n">
        <v>213.9</v>
      </c>
      <c r="E64" s="21" t="n">
        <v>5029.06</v>
      </c>
      <c r="F64" s="22" t="n">
        <f aca="false">D64*E64</f>
        <v>1075715.934</v>
      </c>
      <c r="G64" s="2"/>
    </row>
    <row r="65" customFormat="false" ht="15" hidden="false" customHeight="false" outlineLevel="0" collapsed="false">
      <c r="A65" s="19" t="s">
        <v>43</v>
      </c>
      <c r="B65" s="19" t="s">
        <v>81</v>
      </c>
      <c r="C65" s="19" t="s">
        <v>66</v>
      </c>
      <c r="D65" s="20" t="n">
        <v>221.6</v>
      </c>
      <c r="E65" s="21" t="n">
        <v>5020.99</v>
      </c>
      <c r="F65" s="22" t="n">
        <f aca="false">D65*E65</f>
        <v>1112651.384</v>
      </c>
      <c r="G65" s="2"/>
    </row>
    <row r="66" customFormat="false" ht="15" hidden="false" customHeight="false" outlineLevel="0" collapsed="false">
      <c r="A66" s="19" t="s">
        <v>43</v>
      </c>
      <c r="B66" s="19" t="s">
        <v>81</v>
      </c>
      <c r="C66" s="19" t="s">
        <v>67</v>
      </c>
      <c r="D66" s="20" t="n">
        <v>218.9</v>
      </c>
      <c r="E66" s="21" t="n">
        <v>5043.05</v>
      </c>
      <c r="F66" s="22" t="n">
        <f aca="false">D66*E66</f>
        <v>1103923.645</v>
      </c>
      <c r="G66" s="2"/>
    </row>
    <row r="67" customFormat="false" ht="15" hidden="false" customHeight="false" outlineLevel="0" collapsed="false">
      <c r="A67" s="19" t="s">
        <v>43</v>
      </c>
      <c r="B67" s="19" t="s">
        <v>81</v>
      </c>
      <c r="C67" s="19" t="s">
        <v>68</v>
      </c>
      <c r="D67" s="20" t="n">
        <v>218.9</v>
      </c>
      <c r="E67" s="21" t="n">
        <v>5056.83</v>
      </c>
      <c r="F67" s="22" t="n">
        <f aca="false">D67*E67</f>
        <v>1106940.087</v>
      </c>
      <c r="G67" s="2"/>
    </row>
    <row r="68" customFormat="false" ht="15" hidden="false" customHeight="false" outlineLevel="0" collapsed="false">
      <c r="A68" s="19" t="s">
        <v>43</v>
      </c>
      <c r="B68" s="19" t="s">
        <v>81</v>
      </c>
      <c r="C68" s="19" t="s">
        <v>69</v>
      </c>
      <c r="D68" s="20" t="n">
        <v>216.1</v>
      </c>
      <c r="E68" s="21" t="n">
        <v>5079.71</v>
      </c>
      <c r="F68" s="22" t="n">
        <f aca="false">D68*E68</f>
        <v>1097725.331</v>
      </c>
      <c r="G68" s="2"/>
    </row>
    <row r="69" customFormat="false" ht="15" hidden="false" customHeight="false" outlineLevel="0" collapsed="false">
      <c r="A69" s="19" t="s">
        <v>43</v>
      </c>
      <c r="B69" s="19" t="s">
        <v>81</v>
      </c>
      <c r="C69" s="19" t="s">
        <v>70</v>
      </c>
      <c r="D69" s="20" t="n">
        <v>228.8</v>
      </c>
      <c r="E69" s="21" t="n">
        <v>5093.73</v>
      </c>
      <c r="F69" s="22" t="n">
        <f aca="false">D69*E69</f>
        <v>1165445.424</v>
      </c>
      <c r="G69" s="2"/>
    </row>
    <row r="70" customFormat="false" ht="15" hidden="false" customHeight="false" outlineLevel="0" collapsed="false">
      <c r="A70" s="19" t="s">
        <v>43</v>
      </c>
      <c r="B70" s="19" t="s">
        <v>81</v>
      </c>
      <c r="C70" s="19" t="s">
        <v>71</v>
      </c>
      <c r="D70" s="20" t="n">
        <v>224</v>
      </c>
      <c r="E70" s="21" t="n">
        <v>5078.98</v>
      </c>
      <c r="F70" s="22" t="n">
        <f aca="false">D70*E70</f>
        <v>1137691.52</v>
      </c>
      <c r="G70" s="2"/>
    </row>
    <row r="71" customFormat="false" ht="15" hidden="false" customHeight="false" outlineLevel="0" collapsed="false">
      <c r="A71" s="19" t="s">
        <v>43</v>
      </c>
      <c r="B71" s="19" t="s">
        <v>81</v>
      </c>
      <c r="C71" s="19" t="s">
        <v>72</v>
      </c>
      <c r="D71" s="20" t="n">
        <v>220.8</v>
      </c>
      <c r="E71" s="21" t="n">
        <v>5097.43</v>
      </c>
      <c r="F71" s="22" t="n">
        <f aca="false">D71*E71</f>
        <v>1125512.544</v>
      </c>
      <c r="G71" s="2"/>
    </row>
    <row r="72" customFormat="false" ht="15" hidden="false" customHeight="false" outlineLevel="0" collapsed="false">
      <c r="A72" s="19" t="s">
        <v>43</v>
      </c>
      <c r="B72" s="19" t="s">
        <v>81</v>
      </c>
      <c r="C72" s="19" t="s">
        <v>73</v>
      </c>
      <c r="D72" s="20" t="n">
        <v>228.8</v>
      </c>
      <c r="E72" s="21" t="n">
        <v>5091.5</v>
      </c>
      <c r="F72" s="22" t="n">
        <f aca="false">D72*E72</f>
        <v>1164935.2</v>
      </c>
      <c r="G72" s="2"/>
    </row>
    <row r="73" customFormat="false" ht="15" hidden="false" customHeight="false" outlineLevel="0" collapsed="false">
      <c r="A73" s="19" t="s">
        <v>43</v>
      </c>
      <c r="B73" s="19" t="s">
        <v>81</v>
      </c>
      <c r="C73" s="19" t="s">
        <v>74</v>
      </c>
      <c r="D73" s="20" t="n">
        <v>239.8</v>
      </c>
      <c r="E73" s="21" t="n">
        <v>5092.74</v>
      </c>
      <c r="F73" s="22" t="n">
        <f aca="false">D73*E73</f>
        <v>1221239.052</v>
      </c>
      <c r="G73" s="2"/>
    </row>
    <row r="74" customFormat="false" ht="15" hidden="false" customHeight="false" outlineLevel="0" collapsed="false">
      <c r="A74" s="19" t="s">
        <v>43</v>
      </c>
      <c r="B74" s="19" t="s">
        <v>81</v>
      </c>
      <c r="C74" s="19" t="s">
        <v>75</v>
      </c>
      <c r="D74" s="20" t="n">
        <v>237</v>
      </c>
      <c r="E74" s="21" t="n">
        <v>5080.92</v>
      </c>
      <c r="F74" s="22" t="n">
        <f aca="false">D74*E74</f>
        <v>1204178.04</v>
      </c>
      <c r="G74" s="2"/>
    </row>
    <row r="75" customFormat="false" ht="15" hidden="false" customHeight="false" outlineLevel="0" collapsed="false">
      <c r="A75" s="19" t="s">
        <v>43</v>
      </c>
      <c r="B75" s="19" t="s">
        <v>81</v>
      </c>
      <c r="C75" s="19" t="s">
        <v>76</v>
      </c>
      <c r="D75" s="20" t="n">
        <v>246.1</v>
      </c>
      <c r="E75" s="21" t="n">
        <v>5077.78</v>
      </c>
      <c r="F75" s="22" t="n">
        <f aca="false">D75*E75</f>
        <v>1249641.658</v>
      </c>
      <c r="G75" s="2"/>
    </row>
    <row r="76" customFormat="false" ht="15" hidden="false" customHeight="false" outlineLevel="0" collapsed="false">
      <c r="A76" s="19" t="s">
        <v>43</v>
      </c>
      <c r="B76" s="19" t="s">
        <v>81</v>
      </c>
      <c r="C76" s="19" t="s">
        <v>77</v>
      </c>
      <c r="D76" s="20" t="n">
        <v>254.9</v>
      </c>
      <c r="E76" s="21" t="n">
        <v>5081.92</v>
      </c>
      <c r="F76" s="22" t="n">
        <f aca="false">D76*E76</f>
        <v>1295381.408</v>
      </c>
      <c r="G76" s="2"/>
    </row>
    <row r="77" customFormat="false" ht="15" hidden="false" customHeight="false" outlineLevel="0" collapsed="false">
      <c r="A77" s="19" t="s">
        <v>43</v>
      </c>
      <c r="B77" s="19" t="s">
        <v>81</v>
      </c>
      <c r="C77" s="19" t="s">
        <v>78</v>
      </c>
      <c r="D77" s="20" t="n">
        <v>270.6</v>
      </c>
      <c r="E77" s="21" t="n">
        <v>5096.58</v>
      </c>
      <c r="F77" s="22" t="n">
        <f aca="false">D77*E77</f>
        <v>1379134.548</v>
      </c>
      <c r="G77" s="2"/>
    </row>
    <row r="78" customFormat="false" ht="15" hidden="false" customHeight="false" outlineLevel="0" collapsed="false">
      <c r="A78" s="19" t="s">
        <v>43</v>
      </c>
      <c r="B78" s="19" t="s">
        <v>81</v>
      </c>
      <c r="C78" s="19" t="s">
        <v>79</v>
      </c>
      <c r="D78" s="20" t="n">
        <v>287.6</v>
      </c>
      <c r="E78" s="21" t="n">
        <v>5115.62</v>
      </c>
      <c r="F78" s="22" t="n">
        <f aca="false">D78*E78</f>
        <v>1471252.312</v>
      </c>
      <c r="G78" s="2"/>
    </row>
    <row r="79" customFormat="false" ht="15" hidden="false" customHeight="false" outlineLevel="0" collapsed="false">
      <c r="A79" s="19" t="s">
        <v>43</v>
      </c>
      <c r="B79" s="19" t="s">
        <v>81</v>
      </c>
      <c r="C79" s="19" t="s">
        <v>80</v>
      </c>
      <c r="D79" s="20" t="n">
        <v>290.5</v>
      </c>
      <c r="E79" s="21" t="n">
        <v>5109.48</v>
      </c>
      <c r="F79" s="22" t="n">
        <f aca="false">D79*E79</f>
        <v>1484303.94</v>
      </c>
      <c r="G79" s="2"/>
    </row>
    <row r="80" customFormat="false" ht="15" hidden="false" customHeight="false" outlineLevel="0" collapsed="false">
      <c r="A80" s="19" t="s">
        <v>43</v>
      </c>
      <c r="B80" s="19" t="s">
        <v>82</v>
      </c>
      <c r="C80" s="19" t="s">
        <v>45</v>
      </c>
      <c r="D80" s="20" t="n">
        <v>78.7</v>
      </c>
      <c r="E80" s="21" t="n">
        <v>2409.57</v>
      </c>
      <c r="F80" s="22" t="n">
        <f aca="false">D80*E80</f>
        <v>189633.159</v>
      </c>
      <c r="G80" s="2"/>
    </row>
    <row r="81" customFormat="false" ht="15" hidden="false" customHeight="false" outlineLevel="0" collapsed="false">
      <c r="A81" s="19" t="s">
        <v>43</v>
      </c>
      <c r="B81" s="19" t="s">
        <v>82</v>
      </c>
      <c r="C81" s="19" t="s">
        <v>46</v>
      </c>
      <c r="D81" s="20" t="n">
        <v>77.5</v>
      </c>
      <c r="E81" s="21" t="n">
        <v>2417.2</v>
      </c>
      <c r="F81" s="22" t="n">
        <f aca="false">D81*E81</f>
        <v>187333</v>
      </c>
      <c r="G81" s="2"/>
    </row>
    <row r="82" customFormat="false" ht="15" hidden="false" customHeight="false" outlineLevel="0" collapsed="false">
      <c r="A82" s="19" t="s">
        <v>43</v>
      </c>
      <c r="B82" s="19" t="s">
        <v>82</v>
      </c>
      <c r="C82" s="19" t="s">
        <v>47</v>
      </c>
      <c r="D82" s="20" t="n">
        <v>80.3</v>
      </c>
      <c r="E82" s="21" t="n">
        <v>2423.47</v>
      </c>
      <c r="F82" s="22" t="n">
        <f aca="false">D82*E82</f>
        <v>194604.641</v>
      </c>
      <c r="G82" s="2"/>
    </row>
    <row r="83" customFormat="false" ht="15" hidden="false" customHeight="false" outlineLevel="0" collapsed="false">
      <c r="A83" s="19" t="s">
        <v>43</v>
      </c>
      <c r="B83" s="19" t="s">
        <v>82</v>
      </c>
      <c r="C83" s="19" t="s">
        <v>48</v>
      </c>
      <c r="D83" s="20" t="n">
        <v>83.5</v>
      </c>
      <c r="E83" s="21" t="n">
        <v>2422.98</v>
      </c>
      <c r="F83" s="22" t="n">
        <f aca="false">D83*E83</f>
        <v>202318.83</v>
      </c>
      <c r="G83" s="2"/>
    </row>
    <row r="84" customFormat="false" ht="15" hidden="false" customHeight="false" outlineLevel="0" collapsed="false">
      <c r="A84" s="19" t="s">
        <v>43</v>
      </c>
      <c r="B84" s="19" t="s">
        <v>82</v>
      </c>
      <c r="C84" s="19" t="s">
        <v>49</v>
      </c>
      <c r="D84" s="20" t="n">
        <v>87</v>
      </c>
      <c r="E84" s="21" t="n">
        <v>2424.72</v>
      </c>
      <c r="F84" s="22" t="n">
        <f aca="false">D84*E84</f>
        <v>210950.64</v>
      </c>
      <c r="G84" s="2"/>
    </row>
    <row r="85" customFormat="false" ht="15" hidden="false" customHeight="false" outlineLevel="0" collapsed="false">
      <c r="A85" s="19" t="s">
        <v>43</v>
      </c>
      <c r="B85" s="19" t="s">
        <v>82</v>
      </c>
      <c r="C85" s="19" t="s">
        <v>50</v>
      </c>
      <c r="D85" s="20" t="n">
        <v>90.4</v>
      </c>
      <c r="E85" s="21" t="n">
        <v>2429.1</v>
      </c>
      <c r="F85" s="22" t="n">
        <f aca="false">D85*E85</f>
        <v>219590.64</v>
      </c>
      <c r="G85" s="2"/>
    </row>
    <row r="86" customFormat="false" ht="15" hidden="false" customHeight="false" outlineLevel="0" collapsed="false">
      <c r="A86" s="19" t="s">
        <v>43</v>
      </c>
      <c r="B86" s="19" t="s">
        <v>82</v>
      </c>
      <c r="C86" s="19" t="s">
        <v>51</v>
      </c>
      <c r="D86" s="20" t="n">
        <v>95.1</v>
      </c>
      <c r="E86" s="21" t="n">
        <v>2429.01</v>
      </c>
      <c r="F86" s="22" t="n">
        <f aca="false">D86*E86</f>
        <v>230998.851</v>
      </c>
      <c r="G86" s="2"/>
    </row>
    <row r="87" customFormat="false" ht="15" hidden="false" customHeight="false" outlineLevel="0" collapsed="false">
      <c r="A87" s="19" t="s">
        <v>43</v>
      </c>
      <c r="B87" s="19" t="s">
        <v>82</v>
      </c>
      <c r="C87" s="19" t="s">
        <v>52</v>
      </c>
      <c r="D87" s="20" t="n">
        <v>94.5</v>
      </c>
      <c r="E87" s="21" t="n">
        <v>2438.41</v>
      </c>
      <c r="F87" s="22" t="n">
        <f aca="false">D87*E87</f>
        <v>230429.745</v>
      </c>
      <c r="G87" s="2"/>
    </row>
    <row r="88" customFormat="false" ht="15" hidden="false" customHeight="false" outlineLevel="0" collapsed="false">
      <c r="A88" s="19" t="s">
        <v>43</v>
      </c>
      <c r="B88" s="19" t="s">
        <v>82</v>
      </c>
      <c r="C88" s="19" t="s">
        <v>53</v>
      </c>
      <c r="D88" s="20" t="n">
        <v>100.7</v>
      </c>
      <c r="E88" s="21" t="n">
        <v>2438.05</v>
      </c>
      <c r="F88" s="22" t="n">
        <f aca="false">D88*E88</f>
        <v>245511.635</v>
      </c>
      <c r="G88" s="2"/>
    </row>
    <row r="89" customFormat="false" ht="15" hidden="false" customHeight="false" outlineLevel="0" collapsed="false">
      <c r="A89" s="19" t="s">
        <v>43</v>
      </c>
      <c r="B89" s="19" t="s">
        <v>82</v>
      </c>
      <c r="C89" s="19" t="s">
        <v>54</v>
      </c>
      <c r="D89" s="20" t="n">
        <v>107.1</v>
      </c>
      <c r="E89" s="21" t="n">
        <v>2439.54</v>
      </c>
      <c r="F89" s="22" t="n">
        <f aca="false">D89*E89</f>
        <v>261274.734</v>
      </c>
      <c r="G89" s="2"/>
    </row>
    <row r="90" customFormat="false" ht="15" hidden="false" customHeight="false" outlineLevel="0" collapsed="false">
      <c r="A90" s="19" t="s">
        <v>43</v>
      </c>
      <c r="B90" s="19" t="s">
        <v>82</v>
      </c>
      <c r="C90" s="19" t="s">
        <v>55</v>
      </c>
      <c r="D90" s="20" t="n">
        <v>105.7</v>
      </c>
      <c r="E90" s="21" t="n">
        <v>2446.3</v>
      </c>
      <c r="F90" s="22" t="n">
        <f aca="false">D90*E90</f>
        <v>258573.91</v>
      </c>
      <c r="G90" s="2"/>
    </row>
    <row r="91" customFormat="false" ht="15" hidden="false" customHeight="false" outlineLevel="0" collapsed="false">
      <c r="A91" s="19" t="s">
        <v>43</v>
      </c>
      <c r="B91" s="19" t="s">
        <v>82</v>
      </c>
      <c r="C91" s="19" t="s">
        <v>56</v>
      </c>
      <c r="D91" s="20" t="n">
        <v>106.5</v>
      </c>
      <c r="E91" s="21" t="n">
        <v>2450.71</v>
      </c>
      <c r="F91" s="22" t="n">
        <f aca="false">D91*E91</f>
        <v>261000.615</v>
      </c>
      <c r="G91" s="2"/>
    </row>
    <row r="92" customFormat="false" ht="15" hidden="false" customHeight="false" outlineLevel="0" collapsed="false">
      <c r="A92" s="19" t="s">
        <v>43</v>
      </c>
      <c r="B92" s="19" t="s">
        <v>82</v>
      </c>
      <c r="C92" s="19" t="s">
        <v>57</v>
      </c>
      <c r="D92" s="20" t="n">
        <v>106.5</v>
      </c>
      <c r="E92" s="21" t="n">
        <v>2456.86</v>
      </c>
      <c r="F92" s="22" t="n">
        <f aca="false">D92*E92</f>
        <v>261655.59</v>
      </c>
      <c r="G92" s="2"/>
    </row>
    <row r="93" customFormat="false" ht="15" hidden="false" customHeight="false" outlineLevel="0" collapsed="false">
      <c r="A93" s="19" t="s">
        <v>43</v>
      </c>
      <c r="B93" s="19" t="s">
        <v>82</v>
      </c>
      <c r="C93" s="19" t="s">
        <v>58</v>
      </c>
      <c r="D93" s="20" t="n">
        <v>111.7</v>
      </c>
      <c r="E93" s="21" t="n">
        <v>2464.02</v>
      </c>
      <c r="F93" s="22" t="n">
        <f aca="false">D93*E93</f>
        <v>275231.034</v>
      </c>
      <c r="G93" s="2"/>
    </row>
    <row r="94" customFormat="false" ht="15" hidden="false" customHeight="false" outlineLevel="0" collapsed="false">
      <c r="A94" s="19" t="s">
        <v>43</v>
      </c>
      <c r="B94" s="19" t="s">
        <v>82</v>
      </c>
      <c r="C94" s="19" t="s">
        <v>59</v>
      </c>
      <c r="D94" s="20" t="n">
        <v>118.8</v>
      </c>
      <c r="E94" s="21" t="n">
        <v>2460.68</v>
      </c>
      <c r="F94" s="22" t="n">
        <f aca="false">D94*E94</f>
        <v>292328.784</v>
      </c>
      <c r="G94" s="2"/>
    </row>
    <row r="95" customFormat="false" ht="15" hidden="false" customHeight="false" outlineLevel="0" collapsed="false">
      <c r="A95" s="19" t="s">
        <v>43</v>
      </c>
      <c r="B95" s="19" t="s">
        <v>82</v>
      </c>
      <c r="C95" s="19" t="s">
        <v>60</v>
      </c>
      <c r="D95" s="20" t="n">
        <v>117.8</v>
      </c>
      <c r="E95" s="21" t="n">
        <v>2457.62</v>
      </c>
      <c r="F95" s="22" t="n">
        <f aca="false">D95*E95</f>
        <v>289507.636</v>
      </c>
      <c r="G95" s="2"/>
    </row>
    <row r="96" customFormat="false" ht="15" hidden="false" customHeight="false" outlineLevel="0" collapsed="false">
      <c r="A96" s="19" t="s">
        <v>43</v>
      </c>
      <c r="B96" s="19" t="s">
        <v>82</v>
      </c>
      <c r="C96" s="19" t="s">
        <v>61</v>
      </c>
      <c r="D96" s="20" t="n">
        <v>120.8</v>
      </c>
      <c r="E96" s="21" t="n">
        <v>2463.36</v>
      </c>
      <c r="F96" s="22" t="n">
        <f aca="false">D96*E96</f>
        <v>297573.888</v>
      </c>
      <c r="G96" s="2"/>
    </row>
    <row r="97" customFormat="false" ht="15" hidden="false" customHeight="false" outlineLevel="0" collapsed="false">
      <c r="A97" s="19" t="s">
        <v>43</v>
      </c>
      <c r="B97" s="19" t="s">
        <v>82</v>
      </c>
      <c r="C97" s="19" t="s">
        <v>62</v>
      </c>
      <c r="D97" s="20" t="n">
        <v>126.9</v>
      </c>
      <c r="E97" s="21" t="n">
        <v>2467.31</v>
      </c>
      <c r="F97" s="22" t="n">
        <f aca="false">D97*E97</f>
        <v>313101.639</v>
      </c>
      <c r="G97" s="2"/>
    </row>
    <row r="98" customFormat="false" ht="15" hidden="false" customHeight="false" outlineLevel="0" collapsed="false">
      <c r="A98" s="19" t="s">
        <v>43</v>
      </c>
      <c r="B98" s="19" t="s">
        <v>82</v>
      </c>
      <c r="C98" s="19" t="s">
        <v>63</v>
      </c>
      <c r="D98" s="20" t="n">
        <v>131.7</v>
      </c>
      <c r="E98" s="21" t="n">
        <v>2480.98</v>
      </c>
      <c r="F98" s="22" t="n">
        <f aca="false">D98*E98</f>
        <v>326745.066</v>
      </c>
      <c r="G98" s="2"/>
    </row>
    <row r="99" customFormat="false" ht="15" hidden="false" customHeight="false" outlineLevel="0" collapsed="false">
      <c r="A99" s="19" t="s">
        <v>43</v>
      </c>
      <c r="B99" s="19" t="s">
        <v>82</v>
      </c>
      <c r="C99" s="19" t="s">
        <v>64</v>
      </c>
      <c r="D99" s="20" t="n">
        <v>137.3</v>
      </c>
      <c r="E99" s="21" t="n">
        <v>2487.57</v>
      </c>
      <c r="F99" s="22" t="n">
        <f aca="false">D99*E99</f>
        <v>341543.361</v>
      </c>
      <c r="G99" s="2"/>
    </row>
    <row r="100" customFormat="false" ht="15" hidden="false" customHeight="false" outlineLevel="0" collapsed="false">
      <c r="A100" s="19" t="s">
        <v>43</v>
      </c>
      <c r="B100" s="19" t="s">
        <v>82</v>
      </c>
      <c r="C100" s="19" t="s">
        <v>65</v>
      </c>
      <c r="D100" s="20" t="n">
        <v>144.8</v>
      </c>
      <c r="E100" s="21" t="n">
        <v>2483.94</v>
      </c>
      <c r="F100" s="22" t="n">
        <f aca="false">D100*E100</f>
        <v>359674.512</v>
      </c>
      <c r="G100" s="2"/>
    </row>
    <row r="101" customFormat="false" ht="15" hidden="false" customHeight="false" outlineLevel="0" collapsed="false">
      <c r="A101" s="19" t="s">
        <v>43</v>
      </c>
      <c r="B101" s="19" t="s">
        <v>82</v>
      </c>
      <c r="C101" s="19" t="s">
        <v>66</v>
      </c>
      <c r="D101" s="20" t="n">
        <v>148</v>
      </c>
      <c r="E101" s="21" t="n">
        <v>2484</v>
      </c>
      <c r="F101" s="22" t="n">
        <f aca="false">D101*E101</f>
        <v>367632</v>
      </c>
      <c r="G101" s="2"/>
    </row>
    <row r="102" customFormat="false" ht="15" hidden="false" customHeight="false" outlineLevel="0" collapsed="false">
      <c r="A102" s="19" t="s">
        <v>43</v>
      </c>
      <c r="B102" s="19" t="s">
        <v>82</v>
      </c>
      <c r="C102" s="19" t="s">
        <v>67</v>
      </c>
      <c r="D102" s="20" t="n">
        <v>156.7</v>
      </c>
      <c r="E102" s="21" t="n">
        <v>2487.64</v>
      </c>
      <c r="F102" s="22" t="n">
        <f aca="false">D102*E102</f>
        <v>389813.188</v>
      </c>
      <c r="G102" s="2"/>
    </row>
    <row r="103" customFormat="false" ht="15" hidden="false" customHeight="false" outlineLevel="0" collapsed="false">
      <c r="A103" s="19" t="s">
        <v>43</v>
      </c>
      <c r="B103" s="19" t="s">
        <v>82</v>
      </c>
      <c r="C103" s="19" t="s">
        <v>68</v>
      </c>
      <c r="D103" s="20" t="n">
        <v>153.4</v>
      </c>
      <c r="E103" s="21" t="n">
        <v>2491.3</v>
      </c>
      <c r="F103" s="22" t="n">
        <f aca="false">D103*E103</f>
        <v>382165.42</v>
      </c>
      <c r="G103" s="2"/>
    </row>
    <row r="104" customFormat="false" ht="15" hidden="false" customHeight="false" outlineLevel="0" collapsed="false">
      <c r="A104" s="19" t="s">
        <v>43</v>
      </c>
      <c r="B104" s="19" t="s">
        <v>82</v>
      </c>
      <c r="C104" s="19" t="s">
        <v>69</v>
      </c>
      <c r="D104" s="20" t="n">
        <v>158.9</v>
      </c>
      <c r="E104" s="21" t="n">
        <v>2485.8</v>
      </c>
      <c r="F104" s="22" t="n">
        <f aca="false">D104*E104</f>
        <v>394993.62</v>
      </c>
      <c r="G104" s="2"/>
    </row>
    <row r="105" customFormat="false" ht="15" hidden="false" customHeight="false" outlineLevel="0" collapsed="false">
      <c r="A105" s="19" t="s">
        <v>43</v>
      </c>
      <c r="B105" s="19" t="s">
        <v>82</v>
      </c>
      <c r="C105" s="19" t="s">
        <v>70</v>
      </c>
      <c r="D105" s="20" t="n">
        <v>164.8</v>
      </c>
      <c r="E105" s="21" t="n">
        <v>2498.3</v>
      </c>
      <c r="F105" s="22" t="n">
        <f aca="false">D105*E105</f>
        <v>411719.84</v>
      </c>
      <c r="G105" s="2"/>
    </row>
    <row r="106" customFormat="false" ht="15" hidden="false" customHeight="false" outlineLevel="0" collapsed="false">
      <c r="A106" s="19" t="s">
        <v>43</v>
      </c>
      <c r="B106" s="19" t="s">
        <v>82</v>
      </c>
      <c r="C106" s="19" t="s">
        <v>71</v>
      </c>
      <c r="D106" s="20" t="n">
        <v>173</v>
      </c>
      <c r="E106" s="21" t="n">
        <v>2508.98</v>
      </c>
      <c r="F106" s="22" t="n">
        <f aca="false">D106*E106</f>
        <v>434053.54</v>
      </c>
      <c r="G106" s="2"/>
    </row>
    <row r="107" customFormat="false" ht="15" hidden="false" customHeight="false" outlineLevel="0" collapsed="false">
      <c r="A107" s="19" t="s">
        <v>43</v>
      </c>
      <c r="B107" s="19" t="s">
        <v>82</v>
      </c>
      <c r="C107" s="19" t="s">
        <v>72</v>
      </c>
      <c r="D107" s="20" t="n">
        <v>174.3</v>
      </c>
      <c r="E107" s="21" t="n">
        <v>2519.25</v>
      </c>
      <c r="F107" s="22" t="n">
        <f aca="false">D107*E107</f>
        <v>439105.275</v>
      </c>
      <c r="G107" s="2"/>
    </row>
    <row r="108" customFormat="false" ht="15" hidden="false" customHeight="false" outlineLevel="0" collapsed="false">
      <c r="A108" s="19" t="s">
        <v>43</v>
      </c>
      <c r="B108" s="19" t="s">
        <v>82</v>
      </c>
      <c r="C108" s="19" t="s">
        <v>73</v>
      </c>
      <c r="D108" s="20" t="n">
        <v>183</v>
      </c>
      <c r="E108" s="21" t="n">
        <v>2532.37</v>
      </c>
      <c r="F108" s="22" t="n">
        <f aca="false">D108*E108</f>
        <v>463423.71</v>
      </c>
      <c r="G108" s="2"/>
    </row>
    <row r="109" customFormat="false" ht="15" hidden="false" customHeight="false" outlineLevel="0" collapsed="false">
      <c r="A109" s="19" t="s">
        <v>43</v>
      </c>
      <c r="B109" s="19" t="s">
        <v>82</v>
      </c>
      <c r="C109" s="19" t="s">
        <v>74</v>
      </c>
      <c r="D109" s="20" t="n">
        <v>184.4</v>
      </c>
      <c r="E109" s="21" t="n">
        <v>2531.17</v>
      </c>
      <c r="F109" s="22" t="n">
        <f aca="false">D109*E109</f>
        <v>466747.748</v>
      </c>
      <c r="G109" s="2"/>
    </row>
    <row r="110" customFormat="false" ht="15" hidden="false" customHeight="false" outlineLevel="0" collapsed="false">
      <c r="A110" s="19" t="s">
        <v>43</v>
      </c>
      <c r="B110" s="19" t="s">
        <v>82</v>
      </c>
      <c r="C110" s="19" t="s">
        <v>75</v>
      </c>
      <c r="D110" s="20" t="n">
        <v>191.5</v>
      </c>
      <c r="E110" s="21" t="n">
        <v>2534.79</v>
      </c>
      <c r="F110" s="22" t="n">
        <f aca="false">D110*E110</f>
        <v>485412.285</v>
      </c>
      <c r="G110" s="2"/>
    </row>
    <row r="111" customFormat="false" ht="15" hidden="false" customHeight="false" outlineLevel="0" collapsed="false">
      <c r="A111" s="19" t="s">
        <v>43</v>
      </c>
      <c r="B111" s="19" t="s">
        <v>82</v>
      </c>
      <c r="C111" s="19" t="s">
        <v>76</v>
      </c>
      <c r="D111" s="20" t="n">
        <v>195.1</v>
      </c>
      <c r="E111" s="21" t="n">
        <v>2533.69</v>
      </c>
      <c r="F111" s="22" t="n">
        <f aca="false">D111*E111</f>
        <v>494322.919</v>
      </c>
      <c r="G111" s="2"/>
    </row>
    <row r="112" customFormat="false" ht="15" hidden="false" customHeight="false" outlineLevel="0" collapsed="false">
      <c r="A112" s="19" t="s">
        <v>43</v>
      </c>
      <c r="B112" s="19" t="s">
        <v>82</v>
      </c>
      <c r="C112" s="19" t="s">
        <v>77</v>
      </c>
      <c r="D112" s="20" t="n">
        <v>206.4</v>
      </c>
      <c r="E112" s="21" t="n">
        <v>2538.99</v>
      </c>
      <c r="F112" s="22" t="n">
        <f aca="false">D112*E112</f>
        <v>524047.536</v>
      </c>
      <c r="G112" s="2"/>
    </row>
    <row r="113" customFormat="false" ht="15" hidden="false" customHeight="false" outlineLevel="0" collapsed="false">
      <c r="A113" s="19" t="s">
        <v>43</v>
      </c>
      <c r="B113" s="19" t="s">
        <v>82</v>
      </c>
      <c r="C113" s="19" t="s">
        <v>78</v>
      </c>
      <c r="D113" s="20" t="n">
        <v>206.1</v>
      </c>
      <c r="E113" s="21" t="n">
        <v>2544.79</v>
      </c>
      <c r="F113" s="22" t="n">
        <f aca="false">D113*E113</f>
        <v>524481.219</v>
      </c>
      <c r="G113" s="2"/>
    </row>
    <row r="114" customFormat="false" ht="15" hidden="false" customHeight="false" outlineLevel="0" collapsed="false">
      <c r="A114" s="19" t="s">
        <v>43</v>
      </c>
      <c r="B114" s="19" t="s">
        <v>82</v>
      </c>
      <c r="C114" s="19" t="s">
        <v>79</v>
      </c>
      <c r="D114" s="20" t="n">
        <v>201.6</v>
      </c>
      <c r="E114" s="21" t="n">
        <v>2546.94</v>
      </c>
      <c r="F114" s="22" t="n">
        <f aca="false">D114*E114</f>
        <v>513463.104</v>
      </c>
      <c r="G114" s="2"/>
    </row>
    <row r="115" customFormat="false" ht="15" hidden="false" customHeight="false" outlineLevel="0" collapsed="false">
      <c r="A115" s="19" t="s">
        <v>43</v>
      </c>
      <c r="B115" s="19" t="s">
        <v>82</v>
      </c>
      <c r="C115" s="19" t="s">
        <v>80</v>
      </c>
      <c r="D115" s="20" t="n">
        <v>211.3</v>
      </c>
      <c r="E115" s="21" t="n">
        <v>2540.42</v>
      </c>
      <c r="F115" s="22" t="n">
        <f aca="false">D115*E115</f>
        <v>536790.746</v>
      </c>
      <c r="G115" s="2"/>
    </row>
    <row r="116" customFormat="false" ht="15" hidden="false" customHeight="false" outlineLevel="0" collapsed="false">
      <c r="A116" s="19" t="s">
        <v>43</v>
      </c>
      <c r="B116" s="19" t="s">
        <v>83</v>
      </c>
      <c r="C116" s="19" t="s">
        <v>45</v>
      </c>
      <c r="D116" s="20" t="n">
        <v>33.8</v>
      </c>
      <c r="E116" s="21" t="n">
        <v>4302.72</v>
      </c>
      <c r="F116" s="22" t="n">
        <f aca="false">D116*E116</f>
        <v>145431.936</v>
      </c>
      <c r="G116" s="2"/>
    </row>
    <row r="117" customFormat="false" ht="15" hidden="false" customHeight="false" outlineLevel="0" collapsed="false">
      <c r="A117" s="19" t="s">
        <v>43</v>
      </c>
      <c r="B117" s="19" t="s">
        <v>83</v>
      </c>
      <c r="C117" s="19" t="s">
        <v>46</v>
      </c>
      <c r="D117" s="20" t="n">
        <v>34.7</v>
      </c>
      <c r="E117" s="21" t="n">
        <v>4294.69</v>
      </c>
      <c r="F117" s="22" t="n">
        <f aca="false">D117*E117</f>
        <v>149025.743</v>
      </c>
      <c r="G117" s="2"/>
    </row>
    <row r="118" customFormat="false" ht="15" hidden="false" customHeight="false" outlineLevel="0" collapsed="false">
      <c r="A118" s="19" t="s">
        <v>43</v>
      </c>
      <c r="B118" s="19" t="s">
        <v>83</v>
      </c>
      <c r="C118" s="19" t="s">
        <v>47</v>
      </c>
      <c r="D118" s="20" t="n">
        <v>36.2</v>
      </c>
      <c r="E118" s="21" t="n">
        <v>4299.49</v>
      </c>
      <c r="F118" s="22" t="n">
        <f aca="false">D118*E118</f>
        <v>155641.538</v>
      </c>
      <c r="G118" s="2"/>
    </row>
    <row r="119" customFormat="false" ht="15" hidden="false" customHeight="false" outlineLevel="0" collapsed="false">
      <c r="A119" s="19" t="s">
        <v>43</v>
      </c>
      <c r="B119" s="19" t="s">
        <v>83</v>
      </c>
      <c r="C119" s="19" t="s">
        <v>48</v>
      </c>
      <c r="D119" s="20" t="n">
        <v>38</v>
      </c>
      <c r="E119" s="21" t="n">
        <v>4317.63</v>
      </c>
      <c r="F119" s="22" t="n">
        <f aca="false">D119*E119</f>
        <v>164069.94</v>
      </c>
      <c r="G119" s="2"/>
    </row>
    <row r="120" customFormat="false" ht="15" hidden="false" customHeight="false" outlineLevel="0" collapsed="false">
      <c r="A120" s="19" t="s">
        <v>43</v>
      </c>
      <c r="B120" s="19" t="s">
        <v>83</v>
      </c>
      <c r="C120" s="19" t="s">
        <v>49</v>
      </c>
      <c r="D120" s="20" t="n">
        <v>38.8</v>
      </c>
      <c r="E120" s="21" t="n">
        <v>4327.75</v>
      </c>
      <c r="F120" s="22" t="n">
        <f aca="false">D120*E120</f>
        <v>167916.7</v>
      </c>
      <c r="G120" s="2"/>
    </row>
    <row r="121" customFormat="false" ht="15" hidden="false" customHeight="false" outlineLevel="0" collapsed="false">
      <c r="A121" s="19" t="s">
        <v>43</v>
      </c>
      <c r="B121" s="19" t="s">
        <v>83</v>
      </c>
      <c r="C121" s="19" t="s">
        <v>50</v>
      </c>
      <c r="D121" s="20" t="n">
        <v>40.6</v>
      </c>
      <c r="E121" s="21" t="n">
        <v>4346.53</v>
      </c>
      <c r="F121" s="22" t="n">
        <f aca="false">D121*E121</f>
        <v>176469.118</v>
      </c>
      <c r="G121" s="2"/>
    </row>
    <row r="122" customFormat="false" ht="15" hidden="false" customHeight="false" outlineLevel="0" collapsed="false">
      <c r="A122" s="19" t="s">
        <v>43</v>
      </c>
      <c r="B122" s="19" t="s">
        <v>83</v>
      </c>
      <c r="C122" s="19" t="s">
        <v>51</v>
      </c>
      <c r="D122" s="20" t="n">
        <v>41.8</v>
      </c>
      <c r="E122" s="21" t="n">
        <v>4368.83</v>
      </c>
      <c r="F122" s="22" t="n">
        <f aca="false">D122*E122</f>
        <v>182617.094</v>
      </c>
      <c r="G122" s="2"/>
    </row>
    <row r="123" customFormat="false" ht="15" hidden="false" customHeight="false" outlineLevel="0" collapsed="false">
      <c r="A123" s="19" t="s">
        <v>43</v>
      </c>
      <c r="B123" s="19" t="s">
        <v>83</v>
      </c>
      <c r="C123" s="19" t="s">
        <v>52</v>
      </c>
      <c r="D123" s="20" t="n">
        <v>44</v>
      </c>
      <c r="E123" s="21" t="n">
        <v>4381.41</v>
      </c>
      <c r="F123" s="22" t="n">
        <f aca="false">D123*E123</f>
        <v>192782.04</v>
      </c>
      <c r="G123" s="2"/>
    </row>
    <row r="124" customFormat="false" ht="15" hidden="false" customHeight="false" outlineLevel="0" collapsed="false">
      <c r="A124" s="19" t="s">
        <v>43</v>
      </c>
      <c r="B124" s="19" t="s">
        <v>83</v>
      </c>
      <c r="C124" s="19" t="s">
        <v>53</v>
      </c>
      <c r="D124" s="20" t="n">
        <v>44.5</v>
      </c>
      <c r="E124" s="21" t="n">
        <v>4391.24</v>
      </c>
      <c r="F124" s="22" t="n">
        <f aca="false">D124*E124</f>
        <v>195410.18</v>
      </c>
      <c r="G124" s="2"/>
    </row>
    <row r="125" customFormat="false" ht="15" hidden="false" customHeight="false" outlineLevel="0" collapsed="false">
      <c r="A125" s="19" t="s">
        <v>43</v>
      </c>
      <c r="B125" s="19" t="s">
        <v>83</v>
      </c>
      <c r="C125" s="19" t="s">
        <v>54</v>
      </c>
      <c r="D125" s="20" t="n">
        <v>44</v>
      </c>
      <c r="E125" s="21" t="n">
        <v>4378.94</v>
      </c>
      <c r="F125" s="22" t="n">
        <f aca="false">D125*E125</f>
        <v>192673.36</v>
      </c>
      <c r="G125" s="2"/>
    </row>
    <row r="126" customFormat="false" ht="15" hidden="false" customHeight="false" outlineLevel="0" collapsed="false">
      <c r="A126" s="19" t="s">
        <v>43</v>
      </c>
      <c r="B126" s="19" t="s">
        <v>83</v>
      </c>
      <c r="C126" s="19" t="s">
        <v>55</v>
      </c>
      <c r="D126" s="20" t="n">
        <v>46.3</v>
      </c>
      <c r="E126" s="21" t="n">
        <v>4366.77</v>
      </c>
      <c r="F126" s="22" t="n">
        <f aca="false">D126*E126</f>
        <v>202181.451</v>
      </c>
      <c r="G126" s="2"/>
    </row>
    <row r="127" customFormat="false" ht="15" hidden="false" customHeight="false" outlineLevel="0" collapsed="false">
      <c r="A127" s="19" t="s">
        <v>43</v>
      </c>
      <c r="B127" s="19" t="s">
        <v>83</v>
      </c>
      <c r="C127" s="19" t="s">
        <v>56</v>
      </c>
      <c r="D127" s="20" t="n">
        <v>45.9</v>
      </c>
      <c r="E127" s="21" t="n">
        <v>4367.83</v>
      </c>
      <c r="F127" s="22" t="n">
        <f aca="false">D127*E127</f>
        <v>200483.397</v>
      </c>
      <c r="G127" s="2"/>
    </row>
    <row r="128" customFormat="false" ht="15" hidden="false" customHeight="false" outlineLevel="0" collapsed="false">
      <c r="A128" s="19" t="s">
        <v>43</v>
      </c>
      <c r="B128" s="19" t="s">
        <v>83</v>
      </c>
      <c r="C128" s="19" t="s">
        <v>57</v>
      </c>
      <c r="D128" s="20" t="n">
        <v>48.2</v>
      </c>
      <c r="E128" s="21" t="n">
        <v>4368.65</v>
      </c>
      <c r="F128" s="22" t="n">
        <f aca="false">D128*E128</f>
        <v>210568.93</v>
      </c>
      <c r="G128" s="2"/>
    </row>
    <row r="129" customFormat="false" ht="15" hidden="false" customHeight="false" outlineLevel="0" collapsed="false">
      <c r="A129" s="19" t="s">
        <v>43</v>
      </c>
      <c r="B129" s="19" t="s">
        <v>83</v>
      </c>
      <c r="C129" s="19" t="s">
        <v>58</v>
      </c>
      <c r="D129" s="20" t="n">
        <v>47.9</v>
      </c>
      <c r="E129" s="21" t="n">
        <v>4372.65</v>
      </c>
      <c r="F129" s="22" t="n">
        <f aca="false">D129*E129</f>
        <v>209449.935</v>
      </c>
      <c r="G129" s="2"/>
    </row>
    <row r="130" customFormat="false" ht="15" hidden="false" customHeight="false" outlineLevel="0" collapsed="false">
      <c r="A130" s="19" t="s">
        <v>43</v>
      </c>
      <c r="B130" s="19" t="s">
        <v>83</v>
      </c>
      <c r="C130" s="19" t="s">
        <v>59</v>
      </c>
      <c r="D130" s="20" t="n">
        <v>47.1</v>
      </c>
      <c r="E130" s="21" t="n">
        <v>4376.62</v>
      </c>
      <c r="F130" s="22" t="n">
        <f aca="false">D130*E130</f>
        <v>206138.802</v>
      </c>
      <c r="G130" s="2"/>
    </row>
    <row r="131" customFormat="false" ht="15" hidden="false" customHeight="false" outlineLevel="0" collapsed="false">
      <c r="A131" s="19" t="s">
        <v>43</v>
      </c>
      <c r="B131" s="19" t="s">
        <v>83</v>
      </c>
      <c r="C131" s="19" t="s">
        <v>60</v>
      </c>
      <c r="D131" s="20" t="n">
        <v>48.5</v>
      </c>
      <c r="E131" s="21" t="n">
        <v>4402.55</v>
      </c>
      <c r="F131" s="22" t="n">
        <f aca="false">D131*E131</f>
        <v>213523.675</v>
      </c>
      <c r="G131" s="2"/>
    </row>
    <row r="132" customFormat="false" ht="15" hidden="false" customHeight="false" outlineLevel="0" collapsed="false">
      <c r="A132" s="19" t="s">
        <v>43</v>
      </c>
      <c r="B132" s="19" t="s">
        <v>83</v>
      </c>
      <c r="C132" s="19" t="s">
        <v>61</v>
      </c>
      <c r="D132" s="20" t="n">
        <v>51.1</v>
      </c>
      <c r="E132" s="21" t="n">
        <v>4421.61</v>
      </c>
      <c r="F132" s="22" t="n">
        <f aca="false">D132*E132</f>
        <v>225944.271</v>
      </c>
      <c r="G132" s="2"/>
    </row>
    <row r="133" customFormat="false" ht="15" hidden="false" customHeight="false" outlineLevel="0" collapsed="false">
      <c r="A133" s="19" t="s">
        <v>43</v>
      </c>
      <c r="B133" s="19" t="s">
        <v>83</v>
      </c>
      <c r="C133" s="19" t="s">
        <v>62</v>
      </c>
      <c r="D133" s="20" t="n">
        <v>50.5</v>
      </c>
      <c r="E133" s="21" t="n">
        <v>4433.5</v>
      </c>
      <c r="F133" s="22" t="n">
        <f aca="false">D133*E133</f>
        <v>223891.75</v>
      </c>
      <c r="G133" s="2"/>
    </row>
    <row r="134" customFormat="false" ht="15" hidden="false" customHeight="false" outlineLevel="0" collapsed="false">
      <c r="A134" s="19" t="s">
        <v>43</v>
      </c>
      <c r="B134" s="19" t="s">
        <v>83</v>
      </c>
      <c r="C134" s="19" t="s">
        <v>63</v>
      </c>
      <c r="D134" s="20" t="n">
        <v>50.5</v>
      </c>
      <c r="E134" s="21" t="n">
        <v>4421.44</v>
      </c>
      <c r="F134" s="22" t="n">
        <f aca="false">D134*E134</f>
        <v>223282.72</v>
      </c>
      <c r="G134" s="2"/>
    </row>
    <row r="135" customFormat="false" ht="15" hidden="false" customHeight="false" outlineLevel="0" collapsed="false">
      <c r="A135" s="19" t="s">
        <v>43</v>
      </c>
      <c r="B135" s="19" t="s">
        <v>83</v>
      </c>
      <c r="C135" s="19" t="s">
        <v>64</v>
      </c>
      <c r="D135" s="20" t="n">
        <v>51.8</v>
      </c>
      <c r="E135" s="21" t="n">
        <v>4423.98</v>
      </c>
      <c r="F135" s="22" t="n">
        <f aca="false">D135*E135</f>
        <v>229162.164</v>
      </c>
      <c r="G135" s="2"/>
    </row>
    <row r="136" customFormat="false" ht="15" hidden="false" customHeight="false" outlineLevel="0" collapsed="false">
      <c r="A136" s="19" t="s">
        <v>43</v>
      </c>
      <c r="B136" s="19" t="s">
        <v>83</v>
      </c>
      <c r="C136" s="19" t="s">
        <v>65</v>
      </c>
      <c r="D136" s="20" t="n">
        <v>51.2</v>
      </c>
      <c r="E136" s="21" t="n">
        <v>4437.32</v>
      </c>
      <c r="F136" s="22" t="n">
        <f aca="false">D136*E136</f>
        <v>227190.784</v>
      </c>
      <c r="G136" s="2"/>
    </row>
    <row r="137" customFormat="false" ht="15" hidden="false" customHeight="false" outlineLevel="0" collapsed="false">
      <c r="A137" s="19" t="s">
        <v>43</v>
      </c>
      <c r="B137" s="19" t="s">
        <v>83</v>
      </c>
      <c r="C137" s="19" t="s">
        <v>66</v>
      </c>
      <c r="D137" s="20" t="n">
        <v>54.2</v>
      </c>
      <c r="E137" s="21" t="n">
        <v>4428.17</v>
      </c>
      <c r="F137" s="22" t="n">
        <f aca="false">D137*E137</f>
        <v>240006.814</v>
      </c>
      <c r="G137" s="2"/>
    </row>
    <row r="138" customFormat="false" ht="15" hidden="false" customHeight="false" outlineLevel="0" collapsed="false">
      <c r="A138" s="19" t="s">
        <v>43</v>
      </c>
      <c r="B138" s="19" t="s">
        <v>83</v>
      </c>
      <c r="C138" s="19" t="s">
        <v>67</v>
      </c>
      <c r="D138" s="20" t="n">
        <v>55.2</v>
      </c>
      <c r="E138" s="21" t="n">
        <v>4422.91</v>
      </c>
      <c r="F138" s="22" t="n">
        <f aca="false">D138*E138</f>
        <v>244144.632</v>
      </c>
      <c r="G138" s="2"/>
    </row>
    <row r="139" customFormat="false" ht="15" hidden="false" customHeight="false" outlineLevel="0" collapsed="false">
      <c r="A139" s="19" t="s">
        <v>43</v>
      </c>
      <c r="B139" s="19" t="s">
        <v>83</v>
      </c>
      <c r="C139" s="19" t="s">
        <v>68</v>
      </c>
      <c r="D139" s="20" t="n">
        <v>57.4</v>
      </c>
      <c r="E139" s="21" t="n">
        <v>4440.44</v>
      </c>
      <c r="F139" s="22" t="n">
        <f aca="false">D139*E139</f>
        <v>254881.256</v>
      </c>
      <c r="G139" s="2"/>
    </row>
    <row r="140" customFormat="false" ht="15" hidden="false" customHeight="false" outlineLevel="0" collapsed="false">
      <c r="A140" s="19" t="s">
        <v>43</v>
      </c>
      <c r="B140" s="19" t="s">
        <v>83</v>
      </c>
      <c r="C140" s="19" t="s">
        <v>69</v>
      </c>
      <c r="D140" s="20" t="n">
        <v>57.1</v>
      </c>
      <c r="E140" s="21" t="n">
        <v>4441.98</v>
      </c>
      <c r="F140" s="22" t="n">
        <f aca="false">D140*E140</f>
        <v>253637.058</v>
      </c>
      <c r="G140" s="2"/>
    </row>
    <row r="141" customFormat="false" ht="15" hidden="false" customHeight="false" outlineLevel="0" collapsed="false">
      <c r="A141" s="19" t="s">
        <v>43</v>
      </c>
      <c r="B141" s="19" t="s">
        <v>83</v>
      </c>
      <c r="C141" s="19" t="s">
        <v>70</v>
      </c>
      <c r="D141" s="20" t="n">
        <v>59.1</v>
      </c>
      <c r="E141" s="21" t="n">
        <v>4437.89</v>
      </c>
      <c r="F141" s="22" t="n">
        <f aca="false">D141*E141</f>
        <v>262279.299</v>
      </c>
      <c r="G141" s="2"/>
    </row>
    <row r="142" customFormat="false" ht="15" hidden="false" customHeight="false" outlineLevel="0" collapsed="false">
      <c r="A142" s="19" t="s">
        <v>43</v>
      </c>
      <c r="B142" s="19" t="s">
        <v>83</v>
      </c>
      <c r="C142" s="19" t="s">
        <v>71</v>
      </c>
      <c r="D142" s="20" t="n">
        <v>61.4</v>
      </c>
      <c r="E142" s="21" t="n">
        <v>4452.24</v>
      </c>
      <c r="F142" s="22" t="n">
        <f aca="false">D142*E142</f>
        <v>273367.536</v>
      </c>
      <c r="G142" s="2"/>
    </row>
    <row r="143" customFormat="false" ht="15" hidden="false" customHeight="false" outlineLevel="0" collapsed="false">
      <c r="A143" s="19" t="s">
        <v>43</v>
      </c>
      <c r="B143" s="19" t="s">
        <v>83</v>
      </c>
      <c r="C143" s="19" t="s">
        <v>72</v>
      </c>
      <c r="D143" s="20" t="n">
        <v>63.2</v>
      </c>
      <c r="E143" s="21" t="n">
        <v>4448.76</v>
      </c>
      <c r="F143" s="22" t="n">
        <f aca="false">D143*E143</f>
        <v>281161.632</v>
      </c>
      <c r="G143" s="2"/>
    </row>
    <row r="144" customFormat="false" ht="15" hidden="false" customHeight="false" outlineLevel="0" collapsed="false">
      <c r="A144" s="19" t="s">
        <v>43</v>
      </c>
      <c r="B144" s="19" t="s">
        <v>83</v>
      </c>
      <c r="C144" s="19" t="s">
        <v>73</v>
      </c>
      <c r="D144" s="20" t="n">
        <v>65.3</v>
      </c>
      <c r="E144" s="21" t="n">
        <v>4455.78</v>
      </c>
      <c r="F144" s="22" t="n">
        <f aca="false">D144*E144</f>
        <v>290962.434</v>
      </c>
      <c r="G144" s="2"/>
    </row>
    <row r="145" customFormat="false" ht="15" hidden="false" customHeight="false" outlineLevel="0" collapsed="false">
      <c r="A145" s="19" t="s">
        <v>43</v>
      </c>
      <c r="B145" s="19" t="s">
        <v>83</v>
      </c>
      <c r="C145" s="19" t="s">
        <v>74</v>
      </c>
      <c r="D145" s="20" t="n">
        <v>66.9</v>
      </c>
      <c r="E145" s="21" t="n">
        <v>4480.41</v>
      </c>
      <c r="F145" s="22" t="n">
        <f aca="false">D145*E145</f>
        <v>299739.429</v>
      </c>
      <c r="G145" s="2"/>
    </row>
    <row r="146" customFormat="false" ht="15" hidden="false" customHeight="false" outlineLevel="0" collapsed="false">
      <c r="A146" s="19" t="s">
        <v>43</v>
      </c>
      <c r="B146" s="19" t="s">
        <v>83</v>
      </c>
      <c r="C146" s="19" t="s">
        <v>75</v>
      </c>
      <c r="D146" s="20" t="n">
        <v>71</v>
      </c>
      <c r="E146" s="21" t="n">
        <v>4485.52</v>
      </c>
      <c r="F146" s="22" t="n">
        <f aca="false">D146*E146</f>
        <v>318471.92</v>
      </c>
      <c r="G146" s="2"/>
    </row>
    <row r="147" customFormat="false" ht="15" hidden="false" customHeight="false" outlineLevel="0" collapsed="false">
      <c r="A147" s="19" t="s">
        <v>43</v>
      </c>
      <c r="B147" s="19" t="s">
        <v>83</v>
      </c>
      <c r="C147" s="19" t="s">
        <v>76</v>
      </c>
      <c r="D147" s="20" t="n">
        <v>73.1</v>
      </c>
      <c r="E147" s="21" t="n">
        <v>4478.33</v>
      </c>
      <c r="F147" s="22" t="n">
        <f aca="false">D147*E147</f>
        <v>327365.923</v>
      </c>
      <c r="G147" s="2"/>
    </row>
    <row r="148" customFormat="false" ht="15" hidden="false" customHeight="false" outlineLevel="0" collapsed="false">
      <c r="A148" s="19" t="s">
        <v>43</v>
      </c>
      <c r="B148" s="19" t="s">
        <v>83</v>
      </c>
      <c r="C148" s="19" t="s">
        <v>77</v>
      </c>
      <c r="D148" s="20" t="n">
        <v>77.5</v>
      </c>
      <c r="E148" s="21" t="n">
        <v>4482.12</v>
      </c>
      <c r="F148" s="22" t="n">
        <f aca="false">D148*E148</f>
        <v>347364.3</v>
      </c>
      <c r="G148" s="2"/>
    </row>
    <row r="149" customFormat="false" ht="15" hidden="false" customHeight="false" outlineLevel="0" collapsed="false">
      <c r="A149" s="19" t="s">
        <v>43</v>
      </c>
      <c r="B149" s="19" t="s">
        <v>83</v>
      </c>
      <c r="C149" s="19" t="s">
        <v>78</v>
      </c>
      <c r="D149" s="20" t="n">
        <v>81.2</v>
      </c>
      <c r="E149" s="21" t="n">
        <v>4488.82</v>
      </c>
      <c r="F149" s="22" t="n">
        <f aca="false">D149*E149</f>
        <v>364492.184</v>
      </c>
      <c r="G149" s="2"/>
    </row>
    <row r="150" customFormat="false" ht="15" hidden="false" customHeight="false" outlineLevel="0" collapsed="false">
      <c r="A150" s="19" t="s">
        <v>43</v>
      </c>
      <c r="B150" s="19" t="s">
        <v>83</v>
      </c>
      <c r="C150" s="19" t="s">
        <v>79</v>
      </c>
      <c r="D150" s="20" t="n">
        <v>86</v>
      </c>
      <c r="E150" s="21" t="n">
        <v>4498.38</v>
      </c>
      <c r="F150" s="22" t="n">
        <f aca="false">D150*E150</f>
        <v>386860.68</v>
      </c>
      <c r="G150" s="2"/>
    </row>
    <row r="151" customFormat="false" ht="15" hidden="false" customHeight="false" outlineLevel="0" collapsed="false">
      <c r="A151" s="19" t="s">
        <v>43</v>
      </c>
      <c r="B151" s="19" t="s">
        <v>83</v>
      </c>
      <c r="C151" s="19" t="s">
        <v>80</v>
      </c>
      <c r="D151" s="20" t="n">
        <v>89.6</v>
      </c>
      <c r="E151" s="21" t="n">
        <v>4498.49</v>
      </c>
      <c r="F151" s="22" t="n">
        <f aca="false">D151*E151</f>
        <v>403064.704</v>
      </c>
      <c r="G151" s="2"/>
    </row>
    <row r="152" customFormat="false" ht="15" hidden="false" customHeight="false" outlineLevel="0" collapsed="false">
      <c r="A152" s="19" t="s">
        <v>43</v>
      </c>
      <c r="B152" s="19" t="s">
        <v>84</v>
      </c>
      <c r="C152" s="19" t="s">
        <v>45</v>
      </c>
      <c r="D152" s="20" t="n">
        <v>86.9</v>
      </c>
      <c r="E152" s="21" t="n">
        <v>4471.42</v>
      </c>
      <c r="F152" s="22" t="n">
        <f aca="false">D152*E152</f>
        <v>388566.398</v>
      </c>
      <c r="G152" s="2"/>
    </row>
    <row r="153" customFormat="false" ht="15" hidden="false" customHeight="false" outlineLevel="0" collapsed="false">
      <c r="A153" s="19" t="s">
        <v>43</v>
      </c>
      <c r="B153" s="19" t="s">
        <v>84</v>
      </c>
      <c r="C153" s="19" t="s">
        <v>46</v>
      </c>
      <c r="D153" s="20" t="n">
        <v>91.3</v>
      </c>
      <c r="E153" s="21" t="n">
        <v>4487.51</v>
      </c>
      <c r="F153" s="22" t="n">
        <f aca="false">D153*E153</f>
        <v>409709.663</v>
      </c>
      <c r="G153" s="2"/>
    </row>
    <row r="154" customFormat="false" ht="15" hidden="false" customHeight="false" outlineLevel="0" collapsed="false">
      <c r="A154" s="19" t="s">
        <v>43</v>
      </c>
      <c r="B154" s="19" t="s">
        <v>84</v>
      </c>
      <c r="C154" s="19" t="s">
        <v>47</v>
      </c>
      <c r="D154" s="20" t="n">
        <v>96.3</v>
      </c>
      <c r="E154" s="21" t="n">
        <v>4481.04</v>
      </c>
      <c r="F154" s="22" t="n">
        <f aca="false">D154*E154</f>
        <v>431524.152</v>
      </c>
      <c r="G154" s="2"/>
    </row>
    <row r="155" customFormat="false" ht="15" hidden="false" customHeight="false" outlineLevel="0" collapsed="false">
      <c r="A155" s="19" t="s">
        <v>43</v>
      </c>
      <c r="B155" s="19" t="s">
        <v>84</v>
      </c>
      <c r="C155" s="19" t="s">
        <v>48</v>
      </c>
      <c r="D155" s="20" t="n">
        <v>100.2</v>
      </c>
      <c r="E155" s="21" t="n">
        <v>4496.86</v>
      </c>
      <c r="F155" s="22" t="n">
        <f aca="false">D155*E155</f>
        <v>450585.372</v>
      </c>
      <c r="G155" s="2"/>
    </row>
    <row r="156" customFormat="false" ht="15" hidden="false" customHeight="false" outlineLevel="0" collapsed="false">
      <c r="A156" s="19" t="s">
        <v>43</v>
      </c>
      <c r="B156" s="19" t="s">
        <v>84</v>
      </c>
      <c r="C156" s="19" t="s">
        <v>49</v>
      </c>
      <c r="D156" s="20" t="n">
        <v>102.2</v>
      </c>
      <c r="E156" s="21" t="n">
        <v>4518.75</v>
      </c>
      <c r="F156" s="22" t="n">
        <f aca="false">D156*E156</f>
        <v>461816.25</v>
      </c>
      <c r="G156" s="2"/>
    </row>
    <row r="157" customFormat="false" ht="15" hidden="false" customHeight="false" outlineLevel="0" collapsed="false">
      <c r="A157" s="19" t="s">
        <v>43</v>
      </c>
      <c r="B157" s="19" t="s">
        <v>84</v>
      </c>
      <c r="C157" s="19" t="s">
        <v>50</v>
      </c>
      <c r="D157" s="20" t="n">
        <v>105.9</v>
      </c>
      <c r="E157" s="21" t="n">
        <v>4540.3</v>
      </c>
      <c r="F157" s="22" t="n">
        <f aca="false">D157*E157</f>
        <v>480817.77</v>
      </c>
      <c r="G157" s="2"/>
    </row>
    <row r="158" customFormat="false" ht="15" hidden="false" customHeight="false" outlineLevel="0" collapsed="false">
      <c r="A158" s="19" t="s">
        <v>43</v>
      </c>
      <c r="B158" s="19" t="s">
        <v>84</v>
      </c>
      <c r="C158" s="19" t="s">
        <v>51</v>
      </c>
      <c r="D158" s="20" t="n">
        <v>110.9</v>
      </c>
      <c r="E158" s="21" t="n">
        <v>4544.63</v>
      </c>
      <c r="F158" s="22" t="n">
        <f aca="false">D158*E158</f>
        <v>503999.467</v>
      </c>
      <c r="G158" s="2"/>
    </row>
    <row r="159" customFormat="false" ht="15" hidden="false" customHeight="false" outlineLevel="0" collapsed="false">
      <c r="A159" s="19" t="s">
        <v>43</v>
      </c>
      <c r="B159" s="19" t="s">
        <v>84</v>
      </c>
      <c r="C159" s="19" t="s">
        <v>52</v>
      </c>
      <c r="D159" s="20" t="n">
        <v>109.2</v>
      </c>
      <c r="E159" s="21" t="n">
        <v>4540.35</v>
      </c>
      <c r="F159" s="22" t="n">
        <f aca="false">D159*E159</f>
        <v>495806.22</v>
      </c>
      <c r="G159" s="2"/>
    </row>
    <row r="160" customFormat="false" ht="15" hidden="false" customHeight="false" outlineLevel="0" collapsed="false">
      <c r="A160" s="19" t="s">
        <v>43</v>
      </c>
      <c r="B160" s="19" t="s">
        <v>84</v>
      </c>
      <c r="C160" s="19" t="s">
        <v>53</v>
      </c>
      <c r="D160" s="20" t="n">
        <v>114.8</v>
      </c>
      <c r="E160" s="21" t="n">
        <v>4564.8</v>
      </c>
      <c r="F160" s="22" t="n">
        <f aca="false">D160*E160</f>
        <v>524039.04</v>
      </c>
      <c r="G160" s="2"/>
    </row>
    <row r="161" customFormat="false" ht="15" hidden="false" customHeight="false" outlineLevel="0" collapsed="false">
      <c r="A161" s="19" t="s">
        <v>43</v>
      </c>
      <c r="B161" s="19" t="s">
        <v>84</v>
      </c>
      <c r="C161" s="19" t="s">
        <v>54</v>
      </c>
      <c r="D161" s="20" t="n">
        <v>114.8</v>
      </c>
      <c r="E161" s="21" t="n">
        <v>4552.08</v>
      </c>
      <c r="F161" s="22" t="n">
        <f aca="false">D161*E161</f>
        <v>522578.784</v>
      </c>
      <c r="G161" s="2"/>
    </row>
    <row r="162" customFormat="false" ht="15" hidden="false" customHeight="false" outlineLevel="0" collapsed="false">
      <c r="A162" s="19" t="s">
        <v>43</v>
      </c>
      <c r="B162" s="19" t="s">
        <v>84</v>
      </c>
      <c r="C162" s="19" t="s">
        <v>55</v>
      </c>
      <c r="D162" s="20" t="n">
        <v>114.1</v>
      </c>
      <c r="E162" s="21" t="n">
        <v>4577.96</v>
      </c>
      <c r="F162" s="22" t="n">
        <f aca="false">D162*E162</f>
        <v>522345.236</v>
      </c>
      <c r="G162" s="2"/>
    </row>
    <row r="163" customFormat="false" ht="15" hidden="false" customHeight="false" outlineLevel="0" collapsed="false">
      <c r="A163" s="19" t="s">
        <v>43</v>
      </c>
      <c r="B163" s="19" t="s">
        <v>84</v>
      </c>
      <c r="C163" s="19" t="s">
        <v>56</v>
      </c>
      <c r="D163" s="20" t="n">
        <v>115.3</v>
      </c>
      <c r="E163" s="21" t="n">
        <v>4591.65</v>
      </c>
      <c r="F163" s="22" t="n">
        <f aca="false">D163*E163</f>
        <v>529417.245</v>
      </c>
      <c r="G163" s="2"/>
    </row>
    <row r="164" customFormat="false" ht="15" hidden="false" customHeight="false" outlineLevel="0" collapsed="false">
      <c r="A164" s="19" t="s">
        <v>43</v>
      </c>
      <c r="B164" s="19" t="s">
        <v>84</v>
      </c>
      <c r="C164" s="19" t="s">
        <v>57</v>
      </c>
      <c r="D164" s="20" t="n">
        <v>113.7</v>
      </c>
      <c r="E164" s="21" t="n">
        <v>4593.89</v>
      </c>
      <c r="F164" s="22" t="n">
        <f aca="false">D164*E164</f>
        <v>522325.293</v>
      </c>
      <c r="G164" s="2"/>
    </row>
    <row r="165" customFormat="false" ht="15" hidden="false" customHeight="false" outlineLevel="0" collapsed="false">
      <c r="A165" s="19" t="s">
        <v>43</v>
      </c>
      <c r="B165" s="19" t="s">
        <v>84</v>
      </c>
      <c r="C165" s="19" t="s">
        <v>58</v>
      </c>
      <c r="D165" s="20" t="n">
        <v>115.6</v>
      </c>
      <c r="E165" s="21" t="n">
        <v>4618.07</v>
      </c>
      <c r="F165" s="22" t="n">
        <f aca="false">D165*E165</f>
        <v>533848.892</v>
      </c>
      <c r="G165" s="2"/>
    </row>
    <row r="166" customFormat="false" ht="15" hidden="false" customHeight="false" outlineLevel="0" collapsed="false">
      <c r="A166" s="19" t="s">
        <v>43</v>
      </c>
      <c r="B166" s="19" t="s">
        <v>84</v>
      </c>
      <c r="C166" s="19" t="s">
        <v>59</v>
      </c>
      <c r="D166" s="20" t="n">
        <v>115.5</v>
      </c>
      <c r="E166" s="21" t="n">
        <v>4605.48</v>
      </c>
      <c r="F166" s="22" t="n">
        <f aca="false">D166*E166</f>
        <v>531932.94</v>
      </c>
      <c r="G166" s="2"/>
    </row>
    <row r="167" customFormat="false" ht="15" hidden="false" customHeight="false" outlineLevel="0" collapsed="false">
      <c r="A167" s="19" t="s">
        <v>43</v>
      </c>
      <c r="B167" s="19" t="s">
        <v>84</v>
      </c>
      <c r="C167" s="19" t="s">
        <v>60</v>
      </c>
      <c r="D167" s="20" t="n">
        <v>119.6</v>
      </c>
      <c r="E167" s="21" t="n">
        <v>4632.22</v>
      </c>
      <c r="F167" s="22" t="n">
        <f aca="false">D167*E167</f>
        <v>554013.512</v>
      </c>
      <c r="G167" s="2"/>
    </row>
    <row r="168" customFormat="false" ht="15" hidden="false" customHeight="false" outlineLevel="0" collapsed="false">
      <c r="A168" s="19" t="s">
        <v>43</v>
      </c>
      <c r="B168" s="19" t="s">
        <v>84</v>
      </c>
      <c r="C168" s="19" t="s">
        <v>61</v>
      </c>
      <c r="D168" s="20" t="n">
        <v>119.6</v>
      </c>
      <c r="E168" s="21" t="n">
        <v>4656.8</v>
      </c>
      <c r="F168" s="22" t="n">
        <f aca="false">D168*E168</f>
        <v>556953.28</v>
      </c>
      <c r="G168" s="2"/>
    </row>
    <row r="169" customFormat="false" ht="15" hidden="false" customHeight="false" outlineLevel="0" collapsed="false">
      <c r="A169" s="19" t="s">
        <v>43</v>
      </c>
      <c r="B169" s="19" t="s">
        <v>84</v>
      </c>
      <c r="C169" s="19" t="s">
        <v>62</v>
      </c>
      <c r="D169" s="20" t="n">
        <v>120.2</v>
      </c>
      <c r="E169" s="21" t="n">
        <v>4658.19</v>
      </c>
      <c r="F169" s="22" t="n">
        <f aca="false">D169*E169</f>
        <v>559914.438</v>
      </c>
      <c r="G169" s="2"/>
    </row>
    <row r="170" customFormat="false" ht="15" hidden="false" customHeight="false" outlineLevel="0" collapsed="false">
      <c r="A170" s="19" t="s">
        <v>43</v>
      </c>
      <c r="B170" s="19" t="s">
        <v>84</v>
      </c>
      <c r="C170" s="19" t="s">
        <v>63</v>
      </c>
      <c r="D170" s="20" t="n">
        <v>118</v>
      </c>
      <c r="E170" s="21" t="n">
        <v>4667.38</v>
      </c>
      <c r="F170" s="22" t="n">
        <f aca="false">D170*E170</f>
        <v>550750.84</v>
      </c>
      <c r="G170" s="2"/>
    </row>
    <row r="171" customFormat="false" ht="15" hidden="false" customHeight="false" outlineLevel="0" collapsed="false">
      <c r="A171" s="19" t="s">
        <v>43</v>
      </c>
      <c r="B171" s="19" t="s">
        <v>84</v>
      </c>
      <c r="C171" s="19" t="s">
        <v>64</v>
      </c>
      <c r="D171" s="20" t="n">
        <v>117.4</v>
      </c>
      <c r="E171" s="21" t="n">
        <v>4656.72</v>
      </c>
      <c r="F171" s="22" t="n">
        <f aca="false">D171*E171</f>
        <v>546698.928</v>
      </c>
      <c r="G171" s="2"/>
    </row>
    <row r="172" customFormat="false" ht="15" hidden="false" customHeight="false" outlineLevel="0" collapsed="false">
      <c r="A172" s="19" t="s">
        <v>43</v>
      </c>
      <c r="B172" s="19" t="s">
        <v>84</v>
      </c>
      <c r="C172" s="19" t="s">
        <v>65</v>
      </c>
      <c r="D172" s="20" t="n">
        <v>115.8</v>
      </c>
      <c r="E172" s="21" t="n">
        <v>4643.41</v>
      </c>
      <c r="F172" s="22" t="n">
        <f aca="false">D172*E172</f>
        <v>537706.878</v>
      </c>
      <c r="G172" s="2"/>
    </row>
    <row r="173" customFormat="false" ht="15" hidden="false" customHeight="false" outlineLevel="0" collapsed="false">
      <c r="A173" s="19" t="s">
        <v>43</v>
      </c>
      <c r="B173" s="19" t="s">
        <v>84</v>
      </c>
      <c r="C173" s="19" t="s">
        <v>66</v>
      </c>
      <c r="D173" s="20" t="n">
        <v>112.9</v>
      </c>
      <c r="E173" s="21" t="n">
        <v>4635.16</v>
      </c>
      <c r="F173" s="22" t="n">
        <f aca="false">D173*E173</f>
        <v>523309.564</v>
      </c>
      <c r="G173" s="2"/>
    </row>
    <row r="174" customFormat="false" ht="15" hidden="false" customHeight="false" outlineLevel="0" collapsed="false">
      <c r="A174" s="19" t="s">
        <v>43</v>
      </c>
      <c r="B174" s="19" t="s">
        <v>84</v>
      </c>
      <c r="C174" s="19" t="s">
        <v>67</v>
      </c>
      <c r="D174" s="20" t="n">
        <v>118.9</v>
      </c>
      <c r="E174" s="21" t="n">
        <v>4626.73</v>
      </c>
      <c r="F174" s="22" t="n">
        <f aca="false">D174*E174</f>
        <v>550118.197</v>
      </c>
      <c r="G174" s="2"/>
    </row>
    <row r="175" customFormat="false" ht="15" hidden="false" customHeight="false" outlineLevel="0" collapsed="false">
      <c r="A175" s="19" t="s">
        <v>43</v>
      </c>
      <c r="B175" s="19" t="s">
        <v>84</v>
      </c>
      <c r="C175" s="19" t="s">
        <v>68</v>
      </c>
      <c r="D175" s="20" t="n">
        <v>123.7</v>
      </c>
      <c r="E175" s="21" t="n">
        <v>4619.59</v>
      </c>
      <c r="F175" s="22" t="n">
        <f aca="false">D175*E175</f>
        <v>571443.283</v>
      </c>
      <c r="G175" s="2"/>
    </row>
    <row r="176" customFormat="false" ht="15" hidden="false" customHeight="false" outlineLevel="0" collapsed="false">
      <c r="A176" s="19" t="s">
        <v>43</v>
      </c>
      <c r="B176" s="19" t="s">
        <v>84</v>
      </c>
      <c r="C176" s="19" t="s">
        <v>69</v>
      </c>
      <c r="D176" s="20" t="n">
        <v>125.9</v>
      </c>
      <c r="E176" s="21" t="n">
        <v>4632.75</v>
      </c>
      <c r="F176" s="22" t="n">
        <f aca="false">D176*E176</f>
        <v>583263.225</v>
      </c>
      <c r="G176" s="2"/>
    </row>
    <row r="177" customFormat="false" ht="15" hidden="false" customHeight="false" outlineLevel="0" collapsed="false">
      <c r="A177" s="19" t="s">
        <v>43</v>
      </c>
      <c r="B177" s="19" t="s">
        <v>84</v>
      </c>
      <c r="C177" s="19" t="s">
        <v>70</v>
      </c>
      <c r="D177" s="20" t="n">
        <v>130.5</v>
      </c>
      <c r="E177" s="21" t="n">
        <v>4632.97</v>
      </c>
      <c r="F177" s="22" t="n">
        <f aca="false">D177*E177</f>
        <v>604602.585</v>
      </c>
      <c r="G177" s="2"/>
    </row>
    <row r="178" customFormat="false" ht="15" hidden="false" customHeight="false" outlineLevel="0" collapsed="false">
      <c r="A178" s="19" t="s">
        <v>43</v>
      </c>
      <c r="B178" s="19" t="s">
        <v>84</v>
      </c>
      <c r="C178" s="19" t="s">
        <v>71</v>
      </c>
      <c r="D178" s="20" t="n">
        <v>131.4</v>
      </c>
      <c r="E178" s="21" t="n">
        <v>4652.14</v>
      </c>
      <c r="F178" s="22" t="n">
        <f aca="false">D178*E178</f>
        <v>611291.196</v>
      </c>
      <c r="G178" s="2"/>
    </row>
    <row r="179" customFormat="false" ht="15" hidden="false" customHeight="false" outlineLevel="0" collapsed="false">
      <c r="A179" s="19" t="s">
        <v>43</v>
      </c>
      <c r="B179" s="19" t="s">
        <v>84</v>
      </c>
      <c r="C179" s="19" t="s">
        <v>72</v>
      </c>
      <c r="D179" s="20" t="n">
        <v>139.2</v>
      </c>
      <c r="E179" s="21" t="n">
        <v>4679.1</v>
      </c>
      <c r="F179" s="22" t="n">
        <f aca="false">D179*E179</f>
        <v>651330.72</v>
      </c>
      <c r="G179" s="2"/>
    </row>
    <row r="180" customFormat="false" ht="15" hidden="false" customHeight="false" outlineLevel="0" collapsed="false">
      <c r="A180" s="19" t="s">
        <v>43</v>
      </c>
      <c r="B180" s="19" t="s">
        <v>84</v>
      </c>
      <c r="C180" s="19" t="s">
        <v>73</v>
      </c>
      <c r="D180" s="20" t="n">
        <v>147.7</v>
      </c>
      <c r="E180" s="21" t="n">
        <v>4683.69</v>
      </c>
      <c r="F180" s="22" t="n">
        <f aca="false">D180*E180</f>
        <v>691781.013</v>
      </c>
      <c r="G180" s="2"/>
    </row>
    <row r="181" customFormat="false" ht="15" hidden="false" customHeight="false" outlineLevel="0" collapsed="false">
      <c r="A181" s="19" t="s">
        <v>43</v>
      </c>
      <c r="B181" s="19" t="s">
        <v>84</v>
      </c>
      <c r="C181" s="19" t="s">
        <v>74</v>
      </c>
      <c r="D181" s="20" t="n">
        <v>156.5</v>
      </c>
      <c r="E181" s="21" t="n">
        <v>4687.35</v>
      </c>
      <c r="F181" s="22" t="n">
        <f aca="false">D181*E181</f>
        <v>733570.275</v>
      </c>
      <c r="G181" s="2"/>
    </row>
    <row r="182" customFormat="false" ht="15" hidden="false" customHeight="false" outlineLevel="0" collapsed="false">
      <c r="A182" s="19" t="s">
        <v>43</v>
      </c>
      <c r="B182" s="19" t="s">
        <v>84</v>
      </c>
      <c r="C182" s="19" t="s">
        <v>75</v>
      </c>
      <c r="D182" s="20" t="n">
        <v>159.4</v>
      </c>
      <c r="E182" s="21" t="n">
        <v>4684.8</v>
      </c>
      <c r="F182" s="22" t="n">
        <f aca="false">D182*E182</f>
        <v>746757.12</v>
      </c>
      <c r="G182" s="2"/>
    </row>
    <row r="183" customFormat="false" ht="15" hidden="false" customHeight="false" outlineLevel="0" collapsed="false">
      <c r="A183" s="19" t="s">
        <v>43</v>
      </c>
      <c r="B183" s="19" t="s">
        <v>84</v>
      </c>
      <c r="C183" s="19" t="s">
        <v>76</v>
      </c>
      <c r="D183" s="20" t="n">
        <v>158.3</v>
      </c>
      <c r="E183" s="21" t="n">
        <v>4679.61</v>
      </c>
      <c r="F183" s="22" t="n">
        <f aca="false">D183*E183</f>
        <v>740782.263</v>
      </c>
      <c r="G183" s="2"/>
    </row>
    <row r="184" customFormat="false" ht="15" hidden="false" customHeight="false" outlineLevel="0" collapsed="false">
      <c r="A184" s="19" t="s">
        <v>43</v>
      </c>
      <c r="B184" s="19" t="s">
        <v>84</v>
      </c>
      <c r="C184" s="19" t="s">
        <v>77</v>
      </c>
      <c r="D184" s="20" t="n">
        <v>164.3</v>
      </c>
      <c r="E184" s="21" t="n">
        <v>4674.71</v>
      </c>
      <c r="F184" s="22" t="n">
        <f aca="false">D184*E184</f>
        <v>768054.853</v>
      </c>
      <c r="G184" s="2"/>
    </row>
    <row r="185" customFormat="false" ht="15" hidden="false" customHeight="false" outlineLevel="0" collapsed="false">
      <c r="A185" s="19" t="s">
        <v>43</v>
      </c>
      <c r="B185" s="19" t="s">
        <v>84</v>
      </c>
      <c r="C185" s="19" t="s">
        <v>78</v>
      </c>
      <c r="D185" s="20" t="n">
        <v>171.4</v>
      </c>
      <c r="E185" s="21" t="n">
        <v>4695.18</v>
      </c>
      <c r="F185" s="22" t="n">
        <f aca="false">D185*E185</f>
        <v>804753.852</v>
      </c>
      <c r="G185" s="2"/>
    </row>
    <row r="186" customFormat="false" ht="15" hidden="false" customHeight="false" outlineLevel="0" collapsed="false">
      <c r="A186" s="19" t="s">
        <v>43</v>
      </c>
      <c r="B186" s="19" t="s">
        <v>84</v>
      </c>
      <c r="C186" s="19" t="s">
        <v>79</v>
      </c>
      <c r="D186" s="20" t="n">
        <v>182.6</v>
      </c>
      <c r="E186" s="21" t="n">
        <v>4700.4</v>
      </c>
      <c r="F186" s="22" t="n">
        <f aca="false">D186*E186</f>
        <v>858293.04</v>
      </c>
      <c r="G186" s="2"/>
    </row>
    <row r="187" customFormat="false" ht="15" hidden="false" customHeight="false" outlineLevel="0" collapsed="false">
      <c r="A187" s="19" t="s">
        <v>43</v>
      </c>
      <c r="B187" s="19" t="s">
        <v>84</v>
      </c>
      <c r="C187" s="19" t="s">
        <v>80</v>
      </c>
      <c r="D187" s="20" t="n">
        <v>190.1</v>
      </c>
      <c r="E187" s="21" t="n">
        <v>4691.93</v>
      </c>
      <c r="F187" s="22" t="n">
        <f aca="false">D187*E187</f>
        <v>891935.893</v>
      </c>
      <c r="G187" s="2"/>
    </row>
    <row r="188" customFormat="false" ht="15" hidden="false" customHeight="false" outlineLevel="0" collapsed="false">
      <c r="A188" s="19" t="s">
        <v>43</v>
      </c>
      <c r="B188" s="19" t="s">
        <v>85</v>
      </c>
      <c r="C188" s="19" t="s">
        <v>45</v>
      </c>
      <c r="D188" s="20" t="n">
        <v>36.8</v>
      </c>
      <c r="E188" s="21" t="n">
        <v>6052.24</v>
      </c>
      <c r="F188" s="22" t="n">
        <f aca="false">D188*E188</f>
        <v>222722.432</v>
      </c>
      <c r="G188" s="2"/>
    </row>
    <row r="189" customFormat="false" ht="15" hidden="false" customHeight="false" outlineLevel="0" collapsed="false">
      <c r="A189" s="19" t="s">
        <v>43</v>
      </c>
      <c r="B189" s="19" t="s">
        <v>85</v>
      </c>
      <c r="C189" s="19" t="s">
        <v>46</v>
      </c>
      <c r="D189" s="20" t="n">
        <v>36.1</v>
      </c>
      <c r="E189" s="21" t="n">
        <v>6086.29</v>
      </c>
      <c r="F189" s="22" t="n">
        <f aca="false">D189*E189</f>
        <v>219715.069</v>
      </c>
      <c r="G189" s="2"/>
    </row>
    <row r="190" customFormat="false" ht="15" hidden="false" customHeight="false" outlineLevel="0" collapsed="false">
      <c r="A190" s="19" t="s">
        <v>43</v>
      </c>
      <c r="B190" s="19" t="s">
        <v>85</v>
      </c>
      <c r="C190" s="19" t="s">
        <v>47</v>
      </c>
      <c r="D190" s="20" t="n">
        <v>35.5</v>
      </c>
      <c r="E190" s="21" t="n">
        <v>6068.69</v>
      </c>
      <c r="F190" s="22" t="n">
        <f aca="false">D190*E190</f>
        <v>215438.495</v>
      </c>
      <c r="G190" s="2"/>
    </row>
    <row r="191" customFormat="false" ht="15" hidden="false" customHeight="false" outlineLevel="0" collapsed="false">
      <c r="A191" s="19" t="s">
        <v>43</v>
      </c>
      <c r="B191" s="19" t="s">
        <v>85</v>
      </c>
      <c r="C191" s="19" t="s">
        <v>48</v>
      </c>
      <c r="D191" s="20" t="n">
        <v>35.8</v>
      </c>
      <c r="E191" s="21" t="n">
        <v>6077.23</v>
      </c>
      <c r="F191" s="22" t="n">
        <f aca="false">D191*E191</f>
        <v>217564.834</v>
      </c>
      <c r="G191" s="2"/>
    </row>
    <row r="192" customFormat="false" ht="15" hidden="false" customHeight="false" outlineLevel="0" collapsed="false">
      <c r="A192" s="19" t="s">
        <v>43</v>
      </c>
      <c r="B192" s="19" t="s">
        <v>85</v>
      </c>
      <c r="C192" s="19" t="s">
        <v>49</v>
      </c>
      <c r="D192" s="20" t="n">
        <v>37.2</v>
      </c>
      <c r="E192" s="21" t="n">
        <v>6062.7</v>
      </c>
      <c r="F192" s="22" t="n">
        <f aca="false">D192*E192</f>
        <v>225532.44</v>
      </c>
      <c r="G192" s="2"/>
    </row>
    <row r="193" customFormat="false" ht="15" hidden="false" customHeight="false" outlineLevel="0" collapsed="false">
      <c r="A193" s="19" t="s">
        <v>43</v>
      </c>
      <c r="B193" s="19" t="s">
        <v>85</v>
      </c>
      <c r="C193" s="19" t="s">
        <v>50</v>
      </c>
      <c r="D193" s="20" t="n">
        <v>36.9</v>
      </c>
      <c r="E193" s="21" t="n">
        <v>6078.78</v>
      </c>
      <c r="F193" s="22" t="n">
        <f aca="false">D193*E193</f>
        <v>224306.982</v>
      </c>
      <c r="G193" s="2"/>
    </row>
    <row r="194" customFormat="false" ht="15" hidden="false" customHeight="false" outlineLevel="0" collapsed="false">
      <c r="A194" s="19" t="s">
        <v>43</v>
      </c>
      <c r="B194" s="19" t="s">
        <v>85</v>
      </c>
      <c r="C194" s="19" t="s">
        <v>51</v>
      </c>
      <c r="D194" s="20" t="n">
        <v>36.7</v>
      </c>
      <c r="E194" s="21" t="n">
        <v>6115.07</v>
      </c>
      <c r="F194" s="22" t="n">
        <f aca="false">D194*E194</f>
        <v>224423.069</v>
      </c>
      <c r="G194" s="2"/>
    </row>
    <row r="195" customFormat="false" ht="15" hidden="false" customHeight="false" outlineLevel="0" collapsed="false">
      <c r="A195" s="19" t="s">
        <v>43</v>
      </c>
      <c r="B195" s="19" t="s">
        <v>85</v>
      </c>
      <c r="C195" s="19" t="s">
        <v>52</v>
      </c>
      <c r="D195" s="20" t="n">
        <v>37.5</v>
      </c>
      <c r="E195" s="21" t="n">
        <v>6149.36</v>
      </c>
      <c r="F195" s="22" t="n">
        <f aca="false">D195*E195</f>
        <v>230601</v>
      </c>
      <c r="G195" s="2"/>
    </row>
    <row r="196" customFormat="false" ht="15" hidden="false" customHeight="false" outlineLevel="0" collapsed="false">
      <c r="A196" s="19" t="s">
        <v>43</v>
      </c>
      <c r="B196" s="19" t="s">
        <v>85</v>
      </c>
      <c r="C196" s="19" t="s">
        <v>53</v>
      </c>
      <c r="D196" s="20" t="n">
        <v>38.4</v>
      </c>
      <c r="E196" s="21" t="n">
        <v>6174.49</v>
      </c>
      <c r="F196" s="22" t="n">
        <f aca="false">D196*E196</f>
        <v>237100.416</v>
      </c>
      <c r="G196" s="2"/>
    </row>
    <row r="197" customFormat="false" ht="15" hidden="false" customHeight="false" outlineLevel="0" collapsed="false">
      <c r="A197" s="19" t="s">
        <v>43</v>
      </c>
      <c r="B197" s="19" t="s">
        <v>85</v>
      </c>
      <c r="C197" s="19" t="s">
        <v>54</v>
      </c>
      <c r="D197" s="20" t="n">
        <v>40.8</v>
      </c>
      <c r="E197" s="21" t="n">
        <v>6207.45</v>
      </c>
      <c r="F197" s="22" t="n">
        <f aca="false">D197*E197</f>
        <v>253263.96</v>
      </c>
      <c r="G197" s="2"/>
    </row>
    <row r="198" customFormat="false" ht="15" hidden="false" customHeight="false" outlineLevel="0" collapsed="false">
      <c r="A198" s="19" t="s">
        <v>43</v>
      </c>
      <c r="B198" s="19" t="s">
        <v>85</v>
      </c>
      <c r="C198" s="19" t="s">
        <v>55</v>
      </c>
      <c r="D198" s="20" t="n">
        <v>40.9</v>
      </c>
      <c r="E198" s="21" t="n">
        <v>6237.68</v>
      </c>
      <c r="F198" s="22" t="n">
        <f aca="false">D198*E198</f>
        <v>255121.112</v>
      </c>
      <c r="G198" s="2"/>
    </row>
    <row r="199" customFormat="false" ht="15" hidden="false" customHeight="false" outlineLevel="0" collapsed="false">
      <c r="A199" s="19" t="s">
        <v>43</v>
      </c>
      <c r="B199" s="19" t="s">
        <v>85</v>
      </c>
      <c r="C199" s="19" t="s">
        <v>56</v>
      </c>
      <c r="D199" s="20" t="n">
        <v>40.1</v>
      </c>
      <c r="E199" s="21" t="n">
        <v>6269.64</v>
      </c>
      <c r="F199" s="22" t="n">
        <f aca="false">D199*E199</f>
        <v>251412.564</v>
      </c>
      <c r="G199" s="2"/>
    </row>
    <row r="200" customFormat="false" ht="15" hidden="false" customHeight="false" outlineLevel="0" collapsed="false">
      <c r="A200" s="19" t="s">
        <v>43</v>
      </c>
      <c r="B200" s="19" t="s">
        <v>85</v>
      </c>
      <c r="C200" s="19" t="s">
        <v>57</v>
      </c>
      <c r="D200" s="20" t="n">
        <v>40.7</v>
      </c>
      <c r="E200" s="21" t="n">
        <v>6257.12</v>
      </c>
      <c r="F200" s="22" t="n">
        <f aca="false">D200*E200</f>
        <v>254664.784</v>
      </c>
      <c r="G200" s="2"/>
    </row>
    <row r="201" customFormat="false" ht="15" hidden="false" customHeight="false" outlineLevel="0" collapsed="false">
      <c r="A201" s="19" t="s">
        <v>43</v>
      </c>
      <c r="B201" s="19" t="s">
        <v>85</v>
      </c>
      <c r="C201" s="19" t="s">
        <v>58</v>
      </c>
      <c r="D201" s="20" t="n">
        <v>39.7</v>
      </c>
      <c r="E201" s="21" t="n">
        <v>6248.57</v>
      </c>
      <c r="F201" s="22" t="n">
        <f aca="false">D201*E201</f>
        <v>248068.229</v>
      </c>
      <c r="G201" s="2"/>
    </row>
    <row r="202" customFormat="false" ht="15" hidden="false" customHeight="false" outlineLevel="0" collapsed="false">
      <c r="A202" s="19" t="s">
        <v>43</v>
      </c>
      <c r="B202" s="19" t="s">
        <v>85</v>
      </c>
      <c r="C202" s="19" t="s">
        <v>59</v>
      </c>
      <c r="D202" s="20" t="n">
        <v>40.7</v>
      </c>
      <c r="E202" s="21" t="n">
        <v>6261.29</v>
      </c>
      <c r="F202" s="22" t="n">
        <f aca="false">D202*E202</f>
        <v>254834.503</v>
      </c>
      <c r="G202" s="2"/>
    </row>
    <row r="203" customFormat="false" ht="15" hidden="false" customHeight="false" outlineLevel="0" collapsed="false">
      <c r="A203" s="19" t="s">
        <v>43</v>
      </c>
      <c r="B203" s="19" t="s">
        <v>85</v>
      </c>
      <c r="C203" s="19" t="s">
        <v>60</v>
      </c>
      <c r="D203" s="20" t="n">
        <v>39.8</v>
      </c>
      <c r="E203" s="21" t="n">
        <v>6268.04</v>
      </c>
      <c r="F203" s="22" t="n">
        <f aca="false">D203*E203</f>
        <v>249467.992</v>
      </c>
      <c r="G203" s="2"/>
    </row>
    <row r="204" customFormat="false" ht="15" hidden="false" customHeight="false" outlineLevel="0" collapsed="false">
      <c r="A204" s="19" t="s">
        <v>43</v>
      </c>
      <c r="B204" s="19" t="s">
        <v>85</v>
      </c>
      <c r="C204" s="19" t="s">
        <v>61</v>
      </c>
      <c r="D204" s="20" t="n">
        <v>38.8</v>
      </c>
      <c r="E204" s="21" t="n">
        <v>6294.92</v>
      </c>
      <c r="F204" s="22" t="n">
        <f aca="false">D204*E204</f>
        <v>244242.896</v>
      </c>
      <c r="G204" s="2"/>
    </row>
    <row r="205" customFormat="false" ht="15" hidden="false" customHeight="false" outlineLevel="0" collapsed="false">
      <c r="A205" s="19" t="s">
        <v>43</v>
      </c>
      <c r="B205" s="19" t="s">
        <v>85</v>
      </c>
      <c r="C205" s="19" t="s">
        <v>62</v>
      </c>
      <c r="D205" s="20" t="n">
        <v>41.3</v>
      </c>
      <c r="E205" s="21" t="n">
        <v>6278.97</v>
      </c>
      <c r="F205" s="22" t="n">
        <f aca="false">D205*E205</f>
        <v>259321.461</v>
      </c>
      <c r="G205" s="2"/>
    </row>
    <row r="206" customFormat="false" ht="15" hidden="false" customHeight="false" outlineLevel="0" collapsed="false">
      <c r="A206" s="19" t="s">
        <v>43</v>
      </c>
      <c r="B206" s="19" t="s">
        <v>85</v>
      </c>
      <c r="C206" s="19" t="s">
        <v>63</v>
      </c>
      <c r="D206" s="20" t="n">
        <v>42.5</v>
      </c>
      <c r="E206" s="21" t="n">
        <v>6307.67</v>
      </c>
      <c r="F206" s="22" t="n">
        <f aca="false">D206*E206</f>
        <v>268075.975</v>
      </c>
      <c r="G206" s="2"/>
    </row>
    <row r="207" customFormat="false" ht="15" hidden="false" customHeight="false" outlineLevel="0" collapsed="false">
      <c r="A207" s="19" t="s">
        <v>43</v>
      </c>
      <c r="B207" s="19" t="s">
        <v>85</v>
      </c>
      <c r="C207" s="19" t="s">
        <v>64</v>
      </c>
      <c r="D207" s="20" t="n">
        <v>43.1</v>
      </c>
      <c r="E207" s="21" t="n">
        <v>6337</v>
      </c>
      <c r="F207" s="22" t="n">
        <f aca="false">D207*E207</f>
        <v>273124.7</v>
      </c>
      <c r="G207" s="2"/>
    </row>
    <row r="208" customFormat="false" ht="15" hidden="false" customHeight="false" outlineLevel="0" collapsed="false">
      <c r="A208" s="19" t="s">
        <v>43</v>
      </c>
      <c r="B208" s="19" t="s">
        <v>85</v>
      </c>
      <c r="C208" s="19" t="s">
        <v>65</v>
      </c>
      <c r="D208" s="20" t="n">
        <v>45.5</v>
      </c>
      <c r="E208" s="21" t="n">
        <v>6324.01</v>
      </c>
      <c r="F208" s="22" t="n">
        <f aca="false">D208*E208</f>
        <v>287742.455</v>
      </c>
      <c r="G208" s="2"/>
    </row>
    <row r="209" customFormat="false" ht="15" hidden="false" customHeight="false" outlineLevel="0" collapsed="false">
      <c r="A209" s="19" t="s">
        <v>43</v>
      </c>
      <c r="B209" s="19" t="s">
        <v>85</v>
      </c>
      <c r="C209" s="19" t="s">
        <v>66</v>
      </c>
      <c r="D209" s="20" t="n">
        <v>44.8</v>
      </c>
      <c r="E209" s="21" t="n">
        <v>6332.15</v>
      </c>
      <c r="F209" s="22" t="n">
        <f aca="false">D209*E209</f>
        <v>283680.32</v>
      </c>
      <c r="G209" s="2"/>
    </row>
    <row r="210" customFormat="false" ht="15" hidden="false" customHeight="false" outlineLevel="0" collapsed="false">
      <c r="A210" s="19" t="s">
        <v>43</v>
      </c>
      <c r="B210" s="19" t="s">
        <v>85</v>
      </c>
      <c r="C210" s="19" t="s">
        <v>67</v>
      </c>
      <c r="D210" s="20" t="n">
        <v>44.4</v>
      </c>
      <c r="E210" s="21" t="n">
        <v>6367.09</v>
      </c>
      <c r="F210" s="22" t="n">
        <f aca="false">D210*E210</f>
        <v>282698.796</v>
      </c>
      <c r="G210" s="2"/>
    </row>
    <row r="211" customFormat="false" ht="15" hidden="false" customHeight="false" outlineLevel="0" collapsed="false">
      <c r="A211" s="19" t="s">
        <v>43</v>
      </c>
      <c r="B211" s="19" t="s">
        <v>85</v>
      </c>
      <c r="C211" s="19" t="s">
        <v>68</v>
      </c>
      <c r="D211" s="20" t="n">
        <v>47</v>
      </c>
      <c r="E211" s="21" t="n">
        <v>6390.51</v>
      </c>
      <c r="F211" s="22" t="n">
        <f aca="false">D211*E211</f>
        <v>300353.97</v>
      </c>
      <c r="G211" s="2"/>
    </row>
    <row r="212" customFormat="false" ht="15" hidden="false" customHeight="false" outlineLevel="0" collapsed="false">
      <c r="A212" s="19" t="s">
        <v>43</v>
      </c>
      <c r="B212" s="19" t="s">
        <v>85</v>
      </c>
      <c r="C212" s="19" t="s">
        <v>69</v>
      </c>
      <c r="D212" s="20" t="n">
        <v>47.9</v>
      </c>
      <c r="E212" s="21" t="n">
        <v>6374.31</v>
      </c>
      <c r="F212" s="22" t="n">
        <f aca="false">D212*E212</f>
        <v>305329.449</v>
      </c>
      <c r="G212" s="2"/>
    </row>
    <row r="213" customFormat="false" ht="15" hidden="false" customHeight="false" outlineLevel="0" collapsed="false">
      <c r="A213" s="19" t="s">
        <v>43</v>
      </c>
      <c r="B213" s="19" t="s">
        <v>85</v>
      </c>
      <c r="C213" s="19" t="s">
        <v>70</v>
      </c>
      <c r="D213" s="20" t="n">
        <v>50.9</v>
      </c>
      <c r="E213" s="21" t="n">
        <v>6364.36</v>
      </c>
      <c r="F213" s="22" t="n">
        <f aca="false">D213*E213</f>
        <v>323945.924</v>
      </c>
      <c r="G213" s="2"/>
    </row>
    <row r="214" customFormat="false" ht="15" hidden="false" customHeight="false" outlineLevel="0" collapsed="false">
      <c r="A214" s="19" t="s">
        <v>43</v>
      </c>
      <c r="B214" s="19" t="s">
        <v>85</v>
      </c>
      <c r="C214" s="19" t="s">
        <v>71</v>
      </c>
      <c r="D214" s="20" t="n">
        <v>52.7</v>
      </c>
      <c r="E214" s="21" t="n">
        <v>6383.64</v>
      </c>
      <c r="F214" s="22" t="n">
        <f aca="false">D214*E214</f>
        <v>336417.828</v>
      </c>
      <c r="G214" s="2"/>
    </row>
    <row r="215" customFormat="false" ht="15" hidden="false" customHeight="false" outlineLevel="0" collapsed="false">
      <c r="A215" s="19" t="s">
        <v>43</v>
      </c>
      <c r="B215" s="19" t="s">
        <v>85</v>
      </c>
      <c r="C215" s="19" t="s">
        <v>72</v>
      </c>
      <c r="D215" s="20" t="n">
        <v>56.1</v>
      </c>
      <c r="E215" s="21" t="n">
        <v>6399.34</v>
      </c>
      <c r="F215" s="22" t="n">
        <f aca="false">D215*E215</f>
        <v>359002.974</v>
      </c>
      <c r="G215" s="2"/>
    </row>
    <row r="216" customFormat="false" ht="15" hidden="false" customHeight="false" outlineLevel="0" collapsed="false">
      <c r="A216" s="19" t="s">
        <v>43</v>
      </c>
      <c r="B216" s="19" t="s">
        <v>85</v>
      </c>
      <c r="C216" s="19" t="s">
        <v>73</v>
      </c>
      <c r="D216" s="20" t="n">
        <v>58.8</v>
      </c>
      <c r="E216" s="21" t="n">
        <v>6420.27</v>
      </c>
      <c r="F216" s="22" t="n">
        <f aca="false">D216*E216</f>
        <v>377511.876</v>
      </c>
      <c r="G216" s="2"/>
    </row>
    <row r="217" customFormat="false" ht="15" hidden="false" customHeight="false" outlineLevel="0" collapsed="false">
      <c r="A217" s="19" t="s">
        <v>43</v>
      </c>
      <c r="B217" s="19" t="s">
        <v>85</v>
      </c>
      <c r="C217" s="19" t="s">
        <v>74</v>
      </c>
      <c r="D217" s="20" t="n">
        <v>60</v>
      </c>
      <c r="E217" s="21" t="n">
        <v>6424.81</v>
      </c>
      <c r="F217" s="22" t="n">
        <f aca="false">D217*E217</f>
        <v>385488.6</v>
      </c>
      <c r="G217" s="2"/>
    </row>
    <row r="218" customFormat="false" ht="15" hidden="false" customHeight="false" outlineLevel="0" collapsed="false">
      <c r="A218" s="19" t="s">
        <v>43</v>
      </c>
      <c r="B218" s="19" t="s">
        <v>85</v>
      </c>
      <c r="C218" s="19" t="s">
        <v>75</v>
      </c>
      <c r="D218" s="20" t="n">
        <v>62.3</v>
      </c>
      <c r="E218" s="21" t="n">
        <v>6405.55</v>
      </c>
      <c r="F218" s="22" t="n">
        <f aca="false">D218*E218</f>
        <v>399065.765</v>
      </c>
      <c r="G218" s="2"/>
    </row>
    <row r="219" customFormat="false" ht="15" hidden="false" customHeight="false" outlineLevel="0" collapsed="false">
      <c r="A219" s="19" t="s">
        <v>43</v>
      </c>
      <c r="B219" s="19" t="s">
        <v>85</v>
      </c>
      <c r="C219" s="19" t="s">
        <v>76</v>
      </c>
      <c r="D219" s="20" t="n">
        <v>60.9</v>
      </c>
      <c r="E219" s="21" t="n">
        <v>6395.02</v>
      </c>
      <c r="F219" s="22" t="n">
        <f aca="false">D219*E219</f>
        <v>389456.718</v>
      </c>
      <c r="G219" s="2"/>
    </row>
    <row r="220" customFormat="false" ht="15" hidden="false" customHeight="false" outlineLevel="0" collapsed="false">
      <c r="A220" s="19" t="s">
        <v>43</v>
      </c>
      <c r="B220" s="19" t="s">
        <v>85</v>
      </c>
      <c r="C220" s="19" t="s">
        <v>77</v>
      </c>
      <c r="D220" s="20" t="n">
        <v>59.4</v>
      </c>
      <c r="E220" s="21" t="n">
        <v>6413.55</v>
      </c>
      <c r="F220" s="22" t="n">
        <f aca="false">D220*E220</f>
        <v>380964.87</v>
      </c>
      <c r="G220" s="2"/>
    </row>
    <row r="221" customFormat="false" ht="15" hidden="false" customHeight="false" outlineLevel="0" collapsed="false">
      <c r="A221" s="19" t="s">
        <v>43</v>
      </c>
      <c r="B221" s="19" t="s">
        <v>85</v>
      </c>
      <c r="C221" s="19" t="s">
        <v>78</v>
      </c>
      <c r="D221" s="20" t="n">
        <v>60.4</v>
      </c>
      <c r="E221" s="21" t="n">
        <v>6444.61</v>
      </c>
      <c r="F221" s="22" t="n">
        <f aca="false">D221*E221</f>
        <v>389254.444</v>
      </c>
      <c r="G221" s="2"/>
    </row>
    <row r="222" customFormat="false" ht="15" hidden="false" customHeight="false" outlineLevel="0" collapsed="false">
      <c r="A222" s="19" t="s">
        <v>43</v>
      </c>
      <c r="B222" s="19" t="s">
        <v>85</v>
      </c>
      <c r="C222" s="19" t="s">
        <v>79</v>
      </c>
      <c r="D222" s="20" t="n">
        <v>63.9</v>
      </c>
      <c r="E222" s="21" t="n">
        <v>6432.31</v>
      </c>
      <c r="F222" s="22" t="n">
        <f aca="false">D222*E222</f>
        <v>411024.609</v>
      </c>
      <c r="G222" s="2"/>
    </row>
    <row r="223" customFormat="false" ht="15" hidden="false" customHeight="false" outlineLevel="0" collapsed="false">
      <c r="A223" s="19" t="s">
        <v>43</v>
      </c>
      <c r="B223" s="19" t="s">
        <v>85</v>
      </c>
      <c r="C223" s="19" t="s">
        <v>80</v>
      </c>
      <c r="D223" s="20" t="n">
        <v>65.6</v>
      </c>
      <c r="E223" s="21" t="n">
        <v>6456.58</v>
      </c>
      <c r="F223" s="22" t="n">
        <f aca="false">D223*E223</f>
        <v>423551.648</v>
      </c>
      <c r="G223" s="2"/>
    </row>
    <row r="224" customFormat="false" ht="15" hidden="false" customHeight="false" outlineLevel="0" collapsed="false">
      <c r="A224" s="19" t="s">
        <v>86</v>
      </c>
      <c r="B224" s="19" t="s">
        <v>44</v>
      </c>
      <c r="C224" s="19" t="s">
        <v>45</v>
      </c>
      <c r="D224" s="20" t="n">
        <v>126.1</v>
      </c>
      <c r="E224" s="21" t="n">
        <v>2591.71</v>
      </c>
      <c r="F224" s="22" t="n">
        <f aca="false">D224*E224</f>
        <v>326814.631</v>
      </c>
      <c r="G224" s="2"/>
    </row>
    <row r="225" customFormat="false" ht="15" hidden="false" customHeight="false" outlineLevel="0" collapsed="false">
      <c r="A225" s="19" t="s">
        <v>86</v>
      </c>
      <c r="B225" s="19" t="s">
        <v>44</v>
      </c>
      <c r="C225" s="19" t="s">
        <v>46</v>
      </c>
      <c r="D225" s="20" t="n">
        <v>127.4</v>
      </c>
      <c r="E225" s="21" t="n">
        <v>2584.82</v>
      </c>
      <c r="F225" s="22" t="n">
        <f aca="false">D225*E225</f>
        <v>329306.068</v>
      </c>
      <c r="G225" s="2"/>
    </row>
    <row r="226" customFormat="false" ht="15" hidden="false" customHeight="false" outlineLevel="0" collapsed="false">
      <c r="A226" s="19" t="s">
        <v>86</v>
      </c>
      <c r="B226" s="19" t="s">
        <v>44</v>
      </c>
      <c r="C226" s="19" t="s">
        <v>47</v>
      </c>
      <c r="D226" s="20" t="n">
        <v>126.6</v>
      </c>
      <c r="E226" s="21" t="n">
        <v>2578.82</v>
      </c>
      <c r="F226" s="22" t="n">
        <f aca="false">D226*E226</f>
        <v>326478.612</v>
      </c>
      <c r="G226" s="2"/>
    </row>
    <row r="227" customFormat="false" ht="15" hidden="false" customHeight="false" outlineLevel="0" collapsed="false">
      <c r="A227" s="19" t="s">
        <v>86</v>
      </c>
      <c r="B227" s="19" t="s">
        <v>44</v>
      </c>
      <c r="C227" s="19" t="s">
        <v>48</v>
      </c>
      <c r="D227" s="20" t="n">
        <v>127</v>
      </c>
      <c r="E227" s="21" t="n">
        <v>2585.49</v>
      </c>
      <c r="F227" s="22" t="n">
        <f aca="false">D227*E227</f>
        <v>328357.23</v>
      </c>
      <c r="G227" s="2"/>
    </row>
    <row r="228" customFormat="false" ht="15" hidden="false" customHeight="false" outlineLevel="0" collapsed="false">
      <c r="A228" s="19" t="s">
        <v>86</v>
      </c>
      <c r="B228" s="19" t="s">
        <v>44</v>
      </c>
      <c r="C228" s="19" t="s">
        <v>49</v>
      </c>
      <c r="D228" s="20" t="n">
        <v>132.5</v>
      </c>
      <c r="E228" s="21" t="n">
        <v>2592.25</v>
      </c>
      <c r="F228" s="22" t="n">
        <f aca="false">D228*E228</f>
        <v>343473.125</v>
      </c>
      <c r="G228" s="2"/>
    </row>
    <row r="229" customFormat="false" ht="15" hidden="false" customHeight="false" outlineLevel="0" collapsed="false">
      <c r="A229" s="19" t="s">
        <v>86</v>
      </c>
      <c r="B229" s="19" t="s">
        <v>44</v>
      </c>
      <c r="C229" s="19" t="s">
        <v>50</v>
      </c>
      <c r="D229" s="20" t="n">
        <v>137.6</v>
      </c>
      <c r="E229" s="21" t="n">
        <v>2606.54</v>
      </c>
      <c r="F229" s="22" t="n">
        <f aca="false">D229*E229</f>
        <v>358659.904</v>
      </c>
      <c r="G229" s="2"/>
    </row>
    <row r="230" customFormat="false" ht="15" hidden="false" customHeight="false" outlineLevel="0" collapsed="false">
      <c r="A230" s="19" t="s">
        <v>86</v>
      </c>
      <c r="B230" s="19" t="s">
        <v>44</v>
      </c>
      <c r="C230" s="19" t="s">
        <v>51</v>
      </c>
      <c r="D230" s="20" t="n">
        <v>135.3</v>
      </c>
      <c r="E230" s="21" t="n">
        <v>2607.19</v>
      </c>
      <c r="F230" s="22" t="n">
        <f aca="false">D230*E230</f>
        <v>352752.807</v>
      </c>
      <c r="G230" s="2"/>
    </row>
    <row r="231" customFormat="false" ht="15" hidden="false" customHeight="false" outlineLevel="0" collapsed="false">
      <c r="A231" s="19" t="s">
        <v>86</v>
      </c>
      <c r="B231" s="19" t="s">
        <v>44</v>
      </c>
      <c r="C231" s="19" t="s">
        <v>52</v>
      </c>
      <c r="D231" s="20" t="n">
        <v>141.3</v>
      </c>
      <c r="E231" s="21" t="n">
        <v>2600.06</v>
      </c>
      <c r="F231" s="22" t="n">
        <f aca="false">D231*E231</f>
        <v>367388.478</v>
      </c>
      <c r="G231" s="2"/>
    </row>
    <row r="232" customFormat="false" ht="15" hidden="false" customHeight="false" outlineLevel="0" collapsed="false">
      <c r="A232" s="19" t="s">
        <v>86</v>
      </c>
      <c r="B232" s="19" t="s">
        <v>44</v>
      </c>
      <c r="C232" s="19" t="s">
        <v>53</v>
      </c>
      <c r="D232" s="20" t="n">
        <v>139.6</v>
      </c>
      <c r="E232" s="21" t="n">
        <v>2592.58</v>
      </c>
      <c r="F232" s="22" t="n">
        <f aca="false">D232*E232</f>
        <v>361924.168</v>
      </c>
      <c r="G232" s="2"/>
    </row>
    <row r="233" customFormat="false" ht="15" hidden="false" customHeight="false" outlineLevel="0" collapsed="false">
      <c r="A233" s="19" t="s">
        <v>86</v>
      </c>
      <c r="B233" s="19" t="s">
        <v>44</v>
      </c>
      <c r="C233" s="19" t="s">
        <v>54</v>
      </c>
      <c r="D233" s="20" t="n">
        <v>147.7</v>
      </c>
      <c r="E233" s="21" t="n">
        <v>2597.07</v>
      </c>
      <c r="F233" s="22" t="n">
        <f aca="false">D233*E233</f>
        <v>383587.239</v>
      </c>
      <c r="G233" s="2"/>
    </row>
    <row r="234" customFormat="false" ht="15" hidden="false" customHeight="false" outlineLevel="0" collapsed="false">
      <c r="A234" s="19" t="s">
        <v>86</v>
      </c>
      <c r="B234" s="19" t="s">
        <v>44</v>
      </c>
      <c r="C234" s="19" t="s">
        <v>55</v>
      </c>
      <c r="D234" s="20" t="n">
        <v>144.4</v>
      </c>
      <c r="E234" s="21" t="n">
        <v>2599.42</v>
      </c>
      <c r="F234" s="22" t="n">
        <f aca="false">D234*E234</f>
        <v>375356.248</v>
      </c>
      <c r="G234" s="2"/>
    </row>
    <row r="235" customFormat="false" ht="15" hidden="false" customHeight="false" outlineLevel="0" collapsed="false">
      <c r="A235" s="19" t="s">
        <v>86</v>
      </c>
      <c r="B235" s="19" t="s">
        <v>44</v>
      </c>
      <c r="C235" s="19" t="s">
        <v>56</v>
      </c>
      <c r="D235" s="20" t="n">
        <v>140.5</v>
      </c>
      <c r="E235" s="21" t="n">
        <v>2605.78</v>
      </c>
      <c r="F235" s="22" t="n">
        <f aca="false">D235*E235</f>
        <v>366112.09</v>
      </c>
      <c r="G235" s="2"/>
    </row>
    <row r="236" customFormat="false" ht="15" hidden="false" customHeight="false" outlineLevel="0" collapsed="false">
      <c r="A236" s="19" t="s">
        <v>86</v>
      </c>
      <c r="B236" s="19" t="s">
        <v>44</v>
      </c>
      <c r="C236" s="19" t="s">
        <v>57</v>
      </c>
      <c r="D236" s="20" t="n">
        <v>148.7</v>
      </c>
      <c r="E236" s="21" t="n">
        <v>2608.86</v>
      </c>
      <c r="F236" s="22" t="n">
        <f aca="false">D236*E236</f>
        <v>387937.482</v>
      </c>
      <c r="G236" s="2"/>
    </row>
    <row r="237" customFormat="false" ht="15" hidden="false" customHeight="false" outlineLevel="0" collapsed="false">
      <c r="A237" s="19" t="s">
        <v>86</v>
      </c>
      <c r="B237" s="19" t="s">
        <v>44</v>
      </c>
      <c r="C237" s="19" t="s">
        <v>58</v>
      </c>
      <c r="D237" s="20" t="n">
        <v>144.8</v>
      </c>
      <c r="E237" s="21" t="n">
        <v>2623.45</v>
      </c>
      <c r="F237" s="22" t="n">
        <f aca="false">D237*E237</f>
        <v>379875.56</v>
      </c>
      <c r="G237" s="2"/>
    </row>
    <row r="238" customFormat="false" ht="15" hidden="false" customHeight="false" outlineLevel="0" collapsed="false">
      <c r="A238" s="19" t="s">
        <v>86</v>
      </c>
      <c r="B238" s="19" t="s">
        <v>44</v>
      </c>
      <c r="C238" s="19" t="s">
        <v>59</v>
      </c>
      <c r="D238" s="20" t="n">
        <v>150.5</v>
      </c>
      <c r="E238" s="21" t="n">
        <v>2618.46</v>
      </c>
      <c r="F238" s="22" t="n">
        <f aca="false">D238*E238</f>
        <v>394078.23</v>
      </c>
      <c r="G238" s="2"/>
    </row>
    <row r="239" customFormat="false" ht="15" hidden="false" customHeight="false" outlineLevel="0" collapsed="false">
      <c r="A239" s="19" t="s">
        <v>86</v>
      </c>
      <c r="B239" s="19" t="s">
        <v>44</v>
      </c>
      <c r="C239" s="19" t="s">
        <v>60</v>
      </c>
      <c r="D239" s="20" t="n">
        <v>149.4</v>
      </c>
      <c r="E239" s="21" t="n">
        <v>2611.17</v>
      </c>
      <c r="F239" s="22" t="n">
        <f aca="false">D239*E239</f>
        <v>390108.798</v>
      </c>
      <c r="G239" s="2"/>
    </row>
    <row r="240" customFormat="false" ht="15" hidden="false" customHeight="false" outlineLevel="0" collapsed="false">
      <c r="A240" s="19" t="s">
        <v>86</v>
      </c>
      <c r="B240" s="19" t="s">
        <v>44</v>
      </c>
      <c r="C240" s="19" t="s">
        <v>61</v>
      </c>
      <c r="D240" s="20" t="n">
        <v>151.4</v>
      </c>
      <c r="E240" s="21" t="n">
        <v>2618.03</v>
      </c>
      <c r="F240" s="22" t="n">
        <f aca="false">D240*E240</f>
        <v>396369.742</v>
      </c>
      <c r="G240" s="2"/>
    </row>
    <row r="241" customFormat="false" ht="15" hidden="false" customHeight="false" outlineLevel="0" collapsed="false">
      <c r="A241" s="19" t="s">
        <v>86</v>
      </c>
      <c r="B241" s="19" t="s">
        <v>44</v>
      </c>
      <c r="C241" s="19" t="s">
        <v>62</v>
      </c>
      <c r="D241" s="20" t="n">
        <v>153.1</v>
      </c>
      <c r="E241" s="21" t="n">
        <v>2625.48</v>
      </c>
      <c r="F241" s="22" t="n">
        <f aca="false">D241*E241</f>
        <v>401960.988</v>
      </c>
      <c r="G241" s="2"/>
    </row>
    <row r="242" customFormat="false" ht="15" hidden="false" customHeight="false" outlineLevel="0" collapsed="false">
      <c r="A242" s="19" t="s">
        <v>86</v>
      </c>
      <c r="B242" s="19" t="s">
        <v>44</v>
      </c>
      <c r="C242" s="19" t="s">
        <v>63</v>
      </c>
      <c r="D242" s="20" t="n">
        <v>156.1</v>
      </c>
      <c r="E242" s="21" t="n">
        <v>2636.07</v>
      </c>
      <c r="F242" s="22" t="n">
        <f aca="false">D242*E242</f>
        <v>411490.527</v>
      </c>
      <c r="G242" s="2"/>
    </row>
    <row r="243" customFormat="false" ht="15" hidden="false" customHeight="false" outlineLevel="0" collapsed="false">
      <c r="A243" s="19" t="s">
        <v>86</v>
      </c>
      <c r="B243" s="19" t="s">
        <v>44</v>
      </c>
      <c r="C243" s="19" t="s">
        <v>64</v>
      </c>
      <c r="D243" s="20" t="n">
        <v>156.4</v>
      </c>
      <c r="E243" s="21" t="n">
        <v>2644.36</v>
      </c>
      <c r="F243" s="22" t="n">
        <f aca="false">D243*E243</f>
        <v>413577.904</v>
      </c>
      <c r="G243" s="2"/>
    </row>
    <row r="244" customFormat="false" ht="15" hidden="false" customHeight="false" outlineLevel="0" collapsed="false">
      <c r="A244" s="19" t="s">
        <v>86</v>
      </c>
      <c r="B244" s="19" t="s">
        <v>44</v>
      </c>
      <c r="C244" s="19" t="s">
        <v>65</v>
      </c>
      <c r="D244" s="20" t="n">
        <v>157</v>
      </c>
      <c r="E244" s="21" t="n">
        <v>2660.01</v>
      </c>
      <c r="F244" s="22" t="n">
        <f aca="false">D244*E244</f>
        <v>417621.57</v>
      </c>
      <c r="G244" s="2"/>
    </row>
    <row r="245" customFormat="false" ht="15" hidden="false" customHeight="false" outlineLevel="0" collapsed="false">
      <c r="A245" s="19" t="s">
        <v>86</v>
      </c>
      <c r="B245" s="19" t="s">
        <v>44</v>
      </c>
      <c r="C245" s="19" t="s">
        <v>66</v>
      </c>
      <c r="D245" s="20" t="n">
        <v>161.1</v>
      </c>
      <c r="E245" s="21" t="n">
        <v>2665.8</v>
      </c>
      <c r="F245" s="22" t="n">
        <f aca="false">D245*E245</f>
        <v>429460.38</v>
      </c>
      <c r="G245" s="2"/>
    </row>
    <row r="246" customFormat="false" ht="15" hidden="false" customHeight="false" outlineLevel="0" collapsed="false">
      <c r="A246" s="19" t="s">
        <v>86</v>
      </c>
      <c r="B246" s="19" t="s">
        <v>44</v>
      </c>
      <c r="C246" s="19" t="s">
        <v>67</v>
      </c>
      <c r="D246" s="20" t="n">
        <v>158.1</v>
      </c>
      <c r="E246" s="21" t="n">
        <v>2665.84</v>
      </c>
      <c r="F246" s="22" t="n">
        <f aca="false">D246*E246</f>
        <v>421469.304</v>
      </c>
      <c r="G246" s="2"/>
    </row>
    <row r="247" customFormat="false" ht="15" hidden="false" customHeight="false" outlineLevel="0" collapsed="false">
      <c r="A247" s="19" t="s">
        <v>86</v>
      </c>
      <c r="B247" s="19" t="s">
        <v>44</v>
      </c>
      <c r="C247" s="19" t="s">
        <v>68</v>
      </c>
      <c r="D247" s="20" t="n">
        <v>158</v>
      </c>
      <c r="E247" s="21" t="n">
        <v>2677.73</v>
      </c>
      <c r="F247" s="22" t="n">
        <f aca="false">D247*E247</f>
        <v>423081.34</v>
      </c>
      <c r="G247" s="2"/>
    </row>
    <row r="248" customFormat="false" ht="15" hidden="false" customHeight="false" outlineLevel="0" collapsed="false">
      <c r="A248" s="19" t="s">
        <v>86</v>
      </c>
      <c r="B248" s="19" t="s">
        <v>44</v>
      </c>
      <c r="C248" s="19" t="s">
        <v>69</v>
      </c>
      <c r="D248" s="20" t="n">
        <v>160</v>
      </c>
      <c r="E248" s="21" t="n">
        <v>2691.42</v>
      </c>
      <c r="F248" s="22" t="n">
        <f aca="false">D248*E248</f>
        <v>430627.2</v>
      </c>
      <c r="G248" s="2"/>
    </row>
    <row r="249" customFormat="false" ht="15" hidden="false" customHeight="false" outlineLevel="0" collapsed="false">
      <c r="A249" s="19" t="s">
        <v>86</v>
      </c>
      <c r="B249" s="19" t="s">
        <v>44</v>
      </c>
      <c r="C249" s="19" t="s">
        <v>70</v>
      </c>
      <c r="D249" s="20" t="n">
        <v>161.4</v>
      </c>
      <c r="E249" s="21" t="n">
        <v>2698.41</v>
      </c>
      <c r="F249" s="22" t="n">
        <f aca="false">D249*E249</f>
        <v>435523.374</v>
      </c>
      <c r="G249" s="2"/>
    </row>
    <row r="250" customFormat="false" ht="15" hidden="false" customHeight="false" outlineLevel="0" collapsed="false">
      <c r="A250" s="19" t="s">
        <v>86</v>
      </c>
      <c r="B250" s="19" t="s">
        <v>44</v>
      </c>
      <c r="C250" s="19" t="s">
        <v>71</v>
      </c>
      <c r="D250" s="20" t="n">
        <v>166.9</v>
      </c>
      <c r="E250" s="21" t="n">
        <v>2693.42</v>
      </c>
      <c r="F250" s="22" t="n">
        <f aca="false">D250*E250</f>
        <v>449531.798</v>
      </c>
      <c r="G250" s="2"/>
    </row>
    <row r="251" customFormat="false" ht="15" hidden="false" customHeight="false" outlineLevel="0" collapsed="false">
      <c r="A251" s="19" t="s">
        <v>86</v>
      </c>
      <c r="B251" s="19" t="s">
        <v>44</v>
      </c>
      <c r="C251" s="19" t="s">
        <v>72</v>
      </c>
      <c r="D251" s="20" t="n">
        <v>165</v>
      </c>
      <c r="E251" s="21" t="n">
        <v>2695.75</v>
      </c>
      <c r="F251" s="22" t="n">
        <f aca="false">D251*E251</f>
        <v>444798.75</v>
      </c>
      <c r="G251" s="2"/>
    </row>
    <row r="252" customFormat="false" ht="15" hidden="false" customHeight="false" outlineLevel="0" collapsed="false">
      <c r="A252" s="19" t="s">
        <v>86</v>
      </c>
      <c r="B252" s="19" t="s">
        <v>44</v>
      </c>
      <c r="C252" s="19" t="s">
        <v>73</v>
      </c>
      <c r="D252" s="20" t="n">
        <v>165.6</v>
      </c>
      <c r="E252" s="21" t="n">
        <v>2700.76</v>
      </c>
      <c r="F252" s="22" t="n">
        <f aca="false">D252*E252</f>
        <v>447245.856</v>
      </c>
      <c r="G252" s="2"/>
    </row>
    <row r="253" customFormat="false" ht="15" hidden="false" customHeight="false" outlineLevel="0" collapsed="false">
      <c r="A253" s="19" t="s">
        <v>86</v>
      </c>
      <c r="B253" s="19" t="s">
        <v>44</v>
      </c>
      <c r="C253" s="19" t="s">
        <v>74</v>
      </c>
      <c r="D253" s="20" t="n">
        <v>163</v>
      </c>
      <c r="E253" s="21" t="n">
        <v>2711.31</v>
      </c>
      <c r="F253" s="22" t="n">
        <f aca="false">D253*E253</f>
        <v>441943.53</v>
      </c>
      <c r="G253" s="2"/>
    </row>
    <row r="254" customFormat="false" ht="15" hidden="false" customHeight="false" outlineLevel="0" collapsed="false">
      <c r="A254" s="19" t="s">
        <v>86</v>
      </c>
      <c r="B254" s="19" t="s">
        <v>44</v>
      </c>
      <c r="C254" s="19" t="s">
        <v>75</v>
      </c>
      <c r="D254" s="20" t="n">
        <v>160.5</v>
      </c>
      <c r="E254" s="21" t="n">
        <v>2710.7</v>
      </c>
      <c r="F254" s="22" t="n">
        <f aca="false">D254*E254</f>
        <v>435067.35</v>
      </c>
      <c r="G254" s="2"/>
    </row>
    <row r="255" customFormat="false" ht="15" hidden="false" customHeight="false" outlineLevel="0" collapsed="false">
      <c r="A255" s="19" t="s">
        <v>86</v>
      </c>
      <c r="B255" s="19" t="s">
        <v>44</v>
      </c>
      <c r="C255" s="19" t="s">
        <v>76</v>
      </c>
      <c r="D255" s="20" t="n">
        <v>170.3</v>
      </c>
      <c r="E255" s="21" t="n">
        <v>2708.08</v>
      </c>
      <c r="F255" s="22" t="n">
        <f aca="false">D255*E255</f>
        <v>461186.024</v>
      </c>
      <c r="G255" s="2"/>
    </row>
    <row r="256" customFormat="false" ht="15" hidden="false" customHeight="false" outlineLevel="0" collapsed="false">
      <c r="A256" s="19" t="s">
        <v>86</v>
      </c>
      <c r="B256" s="19" t="s">
        <v>44</v>
      </c>
      <c r="C256" s="19" t="s">
        <v>77</v>
      </c>
      <c r="D256" s="20" t="n">
        <v>174.2</v>
      </c>
      <c r="E256" s="21" t="n">
        <v>2718.62</v>
      </c>
      <c r="F256" s="22" t="n">
        <f aca="false">D256*E256</f>
        <v>473583.604</v>
      </c>
      <c r="G256" s="2"/>
    </row>
    <row r="257" customFormat="false" ht="15" hidden="false" customHeight="false" outlineLevel="0" collapsed="false">
      <c r="A257" s="19" t="s">
        <v>86</v>
      </c>
      <c r="B257" s="19" t="s">
        <v>44</v>
      </c>
      <c r="C257" s="19" t="s">
        <v>78</v>
      </c>
      <c r="D257" s="20" t="n">
        <v>174.6</v>
      </c>
      <c r="E257" s="21" t="n">
        <v>2711.58</v>
      </c>
      <c r="F257" s="22" t="n">
        <f aca="false">D257*E257</f>
        <v>473441.868</v>
      </c>
      <c r="G257" s="2"/>
    </row>
    <row r="258" customFormat="false" ht="15" hidden="false" customHeight="false" outlineLevel="0" collapsed="false">
      <c r="A258" s="19" t="s">
        <v>86</v>
      </c>
      <c r="B258" s="19" t="s">
        <v>44</v>
      </c>
      <c r="C258" s="19" t="s">
        <v>79</v>
      </c>
      <c r="D258" s="20" t="n">
        <v>185</v>
      </c>
      <c r="E258" s="21" t="n">
        <v>2709.78</v>
      </c>
      <c r="F258" s="22" t="n">
        <f aca="false">D258*E258</f>
        <v>501309.3</v>
      </c>
      <c r="G258" s="2"/>
    </row>
    <row r="259" customFormat="false" ht="15" hidden="false" customHeight="false" outlineLevel="0" collapsed="false">
      <c r="A259" s="19" t="s">
        <v>86</v>
      </c>
      <c r="B259" s="19" t="s">
        <v>44</v>
      </c>
      <c r="C259" s="19" t="s">
        <v>80</v>
      </c>
      <c r="D259" s="20" t="n">
        <v>186.7</v>
      </c>
      <c r="E259" s="21" t="n">
        <v>2704.23</v>
      </c>
      <c r="F259" s="22" t="n">
        <f aca="false">D259*E259</f>
        <v>504879.741</v>
      </c>
      <c r="G259" s="2"/>
    </row>
    <row r="260" customFormat="false" ht="15" hidden="false" customHeight="false" outlineLevel="0" collapsed="false">
      <c r="A260" s="19" t="s">
        <v>86</v>
      </c>
      <c r="B260" s="19" t="s">
        <v>81</v>
      </c>
      <c r="C260" s="19" t="s">
        <v>45</v>
      </c>
      <c r="D260" s="20" t="n">
        <v>137.2</v>
      </c>
      <c r="E260" s="21" t="n">
        <v>2961.71</v>
      </c>
      <c r="F260" s="22" t="n">
        <f aca="false">D260*E260</f>
        <v>406346.612</v>
      </c>
      <c r="G260" s="2"/>
    </row>
    <row r="261" customFormat="false" ht="15" hidden="false" customHeight="false" outlineLevel="0" collapsed="false">
      <c r="A261" s="19" t="s">
        <v>86</v>
      </c>
      <c r="B261" s="19" t="s">
        <v>81</v>
      </c>
      <c r="C261" s="19" t="s">
        <v>46</v>
      </c>
      <c r="D261" s="20" t="n">
        <v>143.5</v>
      </c>
      <c r="E261" s="21" t="n">
        <v>2976.93</v>
      </c>
      <c r="F261" s="22" t="n">
        <f aca="false">D261*E261</f>
        <v>427189.455</v>
      </c>
      <c r="G261" s="2"/>
    </row>
    <row r="262" customFormat="false" ht="15" hidden="false" customHeight="false" outlineLevel="0" collapsed="false">
      <c r="A262" s="19" t="s">
        <v>86</v>
      </c>
      <c r="B262" s="19" t="s">
        <v>81</v>
      </c>
      <c r="C262" s="19" t="s">
        <v>47</v>
      </c>
      <c r="D262" s="20" t="n">
        <v>140.3</v>
      </c>
      <c r="E262" s="21" t="n">
        <v>2989</v>
      </c>
      <c r="F262" s="22" t="n">
        <f aca="false">D262*E262</f>
        <v>419356.7</v>
      </c>
      <c r="G262" s="2"/>
    </row>
    <row r="263" customFormat="false" ht="15" hidden="false" customHeight="false" outlineLevel="0" collapsed="false">
      <c r="A263" s="19" t="s">
        <v>86</v>
      </c>
      <c r="B263" s="19" t="s">
        <v>81</v>
      </c>
      <c r="C263" s="19" t="s">
        <v>48</v>
      </c>
      <c r="D263" s="20" t="n">
        <v>147.5</v>
      </c>
      <c r="E263" s="21" t="n">
        <v>2999.27</v>
      </c>
      <c r="F263" s="22" t="n">
        <f aca="false">D263*E263</f>
        <v>442392.325</v>
      </c>
      <c r="G263" s="2"/>
    </row>
    <row r="264" customFormat="false" ht="15" hidden="false" customHeight="false" outlineLevel="0" collapsed="false">
      <c r="A264" s="19" t="s">
        <v>86</v>
      </c>
      <c r="B264" s="19" t="s">
        <v>81</v>
      </c>
      <c r="C264" s="19" t="s">
        <v>49</v>
      </c>
      <c r="D264" s="20" t="n">
        <v>154.7</v>
      </c>
      <c r="E264" s="21" t="n">
        <v>3002.39</v>
      </c>
      <c r="F264" s="22" t="n">
        <f aca="false">D264*E264</f>
        <v>464469.733</v>
      </c>
      <c r="G264" s="2"/>
    </row>
    <row r="265" customFormat="false" ht="15" hidden="false" customHeight="false" outlineLevel="0" collapsed="false">
      <c r="A265" s="19" t="s">
        <v>86</v>
      </c>
      <c r="B265" s="19" t="s">
        <v>81</v>
      </c>
      <c r="C265" s="19" t="s">
        <v>50</v>
      </c>
      <c r="D265" s="20" t="n">
        <v>163.3</v>
      </c>
      <c r="E265" s="21" t="n">
        <v>3005.32</v>
      </c>
      <c r="F265" s="22" t="n">
        <f aca="false">D265*E265</f>
        <v>490768.756</v>
      </c>
      <c r="G265" s="2"/>
    </row>
    <row r="266" customFormat="false" ht="15" hidden="false" customHeight="false" outlineLevel="0" collapsed="false">
      <c r="A266" s="19" t="s">
        <v>86</v>
      </c>
      <c r="B266" s="19" t="s">
        <v>81</v>
      </c>
      <c r="C266" s="19" t="s">
        <v>51</v>
      </c>
      <c r="D266" s="20" t="n">
        <v>171.3</v>
      </c>
      <c r="E266" s="21" t="n">
        <v>3011.44</v>
      </c>
      <c r="F266" s="22" t="n">
        <f aca="false">D266*E266</f>
        <v>515859.672</v>
      </c>
      <c r="G266" s="2"/>
    </row>
    <row r="267" customFormat="false" ht="15" hidden="false" customHeight="false" outlineLevel="0" collapsed="false">
      <c r="A267" s="19" t="s">
        <v>86</v>
      </c>
      <c r="B267" s="19" t="s">
        <v>81</v>
      </c>
      <c r="C267" s="19" t="s">
        <v>52</v>
      </c>
      <c r="D267" s="20" t="n">
        <v>179.5</v>
      </c>
      <c r="E267" s="21" t="n">
        <v>3013.78</v>
      </c>
      <c r="F267" s="22" t="n">
        <f aca="false">D267*E267</f>
        <v>540973.51</v>
      </c>
      <c r="G267" s="2"/>
    </row>
    <row r="268" customFormat="false" ht="15" hidden="false" customHeight="false" outlineLevel="0" collapsed="false">
      <c r="A268" s="19" t="s">
        <v>86</v>
      </c>
      <c r="B268" s="19" t="s">
        <v>81</v>
      </c>
      <c r="C268" s="19" t="s">
        <v>53</v>
      </c>
      <c r="D268" s="20" t="n">
        <v>182</v>
      </c>
      <c r="E268" s="21" t="n">
        <v>3027.36</v>
      </c>
      <c r="F268" s="22" t="n">
        <f aca="false">D268*E268</f>
        <v>550979.52</v>
      </c>
      <c r="G268" s="2"/>
    </row>
    <row r="269" customFormat="false" ht="15" hidden="false" customHeight="false" outlineLevel="0" collapsed="false">
      <c r="A269" s="19" t="s">
        <v>86</v>
      </c>
      <c r="B269" s="19" t="s">
        <v>81</v>
      </c>
      <c r="C269" s="19" t="s">
        <v>54</v>
      </c>
      <c r="D269" s="20" t="n">
        <v>191.7</v>
      </c>
      <c r="E269" s="21" t="n">
        <v>3042.75</v>
      </c>
      <c r="F269" s="22" t="n">
        <f aca="false">D269*E269</f>
        <v>583295.175</v>
      </c>
      <c r="G269" s="2"/>
    </row>
    <row r="270" customFormat="false" ht="15" hidden="false" customHeight="false" outlineLevel="0" collapsed="false">
      <c r="A270" s="19" t="s">
        <v>86</v>
      </c>
      <c r="B270" s="19" t="s">
        <v>81</v>
      </c>
      <c r="C270" s="19" t="s">
        <v>55</v>
      </c>
      <c r="D270" s="20" t="n">
        <v>202</v>
      </c>
      <c r="E270" s="21" t="n">
        <v>3048.22</v>
      </c>
      <c r="F270" s="22" t="n">
        <f aca="false">D270*E270</f>
        <v>615740.44</v>
      </c>
      <c r="G270" s="2"/>
    </row>
    <row r="271" customFormat="false" ht="15" hidden="false" customHeight="false" outlineLevel="0" collapsed="false">
      <c r="A271" s="19" t="s">
        <v>86</v>
      </c>
      <c r="B271" s="19" t="s">
        <v>81</v>
      </c>
      <c r="C271" s="19" t="s">
        <v>56</v>
      </c>
      <c r="D271" s="20" t="n">
        <v>203.7</v>
      </c>
      <c r="E271" s="21" t="n">
        <v>3056.1</v>
      </c>
      <c r="F271" s="22" t="n">
        <f aca="false">D271*E271</f>
        <v>622527.57</v>
      </c>
      <c r="G271" s="2"/>
    </row>
    <row r="272" customFormat="false" ht="15" hidden="false" customHeight="false" outlineLevel="0" collapsed="false">
      <c r="A272" s="19" t="s">
        <v>86</v>
      </c>
      <c r="B272" s="19" t="s">
        <v>81</v>
      </c>
      <c r="C272" s="19" t="s">
        <v>57</v>
      </c>
      <c r="D272" s="20" t="n">
        <v>214.9</v>
      </c>
      <c r="E272" s="21" t="n">
        <v>3049.3</v>
      </c>
      <c r="F272" s="22" t="n">
        <f aca="false">D272*E272</f>
        <v>655294.57</v>
      </c>
      <c r="G272" s="2"/>
    </row>
    <row r="273" customFormat="false" ht="15" hidden="false" customHeight="false" outlineLevel="0" collapsed="false">
      <c r="A273" s="19" t="s">
        <v>86</v>
      </c>
      <c r="B273" s="19" t="s">
        <v>81</v>
      </c>
      <c r="C273" s="19" t="s">
        <v>58</v>
      </c>
      <c r="D273" s="20" t="n">
        <v>215.7</v>
      </c>
      <c r="E273" s="21" t="n">
        <v>3062.41</v>
      </c>
      <c r="F273" s="22" t="n">
        <f aca="false">D273*E273</f>
        <v>660561.837</v>
      </c>
      <c r="G273" s="2"/>
    </row>
    <row r="274" customFormat="false" ht="15" hidden="false" customHeight="false" outlineLevel="0" collapsed="false">
      <c r="A274" s="19" t="s">
        <v>86</v>
      </c>
      <c r="B274" s="19" t="s">
        <v>81</v>
      </c>
      <c r="C274" s="19" t="s">
        <v>59</v>
      </c>
      <c r="D274" s="20" t="n">
        <v>217.4</v>
      </c>
      <c r="E274" s="21" t="n">
        <v>3070.89</v>
      </c>
      <c r="F274" s="22" t="n">
        <f aca="false">D274*E274</f>
        <v>667611.486</v>
      </c>
      <c r="G274" s="2"/>
    </row>
    <row r="275" customFormat="false" ht="15" hidden="false" customHeight="false" outlineLevel="0" collapsed="false">
      <c r="A275" s="19" t="s">
        <v>86</v>
      </c>
      <c r="B275" s="19" t="s">
        <v>81</v>
      </c>
      <c r="C275" s="19" t="s">
        <v>60</v>
      </c>
      <c r="D275" s="20" t="n">
        <v>229.7</v>
      </c>
      <c r="E275" s="21" t="n">
        <v>3069.68</v>
      </c>
      <c r="F275" s="22" t="n">
        <f aca="false">D275*E275</f>
        <v>705105.496</v>
      </c>
      <c r="G275" s="2"/>
    </row>
    <row r="276" customFormat="false" ht="15" hidden="false" customHeight="false" outlineLevel="0" collapsed="false">
      <c r="A276" s="19" t="s">
        <v>86</v>
      </c>
      <c r="B276" s="19" t="s">
        <v>81</v>
      </c>
      <c r="C276" s="19" t="s">
        <v>61</v>
      </c>
      <c r="D276" s="20" t="n">
        <v>224.3</v>
      </c>
      <c r="E276" s="21" t="n">
        <v>3072.84</v>
      </c>
      <c r="F276" s="22" t="n">
        <f aca="false">D276*E276</f>
        <v>689238.012</v>
      </c>
      <c r="G276" s="2"/>
    </row>
    <row r="277" customFormat="false" ht="15" hidden="false" customHeight="false" outlineLevel="0" collapsed="false">
      <c r="A277" s="19" t="s">
        <v>86</v>
      </c>
      <c r="B277" s="19" t="s">
        <v>81</v>
      </c>
      <c r="C277" s="19" t="s">
        <v>62</v>
      </c>
      <c r="D277" s="20" t="n">
        <v>221.9</v>
      </c>
      <c r="E277" s="21" t="n">
        <v>3079.64</v>
      </c>
      <c r="F277" s="22" t="n">
        <f aca="false">D277*E277</f>
        <v>683372.116</v>
      </c>
      <c r="G277" s="2"/>
    </row>
    <row r="278" customFormat="false" ht="15" hidden="false" customHeight="false" outlineLevel="0" collapsed="false">
      <c r="A278" s="19" t="s">
        <v>86</v>
      </c>
      <c r="B278" s="19" t="s">
        <v>81</v>
      </c>
      <c r="C278" s="19" t="s">
        <v>63</v>
      </c>
      <c r="D278" s="20" t="n">
        <v>225.6</v>
      </c>
      <c r="E278" s="21" t="n">
        <v>3095.14</v>
      </c>
      <c r="F278" s="22" t="n">
        <f aca="false">D278*E278</f>
        <v>698263.584</v>
      </c>
      <c r="G278" s="2"/>
    </row>
    <row r="279" customFormat="false" ht="15" hidden="false" customHeight="false" outlineLevel="0" collapsed="false">
      <c r="A279" s="19" t="s">
        <v>86</v>
      </c>
      <c r="B279" s="19" t="s">
        <v>81</v>
      </c>
      <c r="C279" s="19" t="s">
        <v>64</v>
      </c>
      <c r="D279" s="20" t="n">
        <v>222.9</v>
      </c>
      <c r="E279" s="21" t="n">
        <v>3099.02</v>
      </c>
      <c r="F279" s="22" t="n">
        <f aca="false">D279*E279</f>
        <v>690771.558</v>
      </c>
      <c r="G279" s="2"/>
    </row>
    <row r="280" customFormat="false" ht="15" hidden="false" customHeight="false" outlineLevel="0" collapsed="false">
      <c r="A280" s="19" t="s">
        <v>86</v>
      </c>
      <c r="B280" s="19" t="s">
        <v>81</v>
      </c>
      <c r="C280" s="19" t="s">
        <v>65</v>
      </c>
      <c r="D280" s="20" t="n">
        <v>217.2</v>
      </c>
      <c r="E280" s="21" t="n">
        <v>3094.19</v>
      </c>
      <c r="F280" s="22" t="n">
        <f aca="false">D280*E280</f>
        <v>672058.068</v>
      </c>
      <c r="G280" s="2"/>
    </row>
    <row r="281" customFormat="false" ht="15" hidden="false" customHeight="false" outlineLevel="0" collapsed="false">
      <c r="A281" s="19" t="s">
        <v>86</v>
      </c>
      <c r="B281" s="19" t="s">
        <v>81</v>
      </c>
      <c r="C281" s="19" t="s">
        <v>66</v>
      </c>
      <c r="D281" s="20" t="n">
        <v>221.6</v>
      </c>
      <c r="E281" s="21" t="n">
        <v>3109.38</v>
      </c>
      <c r="F281" s="22" t="n">
        <f aca="false">D281*E281</f>
        <v>689038.608</v>
      </c>
      <c r="G281" s="2"/>
    </row>
    <row r="282" customFormat="false" ht="15" hidden="false" customHeight="false" outlineLevel="0" collapsed="false">
      <c r="A282" s="19" t="s">
        <v>86</v>
      </c>
      <c r="B282" s="19" t="s">
        <v>81</v>
      </c>
      <c r="C282" s="19" t="s">
        <v>67</v>
      </c>
      <c r="D282" s="20" t="n">
        <v>216.7</v>
      </c>
      <c r="E282" s="21" t="n">
        <v>3120.78</v>
      </c>
      <c r="F282" s="22" t="n">
        <f aca="false">D282*E282</f>
        <v>676273.026</v>
      </c>
      <c r="G282" s="2"/>
    </row>
    <row r="283" customFormat="false" ht="15" hidden="false" customHeight="false" outlineLevel="0" collapsed="false">
      <c r="A283" s="19" t="s">
        <v>86</v>
      </c>
      <c r="B283" s="19" t="s">
        <v>81</v>
      </c>
      <c r="C283" s="19" t="s">
        <v>68</v>
      </c>
      <c r="D283" s="20" t="n">
        <v>216.8</v>
      </c>
      <c r="E283" s="21" t="n">
        <v>3130.23</v>
      </c>
      <c r="F283" s="22" t="n">
        <f aca="false">D283*E283</f>
        <v>678633.864</v>
      </c>
      <c r="G283" s="2"/>
    </row>
    <row r="284" customFormat="false" ht="15" hidden="false" customHeight="false" outlineLevel="0" collapsed="false">
      <c r="A284" s="19" t="s">
        <v>86</v>
      </c>
      <c r="B284" s="19" t="s">
        <v>81</v>
      </c>
      <c r="C284" s="19" t="s">
        <v>69</v>
      </c>
      <c r="D284" s="20" t="n">
        <v>220.1</v>
      </c>
      <c r="E284" s="21" t="n">
        <v>3124.99</v>
      </c>
      <c r="F284" s="22" t="n">
        <f aca="false">D284*E284</f>
        <v>687810.299</v>
      </c>
      <c r="G284" s="2"/>
    </row>
    <row r="285" customFormat="false" ht="15" hidden="false" customHeight="false" outlineLevel="0" collapsed="false">
      <c r="A285" s="19" t="s">
        <v>86</v>
      </c>
      <c r="B285" s="19" t="s">
        <v>81</v>
      </c>
      <c r="C285" s="19" t="s">
        <v>70</v>
      </c>
      <c r="D285" s="20" t="n">
        <v>230.9</v>
      </c>
      <c r="E285" s="21" t="n">
        <v>3143.24</v>
      </c>
      <c r="F285" s="22" t="n">
        <f aca="false">D285*E285</f>
        <v>725774.116</v>
      </c>
      <c r="G285" s="2"/>
    </row>
    <row r="286" customFormat="false" ht="15" hidden="false" customHeight="false" outlineLevel="0" collapsed="false">
      <c r="A286" s="19" t="s">
        <v>86</v>
      </c>
      <c r="B286" s="19" t="s">
        <v>81</v>
      </c>
      <c r="C286" s="19" t="s">
        <v>71</v>
      </c>
      <c r="D286" s="20" t="n">
        <v>244.2</v>
      </c>
      <c r="E286" s="21" t="n">
        <v>3146.22</v>
      </c>
      <c r="F286" s="22" t="n">
        <f aca="false">D286*E286</f>
        <v>768306.924</v>
      </c>
      <c r="G286" s="2"/>
    </row>
    <row r="287" customFormat="false" ht="15" hidden="false" customHeight="false" outlineLevel="0" collapsed="false">
      <c r="A287" s="19" t="s">
        <v>86</v>
      </c>
      <c r="B287" s="19" t="s">
        <v>81</v>
      </c>
      <c r="C287" s="19" t="s">
        <v>72</v>
      </c>
      <c r="D287" s="20" t="n">
        <v>236.7</v>
      </c>
      <c r="E287" s="21" t="n">
        <v>3149.25</v>
      </c>
      <c r="F287" s="22" t="n">
        <f aca="false">D287*E287</f>
        <v>745427.475</v>
      </c>
      <c r="G287" s="2"/>
    </row>
    <row r="288" customFormat="false" ht="15" hidden="false" customHeight="false" outlineLevel="0" collapsed="false">
      <c r="A288" s="19" t="s">
        <v>86</v>
      </c>
      <c r="B288" s="19" t="s">
        <v>81</v>
      </c>
      <c r="C288" s="19" t="s">
        <v>73</v>
      </c>
      <c r="D288" s="20" t="n">
        <v>235.4</v>
      </c>
      <c r="E288" s="21" t="n">
        <v>3153.47</v>
      </c>
      <c r="F288" s="22" t="n">
        <f aca="false">D288*E288</f>
        <v>742326.838</v>
      </c>
      <c r="G288" s="2"/>
    </row>
    <row r="289" customFormat="false" ht="15" hidden="false" customHeight="false" outlineLevel="0" collapsed="false">
      <c r="A289" s="19" t="s">
        <v>86</v>
      </c>
      <c r="B289" s="19" t="s">
        <v>81</v>
      </c>
      <c r="C289" s="19" t="s">
        <v>74</v>
      </c>
      <c r="D289" s="20" t="n">
        <v>240.4</v>
      </c>
      <c r="E289" s="21" t="n">
        <v>3155.05</v>
      </c>
      <c r="F289" s="22" t="n">
        <f aca="false">D289*E289</f>
        <v>758474.02</v>
      </c>
      <c r="G289" s="2"/>
    </row>
    <row r="290" customFormat="false" ht="15" hidden="false" customHeight="false" outlineLevel="0" collapsed="false">
      <c r="A290" s="19" t="s">
        <v>86</v>
      </c>
      <c r="B290" s="19" t="s">
        <v>81</v>
      </c>
      <c r="C290" s="19" t="s">
        <v>75</v>
      </c>
      <c r="D290" s="20" t="n">
        <v>234.2</v>
      </c>
      <c r="E290" s="21" t="n">
        <v>3160.04</v>
      </c>
      <c r="F290" s="22" t="n">
        <f aca="false">D290*E290</f>
        <v>740081.368</v>
      </c>
      <c r="G290" s="2"/>
    </row>
    <row r="291" customFormat="false" ht="15" hidden="false" customHeight="false" outlineLevel="0" collapsed="false">
      <c r="A291" s="19" t="s">
        <v>86</v>
      </c>
      <c r="B291" s="19" t="s">
        <v>81</v>
      </c>
      <c r="C291" s="19" t="s">
        <v>76</v>
      </c>
      <c r="D291" s="20" t="n">
        <v>236.2</v>
      </c>
      <c r="E291" s="21" t="n">
        <v>3161.76</v>
      </c>
      <c r="F291" s="22" t="n">
        <f aca="false">D291*E291</f>
        <v>746807.712</v>
      </c>
      <c r="G291" s="2"/>
    </row>
    <row r="292" customFormat="false" ht="15" hidden="false" customHeight="false" outlineLevel="0" collapsed="false">
      <c r="A292" s="19" t="s">
        <v>86</v>
      </c>
      <c r="B292" s="19" t="s">
        <v>81</v>
      </c>
      <c r="C292" s="19" t="s">
        <v>77</v>
      </c>
      <c r="D292" s="20" t="n">
        <v>241.1</v>
      </c>
      <c r="E292" s="21" t="n">
        <v>3180.33</v>
      </c>
      <c r="F292" s="22" t="n">
        <f aca="false">D292*E292</f>
        <v>766777.563</v>
      </c>
      <c r="G292" s="2"/>
    </row>
    <row r="293" customFormat="false" ht="15" hidden="false" customHeight="false" outlineLevel="0" collapsed="false">
      <c r="A293" s="19" t="s">
        <v>86</v>
      </c>
      <c r="B293" s="19" t="s">
        <v>81</v>
      </c>
      <c r="C293" s="19" t="s">
        <v>78</v>
      </c>
      <c r="D293" s="20" t="n">
        <v>253.1</v>
      </c>
      <c r="E293" s="21" t="n">
        <v>3196.63</v>
      </c>
      <c r="F293" s="22" t="n">
        <f aca="false">D293*E293</f>
        <v>809067.053</v>
      </c>
      <c r="G293" s="2"/>
    </row>
    <row r="294" customFormat="false" ht="15" hidden="false" customHeight="false" outlineLevel="0" collapsed="false">
      <c r="A294" s="19" t="s">
        <v>86</v>
      </c>
      <c r="B294" s="19" t="s">
        <v>81</v>
      </c>
      <c r="C294" s="19" t="s">
        <v>79</v>
      </c>
      <c r="D294" s="20" t="n">
        <v>248.2</v>
      </c>
      <c r="E294" s="21" t="n">
        <v>3188.48</v>
      </c>
      <c r="F294" s="22" t="n">
        <f aca="false">D294*E294</f>
        <v>791380.736</v>
      </c>
      <c r="G294" s="2"/>
    </row>
    <row r="295" customFormat="false" ht="15" hidden="false" customHeight="false" outlineLevel="0" collapsed="false">
      <c r="A295" s="19" t="s">
        <v>86</v>
      </c>
      <c r="B295" s="19" t="s">
        <v>81</v>
      </c>
      <c r="C295" s="19" t="s">
        <v>80</v>
      </c>
      <c r="D295" s="20" t="n">
        <v>262.1</v>
      </c>
      <c r="E295" s="21" t="n">
        <v>3201.23</v>
      </c>
      <c r="F295" s="22" t="n">
        <f aca="false">D295*E295</f>
        <v>839042.383</v>
      </c>
      <c r="G295" s="2"/>
    </row>
    <row r="296" customFormat="false" ht="15" hidden="false" customHeight="false" outlineLevel="0" collapsed="false">
      <c r="A296" s="19" t="s">
        <v>86</v>
      </c>
      <c r="B296" s="19" t="s">
        <v>82</v>
      </c>
      <c r="C296" s="19" t="s">
        <v>45</v>
      </c>
      <c r="D296" s="20" t="n">
        <v>161.8</v>
      </c>
      <c r="E296" s="21" t="n">
        <v>4766.64</v>
      </c>
      <c r="F296" s="22" t="n">
        <f aca="false">D296*E296</f>
        <v>771242.352</v>
      </c>
      <c r="G296" s="2"/>
    </row>
    <row r="297" customFormat="false" ht="15" hidden="false" customHeight="false" outlineLevel="0" collapsed="false">
      <c r="A297" s="19" t="s">
        <v>86</v>
      </c>
      <c r="B297" s="19" t="s">
        <v>82</v>
      </c>
      <c r="C297" s="19" t="s">
        <v>46</v>
      </c>
      <c r="D297" s="20" t="n">
        <v>172.3</v>
      </c>
      <c r="E297" s="21" t="n">
        <v>4785.65</v>
      </c>
      <c r="F297" s="22" t="n">
        <f aca="false">D297*E297</f>
        <v>824567.495</v>
      </c>
      <c r="G297" s="2"/>
    </row>
    <row r="298" customFormat="false" ht="15" hidden="false" customHeight="false" outlineLevel="0" collapsed="false">
      <c r="A298" s="19" t="s">
        <v>86</v>
      </c>
      <c r="B298" s="19" t="s">
        <v>82</v>
      </c>
      <c r="C298" s="19" t="s">
        <v>47</v>
      </c>
      <c r="D298" s="20" t="n">
        <v>170.1</v>
      </c>
      <c r="E298" s="21" t="n">
        <v>4786.98</v>
      </c>
      <c r="F298" s="22" t="n">
        <f aca="false">D298*E298</f>
        <v>814265.298</v>
      </c>
      <c r="G298" s="2"/>
    </row>
    <row r="299" customFormat="false" ht="15" hidden="false" customHeight="false" outlineLevel="0" collapsed="false">
      <c r="A299" s="19" t="s">
        <v>86</v>
      </c>
      <c r="B299" s="19" t="s">
        <v>82</v>
      </c>
      <c r="C299" s="19" t="s">
        <v>48</v>
      </c>
      <c r="D299" s="20" t="n">
        <v>180</v>
      </c>
      <c r="E299" s="21" t="n">
        <v>4815.28</v>
      </c>
      <c r="F299" s="22" t="n">
        <f aca="false">D299*E299</f>
        <v>866750.4</v>
      </c>
      <c r="G299" s="2"/>
    </row>
    <row r="300" customFormat="false" ht="15" hidden="false" customHeight="false" outlineLevel="0" collapsed="false">
      <c r="A300" s="19" t="s">
        <v>86</v>
      </c>
      <c r="B300" s="19" t="s">
        <v>82</v>
      </c>
      <c r="C300" s="19" t="s">
        <v>49</v>
      </c>
      <c r="D300" s="20" t="n">
        <v>192.1</v>
      </c>
      <c r="E300" s="21" t="n">
        <v>4807.52</v>
      </c>
      <c r="F300" s="22" t="n">
        <f aca="false">D300*E300</f>
        <v>923524.592</v>
      </c>
      <c r="G300" s="2"/>
    </row>
    <row r="301" customFormat="false" ht="15" hidden="false" customHeight="false" outlineLevel="0" collapsed="false">
      <c r="A301" s="19" t="s">
        <v>86</v>
      </c>
      <c r="B301" s="19" t="s">
        <v>82</v>
      </c>
      <c r="C301" s="19" t="s">
        <v>50</v>
      </c>
      <c r="D301" s="20" t="n">
        <v>192</v>
      </c>
      <c r="E301" s="21" t="n">
        <v>4794.26</v>
      </c>
      <c r="F301" s="22" t="n">
        <f aca="false">D301*E301</f>
        <v>920497.92</v>
      </c>
      <c r="G301" s="2"/>
    </row>
    <row r="302" customFormat="false" ht="15" hidden="false" customHeight="false" outlineLevel="0" collapsed="false">
      <c r="A302" s="19" t="s">
        <v>86</v>
      </c>
      <c r="B302" s="19" t="s">
        <v>82</v>
      </c>
      <c r="C302" s="19" t="s">
        <v>51</v>
      </c>
      <c r="D302" s="20" t="n">
        <v>201.3</v>
      </c>
      <c r="E302" s="21" t="n">
        <v>4799.63</v>
      </c>
      <c r="F302" s="22" t="n">
        <f aca="false">D302*E302</f>
        <v>966165.519</v>
      </c>
      <c r="G302" s="2"/>
    </row>
    <row r="303" customFormat="false" ht="15" hidden="false" customHeight="false" outlineLevel="0" collapsed="false">
      <c r="A303" s="19" t="s">
        <v>86</v>
      </c>
      <c r="B303" s="19" t="s">
        <v>82</v>
      </c>
      <c r="C303" s="19" t="s">
        <v>52</v>
      </c>
      <c r="D303" s="20" t="n">
        <v>205.9</v>
      </c>
      <c r="E303" s="21" t="n">
        <v>4810.12</v>
      </c>
      <c r="F303" s="22" t="n">
        <f aca="false">D303*E303</f>
        <v>990403.708</v>
      </c>
      <c r="G303" s="2"/>
    </row>
    <row r="304" customFormat="false" ht="15" hidden="false" customHeight="false" outlineLevel="0" collapsed="false">
      <c r="A304" s="19" t="s">
        <v>86</v>
      </c>
      <c r="B304" s="19" t="s">
        <v>82</v>
      </c>
      <c r="C304" s="19" t="s">
        <v>53</v>
      </c>
      <c r="D304" s="20" t="n">
        <v>216</v>
      </c>
      <c r="E304" s="21" t="n">
        <v>4800.67</v>
      </c>
      <c r="F304" s="22" t="n">
        <f aca="false">D304*E304</f>
        <v>1036944.72</v>
      </c>
      <c r="G304" s="2"/>
    </row>
    <row r="305" customFormat="false" ht="15" hidden="false" customHeight="false" outlineLevel="0" collapsed="false">
      <c r="A305" s="19" t="s">
        <v>86</v>
      </c>
      <c r="B305" s="19" t="s">
        <v>82</v>
      </c>
      <c r="C305" s="19" t="s">
        <v>54</v>
      </c>
      <c r="D305" s="20" t="n">
        <v>215.6</v>
      </c>
      <c r="E305" s="21" t="n">
        <v>4816.76</v>
      </c>
      <c r="F305" s="22" t="n">
        <f aca="false">D305*E305</f>
        <v>1038493.456</v>
      </c>
      <c r="G305" s="2"/>
    </row>
    <row r="306" customFormat="false" ht="15" hidden="false" customHeight="false" outlineLevel="0" collapsed="false">
      <c r="A306" s="19" t="s">
        <v>86</v>
      </c>
      <c r="B306" s="19" t="s">
        <v>82</v>
      </c>
      <c r="C306" s="19" t="s">
        <v>55</v>
      </c>
      <c r="D306" s="20" t="n">
        <v>214.1</v>
      </c>
      <c r="E306" s="21" t="n">
        <v>4835.93</v>
      </c>
      <c r="F306" s="22" t="n">
        <f aca="false">D306*E306</f>
        <v>1035372.613</v>
      </c>
      <c r="G306" s="2"/>
    </row>
    <row r="307" customFormat="false" ht="15" hidden="false" customHeight="false" outlineLevel="0" collapsed="false">
      <c r="A307" s="19" t="s">
        <v>86</v>
      </c>
      <c r="B307" s="19" t="s">
        <v>82</v>
      </c>
      <c r="C307" s="19" t="s">
        <v>56</v>
      </c>
      <c r="D307" s="20" t="n">
        <v>216.6</v>
      </c>
      <c r="E307" s="21" t="n">
        <v>4821.72</v>
      </c>
      <c r="F307" s="22" t="n">
        <f aca="false">D307*E307</f>
        <v>1044384.552</v>
      </c>
      <c r="G307" s="2"/>
    </row>
    <row r="308" customFormat="false" ht="15" hidden="false" customHeight="false" outlineLevel="0" collapsed="false">
      <c r="A308" s="19" t="s">
        <v>86</v>
      </c>
      <c r="B308" s="19" t="s">
        <v>82</v>
      </c>
      <c r="C308" s="19" t="s">
        <v>57</v>
      </c>
      <c r="D308" s="20" t="n">
        <v>222.2</v>
      </c>
      <c r="E308" s="21" t="n">
        <v>4838.67</v>
      </c>
      <c r="F308" s="22" t="n">
        <f aca="false">D308*E308</f>
        <v>1075152.474</v>
      </c>
      <c r="G308" s="2"/>
    </row>
    <row r="309" customFormat="false" ht="15" hidden="false" customHeight="false" outlineLevel="0" collapsed="false">
      <c r="A309" s="19" t="s">
        <v>86</v>
      </c>
      <c r="B309" s="19" t="s">
        <v>82</v>
      </c>
      <c r="C309" s="19" t="s">
        <v>58</v>
      </c>
      <c r="D309" s="20" t="n">
        <v>217.1</v>
      </c>
      <c r="E309" s="21" t="n">
        <v>4862.15</v>
      </c>
      <c r="F309" s="22" t="n">
        <f aca="false">D309*E309</f>
        <v>1055572.765</v>
      </c>
      <c r="G309" s="2"/>
    </row>
    <row r="310" customFormat="false" ht="15" hidden="false" customHeight="false" outlineLevel="0" collapsed="false">
      <c r="A310" s="19" t="s">
        <v>86</v>
      </c>
      <c r="B310" s="19" t="s">
        <v>82</v>
      </c>
      <c r="C310" s="19" t="s">
        <v>59</v>
      </c>
      <c r="D310" s="20" t="n">
        <v>230.2</v>
      </c>
      <c r="E310" s="21" t="n">
        <v>4883.06</v>
      </c>
      <c r="F310" s="22" t="n">
        <f aca="false">D310*E310</f>
        <v>1124080.412</v>
      </c>
      <c r="G310" s="2"/>
    </row>
    <row r="311" customFormat="false" ht="15" hidden="false" customHeight="false" outlineLevel="0" collapsed="false">
      <c r="A311" s="19" t="s">
        <v>86</v>
      </c>
      <c r="B311" s="19" t="s">
        <v>82</v>
      </c>
      <c r="C311" s="19" t="s">
        <v>60</v>
      </c>
      <c r="D311" s="20" t="n">
        <v>229.4</v>
      </c>
      <c r="E311" s="21" t="n">
        <v>4897.12</v>
      </c>
      <c r="F311" s="22" t="n">
        <f aca="false">D311*E311</f>
        <v>1123399.328</v>
      </c>
      <c r="G311" s="2"/>
    </row>
    <row r="312" customFormat="false" ht="15" hidden="false" customHeight="false" outlineLevel="0" collapsed="false">
      <c r="A312" s="19" t="s">
        <v>86</v>
      </c>
      <c r="B312" s="19" t="s">
        <v>82</v>
      </c>
      <c r="C312" s="19" t="s">
        <v>61</v>
      </c>
      <c r="D312" s="20" t="n">
        <v>225</v>
      </c>
      <c r="E312" s="21" t="n">
        <v>4924.46</v>
      </c>
      <c r="F312" s="22" t="n">
        <f aca="false">D312*E312</f>
        <v>1108003.5</v>
      </c>
      <c r="G312" s="2"/>
    </row>
    <row r="313" customFormat="false" ht="15" hidden="false" customHeight="false" outlineLevel="0" collapsed="false">
      <c r="A313" s="19" t="s">
        <v>86</v>
      </c>
      <c r="B313" s="19" t="s">
        <v>82</v>
      </c>
      <c r="C313" s="19" t="s">
        <v>62</v>
      </c>
      <c r="D313" s="20" t="n">
        <v>220.4</v>
      </c>
      <c r="E313" s="21" t="n">
        <v>4949.66</v>
      </c>
      <c r="F313" s="22" t="n">
        <f aca="false">D313*E313</f>
        <v>1090905.064</v>
      </c>
      <c r="G313" s="2"/>
    </row>
    <row r="314" customFormat="false" ht="15" hidden="false" customHeight="false" outlineLevel="0" collapsed="false">
      <c r="A314" s="19" t="s">
        <v>86</v>
      </c>
      <c r="B314" s="19" t="s">
        <v>82</v>
      </c>
      <c r="C314" s="19" t="s">
        <v>63</v>
      </c>
      <c r="D314" s="20" t="n">
        <v>220.7</v>
      </c>
      <c r="E314" s="21" t="n">
        <v>4971.39</v>
      </c>
      <c r="F314" s="22" t="n">
        <f aca="false">D314*E314</f>
        <v>1097185.773</v>
      </c>
      <c r="G314" s="2"/>
    </row>
    <row r="315" customFormat="false" ht="15" hidden="false" customHeight="false" outlineLevel="0" collapsed="false">
      <c r="A315" s="19" t="s">
        <v>86</v>
      </c>
      <c r="B315" s="19" t="s">
        <v>82</v>
      </c>
      <c r="C315" s="19" t="s">
        <v>64</v>
      </c>
      <c r="D315" s="20" t="n">
        <v>235.2</v>
      </c>
      <c r="E315" s="21" t="n">
        <v>4993.25</v>
      </c>
      <c r="F315" s="22" t="n">
        <f aca="false">D315*E315</f>
        <v>1174412.4</v>
      </c>
      <c r="G315" s="2"/>
    </row>
    <row r="316" customFormat="false" ht="15" hidden="false" customHeight="false" outlineLevel="0" collapsed="false">
      <c r="A316" s="19" t="s">
        <v>86</v>
      </c>
      <c r="B316" s="19" t="s">
        <v>82</v>
      </c>
      <c r="C316" s="19" t="s">
        <v>65</v>
      </c>
      <c r="D316" s="20" t="n">
        <v>238.5</v>
      </c>
      <c r="E316" s="21" t="n">
        <v>5007.67</v>
      </c>
      <c r="F316" s="22" t="n">
        <f aca="false">D316*E316</f>
        <v>1194329.295</v>
      </c>
      <c r="G316" s="2"/>
    </row>
    <row r="317" customFormat="false" ht="15" hidden="false" customHeight="false" outlineLevel="0" collapsed="false">
      <c r="A317" s="19" t="s">
        <v>86</v>
      </c>
      <c r="B317" s="19" t="s">
        <v>82</v>
      </c>
      <c r="C317" s="19" t="s">
        <v>66</v>
      </c>
      <c r="D317" s="20" t="n">
        <v>235.6</v>
      </c>
      <c r="E317" s="21" t="n">
        <v>5015.88</v>
      </c>
      <c r="F317" s="22" t="n">
        <f aca="false">D317*E317</f>
        <v>1181741.328</v>
      </c>
      <c r="G317" s="2"/>
    </row>
    <row r="318" customFormat="false" ht="15" hidden="false" customHeight="false" outlineLevel="0" collapsed="false">
      <c r="A318" s="19" t="s">
        <v>86</v>
      </c>
      <c r="B318" s="19" t="s">
        <v>82</v>
      </c>
      <c r="C318" s="19" t="s">
        <v>67</v>
      </c>
      <c r="D318" s="20" t="n">
        <v>239.5</v>
      </c>
      <c r="E318" s="21" t="n">
        <v>5043.1</v>
      </c>
      <c r="F318" s="22" t="n">
        <f aca="false">D318*E318</f>
        <v>1207822.45</v>
      </c>
      <c r="G318" s="2"/>
    </row>
    <row r="319" customFormat="false" ht="15" hidden="false" customHeight="false" outlineLevel="0" collapsed="false">
      <c r="A319" s="19" t="s">
        <v>86</v>
      </c>
      <c r="B319" s="19" t="s">
        <v>82</v>
      </c>
      <c r="C319" s="19" t="s">
        <v>68</v>
      </c>
      <c r="D319" s="20" t="n">
        <v>239.8</v>
      </c>
      <c r="E319" s="21" t="n">
        <v>5068.37</v>
      </c>
      <c r="F319" s="22" t="n">
        <f aca="false">D319*E319</f>
        <v>1215395.126</v>
      </c>
      <c r="G319" s="2"/>
    </row>
    <row r="320" customFormat="false" ht="15" hidden="false" customHeight="false" outlineLevel="0" collapsed="false">
      <c r="A320" s="19" t="s">
        <v>86</v>
      </c>
      <c r="B320" s="19" t="s">
        <v>82</v>
      </c>
      <c r="C320" s="19" t="s">
        <v>69</v>
      </c>
      <c r="D320" s="20" t="n">
        <v>247.4</v>
      </c>
      <c r="E320" s="21" t="n">
        <v>5092.35</v>
      </c>
      <c r="F320" s="22" t="n">
        <f aca="false">D320*E320</f>
        <v>1259847.39</v>
      </c>
      <c r="G320" s="2"/>
    </row>
    <row r="321" customFormat="false" ht="15" hidden="false" customHeight="false" outlineLevel="0" collapsed="false">
      <c r="A321" s="19" t="s">
        <v>86</v>
      </c>
      <c r="B321" s="19" t="s">
        <v>82</v>
      </c>
      <c r="C321" s="19" t="s">
        <v>70</v>
      </c>
      <c r="D321" s="20" t="n">
        <v>261.2</v>
      </c>
      <c r="E321" s="21" t="n">
        <v>5113.86</v>
      </c>
      <c r="F321" s="22" t="n">
        <f aca="false">D321*E321</f>
        <v>1335740.232</v>
      </c>
      <c r="G321" s="2"/>
    </row>
    <row r="322" customFormat="false" ht="15" hidden="false" customHeight="false" outlineLevel="0" collapsed="false">
      <c r="A322" s="19" t="s">
        <v>86</v>
      </c>
      <c r="B322" s="19" t="s">
        <v>82</v>
      </c>
      <c r="C322" s="19" t="s">
        <v>71</v>
      </c>
      <c r="D322" s="20" t="n">
        <v>274.7</v>
      </c>
      <c r="E322" s="21" t="n">
        <v>5099.79</v>
      </c>
      <c r="F322" s="22" t="n">
        <f aca="false">D322*E322</f>
        <v>1400912.313</v>
      </c>
      <c r="G322" s="2"/>
    </row>
    <row r="323" customFormat="false" ht="15" hidden="false" customHeight="false" outlineLevel="0" collapsed="false">
      <c r="A323" s="19" t="s">
        <v>86</v>
      </c>
      <c r="B323" s="19" t="s">
        <v>82</v>
      </c>
      <c r="C323" s="19" t="s">
        <v>72</v>
      </c>
      <c r="D323" s="20" t="n">
        <v>280.8</v>
      </c>
      <c r="E323" s="21" t="n">
        <v>5086.49</v>
      </c>
      <c r="F323" s="22" t="n">
        <f aca="false">D323*E323</f>
        <v>1428286.392</v>
      </c>
      <c r="G323" s="2"/>
    </row>
    <row r="324" customFormat="false" ht="15" hidden="false" customHeight="false" outlineLevel="0" collapsed="false">
      <c r="A324" s="19" t="s">
        <v>86</v>
      </c>
      <c r="B324" s="19" t="s">
        <v>82</v>
      </c>
      <c r="C324" s="19" t="s">
        <v>73</v>
      </c>
      <c r="D324" s="20" t="n">
        <v>275.4</v>
      </c>
      <c r="E324" s="21" t="n">
        <v>5094.06</v>
      </c>
      <c r="F324" s="22" t="n">
        <f aca="false">D324*E324</f>
        <v>1402904.124</v>
      </c>
      <c r="G324" s="2"/>
    </row>
    <row r="325" customFormat="false" ht="15" hidden="false" customHeight="false" outlineLevel="0" collapsed="false">
      <c r="A325" s="19" t="s">
        <v>86</v>
      </c>
      <c r="B325" s="19" t="s">
        <v>82</v>
      </c>
      <c r="C325" s="19" t="s">
        <v>74</v>
      </c>
      <c r="D325" s="20" t="n">
        <v>292.7</v>
      </c>
      <c r="E325" s="21" t="n">
        <v>5083.33</v>
      </c>
      <c r="F325" s="22" t="n">
        <f aca="false">D325*E325</f>
        <v>1487890.691</v>
      </c>
      <c r="G325" s="2"/>
    </row>
    <row r="326" customFormat="false" ht="15" hidden="false" customHeight="false" outlineLevel="0" collapsed="false">
      <c r="A326" s="19" t="s">
        <v>86</v>
      </c>
      <c r="B326" s="19" t="s">
        <v>82</v>
      </c>
      <c r="C326" s="19" t="s">
        <v>75</v>
      </c>
      <c r="D326" s="20" t="n">
        <v>293.3</v>
      </c>
      <c r="E326" s="21" t="n">
        <v>5079.04</v>
      </c>
      <c r="F326" s="22" t="n">
        <f aca="false">D326*E326</f>
        <v>1489682.432</v>
      </c>
      <c r="G326" s="2"/>
    </row>
    <row r="327" customFormat="false" ht="15" hidden="false" customHeight="false" outlineLevel="0" collapsed="false">
      <c r="A327" s="19" t="s">
        <v>86</v>
      </c>
      <c r="B327" s="19" t="s">
        <v>82</v>
      </c>
      <c r="C327" s="19" t="s">
        <v>76</v>
      </c>
      <c r="D327" s="20" t="n">
        <v>309.9</v>
      </c>
      <c r="E327" s="21" t="n">
        <v>5065.24</v>
      </c>
      <c r="F327" s="22" t="n">
        <f aca="false">D327*E327</f>
        <v>1569717.876</v>
      </c>
      <c r="G327" s="2"/>
    </row>
    <row r="328" customFormat="false" ht="15" hidden="false" customHeight="false" outlineLevel="0" collapsed="false">
      <c r="A328" s="19" t="s">
        <v>86</v>
      </c>
      <c r="B328" s="19" t="s">
        <v>82</v>
      </c>
      <c r="C328" s="19" t="s">
        <v>77</v>
      </c>
      <c r="D328" s="20" t="n">
        <v>304.1</v>
      </c>
      <c r="E328" s="21" t="n">
        <v>5062.71</v>
      </c>
      <c r="F328" s="22" t="n">
        <f aca="false">D328*E328</f>
        <v>1539570.111</v>
      </c>
      <c r="G328" s="2"/>
    </row>
    <row r="329" customFormat="false" ht="15" hidden="false" customHeight="false" outlineLevel="0" collapsed="false">
      <c r="A329" s="19" t="s">
        <v>86</v>
      </c>
      <c r="B329" s="19" t="s">
        <v>82</v>
      </c>
      <c r="C329" s="19" t="s">
        <v>78</v>
      </c>
      <c r="D329" s="20" t="n">
        <v>313.4</v>
      </c>
      <c r="E329" s="21" t="n">
        <v>5080.76</v>
      </c>
      <c r="F329" s="22" t="n">
        <f aca="false">D329*E329</f>
        <v>1592310.184</v>
      </c>
      <c r="G329" s="2"/>
    </row>
    <row r="330" customFormat="false" ht="15" hidden="false" customHeight="false" outlineLevel="0" collapsed="false">
      <c r="A330" s="19" t="s">
        <v>86</v>
      </c>
      <c r="B330" s="19" t="s">
        <v>82</v>
      </c>
      <c r="C330" s="19" t="s">
        <v>79</v>
      </c>
      <c r="D330" s="20" t="n">
        <v>325.1</v>
      </c>
      <c r="E330" s="21" t="n">
        <v>5110.87</v>
      </c>
      <c r="F330" s="22" t="n">
        <f aca="false">D330*E330</f>
        <v>1661543.837</v>
      </c>
      <c r="G330" s="2"/>
    </row>
    <row r="331" customFormat="false" ht="15" hidden="false" customHeight="false" outlineLevel="0" collapsed="false">
      <c r="A331" s="19" t="s">
        <v>86</v>
      </c>
      <c r="B331" s="19" t="s">
        <v>82</v>
      </c>
      <c r="C331" s="19" t="s">
        <v>80</v>
      </c>
      <c r="D331" s="20" t="n">
        <v>344.1</v>
      </c>
      <c r="E331" s="21" t="n">
        <v>5108.59</v>
      </c>
      <c r="F331" s="22" t="n">
        <f aca="false">D331*E331</f>
        <v>1757865.819</v>
      </c>
      <c r="G331" s="2"/>
    </row>
    <row r="332" customFormat="false" ht="15" hidden="false" customHeight="false" outlineLevel="0" collapsed="false">
      <c r="A332" s="19" t="s">
        <v>86</v>
      </c>
      <c r="B332" s="19" t="s">
        <v>83</v>
      </c>
      <c r="C332" s="19" t="s">
        <v>45</v>
      </c>
      <c r="D332" s="20" t="n">
        <v>63.4</v>
      </c>
      <c r="E332" s="21" t="n">
        <v>3743.05</v>
      </c>
      <c r="F332" s="22" t="n">
        <f aca="false">D332*E332</f>
        <v>237309.37</v>
      </c>
      <c r="G332" s="2"/>
    </row>
    <row r="333" customFormat="false" ht="15" hidden="false" customHeight="false" outlineLevel="0" collapsed="false">
      <c r="A333" s="19" t="s">
        <v>86</v>
      </c>
      <c r="B333" s="19" t="s">
        <v>83</v>
      </c>
      <c r="C333" s="19" t="s">
        <v>46</v>
      </c>
      <c r="D333" s="20" t="n">
        <v>63.9</v>
      </c>
      <c r="E333" s="21" t="n">
        <v>3748.79</v>
      </c>
      <c r="F333" s="22" t="n">
        <f aca="false">D333*E333</f>
        <v>239547.681</v>
      </c>
      <c r="G333" s="2"/>
    </row>
    <row r="334" customFormat="false" ht="15" hidden="false" customHeight="false" outlineLevel="0" collapsed="false">
      <c r="A334" s="19" t="s">
        <v>86</v>
      </c>
      <c r="B334" s="19" t="s">
        <v>83</v>
      </c>
      <c r="C334" s="19" t="s">
        <v>47</v>
      </c>
      <c r="D334" s="20" t="n">
        <v>66.3</v>
      </c>
      <c r="E334" s="21" t="n">
        <v>3752.28</v>
      </c>
      <c r="F334" s="22" t="n">
        <f aca="false">D334*E334</f>
        <v>248776.164</v>
      </c>
      <c r="G334" s="2"/>
    </row>
    <row r="335" customFormat="false" ht="15" hidden="false" customHeight="false" outlineLevel="0" collapsed="false">
      <c r="A335" s="19" t="s">
        <v>86</v>
      </c>
      <c r="B335" s="19" t="s">
        <v>83</v>
      </c>
      <c r="C335" s="19" t="s">
        <v>48</v>
      </c>
      <c r="D335" s="20" t="n">
        <v>69.8</v>
      </c>
      <c r="E335" s="21" t="n">
        <v>3771.63</v>
      </c>
      <c r="F335" s="22" t="n">
        <f aca="false">D335*E335</f>
        <v>263259.774</v>
      </c>
      <c r="G335" s="2"/>
    </row>
    <row r="336" customFormat="false" ht="15" hidden="false" customHeight="false" outlineLevel="0" collapsed="false">
      <c r="A336" s="19" t="s">
        <v>86</v>
      </c>
      <c r="B336" s="19" t="s">
        <v>83</v>
      </c>
      <c r="C336" s="19" t="s">
        <v>49</v>
      </c>
      <c r="D336" s="20" t="n">
        <v>73.6</v>
      </c>
      <c r="E336" s="21" t="n">
        <v>3784.35</v>
      </c>
      <c r="F336" s="22" t="n">
        <f aca="false">D336*E336</f>
        <v>278528.16</v>
      </c>
      <c r="G336" s="2"/>
    </row>
    <row r="337" customFormat="false" ht="15" hidden="false" customHeight="false" outlineLevel="0" collapsed="false">
      <c r="A337" s="19" t="s">
        <v>86</v>
      </c>
      <c r="B337" s="19" t="s">
        <v>83</v>
      </c>
      <c r="C337" s="19" t="s">
        <v>50</v>
      </c>
      <c r="D337" s="20" t="n">
        <v>77</v>
      </c>
      <c r="E337" s="21" t="n">
        <v>3801.35</v>
      </c>
      <c r="F337" s="22" t="n">
        <f aca="false">D337*E337</f>
        <v>292703.95</v>
      </c>
      <c r="G337" s="2"/>
    </row>
    <row r="338" customFormat="false" ht="15" hidden="false" customHeight="false" outlineLevel="0" collapsed="false">
      <c r="A338" s="19" t="s">
        <v>86</v>
      </c>
      <c r="B338" s="19" t="s">
        <v>83</v>
      </c>
      <c r="C338" s="19" t="s">
        <v>51</v>
      </c>
      <c r="D338" s="20" t="n">
        <v>80.2</v>
      </c>
      <c r="E338" s="21" t="n">
        <v>3798.67</v>
      </c>
      <c r="F338" s="22" t="n">
        <f aca="false">D338*E338</f>
        <v>304653.334</v>
      </c>
      <c r="G338" s="2"/>
    </row>
    <row r="339" customFormat="false" ht="15" hidden="false" customHeight="false" outlineLevel="0" collapsed="false">
      <c r="A339" s="19" t="s">
        <v>86</v>
      </c>
      <c r="B339" s="19" t="s">
        <v>83</v>
      </c>
      <c r="C339" s="19" t="s">
        <v>52</v>
      </c>
      <c r="D339" s="20" t="n">
        <v>80.8</v>
      </c>
      <c r="E339" s="21" t="n">
        <v>3804.42</v>
      </c>
      <c r="F339" s="22" t="n">
        <f aca="false">D339*E339</f>
        <v>307397.136</v>
      </c>
      <c r="G339" s="2"/>
    </row>
    <row r="340" customFormat="false" ht="15" hidden="false" customHeight="false" outlineLevel="0" collapsed="false">
      <c r="A340" s="19" t="s">
        <v>86</v>
      </c>
      <c r="B340" s="19" t="s">
        <v>83</v>
      </c>
      <c r="C340" s="19" t="s">
        <v>53</v>
      </c>
      <c r="D340" s="20" t="n">
        <v>81.8</v>
      </c>
      <c r="E340" s="21" t="n">
        <v>3810.93</v>
      </c>
      <c r="F340" s="22" t="n">
        <f aca="false">D340*E340</f>
        <v>311734.074</v>
      </c>
      <c r="G340" s="2"/>
    </row>
    <row r="341" customFormat="false" ht="15" hidden="false" customHeight="false" outlineLevel="0" collapsed="false">
      <c r="A341" s="19" t="s">
        <v>86</v>
      </c>
      <c r="B341" s="19" t="s">
        <v>83</v>
      </c>
      <c r="C341" s="19" t="s">
        <v>54</v>
      </c>
      <c r="D341" s="20" t="n">
        <v>81.8</v>
      </c>
      <c r="E341" s="21" t="n">
        <v>3817.99</v>
      </c>
      <c r="F341" s="22" t="n">
        <f aca="false">D341*E341</f>
        <v>312311.582</v>
      </c>
      <c r="G341" s="2"/>
    </row>
    <row r="342" customFormat="false" ht="15" hidden="false" customHeight="false" outlineLevel="0" collapsed="false">
      <c r="A342" s="19" t="s">
        <v>86</v>
      </c>
      <c r="B342" s="19" t="s">
        <v>83</v>
      </c>
      <c r="C342" s="19" t="s">
        <v>55</v>
      </c>
      <c r="D342" s="20" t="n">
        <v>83.3</v>
      </c>
      <c r="E342" s="21" t="n">
        <v>3808.84</v>
      </c>
      <c r="F342" s="22" t="n">
        <f aca="false">D342*E342</f>
        <v>317276.372</v>
      </c>
      <c r="G342" s="2"/>
    </row>
    <row r="343" customFormat="false" ht="15" hidden="false" customHeight="false" outlineLevel="0" collapsed="false">
      <c r="A343" s="19" t="s">
        <v>86</v>
      </c>
      <c r="B343" s="19" t="s">
        <v>83</v>
      </c>
      <c r="C343" s="19" t="s">
        <v>56</v>
      </c>
      <c r="D343" s="20" t="n">
        <v>82.4</v>
      </c>
      <c r="E343" s="21" t="n">
        <v>3814.76</v>
      </c>
      <c r="F343" s="22" t="n">
        <f aca="false">D343*E343</f>
        <v>314336.224</v>
      </c>
      <c r="G343" s="2"/>
    </row>
    <row r="344" customFormat="false" ht="15" hidden="false" customHeight="false" outlineLevel="0" collapsed="false">
      <c r="A344" s="19" t="s">
        <v>86</v>
      </c>
      <c r="B344" s="19" t="s">
        <v>83</v>
      </c>
      <c r="C344" s="19" t="s">
        <v>57</v>
      </c>
      <c r="D344" s="20" t="n">
        <v>86.9</v>
      </c>
      <c r="E344" s="21" t="n">
        <v>3824.87</v>
      </c>
      <c r="F344" s="22" t="n">
        <f aca="false">D344*E344</f>
        <v>332381.203</v>
      </c>
      <c r="G344" s="2"/>
    </row>
    <row r="345" customFormat="false" ht="15" hidden="false" customHeight="false" outlineLevel="0" collapsed="false">
      <c r="A345" s="19" t="s">
        <v>86</v>
      </c>
      <c r="B345" s="19" t="s">
        <v>83</v>
      </c>
      <c r="C345" s="19" t="s">
        <v>58</v>
      </c>
      <c r="D345" s="20" t="n">
        <v>86.5</v>
      </c>
      <c r="E345" s="21" t="n">
        <v>3838.38</v>
      </c>
      <c r="F345" s="22" t="n">
        <f aca="false">D345*E345</f>
        <v>332019.87</v>
      </c>
      <c r="G345" s="2"/>
    </row>
    <row r="346" customFormat="false" ht="15" hidden="false" customHeight="false" outlineLevel="0" collapsed="false">
      <c r="A346" s="19" t="s">
        <v>86</v>
      </c>
      <c r="B346" s="19" t="s">
        <v>83</v>
      </c>
      <c r="C346" s="19" t="s">
        <v>59</v>
      </c>
      <c r="D346" s="20" t="n">
        <v>89</v>
      </c>
      <c r="E346" s="21" t="n">
        <v>3844.15</v>
      </c>
      <c r="F346" s="22" t="n">
        <f aca="false">D346*E346</f>
        <v>342129.35</v>
      </c>
      <c r="G346" s="2"/>
    </row>
    <row r="347" customFormat="false" ht="15" hidden="false" customHeight="false" outlineLevel="0" collapsed="false">
      <c r="A347" s="19" t="s">
        <v>86</v>
      </c>
      <c r="B347" s="19" t="s">
        <v>83</v>
      </c>
      <c r="C347" s="19" t="s">
        <v>60</v>
      </c>
      <c r="D347" s="20" t="n">
        <v>88</v>
      </c>
      <c r="E347" s="21" t="n">
        <v>3839.79</v>
      </c>
      <c r="F347" s="22" t="n">
        <f aca="false">D347*E347</f>
        <v>337901.52</v>
      </c>
      <c r="G347" s="2"/>
    </row>
    <row r="348" customFormat="false" ht="15" hidden="false" customHeight="false" outlineLevel="0" collapsed="false">
      <c r="A348" s="19" t="s">
        <v>86</v>
      </c>
      <c r="B348" s="19" t="s">
        <v>83</v>
      </c>
      <c r="C348" s="19" t="s">
        <v>61</v>
      </c>
      <c r="D348" s="20" t="n">
        <v>87.8</v>
      </c>
      <c r="E348" s="21" t="n">
        <v>3848.04</v>
      </c>
      <c r="F348" s="22" t="n">
        <f aca="false">D348*E348</f>
        <v>337857.912</v>
      </c>
      <c r="G348" s="2"/>
    </row>
    <row r="349" customFormat="false" ht="15" hidden="false" customHeight="false" outlineLevel="0" collapsed="false">
      <c r="A349" s="19" t="s">
        <v>86</v>
      </c>
      <c r="B349" s="19" t="s">
        <v>83</v>
      </c>
      <c r="C349" s="19" t="s">
        <v>62</v>
      </c>
      <c r="D349" s="20" t="n">
        <v>86.1</v>
      </c>
      <c r="E349" s="21" t="n">
        <v>3842.07</v>
      </c>
      <c r="F349" s="22" t="n">
        <f aca="false">D349*E349</f>
        <v>330802.227</v>
      </c>
      <c r="G349" s="2"/>
    </row>
    <row r="350" customFormat="false" ht="15" hidden="false" customHeight="false" outlineLevel="0" collapsed="false">
      <c r="A350" s="19" t="s">
        <v>86</v>
      </c>
      <c r="B350" s="19" t="s">
        <v>83</v>
      </c>
      <c r="C350" s="19" t="s">
        <v>63</v>
      </c>
      <c r="D350" s="20" t="n">
        <v>85.4</v>
      </c>
      <c r="E350" s="21" t="n">
        <v>3838.11</v>
      </c>
      <c r="F350" s="22" t="n">
        <f aca="false">D350*E350</f>
        <v>327774.594</v>
      </c>
      <c r="G350" s="2"/>
    </row>
    <row r="351" customFormat="false" ht="15" hidden="false" customHeight="false" outlineLevel="0" collapsed="false">
      <c r="A351" s="19" t="s">
        <v>86</v>
      </c>
      <c r="B351" s="19" t="s">
        <v>83</v>
      </c>
      <c r="C351" s="19" t="s">
        <v>64</v>
      </c>
      <c r="D351" s="20" t="n">
        <v>89.9</v>
      </c>
      <c r="E351" s="21" t="n">
        <v>3855.42</v>
      </c>
      <c r="F351" s="22" t="n">
        <f aca="false">D351*E351</f>
        <v>346602.258</v>
      </c>
      <c r="G351" s="2"/>
    </row>
    <row r="352" customFormat="false" ht="15" hidden="false" customHeight="false" outlineLevel="0" collapsed="false">
      <c r="A352" s="19" t="s">
        <v>86</v>
      </c>
      <c r="B352" s="19" t="s">
        <v>83</v>
      </c>
      <c r="C352" s="19" t="s">
        <v>65</v>
      </c>
      <c r="D352" s="20" t="n">
        <v>91.8</v>
      </c>
      <c r="E352" s="21" t="n">
        <v>3873.03</v>
      </c>
      <c r="F352" s="22" t="n">
        <f aca="false">D352*E352</f>
        <v>355544.154</v>
      </c>
      <c r="G352" s="2"/>
    </row>
    <row r="353" customFormat="false" ht="15" hidden="false" customHeight="false" outlineLevel="0" collapsed="false">
      <c r="A353" s="19" t="s">
        <v>86</v>
      </c>
      <c r="B353" s="19" t="s">
        <v>83</v>
      </c>
      <c r="C353" s="19" t="s">
        <v>66</v>
      </c>
      <c r="D353" s="20" t="n">
        <v>97.1</v>
      </c>
      <c r="E353" s="21" t="n">
        <v>3865.69</v>
      </c>
      <c r="F353" s="22" t="n">
        <f aca="false">D353*E353</f>
        <v>375358.499</v>
      </c>
      <c r="G353" s="2"/>
    </row>
    <row r="354" customFormat="false" ht="15" hidden="false" customHeight="false" outlineLevel="0" collapsed="false">
      <c r="A354" s="19" t="s">
        <v>86</v>
      </c>
      <c r="B354" s="19" t="s">
        <v>83</v>
      </c>
      <c r="C354" s="19" t="s">
        <v>67</v>
      </c>
      <c r="D354" s="20" t="n">
        <v>99.5</v>
      </c>
      <c r="E354" s="21" t="n">
        <v>3854.92</v>
      </c>
      <c r="F354" s="22" t="n">
        <f aca="false">D354*E354</f>
        <v>383564.54</v>
      </c>
      <c r="G354" s="2"/>
    </row>
    <row r="355" customFormat="false" ht="15" hidden="false" customHeight="false" outlineLevel="0" collapsed="false">
      <c r="A355" s="19" t="s">
        <v>86</v>
      </c>
      <c r="B355" s="19" t="s">
        <v>83</v>
      </c>
      <c r="C355" s="19" t="s">
        <v>68</v>
      </c>
      <c r="D355" s="20" t="n">
        <v>101</v>
      </c>
      <c r="E355" s="21" t="n">
        <v>3871.88</v>
      </c>
      <c r="F355" s="22" t="n">
        <f aca="false">D355*E355</f>
        <v>391059.88</v>
      </c>
      <c r="G355" s="2"/>
    </row>
    <row r="356" customFormat="false" ht="15" hidden="false" customHeight="false" outlineLevel="0" collapsed="false">
      <c r="A356" s="19" t="s">
        <v>86</v>
      </c>
      <c r="B356" s="19" t="s">
        <v>83</v>
      </c>
      <c r="C356" s="19" t="s">
        <v>69</v>
      </c>
      <c r="D356" s="20" t="n">
        <v>100.3</v>
      </c>
      <c r="E356" s="21" t="n">
        <v>3894.06</v>
      </c>
      <c r="F356" s="22" t="n">
        <f aca="false">D356*E356</f>
        <v>390574.218</v>
      </c>
      <c r="G356" s="2"/>
    </row>
    <row r="357" customFormat="false" ht="15" hidden="false" customHeight="false" outlineLevel="0" collapsed="false">
      <c r="A357" s="19" t="s">
        <v>86</v>
      </c>
      <c r="B357" s="19" t="s">
        <v>83</v>
      </c>
      <c r="C357" s="19" t="s">
        <v>70</v>
      </c>
      <c r="D357" s="20" t="n">
        <v>103.6</v>
      </c>
      <c r="E357" s="21" t="n">
        <v>3882.61</v>
      </c>
      <c r="F357" s="22" t="n">
        <f aca="false">D357*E357</f>
        <v>402238.396</v>
      </c>
      <c r="G357" s="2"/>
    </row>
    <row r="358" customFormat="false" ht="15" hidden="false" customHeight="false" outlineLevel="0" collapsed="false">
      <c r="A358" s="19" t="s">
        <v>86</v>
      </c>
      <c r="B358" s="19" t="s">
        <v>83</v>
      </c>
      <c r="C358" s="19" t="s">
        <v>71</v>
      </c>
      <c r="D358" s="20" t="n">
        <v>107.7</v>
      </c>
      <c r="E358" s="21" t="n">
        <v>3904.09</v>
      </c>
      <c r="F358" s="22" t="n">
        <f aca="false">D358*E358</f>
        <v>420470.493</v>
      </c>
      <c r="G358" s="2"/>
    </row>
    <row r="359" customFormat="false" ht="15" hidden="false" customHeight="false" outlineLevel="0" collapsed="false">
      <c r="A359" s="19" t="s">
        <v>86</v>
      </c>
      <c r="B359" s="19" t="s">
        <v>83</v>
      </c>
      <c r="C359" s="19" t="s">
        <v>72</v>
      </c>
      <c r="D359" s="20" t="n">
        <v>107.3</v>
      </c>
      <c r="E359" s="21" t="n">
        <v>3919.81</v>
      </c>
      <c r="F359" s="22" t="n">
        <f aca="false">D359*E359</f>
        <v>420595.613</v>
      </c>
      <c r="G359" s="2"/>
    </row>
    <row r="360" customFormat="false" ht="15" hidden="false" customHeight="false" outlineLevel="0" collapsed="false">
      <c r="A360" s="19" t="s">
        <v>86</v>
      </c>
      <c r="B360" s="19" t="s">
        <v>83</v>
      </c>
      <c r="C360" s="19" t="s">
        <v>73</v>
      </c>
      <c r="D360" s="20" t="n">
        <v>108.6</v>
      </c>
      <c r="E360" s="21" t="n">
        <v>3940.63</v>
      </c>
      <c r="F360" s="22" t="n">
        <f aca="false">D360*E360</f>
        <v>427952.418</v>
      </c>
      <c r="G360" s="2"/>
    </row>
    <row r="361" customFormat="false" ht="15" hidden="false" customHeight="false" outlineLevel="0" collapsed="false">
      <c r="A361" s="19" t="s">
        <v>86</v>
      </c>
      <c r="B361" s="19" t="s">
        <v>83</v>
      </c>
      <c r="C361" s="19" t="s">
        <v>74</v>
      </c>
      <c r="D361" s="20" t="n">
        <v>110.5</v>
      </c>
      <c r="E361" s="21" t="n">
        <v>3941.7</v>
      </c>
      <c r="F361" s="22" t="n">
        <f aca="false">D361*E361</f>
        <v>435557.85</v>
      </c>
      <c r="G361" s="2"/>
    </row>
    <row r="362" customFormat="false" ht="15" hidden="false" customHeight="false" outlineLevel="0" collapsed="false">
      <c r="A362" s="19" t="s">
        <v>86</v>
      </c>
      <c r="B362" s="19" t="s">
        <v>83</v>
      </c>
      <c r="C362" s="19" t="s">
        <v>75</v>
      </c>
      <c r="D362" s="20" t="n">
        <v>115.9</v>
      </c>
      <c r="E362" s="21" t="n">
        <v>3939.31</v>
      </c>
      <c r="F362" s="22" t="n">
        <f aca="false">D362*E362</f>
        <v>456566.029</v>
      </c>
      <c r="G362" s="2"/>
    </row>
    <row r="363" customFormat="false" ht="15" hidden="false" customHeight="false" outlineLevel="0" collapsed="false">
      <c r="A363" s="19" t="s">
        <v>86</v>
      </c>
      <c r="B363" s="19" t="s">
        <v>83</v>
      </c>
      <c r="C363" s="19" t="s">
        <v>76</v>
      </c>
      <c r="D363" s="20" t="n">
        <v>120.6</v>
      </c>
      <c r="E363" s="21" t="n">
        <v>3943.96</v>
      </c>
      <c r="F363" s="22" t="n">
        <f aca="false">D363*E363</f>
        <v>475641.576</v>
      </c>
      <c r="G363" s="2"/>
    </row>
    <row r="364" customFormat="false" ht="15" hidden="false" customHeight="false" outlineLevel="0" collapsed="false">
      <c r="A364" s="19" t="s">
        <v>86</v>
      </c>
      <c r="B364" s="19" t="s">
        <v>83</v>
      </c>
      <c r="C364" s="19" t="s">
        <v>77</v>
      </c>
      <c r="D364" s="20" t="n">
        <v>125</v>
      </c>
      <c r="E364" s="21" t="n">
        <v>3946</v>
      </c>
      <c r="F364" s="22" t="n">
        <f aca="false">D364*E364</f>
        <v>493250</v>
      </c>
      <c r="G364" s="2"/>
    </row>
    <row r="365" customFormat="false" ht="15" hidden="false" customHeight="false" outlineLevel="0" collapsed="false">
      <c r="A365" s="19" t="s">
        <v>86</v>
      </c>
      <c r="B365" s="19" t="s">
        <v>83</v>
      </c>
      <c r="C365" s="19" t="s">
        <v>78</v>
      </c>
      <c r="D365" s="20" t="n">
        <v>125.1</v>
      </c>
      <c r="E365" s="21" t="n">
        <v>3948.99</v>
      </c>
      <c r="F365" s="22" t="n">
        <f aca="false">D365*E365</f>
        <v>494018.649</v>
      </c>
      <c r="G365" s="2"/>
    </row>
    <row r="366" customFormat="false" ht="15" hidden="false" customHeight="false" outlineLevel="0" collapsed="false">
      <c r="A366" s="19" t="s">
        <v>86</v>
      </c>
      <c r="B366" s="19" t="s">
        <v>83</v>
      </c>
      <c r="C366" s="19" t="s">
        <v>79</v>
      </c>
      <c r="D366" s="20" t="n">
        <v>128.5</v>
      </c>
      <c r="E366" s="21" t="n">
        <v>3945.34</v>
      </c>
      <c r="F366" s="22" t="n">
        <f aca="false">D366*E366</f>
        <v>506976.19</v>
      </c>
      <c r="G366" s="2"/>
    </row>
    <row r="367" customFormat="false" ht="15" hidden="false" customHeight="false" outlineLevel="0" collapsed="false">
      <c r="A367" s="19" t="s">
        <v>86</v>
      </c>
      <c r="B367" s="19" t="s">
        <v>83</v>
      </c>
      <c r="C367" s="19" t="s">
        <v>80</v>
      </c>
      <c r="D367" s="20" t="n">
        <v>126</v>
      </c>
      <c r="E367" s="21" t="n">
        <v>3937.01</v>
      </c>
      <c r="F367" s="22" t="n">
        <f aca="false">D367*E367</f>
        <v>496063.26</v>
      </c>
      <c r="G367" s="2"/>
    </row>
    <row r="368" customFormat="false" ht="15" hidden="false" customHeight="false" outlineLevel="0" collapsed="false">
      <c r="A368" s="19" t="s">
        <v>86</v>
      </c>
      <c r="B368" s="19" t="s">
        <v>84</v>
      </c>
      <c r="C368" s="19" t="s">
        <v>45</v>
      </c>
      <c r="D368" s="20" t="n">
        <v>80.5</v>
      </c>
      <c r="E368" s="21" t="n">
        <v>5056.98</v>
      </c>
      <c r="F368" s="22" t="n">
        <f aca="false">D368*E368</f>
        <v>407086.89</v>
      </c>
      <c r="G368" s="2"/>
    </row>
    <row r="369" customFormat="false" ht="15" hidden="false" customHeight="false" outlineLevel="0" collapsed="false">
      <c r="A369" s="19" t="s">
        <v>86</v>
      </c>
      <c r="B369" s="19" t="s">
        <v>84</v>
      </c>
      <c r="C369" s="19" t="s">
        <v>46</v>
      </c>
      <c r="D369" s="20" t="n">
        <v>83.8</v>
      </c>
      <c r="E369" s="21" t="n">
        <v>5072.18</v>
      </c>
      <c r="F369" s="22" t="n">
        <f aca="false">D369*E369</f>
        <v>425048.684</v>
      </c>
      <c r="G369" s="2"/>
    </row>
    <row r="370" customFormat="false" ht="15" hidden="false" customHeight="false" outlineLevel="0" collapsed="false">
      <c r="A370" s="19" t="s">
        <v>86</v>
      </c>
      <c r="B370" s="19" t="s">
        <v>84</v>
      </c>
      <c r="C370" s="19" t="s">
        <v>47</v>
      </c>
      <c r="D370" s="20" t="n">
        <v>84.7</v>
      </c>
      <c r="E370" s="21" t="n">
        <v>5094.15</v>
      </c>
      <c r="F370" s="22" t="n">
        <f aca="false">D370*E370</f>
        <v>431474.505</v>
      </c>
      <c r="G370" s="2"/>
    </row>
    <row r="371" customFormat="false" ht="15" hidden="false" customHeight="false" outlineLevel="0" collapsed="false">
      <c r="A371" s="19" t="s">
        <v>86</v>
      </c>
      <c r="B371" s="19" t="s">
        <v>84</v>
      </c>
      <c r="C371" s="19" t="s">
        <v>48</v>
      </c>
      <c r="D371" s="20" t="n">
        <v>89.4</v>
      </c>
      <c r="E371" s="21" t="n">
        <v>5116.3</v>
      </c>
      <c r="F371" s="22" t="n">
        <f aca="false">D371*E371</f>
        <v>457397.22</v>
      </c>
      <c r="G371" s="2"/>
    </row>
    <row r="372" customFormat="false" ht="15" hidden="false" customHeight="false" outlineLevel="0" collapsed="false">
      <c r="A372" s="19" t="s">
        <v>86</v>
      </c>
      <c r="B372" s="19" t="s">
        <v>84</v>
      </c>
      <c r="C372" s="19" t="s">
        <v>49</v>
      </c>
      <c r="D372" s="20" t="n">
        <v>92.5</v>
      </c>
      <c r="E372" s="21" t="n">
        <v>5118.67</v>
      </c>
      <c r="F372" s="22" t="n">
        <f aca="false">D372*E372</f>
        <v>473476.975</v>
      </c>
      <c r="G372" s="2"/>
    </row>
    <row r="373" customFormat="false" ht="15" hidden="false" customHeight="false" outlineLevel="0" collapsed="false">
      <c r="A373" s="19" t="s">
        <v>86</v>
      </c>
      <c r="B373" s="19" t="s">
        <v>84</v>
      </c>
      <c r="C373" s="19" t="s">
        <v>50</v>
      </c>
      <c r="D373" s="20" t="n">
        <v>97</v>
      </c>
      <c r="E373" s="21" t="n">
        <v>5125.46</v>
      </c>
      <c r="F373" s="22" t="n">
        <f aca="false">D373*E373</f>
        <v>497169.62</v>
      </c>
      <c r="G373" s="2"/>
    </row>
    <row r="374" customFormat="false" ht="15" hidden="false" customHeight="false" outlineLevel="0" collapsed="false">
      <c r="A374" s="19" t="s">
        <v>86</v>
      </c>
      <c r="B374" s="19" t="s">
        <v>84</v>
      </c>
      <c r="C374" s="19" t="s">
        <v>51</v>
      </c>
      <c r="D374" s="20" t="n">
        <v>97.6</v>
      </c>
      <c r="E374" s="21" t="n">
        <v>5136.01</v>
      </c>
      <c r="F374" s="22" t="n">
        <f aca="false">D374*E374</f>
        <v>501274.576</v>
      </c>
      <c r="G374" s="2"/>
    </row>
    <row r="375" customFormat="false" ht="15" hidden="false" customHeight="false" outlineLevel="0" collapsed="false">
      <c r="A375" s="19" t="s">
        <v>86</v>
      </c>
      <c r="B375" s="19" t="s">
        <v>84</v>
      </c>
      <c r="C375" s="19" t="s">
        <v>52</v>
      </c>
      <c r="D375" s="20" t="n">
        <v>95.8</v>
      </c>
      <c r="E375" s="21" t="n">
        <v>5143.72</v>
      </c>
      <c r="F375" s="22" t="n">
        <f aca="false">D375*E375</f>
        <v>492768.376</v>
      </c>
      <c r="G375" s="2"/>
    </row>
    <row r="376" customFormat="false" ht="15" hidden="false" customHeight="false" outlineLevel="0" collapsed="false">
      <c r="A376" s="19" t="s">
        <v>86</v>
      </c>
      <c r="B376" s="19" t="s">
        <v>84</v>
      </c>
      <c r="C376" s="19" t="s">
        <v>53</v>
      </c>
      <c r="D376" s="20" t="n">
        <v>99.3</v>
      </c>
      <c r="E376" s="21" t="n">
        <v>5144.12</v>
      </c>
      <c r="F376" s="22" t="n">
        <f aca="false">D376*E376</f>
        <v>510811.116</v>
      </c>
      <c r="G376" s="2"/>
    </row>
    <row r="377" customFormat="false" ht="15" hidden="false" customHeight="false" outlineLevel="0" collapsed="false">
      <c r="A377" s="19" t="s">
        <v>86</v>
      </c>
      <c r="B377" s="19" t="s">
        <v>84</v>
      </c>
      <c r="C377" s="19" t="s">
        <v>54</v>
      </c>
      <c r="D377" s="20" t="n">
        <v>102.1</v>
      </c>
      <c r="E377" s="21" t="n">
        <v>5155.83</v>
      </c>
      <c r="F377" s="22" t="n">
        <f aca="false">D377*E377</f>
        <v>526410.243</v>
      </c>
      <c r="G377" s="2"/>
    </row>
    <row r="378" customFormat="false" ht="15" hidden="false" customHeight="false" outlineLevel="0" collapsed="false">
      <c r="A378" s="19" t="s">
        <v>86</v>
      </c>
      <c r="B378" s="19" t="s">
        <v>84</v>
      </c>
      <c r="C378" s="19" t="s">
        <v>55</v>
      </c>
      <c r="D378" s="20" t="n">
        <v>102</v>
      </c>
      <c r="E378" s="21" t="n">
        <v>5181.22</v>
      </c>
      <c r="F378" s="22" t="n">
        <f aca="false">D378*E378</f>
        <v>528484.44</v>
      </c>
      <c r="G378" s="2"/>
    </row>
    <row r="379" customFormat="false" ht="15" hidden="false" customHeight="false" outlineLevel="0" collapsed="false">
      <c r="A379" s="19" t="s">
        <v>86</v>
      </c>
      <c r="B379" s="19" t="s">
        <v>84</v>
      </c>
      <c r="C379" s="19" t="s">
        <v>56</v>
      </c>
      <c r="D379" s="20" t="n">
        <v>107.5</v>
      </c>
      <c r="E379" s="21" t="n">
        <v>5168.96</v>
      </c>
      <c r="F379" s="22" t="n">
        <f aca="false">D379*E379</f>
        <v>555663.2</v>
      </c>
      <c r="G379" s="2"/>
    </row>
    <row r="380" customFormat="false" ht="15" hidden="false" customHeight="false" outlineLevel="0" collapsed="false">
      <c r="A380" s="19" t="s">
        <v>86</v>
      </c>
      <c r="B380" s="19" t="s">
        <v>84</v>
      </c>
      <c r="C380" s="19" t="s">
        <v>57</v>
      </c>
      <c r="D380" s="20" t="n">
        <v>107.8</v>
      </c>
      <c r="E380" s="21" t="n">
        <v>5166.83</v>
      </c>
      <c r="F380" s="22" t="n">
        <f aca="false">D380*E380</f>
        <v>556984.274</v>
      </c>
      <c r="G380" s="2"/>
    </row>
    <row r="381" customFormat="false" ht="15" hidden="false" customHeight="false" outlineLevel="0" collapsed="false">
      <c r="A381" s="19" t="s">
        <v>86</v>
      </c>
      <c r="B381" s="19" t="s">
        <v>84</v>
      </c>
      <c r="C381" s="19" t="s">
        <v>58</v>
      </c>
      <c r="D381" s="20" t="n">
        <v>110.7</v>
      </c>
      <c r="E381" s="21" t="n">
        <v>5175.49</v>
      </c>
      <c r="F381" s="22" t="n">
        <f aca="false">D381*E381</f>
        <v>572926.743</v>
      </c>
      <c r="G381" s="2"/>
    </row>
    <row r="382" customFormat="false" ht="15" hidden="false" customHeight="false" outlineLevel="0" collapsed="false">
      <c r="A382" s="19" t="s">
        <v>86</v>
      </c>
      <c r="B382" s="19" t="s">
        <v>84</v>
      </c>
      <c r="C382" s="19" t="s">
        <v>59</v>
      </c>
      <c r="D382" s="20" t="n">
        <v>112.7</v>
      </c>
      <c r="E382" s="21" t="n">
        <v>5187.59</v>
      </c>
      <c r="F382" s="22" t="n">
        <f aca="false">D382*E382</f>
        <v>584641.393</v>
      </c>
      <c r="G382" s="2"/>
    </row>
    <row r="383" customFormat="false" ht="15" hidden="false" customHeight="false" outlineLevel="0" collapsed="false">
      <c r="A383" s="19" t="s">
        <v>86</v>
      </c>
      <c r="B383" s="19" t="s">
        <v>84</v>
      </c>
      <c r="C383" s="19" t="s">
        <v>60</v>
      </c>
      <c r="D383" s="20" t="n">
        <v>114.5</v>
      </c>
      <c r="E383" s="21" t="n">
        <v>5218.54</v>
      </c>
      <c r="F383" s="22" t="n">
        <f aca="false">D383*E383</f>
        <v>597522.83</v>
      </c>
      <c r="G383" s="2"/>
    </row>
    <row r="384" customFormat="false" ht="15" hidden="false" customHeight="false" outlineLevel="0" collapsed="false">
      <c r="A384" s="19" t="s">
        <v>86</v>
      </c>
      <c r="B384" s="19" t="s">
        <v>84</v>
      </c>
      <c r="C384" s="19" t="s">
        <v>61</v>
      </c>
      <c r="D384" s="20" t="n">
        <v>115.9</v>
      </c>
      <c r="E384" s="21" t="n">
        <v>5216.93</v>
      </c>
      <c r="F384" s="22" t="n">
        <f aca="false">D384*E384</f>
        <v>604642.187</v>
      </c>
      <c r="G384" s="2"/>
    </row>
    <row r="385" customFormat="false" ht="15" hidden="false" customHeight="false" outlineLevel="0" collapsed="false">
      <c r="A385" s="19" t="s">
        <v>86</v>
      </c>
      <c r="B385" s="19" t="s">
        <v>84</v>
      </c>
      <c r="C385" s="19" t="s">
        <v>62</v>
      </c>
      <c r="D385" s="20" t="n">
        <v>115.4</v>
      </c>
      <c r="E385" s="21" t="n">
        <v>5209.1</v>
      </c>
      <c r="F385" s="22" t="n">
        <f aca="false">D385*E385</f>
        <v>601130.14</v>
      </c>
      <c r="G385" s="2"/>
    </row>
    <row r="386" customFormat="false" ht="15" hidden="false" customHeight="false" outlineLevel="0" collapsed="false">
      <c r="A386" s="19" t="s">
        <v>86</v>
      </c>
      <c r="B386" s="19" t="s">
        <v>84</v>
      </c>
      <c r="C386" s="19" t="s">
        <v>63</v>
      </c>
      <c r="D386" s="20" t="n">
        <v>116.4</v>
      </c>
      <c r="E386" s="21" t="n">
        <v>5225.68</v>
      </c>
      <c r="F386" s="22" t="n">
        <f aca="false">D386*E386</f>
        <v>608269.152</v>
      </c>
      <c r="G386" s="2"/>
    </row>
    <row r="387" customFormat="false" ht="15" hidden="false" customHeight="false" outlineLevel="0" collapsed="false">
      <c r="A387" s="19" t="s">
        <v>86</v>
      </c>
      <c r="B387" s="19" t="s">
        <v>84</v>
      </c>
      <c r="C387" s="19" t="s">
        <v>64</v>
      </c>
      <c r="D387" s="20" t="n">
        <v>118.8</v>
      </c>
      <c r="E387" s="21" t="n">
        <v>5242.56</v>
      </c>
      <c r="F387" s="22" t="n">
        <f aca="false">D387*E387</f>
        <v>622816.128</v>
      </c>
      <c r="G387" s="2"/>
    </row>
    <row r="388" customFormat="false" ht="15" hidden="false" customHeight="false" outlineLevel="0" collapsed="false">
      <c r="A388" s="19" t="s">
        <v>86</v>
      </c>
      <c r="B388" s="19" t="s">
        <v>84</v>
      </c>
      <c r="C388" s="19" t="s">
        <v>65</v>
      </c>
      <c r="D388" s="20" t="n">
        <v>119.7</v>
      </c>
      <c r="E388" s="21" t="n">
        <v>5255.49</v>
      </c>
      <c r="F388" s="22" t="n">
        <f aca="false">D388*E388</f>
        <v>629082.153</v>
      </c>
      <c r="G388" s="2"/>
    </row>
    <row r="389" customFormat="false" ht="15" hidden="false" customHeight="false" outlineLevel="0" collapsed="false">
      <c r="A389" s="19" t="s">
        <v>86</v>
      </c>
      <c r="B389" s="19" t="s">
        <v>84</v>
      </c>
      <c r="C389" s="19" t="s">
        <v>66</v>
      </c>
      <c r="D389" s="20" t="n">
        <v>122.6</v>
      </c>
      <c r="E389" s="21" t="n">
        <v>5265.09</v>
      </c>
      <c r="F389" s="22" t="n">
        <f aca="false">D389*E389</f>
        <v>645500.034</v>
      </c>
      <c r="G389" s="2"/>
    </row>
    <row r="390" customFormat="false" ht="15" hidden="false" customHeight="false" outlineLevel="0" collapsed="false">
      <c r="A390" s="19" t="s">
        <v>86</v>
      </c>
      <c r="B390" s="19" t="s">
        <v>84</v>
      </c>
      <c r="C390" s="19" t="s">
        <v>67</v>
      </c>
      <c r="D390" s="20" t="n">
        <v>127.7</v>
      </c>
      <c r="E390" s="21" t="n">
        <v>5260.29</v>
      </c>
      <c r="F390" s="22" t="n">
        <f aca="false">D390*E390</f>
        <v>671739.033</v>
      </c>
      <c r="G390" s="2"/>
    </row>
    <row r="391" customFormat="false" ht="15" hidden="false" customHeight="false" outlineLevel="0" collapsed="false">
      <c r="A391" s="19" t="s">
        <v>86</v>
      </c>
      <c r="B391" s="19" t="s">
        <v>84</v>
      </c>
      <c r="C391" s="19" t="s">
        <v>68</v>
      </c>
      <c r="D391" s="20" t="n">
        <v>130</v>
      </c>
      <c r="E391" s="21" t="n">
        <v>5281.68</v>
      </c>
      <c r="F391" s="22" t="n">
        <f aca="false">D391*E391</f>
        <v>686618.4</v>
      </c>
      <c r="G391" s="2"/>
    </row>
    <row r="392" customFormat="false" ht="15" hidden="false" customHeight="false" outlineLevel="0" collapsed="false">
      <c r="A392" s="19" t="s">
        <v>86</v>
      </c>
      <c r="B392" s="19" t="s">
        <v>84</v>
      </c>
      <c r="C392" s="19" t="s">
        <v>69</v>
      </c>
      <c r="D392" s="20" t="n">
        <v>129.3</v>
      </c>
      <c r="E392" s="21" t="n">
        <v>5268.77</v>
      </c>
      <c r="F392" s="22" t="n">
        <f aca="false">D392*E392</f>
        <v>681251.961</v>
      </c>
      <c r="G392" s="2"/>
    </row>
    <row r="393" customFormat="false" ht="15" hidden="false" customHeight="false" outlineLevel="0" collapsed="false">
      <c r="A393" s="19" t="s">
        <v>86</v>
      </c>
      <c r="B393" s="19" t="s">
        <v>84</v>
      </c>
      <c r="C393" s="19" t="s">
        <v>70</v>
      </c>
      <c r="D393" s="20" t="n">
        <v>134.9</v>
      </c>
      <c r="E393" s="21" t="n">
        <v>5259.59</v>
      </c>
      <c r="F393" s="22" t="n">
        <f aca="false">D393*E393</f>
        <v>709518.691</v>
      </c>
      <c r="G393" s="2"/>
    </row>
    <row r="394" customFormat="false" ht="15" hidden="false" customHeight="false" outlineLevel="0" collapsed="false">
      <c r="A394" s="19" t="s">
        <v>86</v>
      </c>
      <c r="B394" s="19" t="s">
        <v>84</v>
      </c>
      <c r="C394" s="19" t="s">
        <v>71</v>
      </c>
      <c r="D394" s="20" t="n">
        <v>135.9</v>
      </c>
      <c r="E394" s="21" t="n">
        <v>5289.26</v>
      </c>
      <c r="F394" s="22" t="n">
        <f aca="false">D394*E394</f>
        <v>718810.434</v>
      </c>
      <c r="G394" s="2"/>
    </row>
    <row r="395" customFormat="false" ht="15" hidden="false" customHeight="false" outlineLevel="0" collapsed="false">
      <c r="A395" s="19" t="s">
        <v>86</v>
      </c>
      <c r="B395" s="19" t="s">
        <v>84</v>
      </c>
      <c r="C395" s="19" t="s">
        <v>72</v>
      </c>
      <c r="D395" s="20" t="n">
        <v>134.3</v>
      </c>
      <c r="E395" s="21" t="n">
        <v>5275.17</v>
      </c>
      <c r="F395" s="22" t="n">
        <f aca="false">D395*E395</f>
        <v>708455.331</v>
      </c>
      <c r="G395" s="2"/>
    </row>
    <row r="396" customFormat="false" ht="15" hidden="false" customHeight="false" outlineLevel="0" collapsed="false">
      <c r="A396" s="19" t="s">
        <v>86</v>
      </c>
      <c r="B396" s="19" t="s">
        <v>84</v>
      </c>
      <c r="C396" s="19" t="s">
        <v>73</v>
      </c>
      <c r="D396" s="20" t="n">
        <v>132.3</v>
      </c>
      <c r="E396" s="21" t="n">
        <v>5300.49</v>
      </c>
      <c r="F396" s="22" t="n">
        <f aca="false">D396*E396</f>
        <v>701254.827</v>
      </c>
      <c r="G396" s="2"/>
    </row>
    <row r="397" customFormat="false" ht="15" hidden="false" customHeight="false" outlineLevel="0" collapsed="false">
      <c r="A397" s="19" t="s">
        <v>86</v>
      </c>
      <c r="B397" s="19" t="s">
        <v>84</v>
      </c>
      <c r="C397" s="19" t="s">
        <v>74</v>
      </c>
      <c r="D397" s="20" t="n">
        <v>131.4</v>
      </c>
      <c r="E397" s="21" t="n">
        <v>5287.24</v>
      </c>
      <c r="F397" s="22" t="n">
        <f aca="false">D397*E397</f>
        <v>694743.336</v>
      </c>
      <c r="G397" s="2"/>
    </row>
    <row r="398" customFormat="false" ht="15" hidden="false" customHeight="false" outlineLevel="0" collapsed="false">
      <c r="A398" s="19" t="s">
        <v>86</v>
      </c>
      <c r="B398" s="19" t="s">
        <v>84</v>
      </c>
      <c r="C398" s="19" t="s">
        <v>75</v>
      </c>
      <c r="D398" s="20" t="n">
        <v>128.5</v>
      </c>
      <c r="E398" s="21" t="n">
        <v>5304.52</v>
      </c>
      <c r="F398" s="22" t="n">
        <f aca="false">D398*E398</f>
        <v>681630.82</v>
      </c>
      <c r="G398" s="2"/>
    </row>
    <row r="399" customFormat="false" ht="15" hidden="false" customHeight="false" outlineLevel="0" collapsed="false">
      <c r="A399" s="19" t="s">
        <v>86</v>
      </c>
      <c r="B399" s="19" t="s">
        <v>84</v>
      </c>
      <c r="C399" s="19" t="s">
        <v>76</v>
      </c>
      <c r="D399" s="20" t="n">
        <v>136.4</v>
      </c>
      <c r="E399" s="21" t="n">
        <v>5327.79</v>
      </c>
      <c r="F399" s="22" t="n">
        <f aca="false">D399*E399</f>
        <v>726710.556</v>
      </c>
      <c r="G399" s="2"/>
    </row>
    <row r="400" customFormat="false" ht="15" hidden="false" customHeight="false" outlineLevel="0" collapsed="false">
      <c r="A400" s="19" t="s">
        <v>86</v>
      </c>
      <c r="B400" s="19" t="s">
        <v>84</v>
      </c>
      <c r="C400" s="19" t="s">
        <v>77</v>
      </c>
      <c r="D400" s="20" t="n">
        <v>135.2</v>
      </c>
      <c r="E400" s="21" t="n">
        <v>5351.16</v>
      </c>
      <c r="F400" s="22" t="n">
        <f aca="false">D400*E400</f>
        <v>723476.832</v>
      </c>
      <c r="G400" s="2"/>
    </row>
    <row r="401" customFormat="false" ht="15" hidden="false" customHeight="false" outlineLevel="0" collapsed="false">
      <c r="A401" s="19" t="s">
        <v>86</v>
      </c>
      <c r="B401" s="19" t="s">
        <v>84</v>
      </c>
      <c r="C401" s="19" t="s">
        <v>78</v>
      </c>
      <c r="D401" s="20" t="n">
        <v>142.2</v>
      </c>
      <c r="E401" s="21" t="n">
        <v>5340.33</v>
      </c>
      <c r="F401" s="22" t="n">
        <f aca="false">D401*E401</f>
        <v>759394.926</v>
      </c>
      <c r="G401" s="2"/>
    </row>
    <row r="402" customFormat="false" ht="15" hidden="false" customHeight="false" outlineLevel="0" collapsed="false">
      <c r="A402" s="19" t="s">
        <v>86</v>
      </c>
      <c r="B402" s="19" t="s">
        <v>84</v>
      </c>
      <c r="C402" s="19" t="s">
        <v>79</v>
      </c>
      <c r="D402" s="20" t="n">
        <v>139.4</v>
      </c>
      <c r="E402" s="21" t="n">
        <v>5366.07</v>
      </c>
      <c r="F402" s="22" t="n">
        <f aca="false">D402*E402</f>
        <v>748030.158</v>
      </c>
      <c r="G402" s="2"/>
    </row>
    <row r="403" customFormat="false" ht="15" hidden="false" customHeight="false" outlineLevel="0" collapsed="false">
      <c r="A403" s="19" t="s">
        <v>86</v>
      </c>
      <c r="B403" s="19" t="s">
        <v>84</v>
      </c>
      <c r="C403" s="19" t="s">
        <v>80</v>
      </c>
      <c r="D403" s="20" t="n">
        <v>138.6</v>
      </c>
      <c r="E403" s="21" t="n">
        <v>5351.01</v>
      </c>
      <c r="F403" s="22" t="n">
        <f aca="false">D403*E403</f>
        <v>741649.986</v>
      </c>
      <c r="G403" s="2"/>
    </row>
    <row r="404" customFormat="false" ht="15" hidden="false" customHeight="false" outlineLevel="0" collapsed="false">
      <c r="A404" s="19" t="s">
        <v>86</v>
      </c>
      <c r="B404" s="19" t="s">
        <v>85</v>
      </c>
      <c r="C404" s="19" t="s">
        <v>45</v>
      </c>
      <c r="D404" s="20" t="n">
        <v>32.2</v>
      </c>
      <c r="E404" s="21" t="n">
        <v>4007.29</v>
      </c>
      <c r="F404" s="22" t="n">
        <f aca="false">D404*E404</f>
        <v>129034.738</v>
      </c>
      <c r="G404" s="2"/>
    </row>
    <row r="405" customFormat="false" ht="15" hidden="false" customHeight="false" outlineLevel="0" collapsed="false">
      <c r="A405" s="19" t="s">
        <v>86</v>
      </c>
      <c r="B405" s="19" t="s">
        <v>85</v>
      </c>
      <c r="C405" s="19" t="s">
        <v>46</v>
      </c>
      <c r="D405" s="20" t="n">
        <v>31.6</v>
      </c>
      <c r="E405" s="21" t="n">
        <v>4005.71</v>
      </c>
      <c r="F405" s="22" t="n">
        <f aca="false">D405*E405</f>
        <v>126580.436</v>
      </c>
      <c r="G405" s="2"/>
    </row>
    <row r="406" customFormat="false" ht="15" hidden="false" customHeight="false" outlineLevel="0" collapsed="false">
      <c r="A406" s="19" t="s">
        <v>86</v>
      </c>
      <c r="B406" s="19" t="s">
        <v>85</v>
      </c>
      <c r="C406" s="19" t="s">
        <v>47</v>
      </c>
      <c r="D406" s="20" t="n">
        <v>31.1</v>
      </c>
      <c r="E406" s="21" t="n">
        <v>4007.85</v>
      </c>
      <c r="F406" s="22" t="n">
        <f aca="false">D406*E406</f>
        <v>124644.135</v>
      </c>
      <c r="G406" s="2"/>
    </row>
    <row r="407" customFormat="false" ht="15" hidden="false" customHeight="false" outlineLevel="0" collapsed="false">
      <c r="A407" s="19" t="s">
        <v>86</v>
      </c>
      <c r="B407" s="19" t="s">
        <v>85</v>
      </c>
      <c r="C407" s="19" t="s">
        <v>48</v>
      </c>
      <c r="D407" s="20" t="n">
        <v>31.1</v>
      </c>
      <c r="E407" s="21" t="n">
        <v>4005.8</v>
      </c>
      <c r="F407" s="22" t="n">
        <f aca="false">D407*E407</f>
        <v>124580.38</v>
      </c>
      <c r="G407" s="2"/>
    </row>
    <row r="408" customFormat="false" ht="15" hidden="false" customHeight="false" outlineLevel="0" collapsed="false">
      <c r="A408" s="19" t="s">
        <v>86</v>
      </c>
      <c r="B408" s="19" t="s">
        <v>85</v>
      </c>
      <c r="C408" s="19" t="s">
        <v>49</v>
      </c>
      <c r="D408" s="20" t="n">
        <v>31.3</v>
      </c>
      <c r="E408" s="21" t="n">
        <v>4010.27</v>
      </c>
      <c r="F408" s="22" t="n">
        <f aca="false">D408*E408</f>
        <v>125521.451</v>
      </c>
      <c r="G408" s="2"/>
    </row>
    <row r="409" customFormat="false" ht="15" hidden="false" customHeight="false" outlineLevel="0" collapsed="false">
      <c r="A409" s="19" t="s">
        <v>86</v>
      </c>
      <c r="B409" s="19" t="s">
        <v>85</v>
      </c>
      <c r="C409" s="19" t="s">
        <v>50</v>
      </c>
      <c r="D409" s="20" t="n">
        <v>31.1</v>
      </c>
      <c r="E409" s="21" t="n">
        <v>4014.66</v>
      </c>
      <c r="F409" s="22" t="n">
        <f aca="false">D409*E409</f>
        <v>124855.926</v>
      </c>
      <c r="G409" s="2"/>
    </row>
    <row r="410" customFormat="false" ht="15" hidden="false" customHeight="false" outlineLevel="0" collapsed="false">
      <c r="A410" s="19" t="s">
        <v>86</v>
      </c>
      <c r="B410" s="19" t="s">
        <v>85</v>
      </c>
      <c r="C410" s="19" t="s">
        <v>51</v>
      </c>
      <c r="D410" s="20" t="n">
        <v>32.8</v>
      </c>
      <c r="E410" s="21" t="n">
        <v>4010.24</v>
      </c>
      <c r="F410" s="22" t="n">
        <f aca="false">D410*E410</f>
        <v>131535.872</v>
      </c>
      <c r="G410" s="2"/>
    </row>
    <row r="411" customFormat="false" ht="15" hidden="false" customHeight="false" outlineLevel="0" collapsed="false">
      <c r="A411" s="19" t="s">
        <v>86</v>
      </c>
      <c r="B411" s="19" t="s">
        <v>85</v>
      </c>
      <c r="C411" s="19" t="s">
        <v>52</v>
      </c>
      <c r="D411" s="20" t="n">
        <v>32</v>
      </c>
      <c r="E411" s="21" t="n">
        <v>4014.56</v>
      </c>
      <c r="F411" s="22" t="n">
        <f aca="false">D411*E411</f>
        <v>128465.92</v>
      </c>
      <c r="G411" s="2"/>
    </row>
    <row r="412" customFormat="false" ht="15" hidden="false" customHeight="false" outlineLevel="0" collapsed="false">
      <c r="A412" s="19" t="s">
        <v>86</v>
      </c>
      <c r="B412" s="19" t="s">
        <v>85</v>
      </c>
      <c r="C412" s="19" t="s">
        <v>53</v>
      </c>
      <c r="D412" s="20" t="n">
        <v>32.7</v>
      </c>
      <c r="E412" s="21" t="n">
        <v>4022.26</v>
      </c>
      <c r="F412" s="22" t="n">
        <f aca="false">D412*E412</f>
        <v>131527.902</v>
      </c>
      <c r="G412" s="2"/>
    </row>
    <row r="413" customFormat="false" ht="15" hidden="false" customHeight="false" outlineLevel="0" collapsed="false">
      <c r="A413" s="19" t="s">
        <v>86</v>
      </c>
      <c r="B413" s="19" t="s">
        <v>85</v>
      </c>
      <c r="C413" s="19" t="s">
        <v>54</v>
      </c>
      <c r="D413" s="20" t="n">
        <v>33.7</v>
      </c>
      <c r="E413" s="21" t="n">
        <v>4026.71</v>
      </c>
      <c r="F413" s="22" t="n">
        <f aca="false">D413*E413</f>
        <v>135700.127</v>
      </c>
      <c r="G413" s="2"/>
    </row>
    <row r="414" customFormat="false" ht="15" hidden="false" customHeight="false" outlineLevel="0" collapsed="false">
      <c r="A414" s="19" t="s">
        <v>86</v>
      </c>
      <c r="B414" s="19" t="s">
        <v>85</v>
      </c>
      <c r="C414" s="19" t="s">
        <v>55</v>
      </c>
      <c r="D414" s="20" t="n">
        <v>35.5</v>
      </c>
      <c r="E414" s="21" t="n">
        <v>4038.43</v>
      </c>
      <c r="F414" s="22" t="n">
        <f aca="false">D414*E414</f>
        <v>143364.265</v>
      </c>
      <c r="G414" s="2"/>
    </row>
    <row r="415" customFormat="false" ht="15" hidden="false" customHeight="false" outlineLevel="0" collapsed="false">
      <c r="A415" s="19" t="s">
        <v>86</v>
      </c>
      <c r="B415" s="19" t="s">
        <v>85</v>
      </c>
      <c r="C415" s="19" t="s">
        <v>56</v>
      </c>
      <c r="D415" s="20" t="n">
        <v>35.4</v>
      </c>
      <c r="E415" s="21" t="n">
        <v>4061.53</v>
      </c>
      <c r="F415" s="22" t="n">
        <f aca="false">D415*E415</f>
        <v>143778.162</v>
      </c>
      <c r="G415" s="2"/>
    </row>
    <row r="416" customFormat="false" ht="15" hidden="false" customHeight="false" outlineLevel="0" collapsed="false">
      <c r="A416" s="19" t="s">
        <v>86</v>
      </c>
      <c r="B416" s="19" t="s">
        <v>85</v>
      </c>
      <c r="C416" s="19" t="s">
        <v>57</v>
      </c>
      <c r="D416" s="20" t="n">
        <v>37.4</v>
      </c>
      <c r="E416" s="21" t="n">
        <v>4082.75</v>
      </c>
      <c r="F416" s="22" t="n">
        <f aca="false">D416*E416</f>
        <v>152694.85</v>
      </c>
      <c r="G416" s="2"/>
    </row>
    <row r="417" customFormat="false" ht="15" hidden="false" customHeight="false" outlineLevel="0" collapsed="false">
      <c r="A417" s="19" t="s">
        <v>86</v>
      </c>
      <c r="B417" s="19" t="s">
        <v>85</v>
      </c>
      <c r="C417" s="19" t="s">
        <v>58</v>
      </c>
      <c r="D417" s="20" t="n">
        <v>37.8</v>
      </c>
      <c r="E417" s="21" t="n">
        <v>4102.71</v>
      </c>
      <c r="F417" s="22" t="n">
        <f aca="false">D417*E417</f>
        <v>155082.438</v>
      </c>
      <c r="G417" s="2"/>
    </row>
    <row r="418" customFormat="false" ht="15" hidden="false" customHeight="false" outlineLevel="0" collapsed="false">
      <c r="A418" s="19" t="s">
        <v>86</v>
      </c>
      <c r="B418" s="19" t="s">
        <v>85</v>
      </c>
      <c r="C418" s="19" t="s">
        <v>59</v>
      </c>
      <c r="D418" s="20" t="n">
        <v>38.9</v>
      </c>
      <c r="E418" s="21" t="n">
        <v>4097.91</v>
      </c>
      <c r="F418" s="22" t="n">
        <f aca="false">D418*E418</f>
        <v>159408.699</v>
      </c>
      <c r="G418" s="2"/>
    </row>
    <row r="419" customFormat="false" ht="15" hidden="false" customHeight="false" outlineLevel="0" collapsed="false">
      <c r="A419" s="19" t="s">
        <v>86</v>
      </c>
      <c r="B419" s="19" t="s">
        <v>85</v>
      </c>
      <c r="C419" s="19" t="s">
        <v>60</v>
      </c>
      <c r="D419" s="20" t="n">
        <v>40.7</v>
      </c>
      <c r="E419" s="21" t="n">
        <v>4111.88</v>
      </c>
      <c r="F419" s="22" t="n">
        <f aca="false">D419*E419</f>
        <v>167353.516</v>
      </c>
      <c r="G419" s="2"/>
    </row>
    <row r="420" customFormat="false" ht="15" hidden="false" customHeight="false" outlineLevel="0" collapsed="false">
      <c r="A420" s="19" t="s">
        <v>86</v>
      </c>
      <c r="B420" s="19" t="s">
        <v>85</v>
      </c>
      <c r="C420" s="19" t="s">
        <v>61</v>
      </c>
      <c r="D420" s="20" t="n">
        <v>41.5</v>
      </c>
      <c r="E420" s="21" t="n">
        <v>4125.84</v>
      </c>
      <c r="F420" s="22" t="n">
        <f aca="false">D420*E420</f>
        <v>171222.36</v>
      </c>
      <c r="G420" s="2"/>
    </row>
    <row r="421" customFormat="false" ht="15" hidden="false" customHeight="false" outlineLevel="0" collapsed="false">
      <c r="A421" s="19" t="s">
        <v>86</v>
      </c>
      <c r="B421" s="19" t="s">
        <v>85</v>
      </c>
      <c r="C421" s="19" t="s">
        <v>62</v>
      </c>
      <c r="D421" s="20" t="n">
        <v>43.1</v>
      </c>
      <c r="E421" s="21" t="n">
        <v>4129.71</v>
      </c>
      <c r="F421" s="22" t="n">
        <f aca="false">D421*E421</f>
        <v>177990.501</v>
      </c>
      <c r="G421" s="2"/>
    </row>
    <row r="422" customFormat="false" ht="15" hidden="false" customHeight="false" outlineLevel="0" collapsed="false">
      <c r="A422" s="19" t="s">
        <v>86</v>
      </c>
      <c r="B422" s="19" t="s">
        <v>85</v>
      </c>
      <c r="C422" s="19" t="s">
        <v>63</v>
      </c>
      <c r="D422" s="20" t="n">
        <v>42.7</v>
      </c>
      <c r="E422" s="21" t="n">
        <v>4134.56</v>
      </c>
      <c r="F422" s="22" t="n">
        <f aca="false">D422*E422</f>
        <v>176545.712</v>
      </c>
      <c r="G422" s="2"/>
    </row>
    <row r="423" customFormat="false" ht="15" hidden="false" customHeight="false" outlineLevel="0" collapsed="false">
      <c r="A423" s="19" t="s">
        <v>86</v>
      </c>
      <c r="B423" s="19" t="s">
        <v>85</v>
      </c>
      <c r="C423" s="19" t="s">
        <v>64</v>
      </c>
      <c r="D423" s="20" t="n">
        <v>43.5</v>
      </c>
      <c r="E423" s="21" t="n">
        <v>4127.4</v>
      </c>
      <c r="F423" s="22" t="n">
        <f aca="false">D423*E423</f>
        <v>179541.9</v>
      </c>
      <c r="G423" s="2"/>
    </row>
    <row r="424" customFormat="false" ht="15" hidden="false" customHeight="false" outlineLevel="0" collapsed="false">
      <c r="A424" s="19" t="s">
        <v>86</v>
      </c>
      <c r="B424" s="19" t="s">
        <v>85</v>
      </c>
      <c r="C424" s="19" t="s">
        <v>65</v>
      </c>
      <c r="D424" s="20" t="n">
        <v>45.9</v>
      </c>
      <c r="E424" s="21" t="n">
        <v>4129.4</v>
      </c>
      <c r="F424" s="22" t="n">
        <f aca="false">D424*E424</f>
        <v>189539.46</v>
      </c>
      <c r="G424" s="2"/>
    </row>
    <row r="425" customFormat="false" ht="15" hidden="false" customHeight="false" outlineLevel="0" collapsed="false">
      <c r="A425" s="19" t="s">
        <v>86</v>
      </c>
      <c r="B425" s="19" t="s">
        <v>85</v>
      </c>
      <c r="C425" s="19" t="s">
        <v>66</v>
      </c>
      <c r="D425" s="20" t="n">
        <v>44.7</v>
      </c>
      <c r="E425" s="21" t="n">
        <v>4121.57</v>
      </c>
      <c r="F425" s="22" t="n">
        <f aca="false">D425*E425</f>
        <v>184234.179</v>
      </c>
      <c r="G425" s="2"/>
    </row>
    <row r="426" customFormat="false" ht="15" hidden="false" customHeight="false" outlineLevel="0" collapsed="false">
      <c r="A426" s="19" t="s">
        <v>86</v>
      </c>
      <c r="B426" s="19" t="s">
        <v>85</v>
      </c>
      <c r="C426" s="19" t="s">
        <v>67</v>
      </c>
      <c r="D426" s="20" t="n">
        <v>45.9</v>
      </c>
      <c r="E426" s="21" t="n">
        <v>4130.83</v>
      </c>
      <c r="F426" s="22" t="n">
        <f aca="false">D426*E426</f>
        <v>189605.097</v>
      </c>
      <c r="G426" s="2"/>
    </row>
    <row r="427" customFormat="false" ht="15" hidden="false" customHeight="false" outlineLevel="0" collapsed="false">
      <c r="A427" s="19" t="s">
        <v>86</v>
      </c>
      <c r="B427" s="19" t="s">
        <v>85</v>
      </c>
      <c r="C427" s="19" t="s">
        <v>68</v>
      </c>
      <c r="D427" s="20" t="n">
        <v>44.9</v>
      </c>
      <c r="E427" s="21" t="n">
        <v>4149.01</v>
      </c>
      <c r="F427" s="22" t="n">
        <f aca="false">D427*E427</f>
        <v>186290.549</v>
      </c>
      <c r="G427" s="2"/>
    </row>
    <row r="428" customFormat="false" ht="15" hidden="false" customHeight="false" outlineLevel="0" collapsed="false">
      <c r="A428" s="19" t="s">
        <v>86</v>
      </c>
      <c r="B428" s="19" t="s">
        <v>85</v>
      </c>
      <c r="C428" s="19" t="s">
        <v>69</v>
      </c>
      <c r="D428" s="20" t="n">
        <v>46.5</v>
      </c>
      <c r="E428" s="21" t="n">
        <v>4141.38</v>
      </c>
      <c r="F428" s="22" t="n">
        <f aca="false">D428*E428</f>
        <v>192574.17</v>
      </c>
      <c r="G428" s="2"/>
    </row>
    <row r="429" customFormat="false" ht="15" hidden="false" customHeight="false" outlineLevel="0" collapsed="false">
      <c r="A429" s="19" t="s">
        <v>86</v>
      </c>
      <c r="B429" s="19" t="s">
        <v>85</v>
      </c>
      <c r="C429" s="19" t="s">
        <v>70</v>
      </c>
      <c r="D429" s="20" t="n">
        <v>48.8</v>
      </c>
      <c r="E429" s="21" t="n">
        <v>4163.77</v>
      </c>
      <c r="F429" s="22" t="n">
        <f aca="false">D429*E429</f>
        <v>203191.976</v>
      </c>
      <c r="G429" s="2"/>
    </row>
    <row r="430" customFormat="false" ht="15" hidden="false" customHeight="false" outlineLevel="0" collapsed="false">
      <c r="A430" s="19" t="s">
        <v>86</v>
      </c>
      <c r="B430" s="19" t="s">
        <v>85</v>
      </c>
      <c r="C430" s="19" t="s">
        <v>71</v>
      </c>
      <c r="D430" s="20" t="n">
        <v>48.6</v>
      </c>
      <c r="E430" s="21" t="n">
        <v>4168.92</v>
      </c>
      <c r="F430" s="22" t="n">
        <f aca="false">D430*E430</f>
        <v>202609.512</v>
      </c>
      <c r="G430" s="2"/>
    </row>
    <row r="431" customFormat="false" ht="15" hidden="false" customHeight="false" outlineLevel="0" collapsed="false">
      <c r="A431" s="19" t="s">
        <v>86</v>
      </c>
      <c r="B431" s="19" t="s">
        <v>85</v>
      </c>
      <c r="C431" s="19" t="s">
        <v>72</v>
      </c>
      <c r="D431" s="20" t="n">
        <v>50.3</v>
      </c>
      <c r="E431" s="21" t="n">
        <v>4162.72</v>
      </c>
      <c r="F431" s="22" t="n">
        <f aca="false">D431*E431</f>
        <v>209384.816</v>
      </c>
      <c r="G431" s="2"/>
    </row>
    <row r="432" customFormat="false" ht="15" hidden="false" customHeight="false" outlineLevel="0" collapsed="false">
      <c r="A432" s="19" t="s">
        <v>86</v>
      </c>
      <c r="B432" s="19" t="s">
        <v>85</v>
      </c>
      <c r="C432" s="19" t="s">
        <v>73</v>
      </c>
      <c r="D432" s="20" t="n">
        <v>49.6</v>
      </c>
      <c r="E432" s="21" t="n">
        <v>4180.26</v>
      </c>
      <c r="F432" s="22" t="n">
        <f aca="false">D432*E432</f>
        <v>207340.896</v>
      </c>
      <c r="G432" s="2"/>
    </row>
    <row r="433" customFormat="false" ht="15" hidden="false" customHeight="false" outlineLevel="0" collapsed="false">
      <c r="A433" s="19" t="s">
        <v>86</v>
      </c>
      <c r="B433" s="19" t="s">
        <v>85</v>
      </c>
      <c r="C433" s="19" t="s">
        <v>74</v>
      </c>
      <c r="D433" s="20" t="n">
        <v>51.2</v>
      </c>
      <c r="E433" s="21" t="n">
        <v>4187.91</v>
      </c>
      <c r="F433" s="22" t="n">
        <f aca="false">D433*E433</f>
        <v>214420.992</v>
      </c>
      <c r="G433" s="2"/>
    </row>
    <row r="434" customFormat="false" ht="15" hidden="false" customHeight="false" outlineLevel="0" collapsed="false">
      <c r="A434" s="19" t="s">
        <v>86</v>
      </c>
      <c r="B434" s="19" t="s">
        <v>85</v>
      </c>
      <c r="C434" s="19" t="s">
        <v>75</v>
      </c>
      <c r="D434" s="20" t="n">
        <v>50.3</v>
      </c>
      <c r="E434" s="21" t="n">
        <v>4195.15</v>
      </c>
      <c r="F434" s="22" t="n">
        <f aca="false">D434*E434</f>
        <v>211016.045</v>
      </c>
      <c r="G434" s="2"/>
    </row>
    <row r="435" customFormat="false" ht="15" hidden="false" customHeight="false" outlineLevel="0" collapsed="false">
      <c r="A435" s="19" t="s">
        <v>86</v>
      </c>
      <c r="B435" s="19" t="s">
        <v>85</v>
      </c>
      <c r="C435" s="19" t="s">
        <v>76</v>
      </c>
      <c r="D435" s="20" t="n">
        <v>50.4</v>
      </c>
      <c r="E435" s="21" t="n">
        <v>4186.98</v>
      </c>
      <c r="F435" s="22" t="n">
        <f aca="false">D435*E435</f>
        <v>211023.792</v>
      </c>
      <c r="G435" s="2"/>
    </row>
    <row r="436" customFormat="false" ht="15" hidden="false" customHeight="false" outlineLevel="0" collapsed="false">
      <c r="A436" s="19" t="s">
        <v>86</v>
      </c>
      <c r="B436" s="19" t="s">
        <v>85</v>
      </c>
      <c r="C436" s="19" t="s">
        <v>77</v>
      </c>
      <c r="D436" s="20" t="n">
        <v>53.3</v>
      </c>
      <c r="E436" s="21" t="n">
        <v>4191.66</v>
      </c>
      <c r="F436" s="22" t="n">
        <f aca="false">D436*E436</f>
        <v>223415.478</v>
      </c>
      <c r="G436" s="2"/>
    </row>
    <row r="437" customFormat="false" ht="15" hidden="false" customHeight="false" outlineLevel="0" collapsed="false">
      <c r="A437" s="19" t="s">
        <v>86</v>
      </c>
      <c r="B437" s="19" t="s">
        <v>85</v>
      </c>
      <c r="C437" s="19" t="s">
        <v>78</v>
      </c>
      <c r="D437" s="20" t="n">
        <v>53.8</v>
      </c>
      <c r="E437" s="21" t="n">
        <v>4200.38</v>
      </c>
      <c r="F437" s="22" t="n">
        <f aca="false">D437*E437</f>
        <v>225980.444</v>
      </c>
      <c r="G437" s="2"/>
    </row>
    <row r="438" customFormat="false" ht="15" hidden="false" customHeight="false" outlineLevel="0" collapsed="false">
      <c r="A438" s="19" t="s">
        <v>86</v>
      </c>
      <c r="B438" s="19" t="s">
        <v>85</v>
      </c>
      <c r="C438" s="19" t="s">
        <v>79</v>
      </c>
      <c r="D438" s="20" t="n">
        <v>56.2</v>
      </c>
      <c r="E438" s="21" t="n">
        <v>4221.29</v>
      </c>
      <c r="F438" s="22" t="n">
        <f aca="false">D438*E438</f>
        <v>237236.498</v>
      </c>
      <c r="G438" s="2"/>
    </row>
    <row r="439" customFormat="false" ht="15" hidden="false" customHeight="false" outlineLevel="0" collapsed="false">
      <c r="A439" s="19" t="s">
        <v>86</v>
      </c>
      <c r="B439" s="19" t="s">
        <v>85</v>
      </c>
      <c r="C439" s="19" t="s">
        <v>80</v>
      </c>
      <c r="D439" s="20" t="n">
        <v>54.7</v>
      </c>
      <c r="E439" s="21" t="n">
        <v>4239.5</v>
      </c>
      <c r="F439" s="22" t="n">
        <f aca="false">D439*E439</f>
        <v>231900.65</v>
      </c>
      <c r="G439" s="2"/>
    </row>
    <row r="440" customFormat="false" ht="15" hidden="false" customHeight="false" outlineLevel="0" collapsed="false">
      <c r="A440" s="19" t="s">
        <v>87</v>
      </c>
      <c r="B440" s="19" t="s">
        <v>44</v>
      </c>
      <c r="C440" s="19" t="s">
        <v>45</v>
      </c>
      <c r="D440" s="20" t="n">
        <v>76.6</v>
      </c>
      <c r="E440" s="21" t="n">
        <v>4702.13</v>
      </c>
      <c r="F440" s="22" t="n">
        <f aca="false">D440*E440</f>
        <v>360183.158</v>
      </c>
      <c r="G440" s="2"/>
    </row>
    <row r="441" customFormat="false" ht="15" hidden="false" customHeight="false" outlineLevel="0" collapsed="false">
      <c r="A441" s="19" t="s">
        <v>87</v>
      </c>
      <c r="B441" s="19" t="s">
        <v>44</v>
      </c>
      <c r="C441" s="19" t="s">
        <v>46</v>
      </c>
      <c r="D441" s="20" t="n">
        <v>79.1</v>
      </c>
      <c r="E441" s="21" t="n">
        <v>4690.48</v>
      </c>
      <c r="F441" s="22" t="n">
        <f aca="false">D441*E441</f>
        <v>371016.968</v>
      </c>
      <c r="G441" s="2"/>
    </row>
    <row r="442" customFormat="false" ht="15" hidden="false" customHeight="false" outlineLevel="0" collapsed="false">
      <c r="A442" s="19" t="s">
        <v>87</v>
      </c>
      <c r="B442" s="19" t="s">
        <v>44</v>
      </c>
      <c r="C442" s="19" t="s">
        <v>47</v>
      </c>
      <c r="D442" s="20" t="n">
        <v>82.9</v>
      </c>
      <c r="E442" s="21" t="n">
        <v>4702.59</v>
      </c>
      <c r="F442" s="22" t="n">
        <f aca="false">D442*E442</f>
        <v>389844.711</v>
      </c>
      <c r="G442" s="2"/>
    </row>
    <row r="443" customFormat="false" ht="15" hidden="false" customHeight="false" outlineLevel="0" collapsed="false">
      <c r="A443" s="19" t="s">
        <v>87</v>
      </c>
      <c r="B443" s="19" t="s">
        <v>44</v>
      </c>
      <c r="C443" s="19" t="s">
        <v>48</v>
      </c>
      <c r="D443" s="20" t="n">
        <v>87.5</v>
      </c>
      <c r="E443" s="21" t="n">
        <v>4719.85</v>
      </c>
      <c r="F443" s="22" t="n">
        <f aca="false">D443*E443</f>
        <v>412986.875</v>
      </c>
      <c r="G443" s="2"/>
    </row>
    <row r="444" customFormat="false" ht="15" hidden="false" customHeight="false" outlineLevel="0" collapsed="false">
      <c r="A444" s="19" t="s">
        <v>87</v>
      </c>
      <c r="B444" s="19" t="s">
        <v>44</v>
      </c>
      <c r="C444" s="19" t="s">
        <v>49</v>
      </c>
      <c r="D444" s="20" t="n">
        <v>92.3</v>
      </c>
      <c r="E444" s="21" t="n">
        <v>4741.23</v>
      </c>
      <c r="F444" s="22" t="n">
        <f aca="false">D444*E444</f>
        <v>437615.529</v>
      </c>
      <c r="G444" s="2"/>
    </row>
    <row r="445" customFormat="false" ht="15" hidden="false" customHeight="false" outlineLevel="0" collapsed="false">
      <c r="A445" s="19" t="s">
        <v>87</v>
      </c>
      <c r="B445" s="19" t="s">
        <v>44</v>
      </c>
      <c r="C445" s="19" t="s">
        <v>50</v>
      </c>
      <c r="D445" s="20" t="n">
        <v>91.8</v>
      </c>
      <c r="E445" s="21" t="n">
        <v>4767.76</v>
      </c>
      <c r="F445" s="22" t="n">
        <f aca="false">D445*E445</f>
        <v>437680.368</v>
      </c>
      <c r="G445" s="2"/>
    </row>
    <row r="446" customFormat="false" ht="15" hidden="false" customHeight="false" outlineLevel="0" collapsed="false">
      <c r="A446" s="19" t="s">
        <v>87</v>
      </c>
      <c r="B446" s="19" t="s">
        <v>44</v>
      </c>
      <c r="C446" s="19" t="s">
        <v>51</v>
      </c>
      <c r="D446" s="20" t="n">
        <v>93.4</v>
      </c>
      <c r="E446" s="21" t="n">
        <v>4757.79</v>
      </c>
      <c r="F446" s="22" t="n">
        <f aca="false">D446*E446</f>
        <v>444377.586</v>
      </c>
      <c r="G446" s="2"/>
    </row>
    <row r="447" customFormat="false" ht="15" hidden="false" customHeight="false" outlineLevel="0" collapsed="false">
      <c r="A447" s="19" t="s">
        <v>87</v>
      </c>
      <c r="B447" s="19" t="s">
        <v>44</v>
      </c>
      <c r="C447" s="19" t="s">
        <v>52</v>
      </c>
      <c r="D447" s="20" t="n">
        <v>92.3</v>
      </c>
      <c r="E447" s="21" t="n">
        <v>4776.74</v>
      </c>
      <c r="F447" s="22" t="n">
        <f aca="false">D447*E447</f>
        <v>440893.102</v>
      </c>
      <c r="G447" s="2"/>
    </row>
    <row r="448" customFormat="false" ht="15" hidden="false" customHeight="false" outlineLevel="0" collapsed="false">
      <c r="A448" s="19" t="s">
        <v>87</v>
      </c>
      <c r="B448" s="19" t="s">
        <v>44</v>
      </c>
      <c r="C448" s="19" t="s">
        <v>53</v>
      </c>
      <c r="D448" s="20" t="n">
        <v>96.9</v>
      </c>
      <c r="E448" s="21" t="n">
        <v>4789.79</v>
      </c>
      <c r="F448" s="22" t="n">
        <f aca="false">D448*E448</f>
        <v>464130.651</v>
      </c>
      <c r="G448" s="2"/>
    </row>
    <row r="449" customFormat="false" ht="15" hidden="false" customHeight="false" outlineLevel="0" collapsed="false">
      <c r="A449" s="19" t="s">
        <v>87</v>
      </c>
      <c r="B449" s="19" t="s">
        <v>44</v>
      </c>
      <c r="C449" s="19" t="s">
        <v>54</v>
      </c>
      <c r="D449" s="20" t="n">
        <v>99.7</v>
      </c>
      <c r="E449" s="21" t="n">
        <v>4802.75</v>
      </c>
      <c r="F449" s="22" t="n">
        <f aca="false">D449*E449</f>
        <v>478834.175</v>
      </c>
      <c r="G449" s="2"/>
    </row>
    <row r="450" customFormat="false" ht="15" hidden="false" customHeight="false" outlineLevel="0" collapsed="false">
      <c r="A450" s="19" t="s">
        <v>87</v>
      </c>
      <c r="B450" s="19" t="s">
        <v>44</v>
      </c>
      <c r="C450" s="19" t="s">
        <v>55</v>
      </c>
      <c r="D450" s="20" t="n">
        <v>105.6</v>
      </c>
      <c r="E450" s="21" t="n">
        <v>4819.94</v>
      </c>
      <c r="F450" s="22" t="n">
        <f aca="false">D450*E450</f>
        <v>508985.664</v>
      </c>
      <c r="G450" s="2"/>
    </row>
    <row r="451" customFormat="false" ht="15" hidden="false" customHeight="false" outlineLevel="0" collapsed="false">
      <c r="A451" s="19" t="s">
        <v>87</v>
      </c>
      <c r="B451" s="19" t="s">
        <v>44</v>
      </c>
      <c r="C451" s="19" t="s">
        <v>56</v>
      </c>
      <c r="D451" s="20" t="n">
        <v>106.8</v>
      </c>
      <c r="E451" s="21" t="n">
        <v>4841.32</v>
      </c>
      <c r="F451" s="22" t="n">
        <f aca="false">D451*E451</f>
        <v>517052.976</v>
      </c>
      <c r="G451" s="2"/>
    </row>
    <row r="452" customFormat="false" ht="15" hidden="false" customHeight="false" outlineLevel="0" collapsed="false">
      <c r="A452" s="19" t="s">
        <v>87</v>
      </c>
      <c r="B452" s="19" t="s">
        <v>44</v>
      </c>
      <c r="C452" s="19" t="s">
        <v>57</v>
      </c>
      <c r="D452" s="20" t="n">
        <v>112.3</v>
      </c>
      <c r="E452" s="21" t="n">
        <v>4858.3</v>
      </c>
      <c r="F452" s="22" t="n">
        <f aca="false">D452*E452</f>
        <v>545587.09</v>
      </c>
      <c r="G452" s="2"/>
    </row>
    <row r="453" customFormat="false" ht="15" hidden="false" customHeight="false" outlineLevel="0" collapsed="false">
      <c r="A453" s="19" t="s">
        <v>87</v>
      </c>
      <c r="B453" s="19" t="s">
        <v>44</v>
      </c>
      <c r="C453" s="19" t="s">
        <v>58</v>
      </c>
      <c r="D453" s="20" t="n">
        <v>113.9</v>
      </c>
      <c r="E453" s="21" t="n">
        <v>4851.72</v>
      </c>
      <c r="F453" s="22" t="n">
        <f aca="false">D453*E453</f>
        <v>552610.908</v>
      </c>
      <c r="G453" s="2"/>
    </row>
    <row r="454" customFormat="false" ht="15" hidden="false" customHeight="false" outlineLevel="0" collapsed="false">
      <c r="A454" s="19" t="s">
        <v>87</v>
      </c>
      <c r="B454" s="19" t="s">
        <v>44</v>
      </c>
      <c r="C454" s="19" t="s">
        <v>59</v>
      </c>
      <c r="D454" s="20" t="n">
        <v>111.6</v>
      </c>
      <c r="E454" s="21" t="n">
        <v>4854.23</v>
      </c>
      <c r="F454" s="22" t="n">
        <f aca="false">D454*E454</f>
        <v>541732.068</v>
      </c>
      <c r="G454" s="2"/>
    </row>
    <row r="455" customFormat="false" ht="15" hidden="false" customHeight="false" outlineLevel="0" collapsed="false">
      <c r="A455" s="19" t="s">
        <v>87</v>
      </c>
      <c r="B455" s="19" t="s">
        <v>44</v>
      </c>
      <c r="C455" s="19" t="s">
        <v>60</v>
      </c>
      <c r="D455" s="20" t="n">
        <v>113.3</v>
      </c>
      <c r="E455" s="21" t="n">
        <v>4849.15</v>
      </c>
      <c r="F455" s="22" t="n">
        <f aca="false">D455*E455</f>
        <v>549408.695</v>
      </c>
      <c r="G455" s="2"/>
    </row>
    <row r="456" customFormat="false" ht="15" hidden="false" customHeight="false" outlineLevel="0" collapsed="false">
      <c r="A456" s="19" t="s">
        <v>87</v>
      </c>
      <c r="B456" s="19" t="s">
        <v>44</v>
      </c>
      <c r="C456" s="19" t="s">
        <v>61</v>
      </c>
      <c r="D456" s="20" t="n">
        <v>118.9</v>
      </c>
      <c r="E456" s="21" t="n">
        <v>4860.86</v>
      </c>
      <c r="F456" s="22" t="n">
        <f aca="false">D456*E456</f>
        <v>577956.254</v>
      </c>
      <c r="G456" s="2"/>
    </row>
    <row r="457" customFormat="false" ht="15" hidden="false" customHeight="false" outlineLevel="0" collapsed="false">
      <c r="A457" s="19" t="s">
        <v>87</v>
      </c>
      <c r="B457" s="19" t="s">
        <v>44</v>
      </c>
      <c r="C457" s="19" t="s">
        <v>62</v>
      </c>
      <c r="D457" s="20" t="n">
        <v>126.8</v>
      </c>
      <c r="E457" s="21" t="n">
        <v>4861.71</v>
      </c>
      <c r="F457" s="22" t="n">
        <f aca="false">D457*E457</f>
        <v>616464.828</v>
      </c>
      <c r="G457" s="2"/>
    </row>
    <row r="458" customFormat="false" ht="15" hidden="false" customHeight="false" outlineLevel="0" collapsed="false">
      <c r="A458" s="19" t="s">
        <v>87</v>
      </c>
      <c r="B458" s="19" t="s">
        <v>44</v>
      </c>
      <c r="C458" s="19" t="s">
        <v>63</v>
      </c>
      <c r="D458" s="20" t="n">
        <v>129.9</v>
      </c>
      <c r="E458" s="21" t="n">
        <v>4859.72</v>
      </c>
      <c r="F458" s="22" t="n">
        <f aca="false">D458*E458</f>
        <v>631277.628</v>
      </c>
      <c r="G458" s="2"/>
    </row>
    <row r="459" customFormat="false" ht="15" hidden="false" customHeight="false" outlineLevel="0" collapsed="false">
      <c r="A459" s="19" t="s">
        <v>87</v>
      </c>
      <c r="B459" s="19" t="s">
        <v>44</v>
      </c>
      <c r="C459" s="19" t="s">
        <v>64</v>
      </c>
      <c r="D459" s="20" t="n">
        <v>135.5</v>
      </c>
      <c r="E459" s="21" t="n">
        <v>4861.91</v>
      </c>
      <c r="F459" s="22" t="n">
        <f aca="false">D459*E459</f>
        <v>658788.805</v>
      </c>
      <c r="G459" s="2"/>
    </row>
    <row r="460" customFormat="false" ht="15" hidden="false" customHeight="false" outlineLevel="0" collapsed="false">
      <c r="A460" s="19" t="s">
        <v>87</v>
      </c>
      <c r="B460" s="19" t="s">
        <v>44</v>
      </c>
      <c r="C460" s="19" t="s">
        <v>65</v>
      </c>
      <c r="D460" s="20" t="n">
        <v>136.3</v>
      </c>
      <c r="E460" s="21" t="n">
        <v>4876.8</v>
      </c>
      <c r="F460" s="22" t="n">
        <f aca="false">D460*E460</f>
        <v>664707.84</v>
      </c>
      <c r="G460" s="2"/>
    </row>
    <row r="461" customFormat="false" ht="15" hidden="false" customHeight="false" outlineLevel="0" collapsed="false">
      <c r="A461" s="19" t="s">
        <v>87</v>
      </c>
      <c r="B461" s="19" t="s">
        <v>44</v>
      </c>
      <c r="C461" s="19" t="s">
        <v>66</v>
      </c>
      <c r="D461" s="20" t="n">
        <v>134.3</v>
      </c>
      <c r="E461" s="21" t="n">
        <v>4874.3</v>
      </c>
      <c r="F461" s="22" t="n">
        <f aca="false">D461*E461</f>
        <v>654618.49</v>
      </c>
      <c r="G461" s="2"/>
    </row>
    <row r="462" customFormat="false" ht="15" hidden="false" customHeight="false" outlineLevel="0" collapsed="false">
      <c r="A462" s="19" t="s">
        <v>87</v>
      </c>
      <c r="B462" s="19" t="s">
        <v>44</v>
      </c>
      <c r="C462" s="19" t="s">
        <v>67</v>
      </c>
      <c r="D462" s="20" t="n">
        <v>134</v>
      </c>
      <c r="E462" s="21" t="n">
        <v>4887.9</v>
      </c>
      <c r="F462" s="22" t="n">
        <f aca="false">D462*E462</f>
        <v>654978.6</v>
      </c>
      <c r="G462" s="2"/>
    </row>
    <row r="463" customFormat="false" ht="15" hidden="false" customHeight="false" outlineLevel="0" collapsed="false">
      <c r="A463" s="19" t="s">
        <v>87</v>
      </c>
      <c r="B463" s="19" t="s">
        <v>44</v>
      </c>
      <c r="C463" s="19" t="s">
        <v>68</v>
      </c>
      <c r="D463" s="20" t="n">
        <v>134.7</v>
      </c>
      <c r="E463" s="21" t="n">
        <v>4914.78</v>
      </c>
      <c r="F463" s="22" t="n">
        <f aca="false">D463*E463</f>
        <v>662020.866</v>
      </c>
      <c r="G463" s="2"/>
    </row>
    <row r="464" customFormat="false" ht="15" hidden="false" customHeight="false" outlineLevel="0" collapsed="false">
      <c r="A464" s="19" t="s">
        <v>87</v>
      </c>
      <c r="B464" s="19" t="s">
        <v>44</v>
      </c>
      <c r="C464" s="19" t="s">
        <v>69</v>
      </c>
      <c r="D464" s="20" t="n">
        <v>138.9</v>
      </c>
      <c r="E464" s="21" t="n">
        <v>4923.35</v>
      </c>
      <c r="F464" s="22" t="n">
        <f aca="false">D464*E464</f>
        <v>683853.315</v>
      </c>
      <c r="G464" s="2"/>
    </row>
    <row r="465" customFormat="false" ht="15" hidden="false" customHeight="false" outlineLevel="0" collapsed="false">
      <c r="A465" s="19" t="s">
        <v>87</v>
      </c>
      <c r="B465" s="19" t="s">
        <v>44</v>
      </c>
      <c r="C465" s="19" t="s">
        <v>70</v>
      </c>
      <c r="D465" s="20" t="n">
        <v>139.2</v>
      </c>
      <c r="E465" s="21" t="n">
        <v>4938.38</v>
      </c>
      <c r="F465" s="22" t="n">
        <f aca="false">D465*E465</f>
        <v>687422.496</v>
      </c>
      <c r="G465" s="2"/>
    </row>
    <row r="466" customFormat="false" ht="15" hidden="false" customHeight="false" outlineLevel="0" collapsed="false">
      <c r="A466" s="19" t="s">
        <v>87</v>
      </c>
      <c r="B466" s="19" t="s">
        <v>44</v>
      </c>
      <c r="C466" s="19" t="s">
        <v>71</v>
      </c>
      <c r="D466" s="20" t="n">
        <v>147.3</v>
      </c>
      <c r="E466" s="21" t="n">
        <v>4926.29</v>
      </c>
      <c r="F466" s="22" t="n">
        <f aca="false">D466*E466</f>
        <v>725642.517</v>
      </c>
      <c r="G466" s="2"/>
    </row>
    <row r="467" customFormat="false" ht="15" hidden="false" customHeight="false" outlineLevel="0" collapsed="false">
      <c r="A467" s="19" t="s">
        <v>87</v>
      </c>
      <c r="B467" s="19" t="s">
        <v>44</v>
      </c>
      <c r="C467" s="19" t="s">
        <v>72</v>
      </c>
      <c r="D467" s="20" t="n">
        <v>155.8</v>
      </c>
      <c r="E467" s="21" t="n">
        <v>4934.97</v>
      </c>
      <c r="F467" s="22" t="n">
        <f aca="false">D467*E467</f>
        <v>768868.326</v>
      </c>
      <c r="G467" s="2"/>
    </row>
    <row r="468" customFormat="false" ht="15" hidden="false" customHeight="false" outlineLevel="0" collapsed="false">
      <c r="A468" s="19" t="s">
        <v>87</v>
      </c>
      <c r="B468" s="19" t="s">
        <v>44</v>
      </c>
      <c r="C468" s="19" t="s">
        <v>73</v>
      </c>
      <c r="D468" s="20" t="n">
        <v>154.8</v>
      </c>
      <c r="E468" s="21" t="n">
        <v>4962.28</v>
      </c>
      <c r="F468" s="22" t="n">
        <f aca="false">D468*E468</f>
        <v>768160.944</v>
      </c>
      <c r="G468" s="2"/>
    </row>
    <row r="469" customFormat="false" ht="15" hidden="false" customHeight="false" outlineLevel="0" collapsed="false">
      <c r="A469" s="19" t="s">
        <v>87</v>
      </c>
      <c r="B469" s="19" t="s">
        <v>44</v>
      </c>
      <c r="C469" s="19" t="s">
        <v>74</v>
      </c>
      <c r="D469" s="20" t="n">
        <v>151.9</v>
      </c>
      <c r="E469" s="21" t="n">
        <v>4959.89</v>
      </c>
      <c r="F469" s="22" t="n">
        <f aca="false">D469*E469</f>
        <v>753407.291</v>
      </c>
      <c r="G469" s="2"/>
    </row>
    <row r="470" customFormat="false" ht="15" hidden="false" customHeight="false" outlineLevel="0" collapsed="false">
      <c r="A470" s="19" t="s">
        <v>87</v>
      </c>
      <c r="B470" s="19" t="s">
        <v>44</v>
      </c>
      <c r="C470" s="19" t="s">
        <v>75</v>
      </c>
      <c r="D470" s="20" t="n">
        <v>148.5</v>
      </c>
      <c r="E470" s="21" t="n">
        <v>4987.63</v>
      </c>
      <c r="F470" s="22" t="n">
        <f aca="false">D470*E470</f>
        <v>740663.055</v>
      </c>
      <c r="G470" s="2"/>
    </row>
    <row r="471" customFormat="false" ht="15" hidden="false" customHeight="false" outlineLevel="0" collapsed="false">
      <c r="A471" s="19" t="s">
        <v>87</v>
      </c>
      <c r="B471" s="19" t="s">
        <v>44</v>
      </c>
      <c r="C471" s="19" t="s">
        <v>76</v>
      </c>
      <c r="D471" s="20" t="n">
        <v>153.2</v>
      </c>
      <c r="E471" s="21" t="n">
        <v>5005.78</v>
      </c>
      <c r="F471" s="22" t="n">
        <f aca="false">D471*E471</f>
        <v>766885.496</v>
      </c>
      <c r="G471" s="2"/>
    </row>
    <row r="472" customFormat="false" ht="15" hidden="false" customHeight="false" outlineLevel="0" collapsed="false">
      <c r="A472" s="19" t="s">
        <v>87</v>
      </c>
      <c r="B472" s="19" t="s">
        <v>44</v>
      </c>
      <c r="C472" s="19" t="s">
        <v>77</v>
      </c>
      <c r="D472" s="20" t="n">
        <v>153</v>
      </c>
      <c r="E472" s="21" t="n">
        <v>4999.05</v>
      </c>
      <c r="F472" s="22" t="n">
        <f aca="false">D472*E472</f>
        <v>764854.65</v>
      </c>
      <c r="G472" s="2"/>
    </row>
    <row r="473" customFormat="false" ht="15" hidden="false" customHeight="false" outlineLevel="0" collapsed="false">
      <c r="A473" s="19" t="s">
        <v>87</v>
      </c>
      <c r="B473" s="19" t="s">
        <v>44</v>
      </c>
      <c r="C473" s="19" t="s">
        <v>78</v>
      </c>
      <c r="D473" s="20" t="n">
        <v>150.2</v>
      </c>
      <c r="E473" s="21" t="n">
        <v>5010.34</v>
      </c>
      <c r="F473" s="22" t="n">
        <f aca="false">D473*E473</f>
        <v>752553.068</v>
      </c>
      <c r="G473" s="2"/>
    </row>
    <row r="474" customFormat="false" ht="15" hidden="false" customHeight="false" outlineLevel="0" collapsed="false">
      <c r="A474" s="19" t="s">
        <v>87</v>
      </c>
      <c r="B474" s="19" t="s">
        <v>44</v>
      </c>
      <c r="C474" s="19" t="s">
        <v>79</v>
      </c>
      <c r="D474" s="20" t="n">
        <v>159.6</v>
      </c>
      <c r="E474" s="21" t="n">
        <v>5020.79</v>
      </c>
      <c r="F474" s="22" t="n">
        <f aca="false">D474*E474</f>
        <v>801318.084</v>
      </c>
      <c r="G474" s="2"/>
    </row>
    <row r="475" customFormat="false" ht="15" hidden="false" customHeight="false" outlineLevel="0" collapsed="false">
      <c r="A475" s="19" t="s">
        <v>87</v>
      </c>
      <c r="B475" s="19" t="s">
        <v>44</v>
      </c>
      <c r="C475" s="19" t="s">
        <v>80</v>
      </c>
      <c r="D475" s="20" t="n">
        <v>167.4</v>
      </c>
      <c r="E475" s="21" t="n">
        <v>5006.83</v>
      </c>
      <c r="F475" s="22" t="n">
        <f aca="false">D475*E475</f>
        <v>838143.342</v>
      </c>
      <c r="G475" s="2"/>
    </row>
    <row r="476" customFormat="false" ht="15" hidden="false" customHeight="false" outlineLevel="0" collapsed="false">
      <c r="A476" s="19" t="s">
        <v>87</v>
      </c>
      <c r="B476" s="19" t="s">
        <v>81</v>
      </c>
      <c r="C476" s="19" t="s">
        <v>45</v>
      </c>
      <c r="D476" s="20" t="n">
        <v>71.5</v>
      </c>
      <c r="E476" s="21" t="n">
        <v>1812.14</v>
      </c>
      <c r="F476" s="22" t="n">
        <f aca="false">D476*E476</f>
        <v>129568.01</v>
      </c>
      <c r="G476" s="2"/>
    </row>
    <row r="477" customFormat="false" ht="15" hidden="false" customHeight="false" outlineLevel="0" collapsed="false">
      <c r="A477" s="19" t="s">
        <v>87</v>
      </c>
      <c r="B477" s="19" t="s">
        <v>81</v>
      </c>
      <c r="C477" s="19" t="s">
        <v>46</v>
      </c>
      <c r="D477" s="20" t="n">
        <v>73.8</v>
      </c>
      <c r="E477" s="21" t="n">
        <v>1814.34</v>
      </c>
      <c r="F477" s="22" t="n">
        <f aca="false">D477*E477</f>
        <v>133898.292</v>
      </c>
      <c r="G477" s="2"/>
    </row>
    <row r="478" customFormat="false" ht="15" hidden="false" customHeight="false" outlineLevel="0" collapsed="false">
      <c r="A478" s="19" t="s">
        <v>87</v>
      </c>
      <c r="B478" s="19" t="s">
        <v>81</v>
      </c>
      <c r="C478" s="19" t="s">
        <v>47</v>
      </c>
      <c r="D478" s="20" t="n">
        <v>72.7</v>
      </c>
      <c r="E478" s="21" t="n">
        <v>1818</v>
      </c>
      <c r="F478" s="22" t="n">
        <f aca="false">D478*E478</f>
        <v>132168.6</v>
      </c>
      <c r="G478" s="2"/>
    </row>
    <row r="479" customFormat="false" ht="15" hidden="false" customHeight="false" outlineLevel="0" collapsed="false">
      <c r="A479" s="19" t="s">
        <v>87</v>
      </c>
      <c r="B479" s="19" t="s">
        <v>81</v>
      </c>
      <c r="C479" s="19" t="s">
        <v>48</v>
      </c>
      <c r="D479" s="20" t="n">
        <v>72.6</v>
      </c>
      <c r="E479" s="21" t="n">
        <v>1817.92</v>
      </c>
      <c r="F479" s="22" t="n">
        <f aca="false">D479*E479</f>
        <v>131980.992</v>
      </c>
      <c r="G479" s="2"/>
    </row>
    <row r="480" customFormat="false" ht="15" hidden="false" customHeight="false" outlineLevel="0" collapsed="false">
      <c r="A480" s="19" t="s">
        <v>87</v>
      </c>
      <c r="B480" s="19" t="s">
        <v>81</v>
      </c>
      <c r="C480" s="19" t="s">
        <v>49</v>
      </c>
      <c r="D480" s="20" t="n">
        <v>75.5</v>
      </c>
      <c r="E480" s="21" t="n">
        <v>1827.82</v>
      </c>
      <c r="F480" s="22" t="n">
        <f aca="false">D480*E480</f>
        <v>138000.41</v>
      </c>
      <c r="G480" s="2"/>
    </row>
    <row r="481" customFormat="false" ht="15" hidden="false" customHeight="false" outlineLevel="0" collapsed="false">
      <c r="A481" s="19" t="s">
        <v>87</v>
      </c>
      <c r="B481" s="19" t="s">
        <v>81</v>
      </c>
      <c r="C481" s="19" t="s">
        <v>50</v>
      </c>
      <c r="D481" s="20" t="n">
        <v>74.6</v>
      </c>
      <c r="E481" s="21" t="n">
        <v>1836.65</v>
      </c>
      <c r="F481" s="22" t="n">
        <f aca="false">D481*E481</f>
        <v>137014.09</v>
      </c>
      <c r="G481" s="2"/>
    </row>
    <row r="482" customFormat="false" ht="15" hidden="false" customHeight="false" outlineLevel="0" collapsed="false">
      <c r="A482" s="19" t="s">
        <v>87</v>
      </c>
      <c r="B482" s="19" t="s">
        <v>81</v>
      </c>
      <c r="C482" s="19" t="s">
        <v>51</v>
      </c>
      <c r="D482" s="20" t="n">
        <v>76.1</v>
      </c>
      <c r="E482" s="21" t="n">
        <v>1841.77</v>
      </c>
      <c r="F482" s="22" t="n">
        <f aca="false">D482*E482</f>
        <v>140158.697</v>
      </c>
      <c r="G482" s="2"/>
    </row>
    <row r="483" customFormat="false" ht="15" hidden="false" customHeight="false" outlineLevel="0" collapsed="false">
      <c r="A483" s="19" t="s">
        <v>87</v>
      </c>
      <c r="B483" s="19" t="s">
        <v>81</v>
      </c>
      <c r="C483" s="19" t="s">
        <v>52</v>
      </c>
      <c r="D483" s="20" t="n">
        <v>77.7</v>
      </c>
      <c r="E483" s="21" t="n">
        <v>1842.12</v>
      </c>
      <c r="F483" s="22" t="n">
        <f aca="false">D483*E483</f>
        <v>143132.724</v>
      </c>
      <c r="G483" s="2"/>
    </row>
    <row r="484" customFormat="false" ht="15" hidden="false" customHeight="false" outlineLevel="0" collapsed="false">
      <c r="A484" s="19" t="s">
        <v>87</v>
      </c>
      <c r="B484" s="19" t="s">
        <v>81</v>
      </c>
      <c r="C484" s="19" t="s">
        <v>53</v>
      </c>
      <c r="D484" s="20" t="n">
        <v>77.7</v>
      </c>
      <c r="E484" s="21" t="n">
        <v>1843.19</v>
      </c>
      <c r="F484" s="22" t="n">
        <f aca="false">D484*E484</f>
        <v>143215.863</v>
      </c>
      <c r="G484" s="2"/>
    </row>
    <row r="485" customFormat="false" ht="15" hidden="false" customHeight="false" outlineLevel="0" collapsed="false">
      <c r="A485" s="19" t="s">
        <v>87</v>
      </c>
      <c r="B485" s="19" t="s">
        <v>81</v>
      </c>
      <c r="C485" s="19" t="s">
        <v>54</v>
      </c>
      <c r="D485" s="20" t="n">
        <v>79</v>
      </c>
      <c r="E485" s="21" t="n">
        <v>1845.02</v>
      </c>
      <c r="F485" s="22" t="n">
        <f aca="false">D485*E485</f>
        <v>145756.58</v>
      </c>
      <c r="G485" s="2"/>
    </row>
    <row r="486" customFormat="false" ht="15" hidden="false" customHeight="false" outlineLevel="0" collapsed="false">
      <c r="A486" s="19" t="s">
        <v>87</v>
      </c>
      <c r="B486" s="19" t="s">
        <v>81</v>
      </c>
      <c r="C486" s="19" t="s">
        <v>55</v>
      </c>
      <c r="D486" s="20" t="n">
        <v>80.5</v>
      </c>
      <c r="E486" s="21" t="n">
        <v>1843.23</v>
      </c>
      <c r="F486" s="22" t="n">
        <f aca="false">D486*E486</f>
        <v>148380.015</v>
      </c>
      <c r="G486" s="2"/>
    </row>
    <row r="487" customFormat="false" ht="15" hidden="false" customHeight="false" outlineLevel="0" collapsed="false">
      <c r="A487" s="19" t="s">
        <v>87</v>
      </c>
      <c r="B487" s="19" t="s">
        <v>81</v>
      </c>
      <c r="C487" s="19" t="s">
        <v>56</v>
      </c>
      <c r="D487" s="20" t="n">
        <v>81</v>
      </c>
      <c r="E487" s="21" t="n">
        <v>1846.95</v>
      </c>
      <c r="F487" s="22" t="n">
        <f aca="false">D487*E487</f>
        <v>149602.95</v>
      </c>
      <c r="G487" s="2"/>
    </row>
    <row r="488" customFormat="false" ht="15" hidden="false" customHeight="false" outlineLevel="0" collapsed="false">
      <c r="A488" s="19" t="s">
        <v>87</v>
      </c>
      <c r="B488" s="19" t="s">
        <v>81</v>
      </c>
      <c r="C488" s="19" t="s">
        <v>57</v>
      </c>
      <c r="D488" s="20" t="n">
        <v>79.9</v>
      </c>
      <c r="E488" s="21" t="n">
        <v>1849.19</v>
      </c>
      <c r="F488" s="22" t="n">
        <f aca="false">D488*E488</f>
        <v>147750.281</v>
      </c>
      <c r="G488" s="2"/>
    </row>
    <row r="489" customFormat="false" ht="15" hidden="false" customHeight="false" outlineLevel="0" collapsed="false">
      <c r="A489" s="19" t="s">
        <v>87</v>
      </c>
      <c r="B489" s="19" t="s">
        <v>81</v>
      </c>
      <c r="C489" s="19" t="s">
        <v>58</v>
      </c>
      <c r="D489" s="20" t="n">
        <v>78.7</v>
      </c>
      <c r="E489" s="21" t="n">
        <v>1858.77</v>
      </c>
      <c r="F489" s="22" t="n">
        <f aca="false">D489*E489</f>
        <v>146285.199</v>
      </c>
      <c r="G489" s="2"/>
    </row>
    <row r="490" customFormat="false" ht="15" hidden="false" customHeight="false" outlineLevel="0" collapsed="false">
      <c r="A490" s="19" t="s">
        <v>87</v>
      </c>
      <c r="B490" s="19" t="s">
        <v>81</v>
      </c>
      <c r="C490" s="19" t="s">
        <v>59</v>
      </c>
      <c r="D490" s="20" t="n">
        <v>79.8</v>
      </c>
      <c r="E490" s="21" t="n">
        <v>1854.96</v>
      </c>
      <c r="F490" s="22" t="n">
        <f aca="false">D490*E490</f>
        <v>148025.808</v>
      </c>
      <c r="G490" s="2"/>
    </row>
    <row r="491" customFormat="false" ht="15" hidden="false" customHeight="false" outlineLevel="0" collapsed="false">
      <c r="A491" s="19" t="s">
        <v>87</v>
      </c>
      <c r="B491" s="19" t="s">
        <v>81</v>
      </c>
      <c r="C491" s="19" t="s">
        <v>60</v>
      </c>
      <c r="D491" s="20" t="n">
        <v>84.4</v>
      </c>
      <c r="E491" s="21" t="n">
        <v>1853.52</v>
      </c>
      <c r="F491" s="22" t="n">
        <f aca="false">D491*E491</f>
        <v>156437.088</v>
      </c>
      <c r="G491" s="2"/>
    </row>
    <row r="492" customFormat="false" ht="15" hidden="false" customHeight="false" outlineLevel="0" collapsed="false">
      <c r="A492" s="19" t="s">
        <v>87</v>
      </c>
      <c r="B492" s="19" t="s">
        <v>81</v>
      </c>
      <c r="C492" s="19" t="s">
        <v>61</v>
      </c>
      <c r="D492" s="20" t="n">
        <v>84.1</v>
      </c>
      <c r="E492" s="21" t="n">
        <v>1860.84</v>
      </c>
      <c r="F492" s="22" t="n">
        <f aca="false">D492*E492</f>
        <v>156496.644</v>
      </c>
      <c r="G492" s="2"/>
    </row>
    <row r="493" customFormat="false" ht="15" hidden="false" customHeight="false" outlineLevel="0" collapsed="false">
      <c r="A493" s="19" t="s">
        <v>87</v>
      </c>
      <c r="B493" s="19" t="s">
        <v>81</v>
      </c>
      <c r="C493" s="19" t="s">
        <v>62</v>
      </c>
      <c r="D493" s="20" t="n">
        <v>87.9</v>
      </c>
      <c r="E493" s="21" t="n">
        <v>1857.39</v>
      </c>
      <c r="F493" s="22" t="n">
        <f aca="false">D493*E493</f>
        <v>163264.581</v>
      </c>
      <c r="G493" s="2"/>
    </row>
    <row r="494" customFormat="false" ht="15" hidden="false" customHeight="false" outlineLevel="0" collapsed="false">
      <c r="A494" s="19" t="s">
        <v>87</v>
      </c>
      <c r="B494" s="19" t="s">
        <v>81</v>
      </c>
      <c r="C494" s="19" t="s">
        <v>63</v>
      </c>
      <c r="D494" s="20" t="n">
        <v>88</v>
      </c>
      <c r="E494" s="21" t="n">
        <v>1859.55</v>
      </c>
      <c r="F494" s="22" t="n">
        <f aca="false">D494*E494</f>
        <v>163640.4</v>
      </c>
      <c r="G494" s="2"/>
    </row>
    <row r="495" customFormat="false" ht="15" hidden="false" customHeight="false" outlineLevel="0" collapsed="false">
      <c r="A495" s="19" t="s">
        <v>87</v>
      </c>
      <c r="B495" s="19" t="s">
        <v>81</v>
      </c>
      <c r="C495" s="19" t="s">
        <v>64</v>
      </c>
      <c r="D495" s="20" t="n">
        <v>86.3</v>
      </c>
      <c r="E495" s="21" t="n">
        <v>1856.3</v>
      </c>
      <c r="F495" s="22" t="n">
        <f aca="false">D495*E495</f>
        <v>160198.69</v>
      </c>
      <c r="G495" s="2"/>
    </row>
    <row r="496" customFormat="false" ht="15" hidden="false" customHeight="false" outlineLevel="0" collapsed="false">
      <c r="A496" s="19" t="s">
        <v>87</v>
      </c>
      <c r="B496" s="19" t="s">
        <v>81</v>
      </c>
      <c r="C496" s="19" t="s">
        <v>65</v>
      </c>
      <c r="D496" s="20" t="n">
        <v>84.8</v>
      </c>
      <c r="E496" s="21" t="n">
        <v>1851.71</v>
      </c>
      <c r="F496" s="22" t="n">
        <f aca="false">D496*E496</f>
        <v>157025.008</v>
      </c>
      <c r="G496" s="2"/>
    </row>
    <row r="497" customFormat="false" ht="15" hidden="false" customHeight="false" outlineLevel="0" collapsed="false">
      <c r="A497" s="19" t="s">
        <v>87</v>
      </c>
      <c r="B497" s="19" t="s">
        <v>81</v>
      </c>
      <c r="C497" s="19" t="s">
        <v>66</v>
      </c>
      <c r="D497" s="20" t="n">
        <v>87.8</v>
      </c>
      <c r="E497" s="21" t="n">
        <v>1849.62</v>
      </c>
      <c r="F497" s="22" t="n">
        <f aca="false">D497*E497</f>
        <v>162396.636</v>
      </c>
      <c r="G497" s="2"/>
    </row>
    <row r="498" customFormat="false" ht="15" hidden="false" customHeight="false" outlineLevel="0" collapsed="false">
      <c r="A498" s="19" t="s">
        <v>87</v>
      </c>
      <c r="B498" s="19" t="s">
        <v>81</v>
      </c>
      <c r="C498" s="19" t="s">
        <v>67</v>
      </c>
      <c r="D498" s="20" t="n">
        <v>87.8</v>
      </c>
      <c r="E498" s="21" t="n">
        <v>1858.29</v>
      </c>
      <c r="F498" s="22" t="n">
        <f aca="false">D498*E498</f>
        <v>163157.862</v>
      </c>
      <c r="G498" s="2"/>
    </row>
    <row r="499" customFormat="false" ht="15" hidden="false" customHeight="false" outlineLevel="0" collapsed="false">
      <c r="A499" s="19" t="s">
        <v>87</v>
      </c>
      <c r="B499" s="19" t="s">
        <v>81</v>
      </c>
      <c r="C499" s="19" t="s">
        <v>68</v>
      </c>
      <c r="D499" s="20" t="n">
        <v>90.8</v>
      </c>
      <c r="E499" s="21" t="n">
        <v>1862.24</v>
      </c>
      <c r="F499" s="22" t="n">
        <f aca="false">D499*E499</f>
        <v>169091.392</v>
      </c>
      <c r="G499" s="2"/>
    </row>
    <row r="500" customFormat="false" ht="15" hidden="false" customHeight="false" outlineLevel="0" collapsed="false">
      <c r="A500" s="19" t="s">
        <v>87</v>
      </c>
      <c r="B500" s="19" t="s">
        <v>81</v>
      </c>
      <c r="C500" s="19" t="s">
        <v>69</v>
      </c>
      <c r="D500" s="20" t="n">
        <v>92.3</v>
      </c>
      <c r="E500" s="21" t="n">
        <v>1864.57</v>
      </c>
      <c r="F500" s="22" t="n">
        <f aca="false">D500*E500</f>
        <v>172099.811</v>
      </c>
      <c r="G500" s="2"/>
    </row>
    <row r="501" customFormat="false" ht="15" hidden="false" customHeight="false" outlineLevel="0" collapsed="false">
      <c r="A501" s="19" t="s">
        <v>87</v>
      </c>
      <c r="B501" s="19" t="s">
        <v>81</v>
      </c>
      <c r="C501" s="19" t="s">
        <v>70</v>
      </c>
      <c r="D501" s="20" t="n">
        <v>97.4</v>
      </c>
      <c r="E501" s="21" t="n">
        <v>1868.03</v>
      </c>
      <c r="F501" s="22" t="n">
        <f aca="false">D501*E501</f>
        <v>181946.122</v>
      </c>
      <c r="G501" s="2"/>
    </row>
    <row r="502" customFormat="false" ht="15" hidden="false" customHeight="false" outlineLevel="0" collapsed="false">
      <c r="A502" s="19" t="s">
        <v>87</v>
      </c>
      <c r="B502" s="19" t="s">
        <v>81</v>
      </c>
      <c r="C502" s="19" t="s">
        <v>71</v>
      </c>
      <c r="D502" s="20" t="n">
        <v>100.5</v>
      </c>
      <c r="E502" s="21" t="n">
        <v>1877.31</v>
      </c>
      <c r="F502" s="22" t="n">
        <f aca="false">D502*E502</f>
        <v>188669.655</v>
      </c>
      <c r="G502" s="2"/>
    </row>
    <row r="503" customFormat="false" ht="15" hidden="false" customHeight="false" outlineLevel="0" collapsed="false">
      <c r="A503" s="19" t="s">
        <v>87</v>
      </c>
      <c r="B503" s="19" t="s">
        <v>81</v>
      </c>
      <c r="C503" s="19" t="s">
        <v>72</v>
      </c>
      <c r="D503" s="20" t="n">
        <v>102.8</v>
      </c>
      <c r="E503" s="21" t="n">
        <v>1886.74</v>
      </c>
      <c r="F503" s="22" t="n">
        <f aca="false">D503*E503</f>
        <v>193956.872</v>
      </c>
      <c r="G503" s="2"/>
    </row>
    <row r="504" customFormat="false" ht="15" hidden="false" customHeight="false" outlineLevel="0" collapsed="false">
      <c r="A504" s="19" t="s">
        <v>87</v>
      </c>
      <c r="B504" s="19" t="s">
        <v>81</v>
      </c>
      <c r="C504" s="19" t="s">
        <v>73</v>
      </c>
      <c r="D504" s="20" t="n">
        <v>108</v>
      </c>
      <c r="E504" s="21" t="n">
        <v>1889.12</v>
      </c>
      <c r="F504" s="22" t="n">
        <f aca="false">D504*E504</f>
        <v>204024.96</v>
      </c>
      <c r="G504" s="2"/>
    </row>
    <row r="505" customFormat="false" ht="15" hidden="false" customHeight="false" outlineLevel="0" collapsed="false">
      <c r="A505" s="19" t="s">
        <v>87</v>
      </c>
      <c r="B505" s="19" t="s">
        <v>81</v>
      </c>
      <c r="C505" s="19" t="s">
        <v>74</v>
      </c>
      <c r="D505" s="20" t="n">
        <v>107.6</v>
      </c>
      <c r="E505" s="21" t="n">
        <v>1898.49</v>
      </c>
      <c r="F505" s="22" t="n">
        <f aca="false">D505*E505</f>
        <v>204277.524</v>
      </c>
      <c r="G505" s="2"/>
    </row>
    <row r="506" customFormat="false" ht="15" hidden="false" customHeight="false" outlineLevel="0" collapsed="false">
      <c r="A506" s="19" t="s">
        <v>87</v>
      </c>
      <c r="B506" s="19" t="s">
        <v>81</v>
      </c>
      <c r="C506" s="19" t="s">
        <v>75</v>
      </c>
      <c r="D506" s="20" t="n">
        <v>110.6</v>
      </c>
      <c r="E506" s="21" t="n">
        <v>1907</v>
      </c>
      <c r="F506" s="22" t="n">
        <f aca="false">D506*E506</f>
        <v>210914.2</v>
      </c>
      <c r="G506" s="2"/>
    </row>
    <row r="507" customFormat="false" ht="15" hidden="false" customHeight="false" outlineLevel="0" collapsed="false">
      <c r="A507" s="19" t="s">
        <v>87</v>
      </c>
      <c r="B507" s="19" t="s">
        <v>81</v>
      </c>
      <c r="C507" s="19" t="s">
        <v>76</v>
      </c>
      <c r="D507" s="20" t="n">
        <v>114.1</v>
      </c>
      <c r="E507" s="21" t="n">
        <v>1911.64</v>
      </c>
      <c r="F507" s="22" t="n">
        <f aca="false">D507*E507</f>
        <v>218118.124</v>
      </c>
      <c r="G507" s="2"/>
    </row>
    <row r="508" customFormat="false" ht="15" hidden="false" customHeight="false" outlineLevel="0" collapsed="false">
      <c r="A508" s="19" t="s">
        <v>87</v>
      </c>
      <c r="B508" s="19" t="s">
        <v>81</v>
      </c>
      <c r="C508" s="19" t="s">
        <v>77</v>
      </c>
      <c r="D508" s="20" t="n">
        <v>111.9</v>
      </c>
      <c r="E508" s="21" t="n">
        <v>1913.64</v>
      </c>
      <c r="F508" s="22" t="n">
        <f aca="false">D508*E508</f>
        <v>214136.316</v>
      </c>
      <c r="G508" s="2"/>
    </row>
    <row r="509" customFormat="false" ht="15" hidden="false" customHeight="false" outlineLevel="0" collapsed="false">
      <c r="A509" s="19" t="s">
        <v>87</v>
      </c>
      <c r="B509" s="19" t="s">
        <v>81</v>
      </c>
      <c r="C509" s="19" t="s">
        <v>78</v>
      </c>
      <c r="D509" s="20" t="n">
        <v>110.4</v>
      </c>
      <c r="E509" s="21" t="n">
        <v>1918.25</v>
      </c>
      <c r="F509" s="22" t="n">
        <f aca="false">D509*E509</f>
        <v>211774.8</v>
      </c>
      <c r="G509" s="2"/>
    </row>
    <row r="510" customFormat="false" ht="15" hidden="false" customHeight="false" outlineLevel="0" collapsed="false">
      <c r="A510" s="19" t="s">
        <v>87</v>
      </c>
      <c r="B510" s="19" t="s">
        <v>81</v>
      </c>
      <c r="C510" s="19" t="s">
        <v>79</v>
      </c>
      <c r="D510" s="20" t="n">
        <v>109.3</v>
      </c>
      <c r="E510" s="21" t="n">
        <v>1920.12</v>
      </c>
      <c r="F510" s="22" t="n">
        <f aca="false">D510*E510</f>
        <v>209869.116</v>
      </c>
      <c r="G510" s="2"/>
    </row>
    <row r="511" customFormat="false" ht="15" hidden="false" customHeight="false" outlineLevel="0" collapsed="false">
      <c r="A511" s="19" t="s">
        <v>87</v>
      </c>
      <c r="B511" s="19" t="s">
        <v>81</v>
      </c>
      <c r="C511" s="19" t="s">
        <v>80</v>
      </c>
      <c r="D511" s="20" t="n">
        <v>112.7</v>
      </c>
      <c r="E511" s="21" t="n">
        <v>1924.16</v>
      </c>
      <c r="F511" s="22" t="n">
        <f aca="false">D511*E511</f>
        <v>216852.832</v>
      </c>
      <c r="G511" s="2"/>
    </row>
    <row r="512" customFormat="false" ht="15" hidden="false" customHeight="false" outlineLevel="0" collapsed="false">
      <c r="A512" s="19" t="s">
        <v>87</v>
      </c>
      <c r="B512" s="19" t="s">
        <v>82</v>
      </c>
      <c r="C512" s="19" t="s">
        <v>45</v>
      </c>
      <c r="D512" s="20" t="n">
        <v>139.9</v>
      </c>
      <c r="E512" s="21" t="n">
        <v>3184.95</v>
      </c>
      <c r="F512" s="22" t="n">
        <f aca="false">D512*E512</f>
        <v>445574.505</v>
      </c>
      <c r="G512" s="2"/>
    </row>
    <row r="513" customFormat="false" ht="15" hidden="false" customHeight="false" outlineLevel="0" collapsed="false">
      <c r="A513" s="19" t="s">
        <v>87</v>
      </c>
      <c r="B513" s="19" t="s">
        <v>82</v>
      </c>
      <c r="C513" s="19" t="s">
        <v>46</v>
      </c>
      <c r="D513" s="20" t="n">
        <v>138.5</v>
      </c>
      <c r="E513" s="21" t="n">
        <v>3198.03</v>
      </c>
      <c r="F513" s="22" t="n">
        <f aca="false">D513*E513</f>
        <v>442927.155</v>
      </c>
      <c r="G513" s="2"/>
    </row>
    <row r="514" customFormat="false" ht="15" hidden="false" customHeight="false" outlineLevel="0" collapsed="false">
      <c r="A514" s="19" t="s">
        <v>87</v>
      </c>
      <c r="B514" s="19" t="s">
        <v>82</v>
      </c>
      <c r="C514" s="19" t="s">
        <v>47</v>
      </c>
      <c r="D514" s="20" t="n">
        <v>135.9</v>
      </c>
      <c r="E514" s="21" t="n">
        <v>3215.51</v>
      </c>
      <c r="F514" s="22" t="n">
        <f aca="false">D514*E514</f>
        <v>436987.809</v>
      </c>
      <c r="G514" s="2"/>
    </row>
    <row r="515" customFormat="false" ht="15" hidden="false" customHeight="false" outlineLevel="0" collapsed="false">
      <c r="A515" s="19" t="s">
        <v>87</v>
      </c>
      <c r="B515" s="19" t="s">
        <v>82</v>
      </c>
      <c r="C515" s="19" t="s">
        <v>48</v>
      </c>
      <c r="D515" s="20" t="n">
        <v>134.6</v>
      </c>
      <c r="E515" s="21" t="n">
        <v>3210.99</v>
      </c>
      <c r="F515" s="22" t="n">
        <f aca="false">D515*E515</f>
        <v>432199.254</v>
      </c>
      <c r="G515" s="2"/>
    </row>
    <row r="516" customFormat="false" ht="15" hidden="false" customHeight="false" outlineLevel="0" collapsed="false">
      <c r="A516" s="19" t="s">
        <v>87</v>
      </c>
      <c r="B516" s="19" t="s">
        <v>82</v>
      </c>
      <c r="C516" s="19" t="s">
        <v>49</v>
      </c>
      <c r="D516" s="20" t="n">
        <v>141.3</v>
      </c>
      <c r="E516" s="21" t="n">
        <v>3221.77</v>
      </c>
      <c r="F516" s="22" t="n">
        <f aca="false">D516*E516</f>
        <v>455236.101</v>
      </c>
      <c r="G516" s="2"/>
    </row>
    <row r="517" customFormat="false" ht="15" hidden="false" customHeight="false" outlineLevel="0" collapsed="false">
      <c r="A517" s="19" t="s">
        <v>87</v>
      </c>
      <c r="B517" s="19" t="s">
        <v>82</v>
      </c>
      <c r="C517" s="19" t="s">
        <v>50</v>
      </c>
      <c r="D517" s="20" t="n">
        <v>148.6</v>
      </c>
      <c r="E517" s="21" t="n">
        <v>3233.03</v>
      </c>
      <c r="F517" s="22" t="n">
        <f aca="false">D517*E517</f>
        <v>480428.258</v>
      </c>
      <c r="G517" s="2"/>
    </row>
    <row r="518" customFormat="false" ht="15" hidden="false" customHeight="false" outlineLevel="0" collapsed="false">
      <c r="A518" s="19" t="s">
        <v>87</v>
      </c>
      <c r="B518" s="19" t="s">
        <v>82</v>
      </c>
      <c r="C518" s="19" t="s">
        <v>51</v>
      </c>
      <c r="D518" s="20" t="n">
        <v>149</v>
      </c>
      <c r="E518" s="21" t="n">
        <v>3225.91</v>
      </c>
      <c r="F518" s="22" t="n">
        <f aca="false">D518*E518</f>
        <v>480660.59</v>
      </c>
      <c r="G518" s="2"/>
    </row>
    <row r="519" customFormat="false" ht="15" hidden="false" customHeight="false" outlineLevel="0" collapsed="false">
      <c r="A519" s="19" t="s">
        <v>87</v>
      </c>
      <c r="B519" s="19" t="s">
        <v>82</v>
      </c>
      <c r="C519" s="19" t="s">
        <v>52</v>
      </c>
      <c r="D519" s="20" t="n">
        <v>145.1</v>
      </c>
      <c r="E519" s="21" t="n">
        <v>3224.25</v>
      </c>
      <c r="F519" s="22" t="n">
        <f aca="false">D519*E519</f>
        <v>467838.675</v>
      </c>
      <c r="G519" s="2"/>
    </row>
    <row r="520" customFormat="false" ht="15" hidden="false" customHeight="false" outlineLevel="0" collapsed="false">
      <c r="A520" s="19" t="s">
        <v>87</v>
      </c>
      <c r="B520" s="19" t="s">
        <v>82</v>
      </c>
      <c r="C520" s="19" t="s">
        <v>53</v>
      </c>
      <c r="D520" s="20" t="n">
        <v>144.6</v>
      </c>
      <c r="E520" s="21" t="n">
        <v>3226.01</v>
      </c>
      <c r="F520" s="22" t="n">
        <f aca="false">D520*E520</f>
        <v>466481.046</v>
      </c>
      <c r="G520" s="2"/>
    </row>
    <row r="521" customFormat="false" ht="15" hidden="false" customHeight="false" outlineLevel="0" collapsed="false">
      <c r="A521" s="19" t="s">
        <v>87</v>
      </c>
      <c r="B521" s="19" t="s">
        <v>82</v>
      </c>
      <c r="C521" s="19" t="s">
        <v>54</v>
      </c>
      <c r="D521" s="20" t="n">
        <v>152.3</v>
      </c>
      <c r="E521" s="21" t="n">
        <v>3227.72</v>
      </c>
      <c r="F521" s="22" t="n">
        <f aca="false">D521*E521</f>
        <v>491581.756</v>
      </c>
      <c r="G521" s="2"/>
    </row>
    <row r="522" customFormat="false" ht="15" hidden="false" customHeight="false" outlineLevel="0" collapsed="false">
      <c r="A522" s="19" t="s">
        <v>87</v>
      </c>
      <c r="B522" s="19" t="s">
        <v>82</v>
      </c>
      <c r="C522" s="19" t="s">
        <v>55</v>
      </c>
      <c r="D522" s="20" t="n">
        <v>152.3</v>
      </c>
      <c r="E522" s="21" t="n">
        <v>3224.14</v>
      </c>
      <c r="F522" s="22" t="n">
        <f aca="false">D522*E522</f>
        <v>491036.522</v>
      </c>
      <c r="G522" s="2"/>
    </row>
    <row r="523" customFormat="false" ht="15" hidden="false" customHeight="false" outlineLevel="0" collapsed="false">
      <c r="A523" s="19" t="s">
        <v>87</v>
      </c>
      <c r="B523" s="19" t="s">
        <v>82</v>
      </c>
      <c r="C523" s="19" t="s">
        <v>56</v>
      </c>
      <c r="D523" s="20" t="n">
        <v>150.5</v>
      </c>
      <c r="E523" s="21" t="n">
        <v>3237.05</v>
      </c>
      <c r="F523" s="22" t="n">
        <f aca="false">D523*E523</f>
        <v>487176.025</v>
      </c>
      <c r="G523" s="2"/>
    </row>
    <row r="524" customFormat="false" ht="15" hidden="false" customHeight="false" outlineLevel="0" collapsed="false">
      <c r="A524" s="19" t="s">
        <v>87</v>
      </c>
      <c r="B524" s="19" t="s">
        <v>82</v>
      </c>
      <c r="C524" s="19" t="s">
        <v>57</v>
      </c>
      <c r="D524" s="20" t="n">
        <v>157.6</v>
      </c>
      <c r="E524" s="21" t="n">
        <v>3239.53</v>
      </c>
      <c r="F524" s="22" t="n">
        <f aca="false">D524*E524</f>
        <v>510549.928</v>
      </c>
      <c r="G524" s="2"/>
    </row>
    <row r="525" customFormat="false" ht="15" hidden="false" customHeight="false" outlineLevel="0" collapsed="false">
      <c r="A525" s="19" t="s">
        <v>87</v>
      </c>
      <c r="B525" s="19" t="s">
        <v>82</v>
      </c>
      <c r="C525" s="19" t="s">
        <v>58</v>
      </c>
      <c r="D525" s="20" t="n">
        <v>154.8</v>
      </c>
      <c r="E525" s="21" t="n">
        <v>3234.11</v>
      </c>
      <c r="F525" s="22" t="n">
        <f aca="false">D525*E525</f>
        <v>500640.228</v>
      </c>
      <c r="G525" s="2"/>
    </row>
    <row r="526" customFormat="false" ht="15" hidden="false" customHeight="false" outlineLevel="0" collapsed="false">
      <c r="A526" s="19" t="s">
        <v>87</v>
      </c>
      <c r="B526" s="19" t="s">
        <v>82</v>
      </c>
      <c r="C526" s="19" t="s">
        <v>59</v>
      </c>
      <c r="D526" s="20" t="n">
        <v>160.4</v>
      </c>
      <c r="E526" s="21" t="n">
        <v>3252.95</v>
      </c>
      <c r="F526" s="22" t="n">
        <f aca="false">D526*E526</f>
        <v>521773.18</v>
      </c>
      <c r="G526" s="2"/>
    </row>
    <row r="527" customFormat="false" ht="15" hidden="false" customHeight="false" outlineLevel="0" collapsed="false">
      <c r="A527" s="19" t="s">
        <v>87</v>
      </c>
      <c r="B527" s="19" t="s">
        <v>82</v>
      </c>
      <c r="C527" s="19" t="s">
        <v>60</v>
      </c>
      <c r="D527" s="20" t="n">
        <v>166.5</v>
      </c>
      <c r="E527" s="21" t="n">
        <v>3261.68</v>
      </c>
      <c r="F527" s="22" t="n">
        <f aca="false">D527*E527</f>
        <v>543069.72</v>
      </c>
      <c r="G527" s="2"/>
    </row>
    <row r="528" customFormat="false" ht="15" hidden="false" customHeight="false" outlineLevel="0" collapsed="false">
      <c r="A528" s="19" t="s">
        <v>87</v>
      </c>
      <c r="B528" s="19" t="s">
        <v>82</v>
      </c>
      <c r="C528" s="19" t="s">
        <v>61</v>
      </c>
      <c r="D528" s="20" t="n">
        <v>169.1</v>
      </c>
      <c r="E528" s="21" t="n">
        <v>3256.3</v>
      </c>
      <c r="F528" s="22" t="n">
        <f aca="false">D528*E528</f>
        <v>550640.33</v>
      </c>
      <c r="G528" s="2"/>
    </row>
    <row r="529" customFormat="false" ht="15" hidden="false" customHeight="false" outlineLevel="0" collapsed="false">
      <c r="A529" s="19" t="s">
        <v>87</v>
      </c>
      <c r="B529" s="19" t="s">
        <v>82</v>
      </c>
      <c r="C529" s="19" t="s">
        <v>62</v>
      </c>
      <c r="D529" s="20" t="n">
        <v>178.8</v>
      </c>
      <c r="E529" s="21" t="n">
        <v>3274.6</v>
      </c>
      <c r="F529" s="22" t="n">
        <f aca="false">D529*E529</f>
        <v>585498.48</v>
      </c>
      <c r="G529" s="2"/>
    </row>
    <row r="530" customFormat="false" ht="15" hidden="false" customHeight="false" outlineLevel="0" collapsed="false">
      <c r="A530" s="19" t="s">
        <v>87</v>
      </c>
      <c r="B530" s="19" t="s">
        <v>82</v>
      </c>
      <c r="C530" s="19" t="s">
        <v>63</v>
      </c>
      <c r="D530" s="20" t="n">
        <v>180.6</v>
      </c>
      <c r="E530" s="21" t="n">
        <v>3279.52</v>
      </c>
      <c r="F530" s="22" t="n">
        <f aca="false">D530*E530</f>
        <v>592281.312</v>
      </c>
      <c r="G530" s="2"/>
    </row>
    <row r="531" customFormat="false" ht="15" hidden="false" customHeight="false" outlineLevel="0" collapsed="false">
      <c r="A531" s="19" t="s">
        <v>87</v>
      </c>
      <c r="B531" s="19" t="s">
        <v>82</v>
      </c>
      <c r="C531" s="19" t="s">
        <v>64</v>
      </c>
      <c r="D531" s="20" t="n">
        <v>181.1</v>
      </c>
      <c r="E531" s="21" t="n">
        <v>3283.31</v>
      </c>
      <c r="F531" s="22" t="n">
        <f aca="false">D531*E531</f>
        <v>594607.441</v>
      </c>
      <c r="G531" s="2"/>
    </row>
    <row r="532" customFormat="false" ht="15" hidden="false" customHeight="false" outlineLevel="0" collapsed="false">
      <c r="A532" s="19" t="s">
        <v>87</v>
      </c>
      <c r="B532" s="19" t="s">
        <v>82</v>
      </c>
      <c r="C532" s="19" t="s">
        <v>65</v>
      </c>
      <c r="D532" s="20" t="n">
        <v>177</v>
      </c>
      <c r="E532" s="21" t="n">
        <v>3291.99</v>
      </c>
      <c r="F532" s="22" t="n">
        <f aca="false">D532*E532</f>
        <v>582682.23</v>
      </c>
      <c r="G532" s="2"/>
    </row>
    <row r="533" customFormat="false" ht="15" hidden="false" customHeight="false" outlineLevel="0" collapsed="false">
      <c r="A533" s="19" t="s">
        <v>87</v>
      </c>
      <c r="B533" s="19" t="s">
        <v>82</v>
      </c>
      <c r="C533" s="19" t="s">
        <v>66</v>
      </c>
      <c r="D533" s="20" t="n">
        <v>186.9</v>
      </c>
      <c r="E533" s="21" t="n">
        <v>3309.38</v>
      </c>
      <c r="F533" s="22" t="n">
        <f aca="false">D533*E533</f>
        <v>618523.122</v>
      </c>
      <c r="G533" s="2"/>
    </row>
    <row r="534" customFormat="false" ht="15" hidden="false" customHeight="false" outlineLevel="0" collapsed="false">
      <c r="A534" s="19" t="s">
        <v>87</v>
      </c>
      <c r="B534" s="19" t="s">
        <v>82</v>
      </c>
      <c r="C534" s="19" t="s">
        <v>67</v>
      </c>
      <c r="D534" s="20" t="n">
        <v>197.7</v>
      </c>
      <c r="E534" s="21" t="n">
        <v>3308.97</v>
      </c>
      <c r="F534" s="22" t="n">
        <f aca="false">D534*E534</f>
        <v>654183.369</v>
      </c>
      <c r="G534" s="2"/>
    </row>
    <row r="535" customFormat="false" ht="15" hidden="false" customHeight="false" outlineLevel="0" collapsed="false">
      <c r="A535" s="19" t="s">
        <v>87</v>
      </c>
      <c r="B535" s="19" t="s">
        <v>82</v>
      </c>
      <c r="C535" s="19" t="s">
        <v>68</v>
      </c>
      <c r="D535" s="20" t="n">
        <v>201.1</v>
      </c>
      <c r="E535" s="21" t="n">
        <v>3300.72</v>
      </c>
      <c r="F535" s="22" t="n">
        <f aca="false">D535*E535</f>
        <v>663774.792</v>
      </c>
      <c r="G535" s="2"/>
    </row>
    <row r="536" customFormat="false" ht="15" hidden="false" customHeight="false" outlineLevel="0" collapsed="false">
      <c r="A536" s="19" t="s">
        <v>87</v>
      </c>
      <c r="B536" s="19" t="s">
        <v>82</v>
      </c>
      <c r="C536" s="19" t="s">
        <v>69</v>
      </c>
      <c r="D536" s="20" t="n">
        <v>212.6</v>
      </c>
      <c r="E536" s="21" t="n">
        <v>3296.41</v>
      </c>
      <c r="F536" s="22" t="n">
        <f aca="false">D536*E536</f>
        <v>700816.766</v>
      </c>
      <c r="G536" s="2"/>
    </row>
    <row r="537" customFormat="false" ht="15" hidden="false" customHeight="false" outlineLevel="0" collapsed="false">
      <c r="A537" s="19" t="s">
        <v>87</v>
      </c>
      <c r="B537" s="19" t="s">
        <v>82</v>
      </c>
      <c r="C537" s="19" t="s">
        <v>70</v>
      </c>
      <c r="D537" s="20" t="n">
        <v>221.5</v>
      </c>
      <c r="E537" s="21" t="n">
        <v>3292.99</v>
      </c>
      <c r="F537" s="22" t="n">
        <f aca="false">D537*E537</f>
        <v>729397.285</v>
      </c>
      <c r="G537" s="2"/>
    </row>
    <row r="538" customFormat="false" ht="15" hidden="false" customHeight="false" outlineLevel="0" collapsed="false">
      <c r="A538" s="19" t="s">
        <v>87</v>
      </c>
      <c r="B538" s="19" t="s">
        <v>82</v>
      </c>
      <c r="C538" s="19" t="s">
        <v>71</v>
      </c>
      <c r="D538" s="20" t="n">
        <v>215.9</v>
      </c>
      <c r="E538" s="21" t="n">
        <v>3300.54</v>
      </c>
      <c r="F538" s="22" t="n">
        <f aca="false">D538*E538</f>
        <v>712586.586</v>
      </c>
      <c r="G538" s="2"/>
    </row>
    <row r="539" customFormat="false" ht="15" hidden="false" customHeight="false" outlineLevel="0" collapsed="false">
      <c r="A539" s="19" t="s">
        <v>87</v>
      </c>
      <c r="B539" s="19" t="s">
        <v>82</v>
      </c>
      <c r="C539" s="19" t="s">
        <v>72</v>
      </c>
      <c r="D539" s="20" t="n">
        <v>227.9</v>
      </c>
      <c r="E539" s="21" t="n">
        <v>3310.41</v>
      </c>
      <c r="F539" s="22" t="n">
        <f aca="false">D539*E539</f>
        <v>754442.439</v>
      </c>
      <c r="G539" s="2"/>
    </row>
    <row r="540" customFormat="false" ht="15" hidden="false" customHeight="false" outlineLevel="0" collapsed="false">
      <c r="A540" s="19" t="s">
        <v>87</v>
      </c>
      <c r="B540" s="19" t="s">
        <v>82</v>
      </c>
      <c r="C540" s="19" t="s">
        <v>73</v>
      </c>
      <c r="D540" s="20" t="n">
        <v>226.3</v>
      </c>
      <c r="E540" s="21" t="n">
        <v>3329.54</v>
      </c>
      <c r="F540" s="22" t="n">
        <f aca="false">D540*E540</f>
        <v>753474.902</v>
      </c>
      <c r="G540" s="2"/>
    </row>
    <row r="541" customFormat="false" ht="15" hidden="false" customHeight="false" outlineLevel="0" collapsed="false">
      <c r="A541" s="19" t="s">
        <v>87</v>
      </c>
      <c r="B541" s="19" t="s">
        <v>82</v>
      </c>
      <c r="C541" s="19" t="s">
        <v>74</v>
      </c>
      <c r="D541" s="20" t="n">
        <v>227.3</v>
      </c>
      <c r="E541" s="21" t="n">
        <v>3341.46</v>
      </c>
      <c r="F541" s="22" t="n">
        <f aca="false">D541*E541</f>
        <v>759513.858</v>
      </c>
      <c r="G541" s="2"/>
    </row>
    <row r="542" customFormat="false" ht="15" hidden="false" customHeight="false" outlineLevel="0" collapsed="false">
      <c r="A542" s="19" t="s">
        <v>87</v>
      </c>
      <c r="B542" s="19" t="s">
        <v>82</v>
      </c>
      <c r="C542" s="19" t="s">
        <v>75</v>
      </c>
      <c r="D542" s="20" t="n">
        <v>230.1</v>
      </c>
      <c r="E542" s="21" t="n">
        <v>3360.22</v>
      </c>
      <c r="F542" s="22" t="n">
        <f aca="false">D542*E542</f>
        <v>773186.622</v>
      </c>
      <c r="G542" s="2"/>
    </row>
    <row r="543" customFormat="false" ht="15" hidden="false" customHeight="false" outlineLevel="0" collapsed="false">
      <c r="A543" s="19" t="s">
        <v>87</v>
      </c>
      <c r="B543" s="19" t="s">
        <v>82</v>
      </c>
      <c r="C543" s="19" t="s">
        <v>76</v>
      </c>
      <c r="D543" s="20" t="n">
        <v>243.6</v>
      </c>
      <c r="E543" s="21" t="n">
        <v>3376.9</v>
      </c>
      <c r="F543" s="22" t="n">
        <f aca="false">D543*E543</f>
        <v>822612.84</v>
      </c>
      <c r="G543" s="2"/>
    </row>
    <row r="544" customFormat="false" ht="15" hidden="false" customHeight="false" outlineLevel="0" collapsed="false">
      <c r="A544" s="19" t="s">
        <v>87</v>
      </c>
      <c r="B544" s="19" t="s">
        <v>82</v>
      </c>
      <c r="C544" s="19" t="s">
        <v>77</v>
      </c>
      <c r="D544" s="20" t="n">
        <v>243.4</v>
      </c>
      <c r="E544" s="21" t="n">
        <v>3378</v>
      </c>
      <c r="F544" s="22" t="n">
        <f aca="false">D544*E544</f>
        <v>822205.2</v>
      </c>
      <c r="G544" s="2"/>
    </row>
    <row r="545" customFormat="false" ht="15" hidden="false" customHeight="false" outlineLevel="0" collapsed="false">
      <c r="A545" s="19" t="s">
        <v>87</v>
      </c>
      <c r="B545" s="19" t="s">
        <v>82</v>
      </c>
      <c r="C545" s="19" t="s">
        <v>78</v>
      </c>
      <c r="D545" s="20" t="n">
        <v>246.1</v>
      </c>
      <c r="E545" s="21" t="n">
        <v>3382.44</v>
      </c>
      <c r="F545" s="22" t="n">
        <f aca="false">D545*E545</f>
        <v>832418.484</v>
      </c>
      <c r="G545" s="2"/>
    </row>
    <row r="546" customFormat="false" ht="15" hidden="false" customHeight="false" outlineLevel="0" collapsed="false">
      <c r="A546" s="19" t="s">
        <v>87</v>
      </c>
      <c r="B546" s="19" t="s">
        <v>82</v>
      </c>
      <c r="C546" s="19" t="s">
        <v>79</v>
      </c>
      <c r="D546" s="20" t="n">
        <v>252</v>
      </c>
      <c r="E546" s="21" t="n">
        <v>3381.7</v>
      </c>
      <c r="F546" s="22" t="n">
        <f aca="false">D546*E546</f>
        <v>852188.4</v>
      </c>
      <c r="G546" s="2"/>
    </row>
    <row r="547" customFormat="false" ht="15" hidden="false" customHeight="false" outlineLevel="0" collapsed="false">
      <c r="A547" s="19" t="s">
        <v>87</v>
      </c>
      <c r="B547" s="19" t="s">
        <v>82</v>
      </c>
      <c r="C547" s="19" t="s">
        <v>80</v>
      </c>
      <c r="D547" s="20" t="n">
        <v>255.9</v>
      </c>
      <c r="E547" s="21" t="n">
        <v>3372.41</v>
      </c>
      <c r="F547" s="22" t="n">
        <f aca="false">D547*E547</f>
        <v>862999.719</v>
      </c>
      <c r="G547" s="2"/>
    </row>
    <row r="548" customFormat="false" ht="15" hidden="false" customHeight="false" outlineLevel="0" collapsed="false">
      <c r="A548" s="19" t="s">
        <v>87</v>
      </c>
      <c r="B548" s="19" t="s">
        <v>83</v>
      </c>
      <c r="C548" s="19" t="s">
        <v>45</v>
      </c>
      <c r="D548" s="20" t="n">
        <v>53.4</v>
      </c>
      <c r="E548" s="21" t="n">
        <v>5353.24</v>
      </c>
      <c r="F548" s="22" t="n">
        <f aca="false">D548*E548</f>
        <v>285863.016</v>
      </c>
      <c r="G548" s="2"/>
    </row>
    <row r="549" customFormat="false" ht="15" hidden="false" customHeight="false" outlineLevel="0" collapsed="false">
      <c r="A549" s="19" t="s">
        <v>87</v>
      </c>
      <c r="B549" s="19" t="s">
        <v>83</v>
      </c>
      <c r="C549" s="19" t="s">
        <v>46</v>
      </c>
      <c r="D549" s="20" t="n">
        <v>56</v>
      </c>
      <c r="E549" s="21" t="n">
        <v>5354.22</v>
      </c>
      <c r="F549" s="22" t="n">
        <f aca="false">D549*E549</f>
        <v>299836.32</v>
      </c>
      <c r="G549" s="2"/>
    </row>
    <row r="550" customFormat="false" ht="15" hidden="false" customHeight="false" outlineLevel="0" collapsed="false">
      <c r="A550" s="19" t="s">
        <v>87</v>
      </c>
      <c r="B550" s="19" t="s">
        <v>83</v>
      </c>
      <c r="C550" s="19" t="s">
        <v>47</v>
      </c>
      <c r="D550" s="20" t="n">
        <v>58.5</v>
      </c>
      <c r="E550" s="21" t="n">
        <v>5374.82</v>
      </c>
      <c r="F550" s="22" t="n">
        <f aca="false">D550*E550</f>
        <v>314426.97</v>
      </c>
      <c r="G550" s="2"/>
    </row>
    <row r="551" customFormat="false" ht="15" hidden="false" customHeight="false" outlineLevel="0" collapsed="false">
      <c r="A551" s="19" t="s">
        <v>87</v>
      </c>
      <c r="B551" s="19" t="s">
        <v>83</v>
      </c>
      <c r="C551" s="19" t="s">
        <v>48</v>
      </c>
      <c r="D551" s="20" t="n">
        <v>59.1</v>
      </c>
      <c r="E551" s="21" t="n">
        <v>5400.48</v>
      </c>
      <c r="F551" s="22" t="n">
        <f aca="false">D551*E551</f>
        <v>319168.368</v>
      </c>
      <c r="G551" s="2"/>
    </row>
    <row r="552" customFormat="false" ht="15" hidden="false" customHeight="false" outlineLevel="0" collapsed="false">
      <c r="A552" s="19" t="s">
        <v>87</v>
      </c>
      <c r="B552" s="19" t="s">
        <v>83</v>
      </c>
      <c r="C552" s="19" t="s">
        <v>49</v>
      </c>
      <c r="D552" s="20" t="n">
        <v>59.1</v>
      </c>
      <c r="E552" s="21" t="n">
        <v>5424.25</v>
      </c>
      <c r="F552" s="22" t="n">
        <f aca="false">D552*E552</f>
        <v>320573.175</v>
      </c>
      <c r="G552" s="2"/>
    </row>
    <row r="553" customFormat="false" ht="15" hidden="false" customHeight="false" outlineLevel="0" collapsed="false">
      <c r="A553" s="19" t="s">
        <v>87</v>
      </c>
      <c r="B553" s="19" t="s">
        <v>83</v>
      </c>
      <c r="C553" s="19" t="s">
        <v>50</v>
      </c>
      <c r="D553" s="20" t="n">
        <v>57.8</v>
      </c>
      <c r="E553" s="21" t="n">
        <v>5422.46</v>
      </c>
      <c r="F553" s="22" t="n">
        <f aca="false">D553*E553</f>
        <v>313418.188</v>
      </c>
      <c r="G553" s="2"/>
    </row>
    <row r="554" customFormat="false" ht="15" hidden="false" customHeight="false" outlineLevel="0" collapsed="false">
      <c r="A554" s="19" t="s">
        <v>87</v>
      </c>
      <c r="B554" s="19" t="s">
        <v>83</v>
      </c>
      <c r="C554" s="19" t="s">
        <v>51</v>
      </c>
      <c r="D554" s="20" t="n">
        <v>58.4</v>
      </c>
      <c r="E554" s="21" t="n">
        <v>5415.99</v>
      </c>
      <c r="F554" s="22" t="n">
        <f aca="false">D554*E554</f>
        <v>316293.816</v>
      </c>
      <c r="G554" s="2"/>
    </row>
    <row r="555" customFormat="false" ht="15" hidden="false" customHeight="false" outlineLevel="0" collapsed="false">
      <c r="A555" s="19" t="s">
        <v>87</v>
      </c>
      <c r="B555" s="19" t="s">
        <v>83</v>
      </c>
      <c r="C555" s="19" t="s">
        <v>52</v>
      </c>
      <c r="D555" s="20" t="n">
        <v>57.5</v>
      </c>
      <c r="E555" s="21" t="n">
        <v>5414.98</v>
      </c>
      <c r="F555" s="22" t="n">
        <f aca="false">D555*E555</f>
        <v>311361.35</v>
      </c>
      <c r="G555" s="2"/>
    </row>
    <row r="556" customFormat="false" ht="15" hidden="false" customHeight="false" outlineLevel="0" collapsed="false">
      <c r="A556" s="19" t="s">
        <v>87</v>
      </c>
      <c r="B556" s="19" t="s">
        <v>83</v>
      </c>
      <c r="C556" s="19" t="s">
        <v>53</v>
      </c>
      <c r="D556" s="20" t="n">
        <v>57</v>
      </c>
      <c r="E556" s="21" t="n">
        <v>5446.14</v>
      </c>
      <c r="F556" s="22" t="n">
        <f aca="false">D556*E556</f>
        <v>310429.98</v>
      </c>
      <c r="G556" s="2"/>
    </row>
    <row r="557" customFormat="false" ht="15" hidden="false" customHeight="false" outlineLevel="0" collapsed="false">
      <c r="A557" s="19" t="s">
        <v>87</v>
      </c>
      <c r="B557" s="19" t="s">
        <v>83</v>
      </c>
      <c r="C557" s="19" t="s">
        <v>54</v>
      </c>
      <c r="D557" s="20" t="n">
        <v>59.4</v>
      </c>
      <c r="E557" s="21" t="n">
        <v>5469.88</v>
      </c>
      <c r="F557" s="22" t="n">
        <f aca="false">D557*E557</f>
        <v>324910.872</v>
      </c>
      <c r="G557" s="2"/>
    </row>
    <row r="558" customFormat="false" ht="15" hidden="false" customHeight="false" outlineLevel="0" collapsed="false">
      <c r="A558" s="19" t="s">
        <v>87</v>
      </c>
      <c r="B558" s="19" t="s">
        <v>83</v>
      </c>
      <c r="C558" s="19" t="s">
        <v>55</v>
      </c>
      <c r="D558" s="20" t="n">
        <v>60.6</v>
      </c>
      <c r="E558" s="21" t="n">
        <v>5458.8</v>
      </c>
      <c r="F558" s="22" t="n">
        <f aca="false">D558*E558</f>
        <v>330803.28</v>
      </c>
      <c r="G558" s="2"/>
    </row>
    <row r="559" customFormat="false" ht="15" hidden="false" customHeight="false" outlineLevel="0" collapsed="false">
      <c r="A559" s="19" t="s">
        <v>87</v>
      </c>
      <c r="B559" s="19" t="s">
        <v>83</v>
      </c>
      <c r="C559" s="19" t="s">
        <v>56</v>
      </c>
      <c r="D559" s="20" t="n">
        <v>63</v>
      </c>
      <c r="E559" s="21" t="n">
        <v>5491.18</v>
      </c>
      <c r="F559" s="22" t="n">
        <f aca="false">D559*E559</f>
        <v>345944.34</v>
      </c>
      <c r="G559" s="2"/>
    </row>
    <row r="560" customFormat="false" ht="15" hidden="false" customHeight="false" outlineLevel="0" collapsed="false">
      <c r="A560" s="19" t="s">
        <v>87</v>
      </c>
      <c r="B560" s="19" t="s">
        <v>83</v>
      </c>
      <c r="C560" s="19" t="s">
        <v>57</v>
      </c>
      <c r="D560" s="20" t="n">
        <v>63.6</v>
      </c>
      <c r="E560" s="21" t="n">
        <v>5508.04</v>
      </c>
      <c r="F560" s="22" t="n">
        <f aca="false">D560*E560</f>
        <v>350311.344</v>
      </c>
      <c r="G560" s="2"/>
    </row>
    <row r="561" customFormat="false" ht="15" hidden="false" customHeight="false" outlineLevel="0" collapsed="false">
      <c r="A561" s="19" t="s">
        <v>87</v>
      </c>
      <c r="B561" s="19" t="s">
        <v>83</v>
      </c>
      <c r="C561" s="19" t="s">
        <v>58</v>
      </c>
      <c r="D561" s="20" t="n">
        <v>64</v>
      </c>
      <c r="E561" s="21" t="n">
        <v>5532.02</v>
      </c>
      <c r="F561" s="22" t="n">
        <f aca="false">D561*E561</f>
        <v>354049.28</v>
      </c>
      <c r="G561" s="2"/>
    </row>
    <row r="562" customFormat="false" ht="15" hidden="false" customHeight="false" outlineLevel="0" collapsed="false">
      <c r="A562" s="19" t="s">
        <v>87</v>
      </c>
      <c r="B562" s="19" t="s">
        <v>83</v>
      </c>
      <c r="C562" s="19" t="s">
        <v>59</v>
      </c>
      <c r="D562" s="20" t="n">
        <v>64.4</v>
      </c>
      <c r="E562" s="21" t="n">
        <v>5544.3</v>
      </c>
      <c r="F562" s="22" t="n">
        <f aca="false">D562*E562</f>
        <v>357052.92</v>
      </c>
      <c r="G562" s="2"/>
    </row>
    <row r="563" customFormat="false" ht="15" hidden="false" customHeight="false" outlineLevel="0" collapsed="false">
      <c r="A563" s="19" t="s">
        <v>87</v>
      </c>
      <c r="B563" s="19" t="s">
        <v>83</v>
      </c>
      <c r="C563" s="19" t="s">
        <v>60</v>
      </c>
      <c r="D563" s="20" t="n">
        <v>64.6</v>
      </c>
      <c r="E563" s="21" t="n">
        <v>5548.22</v>
      </c>
      <c r="F563" s="22" t="n">
        <f aca="false">D563*E563</f>
        <v>358415.012</v>
      </c>
      <c r="G563" s="2"/>
    </row>
    <row r="564" customFormat="false" ht="15" hidden="false" customHeight="false" outlineLevel="0" collapsed="false">
      <c r="A564" s="19" t="s">
        <v>87</v>
      </c>
      <c r="B564" s="19" t="s">
        <v>83</v>
      </c>
      <c r="C564" s="19" t="s">
        <v>61</v>
      </c>
      <c r="D564" s="20" t="n">
        <v>63.1</v>
      </c>
      <c r="E564" s="21" t="n">
        <v>5577.94</v>
      </c>
      <c r="F564" s="22" t="n">
        <f aca="false">D564*E564</f>
        <v>351968.014</v>
      </c>
      <c r="G564" s="2"/>
    </row>
    <row r="565" customFormat="false" ht="15" hidden="false" customHeight="false" outlineLevel="0" collapsed="false">
      <c r="A565" s="19" t="s">
        <v>87</v>
      </c>
      <c r="B565" s="19" t="s">
        <v>83</v>
      </c>
      <c r="C565" s="19" t="s">
        <v>62</v>
      </c>
      <c r="D565" s="20" t="n">
        <v>66.7</v>
      </c>
      <c r="E565" s="21" t="n">
        <v>5607.31</v>
      </c>
      <c r="F565" s="22" t="n">
        <f aca="false">D565*E565</f>
        <v>374007.577</v>
      </c>
      <c r="G565" s="2"/>
    </row>
    <row r="566" customFormat="false" ht="15" hidden="false" customHeight="false" outlineLevel="0" collapsed="false">
      <c r="A566" s="19" t="s">
        <v>87</v>
      </c>
      <c r="B566" s="19" t="s">
        <v>83</v>
      </c>
      <c r="C566" s="19" t="s">
        <v>63</v>
      </c>
      <c r="D566" s="20" t="n">
        <v>66.3</v>
      </c>
      <c r="E566" s="21" t="n">
        <v>5601.54</v>
      </c>
      <c r="F566" s="22" t="n">
        <f aca="false">D566*E566</f>
        <v>371382.102</v>
      </c>
      <c r="G566" s="2"/>
    </row>
    <row r="567" customFormat="false" ht="15" hidden="false" customHeight="false" outlineLevel="0" collapsed="false">
      <c r="A567" s="19" t="s">
        <v>87</v>
      </c>
      <c r="B567" s="19" t="s">
        <v>83</v>
      </c>
      <c r="C567" s="19" t="s">
        <v>64</v>
      </c>
      <c r="D567" s="20" t="n">
        <v>69</v>
      </c>
      <c r="E567" s="21" t="n">
        <v>5592.47</v>
      </c>
      <c r="F567" s="22" t="n">
        <f aca="false">D567*E567</f>
        <v>385880.43</v>
      </c>
      <c r="G567" s="2"/>
    </row>
    <row r="568" customFormat="false" ht="15" hidden="false" customHeight="false" outlineLevel="0" collapsed="false">
      <c r="A568" s="19" t="s">
        <v>87</v>
      </c>
      <c r="B568" s="19" t="s">
        <v>83</v>
      </c>
      <c r="C568" s="19" t="s">
        <v>65</v>
      </c>
      <c r="D568" s="20" t="n">
        <v>70.7</v>
      </c>
      <c r="E568" s="21" t="n">
        <v>5595.58</v>
      </c>
      <c r="F568" s="22" t="n">
        <f aca="false">D568*E568</f>
        <v>395607.506</v>
      </c>
      <c r="G568" s="2"/>
    </row>
    <row r="569" customFormat="false" ht="15" hidden="false" customHeight="false" outlineLevel="0" collapsed="false">
      <c r="A569" s="19" t="s">
        <v>87</v>
      </c>
      <c r="B569" s="19" t="s">
        <v>83</v>
      </c>
      <c r="C569" s="19" t="s">
        <v>66</v>
      </c>
      <c r="D569" s="20" t="n">
        <v>70.6</v>
      </c>
      <c r="E569" s="21" t="n">
        <v>5591.7</v>
      </c>
      <c r="F569" s="22" t="n">
        <f aca="false">D569*E569</f>
        <v>394774.02</v>
      </c>
      <c r="G569" s="2"/>
    </row>
    <row r="570" customFormat="false" ht="15" hidden="false" customHeight="false" outlineLevel="0" collapsed="false">
      <c r="A570" s="19" t="s">
        <v>87</v>
      </c>
      <c r="B570" s="19" t="s">
        <v>83</v>
      </c>
      <c r="C570" s="19" t="s">
        <v>67</v>
      </c>
      <c r="D570" s="20" t="n">
        <v>69.6</v>
      </c>
      <c r="E570" s="21" t="n">
        <v>5575.36</v>
      </c>
      <c r="F570" s="22" t="n">
        <f aca="false">D570*E570</f>
        <v>388045.056</v>
      </c>
      <c r="G570" s="2"/>
    </row>
    <row r="571" customFormat="false" ht="15" hidden="false" customHeight="false" outlineLevel="0" collapsed="false">
      <c r="A571" s="19" t="s">
        <v>87</v>
      </c>
      <c r="B571" s="19" t="s">
        <v>83</v>
      </c>
      <c r="C571" s="19" t="s">
        <v>68</v>
      </c>
      <c r="D571" s="20" t="n">
        <v>68.7</v>
      </c>
      <c r="E571" s="21" t="n">
        <v>5607.35</v>
      </c>
      <c r="F571" s="22" t="n">
        <f aca="false">D571*E571</f>
        <v>385224.945</v>
      </c>
      <c r="G571" s="2"/>
    </row>
    <row r="572" customFormat="false" ht="15" hidden="false" customHeight="false" outlineLevel="0" collapsed="false">
      <c r="A572" s="19" t="s">
        <v>87</v>
      </c>
      <c r="B572" s="19" t="s">
        <v>83</v>
      </c>
      <c r="C572" s="19" t="s">
        <v>69</v>
      </c>
      <c r="D572" s="20" t="n">
        <v>67.7</v>
      </c>
      <c r="E572" s="21" t="n">
        <v>5595.2</v>
      </c>
      <c r="F572" s="22" t="n">
        <f aca="false">D572*E572</f>
        <v>378795.04</v>
      </c>
      <c r="G572" s="2"/>
    </row>
    <row r="573" customFormat="false" ht="15" hidden="false" customHeight="false" outlineLevel="0" collapsed="false">
      <c r="A573" s="19" t="s">
        <v>87</v>
      </c>
      <c r="B573" s="19" t="s">
        <v>83</v>
      </c>
      <c r="C573" s="19" t="s">
        <v>70</v>
      </c>
      <c r="D573" s="20" t="n">
        <v>67.5</v>
      </c>
      <c r="E573" s="21" t="n">
        <v>5596.19</v>
      </c>
      <c r="F573" s="22" t="n">
        <f aca="false">D573*E573</f>
        <v>377742.825</v>
      </c>
      <c r="G573" s="2"/>
    </row>
    <row r="574" customFormat="false" ht="15" hidden="false" customHeight="false" outlineLevel="0" collapsed="false">
      <c r="A574" s="19" t="s">
        <v>87</v>
      </c>
      <c r="B574" s="19" t="s">
        <v>83</v>
      </c>
      <c r="C574" s="19" t="s">
        <v>71</v>
      </c>
      <c r="D574" s="20" t="n">
        <v>71.3</v>
      </c>
      <c r="E574" s="21" t="n">
        <v>5611.33</v>
      </c>
      <c r="F574" s="22" t="n">
        <f aca="false">D574*E574</f>
        <v>400087.829</v>
      </c>
      <c r="G574" s="2"/>
    </row>
    <row r="575" customFormat="false" ht="15" hidden="false" customHeight="false" outlineLevel="0" collapsed="false">
      <c r="A575" s="19" t="s">
        <v>87</v>
      </c>
      <c r="B575" s="19" t="s">
        <v>83</v>
      </c>
      <c r="C575" s="19" t="s">
        <v>72</v>
      </c>
      <c r="D575" s="20" t="n">
        <v>74.9</v>
      </c>
      <c r="E575" s="21" t="n">
        <v>5604.5</v>
      </c>
      <c r="F575" s="22" t="n">
        <f aca="false">D575*E575</f>
        <v>419777.05</v>
      </c>
      <c r="G575" s="2"/>
    </row>
    <row r="576" customFormat="false" ht="15" hidden="false" customHeight="false" outlineLevel="0" collapsed="false">
      <c r="A576" s="19" t="s">
        <v>87</v>
      </c>
      <c r="B576" s="19" t="s">
        <v>83</v>
      </c>
      <c r="C576" s="19" t="s">
        <v>73</v>
      </c>
      <c r="D576" s="20" t="n">
        <v>77.2</v>
      </c>
      <c r="E576" s="21" t="n">
        <v>5599.28</v>
      </c>
      <c r="F576" s="22" t="n">
        <f aca="false">D576*E576</f>
        <v>432264.416</v>
      </c>
      <c r="G576" s="2"/>
    </row>
    <row r="577" customFormat="false" ht="15" hidden="false" customHeight="false" outlineLevel="0" collapsed="false">
      <c r="A577" s="19" t="s">
        <v>87</v>
      </c>
      <c r="B577" s="19" t="s">
        <v>83</v>
      </c>
      <c r="C577" s="19" t="s">
        <v>74</v>
      </c>
      <c r="D577" s="20" t="n">
        <v>77.9</v>
      </c>
      <c r="E577" s="21" t="n">
        <v>5584.75</v>
      </c>
      <c r="F577" s="22" t="n">
        <f aca="false">D577*E577</f>
        <v>435052.025</v>
      </c>
      <c r="G577" s="2"/>
    </row>
    <row r="578" customFormat="false" ht="15" hidden="false" customHeight="false" outlineLevel="0" collapsed="false">
      <c r="A578" s="19" t="s">
        <v>87</v>
      </c>
      <c r="B578" s="19" t="s">
        <v>83</v>
      </c>
      <c r="C578" s="19" t="s">
        <v>75</v>
      </c>
      <c r="D578" s="20" t="n">
        <v>76.3</v>
      </c>
      <c r="E578" s="21" t="n">
        <v>5575.23</v>
      </c>
      <c r="F578" s="22" t="n">
        <f aca="false">D578*E578</f>
        <v>425390.049</v>
      </c>
      <c r="G578" s="2"/>
    </row>
    <row r="579" customFormat="false" ht="15" hidden="false" customHeight="false" outlineLevel="0" collapsed="false">
      <c r="A579" s="19" t="s">
        <v>87</v>
      </c>
      <c r="B579" s="19" t="s">
        <v>83</v>
      </c>
      <c r="C579" s="19" t="s">
        <v>76</v>
      </c>
      <c r="D579" s="20" t="n">
        <v>77.3</v>
      </c>
      <c r="E579" s="21" t="n">
        <v>5569.24</v>
      </c>
      <c r="F579" s="22" t="n">
        <f aca="false">D579*E579</f>
        <v>430502.252</v>
      </c>
      <c r="G579" s="2"/>
    </row>
    <row r="580" customFormat="false" ht="15" hidden="false" customHeight="false" outlineLevel="0" collapsed="false">
      <c r="A580" s="19" t="s">
        <v>87</v>
      </c>
      <c r="B580" s="19" t="s">
        <v>83</v>
      </c>
      <c r="C580" s="19" t="s">
        <v>77</v>
      </c>
      <c r="D580" s="20" t="n">
        <v>76.5</v>
      </c>
      <c r="E580" s="21" t="n">
        <v>5594.95</v>
      </c>
      <c r="F580" s="22" t="n">
        <f aca="false">D580*E580</f>
        <v>428013.675</v>
      </c>
      <c r="G580" s="2"/>
    </row>
    <row r="581" customFormat="false" ht="15" hidden="false" customHeight="false" outlineLevel="0" collapsed="false">
      <c r="A581" s="19" t="s">
        <v>87</v>
      </c>
      <c r="B581" s="19" t="s">
        <v>83</v>
      </c>
      <c r="C581" s="19" t="s">
        <v>78</v>
      </c>
      <c r="D581" s="20" t="n">
        <v>74.8</v>
      </c>
      <c r="E581" s="21" t="n">
        <v>5582.07</v>
      </c>
      <c r="F581" s="22" t="n">
        <f aca="false">D581*E581</f>
        <v>417538.836</v>
      </c>
      <c r="G581" s="2"/>
    </row>
    <row r="582" customFormat="false" ht="15" hidden="false" customHeight="false" outlineLevel="0" collapsed="false">
      <c r="A582" s="19" t="s">
        <v>87</v>
      </c>
      <c r="B582" s="19" t="s">
        <v>83</v>
      </c>
      <c r="C582" s="19" t="s">
        <v>79</v>
      </c>
      <c r="D582" s="20" t="n">
        <v>78.2</v>
      </c>
      <c r="E582" s="21" t="n">
        <v>5573.12</v>
      </c>
      <c r="F582" s="22" t="n">
        <f aca="false">D582*E582</f>
        <v>435817.984</v>
      </c>
      <c r="G582" s="2"/>
    </row>
    <row r="583" customFormat="false" ht="15" hidden="false" customHeight="false" outlineLevel="0" collapsed="false">
      <c r="A583" s="19" t="s">
        <v>87</v>
      </c>
      <c r="B583" s="19" t="s">
        <v>83</v>
      </c>
      <c r="C583" s="19" t="s">
        <v>80</v>
      </c>
      <c r="D583" s="20" t="n">
        <v>80.3</v>
      </c>
      <c r="E583" s="21" t="n">
        <v>5563.56</v>
      </c>
      <c r="F583" s="22" t="n">
        <f aca="false">D583*E583</f>
        <v>446753.868</v>
      </c>
      <c r="G583" s="2"/>
    </row>
    <row r="584" customFormat="false" ht="15" hidden="false" customHeight="false" outlineLevel="0" collapsed="false">
      <c r="A584" s="19" t="s">
        <v>87</v>
      </c>
      <c r="B584" s="19" t="s">
        <v>84</v>
      </c>
      <c r="C584" s="19" t="s">
        <v>45</v>
      </c>
      <c r="D584" s="20" t="n">
        <v>31.1</v>
      </c>
      <c r="E584" s="21" t="n">
        <v>5227.29</v>
      </c>
      <c r="F584" s="22" t="n">
        <f aca="false">D584*E584</f>
        <v>162568.719</v>
      </c>
      <c r="G584" s="2"/>
    </row>
    <row r="585" customFormat="false" ht="15" hidden="false" customHeight="false" outlineLevel="0" collapsed="false">
      <c r="A585" s="19" t="s">
        <v>87</v>
      </c>
      <c r="B585" s="19" t="s">
        <v>84</v>
      </c>
      <c r="C585" s="19" t="s">
        <v>46</v>
      </c>
      <c r="D585" s="20" t="n">
        <v>33</v>
      </c>
      <c r="E585" s="21" t="n">
        <v>5220.55</v>
      </c>
      <c r="F585" s="22" t="n">
        <f aca="false">D585*E585</f>
        <v>172278.15</v>
      </c>
      <c r="G585" s="2"/>
    </row>
    <row r="586" customFormat="false" ht="15" hidden="false" customHeight="false" outlineLevel="0" collapsed="false">
      <c r="A586" s="19" t="s">
        <v>87</v>
      </c>
      <c r="B586" s="19" t="s">
        <v>84</v>
      </c>
      <c r="C586" s="19" t="s">
        <v>47</v>
      </c>
      <c r="D586" s="20" t="n">
        <v>32.4</v>
      </c>
      <c r="E586" s="21" t="n">
        <v>5233.43</v>
      </c>
      <c r="F586" s="22" t="n">
        <f aca="false">D586*E586</f>
        <v>169563.132</v>
      </c>
      <c r="G586" s="2"/>
    </row>
    <row r="587" customFormat="false" ht="15" hidden="false" customHeight="false" outlineLevel="0" collapsed="false">
      <c r="A587" s="19" t="s">
        <v>87</v>
      </c>
      <c r="B587" s="19" t="s">
        <v>84</v>
      </c>
      <c r="C587" s="19" t="s">
        <v>48</v>
      </c>
      <c r="D587" s="20" t="n">
        <v>32.5</v>
      </c>
      <c r="E587" s="21" t="n">
        <v>5221.82</v>
      </c>
      <c r="F587" s="22" t="n">
        <f aca="false">D587*E587</f>
        <v>169709.15</v>
      </c>
      <c r="G587" s="2"/>
    </row>
    <row r="588" customFormat="false" ht="15" hidden="false" customHeight="false" outlineLevel="0" collapsed="false">
      <c r="A588" s="19" t="s">
        <v>87</v>
      </c>
      <c r="B588" s="19" t="s">
        <v>84</v>
      </c>
      <c r="C588" s="19" t="s">
        <v>49</v>
      </c>
      <c r="D588" s="20" t="n">
        <v>34.5</v>
      </c>
      <c r="E588" s="21" t="n">
        <v>5237.51</v>
      </c>
      <c r="F588" s="22" t="n">
        <f aca="false">D588*E588</f>
        <v>180694.095</v>
      </c>
      <c r="G588" s="2"/>
    </row>
    <row r="589" customFormat="false" ht="15" hidden="false" customHeight="false" outlineLevel="0" collapsed="false">
      <c r="A589" s="19" t="s">
        <v>87</v>
      </c>
      <c r="B589" s="19" t="s">
        <v>84</v>
      </c>
      <c r="C589" s="19" t="s">
        <v>50</v>
      </c>
      <c r="D589" s="20" t="n">
        <v>36.4</v>
      </c>
      <c r="E589" s="21" t="n">
        <v>5248.56</v>
      </c>
      <c r="F589" s="22" t="n">
        <f aca="false">D589*E589</f>
        <v>191047.584</v>
      </c>
      <c r="G589" s="2"/>
    </row>
    <row r="590" customFormat="false" ht="15" hidden="false" customHeight="false" outlineLevel="0" collapsed="false">
      <c r="A590" s="19" t="s">
        <v>87</v>
      </c>
      <c r="B590" s="19" t="s">
        <v>84</v>
      </c>
      <c r="C590" s="19" t="s">
        <v>51</v>
      </c>
      <c r="D590" s="20" t="n">
        <v>38.3</v>
      </c>
      <c r="E590" s="21" t="n">
        <v>5259.12</v>
      </c>
      <c r="F590" s="22" t="n">
        <f aca="false">D590*E590</f>
        <v>201424.296</v>
      </c>
      <c r="G590" s="2"/>
    </row>
    <row r="591" customFormat="false" ht="15" hidden="false" customHeight="false" outlineLevel="0" collapsed="false">
      <c r="A591" s="19" t="s">
        <v>87</v>
      </c>
      <c r="B591" s="19" t="s">
        <v>84</v>
      </c>
      <c r="C591" s="19" t="s">
        <v>52</v>
      </c>
      <c r="D591" s="20" t="n">
        <v>37.2</v>
      </c>
      <c r="E591" s="21" t="n">
        <v>5281.46</v>
      </c>
      <c r="F591" s="22" t="n">
        <f aca="false">D591*E591</f>
        <v>196470.312</v>
      </c>
      <c r="G591" s="2"/>
    </row>
    <row r="592" customFormat="false" ht="15" hidden="false" customHeight="false" outlineLevel="0" collapsed="false">
      <c r="A592" s="19" t="s">
        <v>87</v>
      </c>
      <c r="B592" s="19" t="s">
        <v>84</v>
      </c>
      <c r="C592" s="19" t="s">
        <v>53</v>
      </c>
      <c r="D592" s="20" t="n">
        <v>38.4</v>
      </c>
      <c r="E592" s="21" t="n">
        <v>5297.35</v>
      </c>
      <c r="F592" s="22" t="n">
        <f aca="false">D592*E592</f>
        <v>203418.24</v>
      </c>
      <c r="G592" s="2"/>
    </row>
    <row r="593" customFormat="false" ht="15" hidden="false" customHeight="false" outlineLevel="0" collapsed="false">
      <c r="A593" s="19" t="s">
        <v>87</v>
      </c>
      <c r="B593" s="19" t="s">
        <v>84</v>
      </c>
      <c r="C593" s="19" t="s">
        <v>54</v>
      </c>
      <c r="D593" s="20" t="n">
        <v>40</v>
      </c>
      <c r="E593" s="21" t="n">
        <v>5290.9</v>
      </c>
      <c r="F593" s="22" t="n">
        <f aca="false">D593*E593</f>
        <v>211636</v>
      </c>
      <c r="G593" s="2"/>
    </row>
    <row r="594" customFormat="false" ht="15" hidden="false" customHeight="false" outlineLevel="0" collapsed="false">
      <c r="A594" s="19" t="s">
        <v>87</v>
      </c>
      <c r="B594" s="19" t="s">
        <v>84</v>
      </c>
      <c r="C594" s="19" t="s">
        <v>55</v>
      </c>
      <c r="D594" s="20" t="n">
        <v>39</v>
      </c>
      <c r="E594" s="21" t="n">
        <v>5301.02</v>
      </c>
      <c r="F594" s="22" t="n">
        <f aca="false">D594*E594</f>
        <v>206739.78</v>
      </c>
      <c r="G594" s="2"/>
    </row>
    <row r="595" customFormat="false" ht="15" hidden="false" customHeight="false" outlineLevel="0" collapsed="false">
      <c r="A595" s="19" t="s">
        <v>87</v>
      </c>
      <c r="B595" s="19" t="s">
        <v>84</v>
      </c>
      <c r="C595" s="19" t="s">
        <v>56</v>
      </c>
      <c r="D595" s="20" t="n">
        <v>39.8</v>
      </c>
      <c r="E595" s="21" t="n">
        <v>5295.25</v>
      </c>
      <c r="F595" s="22" t="n">
        <f aca="false">D595*E595</f>
        <v>210750.95</v>
      </c>
      <c r="G595" s="2"/>
    </row>
    <row r="596" customFormat="false" ht="15" hidden="false" customHeight="false" outlineLevel="0" collapsed="false">
      <c r="A596" s="19" t="s">
        <v>87</v>
      </c>
      <c r="B596" s="19" t="s">
        <v>84</v>
      </c>
      <c r="C596" s="19" t="s">
        <v>57</v>
      </c>
      <c r="D596" s="20" t="n">
        <v>42.2</v>
      </c>
      <c r="E596" s="21" t="n">
        <v>5293.38</v>
      </c>
      <c r="F596" s="22" t="n">
        <f aca="false">D596*E596</f>
        <v>223380.636</v>
      </c>
      <c r="G596" s="2"/>
    </row>
    <row r="597" customFormat="false" ht="15" hidden="false" customHeight="false" outlineLevel="0" collapsed="false">
      <c r="A597" s="19" t="s">
        <v>87</v>
      </c>
      <c r="B597" s="19" t="s">
        <v>84</v>
      </c>
      <c r="C597" s="19" t="s">
        <v>58</v>
      </c>
      <c r="D597" s="20" t="n">
        <v>42.8</v>
      </c>
      <c r="E597" s="21" t="n">
        <v>5299.31</v>
      </c>
      <c r="F597" s="22" t="n">
        <f aca="false">D597*E597</f>
        <v>226810.468</v>
      </c>
      <c r="G597" s="2"/>
    </row>
    <row r="598" customFormat="false" ht="15" hidden="false" customHeight="false" outlineLevel="0" collapsed="false">
      <c r="A598" s="19" t="s">
        <v>87</v>
      </c>
      <c r="B598" s="19" t="s">
        <v>84</v>
      </c>
      <c r="C598" s="19" t="s">
        <v>59</v>
      </c>
      <c r="D598" s="20" t="n">
        <v>44</v>
      </c>
      <c r="E598" s="21" t="n">
        <v>5285.81</v>
      </c>
      <c r="F598" s="22" t="n">
        <f aca="false">D598*E598</f>
        <v>232575.64</v>
      </c>
      <c r="G598" s="2"/>
    </row>
    <row r="599" customFormat="false" ht="15" hidden="false" customHeight="false" outlineLevel="0" collapsed="false">
      <c r="A599" s="19" t="s">
        <v>87</v>
      </c>
      <c r="B599" s="19" t="s">
        <v>84</v>
      </c>
      <c r="C599" s="19" t="s">
        <v>60</v>
      </c>
      <c r="D599" s="20" t="n">
        <v>46.6</v>
      </c>
      <c r="E599" s="21" t="n">
        <v>5294.02</v>
      </c>
      <c r="F599" s="22" t="n">
        <f aca="false">D599*E599</f>
        <v>246701.332</v>
      </c>
      <c r="G599" s="2"/>
    </row>
    <row r="600" customFormat="false" ht="15" hidden="false" customHeight="false" outlineLevel="0" collapsed="false">
      <c r="A600" s="19" t="s">
        <v>87</v>
      </c>
      <c r="B600" s="19" t="s">
        <v>84</v>
      </c>
      <c r="C600" s="19" t="s">
        <v>61</v>
      </c>
      <c r="D600" s="20" t="n">
        <v>46.5</v>
      </c>
      <c r="E600" s="21" t="n">
        <v>5297.16</v>
      </c>
      <c r="F600" s="22" t="n">
        <f aca="false">D600*E600</f>
        <v>246317.94</v>
      </c>
      <c r="G600" s="2"/>
    </row>
    <row r="601" customFormat="false" ht="15" hidden="false" customHeight="false" outlineLevel="0" collapsed="false">
      <c r="A601" s="19" t="s">
        <v>87</v>
      </c>
      <c r="B601" s="19" t="s">
        <v>84</v>
      </c>
      <c r="C601" s="19" t="s">
        <v>62</v>
      </c>
      <c r="D601" s="20" t="n">
        <v>49.2</v>
      </c>
      <c r="E601" s="21" t="n">
        <v>5299.25</v>
      </c>
      <c r="F601" s="22" t="n">
        <f aca="false">D601*E601</f>
        <v>260723.1</v>
      </c>
      <c r="G601" s="2"/>
    </row>
    <row r="602" customFormat="false" ht="15" hidden="false" customHeight="false" outlineLevel="0" collapsed="false">
      <c r="A602" s="19" t="s">
        <v>87</v>
      </c>
      <c r="B602" s="19" t="s">
        <v>84</v>
      </c>
      <c r="C602" s="19" t="s">
        <v>63</v>
      </c>
      <c r="D602" s="20" t="n">
        <v>49.1</v>
      </c>
      <c r="E602" s="21" t="n">
        <v>5310.16</v>
      </c>
      <c r="F602" s="22" t="n">
        <f aca="false">D602*E602</f>
        <v>260728.856</v>
      </c>
      <c r="G602" s="2"/>
    </row>
    <row r="603" customFormat="false" ht="15" hidden="false" customHeight="false" outlineLevel="0" collapsed="false">
      <c r="A603" s="19" t="s">
        <v>87</v>
      </c>
      <c r="B603" s="19" t="s">
        <v>84</v>
      </c>
      <c r="C603" s="19" t="s">
        <v>64</v>
      </c>
      <c r="D603" s="20" t="n">
        <v>49.6</v>
      </c>
      <c r="E603" s="21" t="n">
        <v>5326.93</v>
      </c>
      <c r="F603" s="22" t="n">
        <f aca="false">D603*E603</f>
        <v>264215.728</v>
      </c>
      <c r="G603" s="2"/>
    </row>
    <row r="604" customFormat="false" ht="15" hidden="false" customHeight="false" outlineLevel="0" collapsed="false">
      <c r="A604" s="19" t="s">
        <v>87</v>
      </c>
      <c r="B604" s="19" t="s">
        <v>84</v>
      </c>
      <c r="C604" s="19" t="s">
        <v>65</v>
      </c>
      <c r="D604" s="20" t="n">
        <v>48.1</v>
      </c>
      <c r="E604" s="21" t="n">
        <v>5357.35</v>
      </c>
      <c r="F604" s="22" t="n">
        <f aca="false">D604*E604</f>
        <v>257688.535</v>
      </c>
      <c r="G604" s="2"/>
    </row>
    <row r="605" customFormat="false" ht="15" hidden="false" customHeight="false" outlineLevel="0" collapsed="false">
      <c r="A605" s="19" t="s">
        <v>87</v>
      </c>
      <c r="B605" s="19" t="s">
        <v>84</v>
      </c>
      <c r="C605" s="19" t="s">
        <v>66</v>
      </c>
      <c r="D605" s="20" t="n">
        <v>49.4</v>
      </c>
      <c r="E605" s="21" t="n">
        <v>5351.42</v>
      </c>
      <c r="F605" s="22" t="n">
        <f aca="false">D605*E605</f>
        <v>264360.148</v>
      </c>
      <c r="G605" s="2"/>
    </row>
    <row r="606" customFormat="false" ht="15" hidden="false" customHeight="false" outlineLevel="0" collapsed="false">
      <c r="A606" s="19" t="s">
        <v>87</v>
      </c>
      <c r="B606" s="19" t="s">
        <v>84</v>
      </c>
      <c r="C606" s="19" t="s">
        <v>67</v>
      </c>
      <c r="D606" s="20" t="n">
        <v>49.8</v>
      </c>
      <c r="E606" s="21" t="n">
        <v>5343.01</v>
      </c>
      <c r="F606" s="22" t="n">
        <f aca="false">D606*E606</f>
        <v>266081.898</v>
      </c>
      <c r="G606" s="2"/>
    </row>
    <row r="607" customFormat="false" ht="15" hidden="false" customHeight="false" outlineLevel="0" collapsed="false">
      <c r="A607" s="19" t="s">
        <v>87</v>
      </c>
      <c r="B607" s="19" t="s">
        <v>84</v>
      </c>
      <c r="C607" s="19" t="s">
        <v>68</v>
      </c>
      <c r="D607" s="20" t="n">
        <v>51.4</v>
      </c>
      <c r="E607" s="21" t="n">
        <v>5344.1</v>
      </c>
      <c r="F607" s="22" t="n">
        <f aca="false">D607*E607</f>
        <v>274686.74</v>
      </c>
      <c r="G607" s="2"/>
    </row>
    <row r="608" customFormat="false" ht="15" hidden="false" customHeight="false" outlineLevel="0" collapsed="false">
      <c r="A608" s="19" t="s">
        <v>87</v>
      </c>
      <c r="B608" s="19" t="s">
        <v>84</v>
      </c>
      <c r="C608" s="19" t="s">
        <v>69</v>
      </c>
      <c r="D608" s="20" t="n">
        <v>53.2</v>
      </c>
      <c r="E608" s="21" t="n">
        <v>5353.53</v>
      </c>
      <c r="F608" s="22" t="n">
        <f aca="false">D608*E608</f>
        <v>284807.796</v>
      </c>
      <c r="G608" s="2"/>
    </row>
    <row r="609" customFormat="false" ht="15" hidden="false" customHeight="false" outlineLevel="0" collapsed="false">
      <c r="A609" s="19" t="s">
        <v>87</v>
      </c>
      <c r="B609" s="19" t="s">
        <v>84</v>
      </c>
      <c r="C609" s="19" t="s">
        <v>70</v>
      </c>
      <c r="D609" s="20" t="n">
        <v>53.2</v>
      </c>
      <c r="E609" s="21" t="n">
        <v>5346.18</v>
      </c>
      <c r="F609" s="22" t="n">
        <f aca="false">D609*E609</f>
        <v>284416.776</v>
      </c>
      <c r="G609" s="2"/>
    </row>
    <row r="610" customFormat="false" ht="15" hidden="false" customHeight="false" outlineLevel="0" collapsed="false">
      <c r="A610" s="19" t="s">
        <v>87</v>
      </c>
      <c r="B610" s="19" t="s">
        <v>84</v>
      </c>
      <c r="C610" s="19" t="s">
        <v>71</v>
      </c>
      <c r="D610" s="20" t="n">
        <v>55.5</v>
      </c>
      <c r="E610" s="21" t="n">
        <v>5350.69</v>
      </c>
      <c r="F610" s="22" t="n">
        <f aca="false">D610*E610</f>
        <v>296963.295</v>
      </c>
      <c r="G610" s="2"/>
    </row>
    <row r="611" customFormat="false" ht="15" hidden="false" customHeight="false" outlineLevel="0" collapsed="false">
      <c r="A611" s="19" t="s">
        <v>87</v>
      </c>
      <c r="B611" s="19" t="s">
        <v>84</v>
      </c>
      <c r="C611" s="19" t="s">
        <v>72</v>
      </c>
      <c r="D611" s="20" t="n">
        <v>56.7</v>
      </c>
      <c r="E611" s="21" t="n">
        <v>5372.82</v>
      </c>
      <c r="F611" s="22" t="n">
        <f aca="false">D611*E611</f>
        <v>304638.894</v>
      </c>
      <c r="G611" s="2"/>
    </row>
    <row r="612" customFormat="false" ht="15" hidden="false" customHeight="false" outlineLevel="0" collapsed="false">
      <c r="A612" s="19" t="s">
        <v>87</v>
      </c>
      <c r="B612" s="19" t="s">
        <v>84</v>
      </c>
      <c r="C612" s="19" t="s">
        <v>73</v>
      </c>
      <c r="D612" s="20" t="n">
        <v>56.9</v>
      </c>
      <c r="E612" s="21" t="n">
        <v>5384.05</v>
      </c>
      <c r="F612" s="22" t="n">
        <f aca="false">D612*E612</f>
        <v>306352.445</v>
      </c>
      <c r="G612" s="2"/>
    </row>
    <row r="613" customFormat="false" ht="15" hidden="false" customHeight="false" outlineLevel="0" collapsed="false">
      <c r="A613" s="19" t="s">
        <v>87</v>
      </c>
      <c r="B613" s="19" t="s">
        <v>84</v>
      </c>
      <c r="C613" s="19" t="s">
        <v>74</v>
      </c>
      <c r="D613" s="20" t="n">
        <v>59.6</v>
      </c>
      <c r="E613" s="21" t="n">
        <v>5378.1</v>
      </c>
      <c r="F613" s="22" t="n">
        <f aca="false">D613*E613</f>
        <v>320534.76</v>
      </c>
      <c r="G613" s="2"/>
    </row>
    <row r="614" customFormat="false" ht="15" hidden="false" customHeight="false" outlineLevel="0" collapsed="false">
      <c r="A614" s="19" t="s">
        <v>87</v>
      </c>
      <c r="B614" s="19" t="s">
        <v>84</v>
      </c>
      <c r="C614" s="19" t="s">
        <v>75</v>
      </c>
      <c r="D614" s="20" t="n">
        <v>62.8</v>
      </c>
      <c r="E614" s="21" t="n">
        <v>5368.88</v>
      </c>
      <c r="F614" s="22" t="n">
        <f aca="false">D614*E614</f>
        <v>337165.664</v>
      </c>
      <c r="G614" s="2"/>
    </row>
    <row r="615" customFormat="false" ht="15" hidden="false" customHeight="false" outlineLevel="0" collapsed="false">
      <c r="A615" s="19" t="s">
        <v>87</v>
      </c>
      <c r="B615" s="19" t="s">
        <v>84</v>
      </c>
      <c r="C615" s="19" t="s">
        <v>76</v>
      </c>
      <c r="D615" s="20" t="n">
        <v>63.4</v>
      </c>
      <c r="E615" s="21" t="n">
        <v>5392.14</v>
      </c>
      <c r="F615" s="22" t="n">
        <f aca="false">D615*E615</f>
        <v>341861.676</v>
      </c>
      <c r="G615" s="2"/>
    </row>
    <row r="616" customFormat="false" ht="15" hidden="false" customHeight="false" outlineLevel="0" collapsed="false">
      <c r="A616" s="19" t="s">
        <v>87</v>
      </c>
      <c r="B616" s="19" t="s">
        <v>84</v>
      </c>
      <c r="C616" s="19" t="s">
        <v>77</v>
      </c>
      <c r="D616" s="20" t="n">
        <v>64.3</v>
      </c>
      <c r="E616" s="21" t="n">
        <v>5406.63</v>
      </c>
      <c r="F616" s="22" t="n">
        <f aca="false">D616*E616</f>
        <v>347646.309</v>
      </c>
      <c r="G616" s="2"/>
    </row>
    <row r="617" customFormat="false" ht="15" hidden="false" customHeight="false" outlineLevel="0" collapsed="false">
      <c r="A617" s="19" t="s">
        <v>87</v>
      </c>
      <c r="B617" s="19" t="s">
        <v>84</v>
      </c>
      <c r="C617" s="19" t="s">
        <v>78</v>
      </c>
      <c r="D617" s="20" t="n">
        <v>64.2</v>
      </c>
      <c r="E617" s="21" t="n">
        <v>5430.7</v>
      </c>
      <c r="F617" s="22" t="n">
        <f aca="false">D617*E617</f>
        <v>348650.94</v>
      </c>
      <c r="G617" s="2"/>
    </row>
    <row r="618" customFormat="false" ht="15" hidden="false" customHeight="false" outlineLevel="0" collapsed="false">
      <c r="A618" s="19" t="s">
        <v>87</v>
      </c>
      <c r="B618" s="19" t="s">
        <v>84</v>
      </c>
      <c r="C618" s="19" t="s">
        <v>79</v>
      </c>
      <c r="D618" s="20" t="n">
        <v>64.7</v>
      </c>
      <c r="E618" s="21" t="n">
        <v>5440.81</v>
      </c>
      <c r="F618" s="22" t="n">
        <f aca="false">D618*E618</f>
        <v>352020.407</v>
      </c>
      <c r="G618" s="2"/>
    </row>
    <row r="619" customFormat="false" ht="15" hidden="false" customHeight="false" outlineLevel="0" collapsed="false">
      <c r="A619" s="19" t="s">
        <v>87</v>
      </c>
      <c r="B619" s="19" t="s">
        <v>84</v>
      </c>
      <c r="C619" s="19" t="s">
        <v>80</v>
      </c>
      <c r="D619" s="20" t="n">
        <v>66.9</v>
      </c>
      <c r="E619" s="21" t="n">
        <v>5459.33</v>
      </c>
      <c r="F619" s="22" t="n">
        <f aca="false">D619*E619</f>
        <v>365229.177</v>
      </c>
      <c r="G619" s="2"/>
    </row>
    <row r="620" customFormat="false" ht="15" hidden="false" customHeight="false" outlineLevel="0" collapsed="false">
      <c r="A620" s="19" t="s">
        <v>87</v>
      </c>
      <c r="B620" s="19" t="s">
        <v>85</v>
      </c>
      <c r="C620" s="19" t="s">
        <v>45</v>
      </c>
      <c r="D620" s="20" t="n">
        <v>37.3</v>
      </c>
      <c r="E620" s="21" t="n">
        <v>2038.76</v>
      </c>
      <c r="F620" s="22" t="n">
        <f aca="false">D620*E620</f>
        <v>76045.748</v>
      </c>
      <c r="G620" s="2"/>
    </row>
    <row r="621" customFormat="false" ht="15" hidden="false" customHeight="false" outlineLevel="0" collapsed="false">
      <c r="A621" s="19" t="s">
        <v>87</v>
      </c>
      <c r="B621" s="19" t="s">
        <v>85</v>
      </c>
      <c r="C621" s="19" t="s">
        <v>46</v>
      </c>
      <c r="D621" s="20" t="n">
        <v>38.6</v>
      </c>
      <c r="E621" s="21" t="n">
        <v>2037.07</v>
      </c>
      <c r="F621" s="22" t="n">
        <f aca="false">D621*E621</f>
        <v>78630.902</v>
      </c>
      <c r="G621" s="2"/>
    </row>
    <row r="622" customFormat="false" ht="15" hidden="false" customHeight="false" outlineLevel="0" collapsed="false">
      <c r="A622" s="19" t="s">
        <v>87</v>
      </c>
      <c r="B622" s="19" t="s">
        <v>85</v>
      </c>
      <c r="C622" s="19" t="s">
        <v>47</v>
      </c>
      <c r="D622" s="20" t="n">
        <v>39.8</v>
      </c>
      <c r="E622" s="21" t="n">
        <v>2047</v>
      </c>
      <c r="F622" s="22" t="n">
        <f aca="false">D622*E622</f>
        <v>81470.6</v>
      </c>
      <c r="G622" s="2"/>
    </row>
    <row r="623" customFormat="false" ht="15" hidden="false" customHeight="false" outlineLevel="0" collapsed="false">
      <c r="A623" s="19" t="s">
        <v>87</v>
      </c>
      <c r="B623" s="19" t="s">
        <v>85</v>
      </c>
      <c r="C623" s="19" t="s">
        <v>48</v>
      </c>
      <c r="D623" s="20" t="n">
        <v>42.3</v>
      </c>
      <c r="E623" s="21" t="n">
        <v>2048.53</v>
      </c>
      <c r="F623" s="22" t="n">
        <f aca="false">D623*E623</f>
        <v>86652.819</v>
      </c>
      <c r="G623" s="2"/>
    </row>
    <row r="624" customFormat="false" ht="15" hidden="false" customHeight="false" outlineLevel="0" collapsed="false">
      <c r="A624" s="19" t="s">
        <v>87</v>
      </c>
      <c r="B624" s="19" t="s">
        <v>85</v>
      </c>
      <c r="C624" s="19" t="s">
        <v>49</v>
      </c>
      <c r="D624" s="20" t="n">
        <v>41.6</v>
      </c>
      <c r="E624" s="21" t="n">
        <v>2048.9</v>
      </c>
      <c r="F624" s="22" t="n">
        <f aca="false">D624*E624</f>
        <v>85234.24</v>
      </c>
      <c r="G624" s="2"/>
    </row>
    <row r="625" customFormat="false" ht="15" hidden="false" customHeight="false" outlineLevel="0" collapsed="false">
      <c r="A625" s="19" t="s">
        <v>87</v>
      </c>
      <c r="B625" s="19" t="s">
        <v>85</v>
      </c>
      <c r="C625" s="19" t="s">
        <v>50</v>
      </c>
      <c r="D625" s="20" t="n">
        <v>44.1</v>
      </c>
      <c r="E625" s="21" t="n">
        <v>2048.25</v>
      </c>
      <c r="F625" s="22" t="n">
        <f aca="false">D625*E625</f>
        <v>90327.825</v>
      </c>
      <c r="G625" s="2"/>
    </row>
    <row r="626" customFormat="false" ht="15" hidden="false" customHeight="false" outlineLevel="0" collapsed="false">
      <c r="A626" s="19" t="s">
        <v>87</v>
      </c>
      <c r="B626" s="19" t="s">
        <v>85</v>
      </c>
      <c r="C626" s="19" t="s">
        <v>51</v>
      </c>
      <c r="D626" s="20" t="n">
        <v>45.8</v>
      </c>
      <c r="E626" s="21" t="n">
        <v>2049.23</v>
      </c>
      <c r="F626" s="22" t="n">
        <f aca="false">D626*E626</f>
        <v>93854.734</v>
      </c>
      <c r="G626" s="2"/>
    </row>
    <row r="627" customFormat="false" ht="15" hidden="false" customHeight="false" outlineLevel="0" collapsed="false">
      <c r="A627" s="19" t="s">
        <v>87</v>
      </c>
      <c r="B627" s="19" t="s">
        <v>85</v>
      </c>
      <c r="C627" s="19" t="s">
        <v>52</v>
      </c>
      <c r="D627" s="20" t="n">
        <v>46.9</v>
      </c>
      <c r="E627" s="21" t="n">
        <v>2061.16</v>
      </c>
      <c r="F627" s="22" t="n">
        <f aca="false">D627*E627</f>
        <v>96668.404</v>
      </c>
      <c r="G627" s="2"/>
    </row>
    <row r="628" customFormat="false" ht="15" hidden="false" customHeight="false" outlineLevel="0" collapsed="false">
      <c r="A628" s="19" t="s">
        <v>87</v>
      </c>
      <c r="B628" s="19" t="s">
        <v>85</v>
      </c>
      <c r="C628" s="19" t="s">
        <v>53</v>
      </c>
      <c r="D628" s="20" t="n">
        <v>49.4</v>
      </c>
      <c r="E628" s="21" t="n">
        <v>2062.32</v>
      </c>
      <c r="F628" s="22" t="n">
        <f aca="false">D628*E628</f>
        <v>101878.608</v>
      </c>
      <c r="G628" s="2"/>
    </row>
    <row r="629" customFormat="false" ht="15" hidden="false" customHeight="false" outlineLevel="0" collapsed="false">
      <c r="A629" s="19" t="s">
        <v>87</v>
      </c>
      <c r="B629" s="19" t="s">
        <v>85</v>
      </c>
      <c r="C629" s="19" t="s">
        <v>54</v>
      </c>
      <c r="D629" s="20" t="n">
        <v>50.4</v>
      </c>
      <c r="E629" s="21" t="n">
        <v>2066.32</v>
      </c>
      <c r="F629" s="22" t="n">
        <f aca="false">D629*E629</f>
        <v>104142.528</v>
      </c>
      <c r="G629" s="2"/>
    </row>
    <row r="630" customFormat="false" ht="15" hidden="false" customHeight="false" outlineLevel="0" collapsed="false">
      <c r="A630" s="19" t="s">
        <v>87</v>
      </c>
      <c r="B630" s="19" t="s">
        <v>85</v>
      </c>
      <c r="C630" s="19" t="s">
        <v>55</v>
      </c>
      <c r="D630" s="20" t="n">
        <v>52.5</v>
      </c>
      <c r="E630" s="21" t="n">
        <v>2074</v>
      </c>
      <c r="F630" s="22" t="n">
        <f aca="false">D630*E630</f>
        <v>108885</v>
      </c>
      <c r="G630" s="2"/>
    </row>
    <row r="631" customFormat="false" ht="15" hidden="false" customHeight="false" outlineLevel="0" collapsed="false">
      <c r="A631" s="19" t="s">
        <v>87</v>
      </c>
      <c r="B631" s="19" t="s">
        <v>85</v>
      </c>
      <c r="C631" s="19" t="s">
        <v>56</v>
      </c>
      <c r="D631" s="20" t="n">
        <v>54.5</v>
      </c>
      <c r="E631" s="21" t="n">
        <v>2085.62</v>
      </c>
      <c r="F631" s="22" t="n">
        <f aca="false">D631*E631</f>
        <v>113666.29</v>
      </c>
      <c r="G631" s="2"/>
    </row>
    <row r="632" customFormat="false" ht="15" hidden="false" customHeight="false" outlineLevel="0" collapsed="false">
      <c r="A632" s="19" t="s">
        <v>87</v>
      </c>
      <c r="B632" s="19" t="s">
        <v>85</v>
      </c>
      <c r="C632" s="19" t="s">
        <v>57</v>
      </c>
      <c r="D632" s="20" t="n">
        <v>57.7</v>
      </c>
      <c r="E632" s="21" t="n">
        <v>2090.93</v>
      </c>
      <c r="F632" s="22" t="n">
        <f aca="false">D632*E632</f>
        <v>120646.661</v>
      </c>
      <c r="G632" s="2"/>
    </row>
    <row r="633" customFormat="false" ht="15" hidden="false" customHeight="false" outlineLevel="0" collapsed="false">
      <c r="A633" s="19" t="s">
        <v>87</v>
      </c>
      <c r="B633" s="19" t="s">
        <v>85</v>
      </c>
      <c r="C633" s="19" t="s">
        <v>58</v>
      </c>
      <c r="D633" s="20" t="n">
        <v>57.1</v>
      </c>
      <c r="E633" s="21" t="n">
        <v>2102.94</v>
      </c>
      <c r="F633" s="22" t="n">
        <f aca="false">D633*E633</f>
        <v>120077.874</v>
      </c>
      <c r="G633" s="2"/>
    </row>
    <row r="634" customFormat="false" ht="15" hidden="false" customHeight="false" outlineLevel="0" collapsed="false">
      <c r="A634" s="19" t="s">
        <v>87</v>
      </c>
      <c r="B634" s="19" t="s">
        <v>85</v>
      </c>
      <c r="C634" s="19" t="s">
        <v>59</v>
      </c>
      <c r="D634" s="20" t="n">
        <v>58.7</v>
      </c>
      <c r="E634" s="21" t="n">
        <v>2115.27</v>
      </c>
      <c r="F634" s="22" t="n">
        <f aca="false">D634*E634</f>
        <v>124166.349</v>
      </c>
      <c r="G634" s="2"/>
    </row>
    <row r="635" customFormat="false" ht="15" hidden="false" customHeight="false" outlineLevel="0" collapsed="false">
      <c r="A635" s="19" t="s">
        <v>87</v>
      </c>
      <c r="B635" s="19" t="s">
        <v>85</v>
      </c>
      <c r="C635" s="19" t="s">
        <v>60</v>
      </c>
      <c r="D635" s="20" t="n">
        <v>62</v>
      </c>
      <c r="E635" s="21" t="n">
        <v>2123.28</v>
      </c>
      <c r="F635" s="22" t="n">
        <f aca="false">D635*E635</f>
        <v>131643.36</v>
      </c>
      <c r="G635" s="2"/>
    </row>
    <row r="636" customFormat="false" ht="15" hidden="false" customHeight="false" outlineLevel="0" collapsed="false">
      <c r="A636" s="19" t="s">
        <v>87</v>
      </c>
      <c r="B636" s="19" t="s">
        <v>85</v>
      </c>
      <c r="C636" s="19" t="s">
        <v>61</v>
      </c>
      <c r="D636" s="20" t="n">
        <v>64.2</v>
      </c>
      <c r="E636" s="21" t="n">
        <v>2132.13</v>
      </c>
      <c r="F636" s="22" t="n">
        <f aca="false">D636*E636</f>
        <v>136882.746</v>
      </c>
      <c r="G636" s="2"/>
    </row>
    <row r="637" customFormat="false" ht="15" hidden="false" customHeight="false" outlineLevel="0" collapsed="false">
      <c r="A637" s="19" t="s">
        <v>87</v>
      </c>
      <c r="B637" s="19" t="s">
        <v>85</v>
      </c>
      <c r="C637" s="19" t="s">
        <v>62</v>
      </c>
      <c r="D637" s="20" t="n">
        <v>66.3</v>
      </c>
      <c r="E637" s="21" t="n">
        <v>2143.18</v>
      </c>
      <c r="F637" s="22" t="n">
        <f aca="false">D637*E637</f>
        <v>142092.834</v>
      </c>
      <c r="G637" s="2"/>
    </row>
    <row r="638" customFormat="false" ht="15" hidden="false" customHeight="false" outlineLevel="0" collapsed="false">
      <c r="A638" s="19" t="s">
        <v>87</v>
      </c>
      <c r="B638" s="19" t="s">
        <v>85</v>
      </c>
      <c r="C638" s="19" t="s">
        <v>63</v>
      </c>
      <c r="D638" s="20" t="n">
        <v>66.7</v>
      </c>
      <c r="E638" s="21" t="n">
        <v>2146.78</v>
      </c>
      <c r="F638" s="22" t="n">
        <f aca="false">D638*E638</f>
        <v>143190.226</v>
      </c>
      <c r="G638" s="2"/>
    </row>
    <row r="639" customFormat="false" ht="15" hidden="false" customHeight="false" outlineLevel="0" collapsed="false">
      <c r="A639" s="19" t="s">
        <v>87</v>
      </c>
      <c r="B639" s="19" t="s">
        <v>85</v>
      </c>
      <c r="C639" s="19" t="s">
        <v>64</v>
      </c>
      <c r="D639" s="20" t="n">
        <v>67.6</v>
      </c>
      <c r="E639" s="21" t="n">
        <v>2154</v>
      </c>
      <c r="F639" s="22" t="n">
        <f aca="false">D639*E639</f>
        <v>145610.4</v>
      </c>
      <c r="G639" s="2"/>
    </row>
    <row r="640" customFormat="false" ht="15" hidden="false" customHeight="false" outlineLevel="0" collapsed="false">
      <c r="A640" s="19" t="s">
        <v>87</v>
      </c>
      <c r="B640" s="19" t="s">
        <v>85</v>
      </c>
      <c r="C640" s="19" t="s">
        <v>65</v>
      </c>
      <c r="D640" s="20" t="n">
        <v>68.3</v>
      </c>
      <c r="E640" s="21" t="n">
        <v>2149.22</v>
      </c>
      <c r="F640" s="22" t="n">
        <f aca="false">D640*E640</f>
        <v>146791.726</v>
      </c>
      <c r="G640" s="2"/>
    </row>
    <row r="641" customFormat="false" ht="15" hidden="false" customHeight="false" outlineLevel="0" collapsed="false">
      <c r="A641" s="19" t="s">
        <v>87</v>
      </c>
      <c r="B641" s="19" t="s">
        <v>85</v>
      </c>
      <c r="C641" s="19" t="s">
        <v>66</v>
      </c>
      <c r="D641" s="20" t="n">
        <v>70.7</v>
      </c>
      <c r="E641" s="21" t="n">
        <v>2148.06</v>
      </c>
      <c r="F641" s="22" t="n">
        <f aca="false">D641*E641</f>
        <v>151867.842</v>
      </c>
      <c r="G641" s="2"/>
    </row>
    <row r="642" customFormat="false" ht="15" hidden="false" customHeight="false" outlineLevel="0" collapsed="false">
      <c r="A642" s="19" t="s">
        <v>87</v>
      </c>
      <c r="B642" s="19" t="s">
        <v>85</v>
      </c>
      <c r="C642" s="19" t="s">
        <v>67</v>
      </c>
      <c r="D642" s="20" t="n">
        <v>74.3</v>
      </c>
      <c r="E642" s="21" t="n">
        <v>2160.46</v>
      </c>
      <c r="F642" s="22" t="n">
        <f aca="false">D642*E642</f>
        <v>160522.178</v>
      </c>
      <c r="G642" s="2"/>
    </row>
    <row r="643" customFormat="false" ht="15" hidden="false" customHeight="false" outlineLevel="0" collapsed="false">
      <c r="A643" s="19" t="s">
        <v>87</v>
      </c>
      <c r="B643" s="19" t="s">
        <v>85</v>
      </c>
      <c r="C643" s="19" t="s">
        <v>68</v>
      </c>
      <c r="D643" s="20" t="n">
        <v>73.9</v>
      </c>
      <c r="E643" s="21" t="n">
        <v>2166.73</v>
      </c>
      <c r="F643" s="22" t="n">
        <f aca="false">D643*E643</f>
        <v>160121.347</v>
      </c>
      <c r="G643" s="2"/>
    </row>
    <row r="644" customFormat="false" ht="15" hidden="false" customHeight="false" outlineLevel="0" collapsed="false">
      <c r="A644" s="19" t="s">
        <v>87</v>
      </c>
      <c r="B644" s="19" t="s">
        <v>85</v>
      </c>
      <c r="C644" s="19" t="s">
        <v>69</v>
      </c>
      <c r="D644" s="20" t="n">
        <v>77.8</v>
      </c>
      <c r="E644" s="21" t="n">
        <v>2170.85</v>
      </c>
      <c r="F644" s="22" t="n">
        <f aca="false">D644*E644</f>
        <v>168892.13</v>
      </c>
      <c r="G644" s="2"/>
    </row>
    <row r="645" customFormat="false" ht="15" hidden="false" customHeight="false" outlineLevel="0" collapsed="false">
      <c r="A645" s="19" t="s">
        <v>87</v>
      </c>
      <c r="B645" s="19" t="s">
        <v>85</v>
      </c>
      <c r="C645" s="19" t="s">
        <v>70</v>
      </c>
      <c r="D645" s="20" t="n">
        <v>79.6</v>
      </c>
      <c r="E645" s="21" t="n">
        <v>2166.71</v>
      </c>
      <c r="F645" s="22" t="n">
        <f aca="false">D645*E645</f>
        <v>172470.116</v>
      </c>
      <c r="G645" s="2"/>
    </row>
    <row r="646" customFormat="false" ht="15" hidden="false" customHeight="false" outlineLevel="0" collapsed="false">
      <c r="A646" s="19" t="s">
        <v>87</v>
      </c>
      <c r="B646" s="19" t="s">
        <v>85</v>
      </c>
      <c r="C646" s="19" t="s">
        <v>71</v>
      </c>
      <c r="D646" s="20" t="n">
        <v>81.8</v>
      </c>
      <c r="E646" s="21" t="n">
        <v>2163.92</v>
      </c>
      <c r="F646" s="22" t="n">
        <f aca="false">D646*E646</f>
        <v>177008.656</v>
      </c>
      <c r="G646" s="2"/>
    </row>
    <row r="647" customFormat="false" ht="15" hidden="false" customHeight="false" outlineLevel="0" collapsed="false">
      <c r="A647" s="19" t="s">
        <v>87</v>
      </c>
      <c r="B647" s="19" t="s">
        <v>85</v>
      </c>
      <c r="C647" s="19" t="s">
        <v>72</v>
      </c>
      <c r="D647" s="20" t="n">
        <v>83.1</v>
      </c>
      <c r="E647" s="21" t="n">
        <v>2168.84</v>
      </c>
      <c r="F647" s="22" t="n">
        <f aca="false">D647*E647</f>
        <v>180230.604</v>
      </c>
      <c r="G647" s="2"/>
    </row>
    <row r="648" customFormat="false" ht="15" hidden="false" customHeight="false" outlineLevel="0" collapsed="false">
      <c r="A648" s="19" t="s">
        <v>87</v>
      </c>
      <c r="B648" s="19" t="s">
        <v>85</v>
      </c>
      <c r="C648" s="19" t="s">
        <v>73</v>
      </c>
      <c r="D648" s="20" t="n">
        <v>87</v>
      </c>
      <c r="E648" s="21" t="n">
        <v>2174.93</v>
      </c>
      <c r="F648" s="22" t="n">
        <f aca="false">D648*E648</f>
        <v>189218.91</v>
      </c>
      <c r="G648" s="2"/>
    </row>
    <row r="649" customFormat="false" ht="15" hidden="false" customHeight="false" outlineLevel="0" collapsed="false">
      <c r="A649" s="19" t="s">
        <v>87</v>
      </c>
      <c r="B649" s="19" t="s">
        <v>85</v>
      </c>
      <c r="C649" s="19" t="s">
        <v>74</v>
      </c>
      <c r="D649" s="20" t="n">
        <v>91</v>
      </c>
      <c r="E649" s="21" t="n">
        <v>2172.39</v>
      </c>
      <c r="F649" s="22" t="n">
        <f aca="false">D649*E649</f>
        <v>197687.49</v>
      </c>
      <c r="G649" s="2"/>
    </row>
    <row r="650" customFormat="false" ht="15" hidden="false" customHeight="false" outlineLevel="0" collapsed="false">
      <c r="A650" s="19" t="s">
        <v>87</v>
      </c>
      <c r="B650" s="19" t="s">
        <v>85</v>
      </c>
      <c r="C650" s="19" t="s">
        <v>75</v>
      </c>
      <c r="D650" s="20" t="n">
        <v>96.6</v>
      </c>
      <c r="E650" s="21" t="n">
        <v>2177.65</v>
      </c>
      <c r="F650" s="22" t="n">
        <f aca="false">D650*E650</f>
        <v>210360.99</v>
      </c>
      <c r="G650" s="2"/>
    </row>
    <row r="651" customFormat="false" ht="15" hidden="false" customHeight="false" outlineLevel="0" collapsed="false">
      <c r="A651" s="19" t="s">
        <v>87</v>
      </c>
      <c r="B651" s="19" t="s">
        <v>85</v>
      </c>
      <c r="C651" s="19" t="s">
        <v>76</v>
      </c>
      <c r="D651" s="20" t="n">
        <v>101</v>
      </c>
      <c r="E651" s="21" t="n">
        <v>2183.5</v>
      </c>
      <c r="F651" s="22" t="n">
        <f aca="false">D651*E651</f>
        <v>220533.5</v>
      </c>
      <c r="G651" s="2"/>
    </row>
    <row r="652" customFormat="false" ht="15" hidden="false" customHeight="false" outlineLevel="0" collapsed="false">
      <c r="A652" s="19" t="s">
        <v>87</v>
      </c>
      <c r="B652" s="19" t="s">
        <v>85</v>
      </c>
      <c r="C652" s="19" t="s">
        <v>77</v>
      </c>
      <c r="D652" s="20" t="n">
        <v>103.9</v>
      </c>
      <c r="E652" s="21" t="n">
        <v>2192.81</v>
      </c>
      <c r="F652" s="22" t="n">
        <f aca="false">D652*E652</f>
        <v>227832.959</v>
      </c>
      <c r="G652" s="2"/>
    </row>
    <row r="653" customFormat="false" ht="15" hidden="false" customHeight="false" outlineLevel="0" collapsed="false">
      <c r="A653" s="19" t="s">
        <v>87</v>
      </c>
      <c r="B653" s="19" t="s">
        <v>85</v>
      </c>
      <c r="C653" s="19" t="s">
        <v>78</v>
      </c>
      <c r="D653" s="20" t="n">
        <v>102.1</v>
      </c>
      <c r="E653" s="21" t="n">
        <v>2199.52</v>
      </c>
      <c r="F653" s="22" t="n">
        <f aca="false">D653*E653</f>
        <v>224570.992</v>
      </c>
      <c r="G653" s="2"/>
    </row>
    <row r="654" customFormat="false" ht="15" hidden="false" customHeight="false" outlineLevel="0" collapsed="false">
      <c r="A654" s="19" t="s">
        <v>87</v>
      </c>
      <c r="B654" s="19" t="s">
        <v>85</v>
      </c>
      <c r="C654" s="19" t="s">
        <v>79</v>
      </c>
      <c r="D654" s="20" t="n">
        <v>100.8</v>
      </c>
      <c r="E654" s="21" t="n">
        <v>2211.34</v>
      </c>
      <c r="F654" s="22" t="n">
        <f aca="false">D654*E654</f>
        <v>222903.072</v>
      </c>
      <c r="G654" s="2"/>
    </row>
    <row r="655" customFormat="false" ht="15" hidden="false" customHeight="false" outlineLevel="0" collapsed="false">
      <c r="A655" s="19" t="s">
        <v>87</v>
      </c>
      <c r="B655" s="19" t="s">
        <v>85</v>
      </c>
      <c r="C655" s="19" t="s">
        <v>80</v>
      </c>
      <c r="D655" s="20" t="n">
        <v>98.4</v>
      </c>
      <c r="E655" s="21" t="n">
        <v>2212.38</v>
      </c>
      <c r="F655" s="22" t="n">
        <f aca="false">D655*E655</f>
        <v>217698.192</v>
      </c>
      <c r="G655" s="2"/>
    </row>
    <row r="656" customFormat="false" ht="15" hidden="false" customHeight="false" outlineLevel="0" collapsed="false">
      <c r="A656" s="19" t="s">
        <v>88</v>
      </c>
      <c r="B656" s="19" t="s">
        <v>44</v>
      </c>
      <c r="C656" s="19" t="s">
        <v>45</v>
      </c>
      <c r="D656" s="20" t="n">
        <v>86.4</v>
      </c>
      <c r="E656" s="21" t="n">
        <v>5154.92</v>
      </c>
      <c r="F656" s="22" t="n">
        <f aca="false">D656*E656</f>
        <v>445385.088</v>
      </c>
      <c r="G656" s="2"/>
    </row>
    <row r="657" customFormat="false" ht="15" hidden="false" customHeight="false" outlineLevel="0" collapsed="false">
      <c r="A657" s="19" t="s">
        <v>88</v>
      </c>
      <c r="B657" s="19" t="s">
        <v>44</v>
      </c>
      <c r="C657" s="19" t="s">
        <v>46</v>
      </c>
      <c r="D657" s="20" t="n">
        <v>88.2</v>
      </c>
      <c r="E657" s="21" t="n">
        <v>5156.33</v>
      </c>
      <c r="F657" s="22" t="n">
        <f aca="false">D657*E657</f>
        <v>454788.306</v>
      </c>
      <c r="G657" s="2"/>
    </row>
    <row r="658" customFormat="false" ht="15" hidden="false" customHeight="false" outlineLevel="0" collapsed="false">
      <c r="A658" s="19" t="s">
        <v>88</v>
      </c>
      <c r="B658" s="19" t="s">
        <v>44</v>
      </c>
      <c r="C658" s="19" t="s">
        <v>47</v>
      </c>
      <c r="D658" s="20" t="n">
        <v>87.1</v>
      </c>
      <c r="E658" s="21" t="n">
        <v>5183.93</v>
      </c>
      <c r="F658" s="22" t="n">
        <f aca="false">D658*E658</f>
        <v>451520.303</v>
      </c>
      <c r="G658" s="2"/>
    </row>
    <row r="659" customFormat="false" ht="15" hidden="false" customHeight="false" outlineLevel="0" collapsed="false">
      <c r="A659" s="19" t="s">
        <v>88</v>
      </c>
      <c r="B659" s="19" t="s">
        <v>44</v>
      </c>
      <c r="C659" s="19" t="s">
        <v>48</v>
      </c>
      <c r="D659" s="20" t="n">
        <v>86.2</v>
      </c>
      <c r="E659" s="21" t="n">
        <v>5206.92</v>
      </c>
      <c r="F659" s="22" t="n">
        <f aca="false">D659*E659</f>
        <v>448836.504</v>
      </c>
      <c r="G659" s="2"/>
    </row>
    <row r="660" customFormat="false" ht="15" hidden="false" customHeight="false" outlineLevel="0" collapsed="false">
      <c r="A660" s="19" t="s">
        <v>88</v>
      </c>
      <c r="B660" s="19" t="s">
        <v>44</v>
      </c>
      <c r="C660" s="19" t="s">
        <v>49</v>
      </c>
      <c r="D660" s="20" t="n">
        <v>88.4</v>
      </c>
      <c r="E660" s="21" t="n">
        <v>5223.43</v>
      </c>
      <c r="F660" s="22" t="n">
        <f aca="false">D660*E660</f>
        <v>461751.212</v>
      </c>
      <c r="G660" s="2"/>
    </row>
    <row r="661" customFormat="false" ht="15" hidden="false" customHeight="false" outlineLevel="0" collapsed="false">
      <c r="A661" s="19" t="s">
        <v>88</v>
      </c>
      <c r="B661" s="19" t="s">
        <v>44</v>
      </c>
      <c r="C661" s="19" t="s">
        <v>50</v>
      </c>
      <c r="D661" s="20" t="n">
        <v>91</v>
      </c>
      <c r="E661" s="21" t="n">
        <v>5221.45</v>
      </c>
      <c r="F661" s="22" t="n">
        <f aca="false">D661*E661</f>
        <v>475151.95</v>
      </c>
      <c r="G661" s="2"/>
    </row>
    <row r="662" customFormat="false" ht="15" hidden="false" customHeight="false" outlineLevel="0" collapsed="false">
      <c r="A662" s="19" t="s">
        <v>88</v>
      </c>
      <c r="B662" s="19" t="s">
        <v>44</v>
      </c>
      <c r="C662" s="19" t="s">
        <v>51</v>
      </c>
      <c r="D662" s="20" t="n">
        <v>88.1</v>
      </c>
      <c r="E662" s="21" t="n">
        <v>5231.78</v>
      </c>
      <c r="F662" s="22" t="n">
        <f aca="false">D662*E662</f>
        <v>460919.818</v>
      </c>
      <c r="G662" s="2"/>
    </row>
    <row r="663" customFormat="false" ht="15" hidden="false" customHeight="false" outlineLevel="0" collapsed="false">
      <c r="A663" s="19" t="s">
        <v>88</v>
      </c>
      <c r="B663" s="19" t="s">
        <v>44</v>
      </c>
      <c r="C663" s="19" t="s">
        <v>52</v>
      </c>
      <c r="D663" s="20" t="n">
        <v>85.9</v>
      </c>
      <c r="E663" s="21" t="n">
        <v>5238.93</v>
      </c>
      <c r="F663" s="22" t="n">
        <f aca="false">D663*E663</f>
        <v>450024.087</v>
      </c>
      <c r="G663" s="2"/>
    </row>
    <row r="664" customFormat="false" ht="15" hidden="false" customHeight="false" outlineLevel="0" collapsed="false">
      <c r="A664" s="19" t="s">
        <v>88</v>
      </c>
      <c r="B664" s="19" t="s">
        <v>44</v>
      </c>
      <c r="C664" s="19" t="s">
        <v>53</v>
      </c>
      <c r="D664" s="20" t="n">
        <v>84.6</v>
      </c>
      <c r="E664" s="21" t="n">
        <v>5228.97</v>
      </c>
      <c r="F664" s="22" t="n">
        <f aca="false">D664*E664</f>
        <v>442370.862</v>
      </c>
      <c r="G664" s="2"/>
    </row>
    <row r="665" customFormat="false" ht="15" hidden="false" customHeight="false" outlineLevel="0" collapsed="false">
      <c r="A665" s="19" t="s">
        <v>88</v>
      </c>
      <c r="B665" s="19" t="s">
        <v>44</v>
      </c>
      <c r="C665" s="19" t="s">
        <v>54</v>
      </c>
      <c r="D665" s="20" t="n">
        <v>86.4</v>
      </c>
      <c r="E665" s="21" t="n">
        <v>5233.35</v>
      </c>
      <c r="F665" s="22" t="n">
        <f aca="false">D665*E665</f>
        <v>452161.44</v>
      </c>
      <c r="G665" s="2"/>
    </row>
    <row r="666" customFormat="false" ht="15" hidden="false" customHeight="false" outlineLevel="0" collapsed="false">
      <c r="A666" s="19" t="s">
        <v>88</v>
      </c>
      <c r="B666" s="19" t="s">
        <v>44</v>
      </c>
      <c r="C666" s="19" t="s">
        <v>55</v>
      </c>
      <c r="D666" s="20" t="n">
        <v>85.1</v>
      </c>
      <c r="E666" s="21" t="n">
        <v>5256.92</v>
      </c>
      <c r="F666" s="22" t="n">
        <f aca="false">D666*E666</f>
        <v>447363.892</v>
      </c>
      <c r="G666" s="2"/>
    </row>
    <row r="667" customFormat="false" ht="15" hidden="false" customHeight="false" outlineLevel="0" collapsed="false">
      <c r="A667" s="19" t="s">
        <v>88</v>
      </c>
      <c r="B667" s="19" t="s">
        <v>44</v>
      </c>
      <c r="C667" s="19" t="s">
        <v>56</v>
      </c>
      <c r="D667" s="20" t="n">
        <v>83.8</v>
      </c>
      <c r="E667" s="21" t="n">
        <v>5257.6</v>
      </c>
      <c r="F667" s="22" t="n">
        <f aca="false">D667*E667</f>
        <v>440586.88</v>
      </c>
      <c r="G667" s="2"/>
    </row>
    <row r="668" customFormat="false" ht="15" hidden="false" customHeight="false" outlineLevel="0" collapsed="false">
      <c r="A668" s="19" t="s">
        <v>88</v>
      </c>
      <c r="B668" s="19" t="s">
        <v>44</v>
      </c>
      <c r="C668" s="19" t="s">
        <v>57</v>
      </c>
      <c r="D668" s="20" t="n">
        <v>81.2</v>
      </c>
      <c r="E668" s="21" t="n">
        <v>5281.96</v>
      </c>
      <c r="F668" s="22" t="n">
        <f aca="false">D668*E668</f>
        <v>428895.152</v>
      </c>
      <c r="G668" s="2"/>
    </row>
    <row r="669" customFormat="false" ht="15" hidden="false" customHeight="false" outlineLevel="0" collapsed="false">
      <c r="A669" s="19" t="s">
        <v>88</v>
      </c>
      <c r="B669" s="19" t="s">
        <v>44</v>
      </c>
      <c r="C669" s="19" t="s">
        <v>58</v>
      </c>
      <c r="D669" s="20" t="n">
        <v>80.4</v>
      </c>
      <c r="E669" s="21" t="n">
        <v>5297.64</v>
      </c>
      <c r="F669" s="22" t="n">
        <f aca="false">D669*E669</f>
        <v>425930.256</v>
      </c>
      <c r="G669" s="2"/>
    </row>
    <row r="670" customFormat="false" ht="15" hidden="false" customHeight="false" outlineLevel="0" collapsed="false">
      <c r="A670" s="19" t="s">
        <v>88</v>
      </c>
      <c r="B670" s="19" t="s">
        <v>44</v>
      </c>
      <c r="C670" s="19" t="s">
        <v>59</v>
      </c>
      <c r="D670" s="20" t="n">
        <v>81.2</v>
      </c>
      <c r="E670" s="21" t="n">
        <v>5312.05</v>
      </c>
      <c r="F670" s="22" t="n">
        <f aca="false">D670*E670</f>
        <v>431338.46</v>
      </c>
      <c r="G670" s="2"/>
    </row>
    <row r="671" customFormat="false" ht="15" hidden="false" customHeight="false" outlineLevel="0" collapsed="false">
      <c r="A671" s="19" t="s">
        <v>88</v>
      </c>
      <c r="B671" s="19" t="s">
        <v>44</v>
      </c>
      <c r="C671" s="19" t="s">
        <v>60</v>
      </c>
      <c r="D671" s="20" t="n">
        <v>81.5</v>
      </c>
      <c r="E671" s="21" t="n">
        <v>5323.62</v>
      </c>
      <c r="F671" s="22" t="n">
        <f aca="false">D671*E671</f>
        <v>433875.03</v>
      </c>
      <c r="G671" s="2"/>
    </row>
    <row r="672" customFormat="false" ht="15" hidden="false" customHeight="false" outlineLevel="0" collapsed="false">
      <c r="A672" s="19" t="s">
        <v>88</v>
      </c>
      <c r="B672" s="19" t="s">
        <v>44</v>
      </c>
      <c r="C672" s="19" t="s">
        <v>61</v>
      </c>
      <c r="D672" s="20" t="n">
        <v>84</v>
      </c>
      <c r="E672" s="21" t="n">
        <v>5308.02</v>
      </c>
      <c r="F672" s="22" t="n">
        <f aca="false">D672*E672</f>
        <v>445873.68</v>
      </c>
      <c r="G672" s="2"/>
    </row>
    <row r="673" customFormat="false" ht="15" hidden="false" customHeight="false" outlineLevel="0" collapsed="false">
      <c r="A673" s="19" t="s">
        <v>88</v>
      </c>
      <c r="B673" s="19" t="s">
        <v>44</v>
      </c>
      <c r="C673" s="19" t="s">
        <v>62</v>
      </c>
      <c r="D673" s="20" t="n">
        <v>81.3</v>
      </c>
      <c r="E673" s="21" t="n">
        <v>5297.12</v>
      </c>
      <c r="F673" s="22" t="n">
        <f aca="false">D673*E673</f>
        <v>430655.856</v>
      </c>
      <c r="G673" s="2"/>
    </row>
    <row r="674" customFormat="false" ht="15" hidden="false" customHeight="false" outlineLevel="0" collapsed="false">
      <c r="A674" s="19" t="s">
        <v>88</v>
      </c>
      <c r="B674" s="19" t="s">
        <v>44</v>
      </c>
      <c r="C674" s="19" t="s">
        <v>63</v>
      </c>
      <c r="D674" s="20" t="n">
        <v>83</v>
      </c>
      <c r="E674" s="21" t="n">
        <v>5328.8</v>
      </c>
      <c r="F674" s="22" t="n">
        <f aca="false">D674*E674</f>
        <v>442290.4</v>
      </c>
      <c r="G674" s="2"/>
    </row>
    <row r="675" customFormat="false" ht="15" hidden="false" customHeight="false" outlineLevel="0" collapsed="false">
      <c r="A675" s="19" t="s">
        <v>88</v>
      </c>
      <c r="B675" s="19" t="s">
        <v>44</v>
      </c>
      <c r="C675" s="19" t="s">
        <v>64</v>
      </c>
      <c r="D675" s="20" t="n">
        <v>86</v>
      </c>
      <c r="E675" s="21" t="n">
        <v>5358.43</v>
      </c>
      <c r="F675" s="22" t="n">
        <f aca="false">D675*E675</f>
        <v>460824.98</v>
      </c>
      <c r="G675" s="2"/>
    </row>
    <row r="676" customFormat="false" ht="15" hidden="false" customHeight="false" outlineLevel="0" collapsed="false">
      <c r="A676" s="19" t="s">
        <v>88</v>
      </c>
      <c r="B676" s="19" t="s">
        <v>44</v>
      </c>
      <c r="C676" s="19" t="s">
        <v>65</v>
      </c>
      <c r="D676" s="20" t="n">
        <v>86.1</v>
      </c>
      <c r="E676" s="21" t="n">
        <v>5358.88</v>
      </c>
      <c r="F676" s="22" t="n">
        <f aca="false">D676*E676</f>
        <v>461399.568</v>
      </c>
      <c r="G676" s="2"/>
    </row>
    <row r="677" customFormat="false" ht="15" hidden="false" customHeight="false" outlineLevel="0" collapsed="false">
      <c r="A677" s="19" t="s">
        <v>88</v>
      </c>
      <c r="B677" s="19" t="s">
        <v>44</v>
      </c>
      <c r="C677" s="19" t="s">
        <v>66</v>
      </c>
      <c r="D677" s="20" t="n">
        <v>90.9</v>
      </c>
      <c r="E677" s="21" t="n">
        <v>5353.06</v>
      </c>
      <c r="F677" s="22" t="n">
        <f aca="false">D677*E677</f>
        <v>486593.154</v>
      </c>
      <c r="G677" s="2"/>
    </row>
    <row r="678" customFormat="false" ht="15" hidden="false" customHeight="false" outlineLevel="0" collapsed="false">
      <c r="A678" s="19" t="s">
        <v>88</v>
      </c>
      <c r="B678" s="19" t="s">
        <v>44</v>
      </c>
      <c r="C678" s="19" t="s">
        <v>67</v>
      </c>
      <c r="D678" s="20" t="n">
        <v>94.2</v>
      </c>
      <c r="E678" s="21" t="n">
        <v>5382.24</v>
      </c>
      <c r="F678" s="22" t="n">
        <f aca="false">D678*E678</f>
        <v>507007.008</v>
      </c>
      <c r="G678" s="2"/>
    </row>
    <row r="679" customFormat="false" ht="15" hidden="false" customHeight="false" outlineLevel="0" collapsed="false">
      <c r="A679" s="19" t="s">
        <v>88</v>
      </c>
      <c r="B679" s="19" t="s">
        <v>44</v>
      </c>
      <c r="C679" s="19" t="s">
        <v>68</v>
      </c>
      <c r="D679" s="20" t="n">
        <v>98.4</v>
      </c>
      <c r="E679" s="21" t="n">
        <v>5391.75</v>
      </c>
      <c r="F679" s="22" t="n">
        <f aca="false">D679*E679</f>
        <v>530548.2</v>
      </c>
      <c r="G679" s="2"/>
    </row>
    <row r="680" customFormat="false" ht="15" hidden="false" customHeight="false" outlineLevel="0" collapsed="false">
      <c r="A680" s="19" t="s">
        <v>88</v>
      </c>
      <c r="B680" s="19" t="s">
        <v>44</v>
      </c>
      <c r="C680" s="19" t="s">
        <v>69</v>
      </c>
      <c r="D680" s="20" t="n">
        <v>97.6</v>
      </c>
      <c r="E680" s="21" t="n">
        <v>5386.18</v>
      </c>
      <c r="F680" s="22" t="n">
        <f aca="false">D680*E680</f>
        <v>525691.168</v>
      </c>
      <c r="G680" s="2"/>
    </row>
    <row r="681" customFormat="false" ht="15" hidden="false" customHeight="false" outlineLevel="0" collapsed="false">
      <c r="A681" s="19" t="s">
        <v>88</v>
      </c>
      <c r="B681" s="19" t="s">
        <v>44</v>
      </c>
      <c r="C681" s="19" t="s">
        <v>70</v>
      </c>
      <c r="D681" s="20" t="n">
        <v>102.1</v>
      </c>
      <c r="E681" s="21" t="n">
        <v>5414.12</v>
      </c>
      <c r="F681" s="22" t="n">
        <f aca="false">D681*E681</f>
        <v>552781.652</v>
      </c>
      <c r="G681" s="2"/>
    </row>
    <row r="682" customFormat="false" ht="15" hidden="false" customHeight="false" outlineLevel="0" collapsed="false">
      <c r="A682" s="19" t="s">
        <v>88</v>
      </c>
      <c r="B682" s="19" t="s">
        <v>44</v>
      </c>
      <c r="C682" s="19" t="s">
        <v>71</v>
      </c>
      <c r="D682" s="20" t="n">
        <v>103.2</v>
      </c>
      <c r="E682" s="21" t="n">
        <v>5416.04</v>
      </c>
      <c r="F682" s="22" t="n">
        <f aca="false">D682*E682</f>
        <v>558935.328</v>
      </c>
      <c r="G682" s="2"/>
    </row>
    <row r="683" customFormat="false" ht="15" hidden="false" customHeight="false" outlineLevel="0" collapsed="false">
      <c r="A683" s="19" t="s">
        <v>88</v>
      </c>
      <c r="B683" s="19" t="s">
        <v>44</v>
      </c>
      <c r="C683" s="19" t="s">
        <v>72</v>
      </c>
      <c r="D683" s="20" t="n">
        <v>100.6</v>
      </c>
      <c r="E683" s="21" t="n">
        <v>5413.67</v>
      </c>
      <c r="F683" s="22" t="n">
        <f aca="false">D683*E683</f>
        <v>544615.202</v>
      </c>
      <c r="G683" s="2"/>
    </row>
    <row r="684" customFormat="false" ht="15" hidden="false" customHeight="false" outlineLevel="0" collapsed="false">
      <c r="A684" s="19" t="s">
        <v>88</v>
      </c>
      <c r="B684" s="19" t="s">
        <v>44</v>
      </c>
      <c r="C684" s="19" t="s">
        <v>73</v>
      </c>
      <c r="D684" s="20" t="n">
        <v>101.9</v>
      </c>
      <c r="E684" s="21" t="n">
        <v>5418.64</v>
      </c>
      <c r="F684" s="22" t="n">
        <f aca="false">D684*E684</f>
        <v>552159.416</v>
      </c>
      <c r="G684" s="2"/>
    </row>
    <row r="685" customFormat="false" ht="15" hidden="false" customHeight="false" outlineLevel="0" collapsed="false">
      <c r="A685" s="19" t="s">
        <v>88</v>
      </c>
      <c r="B685" s="19" t="s">
        <v>44</v>
      </c>
      <c r="C685" s="19" t="s">
        <v>74</v>
      </c>
      <c r="D685" s="20" t="n">
        <v>99.7</v>
      </c>
      <c r="E685" s="21" t="n">
        <v>5425.07</v>
      </c>
      <c r="F685" s="22" t="n">
        <f aca="false">D685*E685</f>
        <v>540879.479</v>
      </c>
      <c r="G685" s="2"/>
    </row>
    <row r="686" customFormat="false" ht="15" hidden="false" customHeight="false" outlineLevel="0" collapsed="false">
      <c r="A686" s="19" t="s">
        <v>88</v>
      </c>
      <c r="B686" s="19" t="s">
        <v>44</v>
      </c>
      <c r="C686" s="19" t="s">
        <v>75</v>
      </c>
      <c r="D686" s="20" t="n">
        <v>102.1</v>
      </c>
      <c r="E686" s="21" t="n">
        <v>5452.64</v>
      </c>
      <c r="F686" s="22" t="n">
        <f aca="false">D686*E686</f>
        <v>556714.544</v>
      </c>
      <c r="G686" s="2"/>
    </row>
    <row r="687" customFormat="false" ht="15" hidden="false" customHeight="false" outlineLevel="0" collapsed="false">
      <c r="A687" s="19" t="s">
        <v>88</v>
      </c>
      <c r="B687" s="19" t="s">
        <v>44</v>
      </c>
      <c r="C687" s="19" t="s">
        <v>76</v>
      </c>
      <c r="D687" s="20" t="n">
        <v>105.2</v>
      </c>
      <c r="E687" s="21" t="n">
        <v>5458.47</v>
      </c>
      <c r="F687" s="22" t="n">
        <f aca="false">D687*E687</f>
        <v>574231.044</v>
      </c>
      <c r="G687" s="2"/>
    </row>
    <row r="688" customFormat="false" ht="15" hidden="false" customHeight="false" outlineLevel="0" collapsed="false">
      <c r="A688" s="19" t="s">
        <v>88</v>
      </c>
      <c r="B688" s="19" t="s">
        <v>44</v>
      </c>
      <c r="C688" s="19" t="s">
        <v>77</v>
      </c>
      <c r="D688" s="20" t="n">
        <v>103.1</v>
      </c>
      <c r="E688" s="21" t="n">
        <v>5449</v>
      </c>
      <c r="F688" s="22" t="n">
        <f aca="false">D688*E688</f>
        <v>561791.9</v>
      </c>
      <c r="G688" s="2"/>
    </row>
    <row r="689" customFormat="false" ht="15" hidden="false" customHeight="false" outlineLevel="0" collapsed="false">
      <c r="A689" s="19" t="s">
        <v>88</v>
      </c>
      <c r="B689" s="19" t="s">
        <v>44</v>
      </c>
      <c r="C689" s="19" t="s">
        <v>78</v>
      </c>
      <c r="D689" s="20" t="n">
        <v>108.8</v>
      </c>
      <c r="E689" s="21" t="n">
        <v>5477.09</v>
      </c>
      <c r="F689" s="22" t="n">
        <f aca="false">D689*E689</f>
        <v>595907.392</v>
      </c>
      <c r="G689" s="2"/>
    </row>
    <row r="690" customFormat="false" ht="15" hidden="false" customHeight="false" outlineLevel="0" collapsed="false">
      <c r="A690" s="19" t="s">
        <v>88</v>
      </c>
      <c r="B690" s="19" t="s">
        <v>44</v>
      </c>
      <c r="C690" s="19" t="s">
        <v>79</v>
      </c>
      <c r="D690" s="20" t="n">
        <v>113.7</v>
      </c>
      <c r="E690" s="21" t="n">
        <v>5463.29</v>
      </c>
      <c r="F690" s="22" t="n">
        <f aca="false">D690*E690</f>
        <v>621176.073</v>
      </c>
      <c r="G690" s="2"/>
    </row>
    <row r="691" customFormat="false" ht="15" hidden="false" customHeight="false" outlineLevel="0" collapsed="false">
      <c r="A691" s="19" t="s">
        <v>88</v>
      </c>
      <c r="B691" s="19" t="s">
        <v>44</v>
      </c>
      <c r="C691" s="19" t="s">
        <v>80</v>
      </c>
      <c r="D691" s="20" t="n">
        <v>116.5</v>
      </c>
      <c r="E691" s="21" t="n">
        <v>5479.19</v>
      </c>
      <c r="F691" s="22" t="n">
        <f aca="false">D691*E691</f>
        <v>638325.635</v>
      </c>
      <c r="G691" s="2"/>
    </row>
    <row r="692" customFormat="false" ht="15" hidden="false" customHeight="false" outlineLevel="0" collapsed="false">
      <c r="A692" s="19" t="s">
        <v>88</v>
      </c>
      <c r="B692" s="19" t="s">
        <v>81</v>
      </c>
      <c r="C692" s="19" t="s">
        <v>45</v>
      </c>
      <c r="D692" s="20" t="n">
        <v>125.5</v>
      </c>
      <c r="E692" s="21" t="n">
        <v>4101.05</v>
      </c>
      <c r="F692" s="22" t="n">
        <f aca="false">D692*E692</f>
        <v>514681.775</v>
      </c>
      <c r="G692" s="2"/>
    </row>
    <row r="693" customFormat="false" ht="15" hidden="false" customHeight="false" outlineLevel="0" collapsed="false">
      <c r="A693" s="19" t="s">
        <v>88</v>
      </c>
      <c r="B693" s="19" t="s">
        <v>81</v>
      </c>
      <c r="C693" s="19" t="s">
        <v>46</v>
      </c>
      <c r="D693" s="20" t="n">
        <v>125.7</v>
      </c>
      <c r="E693" s="21" t="n">
        <v>4115.08</v>
      </c>
      <c r="F693" s="22" t="n">
        <f aca="false">D693*E693</f>
        <v>517265.556</v>
      </c>
      <c r="G693" s="2"/>
    </row>
    <row r="694" customFormat="false" ht="15" hidden="false" customHeight="false" outlineLevel="0" collapsed="false">
      <c r="A694" s="19" t="s">
        <v>88</v>
      </c>
      <c r="B694" s="19" t="s">
        <v>81</v>
      </c>
      <c r="C694" s="19" t="s">
        <v>47</v>
      </c>
      <c r="D694" s="20" t="n">
        <v>130</v>
      </c>
      <c r="E694" s="21" t="n">
        <v>4109.35</v>
      </c>
      <c r="F694" s="22" t="n">
        <f aca="false">D694*E694</f>
        <v>534215.5</v>
      </c>
      <c r="G694" s="2"/>
    </row>
    <row r="695" customFormat="false" ht="15" hidden="false" customHeight="false" outlineLevel="0" collapsed="false">
      <c r="A695" s="19" t="s">
        <v>88</v>
      </c>
      <c r="B695" s="19" t="s">
        <v>81</v>
      </c>
      <c r="C695" s="19" t="s">
        <v>48</v>
      </c>
      <c r="D695" s="20" t="n">
        <v>129.3</v>
      </c>
      <c r="E695" s="21" t="n">
        <v>4101.21</v>
      </c>
      <c r="F695" s="22" t="n">
        <f aca="false">D695*E695</f>
        <v>530286.453</v>
      </c>
      <c r="G695" s="2"/>
    </row>
    <row r="696" customFormat="false" ht="15" hidden="false" customHeight="false" outlineLevel="0" collapsed="false">
      <c r="A696" s="19" t="s">
        <v>88</v>
      </c>
      <c r="B696" s="19" t="s">
        <v>81</v>
      </c>
      <c r="C696" s="19" t="s">
        <v>49</v>
      </c>
      <c r="D696" s="20" t="n">
        <v>134</v>
      </c>
      <c r="E696" s="21" t="n">
        <v>4089.37</v>
      </c>
      <c r="F696" s="22" t="n">
        <f aca="false">D696*E696</f>
        <v>547975.58</v>
      </c>
      <c r="G696" s="2"/>
    </row>
    <row r="697" customFormat="false" ht="15" hidden="false" customHeight="false" outlineLevel="0" collapsed="false">
      <c r="A697" s="19" t="s">
        <v>88</v>
      </c>
      <c r="B697" s="19" t="s">
        <v>81</v>
      </c>
      <c r="C697" s="19" t="s">
        <v>50</v>
      </c>
      <c r="D697" s="20" t="n">
        <v>135.3</v>
      </c>
      <c r="E697" s="21" t="n">
        <v>4099.2</v>
      </c>
      <c r="F697" s="22" t="n">
        <f aca="false">D697*E697</f>
        <v>554621.76</v>
      </c>
      <c r="G697" s="2"/>
    </row>
    <row r="698" customFormat="false" ht="15" hidden="false" customHeight="false" outlineLevel="0" collapsed="false">
      <c r="A698" s="19" t="s">
        <v>88</v>
      </c>
      <c r="B698" s="19" t="s">
        <v>81</v>
      </c>
      <c r="C698" s="19" t="s">
        <v>51</v>
      </c>
      <c r="D698" s="20" t="n">
        <v>140.8</v>
      </c>
      <c r="E698" s="21" t="n">
        <v>4093.47</v>
      </c>
      <c r="F698" s="22" t="n">
        <f aca="false">D698*E698</f>
        <v>576360.576</v>
      </c>
      <c r="G698" s="2"/>
    </row>
    <row r="699" customFormat="false" ht="15" hidden="false" customHeight="false" outlineLevel="0" collapsed="false">
      <c r="A699" s="19" t="s">
        <v>88</v>
      </c>
      <c r="B699" s="19" t="s">
        <v>81</v>
      </c>
      <c r="C699" s="19" t="s">
        <v>52</v>
      </c>
      <c r="D699" s="20" t="n">
        <v>146.4</v>
      </c>
      <c r="E699" s="21" t="n">
        <v>4101.32</v>
      </c>
      <c r="F699" s="22" t="n">
        <f aca="false">D699*E699</f>
        <v>600433.248</v>
      </c>
      <c r="G699" s="2"/>
    </row>
    <row r="700" customFormat="false" ht="15" hidden="false" customHeight="false" outlineLevel="0" collapsed="false">
      <c r="A700" s="19" t="s">
        <v>88</v>
      </c>
      <c r="B700" s="19" t="s">
        <v>81</v>
      </c>
      <c r="C700" s="19" t="s">
        <v>53</v>
      </c>
      <c r="D700" s="20" t="n">
        <v>144.7</v>
      </c>
      <c r="E700" s="21" t="n">
        <v>4116.18</v>
      </c>
      <c r="F700" s="22" t="n">
        <f aca="false">D700*E700</f>
        <v>595611.246</v>
      </c>
      <c r="G700" s="2"/>
    </row>
    <row r="701" customFormat="false" ht="15" hidden="false" customHeight="false" outlineLevel="0" collapsed="false">
      <c r="A701" s="19" t="s">
        <v>88</v>
      </c>
      <c r="B701" s="19" t="s">
        <v>81</v>
      </c>
      <c r="C701" s="19" t="s">
        <v>54</v>
      </c>
      <c r="D701" s="20" t="n">
        <v>145.8</v>
      </c>
      <c r="E701" s="21" t="n">
        <v>4130.19</v>
      </c>
      <c r="F701" s="22" t="n">
        <f aca="false">D701*E701</f>
        <v>602181.702</v>
      </c>
      <c r="G701" s="2"/>
    </row>
    <row r="702" customFormat="false" ht="15" hidden="false" customHeight="false" outlineLevel="0" collapsed="false">
      <c r="A702" s="19" t="s">
        <v>88</v>
      </c>
      <c r="B702" s="19" t="s">
        <v>81</v>
      </c>
      <c r="C702" s="19" t="s">
        <v>55</v>
      </c>
      <c r="D702" s="20" t="n">
        <v>147.4</v>
      </c>
      <c r="E702" s="21" t="n">
        <v>4131.21</v>
      </c>
      <c r="F702" s="22" t="n">
        <f aca="false">D702*E702</f>
        <v>608940.354</v>
      </c>
      <c r="G702" s="2"/>
    </row>
    <row r="703" customFormat="false" ht="15" hidden="false" customHeight="false" outlineLevel="0" collapsed="false">
      <c r="A703" s="19" t="s">
        <v>88</v>
      </c>
      <c r="B703" s="19" t="s">
        <v>81</v>
      </c>
      <c r="C703" s="19" t="s">
        <v>56</v>
      </c>
      <c r="D703" s="20" t="n">
        <v>152.6</v>
      </c>
      <c r="E703" s="21" t="n">
        <v>4120.42</v>
      </c>
      <c r="F703" s="22" t="n">
        <f aca="false">D703*E703</f>
        <v>628776.092</v>
      </c>
      <c r="G703" s="2"/>
    </row>
    <row r="704" customFormat="false" ht="15" hidden="false" customHeight="false" outlineLevel="0" collapsed="false">
      <c r="A704" s="19" t="s">
        <v>88</v>
      </c>
      <c r="B704" s="19" t="s">
        <v>81</v>
      </c>
      <c r="C704" s="19" t="s">
        <v>57</v>
      </c>
      <c r="D704" s="20" t="n">
        <v>151.2</v>
      </c>
      <c r="E704" s="21" t="n">
        <v>4116.22</v>
      </c>
      <c r="F704" s="22" t="n">
        <f aca="false">D704*E704</f>
        <v>622372.464</v>
      </c>
      <c r="G704" s="2"/>
    </row>
    <row r="705" customFormat="false" ht="15" hidden="false" customHeight="false" outlineLevel="0" collapsed="false">
      <c r="A705" s="19" t="s">
        <v>88</v>
      </c>
      <c r="B705" s="19" t="s">
        <v>81</v>
      </c>
      <c r="C705" s="19" t="s">
        <v>58</v>
      </c>
      <c r="D705" s="20" t="n">
        <v>148.9</v>
      </c>
      <c r="E705" s="21" t="n">
        <v>4121.19</v>
      </c>
      <c r="F705" s="22" t="n">
        <f aca="false">D705*E705</f>
        <v>613645.191</v>
      </c>
      <c r="G705" s="2"/>
    </row>
    <row r="706" customFormat="false" ht="15" hidden="false" customHeight="false" outlineLevel="0" collapsed="false">
      <c r="A706" s="19" t="s">
        <v>88</v>
      </c>
      <c r="B706" s="19" t="s">
        <v>81</v>
      </c>
      <c r="C706" s="19" t="s">
        <v>59</v>
      </c>
      <c r="D706" s="20" t="n">
        <v>150</v>
      </c>
      <c r="E706" s="21" t="n">
        <v>4119.58</v>
      </c>
      <c r="F706" s="22" t="n">
        <f aca="false">D706*E706</f>
        <v>617937</v>
      </c>
      <c r="G706" s="2"/>
    </row>
    <row r="707" customFormat="false" ht="15" hidden="false" customHeight="false" outlineLevel="0" collapsed="false">
      <c r="A707" s="19" t="s">
        <v>88</v>
      </c>
      <c r="B707" s="19" t="s">
        <v>81</v>
      </c>
      <c r="C707" s="19" t="s">
        <v>60</v>
      </c>
      <c r="D707" s="20" t="n">
        <v>153.6</v>
      </c>
      <c r="E707" s="21" t="n">
        <v>4140.79</v>
      </c>
      <c r="F707" s="22" t="n">
        <f aca="false">D707*E707</f>
        <v>636025.344</v>
      </c>
      <c r="G707" s="2"/>
    </row>
    <row r="708" customFormat="false" ht="15" hidden="false" customHeight="false" outlineLevel="0" collapsed="false">
      <c r="A708" s="19" t="s">
        <v>88</v>
      </c>
      <c r="B708" s="19" t="s">
        <v>81</v>
      </c>
      <c r="C708" s="19" t="s">
        <v>61</v>
      </c>
      <c r="D708" s="20" t="n">
        <v>152.9</v>
      </c>
      <c r="E708" s="21" t="n">
        <v>4161.56</v>
      </c>
      <c r="F708" s="22" t="n">
        <f aca="false">D708*E708</f>
        <v>636302.524</v>
      </c>
      <c r="G708" s="2"/>
    </row>
    <row r="709" customFormat="false" ht="15" hidden="false" customHeight="false" outlineLevel="0" collapsed="false">
      <c r="A709" s="19" t="s">
        <v>88</v>
      </c>
      <c r="B709" s="19" t="s">
        <v>81</v>
      </c>
      <c r="C709" s="19" t="s">
        <v>62</v>
      </c>
      <c r="D709" s="20" t="n">
        <v>156.1</v>
      </c>
      <c r="E709" s="21" t="n">
        <v>4150.07</v>
      </c>
      <c r="F709" s="22" t="n">
        <f aca="false">D709*E709</f>
        <v>647825.927</v>
      </c>
      <c r="G709" s="2"/>
    </row>
    <row r="710" customFormat="false" ht="15" hidden="false" customHeight="false" outlineLevel="0" collapsed="false">
      <c r="A710" s="19" t="s">
        <v>88</v>
      </c>
      <c r="B710" s="19" t="s">
        <v>81</v>
      </c>
      <c r="C710" s="19" t="s">
        <v>63</v>
      </c>
      <c r="D710" s="20" t="n">
        <v>163</v>
      </c>
      <c r="E710" s="21" t="n">
        <v>4140.73</v>
      </c>
      <c r="F710" s="22" t="n">
        <f aca="false">D710*E710</f>
        <v>674938.99</v>
      </c>
      <c r="G710" s="2"/>
    </row>
    <row r="711" customFormat="false" ht="15" hidden="false" customHeight="false" outlineLevel="0" collapsed="false">
      <c r="A711" s="19" t="s">
        <v>88</v>
      </c>
      <c r="B711" s="19" t="s">
        <v>81</v>
      </c>
      <c r="C711" s="19" t="s">
        <v>64</v>
      </c>
      <c r="D711" s="20" t="n">
        <v>165.7</v>
      </c>
      <c r="E711" s="21" t="n">
        <v>4132.44</v>
      </c>
      <c r="F711" s="22" t="n">
        <f aca="false">D711*E711</f>
        <v>684745.308</v>
      </c>
      <c r="G711" s="2"/>
    </row>
    <row r="712" customFormat="false" ht="15" hidden="false" customHeight="false" outlineLevel="0" collapsed="false">
      <c r="A712" s="19" t="s">
        <v>88</v>
      </c>
      <c r="B712" s="19" t="s">
        <v>81</v>
      </c>
      <c r="C712" s="19" t="s">
        <v>65</v>
      </c>
      <c r="D712" s="20" t="n">
        <v>173.8</v>
      </c>
      <c r="E712" s="21" t="n">
        <v>4156.76</v>
      </c>
      <c r="F712" s="22" t="n">
        <f aca="false">D712*E712</f>
        <v>722444.888</v>
      </c>
      <c r="G712" s="2"/>
    </row>
    <row r="713" customFormat="false" ht="15" hidden="false" customHeight="false" outlineLevel="0" collapsed="false">
      <c r="A713" s="19" t="s">
        <v>88</v>
      </c>
      <c r="B713" s="19" t="s">
        <v>81</v>
      </c>
      <c r="C713" s="19" t="s">
        <v>66</v>
      </c>
      <c r="D713" s="20" t="n">
        <v>177</v>
      </c>
      <c r="E713" s="21" t="n">
        <v>4175.32</v>
      </c>
      <c r="F713" s="22" t="n">
        <f aca="false">D713*E713</f>
        <v>739031.64</v>
      </c>
      <c r="G713" s="2"/>
    </row>
    <row r="714" customFormat="false" ht="15" hidden="false" customHeight="false" outlineLevel="0" collapsed="false">
      <c r="A714" s="19" t="s">
        <v>88</v>
      </c>
      <c r="B714" s="19" t="s">
        <v>81</v>
      </c>
      <c r="C714" s="19" t="s">
        <v>67</v>
      </c>
      <c r="D714" s="20" t="n">
        <v>181.4</v>
      </c>
      <c r="E714" s="21" t="n">
        <v>4190.48</v>
      </c>
      <c r="F714" s="22" t="n">
        <f aca="false">D714*E714</f>
        <v>760153.072</v>
      </c>
      <c r="G714" s="2"/>
    </row>
    <row r="715" customFormat="false" ht="15" hidden="false" customHeight="false" outlineLevel="0" collapsed="false">
      <c r="A715" s="19" t="s">
        <v>88</v>
      </c>
      <c r="B715" s="19" t="s">
        <v>81</v>
      </c>
      <c r="C715" s="19" t="s">
        <v>68</v>
      </c>
      <c r="D715" s="20" t="n">
        <v>192.8</v>
      </c>
      <c r="E715" s="21" t="n">
        <v>4178.18</v>
      </c>
      <c r="F715" s="22" t="n">
        <f aca="false">D715*E715</f>
        <v>805553.104</v>
      </c>
      <c r="G715" s="2"/>
    </row>
    <row r="716" customFormat="false" ht="15" hidden="false" customHeight="false" outlineLevel="0" collapsed="false">
      <c r="A716" s="19" t="s">
        <v>88</v>
      </c>
      <c r="B716" s="19" t="s">
        <v>81</v>
      </c>
      <c r="C716" s="19" t="s">
        <v>69</v>
      </c>
      <c r="D716" s="20" t="n">
        <v>193.8</v>
      </c>
      <c r="E716" s="21" t="n">
        <v>4178.17</v>
      </c>
      <c r="F716" s="22" t="n">
        <f aca="false">D716*E716</f>
        <v>809729.346</v>
      </c>
      <c r="G716" s="2"/>
    </row>
    <row r="717" customFormat="false" ht="15" hidden="false" customHeight="false" outlineLevel="0" collapsed="false">
      <c r="A717" s="19" t="s">
        <v>88</v>
      </c>
      <c r="B717" s="19" t="s">
        <v>81</v>
      </c>
      <c r="C717" s="19" t="s">
        <v>70</v>
      </c>
      <c r="D717" s="20" t="n">
        <v>198.1</v>
      </c>
      <c r="E717" s="21" t="n">
        <v>4198.52</v>
      </c>
      <c r="F717" s="22" t="n">
        <f aca="false">D717*E717</f>
        <v>831726.812</v>
      </c>
      <c r="G717" s="2"/>
    </row>
    <row r="718" customFormat="false" ht="15" hidden="false" customHeight="false" outlineLevel="0" collapsed="false">
      <c r="A718" s="19" t="s">
        <v>88</v>
      </c>
      <c r="B718" s="19" t="s">
        <v>81</v>
      </c>
      <c r="C718" s="19" t="s">
        <v>71</v>
      </c>
      <c r="D718" s="20" t="n">
        <v>206.9</v>
      </c>
      <c r="E718" s="21" t="n">
        <v>4202.26</v>
      </c>
      <c r="F718" s="22" t="n">
        <f aca="false">D718*E718</f>
        <v>869447.594</v>
      </c>
      <c r="G718" s="2"/>
    </row>
    <row r="719" customFormat="false" ht="15" hidden="false" customHeight="false" outlineLevel="0" collapsed="false">
      <c r="A719" s="19" t="s">
        <v>88</v>
      </c>
      <c r="B719" s="19" t="s">
        <v>81</v>
      </c>
      <c r="C719" s="19" t="s">
        <v>72</v>
      </c>
      <c r="D719" s="20" t="n">
        <v>206.3</v>
      </c>
      <c r="E719" s="21" t="n">
        <v>4190.25</v>
      </c>
      <c r="F719" s="22" t="n">
        <f aca="false">D719*E719</f>
        <v>864448.575</v>
      </c>
      <c r="G719" s="2"/>
    </row>
    <row r="720" customFormat="false" ht="15" hidden="false" customHeight="false" outlineLevel="0" collapsed="false">
      <c r="A720" s="19" t="s">
        <v>88</v>
      </c>
      <c r="B720" s="19" t="s">
        <v>81</v>
      </c>
      <c r="C720" s="19" t="s">
        <v>73</v>
      </c>
      <c r="D720" s="20" t="n">
        <v>204.5</v>
      </c>
      <c r="E720" s="21" t="n">
        <v>4200.87</v>
      </c>
      <c r="F720" s="22" t="n">
        <f aca="false">D720*E720</f>
        <v>859077.915</v>
      </c>
      <c r="G720" s="2"/>
    </row>
    <row r="721" customFormat="false" ht="15" hidden="false" customHeight="false" outlineLevel="0" collapsed="false">
      <c r="A721" s="19" t="s">
        <v>88</v>
      </c>
      <c r="B721" s="19" t="s">
        <v>81</v>
      </c>
      <c r="C721" s="19" t="s">
        <v>74</v>
      </c>
      <c r="D721" s="20" t="n">
        <v>205.1</v>
      </c>
      <c r="E721" s="21" t="n">
        <v>4206.54</v>
      </c>
      <c r="F721" s="22" t="n">
        <f aca="false">D721*E721</f>
        <v>862761.354</v>
      </c>
      <c r="G721" s="2"/>
    </row>
    <row r="722" customFormat="false" ht="15" hidden="false" customHeight="false" outlineLevel="0" collapsed="false">
      <c r="A722" s="19" t="s">
        <v>88</v>
      </c>
      <c r="B722" s="19" t="s">
        <v>81</v>
      </c>
      <c r="C722" s="19" t="s">
        <v>75</v>
      </c>
      <c r="D722" s="20" t="n">
        <v>215.3</v>
      </c>
      <c r="E722" s="21" t="n">
        <v>4229.61</v>
      </c>
      <c r="F722" s="22" t="n">
        <f aca="false">D722*E722</f>
        <v>910635.033</v>
      </c>
      <c r="G722" s="2"/>
    </row>
    <row r="723" customFormat="false" ht="15" hidden="false" customHeight="false" outlineLevel="0" collapsed="false">
      <c r="A723" s="19" t="s">
        <v>88</v>
      </c>
      <c r="B723" s="19" t="s">
        <v>81</v>
      </c>
      <c r="C723" s="19" t="s">
        <v>76</v>
      </c>
      <c r="D723" s="20" t="n">
        <v>214.1</v>
      </c>
      <c r="E723" s="21" t="n">
        <v>4249.55</v>
      </c>
      <c r="F723" s="22" t="n">
        <f aca="false">D723*E723</f>
        <v>909828.655</v>
      </c>
      <c r="G723" s="2"/>
    </row>
    <row r="724" customFormat="false" ht="15" hidden="false" customHeight="false" outlineLevel="0" collapsed="false">
      <c r="A724" s="19" t="s">
        <v>88</v>
      </c>
      <c r="B724" s="19" t="s">
        <v>81</v>
      </c>
      <c r="C724" s="19" t="s">
        <v>77</v>
      </c>
      <c r="D724" s="20" t="n">
        <v>214.5</v>
      </c>
      <c r="E724" s="21" t="n">
        <v>4262.57</v>
      </c>
      <c r="F724" s="22" t="n">
        <f aca="false">D724*E724</f>
        <v>914321.265</v>
      </c>
      <c r="G724" s="2"/>
    </row>
    <row r="725" customFormat="false" ht="15" hidden="false" customHeight="false" outlineLevel="0" collapsed="false">
      <c r="A725" s="19" t="s">
        <v>88</v>
      </c>
      <c r="B725" s="19" t="s">
        <v>81</v>
      </c>
      <c r="C725" s="19" t="s">
        <v>78</v>
      </c>
      <c r="D725" s="20" t="n">
        <v>216.3</v>
      </c>
      <c r="E725" s="21" t="n">
        <v>4257.35</v>
      </c>
      <c r="F725" s="22" t="n">
        <f aca="false">D725*E725</f>
        <v>920864.805</v>
      </c>
      <c r="G725" s="2"/>
    </row>
    <row r="726" customFormat="false" ht="15" hidden="false" customHeight="false" outlineLevel="0" collapsed="false">
      <c r="A726" s="19" t="s">
        <v>88</v>
      </c>
      <c r="B726" s="19" t="s">
        <v>81</v>
      </c>
      <c r="C726" s="19" t="s">
        <v>79</v>
      </c>
      <c r="D726" s="20" t="n">
        <v>223.1</v>
      </c>
      <c r="E726" s="21" t="n">
        <v>4255.35</v>
      </c>
      <c r="F726" s="22" t="n">
        <f aca="false">D726*E726</f>
        <v>949368.585</v>
      </c>
      <c r="G726" s="2"/>
    </row>
    <row r="727" customFormat="false" ht="15" hidden="false" customHeight="false" outlineLevel="0" collapsed="false">
      <c r="A727" s="19" t="s">
        <v>88</v>
      </c>
      <c r="B727" s="19" t="s">
        <v>81</v>
      </c>
      <c r="C727" s="19" t="s">
        <v>80</v>
      </c>
      <c r="D727" s="20" t="n">
        <v>219.2</v>
      </c>
      <c r="E727" s="21" t="n">
        <v>4268.04</v>
      </c>
      <c r="F727" s="22" t="n">
        <f aca="false">D727*E727</f>
        <v>935554.368</v>
      </c>
      <c r="G727" s="2"/>
    </row>
    <row r="728" customFormat="false" ht="15" hidden="false" customHeight="false" outlineLevel="0" collapsed="false">
      <c r="A728" s="19" t="s">
        <v>88</v>
      </c>
      <c r="B728" s="19" t="s">
        <v>82</v>
      </c>
      <c r="C728" s="19" t="s">
        <v>45</v>
      </c>
      <c r="D728" s="20" t="n">
        <v>52.2</v>
      </c>
      <c r="E728" s="21" t="n">
        <v>3223.23</v>
      </c>
      <c r="F728" s="22" t="n">
        <f aca="false">D728*E728</f>
        <v>168252.606</v>
      </c>
      <c r="G728" s="2"/>
    </row>
    <row r="729" customFormat="false" ht="15" hidden="false" customHeight="false" outlineLevel="0" collapsed="false">
      <c r="A729" s="19" t="s">
        <v>88</v>
      </c>
      <c r="B729" s="19" t="s">
        <v>82</v>
      </c>
      <c r="C729" s="19" t="s">
        <v>46</v>
      </c>
      <c r="D729" s="20" t="n">
        <v>51.4</v>
      </c>
      <c r="E729" s="21" t="n">
        <v>3222.01</v>
      </c>
      <c r="F729" s="22" t="n">
        <f aca="false">D729*E729</f>
        <v>165611.314</v>
      </c>
      <c r="G729" s="2"/>
    </row>
    <row r="730" customFormat="false" ht="15" hidden="false" customHeight="false" outlineLevel="0" collapsed="false">
      <c r="A730" s="19" t="s">
        <v>88</v>
      </c>
      <c r="B730" s="19" t="s">
        <v>82</v>
      </c>
      <c r="C730" s="19" t="s">
        <v>47</v>
      </c>
      <c r="D730" s="20" t="n">
        <v>54.1</v>
      </c>
      <c r="E730" s="21" t="n">
        <v>3225.29</v>
      </c>
      <c r="F730" s="22" t="n">
        <f aca="false">D730*E730</f>
        <v>174488.189</v>
      </c>
      <c r="G730" s="2"/>
    </row>
    <row r="731" customFormat="false" ht="15" hidden="false" customHeight="false" outlineLevel="0" collapsed="false">
      <c r="A731" s="19" t="s">
        <v>88</v>
      </c>
      <c r="B731" s="19" t="s">
        <v>82</v>
      </c>
      <c r="C731" s="19" t="s">
        <v>48</v>
      </c>
      <c r="D731" s="20" t="n">
        <v>53.6</v>
      </c>
      <c r="E731" s="21" t="n">
        <v>3230.03</v>
      </c>
      <c r="F731" s="22" t="n">
        <f aca="false">D731*E731</f>
        <v>173129.608</v>
      </c>
      <c r="G731" s="2"/>
    </row>
    <row r="732" customFormat="false" ht="15" hidden="false" customHeight="false" outlineLevel="0" collapsed="false">
      <c r="A732" s="19" t="s">
        <v>88</v>
      </c>
      <c r="B732" s="19" t="s">
        <v>82</v>
      </c>
      <c r="C732" s="19" t="s">
        <v>49</v>
      </c>
      <c r="D732" s="20" t="n">
        <v>53.2</v>
      </c>
      <c r="E732" s="21" t="n">
        <v>3233.48</v>
      </c>
      <c r="F732" s="22" t="n">
        <f aca="false">D732*E732</f>
        <v>172021.136</v>
      </c>
      <c r="G732" s="2"/>
    </row>
    <row r="733" customFormat="false" ht="15" hidden="false" customHeight="false" outlineLevel="0" collapsed="false">
      <c r="A733" s="19" t="s">
        <v>88</v>
      </c>
      <c r="B733" s="19" t="s">
        <v>82</v>
      </c>
      <c r="C733" s="19" t="s">
        <v>50</v>
      </c>
      <c r="D733" s="20" t="n">
        <v>54</v>
      </c>
      <c r="E733" s="21" t="n">
        <v>3245.14</v>
      </c>
      <c r="F733" s="22" t="n">
        <f aca="false">D733*E733</f>
        <v>175237.56</v>
      </c>
      <c r="G733" s="2"/>
    </row>
    <row r="734" customFormat="false" ht="15" hidden="false" customHeight="false" outlineLevel="0" collapsed="false">
      <c r="A734" s="19" t="s">
        <v>88</v>
      </c>
      <c r="B734" s="19" t="s">
        <v>82</v>
      </c>
      <c r="C734" s="19" t="s">
        <v>51</v>
      </c>
      <c r="D734" s="20" t="n">
        <v>55.1</v>
      </c>
      <c r="E734" s="21" t="n">
        <v>3256.61</v>
      </c>
      <c r="F734" s="22" t="n">
        <f aca="false">D734*E734</f>
        <v>179439.211</v>
      </c>
      <c r="G734" s="2"/>
    </row>
    <row r="735" customFormat="false" ht="15" hidden="false" customHeight="false" outlineLevel="0" collapsed="false">
      <c r="A735" s="19" t="s">
        <v>88</v>
      </c>
      <c r="B735" s="19" t="s">
        <v>82</v>
      </c>
      <c r="C735" s="19" t="s">
        <v>52</v>
      </c>
      <c r="D735" s="20" t="n">
        <v>58.4</v>
      </c>
      <c r="E735" s="21" t="n">
        <v>3265.9</v>
      </c>
      <c r="F735" s="22" t="n">
        <f aca="false">D735*E735</f>
        <v>190728.56</v>
      </c>
      <c r="G735" s="2"/>
    </row>
    <row r="736" customFormat="false" ht="15" hidden="false" customHeight="false" outlineLevel="0" collapsed="false">
      <c r="A736" s="19" t="s">
        <v>88</v>
      </c>
      <c r="B736" s="19" t="s">
        <v>82</v>
      </c>
      <c r="C736" s="19" t="s">
        <v>53</v>
      </c>
      <c r="D736" s="20" t="n">
        <v>58.7</v>
      </c>
      <c r="E736" s="21" t="n">
        <v>3275.5</v>
      </c>
      <c r="F736" s="22" t="n">
        <f aca="false">D736*E736</f>
        <v>192271.85</v>
      </c>
      <c r="G736" s="2"/>
    </row>
    <row r="737" customFormat="false" ht="15" hidden="false" customHeight="false" outlineLevel="0" collapsed="false">
      <c r="A737" s="19" t="s">
        <v>88</v>
      </c>
      <c r="B737" s="19" t="s">
        <v>82</v>
      </c>
      <c r="C737" s="19" t="s">
        <v>54</v>
      </c>
      <c r="D737" s="20" t="n">
        <v>61.3</v>
      </c>
      <c r="E737" s="21" t="n">
        <v>3275.69</v>
      </c>
      <c r="F737" s="22" t="n">
        <f aca="false">D737*E737</f>
        <v>200799.797</v>
      </c>
      <c r="G737" s="2"/>
    </row>
    <row r="738" customFormat="false" ht="15" hidden="false" customHeight="false" outlineLevel="0" collapsed="false">
      <c r="A738" s="19" t="s">
        <v>88</v>
      </c>
      <c r="B738" s="19" t="s">
        <v>82</v>
      </c>
      <c r="C738" s="19" t="s">
        <v>55</v>
      </c>
      <c r="D738" s="20" t="n">
        <v>62.3</v>
      </c>
      <c r="E738" s="21" t="n">
        <v>3275.35</v>
      </c>
      <c r="F738" s="22" t="n">
        <f aca="false">D738*E738</f>
        <v>204054.305</v>
      </c>
      <c r="G738" s="2"/>
    </row>
    <row r="739" customFormat="false" ht="15" hidden="false" customHeight="false" outlineLevel="0" collapsed="false">
      <c r="A739" s="19" t="s">
        <v>88</v>
      </c>
      <c r="B739" s="19" t="s">
        <v>82</v>
      </c>
      <c r="C739" s="19" t="s">
        <v>56</v>
      </c>
      <c r="D739" s="20" t="n">
        <v>64.4</v>
      </c>
      <c r="E739" s="21" t="n">
        <v>3265.75</v>
      </c>
      <c r="F739" s="22" t="n">
        <f aca="false">D739*E739</f>
        <v>210314.3</v>
      </c>
      <c r="G739" s="2"/>
    </row>
    <row r="740" customFormat="false" ht="15" hidden="false" customHeight="false" outlineLevel="0" collapsed="false">
      <c r="A740" s="19" t="s">
        <v>88</v>
      </c>
      <c r="B740" s="19" t="s">
        <v>82</v>
      </c>
      <c r="C740" s="19" t="s">
        <v>57</v>
      </c>
      <c r="D740" s="20" t="n">
        <v>65.4</v>
      </c>
      <c r="E740" s="21" t="n">
        <v>3260.76</v>
      </c>
      <c r="F740" s="22" t="n">
        <f aca="false">D740*E740</f>
        <v>213253.704</v>
      </c>
      <c r="G740" s="2"/>
    </row>
    <row r="741" customFormat="false" ht="15" hidden="false" customHeight="false" outlineLevel="0" collapsed="false">
      <c r="A741" s="19" t="s">
        <v>88</v>
      </c>
      <c r="B741" s="19" t="s">
        <v>82</v>
      </c>
      <c r="C741" s="19" t="s">
        <v>58</v>
      </c>
      <c r="D741" s="20" t="n">
        <v>64.4</v>
      </c>
      <c r="E741" s="21" t="n">
        <v>3269.8</v>
      </c>
      <c r="F741" s="22" t="n">
        <f aca="false">D741*E741</f>
        <v>210575.12</v>
      </c>
      <c r="G741" s="2"/>
    </row>
    <row r="742" customFormat="false" ht="15" hidden="false" customHeight="false" outlineLevel="0" collapsed="false">
      <c r="A742" s="19" t="s">
        <v>88</v>
      </c>
      <c r="B742" s="19" t="s">
        <v>82</v>
      </c>
      <c r="C742" s="19" t="s">
        <v>59</v>
      </c>
      <c r="D742" s="20" t="n">
        <v>68.1</v>
      </c>
      <c r="E742" s="21" t="n">
        <v>3267.12</v>
      </c>
      <c r="F742" s="22" t="n">
        <f aca="false">D742*E742</f>
        <v>222490.872</v>
      </c>
      <c r="G742" s="2"/>
    </row>
    <row r="743" customFormat="false" ht="15" hidden="false" customHeight="false" outlineLevel="0" collapsed="false">
      <c r="A743" s="19" t="s">
        <v>88</v>
      </c>
      <c r="B743" s="19" t="s">
        <v>82</v>
      </c>
      <c r="C743" s="19" t="s">
        <v>60</v>
      </c>
      <c r="D743" s="20" t="n">
        <v>70.6</v>
      </c>
      <c r="E743" s="21" t="n">
        <v>3273.45</v>
      </c>
      <c r="F743" s="22" t="n">
        <f aca="false">D743*E743</f>
        <v>231105.57</v>
      </c>
      <c r="G743" s="2"/>
    </row>
    <row r="744" customFormat="false" ht="15" hidden="false" customHeight="false" outlineLevel="0" collapsed="false">
      <c r="A744" s="19" t="s">
        <v>88</v>
      </c>
      <c r="B744" s="19" t="s">
        <v>82</v>
      </c>
      <c r="C744" s="19" t="s">
        <v>61</v>
      </c>
      <c r="D744" s="20" t="n">
        <v>72</v>
      </c>
      <c r="E744" s="21" t="n">
        <v>3267.1</v>
      </c>
      <c r="F744" s="22" t="n">
        <f aca="false">D744*E744</f>
        <v>235231.2</v>
      </c>
      <c r="G744" s="2"/>
    </row>
    <row r="745" customFormat="false" ht="15" hidden="false" customHeight="false" outlineLevel="0" collapsed="false">
      <c r="A745" s="19" t="s">
        <v>88</v>
      </c>
      <c r="B745" s="19" t="s">
        <v>82</v>
      </c>
      <c r="C745" s="19" t="s">
        <v>62</v>
      </c>
      <c r="D745" s="20" t="n">
        <v>74.3</v>
      </c>
      <c r="E745" s="21" t="n">
        <v>3283.99</v>
      </c>
      <c r="F745" s="22" t="n">
        <f aca="false">D745*E745</f>
        <v>244000.457</v>
      </c>
      <c r="G745" s="2"/>
    </row>
    <row r="746" customFormat="false" ht="15" hidden="false" customHeight="false" outlineLevel="0" collapsed="false">
      <c r="A746" s="19" t="s">
        <v>88</v>
      </c>
      <c r="B746" s="19" t="s">
        <v>82</v>
      </c>
      <c r="C746" s="19" t="s">
        <v>63</v>
      </c>
      <c r="D746" s="20" t="n">
        <v>72.9</v>
      </c>
      <c r="E746" s="21" t="n">
        <v>3284.81</v>
      </c>
      <c r="F746" s="22" t="n">
        <f aca="false">D746*E746</f>
        <v>239462.649</v>
      </c>
      <c r="G746" s="2"/>
    </row>
    <row r="747" customFormat="false" ht="15" hidden="false" customHeight="false" outlineLevel="0" collapsed="false">
      <c r="A747" s="19" t="s">
        <v>88</v>
      </c>
      <c r="B747" s="19" t="s">
        <v>82</v>
      </c>
      <c r="C747" s="19" t="s">
        <v>64</v>
      </c>
      <c r="D747" s="20" t="n">
        <v>71.3</v>
      </c>
      <c r="E747" s="21" t="n">
        <v>3279.61</v>
      </c>
      <c r="F747" s="22" t="n">
        <f aca="false">D747*E747</f>
        <v>233836.193</v>
      </c>
      <c r="G747" s="2"/>
    </row>
    <row r="748" customFormat="false" ht="15" hidden="false" customHeight="false" outlineLevel="0" collapsed="false">
      <c r="A748" s="19" t="s">
        <v>88</v>
      </c>
      <c r="B748" s="19" t="s">
        <v>82</v>
      </c>
      <c r="C748" s="19" t="s">
        <v>65</v>
      </c>
      <c r="D748" s="20" t="n">
        <v>74.5</v>
      </c>
      <c r="E748" s="21" t="n">
        <v>3277.32</v>
      </c>
      <c r="F748" s="22" t="n">
        <f aca="false">D748*E748</f>
        <v>244160.34</v>
      </c>
      <c r="G748" s="2"/>
    </row>
    <row r="749" customFormat="false" ht="15" hidden="false" customHeight="false" outlineLevel="0" collapsed="false">
      <c r="A749" s="19" t="s">
        <v>88</v>
      </c>
      <c r="B749" s="19" t="s">
        <v>82</v>
      </c>
      <c r="C749" s="19" t="s">
        <v>66</v>
      </c>
      <c r="D749" s="20" t="n">
        <v>75.1</v>
      </c>
      <c r="E749" s="21" t="n">
        <v>3273.25</v>
      </c>
      <c r="F749" s="22" t="n">
        <f aca="false">D749*E749</f>
        <v>245821.075</v>
      </c>
      <c r="G749" s="2"/>
    </row>
    <row r="750" customFormat="false" ht="15" hidden="false" customHeight="false" outlineLevel="0" collapsed="false">
      <c r="A750" s="19" t="s">
        <v>88</v>
      </c>
      <c r="B750" s="19" t="s">
        <v>82</v>
      </c>
      <c r="C750" s="19" t="s">
        <v>67</v>
      </c>
      <c r="D750" s="20" t="n">
        <v>75.4</v>
      </c>
      <c r="E750" s="21" t="n">
        <v>3264.35</v>
      </c>
      <c r="F750" s="22" t="n">
        <f aca="false">D750*E750</f>
        <v>246131.99</v>
      </c>
      <c r="G750" s="2"/>
    </row>
    <row r="751" customFormat="false" ht="15" hidden="false" customHeight="false" outlineLevel="0" collapsed="false">
      <c r="A751" s="19" t="s">
        <v>88</v>
      </c>
      <c r="B751" s="19" t="s">
        <v>82</v>
      </c>
      <c r="C751" s="19" t="s">
        <v>68</v>
      </c>
      <c r="D751" s="20" t="n">
        <v>79.2</v>
      </c>
      <c r="E751" s="21" t="n">
        <v>3272.08</v>
      </c>
      <c r="F751" s="22" t="n">
        <f aca="false">D751*E751</f>
        <v>259148.736</v>
      </c>
      <c r="G751" s="2"/>
    </row>
    <row r="752" customFormat="false" ht="15" hidden="false" customHeight="false" outlineLevel="0" collapsed="false">
      <c r="A752" s="19" t="s">
        <v>88</v>
      </c>
      <c r="B752" s="19" t="s">
        <v>82</v>
      </c>
      <c r="C752" s="19" t="s">
        <v>69</v>
      </c>
      <c r="D752" s="20" t="n">
        <v>79.4</v>
      </c>
      <c r="E752" s="21" t="n">
        <v>3267.53</v>
      </c>
      <c r="F752" s="22" t="n">
        <f aca="false">D752*E752</f>
        <v>259441.882</v>
      </c>
      <c r="G752" s="2"/>
    </row>
    <row r="753" customFormat="false" ht="15" hidden="false" customHeight="false" outlineLevel="0" collapsed="false">
      <c r="A753" s="19" t="s">
        <v>88</v>
      </c>
      <c r="B753" s="19" t="s">
        <v>82</v>
      </c>
      <c r="C753" s="19" t="s">
        <v>70</v>
      </c>
      <c r="D753" s="20" t="n">
        <v>77.3</v>
      </c>
      <c r="E753" s="21" t="n">
        <v>3266.98</v>
      </c>
      <c r="F753" s="22" t="n">
        <f aca="false">D753*E753</f>
        <v>252537.554</v>
      </c>
      <c r="G753" s="2"/>
    </row>
    <row r="754" customFormat="false" ht="15" hidden="false" customHeight="false" outlineLevel="0" collapsed="false">
      <c r="A754" s="19" t="s">
        <v>88</v>
      </c>
      <c r="B754" s="19" t="s">
        <v>82</v>
      </c>
      <c r="C754" s="19" t="s">
        <v>71</v>
      </c>
      <c r="D754" s="20" t="n">
        <v>75.4</v>
      </c>
      <c r="E754" s="21" t="n">
        <v>3270.97</v>
      </c>
      <c r="F754" s="22" t="n">
        <f aca="false">D754*E754</f>
        <v>246631.138</v>
      </c>
      <c r="G754" s="2"/>
    </row>
    <row r="755" customFormat="false" ht="15" hidden="false" customHeight="false" outlineLevel="0" collapsed="false">
      <c r="A755" s="19" t="s">
        <v>88</v>
      </c>
      <c r="B755" s="19" t="s">
        <v>82</v>
      </c>
      <c r="C755" s="19" t="s">
        <v>72</v>
      </c>
      <c r="D755" s="20" t="n">
        <v>77.9</v>
      </c>
      <c r="E755" s="21" t="n">
        <v>3269.2</v>
      </c>
      <c r="F755" s="22" t="n">
        <f aca="false">D755*E755</f>
        <v>254670.68</v>
      </c>
      <c r="G755" s="2"/>
    </row>
    <row r="756" customFormat="false" ht="15" hidden="false" customHeight="false" outlineLevel="0" collapsed="false">
      <c r="A756" s="19" t="s">
        <v>88</v>
      </c>
      <c r="B756" s="19" t="s">
        <v>82</v>
      </c>
      <c r="C756" s="19" t="s">
        <v>73</v>
      </c>
      <c r="D756" s="20" t="n">
        <v>82.3</v>
      </c>
      <c r="E756" s="21" t="n">
        <v>3282.99</v>
      </c>
      <c r="F756" s="22" t="n">
        <f aca="false">D756*E756</f>
        <v>270190.077</v>
      </c>
      <c r="G756" s="2"/>
    </row>
    <row r="757" customFormat="false" ht="15" hidden="false" customHeight="false" outlineLevel="0" collapsed="false">
      <c r="A757" s="19" t="s">
        <v>88</v>
      </c>
      <c r="B757" s="19" t="s">
        <v>82</v>
      </c>
      <c r="C757" s="19" t="s">
        <v>74</v>
      </c>
      <c r="D757" s="20" t="n">
        <v>85.2</v>
      </c>
      <c r="E757" s="21" t="n">
        <v>3286.76</v>
      </c>
      <c r="F757" s="22" t="n">
        <f aca="false">D757*E757</f>
        <v>280031.952</v>
      </c>
      <c r="G757" s="2"/>
    </row>
    <row r="758" customFormat="false" ht="15" hidden="false" customHeight="false" outlineLevel="0" collapsed="false">
      <c r="A758" s="19" t="s">
        <v>88</v>
      </c>
      <c r="B758" s="19" t="s">
        <v>82</v>
      </c>
      <c r="C758" s="19" t="s">
        <v>75</v>
      </c>
      <c r="D758" s="20" t="n">
        <v>87.7</v>
      </c>
      <c r="E758" s="21" t="n">
        <v>3284.93</v>
      </c>
      <c r="F758" s="22" t="n">
        <f aca="false">D758*E758</f>
        <v>288088.361</v>
      </c>
      <c r="G758" s="2"/>
    </row>
    <row r="759" customFormat="false" ht="15" hidden="false" customHeight="false" outlineLevel="0" collapsed="false">
      <c r="A759" s="19" t="s">
        <v>88</v>
      </c>
      <c r="B759" s="19" t="s">
        <v>82</v>
      </c>
      <c r="C759" s="19" t="s">
        <v>76</v>
      </c>
      <c r="D759" s="20" t="n">
        <v>87.9</v>
      </c>
      <c r="E759" s="21" t="n">
        <v>3299.08</v>
      </c>
      <c r="F759" s="22" t="n">
        <f aca="false">D759*E759</f>
        <v>289989.132</v>
      </c>
      <c r="G759" s="2"/>
    </row>
    <row r="760" customFormat="false" ht="15" hidden="false" customHeight="false" outlineLevel="0" collapsed="false">
      <c r="A760" s="19" t="s">
        <v>88</v>
      </c>
      <c r="B760" s="19" t="s">
        <v>82</v>
      </c>
      <c r="C760" s="19" t="s">
        <v>77</v>
      </c>
      <c r="D760" s="20" t="n">
        <v>88.7</v>
      </c>
      <c r="E760" s="21" t="n">
        <v>3302.12</v>
      </c>
      <c r="F760" s="22" t="n">
        <f aca="false">D760*E760</f>
        <v>292898.044</v>
      </c>
      <c r="G760" s="2"/>
    </row>
    <row r="761" customFormat="false" ht="15" hidden="false" customHeight="false" outlineLevel="0" collapsed="false">
      <c r="A761" s="19" t="s">
        <v>88</v>
      </c>
      <c r="B761" s="19" t="s">
        <v>82</v>
      </c>
      <c r="C761" s="19" t="s">
        <v>78</v>
      </c>
      <c r="D761" s="20" t="n">
        <v>90.1</v>
      </c>
      <c r="E761" s="21" t="n">
        <v>3304.26</v>
      </c>
      <c r="F761" s="22" t="n">
        <f aca="false">D761*E761</f>
        <v>297713.826</v>
      </c>
      <c r="G761" s="2"/>
    </row>
    <row r="762" customFormat="false" ht="15" hidden="false" customHeight="false" outlineLevel="0" collapsed="false">
      <c r="A762" s="19" t="s">
        <v>88</v>
      </c>
      <c r="B762" s="19" t="s">
        <v>82</v>
      </c>
      <c r="C762" s="19" t="s">
        <v>79</v>
      </c>
      <c r="D762" s="20" t="n">
        <v>88.9</v>
      </c>
      <c r="E762" s="21" t="n">
        <v>3313.9</v>
      </c>
      <c r="F762" s="22" t="n">
        <f aca="false">D762*E762</f>
        <v>294605.71</v>
      </c>
      <c r="G762" s="2"/>
    </row>
    <row r="763" customFormat="false" ht="15" hidden="false" customHeight="false" outlineLevel="0" collapsed="false">
      <c r="A763" s="19" t="s">
        <v>88</v>
      </c>
      <c r="B763" s="19" t="s">
        <v>82</v>
      </c>
      <c r="C763" s="19" t="s">
        <v>80</v>
      </c>
      <c r="D763" s="20" t="n">
        <v>87.5</v>
      </c>
      <c r="E763" s="21" t="n">
        <v>3332.45</v>
      </c>
      <c r="F763" s="22" t="n">
        <f aca="false">D763*E763</f>
        <v>291589.375</v>
      </c>
      <c r="G763" s="2"/>
    </row>
    <row r="764" customFormat="false" ht="15" hidden="false" customHeight="false" outlineLevel="0" collapsed="false">
      <c r="A764" s="19" t="s">
        <v>88</v>
      </c>
      <c r="B764" s="19" t="s">
        <v>83</v>
      </c>
      <c r="C764" s="19" t="s">
        <v>45</v>
      </c>
      <c r="D764" s="20" t="n">
        <v>96</v>
      </c>
      <c r="E764" s="21" t="n">
        <v>5434.51</v>
      </c>
      <c r="F764" s="22" t="n">
        <f aca="false">D764*E764</f>
        <v>521712.96</v>
      </c>
      <c r="G764" s="2"/>
    </row>
    <row r="765" customFormat="false" ht="15" hidden="false" customHeight="false" outlineLevel="0" collapsed="false">
      <c r="A765" s="19" t="s">
        <v>88</v>
      </c>
      <c r="B765" s="19" t="s">
        <v>83</v>
      </c>
      <c r="C765" s="19" t="s">
        <v>46</v>
      </c>
      <c r="D765" s="20" t="n">
        <v>98.7</v>
      </c>
      <c r="E765" s="21" t="n">
        <v>5444.76</v>
      </c>
      <c r="F765" s="22" t="n">
        <f aca="false">D765*E765</f>
        <v>537397.812</v>
      </c>
      <c r="G765" s="2"/>
    </row>
    <row r="766" customFormat="false" ht="15" hidden="false" customHeight="false" outlineLevel="0" collapsed="false">
      <c r="A766" s="19" t="s">
        <v>88</v>
      </c>
      <c r="B766" s="19" t="s">
        <v>83</v>
      </c>
      <c r="C766" s="19" t="s">
        <v>47</v>
      </c>
      <c r="D766" s="20" t="n">
        <v>96.6</v>
      </c>
      <c r="E766" s="21" t="n">
        <v>5440.51</v>
      </c>
      <c r="F766" s="22" t="n">
        <f aca="false">D766*E766</f>
        <v>525553.266</v>
      </c>
      <c r="G766" s="2"/>
    </row>
    <row r="767" customFormat="false" ht="15" hidden="false" customHeight="false" outlineLevel="0" collapsed="false">
      <c r="A767" s="19" t="s">
        <v>88</v>
      </c>
      <c r="B767" s="19" t="s">
        <v>83</v>
      </c>
      <c r="C767" s="19" t="s">
        <v>48</v>
      </c>
      <c r="D767" s="20" t="n">
        <v>102.4</v>
      </c>
      <c r="E767" s="21" t="n">
        <v>5449.71</v>
      </c>
      <c r="F767" s="22" t="n">
        <f aca="false">D767*E767</f>
        <v>558050.304</v>
      </c>
      <c r="G767" s="2"/>
    </row>
    <row r="768" customFormat="false" ht="15" hidden="false" customHeight="false" outlineLevel="0" collapsed="false">
      <c r="A768" s="19" t="s">
        <v>88</v>
      </c>
      <c r="B768" s="19" t="s">
        <v>83</v>
      </c>
      <c r="C768" s="19" t="s">
        <v>49</v>
      </c>
      <c r="D768" s="20" t="n">
        <v>104.8</v>
      </c>
      <c r="E768" s="21" t="n">
        <v>5478.18</v>
      </c>
      <c r="F768" s="22" t="n">
        <f aca="false">D768*E768</f>
        <v>574113.264</v>
      </c>
      <c r="G768" s="2"/>
    </row>
    <row r="769" customFormat="false" ht="15" hidden="false" customHeight="false" outlineLevel="0" collapsed="false">
      <c r="A769" s="19" t="s">
        <v>88</v>
      </c>
      <c r="B769" s="19" t="s">
        <v>83</v>
      </c>
      <c r="C769" s="19" t="s">
        <v>50</v>
      </c>
      <c r="D769" s="20" t="n">
        <v>102.7</v>
      </c>
      <c r="E769" s="21" t="n">
        <v>5498.88</v>
      </c>
      <c r="F769" s="22" t="n">
        <f aca="false">D769*E769</f>
        <v>564734.976</v>
      </c>
      <c r="G769" s="2"/>
    </row>
    <row r="770" customFormat="false" ht="15" hidden="false" customHeight="false" outlineLevel="0" collapsed="false">
      <c r="A770" s="19" t="s">
        <v>88</v>
      </c>
      <c r="B770" s="19" t="s">
        <v>83</v>
      </c>
      <c r="C770" s="19" t="s">
        <v>51</v>
      </c>
      <c r="D770" s="20" t="n">
        <v>107.6</v>
      </c>
      <c r="E770" s="21" t="n">
        <v>5523.01</v>
      </c>
      <c r="F770" s="22" t="n">
        <f aca="false">D770*E770</f>
        <v>594275.876</v>
      </c>
      <c r="G770" s="2"/>
    </row>
    <row r="771" customFormat="false" ht="15" hidden="false" customHeight="false" outlineLevel="0" collapsed="false">
      <c r="A771" s="19" t="s">
        <v>88</v>
      </c>
      <c r="B771" s="19" t="s">
        <v>83</v>
      </c>
      <c r="C771" s="19" t="s">
        <v>52</v>
      </c>
      <c r="D771" s="20" t="n">
        <v>107.8</v>
      </c>
      <c r="E771" s="21" t="n">
        <v>5526.66</v>
      </c>
      <c r="F771" s="22" t="n">
        <f aca="false">D771*E771</f>
        <v>595773.948</v>
      </c>
      <c r="G771" s="2"/>
    </row>
    <row r="772" customFormat="false" ht="15" hidden="false" customHeight="false" outlineLevel="0" collapsed="false">
      <c r="A772" s="19" t="s">
        <v>88</v>
      </c>
      <c r="B772" s="19" t="s">
        <v>83</v>
      </c>
      <c r="C772" s="19" t="s">
        <v>53</v>
      </c>
      <c r="D772" s="20" t="n">
        <v>112.4</v>
      </c>
      <c r="E772" s="21" t="n">
        <v>5530.09</v>
      </c>
      <c r="F772" s="22" t="n">
        <f aca="false">D772*E772</f>
        <v>621582.116</v>
      </c>
      <c r="G772" s="2"/>
    </row>
    <row r="773" customFormat="false" ht="15" hidden="false" customHeight="false" outlineLevel="0" collapsed="false">
      <c r="A773" s="19" t="s">
        <v>88</v>
      </c>
      <c r="B773" s="19" t="s">
        <v>83</v>
      </c>
      <c r="C773" s="19" t="s">
        <v>54</v>
      </c>
      <c r="D773" s="20" t="n">
        <v>113.7</v>
      </c>
      <c r="E773" s="21" t="n">
        <v>5558.39</v>
      </c>
      <c r="F773" s="22" t="n">
        <f aca="false">D773*E773</f>
        <v>631988.943</v>
      </c>
      <c r="G773" s="2"/>
    </row>
    <row r="774" customFormat="false" ht="15" hidden="false" customHeight="false" outlineLevel="0" collapsed="false">
      <c r="A774" s="19" t="s">
        <v>88</v>
      </c>
      <c r="B774" s="19" t="s">
        <v>83</v>
      </c>
      <c r="C774" s="19" t="s">
        <v>55</v>
      </c>
      <c r="D774" s="20" t="n">
        <v>116.4</v>
      </c>
      <c r="E774" s="21" t="n">
        <v>5558.64</v>
      </c>
      <c r="F774" s="22" t="n">
        <f aca="false">D774*E774</f>
        <v>647025.696</v>
      </c>
      <c r="G774" s="2"/>
    </row>
    <row r="775" customFormat="false" ht="15" hidden="false" customHeight="false" outlineLevel="0" collapsed="false">
      <c r="A775" s="19" t="s">
        <v>88</v>
      </c>
      <c r="B775" s="19" t="s">
        <v>83</v>
      </c>
      <c r="C775" s="19" t="s">
        <v>56</v>
      </c>
      <c r="D775" s="20" t="n">
        <v>115.8</v>
      </c>
      <c r="E775" s="21" t="n">
        <v>5561.93</v>
      </c>
      <c r="F775" s="22" t="n">
        <f aca="false">D775*E775</f>
        <v>644071.494</v>
      </c>
      <c r="G775" s="2"/>
    </row>
    <row r="776" customFormat="false" ht="15" hidden="false" customHeight="false" outlineLevel="0" collapsed="false">
      <c r="A776" s="19" t="s">
        <v>88</v>
      </c>
      <c r="B776" s="19" t="s">
        <v>83</v>
      </c>
      <c r="C776" s="19" t="s">
        <v>57</v>
      </c>
      <c r="D776" s="20" t="n">
        <v>112.8</v>
      </c>
      <c r="E776" s="21" t="n">
        <v>5569.47</v>
      </c>
      <c r="F776" s="22" t="n">
        <f aca="false">D776*E776</f>
        <v>628236.216</v>
      </c>
      <c r="G776" s="2"/>
    </row>
    <row r="777" customFormat="false" ht="15" hidden="false" customHeight="false" outlineLevel="0" collapsed="false">
      <c r="A777" s="19" t="s">
        <v>88</v>
      </c>
      <c r="B777" s="19" t="s">
        <v>83</v>
      </c>
      <c r="C777" s="19" t="s">
        <v>58</v>
      </c>
      <c r="D777" s="20" t="n">
        <v>115.3</v>
      </c>
      <c r="E777" s="21" t="n">
        <v>5592.37</v>
      </c>
      <c r="F777" s="22" t="n">
        <f aca="false">D777*E777</f>
        <v>644800.261</v>
      </c>
      <c r="G777" s="2"/>
    </row>
    <row r="778" customFormat="false" ht="15" hidden="false" customHeight="false" outlineLevel="0" collapsed="false">
      <c r="A778" s="19" t="s">
        <v>88</v>
      </c>
      <c r="B778" s="19" t="s">
        <v>83</v>
      </c>
      <c r="C778" s="19" t="s">
        <v>59</v>
      </c>
      <c r="D778" s="20" t="n">
        <v>116.7</v>
      </c>
      <c r="E778" s="21" t="n">
        <v>5591.02</v>
      </c>
      <c r="F778" s="22" t="n">
        <f aca="false">D778*E778</f>
        <v>652472.034</v>
      </c>
      <c r="G778" s="2"/>
    </row>
    <row r="779" customFormat="false" ht="15" hidden="false" customHeight="false" outlineLevel="0" collapsed="false">
      <c r="A779" s="19" t="s">
        <v>88</v>
      </c>
      <c r="B779" s="19" t="s">
        <v>83</v>
      </c>
      <c r="C779" s="19" t="s">
        <v>60</v>
      </c>
      <c r="D779" s="20" t="n">
        <v>114.1</v>
      </c>
      <c r="E779" s="21" t="n">
        <v>5619.51</v>
      </c>
      <c r="F779" s="22" t="n">
        <f aca="false">D779*E779</f>
        <v>641186.091</v>
      </c>
      <c r="G779" s="2"/>
    </row>
    <row r="780" customFormat="false" ht="15" hidden="false" customHeight="false" outlineLevel="0" collapsed="false">
      <c r="A780" s="19" t="s">
        <v>88</v>
      </c>
      <c r="B780" s="19" t="s">
        <v>83</v>
      </c>
      <c r="C780" s="19" t="s">
        <v>61</v>
      </c>
      <c r="D780" s="20" t="n">
        <v>119.8</v>
      </c>
      <c r="E780" s="21" t="n">
        <v>5626.25</v>
      </c>
      <c r="F780" s="22" t="n">
        <f aca="false">D780*E780</f>
        <v>674024.75</v>
      </c>
      <c r="G780" s="2"/>
    </row>
    <row r="781" customFormat="false" ht="15" hidden="false" customHeight="false" outlineLevel="0" collapsed="false">
      <c r="A781" s="19" t="s">
        <v>88</v>
      </c>
      <c r="B781" s="19" t="s">
        <v>83</v>
      </c>
      <c r="C781" s="19" t="s">
        <v>62</v>
      </c>
      <c r="D781" s="20" t="n">
        <v>125.1</v>
      </c>
      <c r="E781" s="21" t="n">
        <v>5615.9</v>
      </c>
      <c r="F781" s="22" t="n">
        <f aca="false">D781*E781</f>
        <v>702549.09</v>
      </c>
      <c r="G781" s="2"/>
    </row>
    <row r="782" customFormat="false" ht="15" hidden="false" customHeight="false" outlineLevel="0" collapsed="false">
      <c r="A782" s="19" t="s">
        <v>88</v>
      </c>
      <c r="B782" s="19" t="s">
        <v>83</v>
      </c>
      <c r="C782" s="19" t="s">
        <v>63</v>
      </c>
      <c r="D782" s="20" t="n">
        <v>123.2</v>
      </c>
      <c r="E782" s="21" t="n">
        <v>5609.45</v>
      </c>
      <c r="F782" s="22" t="n">
        <f aca="false">D782*E782</f>
        <v>691084.24</v>
      </c>
      <c r="G782" s="2"/>
    </row>
    <row r="783" customFormat="false" ht="15" hidden="false" customHeight="false" outlineLevel="0" collapsed="false">
      <c r="A783" s="19" t="s">
        <v>88</v>
      </c>
      <c r="B783" s="19" t="s">
        <v>83</v>
      </c>
      <c r="C783" s="19" t="s">
        <v>64</v>
      </c>
      <c r="D783" s="20" t="n">
        <v>119.6</v>
      </c>
      <c r="E783" s="21" t="n">
        <v>5628.16</v>
      </c>
      <c r="F783" s="22" t="n">
        <f aca="false">D783*E783</f>
        <v>673127.936</v>
      </c>
      <c r="G783" s="2"/>
    </row>
    <row r="784" customFormat="false" ht="15" hidden="false" customHeight="false" outlineLevel="0" collapsed="false">
      <c r="A784" s="19" t="s">
        <v>88</v>
      </c>
      <c r="B784" s="19" t="s">
        <v>83</v>
      </c>
      <c r="C784" s="19" t="s">
        <v>65</v>
      </c>
      <c r="D784" s="20" t="n">
        <v>120</v>
      </c>
      <c r="E784" s="21" t="n">
        <v>5622.92</v>
      </c>
      <c r="F784" s="22" t="n">
        <f aca="false">D784*E784</f>
        <v>674750.4</v>
      </c>
      <c r="G784" s="2"/>
    </row>
    <row r="785" customFormat="false" ht="15" hidden="false" customHeight="false" outlineLevel="0" collapsed="false">
      <c r="A785" s="19" t="s">
        <v>88</v>
      </c>
      <c r="B785" s="19" t="s">
        <v>83</v>
      </c>
      <c r="C785" s="19" t="s">
        <v>66</v>
      </c>
      <c r="D785" s="20" t="n">
        <v>121.4</v>
      </c>
      <c r="E785" s="21" t="n">
        <v>5650.28</v>
      </c>
      <c r="F785" s="22" t="n">
        <f aca="false">D785*E785</f>
        <v>685943.992</v>
      </c>
      <c r="G785" s="2"/>
    </row>
    <row r="786" customFormat="false" ht="15" hidden="false" customHeight="false" outlineLevel="0" collapsed="false">
      <c r="A786" s="19" t="s">
        <v>88</v>
      </c>
      <c r="B786" s="19" t="s">
        <v>83</v>
      </c>
      <c r="C786" s="19" t="s">
        <v>67</v>
      </c>
      <c r="D786" s="20" t="n">
        <v>122.7</v>
      </c>
      <c r="E786" s="21" t="n">
        <v>5666.75</v>
      </c>
      <c r="F786" s="22" t="n">
        <f aca="false">D786*E786</f>
        <v>695310.225</v>
      </c>
      <c r="G786" s="2"/>
    </row>
    <row r="787" customFormat="false" ht="15" hidden="false" customHeight="false" outlineLevel="0" collapsed="false">
      <c r="A787" s="19" t="s">
        <v>88</v>
      </c>
      <c r="B787" s="19" t="s">
        <v>83</v>
      </c>
      <c r="C787" s="19" t="s">
        <v>68</v>
      </c>
      <c r="D787" s="20" t="n">
        <v>122.8</v>
      </c>
      <c r="E787" s="21" t="n">
        <v>5659.42</v>
      </c>
      <c r="F787" s="22" t="n">
        <f aca="false">D787*E787</f>
        <v>694976.776</v>
      </c>
      <c r="G787" s="2"/>
    </row>
    <row r="788" customFormat="false" ht="15" hidden="false" customHeight="false" outlineLevel="0" collapsed="false">
      <c r="A788" s="19" t="s">
        <v>88</v>
      </c>
      <c r="B788" s="19" t="s">
        <v>83</v>
      </c>
      <c r="C788" s="19" t="s">
        <v>69</v>
      </c>
      <c r="D788" s="20" t="n">
        <v>120.9</v>
      </c>
      <c r="E788" s="21" t="n">
        <v>5673.88</v>
      </c>
      <c r="F788" s="22" t="n">
        <f aca="false">D788*E788</f>
        <v>685972.092</v>
      </c>
      <c r="G788" s="2"/>
    </row>
    <row r="789" customFormat="false" ht="15" hidden="false" customHeight="false" outlineLevel="0" collapsed="false">
      <c r="A789" s="19" t="s">
        <v>88</v>
      </c>
      <c r="B789" s="19" t="s">
        <v>83</v>
      </c>
      <c r="C789" s="19" t="s">
        <v>70</v>
      </c>
      <c r="D789" s="20" t="n">
        <v>121.2</v>
      </c>
      <c r="E789" s="21" t="n">
        <v>5686.89</v>
      </c>
      <c r="F789" s="22" t="n">
        <f aca="false">D789*E789</f>
        <v>689251.068</v>
      </c>
      <c r="G789" s="2"/>
    </row>
    <row r="790" customFormat="false" ht="15" hidden="false" customHeight="false" outlineLevel="0" collapsed="false">
      <c r="A790" s="19" t="s">
        <v>88</v>
      </c>
      <c r="B790" s="19" t="s">
        <v>83</v>
      </c>
      <c r="C790" s="19" t="s">
        <v>71</v>
      </c>
      <c r="D790" s="20" t="n">
        <v>125.3</v>
      </c>
      <c r="E790" s="21" t="n">
        <v>5697.06</v>
      </c>
      <c r="F790" s="22" t="n">
        <f aca="false">D790*E790</f>
        <v>713841.618</v>
      </c>
      <c r="G790" s="2"/>
    </row>
    <row r="791" customFormat="false" ht="15" hidden="false" customHeight="false" outlineLevel="0" collapsed="false">
      <c r="A791" s="19" t="s">
        <v>88</v>
      </c>
      <c r="B791" s="19" t="s">
        <v>83</v>
      </c>
      <c r="C791" s="19" t="s">
        <v>72</v>
      </c>
      <c r="D791" s="20" t="n">
        <v>127.7</v>
      </c>
      <c r="E791" s="21" t="n">
        <v>5708.46</v>
      </c>
      <c r="F791" s="22" t="n">
        <f aca="false">D791*E791</f>
        <v>728970.342</v>
      </c>
      <c r="G791" s="2"/>
    </row>
    <row r="792" customFormat="false" ht="15" hidden="false" customHeight="false" outlineLevel="0" collapsed="false">
      <c r="A792" s="19" t="s">
        <v>88</v>
      </c>
      <c r="B792" s="19" t="s">
        <v>83</v>
      </c>
      <c r="C792" s="19" t="s">
        <v>73</v>
      </c>
      <c r="D792" s="20" t="n">
        <v>133.1</v>
      </c>
      <c r="E792" s="21" t="n">
        <v>5709.87</v>
      </c>
      <c r="F792" s="22" t="n">
        <f aca="false">D792*E792</f>
        <v>759983.697</v>
      </c>
      <c r="G792" s="2"/>
    </row>
    <row r="793" customFormat="false" ht="15" hidden="false" customHeight="false" outlineLevel="0" collapsed="false">
      <c r="A793" s="19" t="s">
        <v>88</v>
      </c>
      <c r="B793" s="19" t="s">
        <v>83</v>
      </c>
      <c r="C793" s="19" t="s">
        <v>74</v>
      </c>
      <c r="D793" s="20" t="n">
        <v>135.3</v>
      </c>
      <c r="E793" s="21" t="n">
        <v>5701.72</v>
      </c>
      <c r="F793" s="22" t="n">
        <f aca="false">D793*E793</f>
        <v>771442.716</v>
      </c>
      <c r="G793" s="2"/>
    </row>
    <row r="794" customFormat="false" ht="15" hidden="false" customHeight="false" outlineLevel="0" collapsed="false">
      <c r="A794" s="19" t="s">
        <v>88</v>
      </c>
      <c r="B794" s="19" t="s">
        <v>83</v>
      </c>
      <c r="C794" s="19" t="s">
        <v>75</v>
      </c>
      <c r="D794" s="20" t="n">
        <v>137</v>
      </c>
      <c r="E794" s="21" t="n">
        <v>5693.41</v>
      </c>
      <c r="F794" s="22" t="n">
        <f aca="false">D794*E794</f>
        <v>779997.17</v>
      </c>
      <c r="G794" s="2"/>
    </row>
    <row r="795" customFormat="false" ht="15" hidden="false" customHeight="false" outlineLevel="0" collapsed="false">
      <c r="A795" s="19" t="s">
        <v>88</v>
      </c>
      <c r="B795" s="19" t="s">
        <v>83</v>
      </c>
      <c r="C795" s="19" t="s">
        <v>76</v>
      </c>
      <c r="D795" s="20" t="n">
        <v>140.6</v>
      </c>
      <c r="E795" s="21" t="n">
        <v>5724.98</v>
      </c>
      <c r="F795" s="22" t="n">
        <f aca="false">D795*E795</f>
        <v>804932.188</v>
      </c>
      <c r="G795" s="2"/>
    </row>
    <row r="796" customFormat="false" ht="15" hidden="false" customHeight="false" outlineLevel="0" collapsed="false">
      <c r="A796" s="19" t="s">
        <v>88</v>
      </c>
      <c r="B796" s="19" t="s">
        <v>83</v>
      </c>
      <c r="C796" s="19" t="s">
        <v>77</v>
      </c>
      <c r="D796" s="20" t="n">
        <v>139.2</v>
      </c>
      <c r="E796" s="21" t="n">
        <v>5745.15</v>
      </c>
      <c r="F796" s="22" t="n">
        <f aca="false">D796*E796</f>
        <v>799724.88</v>
      </c>
      <c r="G796" s="2"/>
    </row>
    <row r="797" customFormat="false" ht="15" hidden="false" customHeight="false" outlineLevel="0" collapsed="false">
      <c r="A797" s="19" t="s">
        <v>88</v>
      </c>
      <c r="B797" s="19" t="s">
        <v>83</v>
      </c>
      <c r="C797" s="19" t="s">
        <v>78</v>
      </c>
      <c r="D797" s="20" t="n">
        <v>144.1</v>
      </c>
      <c r="E797" s="21" t="n">
        <v>5774.03</v>
      </c>
      <c r="F797" s="22" t="n">
        <f aca="false">D797*E797</f>
        <v>832037.723</v>
      </c>
      <c r="G797" s="2"/>
    </row>
    <row r="798" customFormat="false" ht="15" hidden="false" customHeight="false" outlineLevel="0" collapsed="false">
      <c r="A798" s="19" t="s">
        <v>88</v>
      </c>
      <c r="B798" s="19" t="s">
        <v>83</v>
      </c>
      <c r="C798" s="19" t="s">
        <v>79</v>
      </c>
      <c r="D798" s="20" t="n">
        <v>148.1</v>
      </c>
      <c r="E798" s="21" t="n">
        <v>5765.19</v>
      </c>
      <c r="F798" s="22" t="n">
        <f aca="false">D798*E798</f>
        <v>853824.639</v>
      </c>
      <c r="G798" s="2"/>
    </row>
    <row r="799" customFormat="false" ht="15" hidden="false" customHeight="false" outlineLevel="0" collapsed="false">
      <c r="A799" s="19" t="s">
        <v>88</v>
      </c>
      <c r="B799" s="19" t="s">
        <v>83</v>
      </c>
      <c r="C799" s="19" t="s">
        <v>80</v>
      </c>
      <c r="D799" s="20" t="n">
        <v>155.9</v>
      </c>
      <c r="E799" s="21" t="n">
        <v>5749.46</v>
      </c>
      <c r="F799" s="22" t="n">
        <f aca="false">D799*E799</f>
        <v>896340.814</v>
      </c>
      <c r="G799" s="2"/>
    </row>
    <row r="800" customFormat="false" ht="15" hidden="false" customHeight="false" outlineLevel="0" collapsed="false">
      <c r="A800" s="19" t="s">
        <v>88</v>
      </c>
      <c r="B800" s="19" t="s">
        <v>84</v>
      </c>
      <c r="C800" s="19" t="s">
        <v>45</v>
      </c>
      <c r="D800" s="20" t="n">
        <v>90.3</v>
      </c>
      <c r="E800" s="21" t="n">
        <v>2864.23</v>
      </c>
      <c r="F800" s="22" t="n">
        <f aca="false">D800*E800</f>
        <v>258639.969</v>
      </c>
      <c r="G800" s="2"/>
    </row>
    <row r="801" customFormat="false" ht="15" hidden="false" customHeight="false" outlineLevel="0" collapsed="false">
      <c r="A801" s="19" t="s">
        <v>88</v>
      </c>
      <c r="B801" s="19" t="s">
        <v>84</v>
      </c>
      <c r="C801" s="19" t="s">
        <v>46</v>
      </c>
      <c r="D801" s="20" t="n">
        <v>92.8</v>
      </c>
      <c r="E801" s="21" t="n">
        <v>2869.26</v>
      </c>
      <c r="F801" s="22" t="n">
        <f aca="false">D801*E801</f>
        <v>266267.328</v>
      </c>
      <c r="G801" s="2"/>
    </row>
    <row r="802" customFormat="false" ht="15" hidden="false" customHeight="false" outlineLevel="0" collapsed="false">
      <c r="A802" s="19" t="s">
        <v>88</v>
      </c>
      <c r="B802" s="19" t="s">
        <v>84</v>
      </c>
      <c r="C802" s="19" t="s">
        <v>47</v>
      </c>
      <c r="D802" s="20" t="n">
        <v>96.6</v>
      </c>
      <c r="E802" s="21" t="n">
        <v>2868.04</v>
      </c>
      <c r="F802" s="22" t="n">
        <f aca="false">D802*E802</f>
        <v>277052.664</v>
      </c>
      <c r="G802" s="2"/>
    </row>
    <row r="803" customFormat="false" ht="15" hidden="false" customHeight="false" outlineLevel="0" collapsed="false">
      <c r="A803" s="19" t="s">
        <v>88</v>
      </c>
      <c r="B803" s="19" t="s">
        <v>84</v>
      </c>
      <c r="C803" s="19" t="s">
        <v>48</v>
      </c>
      <c r="D803" s="20" t="n">
        <v>96.4</v>
      </c>
      <c r="E803" s="21" t="n">
        <v>2862.93</v>
      </c>
      <c r="F803" s="22" t="n">
        <f aca="false">D803*E803</f>
        <v>275986.452</v>
      </c>
      <c r="G803" s="2"/>
    </row>
    <row r="804" customFormat="false" ht="15" hidden="false" customHeight="false" outlineLevel="0" collapsed="false">
      <c r="A804" s="19" t="s">
        <v>88</v>
      </c>
      <c r="B804" s="19" t="s">
        <v>84</v>
      </c>
      <c r="C804" s="19" t="s">
        <v>49</v>
      </c>
      <c r="D804" s="20" t="n">
        <v>97.6</v>
      </c>
      <c r="E804" s="21" t="n">
        <v>2869.43</v>
      </c>
      <c r="F804" s="22" t="n">
        <f aca="false">D804*E804</f>
        <v>280056.368</v>
      </c>
      <c r="G804" s="2"/>
    </row>
    <row r="805" customFormat="false" ht="15" hidden="false" customHeight="false" outlineLevel="0" collapsed="false">
      <c r="A805" s="19" t="s">
        <v>88</v>
      </c>
      <c r="B805" s="19" t="s">
        <v>84</v>
      </c>
      <c r="C805" s="19" t="s">
        <v>50</v>
      </c>
      <c r="D805" s="20" t="n">
        <v>96.9</v>
      </c>
      <c r="E805" s="21" t="n">
        <v>2879.49</v>
      </c>
      <c r="F805" s="22" t="n">
        <f aca="false">D805*E805</f>
        <v>279022.581</v>
      </c>
      <c r="G805" s="2"/>
    </row>
    <row r="806" customFormat="false" ht="15" hidden="false" customHeight="false" outlineLevel="0" collapsed="false">
      <c r="A806" s="19" t="s">
        <v>88</v>
      </c>
      <c r="B806" s="19" t="s">
        <v>84</v>
      </c>
      <c r="C806" s="19" t="s">
        <v>51</v>
      </c>
      <c r="D806" s="20" t="n">
        <v>97.6</v>
      </c>
      <c r="E806" s="21" t="n">
        <v>2888.39</v>
      </c>
      <c r="F806" s="22" t="n">
        <f aca="false">D806*E806</f>
        <v>281906.864</v>
      </c>
      <c r="G806" s="2"/>
    </row>
    <row r="807" customFormat="false" ht="15" hidden="false" customHeight="false" outlineLevel="0" collapsed="false">
      <c r="A807" s="19" t="s">
        <v>88</v>
      </c>
      <c r="B807" s="19" t="s">
        <v>84</v>
      </c>
      <c r="C807" s="19" t="s">
        <v>52</v>
      </c>
      <c r="D807" s="20" t="n">
        <v>96</v>
      </c>
      <c r="E807" s="21" t="n">
        <v>2885.96</v>
      </c>
      <c r="F807" s="22" t="n">
        <f aca="false">D807*E807</f>
        <v>277052.16</v>
      </c>
      <c r="G807" s="2"/>
    </row>
    <row r="808" customFormat="false" ht="15" hidden="false" customHeight="false" outlineLevel="0" collapsed="false">
      <c r="A808" s="19" t="s">
        <v>88</v>
      </c>
      <c r="B808" s="19" t="s">
        <v>84</v>
      </c>
      <c r="C808" s="19" t="s">
        <v>53</v>
      </c>
      <c r="D808" s="20" t="n">
        <v>93.9</v>
      </c>
      <c r="E808" s="21" t="n">
        <v>2896.34</v>
      </c>
      <c r="F808" s="22" t="n">
        <f aca="false">D808*E808</f>
        <v>271966.326</v>
      </c>
      <c r="G808" s="2"/>
    </row>
    <row r="809" customFormat="false" ht="15" hidden="false" customHeight="false" outlineLevel="0" collapsed="false">
      <c r="A809" s="19" t="s">
        <v>88</v>
      </c>
      <c r="B809" s="19" t="s">
        <v>84</v>
      </c>
      <c r="C809" s="19" t="s">
        <v>54</v>
      </c>
      <c r="D809" s="20" t="n">
        <v>94.8</v>
      </c>
      <c r="E809" s="21" t="n">
        <v>2899.49</v>
      </c>
      <c r="F809" s="22" t="n">
        <f aca="false">D809*E809</f>
        <v>274871.652</v>
      </c>
      <c r="G809" s="2"/>
    </row>
    <row r="810" customFormat="false" ht="15" hidden="false" customHeight="false" outlineLevel="0" collapsed="false">
      <c r="A810" s="19" t="s">
        <v>88</v>
      </c>
      <c r="B810" s="19" t="s">
        <v>84</v>
      </c>
      <c r="C810" s="19" t="s">
        <v>55</v>
      </c>
      <c r="D810" s="20" t="n">
        <v>93.6</v>
      </c>
      <c r="E810" s="21" t="n">
        <v>2916.13</v>
      </c>
      <c r="F810" s="22" t="n">
        <f aca="false">D810*E810</f>
        <v>272949.768</v>
      </c>
      <c r="G810" s="2"/>
    </row>
    <row r="811" customFormat="false" ht="15" hidden="false" customHeight="false" outlineLevel="0" collapsed="false">
      <c r="A811" s="19" t="s">
        <v>88</v>
      </c>
      <c r="B811" s="19" t="s">
        <v>84</v>
      </c>
      <c r="C811" s="19" t="s">
        <v>56</v>
      </c>
      <c r="D811" s="20" t="n">
        <v>94.9</v>
      </c>
      <c r="E811" s="21" t="n">
        <v>2916.14</v>
      </c>
      <c r="F811" s="22" t="n">
        <f aca="false">D811*E811</f>
        <v>276741.686</v>
      </c>
      <c r="G811" s="2"/>
    </row>
    <row r="812" customFormat="false" ht="15" hidden="false" customHeight="false" outlineLevel="0" collapsed="false">
      <c r="A812" s="19" t="s">
        <v>88</v>
      </c>
      <c r="B812" s="19" t="s">
        <v>84</v>
      </c>
      <c r="C812" s="19" t="s">
        <v>57</v>
      </c>
      <c r="D812" s="20" t="n">
        <v>100.7</v>
      </c>
      <c r="E812" s="21" t="n">
        <v>2913.31</v>
      </c>
      <c r="F812" s="22" t="n">
        <f aca="false">D812*E812</f>
        <v>293370.317</v>
      </c>
      <c r="G812" s="2"/>
    </row>
    <row r="813" customFormat="false" ht="15" hidden="false" customHeight="false" outlineLevel="0" collapsed="false">
      <c r="A813" s="19" t="s">
        <v>88</v>
      </c>
      <c r="B813" s="19" t="s">
        <v>84</v>
      </c>
      <c r="C813" s="19" t="s">
        <v>58</v>
      </c>
      <c r="D813" s="20" t="n">
        <v>100</v>
      </c>
      <c r="E813" s="21" t="n">
        <v>2912.75</v>
      </c>
      <c r="F813" s="22" t="n">
        <f aca="false">D813*E813</f>
        <v>291275</v>
      </c>
      <c r="G813" s="2"/>
    </row>
    <row r="814" customFormat="false" ht="15" hidden="false" customHeight="false" outlineLevel="0" collapsed="false">
      <c r="A814" s="19" t="s">
        <v>88</v>
      </c>
      <c r="B814" s="19" t="s">
        <v>84</v>
      </c>
      <c r="C814" s="19" t="s">
        <v>59</v>
      </c>
      <c r="D814" s="20" t="n">
        <v>97.2</v>
      </c>
      <c r="E814" s="21" t="n">
        <v>2914.24</v>
      </c>
      <c r="F814" s="22" t="n">
        <f aca="false">D814*E814</f>
        <v>283264.128</v>
      </c>
      <c r="G814" s="2"/>
    </row>
    <row r="815" customFormat="false" ht="15" hidden="false" customHeight="false" outlineLevel="0" collapsed="false">
      <c r="A815" s="19" t="s">
        <v>88</v>
      </c>
      <c r="B815" s="19" t="s">
        <v>84</v>
      </c>
      <c r="C815" s="19" t="s">
        <v>60</v>
      </c>
      <c r="D815" s="20" t="n">
        <v>95.8</v>
      </c>
      <c r="E815" s="21" t="n">
        <v>2927.85</v>
      </c>
      <c r="F815" s="22" t="n">
        <f aca="false">D815*E815</f>
        <v>280488.03</v>
      </c>
      <c r="G815" s="2"/>
    </row>
    <row r="816" customFormat="false" ht="15" hidden="false" customHeight="false" outlineLevel="0" collapsed="false">
      <c r="A816" s="19" t="s">
        <v>88</v>
      </c>
      <c r="B816" s="19" t="s">
        <v>84</v>
      </c>
      <c r="C816" s="19" t="s">
        <v>61</v>
      </c>
      <c r="D816" s="20" t="n">
        <v>96.7</v>
      </c>
      <c r="E816" s="21" t="n">
        <v>2924.19</v>
      </c>
      <c r="F816" s="22" t="n">
        <f aca="false">D816*E816</f>
        <v>282769.173</v>
      </c>
      <c r="G816" s="2"/>
    </row>
    <row r="817" customFormat="false" ht="15" hidden="false" customHeight="false" outlineLevel="0" collapsed="false">
      <c r="A817" s="19" t="s">
        <v>88</v>
      </c>
      <c r="B817" s="19" t="s">
        <v>84</v>
      </c>
      <c r="C817" s="19" t="s">
        <v>62</v>
      </c>
      <c r="D817" s="20" t="n">
        <v>96.3</v>
      </c>
      <c r="E817" s="21" t="n">
        <v>2916.97</v>
      </c>
      <c r="F817" s="22" t="n">
        <f aca="false">D817*E817</f>
        <v>280904.211</v>
      </c>
      <c r="G817" s="2"/>
    </row>
    <row r="818" customFormat="false" ht="15" hidden="false" customHeight="false" outlineLevel="0" collapsed="false">
      <c r="A818" s="19" t="s">
        <v>88</v>
      </c>
      <c r="B818" s="19" t="s">
        <v>84</v>
      </c>
      <c r="C818" s="19" t="s">
        <v>63</v>
      </c>
      <c r="D818" s="20" t="n">
        <v>95.9</v>
      </c>
      <c r="E818" s="21" t="n">
        <v>2931.26</v>
      </c>
      <c r="F818" s="22" t="n">
        <f aca="false">D818*E818</f>
        <v>281107.834</v>
      </c>
      <c r="G818" s="2"/>
    </row>
    <row r="819" customFormat="false" ht="15" hidden="false" customHeight="false" outlineLevel="0" collapsed="false">
      <c r="A819" s="19" t="s">
        <v>88</v>
      </c>
      <c r="B819" s="19" t="s">
        <v>84</v>
      </c>
      <c r="C819" s="19" t="s">
        <v>64</v>
      </c>
      <c r="D819" s="20" t="n">
        <v>94</v>
      </c>
      <c r="E819" s="21" t="n">
        <v>2932.97</v>
      </c>
      <c r="F819" s="22" t="n">
        <f aca="false">D819*E819</f>
        <v>275699.18</v>
      </c>
      <c r="G819" s="2"/>
    </row>
    <row r="820" customFormat="false" ht="15" hidden="false" customHeight="false" outlineLevel="0" collapsed="false">
      <c r="A820" s="19" t="s">
        <v>88</v>
      </c>
      <c r="B820" s="19" t="s">
        <v>84</v>
      </c>
      <c r="C820" s="19" t="s">
        <v>65</v>
      </c>
      <c r="D820" s="20" t="n">
        <v>93</v>
      </c>
      <c r="E820" s="21" t="n">
        <v>2947.46</v>
      </c>
      <c r="F820" s="22" t="n">
        <f aca="false">D820*E820</f>
        <v>274113.78</v>
      </c>
      <c r="G820" s="2"/>
    </row>
    <row r="821" customFormat="false" ht="15" hidden="false" customHeight="false" outlineLevel="0" collapsed="false">
      <c r="A821" s="19" t="s">
        <v>88</v>
      </c>
      <c r="B821" s="19" t="s">
        <v>84</v>
      </c>
      <c r="C821" s="19" t="s">
        <v>66</v>
      </c>
      <c r="D821" s="20" t="n">
        <v>98.7</v>
      </c>
      <c r="E821" s="21" t="n">
        <v>2943.32</v>
      </c>
      <c r="F821" s="22" t="n">
        <f aca="false">D821*E821</f>
        <v>290505.684</v>
      </c>
      <c r="G821" s="2"/>
    </row>
    <row r="822" customFormat="false" ht="15" hidden="false" customHeight="false" outlineLevel="0" collapsed="false">
      <c r="A822" s="19" t="s">
        <v>88</v>
      </c>
      <c r="B822" s="19" t="s">
        <v>84</v>
      </c>
      <c r="C822" s="19" t="s">
        <v>67</v>
      </c>
      <c r="D822" s="20" t="n">
        <v>103.7</v>
      </c>
      <c r="E822" s="21" t="n">
        <v>2940.1</v>
      </c>
      <c r="F822" s="22" t="n">
        <f aca="false">D822*E822</f>
        <v>304888.37</v>
      </c>
      <c r="G822" s="2"/>
    </row>
    <row r="823" customFormat="false" ht="15" hidden="false" customHeight="false" outlineLevel="0" collapsed="false">
      <c r="A823" s="19" t="s">
        <v>88</v>
      </c>
      <c r="B823" s="19" t="s">
        <v>84</v>
      </c>
      <c r="C823" s="19" t="s">
        <v>68</v>
      </c>
      <c r="D823" s="20" t="n">
        <v>102.4</v>
      </c>
      <c r="E823" s="21" t="n">
        <v>2954.27</v>
      </c>
      <c r="F823" s="22" t="n">
        <f aca="false">D823*E823</f>
        <v>302517.248</v>
      </c>
      <c r="G823" s="2"/>
    </row>
    <row r="824" customFormat="false" ht="15" hidden="false" customHeight="false" outlineLevel="0" collapsed="false">
      <c r="A824" s="19" t="s">
        <v>88</v>
      </c>
      <c r="B824" s="19" t="s">
        <v>84</v>
      </c>
      <c r="C824" s="19" t="s">
        <v>69</v>
      </c>
      <c r="D824" s="20" t="n">
        <v>104.6</v>
      </c>
      <c r="E824" s="21" t="n">
        <v>2950.24</v>
      </c>
      <c r="F824" s="22" t="n">
        <f aca="false">D824*E824</f>
        <v>308595.104</v>
      </c>
      <c r="G824" s="2"/>
    </row>
    <row r="825" customFormat="false" ht="15" hidden="false" customHeight="false" outlineLevel="0" collapsed="false">
      <c r="A825" s="19" t="s">
        <v>88</v>
      </c>
      <c r="B825" s="19" t="s">
        <v>84</v>
      </c>
      <c r="C825" s="19" t="s">
        <v>70</v>
      </c>
      <c r="D825" s="20" t="n">
        <v>103.7</v>
      </c>
      <c r="E825" s="21" t="n">
        <v>2951.07</v>
      </c>
      <c r="F825" s="22" t="n">
        <f aca="false">D825*E825</f>
        <v>306025.959</v>
      </c>
      <c r="G825" s="2"/>
    </row>
    <row r="826" customFormat="false" ht="15" hidden="false" customHeight="false" outlineLevel="0" collapsed="false">
      <c r="A826" s="19" t="s">
        <v>88</v>
      </c>
      <c r="B826" s="19" t="s">
        <v>84</v>
      </c>
      <c r="C826" s="19" t="s">
        <v>71</v>
      </c>
      <c r="D826" s="20" t="n">
        <v>101.1</v>
      </c>
      <c r="E826" s="21" t="n">
        <v>2949.54</v>
      </c>
      <c r="F826" s="22" t="n">
        <f aca="false">D826*E826</f>
        <v>298198.494</v>
      </c>
      <c r="G826" s="2"/>
    </row>
    <row r="827" customFormat="false" ht="15" hidden="false" customHeight="false" outlineLevel="0" collapsed="false">
      <c r="A827" s="19" t="s">
        <v>88</v>
      </c>
      <c r="B827" s="19" t="s">
        <v>84</v>
      </c>
      <c r="C827" s="19" t="s">
        <v>72</v>
      </c>
      <c r="D827" s="20" t="n">
        <v>101.6</v>
      </c>
      <c r="E827" s="21" t="n">
        <v>2961.91</v>
      </c>
      <c r="F827" s="22" t="n">
        <f aca="false">D827*E827</f>
        <v>300930.056</v>
      </c>
      <c r="G827" s="2"/>
    </row>
    <row r="828" customFormat="false" ht="15" hidden="false" customHeight="false" outlineLevel="0" collapsed="false">
      <c r="A828" s="19" t="s">
        <v>88</v>
      </c>
      <c r="B828" s="19" t="s">
        <v>84</v>
      </c>
      <c r="C828" s="19" t="s">
        <v>73</v>
      </c>
      <c r="D828" s="20" t="n">
        <v>99.8</v>
      </c>
      <c r="E828" s="21" t="n">
        <v>2977.22</v>
      </c>
      <c r="F828" s="22" t="n">
        <f aca="false">D828*E828</f>
        <v>297126.556</v>
      </c>
      <c r="G828" s="2"/>
    </row>
    <row r="829" customFormat="false" ht="15" hidden="false" customHeight="false" outlineLevel="0" collapsed="false">
      <c r="A829" s="19" t="s">
        <v>88</v>
      </c>
      <c r="B829" s="19" t="s">
        <v>84</v>
      </c>
      <c r="C829" s="19" t="s">
        <v>74</v>
      </c>
      <c r="D829" s="20" t="n">
        <v>102.9</v>
      </c>
      <c r="E829" s="21" t="n">
        <v>2976.5</v>
      </c>
      <c r="F829" s="22" t="n">
        <f aca="false">D829*E829</f>
        <v>306281.85</v>
      </c>
      <c r="G829" s="2"/>
    </row>
    <row r="830" customFormat="false" ht="15" hidden="false" customHeight="false" outlineLevel="0" collapsed="false">
      <c r="A830" s="19" t="s">
        <v>88</v>
      </c>
      <c r="B830" s="19" t="s">
        <v>84</v>
      </c>
      <c r="C830" s="19" t="s">
        <v>75</v>
      </c>
      <c r="D830" s="20" t="n">
        <v>102.5</v>
      </c>
      <c r="E830" s="21" t="n">
        <v>2975.35</v>
      </c>
      <c r="F830" s="22" t="n">
        <f aca="false">D830*E830</f>
        <v>304973.375</v>
      </c>
      <c r="G830" s="2"/>
    </row>
    <row r="831" customFormat="false" ht="15" hidden="false" customHeight="false" outlineLevel="0" collapsed="false">
      <c r="A831" s="19" t="s">
        <v>88</v>
      </c>
      <c r="B831" s="19" t="s">
        <v>84</v>
      </c>
      <c r="C831" s="19" t="s">
        <v>76</v>
      </c>
      <c r="D831" s="20" t="n">
        <v>100.9</v>
      </c>
      <c r="E831" s="21" t="n">
        <v>2968.5</v>
      </c>
      <c r="F831" s="22" t="n">
        <f aca="false">D831*E831</f>
        <v>299521.65</v>
      </c>
      <c r="G831" s="2"/>
    </row>
    <row r="832" customFormat="false" ht="15" hidden="false" customHeight="false" outlineLevel="0" collapsed="false">
      <c r="A832" s="19" t="s">
        <v>88</v>
      </c>
      <c r="B832" s="19" t="s">
        <v>84</v>
      </c>
      <c r="C832" s="19" t="s">
        <v>77</v>
      </c>
      <c r="D832" s="20" t="n">
        <v>102.3</v>
      </c>
      <c r="E832" s="21" t="n">
        <v>2966.68</v>
      </c>
      <c r="F832" s="22" t="n">
        <f aca="false">D832*E832</f>
        <v>303491.364</v>
      </c>
      <c r="G832" s="2"/>
    </row>
    <row r="833" customFormat="false" ht="15" hidden="false" customHeight="false" outlineLevel="0" collapsed="false">
      <c r="A833" s="19" t="s">
        <v>88</v>
      </c>
      <c r="B833" s="19" t="s">
        <v>84</v>
      </c>
      <c r="C833" s="19" t="s">
        <v>78</v>
      </c>
      <c r="D833" s="20" t="n">
        <v>104.8</v>
      </c>
      <c r="E833" s="21" t="n">
        <v>2965.61</v>
      </c>
      <c r="F833" s="22" t="n">
        <f aca="false">D833*E833</f>
        <v>310795.928</v>
      </c>
      <c r="G833" s="2"/>
    </row>
    <row r="834" customFormat="false" ht="15" hidden="false" customHeight="false" outlineLevel="0" collapsed="false">
      <c r="A834" s="19" t="s">
        <v>88</v>
      </c>
      <c r="B834" s="19" t="s">
        <v>84</v>
      </c>
      <c r="C834" s="19" t="s">
        <v>79</v>
      </c>
      <c r="D834" s="20" t="n">
        <v>107.2</v>
      </c>
      <c r="E834" s="21" t="n">
        <v>2969.47</v>
      </c>
      <c r="F834" s="22" t="n">
        <f aca="false">D834*E834</f>
        <v>318327.184</v>
      </c>
      <c r="G834" s="2"/>
    </row>
    <row r="835" customFormat="false" ht="15" hidden="false" customHeight="false" outlineLevel="0" collapsed="false">
      <c r="A835" s="19" t="s">
        <v>88</v>
      </c>
      <c r="B835" s="19" t="s">
        <v>84</v>
      </c>
      <c r="C835" s="19" t="s">
        <v>80</v>
      </c>
      <c r="D835" s="20" t="n">
        <v>107</v>
      </c>
      <c r="E835" s="21" t="n">
        <v>2981.01</v>
      </c>
      <c r="F835" s="22" t="n">
        <f aca="false">D835*E835</f>
        <v>318968.07</v>
      </c>
      <c r="G835" s="2"/>
    </row>
    <row r="836" customFormat="false" ht="15" hidden="false" customHeight="false" outlineLevel="0" collapsed="false">
      <c r="A836" s="19" t="s">
        <v>88</v>
      </c>
      <c r="B836" s="19" t="s">
        <v>85</v>
      </c>
      <c r="C836" s="19" t="s">
        <v>45</v>
      </c>
      <c r="D836" s="20" t="n">
        <v>20</v>
      </c>
      <c r="E836" s="21" t="n">
        <v>4249.68</v>
      </c>
      <c r="F836" s="22" t="n">
        <f aca="false">D836*E836</f>
        <v>84993.6</v>
      </c>
      <c r="G836" s="2"/>
    </row>
    <row r="837" customFormat="false" ht="15" hidden="false" customHeight="false" outlineLevel="0" collapsed="false">
      <c r="A837" s="19" t="s">
        <v>88</v>
      </c>
      <c r="B837" s="19" t="s">
        <v>85</v>
      </c>
      <c r="C837" s="19" t="s">
        <v>46</v>
      </c>
      <c r="D837" s="20" t="n">
        <v>20</v>
      </c>
      <c r="E837" s="21" t="n">
        <v>4246.02</v>
      </c>
      <c r="F837" s="22" t="n">
        <f aca="false">D837*E837</f>
        <v>84920.4</v>
      </c>
      <c r="G837" s="2"/>
    </row>
    <row r="838" customFormat="false" ht="15" hidden="false" customHeight="false" outlineLevel="0" collapsed="false">
      <c r="A838" s="19" t="s">
        <v>88</v>
      </c>
      <c r="B838" s="19" t="s">
        <v>85</v>
      </c>
      <c r="C838" s="19" t="s">
        <v>47</v>
      </c>
      <c r="D838" s="20" t="n">
        <v>19.7</v>
      </c>
      <c r="E838" s="21" t="n">
        <v>4247.31</v>
      </c>
      <c r="F838" s="22" t="n">
        <f aca="false">D838*E838</f>
        <v>83672.007</v>
      </c>
      <c r="G838" s="2"/>
    </row>
    <row r="839" customFormat="false" ht="15" hidden="false" customHeight="false" outlineLevel="0" collapsed="false">
      <c r="A839" s="19" t="s">
        <v>88</v>
      </c>
      <c r="B839" s="19" t="s">
        <v>85</v>
      </c>
      <c r="C839" s="19" t="s">
        <v>48</v>
      </c>
      <c r="D839" s="20" t="n">
        <v>19.5</v>
      </c>
      <c r="E839" s="21" t="n">
        <v>4238.82</v>
      </c>
      <c r="F839" s="22" t="n">
        <f aca="false">D839*E839</f>
        <v>82656.99</v>
      </c>
      <c r="G839" s="2"/>
    </row>
    <row r="840" customFormat="false" ht="15" hidden="false" customHeight="false" outlineLevel="0" collapsed="false">
      <c r="A840" s="19" t="s">
        <v>88</v>
      </c>
      <c r="B840" s="19" t="s">
        <v>85</v>
      </c>
      <c r="C840" s="19" t="s">
        <v>49</v>
      </c>
      <c r="D840" s="20" t="n">
        <v>20.7</v>
      </c>
      <c r="E840" s="21" t="n">
        <v>4241.67</v>
      </c>
      <c r="F840" s="22" t="n">
        <f aca="false">D840*E840</f>
        <v>87802.569</v>
      </c>
      <c r="G840" s="2"/>
    </row>
    <row r="841" customFormat="false" ht="15" hidden="false" customHeight="false" outlineLevel="0" collapsed="false">
      <c r="A841" s="19" t="s">
        <v>88</v>
      </c>
      <c r="B841" s="19" t="s">
        <v>85</v>
      </c>
      <c r="C841" s="19" t="s">
        <v>50</v>
      </c>
      <c r="D841" s="20" t="n">
        <v>21.6</v>
      </c>
      <c r="E841" s="21" t="n">
        <v>4253.44</v>
      </c>
      <c r="F841" s="22" t="n">
        <f aca="false">D841*E841</f>
        <v>91874.304</v>
      </c>
      <c r="G841" s="2"/>
    </row>
    <row r="842" customFormat="false" ht="15" hidden="false" customHeight="false" outlineLevel="0" collapsed="false">
      <c r="A842" s="19" t="s">
        <v>88</v>
      </c>
      <c r="B842" s="19" t="s">
        <v>85</v>
      </c>
      <c r="C842" s="19" t="s">
        <v>51</v>
      </c>
      <c r="D842" s="20" t="n">
        <v>21.4</v>
      </c>
      <c r="E842" s="21" t="n">
        <v>4250.31</v>
      </c>
      <c r="F842" s="22" t="n">
        <f aca="false">D842*E842</f>
        <v>90956.634</v>
      </c>
      <c r="G842" s="2"/>
    </row>
    <row r="843" customFormat="false" ht="15" hidden="false" customHeight="false" outlineLevel="0" collapsed="false">
      <c r="A843" s="19" t="s">
        <v>88</v>
      </c>
      <c r="B843" s="19" t="s">
        <v>85</v>
      </c>
      <c r="C843" s="19" t="s">
        <v>52</v>
      </c>
      <c r="D843" s="20" t="n">
        <v>21.6</v>
      </c>
      <c r="E843" s="21" t="n">
        <v>4244.37</v>
      </c>
      <c r="F843" s="22" t="n">
        <f aca="false">D843*E843</f>
        <v>91678.392</v>
      </c>
      <c r="G843" s="2"/>
    </row>
    <row r="844" customFormat="false" ht="15" hidden="false" customHeight="false" outlineLevel="0" collapsed="false">
      <c r="A844" s="19" t="s">
        <v>88</v>
      </c>
      <c r="B844" s="19" t="s">
        <v>85</v>
      </c>
      <c r="C844" s="19" t="s">
        <v>53</v>
      </c>
      <c r="D844" s="20" t="n">
        <v>22.2</v>
      </c>
      <c r="E844" s="21" t="n">
        <v>4250.78</v>
      </c>
      <c r="F844" s="22" t="n">
        <f aca="false">D844*E844</f>
        <v>94367.316</v>
      </c>
      <c r="G844" s="2"/>
    </row>
    <row r="845" customFormat="false" ht="15" hidden="false" customHeight="false" outlineLevel="0" collapsed="false">
      <c r="A845" s="19" t="s">
        <v>88</v>
      </c>
      <c r="B845" s="19" t="s">
        <v>85</v>
      </c>
      <c r="C845" s="19" t="s">
        <v>54</v>
      </c>
      <c r="D845" s="20" t="n">
        <v>22.5</v>
      </c>
      <c r="E845" s="21" t="n">
        <v>4247.71</v>
      </c>
      <c r="F845" s="22" t="n">
        <f aca="false">D845*E845</f>
        <v>95573.475</v>
      </c>
      <c r="G845" s="2"/>
    </row>
    <row r="846" customFormat="false" ht="15" hidden="false" customHeight="false" outlineLevel="0" collapsed="false">
      <c r="A846" s="19" t="s">
        <v>88</v>
      </c>
      <c r="B846" s="19" t="s">
        <v>85</v>
      </c>
      <c r="C846" s="19" t="s">
        <v>55</v>
      </c>
      <c r="D846" s="20" t="n">
        <v>23.5</v>
      </c>
      <c r="E846" s="21" t="n">
        <v>4247.33</v>
      </c>
      <c r="F846" s="22" t="n">
        <f aca="false">D846*E846</f>
        <v>99812.255</v>
      </c>
      <c r="G846" s="2"/>
    </row>
    <row r="847" customFormat="false" ht="15" hidden="false" customHeight="false" outlineLevel="0" collapsed="false">
      <c r="A847" s="19" t="s">
        <v>88</v>
      </c>
      <c r="B847" s="19" t="s">
        <v>85</v>
      </c>
      <c r="C847" s="19" t="s">
        <v>56</v>
      </c>
      <c r="D847" s="20" t="n">
        <v>24.2</v>
      </c>
      <c r="E847" s="21" t="n">
        <v>4258.35</v>
      </c>
      <c r="F847" s="22" t="n">
        <f aca="false">D847*E847</f>
        <v>103052.07</v>
      </c>
      <c r="G847" s="2"/>
    </row>
    <row r="848" customFormat="false" ht="15" hidden="false" customHeight="false" outlineLevel="0" collapsed="false">
      <c r="A848" s="19" t="s">
        <v>88</v>
      </c>
      <c r="B848" s="19" t="s">
        <v>85</v>
      </c>
      <c r="C848" s="19" t="s">
        <v>57</v>
      </c>
      <c r="D848" s="20" t="n">
        <v>24.8</v>
      </c>
      <c r="E848" s="21" t="n">
        <v>4264.58</v>
      </c>
      <c r="F848" s="22" t="n">
        <f aca="false">D848*E848</f>
        <v>105761.584</v>
      </c>
      <c r="G848" s="2"/>
    </row>
    <row r="849" customFormat="false" ht="15" hidden="false" customHeight="false" outlineLevel="0" collapsed="false">
      <c r="A849" s="19" t="s">
        <v>88</v>
      </c>
      <c r="B849" s="19" t="s">
        <v>85</v>
      </c>
      <c r="C849" s="19" t="s">
        <v>58</v>
      </c>
      <c r="D849" s="20" t="n">
        <v>25.9</v>
      </c>
      <c r="E849" s="21" t="n">
        <v>4273.66</v>
      </c>
      <c r="F849" s="22" t="n">
        <f aca="false">D849*E849</f>
        <v>110687.794</v>
      </c>
      <c r="G849" s="2"/>
    </row>
    <row r="850" customFormat="false" ht="15" hidden="false" customHeight="false" outlineLevel="0" collapsed="false">
      <c r="A850" s="19" t="s">
        <v>88</v>
      </c>
      <c r="B850" s="19" t="s">
        <v>85</v>
      </c>
      <c r="C850" s="19" t="s">
        <v>59</v>
      </c>
      <c r="D850" s="20" t="n">
        <v>25.5</v>
      </c>
      <c r="E850" s="21" t="n">
        <v>4270.07</v>
      </c>
      <c r="F850" s="22" t="n">
        <f aca="false">D850*E850</f>
        <v>108886.785</v>
      </c>
      <c r="G850" s="2"/>
    </row>
    <row r="851" customFormat="false" ht="15" hidden="false" customHeight="false" outlineLevel="0" collapsed="false">
      <c r="A851" s="19" t="s">
        <v>88</v>
      </c>
      <c r="B851" s="19" t="s">
        <v>85</v>
      </c>
      <c r="C851" s="19" t="s">
        <v>60</v>
      </c>
      <c r="D851" s="20" t="n">
        <v>24.8</v>
      </c>
      <c r="E851" s="21" t="n">
        <v>4275.12</v>
      </c>
      <c r="F851" s="22" t="n">
        <f aca="false">D851*E851</f>
        <v>106022.976</v>
      </c>
      <c r="G851" s="2"/>
    </row>
    <row r="852" customFormat="false" ht="15" hidden="false" customHeight="false" outlineLevel="0" collapsed="false">
      <c r="A852" s="19" t="s">
        <v>88</v>
      </c>
      <c r="B852" s="19" t="s">
        <v>85</v>
      </c>
      <c r="C852" s="19" t="s">
        <v>61</v>
      </c>
      <c r="D852" s="20" t="n">
        <v>26</v>
      </c>
      <c r="E852" s="21" t="n">
        <v>4272.34</v>
      </c>
      <c r="F852" s="22" t="n">
        <f aca="false">D852*E852</f>
        <v>111080.84</v>
      </c>
      <c r="G852" s="2"/>
    </row>
    <row r="853" customFormat="false" ht="15" hidden="false" customHeight="false" outlineLevel="0" collapsed="false">
      <c r="A853" s="19" t="s">
        <v>88</v>
      </c>
      <c r="B853" s="19" t="s">
        <v>85</v>
      </c>
      <c r="C853" s="19" t="s">
        <v>62</v>
      </c>
      <c r="D853" s="20" t="n">
        <v>27.7</v>
      </c>
      <c r="E853" s="21" t="n">
        <v>4284.55</v>
      </c>
      <c r="F853" s="22" t="n">
        <f aca="false">D853*E853</f>
        <v>118682.035</v>
      </c>
      <c r="G853" s="2"/>
    </row>
    <row r="854" customFormat="false" ht="15" hidden="false" customHeight="false" outlineLevel="0" collapsed="false">
      <c r="A854" s="19" t="s">
        <v>88</v>
      </c>
      <c r="B854" s="19" t="s">
        <v>85</v>
      </c>
      <c r="C854" s="19" t="s">
        <v>63</v>
      </c>
      <c r="D854" s="20" t="n">
        <v>29</v>
      </c>
      <c r="E854" s="21" t="n">
        <v>4280.19</v>
      </c>
      <c r="F854" s="22" t="n">
        <f aca="false">D854*E854</f>
        <v>124125.51</v>
      </c>
      <c r="G854" s="2"/>
    </row>
    <row r="855" customFormat="false" ht="15" hidden="false" customHeight="false" outlineLevel="0" collapsed="false">
      <c r="A855" s="19" t="s">
        <v>88</v>
      </c>
      <c r="B855" s="19" t="s">
        <v>85</v>
      </c>
      <c r="C855" s="19" t="s">
        <v>64</v>
      </c>
      <c r="D855" s="20" t="n">
        <v>28.9</v>
      </c>
      <c r="E855" s="21" t="n">
        <v>4301.38</v>
      </c>
      <c r="F855" s="22" t="n">
        <f aca="false">D855*E855</f>
        <v>124309.882</v>
      </c>
      <c r="G855" s="2"/>
    </row>
    <row r="856" customFormat="false" ht="15" hidden="false" customHeight="false" outlineLevel="0" collapsed="false">
      <c r="A856" s="19" t="s">
        <v>88</v>
      </c>
      <c r="B856" s="19" t="s">
        <v>85</v>
      </c>
      <c r="C856" s="19" t="s">
        <v>65</v>
      </c>
      <c r="D856" s="20" t="n">
        <v>28.7</v>
      </c>
      <c r="E856" s="21" t="n">
        <v>4315.08</v>
      </c>
      <c r="F856" s="22" t="n">
        <f aca="false">D856*E856</f>
        <v>123842.796</v>
      </c>
      <c r="G856" s="2"/>
    </row>
    <row r="857" customFormat="false" ht="15" hidden="false" customHeight="false" outlineLevel="0" collapsed="false">
      <c r="A857" s="19" t="s">
        <v>88</v>
      </c>
      <c r="B857" s="19" t="s">
        <v>85</v>
      </c>
      <c r="C857" s="19" t="s">
        <v>66</v>
      </c>
      <c r="D857" s="20" t="n">
        <v>28.5</v>
      </c>
      <c r="E857" s="21" t="n">
        <v>4315.33</v>
      </c>
      <c r="F857" s="22" t="n">
        <f aca="false">D857*E857</f>
        <v>122986.905</v>
      </c>
      <c r="G857" s="2"/>
    </row>
    <row r="858" customFormat="false" ht="15" hidden="false" customHeight="false" outlineLevel="0" collapsed="false">
      <c r="A858" s="19" t="s">
        <v>88</v>
      </c>
      <c r="B858" s="19" t="s">
        <v>85</v>
      </c>
      <c r="C858" s="19" t="s">
        <v>67</v>
      </c>
      <c r="D858" s="20" t="n">
        <v>29</v>
      </c>
      <c r="E858" s="21" t="n">
        <v>4336.89</v>
      </c>
      <c r="F858" s="22" t="n">
        <f aca="false">D858*E858</f>
        <v>125769.81</v>
      </c>
      <c r="G858" s="2"/>
    </row>
    <row r="859" customFormat="false" ht="15" hidden="false" customHeight="false" outlineLevel="0" collapsed="false">
      <c r="A859" s="19" t="s">
        <v>88</v>
      </c>
      <c r="B859" s="19" t="s">
        <v>85</v>
      </c>
      <c r="C859" s="19" t="s">
        <v>68</v>
      </c>
      <c r="D859" s="20" t="n">
        <v>28.7</v>
      </c>
      <c r="E859" s="21" t="n">
        <v>4336.54</v>
      </c>
      <c r="F859" s="22" t="n">
        <f aca="false">D859*E859</f>
        <v>124458.698</v>
      </c>
      <c r="G859" s="2"/>
    </row>
    <row r="860" customFormat="false" ht="15" hidden="false" customHeight="false" outlineLevel="0" collapsed="false">
      <c r="A860" s="19" t="s">
        <v>88</v>
      </c>
      <c r="B860" s="19" t="s">
        <v>85</v>
      </c>
      <c r="C860" s="19" t="s">
        <v>69</v>
      </c>
      <c r="D860" s="20" t="n">
        <v>28.5</v>
      </c>
      <c r="E860" s="21" t="n">
        <v>4326.51</v>
      </c>
      <c r="F860" s="22" t="n">
        <f aca="false">D860*E860</f>
        <v>123305.535</v>
      </c>
      <c r="G860" s="2"/>
    </row>
    <row r="861" customFormat="false" ht="15" hidden="false" customHeight="false" outlineLevel="0" collapsed="false">
      <c r="A861" s="19" t="s">
        <v>88</v>
      </c>
      <c r="B861" s="19" t="s">
        <v>85</v>
      </c>
      <c r="C861" s="19" t="s">
        <v>70</v>
      </c>
      <c r="D861" s="20" t="n">
        <v>29.6</v>
      </c>
      <c r="E861" s="21" t="n">
        <v>4317.1</v>
      </c>
      <c r="F861" s="22" t="n">
        <f aca="false">D861*E861</f>
        <v>127786.16</v>
      </c>
      <c r="G861" s="2"/>
    </row>
    <row r="862" customFormat="false" ht="15" hidden="false" customHeight="false" outlineLevel="0" collapsed="false">
      <c r="A862" s="19" t="s">
        <v>88</v>
      </c>
      <c r="B862" s="19" t="s">
        <v>85</v>
      </c>
      <c r="C862" s="19" t="s">
        <v>71</v>
      </c>
      <c r="D862" s="20" t="n">
        <v>29.5</v>
      </c>
      <c r="E862" s="21" t="n">
        <v>4342.21</v>
      </c>
      <c r="F862" s="22" t="n">
        <f aca="false">D862*E862</f>
        <v>128095.195</v>
      </c>
      <c r="G862" s="2"/>
    </row>
    <row r="863" customFormat="false" ht="15" hidden="false" customHeight="false" outlineLevel="0" collapsed="false">
      <c r="A863" s="19" t="s">
        <v>88</v>
      </c>
      <c r="B863" s="19" t="s">
        <v>85</v>
      </c>
      <c r="C863" s="19" t="s">
        <v>72</v>
      </c>
      <c r="D863" s="20" t="n">
        <v>31.2</v>
      </c>
      <c r="E863" s="21" t="n">
        <v>4338.51</v>
      </c>
      <c r="F863" s="22" t="n">
        <f aca="false">D863*E863</f>
        <v>135361.512</v>
      </c>
      <c r="G863" s="2"/>
    </row>
    <row r="864" customFormat="false" ht="15" hidden="false" customHeight="false" outlineLevel="0" collapsed="false">
      <c r="A864" s="19" t="s">
        <v>88</v>
      </c>
      <c r="B864" s="19" t="s">
        <v>85</v>
      </c>
      <c r="C864" s="19" t="s">
        <v>73</v>
      </c>
      <c r="D864" s="20" t="n">
        <v>31.8</v>
      </c>
      <c r="E864" s="21" t="n">
        <v>4350.48</v>
      </c>
      <c r="F864" s="22" t="n">
        <f aca="false">D864*E864</f>
        <v>138345.264</v>
      </c>
      <c r="G864" s="2"/>
    </row>
    <row r="865" customFormat="false" ht="15" hidden="false" customHeight="false" outlineLevel="0" collapsed="false">
      <c r="A865" s="19" t="s">
        <v>88</v>
      </c>
      <c r="B865" s="19" t="s">
        <v>85</v>
      </c>
      <c r="C865" s="19" t="s">
        <v>74</v>
      </c>
      <c r="D865" s="20" t="n">
        <v>33.3</v>
      </c>
      <c r="E865" s="21" t="n">
        <v>4352.47</v>
      </c>
      <c r="F865" s="22" t="n">
        <f aca="false">D865*E865</f>
        <v>144937.251</v>
      </c>
      <c r="G865" s="2"/>
    </row>
    <row r="866" customFormat="false" ht="15" hidden="false" customHeight="false" outlineLevel="0" collapsed="false">
      <c r="A866" s="19" t="s">
        <v>88</v>
      </c>
      <c r="B866" s="19" t="s">
        <v>85</v>
      </c>
      <c r="C866" s="19" t="s">
        <v>75</v>
      </c>
      <c r="D866" s="20" t="n">
        <v>33</v>
      </c>
      <c r="E866" s="21" t="n">
        <v>4347.46</v>
      </c>
      <c r="F866" s="22" t="n">
        <f aca="false">D866*E866</f>
        <v>143466.18</v>
      </c>
      <c r="G866" s="2"/>
    </row>
    <row r="867" customFormat="false" ht="15" hidden="false" customHeight="false" outlineLevel="0" collapsed="false">
      <c r="A867" s="19" t="s">
        <v>88</v>
      </c>
      <c r="B867" s="19" t="s">
        <v>85</v>
      </c>
      <c r="C867" s="19" t="s">
        <v>76</v>
      </c>
      <c r="D867" s="20" t="n">
        <v>32.3</v>
      </c>
      <c r="E867" s="21" t="n">
        <v>4366.42</v>
      </c>
      <c r="F867" s="22" t="n">
        <f aca="false">D867*E867</f>
        <v>141035.366</v>
      </c>
      <c r="G867" s="2"/>
    </row>
    <row r="868" customFormat="false" ht="15" hidden="false" customHeight="false" outlineLevel="0" collapsed="false">
      <c r="A868" s="19" t="s">
        <v>88</v>
      </c>
      <c r="B868" s="19" t="s">
        <v>85</v>
      </c>
      <c r="C868" s="19" t="s">
        <v>77</v>
      </c>
      <c r="D868" s="20" t="n">
        <v>31.6</v>
      </c>
      <c r="E868" s="21" t="n">
        <v>4363.88</v>
      </c>
      <c r="F868" s="22" t="n">
        <f aca="false">D868*E868</f>
        <v>137898.608</v>
      </c>
      <c r="G868" s="2"/>
    </row>
    <row r="869" customFormat="false" ht="15" hidden="false" customHeight="false" outlineLevel="0" collapsed="false">
      <c r="A869" s="19" t="s">
        <v>88</v>
      </c>
      <c r="B869" s="19" t="s">
        <v>85</v>
      </c>
      <c r="C869" s="19" t="s">
        <v>78</v>
      </c>
      <c r="D869" s="20" t="n">
        <v>32</v>
      </c>
      <c r="E869" s="21" t="n">
        <v>4367.51</v>
      </c>
      <c r="F869" s="22" t="n">
        <f aca="false">D869*E869</f>
        <v>139760.32</v>
      </c>
      <c r="G869" s="2"/>
    </row>
    <row r="870" customFormat="false" ht="15" hidden="false" customHeight="false" outlineLevel="0" collapsed="false">
      <c r="A870" s="19" t="s">
        <v>88</v>
      </c>
      <c r="B870" s="19" t="s">
        <v>85</v>
      </c>
      <c r="C870" s="19" t="s">
        <v>79</v>
      </c>
      <c r="D870" s="20" t="n">
        <v>33.3</v>
      </c>
      <c r="E870" s="21" t="n">
        <v>4377.62</v>
      </c>
      <c r="F870" s="22" t="n">
        <f aca="false">D870*E870</f>
        <v>145774.746</v>
      </c>
      <c r="G870" s="2"/>
    </row>
    <row r="871" customFormat="false" ht="15" hidden="false" customHeight="false" outlineLevel="0" collapsed="false">
      <c r="A871" s="19" t="s">
        <v>88</v>
      </c>
      <c r="B871" s="19" t="s">
        <v>85</v>
      </c>
      <c r="C871" s="19" t="s">
        <v>80</v>
      </c>
      <c r="D871" s="20" t="n">
        <v>32.8</v>
      </c>
      <c r="E871" s="21" t="n">
        <v>4365.53</v>
      </c>
      <c r="F871" s="22" t="n">
        <f aca="false">D871*E871</f>
        <v>143189.384</v>
      </c>
      <c r="G871" s="2"/>
    </row>
    <row r="872" customFormat="false" ht="15" hidden="false" customHeight="false" outlineLevel="0" collapsed="false">
      <c r="A872" s="19" t="s">
        <v>89</v>
      </c>
      <c r="B872" s="19" t="s">
        <v>44</v>
      </c>
      <c r="C872" s="19" t="s">
        <v>45</v>
      </c>
      <c r="D872" s="20" t="n">
        <v>226.1</v>
      </c>
      <c r="E872" s="21" t="n">
        <v>4440.76</v>
      </c>
      <c r="F872" s="22" t="n">
        <f aca="false">D872*E872</f>
        <v>1004055.836</v>
      </c>
      <c r="G872" s="2"/>
    </row>
    <row r="873" customFormat="false" ht="15" hidden="false" customHeight="false" outlineLevel="0" collapsed="false">
      <c r="A873" s="19" t="s">
        <v>89</v>
      </c>
      <c r="B873" s="19" t="s">
        <v>44</v>
      </c>
      <c r="C873" s="19" t="s">
        <v>46</v>
      </c>
      <c r="D873" s="20" t="n">
        <v>231.9</v>
      </c>
      <c r="E873" s="21" t="n">
        <v>4462.64</v>
      </c>
      <c r="F873" s="22" t="n">
        <f aca="false">D873*E873</f>
        <v>1034886.216</v>
      </c>
      <c r="G873" s="2"/>
    </row>
    <row r="874" customFormat="false" ht="15" hidden="false" customHeight="false" outlineLevel="0" collapsed="false">
      <c r="A874" s="19" t="s">
        <v>89</v>
      </c>
      <c r="B874" s="19" t="s">
        <v>44</v>
      </c>
      <c r="C874" s="19" t="s">
        <v>47</v>
      </c>
      <c r="D874" s="20" t="n">
        <v>228.1</v>
      </c>
      <c r="E874" s="21" t="n">
        <v>4483.73</v>
      </c>
      <c r="F874" s="22" t="n">
        <f aca="false">D874*E874</f>
        <v>1022738.813</v>
      </c>
      <c r="G874" s="2"/>
    </row>
    <row r="875" customFormat="false" ht="15" hidden="false" customHeight="false" outlineLevel="0" collapsed="false">
      <c r="A875" s="19" t="s">
        <v>89</v>
      </c>
      <c r="B875" s="19" t="s">
        <v>44</v>
      </c>
      <c r="C875" s="19" t="s">
        <v>48</v>
      </c>
      <c r="D875" s="20" t="n">
        <v>222.7</v>
      </c>
      <c r="E875" s="21" t="n">
        <v>4507.11</v>
      </c>
      <c r="F875" s="22" t="n">
        <f aca="false">D875*E875</f>
        <v>1003733.397</v>
      </c>
      <c r="G875" s="2"/>
    </row>
    <row r="876" customFormat="false" ht="15" hidden="false" customHeight="false" outlineLevel="0" collapsed="false">
      <c r="A876" s="19" t="s">
        <v>89</v>
      </c>
      <c r="B876" s="19" t="s">
        <v>44</v>
      </c>
      <c r="C876" s="19" t="s">
        <v>49</v>
      </c>
      <c r="D876" s="20" t="n">
        <v>228.3</v>
      </c>
      <c r="E876" s="21" t="n">
        <v>4521.99</v>
      </c>
      <c r="F876" s="22" t="n">
        <f aca="false">D876*E876</f>
        <v>1032370.317</v>
      </c>
      <c r="G876" s="2"/>
    </row>
    <row r="877" customFormat="false" ht="15" hidden="false" customHeight="false" outlineLevel="0" collapsed="false">
      <c r="A877" s="19" t="s">
        <v>89</v>
      </c>
      <c r="B877" s="19" t="s">
        <v>44</v>
      </c>
      <c r="C877" s="19" t="s">
        <v>50</v>
      </c>
      <c r="D877" s="20" t="n">
        <v>222.3</v>
      </c>
      <c r="E877" s="21" t="n">
        <v>4522.19</v>
      </c>
      <c r="F877" s="22" t="n">
        <f aca="false">D877*E877</f>
        <v>1005282.837</v>
      </c>
      <c r="G877" s="2"/>
    </row>
    <row r="878" customFormat="false" ht="15" hidden="false" customHeight="false" outlineLevel="0" collapsed="false">
      <c r="A878" s="19" t="s">
        <v>89</v>
      </c>
      <c r="B878" s="19" t="s">
        <v>44</v>
      </c>
      <c r="C878" s="19" t="s">
        <v>51</v>
      </c>
      <c r="D878" s="20" t="n">
        <v>224.4</v>
      </c>
      <c r="E878" s="21" t="n">
        <v>4543.2</v>
      </c>
      <c r="F878" s="22" t="n">
        <f aca="false">D878*E878</f>
        <v>1019494.08</v>
      </c>
      <c r="G878" s="2"/>
    </row>
    <row r="879" customFormat="false" ht="15" hidden="false" customHeight="false" outlineLevel="0" collapsed="false">
      <c r="A879" s="19" t="s">
        <v>89</v>
      </c>
      <c r="B879" s="19" t="s">
        <v>44</v>
      </c>
      <c r="C879" s="19" t="s">
        <v>52</v>
      </c>
      <c r="D879" s="20" t="n">
        <v>223.2</v>
      </c>
      <c r="E879" s="21" t="n">
        <v>4532.98</v>
      </c>
      <c r="F879" s="22" t="n">
        <f aca="false">D879*E879</f>
        <v>1011761.136</v>
      </c>
      <c r="G879" s="2"/>
    </row>
    <row r="880" customFormat="false" ht="15" hidden="false" customHeight="false" outlineLevel="0" collapsed="false">
      <c r="A880" s="19" t="s">
        <v>89</v>
      </c>
      <c r="B880" s="19" t="s">
        <v>44</v>
      </c>
      <c r="C880" s="19" t="s">
        <v>53</v>
      </c>
      <c r="D880" s="20" t="n">
        <v>228.4</v>
      </c>
      <c r="E880" s="21" t="n">
        <v>4523.56</v>
      </c>
      <c r="F880" s="22" t="n">
        <f aca="false">D880*E880</f>
        <v>1033181.104</v>
      </c>
      <c r="G880" s="2"/>
    </row>
    <row r="881" customFormat="false" ht="15" hidden="false" customHeight="false" outlineLevel="0" collapsed="false">
      <c r="A881" s="19" t="s">
        <v>89</v>
      </c>
      <c r="B881" s="19" t="s">
        <v>44</v>
      </c>
      <c r="C881" s="19" t="s">
        <v>54</v>
      </c>
      <c r="D881" s="20" t="n">
        <v>240.4</v>
      </c>
      <c r="E881" s="21" t="n">
        <v>4522.95</v>
      </c>
      <c r="F881" s="22" t="n">
        <f aca="false">D881*E881</f>
        <v>1087317.18</v>
      </c>
      <c r="G881" s="2"/>
    </row>
    <row r="882" customFormat="false" ht="15" hidden="false" customHeight="false" outlineLevel="0" collapsed="false">
      <c r="A882" s="19" t="s">
        <v>89</v>
      </c>
      <c r="B882" s="19" t="s">
        <v>44</v>
      </c>
      <c r="C882" s="19" t="s">
        <v>55</v>
      </c>
      <c r="D882" s="20" t="n">
        <v>236.3</v>
      </c>
      <c r="E882" s="21" t="n">
        <v>4549.72</v>
      </c>
      <c r="F882" s="22" t="n">
        <f aca="false">D882*E882</f>
        <v>1075098.836</v>
      </c>
      <c r="G882" s="2"/>
    </row>
    <row r="883" customFormat="false" ht="15" hidden="false" customHeight="false" outlineLevel="0" collapsed="false">
      <c r="A883" s="19" t="s">
        <v>89</v>
      </c>
      <c r="B883" s="19" t="s">
        <v>44</v>
      </c>
      <c r="C883" s="19" t="s">
        <v>56</v>
      </c>
      <c r="D883" s="20" t="n">
        <v>231.1</v>
      </c>
      <c r="E883" s="21" t="n">
        <v>4537.88</v>
      </c>
      <c r="F883" s="22" t="n">
        <f aca="false">D883*E883</f>
        <v>1048704.068</v>
      </c>
      <c r="G883" s="2"/>
    </row>
    <row r="884" customFormat="false" ht="15" hidden="false" customHeight="false" outlineLevel="0" collapsed="false">
      <c r="A884" s="19" t="s">
        <v>89</v>
      </c>
      <c r="B884" s="19" t="s">
        <v>44</v>
      </c>
      <c r="C884" s="19" t="s">
        <v>57</v>
      </c>
      <c r="D884" s="20" t="n">
        <v>243.4</v>
      </c>
      <c r="E884" s="21" t="n">
        <v>4555.36</v>
      </c>
      <c r="F884" s="22" t="n">
        <f aca="false">D884*E884</f>
        <v>1108774.624</v>
      </c>
      <c r="G884" s="2"/>
    </row>
    <row r="885" customFormat="false" ht="15" hidden="false" customHeight="false" outlineLevel="0" collapsed="false">
      <c r="A885" s="19" t="s">
        <v>89</v>
      </c>
      <c r="B885" s="19" t="s">
        <v>44</v>
      </c>
      <c r="C885" s="19" t="s">
        <v>58</v>
      </c>
      <c r="D885" s="20" t="n">
        <v>240.4</v>
      </c>
      <c r="E885" s="21" t="n">
        <v>4581.99</v>
      </c>
      <c r="F885" s="22" t="n">
        <f aca="false">D885*E885</f>
        <v>1101510.396</v>
      </c>
      <c r="G885" s="2"/>
    </row>
    <row r="886" customFormat="false" ht="15" hidden="false" customHeight="false" outlineLevel="0" collapsed="false">
      <c r="A886" s="19" t="s">
        <v>89</v>
      </c>
      <c r="B886" s="19" t="s">
        <v>44</v>
      </c>
      <c r="C886" s="19" t="s">
        <v>59</v>
      </c>
      <c r="D886" s="20" t="n">
        <v>236.9</v>
      </c>
      <c r="E886" s="21" t="n">
        <v>4606.53</v>
      </c>
      <c r="F886" s="22" t="n">
        <f aca="false">D886*E886</f>
        <v>1091286.957</v>
      </c>
      <c r="G886" s="2"/>
    </row>
    <row r="887" customFormat="false" ht="15" hidden="false" customHeight="false" outlineLevel="0" collapsed="false">
      <c r="A887" s="19" t="s">
        <v>89</v>
      </c>
      <c r="B887" s="19" t="s">
        <v>44</v>
      </c>
      <c r="C887" s="19" t="s">
        <v>60</v>
      </c>
      <c r="D887" s="20" t="n">
        <v>243.3</v>
      </c>
      <c r="E887" s="21" t="n">
        <v>4609.94</v>
      </c>
      <c r="F887" s="22" t="n">
        <f aca="false">D887*E887</f>
        <v>1121598.402</v>
      </c>
      <c r="G887" s="2"/>
    </row>
    <row r="888" customFormat="false" ht="15" hidden="false" customHeight="false" outlineLevel="0" collapsed="false">
      <c r="A888" s="19" t="s">
        <v>89</v>
      </c>
      <c r="B888" s="19" t="s">
        <v>44</v>
      </c>
      <c r="C888" s="19" t="s">
        <v>61</v>
      </c>
      <c r="D888" s="20" t="n">
        <v>258.2</v>
      </c>
      <c r="E888" s="21" t="n">
        <v>4631.8</v>
      </c>
      <c r="F888" s="22" t="n">
        <f aca="false">D888*E888</f>
        <v>1195930.76</v>
      </c>
      <c r="G888" s="2"/>
    </row>
    <row r="889" customFormat="false" ht="15" hidden="false" customHeight="false" outlineLevel="0" collapsed="false">
      <c r="A889" s="19" t="s">
        <v>89</v>
      </c>
      <c r="B889" s="19" t="s">
        <v>44</v>
      </c>
      <c r="C889" s="19" t="s">
        <v>62</v>
      </c>
      <c r="D889" s="20" t="n">
        <v>273.2</v>
      </c>
      <c r="E889" s="21" t="n">
        <v>4644.53</v>
      </c>
      <c r="F889" s="22" t="n">
        <f aca="false">D889*E889</f>
        <v>1268885.596</v>
      </c>
      <c r="G889" s="2"/>
    </row>
    <row r="890" customFormat="false" ht="15" hidden="false" customHeight="false" outlineLevel="0" collapsed="false">
      <c r="A890" s="19" t="s">
        <v>89</v>
      </c>
      <c r="B890" s="19" t="s">
        <v>44</v>
      </c>
      <c r="C890" s="19" t="s">
        <v>63</v>
      </c>
      <c r="D890" s="20" t="n">
        <v>267.9</v>
      </c>
      <c r="E890" s="21" t="n">
        <v>4637.82</v>
      </c>
      <c r="F890" s="22" t="n">
        <f aca="false">D890*E890</f>
        <v>1242471.978</v>
      </c>
      <c r="G890" s="2"/>
    </row>
    <row r="891" customFormat="false" ht="15" hidden="false" customHeight="false" outlineLevel="0" collapsed="false">
      <c r="A891" s="19" t="s">
        <v>89</v>
      </c>
      <c r="B891" s="19" t="s">
        <v>44</v>
      </c>
      <c r="C891" s="19" t="s">
        <v>64</v>
      </c>
      <c r="D891" s="20" t="n">
        <v>273.5</v>
      </c>
      <c r="E891" s="21" t="n">
        <v>4660.99</v>
      </c>
      <c r="F891" s="22" t="n">
        <f aca="false">D891*E891</f>
        <v>1274780.765</v>
      </c>
      <c r="G891" s="2"/>
    </row>
    <row r="892" customFormat="false" ht="15" hidden="false" customHeight="false" outlineLevel="0" collapsed="false">
      <c r="A892" s="19" t="s">
        <v>89</v>
      </c>
      <c r="B892" s="19" t="s">
        <v>44</v>
      </c>
      <c r="C892" s="19" t="s">
        <v>65</v>
      </c>
      <c r="D892" s="20" t="n">
        <v>272.1</v>
      </c>
      <c r="E892" s="21" t="n">
        <v>4676.46</v>
      </c>
      <c r="F892" s="22" t="n">
        <f aca="false">D892*E892</f>
        <v>1272464.766</v>
      </c>
      <c r="G892" s="2"/>
    </row>
    <row r="893" customFormat="false" ht="15" hidden="false" customHeight="false" outlineLevel="0" collapsed="false">
      <c r="A893" s="19" t="s">
        <v>89</v>
      </c>
      <c r="B893" s="19" t="s">
        <v>44</v>
      </c>
      <c r="C893" s="19" t="s">
        <v>66</v>
      </c>
      <c r="D893" s="20" t="n">
        <v>277.6</v>
      </c>
      <c r="E893" s="21" t="n">
        <v>4668.36</v>
      </c>
      <c r="F893" s="22" t="n">
        <f aca="false">D893*E893</f>
        <v>1295936.736</v>
      </c>
      <c r="G893" s="2"/>
    </row>
    <row r="894" customFormat="false" ht="15" hidden="false" customHeight="false" outlineLevel="0" collapsed="false">
      <c r="A894" s="19" t="s">
        <v>89</v>
      </c>
      <c r="B894" s="19" t="s">
        <v>44</v>
      </c>
      <c r="C894" s="19" t="s">
        <v>67</v>
      </c>
      <c r="D894" s="20" t="n">
        <v>270.3</v>
      </c>
      <c r="E894" s="21" t="n">
        <v>4673.77</v>
      </c>
      <c r="F894" s="22" t="n">
        <f aca="false">D894*E894</f>
        <v>1263320.031</v>
      </c>
      <c r="G894" s="2"/>
    </row>
    <row r="895" customFormat="false" ht="15" hidden="false" customHeight="false" outlineLevel="0" collapsed="false">
      <c r="A895" s="19" t="s">
        <v>89</v>
      </c>
      <c r="B895" s="19" t="s">
        <v>44</v>
      </c>
      <c r="C895" s="19" t="s">
        <v>68</v>
      </c>
      <c r="D895" s="20" t="n">
        <v>272.1</v>
      </c>
      <c r="E895" s="21" t="n">
        <v>4675.77</v>
      </c>
      <c r="F895" s="22" t="n">
        <f aca="false">D895*E895</f>
        <v>1272277.017</v>
      </c>
      <c r="G895" s="2"/>
    </row>
    <row r="896" customFormat="false" ht="15" hidden="false" customHeight="false" outlineLevel="0" collapsed="false">
      <c r="A896" s="19" t="s">
        <v>89</v>
      </c>
      <c r="B896" s="19" t="s">
        <v>44</v>
      </c>
      <c r="C896" s="19" t="s">
        <v>69</v>
      </c>
      <c r="D896" s="20" t="n">
        <v>279</v>
      </c>
      <c r="E896" s="21" t="n">
        <v>4688.53</v>
      </c>
      <c r="F896" s="22" t="n">
        <f aca="false">D896*E896</f>
        <v>1308099.87</v>
      </c>
      <c r="G896" s="2"/>
    </row>
    <row r="897" customFormat="false" ht="15" hidden="false" customHeight="false" outlineLevel="0" collapsed="false">
      <c r="A897" s="19" t="s">
        <v>89</v>
      </c>
      <c r="B897" s="19" t="s">
        <v>44</v>
      </c>
      <c r="C897" s="19" t="s">
        <v>70</v>
      </c>
      <c r="D897" s="20" t="n">
        <v>295.3</v>
      </c>
      <c r="E897" s="21" t="n">
        <v>4695.79</v>
      </c>
      <c r="F897" s="22" t="n">
        <f aca="false">D897*E897</f>
        <v>1386666.787</v>
      </c>
      <c r="G897" s="2"/>
    </row>
    <row r="898" customFormat="false" ht="15" hidden="false" customHeight="false" outlineLevel="0" collapsed="false">
      <c r="A898" s="19" t="s">
        <v>89</v>
      </c>
      <c r="B898" s="19" t="s">
        <v>44</v>
      </c>
      <c r="C898" s="19" t="s">
        <v>71</v>
      </c>
      <c r="D898" s="20" t="n">
        <v>293.6</v>
      </c>
      <c r="E898" s="21" t="n">
        <v>4683.07</v>
      </c>
      <c r="F898" s="22" t="n">
        <f aca="false">D898*E898</f>
        <v>1374949.352</v>
      </c>
      <c r="G898" s="2"/>
    </row>
    <row r="899" customFormat="false" ht="15" hidden="false" customHeight="false" outlineLevel="0" collapsed="false">
      <c r="A899" s="19" t="s">
        <v>89</v>
      </c>
      <c r="B899" s="19" t="s">
        <v>44</v>
      </c>
      <c r="C899" s="19" t="s">
        <v>72</v>
      </c>
      <c r="D899" s="20" t="n">
        <v>286.6</v>
      </c>
      <c r="E899" s="21" t="n">
        <v>4671.86</v>
      </c>
      <c r="F899" s="22" t="n">
        <f aca="false">D899*E899</f>
        <v>1338955.076</v>
      </c>
      <c r="G899" s="2"/>
    </row>
    <row r="900" customFormat="false" ht="15" hidden="false" customHeight="false" outlineLevel="0" collapsed="false">
      <c r="A900" s="19" t="s">
        <v>89</v>
      </c>
      <c r="B900" s="19" t="s">
        <v>44</v>
      </c>
      <c r="C900" s="19" t="s">
        <v>73</v>
      </c>
      <c r="D900" s="20" t="n">
        <v>280.4</v>
      </c>
      <c r="E900" s="21" t="n">
        <v>4693.09</v>
      </c>
      <c r="F900" s="22" t="n">
        <f aca="false">D900*E900</f>
        <v>1315942.436</v>
      </c>
      <c r="G900" s="2"/>
    </row>
    <row r="901" customFormat="false" ht="15" hidden="false" customHeight="false" outlineLevel="0" collapsed="false">
      <c r="A901" s="19" t="s">
        <v>89</v>
      </c>
      <c r="B901" s="19" t="s">
        <v>44</v>
      </c>
      <c r="C901" s="19" t="s">
        <v>74</v>
      </c>
      <c r="D901" s="20" t="n">
        <v>275.6</v>
      </c>
      <c r="E901" s="21" t="n">
        <v>4695.58</v>
      </c>
      <c r="F901" s="22" t="n">
        <f aca="false">D901*E901</f>
        <v>1294101.848</v>
      </c>
      <c r="G901" s="2"/>
    </row>
    <row r="902" customFormat="false" ht="15" hidden="false" customHeight="false" outlineLevel="0" collapsed="false">
      <c r="A902" s="19" t="s">
        <v>89</v>
      </c>
      <c r="B902" s="19" t="s">
        <v>44</v>
      </c>
      <c r="C902" s="19" t="s">
        <v>75</v>
      </c>
      <c r="D902" s="20" t="n">
        <v>283.6</v>
      </c>
      <c r="E902" s="21" t="n">
        <v>4690.91</v>
      </c>
      <c r="F902" s="22" t="n">
        <f aca="false">D902*E902</f>
        <v>1330342.076</v>
      </c>
      <c r="G902" s="2"/>
    </row>
    <row r="903" customFormat="false" ht="15" hidden="false" customHeight="false" outlineLevel="0" collapsed="false">
      <c r="A903" s="19" t="s">
        <v>89</v>
      </c>
      <c r="B903" s="19" t="s">
        <v>44</v>
      </c>
      <c r="C903" s="19" t="s">
        <v>76</v>
      </c>
      <c r="D903" s="20" t="n">
        <v>287.8</v>
      </c>
      <c r="E903" s="21" t="n">
        <v>4687.25</v>
      </c>
      <c r="F903" s="22" t="n">
        <f aca="false">D903*E903</f>
        <v>1348990.55</v>
      </c>
      <c r="G903" s="2"/>
    </row>
    <row r="904" customFormat="false" ht="15" hidden="false" customHeight="false" outlineLevel="0" collapsed="false">
      <c r="A904" s="19" t="s">
        <v>89</v>
      </c>
      <c r="B904" s="19" t="s">
        <v>44</v>
      </c>
      <c r="C904" s="19" t="s">
        <v>77</v>
      </c>
      <c r="D904" s="20" t="n">
        <v>301.4</v>
      </c>
      <c r="E904" s="21" t="n">
        <v>4711.89</v>
      </c>
      <c r="F904" s="22" t="n">
        <f aca="false">D904*E904</f>
        <v>1420163.646</v>
      </c>
      <c r="G904" s="2"/>
    </row>
    <row r="905" customFormat="false" ht="15" hidden="false" customHeight="false" outlineLevel="0" collapsed="false">
      <c r="A905" s="19" t="s">
        <v>89</v>
      </c>
      <c r="B905" s="19" t="s">
        <v>44</v>
      </c>
      <c r="C905" s="19" t="s">
        <v>78</v>
      </c>
      <c r="D905" s="20" t="n">
        <v>294.4</v>
      </c>
      <c r="E905" s="21" t="n">
        <v>4739.3</v>
      </c>
      <c r="F905" s="22" t="n">
        <f aca="false">D905*E905</f>
        <v>1395249.92</v>
      </c>
      <c r="G905" s="2"/>
    </row>
    <row r="906" customFormat="false" ht="15" hidden="false" customHeight="false" outlineLevel="0" collapsed="false">
      <c r="A906" s="19" t="s">
        <v>89</v>
      </c>
      <c r="B906" s="19" t="s">
        <v>44</v>
      </c>
      <c r="C906" s="19" t="s">
        <v>79</v>
      </c>
      <c r="D906" s="20" t="n">
        <v>301.2</v>
      </c>
      <c r="E906" s="21" t="n">
        <v>4732.32</v>
      </c>
      <c r="F906" s="22" t="n">
        <f aca="false">D906*E906</f>
        <v>1425374.784</v>
      </c>
      <c r="G906" s="2"/>
    </row>
    <row r="907" customFormat="false" ht="15" hidden="false" customHeight="false" outlineLevel="0" collapsed="false">
      <c r="A907" s="19" t="s">
        <v>89</v>
      </c>
      <c r="B907" s="19" t="s">
        <v>44</v>
      </c>
      <c r="C907" s="19" t="s">
        <v>80</v>
      </c>
      <c r="D907" s="20" t="n">
        <v>311.6</v>
      </c>
      <c r="E907" s="21" t="n">
        <v>4754.03</v>
      </c>
      <c r="F907" s="22" t="n">
        <f aca="false">D907*E907</f>
        <v>1481355.748</v>
      </c>
      <c r="G907" s="2"/>
    </row>
    <row r="908" customFormat="false" ht="15" hidden="false" customHeight="false" outlineLevel="0" collapsed="false">
      <c r="A908" s="19" t="s">
        <v>89</v>
      </c>
      <c r="B908" s="19" t="s">
        <v>81</v>
      </c>
      <c r="C908" s="19" t="s">
        <v>45</v>
      </c>
      <c r="D908" s="20" t="n">
        <v>124.9</v>
      </c>
      <c r="E908" s="21" t="n">
        <v>4917.8</v>
      </c>
      <c r="F908" s="22" t="n">
        <f aca="false">D908*E908</f>
        <v>614233.22</v>
      </c>
      <c r="G908" s="2"/>
    </row>
    <row r="909" customFormat="false" ht="15" hidden="false" customHeight="false" outlineLevel="0" collapsed="false">
      <c r="A909" s="19" t="s">
        <v>89</v>
      </c>
      <c r="B909" s="19" t="s">
        <v>81</v>
      </c>
      <c r="C909" s="19" t="s">
        <v>46</v>
      </c>
      <c r="D909" s="20" t="n">
        <v>126.8</v>
      </c>
      <c r="E909" s="21" t="n">
        <v>4922.38</v>
      </c>
      <c r="F909" s="22" t="n">
        <f aca="false">D909*E909</f>
        <v>624157.784</v>
      </c>
      <c r="G909" s="2"/>
    </row>
    <row r="910" customFormat="false" ht="15" hidden="false" customHeight="false" outlineLevel="0" collapsed="false">
      <c r="A910" s="19" t="s">
        <v>89</v>
      </c>
      <c r="B910" s="19" t="s">
        <v>81</v>
      </c>
      <c r="C910" s="19" t="s">
        <v>47</v>
      </c>
      <c r="D910" s="20" t="n">
        <v>133.7</v>
      </c>
      <c r="E910" s="21" t="n">
        <v>4947.38</v>
      </c>
      <c r="F910" s="22" t="n">
        <f aca="false">D910*E910</f>
        <v>661464.706</v>
      </c>
      <c r="G910" s="2"/>
    </row>
    <row r="911" customFormat="false" ht="15" hidden="false" customHeight="false" outlineLevel="0" collapsed="false">
      <c r="A911" s="19" t="s">
        <v>89</v>
      </c>
      <c r="B911" s="19" t="s">
        <v>81</v>
      </c>
      <c r="C911" s="19" t="s">
        <v>48</v>
      </c>
      <c r="D911" s="20" t="n">
        <v>138.6</v>
      </c>
      <c r="E911" s="21" t="n">
        <v>4959.64</v>
      </c>
      <c r="F911" s="22" t="n">
        <f aca="false">D911*E911</f>
        <v>687406.104</v>
      </c>
      <c r="G911" s="2"/>
    </row>
    <row r="912" customFormat="false" ht="15" hidden="false" customHeight="false" outlineLevel="0" collapsed="false">
      <c r="A912" s="19" t="s">
        <v>89</v>
      </c>
      <c r="B912" s="19" t="s">
        <v>81</v>
      </c>
      <c r="C912" s="19" t="s">
        <v>49</v>
      </c>
      <c r="D912" s="20" t="n">
        <v>137</v>
      </c>
      <c r="E912" s="21" t="n">
        <v>4955.02</v>
      </c>
      <c r="F912" s="22" t="n">
        <f aca="false">D912*E912</f>
        <v>678837.74</v>
      </c>
      <c r="G912" s="2"/>
    </row>
    <row r="913" customFormat="false" ht="15" hidden="false" customHeight="false" outlineLevel="0" collapsed="false">
      <c r="A913" s="19" t="s">
        <v>89</v>
      </c>
      <c r="B913" s="19" t="s">
        <v>81</v>
      </c>
      <c r="C913" s="19" t="s">
        <v>50</v>
      </c>
      <c r="D913" s="20" t="n">
        <v>137.5</v>
      </c>
      <c r="E913" s="21" t="n">
        <v>4962.4</v>
      </c>
      <c r="F913" s="22" t="n">
        <f aca="false">D913*E913</f>
        <v>682330</v>
      </c>
      <c r="G913" s="2"/>
    </row>
    <row r="914" customFormat="false" ht="15" hidden="false" customHeight="false" outlineLevel="0" collapsed="false">
      <c r="A914" s="19" t="s">
        <v>89</v>
      </c>
      <c r="B914" s="19" t="s">
        <v>81</v>
      </c>
      <c r="C914" s="19" t="s">
        <v>51</v>
      </c>
      <c r="D914" s="20" t="n">
        <v>140.9</v>
      </c>
      <c r="E914" s="21" t="n">
        <v>4976.99</v>
      </c>
      <c r="F914" s="22" t="n">
        <f aca="false">D914*E914</f>
        <v>701257.891</v>
      </c>
      <c r="G914" s="2"/>
    </row>
    <row r="915" customFormat="false" ht="15" hidden="false" customHeight="false" outlineLevel="0" collapsed="false">
      <c r="A915" s="19" t="s">
        <v>89</v>
      </c>
      <c r="B915" s="19" t="s">
        <v>81</v>
      </c>
      <c r="C915" s="19" t="s">
        <v>52</v>
      </c>
      <c r="D915" s="20" t="n">
        <v>144.8</v>
      </c>
      <c r="E915" s="21" t="n">
        <v>4986.01</v>
      </c>
      <c r="F915" s="22" t="n">
        <f aca="false">D915*E915</f>
        <v>721974.248</v>
      </c>
      <c r="G915" s="2"/>
    </row>
    <row r="916" customFormat="false" ht="15" hidden="false" customHeight="false" outlineLevel="0" collapsed="false">
      <c r="A916" s="19" t="s">
        <v>89</v>
      </c>
      <c r="B916" s="19" t="s">
        <v>81</v>
      </c>
      <c r="C916" s="19" t="s">
        <v>53</v>
      </c>
      <c r="D916" s="20" t="n">
        <v>151.8</v>
      </c>
      <c r="E916" s="21" t="n">
        <v>4988.55</v>
      </c>
      <c r="F916" s="22" t="n">
        <f aca="false">D916*E916</f>
        <v>757261.89</v>
      </c>
      <c r="G916" s="2"/>
    </row>
    <row r="917" customFormat="false" ht="15" hidden="false" customHeight="false" outlineLevel="0" collapsed="false">
      <c r="A917" s="19" t="s">
        <v>89</v>
      </c>
      <c r="B917" s="19" t="s">
        <v>81</v>
      </c>
      <c r="C917" s="19" t="s">
        <v>54</v>
      </c>
      <c r="D917" s="20" t="n">
        <v>153.7</v>
      </c>
      <c r="E917" s="21" t="n">
        <v>4994.64</v>
      </c>
      <c r="F917" s="22" t="n">
        <f aca="false">D917*E917</f>
        <v>767676.168</v>
      </c>
      <c r="G917" s="2"/>
    </row>
    <row r="918" customFormat="false" ht="15" hidden="false" customHeight="false" outlineLevel="0" collapsed="false">
      <c r="A918" s="19" t="s">
        <v>89</v>
      </c>
      <c r="B918" s="19" t="s">
        <v>81</v>
      </c>
      <c r="C918" s="19" t="s">
        <v>55</v>
      </c>
      <c r="D918" s="20" t="n">
        <v>159.6</v>
      </c>
      <c r="E918" s="21" t="n">
        <v>4984.14</v>
      </c>
      <c r="F918" s="22" t="n">
        <f aca="false">D918*E918</f>
        <v>795468.744</v>
      </c>
      <c r="G918" s="2"/>
    </row>
    <row r="919" customFormat="false" ht="15" hidden="false" customHeight="false" outlineLevel="0" collapsed="false">
      <c r="A919" s="19" t="s">
        <v>89</v>
      </c>
      <c r="B919" s="19" t="s">
        <v>81</v>
      </c>
      <c r="C919" s="19" t="s">
        <v>56</v>
      </c>
      <c r="D919" s="20" t="n">
        <v>160.6</v>
      </c>
      <c r="E919" s="21" t="n">
        <v>4978.99</v>
      </c>
      <c r="F919" s="22" t="n">
        <f aca="false">D919*E919</f>
        <v>799625.794</v>
      </c>
      <c r="G919" s="2"/>
    </row>
    <row r="920" customFormat="false" ht="15" hidden="false" customHeight="false" outlineLevel="0" collapsed="false">
      <c r="A920" s="19" t="s">
        <v>89</v>
      </c>
      <c r="B920" s="19" t="s">
        <v>81</v>
      </c>
      <c r="C920" s="19" t="s">
        <v>57</v>
      </c>
      <c r="D920" s="20" t="n">
        <v>160.2</v>
      </c>
      <c r="E920" s="21" t="n">
        <v>4994.19</v>
      </c>
      <c r="F920" s="22" t="n">
        <f aca="false">D920*E920</f>
        <v>800069.238</v>
      </c>
      <c r="G920" s="2"/>
    </row>
    <row r="921" customFormat="false" ht="15" hidden="false" customHeight="false" outlineLevel="0" collapsed="false">
      <c r="A921" s="19" t="s">
        <v>89</v>
      </c>
      <c r="B921" s="19" t="s">
        <v>81</v>
      </c>
      <c r="C921" s="19" t="s">
        <v>58</v>
      </c>
      <c r="D921" s="20" t="n">
        <v>157.3</v>
      </c>
      <c r="E921" s="21" t="n">
        <v>4979.41</v>
      </c>
      <c r="F921" s="22" t="n">
        <f aca="false">D921*E921</f>
        <v>783261.193</v>
      </c>
      <c r="G921" s="2"/>
    </row>
    <row r="922" customFormat="false" ht="15" hidden="false" customHeight="false" outlineLevel="0" collapsed="false">
      <c r="A922" s="19" t="s">
        <v>89</v>
      </c>
      <c r="B922" s="19" t="s">
        <v>81</v>
      </c>
      <c r="C922" s="19" t="s">
        <v>59</v>
      </c>
      <c r="D922" s="20" t="n">
        <v>157</v>
      </c>
      <c r="E922" s="21" t="n">
        <v>5002.43</v>
      </c>
      <c r="F922" s="22" t="n">
        <f aca="false">D922*E922</f>
        <v>785381.51</v>
      </c>
      <c r="G922" s="2"/>
    </row>
    <row r="923" customFormat="false" ht="15" hidden="false" customHeight="false" outlineLevel="0" collapsed="false">
      <c r="A923" s="19" t="s">
        <v>89</v>
      </c>
      <c r="B923" s="19" t="s">
        <v>81</v>
      </c>
      <c r="C923" s="19" t="s">
        <v>60</v>
      </c>
      <c r="D923" s="20" t="n">
        <v>160.9</v>
      </c>
      <c r="E923" s="21" t="n">
        <v>5031.33</v>
      </c>
      <c r="F923" s="22" t="n">
        <f aca="false">D923*E923</f>
        <v>809540.997</v>
      </c>
      <c r="G923" s="2"/>
    </row>
    <row r="924" customFormat="false" ht="15" hidden="false" customHeight="false" outlineLevel="0" collapsed="false">
      <c r="A924" s="19" t="s">
        <v>89</v>
      </c>
      <c r="B924" s="19" t="s">
        <v>81</v>
      </c>
      <c r="C924" s="19" t="s">
        <v>61</v>
      </c>
      <c r="D924" s="20" t="n">
        <v>161.5</v>
      </c>
      <c r="E924" s="21" t="n">
        <v>5052.84</v>
      </c>
      <c r="F924" s="22" t="n">
        <f aca="false">D924*E924</f>
        <v>816033.66</v>
      </c>
      <c r="G924" s="2"/>
    </row>
    <row r="925" customFormat="false" ht="15" hidden="false" customHeight="false" outlineLevel="0" collapsed="false">
      <c r="A925" s="19" t="s">
        <v>89</v>
      </c>
      <c r="B925" s="19" t="s">
        <v>81</v>
      </c>
      <c r="C925" s="19" t="s">
        <v>62</v>
      </c>
      <c r="D925" s="20" t="n">
        <v>168</v>
      </c>
      <c r="E925" s="21" t="n">
        <v>5077.46</v>
      </c>
      <c r="F925" s="22" t="n">
        <f aca="false">D925*E925</f>
        <v>853013.28</v>
      </c>
      <c r="G925" s="2"/>
    </row>
    <row r="926" customFormat="false" ht="15" hidden="false" customHeight="false" outlineLevel="0" collapsed="false">
      <c r="A926" s="19" t="s">
        <v>89</v>
      </c>
      <c r="B926" s="19" t="s">
        <v>81</v>
      </c>
      <c r="C926" s="19" t="s">
        <v>63</v>
      </c>
      <c r="D926" s="20" t="n">
        <v>171.6</v>
      </c>
      <c r="E926" s="21" t="n">
        <v>5097.3</v>
      </c>
      <c r="F926" s="22" t="n">
        <f aca="false">D926*E926</f>
        <v>874696.68</v>
      </c>
      <c r="G926" s="2"/>
    </row>
    <row r="927" customFormat="false" ht="15" hidden="false" customHeight="false" outlineLevel="0" collapsed="false">
      <c r="A927" s="19" t="s">
        <v>89</v>
      </c>
      <c r="B927" s="19" t="s">
        <v>81</v>
      </c>
      <c r="C927" s="19" t="s">
        <v>64</v>
      </c>
      <c r="D927" s="20" t="n">
        <v>176.8</v>
      </c>
      <c r="E927" s="21" t="n">
        <v>5110.4</v>
      </c>
      <c r="F927" s="22" t="n">
        <f aca="false">D927*E927</f>
        <v>903518.72</v>
      </c>
      <c r="G927" s="2"/>
    </row>
    <row r="928" customFormat="false" ht="15" hidden="false" customHeight="false" outlineLevel="0" collapsed="false">
      <c r="A928" s="19" t="s">
        <v>89</v>
      </c>
      <c r="B928" s="19" t="s">
        <v>81</v>
      </c>
      <c r="C928" s="19" t="s">
        <v>65</v>
      </c>
      <c r="D928" s="20" t="n">
        <v>187.5</v>
      </c>
      <c r="E928" s="21" t="n">
        <v>5114.64</v>
      </c>
      <c r="F928" s="22" t="n">
        <f aca="false">D928*E928</f>
        <v>958995</v>
      </c>
      <c r="G928" s="2"/>
    </row>
    <row r="929" customFormat="false" ht="15" hidden="false" customHeight="false" outlineLevel="0" collapsed="false">
      <c r="A929" s="19" t="s">
        <v>89</v>
      </c>
      <c r="B929" s="19" t="s">
        <v>81</v>
      </c>
      <c r="C929" s="19" t="s">
        <v>66</v>
      </c>
      <c r="D929" s="20" t="n">
        <v>182.6</v>
      </c>
      <c r="E929" s="21" t="n">
        <v>5127.72</v>
      </c>
      <c r="F929" s="22" t="n">
        <f aca="false">D929*E929</f>
        <v>936321.672</v>
      </c>
      <c r="G929" s="2"/>
    </row>
    <row r="930" customFormat="false" ht="15" hidden="false" customHeight="false" outlineLevel="0" collapsed="false">
      <c r="A930" s="19" t="s">
        <v>89</v>
      </c>
      <c r="B930" s="19" t="s">
        <v>81</v>
      </c>
      <c r="C930" s="19" t="s">
        <v>67</v>
      </c>
      <c r="D930" s="20" t="n">
        <v>181.2</v>
      </c>
      <c r="E930" s="21" t="n">
        <v>5126.51</v>
      </c>
      <c r="F930" s="22" t="n">
        <f aca="false">D930*E930</f>
        <v>928923.612</v>
      </c>
      <c r="G930" s="2"/>
    </row>
    <row r="931" customFormat="false" ht="15" hidden="false" customHeight="false" outlineLevel="0" collapsed="false">
      <c r="A931" s="19" t="s">
        <v>89</v>
      </c>
      <c r="B931" s="19" t="s">
        <v>81</v>
      </c>
      <c r="C931" s="19" t="s">
        <v>68</v>
      </c>
      <c r="D931" s="20" t="n">
        <v>183.9</v>
      </c>
      <c r="E931" s="21" t="n">
        <v>5153.46</v>
      </c>
      <c r="F931" s="22" t="n">
        <f aca="false">D931*E931</f>
        <v>947721.294</v>
      </c>
      <c r="G931" s="2"/>
    </row>
    <row r="932" customFormat="false" ht="15" hidden="false" customHeight="false" outlineLevel="0" collapsed="false">
      <c r="A932" s="19" t="s">
        <v>89</v>
      </c>
      <c r="B932" s="19" t="s">
        <v>81</v>
      </c>
      <c r="C932" s="19" t="s">
        <v>69</v>
      </c>
      <c r="D932" s="20" t="n">
        <v>179.2</v>
      </c>
      <c r="E932" s="21" t="n">
        <v>5160.54</v>
      </c>
      <c r="F932" s="22" t="n">
        <f aca="false">D932*E932</f>
        <v>924768.768</v>
      </c>
      <c r="G932" s="2"/>
    </row>
    <row r="933" customFormat="false" ht="15" hidden="false" customHeight="false" outlineLevel="0" collapsed="false">
      <c r="A933" s="19" t="s">
        <v>89</v>
      </c>
      <c r="B933" s="19" t="s">
        <v>81</v>
      </c>
      <c r="C933" s="19" t="s">
        <v>70</v>
      </c>
      <c r="D933" s="20" t="n">
        <v>188.1</v>
      </c>
      <c r="E933" s="21" t="n">
        <v>5182.09</v>
      </c>
      <c r="F933" s="22" t="n">
        <f aca="false">D933*E933</f>
        <v>974751.129</v>
      </c>
      <c r="G933" s="2"/>
    </row>
    <row r="934" customFormat="false" ht="15" hidden="false" customHeight="false" outlineLevel="0" collapsed="false">
      <c r="A934" s="19" t="s">
        <v>89</v>
      </c>
      <c r="B934" s="19" t="s">
        <v>81</v>
      </c>
      <c r="C934" s="19" t="s">
        <v>71</v>
      </c>
      <c r="D934" s="20" t="n">
        <v>184.5</v>
      </c>
      <c r="E934" s="21" t="n">
        <v>5170.67</v>
      </c>
      <c r="F934" s="22" t="n">
        <f aca="false">D934*E934</f>
        <v>953988.615</v>
      </c>
      <c r="G934" s="2"/>
    </row>
    <row r="935" customFormat="false" ht="15" hidden="false" customHeight="false" outlineLevel="0" collapsed="false">
      <c r="A935" s="19" t="s">
        <v>89</v>
      </c>
      <c r="B935" s="19" t="s">
        <v>81</v>
      </c>
      <c r="C935" s="19" t="s">
        <v>72</v>
      </c>
      <c r="D935" s="20" t="n">
        <v>184.3</v>
      </c>
      <c r="E935" s="21" t="n">
        <v>5173.28</v>
      </c>
      <c r="F935" s="22" t="n">
        <f aca="false">D935*E935</f>
        <v>953435.504</v>
      </c>
      <c r="G935" s="2"/>
    </row>
    <row r="936" customFormat="false" ht="15" hidden="false" customHeight="false" outlineLevel="0" collapsed="false">
      <c r="A936" s="19" t="s">
        <v>89</v>
      </c>
      <c r="B936" s="19" t="s">
        <v>81</v>
      </c>
      <c r="C936" s="19" t="s">
        <v>73</v>
      </c>
      <c r="D936" s="20" t="n">
        <v>190.4</v>
      </c>
      <c r="E936" s="21" t="n">
        <v>5175.44</v>
      </c>
      <c r="F936" s="22" t="n">
        <f aca="false">D936*E936</f>
        <v>985403.776</v>
      </c>
      <c r="G936" s="2"/>
    </row>
    <row r="937" customFormat="false" ht="15" hidden="false" customHeight="false" outlineLevel="0" collapsed="false">
      <c r="A937" s="19" t="s">
        <v>89</v>
      </c>
      <c r="B937" s="19" t="s">
        <v>81</v>
      </c>
      <c r="C937" s="19" t="s">
        <v>74</v>
      </c>
      <c r="D937" s="20" t="n">
        <v>199.8</v>
      </c>
      <c r="E937" s="21" t="n">
        <v>5173.22</v>
      </c>
      <c r="F937" s="22" t="n">
        <f aca="false">D937*E937</f>
        <v>1033609.356</v>
      </c>
      <c r="G937" s="2"/>
    </row>
    <row r="938" customFormat="false" ht="15" hidden="false" customHeight="false" outlineLevel="0" collapsed="false">
      <c r="A938" s="19" t="s">
        <v>89</v>
      </c>
      <c r="B938" s="19" t="s">
        <v>81</v>
      </c>
      <c r="C938" s="19" t="s">
        <v>75</v>
      </c>
      <c r="D938" s="20" t="n">
        <v>196.2</v>
      </c>
      <c r="E938" s="21" t="n">
        <v>5158.79</v>
      </c>
      <c r="F938" s="22" t="n">
        <f aca="false">D938*E938</f>
        <v>1012154.598</v>
      </c>
      <c r="G938" s="2"/>
    </row>
    <row r="939" customFormat="false" ht="15" hidden="false" customHeight="false" outlineLevel="0" collapsed="false">
      <c r="A939" s="19" t="s">
        <v>89</v>
      </c>
      <c r="B939" s="19" t="s">
        <v>81</v>
      </c>
      <c r="C939" s="19" t="s">
        <v>76</v>
      </c>
      <c r="D939" s="20" t="n">
        <v>204.9</v>
      </c>
      <c r="E939" s="21" t="n">
        <v>5182.99</v>
      </c>
      <c r="F939" s="22" t="n">
        <f aca="false">D939*E939</f>
        <v>1061994.651</v>
      </c>
      <c r="G939" s="2"/>
    </row>
    <row r="940" customFormat="false" ht="15" hidden="false" customHeight="false" outlineLevel="0" collapsed="false">
      <c r="A940" s="19" t="s">
        <v>89</v>
      </c>
      <c r="B940" s="19" t="s">
        <v>81</v>
      </c>
      <c r="C940" s="19" t="s">
        <v>77</v>
      </c>
      <c r="D940" s="20" t="n">
        <v>205.7</v>
      </c>
      <c r="E940" s="21" t="n">
        <v>5181.13</v>
      </c>
      <c r="F940" s="22" t="n">
        <f aca="false">D940*E940</f>
        <v>1065758.441</v>
      </c>
      <c r="G940" s="2"/>
    </row>
    <row r="941" customFormat="false" ht="15" hidden="false" customHeight="false" outlineLevel="0" collapsed="false">
      <c r="A941" s="19" t="s">
        <v>89</v>
      </c>
      <c r="B941" s="19" t="s">
        <v>81</v>
      </c>
      <c r="C941" s="19" t="s">
        <v>78</v>
      </c>
      <c r="D941" s="20" t="n">
        <v>209.5</v>
      </c>
      <c r="E941" s="21" t="n">
        <v>5211.41</v>
      </c>
      <c r="F941" s="22" t="n">
        <f aca="false">D941*E941</f>
        <v>1091790.395</v>
      </c>
      <c r="G941" s="2"/>
    </row>
    <row r="942" customFormat="false" ht="15" hidden="false" customHeight="false" outlineLevel="0" collapsed="false">
      <c r="A942" s="19" t="s">
        <v>89</v>
      </c>
      <c r="B942" s="19" t="s">
        <v>81</v>
      </c>
      <c r="C942" s="19" t="s">
        <v>79</v>
      </c>
      <c r="D942" s="20" t="n">
        <v>215.4</v>
      </c>
      <c r="E942" s="21" t="n">
        <v>5206.76</v>
      </c>
      <c r="F942" s="22" t="n">
        <f aca="false">D942*E942</f>
        <v>1121536.104</v>
      </c>
      <c r="G942" s="2"/>
    </row>
    <row r="943" customFormat="false" ht="15" hidden="false" customHeight="false" outlineLevel="0" collapsed="false">
      <c r="A943" s="19" t="s">
        <v>89</v>
      </c>
      <c r="B943" s="19" t="s">
        <v>81</v>
      </c>
      <c r="C943" s="19" t="s">
        <v>80</v>
      </c>
      <c r="D943" s="20" t="n">
        <v>217.5</v>
      </c>
      <c r="E943" s="21" t="n">
        <v>5202.4</v>
      </c>
      <c r="F943" s="22" t="n">
        <f aca="false">D943*E943</f>
        <v>1131522</v>
      </c>
      <c r="G943" s="2"/>
    </row>
    <row r="944" customFormat="false" ht="15" hidden="false" customHeight="false" outlineLevel="0" collapsed="false">
      <c r="A944" s="19" t="s">
        <v>89</v>
      </c>
      <c r="B944" s="19" t="s">
        <v>82</v>
      </c>
      <c r="C944" s="19" t="s">
        <v>45</v>
      </c>
      <c r="D944" s="20" t="n">
        <v>69.5</v>
      </c>
      <c r="E944" s="21" t="n">
        <v>3027.93</v>
      </c>
      <c r="F944" s="22" t="n">
        <f aca="false">D944*E944</f>
        <v>210441.135</v>
      </c>
      <c r="G944" s="2"/>
    </row>
    <row r="945" customFormat="false" ht="15" hidden="false" customHeight="false" outlineLevel="0" collapsed="false">
      <c r="A945" s="19" t="s">
        <v>89</v>
      </c>
      <c r="B945" s="19" t="s">
        <v>82</v>
      </c>
      <c r="C945" s="19" t="s">
        <v>46</v>
      </c>
      <c r="D945" s="20" t="n">
        <v>73.3</v>
      </c>
      <c r="E945" s="21" t="n">
        <v>3027.86</v>
      </c>
      <c r="F945" s="22" t="n">
        <f aca="false">D945*E945</f>
        <v>221942.138</v>
      </c>
      <c r="G945" s="2"/>
    </row>
    <row r="946" customFormat="false" ht="15" hidden="false" customHeight="false" outlineLevel="0" collapsed="false">
      <c r="A946" s="19" t="s">
        <v>89</v>
      </c>
      <c r="B946" s="19" t="s">
        <v>82</v>
      </c>
      <c r="C946" s="19" t="s">
        <v>47</v>
      </c>
      <c r="D946" s="20" t="n">
        <v>76.4</v>
      </c>
      <c r="E946" s="21" t="n">
        <v>3038.48</v>
      </c>
      <c r="F946" s="22" t="n">
        <f aca="false">D946*E946</f>
        <v>232139.872</v>
      </c>
      <c r="G946" s="2"/>
    </row>
    <row r="947" customFormat="false" ht="15" hidden="false" customHeight="false" outlineLevel="0" collapsed="false">
      <c r="A947" s="19" t="s">
        <v>89</v>
      </c>
      <c r="B947" s="19" t="s">
        <v>82</v>
      </c>
      <c r="C947" s="19" t="s">
        <v>48</v>
      </c>
      <c r="D947" s="20" t="n">
        <v>76.9</v>
      </c>
      <c r="E947" s="21" t="n">
        <v>3048.01</v>
      </c>
      <c r="F947" s="22" t="n">
        <f aca="false">D947*E947</f>
        <v>234391.969</v>
      </c>
      <c r="G947" s="2"/>
    </row>
    <row r="948" customFormat="false" ht="15" hidden="false" customHeight="false" outlineLevel="0" collapsed="false">
      <c r="A948" s="19" t="s">
        <v>89</v>
      </c>
      <c r="B948" s="19" t="s">
        <v>82</v>
      </c>
      <c r="C948" s="19" t="s">
        <v>49</v>
      </c>
      <c r="D948" s="20" t="n">
        <v>77.1</v>
      </c>
      <c r="E948" s="21" t="n">
        <v>3060.1</v>
      </c>
      <c r="F948" s="22" t="n">
        <f aca="false">D948*E948</f>
        <v>235933.71</v>
      </c>
      <c r="G948" s="2"/>
    </row>
    <row r="949" customFormat="false" ht="15" hidden="false" customHeight="false" outlineLevel="0" collapsed="false">
      <c r="A949" s="19" t="s">
        <v>89</v>
      </c>
      <c r="B949" s="19" t="s">
        <v>82</v>
      </c>
      <c r="C949" s="19" t="s">
        <v>50</v>
      </c>
      <c r="D949" s="20" t="n">
        <v>77.8</v>
      </c>
      <c r="E949" s="21" t="n">
        <v>3057.07</v>
      </c>
      <c r="F949" s="22" t="n">
        <f aca="false">D949*E949</f>
        <v>237840.046</v>
      </c>
      <c r="G949" s="2"/>
    </row>
    <row r="950" customFormat="false" ht="15" hidden="false" customHeight="false" outlineLevel="0" collapsed="false">
      <c r="A950" s="19" t="s">
        <v>89</v>
      </c>
      <c r="B950" s="19" t="s">
        <v>82</v>
      </c>
      <c r="C950" s="19" t="s">
        <v>51</v>
      </c>
      <c r="D950" s="20" t="n">
        <v>81.6</v>
      </c>
      <c r="E950" s="21" t="n">
        <v>3054.83</v>
      </c>
      <c r="F950" s="22" t="n">
        <f aca="false">D950*E950</f>
        <v>249274.128</v>
      </c>
      <c r="G950" s="2"/>
    </row>
    <row r="951" customFormat="false" ht="15" hidden="false" customHeight="false" outlineLevel="0" collapsed="false">
      <c r="A951" s="19" t="s">
        <v>89</v>
      </c>
      <c r="B951" s="19" t="s">
        <v>82</v>
      </c>
      <c r="C951" s="19" t="s">
        <v>52</v>
      </c>
      <c r="D951" s="20" t="n">
        <v>85</v>
      </c>
      <c r="E951" s="21" t="n">
        <v>3067.63</v>
      </c>
      <c r="F951" s="22" t="n">
        <f aca="false">D951*E951</f>
        <v>260748.55</v>
      </c>
      <c r="G951" s="2"/>
    </row>
    <row r="952" customFormat="false" ht="15" hidden="false" customHeight="false" outlineLevel="0" collapsed="false">
      <c r="A952" s="19" t="s">
        <v>89</v>
      </c>
      <c r="B952" s="19" t="s">
        <v>82</v>
      </c>
      <c r="C952" s="19" t="s">
        <v>53</v>
      </c>
      <c r="D952" s="20" t="n">
        <v>85.1</v>
      </c>
      <c r="E952" s="21" t="n">
        <v>3083.84</v>
      </c>
      <c r="F952" s="22" t="n">
        <f aca="false">D952*E952</f>
        <v>262434.784</v>
      </c>
      <c r="G952" s="2"/>
    </row>
    <row r="953" customFormat="false" ht="15" hidden="false" customHeight="false" outlineLevel="0" collapsed="false">
      <c r="A953" s="19" t="s">
        <v>89</v>
      </c>
      <c r="B953" s="19" t="s">
        <v>82</v>
      </c>
      <c r="C953" s="19" t="s">
        <v>54</v>
      </c>
      <c r="D953" s="20" t="n">
        <v>83.6</v>
      </c>
      <c r="E953" s="21" t="n">
        <v>3076.7</v>
      </c>
      <c r="F953" s="22" t="n">
        <f aca="false">D953*E953</f>
        <v>257212.12</v>
      </c>
      <c r="G953" s="2"/>
    </row>
    <row r="954" customFormat="false" ht="15" hidden="false" customHeight="false" outlineLevel="0" collapsed="false">
      <c r="A954" s="19" t="s">
        <v>89</v>
      </c>
      <c r="B954" s="19" t="s">
        <v>82</v>
      </c>
      <c r="C954" s="19" t="s">
        <v>55</v>
      </c>
      <c r="D954" s="20" t="n">
        <v>82.3</v>
      </c>
      <c r="E954" s="21" t="n">
        <v>3076.64</v>
      </c>
      <c r="F954" s="22" t="n">
        <f aca="false">D954*E954</f>
        <v>253207.472</v>
      </c>
      <c r="G954" s="2"/>
    </row>
    <row r="955" customFormat="false" ht="15" hidden="false" customHeight="false" outlineLevel="0" collapsed="false">
      <c r="A955" s="19" t="s">
        <v>89</v>
      </c>
      <c r="B955" s="19" t="s">
        <v>82</v>
      </c>
      <c r="C955" s="19" t="s">
        <v>56</v>
      </c>
      <c r="D955" s="20" t="n">
        <v>85.8</v>
      </c>
      <c r="E955" s="21" t="n">
        <v>3082.66</v>
      </c>
      <c r="F955" s="22" t="n">
        <f aca="false">D955*E955</f>
        <v>264492.228</v>
      </c>
      <c r="G955" s="2"/>
    </row>
    <row r="956" customFormat="false" ht="15" hidden="false" customHeight="false" outlineLevel="0" collapsed="false">
      <c r="A956" s="19" t="s">
        <v>89</v>
      </c>
      <c r="B956" s="19" t="s">
        <v>82</v>
      </c>
      <c r="C956" s="19" t="s">
        <v>57</v>
      </c>
      <c r="D956" s="20" t="n">
        <v>85.4</v>
      </c>
      <c r="E956" s="21" t="n">
        <v>3086.12</v>
      </c>
      <c r="F956" s="22" t="n">
        <f aca="false">D956*E956</f>
        <v>263554.648</v>
      </c>
      <c r="G956" s="2"/>
    </row>
    <row r="957" customFormat="false" ht="15" hidden="false" customHeight="false" outlineLevel="0" collapsed="false">
      <c r="A957" s="19" t="s">
        <v>89</v>
      </c>
      <c r="B957" s="19" t="s">
        <v>82</v>
      </c>
      <c r="C957" s="19" t="s">
        <v>58</v>
      </c>
      <c r="D957" s="20" t="n">
        <v>87.3</v>
      </c>
      <c r="E957" s="21" t="n">
        <v>3094.64</v>
      </c>
      <c r="F957" s="22" t="n">
        <f aca="false">D957*E957</f>
        <v>270162.072</v>
      </c>
      <c r="G957" s="2"/>
    </row>
    <row r="958" customFormat="false" ht="15" hidden="false" customHeight="false" outlineLevel="0" collapsed="false">
      <c r="A958" s="19" t="s">
        <v>89</v>
      </c>
      <c r="B958" s="19" t="s">
        <v>82</v>
      </c>
      <c r="C958" s="19" t="s">
        <v>59</v>
      </c>
      <c r="D958" s="20" t="n">
        <v>85.2</v>
      </c>
      <c r="E958" s="21" t="n">
        <v>3099.05</v>
      </c>
      <c r="F958" s="22" t="n">
        <f aca="false">D958*E958</f>
        <v>264039.06</v>
      </c>
      <c r="G958" s="2"/>
    </row>
    <row r="959" customFormat="false" ht="15" hidden="false" customHeight="false" outlineLevel="0" collapsed="false">
      <c r="A959" s="19" t="s">
        <v>89</v>
      </c>
      <c r="B959" s="19" t="s">
        <v>82</v>
      </c>
      <c r="C959" s="19" t="s">
        <v>60</v>
      </c>
      <c r="D959" s="20" t="n">
        <v>85</v>
      </c>
      <c r="E959" s="21" t="n">
        <v>3094.5</v>
      </c>
      <c r="F959" s="22" t="n">
        <f aca="false">D959*E959</f>
        <v>263032.5</v>
      </c>
      <c r="G959" s="2"/>
    </row>
    <row r="960" customFormat="false" ht="15" hidden="false" customHeight="false" outlineLevel="0" collapsed="false">
      <c r="A960" s="19" t="s">
        <v>89</v>
      </c>
      <c r="B960" s="19" t="s">
        <v>82</v>
      </c>
      <c r="C960" s="19" t="s">
        <v>61</v>
      </c>
      <c r="D960" s="20" t="n">
        <v>83.6</v>
      </c>
      <c r="E960" s="21" t="n">
        <v>3098.59</v>
      </c>
      <c r="F960" s="22" t="n">
        <f aca="false">D960*E960</f>
        <v>259042.124</v>
      </c>
      <c r="G960" s="2"/>
    </row>
    <row r="961" customFormat="false" ht="15" hidden="false" customHeight="false" outlineLevel="0" collapsed="false">
      <c r="A961" s="19" t="s">
        <v>89</v>
      </c>
      <c r="B961" s="19" t="s">
        <v>82</v>
      </c>
      <c r="C961" s="19" t="s">
        <v>62</v>
      </c>
      <c r="D961" s="20" t="n">
        <v>86.6</v>
      </c>
      <c r="E961" s="21" t="n">
        <v>3114.61</v>
      </c>
      <c r="F961" s="22" t="n">
        <f aca="false">D961*E961</f>
        <v>269725.226</v>
      </c>
      <c r="G961" s="2"/>
    </row>
    <row r="962" customFormat="false" ht="15" hidden="false" customHeight="false" outlineLevel="0" collapsed="false">
      <c r="A962" s="19" t="s">
        <v>89</v>
      </c>
      <c r="B962" s="19" t="s">
        <v>82</v>
      </c>
      <c r="C962" s="19" t="s">
        <v>63</v>
      </c>
      <c r="D962" s="20" t="n">
        <v>88.8</v>
      </c>
      <c r="E962" s="21" t="n">
        <v>3121.04</v>
      </c>
      <c r="F962" s="22" t="n">
        <f aca="false">D962*E962</f>
        <v>277148.352</v>
      </c>
      <c r="G962" s="2"/>
    </row>
    <row r="963" customFormat="false" ht="15" hidden="false" customHeight="false" outlineLevel="0" collapsed="false">
      <c r="A963" s="19" t="s">
        <v>89</v>
      </c>
      <c r="B963" s="19" t="s">
        <v>82</v>
      </c>
      <c r="C963" s="19" t="s">
        <v>64</v>
      </c>
      <c r="D963" s="20" t="n">
        <v>92.1</v>
      </c>
      <c r="E963" s="21" t="n">
        <v>3139.54</v>
      </c>
      <c r="F963" s="22" t="n">
        <f aca="false">D963*E963</f>
        <v>289151.634</v>
      </c>
      <c r="G963" s="2"/>
    </row>
    <row r="964" customFormat="false" ht="15" hidden="false" customHeight="false" outlineLevel="0" collapsed="false">
      <c r="A964" s="19" t="s">
        <v>89</v>
      </c>
      <c r="B964" s="19" t="s">
        <v>82</v>
      </c>
      <c r="C964" s="19" t="s">
        <v>65</v>
      </c>
      <c r="D964" s="20" t="n">
        <v>92</v>
      </c>
      <c r="E964" s="21" t="n">
        <v>3134.7</v>
      </c>
      <c r="F964" s="22" t="n">
        <f aca="false">D964*E964</f>
        <v>288392.4</v>
      </c>
      <c r="G964" s="2"/>
    </row>
    <row r="965" customFormat="false" ht="15" hidden="false" customHeight="false" outlineLevel="0" collapsed="false">
      <c r="A965" s="19" t="s">
        <v>89</v>
      </c>
      <c r="B965" s="19" t="s">
        <v>82</v>
      </c>
      <c r="C965" s="19" t="s">
        <v>66</v>
      </c>
      <c r="D965" s="20" t="n">
        <v>95.7</v>
      </c>
      <c r="E965" s="21" t="n">
        <v>3136.51</v>
      </c>
      <c r="F965" s="22" t="n">
        <f aca="false">D965*E965</f>
        <v>300164.007</v>
      </c>
      <c r="G965" s="2"/>
    </row>
    <row r="966" customFormat="false" ht="15" hidden="false" customHeight="false" outlineLevel="0" collapsed="false">
      <c r="A966" s="19" t="s">
        <v>89</v>
      </c>
      <c r="B966" s="19" t="s">
        <v>82</v>
      </c>
      <c r="C966" s="19" t="s">
        <v>67</v>
      </c>
      <c r="D966" s="20" t="n">
        <v>94.9</v>
      </c>
      <c r="E966" s="21" t="n">
        <v>3151.75</v>
      </c>
      <c r="F966" s="22" t="n">
        <f aca="false">D966*E966</f>
        <v>299101.075</v>
      </c>
      <c r="G966" s="2"/>
    </row>
    <row r="967" customFormat="false" ht="15" hidden="false" customHeight="false" outlineLevel="0" collapsed="false">
      <c r="A967" s="19" t="s">
        <v>89</v>
      </c>
      <c r="B967" s="19" t="s">
        <v>82</v>
      </c>
      <c r="C967" s="19" t="s">
        <v>68</v>
      </c>
      <c r="D967" s="20" t="n">
        <v>100.1</v>
      </c>
      <c r="E967" s="21" t="n">
        <v>3158.29</v>
      </c>
      <c r="F967" s="22" t="n">
        <f aca="false">D967*E967</f>
        <v>316144.829</v>
      </c>
      <c r="G967" s="2"/>
    </row>
    <row r="968" customFormat="false" ht="15" hidden="false" customHeight="false" outlineLevel="0" collapsed="false">
      <c r="A968" s="19" t="s">
        <v>89</v>
      </c>
      <c r="B968" s="19" t="s">
        <v>82</v>
      </c>
      <c r="C968" s="19" t="s">
        <v>69</v>
      </c>
      <c r="D968" s="20" t="n">
        <v>97.4</v>
      </c>
      <c r="E968" s="21" t="n">
        <v>3150.53</v>
      </c>
      <c r="F968" s="22" t="n">
        <f aca="false">D968*E968</f>
        <v>306861.622</v>
      </c>
      <c r="G968" s="2"/>
    </row>
    <row r="969" customFormat="false" ht="15" hidden="false" customHeight="false" outlineLevel="0" collapsed="false">
      <c r="A969" s="19" t="s">
        <v>89</v>
      </c>
      <c r="B969" s="19" t="s">
        <v>82</v>
      </c>
      <c r="C969" s="19" t="s">
        <v>70</v>
      </c>
      <c r="D969" s="20" t="n">
        <v>96.3</v>
      </c>
      <c r="E969" s="21" t="n">
        <v>3155.73</v>
      </c>
      <c r="F969" s="22" t="n">
        <f aca="false">D969*E969</f>
        <v>303896.799</v>
      </c>
      <c r="G969" s="2"/>
    </row>
    <row r="970" customFormat="false" ht="15" hidden="false" customHeight="false" outlineLevel="0" collapsed="false">
      <c r="A970" s="19" t="s">
        <v>89</v>
      </c>
      <c r="B970" s="19" t="s">
        <v>82</v>
      </c>
      <c r="C970" s="19" t="s">
        <v>71</v>
      </c>
      <c r="D970" s="20" t="n">
        <v>95.7</v>
      </c>
      <c r="E970" s="21" t="n">
        <v>3158.7</v>
      </c>
      <c r="F970" s="22" t="n">
        <f aca="false">D970*E970</f>
        <v>302287.59</v>
      </c>
      <c r="G970" s="2"/>
    </row>
    <row r="971" customFormat="false" ht="15" hidden="false" customHeight="false" outlineLevel="0" collapsed="false">
      <c r="A971" s="19" t="s">
        <v>89</v>
      </c>
      <c r="B971" s="19" t="s">
        <v>82</v>
      </c>
      <c r="C971" s="19" t="s">
        <v>72</v>
      </c>
      <c r="D971" s="20" t="n">
        <v>93.2</v>
      </c>
      <c r="E971" s="21" t="n">
        <v>3156.68</v>
      </c>
      <c r="F971" s="22" t="n">
        <f aca="false">D971*E971</f>
        <v>294202.576</v>
      </c>
      <c r="G971" s="2"/>
    </row>
    <row r="972" customFormat="false" ht="15" hidden="false" customHeight="false" outlineLevel="0" collapsed="false">
      <c r="A972" s="19" t="s">
        <v>89</v>
      </c>
      <c r="B972" s="19" t="s">
        <v>82</v>
      </c>
      <c r="C972" s="19" t="s">
        <v>73</v>
      </c>
      <c r="D972" s="20" t="n">
        <v>91</v>
      </c>
      <c r="E972" s="21" t="n">
        <v>3163.41</v>
      </c>
      <c r="F972" s="22" t="n">
        <f aca="false">D972*E972</f>
        <v>287870.31</v>
      </c>
      <c r="G972" s="2"/>
    </row>
    <row r="973" customFormat="false" ht="15" hidden="false" customHeight="false" outlineLevel="0" collapsed="false">
      <c r="A973" s="19" t="s">
        <v>89</v>
      </c>
      <c r="B973" s="19" t="s">
        <v>82</v>
      </c>
      <c r="C973" s="19" t="s">
        <v>74</v>
      </c>
      <c r="D973" s="20" t="n">
        <v>88.8</v>
      </c>
      <c r="E973" s="21" t="n">
        <v>3157.59</v>
      </c>
      <c r="F973" s="22" t="n">
        <f aca="false">D973*E973</f>
        <v>280393.992</v>
      </c>
      <c r="G973" s="2"/>
    </row>
    <row r="974" customFormat="false" ht="15" hidden="false" customHeight="false" outlineLevel="0" collapsed="false">
      <c r="A974" s="19" t="s">
        <v>89</v>
      </c>
      <c r="B974" s="19" t="s">
        <v>82</v>
      </c>
      <c r="C974" s="19" t="s">
        <v>75</v>
      </c>
      <c r="D974" s="20" t="n">
        <v>87.2</v>
      </c>
      <c r="E974" s="21" t="n">
        <v>3164.15</v>
      </c>
      <c r="F974" s="22" t="n">
        <f aca="false">D974*E974</f>
        <v>275913.88</v>
      </c>
      <c r="G974" s="2"/>
    </row>
    <row r="975" customFormat="false" ht="15" hidden="false" customHeight="false" outlineLevel="0" collapsed="false">
      <c r="A975" s="19" t="s">
        <v>89</v>
      </c>
      <c r="B975" s="19" t="s">
        <v>82</v>
      </c>
      <c r="C975" s="19" t="s">
        <v>76</v>
      </c>
      <c r="D975" s="20" t="n">
        <v>87</v>
      </c>
      <c r="E975" s="21" t="n">
        <v>3179.97</v>
      </c>
      <c r="F975" s="22" t="n">
        <f aca="false">D975*E975</f>
        <v>276657.39</v>
      </c>
      <c r="G975" s="2"/>
    </row>
    <row r="976" customFormat="false" ht="15" hidden="false" customHeight="false" outlineLevel="0" collapsed="false">
      <c r="A976" s="19" t="s">
        <v>89</v>
      </c>
      <c r="B976" s="19" t="s">
        <v>82</v>
      </c>
      <c r="C976" s="19" t="s">
        <v>77</v>
      </c>
      <c r="D976" s="20" t="n">
        <v>86</v>
      </c>
      <c r="E976" s="21" t="n">
        <v>3190.32</v>
      </c>
      <c r="F976" s="22" t="n">
        <f aca="false">D976*E976</f>
        <v>274367.52</v>
      </c>
      <c r="G976" s="2"/>
    </row>
    <row r="977" customFormat="false" ht="15" hidden="false" customHeight="false" outlineLevel="0" collapsed="false">
      <c r="A977" s="19" t="s">
        <v>89</v>
      </c>
      <c r="B977" s="19" t="s">
        <v>82</v>
      </c>
      <c r="C977" s="19" t="s">
        <v>78</v>
      </c>
      <c r="D977" s="20" t="n">
        <v>86</v>
      </c>
      <c r="E977" s="21" t="n">
        <v>3201.05</v>
      </c>
      <c r="F977" s="22" t="n">
        <f aca="false">D977*E977</f>
        <v>275290.3</v>
      </c>
      <c r="G977" s="2"/>
    </row>
    <row r="978" customFormat="false" ht="15" hidden="false" customHeight="false" outlineLevel="0" collapsed="false">
      <c r="A978" s="19" t="s">
        <v>89</v>
      </c>
      <c r="B978" s="19" t="s">
        <v>82</v>
      </c>
      <c r="C978" s="19" t="s">
        <v>79</v>
      </c>
      <c r="D978" s="20" t="n">
        <v>84.8</v>
      </c>
      <c r="E978" s="21" t="n">
        <v>3218.57</v>
      </c>
      <c r="F978" s="22" t="n">
        <f aca="false">D978*E978</f>
        <v>272934.736</v>
      </c>
      <c r="G978" s="2"/>
    </row>
    <row r="979" customFormat="false" ht="15" hidden="false" customHeight="false" outlineLevel="0" collapsed="false">
      <c r="A979" s="19" t="s">
        <v>89</v>
      </c>
      <c r="B979" s="19" t="s">
        <v>82</v>
      </c>
      <c r="C979" s="19" t="s">
        <v>80</v>
      </c>
      <c r="D979" s="20" t="n">
        <v>88.9</v>
      </c>
      <c r="E979" s="21" t="n">
        <v>3219.78</v>
      </c>
      <c r="F979" s="22" t="n">
        <f aca="false">D979*E979</f>
        <v>286238.442</v>
      </c>
      <c r="G979" s="2"/>
    </row>
    <row r="980" customFormat="false" ht="15" hidden="false" customHeight="false" outlineLevel="0" collapsed="false">
      <c r="A980" s="19" t="s">
        <v>89</v>
      </c>
      <c r="B980" s="19" t="s">
        <v>83</v>
      </c>
      <c r="C980" s="19" t="s">
        <v>45</v>
      </c>
      <c r="D980" s="20" t="n">
        <v>49.3</v>
      </c>
      <c r="E980" s="21" t="n">
        <v>2503.94</v>
      </c>
      <c r="F980" s="22" t="n">
        <f aca="false">D980*E980</f>
        <v>123444.242</v>
      </c>
      <c r="G980" s="2"/>
    </row>
    <row r="981" customFormat="false" ht="15" hidden="false" customHeight="false" outlineLevel="0" collapsed="false">
      <c r="A981" s="19" t="s">
        <v>89</v>
      </c>
      <c r="B981" s="19" t="s">
        <v>83</v>
      </c>
      <c r="C981" s="19" t="s">
        <v>46</v>
      </c>
      <c r="D981" s="20" t="n">
        <v>49.7</v>
      </c>
      <c r="E981" s="21" t="n">
        <v>2500.2</v>
      </c>
      <c r="F981" s="22" t="n">
        <f aca="false">D981*E981</f>
        <v>124259.94</v>
      </c>
      <c r="G981" s="2"/>
    </row>
    <row r="982" customFormat="false" ht="15" hidden="false" customHeight="false" outlineLevel="0" collapsed="false">
      <c r="A982" s="19" t="s">
        <v>89</v>
      </c>
      <c r="B982" s="19" t="s">
        <v>83</v>
      </c>
      <c r="C982" s="19" t="s">
        <v>47</v>
      </c>
      <c r="D982" s="20" t="n">
        <v>49.4</v>
      </c>
      <c r="E982" s="21" t="n">
        <v>2504.2</v>
      </c>
      <c r="F982" s="22" t="n">
        <f aca="false">D982*E982</f>
        <v>123707.48</v>
      </c>
      <c r="G982" s="2"/>
    </row>
    <row r="983" customFormat="false" ht="15" hidden="false" customHeight="false" outlineLevel="0" collapsed="false">
      <c r="A983" s="19" t="s">
        <v>89</v>
      </c>
      <c r="B983" s="19" t="s">
        <v>83</v>
      </c>
      <c r="C983" s="19" t="s">
        <v>48</v>
      </c>
      <c r="D983" s="20" t="n">
        <v>48.5</v>
      </c>
      <c r="E983" s="21" t="n">
        <v>2505.66</v>
      </c>
      <c r="F983" s="22" t="n">
        <f aca="false">D983*E983</f>
        <v>121524.51</v>
      </c>
      <c r="G983" s="2"/>
    </row>
    <row r="984" customFormat="false" ht="15" hidden="false" customHeight="false" outlineLevel="0" collapsed="false">
      <c r="A984" s="19" t="s">
        <v>89</v>
      </c>
      <c r="B984" s="19" t="s">
        <v>83</v>
      </c>
      <c r="C984" s="19" t="s">
        <v>49</v>
      </c>
      <c r="D984" s="20" t="n">
        <v>48.1</v>
      </c>
      <c r="E984" s="21" t="n">
        <v>2504.08</v>
      </c>
      <c r="F984" s="22" t="n">
        <f aca="false">D984*E984</f>
        <v>120446.248</v>
      </c>
      <c r="G984" s="2"/>
    </row>
    <row r="985" customFormat="false" ht="15" hidden="false" customHeight="false" outlineLevel="0" collapsed="false">
      <c r="A985" s="19" t="s">
        <v>89</v>
      </c>
      <c r="B985" s="19" t="s">
        <v>83</v>
      </c>
      <c r="C985" s="19" t="s">
        <v>50</v>
      </c>
      <c r="D985" s="20" t="n">
        <v>48.4</v>
      </c>
      <c r="E985" s="21" t="n">
        <v>2498.12</v>
      </c>
      <c r="F985" s="22" t="n">
        <f aca="false">D985*E985</f>
        <v>120909.008</v>
      </c>
      <c r="G985" s="2"/>
    </row>
    <row r="986" customFormat="false" ht="15" hidden="false" customHeight="false" outlineLevel="0" collapsed="false">
      <c r="A986" s="19" t="s">
        <v>89</v>
      </c>
      <c r="B986" s="19" t="s">
        <v>83</v>
      </c>
      <c r="C986" s="19" t="s">
        <v>51</v>
      </c>
      <c r="D986" s="20" t="n">
        <v>49.5</v>
      </c>
      <c r="E986" s="21" t="n">
        <v>2502.45</v>
      </c>
      <c r="F986" s="22" t="n">
        <f aca="false">D986*E986</f>
        <v>123871.275</v>
      </c>
      <c r="G986" s="2"/>
    </row>
    <row r="987" customFormat="false" ht="15" hidden="false" customHeight="false" outlineLevel="0" collapsed="false">
      <c r="A987" s="19" t="s">
        <v>89</v>
      </c>
      <c r="B987" s="19" t="s">
        <v>83</v>
      </c>
      <c r="C987" s="19" t="s">
        <v>52</v>
      </c>
      <c r="D987" s="20" t="n">
        <v>48.8</v>
      </c>
      <c r="E987" s="21" t="n">
        <v>2498.18</v>
      </c>
      <c r="F987" s="22" t="n">
        <f aca="false">D987*E987</f>
        <v>121911.184</v>
      </c>
      <c r="G987" s="2"/>
    </row>
    <row r="988" customFormat="false" ht="15" hidden="false" customHeight="false" outlineLevel="0" collapsed="false">
      <c r="A988" s="19" t="s">
        <v>89</v>
      </c>
      <c r="B988" s="19" t="s">
        <v>83</v>
      </c>
      <c r="C988" s="19" t="s">
        <v>53</v>
      </c>
      <c r="D988" s="20" t="n">
        <v>48.1</v>
      </c>
      <c r="E988" s="21" t="n">
        <v>2499.28</v>
      </c>
      <c r="F988" s="22" t="n">
        <f aca="false">D988*E988</f>
        <v>120215.368</v>
      </c>
      <c r="G988" s="2"/>
    </row>
    <row r="989" customFormat="false" ht="15" hidden="false" customHeight="false" outlineLevel="0" collapsed="false">
      <c r="A989" s="19" t="s">
        <v>89</v>
      </c>
      <c r="B989" s="19" t="s">
        <v>83</v>
      </c>
      <c r="C989" s="19" t="s">
        <v>54</v>
      </c>
      <c r="D989" s="20" t="n">
        <v>48.1</v>
      </c>
      <c r="E989" s="21" t="n">
        <v>2505.35</v>
      </c>
      <c r="F989" s="22" t="n">
        <f aca="false">D989*E989</f>
        <v>120507.335</v>
      </c>
      <c r="G989" s="2"/>
    </row>
    <row r="990" customFormat="false" ht="15" hidden="false" customHeight="false" outlineLevel="0" collapsed="false">
      <c r="A990" s="19" t="s">
        <v>89</v>
      </c>
      <c r="B990" s="19" t="s">
        <v>83</v>
      </c>
      <c r="C990" s="19" t="s">
        <v>55</v>
      </c>
      <c r="D990" s="20" t="n">
        <v>50.3</v>
      </c>
      <c r="E990" s="21" t="n">
        <v>2512.7</v>
      </c>
      <c r="F990" s="22" t="n">
        <f aca="false">D990*E990</f>
        <v>126388.81</v>
      </c>
      <c r="G990" s="2"/>
    </row>
    <row r="991" customFormat="false" ht="15" hidden="false" customHeight="false" outlineLevel="0" collapsed="false">
      <c r="A991" s="19" t="s">
        <v>89</v>
      </c>
      <c r="B991" s="19" t="s">
        <v>83</v>
      </c>
      <c r="C991" s="19" t="s">
        <v>56</v>
      </c>
      <c r="D991" s="20" t="n">
        <v>51.9</v>
      </c>
      <c r="E991" s="21" t="n">
        <v>2506.09</v>
      </c>
      <c r="F991" s="22" t="n">
        <f aca="false">D991*E991</f>
        <v>130066.071</v>
      </c>
      <c r="G991" s="2"/>
    </row>
    <row r="992" customFormat="false" ht="15" hidden="false" customHeight="false" outlineLevel="0" collapsed="false">
      <c r="A992" s="19" t="s">
        <v>89</v>
      </c>
      <c r="B992" s="19" t="s">
        <v>83</v>
      </c>
      <c r="C992" s="19" t="s">
        <v>57</v>
      </c>
      <c r="D992" s="20" t="n">
        <v>50.7</v>
      </c>
      <c r="E992" s="21" t="n">
        <v>2520.1</v>
      </c>
      <c r="F992" s="22" t="n">
        <f aca="false">D992*E992</f>
        <v>127769.07</v>
      </c>
      <c r="G992" s="2"/>
    </row>
    <row r="993" customFormat="false" ht="15" hidden="false" customHeight="false" outlineLevel="0" collapsed="false">
      <c r="A993" s="19" t="s">
        <v>89</v>
      </c>
      <c r="B993" s="19" t="s">
        <v>83</v>
      </c>
      <c r="C993" s="19" t="s">
        <v>58</v>
      </c>
      <c r="D993" s="20" t="n">
        <v>49.5</v>
      </c>
      <c r="E993" s="21" t="n">
        <v>2514.47</v>
      </c>
      <c r="F993" s="22" t="n">
        <f aca="false">D993*E993</f>
        <v>124466.265</v>
      </c>
      <c r="G993" s="2"/>
    </row>
    <row r="994" customFormat="false" ht="15" hidden="false" customHeight="false" outlineLevel="0" collapsed="false">
      <c r="A994" s="19" t="s">
        <v>89</v>
      </c>
      <c r="B994" s="19" t="s">
        <v>83</v>
      </c>
      <c r="C994" s="19" t="s">
        <v>59</v>
      </c>
      <c r="D994" s="20" t="n">
        <v>51.9</v>
      </c>
      <c r="E994" s="21" t="n">
        <v>2515.63</v>
      </c>
      <c r="F994" s="22" t="n">
        <f aca="false">D994*E994</f>
        <v>130561.197</v>
      </c>
      <c r="G994" s="2"/>
    </row>
    <row r="995" customFormat="false" ht="15" hidden="false" customHeight="false" outlineLevel="0" collapsed="false">
      <c r="A995" s="19" t="s">
        <v>89</v>
      </c>
      <c r="B995" s="19" t="s">
        <v>83</v>
      </c>
      <c r="C995" s="19" t="s">
        <v>60</v>
      </c>
      <c r="D995" s="20" t="n">
        <v>55</v>
      </c>
      <c r="E995" s="21" t="n">
        <v>2512.66</v>
      </c>
      <c r="F995" s="22" t="n">
        <f aca="false">D995*E995</f>
        <v>138196.3</v>
      </c>
      <c r="G995" s="2"/>
    </row>
    <row r="996" customFormat="false" ht="15" hidden="false" customHeight="false" outlineLevel="0" collapsed="false">
      <c r="A996" s="19" t="s">
        <v>89</v>
      </c>
      <c r="B996" s="19" t="s">
        <v>83</v>
      </c>
      <c r="C996" s="19" t="s">
        <v>61</v>
      </c>
      <c r="D996" s="20" t="n">
        <v>57.4</v>
      </c>
      <c r="E996" s="21" t="n">
        <v>2523.29</v>
      </c>
      <c r="F996" s="22" t="n">
        <f aca="false">D996*E996</f>
        <v>144836.846</v>
      </c>
      <c r="G996" s="2"/>
    </row>
    <row r="997" customFormat="false" ht="15" hidden="false" customHeight="false" outlineLevel="0" collapsed="false">
      <c r="A997" s="19" t="s">
        <v>89</v>
      </c>
      <c r="B997" s="19" t="s">
        <v>83</v>
      </c>
      <c r="C997" s="19" t="s">
        <v>62</v>
      </c>
      <c r="D997" s="20" t="n">
        <v>56.9</v>
      </c>
      <c r="E997" s="21" t="n">
        <v>2527.18</v>
      </c>
      <c r="F997" s="22" t="n">
        <f aca="false">D997*E997</f>
        <v>143796.542</v>
      </c>
      <c r="G997" s="2"/>
    </row>
    <row r="998" customFormat="false" ht="15" hidden="false" customHeight="false" outlineLevel="0" collapsed="false">
      <c r="A998" s="19" t="s">
        <v>89</v>
      </c>
      <c r="B998" s="19" t="s">
        <v>83</v>
      </c>
      <c r="C998" s="19" t="s">
        <v>63</v>
      </c>
      <c r="D998" s="20" t="n">
        <v>57</v>
      </c>
      <c r="E998" s="21" t="n">
        <v>2526</v>
      </c>
      <c r="F998" s="22" t="n">
        <f aca="false">D998*E998</f>
        <v>143982</v>
      </c>
      <c r="G998" s="2"/>
    </row>
    <row r="999" customFormat="false" ht="15" hidden="false" customHeight="false" outlineLevel="0" collapsed="false">
      <c r="A999" s="19" t="s">
        <v>89</v>
      </c>
      <c r="B999" s="19" t="s">
        <v>83</v>
      </c>
      <c r="C999" s="19" t="s">
        <v>64</v>
      </c>
      <c r="D999" s="20" t="n">
        <v>58</v>
      </c>
      <c r="E999" s="21" t="n">
        <v>2525.27</v>
      </c>
      <c r="F999" s="22" t="n">
        <f aca="false">D999*E999</f>
        <v>146465.66</v>
      </c>
      <c r="G999" s="2"/>
    </row>
    <row r="1000" customFormat="false" ht="15" hidden="false" customHeight="false" outlineLevel="0" collapsed="false">
      <c r="A1000" s="19" t="s">
        <v>89</v>
      </c>
      <c r="B1000" s="19" t="s">
        <v>83</v>
      </c>
      <c r="C1000" s="19" t="s">
        <v>65</v>
      </c>
      <c r="D1000" s="20" t="n">
        <v>58.4</v>
      </c>
      <c r="E1000" s="21" t="n">
        <v>2535.97</v>
      </c>
      <c r="F1000" s="22" t="n">
        <f aca="false">D1000*E1000</f>
        <v>148100.648</v>
      </c>
      <c r="G1000" s="2"/>
    </row>
    <row r="1001" customFormat="false" ht="15" hidden="false" customHeight="false" outlineLevel="0" collapsed="false">
      <c r="A1001" s="19" t="s">
        <v>89</v>
      </c>
      <c r="B1001" s="19" t="s">
        <v>83</v>
      </c>
      <c r="C1001" s="19" t="s">
        <v>66</v>
      </c>
      <c r="D1001" s="20" t="n">
        <v>58.9</v>
      </c>
      <c r="E1001" s="21" t="n">
        <v>2543.54</v>
      </c>
      <c r="F1001" s="22" t="n">
        <f aca="false">D1001*E1001</f>
        <v>149814.506</v>
      </c>
      <c r="G1001" s="2"/>
    </row>
    <row r="1002" customFormat="false" ht="15" hidden="false" customHeight="false" outlineLevel="0" collapsed="false">
      <c r="A1002" s="19" t="s">
        <v>89</v>
      </c>
      <c r="B1002" s="19" t="s">
        <v>83</v>
      </c>
      <c r="C1002" s="19" t="s">
        <v>67</v>
      </c>
      <c r="D1002" s="20" t="n">
        <v>60.7</v>
      </c>
      <c r="E1002" s="21" t="n">
        <v>2550.35</v>
      </c>
      <c r="F1002" s="22" t="n">
        <f aca="false">D1002*E1002</f>
        <v>154806.245</v>
      </c>
      <c r="G1002" s="2"/>
    </row>
    <row r="1003" customFormat="false" ht="15" hidden="false" customHeight="false" outlineLevel="0" collapsed="false">
      <c r="A1003" s="19" t="s">
        <v>89</v>
      </c>
      <c r="B1003" s="19" t="s">
        <v>83</v>
      </c>
      <c r="C1003" s="19" t="s">
        <v>68</v>
      </c>
      <c r="D1003" s="20" t="n">
        <v>63.9</v>
      </c>
      <c r="E1003" s="21" t="n">
        <v>2544.7</v>
      </c>
      <c r="F1003" s="22" t="n">
        <f aca="false">D1003*E1003</f>
        <v>162606.33</v>
      </c>
      <c r="G1003" s="2"/>
    </row>
    <row r="1004" customFormat="false" ht="15" hidden="false" customHeight="false" outlineLevel="0" collapsed="false">
      <c r="A1004" s="19" t="s">
        <v>89</v>
      </c>
      <c r="B1004" s="19" t="s">
        <v>83</v>
      </c>
      <c r="C1004" s="19" t="s">
        <v>69</v>
      </c>
      <c r="D1004" s="20" t="n">
        <v>64.6</v>
      </c>
      <c r="E1004" s="21" t="n">
        <v>2549.73</v>
      </c>
      <c r="F1004" s="22" t="n">
        <f aca="false">D1004*E1004</f>
        <v>164712.558</v>
      </c>
      <c r="G1004" s="2"/>
    </row>
    <row r="1005" customFormat="false" ht="15" hidden="false" customHeight="false" outlineLevel="0" collapsed="false">
      <c r="A1005" s="19" t="s">
        <v>89</v>
      </c>
      <c r="B1005" s="19" t="s">
        <v>83</v>
      </c>
      <c r="C1005" s="19" t="s">
        <v>70</v>
      </c>
      <c r="D1005" s="20" t="n">
        <v>62.9</v>
      </c>
      <c r="E1005" s="21" t="n">
        <v>2545.72</v>
      </c>
      <c r="F1005" s="22" t="n">
        <f aca="false">D1005*E1005</f>
        <v>160125.788</v>
      </c>
      <c r="G1005" s="2"/>
    </row>
    <row r="1006" customFormat="false" ht="15" hidden="false" customHeight="false" outlineLevel="0" collapsed="false">
      <c r="A1006" s="19" t="s">
        <v>89</v>
      </c>
      <c r="B1006" s="19" t="s">
        <v>83</v>
      </c>
      <c r="C1006" s="19" t="s">
        <v>71</v>
      </c>
      <c r="D1006" s="20" t="n">
        <v>66.2</v>
      </c>
      <c r="E1006" s="21" t="n">
        <v>2538.8</v>
      </c>
      <c r="F1006" s="22" t="n">
        <f aca="false">D1006*E1006</f>
        <v>168068.56</v>
      </c>
      <c r="G1006" s="2"/>
    </row>
    <row r="1007" customFormat="false" ht="15" hidden="false" customHeight="false" outlineLevel="0" collapsed="false">
      <c r="A1007" s="19" t="s">
        <v>89</v>
      </c>
      <c r="B1007" s="19" t="s">
        <v>83</v>
      </c>
      <c r="C1007" s="19" t="s">
        <v>72</v>
      </c>
      <c r="D1007" s="20" t="n">
        <v>65.6</v>
      </c>
      <c r="E1007" s="21" t="n">
        <v>2540.68</v>
      </c>
      <c r="F1007" s="22" t="n">
        <f aca="false">D1007*E1007</f>
        <v>166668.608</v>
      </c>
      <c r="G1007" s="2"/>
    </row>
    <row r="1008" customFormat="false" ht="15" hidden="false" customHeight="false" outlineLevel="0" collapsed="false">
      <c r="A1008" s="19" t="s">
        <v>89</v>
      </c>
      <c r="B1008" s="19" t="s">
        <v>83</v>
      </c>
      <c r="C1008" s="19" t="s">
        <v>73</v>
      </c>
      <c r="D1008" s="20" t="n">
        <v>67.8</v>
      </c>
      <c r="E1008" s="21" t="n">
        <v>2549.59</v>
      </c>
      <c r="F1008" s="22" t="n">
        <f aca="false">D1008*E1008</f>
        <v>172862.202</v>
      </c>
      <c r="G1008" s="2"/>
    </row>
    <row r="1009" customFormat="false" ht="15" hidden="false" customHeight="false" outlineLevel="0" collapsed="false">
      <c r="A1009" s="19" t="s">
        <v>89</v>
      </c>
      <c r="B1009" s="19" t="s">
        <v>83</v>
      </c>
      <c r="C1009" s="19" t="s">
        <v>74</v>
      </c>
      <c r="D1009" s="20" t="n">
        <v>68.3</v>
      </c>
      <c r="E1009" s="21" t="n">
        <v>2563.5</v>
      </c>
      <c r="F1009" s="22" t="n">
        <f aca="false">D1009*E1009</f>
        <v>175087.05</v>
      </c>
      <c r="G1009" s="2"/>
    </row>
    <row r="1010" customFormat="false" ht="15" hidden="false" customHeight="false" outlineLevel="0" collapsed="false">
      <c r="A1010" s="19" t="s">
        <v>89</v>
      </c>
      <c r="B1010" s="19" t="s">
        <v>83</v>
      </c>
      <c r="C1010" s="19" t="s">
        <v>75</v>
      </c>
      <c r="D1010" s="20" t="n">
        <v>71</v>
      </c>
      <c r="E1010" s="21" t="n">
        <v>2566.31</v>
      </c>
      <c r="F1010" s="22" t="n">
        <f aca="false">D1010*E1010</f>
        <v>182208.01</v>
      </c>
      <c r="G1010" s="2"/>
    </row>
    <row r="1011" customFormat="false" ht="15" hidden="false" customHeight="false" outlineLevel="0" collapsed="false">
      <c r="A1011" s="19" t="s">
        <v>89</v>
      </c>
      <c r="B1011" s="19" t="s">
        <v>83</v>
      </c>
      <c r="C1011" s="19" t="s">
        <v>76</v>
      </c>
      <c r="D1011" s="20" t="n">
        <v>74.3</v>
      </c>
      <c r="E1011" s="21" t="n">
        <v>2566.51</v>
      </c>
      <c r="F1011" s="22" t="n">
        <f aca="false">D1011*E1011</f>
        <v>190691.693</v>
      </c>
      <c r="G1011" s="2"/>
    </row>
    <row r="1012" customFormat="false" ht="15" hidden="false" customHeight="false" outlineLevel="0" collapsed="false">
      <c r="A1012" s="19" t="s">
        <v>89</v>
      </c>
      <c r="B1012" s="19" t="s">
        <v>83</v>
      </c>
      <c r="C1012" s="19" t="s">
        <v>77</v>
      </c>
      <c r="D1012" s="20" t="n">
        <v>78.5</v>
      </c>
      <c r="E1012" s="21" t="n">
        <v>2567.53</v>
      </c>
      <c r="F1012" s="22" t="n">
        <f aca="false">D1012*E1012</f>
        <v>201551.105</v>
      </c>
      <c r="G1012" s="2"/>
    </row>
    <row r="1013" customFormat="false" ht="15" hidden="false" customHeight="false" outlineLevel="0" collapsed="false">
      <c r="A1013" s="19" t="s">
        <v>89</v>
      </c>
      <c r="B1013" s="19" t="s">
        <v>83</v>
      </c>
      <c r="C1013" s="19" t="s">
        <v>78</v>
      </c>
      <c r="D1013" s="20" t="n">
        <v>78.6</v>
      </c>
      <c r="E1013" s="21" t="n">
        <v>2566.73</v>
      </c>
      <c r="F1013" s="22" t="n">
        <f aca="false">D1013*E1013</f>
        <v>201744.978</v>
      </c>
      <c r="G1013" s="2"/>
    </row>
    <row r="1014" customFormat="false" ht="15" hidden="false" customHeight="false" outlineLevel="0" collapsed="false">
      <c r="A1014" s="19" t="s">
        <v>89</v>
      </c>
      <c r="B1014" s="19" t="s">
        <v>83</v>
      </c>
      <c r="C1014" s="19" t="s">
        <v>79</v>
      </c>
      <c r="D1014" s="20" t="n">
        <v>80.6</v>
      </c>
      <c r="E1014" s="21" t="n">
        <v>2560.38</v>
      </c>
      <c r="F1014" s="22" t="n">
        <f aca="false">D1014*E1014</f>
        <v>206366.628</v>
      </c>
      <c r="G1014" s="2"/>
    </row>
    <row r="1015" customFormat="false" ht="15" hidden="false" customHeight="false" outlineLevel="0" collapsed="false">
      <c r="A1015" s="19" t="s">
        <v>89</v>
      </c>
      <c r="B1015" s="19" t="s">
        <v>83</v>
      </c>
      <c r="C1015" s="19" t="s">
        <v>80</v>
      </c>
      <c r="D1015" s="20" t="n">
        <v>79.9</v>
      </c>
      <c r="E1015" s="21" t="n">
        <v>2574.88</v>
      </c>
      <c r="F1015" s="22" t="n">
        <f aca="false">D1015*E1015</f>
        <v>205732.912</v>
      </c>
      <c r="G1015" s="2"/>
    </row>
    <row r="1016" customFormat="false" ht="15" hidden="false" customHeight="false" outlineLevel="0" collapsed="false">
      <c r="A1016" s="19" t="s">
        <v>89</v>
      </c>
      <c r="B1016" s="19" t="s">
        <v>84</v>
      </c>
      <c r="C1016" s="19" t="s">
        <v>45</v>
      </c>
      <c r="D1016" s="20" t="n">
        <v>36.7</v>
      </c>
      <c r="E1016" s="21" t="n">
        <v>3256.35</v>
      </c>
      <c r="F1016" s="22" t="n">
        <f aca="false">D1016*E1016</f>
        <v>119508.045</v>
      </c>
      <c r="G1016" s="2"/>
    </row>
    <row r="1017" customFormat="false" ht="15" hidden="false" customHeight="false" outlineLevel="0" collapsed="false">
      <c r="A1017" s="19" t="s">
        <v>89</v>
      </c>
      <c r="B1017" s="19" t="s">
        <v>84</v>
      </c>
      <c r="C1017" s="19" t="s">
        <v>46</v>
      </c>
      <c r="D1017" s="20" t="n">
        <v>38.3</v>
      </c>
      <c r="E1017" s="21" t="n">
        <v>3249.84</v>
      </c>
      <c r="F1017" s="22" t="n">
        <f aca="false">D1017*E1017</f>
        <v>124468.872</v>
      </c>
      <c r="G1017" s="2"/>
    </row>
    <row r="1018" customFormat="false" ht="15" hidden="false" customHeight="false" outlineLevel="0" collapsed="false">
      <c r="A1018" s="19" t="s">
        <v>89</v>
      </c>
      <c r="B1018" s="19" t="s">
        <v>84</v>
      </c>
      <c r="C1018" s="19" t="s">
        <v>47</v>
      </c>
      <c r="D1018" s="20" t="n">
        <v>40.5</v>
      </c>
      <c r="E1018" s="21" t="n">
        <v>3244.18</v>
      </c>
      <c r="F1018" s="22" t="n">
        <f aca="false">D1018*E1018</f>
        <v>131389.29</v>
      </c>
      <c r="G1018" s="2"/>
    </row>
    <row r="1019" customFormat="false" ht="15" hidden="false" customHeight="false" outlineLevel="0" collapsed="false">
      <c r="A1019" s="19" t="s">
        <v>89</v>
      </c>
      <c r="B1019" s="19" t="s">
        <v>84</v>
      </c>
      <c r="C1019" s="19" t="s">
        <v>48</v>
      </c>
      <c r="D1019" s="20" t="n">
        <v>41.9</v>
      </c>
      <c r="E1019" s="21" t="n">
        <v>3251.21</v>
      </c>
      <c r="F1019" s="22" t="n">
        <f aca="false">D1019*E1019</f>
        <v>136225.699</v>
      </c>
      <c r="G1019" s="2"/>
    </row>
    <row r="1020" customFormat="false" ht="15" hidden="false" customHeight="false" outlineLevel="0" collapsed="false">
      <c r="A1020" s="19" t="s">
        <v>89</v>
      </c>
      <c r="B1020" s="19" t="s">
        <v>84</v>
      </c>
      <c r="C1020" s="19" t="s">
        <v>49</v>
      </c>
      <c r="D1020" s="20" t="n">
        <v>42.3</v>
      </c>
      <c r="E1020" s="21" t="n">
        <v>3248.33</v>
      </c>
      <c r="F1020" s="22" t="n">
        <f aca="false">D1020*E1020</f>
        <v>137404.359</v>
      </c>
      <c r="G1020" s="2"/>
    </row>
    <row r="1021" customFormat="false" ht="15" hidden="false" customHeight="false" outlineLevel="0" collapsed="false">
      <c r="A1021" s="19" t="s">
        <v>89</v>
      </c>
      <c r="B1021" s="19" t="s">
        <v>84</v>
      </c>
      <c r="C1021" s="19" t="s">
        <v>50</v>
      </c>
      <c r="D1021" s="20" t="n">
        <v>41.4</v>
      </c>
      <c r="E1021" s="21" t="n">
        <v>3256.66</v>
      </c>
      <c r="F1021" s="22" t="n">
        <f aca="false">D1021*E1021</f>
        <v>134825.724</v>
      </c>
      <c r="G1021" s="2"/>
    </row>
    <row r="1022" customFormat="false" ht="15" hidden="false" customHeight="false" outlineLevel="0" collapsed="false">
      <c r="A1022" s="19" t="s">
        <v>89</v>
      </c>
      <c r="B1022" s="19" t="s">
        <v>84</v>
      </c>
      <c r="C1022" s="19" t="s">
        <v>51</v>
      </c>
      <c r="D1022" s="20" t="n">
        <v>43.3</v>
      </c>
      <c r="E1022" s="21" t="n">
        <v>3252.52</v>
      </c>
      <c r="F1022" s="22" t="n">
        <f aca="false">D1022*E1022</f>
        <v>140834.116</v>
      </c>
      <c r="G1022" s="2"/>
    </row>
    <row r="1023" customFormat="false" ht="15" hidden="false" customHeight="false" outlineLevel="0" collapsed="false">
      <c r="A1023" s="19" t="s">
        <v>89</v>
      </c>
      <c r="B1023" s="19" t="s">
        <v>84</v>
      </c>
      <c r="C1023" s="19" t="s">
        <v>52</v>
      </c>
      <c r="D1023" s="20" t="n">
        <v>43.2</v>
      </c>
      <c r="E1023" s="21" t="n">
        <v>3261.88</v>
      </c>
      <c r="F1023" s="22" t="n">
        <f aca="false">D1023*E1023</f>
        <v>140913.216</v>
      </c>
      <c r="G1023" s="2"/>
    </row>
    <row r="1024" customFormat="false" ht="15" hidden="false" customHeight="false" outlineLevel="0" collapsed="false">
      <c r="A1024" s="19" t="s">
        <v>89</v>
      </c>
      <c r="B1024" s="19" t="s">
        <v>84</v>
      </c>
      <c r="C1024" s="19" t="s">
        <v>53</v>
      </c>
      <c r="D1024" s="20" t="n">
        <v>45.6</v>
      </c>
      <c r="E1024" s="21" t="n">
        <v>3258.13</v>
      </c>
      <c r="F1024" s="22" t="n">
        <f aca="false">D1024*E1024</f>
        <v>148570.728</v>
      </c>
      <c r="G1024" s="2"/>
    </row>
    <row r="1025" customFormat="false" ht="15" hidden="false" customHeight="false" outlineLevel="0" collapsed="false">
      <c r="A1025" s="19" t="s">
        <v>89</v>
      </c>
      <c r="B1025" s="19" t="s">
        <v>84</v>
      </c>
      <c r="C1025" s="19" t="s">
        <v>54</v>
      </c>
      <c r="D1025" s="20" t="n">
        <v>47.4</v>
      </c>
      <c r="E1025" s="21" t="n">
        <v>3277.19</v>
      </c>
      <c r="F1025" s="22" t="n">
        <f aca="false">D1025*E1025</f>
        <v>155338.806</v>
      </c>
      <c r="G1025" s="2"/>
    </row>
    <row r="1026" customFormat="false" ht="15" hidden="false" customHeight="false" outlineLevel="0" collapsed="false">
      <c r="A1026" s="19" t="s">
        <v>89</v>
      </c>
      <c r="B1026" s="19" t="s">
        <v>84</v>
      </c>
      <c r="C1026" s="19" t="s">
        <v>55</v>
      </c>
      <c r="D1026" s="20" t="n">
        <v>47.6</v>
      </c>
      <c r="E1026" s="21" t="n">
        <v>3286.67</v>
      </c>
      <c r="F1026" s="22" t="n">
        <f aca="false">D1026*E1026</f>
        <v>156445.492</v>
      </c>
      <c r="G1026" s="2"/>
    </row>
    <row r="1027" customFormat="false" ht="15" hidden="false" customHeight="false" outlineLevel="0" collapsed="false">
      <c r="A1027" s="19" t="s">
        <v>89</v>
      </c>
      <c r="B1027" s="19" t="s">
        <v>84</v>
      </c>
      <c r="C1027" s="19" t="s">
        <v>56</v>
      </c>
      <c r="D1027" s="20" t="n">
        <v>47.8</v>
      </c>
      <c r="E1027" s="21" t="n">
        <v>3298.9</v>
      </c>
      <c r="F1027" s="22" t="n">
        <f aca="false">D1027*E1027</f>
        <v>157687.42</v>
      </c>
      <c r="G1027" s="2"/>
    </row>
    <row r="1028" customFormat="false" ht="15" hidden="false" customHeight="false" outlineLevel="0" collapsed="false">
      <c r="A1028" s="19" t="s">
        <v>89</v>
      </c>
      <c r="B1028" s="19" t="s">
        <v>84</v>
      </c>
      <c r="C1028" s="19" t="s">
        <v>57</v>
      </c>
      <c r="D1028" s="20" t="n">
        <v>46.7</v>
      </c>
      <c r="E1028" s="21" t="n">
        <v>3289.68</v>
      </c>
      <c r="F1028" s="22" t="n">
        <f aca="false">D1028*E1028</f>
        <v>153628.056</v>
      </c>
      <c r="G1028" s="2"/>
    </row>
    <row r="1029" customFormat="false" ht="15" hidden="false" customHeight="false" outlineLevel="0" collapsed="false">
      <c r="A1029" s="19" t="s">
        <v>89</v>
      </c>
      <c r="B1029" s="19" t="s">
        <v>84</v>
      </c>
      <c r="C1029" s="19" t="s">
        <v>58</v>
      </c>
      <c r="D1029" s="20" t="n">
        <v>47.2</v>
      </c>
      <c r="E1029" s="21" t="n">
        <v>3280.33</v>
      </c>
      <c r="F1029" s="22" t="n">
        <f aca="false">D1029*E1029</f>
        <v>154831.576</v>
      </c>
      <c r="G1029" s="2"/>
    </row>
    <row r="1030" customFormat="false" ht="15" hidden="false" customHeight="false" outlineLevel="0" collapsed="false">
      <c r="A1030" s="19" t="s">
        <v>89</v>
      </c>
      <c r="B1030" s="19" t="s">
        <v>84</v>
      </c>
      <c r="C1030" s="19" t="s">
        <v>59</v>
      </c>
      <c r="D1030" s="20" t="n">
        <v>46.7</v>
      </c>
      <c r="E1030" s="21" t="n">
        <v>3293.98</v>
      </c>
      <c r="F1030" s="22" t="n">
        <f aca="false">D1030*E1030</f>
        <v>153828.866</v>
      </c>
      <c r="G1030" s="2"/>
    </row>
    <row r="1031" customFormat="false" ht="15" hidden="false" customHeight="false" outlineLevel="0" collapsed="false">
      <c r="A1031" s="19" t="s">
        <v>89</v>
      </c>
      <c r="B1031" s="19" t="s">
        <v>84</v>
      </c>
      <c r="C1031" s="19" t="s">
        <v>60</v>
      </c>
      <c r="D1031" s="20" t="n">
        <v>45.6</v>
      </c>
      <c r="E1031" s="21" t="n">
        <v>3297.14</v>
      </c>
      <c r="F1031" s="22" t="n">
        <f aca="false">D1031*E1031</f>
        <v>150349.584</v>
      </c>
      <c r="G1031" s="2"/>
    </row>
    <row r="1032" customFormat="false" ht="15" hidden="false" customHeight="false" outlineLevel="0" collapsed="false">
      <c r="A1032" s="19" t="s">
        <v>89</v>
      </c>
      <c r="B1032" s="19" t="s">
        <v>84</v>
      </c>
      <c r="C1032" s="19" t="s">
        <v>61</v>
      </c>
      <c r="D1032" s="20" t="n">
        <v>47.5</v>
      </c>
      <c r="E1032" s="21" t="n">
        <v>3296.74</v>
      </c>
      <c r="F1032" s="22" t="n">
        <f aca="false">D1032*E1032</f>
        <v>156595.15</v>
      </c>
      <c r="G1032" s="2"/>
    </row>
    <row r="1033" customFormat="false" ht="15" hidden="false" customHeight="false" outlineLevel="0" collapsed="false">
      <c r="A1033" s="19" t="s">
        <v>89</v>
      </c>
      <c r="B1033" s="19" t="s">
        <v>84</v>
      </c>
      <c r="C1033" s="19" t="s">
        <v>62</v>
      </c>
      <c r="D1033" s="20" t="n">
        <v>50.6</v>
      </c>
      <c r="E1033" s="21" t="n">
        <v>3308.99</v>
      </c>
      <c r="F1033" s="22" t="n">
        <f aca="false">D1033*E1033</f>
        <v>167434.894</v>
      </c>
      <c r="G1033" s="2"/>
    </row>
    <row r="1034" customFormat="false" ht="15" hidden="false" customHeight="false" outlineLevel="0" collapsed="false">
      <c r="A1034" s="19" t="s">
        <v>89</v>
      </c>
      <c r="B1034" s="19" t="s">
        <v>84</v>
      </c>
      <c r="C1034" s="19" t="s">
        <v>63</v>
      </c>
      <c r="D1034" s="20" t="n">
        <v>50.8</v>
      </c>
      <c r="E1034" s="21" t="n">
        <v>3323.34</v>
      </c>
      <c r="F1034" s="22" t="n">
        <f aca="false">D1034*E1034</f>
        <v>168825.672</v>
      </c>
      <c r="G1034" s="2"/>
    </row>
    <row r="1035" customFormat="false" ht="15" hidden="false" customHeight="false" outlineLevel="0" collapsed="false">
      <c r="A1035" s="19" t="s">
        <v>89</v>
      </c>
      <c r="B1035" s="19" t="s">
        <v>84</v>
      </c>
      <c r="C1035" s="19" t="s">
        <v>64</v>
      </c>
      <c r="D1035" s="20" t="n">
        <v>51.8</v>
      </c>
      <c r="E1035" s="21" t="n">
        <v>3318.07</v>
      </c>
      <c r="F1035" s="22" t="n">
        <f aca="false">D1035*E1035</f>
        <v>171876.026</v>
      </c>
      <c r="G1035" s="2"/>
    </row>
    <row r="1036" customFormat="false" ht="15" hidden="false" customHeight="false" outlineLevel="0" collapsed="false">
      <c r="A1036" s="19" t="s">
        <v>89</v>
      </c>
      <c r="B1036" s="19" t="s">
        <v>84</v>
      </c>
      <c r="C1036" s="19" t="s">
        <v>65</v>
      </c>
      <c r="D1036" s="20" t="n">
        <v>54.9</v>
      </c>
      <c r="E1036" s="21" t="n">
        <v>3335.12</v>
      </c>
      <c r="F1036" s="22" t="n">
        <f aca="false">D1036*E1036</f>
        <v>183098.088</v>
      </c>
      <c r="G1036" s="2"/>
    </row>
    <row r="1037" customFormat="false" ht="15" hidden="false" customHeight="false" outlineLevel="0" collapsed="false">
      <c r="A1037" s="19" t="s">
        <v>89</v>
      </c>
      <c r="B1037" s="19" t="s">
        <v>84</v>
      </c>
      <c r="C1037" s="19" t="s">
        <v>66</v>
      </c>
      <c r="D1037" s="20" t="n">
        <v>55.7</v>
      </c>
      <c r="E1037" s="21" t="n">
        <v>3333.69</v>
      </c>
      <c r="F1037" s="22" t="n">
        <f aca="false">D1037*E1037</f>
        <v>185686.533</v>
      </c>
      <c r="G1037" s="2"/>
    </row>
    <row r="1038" customFormat="false" ht="15" hidden="false" customHeight="false" outlineLevel="0" collapsed="false">
      <c r="A1038" s="19" t="s">
        <v>89</v>
      </c>
      <c r="B1038" s="19" t="s">
        <v>84</v>
      </c>
      <c r="C1038" s="19" t="s">
        <v>67</v>
      </c>
      <c r="D1038" s="20" t="n">
        <v>59.4</v>
      </c>
      <c r="E1038" s="21" t="n">
        <v>3345.74</v>
      </c>
      <c r="F1038" s="22" t="n">
        <f aca="false">D1038*E1038</f>
        <v>198736.956</v>
      </c>
      <c r="G1038" s="2"/>
    </row>
    <row r="1039" customFormat="false" ht="15" hidden="false" customHeight="false" outlineLevel="0" collapsed="false">
      <c r="A1039" s="19" t="s">
        <v>89</v>
      </c>
      <c r="B1039" s="19" t="s">
        <v>84</v>
      </c>
      <c r="C1039" s="19" t="s">
        <v>68</v>
      </c>
      <c r="D1039" s="20" t="n">
        <v>59.3</v>
      </c>
      <c r="E1039" s="21" t="n">
        <v>3339.79</v>
      </c>
      <c r="F1039" s="22" t="n">
        <f aca="false">D1039*E1039</f>
        <v>198049.547</v>
      </c>
      <c r="G1039" s="2"/>
    </row>
    <row r="1040" customFormat="false" ht="15" hidden="false" customHeight="false" outlineLevel="0" collapsed="false">
      <c r="A1040" s="19" t="s">
        <v>89</v>
      </c>
      <c r="B1040" s="19" t="s">
        <v>84</v>
      </c>
      <c r="C1040" s="19" t="s">
        <v>69</v>
      </c>
      <c r="D1040" s="20" t="n">
        <v>61.6</v>
      </c>
      <c r="E1040" s="21" t="n">
        <v>3354.88</v>
      </c>
      <c r="F1040" s="22" t="n">
        <f aca="false">D1040*E1040</f>
        <v>206660.608</v>
      </c>
      <c r="G1040" s="2"/>
    </row>
    <row r="1041" customFormat="false" ht="15" hidden="false" customHeight="false" outlineLevel="0" collapsed="false">
      <c r="A1041" s="19" t="s">
        <v>89</v>
      </c>
      <c r="B1041" s="19" t="s">
        <v>84</v>
      </c>
      <c r="C1041" s="19" t="s">
        <v>70</v>
      </c>
      <c r="D1041" s="20" t="n">
        <v>63.4</v>
      </c>
      <c r="E1041" s="21" t="n">
        <v>3352.34</v>
      </c>
      <c r="F1041" s="22" t="n">
        <f aca="false">D1041*E1041</f>
        <v>212538.356</v>
      </c>
      <c r="G1041" s="2"/>
    </row>
    <row r="1042" customFormat="false" ht="15" hidden="false" customHeight="false" outlineLevel="0" collapsed="false">
      <c r="A1042" s="19" t="s">
        <v>89</v>
      </c>
      <c r="B1042" s="19" t="s">
        <v>84</v>
      </c>
      <c r="C1042" s="19" t="s">
        <v>71</v>
      </c>
      <c r="D1042" s="20" t="n">
        <v>62.9</v>
      </c>
      <c r="E1042" s="21" t="n">
        <v>3350.79</v>
      </c>
      <c r="F1042" s="22" t="n">
        <f aca="false">D1042*E1042</f>
        <v>210764.691</v>
      </c>
      <c r="G1042" s="2"/>
    </row>
    <row r="1043" customFormat="false" ht="15" hidden="false" customHeight="false" outlineLevel="0" collapsed="false">
      <c r="A1043" s="19" t="s">
        <v>89</v>
      </c>
      <c r="B1043" s="19" t="s">
        <v>84</v>
      </c>
      <c r="C1043" s="19" t="s">
        <v>72</v>
      </c>
      <c r="D1043" s="20" t="n">
        <v>63.9</v>
      </c>
      <c r="E1043" s="21" t="n">
        <v>3350.6</v>
      </c>
      <c r="F1043" s="22" t="n">
        <f aca="false">D1043*E1043</f>
        <v>214103.34</v>
      </c>
      <c r="G1043" s="2"/>
    </row>
    <row r="1044" customFormat="false" ht="15" hidden="false" customHeight="false" outlineLevel="0" collapsed="false">
      <c r="A1044" s="19" t="s">
        <v>89</v>
      </c>
      <c r="B1044" s="19" t="s">
        <v>84</v>
      </c>
      <c r="C1044" s="19" t="s">
        <v>73</v>
      </c>
      <c r="D1044" s="20" t="n">
        <v>65.1</v>
      </c>
      <c r="E1044" s="21" t="n">
        <v>3345.64</v>
      </c>
      <c r="F1044" s="22" t="n">
        <f aca="false">D1044*E1044</f>
        <v>217801.164</v>
      </c>
      <c r="G1044" s="2"/>
    </row>
    <row r="1045" customFormat="false" ht="15" hidden="false" customHeight="false" outlineLevel="0" collapsed="false">
      <c r="A1045" s="19" t="s">
        <v>89</v>
      </c>
      <c r="B1045" s="19" t="s">
        <v>84</v>
      </c>
      <c r="C1045" s="19" t="s">
        <v>74</v>
      </c>
      <c r="D1045" s="20" t="n">
        <v>64.5</v>
      </c>
      <c r="E1045" s="21" t="n">
        <v>3336.62</v>
      </c>
      <c r="F1045" s="22" t="n">
        <f aca="false">D1045*E1045</f>
        <v>215211.99</v>
      </c>
      <c r="G1045" s="2"/>
    </row>
    <row r="1046" customFormat="false" ht="15" hidden="false" customHeight="false" outlineLevel="0" collapsed="false">
      <c r="A1046" s="19" t="s">
        <v>89</v>
      </c>
      <c r="B1046" s="19" t="s">
        <v>84</v>
      </c>
      <c r="C1046" s="19" t="s">
        <v>75</v>
      </c>
      <c r="D1046" s="20" t="n">
        <v>64.3</v>
      </c>
      <c r="E1046" s="21" t="n">
        <v>3350.56</v>
      </c>
      <c r="F1046" s="22" t="n">
        <f aca="false">D1046*E1046</f>
        <v>215441.008</v>
      </c>
      <c r="G1046" s="2"/>
    </row>
    <row r="1047" customFormat="false" ht="15" hidden="false" customHeight="false" outlineLevel="0" collapsed="false">
      <c r="A1047" s="19" t="s">
        <v>89</v>
      </c>
      <c r="B1047" s="19" t="s">
        <v>84</v>
      </c>
      <c r="C1047" s="19" t="s">
        <v>76</v>
      </c>
      <c r="D1047" s="20" t="n">
        <v>68.4</v>
      </c>
      <c r="E1047" s="21" t="n">
        <v>3355.8</v>
      </c>
      <c r="F1047" s="22" t="n">
        <f aca="false">D1047*E1047</f>
        <v>229536.72</v>
      </c>
      <c r="G1047" s="2"/>
    </row>
    <row r="1048" customFormat="false" ht="15" hidden="false" customHeight="false" outlineLevel="0" collapsed="false">
      <c r="A1048" s="19" t="s">
        <v>89</v>
      </c>
      <c r="B1048" s="19" t="s">
        <v>84</v>
      </c>
      <c r="C1048" s="19" t="s">
        <v>77</v>
      </c>
      <c r="D1048" s="20" t="n">
        <v>68</v>
      </c>
      <c r="E1048" s="21" t="n">
        <v>3359.69</v>
      </c>
      <c r="F1048" s="22" t="n">
        <f aca="false">D1048*E1048</f>
        <v>228458.92</v>
      </c>
      <c r="G1048" s="2"/>
    </row>
    <row r="1049" customFormat="false" ht="15" hidden="false" customHeight="false" outlineLevel="0" collapsed="false">
      <c r="A1049" s="19" t="s">
        <v>89</v>
      </c>
      <c r="B1049" s="19" t="s">
        <v>84</v>
      </c>
      <c r="C1049" s="19" t="s">
        <v>78</v>
      </c>
      <c r="D1049" s="20" t="n">
        <v>67</v>
      </c>
      <c r="E1049" s="21" t="n">
        <v>3360.93</v>
      </c>
      <c r="F1049" s="22" t="n">
        <f aca="false">D1049*E1049</f>
        <v>225182.31</v>
      </c>
      <c r="G1049" s="2"/>
    </row>
    <row r="1050" customFormat="false" ht="15" hidden="false" customHeight="false" outlineLevel="0" collapsed="false">
      <c r="A1050" s="19" t="s">
        <v>89</v>
      </c>
      <c r="B1050" s="19" t="s">
        <v>84</v>
      </c>
      <c r="C1050" s="19" t="s">
        <v>79</v>
      </c>
      <c r="D1050" s="20" t="n">
        <v>66.5</v>
      </c>
      <c r="E1050" s="21" t="n">
        <v>3358.84</v>
      </c>
      <c r="F1050" s="22" t="n">
        <f aca="false">D1050*E1050</f>
        <v>223362.86</v>
      </c>
      <c r="G1050" s="2"/>
    </row>
    <row r="1051" customFormat="false" ht="15" hidden="false" customHeight="false" outlineLevel="0" collapsed="false">
      <c r="A1051" s="19" t="s">
        <v>89</v>
      </c>
      <c r="B1051" s="19" t="s">
        <v>84</v>
      </c>
      <c r="C1051" s="19" t="s">
        <v>80</v>
      </c>
      <c r="D1051" s="20" t="n">
        <v>70.9</v>
      </c>
      <c r="E1051" s="21" t="n">
        <v>3365.68</v>
      </c>
      <c r="F1051" s="22" t="n">
        <f aca="false">D1051*E1051</f>
        <v>238626.712</v>
      </c>
      <c r="G1051" s="2"/>
    </row>
    <row r="1052" customFormat="false" ht="15" hidden="false" customHeight="false" outlineLevel="0" collapsed="false">
      <c r="A1052" s="19" t="s">
        <v>89</v>
      </c>
      <c r="B1052" s="19" t="s">
        <v>85</v>
      </c>
      <c r="C1052" s="19" t="s">
        <v>45</v>
      </c>
      <c r="D1052" s="20" t="n">
        <v>56.6</v>
      </c>
      <c r="E1052" s="21" t="n">
        <v>4428.25</v>
      </c>
      <c r="F1052" s="22" t="n">
        <f aca="false">D1052*E1052</f>
        <v>250638.95</v>
      </c>
      <c r="G1052" s="2"/>
    </row>
    <row r="1053" customFormat="false" ht="15" hidden="false" customHeight="false" outlineLevel="0" collapsed="false">
      <c r="A1053" s="19" t="s">
        <v>89</v>
      </c>
      <c r="B1053" s="19" t="s">
        <v>85</v>
      </c>
      <c r="C1053" s="19" t="s">
        <v>46</v>
      </c>
      <c r="D1053" s="20" t="n">
        <v>56.8</v>
      </c>
      <c r="E1053" s="21" t="n">
        <v>4439.01</v>
      </c>
      <c r="F1053" s="22" t="n">
        <f aca="false">D1053*E1053</f>
        <v>252135.768</v>
      </c>
      <c r="G1053" s="2"/>
    </row>
    <row r="1054" customFormat="false" ht="15" hidden="false" customHeight="false" outlineLevel="0" collapsed="false">
      <c r="A1054" s="19" t="s">
        <v>89</v>
      </c>
      <c r="B1054" s="19" t="s">
        <v>85</v>
      </c>
      <c r="C1054" s="19" t="s">
        <v>47</v>
      </c>
      <c r="D1054" s="20" t="n">
        <v>60.4</v>
      </c>
      <c r="E1054" s="21" t="n">
        <v>4441.04</v>
      </c>
      <c r="F1054" s="22" t="n">
        <f aca="false">D1054*E1054</f>
        <v>268238.816</v>
      </c>
      <c r="G1054" s="2"/>
    </row>
    <row r="1055" customFormat="false" ht="15" hidden="false" customHeight="false" outlineLevel="0" collapsed="false">
      <c r="A1055" s="19" t="s">
        <v>89</v>
      </c>
      <c r="B1055" s="19" t="s">
        <v>85</v>
      </c>
      <c r="C1055" s="19" t="s">
        <v>48</v>
      </c>
      <c r="D1055" s="20" t="n">
        <v>63</v>
      </c>
      <c r="E1055" s="21" t="n">
        <v>4452.69</v>
      </c>
      <c r="F1055" s="22" t="n">
        <f aca="false">D1055*E1055</f>
        <v>280519.47</v>
      </c>
      <c r="G1055" s="2"/>
    </row>
    <row r="1056" customFormat="false" ht="15" hidden="false" customHeight="false" outlineLevel="0" collapsed="false">
      <c r="A1056" s="19" t="s">
        <v>89</v>
      </c>
      <c r="B1056" s="19" t="s">
        <v>85</v>
      </c>
      <c r="C1056" s="19" t="s">
        <v>49</v>
      </c>
      <c r="D1056" s="20" t="n">
        <v>61.8</v>
      </c>
      <c r="E1056" s="21" t="n">
        <v>4467.66</v>
      </c>
      <c r="F1056" s="22" t="n">
        <f aca="false">D1056*E1056</f>
        <v>276101.388</v>
      </c>
      <c r="G1056" s="2"/>
    </row>
    <row r="1057" customFormat="false" ht="15" hidden="false" customHeight="false" outlineLevel="0" collapsed="false">
      <c r="A1057" s="19" t="s">
        <v>89</v>
      </c>
      <c r="B1057" s="19" t="s">
        <v>85</v>
      </c>
      <c r="C1057" s="19" t="s">
        <v>50</v>
      </c>
      <c r="D1057" s="20" t="n">
        <v>63.7</v>
      </c>
      <c r="E1057" s="21" t="n">
        <v>4466.87</v>
      </c>
      <c r="F1057" s="22" t="n">
        <f aca="false">D1057*E1057</f>
        <v>284539.619</v>
      </c>
      <c r="G1057" s="2"/>
    </row>
    <row r="1058" customFormat="false" ht="15" hidden="false" customHeight="false" outlineLevel="0" collapsed="false">
      <c r="A1058" s="19" t="s">
        <v>89</v>
      </c>
      <c r="B1058" s="19" t="s">
        <v>85</v>
      </c>
      <c r="C1058" s="19" t="s">
        <v>51</v>
      </c>
      <c r="D1058" s="20" t="n">
        <v>66.9</v>
      </c>
      <c r="E1058" s="21" t="n">
        <v>4479.87</v>
      </c>
      <c r="F1058" s="22" t="n">
        <f aca="false">D1058*E1058</f>
        <v>299703.303</v>
      </c>
      <c r="G1058" s="2"/>
    </row>
    <row r="1059" customFormat="false" ht="15" hidden="false" customHeight="false" outlineLevel="0" collapsed="false">
      <c r="A1059" s="19" t="s">
        <v>89</v>
      </c>
      <c r="B1059" s="19" t="s">
        <v>85</v>
      </c>
      <c r="C1059" s="19" t="s">
        <v>52</v>
      </c>
      <c r="D1059" s="20" t="n">
        <v>67.1</v>
      </c>
      <c r="E1059" s="21" t="n">
        <v>4478.47</v>
      </c>
      <c r="F1059" s="22" t="n">
        <f aca="false">D1059*E1059</f>
        <v>300505.337</v>
      </c>
      <c r="G1059" s="2"/>
    </row>
    <row r="1060" customFormat="false" ht="15" hidden="false" customHeight="false" outlineLevel="0" collapsed="false">
      <c r="A1060" s="19" t="s">
        <v>89</v>
      </c>
      <c r="B1060" s="19" t="s">
        <v>85</v>
      </c>
      <c r="C1060" s="19" t="s">
        <v>53</v>
      </c>
      <c r="D1060" s="20" t="n">
        <v>67</v>
      </c>
      <c r="E1060" s="21" t="n">
        <v>4477.99</v>
      </c>
      <c r="F1060" s="22" t="n">
        <f aca="false">D1060*E1060</f>
        <v>300025.33</v>
      </c>
      <c r="G1060" s="2"/>
    </row>
    <row r="1061" customFormat="false" ht="15" hidden="false" customHeight="false" outlineLevel="0" collapsed="false">
      <c r="A1061" s="19" t="s">
        <v>89</v>
      </c>
      <c r="B1061" s="19" t="s">
        <v>85</v>
      </c>
      <c r="C1061" s="19" t="s">
        <v>54</v>
      </c>
      <c r="D1061" s="20" t="n">
        <v>66.9</v>
      </c>
      <c r="E1061" s="21" t="n">
        <v>4488.1</v>
      </c>
      <c r="F1061" s="22" t="n">
        <f aca="false">D1061*E1061</f>
        <v>300253.89</v>
      </c>
      <c r="G1061" s="2"/>
    </row>
    <row r="1062" customFormat="false" ht="15" hidden="false" customHeight="false" outlineLevel="0" collapsed="false">
      <c r="A1062" s="19" t="s">
        <v>89</v>
      </c>
      <c r="B1062" s="19" t="s">
        <v>85</v>
      </c>
      <c r="C1062" s="19" t="s">
        <v>55</v>
      </c>
      <c r="D1062" s="20" t="n">
        <v>65.4</v>
      </c>
      <c r="E1062" s="21" t="n">
        <v>4477.56</v>
      </c>
      <c r="F1062" s="22" t="n">
        <f aca="false">D1062*E1062</f>
        <v>292832.424</v>
      </c>
      <c r="G1062" s="2"/>
    </row>
    <row r="1063" customFormat="false" ht="15" hidden="false" customHeight="false" outlineLevel="0" collapsed="false">
      <c r="A1063" s="19" t="s">
        <v>89</v>
      </c>
      <c r="B1063" s="19" t="s">
        <v>85</v>
      </c>
      <c r="C1063" s="19" t="s">
        <v>56</v>
      </c>
      <c r="D1063" s="20" t="n">
        <v>66.1</v>
      </c>
      <c r="E1063" s="21" t="n">
        <v>4476.35</v>
      </c>
      <c r="F1063" s="22" t="n">
        <f aca="false">D1063*E1063</f>
        <v>295886.735</v>
      </c>
      <c r="G1063" s="2"/>
    </row>
    <row r="1064" customFormat="false" ht="15" hidden="false" customHeight="false" outlineLevel="0" collapsed="false">
      <c r="A1064" s="19" t="s">
        <v>89</v>
      </c>
      <c r="B1064" s="19" t="s">
        <v>85</v>
      </c>
      <c r="C1064" s="19" t="s">
        <v>57</v>
      </c>
      <c r="D1064" s="20" t="n">
        <v>65.5</v>
      </c>
      <c r="E1064" s="21" t="n">
        <v>4498.21</v>
      </c>
      <c r="F1064" s="22" t="n">
        <f aca="false">D1064*E1064</f>
        <v>294632.755</v>
      </c>
      <c r="G1064" s="2"/>
    </row>
    <row r="1065" customFormat="false" ht="15" hidden="false" customHeight="false" outlineLevel="0" collapsed="false">
      <c r="A1065" s="19" t="s">
        <v>89</v>
      </c>
      <c r="B1065" s="19" t="s">
        <v>85</v>
      </c>
      <c r="C1065" s="19" t="s">
        <v>58</v>
      </c>
      <c r="D1065" s="20" t="n">
        <v>69</v>
      </c>
      <c r="E1065" s="21" t="n">
        <v>4506.02</v>
      </c>
      <c r="F1065" s="22" t="n">
        <f aca="false">D1065*E1065</f>
        <v>310915.38</v>
      </c>
      <c r="G1065" s="2"/>
    </row>
    <row r="1066" customFormat="false" ht="15" hidden="false" customHeight="false" outlineLevel="0" collapsed="false">
      <c r="A1066" s="19" t="s">
        <v>89</v>
      </c>
      <c r="B1066" s="19" t="s">
        <v>85</v>
      </c>
      <c r="C1066" s="19" t="s">
        <v>59</v>
      </c>
      <c r="D1066" s="20" t="n">
        <v>70.5</v>
      </c>
      <c r="E1066" s="21" t="n">
        <v>4507.33</v>
      </c>
      <c r="F1066" s="22" t="n">
        <f aca="false">D1066*E1066</f>
        <v>317766.765</v>
      </c>
      <c r="G1066" s="2"/>
    </row>
    <row r="1067" customFormat="false" ht="15" hidden="false" customHeight="false" outlineLevel="0" collapsed="false">
      <c r="A1067" s="19" t="s">
        <v>89</v>
      </c>
      <c r="B1067" s="19" t="s">
        <v>85</v>
      </c>
      <c r="C1067" s="19" t="s">
        <v>60</v>
      </c>
      <c r="D1067" s="20" t="n">
        <v>70.4</v>
      </c>
      <c r="E1067" s="21" t="n">
        <v>4529.93</v>
      </c>
      <c r="F1067" s="22" t="n">
        <f aca="false">D1067*E1067</f>
        <v>318907.072</v>
      </c>
      <c r="G1067" s="2"/>
    </row>
    <row r="1068" customFormat="false" ht="15" hidden="false" customHeight="false" outlineLevel="0" collapsed="false">
      <c r="A1068" s="19" t="s">
        <v>89</v>
      </c>
      <c r="B1068" s="19" t="s">
        <v>85</v>
      </c>
      <c r="C1068" s="19" t="s">
        <v>61</v>
      </c>
      <c r="D1068" s="20" t="n">
        <v>73.8</v>
      </c>
      <c r="E1068" s="21" t="n">
        <v>4536.81</v>
      </c>
      <c r="F1068" s="22" t="n">
        <f aca="false">D1068*E1068</f>
        <v>334816.578</v>
      </c>
      <c r="G1068" s="2"/>
    </row>
    <row r="1069" customFormat="false" ht="15" hidden="false" customHeight="false" outlineLevel="0" collapsed="false">
      <c r="A1069" s="19" t="s">
        <v>89</v>
      </c>
      <c r="B1069" s="19" t="s">
        <v>85</v>
      </c>
      <c r="C1069" s="19" t="s">
        <v>62</v>
      </c>
      <c r="D1069" s="20" t="n">
        <v>75.2</v>
      </c>
      <c r="E1069" s="21" t="n">
        <v>4543.13</v>
      </c>
      <c r="F1069" s="22" t="n">
        <f aca="false">D1069*E1069</f>
        <v>341643.376</v>
      </c>
      <c r="G1069" s="2"/>
    </row>
    <row r="1070" customFormat="false" ht="15" hidden="false" customHeight="false" outlineLevel="0" collapsed="false">
      <c r="A1070" s="19" t="s">
        <v>89</v>
      </c>
      <c r="B1070" s="19" t="s">
        <v>85</v>
      </c>
      <c r="C1070" s="19" t="s">
        <v>63</v>
      </c>
      <c r="D1070" s="20" t="n">
        <v>78.1</v>
      </c>
      <c r="E1070" s="21" t="n">
        <v>4560.76</v>
      </c>
      <c r="F1070" s="22" t="n">
        <f aca="false">D1070*E1070</f>
        <v>356195.356</v>
      </c>
      <c r="G1070" s="2"/>
    </row>
    <row r="1071" customFormat="false" ht="15" hidden="false" customHeight="false" outlineLevel="0" collapsed="false">
      <c r="A1071" s="19" t="s">
        <v>89</v>
      </c>
      <c r="B1071" s="19" t="s">
        <v>85</v>
      </c>
      <c r="C1071" s="19" t="s">
        <v>64</v>
      </c>
      <c r="D1071" s="20" t="n">
        <v>77.2</v>
      </c>
      <c r="E1071" s="21" t="n">
        <v>4575.19</v>
      </c>
      <c r="F1071" s="22" t="n">
        <f aca="false">D1071*E1071</f>
        <v>353204.668</v>
      </c>
      <c r="G1071" s="2"/>
    </row>
    <row r="1072" customFormat="false" ht="15" hidden="false" customHeight="false" outlineLevel="0" collapsed="false">
      <c r="A1072" s="19" t="s">
        <v>89</v>
      </c>
      <c r="B1072" s="19" t="s">
        <v>85</v>
      </c>
      <c r="C1072" s="19" t="s">
        <v>65</v>
      </c>
      <c r="D1072" s="20" t="n">
        <v>78</v>
      </c>
      <c r="E1072" s="21" t="n">
        <v>4600.13</v>
      </c>
      <c r="F1072" s="22" t="n">
        <f aca="false">D1072*E1072</f>
        <v>358810.14</v>
      </c>
      <c r="G1072" s="2"/>
    </row>
    <row r="1073" customFormat="false" ht="15" hidden="false" customHeight="false" outlineLevel="0" collapsed="false">
      <c r="A1073" s="19" t="s">
        <v>89</v>
      </c>
      <c r="B1073" s="19" t="s">
        <v>85</v>
      </c>
      <c r="C1073" s="19" t="s">
        <v>66</v>
      </c>
      <c r="D1073" s="20" t="n">
        <v>81.4</v>
      </c>
      <c r="E1073" s="21" t="n">
        <v>4611.83</v>
      </c>
      <c r="F1073" s="22" t="n">
        <f aca="false">D1073*E1073</f>
        <v>375402.962</v>
      </c>
      <c r="G1073" s="2"/>
    </row>
    <row r="1074" customFormat="false" ht="15" hidden="false" customHeight="false" outlineLevel="0" collapsed="false">
      <c r="A1074" s="19" t="s">
        <v>89</v>
      </c>
      <c r="B1074" s="19" t="s">
        <v>85</v>
      </c>
      <c r="C1074" s="19" t="s">
        <v>67</v>
      </c>
      <c r="D1074" s="20" t="n">
        <v>85.1</v>
      </c>
      <c r="E1074" s="21" t="n">
        <v>4615.57</v>
      </c>
      <c r="F1074" s="22" t="n">
        <f aca="false">D1074*E1074</f>
        <v>392785.007</v>
      </c>
      <c r="G1074" s="2"/>
    </row>
    <row r="1075" customFormat="false" ht="15" hidden="false" customHeight="false" outlineLevel="0" collapsed="false">
      <c r="A1075" s="19" t="s">
        <v>89</v>
      </c>
      <c r="B1075" s="19" t="s">
        <v>85</v>
      </c>
      <c r="C1075" s="19" t="s">
        <v>68</v>
      </c>
      <c r="D1075" s="20" t="n">
        <v>84.2</v>
      </c>
      <c r="E1075" s="21" t="n">
        <v>4628.38</v>
      </c>
      <c r="F1075" s="22" t="n">
        <f aca="false">D1075*E1075</f>
        <v>389709.596</v>
      </c>
      <c r="G1075" s="2"/>
    </row>
    <row r="1076" customFormat="false" ht="15" hidden="false" customHeight="false" outlineLevel="0" collapsed="false">
      <c r="A1076" s="19" t="s">
        <v>89</v>
      </c>
      <c r="B1076" s="19" t="s">
        <v>85</v>
      </c>
      <c r="C1076" s="19" t="s">
        <v>69</v>
      </c>
      <c r="D1076" s="20" t="n">
        <v>84.8</v>
      </c>
      <c r="E1076" s="21" t="n">
        <v>4616.35</v>
      </c>
      <c r="F1076" s="22" t="n">
        <f aca="false">D1076*E1076</f>
        <v>391466.48</v>
      </c>
      <c r="G1076" s="2"/>
    </row>
    <row r="1077" customFormat="false" ht="15" hidden="false" customHeight="false" outlineLevel="0" collapsed="false">
      <c r="A1077" s="19" t="s">
        <v>89</v>
      </c>
      <c r="B1077" s="19" t="s">
        <v>85</v>
      </c>
      <c r="C1077" s="19" t="s">
        <v>70</v>
      </c>
      <c r="D1077" s="20" t="n">
        <v>83.8</v>
      </c>
      <c r="E1077" s="21" t="n">
        <v>4623.42</v>
      </c>
      <c r="F1077" s="22" t="n">
        <f aca="false">D1077*E1077</f>
        <v>387442.596</v>
      </c>
      <c r="G1077" s="2"/>
    </row>
    <row r="1078" customFormat="false" ht="15" hidden="false" customHeight="false" outlineLevel="0" collapsed="false">
      <c r="A1078" s="19" t="s">
        <v>89</v>
      </c>
      <c r="B1078" s="19" t="s">
        <v>85</v>
      </c>
      <c r="C1078" s="19" t="s">
        <v>71</v>
      </c>
      <c r="D1078" s="20" t="n">
        <v>82</v>
      </c>
      <c r="E1078" s="21" t="n">
        <v>4642.73</v>
      </c>
      <c r="F1078" s="22" t="n">
        <f aca="false">D1078*E1078</f>
        <v>380703.86</v>
      </c>
      <c r="G1078" s="2"/>
    </row>
    <row r="1079" customFormat="false" ht="15" hidden="false" customHeight="false" outlineLevel="0" collapsed="false">
      <c r="A1079" s="19" t="s">
        <v>89</v>
      </c>
      <c r="B1079" s="19" t="s">
        <v>85</v>
      </c>
      <c r="C1079" s="19" t="s">
        <v>72</v>
      </c>
      <c r="D1079" s="20" t="n">
        <v>82.3</v>
      </c>
      <c r="E1079" s="21" t="n">
        <v>4632.01</v>
      </c>
      <c r="F1079" s="22" t="n">
        <f aca="false">D1079*E1079</f>
        <v>381214.423</v>
      </c>
      <c r="G1079" s="2"/>
    </row>
    <row r="1080" customFormat="false" ht="15" hidden="false" customHeight="false" outlineLevel="0" collapsed="false">
      <c r="A1080" s="19" t="s">
        <v>89</v>
      </c>
      <c r="B1080" s="19" t="s">
        <v>85</v>
      </c>
      <c r="C1080" s="19" t="s">
        <v>73</v>
      </c>
      <c r="D1080" s="20" t="n">
        <v>84</v>
      </c>
      <c r="E1080" s="21" t="n">
        <v>4647.76</v>
      </c>
      <c r="F1080" s="22" t="n">
        <f aca="false">D1080*E1080</f>
        <v>390411.84</v>
      </c>
      <c r="G1080" s="2"/>
    </row>
    <row r="1081" customFormat="false" ht="15" hidden="false" customHeight="false" outlineLevel="0" collapsed="false">
      <c r="A1081" s="19" t="s">
        <v>89</v>
      </c>
      <c r="B1081" s="19" t="s">
        <v>85</v>
      </c>
      <c r="C1081" s="19" t="s">
        <v>74</v>
      </c>
      <c r="D1081" s="20" t="n">
        <v>88.3</v>
      </c>
      <c r="E1081" s="21" t="n">
        <v>4654.53</v>
      </c>
      <c r="F1081" s="22" t="n">
        <f aca="false">D1081*E1081</f>
        <v>410994.999</v>
      </c>
      <c r="G1081" s="2"/>
    </row>
    <row r="1082" customFormat="false" ht="15" hidden="false" customHeight="false" outlineLevel="0" collapsed="false">
      <c r="A1082" s="19" t="s">
        <v>89</v>
      </c>
      <c r="B1082" s="19" t="s">
        <v>85</v>
      </c>
      <c r="C1082" s="19" t="s">
        <v>75</v>
      </c>
      <c r="D1082" s="20" t="n">
        <v>88.4</v>
      </c>
      <c r="E1082" s="21" t="n">
        <v>4676.2</v>
      </c>
      <c r="F1082" s="22" t="n">
        <f aca="false">D1082*E1082</f>
        <v>413376.08</v>
      </c>
      <c r="G1082" s="2"/>
    </row>
    <row r="1083" customFormat="false" ht="15" hidden="false" customHeight="false" outlineLevel="0" collapsed="false">
      <c r="A1083" s="19" t="s">
        <v>89</v>
      </c>
      <c r="B1083" s="19" t="s">
        <v>85</v>
      </c>
      <c r="C1083" s="19" t="s">
        <v>76</v>
      </c>
      <c r="D1083" s="20" t="n">
        <v>86.6</v>
      </c>
      <c r="E1083" s="21" t="n">
        <v>4672.62</v>
      </c>
      <c r="F1083" s="22" t="n">
        <f aca="false">D1083*E1083</f>
        <v>404648.892</v>
      </c>
      <c r="G1083" s="2"/>
    </row>
    <row r="1084" customFormat="false" ht="15" hidden="false" customHeight="false" outlineLevel="0" collapsed="false">
      <c r="A1084" s="19" t="s">
        <v>89</v>
      </c>
      <c r="B1084" s="19" t="s">
        <v>85</v>
      </c>
      <c r="C1084" s="19" t="s">
        <v>77</v>
      </c>
      <c r="D1084" s="20" t="n">
        <v>87.8</v>
      </c>
      <c r="E1084" s="21" t="n">
        <v>4667.92</v>
      </c>
      <c r="F1084" s="22" t="n">
        <f aca="false">D1084*E1084</f>
        <v>409843.376</v>
      </c>
      <c r="G1084" s="2"/>
    </row>
    <row r="1085" customFormat="false" ht="15" hidden="false" customHeight="false" outlineLevel="0" collapsed="false">
      <c r="A1085" s="19" t="s">
        <v>89</v>
      </c>
      <c r="B1085" s="19" t="s">
        <v>85</v>
      </c>
      <c r="C1085" s="19" t="s">
        <v>78</v>
      </c>
      <c r="D1085" s="20" t="n">
        <v>88.1</v>
      </c>
      <c r="E1085" s="21" t="n">
        <v>4685.28</v>
      </c>
      <c r="F1085" s="22" t="n">
        <f aca="false">D1085*E1085</f>
        <v>412773.168</v>
      </c>
      <c r="G1085" s="2"/>
    </row>
    <row r="1086" customFormat="false" ht="15" hidden="false" customHeight="false" outlineLevel="0" collapsed="false">
      <c r="A1086" s="19" t="s">
        <v>89</v>
      </c>
      <c r="B1086" s="19" t="s">
        <v>85</v>
      </c>
      <c r="C1086" s="19" t="s">
        <v>79</v>
      </c>
      <c r="D1086" s="20" t="n">
        <v>90.7</v>
      </c>
      <c r="E1086" s="21" t="n">
        <v>4676.6</v>
      </c>
      <c r="F1086" s="22" t="n">
        <f aca="false">D1086*E1086</f>
        <v>424167.62</v>
      </c>
      <c r="G1086" s="2"/>
    </row>
    <row r="1087" customFormat="false" ht="15" hidden="false" customHeight="false" outlineLevel="0" collapsed="false">
      <c r="A1087" s="19" t="s">
        <v>89</v>
      </c>
      <c r="B1087" s="19" t="s">
        <v>85</v>
      </c>
      <c r="C1087" s="19" t="s">
        <v>80</v>
      </c>
      <c r="D1087" s="20" t="n">
        <v>94.3</v>
      </c>
      <c r="E1087" s="21" t="n">
        <v>4666.26</v>
      </c>
      <c r="F1087" s="22" t="n">
        <f aca="false">D1087*E1087</f>
        <v>440028.318</v>
      </c>
      <c r="G108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8"/>
    <col collapsed="false" customWidth="true" hidden="false" outlineLevel="0" max="3" min="3" style="1" width="16"/>
    <col collapsed="false" customWidth="true" hidden="false" outlineLevel="0" max="4" min="4" style="1" width="60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90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5" t="s">
        <v>91</v>
      </c>
      <c r="C7" s="23" t="n">
        <v>0.56</v>
      </c>
      <c r="D7" s="16" t="s">
        <v>92</v>
      </c>
      <c r="E7" s="2"/>
      <c r="F7" s="2"/>
      <c r="G7" s="2"/>
    </row>
    <row r="8" customFormat="false" ht="15" hidden="false" customHeight="false" outlineLevel="0" collapsed="false">
      <c r="A8" s="2"/>
      <c r="B8" s="5" t="s">
        <v>93</v>
      </c>
      <c r="C8" s="23" t="n">
        <v>0.24</v>
      </c>
      <c r="D8" s="16" t="s">
        <v>94</v>
      </c>
      <c r="E8" s="2"/>
      <c r="F8" s="2"/>
      <c r="G8" s="2"/>
    </row>
    <row r="9" customFormat="false" ht="15" hidden="false" customHeight="false" outlineLevel="0" collapsed="false">
      <c r="A9" s="2"/>
      <c r="B9" s="5" t="s">
        <v>95</v>
      </c>
      <c r="C9" s="23" t="n">
        <v>0.025</v>
      </c>
      <c r="D9" s="16" t="s">
        <v>96</v>
      </c>
      <c r="E9" s="2"/>
      <c r="F9" s="2"/>
      <c r="G9" s="2"/>
    </row>
    <row r="10" customFormat="false" ht="15" hidden="false" customHeight="false" outlineLevel="0" collapsed="false">
      <c r="A10" s="2"/>
      <c r="B10" s="5" t="s">
        <v>97</v>
      </c>
      <c r="C10" s="23" t="n">
        <v>0.09</v>
      </c>
      <c r="D10" s="16" t="s">
        <v>98</v>
      </c>
      <c r="E10" s="2"/>
      <c r="F10" s="2"/>
      <c r="G10" s="2"/>
    </row>
    <row r="11" customFormat="false" ht="15" hidden="false" customHeight="false" outlineLevel="0" collapsed="false">
      <c r="A11" s="2"/>
      <c r="B11" s="5" t="s">
        <v>99</v>
      </c>
      <c r="C11" s="23" t="n">
        <v>0.03</v>
      </c>
      <c r="D11" s="16" t="s">
        <v>100</v>
      </c>
      <c r="E11" s="2"/>
      <c r="F11" s="2"/>
      <c r="G11" s="2"/>
    </row>
    <row r="12" customFormat="false" ht="15" hidden="false" customHeight="false" outlineLevel="0" collapsed="false">
      <c r="A12" s="2"/>
      <c r="B12" s="5" t="s">
        <v>101</v>
      </c>
      <c r="C12" s="24" t="n">
        <v>55</v>
      </c>
      <c r="D12" s="16" t="s">
        <v>102</v>
      </c>
      <c r="E12" s="2"/>
      <c r="F12" s="2"/>
      <c r="G12" s="2"/>
    </row>
    <row r="13" customFormat="false" ht="15" hidden="false" customHeight="false" outlineLevel="0" collapsed="false">
      <c r="A13" s="2"/>
      <c r="B13" s="5" t="s">
        <v>103</v>
      </c>
      <c r="C13" s="24" t="n">
        <v>40</v>
      </c>
      <c r="D13" s="16" t="s">
        <v>104</v>
      </c>
      <c r="E13" s="2"/>
      <c r="F13" s="2"/>
      <c r="G13" s="2"/>
    </row>
    <row r="14" customFormat="false" ht="15" hidden="false" customHeight="false" outlineLevel="0" collapsed="false">
      <c r="A14" s="2"/>
      <c r="B14" s="5" t="s">
        <v>105</v>
      </c>
      <c r="C14" s="23" t="n">
        <v>0.065</v>
      </c>
      <c r="D14" s="16" t="s">
        <v>106</v>
      </c>
      <c r="E14" s="2"/>
      <c r="F14" s="2"/>
      <c r="G14" s="2"/>
    </row>
    <row r="15" customFormat="false" ht="15" hidden="false" customHeight="false" outlineLevel="0" collapsed="false">
      <c r="A15" s="2"/>
      <c r="B15" s="5" t="s">
        <v>107</v>
      </c>
      <c r="C15" s="25" t="n">
        <v>1200000</v>
      </c>
      <c r="D15" s="16" t="s">
        <v>108</v>
      </c>
      <c r="E15" s="2"/>
      <c r="F15" s="2"/>
      <c r="G15" s="2"/>
    </row>
    <row r="16" customFormat="false" ht="15" hidden="false" customHeight="false" outlineLevel="0" collapsed="false">
      <c r="A16" s="2"/>
      <c r="B16" s="5" t="s">
        <v>109</v>
      </c>
      <c r="C16" s="25" t="n">
        <v>200000</v>
      </c>
      <c r="D16" s="16" t="s">
        <v>110</v>
      </c>
      <c r="E16" s="2"/>
      <c r="F16" s="2"/>
      <c r="G16" s="2"/>
    </row>
    <row r="17" customFormat="false" ht="15" hidden="false" customHeight="false" outlineLevel="0" collapsed="false">
      <c r="A17" s="2"/>
      <c r="B17" s="5" t="s">
        <v>111</v>
      </c>
      <c r="C17" s="23" t="n">
        <v>0.11</v>
      </c>
      <c r="D17" s="16" t="s">
        <v>112</v>
      </c>
      <c r="E17" s="2"/>
      <c r="F17" s="2"/>
      <c r="G17" s="2"/>
    </row>
    <row r="18" customFormat="false" ht="15" hidden="false" customHeight="false" outlineLevel="0" collapsed="false">
      <c r="A18" s="2"/>
      <c r="B18" s="5" t="s">
        <v>113</v>
      </c>
      <c r="C18" s="23" t="n">
        <v>0.025</v>
      </c>
      <c r="D18" s="16" t="s">
        <v>114</v>
      </c>
      <c r="E18" s="2"/>
      <c r="F18" s="2"/>
      <c r="G18" s="2"/>
    </row>
    <row r="19" customFormat="false" ht="15" hidden="false" customHeight="false" outlineLevel="0" collapsed="false">
      <c r="A19" s="2"/>
      <c r="B19" s="5" t="s">
        <v>115</v>
      </c>
      <c r="C19" s="25" t="n">
        <v>650000</v>
      </c>
      <c r="D19" s="16" t="s">
        <v>116</v>
      </c>
      <c r="E19" s="2"/>
      <c r="F19" s="2"/>
      <c r="G19" s="2"/>
    </row>
    <row r="20" customFormat="false" ht="15" hidden="false" customHeight="false" outlineLevel="0" collapsed="false">
      <c r="A20" s="2"/>
      <c r="B20" s="5" t="s">
        <v>117</v>
      </c>
      <c r="C20" s="25" t="n">
        <v>2200000</v>
      </c>
      <c r="D20" s="16" t="s">
        <v>118</v>
      </c>
      <c r="E20" s="2"/>
      <c r="F20" s="2"/>
      <c r="G20" s="2"/>
    </row>
    <row r="21" customFormat="false" ht="15" hidden="false" customHeight="false" outlineLevel="0" collapsed="false">
      <c r="A21" s="2"/>
      <c r="B21" s="5" t="s">
        <v>119</v>
      </c>
      <c r="C21" s="25" t="n">
        <v>1650000</v>
      </c>
      <c r="D21" s="16" t="s">
        <v>120</v>
      </c>
      <c r="E21" s="2"/>
      <c r="F21" s="2"/>
      <c r="G2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2"/>
    <col collapsed="false" customWidth="true" hidden="false" outlineLevel="0" max="5" min="3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121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2"/>
      <c r="C7" s="26" t="s">
        <v>122</v>
      </c>
      <c r="D7" s="26" t="s">
        <v>123</v>
      </c>
      <c r="E7" s="26" t="s">
        <v>124</v>
      </c>
      <c r="F7" s="2"/>
      <c r="G7" s="2"/>
    </row>
    <row r="8" customFormat="false" ht="15" hidden="false" customHeight="false" outlineLevel="0" collapsed="false">
      <c r="A8" s="2"/>
      <c r="B8" s="5" t="s">
        <v>125</v>
      </c>
      <c r="C8" s="27" t="n">
        <f aca="false">SUM(SUMIF(01_Revenue_Build!C8:C1087,{"2023-04","2023-05","2023-06","2023-07","2023-08","2023-09","2023-10","2023-11","2023-12","2024-01","2024-02","2024-03"},01_Revenue_Build!F8:F1087))</f>
        <v>144261310.203</v>
      </c>
      <c r="D8" s="27" t="n">
        <f aca="false">SUM(SUMIF(01_Revenue_Build!C8:C1087,{"2024-04","2024-05","2024-06","2024-07","2024-08","2024-09","2024-10","2024-11","2024-12","2025-01","2025-02","2025-03"},01_Revenue_Build!F8:F1087))</f>
        <v>176278288.602</v>
      </c>
      <c r="E8" s="27" t="n">
        <f aca="false">SUM(SUMIF(01_Revenue_Build!C8:C1087,{"2025-04","2025-05","2025-06","2025-07","2025-08","2025-09","2025-10","2025-11","2025-12","2026-01","2026-02","2026-03"},01_Revenue_Build!F8:F1087))</f>
        <v>213221159.856</v>
      </c>
      <c r="F8" s="2"/>
      <c r="G8" s="2"/>
    </row>
    <row r="9" customFormat="false" ht="15" hidden="false" customHeight="false" outlineLevel="0" collapsed="false">
      <c r="A9" s="2"/>
      <c r="B9" s="28" t="s">
        <v>126</v>
      </c>
      <c r="C9" s="29" t="n">
        <f aca="false">-C8*02_Assumptions!C7</f>
        <v>-80786333.71368</v>
      </c>
      <c r="D9" s="29" t="n">
        <f aca="false">-D8*02_Assumptions!C7</f>
        <v>-98715841.61712</v>
      </c>
      <c r="E9" s="29" t="n">
        <f aca="false">-E8*02_Assumptions!C7</f>
        <v>-119403849.51936</v>
      </c>
      <c r="F9" s="2"/>
      <c r="G9" s="2"/>
    </row>
    <row r="10" customFormat="false" ht="15" hidden="false" customHeight="false" outlineLevel="0" collapsed="false">
      <c r="A10" s="2"/>
      <c r="B10" s="5" t="s">
        <v>127</v>
      </c>
      <c r="C10" s="30" t="n">
        <f aca="false">C8+C9</f>
        <v>63474976.48932</v>
      </c>
      <c r="D10" s="30" t="n">
        <f aca="false">D8+D9</f>
        <v>77562446.98488</v>
      </c>
      <c r="E10" s="30" t="n">
        <f aca="false">E8+E9</f>
        <v>93817310.33664</v>
      </c>
      <c r="F10" s="2"/>
      <c r="G10" s="2"/>
    </row>
    <row r="11" customFormat="false" ht="15" hidden="false" customHeight="false" outlineLevel="0" collapsed="false">
      <c r="A11" s="2"/>
      <c r="B11" s="28" t="s">
        <v>128</v>
      </c>
      <c r="C11" s="29" t="n">
        <f aca="false">-C8*02_Assumptions!C8</f>
        <v>-34622714.44872</v>
      </c>
      <c r="D11" s="29" t="n">
        <f aca="false">-D8*02_Assumptions!C8</f>
        <v>-42306789.26448</v>
      </c>
      <c r="E11" s="29" t="n">
        <f aca="false">-E8*02_Assumptions!C8</f>
        <v>-51173078.36544</v>
      </c>
      <c r="F11" s="2"/>
      <c r="G11" s="2"/>
    </row>
    <row r="12" customFormat="false" ht="15" hidden="false" customHeight="false" outlineLevel="0" collapsed="false">
      <c r="A12" s="2"/>
      <c r="B12" s="28" t="s">
        <v>129</v>
      </c>
      <c r="C12" s="29" t="n">
        <f aca="false">-C8*02_Assumptions!C9</f>
        <v>-3606532.755075</v>
      </c>
      <c r="D12" s="29" t="n">
        <f aca="false">-D8*02_Assumptions!C9</f>
        <v>-4406957.21505</v>
      </c>
      <c r="E12" s="29" t="n">
        <f aca="false">-E8*02_Assumptions!C9</f>
        <v>-5330528.9964</v>
      </c>
      <c r="F12" s="2"/>
      <c r="G12" s="2"/>
    </row>
    <row r="13" customFormat="false" ht="15" hidden="false" customHeight="false" outlineLevel="0" collapsed="false">
      <c r="A13" s="2"/>
      <c r="B13" s="5" t="s">
        <v>130</v>
      </c>
      <c r="C13" s="30" t="n">
        <f aca="false">C10+C11+C12</f>
        <v>25245729.285525</v>
      </c>
      <c r="D13" s="30" t="n">
        <f aca="false">D10+D11+D12</f>
        <v>30848700.50535</v>
      </c>
      <c r="E13" s="30" t="n">
        <f aca="false">E10+E11+E12</f>
        <v>37313702.9748</v>
      </c>
      <c r="F13" s="2"/>
      <c r="G13" s="2"/>
    </row>
    <row r="14" customFormat="false" ht="15" hidden="false" customHeight="false" outlineLevel="0" collapsed="false">
      <c r="A14" s="2"/>
      <c r="B14" s="28" t="s">
        <v>131</v>
      </c>
      <c r="C14" s="29" t="n">
        <f aca="false">-02_Assumptions!C14*02_Assumptions!C15</f>
        <v>-78000</v>
      </c>
      <c r="D14" s="29" t="n">
        <f aca="false">-02_Assumptions!C14*04_Balance_Sheet!C16</f>
        <v>-65000</v>
      </c>
      <c r="E14" s="29" t="n">
        <f aca="false">-02_Assumptions!C14*04_Balance_Sheet!D16</f>
        <v>-52000</v>
      </c>
      <c r="F14" s="2"/>
      <c r="G14" s="2"/>
    </row>
    <row r="15" customFormat="false" ht="15" hidden="false" customHeight="false" outlineLevel="0" collapsed="false">
      <c r="A15" s="2"/>
      <c r="B15" s="28" t="s">
        <v>132</v>
      </c>
      <c r="C15" s="31" t="n">
        <f aca="false">C13+C14</f>
        <v>25167729.285525</v>
      </c>
      <c r="D15" s="31" t="n">
        <f aca="false">D13+D14</f>
        <v>30783700.50535</v>
      </c>
      <c r="E15" s="31" t="n">
        <f aca="false">E13+E14</f>
        <v>37261702.9748</v>
      </c>
      <c r="F15" s="2"/>
      <c r="G15" s="2"/>
    </row>
    <row r="16" customFormat="false" ht="15" hidden="false" customHeight="false" outlineLevel="0" collapsed="false">
      <c r="A16" s="2"/>
      <c r="B16" s="28" t="s">
        <v>133</v>
      </c>
      <c r="C16" s="29" t="n">
        <f aca="false">-MAX(C15,0)*02_Assumptions!C10</f>
        <v>-2265095.63569725</v>
      </c>
      <c r="D16" s="29" t="n">
        <f aca="false">-MAX(D15,0)*02_Assumptions!C10</f>
        <v>-2770533.0454815</v>
      </c>
      <c r="E16" s="29" t="n">
        <f aca="false">-MAX(E15,0)*02_Assumptions!C10</f>
        <v>-3353553.267732</v>
      </c>
      <c r="F16" s="2"/>
      <c r="G16" s="2"/>
    </row>
    <row r="17" customFormat="false" ht="15" hidden="false" customHeight="false" outlineLevel="0" collapsed="false">
      <c r="A17" s="2"/>
      <c r="B17" s="5" t="s">
        <v>134</v>
      </c>
      <c r="C17" s="32" t="n">
        <f aca="false">C15+C16</f>
        <v>22902633.6498277</v>
      </c>
      <c r="D17" s="32" t="n">
        <f aca="false">D15+D16</f>
        <v>28013167.4598685</v>
      </c>
      <c r="E17" s="32" t="n">
        <f aca="false">E15+E16</f>
        <v>33908149.707068</v>
      </c>
      <c r="F17" s="2"/>
      <c r="G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2"/>
    <col collapsed="false" customWidth="true" hidden="false" outlineLevel="0" max="5" min="3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135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2"/>
      <c r="C7" s="18" t="s">
        <v>122</v>
      </c>
      <c r="D7" s="18" t="s">
        <v>123</v>
      </c>
      <c r="E7" s="18" t="s">
        <v>124</v>
      </c>
      <c r="F7" s="2"/>
      <c r="G7" s="2"/>
    </row>
    <row r="8" customFormat="false" ht="15" hidden="false" customHeight="false" outlineLevel="0" collapsed="false">
      <c r="A8" s="2"/>
      <c r="B8" s="28" t="s">
        <v>136</v>
      </c>
      <c r="C8" s="29" t="n">
        <f aca="false">02_Assumptions!C19+05_Cash_Flow!C17</f>
        <v>9746618.29712015</v>
      </c>
      <c r="D8" s="29" t="n">
        <f aca="false">C8+05_Cash_Flow!D17</f>
        <v>33818795.6953282</v>
      </c>
      <c r="E8" s="29" t="n">
        <f aca="false">D8+05_Cash_Flow!E17</f>
        <v>63161284.5267315</v>
      </c>
      <c r="F8" s="2"/>
      <c r="G8" s="2"/>
    </row>
    <row r="9" customFormat="false" ht="15" hidden="false" customHeight="false" outlineLevel="0" collapsed="false">
      <c r="A9" s="2"/>
      <c r="B9" s="28" t="s">
        <v>137</v>
      </c>
      <c r="C9" s="29" t="n">
        <f aca="false">03_Income_Statement!C8/365*02_Assumptions!C12</f>
        <v>21738005.6470274</v>
      </c>
      <c r="D9" s="29" t="n">
        <f aca="false">03_Income_Statement!D8/365*02_Assumptions!C12</f>
        <v>26562481.844137</v>
      </c>
      <c r="E9" s="29" t="n">
        <f aca="false">03_Income_Statement!E8/365*02_Assumptions!C12</f>
        <v>32129215.8687123</v>
      </c>
      <c r="F9" s="2"/>
      <c r="G9" s="2"/>
    </row>
    <row r="10" customFormat="false" ht="15" hidden="false" customHeight="false" outlineLevel="0" collapsed="false">
      <c r="A10" s="2"/>
      <c r="B10" s="5" t="s">
        <v>138</v>
      </c>
      <c r="C10" s="30" t="n">
        <f aca="false">C8+C9</f>
        <v>31484623.9441475</v>
      </c>
      <c r="D10" s="30" t="n">
        <f aca="false">D8+D9</f>
        <v>60381277.5394652</v>
      </c>
      <c r="E10" s="30" t="n">
        <f aca="false">E8+E9</f>
        <v>95290500.3954439</v>
      </c>
      <c r="F10" s="2"/>
      <c r="G10" s="2"/>
    </row>
    <row r="11" customFormat="false" ht="15" hidden="false" customHeight="false" outlineLevel="0" collapsed="false">
      <c r="A11" s="2"/>
      <c r="B11" s="28" t="s">
        <v>139</v>
      </c>
      <c r="C11" s="29" t="n">
        <f aca="false">02_Assumptions!C20-03_Income_Statement!C12*-1+03_Income_Statement!C8*02_Assumptions!C11</f>
        <v>2921306.551015</v>
      </c>
      <c r="D11" s="29" t="n">
        <f aca="false">C11-03_Income_Statement!D12*-1+03_Income_Statement!D8*02_Assumptions!C11</f>
        <v>3802697.994025</v>
      </c>
      <c r="E11" s="29" t="n">
        <f aca="false">D11-03_Income_Statement!E12*-1+03_Income_Statement!E8*02_Assumptions!C11</f>
        <v>4868803.793305</v>
      </c>
      <c r="F11" s="2"/>
      <c r="G11" s="2"/>
    </row>
    <row r="12" customFormat="false" ht="15" hidden="false" customHeight="false" outlineLevel="0" collapsed="false">
      <c r="A12" s="2"/>
      <c r="B12" s="5" t="s">
        <v>140</v>
      </c>
      <c r="C12" s="32" t="n">
        <f aca="false">C10+C11</f>
        <v>34405930.4951625</v>
      </c>
      <c r="D12" s="32" t="n">
        <f aca="false">D10+D11</f>
        <v>64183975.5334902</v>
      </c>
      <c r="E12" s="32" t="n">
        <f aca="false">E10+E11</f>
        <v>100159304.188749</v>
      </c>
      <c r="F12" s="2"/>
      <c r="G12" s="2"/>
    </row>
    <row r="13" customFormat="false" ht="15" hidden="false" customHeight="false" outlineLevel="0" collapsed="false">
      <c r="A13" s="2"/>
      <c r="B13" s="2"/>
      <c r="C13" s="2"/>
      <c r="D13" s="2"/>
      <c r="E13" s="2"/>
      <c r="F13" s="2"/>
      <c r="G13" s="2"/>
    </row>
    <row r="14" customFormat="false" ht="15" hidden="false" customHeight="false" outlineLevel="0" collapsed="false">
      <c r="A14" s="2"/>
      <c r="B14" s="28" t="s">
        <v>141</v>
      </c>
      <c r="C14" s="29" t="n">
        <f aca="false">-03_Income_Statement!C9/365*02_Assumptions!C13</f>
        <v>8853296.8453348</v>
      </c>
      <c r="D14" s="29" t="n">
        <f aca="false">-03_Income_Statement!D9/365*02_Assumptions!C13</f>
        <v>10818174.423794</v>
      </c>
      <c r="E14" s="29" t="n">
        <f aca="false">-03_Income_Statement!E9/365*02_Assumptions!C13</f>
        <v>13085353.3719847</v>
      </c>
      <c r="F14" s="2"/>
      <c r="G14" s="2"/>
    </row>
    <row r="15" customFormat="false" ht="15" hidden="false" customHeight="false" outlineLevel="0" collapsed="false">
      <c r="A15" s="2"/>
      <c r="B15" s="5" t="s">
        <v>142</v>
      </c>
      <c r="C15" s="30" t="n">
        <f aca="false">C14</f>
        <v>8853296.8453348</v>
      </c>
      <c r="D15" s="30" t="n">
        <f aca="false">D14</f>
        <v>10818174.423794</v>
      </c>
      <c r="E15" s="30" t="n">
        <f aca="false">E14</f>
        <v>13085353.3719847</v>
      </c>
      <c r="F15" s="2"/>
      <c r="G15" s="2"/>
    </row>
    <row r="16" customFormat="false" ht="15" hidden="false" customHeight="false" outlineLevel="0" collapsed="false">
      <c r="A16" s="2"/>
      <c r="B16" s="28" t="s">
        <v>143</v>
      </c>
      <c r="C16" s="29" t="n">
        <f aca="false">02_Assumptions!C15-02_Assumptions!C16</f>
        <v>1000000</v>
      </c>
      <c r="D16" s="29" t="n">
        <f aca="false">C16-02_Assumptions!C16</f>
        <v>800000</v>
      </c>
      <c r="E16" s="29" t="n">
        <f aca="false">D16-02_Assumptions!C16</f>
        <v>600000</v>
      </c>
      <c r="F16" s="2"/>
      <c r="G16" s="2"/>
    </row>
    <row r="17" customFormat="false" ht="15" hidden="false" customHeight="false" outlineLevel="0" collapsed="false">
      <c r="A17" s="2"/>
      <c r="B17" s="5" t="s">
        <v>144</v>
      </c>
      <c r="C17" s="30" t="n">
        <f aca="false">C15+C16</f>
        <v>9853296.8453348</v>
      </c>
      <c r="D17" s="30" t="n">
        <f aca="false">D15+D16</f>
        <v>11618174.423794</v>
      </c>
      <c r="E17" s="30" t="n">
        <f aca="false">E15+E16</f>
        <v>13685353.3719847</v>
      </c>
      <c r="F17" s="2"/>
      <c r="G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</row>
    <row r="19" customFormat="false" ht="15" hidden="false" customHeight="false" outlineLevel="0" collapsed="false">
      <c r="A19" s="2"/>
      <c r="B19" s="28" t="s">
        <v>145</v>
      </c>
      <c r="C19" s="29" t="n">
        <f aca="false">02_Assumptions!C21+03_Income_Statement!C17</f>
        <v>24552633.6498277</v>
      </c>
      <c r="D19" s="29" t="n">
        <f aca="false">C19+03_Income_Statement!D17</f>
        <v>52565801.1096962</v>
      </c>
      <c r="E19" s="29" t="n">
        <f aca="false">D19+03_Income_Statement!E17</f>
        <v>86473950.8167642</v>
      </c>
      <c r="F19" s="2"/>
      <c r="G19" s="2"/>
    </row>
    <row r="20" customFormat="false" ht="15" hidden="false" customHeight="false" outlineLevel="0" collapsed="false">
      <c r="A20" s="2"/>
      <c r="B20" s="5" t="s">
        <v>146</v>
      </c>
      <c r="C20" s="32" t="n">
        <f aca="false">C17+C19</f>
        <v>34405930.4951625</v>
      </c>
      <c r="D20" s="32" t="n">
        <f aca="false">D17+D19</f>
        <v>64183975.5334902</v>
      </c>
      <c r="E20" s="32" t="n">
        <f aca="false">E17+E19</f>
        <v>100159304.188749</v>
      </c>
      <c r="F20" s="2"/>
      <c r="G20" s="2"/>
    </row>
    <row r="21" customFormat="false" ht="15" hidden="false" customHeight="false" outlineLevel="0" collapsed="false">
      <c r="A21" s="2"/>
      <c r="B21" s="28" t="s">
        <v>147</v>
      </c>
      <c r="C21" s="31" t="n">
        <f aca="false">C12-C20</f>
        <v>0</v>
      </c>
      <c r="D21" s="31" t="n">
        <f aca="false">D12-D20</f>
        <v>0</v>
      </c>
      <c r="E21" s="31" t="n">
        <f aca="false">E12-E20</f>
        <v>0</v>
      </c>
      <c r="F21" s="2"/>
      <c r="G21" s="2"/>
    </row>
  </sheetData>
  <conditionalFormatting sqref="C21:E21">
    <cfRule type="cellIs" priority="2" operator="equal" aboveAverage="0" equalAverage="0" bottom="0" percent="0" rank="0" text="" dxfId="0">
      <formula>0</formula>
    </cfRule>
    <cfRule type="cellIs" priority="3" operator="not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2"/>
    <col collapsed="false" customWidth="true" hidden="false" outlineLevel="0" max="5" min="3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148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2"/>
      <c r="C7" s="18" t="s">
        <v>122</v>
      </c>
      <c r="D7" s="18" t="s">
        <v>123</v>
      </c>
      <c r="E7" s="18" t="s">
        <v>124</v>
      </c>
      <c r="F7" s="2"/>
      <c r="G7" s="2"/>
    </row>
    <row r="8" customFormat="false" ht="15" hidden="false" customHeight="false" outlineLevel="0" collapsed="false">
      <c r="A8" s="2"/>
      <c r="B8" s="28" t="s">
        <v>134</v>
      </c>
      <c r="C8" s="29" t="n">
        <f aca="false">03_Income_Statement!C17</f>
        <v>22902633.6498277</v>
      </c>
      <c r="D8" s="29" t="n">
        <f aca="false">03_Income_Statement!D17</f>
        <v>28013167.4598685</v>
      </c>
      <c r="E8" s="29" t="n">
        <f aca="false">03_Income_Statement!E17</f>
        <v>33908149.707068</v>
      </c>
      <c r="F8" s="2"/>
      <c r="G8" s="2"/>
    </row>
    <row r="9" customFormat="false" ht="15" hidden="false" customHeight="false" outlineLevel="0" collapsed="false">
      <c r="A9" s="2"/>
      <c r="B9" s="28" t="s">
        <v>149</v>
      </c>
      <c r="C9" s="29" t="n">
        <f aca="false">-03_Income_Statement!C12</f>
        <v>3606532.755075</v>
      </c>
      <c r="D9" s="29" t="n">
        <f aca="false">-03_Income_Statement!D12</f>
        <v>4406957.21505</v>
      </c>
      <c r="E9" s="29" t="n">
        <f aca="false">-03_Income_Statement!E12</f>
        <v>5330528.9964</v>
      </c>
      <c r="F9" s="2"/>
      <c r="G9" s="2"/>
    </row>
    <row r="10" customFormat="false" ht="15" hidden="false" customHeight="false" outlineLevel="0" collapsed="false">
      <c r="A10" s="2"/>
      <c r="B10" s="28" t="s">
        <v>150</v>
      </c>
      <c r="C10" s="29" t="n">
        <f aca="false">-04_Balance_Sheet!C9</f>
        <v>-21738005.6470274</v>
      </c>
      <c r="D10" s="29" t="n">
        <f aca="false">-(04_Balance_Sheet!D9-04_Balance_Sheet!C9)</f>
        <v>-4824476.19710959</v>
      </c>
      <c r="E10" s="29" t="n">
        <f aca="false">-(04_Balance_Sheet!E9-04_Balance_Sheet!D9)</f>
        <v>-5566734.02457534</v>
      </c>
      <c r="F10" s="2"/>
      <c r="G10" s="2"/>
    </row>
    <row r="11" customFormat="false" ht="15" hidden="false" customHeight="false" outlineLevel="0" collapsed="false">
      <c r="A11" s="2"/>
      <c r="B11" s="28" t="s">
        <v>151</v>
      </c>
      <c r="C11" s="29" t="n">
        <f aca="false">04_Balance_Sheet!C14</f>
        <v>8853296.8453348</v>
      </c>
      <c r="D11" s="29" t="n">
        <f aca="false">(04_Balance_Sheet!D14-04_Balance_Sheet!C14)</f>
        <v>1964877.57845918</v>
      </c>
      <c r="E11" s="29" t="n">
        <f aca="false">(04_Balance_Sheet!E14-04_Balance_Sheet!D14)</f>
        <v>2267178.94819068</v>
      </c>
      <c r="F11" s="2"/>
      <c r="G11" s="2"/>
    </row>
    <row r="12" customFormat="false" ht="15" hidden="false" customHeight="false" outlineLevel="0" collapsed="false">
      <c r="A12" s="2"/>
      <c r="B12" s="5" t="s">
        <v>152</v>
      </c>
      <c r="C12" s="30" t="n">
        <f aca="false">C8+C9+C10+C11</f>
        <v>13624457.6032101</v>
      </c>
      <c r="D12" s="30" t="n">
        <f aca="false">D8+D9+D10+D11</f>
        <v>29560526.0562681</v>
      </c>
      <c r="E12" s="30" t="n">
        <f aca="false">E8+E9+E10+E11</f>
        <v>35939123.6270833</v>
      </c>
      <c r="F12" s="2"/>
      <c r="G12" s="2"/>
    </row>
    <row r="13" customFormat="false" ht="15" hidden="false" customHeight="false" outlineLevel="0" collapsed="false">
      <c r="A13" s="2"/>
      <c r="B13" s="28" t="s">
        <v>153</v>
      </c>
      <c r="C13" s="29" t="n">
        <f aca="false">-03_Income_Statement!C8*02_Assumptions!C11</f>
        <v>-4327839.30609</v>
      </c>
      <c r="D13" s="29" t="n">
        <f aca="false">-03_Income_Statement!D8*02_Assumptions!C11</f>
        <v>-5288348.65806</v>
      </c>
      <c r="E13" s="29" t="n">
        <f aca="false">-03_Income_Statement!E8*02_Assumptions!C11</f>
        <v>-6396634.79568</v>
      </c>
      <c r="F13" s="2"/>
      <c r="G13" s="2"/>
    </row>
    <row r="14" customFormat="false" ht="15" hidden="false" customHeight="false" outlineLevel="0" collapsed="false">
      <c r="A14" s="2"/>
      <c r="B14" s="5" t="s">
        <v>154</v>
      </c>
      <c r="C14" s="30" t="n">
        <f aca="false">C13</f>
        <v>-4327839.30609</v>
      </c>
      <c r="D14" s="30" t="n">
        <f aca="false">D13</f>
        <v>-5288348.65806</v>
      </c>
      <c r="E14" s="30" t="n">
        <f aca="false">E13</f>
        <v>-6396634.79568</v>
      </c>
      <c r="F14" s="2"/>
      <c r="G14" s="2"/>
    </row>
    <row r="15" customFormat="false" ht="15" hidden="false" customHeight="false" outlineLevel="0" collapsed="false">
      <c r="A15" s="2"/>
      <c r="B15" s="28" t="s">
        <v>155</v>
      </c>
      <c r="C15" s="29" t="n">
        <f aca="false">-02_Assumptions!C16</f>
        <v>-200000</v>
      </c>
      <c r="D15" s="29" t="n">
        <f aca="false">-02_Assumptions!C16</f>
        <v>-200000</v>
      </c>
      <c r="E15" s="29" t="n">
        <f aca="false">-02_Assumptions!C16</f>
        <v>-200000</v>
      </c>
      <c r="F15" s="2"/>
      <c r="G15" s="2"/>
    </row>
    <row r="16" customFormat="false" ht="15" hidden="false" customHeight="false" outlineLevel="0" collapsed="false">
      <c r="A16" s="2"/>
      <c r="B16" s="5" t="s">
        <v>156</v>
      </c>
      <c r="C16" s="30" t="n">
        <f aca="false">C15</f>
        <v>-200000</v>
      </c>
      <c r="D16" s="30" t="n">
        <f aca="false">D15</f>
        <v>-200000</v>
      </c>
      <c r="E16" s="30" t="n">
        <f aca="false">E15</f>
        <v>-200000</v>
      </c>
      <c r="F16" s="2"/>
      <c r="G16" s="2"/>
    </row>
    <row r="17" customFormat="false" ht="15" hidden="false" customHeight="false" outlineLevel="0" collapsed="false">
      <c r="A17" s="2"/>
      <c r="B17" s="5" t="s">
        <v>157</v>
      </c>
      <c r="C17" s="32" t="n">
        <f aca="false">C12+C14+C16</f>
        <v>9096618.29712015</v>
      </c>
      <c r="D17" s="32" t="n">
        <f aca="false">D12+D14+D16</f>
        <v>24072177.3982081</v>
      </c>
      <c r="E17" s="32" t="n">
        <f aca="false">E12+E14+E16</f>
        <v>29342488.8314033</v>
      </c>
      <c r="F17" s="2"/>
      <c r="G1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4"/>
    <col collapsed="false" customWidth="true" hidden="false" outlineLevel="0" max="5" min="3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158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2"/>
      <c r="C7" s="18" t="s">
        <v>122</v>
      </c>
      <c r="D7" s="18" t="s">
        <v>123</v>
      </c>
      <c r="E7" s="18" t="s">
        <v>124</v>
      </c>
      <c r="F7" s="2"/>
      <c r="G7" s="2"/>
    </row>
    <row r="8" customFormat="false" ht="15" hidden="false" customHeight="false" outlineLevel="0" collapsed="false">
      <c r="A8" s="2"/>
      <c r="B8" s="28" t="s">
        <v>159</v>
      </c>
      <c r="C8" s="29" t="n">
        <f aca="false">03_Income_Statement!C13</f>
        <v>25245729.285525</v>
      </c>
      <c r="D8" s="29" t="n">
        <f aca="false">03_Income_Statement!D13</f>
        <v>30848700.50535</v>
      </c>
      <c r="E8" s="29" t="n">
        <f aca="false">03_Income_Statement!E13</f>
        <v>37313702.9748</v>
      </c>
      <c r="F8" s="2"/>
      <c r="G8" s="2"/>
    </row>
    <row r="9" customFormat="false" ht="15" hidden="false" customHeight="false" outlineLevel="0" collapsed="false">
      <c r="A9" s="2"/>
      <c r="B9" s="28" t="s">
        <v>160</v>
      </c>
      <c r="C9" s="29" t="n">
        <f aca="false">-MAX(C8,0)*02_Assumptions!C10</f>
        <v>-2272115.63569725</v>
      </c>
      <c r="D9" s="29" t="n">
        <f aca="false">-MAX(D8,0)*02_Assumptions!C10</f>
        <v>-2776383.0454815</v>
      </c>
      <c r="E9" s="29" t="n">
        <f aca="false">-MAX(E8,0)*02_Assumptions!C10</f>
        <v>-3358233.267732</v>
      </c>
      <c r="F9" s="2"/>
      <c r="G9" s="2"/>
    </row>
    <row r="10" customFormat="false" ht="15" hidden="false" customHeight="false" outlineLevel="0" collapsed="false">
      <c r="A10" s="2"/>
      <c r="B10" s="28" t="s">
        <v>161</v>
      </c>
      <c r="C10" s="33" t="n">
        <f aca="false">C8+C9</f>
        <v>22973613.6498277</v>
      </c>
      <c r="D10" s="33" t="n">
        <f aca="false">D8+D9</f>
        <v>28072317.4598685</v>
      </c>
      <c r="E10" s="33" t="n">
        <f aca="false">E8+E9</f>
        <v>33955469.707068</v>
      </c>
      <c r="F10" s="2"/>
      <c r="G10" s="2"/>
    </row>
    <row r="11" customFormat="false" ht="15" hidden="false" customHeight="false" outlineLevel="0" collapsed="false">
      <c r="A11" s="2"/>
      <c r="B11" s="28" t="s">
        <v>149</v>
      </c>
      <c r="C11" s="29" t="n">
        <f aca="false">05_Cash_Flow!C9</f>
        <v>3606532.755075</v>
      </c>
      <c r="D11" s="29" t="n">
        <f aca="false">05_Cash_Flow!D9</f>
        <v>4406957.21505</v>
      </c>
      <c r="E11" s="29" t="n">
        <f aca="false">05_Cash_Flow!E9</f>
        <v>5330528.9964</v>
      </c>
      <c r="F11" s="2"/>
      <c r="G11" s="2"/>
    </row>
    <row r="12" customFormat="false" ht="15" hidden="false" customHeight="false" outlineLevel="0" collapsed="false">
      <c r="A12" s="2"/>
      <c r="B12" s="28" t="s">
        <v>162</v>
      </c>
      <c r="C12" s="29" t="n">
        <f aca="false">05_Cash_Flow!C13</f>
        <v>-4327839.30609</v>
      </c>
      <c r="D12" s="29" t="n">
        <f aca="false">05_Cash_Flow!D13</f>
        <v>-5288348.65806</v>
      </c>
      <c r="E12" s="29" t="n">
        <f aca="false">05_Cash_Flow!E13</f>
        <v>-6396634.79568</v>
      </c>
      <c r="F12" s="2"/>
      <c r="G12" s="2"/>
    </row>
    <row r="13" customFormat="false" ht="15" hidden="false" customHeight="false" outlineLevel="0" collapsed="false">
      <c r="A13" s="2"/>
      <c r="B13" s="28" t="s">
        <v>163</v>
      </c>
      <c r="C13" s="29" t="n">
        <f aca="false">05_Cash_Flow!C10+05_Cash_Flow!C11</f>
        <v>-12884708.8016926</v>
      </c>
      <c r="D13" s="29" t="n">
        <f aca="false">05_Cash_Flow!D10+05_Cash_Flow!D11</f>
        <v>-2859598.61865041</v>
      </c>
      <c r="E13" s="29" t="n">
        <f aca="false">05_Cash_Flow!E10+05_Cash_Flow!E11</f>
        <v>-3299555.07638466</v>
      </c>
      <c r="F13" s="2"/>
      <c r="G13" s="2"/>
    </row>
    <row r="14" customFormat="false" ht="15" hidden="false" customHeight="false" outlineLevel="0" collapsed="false">
      <c r="A14" s="2"/>
      <c r="B14" s="5" t="s">
        <v>164</v>
      </c>
      <c r="C14" s="30" t="n">
        <f aca="false">C10+C11+C12+C13</f>
        <v>9367598.29712015</v>
      </c>
      <c r="D14" s="30" t="n">
        <f aca="false">D10+D11+D12+D13</f>
        <v>24331327.3982081</v>
      </c>
      <c r="E14" s="30" t="n">
        <f aca="false">E10+E11+E12+E13</f>
        <v>29589808.8314033</v>
      </c>
      <c r="F14" s="2"/>
      <c r="G14" s="2"/>
    </row>
    <row r="15" customFormat="false" ht="15" hidden="false" customHeight="false" outlineLevel="0" collapsed="false">
      <c r="A15" s="2"/>
      <c r="B15" s="28" t="s">
        <v>165</v>
      </c>
      <c r="C15" s="34" t="n">
        <v>1</v>
      </c>
      <c r="D15" s="34" t="n">
        <v>2</v>
      </c>
      <c r="E15" s="34" t="n">
        <v>3</v>
      </c>
      <c r="F15" s="2"/>
      <c r="G15" s="2"/>
    </row>
    <row r="16" customFormat="false" ht="15" hidden="false" customHeight="false" outlineLevel="0" collapsed="false">
      <c r="A16" s="2"/>
      <c r="B16" s="28" t="s">
        <v>166</v>
      </c>
      <c r="C16" s="35" t="n">
        <f aca="false">1/(1+02_Assumptions!C17)^C15</f>
        <v>0.900900900900901</v>
      </c>
      <c r="D16" s="35" t="n">
        <f aca="false">1/(1+02_Assumptions!C17)^D15</f>
        <v>0.811622433244055</v>
      </c>
      <c r="E16" s="35" t="n">
        <f aca="false">1/(1+02_Assumptions!C17)^E15</f>
        <v>0.73119138130095</v>
      </c>
      <c r="F16" s="2"/>
      <c r="G16" s="2"/>
    </row>
    <row r="17" customFormat="false" ht="15" hidden="false" customHeight="false" outlineLevel="0" collapsed="false">
      <c r="A17" s="2"/>
      <c r="B17" s="5" t="s">
        <v>167</v>
      </c>
      <c r="C17" s="32" t="n">
        <f aca="false">C14*C16</f>
        <v>8439277.74515328</v>
      </c>
      <c r="D17" s="32" t="n">
        <f aca="false">D14*D16</f>
        <v>19747851.1469914</v>
      </c>
      <c r="E17" s="32" t="n">
        <f aca="false">E14*E16</f>
        <v>21635813.1918649</v>
      </c>
      <c r="F17" s="2"/>
      <c r="G17" s="2"/>
    </row>
    <row r="18" customFormat="false" ht="15" hidden="false" customHeight="false" outlineLevel="0" collapsed="false">
      <c r="A18" s="2"/>
      <c r="B18" s="2"/>
      <c r="C18" s="2"/>
      <c r="D18" s="2"/>
      <c r="E18" s="2"/>
      <c r="F18" s="2"/>
      <c r="G18" s="2"/>
    </row>
    <row r="19" customFormat="false" ht="15" hidden="false" customHeight="false" outlineLevel="0" collapsed="false">
      <c r="A19" s="2"/>
      <c r="B19" s="5" t="s">
        <v>168</v>
      </c>
      <c r="C19" s="29" t="n">
        <f aca="false">E14*(1+02_Assumptions!C18)/(02_Assumptions!C17-02_Assumptions!C18)</f>
        <v>356818282.966923</v>
      </c>
      <c r="D19" s="2"/>
      <c r="E19" s="2"/>
      <c r="F19" s="2"/>
      <c r="G19" s="2"/>
    </row>
    <row r="20" customFormat="false" ht="15" hidden="false" customHeight="false" outlineLevel="0" collapsed="false">
      <c r="A20" s="2"/>
      <c r="B20" s="5" t="s">
        <v>169</v>
      </c>
      <c r="C20" s="31" t="n">
        <f aca="false">C19*E16</f>
        <v>260902453.196017</v>
      </c>
      <c r="D20" s="2"/>
      <c r="E20" s="2"/>
      <c r="F20" s="2"/>
      <c r="G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</row>
    <row r="22" customFormat="false" ht="15" hidden="false" customHeight="false" outlineLevel="0" collapsed="false">
      <c r="A22" s="2"/>
      <c r="B22" s="5" t="s">
        <v>170</v>
      </c>
      <c r="C22" s="31" t="n">
        <f aca="false">SUM(C17:E17)</f>
        <v>49822942.0840095</v>
      </c>
      <c r="D22" s="2"/>
      <c r="E22" s="2"/>
      <c r="F22" s="2"/>
      <c r="G22" s="2"/>
    </row>
    <row r="23" customFormat="false" ht="15" hidden="false" customHeight="false" outlineLevel="0" collapsed="false">
      <c r="A23" s="2"/>
      <c r="B23" s="7" t="s">
        <v>171</v>
      </c>
      <c r="C23" s="36" t="n">
        <f aca="false">C22+C20</f>
        <v>310725395.280027</v>
      </c>
      <c r="D23" s="2"/>
      <c r="E23" s="2"/>
      <c r="F23" s="2"/>
      <c r="G23" s="2"/>
    </row>
    <row r="24" customFormat="false" ht="15" hidden="false" customHeight="false" outlineLevel="0" collapsed="false">
      <c r="A24" s="2"/>
      <c r="B24" s="5" t="s">
        <v>172</v>
      </c>
      <c r="C24" s="29" t="n">
        <f aca="false">-(04_Balance_Sheet!E16-04_Balance_Sheet!E8)</f>
        <v>62561284.5267315</v>
      </c>
      <c r="D24" s="2"/>
      <c r="E24" s="2"/>
      <c r="F24" s="2"/>
      <c r="G24" s="2"/>
    </row>
    <row r="25" customFormat="false" ht="16.15" hidden="false" customHeight="false" outlineLevel="0" collapsed="false">
      <c r="A25" s="2"/>
      <c r="B25" s="37" t="s">
        <v>173</v>
      </c>
      <c r="C25" s="36" t="n">
        <f aca="false">C23+C24</f>
        <v>373286679.806758</v>
      </c>
      <c r="D25" s="2"/>
      <c r="E25" s="2"/>
      <c r="F25" s="2"/>
      <c r="G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  <c r="G27" s="2"/>
    </row>
    <row r="28" customFormat="false" ht="15" hidden="false" customHeight="false" outlineLevel="0" collapsed="false">
      <c r="A28" s="2"/>
      <c r="B28" s="7" t="s">
        <v>174</v>
      </c>
      <c r="C28" s="2"/>
      <c r="D28" s="2"/>
      <c r="E28" s="2"/>
      <c r="F28" s="2"/>
      <c r="G28" s="2"/>
    </row>
    <row r="29" customFormat="false" ht="15" hidden="false" customHeight="false" outlineLevel="0" collapsed="false">
      <c r="A29" s="2"/>
      <c r="B29" s="16" t="s">
        <v>175</v>
      </c>
      <c r="C29" s="2"/>
      <c r="D29" s="2"/>
      <c r="E29" s="2"/>
      <c r="F29" s="2"/>
      <c r="G29" s="2"/>
    </row>
    <row r="30" customFormat="false" ht="15" hidden="false" customHeight="false" outlineLevel="0" collapsed="false">
      <c r="A30" s="2"/>
      <c r="B30" s="2"/>
      <c r="C30" s="38" t="n">
        <f aca="false">02_Assumptions!C18+(-0.01)</f>
        <v>0.015</v>
      </c>
      <c r="D30" s="38" t="n">
        <f aca="false">02_Assumptions!C18+(-0.005)</f>
        <v>0.02</v>
      </c>
      <c r="E30" s="38" t="n">
        <f aca="false">02_Assumptions!C18+(0)</f>
        <v>0.025</v>
      </c>
      <c r="F30" s="38" t="n">
        <f aca="false">02_Assumptions!C18+(0.005)</f>
        <v>0.03</v>
      </c>
      <c r="G30" s="38" t="n">
        <f aca="false">02_Assumptions!C18+(0.01)</f>
        <v>0.035</v>
      </c>
    </row>
    <row r="31" customFormat="false" ht="15" hidden="false" customHeight="false" outlineLevel="0" collapsed="false">
      <c r="A31" s="2"/>
      <c r="B31" s="38" t="n">
        <f aca="false">02_Assumptions!C17+(-0.02)</f>
        <v>0.09</v>
      </c>
      <c r="C31" s="31" t="n">
        <f aca="false">SUMPRODUCT($C$14:$E$14/(1+$B31)^$C$15:$E$15)+$E$14*(1+C30)/($B31-C30)/(1+$B31)^$E$15</f>
        <v>361141986.331773</v>
      </c>
      <c r="D31" s="31" t="n">
        <f aca="false">SUMPRODUCT($C$14:$E$14/(1+$B31)^$C$15:$E$15)+$E$14*(1+D30)/($B31-D30)/(1+$B31)^$E$15</f>
        <v>384861176.901273</v>
      </c>
      <c r="E31" s="31" t="n">
        <f aca="false">SUMPRODUCT($C$14:$E$14/(1+$B31)^$C$15:$E$15)+$E$14*(1+E30)/($B31-E30)/(1+$B31)^$E$15</f>
        <v>412229473.712234</v>
      </c>
      <c r="F31" s="31" t="n">
        <f aca="false">SUMPRODUCT($C$14:$E$14/(1+$B31)^$C$15:$E$15)+$E$14*(1+F30)/($B31-F30)/(1+$B31)^$E$15</f>
        <v>444159153.325021</v>
      </c>
      <c r="G31" s="31" t="n">
        <f aca="false">SUMPRODUCT($C$14:$E$14/(1+$B31)^$C$15:$E$15)+$E$14*(1+G30)/($B31-G30)/(1+$B31)^$E$15</f>
        <v>481894229.231043</v>
      </c>
    </row>
    <row r="32" customFormat="false" ht="15" hidden="false" customHeight="false" outlineLevel="0" collapsed="false">
      <c r="A32" s="2"/>
      <c r="B32" s="38" t="n">
        <f aca="false">02_Assumptions!C17+(-0.01)</f>
        <v>0.1</v>
      </c>
      <c r="C32" s="31" t="n">
        <f aca="false">SUMPRODUCT($C$14:$E$14/(1+$B32)^$C$15:$E$15)+$E$14*(1+C30)/($B32-C30)/(1+$B32)^$E$15</f>
        <v>316323209.538471</v>
      </c>
      <c r="D32" s="31" t="n">
        <f aca="false">SUMPRODUCT($C$14:$E$14/(1+$B32)^$C$15:$E$15)+$E$14*(1+D30)/($B32-D30)/(1+$B32)^$E$15</f>
        <v>334304376.79139</v>
      </c>
      <c r="E32" s="31" t="n">
        <f aca="false">SUMPRODUCT($C$14:$E$14/(1+$B32)^$C$15:$E$15)+$E$14*(1+E30)/($B32-E30)/(1+$B32)^$E$15</f>
        <v>354683033.011365</v>
      </c>
      <c r="F32" s="31" t="n">
        <f aca="false">SUMPRODUCT($C$14:$E$14/(1+$B32)^$C$15:$E$15)+$E$14*(1+F30)/($B32-F30)/(1+$B32)^$E$15</f>
        <v>377972925.834193</v>
      </c>
      <c r="G32" s="31" t="n">
        <f aca="false">SUMPRODUCT($C$14:$E$14/(1+$B32)^$C$15:$E$15)+$E$14*(1+G30)/($B32-G30)/(1+$B32)^$E$15</f>
        <v>404845879.091302</v>
      </c>
    </row>
    <row r="33" customFormat="false" ht="15" hidden="false" customHeight="false" outlineLevel="0" collapsed="false">
      <c r="A33" s="2"/>
      <c r="B33" s="38" t="n">
        <f aca="false">02_Assumptions!C17+(0)</f>
        <v>0.11</v>
      </c>
      <c r="C33" s="31" t="n">
        <f aca="false">SUMPRODUCT($C$14:$E$14/(1+$B33)^$C$15:$E$15)+$E$14*(1+C30)/($B33-C30)/(1+$B33)^$E$15</f>
        <v>280984525.133934</v>
      </c>
      <c r="D33" s="31" t="n">
        <f aca="false">SUMPRODUCT($C$14:$E$14/(1+$B33)^$C$15:$E$15)+$E$14*(1+D30)/($B33-D30)/(1+$B33)^$E$15</f>
        <v>295028824.925145</v>
      </c>
      <c r="E33" s="39" t="n">
        <f aca="false">SUMPRODUCT($C$14:$E$14/(1+$B33)^$C$15:$E$15)+$E$14*(1+E30)/($B33-E30)/(1+$B33)^$E$15</f>
        <v>310725395.280027</v>
      </c>
      <c r="F33" s="31" t="n">
        <f aca="false">SUMPRODUCT($C$14:$E$14/(1+$B33)^$C$15:$E$15)+$E$14*(1+F30)/($B33-F30)/(1+$B33)^$E$15</f>
        <v>328384036.92927</v>
      </c>
      <c r="G33" s="31" t="n">
        <f aca="false">SUMPRODUCT($C$14:$E$14/(1+$B33)^$C$15:$E$15)+$E$14*(1+G30)/($B33-G30)/(1+$B33)^$E$15</f>
        <v>348397164.131745</v>
      </c>
    </row>
    <row r="34" customFormat="false" ht="15" hidden="false" customHeight="false" outlineLevel="0" collapsed="false">
      <c r="A34" s="2"/>
      <c r="B34" s="38" t="n">
        <f aca="false">02_Assumptions!C17+(0.01)</f>
        <v>0.12</v>
      </c>
      <c r="C34" s="31" t="n">
        <f aca="false">SUMPRODUCT($C$14:$E$14/(1+$B34)^$C$15:$E$15)+$E$14*(1+C30)/($B34-C30)/(1+$B34)^$E$15</f>
        <v>252416087.888397</v>
      </c>
      <c r="D34" s="31" t="n">
        <f aca="false">SUMPRODUCT($C$14:$E$14/(1+$B34)^$C$15:$E$15)+$E$14*(1+D30)/($B34-D30)/(1+$B34)^$E$15</f>
        <v>263648856.668539</v>
      </c>
      <c r="E34" s="31" t="n">
        <f aca="false">SUMPRODUCT($C$14:$E$14/(1+$B34)^$C$15:$E$15)+$E$14*(1+E30)/($B34-E30)/(1+$B34)^$E$15</f>
        <v>276064022.162381</v>
      </c>
      <c r="F34" s="31" t="n">
        <f aca="false">SUMPRODUCT($C$14:$E$14/(1+$B34)^$C$15:$E$15)+$E$14*(1+F30)/($B34-F30)/(1+$B34)^$E$15</f>
        <v>289858650.488873</v>
      </c>
      <c r="G34" s="31" t="n">
        <f aca="false">SUMPRODUCT($C$14:$E$14/(1+$B34)^$C$15:$E$15)+$E$14*(1+G30)/($B34-G30)/(1+$B34)^$E$15</f>
        <v>305276176.265539</v>
      </c>
    </row>
    <row r="35" customFormat="false" ht="15" hidden="false" customHeight="false" outlineLevel="0" collapsed="false">
      <c r="A35" s="2"/>
      <c r="B35" s="38" t="n">
        <f aca="false">02_Assumptions!C17+(0.02)</f>
        <v>0.13</v>
      </c>
      <c r="C35" s="31" t="n">
        <f aca="false">SUMPRODUCT($C$14:$E$14/(1+$B35)^$C$15:$E$15)+$E$14*(1+C30)/($B35-C30)/(1+$B35)^$E$15</f>
        <v>228850653.116468</v>
      </c>
      <c r="D35" s="31" t="n">
        <f aca="false">SUMPRODUCT($C$14:$E$14/(1+$B35)^$C$15:$E$15)+$E$14*(1+D30)/($B35-D30)/(1+$B35)^$E$15</f>
        <v>238010005.151242</v>
      </c>
      <c r="E35" s="31" t="n">
        <f aca="false">SUMPRODUCT($C$14:$E$14/(1+$B35)^$C$15:$E$15)+$E$14*(1+E30)/($B35-E30)/(1+$B35)^$E$15</f>
        <v>248041676.427423</v>
      </c>
      <c r="F35" s="31" t="n">
        <f aca="false">SUMPRODUCT($C$14:$E$14/(1+$B35)^$C$15:$E$15)+$E$14*(1+F30)/($B35-F30)/(1+$B35)^$E$15</f>
        <v>259076514.831222</v>
      </c>
      <c r="G35" s="31" t="n">
        <f aca="false">SUMPRODUCT($C$14:$E$14/(1+$B35)^$C$15:$E$15)+$E$14*(1+G30)/($B35-G30)/(1+$B35)^$E$15</f>
        <v>271272915.172263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6"/>
    <col collapsed="false" customWidth="true" hidden="false" outlineLevel="0" max="5" min="3" style="1" width="16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</row>
    <row r="2" customFormat="false" ht="17.35" hidden="false" customHeight="false" outlineLevel="0" collapsed="false">
      <c r="A2" s="2"/>
      <c r="B2" s="14" t="s">
        <v>34</v>
      </c>
      <c r="C2" s="2"/>
      <c r="D2" s="2"/>
      <c r="E2" s="2"/>
      <c r="F2" s="2"/>
      <c r="G2" s="2"/>
    </row>
    <row r="3" customFormat="false" ht="15" hidden="false" customHeight="false" outlineLevel="0" collapsed="false">
      <c r="A3" s="2"/>
      <c r="B3" s="15" t="s">
        <v>176</v>
      </c>
      <c r="C3" s="2"/>
      <c r="D3" s="2"/>
      <c r="E3" s="2"/>
      <c r="F3" s="2"/>
      <c r="G3" s="2"/>
    </row>
    <row r="4" customFormat="false" ht="15" hidden="false" customHeight="false" outlineLevel="0" collapsed="false">
      <c r="A4" s="2"/>
      <c r="B4" s="16" t="s">
        <v>36</v>
      </c>
      <c r="C4" s="2"/>
      <c r="D4" s="2"/>
      <c r="E4" s="2"/>
      <c r="F4" s="2"/>
      <c r="G4" s="2"/>
    </row>
    <row r="5" customFormat="false" ht="3.75" hidden="false" customHeight="true" outlineLevel="0" collapsed="false">
      <c r="A5" s="2"/>
      <c r="B5" s="17"/>
      <c r="C5" s="17"/>
      <c r="D5" s="17"/>
      <c r="E5" s="17"/>
      <c r="F5" s="17"/>
      <c r="G5" s="17"/>
    </row>
    <row r="6" customFormat="false" ht="15" hidden="false" customHeight="false" outlineLevel="0" collapsed="false">
      <c r="A6" s="2"/>
      <c r="B6" s="2"/>
      <c r="C6" s="2"/>
      <c r="D6" s="2"/>
      <c r="E6" s="2"/>
      <c r="F6" s="2"/>
      <c r="G6" s="2"/>
    </row>
    <row r="7" customFormat="false" ht="15" hidden="false" customHeight="false" outlineLevel="0" collapsed="false">
      <c r="A7" s="2"/>
      <c r="B7" s="2"/>
      <c r="C7" s="18" t="s">
        <v>122</v>
      </c>
      <c r="D7" s="18" t="s">
        <v>123</v>
      </c>
      <c r="E7" s="18" t="s">
        <v>124</v>
      </c>
      <c r="F7" s="2"/>
      <c r="G7" s="2"/>
    </row>
    <row r="8" customFormat="false" ht="15" hidden="false" customHeight="false" outlineLevel="0" collapsed="false">
      <c r="A8" s="2"/>
      <c r="B8" s="28" t="s">
        <v>177</v>
      </c>
      <c r="C8" s="40" t="str">
        <f aca="false">IF(04_Balance_Sheet!C21=0,"OK","ERROR")</f>
        <v>OK</v>
      </c>
      <c r="D8" s="40" t="str">
        <f aca="false">IF(04_Balance_Sheet!D21=0,"OK","ERROR")</f>
        <v>OK</v>
      </c>
      <c r="E8" s="40" t="str">
        <f aca="false">IF(04_Balance_Sheet!E21=0,"OK","ERROR")</f>
        <v>OK</v>
      </c>
      <c r="F8" s="2"/>
      <c r="G8" s="2"/>
    </row>
    <row r="9" customFormat="false" ht="15" hidden="false" customHeight="false" outlineLevel="0" collapsed="false">
      <c r="A9" s="2"/>
      <c r="B9" s="28" t="s">
        <v>178</v>
      </c>
      <c r="C9" s="40" t="str">
        <f aca="false">IF(ROUND(04_Balance_Sheet!C8-(02_Assumptions!C19+05_Cash_Flow!C17),2)=0,"OK","ERROR")</f>
        <v>OK</v>
      </c>
      <c r="D9" s="40" t="str">
        <f aca="false">IF(ROUND(04_Balance_Sheet!D8-(04_Balance_Sheet!C8+05_Cash_Flow!D17),2)=0,"OK","ERROR")</f>
        <v>OK</v>
      </c>
      <c r="E9" s="40" t="str">
        <f aca="false">IF(ROUND(04_Balance_Sheet!E8-(04_Balance_Sheet!D8+05_Cash_Flow!E17),2)=0,"OK","ERROR")</f>
        <v>OK</v>
      </c>
      <c r="F9" s="2"/>
      <c r="G9" s="2"/>
    </row>
    <row r="10" customFormat="false" ht="15" hidden="false" customHeight="false" outlineLevel="0" collapsed="false">
      <c r="A10" s="2"/>
      <c r="B10" s="28" t="s">
        <v>179</v>
      </c>
      <c r="C10" s="40" t="str">
        <f aca="false">IF(03_Income_Statement!C17=05_Cash_Flow!C8,"OK","ERROR")</f>
        <v>OK</v>
      </c>
      <c r="D10" s="40" t="str">
        <f aca="false">IF(03_Income_Statement!D17=05_Cash_Flow!D8,"OK","ERROR")</f>
        <v>OK</v>
      </c>
      <c r="E10" s="40" t="str">
        <f aca="false">IF(03_Income_Statement!E17=05_Cash_Flow!E8,"OK","ERROR")</f>
        <v>OK</v>
      </c>
      <c r="F10" s="2"/>
      <c r="G10" s="2"/>
    </row>
    <row r="11" customFormat="false" ht="15" hidden="false" customHeight="false" outlineLevel="0" collapsed="false">
      <c r="A11" s="2"/>
      <c r="B11" s="2"/>
      <c r="C11" s="2"/>
      <c r="D11" s="2"/>
      <c r="E11" s="2"/>
      <c r="F11" s="2"/>
      <c r="G11" s="2"/>
    </row>
    <row r="12" customFormat="false" ht="15" hidden="false" customHeight="false" outlineLevel="0" collapsed="false">
      <c r="A12" s="2"/>
      <c r="B12" s="7" t="s">
        <v>180</v>
      </c>
      <c r="C12" s="41" t="str">
        <f aca="false">IF(COUNTIF(C8:E10,"ERROR")=0,"ALL CHECKS PASS","REVIEW ERRORS ABOVE")</f>
        <v>ALL CHECKS PASS</v>
      </c>
      <c r="D12" s="41"/>
      <c r="E12" s="41"/>
      <c r="F12" s="2"/>
      <c r="G12" s="2"/>
    </row>
  </sheetData>
  <mergeCells count="1">
    <mergeCell ref="C12:E12"/>
  </mergeCells>
  <conditionalFormatting sqref="C8:E10">
    <cfRule type="cellIs" priority="2" operator="equal" aboveAverage="0" equalAverage="0" bottom="0" percent="0" rank="0" text="" dxfId="0">
      <formula>"OK"</formula>
    </cfRule>
    <cfRule type="cellIs" priority="3" operator="equal" aboveAverage="0" equalAverage="0" bottom="0" percent="0" rank="0" text="" dxfId="1">
      <formula>"ERROR"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2026-09-19T22:32:01Z</dcterms:created>
  <dc:creator>openpyxl</dc:creator>
  <dc:description/>
  <dc:language>en-US</dc:language>
  <cp:lastModifiedBy/>
  <dcterms:modified xsi:type="dcterms:W3CDTF">2026-09-19T22:32:01Z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