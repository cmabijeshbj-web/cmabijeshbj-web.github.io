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Exec_Summary" sheetId="2" state="visible" r:id="rId4"/>
    <sheet name="02_Assumptions" sheetId="3" state="visible" r:id="rId5"/>
    <sheet name="03_Revenue_Build" sheetId="4" state="visible" r:id="rId6"/>
    <sheet name="04_Income_Statement" sheetId="5" state="visible" r:id="rId7"/>
    <sheet name="05_Balance_Sheet" sheetId="6" state="visible" r:id="rId8"/>
    <sheet name="06_Cash_Flow" sheetId="7" state="visible" r:id="rId9"/>
    <sheet name="07_DCF_Valuation" sheetId="8" state="visible" r:id="rId10"/>
    <sheet name="08_Ratios" sheetId="9" state="visible" r:id="rId11"/>
    <sheet name="09_Check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<sst xmlns="http://schemas.openxmlformats.org/spreadsheetml/2006/main" count="3691" uniqueCount="254">
  <si>
    <t xml:space="preserve">Integrated 3-Statement Financial Model &amp; DCF</t>
  </si>
  <si>
    <t xml:space="preserve">Meridian Technology Services (illustrative) · prepared by Bijesh BJ, CMA (USA) · CFI modelling standard</t>
  </si>
  <si>
    <t xml:space="preserve">Purpose</t>
  </si>
  <si>
    <t xml:space="preserve">Scenario-driven 3-statement forecast (income statement, balance sheet, cash flow) and DCF valuation, linked to a 1,080-row revenue build that ties to the FP&amp;A pack.</t>
  </si>
  <si>
    <t xml:space="preserve">MODEL MAP (click a sheet name)</t>
  </si>
  <si>
    <t xml:space="preserve">Sheet</t>
  </si>
  <si>
    <t xml:space="preserve">01_Exec_Summary</t>
  </si>
  <si>
    <t xml:space="preserve">Financial summary, valuation, scenario comparison, key messages — scenario selector in C4</t>
  </si>
  <si>
    <t xml:space="preserve">02_Assumptions</t>
  </si>
  <si>
    <t xml:space="preserve">All inputs and the three scenarios; opening balance sheet; valuation inputs</t>
  </si>
  <si>
    <t xml:space="preserve">03_Revenue_Build</t>
  </si>
  <si>
    <t xml:space="preserve">Units × price revenue build (1,080 rows) with product / region summaries</t>
  </si>
  <si>
    <t xml:space="preserve">04_Income_Statement</t>
  </si>
  <si>
    <t xml:space="preserve">Income statement FY24–FY31</t>
  </si>
  <si>
    <t xml:space="preserve">05_Balance_Sheet</t>
  </si>
  <si>
    <t xml:space="preserve">Balance sheet FY23 (opening) – FY31 with balance check</t>
  </si>
  <si>
    <t xml:space="preserve">06_Cash_Flow</t>
  </si>
  <si>
    <t xml:space="preserve">Indirect cash-flow statement and FCF</t>
  </si>
  <si>
    <t xml:space="preserve">07_DCF_Valuation</t>
  </si>
  <si>
    <t xml:space="preserve">Unlevered FCF, WACC discounting, terminal value, sensitivity grid</t>
  </si>
  <si>
    <t xml:space="preserve">08_Ratios</t>
  </si>
  <si>
    <t xml:space="preserve">Margins, returns, working capital, leverage, cash conversion</t>
  </si>
  <si>
    <t xml:space="preserve">09_Checks</t>
  </si>
  <si>
    <t xml:space="preserve">12 integrity checks with overall status</t>
  </si>
  <si>
    <t xml:space="preserve">COLOUR CODE (CFI standard)</t>
  </si>
  <si>
    <t xml:space="preserve">1,234</t>
  </si>
  <si>
    <t xml:space="preserve">Blue — hardcoded input / source data</t>
  </si>
  <si>
    <t xml:space="preserve">Black — formula referencing the same sheet</t>
  </si>
  <si>
    <t xml:space="preserve">Green — formula linking to another sheet</t>
  </si>
  <si>
    <t xml:space="preserve">CONVENTIONS</t>
  </si>
  <si>
    <t xml:space="preserve">• Fiscal year runs April–March (FY26 = Apr-2025 to Mar-2026). Currency USD; amounts shown in $K / $M.</t>
  </si>
  <si>
    <t xml:space="preserve">• Costs are negatives on the income statement; cash outflows are negatives on the cash-flow statement.</t>
  </si>
  <si>
    <t xml:space="preserve">• Interest is calculated on opening balances to avoid circular references.</t>
  </si>
  <si>
    <t xml:space="preserve">• Illustrative company and data — no real client or employer figures are used.</t>
  </si>
  <si>
    <t xml:space="preserve">Meridian Technology Services — Integrated Financial Model</t>
  </si>
  <si>
    <t xml:space="preserve">3-statement model + DCF · FY24–26 actual, FY27–31 forecast · USD · built to CFI colour conventions · select scenario in C4</t>
  </si>
  <si>
    <t xml:space="preserve">Scenario ▸</t>
  </si>
  <si>
    <t xml:space="preserve">Base</t>
  </si>
  <si>
    <t xml:space="preserve">Model status</t>
  </si>
  <si>
    <t xml:space="preserve">Valuation date</t>
  </si>
  <si>
    <t xml:space="preserve">1 · FINANCIAL SUMMARY</t>
  </si>
  <si>
    <t xml:space="preserve">USD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</si>
  <si>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</si>
  <si>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</si>
  <si>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</si>
  <si>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</si>
  <si>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</si>
  <si>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</si>
  <si>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</si>
  <si>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</si>
  <si>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Actual</t>
  </si>
  <si>
    <t xml:space="preserve">Forecast</t>
  </si>
  <si>
    <t xml:space="preserve">Revenue</t>
  </si>
  <si>
    <t xml:space="preserve">  growth %</t>
  </si>
  <si>
    <t xml:space="preserve">Gross margin %</t>
  </si>
  <si>
    <t xml:space="preserve">EBITDA</t>
  </si>
  <si>
    <t xml:space="preserve">  EBITDA margin %</t>
  </si>
  <si>
    <t xml:space="preserve">Net income</t>
  </si>
  <si>
    <t xml:space="preserve">Free cash flow</t>
  </si>
  <si>
    <t xml:space="preserve">Closing cash</t>
  </si>
  <si>
    <t xml:space="preserve">Net debt ÷ EBITDA</t>
  </si>
  <si>
    <t xml:space="preserve">ROCE</t>
  </si>
  <si>
    <t xml:space="preserve">2 · VALUATION (active scenario)</t>
  </si>
  <si>
    <t xml:space="preserve">Enterprise value</t>
  </si>
  <si>
    <t xml:space="preserve">Net debt (FY26)</t>
  </si>
  <si>
    <t xml:space="preserve">Equity value</t>
  </si>
  <si>
    <t xml:space="preserve">Implied EV / FY26 EBITDA</t>
  </si>
  <si>
    <t xml:space="preserve">Terminal value % of EV</t>
  </si>
  <si>
    <t xml:space="preserve">3 · SCENARIO COMPARISON (snapshot of all three cases at last build — re-run build to refresh)</t>
  </si>
  <si>
    <t xml:space="preserve">Scenario</t>
  </si>
  <si>
    <t xml:space="preserve">FY31 revenue</t>
  </si>
  <si>
    <t xml:space="preserve">FY31 EBITDA mgn</t>
  </si>
  <si>
    <t xml:space="preserve">5-yr cum. FCF</t>
  </si>
  <si>
    <t xml:space="preserve">EV / FY26 EBITDA</t>
  </si>
  <si>
    <t xml:space="preserve">Upside</t>
  </si>
  <si>
    <t xml:space="preserve">Downside</t>
  </si>
  <si>
    <t xml:space="preserve">Snapshot values are hardcoded (blue) from three full recalculations of this model; the live figures above always follow the selector.</t>
  </si>
  <si>
    <t xml:space="preserve">4 · KEY MESSAGES (auto-generated)</t>
  </si>
  <si>
    <t xml:space="preserve">Assumptions &amp; scenario drivers</t>
  </si>
  <si>
    <t xml:space="preserve">Blue = hardcoded input · Black = same-sheet formula · Green = link to another sheet. Scenario is chosen on 01_Exec_Summary!C4.</t>
  </si>
  <si>
    <t xml:space="preserve">Active scenario</t>
  </si>
  <si>
    <t xml:space="preserve">Scenario index (1 Base · 2 Upside · 3 Downside)</t>
  </si>
  <si>
    <t xml:space="preserve">FY23</t>
  </si>
  <si>
    <t xml:space="preserve">Opening</t>
  </si>
  <si>
    <t xml:space="preserve">GENERAL DRIVERS (apply to all scenarios)</t>
  </si>
  <si>
    <t xml:space="preserve">Cash tax rate on pre-tax profit</t>
  </si>
  <si>
    <t xml:space="preserve">%</t>
  </si>
  <si>
    <t xml:space="preserve">D&amp;A as % of revenue</t>
  </si>
  <si>
    <t xml:space="preserve">Capex as % of revenue</t>
  </si>
  <si>
    <t xml:space="preserve">Prepaids &amp; other current assets, % of revenue</t>
  </si>
  <si>
    <t xml:space="preserve">Days payable (on direct cost)</t>
  </si>
  <si>
    <t xml:space="preserve">days</t>
  </si>
  <si>
    <t xml:space="preserve">Accrued liabilities, % of operating expenses</t>
  </si>
  <si>
    <t xml:space="preserve">Interest rate on term debt</t>
  </si>
  <si>
    <t xml:space="preserve">Interest income on opening cash</t>
  </si>
  <si>
    <t xml:space="preserve">Dividend payout, % of net income</t>
  </si>
  <si>
    <t xml:space="preserve">Scheduled term-debt repayment</t>
  </si>
  <si>
    <t xml:space="preserve">SCENARIO DRIVERS (live row picks the active scenario)</t>
  </si>
  <si>
    <t xml:space="preserve">Revenue growth</t>
  </si>
  <si>
    <t xml:space="preserve">   Base case</t>
  </si>
  <si>
    <t xml:space="preserve">   Upside case</t>
  </si>
  <si>
    <t xml:space="preserve">   Downside case</t>
  </si>
  <si>
    <t xml:space="preserve">   LIVE — Revenue growth</t>
  </si>
  <si>
    <t xml:space="preserve">Direct cost, % of revenue</t>
  </si>
  <si>
    <t xml:space="preserve">   LIVE — Direct cost, % of revenue</t>
  </si>
  <si>
    <t xml:space="preserve">Operating expenses (ex-D&amp;A), % of revenue</t>
  </si>
  <si>
    <t xml:space="preserve">   LIVE — Operating expenses (ex-D&amp;A), % of revenue</t>
  </si>
  <si>
    <t xml:space="preserve">Days sales outstanding</t>
  </si>
  <si>
    <t xml:space="preserve">   LIVE — Days sales outstanding</t>
  </si>
  <si>
    <t xml:space="preserve">HISTORICAL ACTUALS (FY24–FY26 from the FP&amp;A pack; FY23 revenue for growth base)</t>
  </si>
  <si>
    <t xml:space="preserve">Source: FPA_Variance_KPI_Analysis.xlsx → Data sheet totals</t>
  </si>
  <si>
    <t xml:space="preserve">Direct cost</t>
  </si>
  <si>
    <t xml:space="preserve">Operating expenses (ex-D&amp;A)</t>
  </si>
  <si>
    <t xml:space="preserve">VALUATION INPUTS</t>
  </si>
  <si>
    <t xml:space="preserve">WACC</t>
  </si>
  <si>
    <t xml:space="preserve">Terminal growth rate</t>
  </si>
  <si>
    <t xml:space="preserve">Exit EV/EBITDA multiple (cross-check)</t>
  </si>
  <si>
    <t xml:space="preserve">x</t>
  </si>
  <si>
    <t xml:space="preserve">31-Mar-2026</t>
  </si>
  <si>
    <t xml:space="preserve">OPENING BALANCE SHEET (31-Mar-2023)</t>
  </si>
  <si>
    <t xml:space="preserve">Cash &amp; equivalents</t>
  </si>
  <si>
    <t xml:space="preserve">Accounts receivable</t>
  </si>
  <si>
    <t xml:space="preserve">Prepaids &amp; other current assets</t>
  </si>
  <si>
    <t xml:space="preserve">PP&amp;E and intangibles (net)</t>
  </si>
  <si>
    <t xml:space="preserve">Accounts payable</t>
  </si>
  <si>
    <t xml:space="preserve">Accrued liabilities</t>
  </si>
  <si>
    <t xml:space="preserve">Term debt</t>
  </si>
  <si>
    <t xml:space="preserve">Share capital</t>
  </si>
  <si>
    <t xml:space="preserve">Revenue build — product × region × month</t>
  </si>
  <si>
    <t xml:space="preserve">1,080 rows: Units × Average price = Revenue (formula). Annual totals feed 02_Assumptions and tie to the FP&amp;A pack.</t>
  </si>
  <si>
    <t xml:space="preserve">Product</t>
  </si>
  <si>
    <t xml:space="preserve">Region</t>
  </si>
  <si>
    <t xml:space="preserve">Month</t>
  </si>
  <si>
    <t xml:space="preserve">FY</t>
  </si>
  <si>
    <t xml:space="preserve">Units</t>
  </si>
  <si>
    <t xml:space="preserve">Avg price</t>
  </si>
  <si>
    <t xml:space="preserve">Annual revenue summary (SUMIFS)</t>
  </si>
  <si>
    <t xml:space="preserve">Managed Services</t>
  </si>
  <si>
    <t xml:space="preserve">UAE</t>
  </si>
  <si>
    <t xml:space="preserve">By product</t>
  </si>
  <si>
    <t xml:space="preserve">FY26 mix</t>
  </si>
  <si>
    <t xml:space="preserve">CAGR</t>
  </si>
  <si>
    <t xml:space="preserve">Cloud &amp; Infrastructure</t>
  </si>
  <si>
    <t xml:space="preserve">Digital Engineering</t>
  </si>
  <si>
    <t xml:space="preserve">Data &amp; Analytics</t>
  </si>
  <si>
    <t xml:space="preserve">Consulting &amp; Advisory</t>
  </si>
  <si>
    <t xml:space="preserve">Total</t>
  </si>
  <si>
    <t xml:space="preserve">By region</t>
  </si>
  <si>
    <t xml:space="preserve">KSA</t>
  </si>
  <si>
    <t xml:space="preserve">India</t>
  </si>
  <si>
    <t xml:space="preserve">UK</t>
  </si>
  <si>
    <t xml:space="preserve">USA</t>
  </si>
  <si>
    <t xml:space="preserve">Singapore</t>
  </si>
  <si>
    <t xml:space="preserve">Income statement</t>
  </si>
  <si>
    <t xml:space="preserve">USD · FY = April–March · costs shown as negatives</t>
  </si>
  <si>
    <t xml:space="preserve">Gross profit</t>
  </si>
  <si>
    <t xml:space="preserve">  gross margin %</t>
  </si>
  <si>
    <t xml:space="preserve">Depreciation &amp; amortisation</t>
  </si>
  <si>
    <t xml:space="preserve">EBIT</t>
  </si>
  <si>
    <t xml:space="preserve">  EBIT margin %</t>
  </si>
  <si>
    <t xml:space="preserve">Interest expense</t>
  </si>
  <si>
    <t xml:space="preserve">Interest income</t>
  </si>
  <si>
    <t xml:space="preserve">Profit before tax</t>
  </si>
  <si>
    <t xml:space="preserve">Income tax</t>
  </si>
  <si>
    <t xml:space="preserve">  net margin %</t>
  </si>
  <si>
    <t xml:space="preserve">Balance sheet</t>
  </si>
  <si>
    <t xml:space="preserve">USD · year-end · opening column = 31-Mar-2023</t>
  </si>
  <si>
    <t xml:space="preserve">Total current assets</t>
  </si>
  <si>
    <t xml:space="preserve">TOTAL ASSETS</t>
  </si>
  <si>
    <t xml:space="preserve">Total current liabilities</t>
  </si>
  <si>
    <t xml:space="preserve">TOTAL LIABILITIES</t>
  </si>
  <si>
    <t xml:space="preserve">Retained earnings</t>
  </si>
  <si>
    <t xml:space="preserve">TOTAL EQUITY</t>
  </si>
  <si>
    <t xml:space="preserve">TOTAL LIABILITIES &amp; EQUITY</t>
  </si>
  <si>
    <t xml:space="preserve">Balance check (assets − L&amp;E)</t>
  </si>
  <si>
    <t xml:space="preserve">Cash flow statement</t>
  </si>
  <si>
    <t xml:space="preserve">USD · indirect method</t>
  </si>
  <si>
    <t xml:space="preserve">(Increase) in accounts receivable</t>
  </si>
  <si>
    <t xml:space="preserve">(Increase) in prepaids</t>
  </si>
  <si>
    <t xml:space="preserve">Increase in accounts payable</t>
  </si>
  <si>
    <t xml:space="preserve">Increase in accrued liabilities</t>
  </si>
  <si>
    <t xml:space="preserve">CASH FROM OPERATIONS</t>
  </si>
  <si>
    <t xml:space="preserve">Capital expenditure</t>
  </si>
  <si>
    <t xml:space="preserve">CASH FROM INVESTING</t>
  </si>
  <si>
    <t xml:space="preserve">Term-debt repayment</t>
  </si>
  <si>
    <t xml:space="preserve">Dividends paid</t>
  </si>
  <si>
    <t xml:space="preserve">CASH FROM FINANCING</t>
  </si>
  <si>
    <t xml:space="preserve">Net change in cash</t>
  </si>
  <si>
    <t xml:space="preserve">Opening cash</t>
  </si>
  <si>
    <t xml:space="preserve">CLOSING CASH</t>
  </si>
  <si>
    <t xml:space="preserve">Free cash flow (CFO + CFI)</t>
  </si>
  <si>
    <t xml:space="preserve">  FCF conversion (FCF ÷ EBITDA)</t>
  </si>
  <si>
    <t xml:space="preserve">DCF valuation</t>
  </si>
  <si>
    <t xml:space="preserve">Unlevered free cash flow FY27–FY31, end-year discounting, Gordon-growth terminal value · valuation date 31-Mar-2026</t>
  </si>
  <si>
    <t xml:space="preserve">Tax on EBIT</t>
  </si>
  <si>
    <t xml:space="preserve">NOPAT</t>
  </si>
  <si>
    <t xml:space="preserve">Add: D&amp;A</t>
  </si>
  <si>
    <t xml:space="preserve">Less: capex</t>
  </si>
  <si>
    <t xml:space="preserve">Less: increase in net working capital</t>
  </si>
  <si>
    <t xml:space="preserve">UNLEVERED FREE CASH FLOW</t>
  </si>
  <si>
    <t xml:space="preserve">Discount period (years)</t>
  </si>
  <si>
    <t xml:space="preserve">Discount factor</t>
  </si>
  <si>
    <t xml:space="preserve">PV of free cash flow</t>
  </si>
  <si>
    <t xml:space="preserve">VALUATION SUMMARY</t>
  </si>
  <si>
    <t xml:space="preserve">Terminal growth</t>
  </si>
  <si>
    <t xml:space="preserve">Sum of PV of FCF (FY27–FY31)</t>
  </si>
  <si>
    <t xml:space="preserve">Terminal value (Gordon growth, FY31)</t>
  </si>
  <si>
    <t xml:space="preserve">PV of terminal value</t>
  </si>
  <si>
    <t xml:space="preserve">ENTERPRISE VALUE</t>
  </si>
  <si>
    <t xml:space="preserve">Less: net debt at 31-Mar-2026 (debt − cash)</t>
  </si>
  <si>
    <t xml:space="preserve">EQUITY VALUE</t>
  </si>
  <si>
    <t xml:space="preserve">Terminal value as % of EV</t>
  </si>
  <si>
    <t xml:space="preserve">Implied EV / FY27 EBITDA</t>
  </si>
  <si>
    <t xml:space="preserve">Implied terminal EV/EBITDA multiple</t>
  </si>
  <si>
    <t xml:space="preserve">Exit-multiple cross-check: EV</t>
  </si>
  <si>
    <t xml:space="preserve">  difference vs Gordon-growth EV</t>
  </si>
  <si>
    <t xml:space="preserve">SENSITIVITY — Enterprise value: WACC (down) × terminal growth (across)</t>
  </si>
  <si>
    <t xml:space="preserve">WACC \ g</t>
  </si>
  <si>
    <t xml:space="preserve">Centre cell equals the enterprise value above; every cell is a closed-form recalculation (no data tables), so it updates instantly with the scenario.</t>
  </si>
  <si>
    <t xml:space="preserve">Sensitivity centre check (should be 0)</t>
  </si>
  <si>
    <t xml:space="preserve">Ratios &amp; KPIs</t>
  </si>
  <si>
    <t xml:space="preserve">Profitability, returns, working capital, leverage and cash conversion</t>
  </si>
  <si>
    <t xml:space="preserve">Gross margin</t>
  </si>
  <si>
    <t xml:space="preserve">EBITDA margin</t>
  </si>
  <si>
    <t xml:space="preserve">EBIT margin</t>
  </si>
  <si>
    <t xml:space="preserve">Net margin</t>
  </si>
  <si>
    <t xml:space="preserve">Return on equity (NI ÷ average equity)</t>
  </si>
  <si>
    <t xml:space="preserve">ROCE (EBIT ÷ (assets − current liabilities))</t>
  </si>
  <si>
    <t xml:space="preserve">DSO (days)</t>
  </si>
  <si>
    <t xml:space="preserve">DPO (days)</t>
  </si>
  <si>
    <t xml:space="preserve">Net debt (debt − cash)</t>
  </si>
  <si>
    <t xml:space="preserve">Interest cover (EBIT ÷ interest)</t>
  </si>
  <si>
    <t xml:space="preserve">FCF conversion (÷ EBITDA)</t>
  </si>
  <si>
    <t xml:space="preserve">Cash as % of revenue</t>
  </si>
  <si>
    <t xml:space="preserve">Model integrity checks</t>
  </si>
  <si>
    <t xml:space="preserve">All checks must read PASS. Tolerance $1 unless stated.</t>
  </si>
  <si>
    <t xml:space="preserve">Overall status</t>
  </si>
  <si>
    <t xml:space="preserve">Check</t>
  </si>
  <si>
    <t xml:space="preserve">Value A</t>
  </si>
  <si>
    <t xml:space="preserve">Value B</t>
  </si>
  <si>
    <t xml:space="preserve">Difference</t>
  </si>
  <si>
    <t xml:space="preserve">Result</t>
  </si>
  <si>
    <t xml:space="preserve">Balance sheet balances — all years (sum of |check|)</t>
  </si>
  <si>
    <t xml:space="preserve">Closing cash on balance sheet = cash-flow closing cash (FY31)</t>
  </si>
  <si>
    <t xml:space="preserve">Retained earnings roll-forward (FY27–31): ΔRE = NI − dividends</t>
  </si>
  <si>
    <t xml:space="preserve">Net income on IS = net income on CF (FY24–FY31 total)</t>
  </si>
  <si>
    <t xml:space="preserve">Minimum closing cash across years ≥ 0 (shows 0 if OK)</t>
  </si>
  <si>
    <t xml:space="preserve">Term debt never negative (shows 0 if OK)</t>
  </si>
  <si>
    <t xml:space="preserve">WACC exceeds terminal growth (1 = yes)</t>
  </si>
  <si>
    <t xml:space="preserve">DCF sensitivity centre = enterprise value</t>
  </si>
  <si>
    <t xml:space="preserve">FY26 revenue ties to FP&amp;A pack (tolerance $25)</t>
  </si>
  <si>
    <t xml:space="preserve">FY26 EBITDA ties to FP&amp;A operating income (tolerance $25)</t>
  </si>
  <si>
    <t xml:space="preserve">Revenue build by product = by region (FY26)</t>
  </si>
  <si>
    <t xml:space="preserve">Sum of FY24–26 revenue: build vs assumptions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</si>
</sst>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[&gt;=1000000]\$#,##0.0,,\M;[&lt;=-1000000]&quot;-$&quot;#,##0.0,,\M;\$#,##0,\K"/>
    <numFmt numFmtId="166" formatCode="0.0%;\-0.0%;0.0%"/>
    <numFmt numFmtId="167" formatCode="0.00\x"/>
    <numFmt numFmtId="168" formatCode="0.0\x"/>
    <numFmt numFmtId="169" formatCode="\$#,##0,,\M"/>
    <numFmt numFmtId="170" formatCode="0"/>
    <numFmt numFmtId="171" formatCode="mmm\-yy"/>
    <numFmt numFmtId="172" formatCode="#,##0.0"/>
    <numFmt numFmtId="173" formatCode="#,##0.00"/>
    <numFmt numFmtId="174" formatCode="#,##0"/>
    <numFmt numFmtId="175" formatCode="0.00"/>
    <numFmt numFmtId="176" formatCode="0.000"/>
    <numFmt numFmtId="177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1B2A4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666666"/>
      <name val="Calibri"/>
      <family val="0"/>
      <charset val="1"/>
    </font>
    <font>
      <sz val="10"/>
      <color rgb="FF444444"/>
      <name val="Calibri"/>
      <family val="0"/>
      <charset val="1"/>
    </font>
    <font>
      <i val="true"/>
      <sz val="10"/>
      <color rgb="FF555555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D8A94E"/>
        <bgColor rgb="FFFF8080"/>
      </patternFill>
    </fill>
    <fill>
      <patternFill patternType="solid">
        <fgColor rgb="FFFFF7DA"/>
        <bgColor rgb="FFF3F4F6"/>
      </patternFill>
    </fill>
    <fill>
      <patternFill patternType="solid">
        <fgColor rgb="FFEAF4F2"/>
        <bgColor rgb="FFF3F4F6"/>
      </patternFill>
    </fill>
    <fill>
      <patternFill patternType="solid">
        <fgColor rgb="FFF3F4F6"/>
        <bgColor rgb="FFEAF4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D0"/>
      </left>
      <right style="thin">
        <color rgb="FFBFC6D0"/>
      </right>
      <top style="thin">
        <color rgb="FFBFC6D0"/>
      </top>
      <bottom style="thin">
        <color rgb="FFBFC6D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rgb="FFBFC6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Calibri"/>
        <charset val="1"/>
        <family val="0"/>
        <b val="1"/>
        <color rgb="FF2E8B57"/>
      </font>
    </dxf>
    <dxf>
      <font>
        <name val="Calibri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6D0"/>
      <rgbColor rgb="FF878787"/>
      <rgbColor rgb="FF9999FF"/>
      <rgbColor rgb="FF993366"/>
      <rgbColor rgb="FFFFF7DA"/>
      <rgbColor rgb="FFEAF4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ADBD8"/>
      <rgbColor rgb="FF3366FF"/>
      <rgbColor rgb="FF3FA9A0"/>
      <rgbColor rgb="FF99CC00"/>
      <rgbColor rgb="FFFFCC00"/>
      <rgbColor rgb="FFD8A94E"/>
      <rgbColor rgb="FFFF6600"/>
      <rgbColor rgb="FF666666"/>
      <rgbColor rgb="FF7F8C8D"/>
      <rgbColor rgb="FF003366"/>
      <rgbColor rgb="FF2E8B57"/>
      <rgbColor rgb="FF003300"/>
      <rgbColor rgb="FF444444"/>
      <rgbColor rgb="FFC0392B"/>
      <rgbColor rgb="FF993366"/>
      <rgbColor rgb="FF555555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01_Exec_Summary!$D$7:$K$7</c:f>
              <c:multiLvlStrCache>
                <c:ptCount val="1"/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</c:multiLvlStrCache>
            </c:multiLvlStrRef>
          </c:cat>
          <c:val>
            <c:numRef>
              <c:f>01_Exec_Summary!$D$9:$K$9</c:f>
              <c:numCache>
                <c:formatCode>[&gt;=1000000]\$#,##0.0,,\M;[&lt;=-1000000]"-$"#,##0.0,,\M;\$#,##0,\K</c:formatCode>
                <c:ptCount val="8"/>
                <c:pt idx="0">
                  <c:v>148005508.221126</c:v>
                </c:pt>
                <c:pt idx="1">
                  <c:v>159976067.618611</c:v>
                </c:pt>
                <c:pt idx="2">
                  <c:v>171736155.20332</c:v>
                </c:pt>
                <c:pt idx="3">
                  <c:v>185475047.619586</c:v>
                </c:pt>
                <c:pt idx="4">
                  <c:v>199385676.191055</c:v>
                </c:pt>
                <c:pt idx="5">
                  <c:v>213342673.524428</c:v>
                </c:pt>
                <c:pt idx="6">
                  <c:v>226143233.935894</c:v>
                </c:pt>
                <c:pt idx="7">
                  <c:v>237450395.632689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8a9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01_Exec_Summary!$D$7:$K$7</c:f>
              <c:multiLvlStrCache>
                <c:ptCount val="1"/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</c:multiLvlStrCache>
            </c:multiLvlStrRef>
          </c:cat>
          <c:val>
            <c:numRef>
              <c:f>01_Exec_Summary!$D$12:$K$12</c:f>
              <c:numCache>
                <c:formatCode>[&gt;=1000000]\$#,##0.0,,\M;[&lt;=-1000000]"-$"#,##0.0,,\M;\$#,##0,\K</c:formatCode>
                <c:ptCount val="8"/>
                <c:pt idx="0">
                  <c:v>35845594.221126</c:v>
                </c:pt>
                <c:pt idx="1">
                  <c:v>38416406.618611</c:v>
                </c:pt>
                <c:pt idx="2">
                  <c:v>39558377.20332</c:v>
                </c:pt>
                <c:pt idx="3">
                  <c:v>43456803.6572689</c:v>
                </c:pt>
                <c:pt idx="4">
                  <c:v>47314220.9601373</c:v>
                </c:pt>
                <c:pt idx="5">
                  <c:v>51266244.4479201</c:v>
                </c:pt>
                <c:pt idx="6">
                  <c:v>54794505.5826671</c:v>
                </c:pt>
                <c:pt idx="7">
                  <c:v>57771681.2574332</c:v>
                </c:pt>
              </c:numCache>
            </c:numRef>
          </c:val>
        </c:ser>
        <c:gapWidth val="150"/>
        <c:overlap val="0"/>
        <c:axId val="25259984"/>
        <c:axId val="66967358"/>
      </c:barChart>
      <c:catAx>
        <c:axId val="25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67358"/>
        <c:crosses val="autoZero"/>
        <c:auto val="1"/>
        <c:lblAlgn val="ctr"/>
        <c:lblOffset val="100"/>
        <c:noMultiLvlLbl val="0"/>
      </c:catAx>
      <c:valAx>
        <c:axId val="66967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59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and closing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"Free cash flow"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3fa9a0"/>
            </a:solidFill>
            <a:ln w="28440">
              <a:solidFill>
                <a:srgbClr val="3fa9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01_Exec_Summary!$D$7:$K$7</c:f>
              <c:multiLvlStrCache>
                <c:ptCount val="1"/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</c:multiLvlStrCache>
            </c:multiLvlStrRef>
          </c:cat>
          <c:val>
            <c:numRef>
              <c:f>01_Exec_Summary!$D$15:$K$15</c:f>
              <c:numCache>
                <c:formatCode>[&gt;=1000000]\$#,##0.0,,\M;[&lt;=-1000000]"-$"#,##0.0,,\M;\$#,##0,\K</c:formatCode>
                <c:ptCount val="8"/>
                <c:pt idx="0">
                  <c:v>26036264.4457626</c:v>
                </c:pt>
                <c:pt idx="1">
                  <c:v>26580475.1628271</c:v>
                </c:pt>
                <c:pt idx="2">
                  <c:v>26795548.4407346</c:v>
                </c:pt>
                <c:pt idx="3">
                  <c:v>30310539.6336218</c:v>
                </c:pt>
                <c:pt idx="4">
                  <c:v>33692732.4465911</c:v>
                </c:pt>
                <c:pt idx="5">
                  <c:v>36634976.9516077</c:v>
                </c:pt>
                <c:pt idx="6">
                  <c:v>40544382.5352781</c:v>
                </c:pt>
                <c:pt idx="7">
                  <c:v>43032528.4968757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"Closing cash"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d8a94e"/>
            </a:solidFill>
            <a:ln w="28440">
              <a:solidFill>
                <a:srgbClr val="d8a9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01_Exec_Summary!$D$7:$K$7</c:f>
              <c:multiLvlStrCache>
                <c:ptCount val="1"/>
                <c:lvl>
                  <c:pt idx="0">
                    <c:v>FY31</c:v>
                  </c:pt>
                </c:lvl>
                <c:lvl>
                  <c:pt idx="0">
                    <c:v>FY30</c:v>
                  </c:pt>
                </c:lvl>
                <c:lvl>
                  <c:pt idx="0">
                    <c:v>FY29</c:v>
                  </c:pt>
                </c:lvl>
                <c:lvl>
                  <c:pt idx="0">
                    <c:v>FY28</c:v>
                  </c:pt>
                </c:lvl>
                <c:lvl>
                  <c:pt idx="0">
                    <c:v>FY27</c:v>
                  </c:pt>
                </c:lvl>
                <c:lvl>
                  <c:pt idx="0">
                    <c:v>FY26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</c:multiLvlStrCache>
            </c:multiLvlStrRef>
          </c:cat>
          <c:val>
            <c:numRef>
              <c:f>01_Exec_Summary!$D$16:$K$16</c:f>
              <c:numCache>
                <c:formatCode>[&gt;=1000000]\$#,##0.0,,\M;[&lt;=-1000000]"-$"#,##0.0,,\M;\$#,##0,\K</c:formatCode>
                <c:ptCount val="8"/>
                <c:pt idx="0">
                  <c:v>25699619.3963959</c:v>
                </c:pt>
                <c:pt idx="1">
                  <c:v>36993440.6049917</c:v>
                </c:pt>
                <c:pt idx="2">
                  <c:v>48075190.47502</c:v>
                </c:pt>
                <c:pt idx="3">
                  <c:v>54778794.0902007</c:v>
                </c:pt>
                <c:pt idx="4">
                  <c:v>62905918.1140559</c:v>
                </c:pt>
                <c:pt idx="5">
                  <c:v>70938848.2840434</c:v>
                </c:pt>
                <c:pt idx="6">
                  <c:v>86015242.3100187</c:v>
                </c:pt>
                <c:pt idx="7">
                  <c:v>102044590.902535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164522"/>
        <c:axId val="78674850"/>
      </c:lineChart>
      <c:catAx>
        <c:axId val="71164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74850"/>
        <c:crosses val="autoZero"/>
        <c:auto val="1"/>
        <c:lblAlgn val="ctr"/>
        <c:lblOffset val="100"/>
        <c:noMultiLvlLbl val="0"/>
      </c:catAx>
      <c:valAx>
        <c:axId val="78674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4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0</xdr:rowOff>
    </xdr:from>
    <xdr:to>
      <xdr:col>7</xdr:col>
      <xdr:colOff>128520</xdr:colOff>
      <xdr:row>53</xdr:row>
      <xdr:rowOff>32760</xdr:rowOff>
    </xdr:to>
    <xdr:graphicFrame>
      <xdr:nvGraphicFramePr>
        <xdr:cNvPr id="0" name="Chart 1"/>
        <xdr:cNvGraphicFramePr/>
      </xdr:nvGraphicFramePr>
      <xdr:xfrm>
        <a:off x="141120" y="8572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14</xdr:col>
      <xdr:colOff>10440</xdr:colOff>
      <xdr:row>53</xdr:row>
      <xdr:rowOff>32760</xdr:rowOff>
    </xdr:to>
    <xdr:graphicFrame>
      <xdr:nvGraphicFramePr>
        <xdr:cNvPr id="1" name="Chart 2"/>
        <xdr:cNvGraphicFramePr/>
      </xdr:nvGraphicFramePr>
      <xdr:xfrm>
        <a:off x="6132240" y="8572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ntegrated_Financial_Model.xlsx" TargetMode="External"/><Relationship Id="rId2" Type="http://schemas.openxmlformats.org/officeDocument/2006/relationships/hyperlink" Target="Integrated_Financial_Model.xlsx" TargetMode="External"/><Relationship Id="rId3" Type="http://schemas.openxmlformats.org/officeDocument/2006/relationships/hyperlink" Target="Integrated_Financial_Model.xlsx" TargetMode="External"/><Relationship Id="rId4" Type="http://schemas.openxmlformats.org/officeDocument/2006/relationships/hyperlink" Target="Integrated_Financial_Model.xlsx" TargetMode="External"/><Relationship Id="rId5" Type="http://schemas.openxmlformats.org/officeDocument/2006/relationships/hyperlink" Target="Integrated_Financial_Model.xlsx" TargetMode="External"/><Relationship Id="rId6" Type="http://schemas.openxmlformats.org/officeDocument/2006/relationships/hyperlink" Target="Integrated_Financial_Model.xlsx" TargetMode="External"/><Relationship Id="rId7" Type="http://schemas.openxmlformats.org/officeDocument/2006/relationships/hyperlink" Target="Integrated_Financial_Model.xlsx" TargetMode="External"/><Relationship Id="rId8" Type="http://schemas.openxmlformats.org/officeDocument/2006/relationships/hyperlink" Target="Integrated_Financial_Model.xlsx" TargetMode="External"/><Relationship Id="rId9" Type="http://schemas.openxmlformats.org/officeDocument/2006/relationships/hyperlink" Target="Integrated_Financial_Mode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1"/>
    <pageSetUpPr fitToPage="tru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6"/>
  </cols>
  <sheetData>
    <row r="1" customFormat="false" ht="30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5"/>
    </row>
    <row r="6" customFormat="false" ht="15" hidden="false" customHeight="false" outlineLevel="0" collapsed="false">
      <c r="B6" s="6" t="s">
        <v>4</v>
      </c>
      <c r="C6" s="7"/>
      <c r="D6" s="7"/>
      <c r="E6" s="7"/>
      <c r="F6" s="7"/>
      <c r="G6" s="7"/>
      <c r="H6" s="7"/>
    </row>
    <row r="7" customFormat="false" ht="30" hidden="false" customHeight="true" outlineLevel="0" collapsed="false">
      <c r="B7" s="8" t="s">
        <v>5</v>
      </c>
      <c r="C7" s="9" t="s">
        <v>2</v>
      </c>
    </row>
    <row r="8" customFormat="false" ht="15" hidden="false" customHeight="true" outlineLevel="0" collapsed="false">
      <c r="B8" s="10" t="s">
        <v>6</v>
      </c>
      <c r="C8" s="5" t="s">
        <v>7</v>
      </c>
      <c r="D8" s="5"/>
      <c r="E8" s="5"/>
      <c r="F8" s="5"/>
      <c r="G8" s="5"/>
      <c r="H8" s="5"/>
    </row>
    <row r="9" customFormat="false" ht="15" hidden="false" customHeight="true" outlineLevel="0" collapsed="false">
      <c r="B9" s="10" t="s">
        <v>8</v>
      </c>
      <c r="C9" s="5" t="s">
        <v>9</v>
      </c>
      <c r="D9" s="5"/>
      <c r="E9" s="5"/>
      <c r="F9" s="5"/>
      <c r="G9" s="5"/>
      <c r="H9" s="5"/>
    </row>
    <row r="10" customFormat="false" ht="15" hidden="false" customHeight="true" outlineLevel="0" collapsed="false">
      <c r="B10" s="10" t="s">
        <v>10</v>
      </c>
      <c r="C10" s="5" t="s">
        <v>11</v>
      </c>
      <c r="D10" s="5"/>
      <c r="E10" s="5"/>
      <c r="F10" s="5"/>
      <c r="G10" s="5"/>
      <c r="H10" s="5"/>
    </row>
    <row r="11" customFormat="false" ht="15" hidden="false" customHeight="true" outlineLevel="0" collapsed="false">
      <c r="B11" s="10" t="s">
        <v>12</v>
      </c>
      <c r="C11" s="5" t="s">
        <v>13</v>
      </c>
      <c r="D11" s="5"/>
      <c r="E11" s="5"/>
      <c r="F11" s="5"/>
      <c r="G11" s="5"/>
      <c r="H11" s="5"/>
    </row>
    <row r="12" customFormat="false" ht="15" hidden="false" customHeight="true" outlineLevel="0" collapsed="false">
      <c r="B12" s="10" t="s">
        <v>14</v>
      </c>
      <c r="C12" s="5" t="s">
        <v>15</v>
      </c>
      <c r="D12" s="5"/>
      <c r="E12" s="5"/>
      <c r="F12" s="5"/>
      <c r="G12" s="5"/>
      <c r="H12" s="5"/>
    </row>
    <row r="13" customFormat="false" ht="15" hidden="false" customHeight="true" outlineLevel="0" collapsed="false">
      <c r="B13" s="10" t="s">
        <v>16</v>
      </c>
      <c r="C13" s="5" t="s">
        <v>17</v>
      </c>
      <c r="D13" s="5"/>
      <c r="E13" s="5"/>
      <c r="F13" s="5"/>
      <c r="G13" s="5"/>
      <c r="H13" s="5"/>
    </row>
    <row r="14" customFormat="false" ht="15" hidden="false" customHeight="true" outlineLevel="0" collapsed="false">
      <c r="B14" s="10" t="s">
        <v>18</v>
      </c>
      <c r="C14" s="5" t="s">
        <v>19</v>
      </c>
      <c r="D14" s="5"/>
      <c r="E14" s="5"/>
      <c r="F14" s="5"/>
      <c r="G14" s="5"/>
      <c r="H14" s="5"/>
    </row>
    <row r="15" customFormat="false" ht="15" hidden="false" customHeight="true" outlineLevel="0" collapsed="false">
      <c r="B15" s="10" t="s">
        <v>20</v>
      </c>
      <c r="C15" s="5" t="s">
        <v>21</v>
      </c>
      <c r="D15" s="5"/>
      <c r="E15" s="5"/>
      <c r="F15" s="5"/>
      <c r="G15" s="5"/>
      <c r="H15" s="5"/>
    </row>
    <row r="16" customFormat="false" ht="15" hidden="false" customHeight="true" outlineLevel="0" collapsed="false">
      <c r="B16" s="10" t="s">
        <v>22</v>
      </c>
      <c r="C16" s="5" t="s">
        <v>23</v>
      </c>
      <c r="D16" s="5"/>
      <c r="E16" s="5"/>
      <c r="F16" s="5"/>
      <c r="G16" s="5"/>
      <c r="H16" s="5"/>
    </row>
    <row r="19" customFormat="false" ht="15" hidden="false" customHeight="false" outlineLevel="0" collapsed="false">
      <c r="B19" s="6" t="s">
        <v>24</v>
      </c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B20" s="11" t="s">
        <v>25</v>
      </c>
      <c r="C20" s="12" t="s">
        <v>26</v>
      </c>
    </row>
    <row r="21" customFormat="false" ht="15" hidden="false" customHeight="false" outlineLevel="0" collapsed="false">
      <c r="B21" s="13" t="s">
        <v>25</v>
      </c>
      <c r="C21" s="12" t="s">
        <v>27</v>
      </c>
    </row>
    <row r="22" customFormat="false" ht="15" hidden="false" customHeight="false" outlineLevel="0" collapsed="false">
      <c r="B22" s="14" t="s">
        <v>25</v>
      </c>
      <c r="C22" s="12" t="s">
        <v>28</v>
      </c>
    </row>
    <row r="24" customFormat="false" ht="15" hidden="false" customHeight="false" outlineLevel="0" collapsed="false">
      <c r="B24" s="6" t="s">
        <v>29</v>
      </c>
      <c r="C24" s="7"/>
      <c r="D24" s="7"/>
      <c r="E24" s="7"/>
      <c r="F24" s="7"/>
      <c r="G24" s="7"/>
      <c r="H24" s="7"/>
    </row>
    <row r="25" customFormat="false" ht="15" hidden="false" customHeight="true" outlineLevel="0" collapsed="false">
      <c r="B25" s="5" t="s">
        <v>30</v>
      </c>
      <c r="C25" s="5"/>
      <c r="D25" s="5"/>
      <c r="E25" s="5"/>
      <c r="F25" s="5"/>
      <c r="G25" s="5"/>
      <c r="H25" s="5"/>
    </row>
    <row r="26" customFormat="false" ht="15" hidden="false" customHeight="true" outlineLevel="0" collapsed="false">
      <c r="B26" s="5" t="s">
        <v>31</v>
      </c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B27" s="5" t="s">
        <v>32</v>
      </c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B28" s="5" t="s">
        <v>33</v>
      </c>
      <c r="C28" s="5"/>
      <c r="D28" s="5"/>
      <c r="E28" s="5"/>
      <c r="F28" s="5"/>
      <c r="G28" s="5"/>
      <c r="H28" s="5"/>
    </row>
  </sheetData>
  <mergeCells count="16">
    <mergeCell ref="B1:H1"/>
    <mergeCell ref="B2:H2"/>
    <mergeCell ref="C4:H4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B25:H25"/>
    <mergeCell ref="B26:H26"/>
    <mergeCell ref="B27:H27"/>
    <mergeCell ref="B28:H28"/>
  </mergeCells>
  <hyperlinks>
    <hyperlink ref="B8" r:id="rId1" location="'01_Exec_Summary'!A1" display="01_Exec_Summary"/>
    <hyperlink ref="B9" r:id="rId2" location="'02_Assumptions'!A1" display="02_Assumptions"/>
    <hyperlink ref="B10" r:id="rId3" location="'03_Revenue_Build'!A1" display="03_Revenue_Build"/>
    <hyperlink ref="B11" r:id="rId4" location="'04_Income_Statement'!A1" display="04_Income_Statement"/>
    <hyperlink ref="B12" r:id="rId5" location="'05_Balance_Sheet'!A1" display="05_Balance_Sheet"/>
    <hyperlink ref="B13" r:id="rId6" location="'06_Cash_Flow'!A1" display="06_Cash_Flow"/>
    <hyperlink ref="B14" r:id="rId7" location="'07_DCF_Valuation'!A1" display="07_DCF_Valuation"/>
    <hyperlink ref="B15" r:id="rId8" location="'08_Ratios'!A1" display="08_Ratios"/>
    <hyperlink ref="B16" r:id="rId9" location="'09_Checks'!A1" display="09_Checks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13" min="4" style="0" width="13"/>
  </cols>
  <sheetData>
    <row r="1" customFormat="false" ht="30" hidden="false" customHeight="true" outlineLevel="0" collapsed="false">
      <c r="A1" s="1"/>
      <c r="B1" s="2" t="s">
        <v>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false" outlineLevel="0" collapsed="false">
      <c r="B4" s="4" t="s">
        <v>36</v>
      </c>
      <c r="C4" s="15" t="s">
        <v>37</v>
      </c>
      <c r="E4" s="4" t="s">
        <v>38</v>
      </c>
      <c r="F4" s="14" t="str">
        <f aca="false">09_Checks!C4</f>
        <v>ALL CHECKS PASS</v>
      </c>
      <c r="H4" s="4" t="s">
        <v>39</v>
      </c>
      <c r="I4" s="16" t="str">
        <f aca="false">02_Assumptions!D56</f>
        <v>31-Mar-2026</v>
      </c>
    </row>
    <row r="6" customFormat="false" ht="15" hidden="false" customHeight="false" outlineLevel="0" collapsed="false">
      <c r="B6" s="6" t="s">
        <v>40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Format="false" ht="15" hidden="false" customHeight="false" outlineLevel="0" collapsed="false">
      <c r="B7" s="17" t="s">
        <v>41</v>
      </c>
      <c r="C7" s="18"/>
      <c r="D7" s="19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19" t="s">
        <v>47</v>
      </c>
      <c r="J7" s="19" t="s">
        <v>48</v>
      </c>
      <c r="K7" s="19" t="s">
        <v>49</v>
      </c>
    </row>
    <row r="8" customFormat="false" ht="15" hidden="false" customHeight="false" outlineLevel="0" collapsed="false">
      <c r="D8" s="20" t="s">
        <v>50</v>
      </c>
      <c r="E8" s="20" t="s">
        <v>50</v>
      </c>
      <c r="F8" s="20" t="s">
        <v>50</v>
      </c>
      <c r="G8" s="20" t="s">
        <v>51</v>
      </c>
      <c r="H8" s="20" t="s">
        <v>51</v>
      </c>
      <c r="I8" s="20" t="s">
        <v>51</v>
      </c>
      <c r="J8" s="20" t="s">
        <v>51</v>
      </c>
      <c r="K8" s="20" t="s">
        <v>51</v>
      </c>
    </row>
    <row r="9" customFormat="false" ht="15" hidden="false" customHeight="false" outlineLevel="0" collapsed="false">
      <c r="B9" s="4" t="s">
        <v>52</v>
      </c>
      <c r="D9" s="21" t="n">
        <f aca="false">04_Income_Statement!E6</f>
        <v>148005508.221126</v>
      </c>
      <c r="E9" s="21" t="n">
        <f aca="false">04_Income_Statement!F6</f>
        <v>159976067.618611</v>
      </c>
      <c r="F9" s="21" t="n">
        <f aca="false">04_Income_Statement!G6</f>
        <v>171736155.20332</v>
      </c>
      <c r="G9" s="21" t="n">
        <f aca="false">04_Income_Statement!H6</f>
        <v>185475047.619586</v>
      </c>
      <c r="H9" s="21" t="n">
        <f aca="false">04_Income_Statement!I6</f>
        <v>199385676.191055</v>
      </c>
      <c r="I9" s="21" t="n">
        <f aca="false">04_Income_Statement!J6</f>
        <v>213342673.524428</v>
      </c>
      <c r="J9" s="21" t="n">
        <f aca="false">04_Income_Statement!K6</f>
        <v>226143233.935894</v>
      </c>
      <c r="K9" s="21" t="n">
        <f aca="false">04_Income_Statement!L6</f>
        <v>237450395.632689</v>
      </c>
    </row>
    <row r="10" customFormat="false" ht="15" hidden="false" customHeight="false" outlineLevel="0" collapsed="false">
      <c r="B10" s="12" t="s">
        <v>53</v>
      </c>
      <c r="D10" s="22" t="n">
        <f aca="false">04_Income_Statement!E7</f>
        <v>0.0850843711226246</v>
      </c>
      <c r="E10" s="22" t="n">
        <f aca="false">04_Income_Statement!F7</f>
        <v>0.0808791479544162</v>
      </c>
      <c r="F10" s="22" t="n">
        <f aca="false">04_Income_Statement!G7</f>
        <v>0.0735115430687137</v>
      </c>
      <c r="G10" s="22" t="n">
        <f aca="false">04_Income_Statement!H7</f>
        <v>0.0800000000000001</v>
      </c>
      <c r="H10" s="22" t="n">
        <f aca="false">04_Income_Statement!I7</f>
        <v>0.075</v>
      </c>
      <c r="I10" s="22" t="n">
        <f aca="false">04_Income_Statement!J7</f>
        <v>0.0700000000000001</v>
      </c>
      <c r="J10" s="22" t="n">
        <f aca="false">04_Income_Statement!K7</f>
        <v>0.0600000000000001</v>
      </c>
      <c r="K10" s="22" t="n">
        <f aca="false">04_Income_Statement!L7</f>
        <v>0.05</v>
      </c>
    </row>
    <row r="11" customFormat="false" ht="15" hidden="false" customHeight="false" outlineLevel="0" collapsed="false">
      <c r="B11" s="4" t="s">
        <v>54</v>
      </c>
      <c r="D11" s="22" t="n">
        <f aca="false">04_Income_Statement!E10</f>
        <v>0.394673420761161</v>
      </c>
      <c r="E11" s="22" t="n">
        <f aca="false">04_Income_Statement!F10</f>
        <v>0.391930977876573</v>
      </c>
      <c r="F11" s="22" t="n">
        <f aca="false">04_Income_Statement!G10</f>
        <v>0.385112518240664</v>
      </c>
      <c r="G11" s="22" t="n">
        <f aca="false">04_Income_Statement!H10</f>
        <v>0.3881</v>
      </c>
      <c r="H11" s="22" t="n">
        <f aca="false">04_Income_Statement!I10</f>
        <v>0.3901</v>
      </c>
      <c r="I11" s="22" t="n">
        <f aca="false">04_Income_Statement!J10</f>
        <v>0.3921</v>
      </c>
      <c r="J11" s="22" t="n">
        <f aca="false">04_Income_Statement!K10</f>
        <v>0.3931</v>
      </c>
      <c r="K11" s="22" t="n">
        <f aca="false">04_Income_Statement!L10</f>
        <v>0.3941</v>
      </c>
    </row>
    <row r="12" customFormat="false" ht="15" hidden="false" customHeight="false" outlineLevel="0" collapsed="false">
      <c r="B12" s="4" t="s">
        <v>55</v>
      </c>
      <c r="D12" s="21" t="n">
        <f aca="false">04_Income_Statement!E12</f>
        <v>35845594.221126</v>
      </c>
      <c r="E12" s="21" t="n">
        <f aca="false">04_Income_Statement!F12</f>
        <v>38416406.618611</v>
      </c>
      <c r="F12" s="21" t="n">
        <f aca="false">04_Income_Statement!G12</f>
        <v>39558377.20332</v>
      </c>
      <c r="G12" s="21" t="n">
        <f aca="false">04_Income_Statement!H12</f>
        <v>43456803.6572689</v>
      </c>
      <c r="H12" s="21" t="n">
        <f aca="false">04_Income_Statement!I12</f>
        <v>47314220.9601373</v>
      </c>
      <c r="I12" s="21" t="n">
        <f aca="false">04_Income_Statement!J12</f>
        <v>51266244.4479201</v>
      </c>
      <c r="J12" s="21" t="n">
        <f aca="false">04_Income_Statement!K12</f>
        <v>54794505.5826671</v>
      </c>
      <c r="K12" s="21" t="n">
        <f aca="false">04_Income_Statement!L12</f>
        <v>57771681.2574332</v>
      </c>
    </row>
    <row r="13" customFormat="false" ht="15" hidden="false" customHeight="false" outlineLevel="0" collapsed="false">
      <c r="B13" s="12" t="s">
        <v>56</v>
      </c>
      <c r="D13" s="22" t="n">
        <f aca="false">04_Income_Statement!E13</f>
        <v>0.242190947161043</v>
      </c>
      <c r="E13" s="22" t="n">
        <f aca="false">04_Income_Statement!F13</f>
        <v>0.240138460648984</v>
      </c>
      <c r="F13" s="22" t="n">
        <f aca="false">04_Income_Statement!G13</f>
        <v>0.230343908401155</v>
      </c>
      <c r="G13" s="22" t="n">
        <f aca="false">04_Income_Statement!H13</f>
        <v>0.2343</v>
      </c>
      <c r="H13" s="22" t="n">
        <f aca="false">04_Income_Statement!I13</f>
        <v>0.2373</v>
      </c>
      <c r="I13" s="22" t="n">
        <f aca="false">04_Income_Statement!J13</f>
        <v>0.2403</v>
      </c>
      <c r="J13" s="22" t="n">
        <f aca="false">04_Income_Statement!K13</f>
        <v>0.2423</v>
      </c>
      <c r="K13" s="22" t="n">
        <f aca="false">04_Income_Statement!L13</f>
        <v>0.2433</v>
      </c>
    </row>
    <row r="14" customFormat="false" ht="15" hidden="false" customHeight="false" outlineLevel="0" collapsed="false">
      <c r="B14" s="4" t="s">
        <v>57</v>
      </c>
      <c r="D14" s="21" t="n">
        <f aca="false">04_Income_Statement!E21</f>
        <v>25841612.6234168</v>
      </c>
      <c r="E14" s="21" t="n">
        <f aca="false">04_Income_Statement!F21</f>
        <v>28216634.8855781</v>
      </c>
      <c r="F14" s="21" t="n">
        <f aca="false">04_Income_Statement!G21</f>
        <v>29284496.4267655</v>
      </c>
      <c r="G14" s="21" t="n">
        <f aca="false">04_Income_Statement!H21</f>
        <v>32678226.697402</v>
      </c>
      <c r="H14" s="21" t="n">
        <f aca="false">04_Income_Statement!I21</f>
        <v>35942680.7045598</v>
      </c>
      <c r="I14" s="21" t="n">
        <f aca="false">04_Income_Statement!J21</f>
        <v>39336744.6360338</v>
      </c>
      <c r="J14" s="21" t="n">
        <f aca="false">04_Income_Statement!K21</f>
        <v>42446647.5155046</v>
      </c>
      <c r="K14" s="21" t="n">
        <f aca="false">04_Income_Statement!L21</f>
        <v>45005299.8405993</v>
      </c>
    </row>
    <row r="15" customFormat="false" ht="15" hidden="false" customHeight="false" outlineLevel="0" collapsed="false">
      <c r="B15" s="4" t="s">
        <v>58</v>
      </c>
      <c r="D15" s="21" t="n">
        <f aca="false">06_Cash_Flow!E25</f>
        <v>26036264.4457626</v>
      </c>
      <c r="E15" s="21" t="n">
        <f aca="false">06_Cash_Flow!F25</f>
        <v>26580475.1628271</v>
      </c>
      <c r="F15" s="21" t="n">
        <f aca="false">06_Cash_Flow!G25</f>
        <v>26795548.4407346</v>
      </c>
      <c r="G15" s="21" t="n">
        <f aca="false">06_Cash_Flow!H25</f>
        <v>30310539.6336218</v>
      </c>
      <c r="H15" s="21" t="n">
        <f aca="false">06_Cash_Flow!I25</f>
        <v>33692732.4465911</v>
      </c>
      <c r="I15" s="21" t="n">
        <f aca="false">06_Cash_Flow!J25</f>
        <v>36634976.9516077</v>
      </c>
      <c r="J15" s="21" t="n">
        <f aca="false">06_Cash_Flow!K25</f>
        <v>40544382.5352781</v>
      </c>
      <c r="K15" s="21" t="n">
        <f aca="false">06_Cash_Flow!L25</f>
        <v>43032528.4968757</v>
      </c>
    </row>
    <row r="16" customFormat="false" ht="15" hidden="false" customHeight="false" outlineLevel="0" collapsed="false">
      <c r="B16" s="4" t="s">
        <v>59</v>
      </c>
      <c r="D16" s="21" t="n">
        <f aca="false">05_Balance_Sheet!E6</f>
        <v>25699619.3963959</v>
      </c>
      <c r="E16" s="21" t="n">
        <f aca="false">05_Balance_Sheet!F6</f>
        <v>36993440.6049917</v>
      </c>
      <c r="F16" s="21" t="n">
        <f aca="false">05_Balance_Sheet!G6</f>
        <v>48075190.47502</v>
      </c>
      <c r="G16" s="21" t="n">
        <f aca="false">05_Balance_Sheet!H6</f>
        <v>54778794.0902007</v>
      </c>
      <c r="H16" s="21" t="n">
        <f aca="false">05_Balance_Sheet!I6</f>
        <v>62905918.1140559</v>
      </c>
      <c r="I16" s="21" t="n">
        <f aca="false">05_Balance_Sheet!J6</f>
        <v>70938848.2840434</v>
      </c>
      <c r="J16" s="21" t="n">
        <f aca="false">05_Balance_Sheet!K6</f>
        <v>86015242.3100187</v>
      </c>
      <c r="K16" s="21" t="n">
        <f aca="false">05_Balance_Sheet!L6</f>
        <v>102044590.902535</v>
      </c>
    </row>
    <row r="17" customFormat="false" ht="15" hidden="false" customHeight="false" outlineLevel="0" collapsed="false">
      <c r="B17" s="4" t="s">
        <v>60</v>
      </c>
      <c r="D17" s="23" t="n">
        <f aca="false">08_Ratios!E16</f>
        <v>-0.131107308959774</v>
      </c>
      <c r="E17" s="23" t="n">
        <f aca="false">08_Ratios!F16</f>
        <v>-0.520440154736017</v>
      </c>
      <c r="F17" s="23" t="n">
        <f aca="false">08_Ratios!G16</f>
        <v>-0.886669094001063</v>
      </c>
      <c r="G17" s="23" t="n">
        <f aca="false">08_Ratios!H16</f>
        <v>-1.0534321495719</v>
      </c>
      <c r="H17" s="23" t="n">
        <f aca="false">08_Ratios!I16</f>
        <v>-1.22385863993919</v>
      </c>
      <c r="I17" s="23" t="n">
        <f aca="false">08_Ratios!J16</f>
        <v>-1.3837340544051</v>
      </c>
      <c r="J17" s="23" t="n">
        <f aca="false">08_Ratios!K16</f>
        <v>-1.56977860089</v>
      </c>
      <c r="K17" s="23" t="n">
        <f aca="false">08_Ratios!L16</f>
        <v>-1.76634275966143</v>
      </c>
    </row>
    <row r="18" customFormat="false" ht="15" hidden="false" customHeight="false" outlineLevel="0" collapsed="false">
      <c r="B18" s="4" t="s">
        <v>61</v>
      </c>
      <c r="D18" s="22" t="n">
        <f aca="false">08_Ratios!E12</f>
        <v>0.407343119164412</v>
      </c>
      <c r="E18" s="22" t="n">
        <f aca="false">08_Ratios!F12</f>
        <v>0.373777116381204</v>
      </c>
      <c r="F18" s="22" t="n">
        <f aca="false">08_Ratios!G12</f>
        <v>0.332721416085079</v>
      </c>
      <c r="G18" s="22" t="n">
        <f aca="false">08_Ratios!H12</f>
        <v>0.337484307104961</v>
      </c>
      <c r="H18" s="22" t="n">
        <f aca="false">08_Ratios!I12</f>
        <v>0.337654711909533</v>
      </c>
      <c r="I18" s="22" t="n">
        <f aca="false">08_Ratios!J12</f>
        <v>0.337599361618772</v>
      </c>
      <c r="J18" s="22" t="n">
        <f aca="false">08_Ratios!K12</f>
        <v>0.321259283571382</v>
      </c>
      <c r="K18" s="22" t="n">
        <f aca="false">08_Ratios!L12</f>
        <v>0.303332135136253</v>
      </c>
    </row>
    <row r="20" customFormat="false" ht="15" hidden="false" customHeight="false" outlineLevel="0" collapsed="false">
      <c r="B20" s="6" t="s">
        <v>62</v>
      </c>
      <c r="C20" s="7"/>
      <c r="D20" s="7"/>
      <c r="E20" s="7"/>
      <c r="F20" s="7"/>
    </row>
    <row r="21" customFormat="false" ht="15" hidden="false" customHeight="false" outlineLevel="0" collapsed="false">
      <c r="B21" s="4" t="s">
        <v>63</v>
      </c>
      <c r="D21" s="24" t="n">
        <f aca="false">07_DCF_Valuation!E24</f>
        <v>425285269.223728</v>
      </c>
    </row>
    <row r="22" customFormat="false" ht="15" hidden="false" customHeight="false" outlineLevel="0" collapsed="false">
      <c r="B22" s="12" t="s">
        <v>64</v>
      </c>
      <c r="D22" s="25" t="n">
        <f aca="false">07_DCF_Valuation!E25</f>
        <v>-35075190.47502</v>
      </c>
    </row>
    <row r="23" customFormat="false" ht="15" hidden="false" customHeight="false" outlineLevel="0" collapsed="false">
      <c r="B23" s="4" t="s">
        <v>65</v>
      </c>
      <c r="D23" s="24" t="n">
        <f aca="false">07_DCF_Valuation!E26</f>
        <v>460360459.698748</v>
      </c>
    </row>
    <row r="24" customFormat="false" ht="15" hidden="false" customHeight="false" outlineLevel="0" collapsed="false">
      <c r="B24" s="12" t="s">
        <v>66</v>
      </c>
      <c r="D24" s="26" t="n">
        <f aca="false">07_DCF_Valuation!E28</f>
        <v>10.7508269876155</v>
      </c>
    </row>
    <row r="25" customFormat="false" ht="15" hidden="false" customHeight="false" outlineLevel="0" collapsed="false">
      <c r="B25" s="12" t="s">
        <v>67</v>
      </c>
      <c r="D25" s="27" t="n">
        <f aca="false">07_DCF_Valuation!E27</f>
        <v>0.69408006540283</v>
      </c>
    </row>
    <row r="27" customFormat="false" ht="15" hidden="false" customHeight="false" outlineLevel="0" collapsed="false">
      <c r="B27" s="6" t="s">
        <v>68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30" hidden="false" customHeight="true" outlineLevel="0" collapsed="false">
      <c r="B28" s="8" t="s">
        <v>69</v>
      </c>
      <c r="C28" s="9"/>
      <c r="D28" s="9" t="s">
        <v>70</v>
      </c>
      <c r="E28" s="9" t="s">
        <v>71</v>
      </c>
      <c r="F28" s="9" t="s">
        <v>72</v>
      </c>
      <c r="G28" s="9" t="s">
        <v>63</v>
      </c>
      <c r="H28" s="9" t="s">
        <v>65</v>
      </c>
      <c r="I28" s="9" t="s">
        <v>73</v>
      </c>
    </row>
    <row r="29" customFormat="false" ht="15" hidden="false" customHeight="false" outlineLevel="0" collapsed="false">
      <c r="B29" s="4" t="s">
        <v>37</v>
      </c>
      <c r="D29" s="28" t="n">
        <v>237450395.632689</v>
      </c>
      <c r="E29" s="29" t="n">
        <v>0.2433</v>
      </c>
      <c r="F29" s="28" t="n">
        <v>184215160.063974</v>
      </c>
      <c r="G29" s="28" t="n">
        <v>425285269.223728</v>
      </c>
      <c r="H29" s="28" t="n">
        <v>460360459.698748</v>
      </c>
      <c r="I29" s="30" t="n">
        <v>10.7508269876155</v>
      </c>
    </row>
    <row r="30" customFormat="false" ht="15" hidden="false" customHeight="false" outlineLevel="0" collapsed="false">
      <c r="B30" s="4" t="s">
        <v>74</v>
      </c>
      <c r="D30" s="28" t="n">
        <v>261707735.824988</v>
      </c>
      <c r="E30" s="29" t="n">
        <v>0.2553</v>
      </c>
      <c r="F30" s="28" t="n">
        <v>206942059.12959</v>
      </c>
      <c r="G30" s="28" t="n">
        <v>494088476.586562</v>
      </c>
      <c r="H30" s="28" t="n">
        <v>529163667.061582</v>
      </c>
      <c r="I30" s="30" t="n">
        <v>12.4901098456864</v>
      </c>
    </row>
    <row r="31" customFormat="false" ht="15" hidden="false" customHeight="false" outlineLevel="0" collapsed="false">
      <c r="B31" s="4" t="s">
        <v>75</v>
      </c>
      <c r="D31" s="28" t="n">
        <v>197156366.790401</v>
      </c>
      <c r="E31" s="29" t="n">
        <v>0.2153</v>
      </c>
      <c r="F31" s="28" t="n">
        <v>141330454.590412</v>
      </c>
      <c r="G31" s="28" t="n">
        <v>312849103.104788</v>
      </c>
      <c r="H31" s="28" t="n">
        <v>347924293.579808</v>
      </c>
      <c r="I31" s="30" t="n">
        <v>7.90854239284951</v>
      </c>
    </row>
    <row r="32" customFormat="false" ht="15" hidden="false" customHeight="false" outlineLevel="0" collapsed="false">
      <c r="B32" s="31" t="s">
        <v>76</v>
      </c>
    </row>
    <row r="34" customFormat="false" ht="15" hidden="false" customHeight="false" outlineLevel="0" collapsed="false">
      <c r="B34" s="6" t="s">
        <v>77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30" hidden="false" customHeight="true" outlineLevel="0" collapsed="false">
      <c r="B35" s="5" t="str">
        <f aca="false">"Under the "&amp;C4&amp;" case revenue grows from "&amp;TEXT(F9/1000000,"$#,##0.0")&amp;"M"&amp;" (FY26A) to "&amp;TEXT(K9/1000000,"$#,##0.0")&amp;"M"&amp;" by FY31 — a "&amp;TEXT((K9/F9)^(1/5)-1,"0.0%")&amp;" CAGR — while EBITDA margin moves from "&amp;TEXT(F13,"0.0%")&amp;" to "&amp;TEXT(K13,"0.0%")&amp;"."</f>
        <v>Under the Base case revenue grows from $171.7M (FY26A) to $237.5M by FY31 — a 6.7% CAGR — while EBITDA margin moves from 23.0% to 24.3%.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30" hidden="false" customHeight="true" outlineLevel="0" collapsed="false">
      <c r="B36" s="5" t="str">
        <f aca="false">"Cumulative FY27–31 free cash flow is "&amp;TEXT(SUM(G15:K15)/1000000,"$#,##0.0")&amp;"M"&amp;"; closing cash reaches "&amp;TEXT(K16/1000000,"$#,##0.0")&amp;"M"&amp;" and net debt/EBITDA falls to "&amp;TEXT(K17,"0.00")&amp;"x."</f>
        <v>Cumulative FY27–31 free cash flow is $184.2M; closing cash reaches $102.0M and net debt/EBITDA falls to -1.77x.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30" hidden="false" customHeight="true" outlineLevel="0" collapsed="false">
      <c r="B37" s="5" t="str">
        <f aca="false">"DCF enterprise value is "&amp;TEXT(D21/1000000,"$#,##0.0")&amp;"M"&amp;" ("&amp;TEXT(D24,"0.0")&amp;"x FY26 EBITDA); equity value "&amp;TEXT(D23/1000000,"$#,##0.0")&amp;"M"&amp;" after net debt of "&amp;TEXT(D22/1000000,"$#,##0.0")&amp;"M"&amp;". Terminal value is "&amp;TEXT(D25,"0%")&amp;" of EV."</f>
        <v>DCF enterprise value is $425.3M (10.8x FY26 EBITDA); equity value $460.4M after net debt of -$35.1M. Terminal value is 69% of EV.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30" hidden="false" customHeight="true" outlineLevel="0" collapsed="false">
      <c r="B38" s="5" t="str">
        <f aca="false">"Model integrity: "&amp;F4&amp;" — balance sheet balances in all "&amp;COUNT(05_Balance_Sheet!D24:L24)&amp;" periods and FY26 ties to the FP&amp;A pack."</f>
        <v>Model integrity: ALL CHECKS PASS — balance sheet balances in all 9 periods and FY26 ties to the FP&amp;A pack.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</sheetData>
  <mergeCells count="6">
    <mergeCell ref="B1:M1"/>
    <mergeCell ref="B2:M2"/>
    <mergeCell ref="B35:M35"/>
    <mergeCell ref="B36:M36"/>
    <mergeCell ref="B37:M37"/>
    <mergeCell ref="B38:M38"/>
  </mergeCells>
  <dataValidations count="1">
    <dataValidation allowBlank="false" errorStyle="stop" operator="between" showDropDown="false" showErrorMessage="false" showInputMessage="false" sqref="C4" type="list">
      <formula1>"Base,Upside,Downside"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12" min="4" style="0" width="12"/>
  </cols>
  <sheetData>
    <row r="1" customFormat="false" ht="30" hidden="false" customHeight="true" outlineLevel="0" collapsed="false">
      <c r="A1" s="1"/>
      <c r="B1" s="2" t="s">
        <v>78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79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4" t="s">
        <v>80</v>
      </c>
      <c r="C4" s="32" t="str">
        <f aca="false">01_Exec_Summary!C4</f>
        <v>Base</v>
      </c>
    </row>
    <row r="5" customFormat="false" ht="15" hidden="false" customHeight="false" outlineLevel="0" collapsed="false">
      <c r="B5" s="12" t="s">
        <v>81</v>
      </c>
      <c r="C5" s="33" t="n">
        <f aca="false">MATCH(C4,{"Base","Upside","Downside"},0)</f>
        <v>1</v>
      </c>
    </row>
    <row r="7" customFormat="false" ht="15" hidden="false" customHeight="false" outlineLevel="0" collapsed="false">
      <c r="B7" s="17" t="s">
        <v>41</v>
      </c>
      <c r="C7" s="18"/>
      <c r="D7" s="19" t="s">
        <v>82</v>
      </c>
      <c r="E7" s="19" t="s">
        <v>42</v>
      </c>
      <c r="F7" s="19" t="s">
        <v>43</v>
      </c>
      <c r="G7" s="19" t="s">
        <v>44</v>
      </c>
      <c r="H7" s="19" t="s">
        <v>45</v>
      </c>
      <c r="I7" s="19" t="s">
        <v>46</v>
      </c>
      <c r="J7" s="19" t="s">
        <v>47</v>
      </c>
      <c r="K7" s="19" t="s">
        <v>48</v>
      </c>
      <c r="L7" s="19" t="s">
        <v>49</v>
      </c>
    </row>
    <row r="8" customFormat="false" ht="15" hidden="false" customHeight="false" outlineLevel="0" collapsed="false">
      <c r="D8" s="20" t="s">
        <v>83</v>
      </c>
      <c r="E8" s="20" t="s">
        <v>50</v>
      </c>
      <c r="F8" s="20" t="s">
        <v>50</v>
      </c>
      <c r="G8" s="20" t="s">
        <v>50</v>
      </c>
      <c r="H8" s="20" t="s">
        <v>51</v>
      </c>
      <c r="I8" s="20" t="s">
        <v>51</v>
      </c>
      <c r="J8" s="20" t="s">
        <v>51</v>
      </c>
      <c r="K8" s="20" t="s">
        <v>51</v>
      </c>
      <c r="L8" s="20" t="s">
        <v>51</v>
      </c>
    </row>
    <row r="10" customFormat="false" ht="15" hidden="false" customHeight="false" outlineLevel="0" collapsed="false">
      <c r="B10" s="6" t="s">
        <v>84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B11" s="12" t="s">
        <v>85</v>
      </c>
      <c r="C11" s="34" t="s">
        <v>86</v>
      </c>
      <c r="E11" s="35" t="n">
        <v>0.17</v>
      </c>
      <c r="F11" s="35" t="n">
        <v>0.17</v>
      </c>
      <c r="G11" s="35" t="n">
        <v>0.17</v>
      </c>
      <c r="H11" s="35" t="n">
        <v>0.17</v>
      </c>
      <c r="I11" s="35" t="n">
        <v>0.17</v>
      </c>
      <c r="J11" s="35" t="n">
        <v>0.17</v>
      </c>
      <c r="K11" s="35" t="n">
        <v>0.17</v>
      </c>
      <c r="L11" s="35" t="n">
        <v>0.17</v>
      </c>
    </row>
    <row r="12" customFormat="false" ht="15" hidden="false" customHeight="false" outlineLevel="0" collapsed="false">
      <c r="B12" s="12" t="s">
        <v>87</v>
      </c>
      <c r="C12" s="34" t="s">
        <v>86</v>
      </c>
      <c r="E12" s="35" t="n">
        <v>0.022</v>
      </c>
      <c r="F12" s="35" t="n">
        <v>0.023</v>
      </c>
      <c r="G12" s="35" t="n">
        <v>0.024</v>
      </c>
      <c r="H12" s="35" t="n">
        <v>0.024</v>
      </c>
      <c r="I12" s="35" t="n">
        <v>0.024</v>
      </c>
      <c r="J12" s="35" t="n">
        <v>0.024</v>
      </c>
      <c r="K12" s="35" t="n">
        <v>0.024</v>
      </c>
      <c r="L12" s="35" t="n">
        <v>0.024</v>
      </c>
    </row>
    <row r="13" customFormat="false" ht="15" hidden="false" customHeight="false" outlineLevel="0" collapsed="false">
      <c r="B13" s="12" t="s">
        <v>88</v>
      </c>
      <c r="C13" s="34" t="s">
        <v>86</v>
      </c>
      <c r="E13" s="35" t="n">
        <v>0.03</v>
      </c>
      <c r="F13" s="35" t="n">
        <v>0.032</v>
      </c>
      <c r="G13" s="35" t="n">
        <v>0.035</v>
      </c>
      <c r="H13" s="35" t="n">
        <v>0.035</v>
      </c>
      <c r="I13" s="35" t="n">
        <v>0.034</v>
      </c>
      <c r="J13" s="35" t="n">
        <v>0.033</v>
      </c>
      <c r="K13" s="35" t="n">
        <v>0.032</v>
      </c>
      <c r="L13" s="35" t="n">
        <v>0.03</v>
      </c>
    </row>
    <row r="14" customFormat="false" ht="15" hidden="false" customHeight="false" outlineLevel="0" collapsed="false">
      <c r="B14" s="12" t="s">
        <v>89</v>
      </c>
      <c r="C14" s="34" t="s">
        <v>86</v>
      </c>
      <c r="E14" s="35" t="n">
        <v>0.018</v>
      </c>
      <c r="F14" s="35" t="n">
        <v>0.018</v>
      </c>
      <c r="G14" s="35" t="n">
        <v>0.018</v>
      </c>
      <c r="H14" s="35" t="n">
        <v>0.018</v>
      </c>
      <c r="I14" s="35" t="n">
        <v>0.018</v>
      </c>
      <c r="J14" s="35" t="n">
        <v>0.018</v>
      </c>
      <c r="K14" s="35" t="n">
        <v>0.018</v>
      </c>
      <c r="L14" s="35" t="n">
        <v>0.018</v>
      </c>
    </row>
    <row r="15" customFormat="false" ht="15" hidden="false" customHeight="false" outlineLevel="0" collapsed="false">
      <c r="B15" s="12" t="s">
        <v>90</v>
      </c>
      <c r="C15" s="34" t="s">
        <v>91</v>
      </c>
      <c r="E15" s="36" t="n">
        <v>46</v>
      </c>
      <c r="F15" s="36" t="n">
        <v>46</v>
      </c>
      <c r="G15" s="36" t="n">
        <v>45</v>
      </c>
      <c r="H15" s="36" t="n">
        <v>45</v>
      </c>
      <c r="I15" s="36" t="n">
        <v>45</v>
      </c>
      <c r="J15" s="36" t="n">
        <v>45</v>
      </c>
      <c r="K15" s="36" t="n">
        <v>45</v>
      </c>
      <c r="L15" s="36" t="n">
        <v>45</v>
      </c>
    </row>
    <row r="16" customFormat="false" ht="15" hidden="false" customHeight="false" outlineLevel="0" collapsed="false">
      <c r="B16" s="12" t="s">
        <v>92</v>
      </c>
      <c r="C16" s="34" t="s">
        <v>86</v>
      </c>
      <c r="E16" s="35" t="n">
        <v>0.3</v>
      </c>
      <c r="F16" s="35" t="n">
        <v>0.3</v>
      </c>
      <c r="G16" s="35" t="n">
        <v>0.3</v>
      </c>
      <c r="H16" s="35" t="n">
        <v>0.3</v>
      </c>
      <c r="I16" s="35" t="n">
        <v>0.3</v>
      </c>
      <c r="J16" s="35" t="n">
        <v>0.3</v>
      </c>
      <c r="K16" s="35" t="n">
        <v>0.3</v>
      </c>
      <c r="L16" s="35" t="n">
        <v>0.3</v>
      </c>
    </row>
    <row r="17" customFormat="false" ht="15" hidden="false" customHeight="false" outlineLevel="0" collapsed="false">
      <c r="B17" s="12" t="s">
        <v>93</v>
      </c>
      <c r="C17" s="34" t="s">
        <v>86</v>
      </c>
      <c r="E17" s="35" t="n">
        <v>0.075</v>
      </c>
      <c r="F17" s="35" t="n">
        <v>0.072</v>
      </c>
      <c r="G17" s="35" t="n">
        <v>0.07</v>
      </c>
      <c r="H17" s="35" t="n">
        <v>0.068</v>
      </c>
      <c r="I17" s="35" t="n">
        <v>0.066</v>
      </c>
      <c r="J17" s="35" t="n">
        <v>0.065</v>
      </c>
      <c r="K17" s="35" t="n">
        <v>0.065</v>
      </c>
      <c r="L17" s="35" t="n">
        <v>0.065</v>
      </c>
    </row>
    <row r="18" customFormat="false" ht="15" hidden="false" customHeight="false" outlineLevel="0" collapsed="false">
      <c r="B18" s="12" t="s">
        <v>94</v>
      </c>
      <c r="C18" s="34" t="s">
        <v>86</v>
      </c>
      <c r="E18" s="35" t="n">
        <v>0.03</v>
      </c>
      <c r="F18" s="35" t="n">
        <v>0.03</v>
      </c>
      <c r="G18" s="35" t="n">
        <v>0.028</v>
      </c>
      <c r="H18" s="35" t="n">
        <v>0.026</v>
      </c>
      <c r="I18" s="35" t="n">
        <v>0.025</v>
      </c>
      <c r="J18" s="35" t="n">
        <v>0.025</v>
      </c>
      <c r="K18" s="35" t="n">
        <v>0.025</v>
      </c>
      <c r="L18" s="35" t="n">
        <v>0.025</v>
      </c>
    </row>
    <row r="19" customFormat="false" ht="15" hidden="false" customHeight="false" outlineLevel="0" collapsed="false">
      <c r="B19" s="12" t="s">
        <v>95</v>
      </c>
      <c r="C19" s="34" t="s">
        <v>86</v>
      </c>
      <c r="E19" s="35" t="n">
        <v>0.4</v>
      </c>
      <c r="F19" s="35" t="n">
        <v>0.4</v>
      </c>
      <c r="G19" s="35" t="n">
        <v>0.4</v>
      </c>
      <c r="H19" s="35" t="n">
        <v>0.6</v>
      </c>
      <c r="I19" s="35" t="n">
        <v>0.6</v>
      </c>
      <c r="J19" s="35" t="n">
        <v>0.6</v>
      </c>
      <c r="K19" s="35" t="n">
        <v>0.6</v>
      </c>
      <c r="L19" s="35" t="n">
        <v>0.6</v>
      </c>
    </row>
    <row r="20" customFormat="false" ht="15" hidden="false" customHeight="false" outlineLevel="0" collapsed="false">
      <c r="B20" s="12" t="s">
        <v>96</v>
      </c>
      <c r="C20" s="34" t="s">
        <v>41</v>
      </c>
      <c r="E20" s="37" t="n">
        <v>4000000</v>
      </c>
      <c r="F20" s="37" t="n">
        <v>4000000</v>
      </c>
      <c r="G20" s="37" t="n">
        <v>4000000</v>
      </c>
      <c r="H20" s="37" t="n">
        <v>4000000</v>
      </c>
      <c r="I20" s="37" t="n">
        <v>4000000</v>
      </c>
      <c r="J20" s="37" t="n">
        <v>5000000</v>
      </c>
      <c r="K20" s="37" t="n">
        <v>0</v>
      </c>
      <c r="L20" s="37" t="n">
        <v>0</v>
      </c>
    </row>
    <row r="22" customFormat="false" ht="15" hidden="false" customHeight="false" outlineLevel="0" collapsed="false">
      <c r="B22" s="6" t="s">
        <v>97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" hidden="false" customHeight="false" outlineLevel="0" collapsed="false">
      <c r="B23" s="4" t="s">
        <v>98</v>
      </c>
    </row>
    <row r="24" customFormat="false" ht="15" hidden="false" customHeight="false" outlineLevel="0" collapsed="false">
      <c r="B24" s="38" t="s">
        <v>99</v>
      </c>
      <c r="C24" s="34" t="s">
        <v>86</v>
      </c>
      <c r="H24" s="35" t="n">
        <v>0.08</v>
      </c>
      <c r="I24" s="35" t="n">
        <v>0.075</v>
      </c>
      <c r="J24" s="35" t="n">
        <v>0.07</v>
      </c>
      <c r="K24" s="35" t="n">
        <v>0.06</v>
      </c>
      <c r="L24" s="35" t="n">
        <v>0.05</v>
      </c>
    </row>
    <row r="25" customFormat="false" ht="15" hidden="false" customHeight="false" outlineLevel="0" collapsed="false">
      <c r="B25" s="38" t="s">
        <v>100</v>
      </c>
      <c r="C25" s="34" t="s">
        <v>86</v>
      </c>
      <c r="H25" s="35" t="n">
        <v>0.105</v>
      </c>
      <c r="I25" s="35" t="n">
        <v>0.1</v>
      </c>
      <c r="J25" s="35" t="n">
        <v>0.09</v>
      </c>
      <c r="K25" s="35" t="n">
        <v>0.08</v>
      </c>
      <c r="L25" s="35" t="n">
        <v>0.065</v>
      </c>
    </row>
    <row r="26" customFormat="false" ht="15" hidden="false" customHeight="false" outlineLevel="0" collapsed="false">
      <c r="B26" s="38" t="s">
        <v>101</v>
      </c>
      <c r="C26" s="34" t="s">
        <v>86</v>
      </c>
      <c r="H26" s="35" t="n">
        <v>0.03</v>
      </c>
      <c r="I26" s="35" t="n">
        <v>0.02</v>
      </c>
      <c r="J26" s="35" t="n">
        <v>0.03</v>
      </c>
      <c r="K26" s="35" t="n">
        <v>0.03</v>
      </c>
      <c r="L26" s="35" t="n">
        <v>0.03</v>
      </c>
    </row>
    <row r="27" customFormat="false" ht="15" hidden="false" customHeight="false" outlineLevel="0" collapsed="false">
      <c r="B27" s="39" t="s">
        <v>102</v>
      </c>
      <c r="C27" s="34" t="s">
        <v>86</v>
      </c>
      <c r="E27" s="40" t="n">
        <f aca="false">E47/D47-1</f>
        <v>0.0850843711226246</v>
      </c>
      <c r="F27" s="40" t="n">
        <f aca="false">F47/E47-1</f>
        <v>0.0808791479544162</v>
      </c>
      <c r="G27" s="40" t="n">
        <f aca="false">G47/F47-1</f>
        <v>0.0735115430687137</v>
      </c>
      <c r="H27" s="41" t="n">
        <f aca="false">INDEX(H24:H26,$C$5)</f>
        <v>0.08</v>
      </c>
      <c r="I27" s="41" t="n">
        <f aca="false">INDEX(I24:I26,$C$5)</f>
        <v>0.075</v>
      </c>
      <c r="J27" s="41" t="n">
        <f aca="false">INDEX(J24:J26,$C$5)</f>
        <v>0.07</v>
      </c>
      <c r="K27" s="41" t="n">
        <f aca="false">INDEX(K24:K26,$C$5)</f>
        <v>0.06</v>
      </c>
      <c r="L27" s="41" t="n">
        <f aca="false">INDEX(L24:L26,$C$5)</f>
        <v>0.05</v>
      </c>
    </row>
    <row r="28" customFormat="false" ht="15" hidden="false" customHeight="false" outlineLevel="0" collapsed="false">
      <c r="B28" s="4" t="s">
        <v>103</v>
      </c>
    </row>
    <row r="29" customFormat="false" ht="15" hidden="false" customHeight="false" outlineLevel="0" collapsed="false">
      <c r="B29" s="38" t="s">
        <v>99</v>
      </c>
      <c r="C29" s="34" t="s">
        <v>86</v>
      </c>
      <c r="H29" s="35" t="n">
        <v>0.6119</v>
      </c>
      <c r="I29" s="35" t="n">
        <v>0.6099</v>
      </c>
      <c r="J29" s="35" t="n">
        <v>0.6079</v>
      </c>
      <c r="K29" s="35" t="n">
        <v>0.6069</v>
      </c>
      <c r="L29" s="35" t="n">
        <v>0.6059</v>
      </c>
    </row>
    <row r="30" customFormat="false" ht="15" hidden="false" customHeight="false" outlineLevel="0" collapsed="false">
      <c r="B30" s="38" t="s">
        <v>100</v>
      </c>
      <c r="C30" s="34" t="s">
        <v>86</v>
      </c>
      <c r="H30" s="35" t="n">
        <v>0.6079</v>
      </c>
      <c r="I30" s="35" t="n">
        <v>0.6039</v>
      </c>
      <c r="J30" s="35" t="n">
        <v>0.6009</v>
      </c>
      <c r="K30" s="35" t="n">
        <v>0.5989</v>
      </c>
      <c r="L30" s="35" t="n">
        <v>0.5979</v>
      </c>
    </row>
    <row r="31" customFormat="false" ht="15" hidden="false" customHeight="false" outlineLevel="0" collapsed="false">
      <c r="B31" s="38" t="s">
        <v>101</v>
      </c>
      <c r="C31" s="34" t="s">
        <v>86</v>
      </c>
      <c r="H31" s="35" t="n">
        <v>0.6189</v>
      </c>
      <c r="I31" s="35" t="n">
        <v>0.6219</v>
      </c>
      <c r="J31" s="35" t="n">
        <v>0.6239</v>
      </c>
      <c r="K31" s="35" t="n">
        <v>0.6249</v>
      </c>
      <c r="L31" s="35" t="n">
        <v>0.6249</v>
      </c>
    </row>
    <row r="32" customFormat="false" ht="15" hidden="false" customHeight="false" outlineLevel="0" collapsed="false">
      <c r="B32" s="39" t="s">
        <v>104</v>
      </c>
      <c r="C32" s="34" t="s">
        <v>86</v>
      </c>
      <c r="E32" s="40" t="n">
        <f aca="false">E48/E47</f>
        <v>0.605326579238839</v>
      </c>
      <c r="F32" s="40" t="n">
        <f aca="false">F48/F47</f>
        <v>0.608069022123427</v>
      </c>
      <c r="G32" s="40" t="n">
        <f aca="false">G48/G47</f>
        <v>0.614887481759337</v>
      </c>
      <c r="H32" s="41" t="n">
        <f aca="false">INDEX(H29:H31,$C$5)</f>
        <v>0.6119</v>
      </c>
      <c r="I32" s="41" t="n">
        <f aca="false">INDEX(I29:I31,$C$5)</f>
        <v>0.6099</v>
      </c>
      <c r="J32" s="41" t="n">
        <f aca="false">INDEX(J29:J31,$C$5)</f>
        <v>0.6079</v>
      </c>
      <c r="K32" s="41" t="n">
        <f aca="false">INDEX(K29:K31,$C$5)</f>
        <v>0.6069</v>
      </c>
      <c r="L32" s="41" t="n">
        <f aca="false">INDEX(L29:L31,$C$5)</f>
        <v>0.6059</v>
      </c>
    </row>
    <row r="33" customFormat="false" ht="15" hidden="false" customHeight="false" outlineLevel="0" collapsed="false">
      <c r="B33" s="4" t="s">
        <v>105</v>
      </c>
    </row>
    <row r="34" customFormat="false" ht="15" hidden="false" customHeight="false" outlineLevel="0" collapsed="false">
      <c r="B34" s="38" t="s">
        <v>99</v>
      </c>
      <c r="C34" s="34" t="s">
        <v>86</v>
      </c>
      <c r="H34" s="35" t="n">
        <v>0.1538</v>
      </c>
      <c r="I34" s="35" t="n">
        <v>0.1528</v>
      </c>
      <c r="J34" s="35" t="n">
        <v>0.1518</v>
      </c>
      <c r="K34" s="35" t="n">
        <v>0.1508</v>
      </c>
      <c r="L34" s="35" t="n">
        <v>0.1508</v>
      </c>
    </row>
    <row r="35" customFormat="false" ht="15" hidden="false" customHeight="false" outlineLevel="0" collapsed="false">
      <c r="B35" s="38" t="s">
        <v>100</v>
      </c>
      <c r="C35" s="34" t="s">
        <v>86</v>
      </c>
      <c r="H35" s="35" t="n">
        <v>0.1518</v>
      </c>
      <c r="I35" s="35" t="n">
        <v>0.1498</v>
      </c>
      <c r="J35" s="35" t="n">
        <v>0.1478</v>
      </c>
      <c r="K35" s="35" t="n">
        <v>0.1468</v>
      </c>
      <c r="L35" s="35" t="n">
        <v>0.1468</v>
      </c>
    </row>
    <row r="36" customFormat="false" ht="15" hidden="false" customHeight="false" outlineLevel="0" collapsed="false">
      <c r="B36" s="38" t="s">
        <v>101</v>
      </c>
      <c r="C36" s="34" t="s">
        <v>86</v>
      </c>
      <c r="H36" s="35" t="n">
        <v>0.1568</v>
      </c>
      <c r="I36" s="35" t="n">
        <v>0.1588</v>
      </c>
      <c r="J36" s="35" t="n">
        <v>0.1598</v>
      </c>
      <c r="K36" s="35" t="n">
        <v>0.1598</v>
      </c>
      <c r="L36" s="35" t="n">
        <v>0.1598</v>
      </c>
    </row>
    <row r="37" customFormat="false" ht="15" hidden="false" customHeight="false" outlineLevel="0" collapsed="false">
      <c r="B37" s="39" t="s">
        <v>106</v>
      </c>
      <c r="C37" s="34" t="s">
        <v>86</v>
      </c>
      <c r="E37" s="40" t="n">
        <f aca="false">E49/E47</f>
        <v>0.152482473600119</v>
      </c>
      <c r="F37" s="40" t="n">
        <f aca="false">F49/F47</f>
        <v>0.151792517227589</v>
      </c>
      <c r="G37" s="40" t="n">
        <f aca="false">G49/G47</f>
        <v>0.154768609839509</v>
      </c>
      <c r="H37" s="41" t="n">
        <f aca="false">INDEX(H34:H36,$C$5)</f>
        <v>0.1538</v>
      </c>
      <c r="I37" s="41" t="n">
        <f aca="false">INDEX(I34:I36,$C$5)</f>
        <v>0.1528</v>
      </c>
      <c r="J37" s="41" t="n">
        <f aca="false">INDEX(J34:J36,$C$5)</f>
        <v>0.1518</v>
      </c>
      <c r="K37" s="41" t="n">
        <f aca="false">INDEX(K34:K36,$C$5)</f>
        <v>0.1508</v>
      </c>
      <c r="L37" s="41" t="n">
        <f aca="false">INDEX(L34:L36,$C$5)</f>
        <v>0.1508</v>
      </c>
    </row>
    <row r="38" customFormat="false" ht="15" hidden="false" customHeight="false" outlineLevel="0" collapsed="false">
      <c r="B38" s="4" t="s">
        <v>107</v>
      </c>
    </row>
    <row r="39" customFormat="false" ht="15" hidden="false" customHeight="false" outlineLevel="0" collapsed="false">
      <c r="B39" s="38" t="s">
        <v>99</v>
      </c>
      <c r="C39" s="34" t="s">
        <v>91</v>
      </c>
      <c r="H39" s="36" t="n">
        <v>56</v>
      </c>
      <c r="I39" s="36" t="n">
        <v>55</v>
      </c>
      <c r="J39" s="36" t="n">
        <v>55</v>
      </c>
      <c r="K39" s="36" t="n">
        <v>54</v>
      </c>
      <c r="L39" s="36" t="n">
        <v>54</v>
      </c>
    </row>
    <row r="40" customFormat="false" ht="15" hidden="false" customHeight="false" outlineLevel="0" collapsed="false">
      <c r="B40" s="38" t="s">
        <v>100</v>
      </c>
      <c r="C40" s="34" t="s">
        <v>91</v>
      </c>
      <c r="H40" s="36" t="n">
        <v>54</v>
      </c>
      <c r="I40" s="36" t="n">
        <v>53</v>
      </c>
      <c r="J40" s="36" t="n">
        <v>52</v>
      </c>
      <c r="K40" s="36" t="n">
        <v>52</v>
      </c>
      <c r="L40" s="36" t="n">
        <v>51</v>
      </c>
    </row>
    <row r="41" customFormat="false" ht="15" hidden="false" customHeight="false" outlineLevel="0" collapsed="false">
      <c r="B41" s="38" t="s">
        <v>101</v>
      </c>
      <c r="C41" s="34" t="s">
        <v>91</v>
      </c>
      <c r="H41" s="36" t="n">
        <v>62</v>
      </c>
      <c r="I41" s="36" t="n">
        <v>64</v>
      </c>
      <c r="J41" s="36" t="n">
        <v>65</v>
      </c>
      <c r="K41" s="36" t="n">
        <v>65</v>
      </c>
      <c r="L41" s="36" t="n">
        <v>65</v>
      </c>
    </row>
    <row r="42" customFormat="false" ht="15" hidden="false" customHeight="false" outlineLevel="0" collapsed="false">
      <c r="B42" s="39" t="s">
        <v>108</v>
      </c>
      <c r="C42" s="34" t="s">
        <v>91</v>
      </c>
      <c r="E42" s="42" t="n">
        <v>58</v>
      </c>
      <c r="F42" s="42" t="n">
        <v>57</v>
      </c>
      <c r="G42" s="42" t="n">
        <v>57</v>
      </c>
      <c r="H42" s="43" t="n">
        <f aca="false">INDEX(H39:H41,$C$5)</f>
        <v>56</v>
      </c>
      <c r="I42" s="43" t="n">
        <f aca="false">INDEX(I39:I41,$C$5)</f>
        <v>55</v>
      </c>
      <c r="J42" s="43" t="n">
        <f aca="false">INDEX(J39:J41,$C$5)</f>
        <v>55</v>
      </c>
      <c r="K42" s="43" t="n">
        <f aca="false">INDEX(K39:K41,$C$5)</f>
        <v>54</v>
      </c>
      <c r="L42" s="43" t="n">
        <f aca="false">INDEX(L39:L41,$C$5)</f>
        <v>54</v>
      </c>
    </row>
    <row r="45" customFormat="false" ht="15" hidden="false" customHeight="false" outlineLevel="0" collapsed="false">
      <c r="B45" s="6" t="s">
        <v>109</v>
      </c>
      <c r="C45" s="7"/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5" hidden="false" customHeight="false" outlineLevel="0" collapsed="false">
      <c r="B46" s="31" t="s">
        <v>110</v>
      </c>
    </row>
    <row r="47" customFormat="false" ht="15" hidden="false" customHeight="false" outlineLevel="0" collapsed="false">
      <c r="B47" s="4" t="s">
        <v>52</v>
      </c>
      <c r="C47" s="34" t="s">
        <v>41</v>
      </c>
      <c r="D47" s="37" t="n">
        <v>136400000</v>
      </c>
      <c r="E47" s="25" t="n">
        <f aca="false">SUMIFS(03_Revenue_Build!$H$6:$H$1085,03_Revenue_Build!$E$6:$E$1085,"FY24")</f>
        <v>148005508.221126</v>
      </c>
      <c r="F47" s="25" t="n">
        <f aca="false">SUMIFS(03_Revenue_Build!$H$6:$H$1085,03_Revenue_Build!$E$6:$E$1085,"FY25")</f>
        <v>159976067.618611</v>
      </c>
      <c r="G47" s="25" t="n">
        <f aca="false">SUMIFS(03_Revenue_Build!$H$6:$H$1085,03_Revenue_Build!$E$6:$E$1085,"FY26")</f>
        <v>171736155.20332</v>
      </c>
    </row>
    <row r="48" customFormat="false" ht="15" hidden="false" customHeight="false" outlineLevel="0" collapsed="false">
      <c r="B48" s="12" t="s">
        <v>111</v>
      </c>
      <c r="C48" s="34" t="s">
        <v>41</v>
      </c>
      <c r="E48" s="37" t="n">
        <v>89591668</v>
      </c>
      <c r="F48" s="37" t="n">
        <v>97276491</v>
      </c>
      <c r="G48" s="37" t="n">
        <v>105598412</v>
      </c>
    </row>
    <row r="49" customFormat="false" ht="15" hidden="false" customHeight="false" outlineLevel="0" collapsed="false">
      <c r="B49" s="12" t="s">
        <v>112</v>
      </c>
      <c r="C49" s="34" t="s">
        <v>41</v>
      </c>
      <c r="E49" s="37" t="n">
        <v>22568246</v>
      </c>
      <c r="F49" s="37" t="n">
        <v>24283170</v>
      </c>
      <c r="G49" s="37" t="n">
        <v>26579366</v>
      </c>
    </row>
    <row r="52" customFormat="false" ht="15" hidden="false" customHeight="false" outlineLevel="0" collapsed="false">
      <c r="B52" s="6" t="s">
        <v>113</v>
      </c>
      <c r="C52" s="7"/>
      <c r="D52" s="7"/>
      <c r="E52" s="7"/>
      <c r="F52" s="7"/>
      <c r="G52" s="7"/>
      <c r="H52" s="7"/>
      <c r="I52" s="7"/>
      <c r="J52" s="7"/>
      <c r="K52" s="7"/>
      <c r="L52" s="7"/>
    </row>
    <row r="53" customFormat="false" ht="15" hidden="false" customHeight="false" outlineLevel="0" collapsed="false">
      <c r="B53" s="12" t="s">
        <v>114</v>
      </c>
      <c r="C53" s="34" t="s">
        <v>86</v>
      </c>
      <c r="D53" s="35" t="n">
        <v>0.11</v>
      </c>
    </row>
    <row r="54" customFormat="false" ht="15" hidden="false" customHeight="false" outlineLevel="0" collapsed="false">
      <c r="B54" s="12" t="s">
        <v>115</v>
      </c>
      <c r="C54" s="34" t="s">
        <v>86</v>
      </c>
      <c r="D54" s="35" t="n">
        <v>0.025</v>
      </c>
    </row>
    <row r="55" customFormat="false" ht="15" hidden="false" customHeight="false" outlineLevel="0" collapsed="false">
      <c r="B55" s="12" t="s">
        <v>116</v>
      </c>
      <c r="C55" s="34" t="s">
        <v>117</v>
      </c>
      <c r="D55" s="44" t="n">
        <v>9</v>
      </c>
    </row>
    <row r="56" customFormat="false" ht="15" hidden="false" customHeight="false" outlineLevel="0" collapsed="false">
      <c r="B56" s="12" t="s">
        <v>39</v>
      </c>
      <c r="C56" s="34"/>
      <c r="D56" s="45" t="s">
        <v>118</v>
      </c>
    </row>
    <row r="58" customFormat="false" ht="15" hidden="false" customHeight="false" outlineLevel="0" collapsed="false">
      <c r="B58" s="6" t="s">
        <v>119</v>
      </c>
      <c r="C58" s="7"/>
      <c r="D58" s="7"/>
      <c r="E58" s="7"/>
      <c r="F58" s="7"/>
      <c r="G58" s="7"/>
      <c r="H58" s="7"/>
      <c r="I58" s="7"/>
      <c r="J58" s="7"/>
      <c r="K58" s="7"/>
      <c r="L58" s="7"/>
    </row>
    <row r="59" customFormat="false" ht="15" hidden="false" customHeight="false" outlineLevel="0" collapsed="false">
      <c r="B59" s="12" t="s">
        <v>120</v>
      </c>
      <c r="C59" s="34" t="s">
        <v>41</v>
      </c>
      <c r="D59" s="37" t="n">
        <v>14000000</v>
      </c>
    </row>
    <row r="60" customFormat="false" ht="15" hidden="false" customHeight="false" outlineLevel="0" collapsed="false">
      <c r="B60" s="12" t="s">
        <v>121</v>
      </c>
      <c r="C60" s="34" t="s">
        <v>41</v>
      </c>
      <c r="D60" s="37" t="n">
        <v>21600000</v>
      </c>
    </row>
    <row r="61" customFormat="false" ht="15" hidden="false" customHeight="false" outlineLevel="0" collapsed="false">
      <c r="B61" s="12" t="s">
        <v>122</v>
      </c>
      <c r="C61" s="34" t="s">
        <v>41</v>
      </c>
      <c r="D61" s="37" t="n">
        <v>2400000</v>
      </c>
    </row>
    <row r="62" customFormat="false" ht="15" hidden="false" customHeight="false" outlineLevel="0" collapsed="false">
      <c r="B62" s="12" t="s">
        <v>123</v>
      </c>
      <c r="C62" s="34" t="s">
        <v>41</v>
      </c>
      <c r="D62" s="37" t="n">
        <v>45000000</v>
      </c>
    </row>
    <row r="63" customFormat="false" ht="15" hidden="false" customHeight="false" outlineLevel="0" collapsed="false">
      <c r="B63" s="12" t="s">
        <v>124</v>
      </c>
      <c r="C63" s="34" t="s">
        <v>41</v>
      </c>
      <c r="D63" s="37" t="n">
        <v>8400000</v>
      </c>
    </row>
    <row r="64" customFormat="false" ht="15" hidden="false" customHeight="false" outlineLevel="0" collapsed="false">
      <c r="B64" s="12" t="s">
        <v>125</v>
      </c>
      <c r="C64" s="34" t="s">
        <v>41</v>
      </c>
      <c r="D64" s="37" t="n">
        <v>6100000</v>
      </c>
    </row>
    <row r="65" customFormat="false" ht="15" hidden="false" customHeight="false" outlineLevel="0" collapsed="false">
      <c r="B65" s="12" t="s">
        <v>126</v>
      </c>
      <c r="C65" s="34" t="s">
        <v>41</v>
      </c>
      <c r="D65" s="37" t="n">
        <v>25000000</v>
      </c>
    </row>
    <row r="66" customFormat="false" ht="15" hidden="false" customHeight="false" outlineLevel="0" collapsed="false">
      <c r="B66" s="12" t="s">
        <v>127</v>
      </c>
      <c r="C66" s="34" t="s">
        <v>41</v>
      </c>
      <c r="D66" s="37" t="n">
        <v>20000000</v>
      </c>
    </row>
  </sheetData>
  <mergeCells count="2">
    <mergeCell ref="B1:L1"/>
    <mergeCell ref="B2:L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P10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6" min="11" style="0" width="13"/>
  </cols>
  <sheetData>
    <row r="1" customFormat="false" ht="30" hidden="false" customHeight="true" outlineLevel="0" collapsed="false">
      <c r="A1" s="1"/>
      <c r="B1" s="2" t="s">
        <v>128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B2" s="3" t="s">
        <v>129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5" customFormat="false" ht="30" hidden="false" customHeight="true" outlineLevel="0" collapsed="false">
      <c r="B5" s="8" t="s">
        <v>130</v>
      </c>
      <c r="C5" s="9" t="s">
        <v>131</v>
      </c>
      <c r="D5" s="9" t="s">
        <v>132</v>
      </c>
      <c r="E5" s="9" t="s">
        <v>133</v>
      </c>
      <c r="F5" s="9" t="s">
        <v>134</v>
      </c>
      <c r="G5" s="9" t="s">
        <v>135</v>
      </c>
      <c r="H5" s="9" t="s">
        <v>52</v>
      </c>
      <c r="J5" s="6" t="s">
        <v>136</v>
      </c>
      <c r="K5" s="7"/>
      <c r="L5" s="7"/>
      <c r="M5" s="7"/>
      <c r="N5" s="7"/>
      <c r="O5" s="7"/>
      <c r="P5" s="7"/>
    </row>
    <row r="6" customFormat="false" ht="30" hidden="false" customHeight="true" outlineLevel="0" collapsed="false">
      <c r="B6" s="46" t="s">
        <v>137</v>
      </c>
      <c r="C6" s="46" t="s">
        <v>138</v>
      </c>
      <c r="D6" s="47" t="n">
        <v>45017</v>
      </c>
      <c r="E6" s="46" t="s">
        <v>42</v>
      </c>
      <c r="F6" s="48" t="n">
        <v>169.2974</v>
      </c>
      <c r="G6" s="49" t="n">
        <v>5238.32</v>
      </c>
      <c r="H6" s="50" t="n">
        <f aca="false">F6*G6</f>
        <v>886833.956368</v>
      </c>
      <c r="J6" s="8" t="s">
        <v>139</v>
      </c>
      <c r="K6" s="9" t="s">
        <v>42</v>
      </c>
      <c r="L6" s="9" t="s">
        <v>43</v>
      </c>
      <c r="M6" s="9" t="s">
        <v>44</v>
      </c>
      <c r="N6" s="9" t="s">
        <v>140</v>
      </c>
      <c r="O6" s="9" t="s">
        <v>141</v>
      </c>
    </row>
    <row r="7" customFormat="false" ht="15" hidden="false" customHeight="false" outlineLevel="0" collapsed="false">
      <c r="B7" s="46" t="s">
        <v>142</v>
      </c>
      <c r="C7" s="46" t="s">
        <v>138</v>
      </c>
      <c r="D7" s="47" t="n">
        <v>45017</v>
      </c>
      <c r="E7" s="46" t="s">
        <v>42</v>
      </c>
      <c r="F7" s="48" t="n">
        <v>182.4256</v>
      </c>
      <c r="G7" s="49" t="n">
        <v>3956.44</v>
      </c>
      <c r="H7" s="50" t="n">
        <f aca="false">F7*G7</f>
        <v>721755.940864</v>
      </c>
      <c r="J7" s="4" t="s">
        <v>137</v>
      </c>
      <c r="K7" s="51" t="n">
        <f aca="false">SUMIFS($H$6:$H$1085,$B$6:$B$1085,$J7,$E$6:$E$1085,"FY24")</f>
        <v>47305938.684192</v>
      </c>
      <c r="L7" s="51" t="n">
        <f aca="false">SUMIFS($H$6:$H$1085,$B$6:$B$1085,$J7,$E$6:$E$1085,"FY25")</f>
        <v>50815881.004097</v>
      </c>
      <c r="M7" s="51" t="n">
        <f aca="false">SUMIFS($H$6:$H$1085,$B$6:$B$1085,$J7,$E$6:$E$1085,"FY26")</f>
        <v>53313161.127088</v>
      </c>
      <c r="N7" s="52" t="n">
        <f aca="false">M7/M$12</f>
        <v>0.310436442832728</v>
      </c>
      <c r="O7" s="52" t="n">
        <f aca="false">(M7/K7)^(1/2)-1</f>
        <v>0.0615962721379644</v>
      </c>
    </row>
    <row r="8" customFormat="false" ht="15" hidden="false" customHeight="false" outlineLevel="0" collapsed="false">
      <c r="B8" s="46" t="s">
        <v>143</v>
      </c>
      <c r="C8" s="46" t="s">
        <v>138</v>
      </c>
      <c r="D8" s="47" t="n">
        <v>45017</v>
      </c>
      <c r="E8" s="46" t="s">
        <v>42</v>
      </c>
      <c r="F8" s="48" t="n">
        <v>82.725</v>
      </c>
      <c r="G8" s="49" t="n">
        <v>6467.23</v>
      </c>
      <c r="H8" s="50" t="n">
        <f aca="false">F8*G8</f>
        <v>535001.60175</v>
      </c>
      <c r="J8" s="4" t="s">
        <v>142</v>
      </c>
      <c r="K8" s="51" t="n">
        <f aca="false">SUMIFS($H$6:$H$1085,$B$6:$B$1085,$J8,$E$6:$E$1085,"FY24")</f>
        <v>35698072.311558</v>
      </c>
      <c r="L8" s="51" t="n">
        <f aca="false">SUMIFS($H$6:$H$1085,$B$6:$B$1085,$J8,$E$6:$E$1085,"FY25")</f>
        <v>37912696.321668</v>
      </c>
      <c r="M8" s="51" t="n">
        <f aca="false">SUMIFS($H$6:$H$1085,$B$6:$B$1085,$J8,$E$6:$E$1085,"FY26")</f>
        <v>40326613.54588</v>
      </c>
      <c r="N8" s="52" t="n">
        <f aca="false">M8/M$12</f>
        <v>0.23481726080415</v>
      </c>
      <c r="O8" s="52" t="n">
        <f aca="false">(M8/K8)^(1/2)-1</f>
        <v>0.0628537134030756</v>
      </c>
    </row>
    <row r="9" customFormat="false" ht="15" hidden="false" customHeight="false" outlineLevel="0" collapsed="false">
      <c r="B9" s="46" t="s">
        <v>144</v>
      </c>
      <c r="C9" s="46" t="s">
        <v>138</v>
      </c>
      <c r="D9" s="47" t="n">
        <v>45017</v>
      </c>
      <c r="E9" s="46" t="s">
        <v>42</v>
      </c>
      <c r="F9" s="48" t="n">
        <v>86.0315</v>
      </c>
      <c r="G9" s="49" t="n">
        <v>4642.98</v>
      </c>
      <c r="H9" s="50" t="n">
        <f aca="false">F9*G9</f>
        <v>399442.53387</v>
      </c>
      <c r="J9" s="4" t="s">
        <v>143</v>
      </c>
      <c r="K9" s="51" t="n">
        <f aca="false">SUMIFS($H$6:$H$1085,$B$6:$B$1085,$J9,$E$6:$E$1085,"FY24")</f>
        <v>29405234.788825</v>
      </c>
      <c r="L9" s="51" t="n">
        <f aca="false">SUMIFS($H$6:$H$1085,$B$6:$B$1085,$J9,$E$6:$E$1085,"FY25")</f>
        <v>31616098.272196</v>
      </c>
      <c r="M9" s="51" t="n">
        <f aca="false">SUMIFS($H$6:$H$1085,$B$6:$B$1085,$J9,$E$6:$E$1085,"FY26")</f>
        <v>33138580.165708</v>
      </c>
      <c r="N9" s="52" t="n">
        <f aca="false">M9/M$12</f>
        <v>0.192962164120158</v>
      </c>
      <c r="O9" s="52" t="n">
        <f aca="false">(M9/K9)^(1/2)-1</f>
        <v>0.0615846318329041</v>
      </c>
    </row>
    <row r="10" customFormat="false" ht="15" hidden="false" customHeight="false" outlineLevel="0" collapsed="false">
      <c r="B10" s="46" t="s">
        <v>145</v>
      </c>
      <c r="C10" s="46" t="s">
        <v>138</v>
      </c>
      <c r="D10" s="47" t="n">
        <v>45017</v>
      </c>
      <c r="E10" s="46" t="s">
        <v>42</v>
      </c>
      <c r="F10" s="48" t="n">
        <v>33.3888</v>
      </c>
      <c r="G10" s="49" t="n">
        <v>8776.36</v>
      </c>
      <c r="H10" s="50" t="n">
        <f aca="false">F10*G10</f>
        <v>293032.128768</v>
      </c>
      <c r="J10" s="4" t="s">
        <v>144</v>
      </c>
      <c r="K10" s="51" t="n">
        <f aca="false">SUMIFS($H$6:$H$1085,$B$6:$B$1085,$J10,$E$6:$E$1085,"FY24")</f>
        <v>20817992.28692</v>
      </c>
      <c r="L10" s="51" t="n">
        <f aca="false">SUMIFS($H$6:$H$1085,$B$6:$B$1085,$J10,$E$6:$E$1085,"FY25")</f>
        <v>23794039.81744</v>
      </c>
      <c r="M10" s="51" t="n">
        <f aca="false">SUMIFS($H$6:$H$1085,$B$6:$B$1085,$J10,$E$6:$E$1085,"FY26")</f>
        <v>28174020.929901</v>
      </c>
      <c r="N10" s="52" t="n">
        <f aca="false">M10/M$12</f>
        <v>0.164054103205848</v>
      </c>
      <c r="O10" s="52" t="n">
        <f aca="false">(M10/K10)^(1/2)-1</f>
        <v>0.163335536707776</v>
      </c>
    </row>
    <row r="11" customFormat="false" ht="15" hidden="false" customHeight="false" outlineLevel="0" collapsed="false">
      <c r="B11" s="46" t="s">
        <v>137</v>
      </c>
      <c r="C11" s="46" t="s">
        <v>138</v>
      </c>
      <c r="D11" s="47" t="n">
        <v>45047</v>
      </c>
      <c r="E11" s="46" t="s">
        <v>42</v>
      </c>
      <c r="F11" s="48" t="n">
        <v>176.347</v>
      </c>
      <c r="G11" s="49" t="n">
        <v>5357.7</v>
      </c>
      <c r="H11" s="50" t="n">
        <f aca="false">F11*G11</f>
        <v>944814.3219</v>
      </c>
      <c r="J11" s="4" t="s">
        <v>145</v>
      </c>
      <c r="K11" s="51" t="n">
        <f aca="false">SUMIFS($H$6:$H$1085,$B$6:$B$1085,$J11,$E$6:$E$1085,"FY24")</f>
        <v>14778270.149631</v>
      </c>
      <c r="L11" s="51" t="n">
        <f aca="false">SUMIFS($H$6:$H$1085,$B$6:$B$1085,$J11,$E$6:$E$1085,"FY25")</f>
        <v>15837352.20321</v>
      </c>
      <c r="M11" s="51" t="n">
        <f aca="false">SUMIFS($H$6:$H$1085,$B$6:$B$1085,$J11,$E$6:$E$1085,"FY26")</f>
        <v>16783779.434743</v>
      </c>
      <c r="N11" s="52" t="n">
        <f aca="false">M11/M$12</f>
        <v>0.0977300290371153</v>
      </c>
      <c r="O11" s="52" t="n">
        <f aca="false">(M11/K11)^(1/2)-1</f>
        <v>0.0656953753790461</v>
      </c>
    </row>
    <row r="12" customFormat="false" ht="15" hidden="false" customHeight="false" outlineLevel="0" collapsed="false">
      <c r="B12" s="46" t="s">
        <v>142</v>
      </c>
      <c r="C12" s="46" t="s">
        <v>138</v>
      </c>
      <c r="D12" s="47" t="n">
        <v>45047</v>
      </c>
      <c r="E12" s="46" t="s">
        <v>42</v>
      </c>
      <c r="F12" s="48" t="n">
        <v>174.6923</v>
      </c>
      <c r="G12" s="49" t="n">
        <v>3891.33</v>
      </c>
      <c r="H12" s="50" t="n">
        <f aca="false">F12*G12</f>
        <v>679785.387759</v>
      </c>
      <c r="J12" s="53" t="s">
        <v>146</v>
      </c>
      <c r="K12" s="54" t="n">
        <f aca="false">SUM(K7:K11)</f>
        <v>148005508.221126</v>
      </c>
      <c r="L12" s="54" t="n">
        <f aca="false">SUM(L7:L11)</f>
        <v>159976067.618611</v>
      </c>
      <c r="M12" s="54" t="n">
        <f aca="false">SUM(M7:M11)</f>
        <v>171736155.20332</v>
      </c>
      <c r="N12" s="55" t="n">
        <f aca="false">SUM(N7:N11)</f>
        <v>1</v>
      </c>
      <c r="O12" s="55" t="n">
        <f aca="false">(M12/K12)^(1/2)-1</f>
        <v>0.0771890465425935</v>
      </c>
    </row>
    <row r="13" customFormat="false" ht="15" hidden="false" customHeight="false" outlineLevel="0" collapsed="false">
      <c r="B13" s="46" t="s">
        <v>143</v>
      </c>
      <c r="C13" s="46" t="s">
        <v>138</v>
      </c>
      <c r="D13" s="47" t="n">
        <v>45047</v>
      </c>
      <c r="E13" s="46" t="s">
        <v>42</v>
      </c>
      <c r="F13" s="48" t="n">
        <v>91.9877</v>
      </c>
      <c r="G13" s="49" t="n">
        <v>6419.51</v>
      </c>
      <c r="H13" s="50" t="n">
        <f aca="false">F13*G13</f>
        <v>590515.960027</v>
      </c>
    </row>
    <row r="14" customFormat="false" ht="15" hidden="false" customHeight="false" outlineLevel="0" collapsed="false">
      <c r="B14" s="46" t="s">
        <v>144</v>
      </c>
      <c r="C14" s="46" t="s">
        <v>138</v>
      </c>
      <c r="D14" s="47" t="n">
        <v>45047</v>
      </c>
      <c r="E14" s="46" t="s">
        <v>42</v>
      </c>
      <c r="F14" s="48" t="n">
        <v>80.6364</v>
      </c>
      <c r="G14" s="49" t="n">
        <v>4767.25</v>
      </c>
      <c r="H14" s="50" t="n">
        <f aca="false">F14*G14</f>
        <v>384413.8779</v>
      </c>
    </row>
    <row r="15" customFormat="false" ht="30" hidden="false" customHeight="true" outlineLevel="0" collapsed="false">
      <c r="B15" s="46" t="s">
        <v>145</v>
      </c>
      <c r="C15" s="46" t="s">
        <v>138</v>
      </c>
      <c r="D15" s="47" t="n">
        <v>45047</v>
      </c>
      <c r="E15" s="46" t="s">
        <v>42</v>
      </c>
      <c r="F15" s="48" t="n">
        <v>31.1418</v>
      </c>
      <c r="G15" s="49" t="n">
        <v>8838.22</v>
      </c>
      <c r="H15" s="50" t="n">
        <f aca="false">F15*G15</f>
        <v>275238.079596</v>
      </c>
      <c r="J15" s="8" t="s">
        <v>147</v>
      </c>
      <c r="K15" s="9" t="s">
        <v>42</v>
      </c>
      <c r="L15" s="9" t="s">
        <v>43</v>
      </c>
      <c r="M15" s="9" t="s">
        <v>44</v>
      </c>
      <c r="N15" s="9" t="s">
        <v>140</v>
      </c>
      <c r="O15" s="9" t="s">
        <v>141</v>
      </c>
    </row>
    <row r="16" customFormat="false" ht="15" hidden="false" customHeight="false" outlineLevel="0" collapsed="false">
      <c r="B16" s="46" t="s">
        <v>137</v>
      </c>
      <c r="C16" s="46" t="s">
        <v>138</v>
      </c>
      <c r="D16" s="47" t="n">
        <v>45078</v>
      </c>
      <c r="E16" s="46" t="s">
        <v>42</v>
      </c>
      <c r="F16" s="48" t="n">
        <v>180.9049</v>
      </c>
      <c r="G16" s="49" t="n">
        <v>5109.13</v>
      </c>
      <c r="H16" s="50" t="n">
        <f aca="false">F16*G16</f>
        <v>924266.651737</v>
      </c>
      <c r="J16" s="4" t="s">
        <v>138</v>
      </c>
      <c r="K16" s="51" t="n">
        <f aca="false">SUMIFS($H$6:$H$1085,$C$6:$C$1085,$J16,$E$6:$E$1085,"FY24")</f>
        <v>35632409.303192</v>
      </c>
      <c r="L16" s="51" t="n">
        <f aca="false">SUMIFS($H$6:$H$1085,$C$6:$C$1085,$J16,$E$6:$E$1085,"FY25")</f>
        <v>38447817.352618</v>
      </c>
      <c r="M16" s="51" t="n">
        <f aca="false">SUMIFS($H$6:$H$1085,$C$6:$C$1085,$J16,$E$6:$E$1085,"FY26")</f>
        <v>41463878.596162</v>
      </c>
      <c r="N16" s="52" t="n">
        <f aca="false">M16/M$22</f>
        <v>0.241439425187274</v>
      </c>
      <c r="O16" s="52" t="n">
        <f aca="false">(M16/K16)^(1/2)-1</f>
        <v>0.0787290340039544</v>
      </c>
    </row>
    <row r="17" customFormat="false" ht="15" hidden="false" customHeight="false" outlineLevel="0" collapsed="false">
      <c r="B17" s="46" t="s">
        <v>142</v>
      </c>
      <c r="C17" s="46" t="s">
        <v>138</v>
      </c>
      <c r="D17" s="47" t="n">
        <v>45078</v>
      </c>
      <c r="E17" s="46" t="s">
        <v>42</v>
      </c>
      <c r="F17" s="48" t="n">
        <v>186.3548</v>
      </c>
      <c r="G17" s="49" t="n">
        <v>3930.36</v>
      </c>
      <c r="H17" s="50" t="n">
        <f aca="false">F17*G17</f>
        <v>732441.451728</v>
      </c>
      <c r="J17" s="4" t="s">
        <v>148</v>
      </c>
      <c r="K17" s="51" t="n">
        <f aca="false">SUMIFS($H$6:$H$1085,$C$6:$C$1085,$J17,$E$6:$E$1085,"FY24")</f>
        <v>25147465.765724</v>
      </c>
      <c r="L17" s="51" t="n">
        <f aca="false">SUMIFS($H$6:$H$1085,$C$6:$C$1085,$J17,$E$6:$E$1085,"FY25")</f>
        <v>27337812.523616</v>
      </c>
      <c r="M17" s="51" t="n">
        <f aca="false">SUMIFS($H$6:$H$1085,$C$6:$C$1085,$J17,$E$6:$E$1085,"FY26")</f>
        <v>29043864.969373</v>
      </c>
      <c r="N17" s="52" t="n">
        <f aca="false">M17/M$22</f>
        <v>0.169119105612838</v>
      </c>
      <c r="O17" s="52" t="n">
        <f aca="false">(M17/K17)^(1/2)-1</f>
        <v>0.0746822890449972</v>
      </c>
    </row>
    <row r="18" customFormat="false" ht="15" hidden="false" customHeight="false" outlineLevel="0" collapsed="false">
      <c r="B18" s="46" t="s">
        <v>143</v>
      </c>
      <c r="C18" s="46" t="s">
        <v>138</v>
      </c>
      <c r="D18" s="47" t="n">
        <v>45078</v>
      </c>
      <c r="E18" s="46" t="s">
        <v>42</v>
      </c>
      <c r="F18" s="48" t="n">
        <v>84.6289</v>
      </c>
      <c r="G18" s="49" t="n">
        <v>6485.43</v>
      </c>
      <c r="H18" s="50" t="n">
        <f aca="false">F18*G18</f>
        <v>548854.806927</v>
      </c>
      <c r="J18" s="4" t="s">
        <v>149</v>
      </c>
      <c r="K18" s="51" t="n">
        <f aca="false">SUMIFS($H$6:$H$1085,$C$6:$C$1085,$J18,$E$6:$E$1085,"FY24")</f>
        <v>29653277.793475</v>
      </c>
      <c r="L18" s="51" t="n">
        <f aca="false">SUMIFS($H$6:$H$1085,$C$6:$C$1085,$J18,$E$6:$E$1085,"FY25")</f>
        <v>31970183.417923</v>
      </c>
      <c r="M18" s="51" t="n">
        <f aca="false">SUMIFS($H$6:$H$1085,$C$6:$C$1085,$J18,$E$6:$E$1085,"FY26")</f>
        <v>34487273.680343</v>
      </c>
      <c r="N18" s="52" t="n">
        <f aca="false">M18/M$22</f>
        <v>0.200815452282096</v>
      </c>
      <c r="O18" s="52" t="n">
        <f aca="false">(M18/K18)^(1/2)-1</f>
        <v>0.078432776277882</v>
      </c>
    </row>
    <row r="19" customFormat="false" ht="15" hidden="false" customHeight="false" outlineLevel="0" collapsed="false">
      <c r="B19" s="46" t="s">
        <v>144</v>
      </c>
      <c r="C19" s="46" t="s">
        <v>138</v>
      </c>
      <c r="D19" s="47" t="n">
        <v>45078</v>
      </c>
      <c r="E19" s="46" t="s">
        <v>42</v>
      </c>
      <c r="F19" s="48" t="n">
        <v>93.5033</v>
      </c>
      <c r="G19" s="49" t="n">
        <v>4668.06</v>
      </c>
      <c r="H19" s="50" t="n">
        <f aca="false">F19*G19</f>
        <v>436479.014598</v>
      </c>
      <c r="J19" s="4" t="s">
        <v>150</v>
      </c>
      <c r="K19" s="51" t="n">
        <f aca="false">SUMIFS($H$6:$H$1085,$C$6:$C$1085,$J19,$E$6:$E$1085,"FY24")</f>
        <v>22173020.022819</v>
      </c>
      <c r="L19" s="51" t="n">
        <f aca="false">SUMIFS($H$6:$H$1085,$C$6:$C$1085,$J19,$E$6:$E$1085,"FY25")</f>
        <v>23912893.063726</v>
      </c>
      <c r="M19" s="51" t="n">
        <f aca="false">SUMIFS($H$6:$H$1085,$C$6:$C$1085,$J19,$E$6:$E$1085,"FY26")</f>
        <v>25380235.210253</v>
      </c>
      <c r="N19" s="52" t="n">
        <f aca="false">M19/M$22</f>
        <v>0.147786208327566</v>
      </c>
      <c r="O19" s="52" t="n">
        <f aca="false">(M19/K19)^(1/2)-1</f>
        <v>0.0698808072170052</v>
      </c>
    </row>
    <row r="20" customFormat="false" ht="15" hidden="false" customHeight="false" outlineLevel="0" collapsed="false">
      <c r="B20" s="46" t="s">
        <v>145</v>
      </c>
      <c r="C20" s="46" t="s">
        <v>138</v>
      </c>
      <c r="D20" s="47" t="n">
        <v>45078</v>
      </c>
      <c r="E20" s="46" t="s">
        <v>42</v>
      </c>
      <c r="F20" s="48" t="n">
        <v>30.2862</v>
      </c>
      <c r="G20" s="49" t="n">
        <v>8753.73</v>
      </c>
      <c r="H20" s="50" t="n">
        <f aca="false">F20*G20</f>
        <v>265117.217526</v>
      </c>
      <c r="J20" s="4" t="s">
        <v>151</v>
      </c>
      <c r="K20" s="51" t="n">
        <f aca="false">SUMIFS($H$6:$H$1085,$C$6:$C$1085,$J20,$E$6:$E$1085,"FY24")</f>
        <v>23577418.156825</v>
      </c>
      <c r="L20" s="51" t="n">
        <f aca="false">SUMIFS($H$6:$H$1085,$C$6:$C$1085,$J20,$E$6:$E$1085,"FY25")</f>
        <v>25539184.270339</v>
      </c>
      <c r="M20" s="51" t="n">
        <f aca="false">SUMIFS($H$6:$H$1085,$C$6:$C$1085,$J20,$E$6:$E$1085,"FY26")</f>
        <v>27640311.69819</v>
      </c>
      <c r="N20" s="52" t="n">
        <f aca="false">M20/M$22</f>
        <v>0.160946375359728</v>
      </c>
      <c r="O20" s="52" t="n">
        <f aca="false">(M20/K20)^(1/2)-1</f>
        <v>0.0827379152188601</v>
      </c>
    </row>
    <row r="21" customFormat="false" ht="15" hidden="false" customHeight="false" outlineLevel="0" collapsed="false">
      <c r="B21" s="46" t="s">
        <v>137</v>
      </c>
      <c r="C21" s="46" t="s">
        <v>138</v>
      </c>
      <c r="D21" s="47" t="n">
        <v>45108</v>
      </c>
      <c r="E21" s="46" t="s">
        <v>42</v>
      </c>
      <c r="F21" s="48" t="n">
        <v>176.1977</v>
      </c>
      <c r="G21" s="49" t="n">
        <v>5306.91</v>
      </c>
      <c r="H21" s="50" t="n">
        <f aca="false">F21*G21</f>
        <v>935065.336107</v>
      </c>
      <c r="J21" s="4" t="s">
        <v>152</v>
      </c>
      <c r="K21" s="51" t="n">
        <f aca="false">SUMIFS($H$6:$H$1085,$C$6:$C$1085,$J21,$E$6:$E$1085,"FY24")</f>
        <v>11821917.179091</v>
      </c>
      <c r="L21" s="51" t="n">
        <f aca="false">SUMIFS($H$6:$H$1085,$C$6:$C$1085,$J21,$E$6:$E$1085,"FY25")</f>
        <v>12768176.990389</v>
      </c>
      <c r="M21" s="51" t="n">
        <f aca="false">SUMIFS($H$6:$H$1085,$C$6:$C$1085,$J21,$E$6:$E$1085,"FY26")</f>
        <v>13720591.048999</v>
      </c>
      <c r="N21" s="52" t="n">
        <f aca="false">M21/M$22</f>
        <v>0.0798934332304987</v>
      </c>
      <c r="O21" s="52" t="n">
        <f aca="false">(M21/K21)^(1/2)-1</f>
        <v>0.0773143724569765</v>
      </c>
    </row>
    <row r="22" customFormat="false" ht="15" hidden="false" customHeight="false" outlineLevel="0" collapsed="false">
      <c r="B22" s="46" t="s">
        <v>142</v>
      </c>
      <c r="C22" s="46" t="s">
        <v>138</v>
      </c>
      <c r="D22" s="47" t="n">
        <v>45108</v>
      </c>
      <c r="E22" s="46" t="s">
        <v>42</v>
      </c>
      <c r="F22" s="48" t="n">
        <v>171.809</v>
      </c>
      <c r="G22" s="49" t="n">
        <v>3912.93</v>
      </c>
      <c r="H22" s="50" t="n">
        <f aca="false">F22*G22</f>
        <v>672276.59037</v>
      </c>
      <c r="J22" s="53" t="s">
        <v>146</v>
      </c>
      <c r="K22" s="54" t="n">
        <f aca="false">SUM(K16:K21)</f>
        <v>148005508.221126</v>
      </c>
      <c r="L22" s="54" t="n">
        <f aca="false">SUM(L16:L21)</f>
        <v>159976067.618611</v>
      </c>
      <c r="M22" s="54" t="n">
        <f aca="false">SUM(M16:M21)</f>
        <v>171736155.20332</v>
      </c>
      <c r="N22" s="55" t="n">
        <f aca="false">SUM(N16:N21)</f>
        <v>1</v>
      </c>
      <c r="O22" s="55" t="n">
        <f aca="false">(M22/K22)^(1/2)-1</f>
        <v>0.0771890465425937</v>
      </c>
    </row>
    <row r="23" customFormat="false" ht="15" hidden="false" customHeight="false" outlineLevel="0" collapsed="false">
      <c r="B23" s="46" t="s">
        <v>143</v>
      </c>
      <c r="C23" s="46" t="s">
        <v>138</v>
      </c>
      <c r="D23" s="47" t="n">
        <v>45108</v>
      </c>
      <c r="E23" s="46" t="s">
        <v>42</v>
      </c>
      <c r="F23" s="48" t="n">
        <v>94.6577</v>
      </c>
      <c r="G23" s="49" t="n">
        <v>6454.64</v>
      </c>
      <c r="H23" s="50" t="n">
        <f aca="false">F23*G23</f>
        <v>610981.376728</v>
      </c>
    </row>
    <row r="24" customFormat="false" ht="15" hidden="false" customHeight="false" outlineLevel="0" collapsed="false">
      <c r="B24" s="46" t="s">
        <v>144</v>
      </c>
      <c r="C24" s="46" t="s">
        <v>138</v>
      </c>
      <c r="D24" s="47" t="n">
        <v>45108</v>
      </c>
      <c r="E24" s="46" t="s">
        <v>42</v>
      </c>
      <c r="F24" s="48" t="n">
        <v>85.9251</v>
      </c>
      <c r="G24" s="49" t="n">
        <v>4805.38</v>
      </c>
      <c r="H24" s="50" t="n">
        <f aca="false">F24*G24</f>
        <v>412902.757038</v>
      </c>
    </row>
    <row r="25" customFormat="false" ht="15" hidden="false" customHeight="false" outlineLevel="0" collapsed="false">
      <c r="B25" s="46" t="s">
        <v>145</v>
      </c>
      <c r="C25" s="46" t="s">
        <v>138</v>
      </c>
      <c r="D25" s="47" t="n">
        <v>45108</v>
      </c>
      <c r="E25" s="46" t="s">
        <v>42</v>
      </c>
      <c r="F25" s="48" t="n">
        <v>36.9635</v>
      </c>
      <c r="G25" s="49" t="n">
        <v>8975.18</v>
      </c>
      <c r="H25" s="50" t="n">
        <f aca="false">F25*G25</f>
        <v>331754.06593</v>
      </c>
    </row>
    <row r="26" customFormat="false" ht="15" hidden="false" customHeight="false" outlineLevel="0" collapsed="false">
      <c r="B26" s="46" t="s">
        <v>137</v>
      </c>
      <c r="C26" s="46" t="s">
        <v>138</v>
      </c>
      <c r="D26" s="47" t="n">
        <v>45139</v>
      </c>
      <c r="E26" s="46" t="s">
        <v>42</v>
      </c>
      <c r="F26" s="48" t="n">
        <v>165.9191</v>
      </c>
      <c r="G26" s="49" t="n">
        <v>5240.2</v>
      </c>
      <c r="H26" s="50" t="n">
        <f aca="false">F26*G26</f>
        <v>869449.26782</v>
      </c>
    </row>
    <row r="27" customFormat="false" ht="15" hidden="false" customHeight="false" outlineLevel="0" collapsed="false">
      <c r="B27" s="46" t="s">
        <v>142</v>
      </c>
      <c r="C27" s="46" t="s">
        <v>138</v>
      </c>
      <c r="D27" s="47" t="n">
        <v>45139</v>
      </c>
      <c r="E27" s="46" t="s">
        <v>42</v>
      </c>
      <c r="F27" s="48" t="n">
        <v>184.2777</v>
      </c>
      <c r="G27" s="49" t="n">
        <v>3858.97</v>
      </c>
      <c r="H27" s="50" t="n">
        <f aca="false">F27*G27</f>
        <v>711122.115969</v>
      </c>
    </row>
    <row r="28" customFormat="false" ht="15" hidden="false" customHeight="false" outlineLevel="0" collapsed="false">
      <c r="B28" s="46" t="s">
        <v>143</v>
      </c>
      <c r="C28" s="46" t="s">
        <v>138</v>
      </c>
      <c r="D28" s="47" t="n">
        <v>45139</v>
      </c>
      <c r="E28" s="46" t="s">
        <v>42</v>
      </c>
      <c r="F28" s="48" t="n">
        <v>91.4818</v>
      </c>
      <c r="G28" s="49" t="n">
        <v>6557.6</v>
      </c>
      <c r="H28" s="50" t="n">
        <f aca="false">F28*G28</f>
        <v>599901.05168</v>
      </c>
    </row>
    <row r="29" customFormat="false" ht="15" hidden="false" customHeight="false" outlineLevel="0" collapsed="false">
      <c r="B29" s="46" t="s">
        <v>144</v>
      </c>
      <c r="C29" s="46" t="s">
        <v>138</v>
      </c>
      <c r="D29" s="47" t="n">
        <v>45139</v>
      </c>
      <c r="E29" s="46" t="s">
        <v>42</v>
      </c>
      <c r="F29" s="48" t="n">
        <v>88.3668</v>
      </c>
      <c r="G29" s="49" t="n">
        <v>4700.76</v>
      </c>
      <c r="H29" s="50" t="n">
        <f aca="false">F29*G29</f>
        <v>415391.118768</v>
      </c>
    </row>
    <row r="30" customFormat="false" ht="15" hidden="false" customHeight="false" outlineLevel="0" collapsed="false">
      <c r="B30" s="46" t="s">
        <v>145</v>
      </c>
      <c r="C30" s="46" t="s">
        <v>138</v>
      </c>
      <c r="D30" s="47" t="n">
        <v>45139</v>
      </c>
      <c r="E30" s="46" t="s">
        <v>42</v>
      </c>
      <c r="F30" s="48" t="n">
        <v>34.562</v>
      </c>
      <c r="G30" s="49" t="n">
        <v>8895.65</v>
      </c>
      <c r="H30" s="50" t="n">
        <f aca="false">F30*G30</f>
        <v>307451.4553</v>
      </c>
    </row>
    <row r="31" customFormat="false" ht="15" hidden="false" customHeight="false" outlineLevel="0" collapsed="false">
      <c r="B31" s="46" t="s">
        <v>137</v>
      </c>
      <c r="C31" s="46" t="s">
        <v>138</v>
      </c>
      <c r="D31" s="47" t="n">
        <v>45170</v>
      </c>
      <c r="E31" s="46" t="s">
        <v>42</v>
      </c>
      <c r="F31" s="48" t="n">
        <v>188.1275</v>
      </c>
      <c r="G31" s="49" t="n">
        <v>5223.63</v>
      </c>
      <c r="H31" s="50" t="n">
        <f aca="false">F31*G31</f>
        <v>982708.452825</v>
      </c>
    </row>
    <row r="32" customFormat="false" ht="15" hidden="false" customHeight="false" outlineLevel="0" collapsed="false">
      <c r="B32" s="46" t="s">
        <v>142</v>
      </c>
      <c r="C32" s="46" t="s">
        <v>138</v>
      </c>
      <c r="D32" s="47" t="n">
        <v>45170</v>
      </c>
      <c r="E32" s="46" t="s">
        <v>42</v>
      </c>
      <c r="F32" s="48" t="n">
        <v>174.1187</v>
      </c>
      <c r="G32" s="49" t="n">
        <v>3886.47</v>
      </c>
      <c r="H32" s="50" t="n">
        <f aca="false">F32*G32</f>
        <v>676707.103989</v>
      </c>
    </row>
    <row r="33" customFormat="false" ht="15" hidden="false" customHeight="false" outlineLevel="0" collapsed="false">
      <c r="B33" s="46" t="s">
        <v>143</v>
      </c>
      <c r="C33" s="46" t="s">
        <v>138</v>
      </c>
      <c r="D33" s="47" t="n">
        <v>45170</v>
      </c>
      <c r="E33" s="46" t="s">
        <v>42</v>
      </c>
      <c r="F33" s="48" t="n">
        <v>91.6432</v>
      </c>
      <c r="G33" s="49" t="n">
        <v>6561.17</v>
      </c>
      <c r="H33" s="50" t="n">
        <f aca="false">F33*G33</f>
        <v>601286.614544</v>
      </c>
    </row>
    <row r="34" customFormat="false" ht="15" hidden="false" customHeight="false" outlineLevel="0" collapsed="false">
      <c r="B34" s="46" t="s">
        <v>144</v>
      </c>
      <c r="C34" s="46" t="s">
        <v>138</v>
      </c>
      <c r="D34" s="47" t="n">
        <v>45170</v>
      </c>
      <c r="E34" s="46" t="s">
        <v>42</v>
      </c>
      <c r="F34" s="48" t="n">
        <v>83.7833</v>
      </c>
      <c r="G34" s="49" t="n">
        <v>4791.37</v>
      </c>
      <c r="H34" s="50" t="n">
        <f aca="false">F34*G34</f>
        <v>401436.790121</v>
      </c>
    </row>
    <row r="35" customFormat="false" ht="15" hidden="false" customHeight="false" outlineLevel="0" collapsed="false">
      <c r="B35" s="46" t="s">
        <v>145</v>
      </c>
      <c r="C35" s="46" t="s">
        <v>138</v>
      </c>
      <c r="D35" s="47" t="n">
        <v>45170</v>
      </c>
      <c r="E35" s="46" t="s">
        <v>42</v>
      </c>
      <c r="F35" s="48" t="n">
        <v>32.5894</v>
      </c>
      <c r="G35" s="49" t="n">
        <v>8975.06</v>
      </c>
      <c r="H35" s="50" t="n">
        <f aca="false">F35*G35</f>
        <v>292491.820364</v>
      </c>
    </row>
    <row r="36" customFormat="false" ht="15" hidden="false" customHeight="false" outlineLevel="0" collapsed="false">
      <c r="B36" s="46" t="s">
        <v>137</v>
      </c>
      <c r="C36" s="46" t="s">
        <v>138</v>
      </c>
      <c r="D36" s="47" t="n">
        <v>45200</v>
      </c>
      <c r="E36" s="46" t="s">
        <v>42</v>
      </c>
      <c r="F36" s="48" t="n">
        <v>184.2097</v>
      </c>
      <c r="G36" s="49" t="n">
        <v>5306.47</v>
      </c>
      <c r="H36" s="50" t="n">
        <f aca="false">F36*G36</f>
        <v>977503.246759</v>
      </c>
    </row>
    <row r="37" customFormat="false" ht="15" hidden="false" customHeight="false" outlineLevel="0" collapsed="false">
      <c r="B37" s="46" t="s">
        <v>142</v>
      </c>
      <c r="C37" s="46" t="s">
        <v>138</v>
      </c>
      <c r="D37" s="47" t="n">
        <v>45200</v>
      </c>
      <c r="E37" s="46" t="s">
        <v>42</v>
      </c>
      <c r="F37" s="48" t="n">
        <v>178.3034</v>
      </c>
      <c r="G37" s="49" t="n">
        <v>3975.64</v>
      </c>
      <c r="H37" s="50" t="n">
        <f aca="false">F37*G37</f>
        <v>708870.129176</v>
      </c>
    </row>
    <row r="38" customFormat="false" ht="15" hidden="false" customHeight="false" outlineLevel="0" collapsed="false">
      <c r="B38" s="46" t="s">
        <v>143</v>
      </c>
      <c r="C38" s="46" t="s">
        <v>138</v>
      </c>
      <c r="D38" s="47" t="n">
        <v>45200</v>
      </c>
      <c r="E38" s="46" t="s">
        <v>42</v>
      </c>
      <c r="F38" s="48" t="n">
        <v>84.2413</v>
      </c>
      <c r="G38" s="49" t="n">
        <v>6523.02</v>
      </c>
      <c r="H38" s="50" t="n">
        <f aca="false">F38*G38</f>
        <v>549507.684726</v>
      </c>
    </row>
    <row r="39" customFormat="false" ht="15" hidden="false" customHeight="false" outlineLevel="0" collapsed="false">
      <c r="B39" s="46" t="s">
        <v>144</v>
      </c>
      <c r="C39" s="46" t="s">
        <v>138</v>
      </c>
      <c r="D39" s="47" t="n">
        <v>45200</v>
      </c>
      <c r="E39" s="46" t="s">
        <v>42</v>
      </c>
      <c r="F39" s="48" t="n">
        <v>89.5278</v>
      </c>
      <c r="G39" s="49" t="n">
        <v>4773.42</v>
      </c>
      <c r="H39" s="50" t="n">
        <f aca="false">F39*G39</f>
        <v>427353.791076</v>
      </c>
    </row>
    <row r="40" customFormat="false" ht="15" hidden="false" customHeight="false" outlineLevel="0" collapsed="false">
      <c r="B40" s="46" t="s">
        <v>145</v>
      </c>
      <c r="C40" s="46" t="s">
        <v>138</v>
      </c>
      <c r="D40" s="47" t="n">
        <v>45200</v>
      </c>
      <c r="E40" s="46" t="s">
        <v>42</v>
      </c>
      <c r="F40" s="48" t="n">
        <v>34.5732</v>
      </c>
      <c r="G40" s="49" t="n">
        <v>8938.73</v>
      </c>
      <c r="H40" s="50" t="n">
        <f aca="false">F40*G40</f>
        <v>309040.500036</v>
      </c>
    </row>
    <row r="41" customFormat="false" ht="15" hidden="false" customHeight="false" outlineLevel="0" collapsed="false">
      <c r="B41" s="46" t="s">
        <v>137</v>
      </c>
      <c r="C41" s="46" t="s">
        <v>138</v>
      </c>
      <c r="D41" s="47" t="n">
        <v>45231</v>
      </c>
      <c r="E41" s="46" t="s">
        <v>42</v>
      </c>
      <c r="F41" s="48" t="n">
        <v>182.3746</v>
      </c>
      <c r="G41" s="49" t="n">
        <v>5255</v>
      </c>
      <c r="H41" s="50" t="n">
        <f aca="false">F41*G41</f>
        <v>958378.523</v>
      </c>
    </row>
    <row r="42" customFormat="false" ht="15" hidden="false" customHeight="false" outlineLevel="0" collapsed="false">
      <c r="B42" s="46" t="s">
        <v>142</v>
      </c>
      <c r="C42" s="46" t="s">
        <v>138</v>
      </c>
      <c r="D42" s="47" t="n">
        <v>45231</v>
      </c>
      <c r="E42" s="46" t="s">
        <v>42</v>
      </c>
      <c r="F42" s="48" t="n">
        <v>190.5823</v>
      </c>
      <c r="G42" s="49" t="n">
        <v>3901.2</v>
      </c>
      <c r="H42" s="50" t="n">
        <f aca="false">F42*G42</f>
        <v>743499.66876</v>
      </c>
    </row>
    <row r="43" customFormat="false" ht="15" hidden="false" customHeight="false" outlineLevel="0" collapsed="false">
      <c r="B43" s="46" t="s">
        <v>143</v>
      </c>
      <c r="C43" s="46" t="s">
        <v>138</v>
      </c>
      <c r="D43" s="47" t="n">
        <v>45231</v>
      </c>
      <c r="E43" s="46" t="s">
        <v>42</v>
      </c>
      <c r="F43" s="48" t="n">
        <v>86.7152</v>
      </c>
      <c r="G43" s="49" t="n">
        <v>6636.96</v>
      </c>
      <c r="H43" s="50" t="n">
        <f aca="false">F43*G43</f>
        <v>575525.313792</v>
      </c>
    </row>
    <row r="44" customFormat="false" ht="15" hidden="false" customHeight="false" outlineLevel="0" collapsed="false">
      <c r="B44" s="46" t="s">
        <v>144</v>
      </c>
      <c r="C44" s="46" t="s">
        <v>138</v>
      </c>
      <c r="D44" s="47" t="n">
        <v>45231</v>
      </c>
      <c r="E44" s="46" t="s">
        <v>42</v>
      </c>
      <c r="F44" s="48" t="n">
        <v>87.4259</v>
      </c>
      <c r="G44" s="49" t="n">
        <v>4819.78</v>
      </c>
      <c r="H44" s="50" t="n">
        <f aca="false">F44*G44</f>
        <v>421373.604302</v>
      </c>
    </row>
    <row r="45" customFormat="false" ht="15" hidden="false" customHeight="false" outlineLevel="0" collapsed="false">
      <c r="B45" s="46" t="s">
        <v>145</v>
      </c>
      <c r="C45" s="46" t="s">
        <v>138</v>
      </c>
      <c r="D45" s="47" t="n">
        <v>45231</v>
      </c>
      <c r="E45" s="46" t="s">
        <v>42</v>
      </c>
      <c r="F45" s="48" t="n">
        <v>33.6542</v>
      </c>
      <c r="G45" s="49" t="n">
        <v>8997.37</v>
      </c>
      <c r="H45" s="50" t="n">
        <f aca="false">F45*G45</f>
        <v>302799.289454</v>
      </c>
    </row>
    <row r="46" customFormat="false" ht="15" hidden="false" customHeight="false" outlineLevel="0" collapsed="false">
      <c r="B46" s="46" t="s">
        <v>137</v>
      </c>
      <c r="C46" s="46" t="s">
        <v>138</v>
      </c>
      <c r="D46" s="47" t="n">
        <v>45261</v>
      </c>
      <c r="E46" s="46" t="s">
        <v>42</v>
      </c>
      <c r="F46" s="48" t="n">
        <v>185.095</v>
      </c>
      <c r="G46" s="49" t="n">
        <v>5276.64</v>
      </c>
      <c r="H46" s="50" t="n">
        <f aca="false">F46*G46</f>
        <v>976679.6808</v>
      </c>
    </row>
    <row r="47" customFormat="false" ht="15" hidden="false" customHeight="false" outlineLevel="0" collapsed="false">
      <c r="B47" s="46" t="s">
        <v>142</v>
      </c>
      <c r="C47" s="46" t="s">
        <v>138</v>
      </c>
      <c r="D47" s="47" t="n">
        <v>45261</v>
      </c>
      <c r="E47" s="46" t="s">
        <v>42</v>
      </c>
      <c r="F47" s="48" t="n">
        <v>192.6246</v>
      </c>
      <c r="G47" s="49" t="n">
        <v>3960.54</v>
      </c>
      <c r="H47" s="50" t="n">
        <f aca="false">F47*G47</f>
        <v>762897.433284</v>
      </c>
    </row>
    <row r="48" customFormat="false" ht="15" hidden="false" customHeight="false" outlineLevel="0" collapsed="false">
      <c r="B48" s="46" t="s">
        <v>143</v>
      </c>
      <c r="C48" s="46" t="s">
        <v>138</v>
      </c>
      <c r="D48" s="47" t="n">
        <v>45261</v>
      </c>
      <c r="E48" s="46" t="s">
        <v>42</v>
      </c>
      <c r="F48" s="48" t="n">
        <v>90.2054</v>
      </c>
      <c r="G48" s="49" t="n">
        <v>6441.48</v>
      </c>
      <c r="H48" s="50" t="n">
        <f aca="false">F48*G48</f>
        <v>581056.279992</v>
      </c>
    </row>
    <row r="49" customFormat="false" ht="15" hidden="false" customHeight="false" outlineLevel="0" collapsed="false">
      <c r="B49" s="46" t="s">
        <v>144</v>
      </c>
      <c r="C49" s="46" t="s">
        <v>138</v>
      </c>
      <c r="D49" s="47" t="n">
        <v>45261</v>
      </c>
      <c r="E49" s="46" t="s">
        <v>42</v>
      </c>
      <c r="F49" s="48" t="n">
        <v>89.1147</v>
      </c>
      <c r="G49" s="49" t="n">
        <v>4796.8</v>
      </c>
      <c r="H49" s="50" t="n">
        <f aca="false">F49*G49</f>
        <v>427465.39296</v>
      </c>
    </row>
    <row r="50" customFormat="false" ht="15" hidden="false" customHeight="false" outlineLevel="0" collapsed="false">
      <c r="B50" s="46" t="s">
        <v>145</v>
      </c>
      <c r="C50" s="46" t="s">
        <v>138</v>
      </c>
      <c r="D50" s="47" t="n">
        <v>45261</v>
      </c>
      <c r="E50" s="46" t="s">
        <v>42</v>
      </c>
      <c r="F50" s="48" t="n">
        <v>35.2225</v>
      </c>
      <c r="G50" s="49" t="n">
        <v>9050.42</v>
      </c>
      <c r="H50" s="50" t="n">
        <f aca="false">F50*G50</f>
        <v>318778.41845</v>
      </c>
    </row>
    <row r="51" customFormat="false" ht="15" hidden="false" customHeight="false" outlineLevel="0" collapsed="false">
      <c r="B51" s="46" t="s">
        <v>137</v>
      </c>
      <c r="C51" s="46" t="s">
        <v>138</v>
      </c>
      <c r="D51" s="47" t="n">
        <v>45292</v>
      </c>
      <c r="E51" s="46" t="s">
        <v>42</v>
      </c>
      <c r="F51" s="48" t="n">
        <v>189.8957</v>
      </c>
      <c r="G51" s="49" t="n">
        <v>5284.88</v>
      </c>
      <c r="H51" s="50" t="n">
        <f aca="false">F51*G51</f>
        <v>1003575.987016</v>
      </c>
    </row>
    <row r="52" customFormat="false" ht="15" hidden="false" customHeight="false" outlineLevel="0" collapsed="false">
      <c r="B52" s="46" t="s">
        <v>142</v>
      </c>
      <c r="C52" s="46" t="s">
        <v>138</v>
      </c>
      <c r="D52" s="47" t="n">
        <v>45292</v>
      </c>
      <c r="E52" s="46" t="s">
        <v>42</v>
      </c>
      <c r="F52" s="48" t="n">
        <v>175.5948</v>
      </c>
      <c r="G52" s="49" t="n">
        <v>3958.99</v>
      </c>
      <c r="H52" s="50" t="n">
        <f aca="false">F52*G52</f>
        <v>695178.057252</v>
      </c>
    </row>
    <row r="53" customFormat="false" ht="15" hidden="false" customHeight="false" outlineLevel="0" collapsed="false">
      <c r="B53" s="46" t="s">
        <v>143</v>
      </c>
      <c r="C53" s="46" t="s">
        <v>138</v>
      </c>
      <c r="D53" s="47" t="n">
        <v>45292</v>
      </c>
      <c r="E53" s="46" t="s">
        <v>42</v>
      </c>
      <c r="F53" s="48" t="n">
        <v>83.2785</v>
      </c>
      <c r="G53" s="49" t="n">
        <v>6719.24</v>
      </c>
      <c r="H53" s="50" t="n">
        <f aca="false">F53*G53</f>
        <v>559568.22834</v>
      </c>
    </row>
    <row r="54" customFormat="false" ht="15" hidden="false" customHeight="false" outlineLevel="0" collapsed="false">
      <c r="B54" s="46" t="s">
        <v>144</v>
      </c>
      <c r="C54" s="46" t="s">
        <v>138</v>
      </c>
      <c r="D54" s="47" t="n">
        <v>45292</v>
      </c>
      <c r="E54" s="46" t="s">
        <v>42</v>
      </c>
      <c r="F54" s="48" t="n">
        <v>85.3002</v>
      </c>
      <c r="G54" s="49" t="n">
        <v>4826.51</v>
      </c>
      <c r="H54" s="50" t="n">
        <f aca="false">F54*G54</f>
        <v>411702.268302</v>
      </c>
    </row>
    <row r="55" customFormat="false" ht="15" hidden="false" customHeight="false" outlineLevel="0" collapsed="false">
      <c r="B55" s="46" t="s">
        <v>145</v>
      </c>
      <c r="C55" s="46" t="s">
        <v>138</v>
      </c>
      <c r="D55" s="47" t="n">
        <v>45292</v>
      </c>
      <c r="E55" s="46" t="s">
        <v>42</v>
      </c>
      <c r="F55" s="48" t="n">
        <v>32.3259</v>
      </c>
      <c r="G55" s="49" t="n">
        <v>8959.6</v>
      </c>
      <c r="H55" s="50" t="n">
        <f aca="false">F55*G55</f>
        <v>289627.13364</v>
      </c>
    </row>
    <row r="56" customFormat="false" ht="15" hidden="false" customHeight="false" outlineLevel="0" collapsed="false">
      <c r="B56" s="46" t="s">
        <v>137</v>
      </c>
      <c r="C56" s="46" t="s">
        <v>138</v>
      </c>
      <c r="D56" s="47" t="n">
        <v>45323</v>
      </c>
      <c r="E56" s="46" t="s">
        <v>42</v>
      </c>
      <c r="F56" s="48" t="n">
        <v>171.8524</v>
      </c>
      <c r="G56" s="49" t="n">
        <v>5440.13</v>
      </c>
      <c r="H56" s="50" t="n">
        <f aca="false">F56*G56</f>
        <v>934899.396812</v>
      </c>
    </row>
    <row r="57" customFormat="false" ht="15" hidden="false" customHeight="false" outlineLevel="0" collapsed="false">
      <c r="B57" s="46" t="s">
        <v>142</v>
      </c>
      <c r="C57" s="46" t="s">
        <v>138</v>
      </c>
      <c r="D57" s="47" t="n">
        <v>45323</v>
      </c>
      <c r="E57" s="46" t="s">
        <v>42</v>
      </c>
      <c r="F57" s="48" t="n">
        <v>183.5678</v>
      </c>
      <c r="G57" s="49" t="n">
        <v>3941.36</v>
      </c>
      <c r="H57" s="50" t="n">
        <f aca="false">F57*G57</f>
        <v>723506.784208</v>
      </c>
    </row>
    <row r="58" customFormat="false" ht="15" hidden="false" customHeight="false" outlineLevel="0" collapsed="false">
      <c r="B58" s="46" t="s">
        <v>143</v>
      </c>
      <c r="C58" s="46" t="s">
        <v>138</v>
      </c>
      <c r="D58" s="47" t="n">
        <v>45323</v>
      </c>
      <c r="E58" s="46" t="s">
        <v>42</v>
      </c>
      <c r="F58" s="48" t="n">
        <v>89.0086</v>
      </c>
      <c r="G58" s="49" t="n">
        <v>6614.62</v>
      </c>
      <c r="H58" s="50" t="n">
        <f aca="false">F58*G58</f>
        <v>588758.065732</v>
      </c>
    </row>
    <row r="59" customFormat="false" ht="15" hidden="false" customHeight="false" outlineLevel="0" collapsed="false">
      <c r="B59" s="46" t="s">
        <v>144</v>
      </c>
      <c r="C59" s="46" t="s">
        <v>138</v>
      </c>
      <c r="D59" s="47" t="n">
        <v>45323</v>
      </c>
      <c r="E59" s="46" t="s">
        <v>42</v>
      </c>
      <c r="F59" s="48" t="n">
        <v>91.0304</v>
      </c>
      <c r="G59" s="49" t="n">
        <v>4875.56</v>
      </c>
      <c r="H59" s="50" t="n">
        <f aca="false">F59*G59</f>
        <v>443824.177024</v>
      </c>
    </row>
    <row r="60" customFormat="false" ht="15" hidden="false" customHeight="false" outlineLevel="0" collapsed="false">
      <c r="B60" s="46" t="s">
        <v>145</v>
      </c>
      <c r="C60" s="46" t="s">
        <v>138</v>
      </c>
      <c r="D60" s="47" t="n">
        <v>45323</v>
      </c>
      <c r="E60" s="46" t="s">
        <v>42</v>
      </c>
      <c r="F60" s="48" t="n">
        <v>32.2338</v>
      </c>
      <c r="G60" s="49" t="n">
        <v>8985.73</v>
      </c>
      <c r="H60" s="50" t="n">
        <f aca="false">F60*G60</f>
        <v>289644.223674</v>
      </c>
    </row>
    <row r="61" customFormat="false" ht="15" hidden="false" customHeight="false" outlineLevel="0" collapsed="false">
      <c r="B61" s="46" t="s">
        <v>137</v>
      </c>
      <c r="C61" s="46" t="s">
        <v>138</v>
      </c>
      <c r="D61" s="47" t="n">
        <v>45352</v>
      </c>
      <c r="E61" s="46" t="s">
        <v>42</v>
      </c>
      <c r="F61" s="48" t="n">
        <v>184.1056</v>
      </c>
      <c r="G61" s="49" t="n">
        <v>5306.03</v>
      </c>
      <c r="H61" s="50" t="n">
        <f aca="false">F61*G61</f>
        <v>976869.836768</v>
      </c>
    </row>
    <row r="62" customFormat="false" ht="15" hidden="false" customHeight="false" outlineLevel="0" collapsed="false">
      <c r="B62" s="46" t="s">
        <v>142</v>
      </c>
      <c r="C62" s="46" t="s">
        <v>138</v>
      </c>
      <c r="D62" s="47" t="n">
        <v>45352</v>
      </c>
      <c r="E62" s="46" t="s">
        <v>42</v>
      </c>
      <c r="F62" s="48" t="n">
        <v>197.4336</v>
      </c>
      <c r="G62" s="49" t="n">
        <v>3993.89</v>
      </c>
      <c r="H62" s="50" t="n">
        <f aca="false">F62*G62</f>
        <v>788528.080704</v>
      </c>
    </row>
    <row r="63" customFormat="false" ht="15" hidden="false" customHeight="false" outlineLevel="0" collapsed="false">
      <c r="B63" s="46" t="s">
        <v>143</v>
      </c>
      <c r="C63" s="46" t="s">
        <v>138</v>
      </c>
      <c r="D63" s="47" t="n">
        <v>45352</v>
      </c>
      <c r="E63" s="46" t="s">
        <v>42</v>
      </c>
      <c r="F63" s="48" t="n">
        <v>101.8392</v>
      </c>
      <c r="G63" s="49" t="n">
        <v>6740.3</v>
      </c>
      <c r="H63" s="50" t="n">
        <f aca="false">F63*G63</f>
        <v>686426.75976</v>
      </c>
    </row>
    <row r="64" customFormat="false" ht="15" hidden="false" customHeight="false" outlineLevel="0" collapsed="false">
      <c r="B64" s="46" t="s">
        <v>144</v>
      </c>
      <c r="C64" s="46" t="s">
        <v>138</v>
      </c>
      <c r="D64" s="47" t="n">
        <v>45352</v>
      </c>
      <c r="E64" s="46" t="s">
        <v>42</v>
      </c>
      <c r="F64" s="48" t="n">
        <v>89.7604</v>
      </c>
      <c r="G64" s="49" t="n">
        <v>4815.9</v>
      </c>
      <c r="H64" s="50" t="n">
        <f aca="false">F64*G64</f>
        <v>432277.11036</v>
      </c>
    </row>
    <row r="65" customFormat="false" ht="15" hidden="false" customHeight="false" outlineLevel="0" collapsed="false">
      <c r="B65" s="46" t="s">
        <v>145</v>
      </c>
      <c r="C65" s="46" t="s">
        <v>138</v>
      </c>
      <c r="D65" s="47" t="n">
        <v>45352</v>
      </c>
      <c r="E65" s="46" t="s">
        <v>42</v>
      </c>
      <c r="F65" s="48" t="n">
        <v>35.9981</v>
      </c>
      <c r="G65" s="49" t="n">
        <v>9122.02</v>
      </c>
      <c r="H65" s="50" t="n">
        <f aca="false">F65*G65</f>
        <v>328375.388162</v>
      </c>
    </row>
    <row r="66" customFormat="false" ht="15" hidden="false" customHeight="false" outlineLevel="0" collapsed="false">
      <c r="B66" s="46" t="s">
        <v>137</v>
      </c>
      <c r="C66" s="46" t="s">
        <v>138</v>
      </c>
      <c r="D66" s="47" t="n">
        <v>45383</v>
      </c>
      <c r="E66" s="46" t="s">
        <v>43</v>
      </c>
      <c r="F66" s="48" t="n">
        <v>183.472</v>
      </c>
      <c r="G66" s="49" t="n">
        <v>5436.89</v>
      </c>
      <c r="H66" s="50" t="n">
        <f aca="false">F66*G66</f>
        <v>997517.08208</v>
      </c>
    </row>
    <row r="67" customFormat="false" ht="15" hidden="false" customHeight="false" outlineLevel="0" collapsed="false">
      <c r="B67" s="46" t="s">
        <v>142</v>
      </c>
      <c r="C67" s="46" t="s">
        <v>138</v>
      </c>
      <c r="D67" s="47" t="n">
        <v>45383</v>
      </c>
      <c r="E67" s="46" t="s">
        <v>43</v>
      </c>
      <c r="F67" s="48" t="n">
        <v>179.4787</v>
      </c>
      <c r="G67" s="49" t="n">
        <v>4050.86</v>
      </c>
      <c r="H67" s="50" t="n">
        <f aca="false">F67*G67</f>
        <v>727043.086682</v>
      </c>
    </row>
    <row r="68" customFormat="false" ht="15" hidden="false" customHeight="false" outlineLevel="0" collapsed="false">
      <c r="B68" s="46" t="s">
        <v>143</v>
      </c>
      <c r="C68" s="46" t="s">
        <v>138</v>
      </c>
      <c r="D68" s="47" t="n">
        <v>45383</v>
      </c>
      <c r="E68" s="46" t="s">
        <v>43</v>
      </c>
      <c r="F68" s="48" t="n">
        <v>92.656</v>
      </c>
      <c r="G68" s="49" t="n">
        <v>6633.04</v>
      </c>
      <c r="H68" s="50" t="n">
        <f aca="false">F68*G68</f>
        <v>614590.95424</v>
      </c>
    </row>
    <row r="69" customFormat="false" ht="15" hidden="false" customHeight="false" outlineLevel="0" collapsed="false">
      <c r="B69" s="46" t="s">
        <v>144</v>
      </c>
      <c r="C69" s="46" t="s">
        <v>138</v>
      </c>
      <c r="D69" s="47" t="n">
        <v>45383</v>
      </c>
      <c r="E69" s="46" t="s">
        <v>43</v>
      </c>
      <c r="F69" s="48" t="n">
        <v>88.8328</v>
      </c>
      <c r="G69" s="49" t="n">
        <v>4885.28</v>
      </c>
      <c r="H69" s="50" t="n">
        <f aca="false">F69*G69</f>
        <v>433973.101184</v>
      </c>
    </row>
    <row r="70" customFormat="false" ht="15" hidden="false" customHeight="false" outlineLevel="0" collapsed="false">
      <c r="B70" s="46" t="s">
        <v>145</v>
      </c>
      <c r="C70" s="46" t="s">
        <v>138</v>
      </c>
      <c r="D70" s="47" t="n">
        <v>45383</v>
      </c>
      <c r="E70" s="46" t="s">
        <v>43</v>
      </c>
      <c r="F70" s="48" t="n">
        <v>31.8044</v>
      </c>
      <c r="G70" s="49" t="n">
        <v>9159.78</v>
      </c>
      <c r="H70" s="50" t="n">
        <f aca="false">F70*G70</f>
        <v>291321.307032</v>
      </c>
    </row>
    <row r="71" customFormat="false" ht="15" hidden="false" customHeight="false" outlineLevel="0" collapsed="false">
      <c r="B71" s="46" t="s">
        <v>137</v>
      </c>
      <c r="C71" s="46" t="s">
        <v>138</v>
      </c>
      <c r="D71" s="47" t="n">
        <v>45413</v>
      </c>
      <c r="E71" s="46" t="s">
        <v>43</v>
      </c>
      <c r="F71" s="48" t="n">
        <v>191.44</v>
      </c>
      <c r="G71" s="49" t="n">
        <v>5443.54</v>
      </c>
      <c r="H71" s="50" t="n">
        <f aca="false">F71*G71</f>
        <v>1042111.2976</v>
      </c>
    </row>
    <row r="72" customFormat="false" ht="15" hidden="false" customHeight="false" outlineLevel="0" collapsed="false">
      <c r="B72" s="46" t="s">
        <v>142</v>
      </c>
      <c r="C72" s="46" t="s">
        <v>138</v>
      </c>
      <c r="D72" s="47" t="n">
        <v>45413</v>
      </c>
      <c r="E72" s="46" t="s">
        <v>43</v>
      </c>
      <c r="F72" s="48" t="n">
        <v>188.3427</v>
      </c>
      <c r="G72" s="49" t="n">
        <v>3978.87</v>
      </c>
      <c r="H72" s="50" t="n">
        <f aca="false">F72*G72</f>
        <v>749391.118749</v>
      </c>
    </row>
    <row r="73" customFormat="false" ht="15" hidden="false" customHeight="false" outlineLevel="0" collapsed="false">
      <c r="B73" s="46" t="s">
        <v>143</v>
      </c>
      <c r="C73" s="46" t="s">
        <v>138</v>
      </c>
      <c r="D73" s="47" t="n">
        <v>45413</v>
      </c>
      <c r="E73" s="46" t="s">
        <v>43</v>
      </c>
      <c r="F73" s="48" t="n">
        <v>85.1933</v>
      </c>
      <c r="G73" s="49" t="n">
        <v>6671.82</v>
      </c>
      <c r="H73" s="50" t="n">
        <f aca="false">F73*G73</f>
        <v>568394.362806</v>
      </c>
    </row>
    <row r="74" customFormat="false" ht="15" hidden="false" customHeight="false" outlineLevel="0" collapsed="false">
      <c r="B74" s="46" t="s">
        <v>144</v>
      </c>
      <c r="C74" s="46" t="s">
        <v>138</v>
      </c>
      <c r="D74" s="47" t="n">
        <v>45413</v>
      </c>
      <c r="E74" s="46" t="s">
        <v>43</v>
      </c>
      <c r="F74" s="48" t="n">
        <v>88.9085</v>
      </c>
      <c r="G74" s="49" t="n">
        <v>4885.69</v>
      </c>
      <c r="H74" s="50" t="n">
        <f aca="false">F74*G74</f>
        <v>434379.369365</v>
      </c>
    </row>
    <row r="75" customFormat="false" ht="15" hidden="false" customHeight="false" outlineLevel="0" collapsed="false">
      <c r="B75" s="46" t="s">
        <v>145</v>
      </c>
      <c r="C75" s="46" t="s">
        <v>138</v>
      </c>
      <c r="D75" s="47" t="n">
        <v>45413</v>
      </c>
      <c r="E75" s="46" t="s">
        <v>43</v>
      </c>
      <c r="F75" s="48" t="n">
        <v>32.1856</v>
      </c>
      <c r="G75" s="49" t="n">
        <v>9189.34</v>
      </c>
      <c r="H75" s="50" t="n">
        <f aca="false">F75*G75</f>
        <v>295764.421504</v>
      </c>
    </row>
    <row r="76" customFormat="false" ht="15" hidden="false" customHeight="false" outlineLevel="0" collapsed="false">
      <c r="B76" s="46" t="s">
        <v>137</v>
      </c>
      <c r="C76" s="46" t="s">
        <v>138</v>
      </c>
      <c r="D76" s="47" t="n">
        <v>45444</v>
      </c>
      <c r="E76" s="46" t="s">
        <v>43</v>
      </c>
      <c r="F76" s="48" t="n">
        <v>163.284</v>
      </c>
      <c r="G76" s="49" t="n">
        <v>5509.32</v>
      </c>
      <c r="H76" s="50" t="n">
        <f aca="false">F76*G76</f>
        <v>899583.80688</v>
      </c>
    </row>
    <row r="77" customFormat="false" ht="15" hidden="false" customHeight="false" outlineLevel="0" collapsed="false">
      <c r="B77" s="46" t="s">
        <v>142</v>
      </c>
      <c r="C77" s="46" t="s">
        <v>138</v>
      </c>
      <c r="D77" s="47" t="n">
        <v>45444</v>
      </c>
      <c r="E77" s="46" t="s">
        <v>43</v>
      </c>
      <c r="F77" s="48" t="n">
        <v>189.9643</v>
      </c>
      <c r="G77" s="49" t="n">
        <v>3997.52</v>
      </c>
      <c r="H77" s="50" t="n">
        <f aca="false">F77*G77</f>
        <v>759386.088536</v>
      </c>
    </row>
    <row r="78" customFormat="false" ht="15" hidden="false" customHeight="false" outlineLevel="0" collapsed="false">
      <c r="B78" s="46" t="s">
        <v>143</v>
      </c>
      <c r="C78" s="46" t="s">
        <v>138</v>
      </c>
      <c r="D78" s="47" t="n">
        <v>45444</v>
      </c>
      <c r="E78" s="46" t="s">
        <v>43</v>
      </c>
      <c r="F78" s="48" t="n">
        <v>93.7979</v>
      </c>
      <c r="G78" s="49" t="n">
        <v>6728.06</v>
      </c>
      <c r="H78" s="50" t="n">
        <f aca="false">F78*G78</f>
        <v>631077.899074</v>
      </c>
    </row>
    <row r="79" customFormat="false" ht="15" hidden="false" customHeight="false" outlineLevel="0" collapsed="false">
      <c r="B79" s="46" t="s">
        <v>144</v>
      </c>
      <c r="C79" s="46" t="s">
        <v>138</v>
      </c>
      <c r="D79" s="47" t="n">
        <v>45444</v>
      </c>
      <c r="E79" s="46" t="s">
        <v>43</v>
      </c>
      <c r="F79" s="48" t="n">
        <v>103.1743</v>
      </c>
      <c r="G79" s="49" t="n">
        <v>4857.45</v>
      </c>
      <c r="H79" s="50" t="n">
        <f aca="false">F79*G79</f>
        <v>501164.003535</v>
      </c>
    </row>
    <row r="80" customFormat="false" ht="15" hidden="false" customHeight="false" outlineLevel="0" collapsed="false">
      <c r="B80" s="46" t="s">
        <v>145</v>
      </c>
      <c r="C80" s="46" t="s">
        <v>138</v>
      </c>
      <c r="D80" s="47" t="n">
        <v>45444</v>
      </c>
      <c r="E80" s="46" t="s">
        <v>43</v>
      </c>
      <c r="F80" s="48" t="n">
        <v>32.2995</v>
      </c>
      <c r="G80" s="49" t="n">
        <v>9248.16</v>
      </c>
      <c r="H80" s="50" t="n">
        <f aca="false">F80*G80</f>
        <v>298710.94392</v>
      </c>
    </row>
    <row r="81" customFormat="false" ht="15" hidden="false" customHeight="false" outlineLevel="0" collapsed="false">
      <c r="B81" s="46" t="s">
        <v>137</v>
      </c>
      <c r="C81" s="46" t="s">
        <v>138</v>
      </c>
      <c r="D81" s="47" t="n">
        <v>45474</v>
      </c>
      <c r="E81" s="46" t="s">
        <v>43</v>
      </c>
      <c r="F81" s="48" t="n">
        <v>178.539</v>
      </c>
      <c r="G81" s="49" t="n">
        <v>5430.85</v>
      </c>
      <c r="H81" s="50" t="n">
        <f aca="false">F81*G81</f>
        <v>969618.52815</v>
      </c>
    </row>
    <row r="82" customFormat="false" ht="15" hidden="false" customHeight="false" outlineLevel="0" collapsed="false">
      <c r="B82" s="46" t="s">
        <v>142</v>
      </c>
      <c r="C82" s="46" t="s">
        <v>138</v>
      </c>
      <c r="D82" s="47" t="n">
        <v>45474</v>
      </c>
      <c r="E82" s="46" t="s">
        <v>43</v>
      </c>
      <c r="F82" s="48" t="n">
        <v>204.013</v>
      </c>
      <c r="G82" s="49" t="n">
        <v>4037.73</v>
      </c>
      <c r="H82" s="50" t="n">
        <f aca="false">F82*G82</f>
        <v>823749.41049</v>
      </c>
    </row>
    <row r="83" customFormat="false" ht="15" hidden="false" customHeight="false" outlineLevel="0" collapsed="false">
      <c r="B83" s="46" t="s">
        <v>143</v>
      </c>
      <c r="C83" s="46" t="s">
        <v>138</v>
      </c>
      <c r="D83" s="47" t="n">
        <v>45474</v>
      </c>
      <c r="E83" s="46" t="s">
        <v>43</v>
      </c>
      <c r="F83" s="48" t="n">
        <v>89.0903</v>
      </c>
      <c r="G83" s="49" t="n">
        <v>6758.7</v>
      </c>
      <c r="H83" s="50" t="n">
        <f aca="false">F83*G83</f>
        <v>602134.61061</v>
      </c>
    </row>
    <row r="84" customFormat="false" ht="15" hidden="false" customHeight="false" outlineLevel="0" collapsed="false">
      <c r="B84" s="46" t="s">
        <v>144</v>
      </c>
      <c r="C84" s="46" t="s">
        <v>138</v>
      </c>
      <c r="D84" s="47" t="n">
        <v>45474</v>
      </c>
      <c r="E84" s="46" t="s">
        <v>43</v>
      </c>
      <c r="F84" s="48" t="n">
        <v>96.5669</v>
      </c>
      <c r="G84" s="49" t="n">
        <v>4792.11</v>
      </c>
      <c r="H84" s="50" t="n">
        <f aca="false">F84*G84</f>
        <v>462759.207159</v>
      </c>
    </row>
    <row r="85" customFormat="false" ht="15" hidden="false" customHeight="false" outlineLevel="0" collapsed="false">
      <c r="B85" s="46" t="s">
        <v>145</v>
      </c>
      <c r="C85" s="46" t="s">
        <v>138</v>
      </c>
      <c r="D85" s="47" t="n">
        <v>45474</v>
      </c>
      <c r="E85" s="46" t="s">
        <v>43</v>
      </c>
      <c r="F85" s="48" t="n">
        <v>34.4432</v>
      </c>
      <c r="G85" s="49" t="n">
        <v>9143.84</v>
      </c>
      <c r="H85" s="50" t="n">
        <f aca="false">F85*G85</f>
        <v>314943.109888</v>
      </c>
    </row>
    <row r="86" customFormat="false" ht="15" hidden="false" customHeight="false" outlineLevel="0" collapsed="false">
      <c r="B86" s="46" t="s">
        <v>137</v>
      </c>
      <c r="C86" s="46" t="s">
        <v>138</v>
      </c>
      <c r="D86" s="47" t="n">
        <v>45505</v>
      </c>
      <c r="E86" s="46" t="s">
        <v>43</v>
      </c>
      <c r="F86" s="48" t="n">
        <v>177.3934</v>
      </c>
      <c r="G86" s="49" t="n">
        <v>5383.35</v>
      </c>
      <c r="H86" s="50" t="n">
        <f aca="false">F86*G86</f>
        <v>954970.75989</v>
      </c>
    </row>
    <row r="87" customFormat="false" ht="15" hidden="false" customHeight="false" outlineLevel="0" collapsed="false">
      <c r="B87" s="46" t="s">
        <v>142</v>
      </c>
      <c r="C87" s="46" t="s">
        <v>138</v>
      </c>
      <c r="D87" s="47" t="n">
        <v>45505</v>
      </c>
      <c r="E87" s="46" t="s">
        <v>43</v>
      </c>
      <c r="F87" s="48" t="n">
        <v>195.6987</v>
      </c>
      <c r="G87" s="49" t="n">
        <v>4018.03</v>
      </c>
      <c r="H87" s="50" t="n">
        <f aca="false">F87*G87</f>
        <v>786323.247561</v>
      </c>
    </row>
    <row r="88" customFormat="false" ht="15" hidden="false" customHeight="false" outlineLevel="0" collapsed="false">
      <c r="B88" s="46" t="s">
        <v>143</v>
      </c>
      <c r="C88" s="46" t="s">
        <v>138</v>
      </c>
      <c r="D88" s="47" t="n">
        <v>45505</v>
      </c>
      <c r="E88" s="46" t="s">
        <v>43</v>
      </c>
      <c r="F88" s="48" t="n">
        <v>99.146</v>
      </c>
      <c r="G88" s="49" t="n">
        <v>6764.83</v>
      </c>
      <c r="H88" s="50" t="n">
        <f aca="false">F88*G88</f>
        <v>670705.83518</v>
      </c>
    </row>
    <row r="89" customFormat="false" ht="15" hidden="false" customHeight="false" outlineLevel="0" collapsed="false">
      <c r="B89" s="46" t="s">
        <v>144</v>
      </c>
      <c r="C89" s="46" t="s">
        <v>138</v>
      </c>
      <c r="D89" s="47" t="n">
        <v>45505</v>
      </c>
      <c r="E89" s="46" t="s">
        <v>43</v>
      </c>
      <c r="F89" s="48" t="n">
        <v>90.8204</v>
      </c>
      <c r="G89" s="49" t="n">
        <v>4858.73</v>
      </c>
      <c r="H89" s="50" t="n">
        <f aca="false">F89*G89</f>
        <v>441271.802092</v>
      </c>
    </row>
    <row r="90" customFormat="false" ht="15" hidden="false" customHeight="false" outlineLevel="0" collapsed="false">
      <c r="B90" s="46" t="s">
        <v>145</v>
      </c>
      <c r="C90" s="46" t="s">
        <v>138</v>
      </c>
      <c r="D90" s="47" t="n">
        <v>45505</v>
      </c>
      <c r="E90" s="46" t="s">
        <v>43</v>
      </c>
      <c r="F90" s="48" t="n">
        <v>32.9543</v>
      </c>
      <c r="G90" s="49" t="n">
        <v>9322.41</v>
      </c>
      <c r="H90" s="50" t="n">
        <f aca="false">F90*G90</f>
        <v>307213.495863</v>
      </c>
    </row>
    <row r="91" customFormat="false" ht="15" hidden="false" customHeight="false" outlineLevel="0" collapsed="false">
      <c r="B91" s="46" t="s">
        <v>137</v>
      </c>
      <c r="C91" s="46" t="s">
        <v>138</v>
      </c>
      <c r="D91" s="47" t="n">
        <v>45536</v>
      </c>
      <c r="E91" s="46" t="s">
        <v>43</v>
      </c>
      <c r="F91" s="48" t="n">
        <v>178.6605</v>
      </c>
      <c r="G91" s="49" t="n">
        <v>5339.13</v>
      </c>
      <c r="H91" s="50" t="n">
        <f aca="false">F91*G91</f>
        <v>953891.635365</v>
      </c>
    </row>
    <row r="92" customFormat="false" ht="15" hidden="false" customHeight="false" outlineLevel="0" collapsed="false">
      <c r="B92" s="46" t="s">
        <v>142</v>
      </c>
      <c r="C92" s="46" t="s">
        <v>138</v>
      </c>
      <c r="D92" s="47" t="n">
        <v>45536</v>
      </c>
      <c r="E92" s="46" t="s">
        <v>43</v>
      </c>
      <c r="F92" s="48" t="n">
        <v>188.8263</v>
      </c>
      <c r="G92" s="49" t="n">
        <v>4015.28</v>
      </c>
      <c r="H92" s="50" t="n">
        <f aca="false">F92*G92</f>
        <v>758190.465864</v>
      </c>
    </row>
    <row r="93" customFormat="false" ht="15" hidden="false" customHeight="false" outlineLevel="0" collapsed="false">
      <c r="B93" s="46" t="s">
        <v>143</v>
      </c>
      <c r="C93" s="46" t="s">
        <v>138</v>
      </c>
      <c r="D93" s="47" t="n">
        <v>45536</v>
      </c>
      <c r="E93" s="46" t="s">
        <v>43</v>
      </c>
      <c r="F93" s="48" t="n">
        <v>95.3877</v>
      </c>
      <c r="G93" s="49" t="n">
        <v>6689.3</v>
      </c>
      <c r="H93" s="50" t="n">
        <f aca="false">F93*G93</f>
        <v>638076.94161</v>
      </c>
    </row>
    <row r="94" customFormat="false" ht="15" hidden="false" customHeight="false" outlineLevel="0" collapsed="false">
      <c r="B94" s="46" t="s">
        <v>144</v>
      </c>
      <c r="C94" s="46" t="s">
        <v>138</v>
      </c>
      <c r="D94" s="47" t="n">
        <v>45536</v>
      </c>
      <c r="E94" s="46" t="s">
        <v>43</v>
      </c>
      <c r="F94" s="48" t="n">
        <v>99.0345</v>
      </c>
      <c r="G94" s="49" t="n">
        <v>4926.56</v>
      </c>
      <c r="H94" s="50" t="n">
        <f aca="false">F94*G94</f>
        <v>487899.40632</v>
      </c>
    </row>
    <row r="95" customFormat="false" ht="15" hidden="false" customHeight="false" outlineLevel="0" collapsed="false">
      <c r="B95" s="46" t="s">
        <v>145</v>
      </c>
      <c r="C95" s="46" t="s">
        <v>138</v>
      </c>
      <c r="D95" s="47" t="n">
        <v>45536</v>
      </c>
      <c r="E95" s="46" t="s">
        <v>43</v>
      </c>
      <c r="F95" s="48" t="n">
        <v>30.2129</v>
      </c>
      <c r="G95" s="49" t="n">
        <v>9334.91</v>
      </c>
      <c r="H95" s="50" t="n">
        <f aca="false">F95*G95</f>
        <v>282034.702339</v>
      </c>
    </row>
    <row r="96" customFormat="false" ht="15" hidden="false" customHeight="false" outlineLevel="0" collapsed="false">
      <c r="B96" s="46" t="s">
        <v>137</v>
      </c>
      <c r="C96" s="46" t="s">
        <v>138</v>
      </c>
      <c r="D96" s="47" t="n">
        <v>45566</v>
      </c>
      <c r="E96" s="46" t="s">
        <v>43</v>
      </c>
      <c r="F96" s="48" t="n">
        <v>185.6971</v>
      </c>
      <c r="G96" s="49" t="n">
        <v>5430.47</v>
      </c>
      <c r="H96" s="50" t="n">
        <f aca="false">F96*G96</f>
        <v>1008422.530637</v>
      </c>
    </row>
    <row r="97" customFormat="false" ht="15" hidden="false" customHeight="false" outlineLevel="0" collapsed="false">
      <c r="B97" s="46" t="s">
        <v>142</v>
      </c>
      <c r="C97" s="46" t="s">
        <v>138</v>
      </c>
      <c r="D97" s="47" t="n">
        <v>45566</v>
      </c>
      <c r="E97" s="46" t="s">
        <v>43</v>
      </c>
      <c r="F97" s="48" t="n">
        <v>197.1428</v>
      </c>
      <c r="G97" s="49" t="n">
        <v>3972.83</v>
      </c>
      <c r="H97" s="50" t="n">
        <f aca="false">F97*G97</f>
        <v>783214.830124</v>
      </c>
    </row>
    <row r="98" customFormat="false" ht="15" hidden="false" customHeight="false" outlineLevel="0" collapsed="false">
      <c r="B98" s="46" t="s">
        <v>143</v>
      </c>
      <c r="C98" s="46" t="s">
        <v>138</v>
      </c>
      <c r="D98" s="47" t="n">
        <v>45566</v>
      </c>
      <c r="E98" s="46" t="s">
        <v>43</v>
      </c>
      <c r="F98" s="48" t="n">
        <v>100.9789</v>
      </c>
      <c r="G98" s="49" t="n">
        <v>6813.74</v>
      </c>
      <c r="H98" s="50" t="n">
        <f aca="false">F98*G98</f>
        <v>688043.970086</v>
      </c>
    </row>
    <row r="99" customFormat="false" ht="15" hidden="false" customHeight="false" outlineLevel="0" collapsed="false">
      <c r="B99" s="46" t="s">
        <v>144</v>
      </c>
      <c r="C99" s="46" t="s">
        <v>138</v>
      </c>
      <c r="D99" s="47" t="n">
        <v>45566</v>
      </c>
      <c r="E99" s="46" t="s">
        <v>43</v>
      </c>
      <c r="F99" s="48" t="n">
        <v>102.2698</v>
      </c>
      <c r="G99" s="49" t="n">
        <v>4893.68</v>
      </c>
      <c r="H99" s="50" t="n">
        <f aca="false">F99*G99</f>
        <v>500475.674864</v>
      </c>
    </row>
    <row r="100" customFormat="false" ht="15" hidden="false" customHeight="false" outlineLevel="0" collapsed="false">
      <c r="B100" s="46" t="s">
        <v>145</v>
      </c>
      <c r="C100" s="46" t="s">
        <v>138</v>
      </c>
      <c r="D100" s="47" t="n">
        <v>45566</v>
      </c>
      <c r="E100" s="46" t="s">
        <v>43</v>
      </c>
      <c r="F100" s="48" t="n">
        <v>35.1301</v>
      </c>
      <c r="G100" s="49" t="n">
        <v>9309.42</v>
      </c>
      <c r="H100" s="50" t="n">
        <f aca="false">F100*G100</f>
        <v>327040.855542</v>
      </c>
    </row>
    <row r="101" customFormat="false" ht="15" hidden="false" customHeight="false" outlineLevel="0" collapsed="false">
      <c r="B101" s="46" t="s">
        <v>137</v>
      </c>
      <c r="C101" s="46" t="s">
        <v>138</v>
      </c>
      <c r="D101" s="47" t="n">
        <v>45597</v>
      </c>
      <c r="E101" s="46" t="s">
        <v>43</v>
      </c>
      <c r="F101" s="48" t="n">
        <v>194.1485</v>
      </c>
      <c r="G101" s="49" t="n">
        <v>5544.86</v>
      </c>
      <c r="H101" s="50" t="n">
        <f aca="false">F101*G101</f>
        <v>1076526.25171</v>
      </c>
    </row>
    <row r="102" customFormat="false" ht="15" hidden="false" customHeight="false" outlineLevel="0" collapsed="false">
      <c r="B102" s="46" t="s">
        <v>142</v>
      </c>
      <c r="C102" s="46" t="s">
        <v>138</v>
      </c>
      <c r="D102" s="47" t="n">
        <v>45597</v>
      </c>
      <c r="E102" s="46" t="s">
        <v>43</v>
      </c>
      <c r="F102" s="48" t="n">
        <v>194.9589</v>
      </c>
      <c r="G102" s="49" t="n">
        <v>4030.45</v>
      </c>
      <c r="H102" s="50" t="n">
        <f aca="false">F102*G102</f>
        <v>785772.098505</v>
      </c>
    </row>
    <row r="103" customFormat="false" ht="15" hidden="false" customHeight="false" outlineLevel="0" collapsed="false">
      <c r="B103" s="46" t="s">
        <v>143</v>
      </c>
      <c r="C103" s="46" t="s">
        <v>138</v>
      </c>
      <c r="D103" s="47" t="n">
        <v>45597</v>
      </c>
      <c r="E103" s="46" t="s">
        <v>43</v>
      </c>
      <c r="F103" s="48" t="n">
        <v>94.3759</v>
      </c>
      <c r="G103" s="49" t="n">
        <v>6841.34</v>
      </c>
      <c r="H103" s="50" t="n">
        <f aca="false">F103*G103</f>
        <v>645657.619706</v>
      </c>
    </row>
    <row r="104" customFormat="false" ht="15" hidden="false" customHeight="false" outlineLevel="0" collapsed="false">
      <c r="B104" s="46" t="s">
        <v>144</v>
      </c>
      <c r="C104" s="46" t="s">
        <v>138</v>
      </c>
      <c r="D104" s="47" t="n">
        <v>45597</v>
      </c>
      <c r="E104" s="46" t="s">
        <v>43</v>
      </c>
      <c r="F104" s="48" t="n">
        <v>108.7445</v>
      </c>
      <c r="G104" s="49" t="n">
        <v>4931.14</v>
      </c>
      <c r="H104" s="50" t="n">
        <f aca="false">F104*G104</f>
        <v>536234.35373</v>
      </c>
    </row>
    <row r="105" customFormat="false" ht="15" hidden="false" customHeight="false" outlineLevel="0" collapsed="false">
      <c r="B105" s="46" t="s">
        <v>145</v>
      </c>
      <c r="C105" s="46" t="s">
        <v>138</v>
      </c>
      <c r="D105" s="47" t="n">
        <v>45597</v>
      </c>
      <c r="E105" s="46" t="s">
        <v>43</v>
      </c>
      <c r="F105" s="48" t="n">
        <v>33.2467</v>
      </c>
      <c r="G105" s="49" t="n">
        <v>9528.54</v>
      </c>
      <c r="H105" s="50" t="n">
        <f aca="false">F105*G105</f>
        <v>316792.510818</v>
      </c>
    </row>
    <row r="106" customFormat="false" ht="15" hidden="false" customHeight="false" outlineLevel="0" collapsed="false">
      <c r="B106" s="46" t="s">
        <v>137</v>
      </c>
      <c r="C106" s="46" t="s">
        <v>138</v>
      </c>
      <c r="D106" s="47" t="n">
        <v>45627</v>
      </c>
      <c r="E106" s="46" t="s">
        <v>43</v>
      </c>
      <c r="F106" s="48" t="n">
        <v>189.9003</v>
      </c>
      <c r="G106" s="49" t="n">
        <v>5524.09</v>
      </c>
      <c r="H106" s="50" t="n">
        <f aca="false">F106*G106</f>
        <v>1049026.348227</v>
      </c>
    </row>
    <row r="107" customFormat="false" ht="15" hidden="false" customHeight="false" outlineLevel="0" collapsed="false">
      <c r="B107" s="46" t="s">
        <v>142</v>
      </c>
      <c r="C107" s="46" t="s">
        <v>138</v>
      </c>
      <c r="D107" s="47" t="n">
        <v>45627</v>
      </c>
      <c r="E107" s="46" t="s">
        <v>43</v>
      </c>
      <c r="F107" s="48" t="n">
        <v>170.2544</v>
      </c>
      <c r="G107" s="49" t="n">
        <v>4010.52</v>
      </c>
      <c r="H107" s="50" t="n">
        <f aca="false">F107*G107</f>
        <v>682808.676288</v>
      </c>
    </row>
    <row r="108" customFormat="false" ht="15" hidden="false" customHeight="false" outlineLevel="0" collapsed="false">
      <c r="B108" s="46" t="s">
        <v>143</v>
      </c>
      <c r="C108" s="46" t="s">
        <v>138</v>
      </c>
      <c r="D108" s="47" t="n">
        <v>45627</v>
      </c>
      <c r="E108" s="46" t="s">
        <v>43</v>
      </c>
      <c r="F108" s="48" t="n">
        <v>95.0438</v>
      </c>
      <c r="G108" s="49" t="n">
        <v>6794.94</v>
      </c>
      <c r="H108" s="50" t="n">
        <f aca="false">F108*G108</f>
        <v>645816.918372</v>
      </c>
    </row>
    <row r="109" customFormat="false" ht="15" hidden="false" customHeight="false" outlineLevel="0" collapsed="false">
      <c r="B109" s="46" t="s">
        <v>144</v>
      </c>
      <c r="C109" s="46" t="s">
        <v>138</v>
      </c>
      <c r="D109" s="47" t="n">
        <v>45627</v>
      </c>
      <c r="E109" s="46" t="s">
        <v>43</v>
      </c>
      <c r="F109" s="48" t="n">
        <v>93.1328</v>
      </c>
      <c r="G109" s="49" t="n">
        <v>4947.85</v>
      </c>
      <c r="H109" s="50" t="n">
        <f aca="false">F109*G109</f>
        <v>460807.12448</v>
      </c>
    </row>
    <row r="110" customFormat="false" ht="15" hidden="false" customHeight="false" outlineLevel="0" collapsed="false">
      <c r="B110" s="46" t="s">
        <v>145</v>
      </c>
      <c r="C110" s="46" t="s">
        <v>138</v>
      </c>
      <c r="D110" s="47" t="n">
        <v>45627</v>
      </c>
      <c r="E110" s="46" t="s">
        <v>43</v>
      </c>
      <c r="F110" s="48" t="n">
        <v>32.9283</v>
      </c>
      <c r="G110" s="49" t="n">
        <v>9414.28</v>
      </c>
      <c r="H110" s="50" t="n">
        <f aca="false">F110*G110</f>
        <v>309996.236124</v>
      </c>
    </row>
    <row r="111" customFormat="false" ht="15" hidden="false" customHeight="false" outlineLevel="0" collapsed="false">
      <c r="B111" s="46" t="s">
        <v>137</v>
      </c>
      <c r="C111" s="46" t="s">
        <v>138</v>
      </c>
      <c r="D111" s="47" t="n">
        <v>45658</v>
      </c>
      <c r="E111" s="46" t="s">
        <v>43</v>
      </c>
      <c r="F111" s="48" t="n">
        <v>187.8702</v>
      </c>
      <c r="G111" s="49" t="n">
        <v>5471.8</v>
      </c>
      <c r="H111" s="50" t="n">
        <f aca="false">F111*G111</f>
        <v>1027988.16036</v>
      </c>
    </row>
    <row r="112" customFormat="false" ht="15" hidden="false" customHeight="false" outlineLevel="0" collapsed="false">
      <c r="B112" s="46" t="s">
        <v>142</v>
      </c>
      <c r="C112" s="46" t="s">
        <v>138</v>
      </c>
      <c r="D112" s="47" t="n">
        <v>45658</v>
      </c>
      <c r="E112" s="46" t="s">
        <v>43</v>
      </c>
      <c r="F112" s="48" t="n">
        <v>170.8096</v>
      </c>
      <c r="G112" s="49" t="n">
        <v>4034.95</v>
      </c>
      <c r="H112" s="50" t="n">
        <f aca="false">F112*G112</f>
        <v>689208.19552</v>
      </c>
    </row>
    <row r="113" customFormat="false" ht="15" hidden="false" customHeight="false" outlineLevel="0" collapsed="false">
      <c r="B113" s="46" t="s">
        <v>143</v>
      </c>
      <c r="C113" s="46" t="s">
        <v>138</v>
      </c>
      <c r="D113" s="47" t="n">
        <v>45658</v>
      </c>
      <c r="E113" s="46" t="s">
        <v>43</v>
      </c>
      <c r="F113" s="48" t="n">
        <v>90.6521</v>
      </c>
      <c r="G113" s="49" t="n">
        <v>6786.82</v>
      </c>
      <c r="H113" s="50" t="n">
        <f aca="false">F113*G113</f>
        <v>615239.485322</v>
      </c>
    </row>
    <row r="114" customFormat="false" ht="15" hidden="false" customHeight="false" outlineLevel="0" collapsed="false">
      <c r="B114" s="46" t="s">
        <v>144</v>
      </c>
      <c r="C114" s="46" t="s">
        <v>138</v>
      </c>
      <c r="D114" s="47" t="n">
        <v>45658</v>
      </c>
      <c r="E114" s="46" t="s">
        <v>43</v>
      </c>
      <c r="F114" s="48" t="n">
        <v>103.1451</v>
      </c>
      <c r="G114" s="49" t="n">
        <v>4988.87</v>
      </c>
      <c r="H114" s="50" t="n">
        <f aca="false">F114*G114</f>
        <v>514577.495037</v>
      </c>
    </row>
    <row r="115" customFormat="false" ht="15" hidden="false" customHeight="false" outlineLevel="0" collapsed="false">
      <c r="B115" s="46" t="s">
        <v>145</v>
      </c>
      <c r="C115" s="46" t="s">
        <v>138</v>
      </c>
      <c r="D115" s="47" t="n">
        <v>45658</v>
      </c>
      <c r="E115" s="46" t="s">
        <v>43</v>
      </c>
      <c r="F115" s="48" t="n">
        <v>32.3352</v>
      </c>
      <c r="G115" s="49" t="n">
        <v>9516.92</v>
      </c>
      <c r="H115" s="50" t="n">
        <f aca="false">F115*G115</f>
        <v>307731.511584</v>
      </c>
    </row>
    <row r="116" customFormat="false" ht="15" hidden="false" customHeight="false" outlineLevel="0" collapsed="false">
      <c r="B116" s="46" t="s">
        <v>137</v>
      </c>
      <c r="C116" s="46" t="s">
        <v>138</v>
      </c>
      <c r="D116" s="47" t="n">
        <v>45689</v>
      </c>
      <c r="E116" s="46" t="s">
        <v>43</v>
      </c>
      <c r="F116" s="48" t="n">
        <v>182.729</v>
      </c>
      <c r="G116" s="49" t="n">
        <v>5495.99</v>
      </c>
      <c r="H116" s="50" t="n">
        <f aca="false">F116*G116</f>
        <v>1004276.75671</v>
      </c>
    </row>
    <row r="117" customFormat="false" ht="15" hidden="false" customHeight="false" outlineLevel="0" collapsed="false">
      <c r="B117" s="46" t="s">
        <v>142</v>
      </c>
      <c r="C117" s="46" t="s">
        <v>138</v>
      </c>
      <c r="D117" s="47" t="n">
        <v>45689</v>
      </c>
      <c r="E117" s="46" t="s">
        <v>43</v>
      </c>
      <c r="F117" s="48" t="n">
        <v>197.3015</v>
      </c>
      <c r="G117" s="49" t="n">
        <v>4000.24</v>
      </c>
      <c r="H117" s="50" t="n">
        <f aca="false">F117*G117</f>
        <v>789253.35236</v>
      </c>
    </row>
    <row r="118" customFormat="false" ht="15" hidden="false" customHeight="false" outlineLevel="0" collapsed="false">
      <c r="B118" s="46" t="s">
        <v>143</v>
      </c>
      <c r="C118" s="46" t="s">
        <v>138</v>
      </c>
      <c r="D118" s="47" t="n">
        <v>45689</v>
      </c>
      <c r="E118" s="46" t="s">
        <v>43</v>
      </c>
      <c r="F118" s="48" t="n">
        <v>91.4544</v>
      </c>
      <c r="G118" s="49" t="n">
        <v>6919.53</v>
      </c>
      <c r="H118" s="50" t="n">
        <f aca="false">F118*G118</f>
        <v>632821.464432</v>
      </c>
    </row>
    <row r="119" customFormat="false" ht="15" hidden="false" customHeight="false" outlineLevel="0" collapsed="false">
      <c r="B119" s="46" t="s">
        <v>144</v>
      </c>
      <c r="C119" s="46" t="s">
        <v>138</v>
      </c>
      <c r="D119" s="47" t="n">
        <v>45689</v>
      </c>
      <c r="E119" s="46" t="s">
        <v>43</v>
      </c>
      <c r="F119" s="48" t="n">
        <v>97.5033</v>
      </c>
      <c r="G119" s="49" t="n">
        <v>4929.24</v>
      </c>
      <c r="H119" s="50" t="n">
        <f aca="false">F119*G119</f>
        <v>480617.166492</v>
      </c>
    </row>
    <row r="120" customFormat="false" ht="15" hidden="false" customHeight="false" outlineLevel="0" collapsed="false">
      <c r="B120" s="46" t="s">
        <v>145</v>
      </c>
      <c r="C120" s="46" t="s">
        <v>138</v>
      </c>
      <c r="D120" s="47" t="n">
        <v>45689</v>
      </c>
      <c r="E120" s="46" t="s">
        <v>43</v>
      </c>
      <c r="F120" s="48" t="n">
        <v>32.9519</v>
      </c>
      <c r="G120" s="49" t="n">
        <v>9481.49</v>
      </c>
      <c r="H120" s="50" t="n">
        <f aca="false">F120*G120</f>
        <v>312433.110331</v>
      </c>
    </row>
    <row r="121" customFormat="false" ht="15" hidden="false" customHeight="false" outlineLevel="0" collapsed="false">
      <c r="B121" s="46" t="s">
        <v>137</v>
      </c>
      <c r="C121" s="46" t="s">
        <v>138</v>
      </c>
      <c r="D121" s="47" t="n">
        <v>45717</v>
      </c>
      <c r="E121" s="46" t="s">
        <v>43</v>
      </c>
      <c r="F121" s="48" t="n">
        <v>212.0381</v>
      </c>
      <c r="G121" s="49" t="n">
        <v>5544.59</v>
      </c>
      <c r="H121" s="50" t="n">
        <f aca="false">F121*G121</f>
        <v>1175664.328879</v>
      </c>
    </row>
    <row r="122" customFormat="false" ht="15" hidden="false" customHeight="false" outlineLevel="0" collapsed="false">
      <c r="B122" s="46" t="s">
        <v>142</v>
      </c>
      <c r="C122" s="46" t="s">
        <v>138</v>
      </c>
      <c r="D122" s="47" t="n">
        <v>45717</v>
      </c>
      <c r="E122" s="46" t="s">
        <v>43</v>
      </c>
      <c r="F122" s="48" t="n">
        <v>194.1007</v>
      </c>
      <c r="G122" s="49" t="n">
        <v>4057.89</v>
      </c>
      <c r="H122" s="50" t="n">
        <f aca="false">F122*G122</f>
        <v>787639.289523</v>
      </c>
    </row>
    <row r="123" customFormat="false" ht="15" hidden="false" customHeight="false" outlineLevel="0" collapsed="false">
      <c r="B123" s="46" t="s">
        <v>143</v>
      </c>
      <c r="C123" s="46" t="s">
        <v>138</v>
      </c>
      <c r="D123" s="47" t="n">
        <v>45717</v>
      </c>
      <c r="E123" s="46" t="s">
        <v>43</v>
      </c>
      <c r="F123" s="48" t="n">
        <v>97.6789</v>
      </c>
      <c r="G123" s="49" t="n">
        <v>6903.88</v>
      </c>
      <c r="H123" s="50" t="n">
        <f aca="false">F123*G123</f>
        <v>674363.404132</v>
      </c>
    </row>
    <row r="124" customFormat="false" ht="15" hidden="false" customHeight="false" outlineLevel="0" collapsed="false">
      <c r="B124" s="46" t="s">
        <v>144</v>
      </c>
      <c r="C124" s="46" t="s">
        <v>138</v>
      </c>
      <c r="D124" s="47" t="n">
        <v>45717</v>
      </c>
      <c r="E124" s="46" t="s">
        <v>43</v>
      </c>
      <c r="F124" s="48" t="n">
        <v>110.3025</v>
      </c>
      <c r="G124" s="49" t="n">
        <v>4912.55</v>
      </c>
      <c r="H124" s="50" t="n">
        <f aca="false">F124*G124</f>
        <v>541866.546375</v>
      </c>
    </row>
    <row r="125" customFormat="false" ht="15" hidden="false" customHeight="false" outlineLevel="0" collapsed="false">
      <c r="B125" s="46" t="s">
        <v>145</v>
      </c>
      <c r="C125" s="46" t="s">
        <v>138</v>
      </c>
      <c r="D125" s="47" t="n">
        <v>45717</v>
      </c>
      <c r="E125" s="46" t="s">
        <v>43</v>
      </c>
      <c r="F125" s="48" t="n">
        <v>39.4684</v>
      </c>
      <c r="G125" s="49" t="n">
        <v>9610.45</v>
      </c>
      <c r="H125" s="50" t="n">
        <f aca="false">F125*G125</f>
        <v>379309.08478</v>
      </c>
    </row>
    <row r="126" customFormat="false" ht="15" hidden="false" customHeight="false" outlineLevel="0" collapsed="false">
      <c r="B126" s="46" t="s">
        <v>137</v>
      </c>
      <c r="C126" s="46" t="s">
        <v>138</v>
      </c>
      <c r="D126" s="47" t="n">
        <v>45748</v>
      </c>
      <c r="E126" s="46" t="s">
        <v>44</v>
      </c>
      <c r="F126" s="48" t="n">
        <v>193.1277</v>
      </c>
      <c r="G126" s="49" t="n">
        <v>5574.78</v>
      </c>
      <c r="H126" s="50" t="n">
        <f aca="false">F126*G126</f>
        <v>1076644.439406</v>
      </c>
    </row>
    <row r="127" customFormat="false" ht="15" hidden="false" customHeight="false" outlineLevel="0" collapsed="false">
      <c r="B127" s="46" t="s">
        <v>142</v>
      </c>
      <c r="C127" s="46" t="s">
        <v>138</v>
      </c>
      <c r="D127" s="47" t="n">
        <v>45748</v>
      </c>
      <c r="E127" s="46" t="s">
        <v>44</v>
      </c>
      <c r="F127" s="48" t="n">
        <v>202.8466</v>
      </c>
      <c r="G127" s="49" t="n">
        <v>4143.34</v>
      </c>
      <c r="H127" s="50" t="n">
        <f aca="false">F127*G127</f>
        <v>840462.431644</v>
      </c>
    </row>
    <row r="128" customFormat="false" ht="15" hidden="false" customHeight="false" outlineLevel="0" collapsed="false">
      <c r="B128" s="46" t="s">
        <v>143</v>
      </c>
      <c r="C128" s="46" t="s">
        <v>138</v>
      </c>
      <c r="D128" s="47" t="n">
        <v>45748</v>
      </c>
      <c r="E128" s="46" t="s">
        <v>44</v>
      </c>
      <c r="F128" s="48" t="n">
        <v>90.5596</v>
      </c>
      <c r="G128" s="49" t="n">
        <v>7058.07</v>
      </c>
      <c r="H128" s="50" t="n">
        <f aca="false">F128*G128</f>
        <v>639175.995972</v>
      </c>
    </row>
    <row r="129" customFormat="false" ht="15" hidden="false" customHeight="false" outlineLevel="0" collapsed="false">
      <c r="B129" s="46" t="s">
        <v>144</v>
      </c>
      <c r="C129" s="46" t="s">
        <v>138</v>
      </c>
      <c r="D129" s="47" t="n">
        <v>45748</v>
      </c>
      <c r="E129" s="46" t="s">
        <v>44</v>
      </c>
      <c r="F129" s="48" t="n">
        <v>105.2186</v>
      </c>
      <c r="G129" s="49" t="n">
        <v>5059.79</v>
      </c>
      <c r="H129" s="50" t="n">
        <f aca="false">F129*G129</f>
        <v>532384.020094</v>
      </c>
    </row>
    <row r="130" customFormat="false" ht="15" hidden="false" customHeight="false" outlineLevel="0" collapsed="false">
      <c r="B130" s="46" t="s">
        <v>145</v>
      </c>
      <c r="C130" s="46" t="s">
        <v>138</v>
      </c>
      <c r="D130" s="47" t="n">
        <v>45748</v>
      </c>
      <c r="E130" s="46" t="s">
        <v>44</v>
      </c>
      <c r="F130" s="48" t="n">
        <v>35.5739</v>
      </c>
      <c r="G130" s="49" t="n">
        <v>9490.67</v>
      </c>
      <c r="H130" s="50" t="n">
        <f aca="false">F130*G130</f>
        <v>337620.145513</v>
      </c>
    </row>
    <row r="131" customFormat="false" ht="15" hidden="false" customHeight="false" outlineLevel="0" collapsed="false">
      <c r="B131" s="46" t="s">
        <v>137</v>
      </c>
      <c r="C131" s="46" t="s">
        <v>138</v>
      </c>
      <c r="D131" s="47" t="n">
        <v>45778</v>
      </c>
      <c r="E131" s="46" t="s">
        <v>44</v>
      </c>
      <c r="F131" s="48" t="n">
        <v>181.3949</v>
      </c>
      <c r="G131" s="49" t="n">
        <v>5700.9</v>
      </c>
      <c r="H131" s="50" t="n">
        <f aca="false">F131*G131</f>
        <v>1034114.18541</v>
      </c>
    </row>
    <row r="132" customFormat="false" ht="15" hidden="false" customHeight="false" outlineLevel="0" collapsed="false">
      <c r="B132" s="46" t="s">
        <v>142</v>
      </c>
      <c r="C132" s="46" t="s">
        <v>138</v>
      </c>
      <c r="D132" s="47" t="n">
        <v>45778</v>
      </c>
      <c r="E132" s="46" t="s">
        <v>44</v>
      </c>
      <c r="F132" s="48" t="n">
        <v>197.4091</v>
      </c>
      <c r="G132" s="49" t="n">
        <v>4132.36</v>
      </c>
      <c r="H132" s="50" t="n">
        <f aca="false">F132*G132</f>
        <v>815765.468476</v>
      </c>
    </row>
    <row r="133" customFormat="false" ht="15" hidden="false" customHeight="false" outlineLevel="0" collapsed="false">
      <c r="B133" s="46" t="s">
        <v>143</v>
      </c>
      <c r="C133" s="46" t="s">
        <v>138</v>
      </c>
      <c r="D133" s="47" t="n">
        <v>45778</v>
      </c>
      <c r="E133" s="46" t="s">
        <v>44</v>
      </c>
      <c r="F133" s="48" t="n">
        <v>93.8338</v>
      </c>
      <c r="G133" s="49" t="n">
        <v>7006.5</v>
      </c>
      <c r="H133" s="50" t="n">
        <f aca="false">F133*G133</f>
        <v>657446.5197</v>
      </c>
    </row>
    <row r="134" customFormat="false" ht="15" hidden="false" customHeight="false" outlineLevel="0" collapsed="false">
      <c r="B134" s="46" t="s">
        <v>144</v>
      </c>
      <c r="C134" s="46" t="s">
        <v>138</v>
      </c>
      <c r="D134" s="47" t="n">
        <v>45778</v>
      </c>
      <c r="E134" s="46" t="s">
        <v>44</v>
      </c>
      <c r="F134" s="48" t="n">
        <v>96.8819</v>
      </c>
      <c r="G134" s="49" t="n">
        <v>5004.51</v>
      </c>
      <c r="H134" s="50" t="n">
        <f aca="false">F134*G134</f>
        <v>484846.437369</v>
      </c>
    </row>
    <row r="135" customFormat="false" ht="15" hidden="false" customHeight="false" outlineLevel="0" collapsed="false">
      <c r="B135" s="46" t="s">
        <v>145</v>
      </c>
      <c r="C135" s="46" t="s">
        <v>138</v>
      </c>
      <c r="D135" s="47" t="n">
        <v>45778</v>
      </c>
      <c r="E135" s="46" t="s">
        <v>44</v>
      </c>
      <c r="F135" s="48" t="n">
        <v>34.3137</v>
      </c>
      <c r="G135" s="49" t="n">
        <v>9649.29</v>
      </c>
      <c r="H135" s="50" t="n">
        <f aca="false">F135*G135</f>
        <v>331102.842273</v>
      </c>
    </row>
    <row r="136" customFormat="false" ht="15" hidden="false" customHeight="false" outlineLevel="0" collapsed="false">
      <c r="B136" s="46" t="s">
        <v>137</v>
      </c>
      <c r="C136" s="46" t="s">
        <v>138</v>
      </c>
      <c r="D136" s="47" t="n">
        <v>45809</v>
      </c>
      <c r="E136" s="46" t="s">
        <v>44</v>
      </c>
      <c r="F136" s="48" t="n">
        <v>184.5153</v>
      </c>
      <c r="G136" s="49" t="n">
        <v>5637.23</v>
      </c>
      <c r="H136" s="50" t="n">
        <f aca="false">F136*G136</f>
        <v>1040155.184619</v>
      </c>
    </row>
    <row r="137" customFormat="false" ht="15" hidden="false" customHeight="false" outlineLevel="0" collapsed="false">
      <c r="B137" s="46" t="s">
        <v>142</v>
      </c>
      <c r="C137" s="46" t="s">
        <v>138</v>
      </c>
      <c r="D137" s="47" t="n">
        <v>45809</v>
      </c>
      <c r="E137" s="46" t="s">
        <v>44</v>
      </c>
      <c r="F137" s="48" t="n">
        <v>183.6633</v>
      </c>
      <c r="G137" s="49" t="n">
        <v>4083.28</v>
      </c>
      <c r="H137" s="50" t="n">
        <f aca="false">F137*G137</f>
        <v>749948.679624</v>
      </c>
    </row>
    <row r="138" customFormat="false" ht="15" hidden="false" customHeight="false" outlineLevel="0" collapsed="false">
      <c r="B138" s="46" t="s">
        <v>143</v>
      </c>
      <c r="C138" s="46" t="s">
        <v>138</v>
      </c>
      <c r="D138" s="47" t="n">
        <v>45809</v>
      </c>
      <c r="E138" s="46" t="s">
        <v>44</v>
      </c>
      <c r="F138" s="48" t="n">
        <v>88.7866</v>
      </c>
      <c r="G138" s="49" t="n">
        <v>7046.93</v>
      </c>
      <c r="H138" s="50" t="n">
        <f aca="false">F138*G138</f>
        <v>625672.955138</v>
      </c>
    </row>
    <row r="139" customFormat="false" ht="15" hidden="false" customHeight="false" outlineLevel="0" collapsed="false">
      <c r="B139" s="46" t="s">
        <v>144</v>
      </c>
      <c r="C139" s="46" t="s">
        <v>138</v>
      </c>
      <c r="D139" s="47" t="n">
        <v>45809</v>
      </c>
      <c r="E139" s="46" t="s">
        <v>44</v>
      </c>
      <c r="F139" s="48" t="n">
        <v>103.6925</v>
      </c>
      <c r="G139" s="49" t="n">
        <v>5097.35</v>
      </c>
      <c r="H139" s="50" t="n">
        <f aca="false">F139*G139</f>
        <v>528556.964875</v>
      </c>
    </row>
    <row r="140" customFormat="false" ht="15" hidden="false" customHeight="false" outlineLevel="0" collapsed="false">
      <c r="B140" s="46" t="s">
        <v>145</v>
      </c>
      <c r="C140" s="46" t="s">
        <v>138</v>
      </c>
      <c r="D140" s="47" t="n">
        <v>45809</v>
      </c>
      <c r="E140" s="46" t="s">
        <v>44</v>
      </c>
      <c r="F140" s="48" t="n">
        <v>36.0488</v>
      </c>
      <c r="G140" s="49" t="n">
        <v>9799.04</v>
      </c>
      <c r="H140" s="50" t="n">
        <f aca="false">F140*G140</f>
        <v>353243.633152</v>
      </c>
    </row>
    <row r="141" customFormat="false" ht="15" hidden="false" customHeight="false" outlineLevel="0" collapsed="false">
      <c r="B141" s="46" t="s">
        <v>137</v>
      </c>
      <c r="C141" s="46" t="s">
        <v>138</v>
      </c>
      <c r="D141" s="47" t="n">
        <v>45839</v>
      </c>
      <c r="E141" s="46" t="s">
        <v>44</v>
      </c>
      <c r="F141" s="48" t="n">
        <v>188.9892</v>
      </c>
      <c r="G141" s="49" t="n">
        <v>5499.17</v>
      </c>
      <c r="H141" s="50" t="n">
        <f aca="false">F141*G141</f>
        <v>1039283.738964</v>
      </c>
    </row>
    <row r="142" customFormat="false" ht="15" hidden="false" customHeight="false" outlineLevel="0" collapsed="false">
      <c r="B142" s="46" t="s">
        <v>142</v>
      </c>
      <c r="C142" s="46" t="s">
        <v>138</v>
      </c>
      <c r="D142" s="47" t="n">
        <v>45839</v>
      </c>
      <c r="E142" s="46" t="s">
        <v>44</v>
      </c>
      <c r="F142" s="48" t="n">
        <v>220.5974</v>
      </c>
      <c r="G142" s="49" t="n">
        <v>4046.94</v>
      </c>
      <c r="H142" s="50" t="n">
        <f aca="false">F142*G142</f>
        <v>892744.441956</v>
      </c>
    </row>
    <row r="143" customFormat="false" ht="15" hidden="false" customHeight="false" outlineLevel="0" collapsed="false">
      <c r="B143" s="46" t="s">
        <v>143</v>
      </c>
      <c r="C143" s="46" t="s">
        <v>138</v>
      </c>
      <c r="D143" s="47" t="n">
        <v>45839</v>
      </c>
      <c r="E143" s="46" t="s">
        <v>44</v>
      </c>
      <c r="F143" s="48" t="n">
        <v>102.3166</v>
      </c>
      <c r="G143" s="49" t="n">
        <v>6987.89</v>
      </c>
      <c r="H143" s="50" t="n">
        <f aca="false">F143*G143</f>
        <v>714977.145974</v>
      </c>
    </row>
    <row r="144" customFormat="false" ht="15" hidden="false" customHeight="false" outlineLevel="0" collapsed="false">
      <c r="B144" s="46" t="s">
        <v>144</v>
      </c>
      <c r="C144" s="46" t="s">
        <v>138</v>
      </c>
      <c r="D144" s="47" t="n">
        <v>45839</v>
      </c>
      <c r="E144" s="46" t="s">
        <v>44</v>
      </c>
      <c r="F144" s="48" t="n">
        <v>105.2546</v>
      </c>
      <c r="G144" s="49" t="n">
        <v>5040.43</v>
      </c>
      <c r="H144" s="50" t="n">
        <f aca="false">F144*G144</f>
        <v>530528.443478</v>
      </c>
    </row>
    <row r="145" customFormat="false" ht="15" hidden="false" customHeight="false" outlineLevel="0" collapsed="false">
      <c r="B145" s="46" t="s">
        <v>145</v>
      </c>
      <c r="C145" s="46" t="s">
        <v>138</v>
      </c>
      <c r="D145" s="47" t="n">
        <v>45839</v>
      </c>
      <c r="E145" s="46" t="s">
        <v>44</v>
      </c>
      <c r="F145" s="48" t="n">
        <v>34.7783</v>
      </c>
      <c r="G145" s="49" t="n">
        <v>9682.75</v>
      </c>
      <c r="H145" s="50" t="n">
        <f aca="false">F145*G145</f>
        <v>336749.584325</v>
      </c>
    </row>
    <row r="146" customFormat="false" ht="15" hidden="false" customHeight="false" outlineLevel="0" collapsed="false">
      <c r="B146" s="46" t="s">
        <v>137</v>
      </c>
      <c r="C146" s="46" t="s">
        <v>138</v>
      </c>
      <c r="D146" s="47" t="n">
        <v>45870</v>
      </c>
      <c r="E146" s="46" t="s">
        <v>44</v>
      </c>
      <c r="F146" s="48" t="n">
        <v>191.5423</v>
      </c>
      <c r="G146" s="49" t="n">
        <v>5689.62</v>
      </c>
      <c r="H146" s="50" t="n">
        <f aca="false">F146*G146</f>
        <v>1089802.900926</v>
      </c>
    </row>
    <row r="147" customFormat="false" ht="15" hidden="false" customHeight="false" outlineLevel="0" collapsed="false">
      <c r="B147" s="46" t="s">
        <v>142</v>
      </c>
      <c r="C147" s="46" t="s">
        <v>138</v>
      </c>
      <c r="D147" s="47" t="n">
        <v>45870</v>
      </c>
      <c r="E147" s="46" t="s">
        <v>44</v>
      </c>
      <c r="F147" s="48" t="n">
        <v>191.5763</v>
      </c>
      <c r="G147" s="49" t="n">
        <v>4116.23</v>
      </c>
      <c r="H147" s="50" t="n">
        <f aca="false">F147*G147</f>
        <v>788572.113349</v>
      </c>
    </row>
    <row r="148" customFormat="false" ht="15" hidden="false" customHeight="false" outlineLevel="0" collapsed="false">
      <c r="B148" s="46" t="s">
        <v>143</v>
      </c>
      <c r="C148" s="46" t="s">
        <v>138</v>
      </c>
      <c r="D148" s="47" t="n">
        <v>45870</v>
      </c>
      <c r="E148" s="46" t="s">
        <v>44</v>
      </c>
      <c r="F148" s="48" t="n">
        <v>98.3829</v>
      </c>
      <c r="G148" s="49" t="n">
        <v>6998.77</v>
      </c>
      <c r="H148" s="50" t="n">
        <f aca="false">F148*G148</f>
        <v>688559.289033</v>
      </c>
    </row>
    <row r="149" customFormat="false" ht="15" hidden="false" customHeight="false" outlineLevel="0" collapsed="false">
      <c r="B149" s="46" t="s">
        <v>144</v>
      </c>
      <c r="C149" s="46" t="s">
        <v>138</v>
      </c>
      <c r="D149" s="47" t="n">
        <v>45870</v>
      </c>
      <c r="E149" s="46" t="s">
        <v>44</v>
      </c>
      <c r="F149" s="48" t="n">
        <v>113.6094</v>
      </c>
      <c r="G149" s="49" t="n">
        <v>4949.84</v>
      </c>
      <c r="H149" s="50" t="n">
        <f aca="false">F149*G149</f>
        <v>562348.352496</v>
      </c>
    </row>
    <row r="150" customFormat="false" ht="15" hidden="false" customHeight="false" outlineLevel="0" collapsed="false">
      <c r="B150" s="46" t="s">
        <v>145</v>
      </c>
      <c r="C150" s="46" t="s">
        <v>138</v>
      </c>
      <c r="D150" s="47" t="n">
        <v>45870</v>
      </c>
      <c r="E150" s="46" t="s">
        <v>44</v>
      </c>
      <c r="F150" s="48" t="n">
        <v>35.4163</v>
      </c>
      <c r="G150" s="49" t="n">
        <v>9803.61</v>
      </c>
      <c r="H150" s="50" t="n">
        <f aca="false">F150*G150</f>
        <v>347207.592843</v>
      </c>
    </row>
    <row r="151" customFormat="false" ht="15" hidden="false" customHeight="false" outlineLevel="0" collapsed="false">
      <c r="B151" s="46" t="s">
        <v>137</v>
      </c>
      <c r="C151" s="46" t="s">
        <v>138</v>
      </c>
      <c r="D151" s="47" t="n">
        <v>45901</v>
      </c>
      <c r="E151" s="46" t="s">
        <v>44</v>
      </c>
      <c r="F151" s="48" t="n">
        <v>173.2384</v>
      </c>
      <c r="G151" s="49" t="n">
        <v>5713.95</v>
      </c>
      <c r="H151" s="50" t="n">
        <f aca="false">F151*G151</f>
        <v>989875.55568</v>
      </c>
    </row>
    <row r="152" customFormat="false" ht="15" hidden="false" customHeight="false" outlineLevel="0" collapsed="false">
      <c r="B152" s="46" t="s">
        <v>142</v>
      </c>
      <c r="C152" s="46" t="s">
        <v>138</v>
      </c>
      <c r="D152" s="47" t="n">
        <v>45901</v>
      </c>
      <c r="E152" s="46" t="s">
        <v>44</v>
      </c>
      <c r="F152" s="48" t="n">
        <v>204.7289</v>
      </c>
      <c r="G152" s="49" t="n">
        <v>4057.01</v>
      </c>
      <c r="H152" s="50" t="n">
        <f aca="false">F152*G152</f>
        <v>830587.194589</v>
      </c>
    </row>
    <row r="153" customFormat="false" ht="15" hidden="false" customHeight="false" outlineLevel="0" collapsed="false">
      <c r="B153" s="46" t="s">
        <v>143</v>
      </c>
      <c r="C153" s="46" t="s">
        <v>138</v>
      </c>
      <c r="D153" s="47" t="n">
        <v>45901</v>
      </c>
      <c r="E153" s="46" t="s">
        <v>44</v>
      </c>
      <c r="F153" s="48" t="n">
        <v>101.5834</v>
      </c>
      <c r="G153" s="49" t="n">
        <v>6947.04</v>
      </c>
      <c r="H153" s="50" t="n">
        <f aca="false">F153*G153</f>
        <v>705703.943136</v>
      </c>
    </row>
    <row r="154" customFormat="false" ht="15" hidden="false" customHeight="false" outlineLevel="0" collapsed="false">
      <c r="B154" s="46" t="s">
        <v>144</v>
      </c>
      <c r="C154" s="46" t="s">
        <v>138</v>
      </c>
      <c r="D154" s="47" t="n">
        <v>45901</v>
      </c>
      <c r="E154" s="46" t="s">
        <v>44</v>
      </c>
      <c r="F154" s="48" t="n">
        <v>119.4074</v>
      </c>
      <c r="G154" s="49" t="n">
        <v>4937.74</v>
      </c>
      <c r="H154" s="50" t="n">
        <f aca="false">F154*G154</f>
        <v>589602.695276</v>
      </c>
    </row>
    <row r="155" customFormat="false" ht="15" hidden="false" customHeight="false" outlineLevel="0" collapsed="false">
      <c r="B155" s="46" t="s">
        <v>145</v>
      </c>
      <c r="C155" s="46" t="s">
        <v>138</v>
      </c>
      <c r="D155" s="47" t="n">
        <v>45901</v>
      </c>
      <c r="E155" s="46" t="s">
        <v>44</v>
      </c>
      <c r="F155" s="48" t="n">
        <v>36.0865</v>
      </c>
      <c r="G155" s="49" t="n">
        <v>9800.13</v>
      </c>
      <c r="H155" s="50" t="n">
        <f aca="false">F155*G155</f>
        <v>353652.391245</v>
      </c>
    </row>
    <row r="156" customFormat="false" ht="15" hidden="false" customHeight="false" outlineLevel="0" collapsed="false">
      <c r="B156" s="46" t="s">
        <v>137</v>
      </c>
      <c r="C156" s="46" t="s">
        <v>138</v>
      </c>
      <c r="D156" s="47" t="n">
        <v>45931</v>
      </c>
      <c r="E156" s="46" t="s">
        <v>44</v>
      </c>
      <c r="F156" s="48" t="n">
        <v>196.5374</v>
      </c>
      <c r="G156" s="49" t="n">
        <v>5576.89</v>
      </c>
      <c r="H156" s="50" t="n">
        <f aca="false">F156*G156</f>
        <v>1096067.460686</v>
      </c>
    </row>
    <row r="157" customFormat="false" ht="15" hidden="false" customHeight="false" outlineLevel="0" collapsed="false">
      <c r="B157" s="46" t="s">
        <v>142</v>
      </c>
      <c r="C157" s="46" t="s">
        <v>138</v>
      </c>
      <c r="D157" s="47" t="n">
        <v>45931</v>
      </c>
      <c r="E157" s="46" t="s">
        <v>44</v>
      </c>
      <c r="F157" s="48" t="n">
        <v>202.2435</v>
      </c>
      <c r="G157" s="49" t="n">
        <v>4041.25</v>
      </c>
      <c r="H157" s="50" t="n">
        <f aca="false">F157*G157</f>
        <v>817316.544375</v>
      </c>
    </row>
    <row r="158" customFormat="false" ht="15" hidden="false" customHeight="false" outlineLevel="0" collapsed="false">
      <c r="B158" s="46" t="s">
        <v>143</v>
      </c>
      <c r="C158" s="46" t="s">
        <v>138</v>
      </c>
      <c r="D158" s="47" t="n">
        <v>45931</v>
      </c>
      <c r="E158" s="46" t="s">
        <v>44</v>
      </c>
      <c r="F158" s="48" t="n">
        <v>93.3715</v>
      </c>
      <c r="G158" s="49" t="n">
        <v>7147.98</v>
      </c>
      <c r="H158" s="50" t="n">
        <f aca="false">F158*G158</f>
        <v>667417.61457</v>
      </c>
    </row>
    <row r="159" customFormat="false" ht="15" hidden="false" customHeight="false" outlineLevel="0" collapsed="false">
      <c r="B159" s="46" t="s">
        <v>144</v>
      </c>
      <c r="C159" s="46" t="s">
        <v>138</v>
      </c>
      <c r="D159" s="47" t="n">
        <v>45931</v>
      </c>
      <c r="E159" s="46" t="s">
        <v>44</v>
      </c>
      <c r="F159" s="48" t="n">
        <v>117.513</v>
      </c>
      <c r="G159" s="49" t="n">
        <v>5087.41</v>
      </c>
      <c r="H159" s="50" t="n">
        <f aca="false">F159*G159</f>
        <v>597836.81133</v>
      </c>
    </row>
    <row r="160" customFormat="false" ht="15" hidden="false" customHeight="false" outlineLevel="0" collapsed="false">
      <c r="B160" s="46" t="s">
        <v>145</v>
      </c>
      <c r="C160" s="46" t="s">
        <v>138</v>
      </c>
      <c r="D160" s="47" t="n">
        <v>45931</v>
      </c>
      <c r="E160" s="46" t="s">
        <v>44</v>
      </c>
      <c r="F160" s="48" t="n">
        <v>35.095</v>
      </c>
      <c r="G160" s="49" t="n">
        <v>9681.59</v>
      </c>
      <c r="H160" s="50" t="n">
        <f aca="false">F160*G160</f>
        <v>339775.40105</v>
      </c>
    </row>
    <row r="161" customFormat="false" ht="15" hidden="false" customHeight="false" outlineLevel="0" collapsed="false">
      <c r="B161" s="46" t="s">
        <v>137</v>
      </c>
      <c r="C161" s="46" t="s">
        <v>138</v>
      </c>
      <c r="D161" s="47" t="n">
        <v>45962</v>
      </c>
      <c r="E161" s="46" t="s">
        <v>44</v>
      </c>
      <c r="F161" s="48" t="n">
        <v>191.6384</v>
      </c>
      <c r="G161" s="49" t="n">
        <v>5728.42</v>
      </c>
      <c r="H161" s="50" t="n">
        <f aca="false">F161*G161</f>
        <v>1097785.243328</v>
      </c>
    </row>
    <row r="162" customFormat="false" ht="15" hidden="false" customHeight="false" outlineLevel="0" collapsed="false">
      <c r="B162" s="46" t="s">
        <v>142</v>
      </c>
      <c r="C162" s="46" t="s">
        <v>138</v>
      </c>
      <c r="D162" s="47" t="n">
        <v>45962</v>
      </c>
      <c r="E162" s="46" t="s">
        <v>44</v>
      </c>
      <c r="F162" s="48" t="n">
        <v>185.2495</v>
      </c>
      <c r="G162" s="49" t="n">
        <v>4086.84</v>
      </c>
      <c r="H162" s="50" t="n">
        <f aca="false">F162*G162</f>
        <v>757085.06658</v>
      </c>
    </row>
    <row r="163" customFormat="false" ht="15" hidden="false" customHeight="false" outlineLevel="0" collapsed="false">
      <c r="B163" s="46" t="s">
        <v>143</v>
      </c>
      <c r="C163" s="46" t="s">
        <v>138</v>
      </c>
      <c r="D163" s="47" t="n">
        <v>45962</v>
      </c>
      <c r="E163" s="46" t="s">
        <v>44</v>
      </c>
      <c r="F163" s="48" t="n">
        <v>96.854</v>
      </c>
      <c r="G163" s="49" t="n">
        <v>7050.58</v>
      </c>
      <c r="H163" s="50" t="n">
        <f aca="false">F163*G163</f>
        <v>682876.87532</v>
      </c>
    </row>
    <row r="164" customFormat="false" ht="15" hidden="false" customHeight="false" outlineLevel="0" collapsed="false">
      <c r="B164" s="46" t="s">
        <v>144</v>
      </c>
      <c r="C164" s="46" t="s">
        <v>138</v>
      </c>
      <c r="D164" s="47" t="n">
        <v>45962</v>
      </c>
      <c r="E164" s="46" t="s">
        <v>44</v>
      </c>
      <c r="F164" s="48" t="n">
        <v>105.34</v>
      </c>
      <c r="G164" s="49" t="n">
        <v>5142.31</v>
      </c>
      <c r="H164" s="50" t="n">
        <f aca="false">F164*G164</f>
        <v>541690.9354</v>
      </c>
    </row>
    <row r="165" customFormat="false" ht="15" hidden="false" customHeight="false" outlineLevel="0" collapsed="false">
      <c r="B165" s="46" t="s">
        <v>145</v>
      </c>
      <c r="C165" s="46" t="s">
        <v>138</v>
      </c>
      <c r="D165" s="47" t="n">
        <v>45962</v>
      </c>
      <c r="E165" s="46" t="s">
        <v>44</v>
      </c>
      <c r="F165" s="48" t="n">
        <v>34.445</v>
      </c>
      <c r="G165" s="49" t="n">
        <v>9896.89</v>
      </c>
      <c r="H165" s="50" t="n">
        <f aca="false">F165*G165</f>
        <v>340898.37605</v>
      </c>
    </row>
    <row r="166" customFormat="false" ht="15" hidden="false" customHeight="false" outlineLevel="0" collapsed="false">
      <c r="B166" s="46" t="s">
        <v>137</v>
      </c>
      <c r="C166" s="46" t="s">
        <v>138</v>
      </c>
      <c r="D166" s="47" t="n">
        <v>45992</v>
      </c>
      <c r="E166" s="46" t="s">
        <v>44</v>
      </c>
      <c r="F166" s="48" t="n">
        <v>182.0345</v>
      </c>
      <c r="G166" s="49" t="n">
        <v>5797.91</v>
      </c>
      <c r="H166" s="50" t="n">
        <f aca="false">F166*G166</f>
        <v>1055419.647895</v>
      </c>
    </row>
    <row r="167" customFormat="false" ht="15" hidden="false" customHeight="false" outlineLevel="0" collapsed="false">
      <c r="B167" s="46" t="s">
        <v>142</v>
      </c>
      <c r="C167" s="46" t="s">
        <v>138</v>
      </c>
      <c r="D167" s="47" t="n">
        <v>45992</v>
      </c>
      <c r="E167" s="46" t="s">
        <v>44</v>
      </c>
      <c r="F167" s="48" t="n">
        <v>195.5074</v>
      </c>
      <c r="G167" s="49" t="n">
        <v>4072.78</v>
      </c>
      <c r="H167" s="50" t="n">
        <f aca="false">F167*G167</f>
        <v>796258.628572</v>
      </c>
    </row>
    <row r="168" customFormat="false" ht="15" hidden="false" customHeight="false" outlineLevel="0" collapsed="false">
      <c r="B168" s="46" t="s">
        <v>143</v>
      </c>
      <c r="C168" s="46" t="s">
        <v>138</v>
      </c>
      <c r="D168" s="47" t="n">
        <v>45992</v>
      </c>
      <c r="E168" s="46" t="s">
        <v>44</v>
      </c>
      <c r="F168" s="48" t="n">
        <v>96.7531</v>
      </c>
      <c r="G168" s="49" t="n">
        <v>7031.7</v>
      </c>
      <c r="H168" s="50" t="n">
        <f aca="false">F168*G168</f>
        <v>680338.77327</v>
      </c>
    </row>
    <row r="169" customFormat="false" ht="15" hidden="false" customHeight="false" outlineLevel="0" collapsed="false">
      <c r="B169" s="46" t="s">
        <v>144</v>
      </c>
      <c r="C169" s="46" t="s">
        <v>138</v>
      </c>
      <c r="D169" s="47" t="n">
        <v>45992</v>
      </c>
      <c r="E169" s="46" t="s">
        <v>44</v>
      </c>
      <c r="F169" s="48" t="n">
        <v>120.262</v>
      </c>
      <c r="G169" s="49" t="n">
        <v>4991.31</v>
      </c>
      <c r="H169" s="50" t="n">
        <f aca="false">F169*G169</f>
        <v>600264.92322</v>
      </c>
    </row>
    <row r="170" customFormat="false" ht="15" hidden="false" customHeight="false" outlineLevel="0" collapsed="false">
      <c r="B170" s="46" t="s">
        <v>145</v>
      </c>
      <c r="C170" s="46" t="s">
        <v>138</v>
      </c>
      <c r="D170" s="47" t="n">
        <v>45992</v>
      </c>
      <c r="E170" s="46" t="s">
        <v>44</v>
      </c>
      <c r="F170" s="48" t="n">
        <v>33.1443</v>
      </c>
      <c r="G170" s="49" t="n">
        <v>9879.17</v>
      </c>
      <c r="H170" s="50" t="n">
        <f aca="false">F170*G170</f>
        <v>327438.174231</v>
      </c>
    </row>
    <row r="171" customFormat="false" ht="15" hidden="false" customHeight="false" outlineLevel="0" collapsed="false">
      <c r="B171" s="46" t="s">
        <v>137</v>
      </c>
      <c r="C171" s="46" t="s">
        <v>138</v>
      </c>
      <c r="D171" s="47" t="n">
        <v>46023</v>
      </c>
      <c r="E171" s="46" t="s">
        <v>44</v>
      </c>
      <c r="F171" s="48" t="n">
        <v>178.9022</v>
      </c>
      <c r="G171" s="49" t="n">
        <v>5715.55</v>
      </c>
      <c r="H171" s="50" t="n">
        <f aca="false">F171*G171</f>
        <v>1022524.46921</v>
      </c>
    </row>
    <row r="172" customFormat="false" ht="15" hidden="false" customHeight="false" outlineLevel="0" collapsed="false">
      <c r="B172" s="46" t="s">
        <v>142</v>
      </c>
      <c r="C172" s="46" t="s">
        <v>138</v>
      </c>
      <c r="D172" s="47" t="n">
        <v>46023</v>
      </c>
      <c r="E172" s="46" t="s">
        <v>44</v>
      </c>
      <c r="F172" s="48" t="n">
        <v>196.8688</v>
      </c>
      <c r="G172" s="49" t="n">
        <v>4101.75</v>
      </c>
      <c r="H172" s="50" t="n">
        <f aca="false">F172*G172</f>
        <v>807506.6004</v>
      </c>
    </row>
    <row r="173" customFormat="false" ht="15" hidden="false" customHeight="false" outlineLevel="0" collapsed="false">
      <c r="B173" s="46" t="s">
        <v>143</v>
      </c>
      <c r="C173" s="46" t="s">
        <v>138</v>
      </c>
      <c r="D173" s="47" t="n">
        <v>46023</v>
      </c>
      <c r="E173" s="46" t="s">
        <v>44</v>
      </c>
      <c r="F173" s="48" t="n">
        <v>89.4361</v>
      </c>
      <c r="G173" s="49" t="n">
        <v>7081.6</v>
      </c>
      <c r="H173" s="50" t="n">
        <f aca="false">F173*G173</f>
        <v>633350.68576</v>
      </c>
    </row>
    <row r="174" customFormat="false" ht="15" hidden="false" customHeight="false" outlineLevel="0" collapsed="false">
      <c r="B174" s="46" t="s">
        <v>144</v>
      </c>
      <c r="C174" s="46" t="s">
        <v>138</v>
      </c>
      <c r="D174" s="47" t="n">
        <v>46023</v>
      </c>
      <c r="E174" s="46" t="s">
        <v>44</v>
      </c>
      <c r="F174" s="48" t="n">
        <v>111.1047</v>
      </c>
      <c r="G174" s="49" t="n">
        <v>5107.6</v>
      </c>
      <c r="H174" s="50" t="n">
        <f aca="false">F174*G174</f>
        <v>567478.36572</v>
      </c>
    </row>
    <row r="175" customFormat="false" ht="15" hidden="false" customHeight="false" outlineLevel="0" collapsed="false">
      <c r="B175" s="46" t="s">
        <v>145</v>
      </c>
      <c r="C175" s="46" t="s">
        <v>138</v>
      </c>
      <c r="D175" s="47" t="n">
        <v>46023</v>
      </c>
      <c r="E175" s="46" t="s">
        <v>44</v>
      </c>
      <c r="F175" s="48" t="n">
        <v>32.0553</v>
      </c>
      <c r="G175" s="49" t="n">
        <v>10042.74</v>
      </c>
      <c r="H175" s="50" t="n">
        <f aca="false">F175*G175</f>
        <v>321923.043522</v>
      </c>
    </row>
    <row r="176" customFormat="false" ht="15" hidden="false" customHeight="false" outlineLevel="0" collapsed="false">
      <c r="B176" s="46" t="s">
        <v>137</v>
      </c>
      <c r="C176" s="46" t="s">
        <v>138</v>
      </c>
      <c r="D176" s="47" t="n">
        <v>46054</v>
      </c>
      <c r="E176" s="46" t="s">
        <v>44</v>
      </c>
      <c r="F176" s="48" t="n">
        <v>207.2747</v>
      </c>
      <c r="G176" s="49" t="n">
        <v>5746.5</v>
      </c>
      <c r="H176" s="50" t="n">
        <f aca="false">F176*G176</f>
        <v>1191104.06355</v>
      </c>
    </row>
    <row r="177" customFormat="false" ht="15" hidden="false" customHeight="false" outlineLevel="0" collapsed="false">
      <c r="B177" s="46" t="s">
        <v>142</v>
      </c>
      <c r="C177" s="46" t="s">
        <v>138</v>
      </c>
      <c r="D177" s="47" t="n">
        <v>46054</v>
      </c>
      <c r="E177" s="46" t="s">
        <v>44</v>
      </c>
      <c r="F177" s="48" t="n">
        <v>182.8825</v>
      </c>
      <c r="G177" s="49" t="n">
        <v>4099.65</v>
      </c>
      <c r="H177" s="50" t="n">
        <f aca="false">F177*G177</f>
        <v>749754.241125</v>
      </c>
    </row>
    <row r="178" customFormat="false" ht="15" hidden="false" customHeight="false" outlineLevel="0" collapsed="false">
      <c r="B178" s="46" t="s">
        <v>143</v>
      </c>
      <c r="C178" s="46" t="s">
        <v>138</v>
      </c>
      <c r="D178" s="47" t="n">
        <v>46054</v>
      </c>
      <c r="E178" s="46" t="s">
        <v>44</v>
      </c>
      <c r="F178" s="48" t="n">
        <v>87.3924</v>
      </c>
      <c r="G178" s="49" t="n">
        <v>7213.3</v>
      </c>
      <c r="H178" s="50" t="n">
        <f aca="false">F178*G178</f>
        <v>630387.59892</v>
      </c>
    </row>
    <row r="179" customFormat="false" ht="15" hidden="false" customHeight="false" outlineLevel="0" collapsed="false">
      <c r="B179" s="46" t="s">
        <v>144</v>
      </c>
      <c r="C179" s="46" t="s">
        <v>138</v>
      </c>
      <c r="D179" s="47" t="n">
        <v>46054</v>
      </c>
      <c r="E179" s="46" t="s">
        <v>44</v>
      </c>
      <c r="F179" s="48" t="n">
        <v>115.1456</v>
      </c>
      <c r="G179" s="49" t="n">
        <v>5041.97</v>
      </c>
      <c r="H179" s="50" t="n">
        <f aca="false">F179*G179</f>
        <v>580560.660832</v>
      </c>
    </row>
    <row r="180" customFormat="false" ht="15" hidden="false" customHeight="false" outlineLevel="0" collapsed="false">
      <c r="B180" s="46" t="s">
        <v>145</v>
      </c>
      <c r="C180" s="46" t="s">
        <v>138</v>
      </c>
      <c r="D180" s="47" t="n">
        <v>46054</v>
      </c>
      <c r="E180" s="46" t="s">
        <v>44</v>
      </c>
      <c r="F180" s="48" t="n">
        <v>34.7089</v>
      </c>
      <c r="G180" s="49" t="n">
        <v>9931.75</v>
      </c>
      <c r="H180" s="50" t="n">
        <f aca="false">F180*G180</f>
        <v>344720.117575</v>
      </c>
    </row>
    <row r="181" customFormat="false" ht="15" hidden="false" customHeight="false" outlineLevel="0" collapsed="false">
      <c r="B181" s="46" t="s">
        <v>137</v>
      </c>
      <c r="C181" s="46" t="s">
        <v>138</v>
      </c>
      <c r="D181" s="47" t="n">
        <v>46082</v>
      </c>
      <c r="E181" s="46" t="s">
        <v>44</v>
      </c>
      <c r="F181" s="48" t="n">
        <v>202.931</v>
      </c>
      <c r="G181" s="49" t="n">
        <v>5660.17</v>
      </c>
      <c r="H181" s="50" t="n">
        <f aca="false">F181*G181</f>
        <v>1148623.95827</v>
      </c>
    </row>
    <row r="182" customFormat="false" ht="15" hidden="false" customHeight="false" outlineLevel="0" collapsed="false">
      <c r="B182" s="46" t="s">
        <v>142</v>
      </c>
      <c r="C182" s="46" t="s">
        <v>138</v>
      </c>
      <c r="D182" s="47" t="n">
        <v>46082</v>
      </c>
      <c r="E182" s="46" t="s">
        <v>44</v>
      </c>
      <c r="F182" s="48" t="n">
        <v>209.696</v>
      </c>
      <c r="G182" s="49" t="n">
        <v>4069.6</v>
      </c>
      <c r="H182" s="50" t="n">
        <f aca="false">F182*G182</f>
        <v>853378.8416</v>
      </c>
    </row>
    <row r="183" customFormat="false" ht="15" hidden="false" customHeight="false" outlineLevel="0" collapsed="false">
      <c r="B183" s="46" t="s">
        <v>143</v>
      </c>
      <c r="C183" s="46" t="s">
        <v>138</v>
      </c>
      <c r="D183" s="47" t="n">
        <v>46082</v>
      </c>
      <c r="E183" s="46" t="s">
        <v>44</v>
      </c>
      <c r="F183" s="48" t="n">
        <v>98.174</v>
      </c>
      <c r="G183" s="49" t="n">
        <v>7118.91</v>
      </c>
      <c r="H183" s="50" t="n">
        <f aca="false">F183*G183</f>
        <v>698891.87034</v>
      </c>
    </row>
    <row r="184" customFormat="false" ht="15" hidden="false" customHeight="false" outlineLevel="0" collapsed="false">
      <c r="B184" s="46" t="s">
        <v>144</v>
      </c>
      <c r="C184" s="46" t="s">
        <v>138</v>
      </c>
      <c r="D184" s="47" t="n">
        <v>46082</v>
      </c>
      <c r="E184" s="46" t="s">
        <v>44</v>
      </c>
      <c r="F184" s="48" t="n">
        <v>125.6366</v>
      </c>
      <c r="G184" s="49" t="n">
        <v>5147.1</v>
      </c>
      <c r="H184" s="50" t="n">
        <f aca="false">F184*G184</f>
        <v>646664.14386</v>
      </c>
    </row>
    <row r="185" customFormat="false" ht="15" hidden="false" customHeight="false" outlineLevel="0" collapsed="false">
      <c r="B185" s="46" t="s">
        <v>145</v>
      </c>
      <c r="C185" s="46" t="s">
        <v>138</v>
      </c>
      <c r="D185" s="47" t="n">
        <v>46082</v>
      </c>
      <c r="E185" s="46" t="s">
        <v>44</v>
      </c>
      <c r="F185" s="48" t="n">
        <v>36.5413</v>
      </c>
      <c r="G185" s="49" t="n">
        <v>9884.82</v>
      </c>
      <c r="H185" s="50" t="n">
        <f aca="false">F185*G185</f>
        <v>361204.173066</v>
      </c>
    </row>
    <row r="186" customFormat="false" ht="15" hidden="false" customHeight="false" outlineLevel="0" collapsed="false">
      <c r="B186" s="46" t="s">
        <v>137</v>
      </c>
      <c r="C186" s="46" t="s">
        <v>148</v>
      </c>
      <c r="D186" s="47" t="n">
        <v>45017</v>
      </c>
      <c r="E186" s="46" t="s">
        <v>42</v>
      </c>
      <c r="F186" s="48" t="n">
        <v>128.3419</v>
      </c>
      <c r="G186" s="49" t="n">
        <v>5230.7</v>
      </c>
      <c r="H186" s="50" t="n">
        <f aca="false">F186*G186</f>
        <v>671317.97633</v>
      </c>
    </row>
    <row r="187" customFormat="false" ht="15" hidden="false" customHeight="false" outlineLevel="0" collapsed="false">
      <c r="B187" s="46" t="s">
        <v>142</v>
      </c>
      <c r="C187" s="46" t="s">
        <v>148</v>
      </c>
      <c r="D187" s="47" t="n">
        <v>45017</v>
      </c>
      <c r="E187" s="46" t="s">
        <v>42</v>
      </c>
      <c r="F187" s="48" t="n">
        <v>124.3539</v>
      </c>
      <c r="G187" s="49" t="n">
        <v>3975.65</v>
      </c>
      <c r="H187" s="50" t="n">
        <f aca="false">F187*G187</f>
        <v>494387.582535</v>
      </c>
    </row>
    <row r="188" customFormat="false" ht="15" hidden="false" customHeight="false" outlineLevel="0" collapsed="false">
      <c r="B188" s="46" t="s">
        <v>143</v>
      </c>
      <c r="C188" s="46" t="s">
        <v>148</v>
      </c>
      <c r="D188" s="47" t="n">
        <v>45017</v>
      </c>
      <c r="E188" s="46" t="s">
        <v>42</v>
      </c>
      <c r="F188" s="48" t="n">
        <v>66.3202</v>
      </c>
      <c r="G188" s="49" t="n">
        <v>6357.36</v>
      </c>
      <c r="H188" s="50" t="n">
        <f aca="false">F188*G188</f>
        <v>421621.386672</v>
      </c>
    </row>
    <row r="189" customFormat="false" ht="15" hidden="false" customHeight="false" outlineLevel="0" collapsed="false">
      <c r="B189" s="46" t="s">
        <v>144</v>
      </c>
      <c r="C189" s="46" t="s">
        <v>148</v>
      </c>
      <c r="D189" s="47" t="n">
        <v>45017</v>
      </c>
      <c r="E189" s="46" t="s">
        <v>42</v>
      </c>
      <c r="F189" s="48" t="n">
        <v>57.2441</v>
      </c>
      <c r="G189" s="49" t="n">
        <v>4617.99</v>
      </c>
      <c r="H189" s="50" t="n">
        <f aca="false">F189*G189</f>
        <v>264352.681359</v>
      </c>
    </row>
    <row r="190" customFormat="false" ht="15" hidden="false" customHeight="false" outlineLevel="0" collapsed="false">
      <c r="B190" s="46" t="s">
        <v>145</v>
      </c>
      <c r="C190" s="46" t="s">
        <v>148</v>
      </c>
      <c r="D190" s="47" t="n">
        <v>45017</v>
      </c>
      <c r="E190" s="46" t="s">
        <v>42</v>
      </c>
      <c r="F190" s="48" t="n">
        <v>22.3009</v>
      </c>
      <c r="G190" s="49" t="n">
        <v>8824.47</v>
      </c>
      <c r="H190" s="50" t="n">
        <f aca="false">F190*G190</f>
        <v>196793.623023</v>
      </c>
    </row>
    <row r="191" customFormat="false" ht="15" hidden="false" customHeight="false" outlineLevel="0" collapsed="false">
      <c r="B191" s="46" t="s">
        <v>137</v>
      </c>
      <c r="C191" s="46" t="s">
        <v>148</v>
      </c>
      <c r="D191" s="47" t="n">
        <v>45047</v>
      </c>
      <c r="E191" s="46" t="s">
        <v>42</v>
      </c>
      <c r="F191" s="48" t="n">
        <v>128.9936</v>
      </c>
      <c r="G191" s="49" t="n">
        <v>5344.9</v>
      </c>
      <c r="H191" s="50" t="n">
        <f aca="false">F191*G191</f>
        <v>689457.89264</v>
      </c>
    </row>
    <row r="192" customFormat="false" ht="15" hidden="false" customHeight="false" outlineLevel="0" collapsed="false">
      <c r="B192" s="46" t="s">
        <v>142</v>
      </c>
      <c r="C192" s="46" t="s">
        <v>148</v>
      </c>
      <c r="D192" s="47" t="n">
        <v>45047</v>
      </c>
      <c r="E192" s="46" t="s">
        <v>42</v>
      </c>
      <c r="F192" s="48" t="n">
        <v>122.9952</v>
      </c>
      <c r="G192" s="49" t="n">
        <v>3961.51</v>
      </c>
      <c r="H192" s="50" t="n">
        <f aca="false">F192*G192</f>
        <v>487246.714752</v>
      </c>
    </row>
    <row r="193" customFormat="false" ht="15" hidden="false" customHeight="false" outlineLevel="0" collapsed="false">
      <c r="B193" s="46" t="s">
        <v>143</v>
      </c>
      <c r="C193" s="46" t="s">
        <v>148</v>
      </c>
      <c r="D193" s="47" t="n">
        <v>45047</v>
      </c>
      <c r="E193" s="46" t="s">
        <v>42</v>
      </c>
      <c r="F193" s="48" t="n">
        <v>60.1645</v>
      </c>
      <c r="G193" s="49" t="n">
        <v>6461.11</v>
      </c>
      <c r="H193" s="50" t="n">
        <f aca="false">F193*G193</f>
        <v>388729.452595</v>
      </c>
    </row>
    <row r="194" customFormat="false" ht="15" hidden="false" customHeight="false" outlineLevel="0" collapsed="false">
      <c r="B194" s="46" t="s">
        <v>144</v>
      </c>
      <c r="C194" s="46" t="s">
        <v>148</v>
      </c>
      <c r="D194" s="47" t="n">
        <v>45047</v>
      </c>
      <c r="E194" s="46" t="s">
        <v>42</v>
      </c>
      <c r="F194" s="48" t="n">
        <v>57.5153</v>
      </c>
      <c r="G194" s="49" t="n">
        <v>4734.14</v>
      </c>
      <c r="H194" s="50" t="n">
        <f aca="false">F194*G194</f>
        <v>272285.482342</v>
      </c>
    </row>
    <row r="195" customFormat="false" ht="15" hidden="false" customHeight="false" outlineLevel="0" collapsed="false">
      <c r="B195" s="46" t="s">
        <v>145</v>
      </c>
      <c r="C195" s="46" t="s">
        <v>148</v>
      </c>
      <c r="D195" s="47" t="n">
        <v>45047</v>
      </c>
      <c r="E195" s="46" t="s">
        <v>42</v>
      </c>
      <c r="F195" s="48" t="n">
        <v>23.9829</v>
      </c>
      <c r="G195" s="49" t="n">
        <v>8823.11</v>
      </c>
      <c r="H195" s="50" t="n">
        <f aca="false">F195*G195</f>
        <v>211603.764819</v>
      </c>
    </row>
    <row r="196" customFormat="false" ht="15" hidden="false" customHeight="false" outlineLevel="0" collapsed="false">
      <c r="B196" s="46" t="s">
        <v>137</v>
      </c>
      <c r="C196" s="46" t="s">
        <v>148</v>
      </c>
      <c r="D196" s="47" t="n">
        <v>45078</v>
      </c>
      <c r="E196" s="46" t="s">
        <v>42</v>
      </c>
      <c r="F196" s="48" t="n">
        <v>131.463</v>
      </c>
      <c r="G196" s="49" t="n">
        <v>5220.32</v>
      </c>
      <c r="H196" s="50" t="n">
        <f aca="false">F196*G196</f>
        <v>686278.92816</v>
      </c>
    </row>
    <row r="197" customFormat="false" ht="15" hidden="false" customHeight="false" outlineLevel="0" collapsed="false">
      <c r="B197" s="46" t="s">
        <v>142</v>
      </c>
      <c r="C197" s="46" t="s">
        <v>148</v>
      </c>
      <c r="D197" s="47" t="n">
        <v>45078</v>
      </c>
      <c r="E197" s="46" t="s">
        <v>42</v>
      </c>
      <c r="F197" s="48" t="n">
        <v>130.773</v>
      </c>
      <c r="G197" s="49" t="n">
        <v>3885.6</v>
      </c>
      <c r="H197" s="50" t="n">
        <f aca="false">F197*G197</f>
        <v>508131.5688</v>
      </c>
    </row>
    <row r="198" customFormat="false" ht="15" hidden="false" customHeight="false" outlineLevel="0" collapsed="false">
      <c r="B198" s="46" t="s">
        <v>143</v>
      </c>
      <c r="C198" s="46" t="s">
        <v>148</v>
      </c>
      <c r="D198" s="47" t="n">
        <v>45078</v>
      </c>
      <c r="E198" s="46" t="s">
        <v>42</v>
      </c>
      <c r="F198" s="48" t="n">
        <v>59.9688</v>
      </c>
      <c r="G198" s="49" t="n">
        <v>6452.47</v>
      </c>
      <c r="H198" s="50" t="n">
        <f aca="false">F198*G198</f>
        <v>386946.882936</v>
      </c>
    </row>
    <row r="199" customFormat="false" ht="15" hidden="false" customHeight="false" outlineLevel="0" collapsed="false">
      <c r="B199" s="46" t="s">
        <v>144</v>
      </c>
      <c r="C199" s="46" t="s">
        <v>148</v>
      </c>
      <c r="D199" s="47" t="n">
        <v>45078</v>
      </c>
      <c r="E199" s="46" t="s">
        <v>42</v>
      </c>
      <c r="F199" s="48" t="n">
        <v>55.4212</v>
      </c>
      <c r="G199" s="49" t="n">
        <v>4731.04</v>
      </c>
      <c r="H199" s="50" t="n">
        <f aca="false">F199*G199</f>
        <v>262199.914048</v>
      </c>
    </row>
    <row r="200" customFormat="false" ht="15" hidden="false" customHeight="false" outlineLevel="0" collapsed="false">
      <c r="B200" s="46" t="s">
        <v>145</v>
      </c>
      <c r="C200" s="46" t="s">
        <v>148</v>
      </c>
      <c r="D200" s="47" t="n">
        <v>45078</v>
      </c>
      <c r="E200" s="46" t="s">
        <v>42</v>
      </c>
      <c r="F200" s="48" t="n">
        <v>24.8659</v>
      </c>
      <c r="G200" s="49" t="n">
        <v>8770.93</v>
      </c>
      <c r="H200" s="50" t="n">
        <f aca="false">F200*G200</f>
        <v>218097.068287</v>
      </c>
    </row>
    <row r="201" customFormat="false" ht="15" hidden="false" customHeight="false" outlineLevel="0" collapsed="false">
      <c r="B201" s="46" t="s">
        <v>137</v>
      </c>
      <c r="C201" s="46" t="s">
        <v>148</v>
      </c>
      <c r="D201" s="47" t="n">
        <v>45108</v>
      </c>
      <c r="E201" s="46" t="s">
        <v>42</v>
      </c>
      <c r="F201" s="48" t="n">
        <v>121.8597</v>
      </c>
      <c r="G201" s="49" t="n">
        <v>5226.26</v>
      </c>
      <c r="H201" s="50" t="n">
        <f aca="false">F201*G201</f>
        <v>636870.475722</v>
      </c>
    </row>
    <row r="202" customFormat="false" ht="15" hidden="false" customHeight="false" outlineLevel="0" collapsed="false">
      <c r="B202" s="46" t="s">
        <v>142</v>
      </c>
      <c r="C202" s="46" t="s">
        <v>148</v>
      </c>
      <c r="D202" s="47" t="n">
        <v>45108</v>
      </c>
      <c r="E202" s="46" t="s">
        <v>42</v>
      </c>
      <c r="F202" s="48" t="n">
        <v>135.033</v>
      </c>
      <c r="G202" s="49" t="n">
        <v>3907.42</v>
      </c>
      <c r="H202" s="50" t="n">
        <f aca="false">F202*G202</f>
        <v>527630.64486</v>
      </c>
    </row>
    <row r="203" customFormat="false" ht="15" hidden="false" customHeight="false" outlineLevel="0" collapsed="false">
      <c r="B203" s="46" t="s">
        <v>143</v>
      </c>
      <c r="C203" s="46" t="s">
        <v>148</v>
      </c>
      <c r="D203" s="47" t="n">
        <v>45108</v>
      </c>
      <c r="E203" s="46" t="s">
        <v>42</v>
      </c>
      <c r="F203" s="48" t="n">
        <v>62.3499</v>
      </c>
      <c r="G203" s="49" t="n">
        <v>6456.17</v>
      </c>
      <c r="H203" s="50" t="n">
        <f aca="false">F203*G203</f>
        <v>402541.553883</v>
      </c>
    </row>
    <row r="204" customFormat="false" ht="15" hidden="false" customHeight="false" outlineLevel="0" collapsed="false">
      <c r="B204" s="46" t="s">
        <v>144</v>
      </c>
      <c r="C204" s="46" t="s">
        <v>148</v>
      </c>
      <c r="D204" s="47" t="n">
        <v>45108</v>
      </c>
      <c r="E204" s="46" t="s">
        <v>42</v>
      </c>
      <c r="F204" s="48" t="n">
        <v>63.1136</v>
      </c>
      <c r="G204" s="49" t="n">
        <v>4728.46</v>
      </c>
      <c r="H204" s="50" t="n">
        <f aca="false">F204*G204</f>
        <v>298430.133056</v>
      </c>
    </row>
    <row r="205" customFormat="false" ht="15" hidden="false" customHeight="false" outlineLevel="0" collapsed="false">
      <c r="B205" s="46" t="s">
        <v>145</v>
      </c>
      <c r="C205" s="46" t="s">
        <v>148</v>
      </c>
      <c r="D205" s="47" t="n">
        <v>45108</v>
      </c>
      <c r="E205" s="46" t="s">
        <v>42</v>
      </c>
      <c r="F205" s="48" t="n">
        <v>24.1451</v>
      </c>
      <c r="G205" s="49" t="n">
        <v>8788.33</v>
      </c>
      <c r="H205" s="50" t="n">
        <f aca="false">F205*G205</f>
        <v>212195.106683</v>
      </c>
    </row>
    <row r="206" customFormat="false" ht="15" hidden="false" customHeight="false" outlineLevel="0" collapsed="false">
      <c r="B206" s="46" t="s">
        <v>137</v>
      </c>
      <c r="C206" s="46" t="s">
        <v>148</v>
      </c>
      <c r="D206" s="47" t="n">
        <v>45139</v>
      </c>
      <c r="E206" s="46" t="s">
        <v>42</v>
      </c>
      <c r="F206" s="48" t="n">
        <v>117.5911</v>
      </c>
      <c r="G206" s="49" t="n">
        <v>5310.47</v>
      </c>
      <c r="H206" s="50" t="n">
        <f aca="false">F206*G206</f>
        <v>624464.008817</v>
      </c>
    </row>
    <row r="207" customFormat="false" ht="15" hidden="false" customHeight="false" outlineLevel="0" collapsed="false">
      <c r="B207" s="46" t="s">
        <v>142</v>
      </c>
      <c r="C207" s="46" t="s">
        <v>148</v>
      </c>
      <c r="D207" s="47" t="n">
        <v>45139</v>
      </c>
      <c r="E207" s="46" t="s">
        <v>42</v>
      </c>
      <c r="F207" s="48" t="n">
        <v>124.5313</v>
      </c>
      <c r="G207" s="49" t="n">
        <v>3924.45</v>
      </c>
      <c r="H207" s="50" t="n">
        <f aca="false">F207*G207</f>
        <v>488716.860285</v>
      </c>
    </row>
    <row r="208" customFormat="false" ht="15" hidden="false" customHeight="false" outlineLevel="0" collapsed="false">
      <c r="B208" s="46" t="s">
        <v>143</v>
      </c>
      <c r="C208" s="46" t="s">
        <v>148</v>
      </c>
      <c r="D208" s="47" t="n">
        <v>45139</v>
      </c>
      <c r="E208" s="46" t="s">
        <v>42</v>
      </c>
      <c r="F208" s="48" t="n">
        <v>66.4829</v>
      </c>
      <c r="G208" s="49" t="n">
        <v>6411.3</v>
      </c>
      <c r="H208" s="50" t="n">
        <f aca="false">F208*G208</f>
        <v>426241.81677</v>
      </c>
    </row>
    <row r="209" customFormat="false" ht="15" hidden="false" customHeight="false" outlineLevel="0" collapsed="false">
      <c r="B209" s="46" t="s">
        <v>144</v>
      </c>
      <c r="C209" s="46" t="s">
        <v>148</v>
      </c>
      <c r="D209" s="47" t="n">
        <v>45139</v>
      </c>
      <c r="E209" s="46" t="s">
        <v>42</v>
      </c>
      <c r="F209" s="48" t="n">
        <v>62.5004</v>
      </c>
      <c r="G209" s="49" t="n">
        <v>4734.34</v>
      </c>
      <c r="H209" s="50" t="n">
        <f aca="false">F209*G209</f>
        <v>295898.143736</v>
      </c>
    </row>
    <row r="210" customFormat="false" ht="15" hidden="false" customHeight="false" outlineLevel="0" collapsed="false">
      <c r="B210" s="46" t="s">
        <v>145</v>
      </c>
      <c r="C210" s="46" t="s">
        <v>148</v>
      </c>
      <c r="D210" s="47" t="n">
        <v>45139</v>
      </c>
      <c r="E210" s="46" t="s">
        <v>42</v>
      </c>
      <c r="F210" s="48" t="n">
        <v>19.1454</v>
      </c>
      <c r="G210" s="49" t="n">
        <v>9043.26</v>
      </c>
      <c r="H210" s="50" t="n">
        <f aca="false">F210*G210</f>
        <v>173136.830004</v>
      </c>
    </row>
    <row r="211" customFormat="false" ht="15" hidden="false" customHeight="false" outlineLevel="0" collapsed="false">
      <c r="B211" s="46" t="s">
        <v>137</v>
      </c>
      <c r="C211" s="46" t="s">
        <v>148</v>
      </c>
      <c r="D211" s="47" t="n">
        <v>45170</v>
      </c>
      <c r="E211" s="46" t="s">
        <v>42</v>
      </c>
      <c r="F211" s="48" t="n">
        <v>132.9134</v>
      </c>
      <c r="G211" s="49" t="n">
        <v>5221.23</v>
      </c>
      <c r="H211" s="50" t="n">
        <f aca="false">F211*G211</f>
        <v>693971.431482</v>
      </c>
    </row>
    <row r="212" customFormat="false" ht="15" hidden="false" customHeight="false" outlineLevel="0" collapsed="false">
      <c r="B212" s="46" t="s">
        <v>142</v>
      </c>
      <c r="C212" s="46" t="s">
        <v>148</v>
      </c>
      <c r="D212" s="47" t="n">
        <v>45170</v>
      </c>
      <c r="E212" s="46" t="s">
        <v>42</v>
      </c>
      <c r="F212" s="48" t="n">
        <v>130.4808</v>
      </c>
      <c r="G212" s="49" t="n">
        <v>3865.85</v>
      </c>
      <c r="H212" s="50" t="n">
        <f aca="false">F212*G212</f>
        <v>504419.20068</v>
      </c>
    </row>
    <row r="213" customFormat="false" ht="15" hidden="false" customHeight="false" outlineLevel="0" collapsed="false">
      <c r="B213" s="46" t="s">
        <v>143</v>
      </c>
      <c r="C213" s="46" t="s">
        <v>148</v>
      </c>
      <c r="D213" s="47" t="n">
        <v>45170</v>
      </c>
      <c r="E213" s="46" t="s">
        <v>42</v>
      </c>
      <c r="F213" s="48" t="n">
        <v>64.1477</v>
      </c>
      <c r="G213" s="49" t="n">
        <v>6438.52</v>
      </c>
      <c r="H213" s="50" t="n">
        <f aca="false">F213*G213</f>
        <v>413016.249404</v>
      </c>
    </row>
    <row r="214" customFormat="false" ht="15" hidden="false" customHeight="false" outlineLevel="0" collapsed="false">
      <c r="B214" s="46" t="s">
        <v>144</v>
      </c>
      <c r="C214" s="46" t="s">
        <v>148</v>
      </c>
      <c r="D214" s="47" t="n">
        <v>45170</v>
      </c>
      <c r="E214" s="46" t="s">
        <v>42</v>
      </c>
      <c r="F214" s="48" t="n">
        <v>62.4447</v>
      </c>
      <c r="G214" s="49" t="n">
        <v>4768.9</v>
      </c>
      <c r="H214" s="50" t="n">
        <f aca="false">F214*G214</f>
        <v>297792.52983</v>
      </c>
    </row>
    <row r="215" customFormat="false" ht="15" hidden="false" customHeight="false" outlineLevel="0" collapsed="false">
      <c r="B215" s="46" t="s">
        <v>145</v>
      </c>
      <c r="C215" s="46" t="s">
        <v>148</v>
      </c>
      <c r="D215" s="47" t="n">
        <v>45170</v>
      </c>
      <c r="E215" s="46" t="s">
        <v>42</v>
      </c>
      <c r="F215" s="48" t="n">
        <v>24.1719</v>
      </c>
      <c r="G215" s="49" t="n">
        <v>8754.72</v>
      </c>
      <c r="H215" s="50" t="n">
        <f aca="false">F215*G215</f>
        <v>211618.216368</v>
      </c>
    </row>
    <row r="216" customFormat="false" ht="15" hidden="false" customHeight="false" outlineLevel="0" collapsed="false">
      <c r="B216" s="46" t="s">
        <v>137</v>
      </c>
      <c r="C216" s="46" t="s">
        <v>148</v>
      </c>
      <c r="D216" s="47" t="n">
        <v>45200</v>
      </c>
      <c r="E216" s="46" t="s">
        <v>42</v>
      </c>
      <c r="F216" s="48" t="n">
        <v>119.2885</v>
      </c>
      <c r="G216" s="49" t="n">
        <v>5344.24</v>
      </c>
      <c r="H216" s="50" t="n">
        <f aca="false">F216*G216</f>
        <v>637506.37324</v>
      </c>
    </row>
    <row r="217" customFormat="false" ht="15" hidden="false" customHeight="false" outlineLevel="0" collapsed="false">
      <c r="B217" s="46" t="s">
        <v>142</v>
      </c>
      <c r="C217" s="46" t="s">
        <v>148</v>
      </c>
      <c r="D217" s="47" t="n">
        <v>45200</v>
      </c>
      <c r="E217" s="46" t="s">
        <v>42</v>
      </c>
      <c r="F217" s="48" t="n">
        <v>142.1596</v>
      </c>
      <c r="G217" s="49" t="n">
        <v>3967.47</v>
      </c>
      <c r="H217" s="50" t="n">
        <f aca="false">F217*G217</f>
        <v>564013.948212</v>
      </c>
    </row>
    <row r="218" customFormat="false" ht="15" hidden="false" customHeight="false" outlineLevel="0" collapsed="false">
      <c r="B218" s="46" t="s">
        <v>143</v>
      </c>
      <c r="C218" s="46" t="s">
        <v>148</v>
      </c>
      <c r="D218" s="47" t="n">
        <v>45200</v>
      </c>
      <c r="E218" s="46" t="s">
        <v>42</v>
      </c>
      <c r="F218" s="48" t="n">
        <v>66.417</v>
      </c>
      <c r="G218" s="49" t="n">
        <v>6488.78</v>
      </c>
      <c r="H218" s="50" t="n">
        <f aca="false">F218*G218</f>
        <v>430965.30126</v>
      </c>
    </row>
    <row r="219" customFormat="false" ht="15" hidden="false" customHeight="false" outlineLevel="0" collapsed="false">
      <c r="B219" s="46" t="s">
        <v>144</v>
      </c>
      <c r="C219" s="46" t="s">
        <v>148</v>
      </c>
      <c r="D219" s="47" t="n">
        <v>45200</v>
      </c>
      <c r="E219" s="46" t="s">
        <v>42</v>
      </c>
      <c r="F219" s="48" t="n">
        <v>67.3506</v>
      </c>
      <c r="G219" s="49" t="n">
        <v>4779.85</v>
      </c>
      <c r="H219" s="50" t="n">
        <f aca="false">F219*G219</f>
        <v>321925.76541</v>
      </c>
    </row>
    <row r="220" customFormat="false" ht="15" hidden="false" customHeight="false" outlineLevel="0" collapsed="false">
      <c r="B220" s="46" t="s">
        <v>145</v>
      </c>
      <c r="C220" s="46" t="s">
        <v>148</v>
      </c>
      <c r="D220" s="47" t="n">
        <v>45200</v>
      </c>
      <c r="E220" s="46" t="s">
        <v>42</v>
      </c>
      <c r="F220" s="48" t="n">
        <v>24.1745</v>
      </c>
      <c r="G220" s="49" t="n">
        <v>9131.57</v>
      </c>
      <c r="H220" s="50" t="n">
        <f aca="false">F220*G220</f>
        <v>220751.138965</v>
      </c>
    </row>
    <row r="221" customFormat="false" ht="15" hidden="false" customHeight="false" outlineLevel="0" collapsed="false">
      <c r="B221" s="46" t="s">
        <v>137</v>
      </c>
      <c r="C221" s="46" t="s">
        <v>148</v>
      </c>
      <c r="D221" s="47" t="n">
        <v>45231</v>
      </c>
      <c r="E221" s="46" t="s">
        <v>42</v>
      </c>
      <c r="F221" s="48" t="n">
        <v>124.8321</v>
      </c>
      <c r="G221" s="49" t="n">
        <v>5405.44</v>
      </c>
      <c r="H221" s="50" t="n">
        <f aca="false">F221*G221</f>
        <v>674772.426624</v>
      </c>
    </row>
    <row r="222" customFormat="false" ht="15" hidden="false" customHeight="false" outlineLevel="0" collapsed="false">
      <c r="B222" s="46" t="s">
        <v>142</v>
      </c>
      <c r="C222" s="46" t="s">
        <v>148</v>
      </c>
      <c r="D222" s="47" t="n">
        <v>45231</v>
      </c>
      <c r="E222" s="46" t="s">
        <v>42</v>
      </c>
      <c r="F222" s="48" t="n">
        <v>124.9534</v>
      </c>
      <c r="G222" s="49" t="n">
        <v>3933.63</v>
      </c>
      <c r="H222" s="50" t="n">
        <f aca="false">F222*G222</f>
        <v>491520.442842</v>
      </c>
    </row>
    <row r="223" customFormat="false" ht="15" hidden="false" customHeight="false" outlineLevel="0" collapsed="false">
      <c r="B223" s="46" t="s">
        <v>143</v>
      </c>
      <c r="C223" s="46" t="s">
        <v>148</v>
      </c>
      <c r="D223" s="47" t="n">
        <v>45231</v>
      </c>
      <c r="E223" s="46" t="s">
        <v>42</v>
      </c>
      <c r="F223" s="48" t="n">
        <v>63.4332</v>
      </c>
      <c r="G223" s="49" t="n">
        <v>6533.63</v>
      </c>
      <c r="H223" s="50" t="n">
        <f aca="false">F223*G223</f>
        <v>414449.058516</v>
      </c>
    </row>
    <row r="224" customFormat="false" ht="15" hidden="false" customHeight="false" outlineLevel="0" collapsed="false">
      <c r="B224" s="46" t="s">
        <v>144</v>
      </c>
      <c r="C224" s="46" t="s">
        <v>148</v>
      </c>
      <c r="D224" s="47" t="n">
        <v>45231</v>
      </c>
      <c r="E224" s="46" t="s">
        <v>42</v>
      </c>
      <c r="F224" s="48" t="n">
        <v>65.736</v>
      </c>
      <c r="G224" s="49" t="n">
        <v>4757.27</v>
      </c>
      <c r="H224" s="50" t="n">
        <f aca="false">F224*G224</f>
        <v>312723.90072</v>
      </c>
    </row>
    <row r="225" customFormat="false" ht="15" hidden="false" customHeight="false" outlineLevel="0" collapsed="false">
      <c r="B225" s="46" t="s">
        <v>145</v>
      </c>
      <c r="C225" s="46" t="s">
        <v>148</v>
      </c>
      <c r="D225" s="47" t="n">
        <v>45231</v>
      </c>
      <c r="E225" s="46" t="s">
        <v>42</v>
      </c>
      <c r="F225" s="48" t="n">
        <v>21.479</v>
      </c>
      <c r="G225" s="49" t="n">
        <v>9041.36</v>
      </c>
      <c r="H225" s="50" t="n">
        <f aca="false">F225*G225</f>
        <v>194199.37144</v>
      </c>
    </row>
    <row r="226" customFormat="false" ht="15" hidden="false" customHeight="false" outlineLevel="0" collapsed="false">
      <c r="B226" s="46" t="s">
        <v>137</v>
      </c>
      <c r="C226" s="46" t="s">
        <v>148</v>
      </c>
      <c r="D226" s="47" t="n">
        <v>45261</v>
      </c>
      <c r="E226" s="46" t="s">
        <v>42</v>
      </c>
      <c r="F226" s="48" t="n">
        <v>129.3935</v>
      </c>
      <c r="G226" s="49" t="n">
        <v>5264.44</v>
      </c>
      <c r="H226" s="50" t="n">
        <f aca="false">F226*G226</f>
        <v>681184.31714</v>
      </c>
    </row>
    <row r="227" customFormat="false" ht="15" hidden="false" customHeight="false" outlineLevel="0" collapsed="false">
      <c r="B227" s="46" t="s">
        <v>142</v>
      </c>
      <c r="C227" s="46" t="s">
        <v>148</v>
      </c>
      <c r="D227" s="47" t="n">
        <v>45261</v>
      </c>
      <c r="E227" s="46" t="s">
        <v>42</v>
      </c>
      <c r="F227" s="48" t="n">
        <v>133.3634</v>
      </c>
      <c r="G227" s="49" t="n">
        <v>3892.64</v>
      </c>
      <c r="H227" s="50" t="n">
        <f aca="false">F227*G227</f>
        <v>519135.705376</v>
      </c>
    </row>
    <row r="228" customFormat="false" ht="15" hidden="false" customHeight="false" outlineLevel="0" collapsed="false">
      <c r="B228" s="46" t="s">
        <v>143</v>
      </c>
      <c r="C228" s="46" t="s">
        <v>148</v>
      </c>
      <c r="D228" s="47" t="n">
        <v>45261</v>
      </c>
      <c r="E228" s="46" t="s">
        <v>42</v>
      </c>
      <c r="F228" s="48" t="n">
        <v>62.8786</v>
      </c>
      <c r="G228" s="49" t="n">
        <v>6596.69</v>
      </c>
      <c r="H228" s="50" t="n">
        <f aca="false">F228*G228</f>
        <v>414790.631834</v>
      </c>
    </row>
    <row r="229" customFormat="false" ht="15" hidden="false" customHeight="false" outlineLevel="0" collapsed="false">
      <c r="B229" s="46" t="s">
        <v>144</v>
      </c>
      <c r="C229" s="46" t="s">
        <v>148</v>
      </c>
      <c r="D229" s="47" t="n">
        <v>45261</v>
      </c>
      <c r="E229" s="46" t="s">
        <v>42</v>
      </c>
      <c r="F229" s="48" t="n">
        <v>58.0703</v>
      </c>
      <c r="G229" s="49" t="n">
        <v>4813.83</v>
      </c>
      <c r="H229" s="50" t="n">
        <f aca="false">F229*G229</f>
        <v>279540.552249</v>
      </c>
    </row>
    <row r="230" customFormat="false" ht="15" hidden="false" customHeight="false" outlineLevel="0" collapsed="false">
      <c r="B230" s="46" t="s">
        <v>145</v>
      </c>
      <c r="C230" s="46" t="s">
        <v>148</v>
      </c>
      <c r="D230" s="47" t="n">
        <v>45261</v>
      </c>
      <c r="E230" s="46" t="s">
        <v>42</v>
      </c>
      <c r="F230" s="48" t="n">
        <v>23.0256</v>
      </c>
      <c r="G230" s="49" t="n">
        <v>8891.41</v>
      </c>
      <c r="H230" s="50" t="n">
        <f aca="false">F230*G230</f>
        <v>204730.050096</v>
      </c>
    </row>
    <row r="231" customFormat="false" ht="15" hidden="false" customHeight="false" outlineLevel="0" collapsed="false">
      <c r="B231" s="46" t="s">
        <v>137</v>
      </c>
      <c r="C231" s="46" t="s">
        <v>148</v>
      </c>
      <c r="D231" s="47" t="n">
        <v>45292</v>
      </c>
      <c r="E231" s="46" t="s">
        <v>42</v>
      </c>
      <c r="F231" s="48" t="n">
        <v>119.7433</v>
      </c>
      <c r="G231" s="49" t="n">
        <v>5206.35</v>
      </c>
      <c r="H231" s="50" t="n">
        <f aca="false">F231*G231</f>
        <v>623425.529955</v>
      </c>
    </row>
    <row r="232" customFormat="false" ht="15" hidden="false" customHeight="false" outlineLevel="0" collapsed="false">
      <c r="B232" s="46" t="s">
        <v>142</v>
      </c>
      <c r="C232" s="46" t="s">
        <v>148</v>
      </c>
      <c r="D232" s="47" t="n">
        <v>45292</v>
      </c>
      <c r="E232" s="46" t="s">
        <v>42</v>
      </c>
      <c r="F232" s="48" t="n">
        <v>134.6305</v>
      </c>
      <c r="G232" s="49" t="n">
        <v>3887.1</v>
      </c>
      <c r="H232" s="50" t="n">
        <f aca="false">F232*G232</f>
        <v>523322.21655</v>
      </c>
    </row>
    <row r="233" customFormat="false" ht="15" hidden="false" customHeight="false" outlineLevel="0" collapsed="false">
      <c r="B233" s="46" t="s">
        <v>143</v>
      </c>
      <c r="C233" s="46" t="s">
        <v>148</v>
      </c>
      <c r="D233" s="47" t="n">
        <v>45292</v>
      </c>
      <c r="E233" s="46" t="s">
        <v>42</v>
      </c>
      <c r="F233" s="48" t="n">
        <v>64.4669</v>
      </c>
      <c r="G233" s="49" t="n">
        <v>6609.61</v>
      </c>
      <c r="H233" s="50" t="n">
        <f aca="false">F233*G233</f>
        <v>426101.066909</v>
      </c>
    </row>
    <row r="234" customFormat="false" ht="15" hidden="false" customHeight="false" outlineLevel="0" collapsed="false">
      <c r="B234" s="46" t="s">
        <v>144</v>
      </c>
      <c r="C234" s="46" t="s">
        <v>148</v>
      </c>
      <c r="D234" s="47" t="n">
        <v>45292</v>
      </c>
      <c r="E234" s="46" t="s">
        <v>42</v>
      </c>
      <c r="F234" s="48" t="n">
        <v>65.1392</v>
      </c>
      <c r="G234" s="49" t="n">
        <v>4738.4</v>
      </c>
      <c r="H234" s="50" t="n">
        <f aca="false">F234*G234</f>
        <v>308655.58528</v>
      </c>
    </row>
    <row r="235" customFormat="false" ht="15" hidden="false" customHeight="false" outlineLevel="0" collapsed="false">
      <c r="B235" s="46" t="s">
        <v>145</v>
      </c>
      <c r="C235" s="46" t="s">
        <v>148</v>
      </c>
      <c r="D235" s="47" t="n">
        <v>45292</v>
      </c>
      <c r="E235" s="46" t="s">
        <v>42</v>
      </c>
      <c r="F235" s="48" t="n">
        <v>21.4276</v>
      </c>
      <c r="G235" s="49" t="n">
        <v>9226.9</v>
      </c>
      <c r="H235" s="50" t="n">
        <f aca="false">F235*G235</f>
        <v>197710.32244</v>
      </c>
    </row>
    <row r="236" customFormat="false" ht="15" hidden="false" customHeight="false" outlineLevel="0" collapsed="false">
      <c r="B236" s="46" t="s">
        <v>137</v>
      </c>
      <c r="C236" s="46" t="s">
        <v>148</v>
      </c>
      <c r="D236" s="47" t="n">
        <v>45323</v>
      </c>
      <c r="E236" s="46" t="s">
        <v>42</v>
      </c>
      <c r="F236" s="48" t="n">
        <v>121.7551</v>
      </c>
      <c r="G236" s="49" t="n">
        <v>5370.44</v>
      </c>
      <c r="H236" s="50" t="n">
        <f aca="false">F236*G236</f>
        <v>653878.459244</v>
      </c>
    </row>
    <row r="237" customFormat="false" ht="15" hidden="false" customHeight="false" outlineLevel="0" collapsed="false">
      <c r="B237" s="46" t="s">
        <v>142</v>
      </c>
      <c r="C237" s="46" t="s">
        <v>148</v>
      </c>
      <c r="D237" s="47" t="n">
        <v>45323</v>
      </c>
      <c r="E237" s="46" t="s">
        <v>42</v>
      </c>
      <c r="F237" s="48" t="n">
        <v>128.8603</v>
      </c>
      <c r="G237" s="49" t="n">
        <v>3887.76</v>
      </c>
      <c r="H237" s="50" t="n">
        <f aca="false">F237*G237</f>
        <v>500977.919928</v>
      </c>
    </row>
    <row r="238" customFormat="false" ht="15" hidden="false" customHeight="false" outlineLevel="0" collapsed="false">
      <c r="B238" s="46" t="s">
        <v>143</v>
      </c>
      <c r="C238" s="46" t="s">
        <v>148</v>
      </c>
      <c r="D238" s="47" t="n">
        <v>45323</v>
      </c>
      <c r="E238" s="46" t="s">
        <v>42</v>
      </c>
      <c r="F238" s="48" t="n">
        <v>64.5362</v>
      </c>
      <c r="G238" s="49" t="n">
        <v>6533.86</v>
      </c>
      <c r="H238" s="50" t="n">
        <f aca="false">F238*G238</f>
        <v>421670.495732</v>
      </c>
    </row>
    <row r="239" customFormat="false" ht="15" hidden="false" customHeight="false" outlineLevel="0" collapsed="false">
      <c r="B239" s="46" t="s">
        <v>144</v>
      </c>
      <c r="C239" s="46" t="s">
        <v>148</v>
      </c>
      <c r="D239" s="47" t="n">
        <v>45323</v>
      </c>
      <c r="E239" s="46" t="s">
        <v>42</v>
      </c>
      <c r="F239" s="48" t="n">
        <v>62.4198</v>
      </c>
      <c r="G239" s="49" t="n">
        <v>4836.97</v>
      </c>
      <c r="H239" s="50" t="n">
        <f aca="false">F239*G239</f>
        <v>301922.700006</v>
      </c>
    </row>
    <row r="240" customFormat="false" ht="15" hidden="false" customHeight="false" outlineLevel="0" collapsed="false">
      <c r="B240" s="46" t="s">
        <v>145</v>
      </c>
      <c r="C240" s="46" t="s">
        <v>148</v>
      </c>
      <c r="D240" s="47" t="n">
        <v>45323</v>
      </c>
      <c r="E240" s="46" t="s">
        <v>42</v>
      </c>
      <c r="F240" s="48" t="n">
        <v>22.5057</v>
      </c>
      <c r="G240" s="49" t="n">
        <v>9138.5</v>
      </c>
      <c r="H240" s="50" t="n">
        <f aca="false">F240*G240</f>
        <v>205668.33945</v>
      </c>
    </row>
    <row r="241" customFormat="false" ht="15" hidden="false" customHeight="false" outlineLevel="0" collapsed="false">
      <c r="B241" s="46" t="s">
        <v>137</v>
      </c>
      <c r="C241" s="46" t="s">
        <v>148</v>
      </c>
      <c r="D241" s="47" t="n">
        <v>45352</v>
      </c>
      <c r="E241" s="46" t="s">
        <v>42</v>
      </c>
      <c r="F241" s="48" t="n">
        <v>130.3915</v>
      </c>
      <c r="G241" s="49" t="n">
        <v>5475.26</v>
      </c>
      <c r="H241" s="50" t="n">
        <f aca="false">F241*G241</f>
        <v>713927.36429</v>
      </c>
    </row>
    <row r="242" customFormat="false" ht="15" hidden="false" customHeight="false" outlineLevel="0" collapsed="false">
      <c r="B242" s="46" t="s">
        <v>142</v>
      </c>
      <c r="C242" s="46" t="s">
        <v>148</v>
      </c>
      <c r="D242" s="47" t="n">
        <v>45352</v>
      </c>
      <c r="E242" s="46" t="s">
        <v>42</v>
      </c>
      <c r="F242" s="48" t="n">
        <v>132.5838</v>
      </c>
      <c r="G242" s="49" t="n">
        <v>3958.06</v>
      </c>
      <c r="H242" s="50" t="n">
        <f aca="false">F242*G242</f>
        <v>524774.635428</v>
      </c>
    </row>
    <row r="243" customFormat="false" ht="15" hidden="false" customHeight="false" outlineLevel="0" collapsed="false">
      <c r="B243" s="46" t="s">
        <v>143</v>
      </c>
      <c r="C243" s="46" t="s">
        <v>148</v>
      </c>
      <c r="D243" s="47" t="n">
        <v>45352</v>
      </c>
      <c r="E243" s="46" t="s">
        <v>42</v>
      </c>
      <c r="F243" s="48" t="n">
        <v>71.6023</v>
      </c>
      <c r="G243" s="49" t="n">
        <v>6583.82</v>
      </c>
      <c r="H243" s="50" t="n">
        <f aca="false">F243*G243</f>
        <v>471416.654786</v>
      </c>
    </row>
    <row r="244" customFormat="false" ht="15" hidden="false" customHeight="false" outlineLevel="0" collapsed="false">
      <c r="B244" s="46" t="s">
        <v>144</v>
      </c>
      <c r="C244" s="46" t="s">
        <v>148</v>
      </c>
      <c r="D244" s="47" t="n">
        <v>45352</v>
      </c>
      <c r="E244" s="46" t="s">
        <v>42</v>
      </c>
      <c r="F244" s="48" t="n">
        <v>65.9303</v>
      </c>
      <c r="G244" s="49" t="n">
        <v>4887.06</v>
      </c>
      <c r="H244" s="50" t="n">
        <f aca="false">F244*G244</f>
        <v>322205.331918</v>
      </c>
    </row>
    <row r="245" customFormat="false" ht="15" hidden="false" customHeight="false" outlineLevel="0" collapsed="false">
      <c r="B245" s="46" t="s">
        <v>145</v>
      </c>
      <c r="C245" s="46" t="s">
        <v>148</v>
      </c>
      <c r="D245" s="47" t="n">
        <v>45352</v>
      </c>
      <c r="E245" s="46" t="s">
        <v>42</v>
      </c>
      <c r="F245" s="48" t="n">
        <v>24.6062</v>
      </c>
      <c r="G245" s="49" t="n">
        <v>9071.13</v>
      </c>
      <c r="H245" s="50" t="n">
        <f aca="false">F245*G245</f>
        <v>223206.039006</v>
      </c>
    </row>
    <row r="246" customFormat="false" ht="15" hidden="false" customHeight="false" outlineLevel="0" collapsed="false">
      <c r="B246" s="46" t="s">
        <v>137</v>
      </c>
      <c r="C246" s="46" t="s">
        <v>148</v>
      </c>
      <c r="D246" s="47" t="n">
        <v>45383</v>
      </c>
      <c r="E246" s="46" t="s">
        <v>43</v>
      </c>
      <c r="F246" s="48" t="n">
        <v>129.2258</v>
      </c>
      <c r="G246" s="49" t="n">
        <v>5443.92</v>
      </c>
      <c r="H246" s="50" t="n">
        <f aca="false">F246*G246</f>
        <v>703494.917136</v>
      </c>
    </row>
    <row r="247" customFormat="false" ht="15" hidden="false" customHeight="false" outlineLevel="0" collapsed="false">
      <c r="B247" s="46" t="s">
        <v>142</v>
      </c>
      <c r="C247" s="46" t="s">
        <v>148</v>
      </c>
      <c r="D247" s="47" t="n">
        <v>45383</v>
      </c>
      <c r="E247" s="46" t="s">
        <v>43</v>
      </c>
      <c r="F247" s="48" t="n">
        <v>140.1497</v>
      </c>
      <c r="G247" s="49" t="n">
        <v>3975.95</v>
      </c>
      <c r="H247" s="50" t="n">
        <f aca="false">F247*G247</f>
        <v>557228.199715</v>
      </c>
    </row>
    <row r="248" customFormat="false" ht="15" hidden="false" customHeight="false" outlineLevel="0" collapsed="false">
      <c r="B248" s="46" t="s">
        <v>143</v>
      </c>
      <c r="C248" s="46" t="s">
        <v>148</v>
      </c>
      <c r="D248" s="47" t="n">
        <v>45383</v>
      </c>
      <c r="E248" s="46" t="s">
        <v>43</v>
      </c>
      <c r="F248" s="48" t="n">
        <v>73.6431</v>
      </c>
      <c r="G248" s="49" t="n">
        <v>6719.34</v>
      </c>
      <c r="H248" s="50" t="n">
        <f aca="false">F248*G248</f>
        <v>494833.027554</v>
      </c>
    </row>
    <row r="249" customFormat="false" ht="15" hidden="false" customHeight="false" outlineLevel="0" collapsed="false">
      <c r="B249" s="46" t="s">
        <v>144</v>
      </c>
      <c r="C249" s="46" t="s">
        <v>148</v>
      </c>
      <c r="D249" s="47" t="n">
        <v>45383</v>
      </c>
      <c r="E249" s="46" t="s">
        <v>43</v>
      </c>
      <c r="F249" s="48" t="n">
        <v>64.1108</v>
      </c>
      <c r="G249" s="49" t="n">
        <v>4864.39</v>
      </c>
      <c r="H249" s="50" t="n">
        <f aca="false">F249*G249</f>
        <v>311859.934412</v>
      </c>
    </row>
    <row r="250" customFormat="false" ht="15" hidden="false" customHeight="false" outlineLevel="0" collapsed="false">
      <c r="B250" s="46" t="s">
        <v>145</v>
      </c>
      <c r="C250" s="46" t="s">
        <v>148</v>
      </c>
      <c r="D250" s="47" t="n">
        <v>45383</v>
      </c>
      <c r="E250" s="46" t="s">
        <v>43</v>
      </c>
      <c r="F250" s="48" t="n">
        <v>21.9095</v>
      </c>
      <c r="G250" s="49" t="n">
        <v>9313.73</v>
      </c>
      <c r="H250" s="50" t="n">
        <f aca="false">F250*G250</f>
        <v>204059.167435</v>
      </c>
    </row>
    <row r="251" customFormat="false" ht="15" hidden="false" customHeight="false" outlineLevel="0" collapsed="false">
      <c r="B251" s="46" t="s">
        <v>137</v>
      </c>
      <c r="C251" s="46" t="s">
        <v>148</v>
      </c>
      <c r="D251" s="47" t="n">
        <v>45413</v>
      </c>
      <c r="E251" s="46" t="s">
        <v>43</v>
      </c>
      <c r="F251" s="48" t="n">
        <v>129.5332</v>
      </c>
      <c r="G251" s="49" t="n">
        <v>5461.8</v>
      </c>
      <c r="H251" s="50" t="n">
        <f aca="false">F251*G251</f>
        <v>707484.43176</v>
      </c>
    </row>
    <row r="252" customFormat="false" ht="15" hidden="false" customHeight="false" outlineLevel="0" collapsed="false">
      <c r="B252" s="46" t="s">
        <v>142</v>
      </c>
      <c r="C252" s="46" t="s">
        <v>148</v>
      </c>
      <c r="D252" s="47" t="n">
        <v>45413</v>
      </c>
      <c r="E252" s="46" t="s">
        <v>43</v>
      </c>
      <c r="F252" s="48" t="n">
        <v>119.9536</v>
      </c>
      <c r="G252" s="49" t="n">
        <v>3992.74</v>
      </c>
      <c r="H252" s="50" t="n">
        <f aca="false">F252*G252</f>
        <v>478943.536864</v>
      </c>
    </row>
    <row r="253" customFormat="false" ht="15" hidden="false" customHeight="false" outlineLevel="0" collapsed="false">
      <c r="B253" s="46" t="s">
        <v>143</v>
      </c>
      <c r="C253" s="46" t="s">
        <v>148</v>
      </c>
      <c r="D253" s="47" t="n">
        <v>45413</v>
      </c>
      <c r="E253" s="46" t="s">
        <v>43</v>
      </c>
      <c r="F253" s="48" t="n">
        <v>66.2785</v>
      </c>
      <c r="G253" s="49" t="n">
        <v>6601.81</v>
      </c>
      <c r="H253" s="50" t="n">
        <f aca="false">F253*G253</f>
        <v>437558.064085</v>
      </c>
    </row>
    <row r="254" customFormat="false" ht="15" hidden="false" customHeight="false" outlineLevel="0" collapsed="false">
      <c r="B254" s="46" t="s">
        <v>144</v>
      </c>
      <c r="C254" s="46" t="s">
        <v>148</v>
      </c>
      <c r="D254" s="47" t="n">
        <v>45413</v>
      </c>
      <c r="E254" s="46" t="s">
        <v>43</v>
      </c>
      <c r="F254" s="48" t="n">
        <v>68.1677</v>
      </c>
      <c r="G254" s="49" t="n">
        <v>4928.07</v>
      </c>
      <c r="H254" s="50" t="n">
        <f aca="false">F254*G254</f>
        <v>335935.197339</v>
      </c>
    </row>
    <row r="255" customFormat="false" ht="15" hidden="false" customHeight="false" outlineLevel="0" collapsed="false">
      <c r="B255" s="46" t="s">
        <v>145</v>
      </c>
      <c r="C255" s="46" t="s">
        <v>148</v>
      </c>
      <c r="D255" s="47" t="n">
        <v>45413</v>
      </c>
      <c r="E255" s="46" t="s">
        <v>43</v>
      </c>
      <c r="F255" s="48" t="n">
        <v>26.2218</v>
      </c>
      <c r="G255" s="49" t="n">
        <v>9131.5</v>
      </c>
      <c r="H255" s="50" t="n">
        <f aca="false">F255*G255</f>
        <v>239444.3667</v>
      </c>
    </row>
    <row r="256" customFormat="false" ht="15" hidden="false" customHeight="false" outlineLevel="0" collapsed="false">
      <c r="B256" s="46" t="s">
        <v>137</v>
      </c>
      <c r="C256" s="46" t="s">
        <v>148</v>
      </c>
      <c r="D256" s="47" t="n">
        <v>45444</v>
      </c>
      <c r="E256" s="46" t="s">
        <v>43</v>
      </c>
      <c r="F256" s="48" t="n">
        <v>128.4203</v>
      </c>
      <c r="G256" s="49" t="n">
        <v>5496.03</v>
      </c>
      <c r="H256" s="50" t="n">
        <f aca="false">F256*G256</f>
        <v>705801.821409</v>
      </c>
    </row>
    <row r="257" customFormat="false" ht="15" hidden="false" customHeight="false" outlineLevel="0" collapsed="false">
      <c r="B257" s="46" t="s">
        <v>142</v>
      </c>
      <c r="C257" s="46" t="s">
        <v>148</v>
      </c>
      <c r="D257" s="47" t="n">
        <v>45444</v>
      </c>
      <c r="E257" s="46" t="s">
        <v>43</v>
      </c>
      <c r="F257" s="48" t="n">
        <v>130.9777</v>
      </c>
      <c r="G257" s="49" t="n">
        <v>3987.3</v>
      </c>
      <c r="H257" s="50" t="n">
        <f aca="false">F257*G257</f>
        <v>522247.38321</v>
      </c>
    </row>
    <row r="258" customFormat="false" ht="15" hidden="false" customHeight="false" outlineLevel="0" collapsed="false">
      <c r="B258" s="46" t="s">
        <v>143</v>
      </c>
      <c r="C258" s="46" t="s">
        <v>148</v>
      </c>
      <c r="D258" s="47" t="n">
        <v>45444</v>
      </c>
      <c r="E258" s="46" t="s">
        <v>43</v>
      </c>
      <c r="F258" s="48" t="n">
        <v>67.7046</v>
      </c>
      <c r="G258" s="49" t="n">
        <v>6678.97</v>
      </c>
      <c r="H258" s="50" t="n">
        <f aca="false">F258*G258</f>
        <v>452196.992262</v>
      </c>
    </row>
    <row r="259" customFormat="false" ht="15" hidden="false" customHeight="false" outlineLevel="0" collapsed="false">
      <c r="B259" s="46" t="s">
        <v>144</v>
      </c>
      <c r="C259" s="46" t="s">
        <v>148</v>
      </c>
      <c r="D259" s="47" t="n">
        <v>45444</v>
      </c>
      <c r="E259" s="46" t="s">
        <v>43</v>
      </c>
      <c r="F259" s="48" t="n">
        <v>67.7395</v>
      </c>
      <c r="G259" s="49" t="n">
        <v>4805.28</v>
      </c>
      <c r="H259" s="50" t="n">
        <f aca="false">F259*G259</f>
        <v>325507.26456</v>
      </c>
    </row>
    <row r="260" customFormat="false" ht="15" hidden="false" customHeight="false" outlineLevel="0" collapsed="false">
      <c r="B260" s="46" t="s">
        <v>145</v>
      </c>
      <c r="C260" s="46" t="s">
        <v>148</v>
      </c>
      <c r="D260" s="47" t="n">
        <v>45444</v>
      </c>
      <c r="E260" s="46" t="s">
        <v>43</v>
      </c>
      <c r="F260" s="48" t="n">
        <v>27.0212</v>
      </c>
      <c r="G260" s="49" t="n">
        <v>9335.59</v>
      </c>
      <c r="H260" s="50" t="n">
        <f aca="false">F260*G260</f>
        <v>252258.844508</v>
      </c>
    </row>
    <row r="261" customFormat="false" ht="15" hidden="false" customHeight="false" outlineLevel="0" collapsed="false">
      <c r="B261" s="46" t="s">
        <v>137</v>
      </c>
      <c r="C261" s="46" t="s">
        <v>148</v>
      </c>
      <c r="D261" s="47" t="n">
        <v>45474</v>
      </c>
      <c r="E261" s="46" t="s">
        <v>43</v>
      </c>
      <c r="F261" s="48" t="n">
        <v>120.6532</v>
      </c>
      <c r="G261" s="49" t="n">
        <v>5464.03</v>
      </c>
      <c r="H261" s="50" t="n">
        <f aca="false">F261*G261</f>
        <v>659252.704396</v>
      </c>
    </row>
    <row r="262" customFormat="false" ht="15" hidden="false" customHeight="false" outlineLevel="0" collapsed="false">
      <c r="B262" s="46" t="s">
        <v>142</v>
      </c>
      <c r="C262" s="46" t="s">
        <v>148</v>
      </c>
      <c r="D262" s="47" t="n">
        <v>45474</v>
      </c>
      <c r="E262" s="46" t="s">
        <v>43</v>
      </c>
      <c r="F262" s="48" t="n">
        <v>126.0308</v>
      </c>
      <c r="G262" s="49" t="n">
        <v>3979.64</v>
      </c>
      <c r="H262" s="50" t="n">
        <f aca="false">F262*G262</f>
        <v>501557.212912</v>
      </c>
    </row>
    <row r="263" customFormat="false" ht="15" hidden="false" customHeight="false" outlineLevel="0" collapsed="false">
      <c r="B263" s="46" t="s">
        <v>143</v>
      </c>
      <c r="C263" s="46" t="s">
        <v>148</v>
      </c>
      <c r="D263" s="47" t="n">
        <v>45474</v>
      </c>
      <c r="E263" s="46" t="s">
        <v>43</v>
      </c>
      <c r="F263" s="48" t="n">
        <v>66.073</v>
      </c>
      <c r="G263" s="49" t="n">
        <v>6819.25</v>
      </c>
      <c r="H263" s="50" t="n">
        <f aca="false">F263*G263</f>
        <v>450568.30525</v>
      </c>
    </row>
    <row r="264" customFormat="false" ht="15" hidden="false" customHeight="false" outlineLevel="0" collapsed="false">
      <c r="B264" s="46" t="s">
        <v>144</v>
      </c>
      <c r="C264" s="46" t="s">
        <v>148</v>
      </c>
      <c r="D264" s="47" t="n">
        <v>45474</v>
      </c>
      <c r="E264" s="46" t="s">
        <v>43</v>
      </c>
      <c r="F264" s="48" t="n">
        <v>67.8119</v>
      </c>
      <c r="G264" s="49" t="n">
        <v>4898.97</v>
      </c>
      <c r="H264" s="50" t="n">
        <f aca="false">F264*G264</f>
        <v>332208.463743</v>
      </c>
    </row>
    <row r="265" customFormat="false" ht="15" hidden="false" customHeight="false" outlineLevel="0" collapsed="false">
      <c r="B265" s="46" t="s">
        <v>145</v>
      </c>
      <c r="C265" s="46" t="s">
        <v>148</v>
      </c>
      <c r="D265" s="47" t="n">
        <v>45474</v>
      </c>
      <c r="E265" s="46" t="s">
        <v>43</v>
      </c>
      <c r="F265" s="48" t="n">
        <v>23.9381</v>
      </c>
      <c r="G265" s="49" t="n">
        <v>9259.34</v>
      </c>
      <c r="H265" s="50" t="n">
        <f aca="false">F265*G265</f>
        <v>221651.006854</v>
      </c>
    </row>
    <row r="266" customFormat="false" ht="15" hidden="false" customHeight="false" outlineLevel="0" collapsed="false">
      <c r="B266" s="46" t="s">
        <v>137</v>
      </c>
      <c r="C266" s="46" t="s">
        <v>148</v>
      </c>
      <c r="D266" s="47" t="n">
        <v>45505</v>
      </c>
      <c r="E266" s="46" t="s">
        <v>43</v>
      </c>
      <c r="F266" s="48" t="n">
        <v>123.1987</v>
      </c>
      <c r="G266" s="49" t="n">
        <v>5410.97</v>
      </c>
      <c r="H266" s="50" t="n">
        <f aca="false">F266*G266</f>
        <v>666624.469739</v>
      </c>
    </row>
    <row r="267" customFormat="false" ht="15" hidden="false" customHeight="false" outlineLevel="0" collapsed="false">
      <c r="B267" s="46" t="s">
        <v>142</v>
      </c>
      <c r="C267" s="46" t="s">
        <v>148</v>
      </c>
      <c r="D267" s="47" t="n">
        <v>45505</v>
      </c>
      <c r="E267" s="46" t="s">
        <v>43</v>
      </c>
      <c r="F267" s="48" t="n">
        <v>139.6279</v>
      </c>
      <c r="G267" s="49" t="n">
        <v>4100.72</v>
      </c>
      <c r="H267" s="50" t="n">
        <f aca="false">F267*G267</f>
        <v>572574.922088</v>
      </c>
    </row>
    <row r="268" customFormat="false" ht="15" hidden="false" customHeight="false" outlineLevel="0" collapsed="false">
      <c r="B268" s="46" t="s">
        <v>143</v>
      </c>
      <c r="C268" s="46" t="s">
        <v>148</v>
      </c>
      <c r="D268" s="47" t="n">
        <v>45505</v>
      </c>
      <c r="E268" s="46" t="s">
        <v>43</v>
      </c>
      <c r="F268" s="48" t="n">
        <v>63.6299</v>
      </c>
      <c r="G268" s="49" t="n">
        <v>6707.24</v>
      </c>
      <c r="H268" s="50" t="n">
        <f aca="false">F268*G268</f>
        <v>426781.010476</v>
      </c>
    </row>
    <row r="269" customFormat="false" ht="15" hidden="false" customHeight="false" outlineLevel="0" collapsed="false">
      <c r="B269" s="46" t="s">
        <v>144</v>
      </c>
      <c r="C269" s="46" t="s">
        <v>148</v>
      </c>
      <c r="D269" s="47" t="n">
        <v>45505</v>
      </c>
      <c r="E269" s="46" t="s">
        <v>43</v>
      </c>
      <c r="F269" s="48" t="n">
        <v>61.23</v>
      </c>
      <c r="G269" s="49" t="n">
        <v>4821.09</v>
      </c>
      <c r="H269" s="50" t="n">
        <f aca="false">F269*G269</f>
        <v>295195.3407</v>
      </c>
    </row>
    <row r="270" customFormat="false" ht="15" hidden="false" customHeight="false" outlineLevel="0" collapsed="false">
      <c r="B270" s="46" t="s">
        <v>145</v>
      </c>
      <c r="C270" s="46" t="s">
        <v>148</v>
      </c>
      <c r="D270" s="47" t="n">
        <v>45505</v>
      </c>
      <c r="E270" s="46" t="s">
        <v>43</v>
      </c>
      <c r="F270" s="48" t="n">
        <v>24.5934</v>
      </c>
      <c r="G270" s="49" t="n">
        <v>9184.56</v>
      </c>
      <c r="H270" s="50" t="n">
        <f aca="false">F270*G270</f>
        <v>225879.557904</v>
      </c>
    </row>
    <row r="271" customFormat="false" ht="15" hidden="false" customHeight="false" outlineLevel="0" collapsed="false">
      <c r="B271" s="46" t="s">
        <v>137</v>
      </c>
      <c r="C271" s="46" t="s">
        <v>148</v>
      </c>
      <c r="D271" s="47" t="n">
        <v>45536</v>
      </c>
      <c r="E271" s="46" t="s">
        <v>43</v>
      </c>
      <c r="F271" s="48" t="n">
        <v>117.3076</v>
      </c>
      <c r="G271" s="49" t="n">
        <v>5399.23</v>
      </c>
      <c r="H271" s="50" t="n">
        <f aca="false">F271*G271</f>
        <v>633370.713148</v>
      </c>
    </row>
    <row r="272" customFormat="false" ht="15" hidden="false" customHeight="false" outlineLevel="0" collapsed="false">
      <c r="B272" s="46" t="s">
        <v>142</v>
      </c>
      <c r="C272" s="46" t="s">
        <v>148</v>
      </c>
      <c r="D272" s="47" t="n">
        <v>45536</v>
      </c>
      <c r="E272" s="46" t="s">
        <v>43</v>
      </c>
      <c r="F272" s="48" t="n">
        <v>135.6055</v>
      </c>
      <c r="G272" s="49" t="n">
        <v>4042.81</v>
      </c>
      <c r="H272" s="50" t="n">
        <f aca="false">F272*G272</f>
        <v>548227.271455</v>
      </c>
    </row>
    <row r="273" customFormat="false" ht="15" hidden="false" customHeight="false" outlineLevel="0" collapsed="false">
      <c r="B273" s="46" t="s">
        <v>143</v>
      </c>
      <c r="C273" s="46" t="s">
        <v>148</v>
      </c>
      <c r="D273" s="47" t="n">
        <v>45536</v>
      </c>
      <c r="E273" s="46" t="s">
        <v>43</v>
      </c>
      <c r="F273" s="48" t="n">
        <v>72.3362</v>
      </c>
      <c r="G273" s="49" t="n">
        <v>6678.36</v>
      </c>
      <c r="H273" s="50" t="n">
        <f aca="false">F273*G273</f>
        <v>483087.184632</v>
      </c>
    </row>
    <row r="274" customFormat="false" ht="15" hidden="false" customHeight="false" outlineLevel="0" collapsed="false">
      <c r="B274" s="46" t="s">
        <v>144</v>
      </c>
      <c r="C274" s="46" t="s">
        <v>148</v>
      </c>
      <c r="D274" s="47" t="n">
        <v>45536</v>
      </c>
      <c r="E274" s="46" t="s">
        <v>43</v>
      </c>
      <c r="F274" s="48" t="n">
        <v>67.9548</v>
      </c>
      <c r="G274" s="49" t="n">
        <v>4871.86</v>
      </c>
      <c r="H274" s="50" t="n">
        <f aca="false">F274*G274</f>
        <v>331066.271928</v>
      </c>
    </row>
    <row r="275" customFormat="false" ht="15" hidden="false" customHeight="false" outlineLevel="0" collapsed="false">
      <c r="B275" s="46" t="s">
        <v>145</v>
      </c>
      <c r="C275" s="46" t="s">
        <v>148</v>
      </c>
      <c r="D275" s="47" t="n">
        <v>45536</v>
      </c>
      <c r="E275" s="46" t="s">
        <v>43</v>
      </c>
      <c r="F275" s="48" t="n">
        <v>23.2499</v>
      </c>
      <c r="G275" s="49" t="n">
        <v>9335.01</v>
      </c>
      <c r="H275" s="50" t="n">
        <f aca="false">F275*G275</f>
        <v>217038.048999</v>
      </c>
    </row>
    <row r="276" customFormat="false" ht="15" hidden="false" customHeight="false" outlineLevel="0" collapsed="false">
      <c r="B276" s="46" t="s">
        <v>137</v>
      </c>
      <c r="C276" s="46" t="s">
        <v>148</v>
      </c>
      <c r="D276" s="47" t="n">
        <v>45566</v>
      </c>
      <c r="E276" s="46" t="s">
        <v>43</v>
      </c>
      <c r="F276" s="48" t="n">
        <v>132.5358</v>
      </c>
      <c r="G276" s="49" t="n">
        <v>5587.57</v>
      </c>
      <c r="H276" s="50" t="n">
        <f aca="false">F276*G276</f>
        <v>740553.060006</v>
      </c>
    </row>
    <row r="277" customFormat="false" ht="15" hidden="false" customHeight="false" outlineLevel="0" collapsed="false">
      <c r="B277" s="46" t="s">
        <v>142</v>
      </c>
      <c r="C277" s="46" t="s">
        <v>148</v>
      </c>
      <c r="D277" s="47" t="n">
        <v>45566</v>
      </c>
      <c r="E277" s="46" t="s">
        <v>43</v>
      </c>
      <c r="F277" s="48" t="n">
        <v>133.7438</v>
      </c>
      <c r="G277" s="49" t="n">
        <v>4083.01</v>
      </c>
      <c r="H277" s="50" t="n">
        <f aca="false">F277*G277</f>
        <v>546077.272838</v>
      </c>
    </row>
    <row r="278" customFormat="false" ht="15" hidden="false" customHeight="false" outlineLevel="0" collapsed="false">
      <c r="B278" s="46" t="s">
        <v>143</v>
      </c>
      <c r="C278" s="46" t="s">
        <v>148</v>
      </c>
      <c r="D278" s="47" t="n">
        <v>45566</v>
      </c>
      <c r="E278" s="46" t="s">
        <v>43</v>
      </c>
      <c r="F278" s="48" t="n">
        <v>69.053</v>
      </c>
      <c r="G278" s="49" t="n">
        <v>6807.48</v>
      </c>
      <c r="H278" s="50" t="n">
        <f aca="false">F278*G278</f>
        <v>470076.91644</v>
      </c>
    </row>
    <row r="279" customFormat="false" ht="15" hidden="false" customHeight="false" outlineLevel="0" collapsed="false">
      <c r="B279" s="46" t="s">
        <v>144</v>
      </c>
      <c r="C279" s="46" t="s">
        <v>148</v>
      </c>
      <c r="D279" s="47" t="n">
        <v>45566</v>
      </c>
      <c r="E279" s="46" t="s">
        <v>43</v>
      </c>
      <c r="F279" s="48" t="n">
        <v>73.7056</v>
      </c>
      <c r="G279" s="49" t="n">
        <v>4987.43</v>
      </c>
      <c r="H279" s="50" t="n">
        <f aca="false">F279*G279</f>
        <v>367601.520608</v>
      </c>
    </row>
    <row r="280" customFormat="false" ht="15" hidden="false" customHeight="false" outlineLevel="0" collapsed="false">
      <c r="B280" s="46" t="s">
        <v>145</v>
      </c>
      <c r="C280" s="46" t="s">
        <v>148</v>
      </c>
      <c r="D280" s="47" t="n">
        <v>45566</v>
      </c>
      <c r="E280" s="46" t="s">
        <v>43</v>
      </c>
      <c r="F280" s="48" t="n">
        <v>22.8581</v>
      </c>
      <c r="G280" s="49" t="n">
        <v>9504.5</v>
      </c>
      <c r="H280" s="50" t="n">
        <f aca="false">F280*G280</f>
        <v>217254.81145</v>
      </c>
    </row>
    <row r="281" customFormat="false" ht="15" hidden="false" customHeight="false" outlineLevel="0" collapsed="false">
      <c r="B281" s="46" t="s">
        <v>137</v>
      </c>
      <c r="C281" s="46" t="s">
        <v>148</v>
      </c>
      <c r="D281" s="47" t="n">
        <v>45597</v>
      </c>
      <c r="E281" s="46" t="s">
        <v>43</v>
      </c>
      <c r="F281" s="48" t="n">
        <v>145.4671</v>
      </c>
      <c r="G281" s="49" t="n">
        <v>5506.73</v>
      </c>
      <c r="H281" s="50" t="n">
        <f aca="false">F281*G281</f>
        <v>801048.043583</v>
      </c>
    </row>
    <row r="282" customFormat="false" ht="15" hidden="false" customHeight="false" outlineLevel="0" collapsed="false">
      <c r="B282" s="46" t="s">
        <v>142</v>
      </c>
      <c r="C282" s="46" t="s">
        <v>148</v>
      </c>
      <c r="D282" s="47" t="n">
        <v>45597</v>
      </c>
      <c r="E282" s="46" t="s">
        <v>43</v>
      </c>
      <c r="F282" s="48" t="n">
        <v>121.1476</v>
      </c>
      <c r="G282" s="49" t="n">
        <v>3973</v>
      </c>
      <c r="H282" s="50" t="n">
        <f aca="false">F282*G282</f>
        <v>481319.4148</v>
      </c>
    </row>
    <row r="283" customFormat="false" ht="15" hidden="false" customHeight="false" outlineLevel="0" collapsed="false">
      <c r="B283" s="46" t="s">
        <v>143</v>
      </c>
      <c r="C283" s="46" t="s">
        <v>148</v>
      </c>
      <c r="D283" s="47" t="n">
        <v>45597</v>
      </c>
      <c r="E283" s="46" t="s">
        <v>43</v>
      </c>
      <c r="F283" s="48" t="n">
        <v>64.847</v>
      </c>
      <c r="G283" s="49" t="n">
        <v>6763.73</v>
      </c>
      <c r="H283" s="50" t="n">
        <f aca="false">F283*G283</f>
        <v>438607.59931</v>
      </c>
    </row>
    <row r="284" customFormat="false" ht="15" hidden="false" customHeight="false" outlineLevel="0" collapsed="false">
      <c r="B284" s="46" t="s">
        <v>144</v>
      </c>
      <c r="C284" s="46" t="s">
        <v>148</v>
      </c>
      <c r="D284" s="47" t="n">
        <v>45597</v>
      </c>
      <c r="E284" s="46" t="s">
        <v>43</v>
      </c>
      <c r="F284" s="48" t="n">
        <v>66.0769</v>
      </c>
      <c r="G284" s="49" t="n">
        <v>4932.88</v>
      </c>
      <c r="H284" s="50" t="n">
        <f aca="false">F284*G284</f>
        <v>325949.418472</v>
      </c>
    </row>
    <row r="285" customFormat="false" ht="15" hidden="false" customHeight="false" outlineLevel="0" collapsed="false">
      <c r="B285" s="46" t="s">
        <v>145</v>
      </c>
      <c r="C285" s="46" t="s">
        <v>148</v>
      </c>
      <c r="D285" s="47" t="n">
        <v>45597</v>
      </c>
      <c r="E285" s="46" t="s">
        <v>43</v>
      </c>
      <c r="F285" s="48" t="n">
        <v>24.7934</v>
      </c>
      <c r="G285" s="49" t="n">
        <v>9420.59</v>
      </c>
      <c r="H285" s="50" t="n">
        <f aca="false">F285*G285</f>
        <v>233568.456106</v>
      </c>
    </row>
    <row r="286" customFormat="false" ht="15" hidden="false" customHeight="false" outlineLevel="0" collapsed="false">
      <c r="B286" s="46" t="s">
        <v>137</v>
      </c>
      <c r="C286" s="46" t="s">
        <v>148</v>
      </c>
      <c r="D286" s="47" t="n">
        <v>45627</v>
      </c>
      <c r="E286" s="46" t="s">
        <v>43</v>
      </c>
      <c r="F286" s="48" t="n">
        <v>134.9446</v>
      </c>
      <c r="G286" s="49" t="n">
        <v>5551.52</v>
      </c>
      <c r="H286" s="50" t="n">
        <f aca="false">F286*G286</f>
        <v>749147.645792</v>
      </c>
    </row>
    <row r="287" customFormat="false" ht="15" hidden="false" customHeight="false" outlineLevel="0" collapsed="false">
      <c r="B287" s="46" t="s">
        <v>142</v>
      </c>
      <c r="C287" s="46" t="s">
        <v>148</v>
      </c>
      <c r="D287" s="47" t="n">
        <v>45627</v>
      </c>
      <c r="E287" s="46" t="s">
        <v>43</v>
      </c>
      <c r="F287" s="48" t="n">
        <v>136.1227</v>
      </c>
      <c r="G287" s="49" t="n">
        <v>4040.08</v>
      </c>
      <c r="H287" s="50" t="n">
        <f aca="false">F287*G287</f>
        <v>549946.597816</v>
      </c>
    </row>
    <row r="288" customFormat="false" ht="15" hidden="false" customHeight="false" outlineLevel="0" collapsed="false">
      <c r="B288" s="46" t="s">
        <v>143</v>
      </c>
      <c r="C288" s="46" t="s">
        <v>148</v>
      </c>
      <c r="D288" s="47" t="n">
        <v>45627</v>
      </c>
      <c r="E288" s="46" t="s">
        <v>43</v>
      </c>
      <c r="F288" s="48" t="n">
        <v>63.6779</v>
      </c>
      <c r="G288" s="49" t="n">
        <v>6897.4</v>
      </c>
      <c r="H288" s="50" t="n">
        <f aca="false">F288*G288</f>
        <v>439211.94746</v>
      </c>
    </row>
    <row r="289" customFormat="false" ht="15" hidden="false" customHeight="false" outlineLevel="0" collapsed="false">
      <c r="B289" s="46" t="s">
        <v>144</v>
      </c>
      <c r="C289" s="46" t="s">
        <v>148</v>
      </c>
      <c r="D289" s="47" t="n">
        <v>45627</v>
      </c>
      <c r="E289" s="46" t="s">
        <v>43</v>
      </c>
      <c r="F289" s="48" t="n">
        <v>74.3199</v>
      </c>
      <c r="G289" s="49" t="n">
        <v>4982.36</v>
      </c>
      <c r="H289" s="50" t="n">
        <f aca="false">F289*G289</f>
        <v>370288.496964</v>
      </c>
    </row>
    <row r="290" customFormat="false" ht="15" hidden="false" customHeight="false" outlineLevel="0" collapsed="false">
      <c r="B290" s="46" t="s">
        <v>145</v>
      </c>
      <c r="C290" s="46" t="s">
        <v>148</v>
      </c>
      <c r="D290" s="47" t="n">
        <v>45627</v>
      </c>
      <c r="E290" s="46" t="s">
        <v>43</v>
      </c>
      <c r="F290" s="48" t="n">
        <v>23.3892</v>
      </c>
      <c r="G290" s="49" t="n">
        <v>9324.01</v>
      </c>
      <c r="H290" s="50" t="n">
        <f aca="false">F290*G290</f>
        <v>218081.134692</v>
      </c>
    </row>
    <row r="291" customFormat="false" ht="15" hidden="false" customHeight="false" outlineLevel="0" collapsed="false">
      <c r="B291" s="46" t="s">
        <v>137</v>
      </c>
      <c r="C291" s="46" t="s">
        <v>148</v>
      </c>
      <c r="D291" s="47" t="n">
        <v>45658</v>
      </c>
      <c r="E291" s="46" t="s">
        <v>43</v>
      </c>
      <c r="F291" s="48" t="n">
        <v>130.325</v>
      </c>
      <c r="G291" s="49" t="n">
        <v>5551.08</v>
      </c>
      <c r="H291" s="50" t="n">
        <f aca="false">F291*G291</f>
        <v>723444.501</v>
      </c>
    </row>
    <row r="292" customFormat="false" ht="15" hidden="false" customHeight="false" outlineLevel="0" collapsed="false">
      <c r="B292" s="46" t="s">
        <v>142</v>
      </c>
      <c r="C292" s="46" t="s">
        <v>148</v>
      </c>
      <c r="D292" s="47" t="n">
        <v>45658</v>
      </c>
      <c r="E292" s="46" t="s">
        <v>43</v>
      </c>
      <c r="F292" s="48" t="n">
        <v>127.9467</v>
      </c>
      <c r="G292" s="49" t="n">
        <v>3963.59</v>
      </c>
      <c r="H292" s="50" t="n">
        <f aca="false">F292*G292</f>
        <v>507128.260653</v>
      </c>
    </row>
    <row r="293" customFormat="false" ht="15" hidden="false" customHeight="false" outlineLevel="0" collapsed="false">
      <c r="B293" s="46" t="s">
        <v>143</v>
      </c>
      <c r="C293" s="46" t="s">
        <v>148</v>
      </c>
      <c r="D293" s="47" t="n">
        <v>45658</v>
      </c>
      <c r="E293" s="46" t="s">
        <v>43</v>
      </c>
      <c r="F293" s="48" t="n">
        <v>64.5696</v>
      </c>
      <c r="G293" s="49" t="n">
        <v>6904.54</v>
      </c>
      <c r="H293" s="50" t="n">
        <f aca="false">F293*G293</f>
        <v>445823.385984</v>
      </c>
    </row>
    <row r="294" customFormat="false" ht="15" hidden="false" customHeight="false" outlineLevel="0" collapsed="false">
      <c r="B294" s="46" t="s">
        <v>144</v>
      </c>
      <c r="C294" s="46" t="s">
        <v>148</v>
      </c>
      <c r="D294" s="47" t="n">
        <v>45658</v>
      </c>
      <c r="E294" s="46" t="s">
        <v>43</v>
      </c>
      <c r="F294" s="48" t="n">
        <v>71.7192</v>
      </c>
      <c r="G294" s="49" t="n">
        <v>4917.3</v>
      </c>
      <c r="H294" s="50" t="n">
        <f aca="false">F294*G294</f>
        <v>352664.82216</v>
      </c>
    </row>
    <row r="295" customFormat="false" ht="15" hidden="false" customHeight="false" outlineLevel="0" collapsed="false">
      <c r="B295" s="46" t="s">
        <v>145</v>
      </c>
      <c r="C295" s="46" t="s">
        <v>148</v>
      </c>
      <c r="D295" s="47" t="n">
        <v>45658</v>
      </c>
      <c r="E295" s="46" t="s">
        <v>43</v>
      </c>
      <c r="F295" s="48" t="n">
        <v>26.3986</v>
      </c>
      <c r="G295" s="49" t="n">
        <v>9520.39</v>
      </c>
      <c r="H295" s="50" t="n">
        <f aca="false">F295*G295</f>
        <v>251324.967454</v>
      </c>
    </row>
    <row r="296" customFormat="false" ht="15" hidden="false" customHeight="false" outlineLevel="0" collapsed="false">
      <c r="B296" s="46" t="s">
        <v>137</v>
      </c>
      <c r="C296" s="46" t="s">
        <v>148</v>
      </c>
      <c r="D296" s="47" t="n">
        <v>45689</v>
      </c>
      <c r="E296" s="46" t="s">
        <v>43</v>
      </c>
      <c r="F296" s="48" t="n">
        <v>129.7909</v>
      </c>
      <c r="G296" s="49" t="n">
        <v>5614.43</v>
      </c>
      <c r="H296" s="50" t="n">
        <f aca="false">F296*G296</f>
        <v>728701.922687</v>
      </c>
    </row>
    <row r="297" customFormat="false" ht="15" hidden="false" customHeight="false" outlineLevel="0" collapsed="false">
      <c r="B297" s="46" t="s">
        <v>142</v>
      </c>
      <c r="C297" s="46" t="s">
        <v>148</v>
      </c>
      <c r="D297" s="47" t="n">
        <v>45689</v>
      </c>
      <c r="E297" s="46" t="s">
        <v>43</v>
      </c>
      <c r="F297" s="48" t="n">
        <v>133.4703</v>
      </c>
      <c r="G297" s="49" t="n">
        <v>4027.7</v>
      </c>
      <c r="H297" s="50" t="n">
        <f aca="false">F297*G297</f>
        <v>537578.32731</v>
      </c>
    </row>
    <row r="298" customFormat="false" ht="15" hidden="false" customHeight="false" outlineLevel="0" collapsed="false">
      <c r="B298" s="46" t="s">
        <v>143</v>
      </c>
      <c r="C298" s="46" t="s">
        <v>148</v>
      </c>
      <c r="D298" s="47" t="n">
        <v>45689</v>
      </c>
      <c r="E298" s="46" t="s">
        <v>43</v>
      </c>
      <c r="F298" s="48" t="n">
        <v>70.5703</v>
      </c>
      <c r="G298" s="49" t="n">
        <v>6832.56</v>
      </c>
      <c r="H298" s="50" t="n">
        <f aca="false">F298*G298</f>
        <v>482175.808968</v>
      </c>
    </row>
    <row r="299" customFormat="false" ht="15" hidden="false" customHeight="false" outlineLevel="0" collapsed="false">
      <c r="B299" s="46" t="s">
        <v>144</v>
      </c>
      <c r="C299" s="46" t="s">
        <v>148</v>
      </c>
      <c r="D299" s="47" t="n">
        <v>45689</v>
      </c>
      <c r="E299" s="46" t="s">
        <v>43</v>
      </c>
      <c r="F299" s="48" t="n">
        <v>67.083</v>
      </c>
      <c r="G299" s="49" t="n">
        <v>4912.01</v>
      </c>
      <c r="H299" s="50" t="n">
        <f aca="false">F299*G299</f>
        <v>329512.36683</v>
      </c>
    </row>
    <row r="300" customFormat="false" ht="15" hidden="false" customHeight="false" outlineLevel="0" collapsed="false">
      <c r="B300" s="46" t="s">
        <v>145</v>
      </c>
      <c r="C300" s="46" t="s">
        <v>148</v>
      </c>
      <c r="D300" s="47" t="n">
        <v>45689</v>
      </c>
      <c r="E300" s="46" t="s">
        <v>43</v>
      </c>
      <c r="F300" s="48" t="n">
        <v>24.4734</v>
      </c>
      <c r="G300" s="49" t="n">
        <v>9558.74</v>
      </c>
      <c r="H300" s="50" t="n">
        <f aca="false">F300*G300</f>
        <v>233934.867516</v>
      </c>
    </row>
    <row r="301" customFormat="false" ht="15" hidden="false" customHeight="false" outlineLevel="0" collapsed="false">
      <c r="B301" s="46" t="s">
        <v>137</v>
      </c>
      <c r="C301" s="46" t="s">
        <v>148</v>
      </c>
      <c r="D301" s="47" t="n">
        <v>45717</v>
      </c>
      <c r="E301" s="46" t="s">
        <v>43</v>
      </c>
      <c r="F301" s="48" t="n">
        <v>143.7274</v>
      </c>
      <c r="G301" s="49" t="n">
        <v>5543.15</v>
      </c>
      <c r="H301" s="50" t="n">
        <f aca="false">F301*G301</f>
        <v>796702.53731</v>
      </c>
    </row>
    <row r="302" customFormat="false" ht="15" hidden="false" customHeight="false" outlineLevel="0" collapsed="false">
      <c r="B302" s="46" t="s">
        <v>142</v>
      </c>
      <c r="C302" s="46" t="s">
        <v>148</v>
      </c>
      <c r="D302" s="47" t="n">
        <v>45717</v>
      </c>
      <c r="E302" s="46" t="s">
        <v>43</v>
      </c>
      <c r="F302" s="48" t="n">
        <v>146.4177</v>
      </c>
      <c r="G302" s="49" t="n">
        <v>4072.41</v>
      </c>
      <c r="H302" s="50" t="n">
        <f aca="false">F302*G302</f>
        <v>596272.905657</v>
      </c>
    </row>
    <row r="303" customFormat="false" ht="15" hidden="false" customHeight="false" outlineLevel="0" collapsed="false">
      <c r="B303" s="46" t="s">
        <v>143</v>
      </c>
      <c r="C303" s="46" t="s">
        <v>148</v>
      </c>
      <c r="D303" s="47" t="n">
        <v>45717</v>
      </c>
      <c r="E303" s="46" t="s">
        <v>43</v>
      </c>
      <c r="F303" s="48" t="n">
        <v>63.8075</v>
      </c>
      <c r="G303" s="49" t="n">
        <v>6803.49</v>
      </c>
      <c r="H303" s="50" t="n">
        <f aca="false">F303*G303</f>
        <v>434113.688175</v>
      </c>
    </row>
    <row r="304" customFormat="false" ht="15" hidden="false" customHeight="false" outlineLevel="0" collapsed="false">
      <c r="B304" s="46" t="s">
        <v>144</v>
      </c>
      <c r="C304" s="46" t="s">
        <v>148</v>
      </c>
      <c r="D304" s="47" t="n">
        <v>45717</v>
      </c>
      <c r="E304" s="46" t="s">
        <v>43</v>
      </c>
      <c r="F304" s="48" t="n">
        <v>84.1291</v>
      </c>
      <c r="G304" s="49" t="n">
        <v>4993.38</v>
      </c>
      <c r="H304" s="50" t="n">
        <f aca="false">F304*G304</f>
        <v>420088.565358</v>
      </c>
    </row>
    <row r="305" customFormat="false" ht="15" hidden="false" customHeight="false" outlineLevel="0" collapsed="false">
      <c r="B305" s="46" t="s">
        <v>145</v>
      </c>
      <c r="C305" s="46" t="s">
        <v>148</v>
      </c>
      <c r="D305" s="47" t="n">
        <v>45717</v>
      </c>
      <c r="E305" s="46" t="s">
        <v>43</v>
      </c>
      <c r="F305" s="48" t="n">
        <v>26.9108</v>
      </c>
      <c r="G305" s="49" t="n">
        <v>9500.93</v>
      </c>
      <c r="H305" s="50" t="n">
        <f aca="false">F305*G305</f>
        <v>255677.627044</v>
      </c>
    </row>
    <row r="306" customFormat="false" ht="15" hidden="false" customHeight="false" outlineLevel="0" collapsed="false">
      <c r="B306" s="46" t="s">
        <v>137</v>
      </c>
      <c r="C306" s="46" t="s">
        <v>148</v>
      </c>
      <c r="D306" s="47" t="n">
        <v>45748</v>
      </c>
      <c r="E306" s="46" t="s">
        <v>44</v>
      </c>
      <c r="F306" s="48" t="n">
        <v>134.0449</v>
      </c>
      <c r="G306" s="49" t="n">
        <v>5578.49</v>
      </c>
      <c r="H306" s="50" t="n">
        <f aca="false">F306*G306</f>
        <v>747768.134201</v>
      </c>
    </row>
    <row r="307" customFormat="false" ht="15" hidden="false" customHeight="false" outlineLevel="0" collapsed="false">
      <c r="B307" s="46" t="s">
        <v>142</v>
      </c>
      <c r="C307" s="46" t="s">
        <v>148</v>
      </c>
      <c r="D307" s="47" t="n">
        <v>45748</v>
      </c>
      <c r="E307" s="46" t="s">
        <v>44</v>
      </c>
      <c r="F307" s="48" t="n">
        <v>128.4755</v>
      </c>
      <c r="G307" s="49" t="n">
        <v>4052.65</v>
      </c>
      <c r="H307" s="50" t="n">
        <f aca="false">F307*G307</f>
        <v>520666.235075</v>
      </c>
    </row>
    <row r="308" customFormat="false" ht="15" hidden="false" customHeight="false" outlineLevel="0" collapsed="false">
      <c r="B308" s="46" t="s">
        <v>143</v>
      </c>
      <c r="C308" s="46" t="s">
        <v>148</v>
      </c>
      <c r="D308" s="47" t="n">
        <v>45748</v>
      </c>
      <c r="E308" s="46" t="s">
        <v>44</v>
      </c>
      <c r="F308" s="48" t="n">
        <v>63.8574</v>
      </c>
      <c r="G308" s="49" t="n">
        <v>7011.59</v>
      </c>
      <c r="H308" s="50" t="n">
        <f aca="false">F308*G308</f>
        <v>447741.907266</v>
      </c>
    </row>
    <row r="309" customFormat="false" ht="15" hidden="false" customHeight="false" outlineLevel="0" collapsed="false">
      <c r="B309" s="46" t="s">
        <v>144</v>
      </c>
      <c r="C309" s="46" t="s">
        <v>148</v>
      </c>
      <c r="D309" s="47" t="n">
        <v>45748</v>
      </c>
      <c r="E309" s="46" t="s">
        <v>44</v>
      </c>
      <c r="F309" s="48" t="n">
        <v>74.9299</v>
      </c>
      <c r="G309" s="49" t="n">
        <v>5026.17</v>
      </c>
      <c r="H309" s="50" t="n">
        <f aca="false">F309*G309</f>
        <v>376610.415483</v>
      </c>
    </row>
    <row r="310" customFormat="false" ht="15" hidden="false" customHeight="false" outlineLevel="0" collapsed="false">
      <c r="B310" s="46" t="s">
        <v>145</v>
      </c>
      <c r="C310" s="46" t="s">
        <v>148</v>
      </c>
      <c r="D310" s="47" t="n">
        <v>45748</v>
      </c>
      <c r="E310" s="46" t="s">
        <v>44</v>
      </c>
      <c r="F310" s="48" t="n">
        <v>23.1425</v>
      </c>
      <c r="G310" s="49" t="n">
        <v>9626.8</v>
      </c>
      <c r="H310" s="50" t="n">
        <f aca="false">F310*G310</f>
        <v>222788.219</v>
      </c>
    </row>
    <row r="311" customFormat="false" ht="15" hidden="false" customHeight="false" outlineLevel="0" collapsed="false">
      <c r="B311" s="46" t="s">
        <v>137</v>
      </c>
      <c r="C311" s="46" t="s">
        <v>148</v>
      </c>
      <c r="D311" s="47" t="n">
        <v>45778</v>
      </c>
      <c r="E311" s="46" t="s">
        <v>44</v>
      </c>
      <c r="F311" s="48" t="n">
        <v>140.4424</v>
      </c>
      <c r="G311" s="49" t="n">
        <v>5565.08</v>
      </c>
      <c r="H311" s="50" t="n">
        <f aca="false">F311*G311</f>
        <v>781573.191392</v>
      </c>
    </row>
    <row r="312" customFormat="false" ht="15" hidden="false" customHeight="false" outlineLevel="0" collapsed="false">
      <c r="B312" s="46" t="s">
        <v>142</v>
      </c>
      <c r="C312" s="46" t="s">
        <v>148</v>
      </c>
      <c r="D312" s="47" t="n">
        <v>45778</v>
      </c>
      <c r="E312" s="46" t="s">
        <v>44</v>
      </c>
      <c r="F312" s="48" t="n">
        <v>133.0436</v>
      </c>
      <c r="G312" s="49" t="n">
        <v>4022.71</v>
      </c>
      <c r="H312" s="50" t="n">
        <f aca="false">F312*G312</f>
        <v>535195.820156</v>
      </c>
    </row>
    <row r="313" customFormat="false" ht="15" hidden="false" customHeight="false" outlineLevel="0" collapsed="false">
      <c r="B313" s="46" t="s">
        <v>143</v>
      </c>
      <c r="C313" s="46" t="s">
        <v>148</v>
      </c>
      <c r="D313" s="47" t="n">
        <v>45778</v>
      </c>
      <c r="E313" s="46" t="s">
        <v>44</v>
      </c>
      <c r="F313" s="48" t="n">
        <v>61.286</v>
      </c>
      <c r="G313" s="49" t="n">
        <v>6933.7</v>
      </c>
      <c r="H313" s="50" t="n">
        <f aca="false">F313*G313</f>
        <v>424938.7382</v>
      </c>
    </row>
    <row r="314" customFormat="false" ht="15" hidden="false" customHeight="false" outlineLevel="0" collapsed="false">
      <c r="B314" s="46" t="s">
        <v>144</v>
      </c>
      <c r="C314" s="46" t="s">
        <v>148</v>
      </c>
      <c r="D314" s="47" t="n">
        <v>45778</v>
      </c>
      <c r="E314" s="46" t="s">
        <v>44</v>
      </c>
      <c r="F314" s="48" t="n">
        <v>76.6412</v>
      </c>
      <c r="G314" s="49" t="n">
        <v>5035.14</v>
      </c>
      <c r="H314" s="50" t="n">
        <f aca="false">F314*G314</f>
        <v>385899.171768</v>
      </c>
    </row>
    <row r="315" customFormat="false" ht="15" hidden="false" customHeight="false" outlineLevel="0" collapsed="false">
      <c r="B315" s="46" t="s">
        <v>145</v>
      </c>
      <c r="C315" s="46" t="s">
        <v>148</v>
      </c>
      <c r="D315" s="47" t="n">
        <v>45778</v>
      </c>
      <c r="E315" s="46" t="s">
        <v>44</v>
      </c>
      <c r="F315" s="48" t="n">
        <v>22.6883</v>
      </c>
      <c r="G315" s="49" t="n">
        <v>9469.32</v>
      </c>
      <c r="H315" s="50" t="n">
        <f aca="false">F315*G315</f>
        <v>214842.772956</v>
      </c>
    </row>
    <row r="316" customFormat="false" ht="15" hidden="false" customHeight="false" outlineLevel="0" collapsed="false">
      <c r="B316" s="46" t="s">
        <v>137</v>
      </c>
      <c r="C316" s="46" t="s">
        <v>148</v>
      </c>
      <c r="D316" s="47" t="n">
        <v>45809</v>
      </c>
      <c r="E316" s="46" t="s">
        <v>44</v>
      </c>
      <c r="F316" s="48" t="n">
        <v>132.0919</v>
      </c>
      <c r="G316" s="49" t="n">
        <v>5594.78</v>
      </c>
      <c r="H316" s="50" t="n">
        <f aca="false">F316*G316</f>
        <v>739025.120282</v>
      </c>
    </row>
    <row r="317" customFormat="false" ht="15" hidden="false" customHeight="false" outlineLevel="0" collapsed="false">
      <c r="B317" s="46" t="s">
        <v>142</v>
      </c>
      <c r="C317" s="46" t="s">
        <v>148</v>
      </c>
      <c r="D317" s="47" t="n">
        <v>45809</v>
      </c>
      <c r="E317" s="46" t="s">
        <v>44</v>
      </c>
      <c r="F317" s="48" t="n">
        <v>128.1865</v>
      </c>
      <c r="G317" s="49" t="n">
        <v>4000.11</v>
      </c>
      <c r="H317" s="50" t="n">
        <f aca="false">F317*G317</f>
        <v>512760.100515</v>
      </c>
    </row>
    <row r="318" customFormat="false" ht="15" hidden="false" customHeight="false" outlineLevel="0" collapsed="false">
      <c r="B318" s="46" t="s">
        <v>143</v>
      </c>
      <c r="C318" s="46" t="s">
        <v>148</v>
      </c>
      <c r="D318" s="47" t="n">
        <v>45809</v>
      </c>
      <c r="E318" s="46" t="s">
        <v>44</v>
      </c>
      <c r="F318" s="48" t="n">
        <v>71.5752</v>
      </c>
      <c r="G318" s="49" t="n">
        <v>6933.28</v>
      </c>
      <c r="H318" s="50" t="n">
        <f aca="false">F318*G318</f>
        <v>496250.902656</v>
      </c>
    </row>
    <row r="319" customFormat="false" ht="15" hidden="false" customHeight="false" outlineLevel="0" collapsed="false">
      <c r="B319" s="46" t="s">
        <v>144</v>
      </c>
      <c r="C319" s="46" t="s">
        <v>148</v>
      </c>
      <c r="D319" s="47" t="n">
        <v>45809</v>
      </c>
      <c r="E319" s="46" t="s">
        <v>44</v>
      </c>
      <c r="F319" s="48" t="n">
        <v>73.4002</v>
      </c>
      <c r="G319" s="49" t="n">
        <v>5182.1</v>
      </c>
      <c r="H319" s="50" t="n">
        <f aca="false">F319*G319</f>
        <v>380367.17642</v>
      </c>
    </row>
    <row r="320" customFormat="false" ht="15" hidden="false" customHeight="false" outlineLevel="0" collapsed="false">
      <c r="B320" s="46" t="s">
        <v>145</v>
      </c>
      <c r="C320" s="46" t="s">
        <v>148</v>
      </c>
      <c r="D320" s="47" t="n">
        <v>45809</v>
      </c>
      <c r="E320" s="46" t="s">
        <v>44</v>
      </c>
      <c r="F320" s="48" t="n">
        <v>25.6725</v>
      </c>
      <c r="G320" s="49" t="n">
        <v>9681</v>
      </c>
      <c r="H320" s="50" t="n">
        <f aca="false">F320*G320</f>
        <v>248535.4725</v>
      </c>
    </row>
    <row r="321" customFormat="false" ht="15" hidden="false" customHeight="false" outlineLevel="0" collapsed="false">
      <c r="B321" s="46" t="s">
        <v>137</v>
      </c>
      <c r="C321" s="46" t="s">
        <v>148</v>
      </c>
      <c r="D321" s="47" t="n">
        <v>45839</v>
      </c>
      <c r="E321" s="46" t="s">
        <v>44</v>
      </c>
      <c r="F321" s="48" t="n">
        <v>137.6821</v>
      </c>
      <c r="G321" s="49" t="n">
        <v>5680.55</v>
      </c>
      <c r="H321" s="50" t="n">
        <f aca="false">F321*G321</f>
        <v>782110.053155</v>
      </c>
    </row>
    <row r="322" customFormat="false" ht="15" hidden="false" customHeight="false" outlineLevel="0" collapsed="false">
      <c r="B322" s="46" t="s">
        <v>142</v>
      </c>
      <c r="C322" s="46" t="s">
        <v>148</v>
      </c>
      <c r="D322" s="47" t="n">
        <v>45839</v>
      </c>
      <c r="E322" s="46" t="s">
        <v>44</v>
      </c>
      <c r="F322" s="48" t="n">
        <v>131.8233</v>
      </c>
      <c r="G322" s="49" t="n">
        <v>4033.48</v>
      </c>
      <c r="H322" s="50" t="n">
        <f aca="false">F322*G322</f>
        <v>531706.644084</v>
      </c>
    </row>
    <row r="323" customFormat="false" ht="15" hidden="false" customHeight="false" outlineLevel="0" collapsed="false">
      <c r="B323" s="46" t="s">
        <v>143</v>
      </c>
      <c r="C323" s="46" t="s">
        <v>148</v>
      </c>
      <c r="D323" s="47" t="n">
        <v>45839</v>
      </c>
      <c r="E323" s="46" t="s">
        <v>44</v>
      </c>
      <c r="F323" s="48" t="n">
        <v>66.0405</v>
      </c>
      <c r="G323" s="49" t="n">
        <v>6869.99</v>
      </c>
      <c r="H323" s="50" t="n">
        <f aca="false">F323*G323</f>
        <v>453697.574595</v>
      </c>
    </row>
    <row r="324" customFormat="false" ht="15" hidden="false" customHeight="false" outlineLevel="0" collapsed="false">
      <c r="B324" s="46" t="s">
        <v>144</v>
      </c>
      <c r="C324" s="46" t="s">
        <v>148</v>
      </c>
      <c r="D324" s="47" t="n">
        <v>45839</v>
      </c>
      <c r="E324" s="46" t="s">
        <v>44</v>
      </c>
      <c r="F324" s="48" t="n">
        <v>80.7931</v>
      </c>
      <c r="G324" s="49" t="n">
        <v>4946.11</v>
      </c>
      <c r="H324" s="50" t="n">
        <f aca="false">F324*G324</f>
        <v>399611.559841</v>
      </c>
    </row>
    <row r="325" customFormat="false" ht="15" hidden="false" customHeight="false" outlineLevel="0" collapsed="false">
      <c r="B325" s="46" t="s">
        <v>145</v>
      </c>
      <c r="C325" s="46" t="s">
        <v>148</v>
      </c>
      <c r="D325" s="47" t="n">
        <v>45839</v>
      </c>
      <c r="E325" s="46" t="s">
        <v>44</v>
      </c>
      <c r="F325" s="48" t="n">
        <v>25.6547</v>
      </c>
      <c r="G325" s="49" t="n">
        <v>9637.12</v>
      </c>
      <c r="H325" s="50" t="n">
        <f aca="false">F325*G325</f>
        <v>247237.422464</v>
      </c>
    </row>
    <row r="326" customFormat="false" ht="15" hidden="false" customHeight="false" outlineLevel="0" collapsed="false">
      <c r="B326" s="46" t="s">
        <v>137</v>
      </c>
      <c r="C326" s="46" t="s">
        <v>148</v>
      </c>
      <c r="D326" s="47" t="n">
        <v>45870</v>
      </c>
      <c r="E326" s="46" t="s">
        <v>44</v>
      </c>
      <c r="F326" s="48" t="n">
        <v>128.2884</v>
      </c>
      <c r="G326" s="49" t="n">
        <v>5632.38</v>
      </c>
      <c r="H326" s="50" t="n">
        <f aca="false">F326*G326</f>
        <v>722569.018392</v>
      </c>
    </row>
    <row r="327" customFormat="false" ht="15" hidden="false" customHeight="false" outlineLevel="0" collapsed="false">
      <c r="B327" s="46" t="s">
        <v>142</v>
      </c>
      <c r="C327" s="46" t="s">
        <v>148</v>
      </c>
      <c r="D327" s="47" t="n">
        <v>45870</v>
      </c>
      <c r="E327" s="46" t="s">
        <v>44</v>
      </c>
      <c r="F327" s="48" t="n">
        <v>139.3652</v>
      </c>
      <c r="G327" s="49" t="n">
        <v>4066.31</v>
      </c>
      <c r="H327" s="50" t="n">
        <f aca="false">F327*G327</f>
        <v>566702.106412</v>
      </c>
    </row>
    <row r="328" customFormat="false" ht="15" hidden="false" customHeight="false" outlineLevel="0" collapsed="false">
      <c r="B328" s="46" t="s">
        <v>143</v>
      </c>
      <c r="C328" s="46" t="s">
        <v>148</v>
      </c>
      <c r="D328" s="47" t="n">
        <v>45870</v>
      </c>
      <c r="E328" s="46" t="s">
        <v>44</v>
      </c>
      <c r="F328" s="48" t="n">
        <v>58.4781</v>
      </c>
      <c r="G328" s="49" t="n">
        <v>7136.16</v>
      </c>
      <c r="H328" s="50" t="n">
        <f aca="false">F328*G328</f>
        <v>417309.078096</v>
      </c>
    </row>
    <row r="329" customFormat="false" ht="15" hidden="false" customHeight="false" outlineLevel="0" collapsed="false">
      <c r="B329" s="46" t="s">
        <v>144</v>
      </c>
      <c r="C329" s="46" t="s">
        <v>148</v>
      </c>
      <c r="D329" s="47" t="n">
        <v>45870</v>
      </c>
      <c r="E329" s="46" t="s">
        <v>44</v>
      </c>
      <c r="F329" s="48" t="n">
        <v>71.494</v>
      </c>
      <c r="G329" s="49" t="n">
        <v>4979.5</v>
      </c>
      <c r="H329" s="50" t="n">
        <f aca="false">F329*G329</f>
        <v>356004.373</v>
      </c>
    </row>
    <row r="330" customFormat="false" ht="15" hidden="false" customHeight="false" outlineLevel="0" collapsed="false">
      <c r="B330" s="46" t="s">
        <v>145</v>
      </c>
      <c r="C330" s="46" t="s">
        <v>148</v>
      </c>
      <c r="D330" s="47" t="n">
        <v>45870</v>
      </c>
      <c r="E330" s="46" t="s">
        <v>44</v>
      </c>
      <c r="F330" s="48" t="n">
        <v>23.7148</v>
      </c>
      <c r="G330" s="49" t="n">
        <v>9832.87</v>
      </c>
      <c r="H330" s="50" t="n">
        <f aca="false">F330*G330</f>
        <v>233184.545476</v>
      </c>
    </row>
    <row r="331" customFormat="false" ht="15" hidden="false" customHeight="false" outlineLevel="0" collapsed="false">
      <c r="B331" s="46" t="s">
        <v>137</v>
      </c>
      <c r="C331" s="46" t="s">
        <v>148</v>
      </c>
      <c r="D331" s="47" t="n">
        <v>45901</v>
      </c>
      <c r="E331" s="46" t="s">
        <v>44</v>
      </c>
      <c r="F331" s="48" t="n">
        <v>140.2644</v>
      </c>
      <c r="G331" s="49" t="n">
        <v>5626.23</v>
      </c>
      <c r="H331" s="50" t="n">
        <f aca="false">F331*G331</f>
        <v>789159.775212</v>
      </c>
    </row>
    <row r="332" customFormat="false" ht="15" hidden="false" customHeight="false" outlineLevel="0" collapsed="false">
      <c r="B332" s="46" t="s">
        <v>142</v>
      </c>
      <c r="C332" s="46" t="s">
        <v>148</v>
      </c>
      <c r="D332" s="47" t="n">
        <v>45901</v>
      </c>
      <c r="E332" s="46" t="s">
        <v>44</v>
      </c>
      <c r="F332" s="48" t="n">
        <v>142.6577</v>
      </c>
      <c r="G332" s="49" t="n">
        <v>4052.8</v>
      </c>
      <c r="H332" s="50" t="n">
        <f aca="false">F332*G332</f>
        <v>578163.12656</v>
      </c>
    </row>
    <row r="333" customFormat="false" ht="15" hidden="false" customHeight="false" outlineLevel="0" collapsed="false">
      <c r="B333" s="46" t="s">
        <v>143</v>
      </c>
      <c r="C333" s="46" t="s">
        <v>148</v>
      </c>
      <c r="D333" s="47" t="n">
        <v>45901</v>
      </c>
      <c r="E333" s="46" t="s">
        <v>44</v>
      </c>
      <c r="F333" s="48" t="n">
        <v>67.3151</v>
      </c>
      <c r="G333" s="49" t="n">
        <v>6975.42</v>
      </c>
      <c r="H333" s="50" t="n">
        <f aca="false">F333*G333</f>
        <v>469551.094842</v>
      </c>
    </row>
    <row r="334" customFormat="false" ht="15" hidden="false" customHeight="false" outlineLevel="0" collapsed="false">
      <c r="B334" s="46" t="s">
        <v>144</v>
      </c>
      <c r="C334" s="46" t="s">
        <v>148</v>
      </c>
      <c r="D334" s="47" t="n">
        <v>45901</v>
      </c>
      <c r="E334" s="46" t="s">
        <v>44</v>
      </c>
      <c r="F334" s="48" t="n">
        <v>74.8073</v>
      </c>
      <c r="G334" s="49" t="n">
        <v>5037.13</v>
      </c>
      <c r="H334" s="50" t="n">
        <f aca="false">F334*G334</f>
        <v>376814.095049</v>
      </c>
    </row>
    <row r="335" customFormat="false" ht="15" hidden="false" customHeight="false" outlineLevel="0" collapsed="false">
      <c r="B335" s="46" t="s">
        <v>145</v>
      </c>
      <c r="C335" s="46" t="s">
        <v>148</v>
      </c>
      <c r="D335" s="47" t="n">
        <v>45901</v>
      </c>
      <c r="E335" s="46" t="s">
        <v>44</v>
      </c>
      <c r="F335" s="48" t="n">
        <v>23.0961</v>
      </c>
      <c r="G335" s="49" t="n">
        <v>9905.45</v>
      </c>
      <c r="H335" s="50" t="n">
        <f aca="false">F335*G335</f>
        <v>228777.263745</v>
      </c>
    </row>
    <row r="336" customFormat="false" ht="15" hidden="false" customHeight="false" outlineLevel="0" collapsed="false">
      <c r="B336" s="46" t="s">
        <v>137</v>
      </c>
      <c r="C336" s="46" t="s">
        <v>148</v>
      </c>
      <c r="D336" s="47" t="n">
        <v>45931</v>
      </c>
      <c r="E336" s="46" t="s">
        <v>44</v>
      </c>
      <c r="F336" s="48" t="n">
        <v>142.6005</v>
      </c>
      <c r="G336" s="49" t="n">
        <v>5619.96</v>
      </c>
      <c r="H336" s="50" t="n">
        <f aca="false">F336*G336</f>
        <v>801409.10598</v>
      </c>
    </row>
    <row r="337" customFormat="false" ht="15" hidden="false" customHeight="false" outlineLevel="0" collapsed="false">
      <c r="B337" s="46" t="s">
        <v>142</v>
      </c>
      <c r="C337" s="46" t="s">
        <v>148</v>
      </c>
      <c r="D337" s="47" t="n">
        <v>45931</v>
      </c>
      <c r="E337" s="46" t="s">
        <v>44</v>
      </c>
      <c r="F337" s="48" t="n">
        <v>142.7866</v>
      </c>
      <c r="G337" s="49" t="n">
        <v>4113.67</v>
      </c>
      <c r="H337" s="50" t="n">
        <f aca="false">F337*G337</f>
        <v>587376.952822</v>
      </c>
    </row>
    <row r="338" customFormat="false" ht="15" hidden="false" customHeight="false" outlineLevel="0" collapsed="false">
      <c r="B338" s="46" t="s">
        <v>143</v>
      </c>
      <c r="C338" s="46" t="s">
        <v>148</v>
      </c>
      <c r="D338" s="47" t="n">
        <v>45931</v>
      </c>
      <c r="E338" s="46" t="s">
        <v>44</v>
      </c>
      <c r="F338" s="48" t="n">
        <v>65.7574</v>
      </c>
      <c r="G338" s="49" t="n">
        <v>7052.62</v>
      </c>
      <c r="H338" s="50" t="n">
        <f aca="false">F338*G338</f>
        <v>463761.954388</v>
      </c>
    </row>
    <row r="339" customFormat="false" ht="15" hidden="false" customHeight="false" outlineLevel="0" collapsed="false">
      <c r="B339" s="46" t="s">
        <v>144</v>
      </c>
      <c r="C339" s="46" t="s">
        <v>148</v>
      </c>
      <c r="D339" s="47" t="n">
        <v>45931</v>
      </c>
      <c r="E339" s="46" t="s">
        <v>44</v>
      </c>
      <c r="F339" s="48" t="n">
        <v>80.7458</v>
      </c>
      <c r="G339" s="49" t="n">
        <v>5085.73</v>
      </c>
      <c r="H339" s="50" t="n">
        <f aca="false">F339*G339</f>
        <v>410651.337434</v>
      </c>
    </row>
    <row r="340" customFormat="false" ht="15" hidden="false" customHeight="false" outlineLevel="0" collapsed="false">
      <c r="B340" s="46" t="s">
        <v>145</v>
      </c>
      <c r="C340" s="46" t="s">
        <v>148</v>
      </c>
      <c r="D340" s="47" t="n">
        <v>45931</v>
      </c>
      <c r="E340" s="46" t="s">
        <v>44</v>
      </c>
      <c r="F340" s="48" t="n">
        <v>24.5221</v>
      </c>
      <c r="G340" s="49" t="n">
        <v>10110.05</v>
      </c>
      <c r="H340" s="50" t="n">
        <f aca="false">F340*G340</f>
        <v>247919.657105</v>
      </c>
    </row>
    <row r="341" customFormat="false" ht="15" hidden="false" customHeight="false" outlineLevel="0" collapsed="false">
      <c r="B341" s="46" t="s">
        <v>137</v>
      </c>
      <c r="C341" s="46" t="s">
        <v>148</v>
      </c>
      <c r="D341" s="47" t="n">
        <v>45962</v>
      </c>
      <c r="E341" s="46" t="s">
        <v>44</v>
      </c>
      <c r="F341" s="48" t="n">
        <v>135.2476</v>
      </c>
      <c r="G341" s="49" t="n">
        <v>5687.43</v>
      </c>
      <c r="H341" s="50" t="n">
        <f aca="false">F341*G341</f>
        <v>769211.257668</v>
      </c>
    </row>
    <row r="342" customFormat="false" ht="15" hidden="false" customHeight="false" outlineLevel="0" collapsed="false">
      <c r="B342" s="46" t="s">
        <v>142</v>
      </c>
      <c r="C342" s="46" t="s">
        <v>148</v>
      </c>
      <c r="D342" s="47" t="n">
        <v>45962</v>
      </c>
      <c r="E342" s="46" t="s">
        <v>44</v>
      </c>
      <c r="F342" s="48" t="n">
        <v>144.5043</v>
      </c>
      <c r="G342" s="49" t="n">
        <v>4025.15</v>
      </c>
      <c r="H342" s="50" t="n">
        <f aca="false">F342*G342</f>
        <v>581651.483145</v>
      </c>
    </row>
    <row r="343" customFormat="false" ht="15" hidden="false" customHeight="false" outlineLevel="0" collapsed="false">
      <c r="B343" s="46" t="s">
        <v>143</v>
      </c>
      <c r="C343" s="46" t="s">
        <v>148</v>
      </c>
      <c r="D343" s="47" t="n">
        <v>45962</v>
      </c>
      <c r="E343" s="46" t="s">
        <v>44</v>
      </c>
      <c r="F343" s="48" t="n">
        <v>64.7443</v>
      </c>
      <c r="G343" s="49" t="n">
        <v>7204.02</v>
      </c>
      <c r="H343" s="50" t="n">
        <f aca="false">F343*G343</f>
        <v>466419.232086</v>
      </c>
    </row>
    <row r="344" customFormat="false" ht="15" hidden="false" customHeight="false" outlineLevel="0" collapsed="false">
      <c r="B344" s="46" t="s">
        <v>144</v>
      </c>
      <c r="C344" s="46" t="s">
        <v>148</v>
      </c>
      <c r="D344" s="47" t="n">
        <v>45962</v>
      </c>
      <c r="E344" s="46" t="s">
        <v>44</v>
      </c>
      <c r="F344" s="48" t="n">
        <v>82.9284</v>
      </c>
      <c r="G344" s="49" t="n">
        <v>5125.08</v>
      </c>
      <c r="H344" s="50" t="n">
        <f aca="false">F344*G344</f>
        <v>425014.684272</v>
      </c>
    </row>
    <row r="345" customFormat="false" ht="15" hidden="false" customHeight="false" outlineLevel="0" collapsed="false">
      <c r="B345" s="46" t="s">
        <v>145</v>
      </c>
      <c r="C345" s="46" t="s">
        <v>148</v>
      </c>
      <c r="D345" s="47" t="n">
        <v>45962</v>
      </c>
      <c r="E345" s="46" t="s">
        <v>44</v>
      </c>
      <c r="F345" s="48" t="n">
        <v>23.4475</v>
      </c>
      <c r="G345" s="49" t="n">
        <v>9752.99</v>
      </c>
      <c r="H345" s="50" t="n">
        <f aca="false">F345*G345</f>
        <v>228683.233025</v>
      </c>
    </row>
    <row r="346" customFormat="false" ht="15" hidden="false" customHeight="false" outlineLevel="0" collapsed="false">
      <c r="B346" s="46" t="s">
        <v>137</v>
      </c>
      <c r="C346" s="46" t="s">
        <v>148</v>
      </c>
      <c r="D346" s="47" t="n">
        <v>45992</v>
      </c>
      <c r="E346" s="46" t="s">
        <v>44</v>
      </c>
      <c r="F346" s="48" t="n">
        <v>138.3642</v>
      </c>
      <c r="G346" s="49" t="n">
        <v>5745.94</v>
      </c>
      <c r="H346" s="50" t="n">
        <f aca="false">F346*G346</f>
        <v>795032.391348</v>
      </c>
    </row>
    <row r="347" customFormat="false" ht="15" hidden="false" customHeight="false" outlineLevel="0" collapsed="false">
      <c r="B347" s="46" t="s">
        <v>142</v>
      </c>
      <c r="C347" s="46" t="s">
        <v>148</v>
      </c>
      <c r="D347" s="47" t="n">
        <v>45992</v>
      </c>
      <c r="E347" s="46" t="s">
        <v>44</v>
      </c>
      <c r="F347" s="48" t="n">
        <v>136.7656</v>
      </c>
      <c r="G347" s="49" t="n">
        <v>4094.25</v>
      </c>
      <c r="H347" s="50" t="n">
        <f aca="false">F347*G347</f>
        <v>559952.5578</v>
      </c>
    </row>
    <row r="348" customFormat="false" ht="15" hidden="false" customHeight="false" outlineLevel="0" collapsed="false">
      <c r="B348" s="46" t="s">
        <v>143</v>
      </c>
      <c r="C348" s="46" t="s">
        <v>148</v>
      </c>
      <c r="D348" s="47" t="n">
        <v>45992</v>
      </c>
      <c r="E348" s="46" t="s">
        <v>44</v>
      </c>
      <c r="F348" s="48" t="n">
        <v>67.6914</v>
      </c>
      <c r="G348" s="49" t="n">
        <v>7024.36</v>
      </c>
      <c r="H348" s="50" t="n">
        <f aca="false">F348*G348</f>
        <v>475488.762504</v>
      </c>
    </row>
    <row r="349" customFormat="false" ht="15" hidden="false" customHeight="false" outlineLevel="0" collapsed="false">
      <c r="B349" s="46" t="s">
        <v>144</v>
      </c>
      <c r="C349" s="46" t="s">
        <v>148</v>
      </c>
      <c r="D349" s="47" t="n">
        <v>45992</v>
      </c>
      <c r="E349" s="46" t="s">
        <v>44</v>
      </c>
      <c r="F349" s="48" t="n">
        <v>78.2713</v>
      </c>
      <c r="G349" s="49" t="n">
        <v>5150.67</v>
      </c>
      <c r="H349" s="50" t="n">
        <f aca="false">F349*G349</f>
        <v>403149.636771</v>
      </c>
    </row>
    <row r="350" customFormat="false" ht="15" hidden="false" customHeight="false" outlineLevel="0" collapsed="false">
      <c r="B350" s="46" t="s">
        <v>145</v>
      </c>
      <c r="C350" s="46" t="s">
        <v>148</v>
      </c>
      <c r="D350" s="47" t="n">
        <v>45992</v>
      </c>
      <c r="E350" s="46" t="s">
        <v>44</v>
      </c>
      <c r="F350" s="48" t="n">
        <v>23.0148</v>
      </c>
      <c r="G350" s="49" t="n">
        <v>9884.59</v>
      </c>
      <c r="H350" s="50" t="n">
        <f aca="false">F350*G350</f>
        <v>227491.861932</v>
      </c>
    </row>
    <row r="351" customFormat="false" ht="15" hidden="false" customHeight="false" outlineLevel="0" collapsed="false">
      <c r="B351" s="46" t="s">
        <v>137</v>
      </c>
      <c r="C351" s="46" t="s">
        <v>148</v>
      </c>
      <c r="D351" s="47" t="n">
        <v>46023</v>
      </c>
      <c r="E351" s="46" t="s">
        <v>44</v>
      </c>
      <c r="F351" s="48" t="n">
        <v>133.7175</v>
      </c>
      <c r="G351" s="49" t="n">
        <v>5739.72</v>
      </c>
      <c r="H351" s="50" t="n">
        <f aca="false">F351*G351</f>
        <v>767501.0091</v>
      </c>
    </row>
    <row r="352" customFormat="false" ht="15" hidden="false" customHeight="false" outlineLevel="0" collapsed="false">
      <c r="B352" s="46" t="s">
        <v>142</v>
      </c>
      <c r="C352" s="46" t="s">
        <v>148</v>
      </c>
      <c r="D352" s="47" t="n">
        <v>46023</v>
      </c>
      <c r="E352" s="46" t="s">
        <v>44</v>
      </c>
      <c r="F352" s="48" t="n">
        <v>134.5899</v>
      </c>
      <c r="G352" s="49" t="n">
        <v>4081.89</v>
      </c>
      <c r="H352" s="50" t="n">
        <f aca="false">F352*G352</f>
        <v>549381.166911</v>
      </c>
    </row>
    <row r="353" customFormat="false" ht="15" hidden="false" customHeight="false" outlineLevel="0" collapsed="false">
      <c r="B353" s="46" t="s">
        <v>143</v>
      </c>
      <c r="C353" s="46" t="s">
        <v>148</v>
      </c>
      <c r="D353" s="47" t="n">
        <v>46023</v>
      </c>
      <c r="E353" s="46" t="s">
        <v>44</v>
      </c>
      <c r="F353" s="48" t="n">
        <v>66.8004</v>
      </c>
      <c r="G353" s="49" t="n">
        <v>7176.33</v>
      </c>
      <c r="H353" s="50" t="n">
        <f aca="false">F353*G353</f>
        <v>479381.714532</v>
      </c>
    </row>
    <row r="354" customFormat="false" ht="15" hidden="false" customHeight="false" outlineLevel="0" collapsed="false">
      <c r="B354" s="46" t="s">
        <v>144</v>
      </c>
      <c r="C354" s="46" t="s">
        <v>148</v>
      </c>
      <c r="D354" s="47" t="n">
        <v>46023</v>
      </c>
      <c r="E354" s="46" t="s">
        <v>44</v>
      </c>
      <c r="F354" s="48" t="n">
        <v>71.5839</v>
      </c>
      <c r="G354" s="49" t="n">
        <v>5132.07</v>
      </c>
      <c r="H354" s="50" t="n">
        <f aca="false">F354*G354</f>
        <v>367373.585673</v>
      </c>
    </row>
    <row r="355" customFormat="false" ht="15" hidden="false" customHeight="false" outlineLevel="0" collapsed="false">
      <c r="B355" s="46" t="s">
        <v>145</v>
      </c>
      <c r="C355" s="46" t="s">
        <v>148</v>
      </c>
      <c r="D355" s="47" t="n">
        <v>46023</v>
      </c>
      <c r="E355" s="46" t="s">
        <v>44</v>
      </c>
      <c r="F355" s="48" t="n">
        <v>23.9922</v>
      </c>
      <c r="G355" s="49" t="n">
        <v>9939.29</v>
      </c>
      <c r="H355" s="50" t="n">
        <f aca="false">F355*G355</f>
        <v>238465.433538</v>
      </c>
    </row>
    <row r="356" customFormat="false" ht="15" hidden="false" customHeight="false" outlineLevel="0" collapsed="false">
      <c r="B356" s="46" t="s">
        <v>137</v>
      </c>
      <c r="C356" s="46" t="s">
        <v>148</v>
      </c>
      <c r="D356" s="47" t="n">
        <v>46054</v>
      </c>
      <c r="E356" s="46" t="s">
        <v>44</v>
      </c>
      <c r="F356" s="48" t="n">
        <v>135.2573</v>
      </c>
      <c r="G356" s="49" t="n">
        <v>5744.48</v>
      </c>
      <c r="H356" s="50" t="n">
        <f aca="false">F356*G356</f>
        <v>776982.854704</v>
      </c>
    </row>
    <row r="357" customFormat="false" ht="15" hidden="false" customHeight="false" outlineLevel="0" collapsed="false">
      <c r="B357" s="46" t="s">
        <v>142</v>
      </c>
      <c r="C357" s="46" t="s">
        <v>148</v>
      </c>
      <c r="D357" s="47" t="n">
        <v>46054</v>
      </c>
      <c r="E357" s="46" t="s">
        <v>44</v>
      </c>
      <c r="F357" s="48" t="n">
        <v>132.7406</v>
      </c>
      <c r="G357" s="49" t="n">
        <v>4055.16</v>
      </c>
      <c r="H357" s="50" t="n">
        <f aca="false">F357*G357</f>
        <v>538284.371496</v>
      </c>
    </row>
    <row r="358" customFormat="false" ht="15" hidden="false" customHeight="false" outlineLevel="0" collapsed="false">
      <c r="B358" s="46" t="s">
        <v>143</v>
      </c>
      <c r="C358" s="46" t="s">
        <v>148</v>
      </c>
      <c r="D358" s="47" t="n">
        <v>46054</v>
      </c>
      <c r="E358" s="46" t="s">
        <v>44</v>
      </c>
      <c r="F358" s="48" t="n">
        <v>61.6609</v>
      </c>
      <c r="G358" s="49" t="n">
        <v>7199.28</v>
      </c>
      <c r="H358" s="50" t="n">
        <f aca="false">F358*G358</f>
        <v>443914.084152</v>
      </c>
    </row>
    <row r="359" customFormat="false" ht="15" hidden="false" customHeight="false" outlineLevel="0" collapsed="false">
      <c r="B359" s="46" t="s">
        <v>144</v>
      </c>
      <c r="C359" s="46" t="s">
        <v>148</v>
      </c>
      <c r="D359" s="47" t="n">
        <v>46054</v>
      </c>
      <c r="E359" s="46" t="s">
        <v>44</v>
      </c>
      <c r="F359" s="48" t="n">
        <v>74.0375</v>
      </c>
      <c r="G359" s="49" t="n">
        <v>5156.62</v>
      </c>
      <c r="H359" s="50" t="n">
        <f aca="false">F359*G359</f>
        <v>381783.25325</v>
      </c>
    </row>
    <row r="360" customFormat="false" ht="15" hidden="false" customHeight="false" outlineLevel="0" collapsed="false">
      <c r="B360" s="46" t="s">
        <v>145</v>
      </c>
      <c r="C360" s="46" t="s">
        <v>148</v>
      </c>
      <c r="D360" s="47" t="n">
        <v>46054</v>
      </c>
      <c r="E360" s="46" t="s">
        <v>44</v>
      </c>
      <c r="F360" s="48" t="n">
        <v>23.5378</v>
      </c>
      <c r="G360" s="49" t="n">
        <v>10166.5</v>
      </c>
      <c r="H360" s="50" t="n">
        <f aca="false">F360*G360</f>
        <v>239297.0437</v>
      </c>
    </row>
    <row r="361" customFormat="false" ht="15" hidden="false" customHeight="false" outlineLevel="0" collapsed="false">
      <c r="B361" s="46" t="s">
        <v>137</v>
      </c>
      <c r="C361" s="46" t="s">
        <v>148</v>
      </c>
      <c r="D361" s="47" t="n">
        <v>46082</v>
      </c>
      <c r="E361" s="46" t="s">
        <v>44</v>
      </c>
      <c r="F361" s="48" t="n">
        <v>138.5766</v>
      </c>
      <c r="G361" s="49" t="n">
        <v>5735.72</v>
      </c>
      <c r="H361" s="50" t="n">
        <f aca="false">F361*G361</f>
        <v>794836.576152</v>
      </c>
    </row>
    <row r="362" customFormat="false" ht="15" hidden="false" customHeight="false" outlineLevel="0" collapsed="false">
      <c r="B362" s="46" t="s">
        <v>142</v>
      </c>
      <c r="C362" s="46" t="s">
        <v>148</v>
      </c>
      <c r="D362" s="47" t="n">
        <v>46082</v>
      </c>
      <c r="E362" s="46" t="s">
        <v>44</v>
      </c>
      <c r="F362" s="48" t="n">
        <v>154.6605</v>
      </c>
      <c r="G362" s="49" t="n">
        <v>4165.66</v>
      </c>
      <c r="H362" s="50" t="n">
        <f aca="false">F362*G362</f>
        <v>644263.05843</v>
      </c>
    </row>
    <row r="363" customFormat="false" ht="15" hidden="false" customHeight="false" outlineLevel="0" collapsed="false">
      <c r="B363" s="46" t="s">
        <v>143</v>
      </c>
      <c r="C363" s="46" t="s">
        <v>148</v>
      </c>
      <c r="D363" s="47" t="n">
        <v>46082</v>
      </c>
      <c r="E363" s="46" t="s">
        <v>44</v>
      </c>
      <c r="F363" s="48" t="n">
        <v>65.3023</v>
      </c>
      <c r="G363" s="49" t="n">
        <v>7023.14</v>
      </c>
      <c r="H363" s="50" t="n">
        <f aca="false">F363*G363</f>
        <v>458627.195222</v>
      </c>
    </row>
    <row r="364" customFormat="false" ht="15" hidden="false" customHeight="false" outlineLevel="0" collapsed="false">
      <c r="B364" s="46" t="s">
        <v>144</v>
      </c>
      <c r="C364" s="46" t="s">
        <v>148</v>
      </c>
      <c r="D364" s="47" t="n">
        <v>46082</v>
      </c>
      <c r="E364" s="46" t="s">
        <v>44</v>
      </c>
      <c r="F364" s="48" t="n">
        <v>91.993</v>
      </c>
      <c r="G364" s="49" t="n">
        <v>5128.84</v>
      </c>
      <c r="H364" s="50" t="n">
        <f aca="false">F364*G364</f>
        <v>471817.37812</v>
      </c>
    </row>
    <row r="365" customFormat="false" ht="15" hidden="false" customHeight="false" outlineLevel="0" collapsed="false">
      <c r="B365" s="46" t="s">
        <v>145</v>
      </c>
      <c r="C365" s="46" t="s">
        <v>148</v>
      </c>
      <c r="D365" s="47" t="n">
        <v>46082</v>
      </c>
      <c r="E365" s="46" t="s">
        <v>44</v>
      </c>
      <c r="F365" s="48" t="n">
        <v>25.9923</v>
      </c>
      <c r="G365" s="49" t="n">
        <v>10048.4</v>
      </c>
      <c r="H365" s="50" t="n">
        <f aca="false">F365*G365</f>
        <v>261181.02732</v>
      </c>
    </row>
    <row r="366" customFormat="false" ht="15" hidden="false" customHeight="false" outlineLevel="0" collapsed="false">
      <c r="B366" s="46" t="s">
        <v>137</v>
      </c>
      <c r="C366" s="46" t="s">
        <v>149</v>
      </c>
      <c r="D366" s="47" t="n">
        <v>45017</v>
      </c>
      <c r="E366" s="46" t="s">
        <v>42</v>
      </c>
      <c r="F366" s="48" t="n">
        <v>149.2183</v>
      </c>
      <c r="G366" s="49" t="n">
        <v>5164.1</v>
      </c>
      <c r="H366" s="50" t="n">
        <f aca="false">F366*G366</f>
        <v>770578.22303</v>
      </c>
    </row>
    <row r="367" customFormat="false" ht="15" hidden="false" customHeight="false" outlineLevel="0" collapsed="false">
      <c r="B367" s="46" t="s">
        <v>142</v>
      </c>
      <c r="C367" s="46" t="s">
        <v>149</v>
      </c>
      <c r="D367" s="47" t="n">
        <v>45017</v>
      </c>
      <c r="E367" s="46" t="s">
        <v>42</v>
      </c>
      <c r="F367" s="48" t="n">
        <v>151.7959</v>
      </c>
      <c r="G367" s="49" t="n">
        <v>3946.45</v>
      </c>
      <c r="H367" s="50" t="n">
        <f aca="false">F367*G367</f>
        <v>599054.929555</v>
      </c>
    </row>
    <row r="368" customFormat="false" ht="15" hidden="false" customHeight="false" outlineLevel="0" collapsed="false">
      <c r="B368" s="46" t="s">
        <v>143</v>
      </c>
      <c r="C368" s="46" t="s">
        <v>149</v>
      </c>
      <c r="D368" s="47" t="n">
        <v>45017</v>
      </c>
      <c r="E368" s="46" t="s">
        <v>42</v>
      </c>
      <c r="F368" s="48" t="n">
        <v>77.6265</v>
      </c>
      <c r="G368" s="49" t="n">
        <v>6419.74</v>
      </c>
      <c r="H368" s="50" t="n">
        <f aca="false">F368*G368</f>
        <v>498341.94711</v>
      </c>
    </row>
    <row r="369" customFormat="false" ht="15" hidden="false" customHeight="false" outlineLevel="0" collapsed="false">
      <c r="B369" s="46" t="s">
        <v>144</v>
      </c>
      <c r="C369" s="46" t="s">
        <v>149</v>
      </c>
      <c r="D369" s="47" t="n">
        <v>45017</v>
      </c>
      <c r="E369" s="46" t="s">
        <v>42</v>
      </c>
      <c r="F369" s="48" t="n">
        <v>65.5755</v>
      </c>
      <c r="G369" s="49" t="n">
        <v>4748.11</v>
      </c>
      <c r="H369" s="50" t="n">
        <f aca="false">F369*G369</f>
        <v>311359.687305</v>
      </c>
    </row>
    <row r="370" customFormat="false" ht="15" hidden="false" customHeight="false" outlineLevel="0" collapsed="false">
      <c r="B370" s="46" t="s">
        <v>145</v>
      </c>
      <c r="C370" s="46" t="s">
        <v>149</v>
      </c>
      <c r="D370" s="47" t="n">
        <v>45017</v>
      </c>
      <c r="E370" s="46" t="s">
        <v>42</v>
      </c>
      <c r="F370" s="48" t="n">
        <v>27.1841</v>
      </c>
      <c r="G370" s="49" t="n">
        <v>9020.34</v>
      </c>
      <c r="H370" s="50" t="n">
        <f aca="false">F370*G370</f>
        <v>245209.824594</v>
      </c>
    </row>
    <row r="371" customFormat="false" ht="15" hidden="false" customHeight="false" outlineLevel="0" collapsed="false">
      <c r="B371" s="46" t="s">
        <v>137</v>
      </c>
      <c r="C371" s="46" t="s">
        <v>149</v>
      </c>
      <c r="D371" s="47" t="n">
        <v>45047</v>
      </c>
      <c r="E371" s="46" t="s">
        <v>42</v>
      </c>
      <c r="F371" s="48" t="n">
        <v>154.8603</v>
      </c>
      <c r="G371" s="49" t="n">
        <v>5224.45</v>
      </c>
      <c r="H371" s="50" t="n">
        <f aca="false">F371*G371</f>
        <v>809059.894335</v>
      </c>
    </row>
    <row r="372" customFormat="false" ht="15" hidden="false" customHeight="false" outlineLevel="0" collapsed="false">
      <c r="B372" s="46" t="s">
        <v>142</v>
      </c>
      <c r="C372" s="46" t="s">
        <v>149</v>
      </c>
      <c r="D372" s="47" t="n">
        <v>45047</v>
      </c>
      <c r="E372" s="46" t="s">
        <v>42</v>
      </c>
      <c r="F372" s="48" t="n">
        <v>130.1192</v>
      </c>
      <c r="G372" s="49" t="n">
        <v>3905.95</v>
      </c>
      <c r="H372" s="50" t="n">
        <f aca="false">F372*G372</f>
        <v>508239.08924</v>
      </c>
    </row>
    <row r="373" customFormat="false" ht="15" hidden="false" customHeight="false" outlineLevel="0" collapsed="false">
      <c r="B373" s="46" t="s">
        <v>143</v>
      </c>
      <c r="C373" s="46" t="s">
        <v>149</v>
      </c>
      <c r="D373" s="47" t="n">
        <v>45047</v>
      </c>
      <c r="E373" s="46" t="s">
        <v>42</v>
      </c>
      <c r="F373" s="48" t="n">
        <v>69.096</v>
      </c>
      <c r="G373" s="49" t="n">
        <v>6480.5</v>
      </c>
      <c r="H373" s="50" t="n">
        <f aca="false">F373*G373</f>
        <v>447776.628</v>
      </c>
    </row>
    <row r="374" customFormat="false" ht="15" hidden="false" customHeight="false" outlineLevel="0" collapsed="false">
      <c r="B374" s="46" t="s">
        <v>144</v>
      </c>
      <c r="C374" s="46" t="s">
        <v>149</v>
      </c>
      <c r="D374" s="47" t="n">
        <v>45047</v>
      </c>
      <c r="E374" s="46" t="s">
        <v>42</v>
      </c>
      <c r="F374" s="48" t="n">
        <v>71.3415</v>
      </c>
      <c r="G374" s="49" t="n">
        <v>4675.73</v>
      </c>
      <c r="H374" s="50" t="n">
        <f aca="false">F374*G374</f>
        <v>333573.591795</v>
      </c>
    </row>
    <row r="375" customFormat="false" ht="15" hidden="false" customHeight="false" outlineLevel="0" collapsed="false">
      <c r="B375" s="46" t="s">
        <v>145</v>
      </c>
      <c r="C375" s="46" t="s">
        <v>149</v>
      </c>
      <c r="D375" s="47" t="n">
        <v>45047</v>
      </c>
      <c r="E375" s="46" t="s">
        <v>42</v>
      </c>
      <c r="F375" s="48" t="n">
        <v>27.2716</v>
      </c>
      <c r="G375" s="49" t="n">
        <v>8874.1</v>
      </c>
      <c r="H375" s="50" t="n">
        <f aca="false">F375*G375</f>
        <v>242010.90556</v>
      </c>
    </row>
    <row r="376" customFormat="false" ht="15" hidden="false" customHeight="false" outlineLevel="0" collapsed="false">
      <c r="B376" s="46" t="s">
        <v>137</v>
      </c>
      <c r="C376" s="46" t="s">
        <v>149</v>
      </c>
      <c r="D376" s="47" t="n">
        <v>45078</v>
      </c>
      <c r="E376" s="46" t="s">
        <v>42</v>
      </c>
      <c r="F376" s="48" t="n">
        <v>141.8157</v>
      </c>
      <c r="G376" s="49" t="n">
        <v>5337.9</v>
      </c>
      <c r="H376" s="50" t="n">
        <f aca="false">F376*G376</f>
        <v>756998.02503</v>
      </c>
    </row>
    <row r="377" customFormat="false" ht="15" hidden="false" customHeight="false" outlineLevel="0" collapsed="false">
      <c r="B377" s="46" t="s">
        <v>142</v>
      </c>
      <c r="C377" s="46" t="s">
        <v>149</v>
      </c>
      <c r="D377" s="47" t="n">
        <v>45078</v>
      </c>
      <c r="E377" s="46" t="s">
        <v>42</v>
      </c>
      <c r="F377" s="48" t="n">
        <v>155.1275</v>
      </c>
      <c r="G377" s="49" t="n">
        <v>3940.42</v>
      </c>
      <c r="H377" s="50" t="n">
        <f aca="false">F377*G377</f>
        <v>611267.50355</v>
      </c>
    </row>
    <row r="378" customFormat="false" ht="15" hidden="false" customHeight="false" outlineLevel="0" collapsed="false">
      <c r="B378" s="46" t="s">
        <v>143</v>
      </c>
      <c r="C378" s="46" t="s">
        <v>149</v>
      </c>
      <c r="D378" s="47" t="n">
        <v>45078</v>
      </c>
      <c r="E378" s="46" t="s">
        <v>42</v>
      </c>
      <c r="F378" s="48" t="n">
        <v>75.1972</v>
      </c>
      <c r="G378" s="49" t="n">
        <v>6495.2</v>
      </c>
      <c r="H378" s="50" t="n">
        <f aca="false">F378*G378</f>
        <v>488420.85344</v>
      </c>
    </row>
    <row r="379" customFormat="false" ht="15" hidden="false" customHeight="false" outlineLevel="0" collapsed="false">
      <c r="B379" s="46" t="s">
        <v>144</v>
      </c>
      <c r="C379" s="46" t="s">
        <v>149</v>
      </c>
      <c r="D379" s="47" t="n">
        <v>45078</v>
      </c>
      <c r="E379" s="46" t="s">
        <v>42</v>
      </c>
      <c r="F379" s="48" t="n">
        <v>68.0969</v>
      </c>
      <c r="G379" s="49" t="n">
        <v>4701.68</v>
      </c>
      <c r="H379" s="50" t="n">
        <f aca="false">F379*G379</f>
        <v>320169.832792</v>
      </c>
    </row>
    <row r="380" customFormat="false" ht="15" hidden="false" customHeight="false" outlineLevel="0" collapsed="false">
      <c r="B380" s="46" t="s">
        <v>145</v>
      </c>
      <c r="C380" s="46" t="s">
        <v>149</v>
      </c>
      <c r="D380" s="47" t="n">
        <v>45078</v>
      </c>
      <c r="E380" s="46" t="s">
        <v>42</v>
      </c>
      <c r="F380" s="48" t="n">
        <v>25.8907</v>
      </c>
      <c r="G380" s="49" t="n">
        <v>8833.88</v>
      </c>
      <c r="H380" s="50" t="n">
        <f aca="false">F380*G380</f>
        <v>228715.336916</v>
      </c>
    </row>
    <row r="381" customFormat="false" ht="15" hidden="false" customHeight="false" outlineLevel="0" collapsed="false">
      <c r="B381" s="46" t="s">
        <v>137</v>
      </c>
      <c r="C381" s="46" t="s">
        <v>149</v>
      </c>
      <c r="D381" s="47" t="n">
        <v>45108</v>
      </c>
      <c r="E381" s="46" t="s">
        <v>42</v>
      </c>
      <c r="F381" s="48" t="n">
        <v>133.7447</v>
      </c>
      <c r="G381" s="49" t="n">
        <v>5252.96</v>
      </c>
      <c r="H381" s="50" t="n">
        <f aca="false">F381*G381</f>
        <v>702555.559312</v>
      </c>
    </row>
    <row r="382" customFormat="false" ht="15" hidden="false" customHeight="false" outlineLevel="0" collapsed="false">
      <c r="B382" s="46" t="s">
        <v>142</v>
      </c>
      <c r="C382" s="46" t="s">
        <v>149</v>
      </c>
      <c r="D382" s="47" t="n">
        <v>45108</v>
      </c>
      <c r="E382" s="46" t="s">
        <v>42</v>
      </c>
      <c r="F382" s="48" t="n">
        <v>155.6833</v>
      </c>
      <c r="G382" s="49" t="n">
        <v>3937.31</v>
      </c>
      <c r="H382" s="50" t="n">
        <f aca="false">F382*G382</f>
        <v>612973.413923</v>
      </c>
    </row>
    <row r="383" customFormat="false" ht="15" hidden="false" customHeight="false" outlineLevel="0" collapsed="false">
      <c r="B383" s="46" t="s">
        <v>143</v>
      </c>
      <c r="C383" s="46" t="s">
        <v>149</v>
      </c>
      <c r="D383" s="47" t="n">
        <v>45108</v>
      </c>
      <c r="E383" s="46" t="s">
        <v>42</v>
      </c>
      <c r="F383" s="48" t="n">
        <v>75.154</v>
      </c>
      <c r="G383" s="49" t="n">
        <v>6537.19</v>
      </c>
      <c r="H383" s="50" t="n">
        <f aca="false">F383*G383</f>
        <v>491295.97726</v>
      </c>
    </row>
    <row r="384" customFormat="false" ht="15" hidden="false" customHeight="false" outlineLevel="0" collapsed="false">
      <c r="B384" s="46" t="s">
        <v>144</v>
      </c>
      <c r="C384" s="46" t="s">
        <v>149</v>
      </c>
      <c r="D384" s="47" t="n">
        <v>45108</v>
      </c>
      <c r="E384" s="46" t="s">
        <v>42</v>
      </c>
      <c r="F384" s="48" t="n">
        <v>77.2348</v>
      </c>
      <c r="G384" s="49" t="n">
        <v>4717.8</v>
      </c>
      <c r="H384" s="50" t="n">
        <f aca="false">F384*G384</f>
        <v>364378.33944</v>
      </c>
    </row>
    <row r="385" customFormat="false" ht="15" hidden="false" customHeight="false" outlineLevel="0" collapsed="false">
      <c r="B385" s="46" t="s">
        <v>145</v>
      </c>
      <c r="C385" s="46" t="s">
        <v>149</v>
      </c>
      <c r="D385" s="47" t="n">
        <v>45108</v>
      </c>
      <c r="E385" s="46" t="s">
        <v>42</v>
      </c>
      <c r="F385" s="48" t="n">
        <v>29.239</v>
      </c>
      <c r="G385" s="49" t="n">
        <v>8979.57</v>
      </c>
      <c r="H385" s="50" t="n">
        <f aca="false">F385*G385</f>
        <v>262553.64723</v>
      </c>
    </row>
    <row r="386" customFormat="false" ht="15" hidden="false" customHeight="false" outlineLevel="0" collapsed="false">
      <c r="B386" s="46" t="s">
        <v>137</v>
      </c>
      <c r="C386" s="46" t="s">
        <v>149</v>
      </c>
      <c r="D386" s="47" t="n">
        <v>45139</v>
      </c>
      <c r="E386" s="46" t="s">
        <v>42</v>
      </c>
      <c r="F386" s="48" t="n">
        <v>139.6033</v>
      </c>
      <c r="G386" s="49" t="n">
        <v>5215.96</v>
      </c>
      <c r="H386" s="50" t="n">
        <f aca="false">F386*G386</f>
        <v>728165.228668</v>
      </c>
    </row>
    <row r="387" customFormat="false" ht="15" hidden="false" customHeight="false" outlineLevel="0" collapsed="false">
      <c r="B387" s="46" t="s">
        <v>142</v>
      </c>
      <c r="C387" s="46" t="s">
        <v>149</v>
      </c>
      <c r="D387" s="47" t="n">
        <v>45139</v>
      </c>
      <c r="E387" s="46" t="s">
        <v>42</v>
      </c>
      <c r="F387" s="48" t="n">
        <v>159.0944</v>
      </c>
      <c r="G387" s="49" t="n">
        <v>3901.31</v>
      </c>
      <c r="H387" s="50" t="n">
        <f aca="false">F387*G387</f>
        <v>620676.573664</v>
      </c>
    </row>
    <row r="388" customFormat="false" ht="15" hidden="false" customHeight="false" outlineLevel="0" collapsed="false">
      <c r="B388" s="46" t="s">
        <v>143</v>
      </c>
      <c r="C388" s="46" t="s">
        <v>149</v>
      </c>
      <c r="D388" s="47" t="n">
        <v>45139</v>
      </c>
      <c r="E388" s="46" t="s">
        <v>42</v>
      </c>
      <c r="F388" s="48" t="n">
        <v>76.4393</v>
      </c>
      <c r="G388" s="49" t="n">
        <v>6482.64</v>
      </c>
      <c r="H388" s="50" t="n">
        <f aca="false">F388*G388</f>
        <v>495528.463752</v>
      </c>
    </row>
    <row r="389" customFormat="false" ht="15" hidden="false" customHeight="false" outlineLevel="0" collapsed="false">
      <c r="B389" s="46" t="s">
        <v>144</v>
      </c>
      <c r="C389" s="46" t="s">
        <v>149</v>
      </c>
      <c r="D389" s="47" t="n">
        <v>45139</v>
      </c>
      <c r="E389" s="46" t="s">
        <v>42</v>
      </c>
      <c r="F389" s="48" t="n">
        <v>75.2961</v>
      </c>
      <c r="G389" s="49" t="n">
        <v>4706.64</v>
      </c>
      <c r="H389" s="50" t="n">
        <f aca="false">F389*G389</f>
        <v>354391.636104</v>
      </c>
    </row>
    <row r="390" customFormat="false" ht="15" hidden="false" customHeight="false" outlineLevel="0" collapsed="false">
      <c r="B390" s="46" t="s">
        <v>145</v>
      </c>
      <c r="C390" s="46" t="s">
        <v>149</v>
      </c>
      <c r="D390" s="47" t="n">
        <v>45139</v>
      </c>
      <c r="E390" s="46" t="s">
        <v>42</v>
      </c>
      <c r="F390" s="48" t="n">
        <v>27.0695</v>
      </c>
      <c r="G390" s="49" t="n">
        <v>8794.14</v>
      </c>
      <c r="H390" s="50" t="n">
        <f aca="false">F390*G390</f>
        <v>238052.97273</v>
      </c>
    </row>
    <row r="391" customFormat="false" ht="15" hidden="false" customHeight="false" outlineLevel="0" collapsed="false">
      <c r="B391" s="46" t="s">
        <v>137</v>
      </c>
      <c r="C391" s="46" t="s">
        <v>149</v>
      </c>
      <c r="D391" s="47" t="n">
        <v>45170</v>
      </c>
      <c r="E391" s="46" t="s">
        <v>42</v>
      </c>
      <c r="F391" s="48" t="n">
        <v>158.8373</v>
      </c>
      <c r="G391" s="49" t="n">
        <v>5298.01</v>
      </c>
      <c r="H391" s="50" t="n">
        <f aca="false">F391*G391</f>
        <v>841521.603773</v>
      </c>
    </row>
    <row r="392" customFormat="false" ht="15" hidden="false" customHeight="false" outlineLevel="0" collapsed="false">
      <c r="B392" s="46" t="s">
        <v>142</v>
      </c>
      <c r="C392" s="46" t="s">
        <v>149</v>
      </c>
      <c r="D392" s="47" t="n">
        <v>45170</v>
      </c>
      <c r="E392" s="46" t="s">
        <v>42</v>
      </c>
      <c r="F392" s="48" t="n">
        <v>151.7067</v>
      </c>
      <c r="G392" s="49" t="n">
        <v>3893.64</v>
      </c>
      <c r="H392" s="50" t="n">
        <f aca="false">F392*G392</f>
        <v>590691.275388</v>
      </c>
    </row>
    <row r="393" customFormat="false" ht="15" hidden="false" customHeight="false" outlineLevel="0" collapsed="false">
      <c r="B393" s="46" t="s">
        <v>143</v>
      </c>
      <c r="C393" s="46" t="s">
        <v>149</v>
      </c>
      <c r="D393" s="47" t="n">
        <v>45170</v>
      </c>
      <c r="E393" s="46" t="s">
        <v>42</v>
      </c>
      <c r="F393" s="48" t="n">
        <v>70.4441</v>
      </c>
      <c r="G393" s="49" t="n">
        <v>6456.86</v>
      </c>
      <c r="H393" s="50" t="n">
        <f aca="false">F393*G393</f>
        <v>454847.691526</v>
      </c>
    </row>
    <row r="394" customFormat="false" ht="15" hidden="false" customHeight="false" outlineLevel="0" collapsed="false">
      <c r="B394" s="46" t="s">
        <v>144</v>
      </c>
      <c r="C394" s="46" t="s">
        <v>149</v>
      </c>
      <c r="D394" s="47" t="n">
        <v>45170</v>
      </c>
      <c r="E394" s="46" t="s">
        <v>42</v>
      </c>
      <c r="F394" s="48" t="n">
        <v>68.4116</v>
      </c>
      <c r="G394" s="49" t="n">
        <v>4793.34</v>
      </c>
      <c r="H394" s="50" t="n">
        <f aca="false">F394*G394</f>
        <v>327920.058744</v>
      </c>
    </row>
    <row r="395" customFormat="false" ht="15" hidden="false" customHeight="false" outlineLevel="0" collapsed="false">
      <c r="B395" s="46" t="s">
        <v>145</v>
      </c>
      <c r="C395" s="46" t="s">
        <v>149</v>
      </c>
      <c r="D395" s="47" t="n">
        <v>45170</v>
      </c>
      <c r="E395" s="46" t="s">
        <v>42</v>
      </c>
      <c r="F395" s="48" t="n">
        <v>25.798</v>
      </c>
      <c r="G395" s="49" t="n">
        <v>9204.9</v>
      </c>
      <c r="H395" s="50" t="n">
        <f aca="false">F395*G395</f>
        <v>237468.0102</v>
      </c>
    </row>
    <row r="396" customFormat="false" ht="15" hidden="false" customHeight="false" outlineLevel="0" collapsed="false">
      <c r="B396" s="46" t="s">
        <v>137</v>
      </c>
      <c r="C396" s="46" t="s">
        <v>149</v>
      </c>
      <c r="D396" s="47" t="n">
        <v>45200</v>
      </c>
      <c r="E396" s="46" t="s">
        <v>42</v>
      </c>
      <c r="F396" s="48" t="n">
        <v>157.0225</v>
      </c>
      <c r="G396" s="49" t="n">
        <v>5342.59</v>
      </c>
      <c r="H396" s="50" t="n">
        <f aca="false">F396*G396</f>
        <v>838906.838275</v>
      </c>
    </row>
    <row r="397" customFormat="false" ht="15" hidden="false" customHeight="false" outlineLevel="0" collapsed="false">
      <c r="B397" s="46" t="s">
        <v>142</v>
      </c>
      <c r="C397" s="46" t="s">
        <v>149</v>
      </c>
      <c r="D397" s="47" t="n">
        <v>45200</v>
      </c>
      <c r="E397" s="46" t="s">
        <v>42</v>
      </c>
      <c r="F397" s="48" t="n">
        <v>154.6559</v>
      </c>
      <c r="G397" s="49" t="n">
        <v>3931.76</v>
      </c>
      <c r="H397" s="50" t="n">
        <f aca="false">F397*G397</f>
        <v>608069.881384</v>
      </c>
    </row>
    <row r="398" customFormat="false" ht="15" hidden="false" customHeight="false" outlineLevel="0" collapsed="false">
      <c r="B398" s="46" t="s">
        <v>143</v>
      </c>
      <c r="C398" s="46" t="s">
        <v>149</v>
      </c>
      <c r="D398" s="47" t="n">
        <v>45200</v>
      </c>
      <c r="E398" s="46" t="s">
        <v>42</v>
      </c>
      <c r="F398" s="48" t="n">
        <v>72.8586</v>
      </c>
      <c r="G398" s="49" t="n">
        <v>6478.69</v>
      </c>
      <c r="H398" s="50" t="n">
        <f aca="false">F398*G398</f>
        <v>472028.283234</v>
      </c>
    </row>
    <row r="399" customFormat="false" ht="15" hidden="false" customHeight="false" outlineLevel="0" collapsed="false">
      <c r="B399" s="46" t="s">
        <v>144</v>
      </c>
      <c r="C399" s="46" t="s">
        <v>149</v>
      </c>
      <c r="D399" s="47" t="n">
        <v>45200</v>
      </c>
      <c r="E399" s="46" t="s">
        <v>42</v>
      </c>
      <c r="F399" s="48" t="n">
        <v>75.5784</v>
      </c>
      <c r="G399" s="49" t="n">
        <v>4829.51</v>
      </c>
      <c r="H399" s="50" t="n">
        <f aca="false">F399*G399</f>
        <v>365006.638584</v>
      </c>
    </row>
    <row r="400" customFormat="false" ht="15" hidden="false" customHeight="false" outlineLevel="0" collapsed="false">
      <c r="B400" s="46" t="s">
        <v>145</v>
      </c>
      <c r="C400" s="46" t="s">
        <v>149</v>
      </c>
      <c r="D400" s="47" t="n">
        <v>45200</v>
      </c>
      <c r="E400" s="46" t="s">
        <v>42</v>
      </c>
      <c r="F400" s="48" t="n">
        <v>26.6355</v>
      </c>
      <c r="G400" s="49" t="n">
        <v>8979.64</v>
      </c>
      <c r="H400" s="50" t="n">
        <f aca="false">F400*G400</f>
        <v>239177.20122</v>
      </c>
    </row>
    <row r="401" customFormat="false" ht="15" hidden="false" customHeight="false" outlineLevel="0" collapsed="false">
      <c r="B401" s="46" t="s">
        <v>137</v>
      </c>
      <c r="C401" s="46" t="s">
        <v>149</v>
      </c>
      <c r="D401" s="47" t="n">
        <v>45231</v>
      </c>
      <c r="E401" s="46" t="s">
        <v>42</v>
      </c>
      <c r="F401" s="48" t="n">
        <v>150.1277</v>
      </c>
      <c r="G401" s="49" t="n">
        <v>5210.58</v>
      </c>
      <c r="H401" s="50" t="n">
        <f aca="false">F401*G401</f>
        <v>782252.391066</v>
      </c>
    </row>
    <row r="402" customFormat="false" ht="15" hidden="false" customHeight="false" outlineLevel="0" collapsed="false">
      <c r="B402" s="46" t="s">
        <v>142</v>
      </c>
      <c r="C402" s="46" t="s">
        <v>149</v>
      </c>
      <c r="D402" s="47" t="n">
        <v>45231</v>
      </c>
      <c r="E402" s="46" t="s">
        <v>42</v>
      </c>
      <c r="F402" s="48" t="n">
        <v>151.2592</v>
      </c>
      <c r="G402" s="49" t="n">
        <v>4012.86</v>
      </c>
      <c r="H402" s="50" t="n">
        <f aca="false">F402*G402</f>
        <v>606981.993312</v>
      </c>
    </row>
    <row r="403" customFormat="false" ht="15" hidden="false" customHeight="false" outlineLevel="0" collapsed="false">
      <c r="B403" s="46" t="s">
        <v>143</v>
      </c>
      <c r="C403" s="46" t="s">
        <v>149</v>
      </c>
      <c r="D403" s="47" t="n">
        <v>45231</v>
      </c>
      <c r="E403" s="46" t="s">
        <v>42</v>
      </c>
      <c r="F403" s="48" t="n">
        <v>87.1495</v>
      </c>
      <c r="G403" s="49" t="n">
        <v>6460.05</v>
      </c>
      <c r="H403" s="50" t="n">
        <f aca="false">F403*G403</f>
        <v>562990.127475</v>
      </c>
    </row>
    <row r="404" customFormat="false" ht="15" hidden="false" customHeight="false" outlineLevel="0" collapsed="false">
      <c r="B404" s="46" t="s">
        <v>144</v>
      </c>
      <c r="C404" s="46" t="s">
        <v>149</v>
      </c>
      <c r="D404" s="47" t="n">
        <v>45231</v>
      </c>
      <c r="E404" s="46" t="s">
        <v>42</v>
      </c>
      <c r="F404" s="48" t="n">
        <v>75.5691</v>
      </c>
      <c r="G404" s="49" t="n">
        <v>4786.9</v>
      </c>
      <c r="H404" s="50" t="n">
        <f aca="false">F404*G404</f>
        <v>361741.72479</v>
      </c>
    </row>
    <row r="405" customFormat="false" ht="15" hidden="false" customHeight="false" outlineLevel="0" collapsed="false">
      <c r="B405" s="46" t="s">
        <v>145</v>
      </c>
      <c r="C405" s="46" t="s">
        <v>149</v>
      </c>
      <c r="D405" s="47" t="n">
        <v>45231</v>
      </c>
      <c r="E405" s="46" t="s">
        <v>42</v>
      </c>
      <c r="F405" s="48" t="n">
        <v>28.3449</v>
      </c>
      <c r="G405" s="49" t="n">
        <v>9007.09</v>
      </c>
      <c r="H405" s="50" t="n">
        <f aca="false">F405*G405</f>
        <v>255305.065341</v>
      </c>
    </row>
    <row r="406" customFormat="false" ht="15" hidden="false" customHeight="false" outlineLevel="0" collapsed="false">
      <c r="B406" s="46" t="s">
        <v>137</v>
      </c>
      <c r="C406" s="46" t="s">
        <v>149</v>
      </c>
      <c r="D406" s="47" t="n">
        <v>45261</v>
      </c>
      <c r="E406" s="46" t="s">
        <v>42</v>
      </c>
      <c r="F406" s="48" t="n">
        <v>152.6252</v>
      </c>
      <c r="G406" s="49" t="n">
        <v>5252.75</v>
      </c>
      <c r="H406" s="50" t="n">
        <f aca="false">F406*G406</f>
        <v>801702.0193</v>
      </c>
    </row>
    <row r="407" customFormat="false" ht="15" hidden="false" customHeight="false" outlineLevel="0" collapsed="false">
      <c r="B407" s="46" t="s">
        <v>142</v>
      </c>
      <c r="C407" s="46" t="s">
        <v>149</v>
      </c>
      <c r="D407" s="47" t="n">
        <v>45261</v>
      </c>
      <c r="E407" s="46" t="s">
        <v>42</v>
      </c>
      <c r="F407" s="48" t="n">
        <v>152.7464</v>
      </c>
      <c r="G407" s="49" t="n">
        <v>3941.32</v>
      </c>
      <c r="H407" s="50" t="n">
        <f aca="false">F407*G407</f>
        <v>602022.441248</v>
      </c>
    </row>
    <row r="408" customFormat="false" ht="15" hidden="false" customHeight="false" outlineLevel="0" collapsed="false">
      <c r="B408" s="46" t="s">
        <v>143</v>
      </c>
      <c r="C408" s="46" t="s">
        <v>149</v>
      </c>
      <c r="D408" s="47" t="n">
        <v>45261</v>
      </c>
      <c r="E408" s="46" t="s">
        <v>42</v>
      </c>
      <c r="F408" s="48" t="n">
        <v>70.0802</v>
      </c>
      <c r="G408" s="49" t="n">
        <v>6636.67</v>
      </c>
      <c r="H408" s="50" t="n">
        <f aca="false">F408*G408</f>
        <v>465099.160934</v>
      </c>
    </row>
    <row r="409" customFormat="false" ht="15" hidden="false" customHeight="false" outlineLevel="0" collapsed="false">
      <c r="B409" s="46" t="s">
        <v>144</v>
      </c>
      <c r="C409" s="46" t="s">
        <v>149</v>
      </c>
      <c r="D409" s="47" t="n">
        <v>45261</v>
      </c>
      <c r="E409" s="46" t="s">
        <v>42</v>
      </c>
      <c r="F409" s="48" t="n">
        <v>72.3978</v>
      </c>
      <c r="G409" s="49" t="n">
        <v>4806.9</v>
      </c>
      <c r="H409" s="50" t="n">
        <f aca="false">F409*G409</f>
        <v>348008.98482</v>
      </c>
    </row>
    <row r="410" customFormat="false" ht="15" hidden="false" customHeight="false" outlineLevel="0" collapsed="false">
      <c r="B410" s="46" t="s">
        <v>145</v>
      </c>
      <c r="C410" s="46" t="s">
        <v>149</v>
      </c>
      <c r="D410" s="47" t="n">
        <v>45261</v>
      </c>
      <c r="E410" s="46" t="s">
        <v>42</v>
      </c>
      <c r="F410" s="48" t="n">
        <v>26.4811</v>
      </c>
      <c r="G410" s="49" t="n">
        <v>8990.18</v>
      </c>
      <c r="H410" s="50" t="n">
        <f aca="false">F410*G410</f>
        <v>238069.855598</v>
      </c>
    </row>
    <row r="411" customFormat="false" ht="15" hidden="false" customHeight="false" outlineLevel="0" collapsed="false">
      <c r="B411" s="46" t="s">
        <v>137</v>
      </c>
      <c r="C411" s="46" t="s">
        <v>149</v>
      </c>
      <c r="D411" s="47" t="n">
        <v>45292</v>
      </c>
      <c r="E411" s="46" t="s">
        <v>42</v>
      </c>
      <c r="F411" s="48" t="n">
        <v>152.9567</v>
      </c>
      <c r="G411" s="49" t="n">
        <v>5302.05</v>
      </c>
      <c r="H411" s="50" t="n">
        <f aca="false">F411*G411</f>
        <v>810984.071235</v>
      </c>
    </row>
    <row r="412" customFormat="false" ht="15" hidden="false" customHeight="false" outlineLevel="0" collapsed="false">
      <c r="B412" s="46" t="s">
        <v>142</v>
      </c>
      <c r="C412" s="46" t="s">
        <v>149</v>
      </c>
      <c r="D412" s="47" t="n">
        <v>45292</v>
      </c>
      <c r="E412" s="46" t="s">
        <v>42</v>
      </c>
      <c r="F412" s="48" t="n">
        <v>157.9577</v>
      </c>
      <c r="G412" s="49" t="n">
        <v>3993.02</v>
      </c>
      <c r="H412" s="50" t="n">
        <f aca="false">F412*G412</f>
        <v>630728.255254</v>
      </c>
    </row>
    <row r="413" customFormat="false" ht="15" hidden="false" customHeight="false" outlineLevel="0" collapsed="false">
      <c r="B413" s="46" t="s">
        <v>143</v>
      </c>
      <c r="C413" s="46" t="s">
        <v>149</v>
      </c>
      <c r="D413" s="47" t="n">
        <v>45292</v>
      </c>
      <c r="E413" s="46" t="s">
        <v>42</v>
      </c>
      <c r="F413" s="48" t="n">
        <v>68.6628</v>
      </c>
      <c r="G413" s="49" t="n">
        <v>6541.77</v>
      </c>
      <c r="H413" s="50" t="n">
        <f aca="false">F413*G413</f>
        <v>449176.245156</v>
      </c>
    </row>
    <row r="414" customFormat="false" ht="15" hidden="false" customHeight="false" outlineLevel="0" collapsed="false">
      <c r="B414" s="46" t="s">
        <v>144</v>
      </c>
      <c r="C414" s="46" t="s">
        <v>149</v>
      </c>
      <c r="D414" s="47" t="n">
        <v>45292</v>
      </c>
      <c r="E414" s="46" t="s">
        <v>42</v>
      </c>
      <c r="F414" s="48" t="n">
        <v>65.06</v>
      </c>
      <c r="G414" s="49" t="n">
        <v>4822.97</v>
      </c>
      <c r="H414" s="50" t="n">
        <f aca="false">F414*G414</f>
        <v>313782.4282</v>
      </c>
    </row>
    <row r="415" customFormat="false" ht="15" hidden="false" customHeight="false" outlineLevel="0" collapsed="false">
      <c r="B415" s="46" t="s">
        <v>145</v>
      </c>
      <c r="C415" s="46" t="s">
        <v>149</v>
      </c>
      <c r="D415" s="47" t="n">
        <v>45292</v>
      </c>
      <c r="E415" s="46" t="s">
        <v>42</v>
      </c>
      <c r="F415" s="48" t="n">
        <v>28.7394</v>
      </c>
      <c r="G415" s="49" t="n">
        <v>9156.73</v>
      </c>
      <c r="H415" s="50" t="n">
        <f aca="false">F415*G415</f>
        <v>263158.926162</v>
      </c>
    </row>
    <row r="416" customFormat="false" ht="15" hidden="false" customHeight="false" outlineLevel="0" collapsed="false">
      <c r="B416" s="46" t="s">
        <v>137</v>
      </c>
      <c r="C416" s="46" t="s">
        <v>149</v>
      </c>
      <c r="D416" s="47" t="n">
        <v>45323</v>
      </c>
      <c r="E416" s="46" t="s">
        <v>42</v>
      </c>
      <c r="F416" s="48" t="n">
        <v>138.451</v>
      </c>
      <c r="G416" s="49" t="n">
        <v>5374.65</v>
      </c>
      <c r="H416" s="50" t="n">
        <f aca="false">F416*G416</f>
        <v>744125.66715</v>
      </c>
    </row>
    <row r="417" customFormat="false" ht="15" hidden="false" customHeight="false" outlineLevel="0" collapsed="false">
      <c r="B417" s="46" t="s">
        <v>142</v>
      </c>
      <c r="C417" s="46" t="s">
        <v>149</v>
      </c>
      <c r="D417" s="47" t="n">
        <v>45323</v>
      </c>
      <c r="E417" s="46" t="s">
        <v>42</v>
      </c>
      <c r="F417" s="48" t="n">
        <v>159.7257</v>
      </c>
      <c r="G417" s="49" t="n">
        <v>3986.66</v>
      </c>
      <c r="H417" s="50" t="n">
        <f aca="false">F417*G417</f>
        <v>636772.059162</v>
      </c>
    </row>
    <row r="418" customFormat="false" ht="15" hidden="false" customHeight="false" outlineLevel="0" collapsed="false">
      <c r="B418" s="46" t="s">
        <v>143</v>
      </c>
      <c r="C418" s="46" t="s">
        <v>149</v>
      </c>
      <c r="D418" s="47" t="n">
        <v>45323</v>
      </c>
      <c r="E418" s="46" t="s">
        <v>42</v>
      </c>
      <c r="F418" s="48" t="n">
        <v>73.327</v>
      </c>
      <c r="G418" s="49" t="n">
        <v>6555.06</v>
      </c>
      <c r="H418" s="50" t="n">
        <f aca="false">F418*G418</f>
        <v>480662.88462</v>
      </c>
    </row>
    <row r="419" customFormat="false" ht="15" hidden="false" customHeight="false" outlineLevel="0" collapsed="false">
      <c r="B419" s="46" t="s">
        <v>144</v>
      </c>
      <c r="C419" s="46" t="s">
        <v>149</v>
      </c>
      <c r="D419" s="47" t="n">
        <v>45323</v>
      </c>
      <c r="E419" s="46" t="s">
        <v>42</v>
      </c>
      <c r="F419" s="48" t="n">
        <v>71.7559</v>
      </c>
      <c r="G419" s="49" t="n">
        <v>4875.33</v>
      </c>
      <c r="H419" s="50" t="n">
        <f aca="false">F419*G419</f>
        <v>349833.691947</v>
      </c>
    </row>
    <row r="420" customFormat="false" ht="15" hidden="false" customHeight="false" outlineLevel="0" collapsed="false">
      <c r="B420" s="46" t="s">
        <v>145</v>
      </c>
      <c r="C420" s="46" t="s">
        <v>149</v>
      </c>
      <c r="D420" s="47" t="n">
        <v>45323</v>
      </c>
      <c r="E420" s="46" t="s">
        <v>42</v>
      </c>
      <c r="F420" s="48" t="n">
        <v>26.8522</v>
      </c>
      <c r="G420" s="49" t="n">
        <v>9104.44</v>
      </c>
      <c r="H420" s="50" t="n">
        <f aca="false">F420*G420</f>
        <v>244474.243768</v>
      </c>
    </row>
    <row r="421" customFormat="false" ht="15" hidden="false" customHeight="false" outlineLevel="0" collapsed="false">
      <c r="B421" s="46" t="s">
        <v>137</v>
      </c>
      <c r="C421" s="46" t="s">
        <v>149</v>
      </c>
      <c r="D421" s="47" t="n">
        <v>45352</v>
      </c>
      <c r="E421" s="46" t="s">
        <v>42</v>
      </c>
      <c r="F421" s="48" t="n">
        <v>163.3105</v>
      </c>
      <c r="G421" s="49" t="n">
        <v>5290.69</v>
      </c>
      <c r="H421" s="50" t="n">
        <f aca="false">F421*G421</f>
        <v>864025.229245</v>
      </c>
    </row>
    <row r="422" customFormat="false" ht="15" hidden="false" customHeight="false" outlineLevel="0" collapsed="false">
      <c r="B422" s="46" t="s">
        <v>142</v>
      </c>
      <c r="C422" s="46" t="s">
        <v>149</v>
      </c>
      <c r="D422" s="47" t="n">
        <v>45352</v>
      </c>
      <c r="E422" s="46" t="s">
        <v>42</v>
      </c>
      <c r="F422" s="48" t="n">
        <v>165.8338</v>
      </c>
      <c r="G422" s="49" t="n">
        <v>3960.98</v>
      </c>
      <c r="H422" s="50" t="n">
        <f aca="false">F422*G422</f>
        <v>656864.365124</v>
      </c>
    </row>
    <row r="423" customFormat="false" ht="15" hidden="false" customHeight="false" outlineLevel="0" collapsed="false">
      <c r="B423" s="46" t="s">
        <v>143</v>
      </c>
      <c r="C423" s="46" t="s">
        <v>149</v>
      </c>
      <c r="D423" s="47" t="n">
        <v>45352</v>
      </c>
      <c r="E423" s="46" t="s">
        <v>42</v>
      </c>
      <c r="F423" s="48" t="n">
        <v>76.7609</v>
      </c>
      <c r="G423" s="49" t="n">
        <v>6776.71</v>
      </c>
      <c r="H423" s="50" t="n">
        <f aca="false">F423*G423</f>
        <v>520186.358639</v>
      </c>
    </row>
    <row r="424" customFormat="false" ht="15" hidden="false" customHeight="false" outlineLevel="0" collapsed="false">
      <c r="B424" s="46" t="s">
        <v>144</v>
      </c>
      <c r="C424" s="46" t="s">
        <v>149</v>
      </c>
      <c r="D424" s="47" t="n">
        <v>45352</v>
      </c>
      <c r="E424" s="46" t="s">
        <v>42</v>
      </c>
      <c r="F424" s="48" t="n">
        <v>77.24</v>
      </c>
      <c r="G424" s="49" t="n">
        <v>4800.35</v>
      </c>
      <c r="H424" s="50" t="n">
        <f aca="false">F424*G424</f>
        <v>370779.034</v>
      </c>
    </row>
    <row r="425" customFormat="false" ht="15" hidden="false" customHeight="false" outlineLevel="0" collapsed="false">
      <c r="B425" s="46" t="s">
        <v>145</v>
      </c>
      <c r="C425" s="46" t="s">
        <v>149</v>
      </c>
      <c r="D425" s="47" t="n">
        <v>45352</v>
      </c>
      <c r="E425" s="46" t="s">
        <v>42</v>
      </c>
      <c r="F425" s="48" t="n">
        <v>29.6958</v>
      </c>
      <c r="G425" s="49" t="n">
        <v>9313.27</v>
      </c>
      <c r="H425" s="50" t="n">
        <f aca="false">F425*G425</f>
        <v>276565.003266</v>
      </c>
    </row>
    <row r="426" customFormat="false" ht="15" hidden="false" customHeight="false" outlineLevel="0" collapsed="false">
      <c r="B426" s="46" t="s">
        <v>137</v>
      </c>
      <c r="C426" s="46" t="s">
        <v>149</v>
      </c>
      <c r="D426" s="47" t="n">
        <v>45383</v>
      </c>
      <c r="E426" s="46" t="s">
        <v>43</v>
      </c>
      <c r="F426" s="48" t="n">
        <v>147.6564</v>
      </c>
      <c r="G426" s="49" t="n">
        <v>5469.03</v>
      </c>
      <c r="H426" s="50" t="n">
        <f aca="false">F426*G426</f>
        <v>807537.281292</v>
      </c>
    </row>
    <row r="427" customFormat="false" ht="15" hidden="false" customHeight="false" outlineLevel="0" collapsed="false">
      <c r="B427" s="46" t="s">
        <v>142</v>
      </c>
      <c r="C427" s="46" t="s">
        <v>149</v>
      </c>
      <c r="D427" s="47" t="n">
        <v>45383</v>
      </c>
      <c r="E427" s="46" t="s">
        <v>43</v>
      </c>
      <c r="F427" s="48" t="n">
        <v>154.1489</v>
      </c>
      <c r="G427" s="49" t="n">
        <v>3918.78</v>
      </c>
      <c r="H427" s="50" t="n">
        <f aca="false">F427*G427</f>
        <v>604075.626342</v>
      </c>
    </row>
    <row r="428" customFormat="false" ht="15" hidden="false" customHeight="false" outlineLevel="0" collapsed="false">
      <c r="B428" s="46" t="s">
        <v>143</v>
      </c>
      <c r="C428" s="46" t="s">
        <v>149</v>
      </c>
      <c r="D428" s="47" t="n">
        <v>45383</v>
      </c>
      <c r="E428" s="46" t="s">
        <v>43</v>
      </c>
      <c r="F428" s="48" t="n">
        <v>73.8608</v>
      </c>
      <c r="G428" s="49" t="n">
        <v>6752.19</v>
      </c>
      <c r="H428" s="50" t="n">
        <f aca="false">F428*G428</f>
        <v>498722.155152</v>
      </c>
    </row>
    <row r="429" customFormat="false" ht="15" hidden="false" customHeight="false" outlineLevel="0" collapsed="false">
      <c r="B429" s="46" t="s">
        <v>144</v>
      </c>
      <c r="C429" s="46" t="s">
        <v>149</v>
      </c>
      <c r="D429" s="47" t="n">
        <v>45383</v>
      </c>
      <c r="E429" s="46" t="s">
        <v>43</v>
      </c>
      <c r="F429" s="48" t="n">
        <v>68.4802</v>
      </c>
      <c r="G429" s="49" t="n">
        <v>4828.93</v>
      </c>
      <c r="H429" s="50" t="n">
        <f aca="false">F429*G429</f>
        <v>330686.092186</v>
      </c>
    </row>
    <row r="430" customFormat="false" ht="15" hidden="false" customHeight="false" outlineLevel="0" collapsed="false">
      <c r="B430" s="46" t="s">
        <v>145</v>
      </c>
      <c r="C430" s="46" t="s">
        <v>149</v>
      </c>
      <c r="D430" s="47" t="n">
        <v>45383</v>
      </c>
      <c r="E430" s="46" t="s">
        <v>43</v>
      </c>
      <c r="F430" s="48" t="n">
        <v>25.7671</v>
      </c>
      <c r="G430" s="49" t="n">
        <v>9360.68</v>
      </c>
      <c r="H430" s="50" t="n">
        <f aca="false">F430*G430</f>
        <v>241197.577628</v>
      </c>
    </row>
    <row r="431" customFormat="false" ht="15" hidden="false" customHeight="false" outlineLevel="0" collapsed="false">
      <c r="B431" s="46" t="s">
        <v>137</v>
      </c>
      <c r="C431" s="46" t="s">
        <v>149</v>
      </c>
      <c r="D431" s="47" t="n">
        <v>45413</v>
      </c>
      <c r="E431" s="46" t="s">
        <v>43</v>
      </c>
      <c r="F431" s="48" t="n">
        <v>152.4435</v>
      </c>
      <c r="G431" s="49" t="n">
        <v>5424.81</v>
      </c>
      <c r="H431" s="50" t="n">
        <f aca="false">F431*G431</f>
        <v>826977.023235</v>
      </c>
    </row>
    <row r="432" customFormat="false" ht="15" hidden="false" customHeight="false" outlineLevel="0" collapsed="false">
      <c r="B432" s="46" t="s">
        <v>142</v>
      </c>
      <c r="C432" s="46" t="s">
        <v>149</v>
      </c>
      <c r="D432" s="47" t="n">
        <v>45413</v>
      </c>
      <c r="E432" s="46" t="s">
        <v>43</v>
      </c>
      <c r="F432" s="48" t="n">
        <v>147.8026</v>
      </c>
      <c r="G432" s="49" t="n">
        <v>4021</v>
      </c>
      <c r="H432" s="50" t="n">
        <f aca="false">F432*G432</f>
        <v>594314.2546</v>
      </c>
    </row>
    <row r="433" customFormat="false" ht="15" hidden="false" customHeight="false" outlineLevel="0" collapsed="false">
      <c r="B433" s="46" t="s">
        <v>143</v>
      </c>
      <c r="C433" s="46" t="s">
        <v>149</v>
      </c>
      <c r="D433" s="47" t="n">
        <v>45413</v>
      </c>
      <c r="E433" s="46" t="s">
        <v>43</v>
      </c>
      <c r="F433" s="48" t="n">
        <v>73.8734</v>
      </c>
      <c r="G433" s="49" t="n">
        <v>6786.9</v>
      </c>
      <c r="H433" s="50" t="n">
        <f aca="false">F433*G433</f>
        <v>501371.37846</v>
      </c>
    </row>
    <row r="434" customFormat="false" ht="15" hidden="false" customHeight="false" outlineLevel="0" collapsed="false">
      <c r="B434" s="46" t="s">
        <v>144</v>
      </c>
      <c r="C434" s="46" t="s">
        <v>149</v>
      </c>
      <c r="D434" s="47" t="n">
        <v>45413</v>
      </c>
      <c r="E434" s="46" t="s">
        <v>43</v>
      </c>
      <c r="F434" s="48" t="n">
        <v>67.2996</v>
      </c>
      <c r="G434" s="49" t="n">
        <v>4852.61</v>
      </c>
      <c r="H434" s="50" t="n">
        <f aca="false">F434*G434</f>
        <v>326578.711956</v>
      </c>
    </row>
    <row r="435" customFormat="false" ht="15" hidden="false" customHeight="false" outlineLevel="0" collapsed="false">
      <c r="B435" s="46" t="s">
        <v>145</v>
      </c>
      <c r="C435" s="46" t="s">
        <v>149</v>
      </c>
      <c r="D435" s="47" t="n">
        <v>45413</v>
      </c>
      <c r="E435" s="46" t="s">
        <v>43</v>
      </c>
      <c r="F435" s="48" t="n">
        <v>26.9733</v>
      </c>
      <c r="G435" s="49" t="n">
        <v>9170.49</v>
      </c>
      <c r="H435" s="50" t="n">
        <f aca="false">F435*G435</f>
        <v>247358.377917</v>
      </c>
    </row>
    <row r="436" customFormat="false" ht="15" hidden="false" customHeight="false" outlineLevel="0" collapsed="false">
      <c r="B436" s="46" t="s">
        <v>137</v>
      </c>
      <c r="C436" s="46" t="s">
        <v>149</v>
      </c>
      <c r="D436" s="47" t="n">
        <v>45444</v>
      </c>
      <c r="E436" s="46" t="s">
        <v>43</v>
      </c>
      <c r="F436" s="48" t="n">
        <v>154.4336</v>
      </c>
      <c r="G436" s="49" t="n">
        <v>5402.24</v>
      </c>
      <c r="H436" s="50" t="n">
        <f aca="false">F436*G436</f>
        <v>834287.371264</v>
      </c>
    </row>
    <row r="437" customFormat="false" ht="15" hidden="false" customHeight="false" outlineLevel="0" collapsed="false">
      <c r="B437" s="46" t="s">
        <v>142</v>
      </c>
      <c r="C437" s="46" t="s">
        <v>149</v>
      </c>
      <c r="D437" s="47" t="n">
        <v>45444</v>
      </c>
      <c r="E437" s="46" t="s">
        <v>43</v>
      </c>
      <c r="F437" s="48" t="n">
        <v>157.0385</v>
      </c>
      <c r="G437" s="49" t="n">
        <v>4047.65</v>
      </c>
      <c r="H437" s="50" t="n">
        <f aca="false">F437*G437</f>
        <v>635636.884525</v>
      </c>
    </row>
    <row r="438" customFormat="false" ht="15" hidden="false" customHeight="false" outlineLevel="0" collapsed="false">
      <c r="B438" s="46" t="s">
        <v>143</v>
      </c>
      <c r="C438" s="46" t="s">
        <v>149</v>
      </c>
      <c r="D438" s="47" t="n">
        <v>45444</v>
      </c>
      <c r="E438" s="46" t="s">
        <v>43</v>
      </c>
      <c r="F438" s="48" t="n">
        <v>77.21</v>
      </c>
      <c r="G438" s="49" t="n">
        <v>6639.59</v>
      </c>
      <c r="H438" s="50" t="n">
        <f aca="false">F438*G438</f>
        <v>512642.7439</v>
      </c>
    </row>
    <row r="439" customFormat="false" ht="15" hidden="false" customHeight="false" outlineLevel="0" collapsed="false">
      <c r="B439" s="46" t="s">
        <v>144</v>
      </c>
      <c r="C439" s="46" t="s">
        <v>149</v>
      </c>
      <c r="D439" s="47" t="n">
        <v>45444</v>
      </c>
      <c r="E439" s="46" t="s">
        <v>43</v>
      </c>
      <c r="F439" s="48" t="n">
        <v>78.1329</v>
      </c>
      <c r="G439" s="49" t="n">
        <v>4902.95</v>
      </c>
      <c r="H439" s="50" t="n">
        <f aca="false">F439*G439</f>
        <v>383081.702055</v>
      </c>
    </row>
    <row r="440" customFormat="false" ht="15" hidden="false" customHeight="false" outlineLevel="0" collapsed="false">
      <c r="B440" s="46" t="s">
        <v>145</v>
      </c>
      <c r="C440" s="46" t="s">
        <v>149</v>
      </c>
      <c r="D440" s="47" t="n">
        <v>45444</v>
      </c>
      <c r="E440" s="46" t="s">
        <v>43</v>
      </c>
      <c r="F440" s="48" t="n">
        <v>28.7387</v>
      </c>
      <c r="G440" s="49" t="n">
        <v>9301.95</v>
      </c>
      <c r="H440" s="50" t="n">
        <f aca="false">F440*G440</f>
        <v>267325.950465</v>
      </c>
    </row>
    <row r="441" customFormat="false" ht="15" hidden="false" customHeight="false" outlineLevel="0" collapsed="false">
      <c r="B441" s="46" t="s">
        <v>137</v>
      </c>
      <c r="C441" s="46" t="s">
        <v>149</v>
      </c>
      <c r="D441" s="47" t="n">
        <v>45474</v>
      </c>
      <c r="E441" s="46" t="s">
        <v>43</v>
      </c>
      <c r="F441" s="48" t="n">
        <v>155.8443</v>
      </c>
      <c r="G441" s="49" t="n">
        <v>5424.6</v>
      </c>
      <c r="H441" s="50" t="n">
        <f aca="false">F441*G441</f>
        <v>845392.98978</v>
      </c>
    </row>
    <row r="442" customFormat="false" ht="15" hidden="false" customHeight="false" outlineLevel="0" collapsed="false">
      <c r="B442" s="46" t="s">
        <v>142</v>
      </c>
      <c r="C442" s="46" t="s">
        <v>149</v>
      </c>
      <c r="D442" s="47" t="n">
        <v>45474</v>
      </c>
      <c r="E442" s="46" t="s">
        <v>43</v>
      </c>
      <c r="F442" s="48" t="n">
        <v>166.0685</v>
      </c>
      <c r="G442" s="49" t="n">
        <v>3997.07</v>
      </c>
      <c r="H442" s="50" t="n">
        <f aca="false">F442*G442</f>
        <v>663787.419295</v>
      </c>
    </row>
    <row r="443" customFormat="false" ht="15" hidden="false" customHeight="false" outlineLevel="0" collapsed="false">
      <c r="B443" s="46" t="s">
        <v>143</v>
      </c>
      <c r="C443" s="46" t="s">
        <v>149</v>
      </c>
      <c r="D443" s="47" t="n">
        <v>45474</v>
      </c>
      <c r="E443" s="46" t="s">
        <v>43</v>
      </c>
      <c r="F443" s="48" t="n">
        <v>71.9922</v>
      </c>
      <c r="G443" s="49" t="n">
        <v>6657.61</v>
      </c>
      <c r="H443" s="50" t="n">
        <f aca="false">F443*G443</f>
        <v>479295.990642</v>
      </c>
    </row>
    <row r="444" customFormat="false" ht="15" hidden="false" customHeight="false" outlineLevel="0" collapsed="false">
      <c r="B444" s="46" t="s">
        <v>144</v>
      </c>
      <c r="C444" s="46" t="s">
        <v>149</v>
      </c>
      <c r="D444" s="47" t="n">
        <v>45474</v>
      </c>
      <c r="E444" s="46" t="s">
        <v>43</v>
      </c>
      <c r="F444" s="48" t="n">
        <v>82.5307</v>
      </c>
      <c r="G444" s="49" t="n">
        <v>4816.97</v>
      </c>
      <c r="H444" s="50" t="n">
        <f aca="false">F444*G444</f>
        <v>397547.905979</v>
      </c>
    </row>
    <row r="445" customFormat="false" ht="15" hidden="false" customHeight="false" outlineLevel="0" collapsed="false">
      <c r="B445" s="46" t="s">
        <v>145</v>
      </c>
      <c r="C445" s="46" t="s">
        <v>149</v>
      </c>
      <c r="D445" s="47" t="n">
        <v>45474</v>
      </c>
      <c r="E445" s="46" t="s">
        <v>43</v>
      </c>
      <c r="F445" s="48" t="n">
        <v>30.0305</v>
      </c>
      <c r="G445" s="49" t="n">
        <v>9188.29</v>
      </c>
      <c r="H445" s="50" t="n">
        <f aca="false">F445*G445</f>
        <v>275928.942845</v>
      </c>
    </row>
    <row r="446" customFormat="false" ht="15" hidden="false" customHeight="false" outlineLevel="0" collapsed="false">
      <c r="B446" s="46" t="s">
        <v>137</v>
      </c>
      <c r="C446" s="46" t="s">
        <v>149</v>
      </c>
      <c r="D446" s="47" t="n">
        <v>45505</v>
      </c>
      <c r="E446" s="46" t="s">
        <v>43</v>
      </c>
      <c r="F446" s="48" t="n">
        <v>159.7168</v>
      </c>
      <c r="G446" s="49" t="n">
        <v>5369.64</v>
      </c>
      <c r="H446" s="50" t="n">
        <f aca="false">F446*G446</f>
        <v>857621.717952</v>
      </c>
    </row>
    <row r="447" customFormat="false" ht="15" hidden="false" customHeight="false" outlineLevel="0" collapsed="false">
      <c r="B447" s="46" t="s">
        <v>142</v>
      </c>
      <c r="C447" s="46" t="s">
        <v>149</v>
      </c>
      <c r="D447" s="47" t="n">
        <v>45505</v>
      </c>
      <c r="E447" s="46" t="s">
        <v>43</v>
      </c>
      <c r="F447" s="48" t="n">
        <v>146.9606</v>
      </c>
      <c r="G447" s="49" t="n">
        <v>4055.6</v>
      </c>
      <c r="H447" s="50" t="n">
        <f aca="false">F447*G447</f>
        <v>596013.40936</v>
      </c>
    </row>
    <row r="448" customFormat="false" ht="15" hidden="false" customHeight="false" outlineLevel="0" collapsed="false">
      <c r="B448" s="46" t="s">
        <v>143</v>
      </c>
      <c r="C448" s="46" t="s">
        <v>149</v>
      </c>
      <c r="D448" s="47" t="n">
        <v>45505</v>
      </c>
      <c r="E448" s="46" t="s">
        <v>43</v>
      </c>
      <c r="F448" s="48" t="n">
        <v>77.8839</v>
      </c>
      <c r="G448" s="49" t="n">
        <v>6698.09</v>
      </c>
      <c r="H448" s="50" t="n">
        <f aca="false">F448*G448</f>
        <v>521673.371751</v>
      </c>
    </row>
    <row r="449" customFormat="false" ht="15" hidden="false" customHeight="false" outlineLevel="0" collapsed="false">
      <c r="B449" s="46" t="s">
        <v>144</v>
      </c>
      <c r="C449" s="46" t="s">
        <v>149</v>
      </c>
      <c r="D449" s="47" t="n">
        <v>45505</v>
      </c>
      <c r="E449" s="46" t="s">
        <v>43</v>
      </c>
      <c r="F449" s="48" t="n">
        <v>86.0467</v>
      </c>
      <c r="G449" s="49" t="n">
        <v>4838.44</v>
      </c>
      <c r="H449" s="50" t="n">
        <f aca="false">F449*G449</f>
        <v>416331.795148</v>
      </c>
    </row>
    <row r="450" customFormat="false" ht="15" hidden="false" customHeight="false" outlineLevel="0" collapsed="false">
      <c r="B450" s="46" t="s">
        <v>145</v>
      </c>
      <c r="C450" s="46" t="s">
        <v>149</v>
      </c>
      <c r="D450" s="47" t="n">
        <v>45505</v>
      </c>
      <c r="E450" s="46" t="s">
        <v>43</v>
      </c>
      <c r="F450" s="48" t="n">
        <v>28.7876</v>
      </c>
      <c r="G450" s="49" t="n">
        <v>9238.78</v>
      </c>
      <c r="H450" s="50" t="n">
        <f aca="false">F450*G450</f>
        <v>265962.303128</v>
      </c>
    </row>
    <row r="451" customFormat="false" ht="15" hidden="false" customHeight="false" outlineLevel="0" collapsed="false">
      <c r="B451" s="46" t="s">
        <v>137</v>
      </c>
      <c r="C451" s="46" t="s">
        <v>149</v>
      </c>
      <c r="D451" s="47" t="n">
        <v>45536</v>
      </c>
      <c r="E451" s="46" t="s">
        <v>43</v>
      </c>
      <c r="F451" s="48" t="n">
        <v>158.6716</v>
      </c>
      <c r="G451" s="49" t="n">
        <v>5469.95</v>
      </c>
      <c r="H451" s="50" t="n">
        <f aca="false">F451*G451</f>
        <v>867925.71842</v>
      </c>
    </row>
    <row r="452" customFormat="false" ht="15" hidden="false" customHeight="false" outlineLevel="0" collapsed="false">
      <c r="B452" s="46" t="s">
        <v>142</v>
      </c>
      <c r="C452" s="46" t="s">
        <v>149</v>
      </c>
      <c r="D452" s="47" t="n">
        <v>45536</v>
      </c>
      <c r="E452" s="46" t="s">
        <v>43</v>
      </c>
      <c r="F452" s="48" t="n">
        <v>155.5167</v>
      </c>
      <c r="G452" s="49" t="n">
        <v>3975.23</v>
      </c>
      <c r="H452" s="50" t="n">
        <f aca="false">F452*G452</f>
        <v>618214.651341</v>
      </c>
    </row>
    <row r="453" customFormat="false" ht="15" hidden="false" customHeight="false" outlineLevel="0" collapsed="false">
      <c r="B453" s="46" t="s">
        <v>143</v>
      </c>
      <c r="C453" s="46" t="s">
        <v>149</v>
      </c>
      <c r="D453" s="47" t="n">
        <v>45536</v>
      </c>
      <c r="E453" s="46" t="s">
        <v>43</v>
      </c>
      <c r="F453" s="48" t="n">
        <v>75.4252</v>
      </c>
      <c r="G453" s="49" t="n">
        <v>6788.79</v>
      </c>
      <c r="H453" s="50" t="n">
        <f aca="false">F453*G453</f>
        <v>512045.843508</v>
      </c>
    </row>
    <row r="454" customFormat="false" ht="15" hidden="false" customHeight="false" outlineLevel="0" collapsed="false">
      <c r="B454" s="46" t="s">
        <v>144</v>
      </c>
      <c r="C454" s="46" t="s">
        <v>149</v>
      </c>
      <c r="D454" s="47" t="n">
        <v>45536</v>
      </c>
      <c r="E454" s="46" t="s">
        <v>43</v>
      </c>
      <c r="F454" s="48" t="n">
        <v>81.0593</v>
      </c>
      <c r="G454" s="49" t="n">
        <v>4850.88</v>
      </c>
      <c r="H454" s="50" t="n">
        <f aca="false">F454*G454</f>
        <v>393208.937184</v>
      </c>
    </row>
    <row r="455" customFormat="false" ht="15" hidden="false" customHeight="false" outlineLevel="0" collapsed="false">
      <c r="B455" s="46" t="s">
        <v>145</v>
      </c>
      <c r="C455" s="46" t="s">
        <v>149</v>
      </c>
      <c r="D455" s="47" t="n">
        <v>45536</v>
      </c>
      <c r="E455" s="46" t="s">
        <v>43</v>
      </c>
      <c r="F455" s="48" t="n">
        <v>27.3437</v>
      </c>
      <c r="G455" s="49" t="n">
        <v>9372.52</v>
      </c>
      <c r="H455" s="50" t="n">
        <f aca="false">F455*G455</f>
        <v>256279.375124</v>
      </c>
    </row>
    <row r="456" customFormat="false" ht="15" hidden="false" customHeight="false" outlineLevel="0" collapsed="false">
      <c r="B456" s="46" t="s">
        <v>137</v>
      </c>
      <c r="C456" s="46" t="s">
        <v>149</v>
      </c>
      <c r="D456" s="47" t="n">
        <v>45566</v>
      </c>
      <c r="E456" s="46" t="s">
        <v>43</v>
      </c>
      <c r="F456" s="48" t="n">
        <v>143.7162</v>
      </c>
      <c r="G456" s="49" t="n">
        <v>5472.25</v>
      </c>
      <c r="H456" s="50" t="n">
        <f aca="false">F456*G456</f>
        <v>786450.97545</v>
      </c>
    </row>
    <row r="457" customFormat="false" ht="15" hidden="false" customHeight="false" outlineLevel="0" collapsed="false">
      <c r="B457" s="46" t="s">
        <v>142</v>
      </c>
      <c r="C457" s="46" t="s">
        <v>149</v>
      </c>
      <c r="D457" s="47" t="n">
        <v>45566</v>
      </c>
      <c r="E457" s="46" t="s">
        <v>43</v>
      </c>
      <c r="F457" s="48" t="n">
        <v>162.4994</v>
      </c>
      <c r="G457" s="49" t="n">
        <v>4005.94</v>
      </c>
      <c r="H457" s="50" t="n">
        <f aca="false">F457*G457</f>
        <v>650962.846436</v>
      </c>
    </row>
    <row r="458" customFormat="false" ht="15" hidden="false" customHeight="false" outlineLevel="0" collapsed="false">
      <c r="B458" s="46" t="s">
        <v>143</v>
      </c>
      <c r="C458" s="46" t="s">
        <v>149</v>
      </c>
      <c r="D458" s="47" t="n">
        <v>45566</v>
      </c>
      <c r="E458" s="46" t="s">
        <v>43</v>
      </c>
      <c r="F458" s="48" t="n">
        <v>85.5555</v>
      </c>
      <c r="G458" s="49" t="n">
        <v>6623.51</v>
      </c>
      <c r="H458" s="50" t="n">
        <f aca="false">F458*G458</f>
        <v>566677.709805</v>
      </c>
    </row>
    <row r="459" customFormat="false" ht="15" hidden="false" customHeight="false" outlineLevel="0" collapsed="false">
      <c r="B459" s="46" t="s">
        <v>144</v>
      </c>
      <c r="C459" s="46" t="s">
        <v>149</v>
      </c>
      <c r="D459" s="47" t="n">
        <v>45566</v>
      </c>
      <c r="E459" s="46" t="s">
        <v>43</v>
      </c>
      <c r="F459" s="48" t="n">
        <v>82.9394</v>
      </c>
      <c r="G459" s="49" t="n">
        <v>4957.55</v>
      </c>
      <c r="H459" s="50" t="n">
        <f aca="false">F459*G459</f>
        <v>411176.22247</v>
      </c>
    </row>
    <row r="460" customFormat="false" ht="15" hidden="false" customHeight="false" outlineLevel="0" collapsed="false">
      <c r="B460" s="46" t="s">
        <v>145</v>
      </c>
      <c r="C460" s="46" t="s">
        <v>149</v>
      </c>
      <c r="D460" s="47" t="n">
        <v>45566</v>
      </c>
      <c r="E460" s="46" t="s">
        <v>43</v>
      </c>
      <c r="F460" s="48" t="n">
        <v>28.3308</v>
      </c>
      <c r="G460" s="49" t="n">
        <v>9446.69</v>
      </c>
      <c r="H460" s="50" t="n">
        <f aca="false">F460*G460</f>
        <v>267632.285052</v>
      </c>
    </row>
    <row r="461" customFormat="false" ht="15" hidden="false" customHeight="false" outlineLevel="0" collapsed="false">
      <c r="B461" s="46" t="s">
        <v>137</v>
      </c>
      <c r="C461" s="46" t="s">
        <v>149</v>
      </c>
      <c r="D461" s="47" t="n">
        <v>45597</v>
      </c>
      <c r="E461" s="46" t="s">
        <v>43</v>
      </c>
      <c r="F461" s="48" t="n">
        <v>147.8383</v>
      </c>
      <c r="G461" s="49" t="n">
        <v>5523.38</v>
      </c>
      <c r="H461" s="50" t="n">
        <f aca="false">F461*G461</f>
        <v>816567.109454</v>
      </c>
    </row>
    <row r="462" customFormat="false" ht="15" hidden="false" customHeight="false" outlineLevel="0" collapsed="false">
      <c r="B462" s="46" t="s">
        <v>142</v>
      </c>
      <c r="C462" s="46" t="s">
        <v>149</v>
      </c>
      <c r="D462" s="47" t="n">
        <v>45597</v>
      </c>
      <c r="E462" s="46" t="s">
        <v>43</v>
      </c>
      <c r="F462" s="48" t="n">
        <v>160.4692</v>
      </c>
      <c r="G462" s="49" t="n">
        <v>3993.36</v>
      </c>
      <c r="H462" s="50" t="n">
        <f aca="false">F462*G462</f>
        <v>640811.284512</v>
      </c>
    </row>
    <row r="463" customFormat="false" ht="15" hidden="false" customHeight="false" outlineLevel="0" collapsed="false">
      <c r="B463" s="46" t="s">
        <v>143</v>
      </c>
      <c r="C463" s="46" t="s">
        <v>149</v>
      </c>
      <c r="D463" s="47" t="n">
        <v>45597</v>
      </c>
      <c r="E463" s="46" t="s">
        <v>43</v>
      </c>
      <c r="F463" s="48" t="n">
        <v>82.979</v>
      </c>
      <c r="G463" s="49" t="n">
        <v>6847.68</v>
      </c>
      <c r="H463" s="50" t="n">
        <f aca="false">F463*G463</f>
        <v>568213.63872</v>
      </c>
    </row>
    <row r="464" customFormat="false" ht="15" hidden="false" customHeight="false" outlineLevel="0" collapsed="false">
      <c r="B464" s="46" t="s">
        <v>144</v>
      </c>
      <c r="C464" s="46" t="s">
        <v>149</v>
      </c>
      <c r="D464" s="47" t="n">
        <v>45597</v>
      </c>
      <c r="E464" s="46" t="s">
        <v>43</v>
      </c>
      <c r="F464" s="48" t="n">
        <v>78.1765</v>
      </c>
      <c r="G464" s="49" t="n">
        <v>4880.4</v>
      </c>
      <c r="H464" s="50" t="n">
        <f aca="false">F464*G464</f>
        <v>381532.5906</v>
      </c>
    </row>
    <row r="465" customFormat="false" ht="15" hidden="false" customHeight="false" outlineLevel="0" collapsed="false">
      <c r="B465" s="46" t="s">
        <v>145</v>
      </c>
      <c r="C465" s="46" t="s">
        <v>149</v>
      </c>
      <c r="D465" s="47" t="n">
        <v>45597</v>
      </c>
      <c r="E465" s="46" t="s">
        <v>43</v>
      </c>
      <c r="F465" s="48" t="n">
        <v>28.1025</v>
      </c>
      <c r="G465" s="49" t="n">
        <v>9544.42</v>
      </c>
      <c r="H465" s="50" t="n">
        <f aca="false">F465*G465</f>
        <v>268222.06305</v>
      </c>
    </row>
    <row r="466" customFormat="false" ht="15" hidden="false" customHeight="false" outlineLevel="0" collapsed="false">
      <c r="B466" s="46" t="s">
        <v>137</v>
      </c>
      <c r="C466" s="46" t="s">
        <v>149</v>
      </c>
      <c r="D466" s="47" t="n">
        <v>45627</v>
      </c>
      <c r="E466" s="46" t="s">
        <v>43</v>
      </c>
      <c r="F466" s="48" t="n">
        <v>157.6587</v>
      </c>
      <c r="G466" s="49" t="n">
        <v>5496.06</v>
      </c>
      <c r="H466" s="50" t="n">
        <f aca="false">F466*G466</f>
        <v>866501.674722</v>
      </c>
    </row>
    <row r="467" customFormat="false" ht="15" hidden="false" customHeight="false" outlineLevel="0" collapsed="false">
      <c r="B467" s="46" t="s">
        <v>142</v>
      </c>
      <c r="C467" s="46" t="s">
        <v>149</v>
      </c>
      <c r="D467" s="47" t="n">
        <v>45627</v>
      </c>
      <c r="E467" s="46" t="s">
        <v>43</v>
      </c>
      <c r="F467" s="48" t="n">
        <v>154.3914</v>
      </c>
      <c r="G467" s="49" t="n">
        <v>4110.78</v>
      </c>
      <c r="H467" s="50" t="n">
        <f aca="false">F467*G467</f>
        <v>634669.079292</v>
      </c>
    </row>
    <row r="468" customFormat="false" ht="15" hidden="false" customHeight="false" outlineLevel="0" collapsed="false">
      <c r="B468" s="46" t="s">
        <v>143</v>
      </c>
      <c r="C468" s="46" t="s">
        <v>149</v>
      </c>
      <c r="D468" s="47" t="n">
        <v>45627</v>
      </c>
      <c r="E468" s="46" t="s">
        <v>43</v>
      </c>
      <c r="F468" s="48" t="n">
        <v>81.6091</v>
      </c>
      <c r="G468" s="49" t="n">
        <v>6873.07</v>
      </c>
      <c r="H468" s="50" t="n">
        <f aca="false">F468*G468</f>
        <v>560905.056937</v>
      </c>
    </row>
    <row r="469" customFormat="false" ht="15" hidden="false" customHeight="false" outlineLevel="0" collapsed="false">
      <c r="B469" s="46" t="s">
        <v>144</v>
      </c>
      <c r="C469" s="46" t="s">
        <v>149</v>
      </c>
      <c r="D469" s="47" t="n">
        <v>45627</v>
      </c>
      <c r="E469" s="46" t="s">
        <v>43</v>
      </c>
      <c r="F469" s="48" t="n">
        <v>77.2898</v>
      </c>
      <c r="G469" s="49" t="n">
        <v>4992.11</v>
      </c>
      <c r="H469" s="50" t="n">
        <f aca="false">F469*G469</f>
        <v>385839.183478</v>
      </c>
    </row>
    <row r="470" customFormat="false" ht="15" hidden="false" customHeight="false" outlineLevel="0" collapsed="false">
      <c r="B470" s="46" t="s">
        <v>145</v>
      </c>
      <c r="C470" s="46" t="s">
        <v>149</v>
      </c>
      <c r="D470" s="47" t="n">
        <v>45627</v>
      </c>
      <c r="E470" s="46" t="s">
        <v>43</v>
      </c>
      <c r="F470" s="48" t="n">
        <v>29.1172</v>
      </c>
      <c r="G470" s="49" t="n">
        <v>9397.2</v>
      </c>
      <c r="H470" s="50" t="n">
        <f aca="false">F470*G470</f>
        <v>273620.15184</v>
      </c>
    </row>
    <row r="471" customFormat="false" ht="15" hidden="false" customHeight="false" outlineLevel="0" collapsed="false">
      <c r="B471" s="46" t="s">
        <v>137</v>
      </c>
      <c r="C471" s="46" t="s">
        <v>149</v>
      </c>
      <c r="D471" s="47" t="n">
        <v>45658</v>
      </c>
      <c r="E471" s="46" t="s">
        <v>43</v>
      </c>
      <c r="F471" s="48" t="n">
        <v>151.1066</v>
      </c>
      <c r="G471" s="49" t="n">
        <v>5579.94</v>
      </c>
      <c r="H471" s="50" t="n">
        <f aca="false">F471*G471</f>
        <v>843165.761604</v>
      </c>
    </row>
    <row r="472" customFormat="false" ht="15" hidden="false" customHeight="false" outlineLevel="0" collapsed="false">
      <c r="B472" s="46" t="s">
        <v>142</v>
      </c>
      <c r="C472" s="46" t="s">
        <v>149</v>
      </c>
      <c r="D472" s="47" t="n">
        <v>45658</v>
      </c>
      <c r="E472" s="46" t="s">
        <v>43</v>
      </c>
      <c r="F472" s="48" t="n">
        <v>152.0614</v>
      </c>
      <c r="G472" s="49" t="n">
        <v>4075.62</v>
      </c>
      <c r="H472" s="50" t="n">
        <f aca="false">F472*G472</f>
        <v>619744.483068</v>
      </c>
    </row>
    <row r="473" customFormat="false" ht="15" hidden="false" customHeight="false" outlineLevel="0" collapsed="false">
      <c r="B473" s="46" t="s">
        <v>143</v>
      </c>
      <c r="C473" s="46" t="s">
        <v>149</v>
      </c>
      <c r="D473" s="47" t="n">
        <v>45658</v>
      </c>
      <c r="E473" s="46" t="s">
        <v>43</v>
      </c>
      <c r="F473" s="48" t="n">
        <v>84.7142</v>
      </c>
      <c r="G473" s="49" t="n">
        <v>6823.44</v>
      </c>
      <c r="H473" s="50" t="n">
        <f aca="false">F473*G473</f>
        <v>578042.260848</v>
      </c>
    </row>
    <row r="474" customFormat="false" ht="15" hidden="false" customHeight="false" outlineLevel="0" collapsed="false">
      <c r="B474" s="46" t="s">
        <v>144</v>
      </c>
      <c r="C474" s="46" t="s">
        <v>149</v>
      </c>
      <c r="D474" s="47" t="n">
        <v>45658</v>
      </c>
      <c r="E474" s="46" t="s">
        <v>43</v>
      </c>
      <c r="F474" s="48" t="n">
        <v>83.6152</v>
      </c>
      <c r="G474" s="49" t="n">
        <v>4930.66</v>
      </c>
      <c r="H474" s="50" t="n">
        <f aca="false">F474*G474</f>
        <v>412278.122032</v>
      </c>
    </row>
    <row r="475" customFormat="false" ht="15" hidden="false" customHeight="false" outlineLevel="0" collapsed="false">
      <c r="B475" s="46" t="s">
        <v>145</v>
      </c>
      <c r="C475" s="46" t="s">
        <v>149</v>
      </c>
      <c r="D475" s="47" t="n">
        <v>45658</v>
      </c>
      <c r="E475" s="46" t="s">
        <v>43</v>
      </c>
      <c r="F475" s="48" t="n">
        <v>27.5153</v>
      </c>
      <c r="G475" s="49" t="n">
        <v>9488.47</v>
      </c>
      <c r="H475" s="50" t="n">
        <f aca="false">F475*G475</f>
        <v>261078.098591</v>
      </c>
    </row>
    <row r="476" customFormat="false" ht="15" hidden="false" customHeight="false" outlineLevel="0" collapsed="false">
      <c r="B476" s="46" t="s">
        <v>137</v>
      </c>
      <c r="C476" s="46" t="s">
        <v>149</v>
      </c>
      <c r="D476" s="47" t="n">
        <v>45689</v>
      </c>
      <c r="E476" s="46" t="s">
        <v>43</v>
      </c>
      <c r="F476" s="48" t="n">
        <v>152.3126</v>
      </c>
      <c r="G476" s="49" t="n">
        <v>5591.12</v>
      </c>
      <c r="H476" s="50" t="n">
        <f aca="false">F476*G476</f>
        <v>851598.024112</v>
      </c>
    </row>
    <row r="477" customFormat="false" ht="15" hidden="false" customHeight="false" outlineLevel="0" collapsed="false">
      <c r="B477" s="46" t="s">
        <v>142</v>
      </c>
      <c r="C477" s="46" t="s">
        <v>149</v>
      </c>
      <c r="D477" s="47" t="n">
        <v>45689</v>
      </c>
      <c r="E477" s="46" t="s">
        <v>43</v>
      </c>
      <c r="F477" s="48" t="n">
        <v>153.6206</v>
      </c>
      <c r="G477" s="49" t="n">
        <v>4126.32</v>
      </c>
      <c r="H477" s="50" t="n">
        <f aca="false">F477*G477</f>
        <v>633887.754192</v>
      </c>
    </row>
    <row r="478" customFormat="false" ht="15" hidden="false" customHeight="false" outlineLevel="0" collapsed="false">
      <c r="B478" s="46" t="s">
        <v>143</v>
      </c>
      <c r="C478" s="46" t="s">
        <v>149</v>
      </c>
      <c r="D478" s="47" t="n">
        <v>45689</v>
      </c>
      <c r="E478" s="46" t="s">
        <v>43</v>
      </c>
      <c r="F478" s="48" t="n">
        <v>82.1073</v>
      </c>
      <c r="G478" s="49" t="n">
        <v>6810.31</v>
      </c>
      <c r="H478" s="50" t="n">
        <f aca="false">F478*G478</f>
        <v>559176.166263</v>
      </c>
    </row>
    <row r="479" customFormat="false" ht="15" hidden="false" customHeight="false" outlineLevel="0" collapsed="false">
      <c r="B479" s="46" t="s">
        <v>144</v>
      </c>
      <c r="C479" s="46" t="s">
        <v>149</v>
      </c>
      <c r="D479" s="47" t="n">
        <v>45689</v>
      </c>
      <c r="E479" s="46" t="s">
        <v>43</v>
      </c>
      <c r="F479" s="48" t="n">
        <v>87.8702</v>
      </c>
      <c r="G479" s="49" t="n">
        <v>4947.24</v>
      </c>
      <c r="H479" s="50" t="n">
        <f aca="false">F479*G479</f>
        <v>434714.968248</v>
      </c>
    </row>
    <row r="480" customFormat="false" ht="15" hidden="false" customHeight="false" outlineLevel="0" collapsed="false">
      <c r="B480" s="46" t="s">
        <v>145</v>
      </c>
      <c r="C480" s="46" t="s">
        <v>149</v>
      </c>
      <c r="D480" s="47" t="n">
        <v>45689</v>
      </c>
      <c r="E480" s="46" t="s">
        <v>43</v>
      </c>
      <c r="F480" s="48" t="n">
        <v>28.4184</v>
      </c>
      <c r="G480" s="49" t="n">
        <v>9328.22</v>
      </c>
      <c r="H480" s="50" t="n">
        <f aca="false">F480*G480</f>
        <v>265093.087248</v>
      </c>
    </row>
    <row r="481" customFormat="false" ht="15" hidden="false" customHeight="false" outlineLevel="0" collapsed="false">
      <c r="B481" s="46" t="s">
        <v>137</v>
      </c>
      <c r="C481" s="46" t="s">
        <v>149</v>
      </c>
      <c r="D481" s="47" t="n">
        <v>45717</v>
      </c>
      <c r="E481" s="46" t="s">
        <v>43</v>
      </c>
      <c r="F481" s="48" t="n">
        <v>170.5086</v>
      </c>
      <c r="G481" s="49" t="n">
        <v>5486</v>
      </c>
      <c r="H481" s="50" t="n">
        <f aca="false">F481*G481</f>
        <v>935410.1796</v>
      </c>
    </row>
    <row r="482" customFormat="false" ht="15" hidden="false" customHeight="false" outlineLevel="0" collapsed="false">
      <c r="B482" s="46" t="s">
        <v>142</v>
      </c>
      <c r="C482" s="46" t="s">
        <v>149</v>
      </c>
      <c r="D482" s="47" t="n">
        <v>45717</v>
      </c>
      <c r="E482" s="46" t="s">
        <v>43</v>
      </c>
      <c r="F482" s="48" t="n">
        <v>154.3189</v>
      </c>
      <c r="G482" s="49" t="n">
        <v>4018.19</v>
      </c>
      <c r="H482" s="50" t="n">
        <f aca="false">F482*G482</f>
        <v>620082.660791</v>
      </c>
    </row>
    <row r="483" customFormat="false" ht="15" hidden="false" customHeight="false" outlineLevel="0" collapsed="false">
      <c r="B483" s="46" t="s">
        <v>143</v>
      </c>
      <c r="C483" s="46" t="s">
        <v>149</v>
      </c>
      <c r="D483" s="47" t="n">
        <v>45717</v>
      </c>
      <c r="E483" s="46" t="s">
        <v>43</v>
      </c>
      <c r="F483" s="48" t="n">
        <v>80.7178</v>
      </c>
      <c r="G483" s="49" t="n">
        <v>6877.62</v>
      </c>
      <c r="H483" s="50" t="n">
        <f aca="false">F483*G483</f>
        <v>555146.355636</v>
      </c>
    </row>
    <row r="484" customFormat="false" ht="15" hidden="false" customHeight="false" outlineLevel="0" collapsed="false">
      <c r="B484" s="46" t="s">
        <v>144</v>
      </c>
      <c r="C484" s="46" t="s">
        <v>149</v>
      </c>
      <c r="D484" s="47" t="n">
        <v>45717</v>
      </c>
      <c r="E484" s="46" t="s">
        <v>43</v>
      </c>
      <c r="F484" s="48" t="n">
        <v>92.6699</v>
      </c>
      <c r="G484" s="49" t="n">
        <v>4890.5</v>
      </c>
      <c r="H484" s="50" t="n">
        <f aca="false">F484*G484</f>
        <v>453202.14595</v>
      </c>
    </row>
    <row r="485" customFormat="false" ht="15" hidden="false" customHeight="false" outlineLevel="0" collapsed="false">
      <c r="B485" s="46" t="s">
        <v>145</v>
      </c>
      <c r="C485" s="46" t="s">
        <v>149</v>
      </c>
      <c r="D485" s="47" t="n">
        <v>45717</v>
      </c>
      <c r="E485" s="46" t="s">
        <v>43</v>
      </c>
      <c r="F485" s="48" t="n">
        <v>30.3824</v>
      </c>
      <c r="G485" s="49" t="n">
        <v>9504.12</v>
      </c>
      <c r="H485" s="50" t="n">
        <f aca="false">F485*G485</f>
        <v>288757.975488</v>
      </c>
    </row>
    <row r="486" customFormat="false" ht="15" hidden="false" customHeight="false" outlineLevel="0" collapsed="false">
      <c r="B486" s="46" t="s">
        <v>137</v>
      </c>
      <c r="C486" s="46" t="s">
        <v>149</v>
      </c>
      <c r="D486" s="47" t="n">
        <v>45748</v>
      </c>
      <c r="E486" s="46" t="s">
        <v>44</v>
      </c>
      <c r="F486" s="48" t="n">
        <v>155.472</v>
      </c>
      <c r="G486" s="49" t="n">
        <v>5639.19</v>
      </c>
      <c r="H486" s="50" t="n">
        <f aca="false">F486*G486</f>
        <v>876736.14768</v>
      </c>
    </row>
    <row r="487" customFormat="false" ht="15" hidden="false" customHeight="false" outlineLevel="0" collapsed="false">
      <c r="B487" s="46" t="s">
        <v>142</v>
      </c>
      <c r="C487" s="46" t="s">
        <v>149</v>
      </c>
      <c r="D487" s="47" t="n">
        <v>45748</v>
      </c>
      <c r="E487" s="46" t="s">
        <v>44</v>
      </c>
      <c r="F487" s="48" t="n">
        <v>166.5967</v>
      </c>
      <c r="G487" s="49" t="n">
        <v>4029.87</v>
      </c>
      <c r="H487" s="50" t="n">
        <f aca="false">F487*G487</f>
        <v>671363.043429</v>
      </c>
    </row>
    <row r="488" customFormat="false" ht="15" hidden="false" customHeight="false" outlineLevel="0" collapsed="false">
      <c r="B488" s="46" t="s">
        <v>143</v>
      </c>
      <c r="C488" s="46" t="s">
        <v>149</v>
      </c>
      <c r="D488" s="47" t="n">
        <v>45748</v>
      </c>
      <c r="E488" s="46" t="s">
        <v>44</v>
      </c>
      <c r="F488" s="48" t="n">
        <v>71.94</v>
      </c>
      <c r="G488" s="49" t="n">
        <v>6926.04</v>
      </c>
      <c r="H488" s="50" t="n">
        <f aca="false">F488*G488</f>
        <v>498259.3176</v>
      </c>
    </row>
    <row r="489" customFormat="false" ht="15" hidden="false" customHeight="false" outlineLevel="0" collapsed="false">
      <c r="B489" s="46" t="s">
        <v>144</v>
      </c>
      <c r="C489" s="46" t="s">
        <v>149</v>
      </c>
      <c r="D489" s="47" t="n">
        <v>45748</v>
      </c>
      <c r="E489" s="46" t="s">
        <v>44</v>
      </c>
      <c r="F489" s="48" t="n">
        <v>80.7342</v>
      </c>
      <c r="G489" s="49" t="n">
        <v>5039.55</v>
      </c>
      <c r="H489" s="50" t="n">
        <f aca="false">F489*G489</f>
        <v>406864.03761</v>
      </c>
    </row>
    <row r="490" customFormat="false" ht="15" hidden="false" customHeight="false" outlineLevel="0" collapsed="false">
      <c r="B490" s="46" t="s">
        <v>145</v>
      </c>
      <c r="C490" s="46" t="s">
        <v>149</v>
      </c>
      <c r="D490" s="47" t="n">
        <v>45748</v>
      </c>
      <c r="E490" s="46" t="s">
        <v>44</v>
      </c>
      <c r="F490" s="48" t="n">
        <v>26.4847</v>
      </c>
      <c r="G490" s="49" t="n">
        <v>9669.75</v>
      </c>
      <c r="H490" s="50" t="n">
        <f aca="false">F490*G490</f>
        <v>256100.427825</v>
      </c>
    </row>
    <row r="491" customFormat="false" ht="15" hidden="false" customHeight="false" outlineLevel="0" collapsed="false">
      <c r="B491" s="46" t="s">
        <v>137</v>
      </c>
      <c r="C491" s="46" t="s">
        <v>149</v>
      </c>
      <c r="D491" s="47" t="n">
        <v>45778</v>
      </c>
      <c r="E491" s="46" t="s">
        <v>44</v>
      </c>
      <c r="F491" s="48" t="n">
        <v>158.6978</v>
      </c>
      <c r="G491" s="49" t="n">
        <v>5547.87</v>
      </c>
      <c r="H491" s="50" t="n">
        <f aca="false">F491*G491</f>
        <v>880434.763686</v>
      </c>
    </row>
    <row r="492" customFormat="false" ht="15" hidden="false" customHeight="false" outlineLevel="0" collapsed="false">
      <c r="B492" s="46" t="s">
        <v>142</v>
      </c>
      <c r="C492" s="46" t="s">
        <v>149</v>
      </c>
      <c r="D492" s="47" t="n">
        <v>45778</v>
      </c>
      <c r="E492" s="46" t="s">
        <v>44</v>
      </c>
      <c r="F492" s="48" t="n">
        <v>164.9525</v>
      </c>
      <c r="G492" s="49" t="n">
        <v>4103.9</v>
      </c>
      <c r="H492" s="50" t="n">
        <f aca="false">F492*G492</f>
        <v>676948.56475</v>
      </c>
    </row>
    <row r="493" customFormat="false" ht="15" hidden="false" customHeight="false" outlineLevel="0" collapsed="false">
      <c r="B493" s="46" t="s">
        <v>143</v>
      </c>
      <c r="C493" s="46" t="s">
        <v>149</v>
      </c>
      <c r="D493" s="47" t="n">
        <v>45778</v>
      </c>
      <c r="E493" s="46" t="s">
        <v>44</v>
      </c>
      <c r="F493" s="48" t="n">
        <v>69.087</v>
      </c>
      <c r="G493" s="49" t="n">
        <v>7027.3</v>
      </c>
      <c r="H493" s="50" t="n">
        <f aca="false">F493*G493</f>
        <v>485495.0751</v>
      </c>
    </row>
    <row r="494" customFormat="false" ht="15" hidden="false" customHeight="false" outlineLevel="0" collapsed="false">
      <c r="B494" s="46" t="s">
        <v>144</v>
      </c>
      <c r="C494" s="46" t="s">
        <v>149</v>
      </c>
      <c r="D494" s="47" t="n">
        <v>45778</v>
      </c>
      <c r="E494" s="46" t="s">
        <v>44</v>
      </c>
      <c r="F494" s="48" t="n">
        <v>88.0645</v>
      </c>
      <c r="G494" s="49" t="n">
        <v>4966.92</v>
      </c>
      <c r="H494" s="50" t="n">
        <f aca="false">F494*G494</f>
        <v>437409.32634</v>
      </c>
    </row>
    <row r="495" customFormat="false" ht="15" hidden="false" customHeight="false" outlineLevel="0" collapsed="false">
      <c r="B495" s="46" t="s">
        <v>145</v>
      </c>
      <c r="C495" s="46" t="s">
        <v>149</v>
      </c>
      <c r="D495" s="47" t="n">
        <v>45778</v>
      </c>
      <c r="E495" s="46" t="s">
        <v>44</v>
      </c>
      <c r="F495" s="48" t="n">
        <v>28.2744</v>
      </c>
      <c r="G495" s="49" t="n">
        <v>9496.68</v>
      </c>
      <c r="H495" s="50" t="n">
        <f aca="false">F495*G495</f>
        <v>268512.928992</v>
      </c>
    </row>
    <row r="496" customFormat="false" ht="15" hidden="false" customHeight="false" outlineLevel="0" collapsed="false">
      <c r="B496" s="46" t="s">
        <v>137</v>
      </c>
      <c r="C496" s="46" t="s">
        <v>149</v>
      </c>
      <c r="D496" s="47" t="n">
        <v>45809</v>
      </c>
      <c r="E496" s="46" t="s">
        <v>44</v>
      </c>
      <c r="F496" s="48" t="n">
        <v>137.1555</v>
      </c>
      <c r="G496" s="49" t="n">
        <v>5686.98</v>
      </c>
      <c r="H496" s="50" t="n">
        <f aca="false">F496*G496</f>
        <v>780000.58539</v>
      </c>
    </row>
    <row r="497" customFormat="false" ht="15" hidden="false" customHeight="false" outlineLevel="0" collapsed="false">
      <c r="B497" s="46" t="s">
        <v>142</v>
      </c>
      <c r="C497" s="46" t="s">
        <v>149</v>
      </c>
      <c r="D497" s="47" t="n">
        <v>45809</v>
      </c>
      <c r="E497" s="46" t="s">
        <v>44</v>
      </c>
      <c r="F497" s="48" t="n">
        <v>186.761</v>
      </c>
      <c r="G497" s="49" t="n">
        <v>4011.13</v>
      </c>
      <c r="H497" s="50" t="n">
        <f aca="false">F497*G497</f>
        <v>749122.64993</v>
      </c>
    </row>
    <row r="498" customFormat="false" ht="15" hidden="false" customHeight="false" outlineLevel="0" collapsed="false">
      <c r="B498" s="46" t="s">
        <v>143</v>
      </c>
      <c r="C498" s="46" t="s">
        <v>149</v>
      </c>
      <c r="D498" s="47" t="n">
        <v>45809</v>
      </c>
      <c r="E498" s="46" t="s">
        <v>44</v>
      </c>
      <c r="F498" s="48" t="n">
        <v>79.2419</v>
      </c>
      <c r="G498" s="49" t="n">
        <v>6948.87</v>
      </c>
      <c r="H498" s="50" t="n">
        <f aca="false">F498*G498</f>
        <v>550641.661653</v>
      </c>
    </row>
    <row r="499" customFormat="false" ht="15" hidden="false" customHeight="false" outlineLevel="0" collapsed="false">
      <c r="B499" s="46" t="s">
        <v>144</v>
      </c>
      <c r="C499" s="46" t="s">
        <v>149</v>
      </c>
      <c r="D499" s="47" t="n">
        <v>45809</v>
      </c>
      <c r="E499" s="46" t="s">
        <v>44</v>
      </c>
      <c r="F499" s="48" t="n">
        <v>94.7041</v>
      </c>
      <c r="G499" s="49" t="n">
        <v>4967.41</v>
      </c>
      <c r="H499" s="50" t="n">
        <f aca="false">F499*G499</f>
        <v>470434.093381</v>
      </c>
    </row>
    <row r="500" customFormat="false" ht="15" hidden="false" customHeight="false" outlineLevel="0" collapsed="false">
      <c r="B500" s="46" t="s">
        <v>145</v>
      </c>
      <c r="C500" s="46" t="s">
        <v>149</v>
      </c>
      <c r="D500" s="47" t="n">
        <v>45809</v>
      </c>
      <c r="E500" s="46" t="s">
        <v>44</v>
      </c>
      <c r="F500" s="48" t="n">
        <v>29.501</v>
      </c>
      <c r="G500" s="49" t="n">
        <v>9630.87</v>
      </c>
      <c r="H500" s="50" t="n">
        <f aca="false">F500*G500</f>
        <v>284120.29587</v>
      </c>
    </row>
    <row r="501" customFormat="false" ht="15" hidden="false" customHeight="false" outlineLevel="0" collapsed="false">
      <c r="B501" s="46" t="s">
        <v>137</v>
      </c>
      <c r="C501" s="46" t="s">
        <v>149</v>
      </c>
      <c r="D501" s="47" t="n">
        <v>45839</v>
      </c>
      <c r="E501" s="46" t="s">
        <v>44</v>
      </c>
      <c r="F501" s="48" t="n">
        <v>149.8175</v>
      </c>
      <c r="G501" s="49" t="n">
        <v>5606.33</v>
      </c>
      <c r="H501" s="50" t="n">
        <f aca="false">F501*G501</f>
        <v>839926.344775</v>
      </c>
    </row>
    <row r="502" customFormat="false" ht="15" hidden="false" customHeight="false" outlineLevel="0" collapsed="false">
      <c r="B502" s="46" t="s">
        <v>142</v>
      </c>
      <c r="C502" s="46" t="s">
        <v>149</v>
      </c>
      <c r="D502" s="47" t="n">
        <v>45839</v>
      </c>
      <c r="E502" s="46" t="s">
        <v>44</v>
      </c>
      <c r="F502" s="48" t="n">
        <v>156.5978</v>
      </c>
      <c r="G502" s="49" t="n">
        <v>4032.81</v>
      </c>
      <c r="H502" s="50" t="n">
        <f aca="false">F502*G502</f>
        <v>631529.173818</v>
      </c>
    </row>
    <row r="503" customFormat="false" ht="15" hidden="false" customHeight="false" outlineLevel="0" collapsed="false">
      <c r="B503" s="46" t="s">
        <v>143</v>
      </c>
      <c r="C503" s="46" t="s">
        <v>149</v>
      </c>
      <c r="D503" s="47" t="n">
        <v>45839</v>
      </c>
      <c r="E503" s="46" t="s">
        <v>44</v>
      </c>
      <c r="F503" s="48" t="n">
        <v>79.7938</v>
      </c>
      <c r="G503" s="49" t="n">
        <v>7038.52</v>
      </c>
      <c r="H503" s="50" t="n">
        <f aca="false">F503*G503</f>
        <v>561630.257176</v>
      </c>
    </row>
    <row r="504" customFormat="false" ht="15" hidden="false" customHeight="false" outlineLevel="0" collapsed="false">
      <c r="B504" s="46" t="s">
        <v>144</v>
      </c>
      <c r="C504" s="46" t="s">
        <v>149</v>
      </c>
      <c r="D504" s="47" t="n">
        <v>45839</v>
      </c>
      <c r="E504" s="46" t="s">
        <v>44</v>
      </c>
      <c r="F504" s="48" t="n">
        <v>91.3748</v>
      </c>
      <c r="G504" s="49" t="n">
        <v>5061.66</v>
      </c>
      <c r="H504" s="50" t="n">
        <f aca="false">F504*G504</f>
        <v>462508.170168</v>
      </c>
    </row>
    <row r="505" customFormat="false" ht="15" hidden="false" customHeight="false" outlineLevel="0" collapsed="false">
      <c r="B505" s="46" t="s">
        <v>145</v>
      </c>
      <c r="C505" s="46" t="s">
        <v>149</v>
      </c>
      <c r="D505" s="47" t="n">
        <v>45839</v>
      </c>
      <c r="E505" s="46" t="s">
        <v>44</v>
      </c>
      <c r="F505" s="48" t="n">
        <v>26.5761</v>
      </c>
      <c r="G505" s="49" t="n">
        <v>9823.65</v>
      </c>
      <c r="H505" s="50" t="n">
        <f aca="false">F505*G505</f>
        <v>261074.304765</v>
      </c>
    </row>
    <row r="506" customFormat="false" ht="15" hidden="false" customHeight="false" outlineLevel="0" collapsed="false">
      <c r="B506" s="46" t="s">
        <v>137</v>
      </c>
      <c r="C506" s="46" t="s">
        <v>149</v>
      </c>
      <c r="D506" s="47" t="n">
        <v>45870</v>
      </c>
      <c r="E506" s="46" t="s">
        <v>44</v>
      </c>
      <c r="F506" s="48" t="n">
        <v>159.2889</v>
      </c>
      <c r="G506" s="49" t="n">
        <v>5604.11</v>
      </c>
      <c r="H506" s="50" t="n">
        <f aca="false">F506*G506</f>
        <v>892672.517379</v>
      </c>
    </row>
    <row r="507" customFormat="false" ht="15" hidden="false" customHeight="false" outlineLevel="0" collapsed="false">
      <c r="B507" s="46" t="s">
        <v>142</v>
      </c>
      <c r="C507" s="46" t="s">
        <v>149</v>
      </c>
      <c r="D507" s="47" t="n">
        <v>45870</v>
      </c>
      <c r="E507" s="46" t="s">
        <v>44</v>
      </c>
      <c r="F507" s="48" t="n">
        <v>163.2244</v>
      </c>
      <c r="G507" s="49" t="n">
        <v>4035.09</v>
      </c>
      <c r="H507" s="50" t="n">
        <f aca="false">F507*G507</f>
        <v>658625.144196</v>
      </c>
    </row>
    <row r="508" customFormat="false" ht="15" hidden="false" customHeight="false" outlineLevel="0" collapsed="false">
      <c r="B508" s="46" t="s">
        <v>143</v>
      </c>
      <c r="C508" s="46" t="s">
        <v>149</v>
      </c>
      <c r="D508" s="47" t="n">
        <v>45870</v>
      </c>
      <c r="E508" s="46" t="s">
        <v>44</v>
      </c>
      <c r="F508" s="48" t="n">
        <v>80.4472</v>
      </c>
      <c r="G508" s="49" t="n">
        <v>7030.26</v>
      </c>
      <c r="H508" s="50" t="n">
        <f aca="false">F508*G508</f>
        <v>565564.732272</v>
      </c>
    </row>
    <row r="509" customFormat="false" ht="15" hidden="false" customHeight="false" outlineLevel="0" collapsed="false">
      <c r="B509" s="46" t="s">
        <v>144</v>
      </c>
      <c r="C509" s="46" t="s">
        <v>149</v>
      </c>
      <c r="D509" s="47" t="n">
        <v>45870</v>
      </c>
      <c r="E509" s="46" t="s">
        <v>44</v>
      </c>
      <c r="F509" s="48" t="n">
        <v>90.5826</v>
      </c>
      <c r="G509" s="49" t="n">
        <v>5077.21</v>
      </c>
      <c r="H509" s="50" t="n">
        <f aca="false">F509*G509</f>
        <v>459906.882546</v>
      </c>
    </row>
    <row r="510" customFormat="false" ht="15" hidden="false" customHeight="false" outlineLevel="0" collapsed="false">
      <c r="B510" s="46" t="s">
        <v>145</v>
      </c>
      <c r="C510" s="46" t="s">
        <v>149</v>
      </c>
      <c r="D510" s="47" t="n">
        <v>45870</v>
      </c>
      <c r="E510" s="46" t="s">
        <v>44</v>
      </c>
      <c r="F510" s="48" t="n">
        <v>28.8365</v>
      </c>
      <c r="G510" s="49" t="n">
        <v>9815.31</v>
      </c>
      <c r="H510" s="50" t="n">
        <f aca="false">F510*G510</f>
        <v>283039.186815</v>
      </c>
    </row>
    <row r="511" customFormat="false" ht="15" hidden="false" customHeight="false" outlineLevel="0" collapsed="false">
      <c r="B511" s="46" t="s">
        <v>137</v>
      </c>
      <c r="C511" s="46" t="s">
        <v>149</v>
      </c>
      <c r="D511" s="47" t="n">
        <v>45901</v>
      </c>
      <c r="E511" s="46" t="s">
        <v>44</v>
      </c>
      <c r="F511" s="48" t="n">
        <v>150.2056</v>
      </c>
      <c r="G511" s="49" t="n">
        <v>5652.93</v>
      </c>
      <c r="H511" s="50" t="n">
        <f aca="false">F511*G511</f>
        <v>849101.742408</v>
      </c>
    </row>
    <row r="512" customFormat="false" ht="15" hidden="false" customHeight="false" outlineLevel="0" collapsed="false">
      <c r="B512" s="46" t="s">
        <v>142</v>
      </c>
      <c r="C512" s="46" t="s">
        <v>149</v>
      </c>
      <c r="D512" s="47" t="n">
        <v>45901</v>
      </c>
      <c r="E512" s="46" t="s">
        <v>44</v>
      </c>
      <c r="F512" s="48" t="n">
        <v>177.0958</v>
      </c>
      <c r="G512" s="49" t="n">
        <v>4078.62</v>
      </c>
      <c r="H512" s="50" t="n">
        <f aca="false">F512*G512</f>
        <v>722306.471796</v>
      </c>
    </row>
    <row r="513" customFormat="false" ht="15" hidden="false" customHeight="false" outlineLevel="0" collapsed="false">
      <c r="B513" s="46" t="s">
        <v>143</v>
      </c>
      <c r="C513" s="46" t="s">
        <v>149</v>
      </c>
      <c r="D513" s="47" t="n">
        <v>45901</v>
      </c>
      <c r="E513" s="46" t="s">
        <v>44</v>
      </c>
      <c r="F513" s="48" t="n">
        <v>73.715</v>
      </c>
      <c r="G513" s="49" t="n">
        <v>7001.21</v>
      </c>
      <c r="H513" s="50" t="n">
        <f aca="false">F513*G513</f>
        <v>516094.19515</v>
      </c>
    </row>
    <row r="514" customFormat="false" ht="15" hidden="false" customHeight="false" outlineLevel="0" collapsed="false">
      <c r="B514" s="46" t="s">
        <v>144</v>
      </c>
      <c r="C514" s="46" t="s">
        <v>149</v>
      </c>
      <c r="D514" s="47" t="n">
        <v>45901</v>
      </c>
      <c r="E514" s="46" t="s">
        <v>44</v>
      </c>
      <c r="F514" s="48" t="n">
        <v>91.4287</v>
      </c>
      <c r="G514" s="49" t="n">
        <v>5027.84</v>
      </c>
      <c r="H514" s="50" t="n">
        <f aca="false">F514*G514</f>
        <v>459688.875008</v>
      </c>
    </row>
    <row r="515" customFormat="false" ht="15" hidden="false" customHeight="false" outlineLevel="0" collapsed="false">
      <c r="B515" s="46" t="s">
        <v>145</v>
      </c>
      <c r="C515" s="46" t="s">
        <v>149</v>
      </c>
      <c r="D515" s="47" t="n">
        <v>45901</v>
      </c>
      <c r="E515" s="46" t="s">
        <v>44</v>
      </c>
      <c r="F515" s="48" t="n">
        <v>28.7016</v>
      </c>
      <c r="G515" s="49" t="n">
        <v>9886.98</v>
      </c>
      <c r="H515" s="50" t="n">
        <f aca="false">F515*G515</f>
        <v>283772.145168</v>
      </c>
    </row>
    <row r="516" customFormat="false" ht="15" hidden="false" customHeight="false" outlineLevel="0" collapsed="false">
      <c r="B516" s="46" t="s">
        <v>137</v>
      </c>
      <c r="C516" s="46" t="s">
        <v>149</v>
      </c>
      <c r="D516" s="47" t="n">
        <v>45931</v>
      </c>
      <c r="E516" s="46" t="s">
        <v>44</v>
      </c>
      <c r="F516" s="48" t="n">
        <v>165.1032</v>
      </c>
      <c r="G516" s="49" t="n">
        <v>5707.84</v>
      </c>
      <c r="H516" s="50" t="n">
        <f aca="false">F516*G516</f>
        <v>942382.649088</v>
      </c>
    </row>
    <row r="517" customFormat="false" ht="15" hidden="false" customHeight="false" outlineLevel="0" collapsed="false">
      <c r="B517" s="46" t="s">
        <v>142</v>
      </c>
      <c r="C517" s="46" t="s">
        <v>149</v>
      </c>
      <c r="D517" s="47" t="n">
        <v>45931</v>
      </c>
      <c r="E517" s="46" t="s">
        <v>44</v>
      </c>
      <c r="F517" s="48" t="n">
        <v>165.6254</v>
      </c>
      <c r="G517" s="49" t="n">
        <v>4070.71</v>
      </c>
      <c r="H517" s="50" t="n">
        <f aca="false">F517*G517</f>
        <v>674212.972034</v>
      </c>
    </row>
    <row r="518" customFormat="false" ht="15" hidden="false" customHeight="false" outlineLevel="0" collapsed="false">
      <c r="B518" s="46" t="s">
        <v>143</v>
      </c>
      <c r="C518" s="46" t="s">
        <v>149</v>
      </c>
      <c r="D518" s="47" t="n">
        <v>45931</v>
      </c>
      <c r="E518" s="46" t="s">
        <v>44</v>
      </c>
      <c r="F518" s="48" t="n">
        <v>75.4069</v>
      </c>
      <c r="G518" s="49" t="n">
        <v>7032.72</v>
      </c>
      <c r="H518" s="50" t="n">
        <f aca="false">F518*G518</f>
        <v>530315.613768</v>
      </c>
    </row>
    <row r="519" customFormat="false" ht="15" hidden="false" customHeight="false" outlineLevel="0" collapsed="false">
      <c r="B519" s="46" t="s">
        <v>144</v>
      </c>
      <c r="C519" s="46" t="s">
        <v>149</v>
      </c>
      <c r="D519" s="47" t="n">
        <v>45931</v>
      </c>
      <c r="E519" s="46" t="s">
        <v>44</v>
      </c>
      <c r="F519" s="48" t="n">
        <v>95.6332</v>
      </c>
      <c r="G519" s="49" t="n">
        <v>5129.59</v>
      </c>
      <c r="H519" s="50" t="n">
        <f aca="false">F519*G519</f>
        <v>490559.106388</v>
      </c>
    </row>
    <row r="520" customFormat="false" ht="15" hidden="false" customHeight="false" outlineLevel="0" collapsed="false">
      <c r="B520" s="46" t="s">
        <v>145</v>
      </c>
      <c r="C520" s="46" t="s">
        <v>149</v>
      </c>
      <c r="D520" s="47" t="n">
        <v>45931</v>
      </c>
      <c r="E520" s="46" t="s">
        <v>44</v>
      </c>
      <c r="F520" s="48" t="n">
        <v>30.3913</v>
      </c>
      <c r="G520" s="49" t="n">
        <v>9853.53</v>
      </c>
      <c r="H520" s="50" t="n">
        <f aca="false">F520*G520</f>
        <v>299461.586289</v>
      </c>
    </row>
    <row r="521" customFormat="false" ht="15" hidden="false" customHeight="false" outlineLevel="0" collapsed="false">
      <c r="B521" s="46" t="s">
        <v>137</v>
      </c>
      <c r="C521" s="46" t="s">
        <v>149</v>
      </c>
      <c r="D521" s="47" t="n">
        <v>45962</v>
      </c>
      <c r="E521" s="46" t="s">
        <v>44</v>
      </c>
      <c r="F521" s="48" t="n">
        <v>148.7699</v>
      </c>
      <c r="G521" s="49" t="n">
        <v>5773.84</v>
      </c>
      <c r="H521" s="50" t="n">
        <f aca="false">F521*G521</f>
        <v>858973.599416</v>
      </c>
    </row>
    <row r="522" customFormat="false" ht="15" hidden="false" customHeight="false" outlineLevel="0" collapsed="false">
      <c r="B522" s="46" t="s">
        <v>142</v>
      </c>
      <c r="C522" s="46" t="s">
        <v>149</v>
      </c>
      <c r="D522" s="47" t="n">
        <v>45962</v>
      </c>
      <c r="E522" s="46" t="s">
        <v>44</v>
      </c>
      <c r="F522" s="48" t="n">
        <v>174.392</v>
      </c>
      <c r="G522" s="49" t="n">
        <v>4138.83</v>
      </c>
      <c r="H522" s="50" t="n">
        <f aca="false">F522*G522</f>
        <v>721778.84136</v>
      </c>
    </row>
    <row r="523" customFormat="false" ht="15" hidden="false" customHeight="false" outlineLevel="0" collapsed="false">
      <c r="B523" s="46" t="s">
        <v>143</v>
      </c>
      <c r="C523" s="46" t="s">
        <v>149</v>
      </c>
      <c r="D523" s="47" t="n">
        <v>45962</v>
      </c>
      <c r="E523" s="46" t="s">
        <v>44</v>
      </c>
      <c r="F523" s="48" t="n">
        <v>77.7506</v>
      </c>
      <c r="G523" s="49" t="n">
        <v>7089.23</v>
      </c>
      <c r="H523" s="50" t="n">
        <f aca="false">F523*G523</f>
        <v>551191.886038</v>
      </c>
    </row>
    <row r="524" customFormat="false" ht="15" hidden="false" customHeight="false" outlineLevel="0" collapsed="false">
      <c r="B524" s="46" t="s">
        <v>144</v>
      </c>
      <c r="C524" s="46" t="s">
        <v>149</v>
      </c>
      <c r="D524" s="47" t="n">
        <v>45962</v>
      </c>
      <c r="E524" s="46" t="s">
        <v>44</v>
      </c>
      <c r="F524" s="48" t="n">
        <v>105.5018</v>
      </c>
      <c r="G524" s="49" t="n">
        <v>5004.02</v>
      </c>
      <c r="H524" s="50" t="n">
        <f aca="false">F524*G524</f>
        <v>527933.117236</v>
      </c>
    </row>
    <row r="525" customFormat="false" ht="15" hidden="false" customHeight="false" outlineLevel="0" collapsed="false">
      <c r="B525" s="46" t="s">
        <v>145</v>
      </c>
      <c r="C525" s="46" t="s">
        <v>149</v>
      </c>
      <c r="D525" s="47" t="n">
        <v>45962</v>
      </c>
      <c r="E525" s="46" t="s">
        <v>44</v>
      </c>
      <c r="F525" s="48" t="n">
        <v>32.4237</v>
      </c>
      <c r="G525" s="49" t="n">
        <v>9795.37</v>
      </c>
      <c r="H525" s="50" t="n">
        <f aca="false">F525*G525</f>
        <v>317602.138269</v>
      </c>
    </row>
    <row r="526" customFormat="false" ht="15" hidden="false" customHeight="false" outlineLevel="0" collapsed="false">
      <c r="B526" s="46" t="s">
        <v>137</v>
      </c>
      <c r="C526" s="46" t="s">
        <v>149</v>
      </c>
      <c r="D526" s="47" t="n">
        <v>45992</v>
      </c>
      <c r="E526" s="46" t="s">
        <v>44</v>
      </c>
      <c r="F526" s="48" t="n">
        <v>154.5172</v>
      </c>
      <c r="G526" s="49" t="n">
        <v>5655.97</v>
      </c>
      <c r="H526" s="50" t="n">
        <f aca="false">F526*G526</f>
        <v>873944.647684</v>
      </c>
    </row>
    <row r="527" customFormat="false" ht="15" hidden="false" customHeight="false" outlineLevel="0" collapsed="false">
      <c r="B527" s="46" t="s">
        <v>142</v>
      </c>
      <c r="C527" s="46" t="s">
        <v>149</v>
      </c>
      <c r="D527" s="47" t="n">
        <v>45992</v>
      </c>
      <c r="E527" s="46" t="s">
        <v>44</v>
      </c>
      <c r="F527" s="48" t="n">
        <v>163.3778</v>
      </c>
      <c r="G527" s="49" t="n">
        <v>4132.58</v>
      </c>
      <c r="H527" s="50" t="n">
        <f aca="false">F527*G527</f>
        <v>675171.828724</v>
      </c>
    </row>
    <row r="528" customFormat="false" ht="15" hidden="false" customHeight="false" outlineLevel="0" collapsed="false">
      <c r="B528" s="46" t="s">
        <v>143</v>
      </c>
      <c r="C528" s="46" t="s">
        <v>149</v>
      </c>
      <c r="D528" s="47" t="n">
        <v>45992</v>
      </c>
      <c r="E528" s="46" t="s">
        <v>44</v>
      </c>
      <c r="F528" s="48" t="n">
        <v>81.8162</v>
      </c>
      <c r="G528" s="49" t="n">
        <v>7190.08</v>
      </c>
      <c r="H528" s="50" t="n">
        <f aca="false">F528*G528</f>
        <v>588265.023296</v>
      </c>
    </row>
    <row r="529" customFormat="false" ht="15" hidden="false" customHeight="false" outlineLevel="0" collapsed="false">
      <c r="B529" s="46" t="s">
        <v>144</v>
      </c>
      <c r="C529" s="46" t="s">
        <v>149</v>
      </c>
      <c r="D529" s="47" t="n">
        <v>45992</v>
      </c>
      <c r="E529" s="46" t="s">
        <v>44</v>
      </c>
      <c r="F529" s="48" t="n">
        <v>96.838</v>
      </c>
      <c r="G529" s="49" t="n">
        <v>5050.61</v>
      </c>
      <c r="H529" s="50" t="n">
        <f aca="false">F529*G529</f>
        <v>489090.97118</v>
      </c>
    </row>
    <row r="530" customFormat="false" ht="15" hidden="false" customHeight="false" outlineLevel="0" collapsed="false">
      <c r="B530" s="46" t="s">
        <v>145</v>
      </c>
      <c r="C530" s="46" t="s">
        <v>149</v>
      </c>
      <c r="D530" s="47" t="n">
        <v>45992</v>
      </c>
      <c r="E530" s="46" t="s">
        <v>44</v>
      </c>
      <c r="F530" s="48" t="n">
        <v>30.5389</v>
      </c>
      <c r="G530" s="49" t="n">
        <v>9883.72</v>
      </c>
      <c r="H530" s="50" t="n">
        <f aca="false">F530*G530</f>
        <v>301837.936708</v>
      </c>
    </row>
    <row r="531" customFormat="false" ht="15" hidden="false" customHeight="false" outlineLevel="0" collapsed="false">
      <c r="B531" s="46" t="s">
        <v>137</v>
      </c>
      <c r="C531" s="46" t="s">
        <v>149</v>
      </c>
      <c r="D531" s="47" t="n">
        <v>46023</v>
      </c>
      <c r="E531" s="46" t="s">
        <v>44</v>
      </c>
      <c r="F531" s="48" t="n">
        <v>151.6441</v>
      </c>
      <c r="G531" s="49" t="n">
        <v>5673.56</v>
      </c>
      <c r="H531" s="50" t="n">
        <f aca="false">F531*G531</f>
        <v>860361.899996</v>
      </c>
    </row>
    <row r="532" customFormat="false" ht="15" hidden="false" customHeight="false" outlineLevel="0" collapsed="false">
      <c r="B532" s="46" t="s">
        <v>142</v>
      </c>
      <c r="C532" s="46" t="s">
        <v>149</v>
      </c>
      <c r="D532" s="47" t="n">
        <v>46023</v>
      </c>
      <c r="E532" s="46" t="s">
        <v>44</v>
      </c>
      <c r="F532" s="48" t="n">
        <v>158.404</v>
      </c>
      <c r="G532" s="49" t="n">
        <v>4126.8</v>
      </c>
      <c r="H532" s="50" t="n">
        <f aca="false">F532*G532</f>
        <v>653701.6272</v>
      </c>
    </row>
    <row r="533" customFormat="false" ht="15" hidden="false" customHeight="false" outlineLevel="0" collapsed="false">
      <c r="B533" s="46" t="s">
        <v>143</v>
      </c>
      <c r="C533" s="46" t="s">
        <v>149</v>
      </c>
      <c r="D533" s="47" t="n">
        <v>46023</v>
      </c>
      <c r="E533" s="46" t="s">
        <v>44</v>
      </c>
      <c r="F533" s="48" t="n">
        <v>79.6175</v>
      </c>
      <c r="G533" s="49" t="n">
        <v>7176.88</v>
      </c>
      <c r="H533" s="50" t="n">
        <f aca="false">F533*G533</f>
        <v>571405.2434</v>
      </c>
    </row>
    <row r="534" customFormat="false" ht="15" hidden="false" customHeight="false" outlineLevel="0" collapsed="false">
      <c r="B534" s="46" t="s">
        <v>144</v>
      </c>
      <c r="C534" s="46" t="s">
        <v>149</v>
      </c>
      <c r="D534" s="47" t="n">
        <v>46023</v>
      </c>
      <c r="E534" s="46" t="s">
        <v>44</v>
      </c>
      <c r="F534" s="48" t="n">
        <v>98.3112</v>
      </c>
      <c r="G534" s="49" t="n">
        <v>5092.14</v>
      </c>
      <c r="H534" s="50" t="n">
        <f aca="false">F534*G534</f>
        <v>500614.393968</v>
      </c>
    </row>
    <row r="535" customFormat="false" ht="15" hidden="false" customHeight="false" outlineLevel="0" collapsed="false">
      <c r="B535" s="46" t="s">
        <v>145</v>
      </c>
      <c r="C535" s="46" t="s">
        <v>149</v>
      </c>
      <c r="D535" s="47" t="n">
        <v>46023</v>
      </c>
      <c r="E535" s="46" t="s">
        <v>44</v>
      </c>
      <c r="F535" s="48" t="n">
        <v>29.562</v>
      </c>
      <c r="G535" s="49" t="n">
        <v>9958.48</v>
      </c>
      <c r="H535" s="50" t="n">
        <f aca="false">F535*G535</f>
        <v>294392.58576</v>
      </c>
    </row>
    <row r="536" customFormat="false" ht="15" hidden="false" customHeight="false" outlineLevel="0" collapsed="false">
      <c r="B536" s="46" t="s">
        <v>137</v>
      </c>
      <c r="C536" s="46" t="s">
        <v>149</v>
      </c>
      <c r="D536" s="47" t="n">
        <v>46054</v>
      </c>
      <c r="E536" s="46" t="s">
        <v>44</v>
      </c>
      <c r="F536" s="48" t="n">
        <v>152.0684</v>
      </c>
      <c r="G536" s="49" t="n">
        <v>5738.88</v>
      </c>
      <c r="H536" s="50" t="n">
        <f aca="false">F536*G536</f>
        <v>872702.299392</v>
      </c>
    </row>
    <row r="537" customFormat="false" ht="15" hidden="false" customHeight="false" outlineLevel="0" collapsed="false">
      <c r="B537" s="46" t="s">
        <v>142</v>
      </c>
      <c r="C537" s="46" t="s">
        <v>149</v>
      </c>
      <c r="D537" s="47" t="n">
        <v>46054</v>
      </c>
      <c r="E537" s="46" t="s">
        <v>44</v>
      </c>
      <c r="F537" s="48" t="n">
        <v>166.0349</v>
      </c>
      <c r="G537" s="49" t="n">
        <v>4060.84</v>
      </c>
      <c r="H537" s="50" t="n">
        <f aca="false">F537*G537</f>
        <v>674241.163316</v>
      </c>
    </row>
    <row r="538" customFormat="false" ht="15" hidden="false" customHeight="false" outlineLevel="0" collapsed="false">
      <c r="B538" s="46" t="s">
        <v>143</v>
      </c>
      <c r="C538" s="46" t="s">
        <v>149</v>
      </c>
      <c r="D538" s="47" t="n">
        <v>46054</v>
      </c>
      <c r="E538" s="46" t="s">
        <v>44</v>
      </c>
      <c r="F538" s="48" t="n">
        <v>85.966</v>
      </c>
      <c r="G538" s="49" t="n">
        <v>7259.4</v>
      </c>
      <c r="H538" s="50" t="n">
        <f aca="false">F538*G538</f>
        <v>624061.5804</v>
      </c>
    </row>
    <row r="539" customFormat="false" ht="15" hidden="false" customHeight="false" outlineLevel="0" collapsed="false">
      <c r="B539" s="46" t="s">
        <v>144</v>
      </c>
      <c r="C539" s="46" t="s">
        <v>149</v>
      </c>
      <c r="D539" s="47" t="n">
        <v>46054</v>
      </c>
      <c r="E539" s="46" t="s">
        <v>44</v>
      </c>
      <c r="F539" s="48" t="n">
        <v>92.008</v>
      </c>
      <c r="G539" s="49" t="n">
        <v>5174.9</v>
      </c>
      <c r="H539" s="50" t="n">
        <f aca="false">F539*G539</f>
        <v>476132.1992</v>
      </c>
    </row>
    <row r="540" customFormat="false" ht="15" hidden="false" customHeight="false" outlineLevel="0" collapsed="false">
      <c r="B540" s="46" t="s">
        <v>145</v>
      </c>
      <c r="C540" s="46" t="s">
        <v>149</v>
      </c>
      <c r="D540" s="47" t="n">
        <v>46054</v>
      </c>
      <c r="E540" s="46" t="s">
        <v>44</v>
      </c>
      <c r="F540" s="48" t="n">
        <v>27.0295</v>
      </c>
      <c r="G540" s="49" t="n">
        <v>9894.74</v>
      </c>
      <c r="H540" s="50" t="n">
        <f aca="false">F540*G540</f>
        <v>267449.87483</v>
      </c>
    </row>
    <row r="541" customFormat="false" ht="15" hidden="false" customHeight="false" outlineLevel="0" collapsed="false">
      <c r="B541" s="46" t="s">
        <v>137</v>
      </c>
      <c r="C541" s="46" t="s">
        <v>149</v>
      </c>
      <c r="D541" s="47" t="n">
        <v>46082</v>
      </c>
      <c r="E541" s="46" t="s">
        <v>44</v>
      </c>
      <c r="F541" s="48" t="n">
        <v>172.4037</v>
      </c>
      <c r="G541" s="49" t="n">
        <v>5783.02</v>
      </c>
      <c r="H541" s="50" t="n">
        <f aca="false">F541*G541</f>
        <v>997014.045174</v>
      </c>
    </row>
    <row r="542" customFormat="false" ht="15" hidden="false" customHeight="false" outlineLevel="0" collapsed="false">
      <c r="B542" s="46" t="s">
        <v>142</v>
      </c>
      <c r="C542" s="46" t="s">
        <v>149</v>
      </c>
      <c r="D542" s="47" t="n">
        <v>46082</v>
      </c>
      <c r="E542" s="46" t="s">
        <v>44</v>
      </c>
      <c r="F542" s="48" t="n">
        <v>169.0022</v>
      </c>
      <c r="G542" s="49" t="n">
        <v>4192.47</v>
      </c>
      <c r="H542" s="50" t="n">
        <f aca="false">F542*G542</f>
        <v>708536.653434</v>
      </c>
    </row>
    <row r="543" customFormat="false" ht="15" hidden="false" customHeight="false" outlineLevel="0" collapsed="false">
      <c r="B543" s="46" t="s">
        <v>143</v>
      </c>
      <c r="C543" s="46" t="s">
        <v>149</v>
      </c>
      <c r="D543" s="47" t="n">
        <v>46082</v>
      </c>
      <c r="E543" s="46" t="s">
        <v>44</v>
      </c>
      <c r="F543" s="48" t="n">
        <v>77.4345</v>
      </c>
      <c r="G543" s="49" t="n">
        <v>7198.53</v>
      </c>
      <c r="H543" s="50" t="n">
        <f aca="false">F543*G543</f>
        <v>557414.571285</v>
      </c>
    </row>
    <row r="544" customFormat="false" ht="15" hidden="false" customHeight="false" outlineLevel="0" collapsed="false">
      <c r="B544" s="46" t="s">
        <v>144</v>
      </c>
      <c r="C544" s="46" t="s">
        <v>149</v>
      </c>
      <c r="D544" s="47" t="n">
        <v>46082</v>
      </c>
      <c r="E544" s="46" t="s">
        <v>44</v>
      </c>
      <c r="F544" s="48" t="n">
        <v>107.8714</v>
      </c>
      <c r="G544" s="49" t="n">
        <v>5197.67</v>
      </c>
      <c r="H544" s="50" t="n">
        <f aca="false">F544*G544</f>
        <v>560679.939638</v>
      </c>
    </row>
    <row r="545" customFormat="false" ht="15" hidden="false" customHeight="false" outlineLevel="0" collapsed="false">
      <c r="B545" s="46" t="s">
        <v>145</v>
      </c>
      <c r="C545" s="46" t="s">
        <v>149</v>
      </c>
      <c r="D545" s="47" t="n">
        <v>46082</v>
      </c>
      <c r="E545" s="46" t="s">
        <v>44</v>
      </c>
      <c r="F545" s="48" t="n">
        <v>28.6124</v>
      </c>
      <c r="G545" s="49" t="n">
        <v>9994.29</v>
      </c>
      <c r="H545" s="50" t="n">
        <f aca="false">F545*G545</f>
        <v>285960.623196</v>
      </c>
    </row>
    <row r="546" customFormat="false" ht="15" hidden="false" customHeight="false" outlineLevel="0" collapsed="false">
      <c r="B546" s="46" t="s">
        <v>137</v>
      </c>
      <c r="C546" s="46" t="s">
        <v>150</v>
      </c>
      <c r="D546" s="47" t="n">
        <v>45017</v>
      </c>
      <c r="E546" s="46" t="s">
        <v>42</v>
      </c>
      <c r="F546" s="48" t="n">
        <v>111.6345</v>
      </c>
      <c r="G546" s="49" t="n">
        <v>5118.67</v>
      </c>
      <c r="H546" s="50" t="n">
        <f aca="false">F546*G546</f>
        <v>571420.166115</v>
      </c>
    </row>
    <row r="547" customFormat="false" ht="15" hidden="false" customHeight="false" outlineLevel="0" collapsed="false">
      <c r="B547" s="46" t="s">
        <v>142</v>
      </c>
      <c r="C547" s="46" t="s">
        <v>150</v>
      </c>
      <c r="D547" s="47" t="n">
        <v>45017</v>
      </c>
      <c r="E547" s="46" t="s">
        <v>42</v>
      </c>
      <c r="F547" s="48" t="n">
        <v>111.351</v>
      </c>
      <c r="G547" s="49" t="n">
        <v>3869.01</v>
      </c>
      <c r="H547" s="50" t="n">
        <f aca="false">F547*G547</f>
        <v>430818.13251</v>
      </c>
    </row>
    <row r="548" customFormat="false" ht="15" hidden="false" customHeight="false" outlineLevel="0" collapsed="false">
      <c r="B548" s="46" t="s">
        <v>143</v>
      </c>
      <c r="C548" s="46" t="s">
        <v>150</v>
      </c>
      <c r="D548" s="47" t="n">
        <v>45017</v>
      </c>
      <c r="E548" s="46" t="s">
        <v>42</v>
      </c>
      <c r="F548" s="48" t="n">
        <v>52.891</v>
      </c>
      <c r="G548" s="49" t="n">
        <v>6353.77</v>
      </c>
      <c r="H548" s="50" t="n">
        <f aca="false">F548*G548</f>
        <v>336057.24907</v>
      </c>
    </row>
    <row r="549" customFormat="false" ht="15" hidden="false" customHeight="false" outlineLevel="0" collapsed="false">
      <c r="B549" s="46" t="s">
        <v>144</v>
      </c>
      <c r="C549" s="46" t="s">
        <v>150</v>
      </c>
      <c r="D549" s="47" t="n">
        <v>45017</v>
      </c>
      <c r="E549" s="46" t="s">
        <v>42</v>
      </c>
      <c r="F549" s="48" t="n">
        <v>53.0907</v>
      </c>
      <c r="G549" s="49" t="n">
        <v>4653.93</v>
      </c>
      <c r="H549" s="50" t="n">
        <f aca="false">F549*G549</f>
        <v>247080.401451</v>
      </c>
    </row>
    <row r="550" customFormat="false" ht="15" hidden="false" customHeight="false" outlineLevel="0" collapsed="false">
      <c r="B550" s="46" t="s">
        <v>145</v>
      </c>
      <c r="C550" s="46" t="s">
        <v>150</v>
      </c>
      <c r="D550" s="47" t="n">
        <v>45017</v>
      </c>
      <c r="E550" s="46" t="s">
        <v>42</v>
      </c>
      <c r="F550" s="48" t="n">
        <v>19.7913</v>
      </c>
      <c r="G550" s="49" t="n">
        <v>8730.76</v>
      </c>
      <c r="H550" s="50" t="n">
        <f aca="false">F550*G550</f>
        <v>172793.090388</v>
      </c>
    </row>
    <row r="551" customFormat="false" ht="15" hidden="false" customHeight="false" outlineLevel="0" collapsed="false">
      <c r="B551" s="46" t="s">
        <v>137</v>
      </c>
      <c r="C551" s="46" t="s">
        <v>150</v>
      </c>
      <c r="D551" s="47" t="n">
        <v>45047</v>
      </c>
      <c r="E551" s="46" t="s">
        <v>42</v>
      </c>
      <c r="F551" s="48" t="n">
        <v>111.8503</v>
      </c>
      <c r="G551" s="49" t="n">
        <v>5188.92</v>
      </c>
      <c r="H551" s="50" t="n">
        <f aca="false">F551*G551</f>
        <v>580382.258676</v>
      </c>
    </row>
    <row r="552" customFormat="false" ht="15" hidden="false" customHeight="false" outlineLevel="0" collapsed="false">
      <c r="B552" s="46" t="s">
        <v>142</v>
      </c>
      <c r="C552" s="46" t="s">
        <v>150</v>
      </c>
      <c r="D552" s="47" t="n">
        <v>45047</v>
      </c>
      <c r="E552" s="46" t="s">
        <v>42</v>
      </c>
      <c r="F552" s="48" t="n">
        <v>101.199</v>
      </c>
      <c r="G552" s="49" t="n">
        <v>3919.29</v>
      </c>
      <c r="H552" s="50" t="n">
        <f aca="false">F552*G552</f>
        <v>396628.22871</v>
      </c>
    </row>
    <row r="553" customFormat="false" ht="15" hidden="false" customHeight="false" outlineLevel="0" collapsed="false">
      <c r="B553" s="46" t="s">
        <v>143</v>
      </c>
      <c r="C553" s="46" t="s">
        <v>150</v>
      </c>
      <c r="D553" s="47" t="n">
        <v>45047</v>
      </c>
      <c r="E553" s="46" t="s">
        <v>42</v>
      </c>
      <c r="F553" s="48" t="n">
        <v>55.5842</v>
      </c>
      <c r="G553" s="49" t="n">
        <v>6305.61</v>
      </c>
      <c r="H553" s="50" t="n">
        <f aca="false">F553*G553</f>
        <v>350492.287362</v>
      </c>
    </row>
    <row r="554" customFormat="false" ht="15" hidden="false" customHeight="false" outlineLevel="0" collapsed="false">
      <c r="B554" s="46" t="s">
        <v>144</v>
      </c>
      <c r="C554" s="46" t="s">
        <v>150</v>
      </c>
      <c r="D554" s="47" t="n">
        <v>45047</v>
      </c>
      <c r="E554" s="46" t="s">
        <v>42</v>
      </c>
      <c r="F554" s="48" t="n">
        <v>55.6135</v>
      </c>
      <c r="G554" s="49" t="n">
        <v>4672.97</v>
      </c>
      <c r="H554" s="50" t="n">
        <f aca="false">F554*G554</f>
        <v>259880.217095</v>
      </c>
    </row>
    <row r="555" customFormat="false" ht="15" hidden="false" customHeight="false" outlineLevel="0" collapsed="false">
      <c r="B555" s="46" t="s">
        <v>145</v>
      </c>
      <c r="C555" s="46" t="s">
        <v>150</v>
      </c>
      <c r="D555" s="47" t="n">
        <v>45047</v>
      </c>
      <c r="E555" s="46" t="s">
        <v>42</v>
      </c>
      <c r="F555" s="48" t="n">
        <v>19.2443</v>
      </c>
      <c r="G555" s="49" t="n">
        <v>8844</v>
      </c>
      <c r="H555" s="50" t="n">
        <f aca="false">F555*G555</f>
        <v>170196.5892</v>
      </c>
    </row>
    <row r="556" customFormat="false" ht="15" hidden="false" customHeight="false" outlineLevel="0" collapsed="false">
      <c r="B556" s="46" t="s">
        <v>137</v>
      </c>
      <c r="C556" s="46" t="s">
        <v>150</v>
      </c>
      <c r="D556" s="47" t="n">
        <v>45078</v>
      </c>
      <c r="E556" s="46" t="s">
        <v>42</v>
      </c>
      <c r="F556" s="48" t="n">
        <v>98.3134</v>
      </c>
      <c r="G556" s="49" t="n">
        <v>5226.23</v>
      </c>
      <c r="H556" s="50" t="n">
        <f aca="false">F556*G556</f>
        <v>513808.440482</v>
      </c>
    </row>
    <row r="557" customFormat="false" ht="15" hidden="false" customHeight="false" outlineLevel="0" collapsed="false">
      <c r="B557" s="46" t="s">
        <v>142</v>
      </c>
      <c r="C557" s="46" t="s">
        <v>150</v>
      </c>
      <c r="D557" s="47" t="n">
        <v>45078</v>
      </c>
      <c r="E557" s="46" t="s">
        <v>42</v>
      </c>
      <c r="F557" s="48" t="n">
        <v>116.5376</v>
      </c>
      <c r="G557" s="49" t="n">
        <v>3949.49</v>
      </c>
      <c r="H557" s="50" t="n">
        <f aca="false">F557*G557</f>
        <v>460264.085824</v>
      </c>
    </row>
    <row r="558" customFormat="false" ht="15" hidden="false" customHeight="false" outlineLevel="0" collapsed="false">
      <c r="B558" s="46" t="s">
        <v>143</v>
      </c>
      <c r="C558" s="46" t="s">
        <v>150</v>
      </c>
      <c r="D558" s="47" t="n">
        <v>45078</v>
      </c>
      <c r="E558" s="46" t="s">
        <v>42</v>
      </c>
      <c r="F558" s="48" t="n">
        <v>56.5404</v>
      </c>
      <c r="G558" s="49" t="n">
        <v>6561.28</v>
      </c>
      <c r="H558" s="50" t="n">
        <f aca="false">F558*G558</f>
        <v>370977.395712</v>
      </c>
    </row>
    <row r="559" customFormat="false" ht="15" hidden="false" customHeight="false" outlineLevel="0" collapsed="false">
      <c r="B559" s="46" t="s">
        <v>144</v>
      </c>
      <c r="C559" s="46" t="s">
        <v>150</v>
      </c>
      <c r="D559" s="47" t="n">
        <v>45078</v>
      </c>
      <c r="E559" s="46" t="s">
        <v>42</v>
      </c>
      <c r="F559" s="48" t="n">
        <v>56.3872</v>
      </c>
      <c r="G559" s="49" t="n">
        <v>4766.19</v>
      </c>
      <c r="H559" s="50" t="n">
        <f aca="false">F559*G559</f>
        <v>268752.108768</v>
      </c>
    </row>
    <row r="560" customFormat="false" ht="15" hidden="false" customHeight="false" outlineLevel="0" collapsed="false">
      <c r="B560" s="46" t="s">
        <v>145</v>
      </c>
      <c r="C560" s="46" t="s">
        <v>150</v>
      </c>
      <c r="D560" s="47" t="n">
        <v>45078</v>
      </c>
      <c r="E560" s="46" t="s">
        <v>42</v>
      </c>
      <c r="F560" s="48" t="n">
        <v>19.7866</v>
      </c>
      <c r="G560" s="49" t="n">
        <v>8910.78</v>
      </c>
      <c r="H560" s="50" t="n">
        <f aca="false">F560*G560</f>
        <v>176314.039548</v>
      </c>
    </row>
    <row r="561" customFormat="false" ht="15" hidden="false" customHeight="false" outlineLevel="0" collapsed="false">
      <c r="B561" s="46" t="s">
        <v>137</v>
      </c>
      <c r="C561" s="46" t="s">
        <v>150</v>
      </c>
      <c r="D561" s="47" t="n">
        <v>45108</v>
      </c>
      <c r="E561" s="46" t="s">
        <v>42</v>
      </c>
      <c r="F561" s="48" t="n">
        <v>115.9234</v>
      </c>
      <c r="G561" s="49" t="n">
        <v>5279.6</v>
      </c>
      <c r="H561" s="50" t="n">
        <f aca="false">F561*G561</f>
        <v>612029.18264</v>
      </c>
    </row>
    <row r="562" customFormat="false" ht="15" hidden="false" customHeight="false" outlineLevel="0" collapsed="false">
      <c r="B562" s="46" t="s">
        <v>142</v>
      </c>
      <c r="C562" s="46" t="s">
        <v>150</v>
      </c>
      <c r="D562" s="47" t="n">
        <v>45108</v>
      </c>
      <c r="E562" s="46" t="s">
        <v>42</v>
      </c>
      <c r="F562" s="48" t="n">
        <v>111.9272</v>
      </c>
      <c r="G562" s="49" t="n">
        <v>3944.58</v>
      </c>
      <c r="H562" s="50" t="n">
        <f aca="false">F562*G562</f>
        <v>441505.794576</v>
      </c>
    </row>
    <row r="563" customFormat="false" ht="15" hidden="false" customHeight="false" outlineLevel="0" collapsed="false">
      <c r="B563" s="46" t="s">
        <v>143</v>
      </c>
      <c r="C563" s="46" t="s">
        <v>150</v>
      </c>
      <c r="D563" s="47" t="n">
        <v>45108</v>
      </c>
      <c r="E563" s="46" t="s">
        <v>42</v>
      </c>
      <c r="F563" s="48" t="n">
        <v>48.9827</v>
      </c>
      <c r="G563" s="49" t="n">
        <v>6446.73</v>
      </c>
      <c r="H563" s="50" t="n">
        <f aca="false">F563*G563</f>
        <v>315778.241571</v>
      </c>
    </row>
    <row r="564" customFormat="false" ht="15" hidden="false" customHeight="false" outlineLevel="0" collapsed="false">
      <c r="B564" s="46" t="s">
        <v>144</v>
      </c>
      <c r="C564" s="46" t="s">
        <v>150</v>
      </c>
      <c r="D564" s="47" t="n">
        <v>45108</v>
      </c>
      <c r="E564" s="46" t="s">
        <v>42</v>
      </c>
      <c r="F564" s="48" t="n">
        <v>52.832</v>
      </c>
      <c r="G564" s="49" t="n">
        <v>4742.48</v>
      </c>
      <c r="H564" s="50" t="n">
        <f aca="false">F564*G564</f>
        <v>250554.70336</v>
      </c>
    </row>
    <row r="565" customFormat="false" ht="15" hidden="false" customHeight="false" outlineLevel="0" collapsed="false">
      <c r="B565" s="46" t="s">
        <v>145</v>
      </c>
      <c r="C565" s="46" t="s">
        <v>150</v>
      </c>
      <c r="D565" s="47" t="n">
        <v>45108</v>
      </c>
      <c r="E565" s="46" t="s">
        <v>42</v>
      </c>
      <c r="F565" s="48" t="n">
        <v>20.1313</v>
      </c>
      <c r="G565" s="49" t="n">
        <v>8811.95</v>
      </c>
      <c r="H565" s="50" t="n">
        <f aca="false">F565*G565</f>
        <v>177396.009035</v>
      </c>
    </row>
    <row r="566" customFormat="false" ht="15" hidden="false" customHeight="false" outlineLevel="0" collapsed="false">
      <c r="B566" s="46" t="s">
        <v>137</v>
      </c>
      <c r="C566" s="46" t="s">
        <v>150</v>
      </c>
      <c r="D566" s="47" t="n">
        <v>45139</v>
      </c>
      <c r="E566" s="46" t="s">
        <v>42</v>
      </c>
      <c r="F566" s="48" t="n">
        <v>115.0591</v>
      </c>
      <c r="G566" s="49" t="n">
        <v>5301.49</v>
      </c>
      <c r="H566" s="50" t="n">
        <f aca="false">F566*G566</f>
        <v>609984.668059</v>
      </c>
    </row>
    <row r="567" customFormat="false" ht="15" hidden="false" customHeight="false" outlineLevel="0" collapsed="false">
      <c r="B567" s="46" t="s">
        <v>142</v>
      </c>
      <c r="C567" s="46" t="s">
        <v>150</v>
      </c>
      <c r="D567" s="47" t="n">
        <v>45139</v>
      </c>
      <c r="E567" s="46" t="s">
        <v>42</v>
      </c>
      <c r="F567" s="48" t="n">
        <v>112.7179</v>
      </c>
      <c r="G567" s="49" t="n">
        <v>3922.23</v>
      </c>
      <c r="H567" s="50" t="n">
        <f aca="false">F567*G567</f>
        <v>442105.528917</v>
      </c>
    </row>
    <row r="568" customFormat="false" ht="15" hidden="false" customHeight="false" outlineLevel="0" collapsed="false">
      <c r="B568" s="46" t="s">
        <v>143</v>
      </c>
      <c r="C568" s="46" t="s">
        <v>150</v>
      </c>
      <c r="D568" s="47" t="n">
        <v>45139</v>
      </c>
      <c r="E568" s="46" t="s">
        <v>42</v>
      </c>
      <c r="F568" s="48" t="n">
        <v>56.7262</v>
      </c>
      <c r="G568" s="49" t="n">
        <v>6456.86</v>
      </c>
      <c r="H568" s="50" t="n">
        <f aca="false">F568*G568</f>
        <v>366273.131732</v>
      </c>
    </row>
    <row r="569" customFormat="false" ht="15" hidden="false" customHeight="false" outlineLevel="0" collapsed="false">
      <c r="B569" s="46" t="s">
        <v>144</v>
      </c>
      <c r="C569" s="46" t="s">
        <v>150</v>
      </c>
      <c r="D569" s="47" t="n">
        <v>45139</v>
      </c>
      <c r="E569" s="46" t="s">
        <v>42</v>
      </c>
      <c r="F569" s="48" t="n">
        <v>57.8325</v>
      </c>
      <c r="G569" s="49" t="n">
        <v>4753.33</v>
      </c>
      <c r="H569" s="50" t="n">
        <f aca="false">F569*G569</f>
        <v>274896.957225</v>
      </c>
    </row>
    <row r="570" customFormat="false" ht="15" hidden="false" customHeight="false" outlineLevel="0" collapsed="false">
      <c r="B570" s="46" t="s">
        <v>145</v>
      </c>
      <c r="C570" s="46" t="s">
        <v>150</v>
      </c>
      <c r="D570" s="47" t="n">
        <v>45139</v>
      </c>
      <c r="E570" s="46" t="s">
        <v>42</v>
      </c>
      <c r="F570" s="48" t="n">
        <v>21.1233</v>
      </c>
      <c r="G570" s="49" t="n">
        <v>8956.98</v>
      </c>
      <c r="H570" s="50" t="n">
        <f aca="false">F570*G570</f>
        <v>189200.975634</v>
      </c>
    </row>
    <row r="571" customFormat="false" ht="15" hidden="false" customHeight="false" outlineLevel="0" collapsed="false">
      <c r="B571" s="46" t="s">
        <v>137</v>
      </c>
      <c r="C571" s="46" t="s">
        <v>150</v>
      </c>
      <c r="D571" s="47" t="n">
        <v>45170</v>
      </c>
      <c r="E571" s="46" t="s">
        <v>42</v>
      </c>
      <c r="F571" s="48" t="n">
        <v>111.5562</v>
      </c>
      <c r="G571" s="49" t="n">
        <v>5228.7</v>
      </c>
      <c r="H571" s="50" t="n">
        <f aca="false">F571*G571</f>
        <v>583293.90294</v>
      </c>
    </row>
    <row r="572" customFormat="false" ht="15" hidden="false" customHeight="false" outlineLevel="0" collapsed="false">
      <c r="B572" s="46" t="s">
        <v>142</v>
      </c>
      <c r="C572" s="46" t="s">
        <v>150</v>
      </c>
      <c r="D572" s="47" t="n">
        <v>45170</v>
      </c>
      <c r="E572" s="46" t="s">
        <v>42</v>
      </c>
      <c r="F572" s="48" t="n">
        <v>115.2281</v>
      </c>
      <c r="G572" s="49" t="n">
        <v>3818.58</v>
      </c>
      <c r="H572" s="50" t="n">
        <f aca="false">F572*G572</f>
        <v>440007.718098</v>
      </c>
    </row>
    <row r="573" customFormat="false" ht="15" hidden="false" customHeight="false" outlineLevel="0" collapsed="false">
      <c r="B573" s="46" t="s">
        <v>143</v>
      </c>
      <c r="C573" s="46" t="s">
        <v>150</v>
      </c>
      <c r="D573" s="47" t="n">
        <v>45170</v>
      </c>
      <c r="E573" s="46" t="s">
        <v>42</v>
      </c>
      <c r="F573" s="48" t="n">
        <v>57.1312</v>
      </c>
      <c r="G573" s="49" t="n">
        <v>6513.29</v>
      </c>
      <c r="H573" s="50" t="n">
        <f aca="false">F573*G573</f>
        <v>372112.073648</v>
      </c>
    </row>
    <row r="574" customFormat="false" ht="15" hidden="false" customHeight="false" outlineLevel="0" collapsed="false">
      <c r="B574" s="46" t="s">
        <v>144</v>
      </c>
      <c r="C574" s="46" t="s">
        <v>150</v>
      </c>
      <c r="D574" s="47" t="n">
        <v>45170</v>
      </c>
      <c r="E574" s="46" t="s">
        <v>42</v>
      </c>
      <c r="F574" s="48" t="n">
        <v>57.0351</v>
      </c>
      <c r="G574" s="49" t="n">
        <v>4700.44</v>
      </c>
      <c r="H574" s="50" t="n">
        <f aca="false">F574*G574</f>
        <v>268090.065444</v>
      </c>
    </row>
    <row r="575" customFormat="false" ht="15" hidden="false" customHeight="false" outlineLevel="0" collapsed="false">
      <c r="B575" s="46" t="s">
        <v>145</v>
      </c>
      <c r="C575" s="46" t="s">
        <v>150</v>
      </c>
      <c r="D575" s="47" t="n">
        <v>45170</v>
      </c>
      <c r="E575" s="46" t="s">
        <v>42</v>
      </c>
      <c r="F575" s="48" t="n">
        <v>19.5418</v>
      </c>
      <c r="G575" s="49" t="n">
        <v>8791.06</v>
      </c>
      <c r="H575" s="50" t="n">
        <f aca="false">F575*G575</f>
        <v>171793.136308</v>
      </c>
    </row>
    <row r="576" customFormat="false" ht="15" hidden="false" customHeight="false" outlineLevel="0" collapsed="false">
      <c r="B576" s="46" t="s">
        <v>137</v>
      </c>
      <c r="C576" s="46" t="s">
        <v>150</v>
      </c>
      <c r="D576" s="47" t="n">
        <v>45200</v>
      </c>
      <c r="E576" s="46" t="s">
        <v>42</v>
      </c>
      <c r="F576" s="48" t="n">
        <v>114.4373</v>
      </c>
      <c r="G576" s="49" t="n">
        <v>5268.07</v>
      </c>
      <c r="H576" s="50" t="n">
        <f aca="false">F576*G576</f>
        <v>602863.707011</v>
      </c>
    </row>
    <row r="577" customFormat="false" ht="15" hidden="false" customHeight="false" outlineLevel="0" collapsed="false">
      <c r="B577" s="46" t="s">
        <v>142</v>
      </c>
      <c r="C577" s="46" t="s">
        <v>150</v>
      </c>
      <c r="D577" s="47" t="n">
        <v>45200</v>
      </c>
      <c r="E577" s="46" t="s">
        <v>42</v>
      </c>
      <c r="F577" s="48" t="n">
        <v>111.7112</v>
      </c>
      <c r="G577" s="49" t="n">
        <v>3883.75</v>
      </c>
      <c r="H577" s="50" t="n">
        <f aca="false">F577*G577</f>
        <v>433858.373</v>
      </c>
    </row>
    <row r="578" customFormat="false" ht="15" hidden="false" customHeight="false" outlineLevel="0" collapsed="false">
      <c r="B578" s="46" t="s">
        <v>143</v>
      </c>
      <c r="C578" s="46" t="s">
        <v>150</v>
      </c>
      <c r="D578" s="47" t="n">
        <v>45200</v>
      </c>
      <c r="E578" s="46" t="s">
        <v>42</v>
      </c>
      <c r="F578" s="48" t="n">
        <v>61.6438</v>
      </c>
      <c r="G578" s="49" t="n">
        <v>6467.72</v>
      </c>
      <c r="H578" s="50" t="n">
        <f aca="false">F578*G578</f>
        <v>398694.838136</v>
      </c>
    </row>
    <row r="579" customFormat="false" ht="15" hidden="false" customHeight="false" outlineLevel="0" collapsed="false">
      <c r="B579" s="46" t="s">
        <v>144</v>
      </c>
      <c r="C579" s="46" t="s">
        <v>150</v>
      </c>
      <c r="D579" s="47" t="n">
        <v>45200</v>
      </c>
      <c r="E579" s="46" t="s">
        <v>42</v>
      </c>
      <c r="F579" s="48" t="n">
        <v>59.8477</v>
      </c>
      <c r="G579" s="49" t="n">
        <v>4723.5</v>
      </c>
      <c r="H579" s="50" t="n">
        <f aca="false">F579*G579</f>
        <v>282690.61095</v>
      </c>
    </row>
    <row r="580" customFormat="false" ht="15" hidden="false" customHeight="false" outlineLevel="0" collapsed="false">
      <c r="B580" s="46" t="s">
        <v>145</v>
      </c>
      <c r="C580" s="46" t="s">
        <v>150</v>
      </c>
      <c r="D580" s="47" t="n">
        <v>45200</v>
      </c>
      <c r="E580" s="46" t="s">
        <v>42</v>
      </c>
      <c r="F580" s="48" t="n">
        <v>21.879</v>
      </c>
      <c r="G580" s="49" t="n">
        <v>8959.41</v>
      </c>
      <c r="H580" s="50" t="n">
        <f aca="false">F580*G580</f>
        <v>196022.93139</v>
      </c>
    </row>
    <row r="581" customFormat="false" ht="15" hidden="false" customHeight="false" outlineLevel="0" collapsed="false">
      <c r="B581" s="46" t="s">
        <v>137</v>
      </c>
      <c r="C581" s="46" t="s">
        <v>150</v>
      </c>
      <c r="D581" s="47" t="n">
        <v>45231</v>
      </c>
      <c r="E581" s="46" t="s">
        <v>42</v>
      </c>
      <c r="F581" s="48" t="n">
        <v>108.0655</v>
      </c>
      <c r="G581" s="49" t="n">
        <v>5258.79</v>
      </c>
      <c r="H581" s="50" t="n">
        <f aca="false">F581*G581</f>
        <v>568293.770745</v>
      </c>
    </row>
    <row r="582" customFormat="false" ht="15" hidden="false" customHeight="false" outlineLevel="0" collapsed="false">
      <c r="B582" s="46" t="s">
        <v>142</v>
      </c>
      <c r="C582" s="46" t="s">
        <v>150</v>
      </c>
      <c r="D582" s="47" t="n">
        <v>45231</v>
      </c>
      <c r="E582" s="46" t="s">
        <v>42</v>
      </c>
      <c r="F582" s="48" t="n">
        <v>120.1884</v>
      </c>
      <c r="G582" s="49" t="n">
        <v>3920.04</v>
      </c>
      <c r="H582" s="50" t="n">
        <f aca="false">F582*G582</f>
        <v>471143.335536</v>
      </c>
    </row>
    <row r="583" customFormat="false" ht="15" hidden="false" customHeight="false" outlineLevel="0" collapsed="false">
      <c r="B583" s="46" t="s">
        <v>143</v>
      </c>
      <c r="C583" s="46" t="s">
        <v>150</v>
      </c>
      <c r="D583" s="47" t="n">
        <v>45231</v>
      </c>
      <c r="E583" s="46" t="s">
        <v>42</v>
      </c>
      <c r="F583" s="48" t="n">
        <v>57.4522</v>
      </c>
      <c r="G583" s="49" t="n">
        <v>6545.86</v>
      </c>
      <c r="H583" s="50" t="n">
        <f aca="false">F583*G583</f>
        <v>376074.057892</v>
      </c>
    </row>
    <row r="584" customFormat="false" ht="15" hidden="false" customHeight="false" outlineLevel="0" collapsed="false">
      <c r="B584" s="46" t="s">
        <v>144</v>
      </c>
      <c r="C584" s="46" t="s">
        <v>150</v>
      </c>
      <c r="D584" s="47" t="n">
        <v>45231</v>
      </c>
      <c r="E584" s="46" t="s">
        <v>42</v>
      </c>
      <c r="F584" s="48" t="n">
        <v>57.6141</v>
      </c>
      <c r="G584" s="49" t="n">
        <v>4800.24</v>
      </c>
      <c r="H584" s="50" t="n">
        <f aca="false">F584*G584</f>
        <v>276561.507384</v>
      </c>
    </row>
    <row r="585" customFormat="false" ht="15" hidden="false" customHeight="false" outlineLevel="0" collapsed="false">
      <c r="B585" s="46" t="s">
        <v>145</v>
      </c>
      <c r="C585" s="46" t="s">
        <v>150</v>
      </c>
      <c r="D585" s="47" t="n">
        <v>45231</v>
      </c>
      <c r="E585" s="46" t="s">
        <v>42</v>
      </c>
      <c r="F585" s="48" t="n">
        <v>19.9998</v>
      </c>
      <c r="G585" s="49" t="n">
        <v>9132.65</v>
      </c>
      <c r="H585" s="50" t="n">
        <f aca="false">F585*G585</f>
        <v>182651.17347</v>
      </c>
    </row>
    <row r="586" customFormat="false" ht="15" hidden="false" customHeight="false" outlineLevel="0" collapsed="false">
      <c r="B586" s="46" t="s">
        <v>137</v>
      </c>
      <c r="C586" s="46" t="s">
        <v>150</v>
      </c>
      <c r="D586" s="47" t="n">
        <v>45261</v>
      </c>
      <c r="E586" s="46" t="s">
        <v>42</v>
      </c>
      <c r="F586" s="48" t="n">
        <v>110.5423</v>
      </c>
      <c r="G586" s="49" t="n">
        <v>5347.88</v>
      </c>
      <c r="H586" s="50" t="n">
        <f aca="false">F586*G586</f>
        <v>591166.955324</v>
      </c>
    </row>
    <row r="587" customFormat="false" ht="15" hidden="false" customHeight="false" outlineLevel="0" collapsed="false">
      <c r="B587" s="46" t="s">
        <v>142</v>
      </c>
      <c r="C587" s="46" t="s">
        <v>150</v>
      </c>
      <c r="D587" s="47" t="n">
        <v>45261</v>
      </c>
      <c r="E587" s="46" t="s">
        <v>42</v>
      </c>
      <c r="F587" s="48" t="n">
        <v>114.5972</v>
      </c>
      <c r="G587" s="49" t="n">
        <v>3908.35</v>
      </c>
      <c r="H587" s="50" t="n">
        <f aca="false">F587*G587</f>
        <v>447885.96662</v>
      </c>
    </row>
    <row r="588" customFormat="false" ht="15" hidden="false" customHeight="false" outlineLevel="0" collapsed="false">
      <c r="B588" s="46" t="s">
        <v>143</v>
      </c>
      <c r="C588" s="46" t="s">
        <v>150</v>
      </c>
      <c r="D588" s="47" t="n">
        <v>45261</v>
      </c>
      <c r="E588" s="46" t="s">
        <v>42</v>
      </c>
      <c r="F588" s="48" t="n">
        <v>58.227</v>
      </c>
      <c r="G588" s="49" t="n">
        <v>6596.3</v>
      </c>
      <c r="H588" s="50" t="n">
        <f aca="false">F588*G588</f>
        <v>384082.7601</v>
      </c>
    </row>
    <row r="589" customFormat="false" ht="15" hidden="false" customHeight="false" outlineLevel="0" collapsed="false">
      <c r="B589" s="46" t="s">
        <v>144</v>
      </c>
      <c r="C589" s="46" t="s">
        <v>150</v>
      </c>
      <c r="D589" s="47" t="n">
        <v>45261</v>
      </c>
      <c r="E589" s="46" t="s">
        <v>42</v>
      </c>
      <c r="F589" s="48" t="n">
        <v>58.9744</v>
      </c>
      <c r="G589" s="49" t="n">
        <v>4816.83</v>
      </c>
      <c r="H589" s="50" t="n">
        <f aca="false">F589*G589</f>
        <v>284069.659152</v>
      </c>
    </row>
    <row r="590" customFormat="false" ht="15" hidden="false" customHeight="false" outlineLevel="0" collapsed="false">
      <c r="B590" s="46" t="s">
        <v>145</v>
      </c>
      <c r="C590" s="46" t="s">
        <v>150</v>
      </c>
      <c r="D590" s="47" t="n">
        <v>45261</v>
      </c>
      <c r="E590" s="46" t="s">
        <v>42</v>
      </c>
      <c r="F590" s="48" t="n">
        <v>20.4194</v>
      </c>
      <c r="G590" s="49" t="n">
        <v>9114.31</v>
      </c>
      <c r="H590" s="50" t="n">
        <f aca="false">F590*G590</f>
        <v>186108.741614</v>
      </c>
    </row>
    <row r="591" customFormat="false" ht="15" hidden="false" customHeight="false" outlineLevel="0" collapsed="false">
      <c r="B591" s="46" t="s">
        <v>137</v>
      </c>
      <c r="C591" s="46" t="s">
        <v>150</v>
      </c>
      <c r="D591" s="47" t="n">
        <v>45292</v>
      </c>
      <c r="E591" s="46" t="s">
        <v>42</v>
      </c>
      <c r="F591" s="48" t="n">
        <v>116.4448</v>
      </c>
      <c r="G591" s="49" t="n">
        <v>5332.97</v>
      </c>
      <c r="H591" s="50" t="n">
        <f aca="false">F591*G591</f>
        <v>620996.625056</v>
      </c>
    </row>
    <row r="592" customFormat="false" ht="15" hidden="false" customHeight="false" outlineLevel="0" collapsed="false">
      <c r="B592" s="46" t="s">
        <v>142</v>
      </c>
      <c r="C592" s="46" t="s">
        <v>150</v>
      </c>
      <c r="D592" s="47" t="n">
        <v>45292</v>
      </c>
      <c r="E592" s="46" t="s">
        <v>42</v>
      </c>
      <c r="F592" s="48" t="n">
        <v>110.3449</v>
      </c>
      <c r="G592" s="49" t="n">
        <v>3948.2</v>
      </c>
      <c r="H592" s="50" t="n">
        <f aca="false">F592*G592</f>
        <v>435663.73418</v>
      </c>
    </row>
    <row r="593" customFormat="false" ht="15" hidden="false" customHeight="false" outlineLevel="0" collapsed="false">
      <c r="B593" s="46" t="s">
        <v>143</v>
      </c>
      <c r="C593" s="46" t="s">
        <v>150</v>
      </c>
      <c r="D593" s="47" t="n">
        <v>45292</v>
      </c>
      <c r="E593" s="46" t="s">
        <v>42</v>
      </c>
      <c r="F593" s="48" t="n">
        <v>56.1135</v>
      </c>
      <c r="G593" s="49" t="n">
        <v>6703.19</v>
      </c>
      <c r="H593" s="50" t="n">
        <f aca="false">F593*G593</f>
        <v>376139.452065</v>
      </c>
    </row>
    <row r="594" customFormat="false" ht="15" hidden="false" customHeight="false" outlineLevel="0" collapsed="false">
      <c r="B594" s="46" t="s">
        <v>144</v>
      </c>
      <c r="C594" s="46" t="s">
        <v>150</v>
      </c>
      <c r="D594" s="47" t="n">
        <v>45292</v>
      </c>
      <c r="E594" s="46" t="s">
        <v>42</v>
      </c>
      <c r="F594" s="48" t="n">
        <v>50.321</v>
      </c>
      <c r="G594" s="49" t="n">
        <v>4838.87</v>
      </c>
      <c r="H594" s="50" t="n">
        <f aca="false">F594*G594</f>
        <v>243496.77727</v>
      </c>
    </row>
    <row r="595" customFormat="false" ht="15" hidden="false" customHeight="false" outlineLevel="0" collapsed="false">
      <c r="B595" s="46" t="s">
        <v>145</v>
      </c>
      <c r="C595" s="46" t="s">
        <v>150</v>
      </c>
      <c r="D595" s="47" t="n">
        <v>45292</v>
      </c>
      <c r="E595" s="46" t="s">
        <v>42</v>
      </c>
      <c r="F595" s="48" t="n">
        <v>18.5685</v>
      </c>
      <c r="G595" s="49" t="n">
        <v>9222.87</v>
      </c>
      <c r="H595" s="50" t="n">
        <f aca="false">F595*G595</f>
        <v>171254.861595</v>
      </c>
    </row>
    <row r="596" customFormat="false" ht="15" hidden="false" customHeight="false" outlineLevel="0" collapsed="false">
      <c r="B596" s="46" t="s">
        <v>137</v>
      </c>
      <c r="C596" s="46" t="s">
        <v>150</v>
      </c>
      <c r="D596" s="47" t="n">
        <v>45323</v>
      </c>
      <c r="E596" s="46" t="s">
        <v>42</v>
      </c>
      <c r="F596" s="48" t="n">
        <v>111.0473</v>
      </c>
      <c r="G596" s="49" t="n">
        <v>5324.69</v>
      </c>
      <c r="H596" s="50" t="n">
        <f aca="false">F596*G596</f>
        <v>591292.447837</v>
      </c>
    </row>
    <row r="597" customFormat="false" ht="15" hidden="false" customHeight="false" outlineLevel="0" collapsed="false">
      <c r="B597" s="46" t="s">
        <v>142</v>
      </c>
      <c r="C597" s="46" t="s">
        <v>150</v>
      </c>
      <c r="D597" s="47" t="n">
        <v>45323</v>
      </c>
      <c r="E597" s="46" t="s">
        <v>42</v>
      </c>
      <c r="F597" s="48" t="n">
        <v>117.0587</v>
      </c>
      <c r="G597" s="49" t="n">
        <v>3871.79</v>
      </c>
      <c r="H597" s="50" t="n">
        <f aca="false">F597*G597</f>
        <v>453226.704073</v>
      </c>
    </row>
    <row r="598" customFormat="false" ht="15" hidden="false" customHeight="false" outlineLevel="0" collapsed="false">
      <c r="B598" s="46" t="s">
        <v>143</v>
      </c>
      <c r="C598" s="46" t="s">
        <v>150</v>
      </c>
      <c r="D598" s="47" t="n">
        <v>45323</v>
      </c>
      <c r="E598" s="46" t="s">
        <v>42</v>
      </c>
      <c r="F598" s="48" t="n">
        <v>53.8485</v>
      </c>
      <c r="G598" s="49" t="n">
        <v>6637.96</v>
      </c>
      <c r="H598" s="50" t="n">
        <f aca="false">F598*G598</f>
        <v>357444.18906</v>
      </c>
    </row>
    <row r="599" customFormat="false" ht="15" hidden="false" customHeight="false" outlineLevel="0" collapsed="false">
      <c r="B599" s="46" t="s">
        <v>144</v>
      </c>
      <c r="C599" s="46" t="s">
        <v>150</v>
      </c>
      <c r="D599" s="47" t="n">
        <v>45323</v>
      </c>
      <c r="E599" s="46" t="s">
        <v>42</v>
      </c>
      <c r="F599" s="48" t="n">
        <v>53.9617</v>
      </c>
      <c r="G599" s="49" t="n">
        <v>4860.57</v>
      </c>
      <c r="H599" s="50" t="n">
        <f aca="false">F599*G599</f>
        <v>262284.620169</v>
      </c>
    </row>
    <row r="600" customFormat="false" ht="15" hidden="false" customHeight="false" outlineLevel="0" collapsed="false">
      <c r="B600" s="46" t="s">
        <v>145</v>
      </c>
      <c r="C600" s="46" t="s">
        <v>150</v>
      </c>
      <c r="D600" s="47" t="n">
        <v>45323</v>
      </c>
      <c r="E600" s="46" t="s">
        <v>42</v>
      </c>
      <c r="F600" s="48" t="n">
        <v>19.2074</v>
      </c>
      <c r="G600" s="49" t="n">
        <v>9190.15</v>
      </c>
      <c r="H600" s="50" t="n">
        <f aca="false">F600*G600</f>
        <v>176518.88711</v>
      </c>
    </row>
    <row r="601" customFormat="false" ht="15" hidden="false" customHeight="false" outlineLevel="0" collapsed="false">
      <c r="B601" s="46" t="s">
        <v>137</v>
      </c>
      <c r="C601" s="46" t="s">
        <v>150</v>
      </c>
      <c r="D601" s="47" t="n">
        <v>45352</v>
      </c>
      <c r="E601" s="46" t="s">
        <v>42</v>
      </c>
      <c r="F601" s="48" t="n">
        <v>122.9699</v>
      </c>
      <c r="G601" s="49" t="n">
        <v>5404.18</v>
      </c>
      <c r="H601" s="50" t="n">
        <f aca="false">F601*G601</f>
        <v>664551.474182</v>
      </c>
    </row>
    <row r="602" customFormat="false" ht="15" hidden="false" customHeight="false" outlineLevel="0" collapsed="false">
      <c r="B602" s="46" t="s">
        <v>142</v>
      </c>
      <c r="C602" s="46" t="s">
        <v>150</v>
      </c>
      <c r="D602" s="47" t="n">
        <v>45352</v>
      </c>
      <c r="E602" s="46" t="s">
        <v>42</v>
      </c>
      <c r="F602" s="48" t="n">
        <v>119.6827</v>
      </c>
      <c r="G602" s="49" t="n">
        <v>4019.53</v>
      </c>
      <c r="H602" s="50" t="n">
        <f aca="false">F602*G602</f>
        <v>481068.203131</v>
      </c>
    </row>
    <row r="603" customFormat="false" ht="15" hidden="false" customHeight="false" outlineLevel="0" collapsed="false">
      <c r="B603" s="46" t="s">
        <v>143</v>
      </c>
      <c r="C603" s="46" t="s">
        <v>150</v>
      </c>
      <c r="D603" s="47" t="n">
        <v>45352</v>
      </c>
      <c r="E603" s="46" t="s">
        <v>42</v>
      </c>
      <c r="F603" s="48" t="n">
        <v>53.9799</v>
      </c>
      <c r="G603" s="49" t="n">
        <v>6709.79</v>
      </c>
      <c r="H603" s="50" t="n">
        <f aca="false">F603*G603</f>
        <v>362193.793221</v>
      </c>
    </row>
    <row r="604" customFormat="false" ht="15" hidden="false" customHeight="false" outlineLevel="0" collapsed="false">
      <c r="B604" s="46" t="s">
        <v>144</v>
      </c>
      <c r="C604" s="46" t="s">
        <v>150</v>
      </c>
      <c r="D604" s="47" t="n">
        <v>45352</v>
      </c>
      <c r="E604" s="46" t="s">
        <v>42</v>
      </c>
      <c r="F604" s="48" t="n">
        <v>56.325</v>
      </c>
      <c r="G604" s="49" t="n">
        <v>4797.36</v>
      </c>
      <c r="H604" s="50" t="n">
        <f aca="false">F604*G604</f>
        <v>270211.302</v>
      </c>
    </row>
    <row r="605" customFormat="false" ht="15" hidden="false" customHeight="false" outlineLevel="0" collapsed="false">
      <c r="B605" s="46" t="s">
        <v>145</v>
      </c>
      <c r="C605" s="46" t="s">
        <v>150</v>
      </c>
      <c r="D605" s="47" t="n">
        <v>45352</v>
      </c>
      <c r="E605" s="46" t="s">
        <v>42</v>
      </c>
      <c r="F605" s="48" t="n">
        <v>22.2702</v>
      </c>
      <c r="G605" s="49" t="n">
        <v>9143.24</v>
      </c>
      <c r="H605" s="50" t="n">
        <f aca="false">F605*G605</f>
        <v>203621.783448</v>
      </c>
    </row>
    <row r="606" customFormat="false" ht="15" hidden="false" customHeight="false" outlineLevel="0" collapsed="false">
      <c r="B606" s="46" t="s">
        <v>137</v>
      </c>
      <c r="C606" s="46" t="s">
        <v>150</v>
      </c>
      <c r="D606" s="47" t="n">
        <v>45383</v>
      </c>
      <c r="E606" s="46" t="s">
        <v>43</v>
      </c>
      <c r="F606" s="48" t="n">
        <v>112.4344</v>
      </c>
      <c r="G606" s="49" t="n">
        <v>5424.84</v>
      </c>
      <c r="H606" s="50" t="n">
        <f aca="false">F606*G606</f>
        <v>609938.630496</v>
      </c>
    </row>
    <row r="607" customFormat="false" ht="15" hidden="false" customHeight="false" outlineLevel="0" collapsed="false">
      <c r="B607" s="46" t="s">
        <v>142</v>
      </c>
      <c r="C607" s="46" t="s">
        <v>150</v>
      </c>
      <c r="D607" s="47" t="n">
        <v>45383</v>
      </c>
      <c r="E607" s="46" t="s">
        <v>43</v>
      </c>
      <c r="F607" s="48" t="n">
        <v>109.899</v>
      </c>
      <c r="G607" s="49" t="n">
        <v>4037.08</v>
      </c>
      <c r="H607" s="50" t="n">
        <f aca="false">F607*G607</f>
        <v>443671.05492</v>
      </c>
    </row>
    <row r="608" customFormat="false" ht="15" hidden="false" customHeight="false" outlineLevel="0" collapsed="false">
      <c r="B608" s="46" t="s">
        <v>143</v>
      </c>
      <c r="C608" s="46" t="s">
        <v>150</v>
      </c>
      <c r="D608" s="47" t="n">
        <v>45383</v>
      </c>
      <c r="E608" s="46" t="s">
        <v>43</v>
      </c>
      <c r="F608" s="48" t="n">
        <v>59.0681</v>
      </c>
      <c r="G608" s="49" t="n">
        <v>6602.35</v>
      </c>
      <c r="H608" s="50" t="n">
        <f aca="false">F608*G608</f>
        <v>389988.270035</v>
      </c>
    </row>
    <row r="609" customFormat="false" ht="15" hidden="false" customHeight="false" outlineLevel="0" collapsed="false">
      <c r="B609" s="46" t="s">
        <v>144</v>
      </c>
      <c r="C609" s="46" t="s">
        <v>150</v>
      </c>
      <c r="D609" s="47" t="n">
        <v>45383</v>
      </c>
      <c r="E609" s="46" t="s">
        <v>43</v>
      </c>
      <c r="F609" s="48" t="n">
        <v>55.62</v>
      </c>
      <c r="G609" s="49" t="n">
        <v>4922.87</v>
      </c>
      <c r="H609" s="50" t="n">
        <f aca="false">F609*G609</f>
        <v>273810.0294</v>
      </c>
    </row>
    <row r="610" customFormat="false" ht="15" hidden="false" customHeight="false" outlineLevel="0" collapsed="false">
      <c r="B610" s="46" t="s">
        <v>145</v>
      </c>
      <c r="C610" s="46" t="s">
        <v>150</v>
      </c>
      <c r="D610" s="47" t="n">
        <v>45383</v>
      </c>
      <c r="E610" s="46" t="s">
        <v>43</v>
      </c>
      <c r="F610" s="48" t="n">
        <v>21.519</v>
      </c>
      <c r="G610" s="49" t="n">
        <v>9039.59</v>
      </c>
      <c r="H610" s="50" t="n">
        <f aca="false">F610*G610</f>
        <v>194522.93721</v>
      </c>
    </row>
    <row r="611" customFormat="false" ht="15" hidden="false" customHeight="false" outlineLevel="0" collapsed="false">
      <c r="B611" s="46" t="s">
        <v>137</v>
      </c>
      <c r="C611" s="46" t="s">
        <v>150</v>
      </c>
      <c r="D611" s="47" t="n">
        <v>45413</v>
      </c>
      <c r="E611" s="46" t="s">
        <v>43</v>
      </c>
      <c r="F611" s="48" t="n">
        <v>114.7857</v>
      </c>
      <c r="G611" s="49" t="n">
        <v>5411.87</v>
      </c>
      <c r="H611" s="50" t="n">
        <f aca="false">F611*G611</f>
        <v>621205.286259</v>
      </c>
    </row>
    <row r="612" customFormat="false" ht="15" hidden="false" customHeight="false" outlineLevel="0" collapsed="false">
      <c r="B612" s="46" t="s">
        <v>142</v>
      </c>
      <c r="C612" s="46" t="s">
        <v>150</v>
      </c>
      <c r="D612" s="47" t="n">
        <v>45413</v>
      </c>
      <c r="E612" s="46" t="s">
        <v>43</v>
      </c>
      <c r="F612" s="48" t="n">
        <v>116.5102</v>
      </c>
      <c r="G612" s="49" t="n">
        <v>4030.05</v>
      </c>
      <c r="H612" s="50" t="n">
        <f aca="false">F612*G612</f>
        <v>469541.93151</v>
      </c>
    </row>
    <row r="613" customFormat="false" ht="15" hidden="false" customHeight="false" outlineLevel="0" collapsed="false">
      <c r="B613" s="46" t="s">
        <v>143</v>
      </c>
      <c r="C613" s="46" t="s">
        <v>150</v>
      </c>
      <c r="D613" s="47" t="n">
        <v>45413</v>
      </c>
      <c r="E613" s="46" t="s">
        <v>43</v>
      </c>
      <c r="F613" s="48" t="n">
        <v>52.5995</v>
      </c>
      <c r="G613" s="49" t="n">
        <v>6722.94</v>
      </c>
      <c r="H613" s="50" t="n">
        <f aca="false">F613*G613</f>
        <v>353623.28253</v>
      </c>
    </row>
    <row r="614" customFormat="false" ht="15" hidden="false" customHeight="false" outlineLevel="0" collapsed="false">
      <c r="B614" s="46" t="s">
        <v>144</v>
      </c>
      <c r="C614" s="46" t="s">
        <v>150</v>
      </c>
      <c r="D614" s="47" t="n">
        <v>45413</v>
      </c>
      <c r="E614" s="46" t="s">
        <v>43</v>
      </c>
      <c r="F614" s="48" t="n">
        <v>58.5076</v>
      </c>
      <c r="G614" s="49" t="n">
        <v>4831.11</v>
      </c>
      <c r="H614" s="50" t="n">
        <f aca="false">F614*G614</f>
        <v>282656.651436</v>
      </c>
    </row>
    <row r="615" customFormat="false" ht="15" hidden="false" customHeight="false" outlineLevel="0" collapsed="false">
      <c r="B615" s="46" t="s">
        <v>145</v>
      </c>
      <c r="C615" s="46" t="s">
        <v>150</v>
      </c>
      <c r="D615" s="47" t="n">
        <v>45413</v>
      </c>
      <c r="E615" s="46" t="s">
        <v>43</v>
      </c>
      <c r="F615" s="48" t="n">
        <v>20.2158</v>
      </c>
      <c r="G615" s="49" t="n">
        <v>9224.82</v>
      </c>
      <c r="H615" s="50" t="n">
        <f aca="false">F615*G615</f>
        <v>186487.116156</v>
      </c>
    </row>
    <row r="616" customFormat="false" ht="15" hidden="false" customHeight="false" outlineLevel="0" collapsed="false">
      <c r="B616" s="46" t="s">
        <v>137</v>
      </c>
      <c r="C616" s="46" t="s">
        <v>150</v>
      </c>
      <c r="D616" s="47" t="n">
        <v>45444</v>
      </c>
      <c r="E616" s="46" t="s">
        <v>43</v>
      </c>
      <c r="F616" s="48" t="n">
        <v>119.3898</v>
      </c>
      <c r="G616" s="49" t="n">
        <v>5485.68</v>
      </c>
      <c r="H616" s="50" t="n">
        <f aca="false">F616*G616</f>
        <v>654934.238064</v>
      </c>
    </row>
    <row r="617" customFormat="false" ht="15" hidden="false" customHeight="false" outlineLevel="0" collapsed="false">
      <c r="B617" s="46" t="s">
        <v>142</v>
      </c>
      <c r="C617" s="46" t="s">
        <v>150</v>
      </c>
      <c r="D617" s="47" t="n">
        <v>45444</v>
      </c>
      <c r="E617" s="46" t="s">
        <v>43</v>
      </c>
      <c r="F617" s="48" t="n">
        <v>105.0289</v>
      </c>
      <c r="G617" s="49" t="n">
        <v>3930.12</v>
      </c>
      <c r="H617" s="50" t="n">
        <f aca="false">F617*G617</f>
        <v>412776.180468</v>
      </c>
    </row>
    <row r="618" customFormat="false" ht="15" hidden="false" customHeight="false" outlineLevel="0" collapsed="false">
      <c r="B618" s="46" t="s">
        <v>143</v>
      </c>
      <c r="C618" s="46" t="s">
        <v>150</v>
      </c>
      <c r="D618" s="47" t="n">
        <v>45444</v>
      </c>
      <c r="E618" s="46" t="s">
        <v>43</v>
      </c>
      <c r="F618" s="48" t="n">
        <v>58.5157</v>
      </c>
      <c r="G618" s="49" t="n">
        <v>6740.12</v>
      </c>
      <c r="H618" s="50" t="n">
        <f aca="false">F618*G618</f>
        <v>394402.839884</v>
      </c>
    </row>
    <row r="619" customFormat="false" ht="15" hidden="false" customHeight="false" outlineLevel="0" collapsed="false">
      <c r="B619" s="46" t="s">
        <v>144</v>
      </c>
      <c r="C619" s="46" t="s">
        <v>150</v>
      </c>
      <c r="D619" s="47" t="n">
        <v>45444</v>
      </c>
      <c r="E619" s="46" t="s">
        <v>43</v>
      </c>
      <c r="F619" s="48" t="n">
        <v>57.9312</v>
      </c>
      <c r="G619" s="49" t="n">
        <v>4882.97</v>
      </c>
      <c r="H619" s="50" t="n">
        <f aca="false">F619*G619</f>
        <v>282876.311664</v>
      </c>
    </row>
    <row r="620" customFormat="false" ht="15" hidden="false" customHeight="false" outlineLevel="0" collapsed="false">
      <c r="B620" s="46" t="s">
        <v>145</v>
      </c>
      <c r="C620" s="46" t="s">
        <v>150</v>
      </c>
      <c r="D620" s="47" t="n">
        <v>45444</v>
      </c>
      <c r="E620" s="46" t="s">
        <v>43</v>
      </c>
      <c r="F620" s="48" t="n">
        <v>22.0545</v>
      </c>
      <c r="G620" s="49" t="n">
        <v>9343.01</v>
      </c>
      <c r="H620" s="50" t="n">
        <f aca="false">F620*G620</f>
        <v>206055.414045</v>
      </c>
    </row>
    <row r="621" customFormat="false" ht="15" hidden="false" customHeight="false" outlineLevel="0" collapsed="false">
      <c r="B621" s="46" t="s">
        <v>137</v>
      </c>
      <c r="C621" s="46" t="s">
        <v>150</v>
      </c>
      <c r="D621" s="47" t="n">
        <v>45474</v>
      </c>
      <c r="E621" s="46" t="s">
        <v>43</v>
      </c>
      <c r="F621" s="48" t="n">
        <v>124.0314</v>
      </c>
      <c r="G621" s="49" t="n">
        <v>5371.86</v>
      </c>
      <c r="H621" s="50" t="n">
        <f aca="false">F621*G621</f>
        <v>666279.316404</v>
      </c>
    </row>
    <row r="622" customFormat="false" ht="15" hidden="false" customHeight="false" outlineLevel="0" collapsed="false">
      <c r="B622" s="46" t="s">
        <v>142</v>
      </c>
      <c r="C622" s="46" t="s">
        <v>150</v>
      </c>
      <c r="D622" s="47" t="n">
        <v>45474</v>
      </c>
      <c r="E622" s="46" t="s">
        <v>43</v>
      </c>
      <c r="F622" s="48" t="n">
        <v>115.7754</v>
      </c>
      <c r="G622" s="49" t="n">
        <v>4024.68</v>
      </c>
      <c r="H622" s="50" t="n">
        <f aca="false">F622*G622</f>
        <v>465958.936872</v>
      </c>
    </row>
    <row r="623" customFormat="false" ht="15" hidden="false" customHeight="false" outlineLevel="0" collapsed="false">
      <c r="B623" s="46" t="s">
        <v>143</v>
      </c>
      <c r="C623" s="46" t="s">
        <v>150</v>
      </c>
      <c r="D623" s="47" t="n">
        <v>45474</v>
      </c>
      <c r="E623" s="46" t="s">
        <v>43</v>
      </c>
      <c r="F623" s="48" t="n">
        <v>56.0002</v>
      </c>
      <c r="G623" s="49" t="n">
        <v>6746.7</v>
      </c>
      <c r="H623" s="50" t="n">
        <f aca="false">F623*G623</f>
        <v>377816.54934</v>
      </c>
    </row>
    <row r="624" customFormat="false" ht="15" hidden="false" customHeight="false" outlineLevel="0" collapsed="false">
      <c r="B624" s="46" t="s">
        <v>144</v>
      </c>
      <c r="C624" s="46" t="s">
        <v>150</v>
      </c>
      <c r="D624" s="47" t="n">
        <v>45474</v>
      </c>
      <c r="E624" s="46" t="s">
        <v>43</v>
      </c>
      <c r="F624" s="48" t="n">
        <v>57.1678</v>
      </c>
      <c r="G624" s="49" t="n">
        <v>4789.23</v>
      </c>
      <c r="H624" s="50" t="n">
        <f aca="false">F624*G624</f>
        <v>273789.742794</v>
      </c>
    </row>
    <row r="625" customFormat="false" ht="15" hidden="false" customHeight="false" outlineLevel="0" collapsed="false">
      <c r="B625" s="46" t="s">
        <v>145</v>
      </c>
      <c r="C625" s="46" t="s">
        <v>150</v>
      </c>
      <c r="D625" s="47" t="n">
        <v>45474</v>
      </c>
      <c r="E625" s="46" t="s">
        <v>43</v>
      </c>
      <c r="F625" s="48" t="n">
        <v>21.527</v>
      </c>
      <c r="G625" s="49" t="n">
        <v>9344.5</v>
      </c>
      <c r="H625" s="50" t="n">
        <f aca="false">F625*G625</f>
        <v>201159.0515</v>
      </c>
    </row>
    <row r="626" customFormat="false" ht="15" hidden="false" customHeight="false" outlineLevel="0" collapsed="false">
      <c r="B626" s="46" t="s">
        <v>137</v>
      </c>
      <c r="C626" s="46" t="s">
        <v>150</v>
      </c>
      <c r="D626" s="47" t="n">
        <v>45505</v>
      </c>
      <c r="E626" s="46" t="s">
        <v>43</v>
      </c>
      <c r="F626" s="48" t="n">
        <v>106.3637</v>
      </c>
      <c r="G626" s="49" t="n">
        <v>5387.25</v>
      </c>
      <c r="H626" s="50" t="n">
        <f aca="false">F626*G626</f>
        <v>573007.842825</v>
      </c>
    </row>
    <row r="627" customFormat="false" ht="15" hidden="false" customHeight="false" outlineLevel="0" collapsed="false">
      <c r="B627" s="46" t="s">
        <v>142</v>
      </c>
      <c r="C627" s="46" t="s">
        <v>150</v>
      </c>
      <c r="D627" s="47" t="n">
        <v>45505</v>
      </c>
      <c r="E627" s="46" t="s">
        <v>43</v>
      </c>
      <c r="F627" s="48" t="n">
        <v>124.4185</v>
      </c>
      <c r="G627" s="49" t="n">
        <v>4022.26</v>
      </c>
      <c r="H627" s="50" t="n">
        <f aca="false">F627*G627</f>
        <v>500443.55581</v>
      </c>
    </row>
    <row r="628" customFormat="false" ht="15" hidden="false" customHeight="false" outlineLevel="0" collapsed="false">
      <c r="B628" s="46" t="s">
        <v>143</v>
      </c>
      <c r="C628" s="46" t="s">
        <v>150</v>
      </c>
      <c r="D628" s="47" t="n">
        <v>45505</v>
      </c>
      <c r="E628" s="46" t="s">
        <v>43</v>
      </c>
      <c r="F628" s="48" t="n">
        <v>54.3317</v>
      </c>
      <c r="G628" s="49" t="n">
        <v>6655.27</v>
      </c>
      <c r="H628" s="50" t="n">
        <f aca="false">F628*G628</f>
        <v>361592.133059</v>
      </c>
    </row>
    <row r="629" customFormat="false" ht="15" hidden="false" customHeight="false" outlineLevel="0" collapsed="false">
      <c r="B629" s="46" t="s">
        <v>144</v>
      </c>
      <c r="C629" s="46" t="s">
        <v>150</v>
      </c>
      <c r="D629" s="47" t="n">
        <v>45505</v>
      </c>
      <c r="E629" s="46" t="s">
        <v>43</v>
      </c>
      <c r="F629" s="48" t="n">
        <v>59.8028</v>
      </c>
      <c r="G629" s="49" t="n">
        <v>4879.23</v>
      </c>
      <c r="H629" s="50" t="n">
        <f aca="false">F629*G629</f>
        <v>291791.615844</v>
      </c>
    </row>
    <row r="630" customFormat="false" ht="15" hidden="false" customHeight="false" outlineLevel="0" collapsed="false">
      <c r="B630" s="46" t="s">
        <v>145</v>
      </c>
      <c r="C630" s="46" t="s">
        <v>150</v>
      </c>
      <c r="D630" s="47" t="n">
        <v>45505</v>
      </c>
      <c r="E630" s="46" t="s">
        <v>43</v>
      </c>
      <c r="F630" s="48" t="n">
        <v>19.7795</v>
      </c>
      <c r="G630" s="49" t="n">
        <v>9464.88</v>
      </c>
      <c r="H630" s="50" t="n">
        <f aca="false">F630*G630</f>
        <v>187210.59396</v>
      </c>
    </row>
    <row r="631" customFormat="false" ht="15" hidden="false" customHeight="false" outlineLevel="0" collapsed="false">
      <c r="B631" s="46" t="s">
        <v>137</v>
      </c>
      <c r="C631" s="46" t="s">
        <v>150</v>
      </c>
      <c r="D631" s="47" t="n">
        <v>45536</v>
      </c>
      <c r="E631" s="46" t="s">
        <v>43</v>
      </c>
      <c r="F631" s="48" t="n">
        <v>107.3399</v>
      </c>
      <c r="G631" s="49" t="n">
        <v>5553.42</v>
      </c>
      <c r="H631" s="50" t="n">
        <f aca="false">F631*G631</f>
        <v>596103.547458</v>
      </c>
    </row>
    <row r="632" customFormat="false" ht="15" hidden="false" customHeight="false" outlineLevel="0" collapsed="false">
      <c r="B632" s="46" t="s">
        <v>142</v>
      </c>
      <c r="C632" s="46" t="s">
        <v>150</v>
      </c>
      <c r="D632" s="47" t="n">
        <v>45536</v>
      </c>
      <c r="E632" s="46" t="s">
        <v>43</v>
      </c>
      <c r="F632" s="48" t="n">
        <v>128.5263</v>
      </c>
      <c r="G632" s="49" t="n">
        <v>3932.38</v>
      </c>
      <c r="H632" s="50" t="n">
        <f aca="false">F632*G632</f>
        <v>505414.251594</v>
      </c>
    </row>
    <row r="633" customFormat="false" ht="15" hidden="false" customHeight="false" outlineLevel="0" collapsed="false">
      <c r="B633" s="46" t="s">
        <v>143</v>
      </c>
      <c r="C633" s="46" t="s">
        <v>150</v>
      </c>
      <c r="D633" s="47" t="n">
        <v>45536</v>
      </c>
      <c r="E633" s="46" t="s">
        <v>43</v>
      </c>
      <c r="F633" s="48" t="n">
        <v>59.1905</v>
      </c>
      <c r="G633" s="49" t="n">
        <v>6746.07</v>
      </c>
      <c r="H633" s="50" t="n">
        <f aca="false">F633*G633</f>
        <v>399303.256335</v>
      </c>
    </row>
    <row r="634" customFormat="false" ht="15" hidden="false" customHeight="false" outlineLevel="0" collapsed="false">
      <c r="B634" s="46" t="s">
        <v>144</v>
      </c>
      <c r="C634" s="46" t="s">
        <v>150</v>
      </c>
      <c r="D634" s="47" t="n">
        <v>45536</v>
      </c>
      <c r="E634" s="46" t="s">
        <v>43</v>
      </c>
      <c r="F634" s="48" t="n">
        <v>52.062</v>
      </c>
      <c r="G634" s="49" t="n">
        <v>4991.91</v>
      </c>
      <c r="H634" s="50" t="n">
        <f aca="false">F634*G634</f>
        <v>259888.81842</v>
      </c>
    </row>
    <row r="635" customFormat="false" ht="15" hidden="false" customHeight="false" outlineLevel="0" collapsed="false">
      <c r="B635" s="46" t="s">
        <v>145</v>
      </c>
      <c r="C635" s="46" t="s">
        <v>150</v>
      </c>
      <c r="D635" s="47" t="n">
        <v>45536</v>
      </c>
      <c r="E635" s="46" t="s">
        <v>43</v>
      </c>
      <c r="F635" s="48" t="n">
        <v>22.4862</v>
      </c>
      <c r="G635" s="49" t="n">
        <v>9359.25</v>
      </c>
      <c r="H635" s="50" t="n">
        <f aca="false">F635*G635</f>
        <v>210453.96735</v>
      </c>
    </row>
    <row r="636" customFormat="false" ht="15" hidden="false" customHeight="false" outlineLevel="0" collapsed="false">
      <c r="B636" s="46" t="s">
        <v>137</v>
      </c>
      <c r="C636" s="46" t="s">
        <v>150</v>
      </c>
      <c r="D636" s="47" t="n">
        <v>45566</v>
      </c>
      <c r="E636" s="46" t="s">
        <v>43</v>
      </c>
      <c r="F636" s="48" t="n">
        <v>121.1234</v>
      </c>
      <c r="G636" s="49" t="n">
        <v>5439.07</v>
      </c>
      <c r="H636" s="50" t="n">
        <f aca="false">F636*G636</f>
        <v>658798.651238</v>
      </c>
    </row>
    <row r="637" customFormat="false" ht="15" hidden="false" customHeight="false" outlineLevel="0" collapsed="false">
      <c r="B637" s="46" t="s">
        <v>142</v>
      </c>
      <c r="C637" s="46" t="s">
        <v>150</v>
      </c>
      <c r="D637" s="47" t="n">
        <v>45566</v>
      </c>
      <c r="E637" s="46" t="s">
        <v>43</v>
      </c>
      <c r="F637" s="48" t="n">
        <v>116.995</v>
      </c>
      <c r="G637" s="49" t="n">
        <v>4023.93</v>
      </c>
      <c r="H637" s="50" t="n">
        <f aca="false">F637*G637</f>
        <v>470779.69035</v>
      </c>
    </row>
    <row r="638" customFormat="false" ht="15" hidden="false" customHeight="false" outlineLevel="0" collapsed="false">
      <c r="B638" s="46" t="s">
        <v>143</v>
      </c>
      <c r="C638" s="46" t="s">
        <v>150</v>
      </c>
      <c r="D638" s="47" t="n">
        <v>45566</v>
      </c>
      <c r="E638" s="46" t="s">
        <v>43</v>
      </c>
      <c r="F638" s="48" t="n">
        <v>59.641</v>
      </c>
      <c r="G638" s="49" t="n">
        <v>6905.67</v>
      </c>
      <c r="H638" s="50" t="n">
        <f aca="false">F638*G638</f>
        <v>411861.06447</v>
      </c>
    </row>
    <row r="639" customFormat="false" ht="15" hidden="false" customHeight="false" outlineLevel="0" collapsed="false">
      <c r="B639" s="46" t="s">
        <v>144</v>
      </c>
      <c r="C639" s="46" t="s">
        <v>150</v>
      </c>
      <c r="D639" s="47" t="n">
        <v>45566</v>
      </c>
      <c r="E639" s="46" t="s">
        <v>43</v>
      </c>
      <c r="F639" s="48" t="n">
        <v>64.0411</v>
      </c>
      <c r="G639" s="49" t="n">
        <v>4942.14</v>
      </c>
      <c r="H639" s="50" t="n">
        <f aca="false">F639*G639</f>
        <v>316500.081954</v>
      </c>
    </row>
    <row r="640" customFormat="false" ht="15" hidden="false" customHeight="false" outlineLevel="0" collapsed="false">
      <c r="B640" s="46" t="s">
        <v>145</v>
      </c>
      <c r="C640" s="46" t="s">
        <v>150</v>
      </c>
      <c r="D640" s="47" t="n">
        <v>45566</v>
      </c>
      <c r="E640" s="46" t="s">
        <v>43</v>
      </c>
      <c r="F640" s="48" t="n">
        <v>24.2625</v>
      </c>
      <c r="G640" s="49" t="n">
        <v>9283.48</v>
      </c>
      <c r="H640" s="50" t="n">
        <f aca="false">F640*G640</f>
        <v>225240.4335</v>
      </c>
    </row>
    <row r="641" customFormat="false" ht="15" hidden="false" customHeight="false" outlineLevel="0" collapsed="false">
      <c r="B641" s="46" t="s">
        <v>137</v>
      </c>
      <c r="C641" s="46" t="s">
        <v>150</v>
      </c>
      <c r="D641" s="47" t="n">
        <v>45597</v>
      </c>
      <c r="E641" s="46" t="s">
        <v>43</v>
      </c>
      <c r="F641" s="48" t="n">
        <v>120.3323</v>
      </c>
      <c r="G641" s="49" t="n">
        <v>5559.66</v>
      </c>
      <c r="H641" s="50" t="n">
        <f aca="false">F641*G641</f>
        <v>669006.675018</v>
      </c>
    </row>
    <row r="642" customFormat="false" ht="15" hidden="false" customHeight="false" outlineLevel="0" collapsed="false">
      <c r="B642" s="46" t="s">
        <v>142</v>
      </c>
      <c r="C642" s="46" t="s">
        <v>150</v>
      </c>
      <c r="D642" s="47" t="n">
        <v>45597</v>
      </c>
      <c r="E642" s="46" t="s">
        <v>43</v>
      </c>
      <c r="F642" s="48" t="n">
        <v>121.6891</v>
      </c>
      <c r="G642" s="49" t="n">
        <v>4035.25</v>
      </c>
      <c r="H642" s="50" t="n">
        <f aca="false">F642*G642</f>
        <v>491045.940775</v>
      </c>
    </row>
    <row r="643" customFormat="false" ht="15" hidden="false" customHeight="false" outlineLevel="0" collapsed="false">
      <c r="B643" s="46" t="s">
        <v>143</v>
      </c>
      <c r="C643" s="46" t="s">
        <v>150</v>
      </c>
      <c r="D643" s="47" t="n">
        <v>45597</v>
      </c>
      <c r="E643" s="46" t="s">
        <v>43</v>
      </c>
      <c r="F643" s="48" t="n">
        <v>53.4914</v>
      </c>
      <c r="G643" s="49" t="n">
        <v>6858.75</v>
      </c>
      <c r="H643" s="50" t="n">
        <f aca="false">F643*G643</f>
        <v>366884.13975</v>
      </c>
    </row>
    <row r="644" customFormat="false" ht="15" hidden="false" customHeight="false" outlineLevel="0" collapsed="false">
      <c r="B644" s="46" t="s">
        <v>144</v>
      </c>
      <c r="C644" s="46" t="s">
        <v>150</v>
      </c>
      <c r="D644" s="47" t="n">
        <v>45597</v>
      </c>
      <c r="E644" s="46" t="s">
        <v>43</v>
      </c>
      <c r="F644" s="48" t="n">
        <v>67.0053</v>
      </c>
      <c r="G644" s="49" t="n">
        <v>4865.45</v>
      </c>
      <c r="H644" s="50" t="n">
        <f aca="false">F644*G644</f>
        <v>326010.936885</v>
      </c>
    </row>
    <row r="645" customFormat="false" ht="15" hidden="false" customHeight="false" outlineLevel="0" collapsed="false">
      <c r="B645" s="46" t="s">
        <v>145</v>
      </c>
      <c r="C645" s="46" t="s">
        <v>150</v>
      </c>
      <c r="D645" s="47" t="n">
        <v>45597</v>
      </c>
      <c r="E645" s="46" t="s">
        <v>43</v>
      </c>
      <c r="F645" s="48" t="n">
        <v>19.9507</v>
      </c>
      <c r="G645" s="49" t="n">
        <v>9366.3</v>
      </c>
      <c r="H645" s="50" t="n">
        <f aca="false">F645*G645</f>
        <v>186864.24141</v>
      </c>
    </row>
    <row r="646" customFormat="false" ht="15" hidden="false" customHeight="false" outlineLevel="0" collapsed="false">
      <c r="B646" s="46" t="s">
        <v>137</v>
      </c>
      <c r="C646" s="46" t="s">
        <v>150</v>
      </c>
      <c r="D646" s="47" t="n">
        <v>45627</v>
      </c>
      <c r="E646" s="46" t="s">
        <v>43</v>
      </c>
      <c r="F646" s="48" t="n">
        <v>118.5994</v>
      </c>
      <c r="G646" s="49" t="n">
        <v>5513.75</v>
      </c>
      <c r="H646" s="50" t="n">
        <f aca="false">F646*G646</f>
        <v>653927.44175</v>
      </c>
    </row>
    <row r="647" customFormat="false" ht="15" hidden="false" customHeight="false" outlineLevel="0" collapsed="false">
      <c r="B647" s="46" t="s">
        <v>142</v>
      </c>
      <c r="C647" s="46" t="s">
        <v>150</v>
      </c>
      <c r="D647" s="47" t="n">
        <v>45627</v>
      </c>
      <c r="E647" s="46" t="s">
        <v>43</v>
      </c>
      <c r="F647" s="48" t="n">
        <v>118.171</v>
      </c>
      <c r="G647" s="49" t="n">
        <v>3998.32</v>
      </c>
      <c r="H647" s="50" t="n">
        <f aca="false">F647*G647</f>
        <v>472485.47272</v>
      </c>
    </row>
    <row r="648" customFormat="false" ht="15" hidden="false" customHeight="false" outlineLevel="0" collapsed="false">
      <c r="B648" s="46" t="s">
        <v>143</v>
      </c>
      <c r="C648" s="46" t="s">
        <v>150</v>
      </c>
      <c r="D648" s="47" t="n">
        <v>45627</v>
      </c>
      <c r="E648" s="46" t="s">
        <v>43</v>
      </c>
      <c r="F648" s="48" t="n">
        <v>58.0624</v>
      </c>
      <c r="G648" s="49" t="n">
        <v>6608.76</v>
      </c>
      <c r="H648" s="50" t="n">
        <f aca="false">F648*G648</f>
        <v>383720.466624</v>
      </c>
    </row>
    <row r="649" customFormat="false" ht="15" hidden="false" customHeight="false" outlineLevel="0" collapsed="false">
      <c r="B649" s="46" t="s">
        <v>144</v>
      </c>
      <c r="C649" s="46" t="s">
        <v>150</v>
      </c>
      <c r="D649" s="47" t="n">
        <v>45627</v>
      </c>
      <c r="E649" s="46" t="s">
        <v>43</v>
      </c>
      <c r="F649" s="48" t="n">
        <v>60.5318</v>
      </c>
      <c r="G649" s="49" t="n">
        <v>5026</v>
      </c>
      <c r="H649" s="50" t="n">
        <f aca="false">F649*G649</f>
        <v>304232.8268</v>
      </c>
    </row>
    <row r="650" customFormat="false" ht="15" hidden="false" customHeight="false" outlineLevel="0" collapsed="false">
      <c r="B650" s="46" t="s">
        <v>145</v>
      </c>
      <c r="C650" s="46" t="s">
        <v>150</v>
      </c>
      <c r="D650" s="47" t="n">
        <v>45627</v>
      </c>
      <c r="E650" s="46" t="s">
        <v>43</v>
      </c>
      <c r="F650" s="48" t="n">
        <v>20.4308</v>
      </c>
      <c r="G650" s="49" t="n">
        <v>9471.89</v>
      </c>
      <c r="H650" s="50" t="n">
        <f aca="false">F650*G650</f>
        <v>193518.290212</v>
      </c>
    </row>
    <row r="651" customFormat="false" ht="15" hidden="false" customHeight="false" outlineLevel="0" collapsed="false">
      <c r="B651" s="46" t="s">
        <v>137</v>
      </c>
      <c r="C651" s="46" t="s">
        <v>150</v>
      </c>
      <c r="D651" s="47" t="n">
        <v>45658</v>
      </c>
      <c r="E651" s="46" t="s">
        <v>43</v>
      </c>
      <c r="F651" s="48" t="n">
        <v>114.2867</v>
      </c>
      <c r="G651" s="49" t="n">
        <v>5545.58</v>
      </c>
      <c r="H651" s="50" t="n">
        <f aca="false">F651*G651</f>
        <v>633786.037786</v>
      </c>
    </row>
    <row r="652" customFormat="false" ht="15" hidden="false" customHeight="false" outlineLevel="0" collapsed="false">
      <c r="B652" s="46" t="s">
        <v>142</v>
      </c>
      <c r="C652" s="46" t="s">
        <v>150</v>
      </c>
      <c r="D652" s="47" t="n">
        <v>45658</v>
      </c>
      <c r="E652" s="46" t="s">
        <v>43</v>
      </c>
      <c r="F652" s="48" t="n">
        <v>102.6315</v>
      </c>
      <c r="G652" s="49" t="n">
        <v>4018.93</v>
      </c>
      <c r="H652" s="50" t="n">
        <f aca="false">F652*G652</f>
        <v>412468.814295</v>
      </c>
    </row>
    <row r="653" customFormat="false" ht="15" hidden="false" customHeight="false" outlineLevel="0" collapsed="false">
      <c r="B653" s="46" t="s">
        <v>143</v>
      </c>
      <c r="C653" s="46" t="s">
        <v>150</v>
      </c>
      <c r="D653" s="47" t="n">
        <v>45658</v>
      </c>
      <c r="E653" s="46" t="s">
        <v>43</v>
      </c>
      <c r="F653" s="48" t="n">
        <v>52.5942</v>
      </c>
      <c r="G653" s="49" t="n">
        <v>6867.17</v>
      </c>
      <c r="H653" s="50" t="n">
        <f aca="false">F653*G653</f>
        <v>361173.312414</v>
      </c>
    </row>
    <row r="654" customFormat="false" ht="15" hidden="false" customHeight="false" outlineLevel="0" collapsed="false">
      <c r="B654" s="46" t="s">
        <v>144</v>
      </c>
      <c r="C654" s="46" t="s">
        <v>150</v>
      </c>
      <c r="D654" s="47" t="n">
        <v>45658</v>
      </c>
      <c r="E654" s="46" t="s">
        <v>43</v>
      </c>
      <c r="F654" s="48" t="n">
        <v>61.1157</v>
      </c>
      <c r="G654" s="49" t="n">
        <v>4874.6</v>
      </c>
      <c r="H654" s="50" t="n">
        <f aca="false">F654*G654</f>
        <v>297914.59122</v>
      </c>
    </row>
    <row r="655" customFormat="false" ht="15" hidden="false" customHeight="false" outlineLevel="0" collapsed="false">
      <c r="B655" s="46" t="s">
        <v>145</v>
      </c>
      <c r="C655" s="46" t="s">
        <v>150</v>
      </c>
      <c r="D655" s="47" t="n">
        <v>45658</v>
      </c>
      <c r="E655" s="46" t="s">
        <v>43</v>
      </c>
      <c r="F655" s="48" t="n">
        <v>22.753</v>
      </c>
      <c r="G655" s="49" t="n">
        <v>9396.67</v>
      </c>
      <c r="H655" s="50" t="n">
        <f aca="false">F655*G655</f>
        <v>213802.43251</v>
      </c>
    </row>
    <row r="656" customFormat="false" ht="15" hidden="false" customHeight="false" outlineLevel="0" collapsed="false">
      <c r="B656" s="46" t="s">
        <v>137</v>
      </c>
      <c r="C656" s="46" t="s">
        <v>150</v>
      </c>
      <c r="D656" s="47" t="n">
        <v>45689</v>
      </c>
      <c r="E656" s="46" t="s">
        <v>43</v>
      </c>
      <c r="F656" s="48" t="n">
        <v>116.7579</v>
      </c>
      <c r="G656" s="49" t="n">
        <v>5448.79</v>
      </c>
      <c r="H656" s="50" t="n">
        <f aca="false">F656*G656</f>
        <v>636189.277941</v>
      </c>
    </row>
    <row r="657" customFormat="false" ht="15" hidden="false" customHeight="false" outlineLevel="0" collapsed="false">
      <c r="B657" s="46" t="s">
        <v>142</v>
      </c>
      <c r="C657" s="46" t="s">
        <v>150</v>
      </c>
      <c r="D657" s="47" t="n">
        <v>45689</v>
      </c>
      <c r="E657" s="46" t="s">
        <v>43</v>
      </c>
      <c r="F657" s="48" t="n">
        <v>111.6762</v>
      </c>
      <c r="G657" s="49" t="n">
        <v>4112.51</v>
      </c>
      <c r="H657" s="50" t="n">
        <f aca="false">F657*G657</f>
        <v>459269.489262</v>
      </c>
    </row>
    <row r="658" customFormat="false" ht="15" hidden="false" customHeight="false" outlineLevel="0" collapsed="false">
      <c r="B658" s="46" t="s">
        <v>143</v>
      </c>
      <c r="C658" s="46" t="s">
        <v>150</v>
      </c>
      <c r="D658" s="47" t="n">
        <v>45689</v>
      </c>
      <c r="E658" s="46" t="s">
        <v>43</v>
      </c>
      <c r="F658" s="48" t="n">
        <v>55.6669</v>
      </c>
      <c r="G658" s="49" t="n">
        <v>6925.4</v>
      </c>
      <c r="H658" s="50" t="n">
        <f aca="false">F658*G658</f>
        <v>385515.54926</v>
      </c>
    </row>
    <row r="659" customFormat="false" ht="15" hidden="false" customHeight="false" outlineLevel="0" collapsed="false">
      <c r="B659" s="46" t="s">
        <v>144</v>
      </c>
      <c r="C659" s="46" t="s">
        <v>150</v>
      </c>
      <c r="D659" s="47" t="n">
        <v>45689</v>
      </c>
      <c r="E659" s="46" t="s">
        <v>43</v>
      </c>
      <c r="F659" s="48" t="n">
        <v>63.3746</v>
      </c>
      <c r="G659" s="49" t="n">
        <v>5016.19</v>
      </c>
      <c r="H659" s="50" t="n">
        <f aca="false">F659*G659</f>
        <v>317899.034774</v>
      </c>
    </row>
    <row r="660" customFormat="false" ht="15" hidden="false" customHeight="false" outlineLevel="0" collapsed="false">
      <c r="B660" s="46" t="s">
        <v>145</v>
      </c>
      <c r="C660" s="46" t="s">
        <v>150</v>
      </c>
      <c r="D660" s="47" t="n">
        <v>45689</v>
      </c>
      <c r="E660" s="46" t="s">
        <v>43</v>
      </c>
      <c r="F660" s="48" t="n">
        <v>20.3234</v>
      </c>
      <c r="G660" s="49" t="n">
        <v>9484.35</v>
      </c>
      <c r="H660" s="50" t="n">
        <f aca="false">F660*G660</f>
        <v>192754.23879</v>
      </c>
    </row>
    <row r="661" customFormat="false" ht="15" hidden="false" customHeight="false" outlineLevel="0" collapsed="false">
      <c r="B661" s="46" t="s">
        <v>137</v>
      </c>
      <c r="C661" s="46" t="s">
        <v>150</v>
      </c>
      <c r="D661" s="47" t="n">
        <v>45717</v>
      </c>
      <c r="E661" s="46" t="s">
        <v>43</v>
      </c>
      <c r="F661" s="48" t="n">
        <v>122.168</v>
      </c>
      <c r="G661" s="49" t="n">
        <v>5664.14</v>
      </c>
      <c r="H661" s="50" t="n">
        <f aca="false">F661*G661</f>
        <v>691976.65552</v>
      </c>
    </row>
    <row r="662" customFormat="false" ht="15" hidden="false" customHeight="false" outlineLevel="0" collapsed="false">
      <c r="B662" s="46" t="s">
        <v>142</v>
      </c>
      <c r="C662" s="46" t="s">
        <v>150</v>
      </c>
      <c r="D662" s="47" t="n">
        <v>45717</v>
      </c>
      <c r="E662" s="46" t="s">
        <v>43</v>
      </c>
      <c r="F662" s="48" t="n">
        <v>136.9794</v>
      </c>
      <c r="G662" s="49" t="n">
        <v>4001.07</v>
      </c>
      <c r="H662" s="50" t="n">
        <f aca="false">F662*G662</f>
        <v>548064.167958</v>
      </c>
    </row>
    <row r="663" customFormat="false" ht="15" hidden="false" customHeight="false" outlineLevel="0" collapsed="false">
      <c r="B663" s="46" t="s">
        <v>143</v>
      </c>
      <c r="C663" s="46" t="s">
        <v>150</v>
      </c>
      <c r="D663" s="47" t="n">
        <v>45717</v>
      </c>
      <c r="E663" s="46" t="s">
        <v>43</v>
      </c>
      <c r="F663" s="48" t="n">
        <v>59.903</v>
      </c>
      <c r="G663" s="49" t="n">
        <v>6822.32</v>
      </c>
      <c r="H663" s="50" t="n">
        <f aca="false">F663*G663</f>
        <v>408677.43496</v>
      </c>
    </row>
    <row r="664" customFormat="false" ht="15" hidden="false" customHeight="false" outlineLevel="0" collapsed="false">
      <c r="B664" s="46" t="s">
        <v>144</v>
      </c>
      <c r="C664" s="46" t="s">
        <v>150</v>
      </c>
      <c r="D664" s="47" t="n">
        <v>45717</v>
      </c>
      <c r="E664" s="46" t="s">
        <v>43</v>
      </c>
      <c r="F664" s="48" t="n">
        <v>70.7592</v>
      </c>
      <c r="G664" s="49" t="n">
        <v>4932.84</v>
      </c>
      <c r="H664" s="50" t="n">
        <f aca="false">F664*G664</f>
        <v>349043.812128</v>
      </c>
    </row>
    <row r="665" customFormat="false" ht="15" hidden="false" customHeight="false" outlineLevel="0" collapsed="false">
      <c r="B665" s="46" t="s">
        <v>145</v>
      </c>
      <c r="C665" s="46" t="s">
        <v>150</v>
      </c>
      <c r="D665" s="47" t="n">
        <v>45717</v>
      </c>
      <c r="E665" s="46" t="s">
        <v>43</v>
      </c>
      <c r="F665" s="48" t="n">
        <v>23.6858</v>
      </c>
      <c r="G665" s="49" t="n">
        <v>9574.45</v>
      </c>
      <c r="H665" s="50" t="n">
        <f aca="false">F665*G665</f>
        <v>226778.50781</v>
      </c>
    </row>
    <row r="666" customFormat="false" ht="15" hidden="false" customHeight="false" outlineLevel="0" collapsed="false">
      <c r="B666" s="46" t="s">
        <v>137</v>
      </c>
      <c r="C666" s="46" t="s">
        <v>150</v>
      </c>
      <c r="D666" s="47" t="n">
        <v>45748</v>
      </c>
      <c r="E666" s="46" t="s">
        <v>44</v>
      </c>
      <c r="F666" s="48" t="n">
        <v>114.7164</v>
      </c>
      <c r="G666" s="49" t="n">
        <v>5506.88</v>
      </c>
      <c r="H666" s="50" t="n">
        <f aca="false">F666*G666</f>
        <v>631729.448832</v>
      </c>
    </row>
    <row r="667" customFormat="false" ht="15" hidden="false" customHeight="false" outlineLevel="0" collapsed="false">
      <c r="B667" s="46" t="s">
        <v>142</v>
      </c>
      <c r="C667" s="46" t="s">
        <v>150</v>
      </c>
      <c r="D667" s="47" t="n">
        <v>45748</v>
      </c>
      <c r="E667" s="46" t="s">
        <v>44</v>
      </c>
      <c r="F667" s="48" t="n">
        <v>118.5777</v>
      </c>
      <c r="G667" s="49" t="n">
        <v>4049.69</v>
      </c>
      <c r="H667" s="50" t="n">
        <f aca="false">F667*G667</f>
        <v>480202.925913</v>
      </c>
    </row>
    <row r="668" customFormat="false" ht="15" hidden="false" customHeight="false" outlineLevel="0" collapsed="false">
      <c r="B668" s="46" t="s">
        <v>143</v>
      </c>
      <c r="C668" s="46" t="s">
        <v>150</v>
      </c>
      <c r="D668" s="47" t="n">
        <v>45748</v>
      </c>
      <c r="E668" s="46" t="s">
        <v>44</v>
      </c>
      <c r="F668" s="48" t="n">
        <v>59.7358</v>
      </c>
      <c r="G668" s="49" t="n">
        <v>6818.24</v>
      </c>
      <c r="H668" s="50" t="n">
        <f aca="false">F668*G668</f>
        <v>407293.020992</v>
      </c>
    </row>
    <row r="669" customFormat="false" ht="15" hidden="false" customHeight="false" outlineLevel="0" collapsed="false">
      <c r="B669" s="46" t="s">
        <v>144</v>
      </c>
      <c r="C669" s="46" t="s">
        <v>150</v>
      </c>
      <c r="D669" s="47" t="n">
        <v>45748</v>
      </c>
      <c r="E669" s="46" t="s">
        <v>44</v>
      </c>
      <c r="F669" s="48" t="n">
        <v>60.188</v>
      </c>
      <c r="G669" s="49" t="n">
        <v>5072.84</v>
      </c>
      <c r="H669" s="50" t="n">
        <f aca="false">F669*G669</f>
        <v>305324.09392</v>
      </c>
    </row>
    <row r="670" customFormat="false" ht="15" hidden="false" customHeight="false" outlineLevel="0" collapsed="false">
      <c r="B670" s="46" t="s">
        <v>145</v>
      </c>
      <c r="C670" s="46" t="s">
        <v>150</v>
      </c>
      <c r="D670" s="47" t="n">
        <v>45748</v>
      </c>
      <c r="E670" s="46" t="s">
        <v>44</v>
      </c>
      <c r="F670" s="48" t="n">
        <v>21.9039</v>
      </c>
      <c r="G670" s="49" t="n">
        <v>9345.16</v>
      </c>
      <c r="H670" s="50" t="n">
        <f aca="false">F670*G670</f>
        <v>204695.450124</v>
      </c>
    </row>
    <row r="671" customFormat="false" ht="15" hidden="false" customHeight="false" outlineLevel="0" collapsed="false">
      <c r="B671" s="46" t="s">
        <v>137</v>
      </c>
      <c r="C671" s="46" t="s">
        <v>150</v>
      </c>
      <c r="D671" s="47" t="n">
        <v>45778</v>
      </c>
      <c r="E671" s="46" t="s">
        <v>44</v>
      </c>
      <c r="F671" s="48" t="n">
        <v>114.0859</v>
      </c>
      <c r="G671" s="49" t="n">
        <v>5522.43</v>
      </c>
      <c r="H671" s="50" t="n">
        <f aca="false">F671*G671</f>
        <v>630031.396737</v>
      </c>
    </row>
    <row r="672" customFormat="false" ht="15" hidden="false" customHeight="false" outlineLevel="0" collapsed="false">
      <c r="B672" s="46" t="s">
        <v>142</v>
      </c>
      <c r="C672" s="46" t="s">
        <v>150</v>
      </c>
      <c r="D672" s="47" t="n">
        <v>45778</v>
      </c>
      <c r="E672" s="46" t="s">
        <v>44</v>
      </c>
      <c r="F672" s="48" t="n">
        <v>112.1299</v>
      </c>
      <c r="G672" s="49" t="n">
        <v>4001.31</v>
      </c>
      <c r="H672" s="50" t="n">
        <f aca="false">F672*G672</f>
        <v>448666.490169</v>
      </c>
    </row>
    <row r="673" customFormat="false" ht="15" hidden="false" customHeight="false" outlineLevel="0" collapsed="false">
      <c r="B673" s="46" t="s">
        <v>143</v>
      </c>
      <c r="C673" s="46" t="s">
        <v>150</v>
      </c>
      <c r="D673" s="47" t="n">
        <v>45778</v>
      </c>
      <c r="E673" s="46" t="s">
        <v>44</v>
      </c>
      <c r="F673" s="48" t="n">
        <v>60.6379</v>
      </c>
      <c r="G673" s="49" t="n">
        <v>6886.35</v>
      </c>
      <c r="H673" s="50" t="n">
        <f aca="false">F673*G673</f>
        <v>417573.802665</v>
      </c>
    </row>
    <row r="674" customFormat="false" ht="15" hidden="false" customHeight="false" outlineLevel="0" collapsed="false">
      <c r="B674" s="46" t="s">
        <v>144</v>
      </c>
      <c r="C674" s="46" t="s">
        <v>150</v>
      </c>
      <c r="D674" s="47" t="n">
        <v>45778</v>
      </c>
      <c r="E674" s="46" t="s">
        <v>44</v>
      </c>
      <c r="F674" s="48" t="n">
        <v>67.9411</v>
      </c>
      <c r="G674" s="49" t="n">
        <v>5000.38</v>
      </c>
      <c r="H674" s="50" t="n">
        <f aca="false">F674*G674</f>
        <v>339731.317618</v>
      </c>
    </row>
    <row r="675" customFormat="false" ht="15" hidden="false" customHeight="false" outlineLevel="0" collapsed="false">
      <c r="B675" s="46" t="s">
        <v>145</v>
      </c>
      <c r="C675" s="46" t="s">
        <v>150</v>
      </c>
      <c r="D675" s="47" t="n">
        <v>45778</v>
      </c>
      <c r="E675" s="46" t="s">
        <v>44</v>
      </c>
      <c r="F675" s="48" t="n">
        <v>20.5377</v>
      </c>
      <c r="G675" s="49" t="n">
        <v>9770.24</v>
      </c>
      <c r="H675" s="50" t="n">
        <f aca="false">F675*G675</f>
        <v>200658.258048</v>
      </c>
    </row>
    <row r="676" customFormat="false" ht="15" hidden="false" customHeight="false" outlineLevel="0" collapsed="false">
      <c r="B676" s="46" t="s">
        <v>137</v>
      </c>
      <c r="C676" s="46" t="s">
        <v>150</v>
      </c>
      <c r="D676" s="47" t="n">
        <v>45809</v>
      </c>
      <c r="E676" s="46" t="s">
        <v>44</v>
      </c>
      <c r="F676" s="48" t="n">
        <v>117.2623</v>
      </c>
      <c r="G676" s="49" t="n">
        <v>5620.1</v>
      </c>
      <c r="H676" s="50" t="n">
        <f aca="false">F676*G676</f>
        <v>659025.85223</v>
      </c>
    </row>
    <row r="677" customFormat="false" ht="15" hidden="false" customHeight="false" outlineLevel="0" collapsed="false">
      <c r="B677" s="46" t="s">
        <v>142</v>
      </c>
      <c r="C677" s="46" t="s">
        <v>150</v>
      </c>
      <c r="D677" s="47" t="n">
        <v>45809</v>
      </c>
      <c r="E677" s="46" t="s">
        <v>44</v>
      </c>
      <c r="F677" s="48" t="n">
        <v>126.3641</v>
      </c>
      <c r="G677" s="49" t="n">
        <v>4043.1</v>
      </c>
      <c r="H677" s="50" t="n">
        <f aca="false">F677*G677</f>
        <v>510902.69271</v>
      </c>
    </row>
    <row r="678" customFormat="false" ht="15" hidden="false" customHeight="false" outlineLevel="0" collapsed="false">
      <c r="B678" s="46" t="s">
        <v>143</v>
      </c>
      <c r="C678" s="46" t="s">
        <v>150</v>
      </c>
      <c r="D678" s="47" t="n">
        <v>45809</v>
      </c>
      <c r="E678" s="46" t="s">
        <v>44</v>
      </c>
      <c r="F678" s="48" t="n">
        <v>57.1248</v>
      </c>
      <c r="G678" s="49" t="n">
        <v>7018.72</v>
      </c>
      <c r="H678" s="50" t="n">
        <f aca="false">F678*G678</f>
        <v>400942.976256</v>
      </c>
    </row>
    <row r="679" customFormat="false" ht="15" hidden="false" customHeight="false" outlineLevel="0" collapsed="false">
      <c r="B679" s="46" t="s">
        <v>144</v>
      </c>
      <c r="C679" s="46" t="s">
        <v>150</v>
      </c>
      <c r="D679" s="47" t="n">
        <v>45809</v>
      </c>
      <c r="E679" s="46" t="s">
        <v>44</v>
      </c>
      <c r="F679" s="48" t="n">
        <v>64.956</v>
      </c>
      <c r="G679" s="49" t="n">
        <v>5029.49</v>
      </c>
      <c r="H679" s="50" t="n">
        <f aca="false">F679*G679</f>
        <v>326695.55244</v>
      </c>
    </row>
    <row r="680" customFormat="false" ht="15" hidden="false" customHeight="false" outlineLevel="0" collapsed="false">
      <c r="B680" s="46" t="s">
        <v>145</v>
      </c>
      <c r="C680" s="46" t="s">
        <v>150</v>
      </c>
      <c r="D680" s="47" t="n">
        <v>45809</v>
      </c>
      <c r="E680" s="46" t="s">
        <v>44</v>
      </c>
      <c r="F680" s="48" t="n">
        <v>21.3213</v>
      </c>
      <c r="G680" s="49" t="n">
        <v>9623.12</v>
      </c>
      <c r="H680" s="50" t="n">
        <f aca="false">F680*G680</f>
        <v>205177.428456</v>
      </c>
    </row>
    <row r="681" customFormat="false" ht="15" hidden="false" customHeight="false" outlineLevel="0" collapsed="false">
      <c r="B681" s="46" t="s">
        <v>137</v>
      </c>
      <c r="C681" s="46" t="s">
        <v>150</v>
      </c>
      <c r="D681" s="47" t="n">
        <v>45839</v>
      </c>
      <c r="E681" s="46" t="s">
        <v>44</v>
      </c>
      <c r="F681" s="48" t="n">
        <v>116.9113</v>
      </c>
      <c r="G681" s="49" t="n">
        <v>5668.24</v>
      </c>
      <c r="H681" s="50" t="n">
        <f aca="false">F681*G681</f>
        <v>662681.307112</v>
      </c>
    </row>
    <row r="682" customFormat="false" ht="15" hidden="false" customHeight="false" outlineLevel="0" collapsed="false">
      <c r="B682" s="46" t="s">
        <v>142</v>
      </c>
      <c r="C682" s="46" t="s">
        <v>150</v>
      </c>
      <c r="D682" s="47" t="n">
        <v>45839</v>
      </c>
      <c r="E682" s="46" t="s">
        <v>44</v>
      </c>
      <c r="F682" s="48" t="n">
        <v>116.6508</v>
      </c>
      <c r="G682" s="49" t="n">
        <v>4025.09</v>
      </c>
      <c r="H682" s="50" t="n">
        <f aca="false">F682*G682</f>
        <v>469529.968572</v>
      </c>
    </row>
    <row r="683" customFormat="false" ht="15" hidden="false" customHeight="false" outlineLevel="0" collapsed="false">
      <c r="B683" s="46" t="s">
        <v>143</v>
      </c>
      <c r="C683" s="46" t="s">
        <v>150</v>
      </c>
      <c r="D683" s="47" t="n">
        <v>45839</v>
      </c>
      <c r="E683" s="46" t="s">
        <v>44</v>
      </c>
      <c r="F683" s="48" t="n">
        <v>56.723</v>
      </c>
      <c r="G683" s="49" t="n">
        <v>7022.76</v>
      </c>
      <c r="H683" s="50" t="n">
        <f aca="false">F683*G683</f>
        <v>398352.01548</v>
      </c>
    </row>
    <row r="684" customFormat="false" ht="15" hidden="false" customHeight="false" outlineLevel="0" collapsed="false">
      <c r="B684" s="46" t="s">
        <v>144</v>
      </c>
      <c r="C684" s="46" t="s">
        <v>150</v>
      </c>
      <c r="D684" s="47" t="n">
        <v>45839</v>
      </c>
      <c r="E684" s="46" t="s">
        <v>44</v>
      </c>
      <c r="F684" s="48" t="n">
        <v>64.7395</v>
      </c>
      <c r="G684" s="49" t="n">
        <v>5012.23</v>
      </c>
      <c r="H684" s="50" t="n">
        <f aca="false">F684*G684</f>
        <v>324489.264085</v>
      </c>
    </row>
    <row r="685" customFormat="false" ht="15" hidden="false" customHeight="false" outlineLevel="0" collapsed="false">
      <c r="B685" s="46" t="s">
        <v>145</v>
      </c>
      <c r="C685" s="46" t="s">
        <v>150</v>
      </c>
      <c r="D685" s="47" t="n">
        <v>45839</v>
      </c>
      <c r="E685" s="46" t="s">
        <v>44</v>
      </c>
      <c r="F685" s="48" t="n">
        <v>20.8908</v>
      </c>
      <c r="G685" s="49" t="n">
        <v>9647.48</v>
      </c>
      <c r="H685" s="50" t="n">
        <f aca="false">F685*G685</f>
        <v>201543.575184</v>
      </c>
    </row>
    <row r="686" customFormat="false" ht="15" hidden="false" customHeight="false" outlineLevel="0" collapsed="false">
      <c r="B686" s="46" t="s">
        <v>137</v>
      </c>
      <c r="C686" s="46" t="s">
        <v>150</v>
      </c>
      <c r="D686" s="47" t="n">
        <v>45870</v>
      </c>
      <c r="E686" s="46" t="s">
        <v>44</v>
      </c>
      <c r="F686" s="48" t="n">
        <v>106.2448</v>
      </c>
      <c r="G686" s="49" t="n">
        <v>5723.54</v>
      </c>
      <c r="H686" s="50" t="n">
        <f aca="false">F686*G686</f>
        <v>608096.362592</v>
      </c>
    </row>
    <row r="687" customFormat="false" ht="15" hidden="false" customHeight="false" outlineLevel="0" collapsed="false">
      <c r="B687" s="46" t="s">
        <v>142</v>
      </c>
      <c r="C687" s="46" t="s">
        <v>150</v>
      </c>
      <c r="D687" s="47" t="n">
        <v>45870</v>
      </c>
      <c r="E687" s="46" t="s">
        <v>44</v>
      </c>
      <c r="F687" s="48" t="n">
        <v>121.1735</v>
      </c>
      <c r="G687" s="49" t="n">
        <v>4147.11</v>
      </c>
      <c r="H687" s="50" t="n">
        <f aca="false">F687*G687</f>
        <v>502519.833585</v>
      </c>
    </row>
    <row r="688" customFormat="false" ht="15" hidden="false" customHeight="false" outlineLevel="0" collapsed="false">
      <c r="B688" s="46" t="s">
        <v>143</v>
      </c>
      <c r="C688" s="46" t="s">
        <v>150</v>
      </c>
      <c r="D688" s="47" t="n">
        <v>45870</v>
      </c>
      <c r="E688" s="46" t="s">
        <v>44</v>
      </c>
      <c r="F688" s="48" t="n">
        <v>56.2013</v>
      </c>
      <c r="G688" s="49" t="n">
        <v>7081.12</v>
      </c>
      <c r="H688" s="50" t="n">
        <f aca="false">F688*G688</f>
        <v>397968.149456</v>
      </c>
    </row>
    <row r="689" customFormat="false" ht="15" hidden="false" customHeight="false" outlineLevel="0" collapsed="false">
      <c r="B689" s="46" t="s">
        <v>144</v>
      </c>
      <c r="C689" s="46" t="s">
        <v>150</v>
      </c>
      <c r="D689" s="47" t="n">
        <v>45870</v>
      </c>
      <c r="E689" s="46" t="s">
        <v>44</v>
      </c>
      <c r="F689" s="48" t="n">
        <v>67.3234</v>
      </c>
      <c r="G689" s="49" t="n">
        <v>5087.09</v>
      </c>
      <c r="H689" s="50" t="n">
        <f aca="false">F689*G689</f>
        <v>342480.194906</v>
      </c>
    </row>
    <row r="690" customFormat="false" ht="15" hidden="false" customHeight="false" outlineLevel="0" collapsed="false">
      <c r="B690" s="46" t="s">
        <v>145</v>
      </c>
      <c r="C690" s="46" t="s">
        <v>150</v>
      </c>
      <c r="D690" s="47" t="n">
        <v>45870</v>
      </c>
      <c r="E690" s="46" t="s">
        <v>44</v>
      </c>
      <c r="F690" s="48" t="n">
        <v>20.6473</v>
      </c>
      <c r="G690" s="49" t="n">
        <v>9974.46</v>
      </c>
      <c r="H690" s="50" t="n">
        <f aca="false">F690*G690</f>
        <v>205945.667958</v>
      </c>
    </row>
    <row r="691" customFormat="false" ht="15" hidden="false" customHeight="false" outlineLevel="0" collapsed="false">
      <c r="B691" s="46" t="s">
        <v>137</v>
      </c>
      <c r="C691" s="46" t="s">
        <v>150</v>
      </c>
      <c r="D691" s="47" t="n">
        <v>45901</v>
      </c>
      <c r="E691" s="46" t="s">
        <v>44</v>
      </c>
      <c r="F691" s="48" t="n">
        <v>117.0738</v>
      </c>
      <c r="G691" s="49" t="n">
        <v>5663.74</v>
      </c>
      <c r="H691" s="50" t="n">
        <f aca="false">F691*G691</f>
        <v>663075.564012</v>
      </c>
    </row>
    <row r="692" customFormat="false" ht="15" hidden="false" customHeight="false" outlineLevel="0" collapsed="false">
      <c r="B692" s="46" t="s">
        <v>142</v>
      </c>
      <c r="C692" s="46" t="s">
        <v>150</v>
      </c>
      <c r="D692" s="47" t="n">
        <v>45901</v>
      </c>
      <c r="E692" s="46" t="s">
        <v>44</v>
      </c>
      <c r="F692" s="48" t="n">
        <v>122.8591</v>
      </c>
      <c r="G692" s="49" t="n">
        <v>4102.91</v>
      </c>
      <c r="H692" s="50" t="n">
        <f aca="false">F692*G692</f>
        <v>504079.829981</v>
      </c>
    </row>
    <row r="693" customFormat="false" ht="15" hidden="false" customHeight="false" outlineLevel="0" collapsed="false">
      <c r="B693" s="46" t="s">
        <v>143</v>
      </c>
      <c r="C693" s="46" t="s">
        <v>150</v>
      </c>
      <c r="D693" s="47" t="n">
        <v>45901</v>
      </c>
      <c r="E693" s="46" t="s">
        <v>44</v>
      </c>
      <c r="F693" s="48" t="n">
        <v>59.2632</v>
      </c>
      <c r="G693" s="49" t="n">
        <v>7056.63</v>
      </c>
      <c r="H693" s="50" t="n">
        <f aca="false">F693*G693</f>
        <v>418198.475016</v>
      </c>
    </row>
    <row r="694" customFormat="false" ht="15" hidden="false" customHeight="false" outlineLevel="0" collapsed="false">
      <c r="B694" s="46" t="s">
        <v>144</v>
      </c>
      <c r="C694" s="46" t="s">
        <v>150</v>
      </c>
      <c r="D694" s="47" t="n">
        <v>45901</v>
      </c>
      <c r="E694" s="46" t="s">
        <v>44</v>
      </c>
      <c r="F694" s="48" t="n">
        <v>65.6351</v>
      </c>
      <c r="G694" s="49" t="n">
        <v>5048.83</v>
      </c>
      <c r="H694" s="50" t="n">
        <f aca="false">F694*G694</f>
        <v>331380.461933</v>
      </c>
    </row>
    <row r="695" customFormat="false" ht="15" hidden="false" customHeight="false" outlineLevel="0" collapsed="false">
      <c r="B695" s="46" t="s">
        <v>145</v>
      </c>
      <c r="C695" s="46" t="s">
        <v>150</v>
      </c>
      <c r="D695" s="47" t="n">
        <v>45901</v>
      </c>
      <c r="E695" s="46" t="s">
        <v>44</v>
      </c>
      <c r="F695" s="48" t="n">
        <v>20.6557</v>
      </c>
      <c r="G695" s="49" t="n">
        <v>9867.78</v>
      </c>
      <c r="H695" s="50" t="n">
        <f aca="false">F695*G695</f>
        <v>203825.903346</v>
      </c>
    </row>
    <row r="696" customFormat="false" ht="15" hidden="false" customHeight="false" outlineLevel="0" collapsed="false">
      <c r="B696" s="46" t="s">
        <v>137</v>
      </c>
      <c r="C696" s="46" t="s">
        <v>150</v>
      </c>
      <c r="D696" s="47" t="n">
        <v>45931</v>
      </c>
      <c r="E696" s="46" t="s">
        <v>44</v>
      </c>
      <c r="F696" s="48" t="n">
        <v>119.1113</v>
      </c>
      <c r="G696" s="49" t="n">
        <v>5667.76</v>
      </c>
      <c r="H696" s="50" t="n">
        <f aca="false">F696*G696</f>
        <v>675094.261688</v>
      </c>
    </row>
    <row r="697" customFormat="false" ht="15" hidden="false" customHeight="false" outlineLevel="0" collapsed="false">
      <c r="B697" s="46" t="s">
        <v>142</v>
      </c>
      <c r="C697" s="46" t="s">
        <v>150</v>
      </c>
      <c r="D697" s="47" t="n">
        <v>45931</v>
      </c>
      <c r="E697" s="46" t="s">
        <v>44</v>
      </c>
      <c r="F697" s="48" t="n">
        <v>133.0598</v>
      </c>
      <c r="G697" s="49" t="n">
        <v>4129.2</v>
      </c>
      <c r="H697" s="50" t="n">
        <f aca="false">F697*G697</f>
        <v>549430.52616</v>
      </c>
    </row>
    <row r="698" customFormat="false" ht="15" hidden="false" customHeight="false" outlineLevel="0" collapsed="false">
      <c r="B698" s="46" t="s">
        <v>143</v>
      </c>
      <c r="C698" s="46" t="s">
        <v>150</v>
      </c>
      <c r="D698" s="47" t="n">
        <v>45931</v>
      </c>
      <c r="E698" s="46" t="s">
        <v>44</v>
      </c>
      <c r="F698" s="48" t="n">
        <v>61.3425</v>
      </c>
      <c r="G698" s="49" t="n">
        <v>7028.33</v>
      </c>
      <c r="H698" s="50" t="n">
        <f aca="false">F698*G698</f>
        <v>431135.333025</v>
      </c>
    </row>
    <row r="699" customFormat="false" ht="15" hidden="false" customHeight="false" outlineLevel="0" collapsed="false">
      <c r="B699" s="46" t="s">
        <v>144</v>
      </c>
      <c r="C699" s="46" t="s">
        <v>150</v>
      </c>
      <c r="D699" s="47" t="n">
        <v>45931</v>
      </c>
      <c r="E699" s="46" t="s">
        <v>44</v>
      </c>
      <c r="F699" s="48" t="n">
        <v>67.4951</v>
      </c>
      <c r="G699" s="49" t="n">
        <v>5058.24</v>
      </c>
      <c r="H699" s="50" t="n">
        <f aca="false">F699*G699</f>
        <v>341406.414624</v>
      </c>
    </row>
    <row r="700" customFormat="false" ht="15" hidden="false" customHeight="false" outlineLevel="0" collapsed="false">
      <c r="B700" s="46" t="s">
        <v>145</v>
      </c>
      <c r="C700" s="46" t="s">
        <v>150</v>
      </c>
      <c r="D700" s="47" t="n">
        <v>45931</v>
      </c>
      <c r="E700" s="46" t="s">
        <v>44</v>
      </c>
      <c r="F700" s="48" t="n">
        <v>20.9696</v>
      </c>
      <c r="G700" s="49" t="n">
        <v>9877.56</v>
      </c>
      <c r="H700" s="50" t="n">
        <f aca="false">F700*G700</f>
        <v>207128.482176</v>
      </c>
    </row>
    <row r="701" customFormat="false" ht="15" hidden="false" customHeight="false" outlineLevel="0" collapsed="false">
      <c r="B701" s="46" t="s">
        <v>137</v>
      </c>
      <c r="C701" s="46" t="s">
        <v>150</v>
      </c>
      <c r="D701" s="47" t="n">
        <v>45962</v>
      </c>
      <c r="E701" s="46" t="s">
        <v>44</v>
      </c>
      <c r="F701" s="48" t="n">
        <v>115.4388</v>
      </c>
      <c r="G701" s="49" t="n">
        <v>5626.85</v>
      </c>
      <c r="H701" s="50" t="n">
        <f aca="false">F701*G701</f>
        <v>649556.81178</v>
      </c>
    </row>
    <row r="702" customFormat="false" ht="15" hidden="false" customHeight="false" outlineLevel="0" collapsed="false">
      <c r="B702" s="46" t="s">
        <v>142</v>
      </c>
      <c r="C702" s="46" t="s">
        <v>150</v>
      </c>
      <c r="D702" s="47" t="n">
        <v>45962</v>
      </c>
      <c r="E702" s="46" t="s">
        <v>44</v>
      </c>
      <c r="F702" s="48" t="n">
        <v>121.9361</v>
      </c>
      <c r="G702" s="49" t="n">
        <v>4187.13</v>
      </c>
      <c r="H702" s="50" t="n">
        <f aca="false">F702*G702</f>
        <v>510562.302393</v>
      </c>
    </row>
    <row r="703" customFormat="false" ht="15" hidden="false" customHeight="false" outlineLevel="0" collapsed="false">
      <c r="B703" s="46" t="s">
        <v>143</v>
      </c>
      <c r="C703" s="46" t="s">
        <v>150</v>
      </c>
      <c r="D703" s="47" t="n">
        <v>45962</v>
      </c>
      <c r="E703" s="46" t="s">
        <v>44</v>
      </c>
      <c r="F703" s="48" t="n">
        <v>61.7216</v>
      </c>
      <c r="G703" s="49" t="n">
        <v>7172.82</v>
      </c>
      <c r="H703" s="50" t="n">
        <f aca="false">F703*G703</f>
        <v>442717.926912</v>
      </c>
    </row>
    <row r="704" customFormat="false" ht="15" hidden="false" customHeight="false" outlineLevel="0" collapsed="false">
      <c r="B704" s="46" t="s">
        <v>144</v>
      </c>
      <c r="C704" s="46" t="s">
        <v>150</v>
      </c>
      <c r="D704" s="47" t="n">
        <v>45962</v>
      </c>
      <c r="E704" s="46" t="s">
        <v>44</v>
      </c>
      <c r="F704" s="48" t="n">
        <v>72.9435</v>
      </c>
      <c r="G704" s="49" t="n">
        <v>5150.98</v>
      </c>
      <c r="H704" s="50" t="n">
        <f aca="false">F704*G704</f>
        <v>375730.50963</v>
      </c>
    </row>
    <row r="705" customFormat="false" ht="15" hidden="false" customHeight="false" outlineLevel="0" collapsed="false">
      <c r="B705" s="46" t="s">
        <v>145</v>
      </c>
      <c r="C705" s="46" t="s">
        <v>150</v>
      </c>
      <c r="D705" s="47" t="n">
        <v>45962</v>
      </c>
      <c r="E705" s="46" t="s">
        <v>44</v>
      </c>
      <c r="F705" s="48" t="n">
        <v>20.1101</v>
      </c>
      <c r="G705" s="49" t="n">
        <v>9899.87</v>
      </c>
      <c r="H705" s="50" t="n">
        <f aca="false">F705*G705</f>
        <v>199087.375687</v>
      </c>
    </row>
    <row r="706" customFormat="false" ht="15" hidden="false" customHeight="false" outlineLevel="0" collapsed="false">
      <c r="B706" s="46" t="s">
        <v>137</v>
      </c>
      <c r="C706" s="46" t="s">
        <v>150</v>
      </c>
      <c r="D706" s="47" t="n">
        <v>45992</v>
      </c>
      <c r="E706" s="46" t="s">
        <v>44</v>
      </c>
      <c r="F706" s="48" t="n">
        <v>109.868</v>
      </c>
      <c r="G706" s="49" t="n">
        <v>5718.42</v>
      </c>
      <c r="H706" s="50" t="n">
        <f aca="false">F706*G706</f>
        <v>628271.36856</v>
      </c>
    </row>
    <row r="707" customFormat="false" ht="15" hidden="false" customHeight="false" outlineLevel="0" collapsed="false">
      <c r="B707" s="46" t="s">
        <v>142</v>
      </c>
      <c r="C707" s="46" t="s">
        <v>150</v>
      </c>
      <c r="D707" s="47" t="n">
        <v>45992</v>
      </c>
      <c r="E707" s="46" t="s">
        <v>44</v>
      </c>
      <c r="F707" s="48" t="n">
        <v>123.1047</v>
      </c>
      <c r="G707" s="49" t="n">
        <v>4082.61</v>
      </c>
      <c r="H707" s="50" t="n">
        <f aca="false">F707*G707</f>
        <v>502588.479267</v>
      </c>
    </row>
    <row r="708" customFormat="false" ht="15" hidden="false" customHeight="false" outlineLevel="0" collapsed="false">
      <c r="B708" s="46" t="s">
        <v>143</v>
      </c>
      <c r="C708" s="46" t="s">
        <v>150</v>
      </c>
      <c r="D708" s="47" t="n">
        <v>45992</v>
      </c>
      <c r="E708" s="46" t="s">
        <v>44</v>
      </c>
      <c r="F708" s="48" t="n">
        <v>53.5525</v>
      </c>
      <c r="G708" s="49" t="n">
        <v>7151.94</v>
      </c>
      <c r="H708" s="50" t="n">
        <f aca="false">F708*G708</f>
        <v>383004.26685</v>
      </c>
    </row>
    <row r="709" customFormat="false" ht="15" hidden="false" customHeight="false" outlineLevel="0" collapsed="false">
      <c r="B709" s="46" t="s">
        <v>144</v>
      </c>
      <c r="C709" s="46" t="s">
        <v>150</v>
      </c>
      <c r="D709" s="47" t="n">
        <v>45992</v>
      </c>
      <c r="E709" s="46" t="s">
        <v>44</v>
      </c>
      <c r="F709" s="48" t="n">
        <v>68.2841</v>
      </c>
      <c r="G709" s="49" t="n">
        <v>5077.84</v>
      </c>
      <c r="H709" s="50" t="n">
        <f aca="false">F709*G709</f>
        <v>346735.734344</v>
      </c>
    </row>
    <row r="710" customFormat="false" ht="15" hidden="false" customHeight="false" outlineLevel="0" collapsed="false">
      <c r="B710" s="46" t="s">
        <v>145</v>
      </c>
      <c r="C710" s="46" t="s">
        <v>150</v>
      </c>
      <c r="D710" s="47" t="n">
        <v>45992</v>
      </c>
      <c r="E710" s="46" t="s">
        <v>44</v>
      </c>
      <c r="F710" s="48" t="n">
        <v>20.8349</v>
      </c>
      <c r="G710" s="49" t="n">
        <v>9977.04</v>
      </c>
      <c r="H710" s="50" t="n">
        <f aca="false">F710*G710</f>
        <v>207870.630696</v>
      </c>
    </row>
    <row r="711" customFormat="false" ht="15" hidden="false" customHeight="false" outlineLevel="0" collapsed="false">
      <c r="B711" s="46" t="s">
        <v>137</v>
      </c>
      <c r="C711" s="46" t="s">
        <v>150</v>
      </c>
      <c r="D711" s="47" t="n">
        <v>46023</v>
      </c>
      <c r="E711" s="46" t="s">
        <v>44</v>
      </c>
      <c r="F711" s="48" t="n">
        <v>113.8898</v>
      </c>
      <c r="G711" s="49" t="n">
        <v>5674.91</v>
      </c>
      <c r="H711" s="50" t="n">
        <f aca="false">F711*G711</f>
        <v>646314.364918</v>
      </c>
    </row>
    <row r="712" customFormat="false" ht="15" hidden="false" customHeight="false" outlineLevel="0" collapsed="false">
      <c r="B712" s="46" t="s">
        <v>142</v>
      </c>
      <c r="C712" s="46" t="s">
        <v>150</v>
      </c>
      <c r="D712" s="47" t="n">
        <v>46023</v>
      </c>
      <c r="E712" s="46" t="s">
        <v>44</v>
      </c>
      <c r="F712" s="48" t="n">
        <v>119.177</v>
      </c>
      <c r="G712" s="49" t="n">
        <v>4103.7</v>
      </c>
      <c r="H712" s="50" t="n">
        <f aca="false">F712*G712</f>
        <v>489066.6549</v>
      </c>
    </row>
    <row r="713" customFormat="false" ht="15" hidden="false" customHeight="false" outlineLevel="0" collapsed="false">
      <c r="B713" s="46" t="s">
        <v>143</v>
      </c>
      <c r="C713" s="46" t="s">
        <v>150</v>
      </c>
      <c r="D713" s="47" t="n">
        <v>46023</v>
      </c>
      <c r="E713" s="46" t="s">
        <v>44</v>
      </c>
      <c r="F713" s="48" t="n">
        <v>53.8461</v>
      </c>
      <c r="G713" s="49" t="n">
        <v>7223.73</v>
      </c>
      <c r="H713" s="50" t="n">
        <f aca="false">F713*G713</f>
        <v>388969.687953</v>
      </c>
    </row>
    <row r="714" customFormat="false" ht="15" hidden="false" customHeight="false" outlineLevel="0" collapsed="false">
      <c r="B714" s="46" t="s">
        <v>144</v>
      </c>
      <c r="C714" s="46" t="s">
        <v>150</v>
      </c>
      <c r="D714" s="47" t="n">
        <v>46023</v>
      </c>
      <c r="E714" s="46" t="s">
        <v>44</v>
      </c>
      <c r="F714" s="48" t="n">
        <v>77.6734</v>
      </c>
      <c r="G714" s="49" t="n">
        <v>5045.63</v>
      </c>
      <c r="H714" s="50" t="n">
        <f aca="false">F714*G714</f>
        <v>391911.237242</v>
      </c>
    </row>
    <row r="715" customFormat="false" ht="15" hidden="false" customHeight="false" outlineLevel="0" collapsed="false">
      <c r="B715" s="46" t="s">
        <v>145</v>
      </c>
      <c r="C715" s="46" t="s">
        <v>150</v>
      </c>
      <c r="D715" s="47" t="n">
        <v>46023</v>
      </c>
      <c r="E715" s="46" t="s">
        <v>44</v>
      </c>
      <c r="F715" s="48" t="n">
        <v>21.9651</v>
      </c>
      <c r="G715" s="49" t="n">
        <v>10044.31</v>
      </c>
      <c r="H715" s="50" t="n">
        <f aca="false">F715*G715</f>
        <v>220624.273581</v>
      </c>
    </row>
    <row r="716" customFormat="false" ht="15" hidden="false" customHeight="false" outlineLevel="0" collapsed="false">
      <c r="B716" s="46" t="s">
        <v>137</v>
      </c>
      <c r="C716" s="46" t="s">
        <v>150</v>
      </c>
      <c r="D716" s="47" t="n">
        <v>46054</v>
      </c>
      <c r="E716" s="46" t="s">
        <v>44</v>
      </c>
      <c r="F716" s="48" t="n">
        <v>116.3883</v>
      </c>
      <c r="G716" s="49" t="n">
        <v>5756.29</v>
      </c>
      <c r="H716" s="50" t="n">
        <f aca="false">F716*G716</f>
        <v>669964.807407</v>
      </c>
    </row>
    <row r="717" customFormat="false" ht="15" hidden="false" customHeight="false" outlineLevel="0" collapsed="false">
      <c r="B717" s="46" t="s">
        <v>142</v>
      </c>
      <c r="C717" s="46" t="s">
        <v>150</v>
      </c>
      <c r="D717" s="47" t="n">
        <v>46054</v>
      </c>
      <c r="E717" s="46" t="s">
        <v>44</v>
      </c>
      <c r="F717" s="48" t="n">
        <v>114.0574</v>
      </c>
      <c r="G717" s="49" t="n">
        <v>4139.76</v>
      </c>
      <c r="H717" s="50" t="n">
        <f aca="false">F717*G717</f>
        <v>472170.262224</v>
      </c>
    </row>
    <row r="718" customFormat="false" ht="15" hidden="false" customHeight="false" outlineLevel="0" collapsed="false">
      <c r="B718" s="46" t="s">
        <v>143</v>
      </c>
      <c r="C718" s="46" t="s">
        <v>150</v>
      </c>
      <c r="D718" s="47" t="n">
        <v>46054</v>
      </c>
      <c r="E718" s="46" t="s">
        <v>44</v>
      </c>
      <c r="F718" s="48" t="n">
        <v>59.9054</v>
      </c>
      <c r="G718" s="49" t="n">
        <v>7080.03</v>
      </c>
      <c r="H718" s="50" t="n">
        <f aca="false">F718*G718</f>
        <v>424132.029162</v>
      </c>
    </row>
    <row r="719" customFormat="false" ht="15" hidden="false" customHeight="false" outlineLevel="0" collapsed="false">
      <c r="B719" s="46" t="s">
        <v>144</v>
      </c>
      <c r="C719" s="46" t="s">
        <v>150</v>
      </c>
      <c r="D719" s="47" t="n">
        <v>46054</v>
      </c>
      <c r="E719" s="46" t="s">
        <v>44</v>
      </c>
      <c r="F719" s="48" t="n">
        <v>70.7705</v>
      </c>
      <c r="G719" s="49" t="n">
        <v>5120.19</v>
      </c>
      <c r="H719" s="50" t="n">
        <f aca="false">F719*G719</f>
        <v>362358.406395</v>
      </c>
    </row>
    <row r="720" customFormat="false" ht="15" hidden="false" customHeight="false" outlineLevel="0" collapsed="false">
      <c r="B720" s="46" t="s">
        <v>145</v>
      </c>
      <c r="C720" s="46" t="s">
        <v>150</v>
      </c>
      <c r="D720" s="47" t="n">
        <v>46054</v>
      </c>
      <c r="E720" s="46" t="s">
        <v>44</v>
      </c>
      <c r="F720" s="48" t="n">
        <v>20.3479</v>
      </c>
      <c r="G720" s="49" t="n">
        <v>9960.75</v>
      </c>
      <c r="H720" s="50" t="n">
        <f aca="false">F720*G720</f>
        <v>202680.344925</v>
      </c>
    </row>
    <row r="721" customFormat="false" ht="15" hidden="false" customHeight="false" outlineLevel="0" collapsed="false">
      <c r="B721" s="46" t="s">
        <v>137</v>
      </c>
      <c r="C721" s="46" t="s">
        <v>150</v>
      </c>
      <c r="D721" s="47" t="n">
        <v>46082</v>
      </c>
      <c r="E721" s="46" t="s">
        <v>44</v>
      </c>
      <c r="F721" s="48" t="n">
        <v>120.0477</v>
      </c>
      <c r="G721" s="49" t="n">
        <v>5712.89</v>
      </c>
      <c r="H721" s="50" t="n">
        <f aca="false">F721*G721</f>
        <v>685819.304853</v>
      </c>
    </row>
    <row r="722" customFormat="false" ht="15" hidden="false" customHeight="false" outlineLevel="0" collapsed="false">
      <c r="B722" s="46" t="s">
        <v>142</v>
      </c>
      <c r="C722" s="46" t="s">
        <v>150</v>
      </c>
      <c r="D722" s="47" t="n">
        <v>46082</v>
      </c>
      <c r="E722" s="46" t="s">
        <v>44</v>
      </c>
      <c r="F722" s="48" t="n">
        <v>128.7898</v>
      </c>
      <c r="G722" s="49" t="n">
        <v>4131.75</v>
      </c>
      <c r="H722" s="50" t="n">
        <f aca="false">F722*G722</f>
        <v>532127.25615</v>
      </c>
    </row>
    <row r="723" customFormat="false" ht="15" hidden="false" customHeight="false" outlineLevel="0" collapsed="false">
      <c r="B723" s="46" t="s">
        <v>143</v>
      </c>
      <c r="C723" s="46" t="s">
        <v>150</v>
      </c>
      <c r="D723" s="47" t="n">
        <v>46082</v>
      </c>
      <c r="E723" s="46" t="s">
        <v>44</v>
      </c>
      <c r="F723" s="48" t="n">
        <v>59.9393</v>
      </c>
      <c r="G723" s="49" t="n">
        <v>7116.86</v>
      </c>
      <c r="H723" s="50" t="n">
        <f aca="false">F723*G723</f>
        <v>426579.606598</v>
      </c>
    </row>
    <row r="724" customFormat="false" ht="15" hidden="false" customHeight="false" outlineLevel="0" collapsed="false">
      <c r="B724" s="46" t="s">
        <v>144</v>
      </c>
      <c r="C724" s="46" t="s">
        <v>150</v>
      </c>
      <c r="D724" s="47" t="n">
        <v>46082</v>
      </c>
      <c r="E724" s="46" t="s">
        <v>44</v>
      </c>
      <c r="F724" s="48" t="n">
        <v>76.4143</v>
      </c>
      <c r="G724" s="49" t="n">
        <v>5115</v>
      </c>
      <c r="H724" s="50" t="n">
        <f aca="false">F724*G724</f>
        <v>390859.1445</v>
      </c>
    </row>
    <row r="725" customFormat="false" ht="15" hidden="false" customHeight="false" outlineLevel="0" collapsed="false">
      <c r="B725" s="46" t="s">
        <v>145</v>
      </c>
      <c r="C725" s="46" t="s">
        <v>150</v>
      </c>
      <c r="D725" s="47" t="n">
        <v>46082</v>
      </c>
      <c r="E725" s="46" t="s">
        <v>44</v>
      </c>
      <c r="F725" s="48" t="n">
        <v>22.1477</v>
      </c>
      <c r="G725" s="49" t="n">
        <v>10092.25</v>
      </c>
      <c r="H725" s="50" t="n">
        <f aca="false">F725*G725</f>
        <v>223520.125325</v>
      </c>
    </row>
    <row r="726" customFormat="false" ht="15" hidden="false" customHeight="false" outlineLevel="0" collapsed="false">
      <c r="B726" s="46" t="s">
        <v>137</v>
      </c>
      <c r="C726" s="46" t="s">
        <v>151</v>
      </c>
      <c r="D726" s="47" t="n">
        <v>45017</v>
      </c>
      <c r="E726" s="46" t="s">
        <v>42</v>
      </c>
      <c r="F726" s="48" t="n">
        <v>122.9704</v>
      </c>
      <c r="G726" s="49" t="n">
        <v>5179.97</v>
      </c>
      <c r="H726" s="50" t="n">
        <f aca="false">F726*G726</f>
        <v>636982.982888</v>
      </c>
    </row>
    <row r="727" customFormat="false" ht="15" hidden="false" customHeight="false" outlineLevel="0" collapsed="false">
      <c r="B727" s="46" t="s">
        <v>142</v>
      </c>
      <c r="C727" s="46" t="s">
        <v>151</v>
      </c>
      <c r="D727" s="47" t="n">
        <v>45017</v>
      </c>
      <c r="E727" s="46" t="s">
        <v>42</v>
      </c>
      <c r="F727" s="48" t="n">
        <v>110.5403</v>
      </c>
      <c r="G727" s="49" t="n">
        <v>3858.34</v>
      </c>
      <c r="H727" s="50" t="n">
        <f aca="false">F727*G727</f>
        <v>426502.061102</v>
      </c>
    </row>
    <row r="728" customFormat="false" ht="15" hidden="false" customHeight="false" outlineLevel="0" collapsed="false">
      <c r="B728" s="46" t="s">
        <v>143</v>
      </c>
      <c r="C728" s="46" t="s">
        <v>151</v>
      </c>
      <c r="D728" s="47" t="n">
        <v>45017</v>
      </c>
      <c r="E728" s="46" t="s">
        <v>42</v>
      </c>
      <c r="F728" s="48" t="n">
        <v>58.0273</v>
      </c>
      <c r="G728" s="49" t="n">
        <v>6399.56</v>
      </c>
      <c r="H728" s="50" t="n">
        <f aca="false">F728*G728</f>
        <v>371349.187988</v>
      </c>
    </row>
    <row r="729" customFormat="false" ht="15" hidden="false" customHeight="false" outlineLevel="0" collapsed="false">
      <c r="B729" s="46" t="s">
        <v>144</v>
      </c>
      <c r="C729" s="46" t="s">
        <v>151</v>
      </c>
      <c r="D729" s="47" t="n">
        <v>45017</v>
      </c>
      <c r="E729" s="46" t="s">
        <v>42</v>
      </c>
      <c r="F729" s="48" t="n">
        <v>60.3005</v>
      </c>
      <c r="G729" s="49" t="n">
        <v>4598.76</v>
      </c>
      <c r="H729" s="50" t="n">
        <f aca="false">F729*G729</f>
        <v>277307.52738</v>
      </c>
    </row>
    <row r="730" customFormat="false" ht="15" hidden="false" customHeight="false" outlineLevel="0" collapsed="false">
      <c r="B730" s="46" t="s">
        <v>145</v>
      </c>
      <c r="C730" s="46" t="s">
        <v>151</v>
      </c>
      <c r="D730" s="47" t="n">
        <v>45017</v>
      </c>
      <c r="E730" s="46" t="s">
        <v>42</v>
      </c>
      <c r="F730" s="48" t="n">
        <v>19.2165</v>
      </c>
      <c r="G730" s="49" t="n">
        <v>8768.37</v>
      </c>
      <c r="H730" s="50" t="n">
        <f aca="false">F730*G730</f>
        <v>168497.382105</v>
      </c>
    </row>
    <row r="731" customFormat="false" ht="15" hidden="false" customHeight="false" outlineLevel="0" collapsed="false">
      <c r="B731" s="46" t="s">
        <v>137</v>
      </c>
      <c r="C731" s="46" t="s">
        <v>151</v>
      </c>
      <c r="D731" s="47" t="n">
        <v>45047</v>
      </c>
      <c r="E731" s="46" t="s">
        <v>42</v>
      </c>
      <c r="F731" s="48" t="n">
        <v>116.5296</v>
      </c>
      <c r="G731" s="49" t="n">
        <v>5159.1</v>
      </c>
      <c r="H731" s="50" t="n">
        <f aca="false">F731*G731</f>
        <v>601187.85936</v>
      </c>
    </row>
    <row r="732" customFormat="false" ht="15" hidden="false" customHeight="false" outlineLevel="0" collapsed="false">
      <c r="B732" s="46" t="s">
        <v>142</v>
      </c>
      <c r="C732" s="46" t="s">
        <v>151</v>
      </c>
      <c r="D732" s="47" t="n">
        <v>45047</v>
      </c>
      <c r="E732" s="46" t="s">
        <v>42</v>
      </c>
      <c r="F732" s="48" t="n">
        <v>105.3997</v>
      </c>
      <c r="G732" s="49" t="n">
        <v>3917.11</v>
      </c>
      <c r="H732" s="50" t="n">
        <f aca="false">F732*G732</f>
        <v>412862.218867</v>
      </c>
    </row>
    <row r="733" customFormat="false" ht="15" hidden="false" customHeight="false" outlineLevel="0" collapsed="false">
      <c r="B733" s="46" t="s">
        <v>143</v>
      </c>
      <c r="C733" s="46" t="s">
        <v>151</v>
      </c>
      <c r="D733" s="47" t="n">
        <v>45047</v>
      </c>
      <c r="E733" s="46" t="s">
        <v>42</v>
      </c>
      <c r="F733" s="48" t="n">
        <v>60.3248</v>
      </c>
      <c r="G733" s="49" t="n">
        <v>6413.46</v>
      </c>
      <c r="H733" s="50" t="n">
        <f aca="false">F733*G733</f>
        <v>386890.691808</v>
      </c>
    </row>
    <row r="734" customFormat="false" ht="15" hidden="false" customHeight="false" outlineLevel="0" collapsed="false">
      <c r="B734" s="46" t="s">
        <v>144</v>
      </c>
      <c r="C734" s="46" t="s">
        <v>151</v>
      </c>
      <c r="D734" s="47" t="n">
        <v>45047</v>
      </c>
      <c r="E734" s="46" t="s">
        <v>42</v>
      </c>
      <c r="F734" s="48" t="n">
        <v>56.6261</v>
      </c>
      <c r="G734" s="49" t="n">
        <v>4748.95</v>
      </c>
      <c r="H734" s="50" t="n">
        <f aca="false">F734*G734</f>
        <v>268914.517595</v>
      </c>
    </row>
    <row r="735" customFormat="false" ht="15" hidden="false" customHeight="false" outlineLevel="0" collapsed="false">
      <c r="B735" s="46" t="s">
        <v>145</v>
      </c>
      <c r="C735" s="46" t="s">
        <v>151</v>
      </c>
      <c r="D735" s="47" t="n">
        <v>45047</v>
      </c>
      <c r="E735" s="46" t="s">
        <v>42</v>
      </c>
      <c r="F735" s="48" t="n">
        <v>21.9864</v>
      </c>
      <c r="G735" s="49" t="n">
        <v>8887.26</v>
      </c>
      <c r="H735" s="50" t="n">
        <f aca="false">F735*G735</f>
        <v>195398.853264</v>
      </c>
    </row>
    <row r="736" customFormat="false" ht="15" hidden="false" customHeight="false" outlineLevel="0" collapsed="false">
      <c r="B736" s="46" t="s">
        <v>137</v>
      </c>
      <c r="C736" s="46" t="s">
        <v>151</v>
      </c>
      <c r="D736" s="47" t="n">
        <v>45078</v>
      </c>
      <c r="E736" s="46" t="s">
        <v>42</v>
      </c>
      <c r="F736" s="48" t="n">
        <v>114.4416</v>
      </c>
      <c r="G736" s="49" t="n">
        <v>5248.97</v>
      </c>
      <c r="H736" s="50" t="n">
        <f aca="false">F736*G736</f>
        <v>600700.525152</v>
      </c>
    </row>
    <row r="737" customFormat="false" ht="15" hidden="false" customHeight="false" outlineLevel="0" collapsed="false">
      <c r="B737" s="46" t="s">
        <v>142</v>
      </c>
      <c r="C737" s="46" t="s">
        <v>151</v>
      </c>
      <c r="D737" s="47" t="n">
        <v>45078</v>
      </c>
      <c r="E737" s="46" t="s">
        <v>42</v>
      </c>
      <c r="F737" s="48" t="n">
        <v>118.7765</v>
      </c>
      <c r="G737" s="49" t="n">
        <v>3920.91</v>
      </c>
      <c r="H737" s="50" t="n">
        <f aca="false">F737*G737</f>
        <v>465711.966615</v>
      </c>
    </row>
    <row r="738" customFormat="false" ht="15" hidden="false" customHeight="false" outlineLevel="0" collapsed="false">
      <c r="B738" s="46" t="s">
        <v>143</v>
      </c>
      <c r="C738" s="46" t="s">
        <v>151</v>
      </c>
      <c r="D738" s="47" t="n">
        <v>45078</v>
      </c>
      <c r="E738" s="46" t="s">
        <v>42</v>
      </c>
      <c r="F738" s="48" t="n">
        <v>62.1256</v>
      </c>
      <c r="G738" s="49" t="n">
        <v>6406.72</v>
      </c>
      <c r="H738" s="50" t="n">
        <f aca="false">F738*G738</f>
        <v>398021.324032</v>
      </c>
    </row>
    <row r="739" customFormat="false" ht="15" hidden="false" customHeight="false" outlineLevel="0" collapsed="false">
      <c r="B739" s="46" t="s">
        <v>144</v>
      </c>
      <c r="C739" s="46" t="s">
        <v>151</v>
      </c>
      <c r="D739" s="47" t="n">
        <v>45078</v>
      </c>
      <c r="E739" s="46" t="s">
        <v>42</v>
      </c>
      <c r="F739" s="48" t="n">
        <v>57.2662</v>
      </c>
      <c r="G739" s="49" t="n">
        <v>4684.69</v>
      </c>
      <c r="H739" s="50" t="n">
        <f aca="false">F739*G739</f>
        <v>268274.394478</v>
      </c>
    </row>
    <row r="740" customFormat="false" ht="15" hidden="false" customHeight="false" outlineLevel="0" collapsed="false">
      <c r="B740" s="46" t="s">
        <v>145</v>
      </c>
      <c r="C740" s="46" t="s">
        <v>151</v>
      </c>
      <c r="D740" s="47" t="n">
        <v>45078</v>
      </c>
      <c r="E740" s="46" t="s">
        <v>42</v>
      </c>
      <c r="F740" s="48" t="n">
        <v>23.0816</v>
      </c>
      <c r="G740" s="49" t="n">
        <v>8688.77</v>
      </c>
      <c r="H740" s="50" t="n">
        <f aca="false">F740*G740</f>
        <v>200550.713632</v>
      </c>
    </row>
    <row r="741" customFormat="false" ht="15" hidden="false" customHeight="false" outlineLevel="0" collapsed="false">
      <c r="B741" s="46" t="s">
        <v>137</v>
      </c>
      <c r="C741" s="46" t="s">
        <v>151</v>
      </c>
      <c r="D741" s="47" t="n">
        <v>45108</v>
      </c>
      <c r="E741" s="46" t="s">
        <v>42</v>
      </c>
      <c r="F741" s="48" t="n">
        <v>113.6497</v>
      </c>
      <c r="G741" s="49" t="n">
        <v>5254.14</v>
      </c>
      <c r="H741" s="50" t="n">
        <f aca="false">F741*G741</f>
        <v>597131.434758</v>
      </c>
    </row>
    <row r="742" customFormat="false" ht="15" hidden="false" customHeight="false" outlineLevel="0" collapsed="false">
      <c r="B742" s="46" t="s">
        <v>142</v>
      </c>
      <c r="C742" s="46" t="s">
        <v>151</v>
      </c>
      <c r="D742" s="47" t="n">
        <v>45108</v>
      </c>
      <c r="E742" s="46" t="s">
        <v>42</v>
      </c>
      <c r="F742" s="48" t="n">
        <v>120.9567</v>
      </c>
      <c r="G742" s="49" t="n">
        <v>3825.56</v>
      </c>
      <c r="H742" s="50" t="n">
        <f aca="false">F742*G742</f>
        <v>462727.113252</v>
      </c>
    </row>
    <row r="743" customFormat="false" ht="15" hidden="false" customHeight="false" outlineLevel="0" collapsed="false">
      <c r="B743" s="46" t="s">
        <v>143</v>
      </c>
      <c r="C743" s="46" t="s">
        <v>151</v>
      </c>
      <c r="D743" s="47" t="n">
        <v>45108</v>
      </c>
      <c r="E743" s="46" t="s">
        <v>42</v>
      </c>
      <c r="F743" s="48" t="n">
        <v>64.3718</v>
      </c>
      <c r="G743" s="49" t="n">
        <v>6447.59</v>
      </c>
      <c r="H743" s="50" t="n">
        <f aca="false">F743*G743</f>
        <v>415042.973962</v>
      </c>
    </row>
    <row r="744" customFormat="false" ht="15" hidden="false" customHeight="false" outlineLevel="0" collapsed="false">
      <c r="B744" s="46" t="s">
        <v>144</v>
      </c>
      <c r="C744" s="46" t="s">
        <v>151</v>
      </c>
      <c r="D744" s="47" t="n">
        <v>45108</v>
      </c>
      <c r="E744" s="46" t="s">
        <v>42</v>
      </c>
      <c r="F744" s="48" t="n">
        <v>57.7114</v>
      </c>
      <c r="G744" s="49" t="n">
        <v>4826.28</v>
      </c>
      <c r="H744" s="50" t="n">
        <f aca="false">F744*G744</f>
        <v>278531.375592</v>
      </c>
    </row>
    <row r="745" customFormat="false" ht="15" hidden="false" customHeight="false" outlineLevel="0" collapsed="false">
      <c r="B745" s="46" t="s">
        <v>145</v>
      </c>
      <c r="C745" s="46" t="s">
        <v>151</v>
      </c>
      <c r="D745" s="47" t="n">
        <v>45108</v>
      </c>
      <c r="E745" s="46" t="s">
        <v>42</v>
      </c>
      <c r="F745" s="48" t="n">
        <v>22.8863</v>
      </c>
      <c r="G745" s="49" t="n">
        <v>8884.66</v>
      </c>
      <c r="H745" s="50" t="n">
        <f aca="false">F745*G745</f>
        <v>203336.994158</v>
      </c>
    </row>
    <row r="746" customFormat="false" ht="15" hidden="false" customHeight="false" outlineLevel="0" collapsed="false">
      <c r="B746" s="46" t="s">
        <v>137</v>
      </c>
      <c r="C746" s="46" t="s">
        <v>151</v>
      </c>
      <c r="D746" s="47" t="n">
        <v>45139</v>
      </c>
      <c r="E746" s="46" t="s">
        <v>42</v>
      </c>
      <c r="F746" s="48" t="n">
        <v>113.3051</v>
      </c>
      <c r="G746" s="49" t="n">
        <v>5362.51</v>
      </c>
      <c r="H746" s="50" t="n">
        <f aca="false">F746*G746</f>
        <v>607599.731801</v>
      </c>
    </row>
    <row r="747" customFormat="false" ht="15" hidden="false" customHeight="false" outlineLevel="0" collapsed="false">
      <c r="B747" s="46" t="s">
        <v>142</v>
      </c>
      <c r="C747" s="46" t="s">
        <v>151</v>
      </c>
      <c r="D747" s="47" t="n">
        <v>45139</v>
      </c>
      <c r="E747" s="46" t="s">
        <v>42</v>
      </c>
      <c r="F747" s="48" t="n">
        <v>120.4245</v>
      </c>
      <c r="G747" s="49" t="n">
        <v>3851.67</v>
      </c>
      <c r="H747" s="50" t="n">
        <f aca="false">F747*G747</f>
        <v>463835.433915</v>
      </c>
    </row>
    <row r="748" customFormat="false" ht="15" hidden="false" customHeight="false" outlineLevel="0" collapsed="false">
      <c r="B748" s="46" t="s">
        <v>143</v>
      </c>
      <c r="C748" s="46" t="s">
        <v>151</v>
      </c>
      <c r="D748" s="47" t="n">
        <v>45139</v>
      </c>
      <c r="E748" s="46" t="s">
        <v>42</v>
      </c>
      <c r="F748" s="48" t="n">
        <v>57.771</v>
      </c>
      <c r="G748" s="49" t="n">
        <v>6450.5</v>
      </c>
      <c r="H748" s="50" t="n">
        <f aca="false">F748*G748</f>
        <v>372651.8355</v>
      </c>
    </row>
    <row r="749" customFormat="false" ht="15" hidden="false" customHeight="false" outlineLevel="0" collapsed="false">
      <c r="B749" s="46" t="s">
        <v>144</v>
      </c>
      <c r="C749" s="46" t="s">
        <v>151</v>
      </c>
      <c r="D749" s="47" t="n">
        <v>45139</v>
      </c>
      <c r="E749" s="46" t="s">
        <v>42</v>
      </c>
      <c r="F749" s="48" t="n">
        <v>58.7647</v>
      </c>
      <c r="G749" s="49" t="n">
        <v>4781.04</v>
      </c>
      <c r="H749" s="50" t="n">
        <f aca="false">F749*G749</f>
        <v>280956.381288</v>
      </c>
    </row>
    <row r="750" customFormat="false" ht="15" hidden="false" customHeight="false" outlineLevel="0" collapsed="false">
      <c r="B750" s="46" t="s">
        <v>145</v>
      </c>
      <c r="C750" s="46" t="s">
        <v>151</v>
      </c>
      <c r="D750" s="47" t="n">
        <v>45139</v>
      </c>
      <c r="E750" s="46" t="s">
        <v>42</v>
      </c>
      <c r="F750" s="48" t="n">
        <v>24.6036</v>
      </c>
      <c r="G750" s="49" t="n">
        <v>8881.11</v>
      </c>
      <c r="H750" s="50" t="n">
        <f aca="false">F750*G750</f>
        <v>218507.277996</v>
      </c>
    </row>
    <row r="751" customFormat="false" ht="15" hidden="false" customHeight="false" outlineLevel="0" collapsed="false">
      <c r="B751" s="46" t="s">
        <v>137</v>
      </c>
      <c r="C751" s="46" t="s">
        <v>151</v>
      </c>
      <c r="D751" s="47" t="n">
        <v>45170</v>
      </c>
      <c r="E751" s="46" t="s">
        <v>42</v>
      </c>
      <c r="F751" s="48" t="n">
        <v>127.6123</v>
      </c>
      <c r="G751" s="49" t="n">
        <v>5165.88</v>
      </c>
      <c r="H751" s="50" t="n">
        <f aca="false">F751*G751</f>
        <v>659229.828324</v>
      </c>
    </row>
    <row r="752" customFormat="false" ht="15" hidden="false" customHeight="false" outlineLevel="0" collapsed="false">
      <c r="B752" s="46" t="s">
        <v>142</v>
      </c>
      <c r="C752" s="46" t="s">
        <v>151</v>
      </c>
      <c r="D752" s="47" t="n">
        <v>45170</v>
      </c>
      <c r="E752" s="46" t="s">
        <v>42</v>
      </c>
      <c r="F752" s="48" t="n">
        <v>108.2627</v>
      </c>
      <c r="G752" s="49" t="n">
        <v>3937.06</v>
      </c>
      <c r="H752" s="50" t="n">
        <f aca="false">F752*G752</f>
        <v>426236.745662</v>
      </c>
    </row>
    <row r="753" customFormat="false" ht="15" hidden="false" customHeight="false" outlineLevel="0" collapsed="false">
      <c r="B753" s="46" t="s">
        <v>143</v>
      </c>
      <c r="C753" s="46" t="s">
        <v>151</v>
      </c>
      <c r="D753" s="47" t="n">
        <v>45170</v>
      </c>
      <c r="E753" s="46" t="s">
        <v>42</v>
      </c>
      <c r="F753" s="48" t="n">
        <v>59.1898</v>
      </c>
      <c r="G753" s="49" t="n">
        <v>6559.99</v>
      </c>
      <c r="H753" s="50" t="n">
        <f aca="false">F753*G753</f>
        <v>388284.496102</v>
      </c>
    </row>
    <row r="754" customFormat="false" ht="15" hidden="false" customHeight="false" outlineLevel="0" collapsed="false">
      <c r="B754" s="46" t="s">
        <v>144</v>
      </c>
      <c r="C754" s="46" t="s">
        <v>151</v>
      </c>
      <c r="D754" s="47" t="n">
        <v>45170</v>
      </c>
      <c r="E754" s="46" t="s">
        <v>42</v>
      </c>
      <c r="F754" s="48" t="n">
        <v>53.8304</v>
      </c>
      <c r="G754" s="49" t="n">
        <v>4788.74</v>
      </c>
      <c r="H754" s="50" t="n">
        <f aca="false">F754*G754</f>
        <v>257779.789696</v>
      </c>
    </row>
    <row r="755" customFormat="false" ht="15" hidden="false" customHeight="false" outlineLevel="0" collapsed="false">
      <c r="B755" s="46" t="s">
        <v>145</v>
      </c>
      <c r="C755" s="46" t="s">
        <v>151</v>
      </c>
      <c r="D755" s="47" t="n">
        <v>45170</v>
      </c>
      <c r="E755" s="46" t="s">
        <v>42</v>
      </c>
      <c r="F755" s="48" t="n">
        <v>19.903</v>
      </c>
      <c r="G755" s="49" t="n">
        <v>9031.01</v>
      </c>
      <c r="H755" s="50" t="n">
        <f aca="false">F755*G755</f>
        <v>179744.19203</v>
      </c>
    </row>
    <row r="756" customFormat="false" ht="15" hidden="false" customHeight="false" outlineLevel="0" collapsed="false">
      <c r="B756" s="46" t="s">
        <v>137</v>
      </c>
      <c r="C756" s="46" t="s">
        <v>151</v>
      </c>
      <c r="D756" s="47" t="n">
        <v>45200</v>
      </c>
      <c r="E756" s="46" t="s">
        <v>42</v>
      </c>
      <c r="F756" s="48" t="n">
        <v>121.572</v>
      </c>
      <c r="G756" s="49" t="n">
        <v>5291.26</v>
      </c>
      <c r="H756" s="50" t="n">
        <f aca="false">F756*G756</f>
        <v>643269.06072</v>
      </c>
    </row>
    <row r="757" customFormat="false" ht="15" hidden="false" customHeight="false" outlineLevel="0" collapsed="false">
      <c r="B757" s="46" t="s">
        <v>142</v>
      </c>
      <c r="C757" s="46" t="s">
        <v>151</v>
      </c>
      <c r="D757" s="47" t="n">
        <v>45200</v>
      </c>
      <c r="E757" s="46" t="s">
        <v>42</v>
      </c>
      <c r="F757" s="48" t="n">
        <v>124.6285</v>
      </c>
      <c r="G757" s="49" t="n">
        <v>3885.93</v>
      </c>
      <c r="H757" s="50" t="n">
        <f aca="false">F757*G757</f>
        <v>484297.627005</v>
      </c>
    </row>
    <row r="758" customFormat="false" ht="15" hidden="false" customHeight="false" outlineLevel="0" collapsed="false">
      <c r="B758" s="46" t="s">
        <v>143</v>
      </c>
      <c r="C758" s="46" t="s">
        <v>151</v>
      </c>
      <c r="D758" s="47" t="n">
        <v>45200</v>
      </c>
      <c r="E758" s="46" t="s">
        <v>42</v>
      </c>
      <c r="F758" s="48" t="n">
        <v>64.7558</v>
      </c>
      <c r="G758" s="49" t="n">
        <v>6544.18</v>
      </c>
      <c r="H758" s="50" t="n">
        <f aca="false">F758*G758</f>
        <v>423773.611244</v>
      </c>
    </row>
    <row r="759" customFormat="false" ht="15" hidden="false" customHeight="false" outlineLevel="0" collapsed="false">
      <c r="B759" s="46" t="s">
        <v>144</v>
      </c>
      <c r="C759" s="46" t="s">
        <v>151</v>
      </c>
      <c r="D759" s="47" t="n">
        <v>45200</v>
      </c>
      <c r="E759" s="46" t="s">
        <v>42</v>
      </c>
      <c r="F759" s="48" t="n">
        <v>53.7952</v>
      </c>
      <c r="G759" s="49" t="n">
        <v>4680.15</v>
      </c>
      <c r="H759" s="50" t="n">
        <f aca="false">F759*G759</f>
        <v>251769.60528</v>
      </c>
    </row>
    <row r="760" customFormat="false" ht="15" hidden="false" customHeight="false" outlineLevel="0" collapsed="false">
      <c r="B760" s="46" t="s">
        <v>145</v>
      </c>
      <c r="C760" s="46" t="s">
        <v>151</v>
      </c>
      <c r="D760" s="47" t="n">
        <v>45200</v>
      </c>
      <c r="E760" s="46" t="s">
        <v>42</v>
      </c>
      <c r="F760" s="48" t="n">
        <v>23.1869</v>
      </c>
      <c r="G760" s="49" t="n">
        <v>9057.45</v>
      </c>
      <c r="H760" s="50" t="n">
        <f aca="false">F760*G760</f>
        <v>210014.187405</v>
      </c>
    </row>
    <row r="761" customFormat="false" ht="15" hidden="false" customHeight="false" outlineLevel="0" collapsed="false">
      <c r="B761" s="46" t="s">
        <v>137</v>
      </c>
      <c r="C761" s="46" t="s">
        <v>151</v>
      </c>
      <c r="D761" s="47" t="n">
        <v>45231</v>
      </c>
      <c r="E761" s="46" t="s">
        <v>42</v>
      </c>
      <c r="F761" s="48" t="n">
        <v>116.9965</v>
      </c>
      <c r="G761" s="49" t="n">
        <v>5353.17</v>
      </c>
      <c r="H761" s="50" t="n">
        <f aca="false">F761*G761</f>
        <v>626302.153905</v>
      </c>
    </row>
    <row r="762" customFormat="false" ht="15" hidden="false" customHeight="false" outlineLevel="0" collapsed="false">
      <c r="B762" s="46" t="s">
        <v>142</v>
      </c>
      <c r="C762" s="46" t="s">
        <v>151</v>
      </c>
      <c r="D762" s="47" t="n">
        <v>45231</v>
      </c>
      <c r="E762" s="46" t="s">
        <v>42</v>
      </c>
      <c r="F762" s="48" t="n">
        <v>116.4022</v>
      </c>
      <c r="G762" s="49" t="n">
        <v>3895.68</v>
      </c>
      <c r="H762" s="50" t="n">
        <f aca="false">F762*G762</f>
        <v>453465.722496</v>
      </c>
    </row>
    <row r="763" customFormat="false" ht="15" hidden="false" customHeight="false" outlineLevel="0" collapsed="false">
      <c r="B763" s="46" t="s">
        <v>143</v>
      </c>
      <c r="C763" s="46" t="s">
        <v>151</v>
      </c>
      <c r="D763" s="47" t="n">
        <v>45231</v>
      </c>
      <c r="E763" s="46" t="s">
        <v>42</v>
      </c>
      <c r="F763" s="48" t="n">
        <v>65.6685</v>
      </c>
      <c r="G763" s="49" t="n">
        <v>6528.07</v>
      </c>
      <c r="H763" s="50" t="n">
        <f aca="false">F763*G763</f>
        <v>428688.564795</v>
      </c>
    </row>
    <row r="764" customFormat="false" ht="15" hidden="false" customHeight="false" outlineLevel="0" collapsed="false">
      <c r="B764" s="46" t="s">
        <v>144</v>
      </c>
      <c r="C764" s="46" t="s">
        <v>151</v>
      </c>
      <c r="D764" s="47" t="n">
        <v>45231</v>
      </c>
      <c r="E764" s="46" t="s">
        <v>42</v>
      </c>
      <c r="F764" s="48" t="n">
        <v>52.84</v>
      </c>
      <c r="G764" s="49" t="n">
        <v>4721.4</v>
      </c>
      <c r="H764" s="50" t="n">
        <f aca="false">F764*G764</f>
        <v>249478.776</v>
      </c>
    </row>
    <row r="765" customFormat="false" ht="15" hidden="false" customHeight="false" outlineLevel="0" collapsed="false">
      <c r="B765" s="46" t="s">
        <v>145</v>
      </c>
      <c r="C765" s="46" t="s">
        <v>151</v>
      </c>
      <c r="D765" s="47" t="n">
        <v>45231</v>
      </c>
      <c r="E765" s="46" t="s">
        <v>42</v>
      </c>
      <c r="F765" s="48" t="n">
        <v>23.8717</v>
      </c>
      <c r="G765" s="49" t="n">
        <v>8922.75</v>
      </c>
      <c r="H765" s="50" t="n">
        <f aca="false">F765*G765</f>
        <v>213001.211175</v>
      </c>
    </row>
    <row r="766" customFormat="false" ht="15" hidden="false" customHeight="false" outlineLevel="0" collapsed="false">
      <c r="B766" s="46" t="s">
        <v>137</v>
      </c>
      <c r="C766" s="46" t="s">
        <v>151</v>
      </c>
      <c r="D766" s="47" t="n">
        <v>45261</v>
      </c>
      <c r="E766" s="46" t="s">
        <v>42</v>
      </c>
      <c r="F766" s="48" t="n">
        <v>129.7033</v>
      </c>
      <c r="G766" s="49" t="n">
        <v>5281.97</v>
      </c>
      <c r="H766" s="50" t="n">
        <f aca="false">F766*G766</f>
        <v>685088.939501</v>
      </c>
    </row>
    <row r="767" customFormat="false" ht="15" hidden="false" customHeight="false" outlineLevel="0" collapsed="false">
      <c r="B767" s="46" t="s">
        <v>142</v>
      </c>
      <c r="C767" s="46" t="s">
        <v>151</v>
      </c>
      <c r="D767" s="47" t="n">
        <v>45261</v>
      </c>
      <c r="E767" s="46" t="s">
        <v>42</v>
      </c>
      <c r="F767" s="48" t="n">
        <v>110.5397</v>
      </c>
      <c r="G767" s="49" t="n">
        <v>3956.69</v>
      </c>
      <c r="H767" s="50" t="n">
        <f aca="false">F767*G767</f>
        <v>437371.325593</v>
      </c>
    </row>
    <row r="768" customFormat="false" ht="15" hidden="false" customHeight="false" outlineLevel="0" collapsed="false">
      <c r="B768" s="46" t="s">
        <v>143</v>
      </c>
      <c r="C768" s="46" t="s">
        <v>151</v>
      </c>
      <c r="D768" s="47" t="n">
        <v>45261</v>
      </c>
      <c r="E768" s="46" t="s">
        <v>42</v>
      </c>
      <c r="F768" s="48" t="n">
        <v>58.4728</v>
      </c>
      <c r="G768" s="49" t="n">
        <v>6566.34</v>
      </c>
      <c r="H768" s="50" t="n">
        <f aca="false">F768*G768</f>
        <v>383952.285552</v>
      </c>
    </row>
    <row r="769" customFormat="false" ht="15" hidden="false" customHeight="false" outlineLevel="0" collapsed="false">
      <c r="B769" s="46" t="s">
        <v>144</v>
      </c>
      <c r="C769" s="46" t="s">
        <v>151</v>
      </c>
      <c r="D769" s="47" t="n">
        <v>45261</v>
      </c>
      <c r="E769" s="46" t="s">
        <v>42</v>
      </c>
      <c r="F769" s="48" t="n">
        <v>58.946</v>
      </c>
      <c r="G769" s="49" t="n">
        <v>4744.33</v>
      </c>
      <c r="H769" s="50" t="n">
        <f aca="false">F769*G769</f>
        <v>279659.27618</v>
      </c>
    </row>
    <row r="770" customFormat="false" ht="15" hidden="false" customHeight="false" outlineLevel="0" collapsed="false">
      <c r="B770" s="46" t="s">
        <v>145</v>
      </c>
      <c r="C770" s="46" t="s">
        <v>151</v>
      </c>
      <c r="D770" s="47" t="n">
        <v>45261</v>
      </c>
      <c r="E770" s="46" t="s">
        <v>42</v>
      </c>
      <c r="F770" s="48" t="n">
        <v>20.6977</v>
      </c>
      <c r="G770" s="49" t="n">
        <v>9067.87</v>
      </c>
      <c r="H770" s="50" t="n">
        <f aca="false">F770*G770</f>
        <v>187684.052899</v>
      </c>
    </row>
    <row r="771" customFormat="false" ht="15" hidden="false" customHeight="false" outlineLevel="0" collapsed="false">
      <c r="B771" s="46" t="s">
        <v>137</v>
      </c>
      <c r="C771" s="46" t="s">
        <v>151</v>
      </c>
      <c r="D771" s="47" t="n">
        <v>45292</v>
      </c>
      <c r="E771" s="46" t="s">
        <v>42</v>
      </c>
      <c r="F771" s="48" t="n">
        <v>113.7125</v>
      </c>
      <c r="G771" s="49" t="n">
        <v>5264.82</v>
      </c>
      <c r="H771" s="50" t="n">
        <f aca="false">F771*G771</f>
        <v>598675.84425</v>
      </c>
    </row>
    <row r="772" customFormat="false" ht="15" hidden="false" customHeight="false" outlineLevel="0" collapsed="false">
      <c r="B772" s="46" t="s">
        <v>142</v>
      </c>
      <c r="C772" s="46" t="s">
        <v>151</v>
      </c>
      <c r="D772" s="47" t="n">
        <v>45292</v>
      </c>
      <c r="E772" s="46" t="s">
        <v>42</v>
      </c>
      <c r="F772" s="48" t="n">
        <v>117.6306</v>
      </c>
      <c r="G772" s="49" t="n">
        <v>3953.14</v>
      </c>
      <c r="H772" s="50" t="n">
        <f aca="false">F772*G772</f>
        <v>465010.230084</v>
      </c>
    </row>
    <row r="773" customFormat="false" ht="15" hidden="false" customHeight="false" outlineLevel="0" collapsed="false">
      <c r="B773" s="46" t="s">
        <v>143</v>
      </c>
      <c r="C773" s="46" t="s">
        <v>151</v>
      </c>
      <c r="D773" s="47" t="n">
        <v>45292</v>
      </c>
      <c r="E773" s="46" t="s">
        <v>42</v>
      </c>
      <c r="F773" s="48" t="n">
        <v>60.3044</v>
      </c>
      <c r="G773" s="49" t="n">
        <v>6616.63</v>
      </c>
      <c r="H773" s="50" t="n">
        <f aca="false">F773*G773</f>
        <v>399011.902172</v>
      </c>
    </row>
    <row r="774" customFormat="false" ht="15" hidden="false" customHeight="false" outlineLevel="0" collapsed="false">
      <c r="B774" s="46" t="s">
        <v>144</v>
      </c>
      <c r="C774" s="46" t="s">
        <v>151</v>
      </c>
      <c r="D774" s="47" t="n">
        <v>45292</v>
      </c>
      <c r="E774" s="46" t="s">
        <v>42</v>
      </c>
      <c r="F774" s="48" t="n">
        <v>60.1052</v>
      </c>
      <c r="G774" s="49" t="n">
        <v>4849.39</v>
      </c>
      <c r="H774" s="50" t="n">
        <f aca="false">F774*G774</f>
        <v>291473.555828</v>
      </c>
    </row>
    <row r="775" customFormat="false" ht="15" hidden="false" customHeight="false" outlineLevel="0" collapsed="false">
      <c r="B775" s="46" t="s">
        <v>145</v>
      </c>
      <c r="C775" s="46" t="s">
        <v>151</v>
      </c>
      <c r="D775" s="47" t="n">
        <v>45292</v>
      </c>
      <c r="E775" s="46" t="s">
        <v>42</v>
      </c>
      <c r="F775" s="48" t="n">
        <v>21.115</v>
      </c>
      <c r="G775" s="49" t="n">
        <v>9089.46</v>
      </c>
      <c r="H775" s="50" t="n">
        <f aca="false">F775*G775</f>
        <v>191923.9479</v>
      </c>
    </row>
    <row r="776" customFormat="false" ht="15" hidden="false" customHeight="false" outlineLevel="0" collapsed="false">
      <c r="B776" s="46" t="s">
        <v>137</v>
      </c>
      <c r="C776" s="46" t="s">
        <v>151</v>
      </c>
      <c r="D776" s="47" t="n">
        <v>45323</v>
      </c>
      <c r="E776" s="46" t="s">
        <v>42</v>
      </c>
      <c r="F776" s="48" t="n">
        <v>117.5718</v>
      </c>
      <c r="G776" s="49" t="n">
        <v>5322.81</v>
      </c>
      <c r="H776" s="50" t="n">
        <f aca="false">F776*G776</f>
        <v>625812.352758</v>
      </c>
    </row>
    <row r="777" customFormat="false" ht="15" hidden="false" customHeight="false" outlineLevel="0" collapsed="false">
      <c r="B777" s="46" t="s">
        <v>142</v>
      </c>
      <c r="C777" s="46" t="s">
        <v>151</v>
      </c>
      <c r="D777" s="47" t="n">
        <v>45323</v>
      </c>
      <c r="E777" s="46" t="s">
        <v>42</v>
      </c>
      <c r="F777" s="48" t="n">
        <v>117.2396</v>
      </c>
      <c r="G777" s="49" t="n">
        <v>3996.15</v>
      </c>
      <c r="H777" s="50" t="n">
        <f aca="false">F777*G777</f>
        <v>468507.02754</v>
      </c>
    </row>
    <row r="778" customFormat="false" ht="15" hidden="false" customHeight="false" outlineLevel="0" collapsed="false">
      <c r="B778" s="46" t="s">
        <v>143</v>
      </c>
      <c r="C778" s="46" t="s">
        <v>151</v>
      </c>
      <c r="D778" s="47" t="n">
        <v>45323</v>
      </c>
      <c r="E778" s="46" t="s">
        <v>42</v>
      </c>
      <c r="F778" s="48" t="n">
        <v>58.4112</v>
      </c>
      <c r="G778" s="49" t="n">
        <v>6578.13</v>
      </c>
      <c r="H778" s="50" t="n">
        <f aca="false">F778*G778</f>
        <v>384236.467056</v>
      </c>
    </row>
    <row r="779" customFormat="false" ht="15" hidden="false" customHeight="false" outlineLevel="0" collapsed="false">
      <c r="B779" s="46" t="s">
        <v>144</v>
      </c>
      <c r="C779" s="46" t="s">
        <v>151</v>
      </c>
      <c r="D779" s="47" t="n">
        <v>45323</v>
      </c>
      <c r="E779" s="46" t="s">
        <v>42</v>
      </c>
      <c r="F779" s="48" t="n">
        <v>59.9504</v>
      </c>
      <c r="G779" s="49" t="n">
        <v>4817.14</v>
      </c>
      <c r="H779" s="50" t="n">
        <f aca="false">F779*G779</f>
        <v>288789.469856</v>
      </c>
    </row>
    <row r="780" customFormat="false" ht="15" hidden="false" customHeight="false" outlineLevel="0" collapsed="false">
      <c r="B780" s="46" t="s">
        <v>145</v>
      </c>
      <c r="C780" s="46" t="s">
        <v>151</v>
      </c>
      <c r="D780" s="47" t="n">
        <v>45323</v>
      </c>
      <c r="E780" s="46" t="s">
        <v>42</v>
      </c>
      <c r="F780" s="48" t="n">
        <v>21.3534</v>
      </c>
      <c r="G780" s="49" t="n">
        <v>9136.53</v>
      </c>
      <c r="H780" s="50" t="n">
        <f aca="false">F780*G780</f>
        <v>195095.979702</v>
      </c>
    </row>
    <row r="781" customFormat="false" ht="15" hidden="false" customHeight="false" outlineLevel="0" collapsed="false">
      <c r="B781" s="46" t="s">
        <v>137</v>
      </c>
      <c r="C781" s="46" t="s">
        <v>151</v>
      </c>
      <c r="D781" s="47" t="n">
        <v>45352</v>
      </c>
      <c r="E781" s="46" t="s">
        <v>42</v>
      </c>
      <c r="F781" s="48" t="n">
        <v>127.5681</v>
      </c>
      <c r="G781" s="49" t="n">
        <v>5394.03</v>
      </c>
      <c r="H781" s="50" t="n">
        <f aca="false">F781*G781</f>
        <v>688106.158443</v>
      </c>
    </row>
    <row r="782" customFormat="false" ht="15" hidden="false" customHeight="false" outlineLevel="0" collapsed="false">
      <c r="B782" s="46" t="s">
        <v>142</v>
      </c>
      <c r="C782" s="46" t="s">
        <v>151</v>
      </c>
      <c r="D782" s="47" t="n">
        <v>45352</v>
      </c>
      <c r="E782" s="46" t="s">
        <v>42</v>
      </c>
      <c r="F782" s="48" t="n">
        <v>131.946</v>
      </c>
      <c r="G782" s="49" t="n">
        <v>3998.23</v>
      </c>
      <c r="H782" s="50" t="n">
        <f aca="false">F782*G782</f>
        <v>527550.45558</v>
      </c>
    </row>
    <row r="783" customFormat="false" ht="15" hidden="false" customHeight="false" outlineLevel="0" collapsed="false">
      <c r="B783" s="46" t="s">
        <v>143</v>
      </c>
      <c r="C783" s="46" t="s">
        <v>151</v>
      </c>
      <c r="D783" s="47" t="n">
        <v>45352</v>
      </c>
      <c r="E783" s="46" t="s">
        <v>42</v>
      </c>
      <c r="F783" s="48" t="n">
        <v>70.5872</v>
      </c>
      <c r="G783" s="49" t="n">
        <v>6602.05</v>
      </c>
      <c r="H783" s="50" t="n">
        <f aca="false">F783*G783</f>
        <v>466020.22376</v>
      </c>
    </row>
    <row r="784" customFormat="false" ht="15" hidden="false" customHeight="false" outlineLevel="0" collapsed="false">
      <c r="B784" s="46" t="s">
        <v>144</v>
      </c>
      <c r="C784" s="46" t="s">
        <v>151</v>
      </c>
      <c r="D784" s="47" t="n">
        <v>45352</v>
      </c>
      <c r="E784" s="46" t="s">
        <v>42</v>
      </c>
      <c r="F784" s="48" t="n">
        <v>62.2327</v>
      </c>
      <c r="G784" s="49" t="n">
        <v>4787.15</v>
      </c>
      <c r="H784" s="50" t="n">
        <f aca="false">F784*G784</f>
        <v>297917.269805</v>
      </c>
    </row>
    <row r="785" customFormat="false" ht="15" hidden="false" customHeight="false" outlineLevel="0" collapsed="false">
      <c r="B785" s="46" t="s">
        <v>145</v>
      </c>
      <c r="C785" s="46" t="s">
        <v>151</v>
      </c>
      <c r="D785" s="47" t="n">
        <v>45352</v>
      </c>
      <c r="E785" s="46" t="s">
        <v>42</v>
      </c>
      <c r="F785" s="48" t="n">
        <v>26.1433</v>
      </c>
      <c r="G785" s="49" t="n">
        <v>9207.83</v>
      </c>
      <c r="H785" s="50" t="n">
        <f aca="false">F785*G785</f>
        <v>240723.062039</v>
      </c>
    </row>
    <row r="786" customFormat="false" ht="15" hidden="false" customHeight="false" outlineLevel="0" collapsed="false">
      <c r="B786" s="46" t="s">
        <v>137</v>
      </c>
      <c r="C786" s="46" t="s">
        <v>151</v>
      </c>
      <c r="D786" s="47" t="n">
        <v>45383</v>
      </c>
      <c r="E786" s="46" t="s">
        <v>43</v>
      </c>
      <c r="F786" s="48" t="n">
        <v>131.5421</v>
      </c>
      <c r="G786" s="49" t="n">
        <v>5352.1</v>
      </c>
      <c r="H786" s="50" t="n">
        <f aca="false">F786*G786</f>
        <v>704026.47341</v>
      </c>
    </row>
    <row r="787" customFormat="false" ht="15" hidden="false" customHeight="false" outlineLevel="0" collapsed="false">
      <c r="B787" s="46" t="s">
        <v>142</v>
      </c>
      <c r="C787" s="46" t="s">
        <v>151</v>
      </c>
      <c r="D787" s="47" t="n">
        <v>45383</v>
      </c>
      <c r="E787" s="46" t="s">
        <v>43</v>
      </c>
      <c r="F787" s="48" t="n">
        <v>126.5484</v>
      </c>
      <c r="G787" s="49" t="n">
        <v>3930.39</v>
      </c>
      <c r="H787" s="50" t="n">
        <f aca="false">F787*G787</f>
        <v>497384.565876</v>
      </c>
    </row>
    <row r="788" customFormat="false" ht="15" hidden="false" customHeight="false" outlineLevel="0" collapsed="false">
      <c r="B788" s="46" t="s">
        <v>143</v>
      </c>
      <c r="C788" s="46" t="s">
        <v>151</v>
      </c>
      <c r="D788" s="47" t="n">
        <v>45383</v>
      </c>
      <c r="E788" s="46" t="s">
        <v>43</v>
      </c>
      <c r="F788" s="48" t="n">
        <v>58.2041</v>
      </c>
      <c r="G788" s="49" t="n">
        <v>6607.51</v>
      </c>
      <c r="H788" s="50" t="n">
        <f aca="false">F788*G788</f>
        <v>384584.172791</v>
      </c>
    </row>
    <row r="789" customFormat="false" ht="15" hidden="false" customHeight="false" outlineLevel="0" collapsed="false">
      <c r="B789" s="46" t="s">
        <v>144</v>
      </c>
      <c r="C789" s="46" t="s">
        <v>151</v>
      </c>
      <c r="D789" s="47" t="n">
        <v>45383</v>
      </c>
      <c r="E789" s="46" t="s">
        <v>43</v>
      </c>
      <c r="F789" s="48" t="n">
        <v>51.5044</v>
      </c>
      <c r="G789" s="49" t="n">
        <v>4902.63</v>
      </c>
      <c r="H789" s="50" t="n">
        <f aca="false">F789*G789</f>
        <v>252507.016572</v>
      </c>
    </row>
    <row r="790" customFormat="false" ht="15" hidden="false" customHeight="false" outlineLevel="0" collapsed="false">
      <c r="B790" s="46" t="s">
        <v>145</v>
      </c>
      <c r="C790" s="46" t="s">
        <v>151</v>
      </c>
      <c r="D790" s="47" t="n">
        <v>45383</v>
      </c>
      <c r="E790" s="46" t="s">
        <v>43</v>
      </c>
      <c r="F790" s="48" t="n">
        <v>21.4371</v>
      </c>
      <c r="G790" s="49" t="n">
        <v>9123.88</v>
      </c>
      <c r="H790" s="50" t="n">
        <f aca="false">F790*G790</f>
        <v>195589.527948</v>
      </c>
    </row>
    <row r="791" customFormat="false" ht="15" hidden="false" customHeight="false" outlineLevel="0" collapsed="false">
      <c r="B791" s="46" t="s">
        <v>137</v>
      </c>
      <c r="C791" s="46" t="s">
        <v>151</v>
      </c>
      <c r="D791" s="47" t="n">
        <v>45413</v>
      </c>
      <c r="E791" s="46" t="s">
        <v>43</v>
      </c>
      <c r="F791" s="48" t="n">
        <v>118.6333</v>
      </c>
      <c r="G791" s="49" t="n">
        <v>5423.43</v>
      </c>
      <c r="H791" s="50" t="n">
        <f aca="false">F791*G791</f>
        <v>643399.398219</v>
      </c>
    </row>
    <row r="792" customFormat="false" ht="15" hidden="false" customHeight="false" outlineLevel="0" collapsed="false">
      <c r="B792" s="46" t="s">
        <v>142</v>
      </c>
      <c r="C792" s="46" t="s">
        <v>151</v>
      </c>
      <c r="D792" s="47" t="n">
        <v>45413</v>
      </c>
      <c r="E792" s="46" t="s">
        <v>43</v>
      </c>
      <c r="F792" s="48" t="n">
        <v>129.2395</v>
      </c>
      <c r="G792" s="49" t="n">
        <v>3895.79</v>
      </c>
      <c r="H792" s="50" t="n">
        <f aca="false">F792*G792</f>
        <v>503489.951705</v>
      </c>
    </row>
    <row r="793" customFormat="false" ht="15" hidden="false" customHeight="false" outlineLevel="0" collapsed="false">
      <c r="B793" s="46" t="s">
        <v>143</v>
      </c>
      <c r="C793" s="46" t="s">
        <v>151</v>
      </c>
      <c r="D793" s="47" t="n">
        <v>45413</v>
      </c>
      <c r="E793" s="46" t="s">
        <v>43</v>
      </c>
      <c r="F793" s="48" t="n">
        <v>63.2333</v>
      </c>
      <c r="G793" s="49" t="n">
        <v>6588.95</v>
      </c>
      <c r="H793" s="50" t="n">
        <f aca="false">F793*G793</f>
        <v>416641.052035</v>
      </c>
    </row>
    <row r="794" customFormat="false" ht="15" hidden="false" customHeight="false" outlineLevel="0" collapsed="false">
      <c r="B794" s="46" t="s">
        <v>144</v>
      </c>
      <c r="C794" s="46" t="s">
        <v>151</v>
      </c>
      <c r="D794" s="47" t="n">
        <v>45413</v>
      </c>
      <c r="E794" s="46" t="s">
        <v>43</v>
      </c>
      <c r="F794" s="48" t="n">
        <v>59.999</v>
      </c>
      <c r="G794" s="49" t="n">
        <v>4881.13</v>
      </c>
      <c r="H794" s="50" t="n">
        <f aca="false">F794*G794</f>
        <v>292862.91887</v>
      </c>
    </row>
    <row r="795" customFormat="false" ht="15" hidden="false" customHeight="false" outlineLevel="0" collapsed="false">
      <c r="B795" s="46" t="s">
        <v>145</v>
      </c>
      <c r="C795" s="46" t="s">
        <v>151</v>
      </c>
      <c r="D795" s="47" t="n">
        <v>45413</v>
      </c>
      <c r="E795" s="46" t="s">
        <v>43</v>
      </c>
      <c r="F795" s="48" t="n">
        <v>20.2643</v>
      </c>
      <c r="G795" s="49" t="n">
        <v>9303.52</v>
      </c>
      <c r="H795" s="50" t="n">
        <f aca="false">F795*G795</f>
        <v>188529.320336</v>
      </c>
    </row>
    <row r="796" customFormat="false" ht="15" hidden="false" customHeight="false" outlineLevel="0" collapsed="false">
      <c r="B796" s="46" t="s">
        <v>137</v>
      </c>
      <c r="C796" s="46" t="s">
        <v>151</v>
      </c>
      <c r="D796" s="47" t="n">
        <v>45444</v>
      </c>
      <c r="E796" s="46" t="s">
        <v>43</v>
      </c>
      <c r="F796" s="48" t="n">
        <v>125.5274</v>
      </c>
      <c r="G796" s="49" t="n">
        <v>5423.42</v>
      </c>
      <c r="H796" s="50" t="n">
        <f aca="false">F796*G796</f>
        <v>680787.811708</v>
      </c>
    </row>
    <row r="797" customFormat="false" ht="15" hidden="false" customHeight="false" outlineLevel="0" collapsed="false">
      <c r="B797" s="46" t="s">
        <v>142</v>
      </c>
      <c r="C797" s="46" t="s">
        <v>151</v>
      </c>
      <c r="D797" s="47" t="n">
        <v>45444</v>
      </c>
      <c r="E797" s="46" t="s">
        <v>43</v>
      </c>
      <c r="F797" s="48" t="n">
        <v>121.9661</v>
      </c>
      <c r="G797" s="49" t="n">
        <v>4042.75</v>
      </c>
      <c r="H797" s="50" t="n">
        <f aca="false">F797*G797</f>
        <v>493078.450775</v>
      </c>
    </row>
    <row r="798" customFormat="false" ht="15" hidden="false" customHeight="false" outlineLevel="0" collapsed="false">
      <c r="B798" s="46" t="s">
        <v>143</v>
      </c>
      <c r="C798" s="46" t="s">
        <v>151</v>
      </c>
      <c r="D798" s="47" t="n">
        <v>45444</v>
      </c>
      <c r="E798" s="46" t="s">
        <v>43</v>
      </c>
      <c r="F798" s="48" t="n">
        <v>61.8121</v>
      </c>
      <c r="G798" s="49" t="n">
        <v>6811.91</v>
      </c>
      <c r="H798" s="50" t="n">
        <f aca="false">F798*G798</f>
        <v>421058.462111</v>
      </c>
    </row>
    <row r="799" customFormat="false" ht="15" hidden="false" customHeight="false" outlineLevel="0" collapsed="false">
      <c r="B799" s="46" t="s">
        <v>144</v>
      </c>
      <c r="C799" s="46" t="s">
        <v>151</v>
      </c>
      <c r="D799" s="47" t="n">
        <v>45444</v>
      </c>
      <c r="E799" s="46" t="s">
        <v>43</v>
      </c>
      <c r="F799" s="48" t="n">
        <v>58.5317</v>
      </c>
      <c r="G799" s="49" t="n">
        <v>4890.93</v>
      </c>
      <c r="H799" s="50" t="n">
        <f aca="false">F799*G799</f>
        <v>286274.447481</v>
      </c>
    </row>
    <row r="800" customFormat="false" ht="15" hidden="false" customHeight="false" outlineLevel="0" collapsed="false">
      <c r="B800" s="46" t="s">
        <v>145</v>
      </c>
      <c r="C800" s="46" t="s">
        <v>151</v>
      </c>
      <c r="D800" s="47" t="n">
        <v>45444</v>
      </c>
      <c r="E800" s="46" t="s">
        <v>43</v>
      </c>
      <c r="F800" s="48" t="n">
        <v>20.96</v>
      </c>
      <c r="G800" s="49" t="n">
        <v>9129.98</v>
      </c>
      <c r="H800" s="50" t="n">
        <f aca="false">F800*G800</f>
        <v>191364.3808</v>
      </c>
    </row>
    <row r="801" customFormat="false" ht="15" hidden="false" customHeight="false" outlineLevel="0" collapsed="false">
      <c r="B801" s="46" t="s">
        <v>137</v>
      </c>
      <c r="C801" s="46" t="s">
        <v>151</v>
      </c>
      <c r="D801" s="47" t="n">
        <v>45474</v>
      </c>
      <c r="E801" s="46" t="s">
        <v>43</v>
      </c>
      <c r="F801" s="48" t="n">
        <v>128.4747</v>
      </c>
      <c r="G801" s="49" t="n">
        <v>5411.19</v>
      </c>
      <c r="H801" s="50" t="n">
        <f aca="false">F801*G801</f>
        <v>695201.011893</v>
      </c>
    </row>
    <row r="802" customFormat="false" ht="15" hidden="false" customHeight="false" outlineLevel="0" collapsed="false">
      <c r="B802" s="46" t="s">
        <v>142</v>
      </c>
      <c r="C802" s="46" t="s">
        <v>151</v>
      </c>
      <c r="D802" s="47" t="n">
        <v>45474</v>
      </c>
      <c r="E802" s="46" t="s">
        <v>43</v>
      </c>
      <c r="F802" s="48" t="n">
        <v>127.4455</v>
      </c>
      <c r="G802" s="49" t="n">
        <v>4032.04</v>
      </c>
      <c r="H802" s="50" t="n">
        <f aca="false">F802*G802</f>
        <v>513865.35382</v>
      </c>
    </row>
    <row r="803" customFormat="false" ht="15" hidden="false" customHeight="false" outlineLevel="0" collapsed="false">
      <c r="B803" s="46" t="s">
        <v>143</v>
      </c>
      <c r="C803" s="46" t="s">
        <v>151</v>
      </c>
      <c r="D803" s="47" t="n">
        <v>45474</v>
      </c>
      <c r="E803" s="46" t="s">
        <v>43</v>
      </c>
      <c r="F803" s="48" t="n">
        <v>62.7781</v>
      </c>
      <c r="G803" s="49" t="n">
        <v>6638.41</v>
      </c>
      <c r="H803" s="50" t="n">
        <f aca="false">F803*G803</f>
        <v>416746.766821</v>
      </c>
    </row>
    <row r="804" customFormat="false" ht="15" hidden="false" customHeight="false" outlineLevel="0" collapsed="false">
      <c r="B804" s="46" t="s">
        <v>144</v>
      </c>
      <c r="C804" s="46" t="s">
        <v>151</v>
      </c>
      <c r="D804" s="47" t="n">
        <v>45474</v>
      </c>
      <c r="E804" s="46" t="s">
        <v>43</v>
      </c>
      <c r="F804" s="48" t="n">
        <v>64.1685</v>
      </c>
      <c r="G804" s="49" t="n">
        <v>4916.08</v>
      </c>
      <c r="H804" s="50" t="n">
        <f aca="false">F804*G804</f>
        <v>315457.47948</v>
      </c>
    </row>
    <row r="805" customFormat="false" ht="15" hidden="false" customHeight="false" outlineLevel="0" collapsed="false">
      <c r="B805" s="46" t="s">
        <v>145</v>
      </c>
      <c r="C805" s="46" t="s">
        <v>151</v>
      </c>
      <c r="D805" s="47" t="n">
        <v>45474</v>
      </c>
      <c r="E805" s="46" t="s">
        <v>43</v>
      </c>
      <c r="F805" s="48" t="n">
        <v>22.3694</v>
      </c>
      <c r="G805" s="49" t="n">
        <v>9247.39</v>
      </c>
      <c r="H805" s="50" t="n">
        <f aca="false">F805*G805</f>
        <v>206858.565866</v>
      </c>
    </row>
    <row r="806" customFormat="false" ht="15" hidden="false" customHeight="false" outlineLevel="0" collapsed="false">
      <c r="B806" s="46" t="s">
        <v>137</v>
      </c>
      <c r="C806" s="46" t="s">
        <v>151</v>
      </c>
      <c r="D806" s="47" t="n">
        <v>45505</v>
      </c>
      <c r="E806" s="46" t="s">
        <v>43</v>
      </c>
      <c r="F806" s="48" t="n">
        <v>117.9074</v>
      </c>
      <c r="G806" s="49" t="n">
        <v>5473.61</v>
      </c>
      <c r="H806" s="50" t="n">
        <f aca="false">F806*G806</f>
        <v>645379.123714</v>
      </c>
    </row>
    <row r="807" customFormat="false" ht="15" hidden="false" customHeight="false" outlineLevel="0" collapsed="false">
      <c r="B807" s="46" t="s">
        <v>142</v>
      </c>
      <c r="C807" s="46" t="s">
        <v>151</v>
      </c>
      <c r="D807" s="47" t="n">
        <v>45505</v>
      </c>
      <c r="E807" s="46" t="s">
        <v>43</v>
      </c>
      <c r="F807" s="48" t="n">
        <v>127.0576</v>
      </c>
      <c r="G807" s="49" t="n">
        <v>4100.67</v>
      </c>
      <c r="H807" s="50" t="n">
        <f aca="false">F807*G807</f>
        <v>521021.288592</v>
      </c>
    </row>
    <row r="808" customFormat="false" ht="15" hidden="false" customHeight="false" outlineLevel="0" collapsed="false">
      <c r="B808" s="46" t="s">
        <v>143</v>
      </c>
      <c r="C808" s="46" t="s">
        <v>151</v>
      </c>
      <c r="D808" s="47" t="n">
        <v>45505</v>
      </c>
      <c r="E808" s="46" t="s">
        <v>43</v>
      </c>
      <c r="F808" s="48" t="n">
        <v>56.7105</v>
      </c>
      <c r="G808" s="49" t="n">
        <v>6798.64</v>
      </c>
      <c r="H808" s="50" t="n">
        <f aca="false">F808*G808</f>
        <v>385554.27372</v>
      </c>
    </row>
    <row r="809" customFormat="false" ht="15" hidden="false" customHeight="false" outlineLevel="0" collapsed="false">
      <c r="B809" s="46" t="s">
        <v>144</v>
      </c>
      <c r="C809" s="46" t="s">
        <v>151</v>
      </c>
      <c r="D809" s="47" t="n">
        <v>45505</v>
      </c>
      <c r="E809" s="46" t="s">
        <v>43</v>
      </c>
      <c r="F809" s="48" t="n">
        <v>59.167</v>
      </c>
      <c r="G809" s="49" t="n">
        <v>4890.56</v>
      </c>
      <c r="H809" s="50" t="n">
        <f aca="false">F809*G809</f>
        <v>289359.76352</v>
      </c>
    </row>
    <row r="810" customFormat="false" ht="15" hidden="false" customHeight="false" outlineLevel="0" collapsed="false">
      <c r="B810" s="46" t="s">
        <v>145</v>
      </c>
      <c r="C810" s="46" t="s">
        <v>151</v>
      </c>
      <c r="D810" s="47" t="n">
        <v>45505</v>
      </c>
      <c r="E810" s="46" t="s">
        <v>43</v>
      </c>
      <c r="F810" s="48" t="n">
        <v>22.4967</v>
      </c>
      <c r="G810" s="49" t="n">
        <v>9245.4</v>
      </c>
      <c r="H810" s="50" t="n">
        <f aca="false">F810*G810</f>
        <v>207990.99018</v>
      </c>
    </row>
    <row r="811" customFormat="false" ht="15" hidden="false" customHeight="false" outlineLevel="0" collapsed="false">
      <c r="B811" s="46" t="s">
        <v>137</v>
      </c>
      <c r="C811" s="46" t="s">
        <v>151</v>
      </c>
      <c r="D811" s="47" t="n">
        <v>45536</v>
      </c>
      <c r="E811" s="46" t="s">
        <v>43</v>
      </c>
      <c r="F811" s="48" t="n">
        <v>121.9627</v>
      </c>
      <c r="G811" s="49" t="n">
        <v>5424.65</v>
      </c>
      <c r="H811" s="50" t="n">
        <f aca="false">F811*G811</f>
        <v>661604.960555</v>
      </c>
    </row>
    <row r="812" customFormat="false" ht="15" hidden="false" customHeight="false" outlineLevel="0" collapsed="false">
      <c r="B812" s="46" t="s">
        <v>142</v>
      </c>
      <c r="C812" s="46" t="s">
        <v>151</v>
      </c>
      <c r="D812" s="47" t="n">
        <v>45536</v>
      </c>
      <c r="E812" s="46" t="s">
        <v>43</v>
      </c>
      <c r="F812" s="48" t="n">
        <v>134.9932</v>
      </c>
      <c r="G812" s="49" t="n">
        <v>4021.66</v>
      </c>
      <c r="H812" s="50" t="n">
        <f aca="false">F812*G812</f>
        <v>542896.752712</v>
      </c>
    </row>
    <row r="813" customFormat="false" ht="15" hidden="false" customHeight="false" outlineLevel="0" collapsed="false">
      <c r="B813" s="46" t="s">
        <v>143</v>
      </c>
      <c r="C813" s="46" t="s">
        <v>151</v>
      </c>
      <c r="D813" s="47" t="n">
        <v>45536</v>
      </c>
      <c r="E813" s="46" t="s">
        <v>43</v>
      </c>
      <c r="F813" s="48" t="n">
        <v>61.6081</v>
      </c>
      <c r="G813" s="49" t="n">
        <v>6748.33</v>
      </c>
      <c r="H813" s="50" t="n">
        <f aca="false">F813*G813</f>
        <v>415751.789473</v>
      </c>
    </row>
    <row r="814" customFormat="false" ht="15" hidden="false" customHeight="false" outlineLevel="0" collapsed="false">
      <c r="B814" s="46" t="s">
        <v>144</v>
      </c>
      <c r="C814" s="46" t="s">
        <v>151</v>
      </c>
      <c r="D814" s="47" t="n">
        <v>45536</v>
      </c>
      <c r="E814" s="46" t="s">
        <v>43</v>
      </c>
      <c r="F814" s="48" t="n">
        <v>58.3571</v>
      </c>
      <c r="G814" s="49" t="n">
        <v>4869.46</v>
      </c>
      <c r="H814" s="50" t="n">
        <f aca="false">F814*G814</f>
        <v>284167.564166</v>
      </c>
    </row>
    <row r="815" customFormat="false" ht="15" hidden="false" customHeight="false" outlineLevel="0" collapsed="false">
      <c r="B815" s="46" t="s">
        <v>145</v>
      </c>
      <c r="C815" s="46" t="s">
        <v>151</v>
      </c>
      <c r="D815" s="47" t="n">
        <v>45536</v>
      </c>
      <c r="E815" s="46" t="s">
        <v>43</v>
      </c>
      <c r="F815" s="48" t="n">
        <v>21.6954</v>
      </c>
      <c r="G815" s="49" t="n">
        <v>9266.15</v>
      </c>
      <c r="H815" s="50" t="n">
        <f aca="false">F815*G815</f>
        <v>201032.83071</v>
      </c>
    </row>
    <row r="816" customFormat="false" ht="15" hidden="false" customHeight="false" outlineLevel="0" collapsed="false">
      <c r="B816" s="46" t="s">
        <v>137</v>
      </c>
      <c r="C816" s="46" t="s">
        <v>151</v>
      </c>
      <c r="D816" s="47" t="n">
        <v>45566</v>
      </c>
      <c r="E816" s="46" t="s">
        <v>43</v>
      </c>
      <c r="F816" s="48" t="n">
        <v>128.2</v>
      </c>
      <c r="G816" s="49" t="n">
        <v>5361.6</v>
      </c>
      <c r="H816" s="50" t="n">
        <f aca="false">F816*G816</f>
        <v>687357.12</v>
      </c>
    </row>
    <row r="817" customFormat="false" ht="15" hidden="false" customHeight="false" outlineLevel="0" collapsed="false">
      <c r="B817" s="46" t="s">
        <v>142</v>
      </c>
      <c r="C817" s="46" t="s">
        <v>151</v>
      </c>
      <c r="D817" s="47" t="n">
        <v>45566</v>
      </c>
      <c r="E817" s="46" t="s">
        <v>43</v>
      </c>
      <c r="F817" s="48" t="n">
        <v>130.8572</v>
      </c>
      <c r="G817" s="49" t="n">
        <v>4082.76</v>
      </c>
      <c r="H817" s="50" t="n">
        <f aca="false">F817*G817</f>
        <v>534258.541872</v>
      </c>
    </row>
    <row r="818" customFormat="false" ht="15" hidden="false" customHeight="false" outlineLevel="0" collapsed="false">
      <c r="B818" s="46" t="s">
        <v>143</v>
      </c>
      <c r="C818" s="46" t="s">
        <v>151</v>
      </c>
      <c r="D818" s="47" t="n">
        <v>45566</v>
      </c>
      <c r="E818" s="46" t="s">
        <v>43</v>
      </c>
      <c r="F818" s="48" t="n">
        <v>68.5651</v>
      </c>
      <c r="G818" s="49" t="n">
        <v>6673.04</v>
      </c>
      <c r="H818" s="50" t="n">
        <f aca="false">F818*G818</f>
        <v>457537.654904</v>
      </c>
    </row>
    <row r="819" customFormat="false" ht="15" hidden="false" customHeight="false" outlineLevel="0" collapsed="false">
      <c r="B819" s="46" t="s">
        <v>144</v>
      </c>
      <c r="C819" s="46" t="s">
        <v>151</v>
      </c>
      <c r="D819" s="47" t="n">
        <v>45566</v>
      </c>
      <c r="E819" s="46" t="s">
        <v>43</v>
      </c>
      <c r="F819" s="48" t="n">
        <v>65.3056</v>
      </c>
      <c r="G819" s="49" t="n">
        <v>4878</v>
      </c>
      <c r="H819" s="50" t="n">
        <f aca="false">F819*G819</f>
        <v>318560.7168</v>
      </c>
    </row>
    <row r="820" customFormat="false" ht="15" hidden="false" customHeight="false" outlineLevel="0" collapsed="false">
      <c r="B820" s="46" t="s">
        <v>145</v>
      </c>
      <c r="C820" s="46" t="s">
        <v>151</v>
      </c>
      <c r="D820" s="47" t="n">
        <v>45566</v>
      </c>
      <c r="E820" s="46" t="s">
        <v>43</v>
      </c>
      <c r="F820" s="48" t="n">
        <v>24.5312</v>
      </c>
      <c r="G820" s="49" t="n">
        <v>9382.92</v>
      </c>
      <c r="H820" s="50" t="n">
        <f aca="false">F820*G820</f>
        <v>230174.287104</v>
      </c>
    </row>
    <row r="821" customFormat="false" ht="15" hidden="false" customHeight="false" outlineLevel="0" collapsed="false">
      <c r="B821" s="46" t="s">
        <v>137</v>
      </c>
      <c r="C821" s="46" t="s">
        <v>151</v>
      </c>
      <c r="D821" s="47" t="n">
        <v>45597</v>
      </c>
      <c r="E821" s="46" t="s">
        <v>43</v>
      </c>
      <c r="F821" s="48" t="n">
        <v>125.314</v>
      </c>
      <c r="G821" s="49" t="n">
        <v>5370.07</v>
      </c>
      <c r="H821" s="50" t="n">
        <f aca="false">F821*G821</f>
        <v>672944.95198</v>
      </c>
    </row>
    <row r="822" customFormat="false" ht="15" hidden="false" customHeight="false" outlineLevel="0" collapsed="false">
      <c r="B822" s="46" t="s">
        <v>142</v>
      </c>
      <c r="C822" s="46" t="s">
        <v>151</v>
      </c>
      <c r="D822" s="47" t="n">
        <v>45597</v>
      </c>
      <c r="E822" s="46" t="s">
        <v>43</v>
      </c>
      <c r="F822" s="48" t="n">
        <v>142.2766</v>
      </c>
      <c r="G822" s="49" t="n">
        <v>4026.65</v>
      </c>
      <c r="H822" s="50" t="n">
        <f aca="false">F822*G822</f>
        <v>572898.07139</v>
      </c>
    </row>
    <row r="823" customFormat="false" ht="15" hidden="false" customHeight="false" outlineLevel="0" collapsed="false">
      <c r="B823" s="46" t="s">
        <v>143</v>
      </c>
      <c r="C823" s="46" t="s">
        <v>151</v>
      </c>
      <c r="D823" s="47" t="n">
        <v>45597</v>
      </c>
      <c r="E823" s="46" t="s">
        <v>43</v>
      </c>
      <c r="F823" s="48" t="n">
        <v>62.4508</v>
      </c>
      <c r="G823" s="49" t="n">
        <v>6726.02</v>
      </c>
      <c r="H823" s="50" t="n">
        <f aca="false">F823*G823</f>
        <v>420045.329816</v>
      </c>
    </row>
    <row r="824" customFormat="false" ht="15" hidden="false" customHeight="false" outlineLevel="0" collapsed="false">
      <c r="B824" s="46" t="s">
        <v>144</v>
      </c>
      <c r="C824" s="46" t="s">
        <v>151</v>
      </c>
      <c r="D824" s="47" t="n">
        <v>45597</v>
      </c>
      <c r="E824" s="46" t="s">
        <v>43</v>
      </c>
      <c r="F824" s="48" t="n">
        <v>74.5496</v>
      </c>
      <c r="G824" s="49" t="n">
        <v>4844.68</v>
      </c>
      <c r="H824" s="50" t="n">
        <f aca="false">F824*G824</f>
        <v>361168.956128</v>
      </c>
    </row>
    <row r="825" customFormat="false" ht="15" hidden="false" customHeight="false" outlineLevel="0" collapsed="false">
      <c r="B825" s="46" t="s">
        <v>145</v>
      </c>
      <c r="C825" s="46" t="s">
        <v>151</v>
      </c>
      <c r="D825" s="47" t="n">
        <v>45597</v>
      </c>
      <c r="E825" s="46" t="s">
        <v>43</v>
      </c>
      <c r="F825" s="48" t="n">
        <v>18.5063</v>
      </c>
      <c r="G825" s="49" t="n">
        <v>9392.26</v>
      </c>
      <c r="H825" s="50" t="n">
        <f aca="false">F825*G825</f>
        <v>173815.981238</v>
      </c>
    </row>
    <row r="826" customFormat="false" ht="15" hidden="false" customHeight="false" outlineLevel="0" collapsed="false">
      <c r="B826" s="46" t="s">
        <v>137</v>
      </c>
      <c r="C826" s="46" t="s">
        <v>151</v>
      </c>
      <c r="D826" s="47" t="n">
        <v>45627</v>
      </c>
      <c r="E826" s="46" t="s">
        <v>43</v>
      </c>
      <c r="F826" s="48" t="n">
        <v>124.3888</v>
      </c>
      <c r="G826" s="49" t="n">
        <v>5548.31</v>
      </c>
      <c r="H826" s="50" t="n">
        <f aca="false">F826*G826</f>
        <v>690147.622928</v>
      </c>
    </row>
    <row r="827" customFormat="false" ht="15" hidden="false" customHeight="false" outlineLevel="0" collapsed="false">
      <c r="B827" s="46" t="s">
        <v>142</v>
      </c>
      <c r="C827" s="46" t="s">
        <v>151</v>
      </c>
      <c r="D827" s="47" t="n">
        <v>45627</v>
      </c>
      <c r="E827" s="46" t="s">
        <v>43</v>
      </c>
      <c r="F827" s="48" t="n">
        <v>127.4603</v>
      </c>
      <c r="G827" s="49" t="n">
        <v>4028.76</v>
      </c>
      <c r="H827" s="50" t="n">
        <f aca="false">F827*G827</f>
        <v>513506.958228</v>
      </c>
    </row>
    <row r="828" customFormat="false" ht="15" hidden="false" customHeight="false" outlineLevel="0" collapsed="false">
      <c r="B828" s="46" t="s">
        <v>143</v>
      </c>
      <c r="C828" s="46" t="s">
        <v>151</v>
      </c>
      <c r="D828" s="47" t="n">
        <v>45627</v>
      </c>
      <c r="E828" s="46" t="s">
        <v>43</v>
      </c>
      <c r="F828" s="48" t="n">
        <v>63.8601</v>
      </c>
      <c r="G828" s="49" t="n">
        <v>6731.83</v>
      </c>
      <c r="H828" s="50" t="n">
        <f aca="false">F828*G828</f>
        <v>429895.336983</v>
      </c>
    </row>
    <row r="829" customFormat="false" ht="15" hidden="false" customHeight="false" outlineLevel="0" collapsed="false">
      <c r="B829" s="46" t="s">
        <v>144</v>
      </c>
      <c r="C829" s="46" t="s">
        <v>151</v>
      </c>
      <c r="D829" s="47" t="n">
        <v>45627</v>
      </c>
      <c r="E829" s="46" t="s">
        <v>43</v>
      </c>
      <c r="F829" s="48" t="n">
        <v>69.6427</v>
      </c>
      <c r="G829" s="49" t="n">
        <v>4889.07</v>
      </c>
      <c r="H829" s="50" t="n">
        <f aca="false">F829*G829</f>
        <v>340488.035289</v>
      </c>
    </row>
    <row r="830" customFormat="false" ht="15" hidden="false" customHeight="false" outlineLevel="0" collapsed="false">
      <c r="B830" s="46" t="s">
        <v>145</v>
      </c>
      <c r="C830" s="46" t="s">
        <v>151</v>
      </c>
      <c r="D830" s="47" t="n">
        <v>45627</v>
      </c>
      <c r="E830" s="46" t="s">
        <v>43</v>
      </c>
      <c r="F830" s="48" t="n">
        <v>24.2424</v>
      </c>
      <c r="G830" s="49" t="n">
        <v>9408.01</v>
      </c>
      <c r="H830" s="50" t="n">
        <f aca="false">F830*G830</f>
        <v>228072.741624</v>
      </c>
    </row>
    <row r="831" customFormat="false" ht="15" hidden="false" customHeight="false" outlineLevel="0" collapsed="false">
      <c r="B831" s="46" t="s">
        <v>137</v>
      </c>
      <c r="C831" s="46" t="s">
        <v>151</v>
      </c>
      <c r="D831" s="47" t="n">
        <v>45658</v>
      </c>
      <c r="E831" s="46" t="s">
        <v>43</v>
      </c>
      <c r="F831" s="48" t="n">
        <v>123.9549</v>
      </c>
      <c r="G831" s="49" t="n">
        <v>5499.31</v>
      </c>
      <c r="H831" s="50" t="n">
        <f aca="false">F831*G831</f>
        <v>681666.421119</v>
      </c>
    </row>
    <row r="832" customFormat="false" ht="15" hidden="false" customHeight="false" outlineLevel="0" collapsed="false">
      <c r="B832" s="46" t="s">
        <v>142</v>
      </c>
      <c r="C832" s="46" t="s">
        <v>151</v>
      </c>
      <c r="D832" s="47" t="n">
        <v>45658</v>
      </c>
      <c r="E832" s="46" t="s">
        <v>43</v>
      </c>
      <c r="F832" s="48" t="n">
        <v>114.7363</v>
      </c>
      <c r="G832" s="49" t="n">
        <v>4062.16</v>
      </c>
      <c r="H832" s="50" t="n">
        <f aca="false">F832*G832</f>
        <v>466077.208408</v>
      </c>
    </row>
    <row r="833" customFormat="false" ht="15" hidden="false" customHeight="false" outlineLevel="0" collapsed="false">
      <c r="B833" s="46" t="s">
        <v>143</v>
      </c>
      <c r="C833" s="46" t="s">
        <v>151</v>
      </c>
      <c r="D833" s="47" t="n">
        <v>45658</v>
      </c>
      <c r="E833" s="46" t="s">
        <v>43</v>
      </c>
      <c r="F833" s="48" t="n">
        <v>62.3398</v>
      </c>
      <c r="G833" s="49" t="n">
        <v>6921.13</v>
      </c>
      <c r="H833" s="50" t="n">
        <f aca="false">F833*G833</f>
        <v>431461.859974</v>
      </c>
    </row>
    <row r="834" customFormat="false" ht="15" hidden="false" customHeight="false" outlineLevel="0" collapsed="false">
      <c r="B834" s="46" t="s">
        <v>144</v>
      </c>
      <c r="C834" s="46" t="s">
        <v>151</v>
      </c>
      <c r="D834" s="47" t="n">
        <v>45658</v>
      </c>
      <c r="E834" s="46" t="s">
        <v>43</v>
      </c>
      <c r="F834" s="48" t="n">
        <v>60.0777</v>
      </c>
      <c r="G834" s="49" t="n">
        <v>4938.62</v>
      </c>
      <c r="H834" s="50" t="n">
        <f aca="false">F834*G834</f>
        <v>296700.930774</v>
      </c>
    </row>
    <row r="835" customFormat="false" ht="15" hidden="false" customHeight="false" outlineLevel="0" collapsed="false">
      <c r="B835" s="46" t="s">
        <v>145</v>
      </c>
      <c r="C835" s="46" t="s">
        <v>151</v>
      </c>
      <c r="D835" s="47" t="n">
        <v>45658</v>
      </c>
      <c r="E835" s="46" t="s">
        <v>43</v>
      </c>
      <c r="F835" s="48" t="n">
        <v>21.872</v>
      </c>
      <c r="G835" s="49" t="n">
        <v>9448.81</v>
      </c>
      <c r="H835" s="50" t="n">
        <f aca="false">F835*G835</f>
        <v>206664.37232</v>
      </c>
    </row>
    <row r="836" customFormat="false" ht="15" hidden="false" customHeight="false" outlineLevel="0" collapsed="false">
      <c r="B836" s="46" t="s">
        <v>137</v>
      </c>
      <c r="C836" s="46" t="s">
        <v>151</v>
      </c>
      <c r="D836" s="47" t="n">
        <v>45689</v>
      </c>
      <c r="E836" s="46" t="s">
        <v>43</v>
      </c>
      <c r="F836" s="48" t="n">
        <v>125.3707</v>
      </c>
      <c r="G836" s="49" t="n">
        <v>5496.31</v>
      </c>
      <c r="H836" s="50" t="n">
        <f aca="false">F836*G836</f>
        <v>689076.232117</v>
      </c>
    </row>
    <row r="837" customFormat="false" ht="15" hidden="false" customHeight="false" outlineLevel="0" collapsed="false">
      <c r="B837" s="46" t="s">
        <v>142</v>
      </c>
      <c r="C837" s="46" t="s">
        <v>151</v>
      </c>
      <c r="D837" s="47" t="n">
        <v>45689</v>
      </c>
      <c r="E837" s="46" t="s">
        <v>43</v>
      </c>
      <c r="F837" s="48" t="n">
        <v>117.6133</v>
      </c>
      <c r="G837" s="49" t="n">
        <v>4075.17</v>
      </c>
      <c r="H837" s="50" t="n">
        <f aca="false">F837*G837</f>
        <v>479294.191761</v>
      </c>
    </row>
    <row r="838" customFormat="false" ht="15" hidden="false" customHeight="false" outlineLevel="0" collapsed="false">
      <c r="B838" s="46" t="s">
        <v>143</v>
      </c>
      <c r="C838" s="46" t="s">
        <v>151</v>
      </c>
      <c r="D838" s="47" t="n">
        <v>45689</v>
      </c>
      <c r="E838" s="46" t="s">
        <v>43</v>
      </c>
      <c r="F838" s="48" t="n">
        <v>60.7961</v>
      </c>
      <c r="G838" s="49" t="n">
        <v>6898.18</v>
      </c>
      <c r="H838" s="50" t="n">
        <f aca="false">F838*G838</f>
        <v>419382.441098</v>
      </c>
    </row>
    <row r="839" customFormat="false" ht="15" hidden="false" customHeight="false" outlineLevel="0" collapsed="false">
      <c r="B839" s="46" t="s">
        <v>144</v>
      </c>
      <c r="C839" s="46" t="s">
        <v>151</v>
      </c>
      <c r="D839" s="47" t="n">
        <v>45689</v>
      </c>
      <c r="E839" s="46" t="s">
        <v>43</v>
      </c>
      <c r="F839" s="48" t="n">
        <v>66.6124</v>
      </c>
      <c r="G839" s="49" t="n">
        <v>4907.02</v>
      </c>
      <c r="H839" s="50" t="n">
        <f aca="false">F839*G839</f>
        <v>326868.379048</v>
      </c>
    </row>
    <row r="840" customFormat="false" ht="15" hidden="false" customHeight="false" outlineLevel="0" collapsed="false">
      <c r="B840" s="46" t="s">
        <v>145</v>
      </c>
      <c r="C840" s="46" t="s">
        <v>151</v>
      </c>
      <c r="D840" s="47" t="n">
        <v>45689</v>
      </c>
      <c r="E840" s="46" t="s">
        <v>43</v>
      </c>
      <c r="F840" s="48" t="n">
        <v>21.456</v>
      </c>
      <c r="G840" s="49" t="n">
        <v>9413.77</v>
      </c>
      <c r="H840" s="50" t="n">
        <f aca="false">F840*G840</f>
        <v>201981.84912</v>
      </c>
    </row>
    <row r="841" customFormat="false" ht="15" hidden="false" customHeight="false" outlineLevel="0" collapsed="false">
      <c r="B841" s="46" t="s">
        <v>137</v>
      </c>
      <c r="C841" s="46" t="s">
        <v>151</v>
      </c>
      <c r="D841" s="47" t="n">
        <v>45717</v>
      </c>
      <c r="E841" s="46" t="s">
        <v>43</v>
      </c>
      <c r="F841" s="48" t="n">
        <v>129.7616</v>
      </c>
      <c r="G841" s="49" t="n">
        <v>5519.76</v>
      </c>
      <c r="H841" s="50" t="n">
        <f aca="false">F841*G841</f>
        <v>716252.889216</v>
      </c>
    </row>
    <row r="842" customFormat="false" ht="15" hidden="false" customHeight="false" outlineLevel="0" collapsed="false">
      <c r="B842" s="46" t="s">
        <v>142</v>
      </c>
      <c r="C842" s="46" t="s">
        <v>151</v>
      </c>
      <c r="D842" s="47" t="n">
        <v>45717</v>
      </c>
      <c r="E842" s="46" t="s">
        <v>43</v>
      </c>
      <c r="F842" s="48" t="n">
        <v>140.1549</v>
      </c>
      <c r="G842" s="49" t="n">
        <v>3997.71</v>
      </c>
      <c r="H842" s="50" t="n">
        <f aca="false">F842*G842</f>
        <v>560298.645279</v>
      </c>
    </row>
    <row r="843" customFormat="false" ht="15" hidden="false" customHeight="false" outlineLevel="0" collapsed="false">
      <c r="B843" s="46" t="s">
        <v>143</v>
      </c>
      <c r="C843" s="46" t="s">
        <v>151</v>
      </c>
      <c r="D843" s="47" t="n">
        <v>45717</v>
      </c>
      <c r="E843" s="46" t="s">
        <v>43</v>
      </c>
      <c r="F843" s="48" t="n">
        <v>60.8483</v>
      </c>
      <c r="G843" s="49" t="n">
        <v>6947.13</v>
      </c>
      <c r="H843" s="50" t="n">
        <f aca="false">F843*G843</f>
        <v>422721.050379</v>
      </c>
    </row>
    <row r="844" customFormat="false" ht="15" hidden="false" customHeight="false" outlineLevel="0" collapsed="false">
      <c r="B844" s="46" t="s">
        <v>144</v>
      </c>
      <c r="C844" s="46" t="s">
        <v>151</v>
      </c>
      <c r="D844" s="47" t="n">
        <v>45717</v>
      </c>
      <c r="E844" s="46" t="s">
        <v>43</v>
      </c>
      <c r="F844" s="48" t="n">
        <v>67.2992</v>
      </c>
      <c r="G844" s="49" t="n">
        <v>4963.07</v>
      </c>
      <c r="H844" s="50" t="n">
        <f aca="false">F844*G844</f>
        <v>334010.640544</v>
      </c>
    </row>
    <row r="845" customFormat="false" ht="15" hidden="false" customHeight="false" outlineLevel="0" collapsed="false">
      <c r="B845" s="46" t="s">
        <v>145</v>
      </c>
      <c r="C845" s="46" t="s">
        <v>151</v>
      </c>
      <c r="D845" s="47" t="n">
        <v>45717</v>
      </c>
      <c r="E845" s="46" t="s">
        <v>43</v>
      </c>
      <c r="F845" s="48" t="n">
        <v>22.8303</v>
      </c>
      <c r="G845" s="49" t="n">
        <v>9697.13</v>
      </c>
      <c r="H845" s="50" t="n">
        <f aca="false">F845*G845</f>
        <v>221388.387039</v>
      </c>
    </row>
    <row r="846" customFormat="false" ht="15" hidden="false" customHeight="false" outlineLevel="0" collapsed="false">
      <c r="B846" s="46" t="s">
        <v>137</v>
      </c>
      <c r="C846" s="46" t="s">
        <v>151</v>
      </c>
      <c r="D846" s="47" t="n">
        <v>45748</v>
      </c>
      <c r="E846" s="46" t="s">
        <v>44</v>
      </c>
      <c r="F846" s="48" t="n">
        <v>121.5136</v>
      </c>
      <c r="G846" s="49" t="n">
        <v>5622.15</v>
      </c>
      <c r="H846" s="50" t="n">
        <f aca="false">F846*G846</f>
        <v>683167.68624</v>
      </c>
    </row>
    <row r="847" customFormat="false" ht="15" hidden="false" customHeight="false" outlineLevel="0" collapsed="false">
      <c r="B847" s="46" t="s">
        <v>142</v>
      </c>
      <c r="C847" s="46" t="s">
        <v>151</v>
      </c>
      <c r="D847" s="47" t="n">
        <v>45748</v>
      </c>
      <c r="E847" s="46" t="s">
        <v>44</v>
      </c>
      <c r="F847" s="48" t="n">
        <v>127.9747</v>
      </c>
      <c r="G847" s="49" t="n">
        <v>4116.38</v>
      </c>
      <c r="H847" s="50" t="n">
        <f aca="false">F847*G847</f>
        <v>526792.495586</v>
      </c>
    </row>
    <row r="848" customFormat="false" ht="15" hidden="false" customHeight="false" outlineLevel="0" collapsed="false">
      <c r="B848" s="46" t="s">
        <v>143</v>
      </c>
      <c r="C848" s="46" t="s">
        <v>151</v>
      </c>
      <c r="D848" s="47" t="n">
        <v>45748</v>
      </c>
      <c r="E848" s="46" t="s">
        <v>44</v>
      </c>
      <c r="F848" s="48" t="n">
        <v>59.1627</v>
      </c>
      <c r="G848" s="49" t="n">
        <v>6912.44</v>
      </c>
      <c r="H848" s="50" t="n">
        <f aca="false">F848*G848</f>
        <v>408958.613988</v>
      </c>
    </row>
    <row r="849" customFormat="false" ht="15" hidden="false" customHeight="false" outlineLevel="0" collapsed="false">
      <c r="B849" s="46" t="s">
        <v>144</v>
      </c>
      <c r="C849" s="46" t="s">
        <v>151</v>
      </c>
      <c r="D849" s="47" t="n">
        <v>45748</v>
      </c>
      <c r="E849" s="46" t="s">
        <v>44</v>
      </c>
      <c r="F849" s="48" t="n">
        <v>69.9148</v>
      </c>
      <c r="G849" s="49" t="n">
        <v>4974.41</v>
      </c>
      <c r="H849" s="50" t="n">
        <f aca="false">F849*G849</f>
        <v>347784.880268</v>
      </c>
    </row>
    <row r="850" customFormat="false" ht="15" hidden="false" customHeight="false" outlineLevel="0" collapsed="false">
      <c r="B850" s="46" t="s">
        <v>145</v>
      </c>
      <c r="C850" s="46" t="s">
        <v>151</v>
      </c>
      <c r="D850" s="47" t="n">
        <v>45748</v>
      </c>
      <c r="E850" s="46" t="s">
        <v>44</v>
      </c>
      <c r="F850" s="48" t="n">
        <v>21.9444</v>
      </c>
      <c r="G850" s="49" t="n">
        <v>9436.8</v>
      </c>
      <c r="H850" s="50" t="n">
        <f aca="false">F850*G850</f>
        <v>207084.91392</v>
      </c>
    </row>
    <row r="851" customFormat="false" ht="15" hidden="false" customHeight="false" outlineLevel="0" collapsed="false">
      <c r="B851" s="46" t="s">
        <v>137</v>
      </c>
      <c r="C851" s="46" t="s">
        <v>151</v>
      </c>
      <c r="D851" s="47" t="n">
        <v>45778</v>
      </c>
      <c r="E851" s="46" t="s">
        <v>44</v>
      </c>
      <c r="F851" s="48" t="n">
        <v>131.9071</v>
      </c>
      <c r="G851" s="49" t="n">
        <v>5537.99</v>
      </c>
      <c r="H851" s="50" t="n">
        <f aca="false">F851*G851</f>
        <v>730500.200729</v>
      </c>
    </row>
    <row r="852" customFormat="false" ht="15" hidden="false" customHeight="false" outlineLevel="0" collapsed="false">
      <c r="B852" s="46" t="s">
        <v>142</v>
      </c>
      <c r="C852" s="46" t="s">
        <v>151</v>
      </c>
      <c r="D852" s="47" t="n">
        <v>45778</v>
      </c>
      <c r="E852" s="46" t="s">
        <v>44</v>
      </c>
      <c r="F852" s="48" t="n">
        <v>135.8116</v>
      </c>
      <c r="G852" s="49" t="n">
        <v>4070.72</v>
      </c>
      <c r="H852" s="50" t="n">
        <f aca="false">F852*G852</f>
        <v>552850.996352</v>
      </c>
    </row>
    <row r="853" customFormat="false" ht="15" hidden="false" customHeight="false" outlineLevel="0" collapsed="false">
      <c r="B853" s="46" t="s">
        <v>143</v>
      </c>
      <c r="C853" s="46" t="s">
        <v>151</v>
      </c>
      <c r="D853" s="47" t="n">
        <v>45778</v>
      </c>
      <c r="E853" s="46" t="s">
        <v>44</v>
      </c>
      <c r="F853" s="48" t="n">
        <v>64.281</v>
      </c>
      <c r="G853" s="49" t="n">
        <v>6919.13</v>
      </c>
      <c r="H853" s="50" t="n">
        <f aca="false">F853*G853</f>
        <v>444768.59553</v>
      </c>
    </row>
    <row r="854" customFormat="false" ht="15" hidden="false" customHeight="false" outlineLevel="0" collapsed="false">
      <c r="B854" s="46" t="s">
        <v>144</v>
      </c>
      <c r="C854" s="46" t="s">
        <v>151</v>
      </c>
      <c r="D854" s="47" t="n">
        <v>45778</v>
      </c>
      <c r="E854" s="46" t="s">
        <v>44</v>
      </c>
      <c r="F854" s="48" t="n">
        <v>63.6886</v>
      </c>
      <c r="G854" s="49" t="n">
        <v>4985.39</v>
      </c>
      <c r="H854" s="50" t="n">
        <f aca="false">F854*G854</f>
        <v>317512.509554</v>
      </c>
    </row>
    <row r="855" customFormat="false" ht="15" hidden="false" customHeight="false" outlineLevel="0" collapsed="false">
      <c r="B855" s="46" t="s">
        <v>145</v>
      </c>
      <c r="C855" s="46" t="s">
        <v>151</v>
      </c>
      <c r="D855" s="47" t="n">
        <v>45778</v>
      </c>
      <c r="E855" s="46" t="s">
        <v>44</v>
      </c>
      <c r="F855" s="48" t="n">
        <v>22.0831</v>
      </c>
      <c r="G855" s="49" t="n">
        <v>9436.88</v>
      </c>
      <c r="H855" s="50" t="n">
        <f aca="false">F855*G855</f>
        <v>208395.564728</v>
      </c>
    </row>
    <row r="856" customFormat="false" ht="15" hidden="false" customHeight="false" outlineLevel="0" collapsed="false">
      <c r="B856" s="46" t="s">
        <v>137</v>
      </c>
      <c r="C856" s="46" t="s">
        <v>151</v>
      </c>
      <c r="D856" s="47" t="n">
        <v>45809</v>
      </c>
      <c r="E856" s="46" t="s">
        <v>44</v>
      </c>
      <c r="F856" s="48" t="n">
        <v>123.8853</v>
      </c>
      <c r="G856" s="49" t="n">
        <v>5565.84</v>
      </c>
      <c r="H856" s="50" t="n">
        <f aca="false">F856*G856</f>
        <v>689525.758152</v>
      </c>
    </row>
    <row r="857" customFormat="false" ht="15" hidden="false" customHeight="false" outlineLevel="0" collapsed="false">
      <c r="B857" s="46" t="s">
        <v>142</v>
      </c>
      <c r="C857" s="46" t="s">
        <v>151</v>
      </c>
      <c r="D857" s="47" t="n">
        <v>45809</v>
      </c>
      <c r="E857" s="46" t="s">
        <v>44</v>
      </c>
      <c r="F857" s="48" t="n">
        <v>133.8661</v>
      </c>
      <c r="G857" s="49" t="n">
        <v>4048.04</v>
      </c>
      <c r="H857" s="50" t="n">
        <f aca="false">F857*G857</f>
        <v>541895.327444</v>
      </c>
    </row>
    <row r="858" customFormat="false" ht="15" hidden="false" customHeight="false" outlineLevel="0" collapsed="false">
      <c r="B858" s="46" t="s">
        <v>143</v>
      </c>
      <c r="C858" s="46" t="s">
        <v>151</v>
      </c>
      <c r="D858" s="47" t="n">
        <v>45809</v>
      </c>
      <c r="E858" s="46" t="s">
        <v>44</v>
      </c>
      <c r="F858" s="48" t="n">
        <v>61.0135</v>
      </c>
      <c r="G858" s="49" t="n">
        <v>6926.97</v>
      </c>
      <c r="H858" s="50" t="n">
        <f aca="false">F858*G858</f>
        <v>422638.684095</v>
      </c>
    </row>
    <row r="859" customFormat="false" ht="15" hidden="false" customHeight="false" outlineLevel="0" collapsed="false">
      <c r="B859" s="46" t="s">
        <v>144</v>
      </c>
      <c r="C859" s="46" t="s">
        <v>151</v>
      </c>
      <c r="D859" s="47" t="n">
        <v>45809</v>
      </c>
      <c r="E859" s="46" t="s">
        <v>44</v>
      </c>
      <c r="F859" s="48" t="n">
        <v>65.3966</v>
      </c>
      <c r="G859" s="49" t="n">
        <v>5118.26</v>
      </c>
      <c r="H859" s="50" t="n">
        <f aca="false">F859*G859</f>
        <v>334716.801916</v>
      </c>
    </row>
    <row r="860" customFormat="false" ht="15" hidden="false" customHeight="false" outlineLevel="0" collapsed="false">
      <c r="B860" s="46" t="s">
        <v>145</v>
      </c>
      <c r="C860" s="46" t="s">
        <v>151</v>
      </c>
      <c r="D860" s="47" t="n">
        <v>45809</v>
      </c>
      <c r="E860" s="46" t="s">
        <v>44</v>
      </c>
      <c r="F860" s="48" t="n">
        <v>21.4119</v>
      </c>
      <c r="G860" s="49" t="n">
        <v>9614.99</v>
      </c>
      <c r="H860" s="50" t="n">
        <f aca="false">F860*G860</f>
        <v>205875.204381</v>
      </c>
    </row>
    <row r="861" customFormat="false" ht="15" hidden="false" customHeight="false" outlineLevel="0" collapsed="false">
      <c r="B861" s="46" t="s">
        <v>137</v>
      </c>
      <c r="C861" s="46" t="s">
        <v>151</v>
      </c>
      <c r="D861" s="47" t="n">
        <v>45839</v>
      </c>
      <c r="E861" s="46" t="s">
        <v>44</v>
      </c>
      <c r="F861" s="48" t="n">
        <v>125.7136</v>
      </c>
      <c r="G861" s="49" t="n">
        <v>5612.5</v>
      </c>
      <c r="H861" s="50" t="n">
        <f aca="false">F861*G861</f>
        <v>705567.58</v>
      </c>
    </row>
    <row r="862" customFormat="false" ht="15" hidden="false" customHeight="false" outlineLevel="0" collapsed="false">
      <c r="B862" s="46" t="s">
        <v>142</v>
      </c>
      <c r="C862" s="46" t="s">
        <v>151</v>
      </c>
      <c r="D862" s="47" t="n">
        <v>45839</v>
      </c>
      <c r="E862" s="46" t="s">
        <v>44</v>
      </c>
      <c r="F862" s="48" t="n">
        <v>136.1797</v>
      </c>
      <c r="G862" s="49" t="n">
        <v>4091.51</v>
      </c>
      <c r="H862" s="50" t="n">
        <f aca="false">F862*G862</f>
        <v>557180.604347</v>
      </c>
    </row>
    <row r="863" customFormat="false" ht="15" hidden="false" customHeight="false" outlineLevel="0" collapsed="false">
      <c r="B863" s="46" t="s">
        <v>143</v>
      </c>
      <c r="C863" s="46" t="s">
        <v>151</v>
      </c>
      <c r="D863" s="47" t="n">
        <v>45839</v>
      </c>
      <c r="E863" s="46" t="s">
        <v>44</v>
      </c>
      <c r="F863" s="48" t="n">
        <v>65.2332</v>
      </c>
      <c r="G863" s="49" t="n">
        <v>6903.19</v>
      </c>
      <c r="H863" s="50" t="n">
        <f aca="false">F863*G863</f>
        <v>450317.173908</v>
      </c>
    </row>
    <row r="864" customFormat="false" ht="15" hidden="false" customHeight="false" outlineLevel="0" collapsed="false">
      <c r="B864" s="46" t="s">
        <v>144</v>
      </c>
      <c r="C864" s="46" t="s">
        <v>151</v>
      </c>
      <c r="D864" s="47" t="n">
        <v>45839</v>
      </c>
      <c r="E864" s="46" t="s">
        <v>44</v>
      </c>
      <c r="F864" s="48" t="n">
        <v>69.2646</v>
      </c>
      <c r="G864" s="49" t="n">
        <v>5065.77</v>
      </c>
      <c r="H864" s="50" t="n">
        <f aca="false">F864*G864</f>
        <v>350878.532742</v>
      </c>
    </row>
    <row r="865" customFormat="false" ht="15" hidden="false" customHeight="false" outlineLevel="0" collapsed="false">
      <c r="B865" s="46" t="s">
        <v>145</v>
      </c>
      <c r="C865" s="46" t="s">
        <v>151</v>
      </c>
      <c r="D865" s="47" t="n">
        <v>45839</v>
      </c>
      <c r="E865" s="46" t="s">
        <v>44</v>
      </c>
      <c r="F865" s="48" t="n">
        <v>22.1178</v>
      </c>
      <c r="G865" s="49" t="n">
        <v>9806.02</v>
      </c>
      <c r="H865" s="50" t="n">
        <f aca="false">F865*G865</f>
        <v>216887.589156</v>
      </c>
    </row>
    <row r="866" customFormat="false" ht="15" hidden="false" customHeight="false" outlineLevel="0" collapsed="false">
      <c r="B866" s="46" t="s">
        <v>137</v>
      </c>
      <c r="C866" s="46" t="s">
        <v>151</v>
      </c>
      <c r="D866" s="47" t="n">
        <v>45870</v>
      </c>
      <c r="E866" s="46" t="s">
        <v>44</v>
      </c>
      <c r="F866" s="48" t="n">
        <v>122.5551</v>
      </c>
      <c r="G866" s="49" t="n">
        <v>5583.65</v>
      </c>
      <c r="H866" s="50" t="n">
        <f aca="false">F866*G866</f>
        <v>684304.784115</v>
      </c>
    </row>
    <row r="867" customFormat="false" ht="15" hidden="false" customHeight="false" outlineLevel="0" collapsed="false">
      <c r="B867" s="46" t="s">
        <v>142</v>
      </c>
      <c r="C867" s="46" t="s">
        <v>151</v>
      </c>
      <c r="D867" s="47" t="n">
        <v>45870</v>
      </c>
      <c r="E867" s="46" t="s">
        <v>44</v>
      </c>
      <c r="F867" s="48" t="n">
        <v>126.1999</v>
      </c>
      <c r="G867" s="49" t="n">
        <v>4191.79</v>
      </c>
      <c r="H867" s="50" t="n">
        <f aca="false">F867*G867</f>
        <v>529003.478821</v>
      </c>
    </row>
    <row r="868" customFormat="false" ht="15" hidden="false" customHeight="false" outlineLevel="0" collapsed="false">
      <c r="B868" s="46" t="s">
        <v>143</v>
      </c>
      <c r="C868" s="46" t="s">
        <v>151</v>
      </c>
      <c r="D868" s="47" t="n">
        <v>45870</v>
      </c>
      <c r="E868" s="46" t="s">
        <v>44</v>
      </c>
      <c r="F868" s="48" t="n">
        <v>66.0146</v>
      </c>
      <c r="G868" s="49" t="n">
        <v>6949.55</v>
      </c>
      <c r="H868" s="50" t="n">
        <f aca="false">F868*G868</f>
        <v>458771.76343</v>
      </c>
    </row>
    <row r="869" customFormat="false" ht="15" hidden="false" customHeight="false" outlineLevel="0" collapsed="false">
      <c r="B869" s="46" t="s">
        <v>144</v>
      </c>
      <c r="C869" s="46" t="s">
        <v>151</v>
      </c>
      <c r="D869" s="47" t="n">
        <v>45870</v>
      </c>
      <c r="E869" s="46" t="s">
        <v>44</v>
      </c>
      <c r="F869" s="48" t="n">
        <v>72.1409</v>
      </c>
      <c r="G869" s="49" t="n">
        <v>5022.1</v>
      </c>
      <c r="H869" s="50" t="n">
        <f aca="false">F869*G869</f>
        <v>362298.81389</v>
      </c>
    </row>
    <row r="870" customFormat="false" ht="15" hidden="false" customHeight="false" outlineLevel="0" collapsed="false">
      <c r="B870" s="46" t="s">
        <v>145</v>
      </c>
      <c r="C870" s="46" t="s">
        <v>151</v>
      </c>
      <c r="D870" s="47" t="n">
        <v>45870</v>
      </c>
      <c r="E870" s="46" t="s">
        <v>44</v>
      </c>
      <c r="F870" s="48" t="n">
        <v>19.7224</v>
      </c>
      <c r="G870" s="49" t="n">
        <v>9945.95</v>
      </c>
      <c r="H870" s="50" t="n">
        <f aca="false">F870*G870</f>
        <v>196158.00428</v>
      </c>
    </row>
    <row r="871" customFormat="false" ht="15" hidden="false" customHeight="false" outlineLevel="0" collapsed="false">
      <c r="B871" s="46" t="s">
        <v>137</v>
      </c>
      <c r="C871" s="46" t="s">
        <v>151</v>
      </c>
      <c r="D871" s="47" t="n">
        <v>45901</v>
      </c>
      <c r="E871" s="46" t="s">
        <v>44</v>
      </c>
      <c r="F871" s="48" t="n">
        <v>127.9291</v>
      </c>
      <c r="G871" s="49" t="n">
        <v>5702.32</v>
      </c>
      <c r="H871" s="50" t="n">
        <f aca="false">F871*G871</f>
        <v>729492.665512</v>
      </c>
    </row>
    <row r="872" customFormat="false" ht="15" hidden="false" customHeight="false" outlineLevel="0" collapsed="false">
      <c r="B872" s="46" t="s">
        <v>142</v>
      </c>
      <c r="C872" s="46" t="s">
        <v>151</v>
      </c>
      <c r="D872" s="47" t="n">
        <v>45901</v>
      </c>
      <c r="E872" s="46" t="s">
        <v>44</v>
      </c>
      <c r="F872" s="48" t="n">
        <v>131.7013</v>
      </c>
      <c r="G872" s="49" t="n">
        <v>4139.3</v>
      </c>
      <c r="H872" s="50" t="n">
        <f aca="false">F872*G872</f>
        <v>545151.19109</v>
      </c>
    </row>
    <row r="873" customFormat="false" ht="15" hidden="false" customHeight="false" outlineLevel="0" collapsed="false">
      <c r="B873" s="46" t="s">
        <v>143</v>
      </c>
      <c r="C873" s="46" t="s">
        <v>151</v>
      </c>
      <c r="D873" s="47" t="n">
        <v>45901</v>
      </c>
      <c r="E873" s="46" t="s">
        <v>44</v>
      </c>
      <c r="F873" s="48" t="n">
        <v>62.4476</v>
      </c>
      <c r="G873" s="49" t="n">
        <v>7146.89</v>
      </c>
      <c r="H873" s="50" t="n">
        <f aca="false">F873*G873</f>
        <v>446306.127964</v>
      </c>
    </row>
    <row r="874" customFormat="false" ht="15" hidden="false" customHeight="false" outlineLevel="0" collapsed="false">
      <c r="B874" s="46" t="s">
        <v>144</v>
      </c>
      <c r="C874" s="46" t="s">
        <v>151</v>
      </c>
      <c r="D874" s="47" t="n">
        <v>45901</v>
      </c>
      <c r="E874" s="46" t="s">
        <v>44</v>
      </c>
      <c r="F874" s="48" t="n">
        <v>79.2909</v>
      </c>
      <c r="G874" s="49" t="n">
        <v>5112.13</v>
      </c>
      <c r="H874" s="50" t="n">
        <f aca="false">F874*G874</f>
        <v>405345.388617</v>
      </c>
    </row>
    <row r="875" customFormat="false" ht="15" hidden="false" customHeight="false" outlineLevel="0" collapsed="false">
      <c r="B875" s="46" t="s">
        <v>145</v>
      </c>
      <c r="C875" s="46" t="s">
        <v>151</v>
      </c>
      <c r="D875" s="47" t="n">
        <v>45901</v>
      </c>
      <c r="E875" s="46" t="s">
        <v>44</v>
      </c>
      <c r="F875" s="48" t="n">
        <v>22.8739</v>
      </c>
      <c r="G875" s="49" t="n">
        <v>9760.4</v>
      </c>
      <c r="H875" s="50" t="n">
        <f aca="false">F875*G875</f>
        <v>223258.41356</v>
      </c>
    </row>
    <row r="876" customFormat="false" ht="15" hidden="false" customHeight="false" outlineLevel="0" collapsed="false">
      <c r="B876" s="46" t="s">
        <v>137</v>
      </c>
      <c r="C876" s="46" t="s">
        <v>151</v>
      </c>
      <c r="D876" s="47" t="n">
        <v>45931</v>
      </c>
      <c r="E876" s="46" t="s">
        <v>44</v>
      </c>
      <c r="F876" s="48" t="n">
        <v>120.2777</v>
      </c>
      <c r="G876" s="49" t="n">
        <v>5583.57</v>
      </c>
      <c r="H876" s="50" t="n">
        <f aca="false">F876*G876</f>
        <v>671578.957389</v>
      </c>
    </row>
    <row r="877" customFormat="false" ht="15" hidden="false" customHeight="false" outlineLevel="0" collapsed="false">
      <c r="B877" s="46" t="s">
        <v>142</v>
      </c>
      <c r="C877" s="46" t="s">
        <v>151</v>
      </c>
      <c r="D877" s="47" t="n">
        <v>45931</v>
      </c>
      <c r="E877" s="46" t="s">
        <v>44</v>
      </c>
      <c r="F877" s="48" t="n">
        <v>125.6198</v>
      </c>
      <c r="G877" s="49" t="n">
        <v>4145.6</v>
      </c>
      <c r="H877" s="50" t="n">
        <f aca="false">F877*G877</f>
        <v>520769.44288</v>
      </c>
    </row>
    <row r="878" customFormat="false" ht="15" hidden="false" customHeight="false" outlineLevel="0" collapsed="false">
      <c r="B878" s="46" t="s">
        <v>143</v>
      </c>
      <c r="C878" s="46" t="s">
        <v>151</v>
      </c>
      <c r="D878" s="47" t="n">
        <v>45931</v>
      </c>
      <c r="E878" s="46" t="s">
        <v>44</v>
      </c>
      <c r="F878" s="48" t="n">
        <v>71.7934</v>
      </c>
      <c r="G878" s="49" t="n">
        <v>7076.6</v>
      </c>
      <c r="H878" s="50" t="n">
        <f aca="false">F878*G878</f>
        <v>508053.17444</v>
      </c>
    </row>
    <row r="879" customFormat="false" ht="15" hidden="false" customHeight="false" outlineLevel="0" collapsed="false">
      <c r="B879" s="46" t="s">
        <v>144</v>
      </c>
      <c r="C879" s="46" t="s">
        <v>151</v>
      </c>
      <c r="D879" s="47" t="n">
        <v>45931</v>
      </c>
      <c r="E879" s="46" t="s">
        <v>44</v>
      </c>
      <c r="F879" s="48" t="n">
        <v>77.1592</v>
      </c>
      <c r="G879" s="49" t="n">
        <v>5021.55</v>
      </c>
      <c r="H879" s="50" t="n">
        <f aca="false">F879*G879</f>
        <v>387458.78076</v>
      </c>
    </row>
    <row r="880" customFormat="false" ht="15" hidden="false" customHeight="false" outlineLevel="0" collapsed="false">
      <c r="B880" s="46" t="s">
        <v>145</v>
      </c>
      <c r="C880" s="46" t="s">
        <v>151</v>
      </c>
      <c r="D880" s="47" t="n">
        <v>45931</v>
      </c>
      <c r="E880" s="46" t="s">
        <v>44</v>
      </c>
      <c r="F880" s="48" t="n">
        <v>23.6998</v>
      </c>
      <c r="G880" s="49" t="n">
        <v>9921.48</v>
      </c>
      <c r="H880" s="50" t="n">
        <f aca="false">F880*G880</f>
        <v>235137.091704</v>
      </c>
    </row>
    <row r="881" customFormat="false" ht="15" hidden="false" customHeight="false" outlineLevel="0" collapsed="false">
      <c r="B881" s="46" t="s">
        <v>137</v>
      </c>
      <c r="C881" s="46" t="s">
        <v>151</v>
      </c>
      <c r="D881" s="47" t="n">
        <v>45962</v>
      </c>
      <c r="E881" s="46" t="s">
        <v>44</v>
      </c>
      <c r="F881" s="48" t="n">
        <v>134.2227</v>
      </c>
      <c r="G881" s="49" t="n">
        <v>5660.57</v>
      </c>
      <c r="H881" s="50" t="n">
        <f aca="false">F881*G881</f>
        <v>759776.988939</v>
      </c>
    </row>
    <row r="882" customFormat="false" ht="15" hidden="false" customHeight="false" outlineLevel="0" collapsed="false">
      <c r="B882" s="46" t="s">
        <v>142</v>
      </c>
      <c r="C882" s="46" t="s">
        <v>151</v>
      </c>
      <c r="D882" s="47" t="n">
        <v>45962</v>
      </c>
      <c r="E882" s="46" t="s">
        <v>44</v>
      </c>
      <c r="F882" s="48" t="n">
        <v>121.8143</v>
      </c>
      <c r="G882" s="49" t="n">
        <v>4075.97</v>
      </c>
      <c r="H882" s="50" t="n">
        <f aca="false">F882*G882</f>
        <v>496511.432371</v>
      </c>
    </row>
    <row r="883" customFormat="false" ht="15" hidden="false" customHeight="false" outlineLevel="0" collapsed="false">
      <c r="B883" s="46" t="s">
        <v>143</v>
      </c>
      <c r="C883" s="46" t="s">
        <v>151</v>
      </c>
      <c r="D883" s="47" t="n">
        <v>45962</v>
      </c>
      <c r="E883" s="46" t="s">
        <v>44</v>
      </c>
      <c r="F883" s="48" t="n">
        <v>66.9283</v>
      </c>
      <c r="G883" s="49" t="n">
        <v>7175.71</v>
      </c>
      <c r="H883" s="50" t="n">
        <f aca="false">F883*G883</f>
        <v>480258.071593</v>
      </c>
    </row>
    <row r="884" customFormat="false" ht="15" hidden="false" customHeight="false" outlineLevel="0" collapsed="false">
      <c r="B884" s="46" t="s">
        <v>144</v>
      </c>
      <c r="C884" s="46" t="s">
        <v>151</v>
      </c>
      <c r="D884" s="47" t="n">
        <v>45962</v>
      </c>
      <c r="E884" s="46" t="s">
        <v>44</v>
      </c>
      <c r="F884" s="48" t="n">
        <v>79.1392</v>
      </c>
      <c r="G884" s="49" t="n">
        <v>5107.46</v>
      </c>
      <c r="H884" s="50" t="n">
        <f aca="false">F884*G884</f>
        <v>404200.298432</v>
      </c>
    </row>
    <row r="885" customFormat="false" ht="15" hidden="false" customHeight="false" outlineLevel="0" collapsed="false">
      <c r="B885" s="46" t="s">
        <v>145</v>
      </c>
      <c r="C885" s="46" t="s">
        <v>151</v>
      </c>
      <c r="D885" s="47" t="n">
        <v>45962</v>
      </c>
      <c r="E885" s="46" t="s">
        <v>44</v>
      </c>
      <c r="F885" s="48" t="n">
        <v>22.1389</v>
      </c>
      <c r="G885" s="49" t="n">
        <v>9854.02</v>
      </c>
      <c r="H885" s="50" t="n">
        <f aca="false">F885*G885</f>
        <v>218157.163378</v>
      </c>
    </row>
    <row r="886" customFormat="false" ht="15" hidden="false" customHeight="false" outlineLevel="0" collapsed="false">
      <c r="B886" s="46" t="s">
        <v>137</v>
      </c>
      <c r="C886" s="46" t="s">
        <v>151</v>
      </c>
      <c r="D886" s="47" t="n">
        <v>45992</v>
      </c>
      <c r="E886" s="46" t="s">
        <v>44</v>
      </c>
      <c r="F886" s="48" t="n">
        <v>123.8887</v>
      </c>
      <c r="G886" s="49" t="n">
        <v>5652.44</v>
      </c>
      <c r="H886" s="50" t="n">
        <f aca="false">F886*G886</f>
        <v>700273.443428</v>
      </c>
    </row>
    <row r="887" customFormat="false" ht="15" hidden="false" customHeight="false" outlineLevel="0" collapsed="false">
      <c r="B887" s="46" t="s">
        <v>142</v>
      </c>
      <c r="C887" s="46" t="s">
        <v>151</v>
      </c>
      <c r="D887" s="47" t="n">
        <v>45992</v>
      </c>
      <c r="E887" s="46" t="s">
        <v>44</v>
      </c>
      <c r="F887" s="48" t="n">
        <v>130.9635</v>
      </c>
      <c r="G887" s="49" t="n">
        <v>4088.17</v>
      </c>
      <c r="H887" s="50" t="n">
        <f aca="false">F887*G887</f>
        <v>535401.051795</v>
      </c>
    </row>
    <row r="888" customFormat="false" ht="15" hidden="false" customHeight="false" outlineLevel="0" collapsed="false">
      <c r="B888" s="46" t="s">
        <v>143</v>
      </c>
      <c r="C888" s="46" t="s">
        <v>151</v>
      </c>
      <c r="D888" s="47" t="n">
        <v>45992</v>
      </c>
      <c r="E888" s="46" t="s">
        <v>44</v>
      </c>
      <c r="F888" s="48" t="n">
        <v>63.5565</v>
      </c>
      <c r="G888" s="49" t="n">
        <v>7101.48</v>
      </c>
      <c r="H888" s="50" t="n">
        <f aca="false">F888*G888</f>
        <v>451345.21362</v>
      </c>
    </row>
    <row r="889" customFormat="false" ht="15" hidden="false" customHeight="false" outlineLevel="0" collapsed="false">
      <c r="B889" s="46" t="s">
        <v>144</v>
      </c>
      <c r="C889" s="46" t="s">
        <v>151</v>
      </c>
      <c r="D889" s="47" t="n">
        <v>45992</v>
      </c>
      <c r="E889" s="46" t="s">
        <v>44</v>
      </c>
      <c r="F889" s="48" t="n">
        <v>79.4824</v>
      </c>
      <c r="G889" s="49" t="n">
        <v>5062.08</v>
      </c>
      <c r="H889" s="50" t="n">
        <f aca="false">F889*G889</f>
        <v>402346.267392</v>
      </c>
    </row>
    <row r="890" customFormat="false" ht="15" hidden="false" customHeight="false" outlineLevel="0" collapsed="false">
      <c r="B890" s="46" t="s">
        <v>145</v>
      </c>
      <c r="C890" s="46" t="s">
        <v>151</v>
      </c>
      <c r="D890" s="47" t="n">
        <v>45992</v>
      </c>
      <c r="E890" s="46" t="s">
        <v>44</v>
      </c>
      <c r="F890" s="48" t="n">
        <v>23.6996</v>
      </c>
      <c r="G890" s="49" t="n">
        <v>9987.22</v>
      </c>
      <c r="H890" s="50" t="n">
        <f aca="false">F890*G890</f>
        <v>236693.119112</v>
      </c>
    </row>
    <row r="891" customFormat="false" ht="15" hidden="false" customHeight="false" outlineLevel="0" collapsed="false">
      <c r="B891" s="46" t="s">
        <v>137</v>
      </c>
      <c r="C891" s="46" t="s">
        <v>151</v>
      </c>
      <c r="D891" s="47" t="n">
        <v>46023</v>
      </c>
      <c r="E891" s="46" t="s">
        <v>44</v>
      </c>
      <c r="F891" s="48" t="n">
        <v>117.8752</v>
      </c>
      <c r="G891" s="49" t="n">
        <v>5676.21</v>
      </c>
      <c r="H891" s="50" t="n">
        <f aca="false">F891*G891</f>
        <v>669084.388992</v>
      </c>
    </row>
    <row r="892" customFormat="false" ht="15" hidden="false" customHeight="false" outlineLevel="0" collapsed="false">
      <c r="B892" s="46" t="s">
        <v>142</v>
      </c>
      <c r="C892" s="46" t="s">
        <v>151</v>
      </c>
      <c r="D892" s="47" t="n">
        <v>46023</v>
      </c>
      <c r="E892" s="46" t="s">
        <v>44</v>
      </c>
      <c r="F892" s="48" t="n">
        <v>126.1763</v>
      </c>
      <c r="G892" s="49" t="n">
        <v>4091.29</v>
      </c>
      <c r="H892" s="50" t="n">
        <f aca="false">F892*G892</f>
        <v>516223.834427</v>
      </c>
    </row>
    <row r="893" customFormat="false" ht="15" hidden="false" customHeight="false" outlineLevel="0" collapsed="false">
      <c r="B893" s="46" t="s">
        <v>143</v>
      </c>
      <c r="C893" s="46" t="s">
        <v>151</v>
      </c>
      <c r="D893" s="47" t="n">
        <v>46023</v>
      </c>
      <c r="E893" s="46" t="s">
        <v>44</v>
      </c>
      <c r="F893" s="48" t="n">
        <v>59.1304</v>
      </c>
      <c r="G893" s="49" t="n">
        <v>7209.7</v>
      </c>
      <c r="H893" s="50" t="n">
        <f aca="false">F893*G893</f>
        <v>426312.44488</v>
      </c>
    </row>
    <row r="894" customFormat="false" ht="15" hidden="false" customHeight="false" outlineLevel="0" collapsed="false">
      <c r="B894" s="46" t="s">
        <v>144</v>
      </c>
      <c r="C894" s="46" t="s">
        <v>151</v>
      </c>
      <c r="D894" s="47" t="n">
        <v>46023</v>
      </c>
      <c r="E894" s="46" t="s">
        <v>44</v>
      </c>
      <c r="F894" s="48" t="n">
        <v>76.7861</v>
      </c>
      <c r="G894" s="49" t="n">
        <v>5146.84</v>
      </c>
      <c r="H894" s="50" t="n">
        <f aca="false">F894*G894</f>
        <v>395205.770924</v>
      </c>
    </row>
    <row r="895" customFormat="false" ht="15" hidden="false" customHeight="false" outlineLevel="0" collapsed="false">
      <c r="B895" s="46" t="s">
        <v>145</v>
      </c>
      <c r="C895" s="46" t="s">
        <v>151</v>
      </c>
      <c r="D895" s="47" t="n">
        <v>46023</v>
      </c>
      <c r="E895" s="46" t="s">
        <v>44</v>
      </c>
      <c r="F895" s="48" t="n">
        <v>23.0734</v>
      </c>
      <c r="G895" s="49" t="n">
        <v>10002.88</v>
      </c>
      <c r="H895" s="50" t="n">
        <f aca="false">F895*G895</f>
        <v>230800.451392</v>
      </c>
    </row>
    <row r="896" customFormat="false" ht="15" hidden="false" customHeight="false" outlineLevel="0" collapsed="false">
      <c r="B896" s="46" t="s">
        <v>137</v>
      </c>
      <c r="C896" s="46" t="s">
        <v>151</v>
      </c>
      <c r="D896" s="47" t="n">
        <v>46054</v>
      </c>
      <c r="E896" s="46" t="s">
        <v>44</v>
      </c>
      <c r="F896" s="48" t="n">
        <v>133.8788</v>
      </c>
      <c r="G896" s="49" t="n">
        <v>5785.11</v>
      </c>
      <c r="H896" s="50" t="n">
        <f aca="false">F896*G896</f>
        <v>774503.584668</v>
      </c>
    </row>
    <row r="897" customFormat="false" ht="15" hidden="false" customHeight="false" outlineLevel="0" collapsed="false">
      <c r="B897" s="46" t="s">
        <v>142</v>
      </c>
      <c r="C897" s="46" t="s">
        <v>151</v>
      </c>
      <c r="D897" s="47" t="n">
        <v>46054</v>
      </c>
      <c r="E897" s="46" t="s">
        <v>44</v>
      </c>
      <c r="F897" s="48" t="n">
        <v>131.7085</v>
      </c>
      <c r="G897" s="49" t="n">
        <v>4162.88</v>
      </c>
      <c r="H897" s="50" t="n">
        <f aca="false">F897*G897</f>
        <v>548286.68048</v>
      </c>
    </row>
    <row r="898" customFormat="false" ht="15" hidden="false" customHeight="false" outlineLevel="0" collapsed="false">
      <c r="B898" s="46" t="s">
        <v>143</v>
      </c>
      <c r="C898" s="46" t="s">
        <v>151</v>
      </c>
      <c r="D898" s="47" t="n">
        <v>46054</v>
      </c>
      <c r="E898" s="46" t="s">
        <v>44</v>
      </c>
      <c r="F898" s="48" t="n">
        <v>62.8458</v>
      </c>
      <c r="G898" s="49" t="n">
        <v>7096.69</v>
      </c>
      <c r="H898" s="50" t="n">
        <f aca="false">F898*G898</f>
        <v>445997.160402</v>
      </c>
    </row>
    <row r="899" customFormat="false" ht="15" hidden="false" customHeight="false" outlineLevel="0" collapsed="false">
      <c r="B899" s="46" t="s">
        <v>144</v>
      </c>
      <c r="C899" s="46" t="s">
        <v>151</v>
      </c>
      <c r="D899" s="47" t="n">
        <v>46054</v>
      </c>
      <c r="E899" s="46" t="s">
        <v>44</v>
      </c>
      <c r="F899" s="48" t="n">
        <v>74.6521</v>
      </c>
      <c r="G899" s="49" t="n">
        <v>5052.28</v>
      </c>
      <c r="H899" s="50" t="n">
        <f aca="false">F899*G899</f>
        <v>377163.311788</v>
      </c>
    </row>
    <row r="900" customFormat="false" ht="15" hidden="false" customHeight="false" outlineLevel="0" collapsed="false">
      <c r="B900" s="46" t="s">
        <v>145</v>
      </c>
      <c r="C900" s="46" t="s">
        <v>151</v>
      </c>
      <c r="D900" s="47" t="n">
        <v>46054</v>
      </c>
      <c r="E900" s="46" t="s">
        <v>44</v>
      </c>
      <c r="F900" s="48" t="n">
        <v>22.5662</v>
      </c>
      <c r="G900" s="49" t="n">
        <v>9755.81</v>
      </c>
      <c r="H900" s="50" t="n">
        <f aca="false">F900*G900</f>
        <v>220151.559622</v>
      </c>
    </row>
    <row r="901" customFormat="false" ht="15" hidden="false" customHeight="false" outlineLevel="0" collapsed="false">
      <c r="B901" s="46" t="s">
        <v>137</v>
      </c>
      <c r="C901" s="46" t="s">
        <v>151</v>
      </c>
      <c r="D901" s="47" t="n">
        <v>46082</v>
      </c>
      <c r="E901" s="46" t="s">
        <v>44</v>
      </c>
      <c r="F901" s="48" t="n">
        <v>131.1467</v>
      </c>
      <c r="G901" s="49" t="n">
        <v>5856.97</v>
      </c>
      <c r="H901" s="50" t="n">
        <f aca="false">F901*G901</f>
        <v>768122.287499</v>
      </c>
    </row>
    <row r="902" customFormat="false" ht="15" hidden="false" customHeight="false" outlineLevel="0" collapsed="false">
      <c r="B902" s="46" t="s">
        <v>142</v>
      </c>
      <c r="C902" s="46" t="s">
        <v>151</v>
      </c>
      <c r="D902" s="47" t="n">
        <v>46082</v>
      </c>
      <c r="E902" s="46" t="s">
        <v>44</v>
      </c>
      <c r="F902" s="48" t="n">
        <v>147.2355</v>
      </c>
      <c r="G902" s="49" t="n">
        <v>4133.64</v>
      </c>
      <c r="H902" s="50" t="n">
        <f aca="false">F902*G902</f>
        <v>608618.55222</v>
      </c>
    </row>
    <row r="903" customFormat="false" ht="15" hidden="false" customHeight="false" outlineLevel="0" collapsed="false">
      <c r="B903" s="46" t="s">
        <v>143</v>
      </c>
      <c r="C903" s="46" t="s">
        <v>151</v>
      </c>
      <c r="D903" s="47" t="n">
        <v>46082</v>
      </c>
      <c r="E903" s="46" t="s">
        <v>44</v>
      </c>
      <c r="F903" s="48" t="n">
        <v>70.0588</v>
      </c>
      <c r="G903" s="49" t="n">
        <v>7173.49</v>
      </c>
      <c r="H903" s="50" t="n">
        <f aca="false">F903*G903</f>
        <v>502566.101212</v>
      </c>
    </row>
    <row r="904" customFormat="false" ht="15" hidden="false" customHeight="false" outlineLevel="0" collapsed="false">
      <c r="B904" s="46" t="s">
        <v>144</v>
      </c>
      <c r="C904" s="46" t="s">
        <v>151</v>
      </c>
      <c r="D904" s="47" t="n">
        <v>46082</v>
      </c>
      <c r="E904" s="46" t="s">
        <v>44</v>
      </c>
      <c r="F904" s="48" t="n">
        <v>83.4924</v>
      </c>
      <c r="G904" s="49" t="n">
        <v>5194.84</v>
      </c>
      <c r="H904" s="50" t="n">
        <f aca="false">F904*G904</f>
        <v>433729.659216</v>
      </c>
    </row>
    <row r="905" customFormat="false" ht="15" hidden="false" customHeight="false" outlineLevel="0" collapsed="false">
      <c r="B905" s="46" t="s">
        <v>145</v>
      </c>
      <c r="C905" s="46" t="s">
        <v>151</v>
      </c>
      <c r="D905" s="47" t="n">
        <v>46082</v>
      </c>
      <c r="E905" s="46" t="s">
        <v>44</v>
      </c>
      <c r="F905" s="48" t="n">
        <v>22.894</v>
      </c>
      <c r="G905" s="49" t="n">
        <v>10142.18</v>
      </c>
      <c r="H905" s="50" t="n">
        <f aca="false">F905*G905</f>
        <v>232195.06892</v>
      </c>
    </row>
    <row r="906" customFormat="false" ht="15" hidden="false" customHeight="false" outlineLevel="0" collapsed="false">
      <c r="B906" s="46" t="s">
        <v>137</v>
      </c>
      <c r="C906" s="46" t="s">
        <v>152</v>
      </c>
      <c r="D906" s="47" t="n">
        <v>45017</v>
      </c>
      <c r="E906" s="46" t="s">
        <v>42</v>
      </c>
      <c r="F906" s="48" t="n">
        <v>59.3471</v>
      </c>
      <c r="G906" s="49" t="n">
        <v>5289.48</v>
      </c>
      <c r="H906" s="50" t="n">
        <f aca="false">F906*G906</f>
        <v>313915.298508</v>
      </c>
    </row>
    <row r="907" customFormat="false" ht="15" hidden="false" customHeight="false" outlineLevel="0" collapsed="false">
      <c r="B907" s="46" t="s">
        <v>142</v>
      </c>
      <c r="C907" s="46" t="s">
        <v>152</v>
      </c>
      <c r="D907" s="47" t="n">
        <v>45017</v>
      </c>
      <c r="E907" s="46" t="s">
        <v>42</v>
      </c>
      <c r="F907" s="48" t="n">
        <v>56.0935</v>
      </c>
      <c r="G907" s="49" t="n">
        <v>3885.31</v>
      </c>
      <c r="H907" s="50" t="n">
        <f aca="false">F907*G907</f>
        <v>217940.636485</v>
      </c>
    </row>
    <row r="908" customFormat="false" ht="15" hidden="false" customHeight="false" outlineLevel="0" collapsed="false">
      <c r="B908" s="46" t="s">
        <v>143</v>
      </c>
      <c r="C908" s="46" t="s">
        <v>152</v>
      </c>
      <c r="D908" s="47" t="n">
        <v>45017</v>
      </c>
      <c r="E908" s="46" t="s">
        <v>42</v>
      </c>
      <c r="F908" s="48" t="n">
        <v>31.1814</v>
      </c>
      <c r="G908" s="49" t="n">
        <v>6436.8</v>
      </c>
      <c r="H908" s="50" t="n">
        <f aca="false">F908*G908</f>
        <v>200708.43552</v>
      </c>
    </row>
    <row r="909" customFormat="false" ht="15" hidden="false" customHeight="false" outlineLevel="0" collapsed="false">
      <c r="B909" s="46" t="s">
        <v>144</v>
      </c>
      <c r="C909" s="46" t="s">
        <v>152</v>
      </c>
      <c r="D909" s="47" t="n">
        <v>45017</v>
      </c>
      <c r="E909" s="46" t="s">
        <v>42</v>
      </c>
      <c r="F909" s="48" t="n">
        <v>30.3327</v>
      </c>
      <c r="G909" s="49" t="n">
        <v>4669.19</v>
      </c>
      <c r="H909" s="50" t="n">
        <f aca="false">F909*G909</f>
        <v>141629.139513</v>
      </c>
    </row>
    <row r="910" customFormat="false" ht="15" hidden="false" customHeight="false" outlineLevel="0" collapsed="false">
      <c r="B910" s="46" t="s">
        <v>145</v>
      </c>
      <c r="C910" s="46" t="s">
        <v>152</v>
      </c>
      <c r="D910" s="47" t="n">
        <v>45017</v>
      </c>
      <c r="E910" s="46" t="s">
        <v>42</v>
      </c>
      <c r="F910" s="48" t="n">
        <v>10.9305</v>
      </c>
      <c r="G910" s="49" t="n">
        <v>8759.19</v>
      </c>
      <c r="H910" s="50" t="n">
        <f aca="false">F910*G910</f>
        <v>95742.326295</v>
      </c>
    </row>
    <row r="911" customFormat="false" ht="15" hidden="false" customHeight="false" outlineLevel="0" collapsed="false">
      <c r="B911" s="46" t="s">
        <v>137</v>
      </c>
      <c r="C911" s="46" t="s">
        <v>152</v>
      </c>
      <c r="D911" s="47" t="n">
        <v>45047</v>
      </c>
      <c r="E911" s="46" t="s">
        <v>42</v>
      </c>
      <c r="F911" s="48" t="n">
        <v>57.4128</v>
      </c>
      <c r="G911" s="49" t="n">
        <v>5118.22</v>
      </c>
      <c r="H911" s="50" t="n">
        <f aca="false">F911*G911</f>
        <v>293851.341216</v>
      </c>
    </row>
    <row r="912" customFormat="false" ht="15" hidden="false" customHeight="false" outlineLevel="0" collapsed="false">
      <c r="B912" s="46" t="s">
        <v>142</v>
      </c>
      <c r="C912" s="46" t="s">
        <v>152</v>
      </c>
      <c r="D912" s="47" t="n">
        <v>45047</v>
      </c>
      <c r="E912" s="46" t="s">
        <v>42</v>
      </c>
      <c r="F912" s="48" t="n">
        <v>59.4947</v>
      </c>
      <c r="G912" s="49" t="n">
        <v>3879.69</v>
      </c>
      <c r="H912" s="50" t="n">
        <f aca="false">F912*G912</f>
        <v>230820.992643</v>
      </c>
    </row>
    <row r="913" customFormat="false" ht="15" hidden="false" customHeight="false" outlineLevel="0" collapsed="false">
      <c r="B913" s="46" t="s">
        <v>143</v>
      </c>
      <c r="C913" s="46" t="s">
        <v>152</v>
      </c>
      <c r="D913" s="47" t="n">
        <v>45047</v>
      </c>
      <c r="E913" s="46" t="s">
        <v>42</v>
      </c>
      <c r="F913" s="48" t="n">
        <v>25.0016</v>
      </c>
      <c r="G913" s="49" t="n">
        <v>6492.97</v>
      </c>
      <c r="H913" s="50" t="n">
        <f aca="false">F913*G913</f>
        <v>162334.638752</v>
      </c>
    </row>
    <row r="914" customFormat="false" ht="15" hidden="false" customHeight="false" outlineLevel="0" collapsed="false">
      <c r="B914" s="46" t="s">
        <v>144</v>
      </c>
      <c r="C914" s="46" t="s">
        <v>152</v>
      </c>
      <c r="D914" s="47" t="n">
        <v>45047</v>
      </c>
      <c r="E914" s="46" t="s">
        <v>42</v>
      </c>
      <c r="F914" s="48" t="n">
        <v>29.1801</v>
      </c>
      <c r="G914" s="49" t="n">
        <v>4629.47</v>
      </c>
      <c r="H914" s="50" t="n">
        <f aca="false">F914*G914</f>
        <v>135088.397547</v>
      </c>
    </row>
    <row r="915" customFormat="false" ht="15" hidden="false" customHeight="false" outlineLevel="0" collapsed="false">
      <c r="B915" s="46" t="s">
        <v>145</v>
      </c>
      <c r="C915" s="46" t="s">
        <v>152</v>
      </c>
      <c r="D915" s="47" t="n">
        <v>45047</v>
      </c>
      <c r="E915" s="46" t="s">
        <v>42</v>
      </c>
      <c r="F915" s="48" t="n">
        <v>10.413</v>
      </c>
      <c r="G915" s="49" t="n">
        <v>8764.97</v>
      </c>
      <c r="H915" s="50" t="n">
        <f aca="false">F915*G915</f>
        <v>91269.63261</v>
      </c>
    </row>
    <row r="916" customFormat="false" ht="15" hidden="false" customHeight="false" outlineLevel="0" collapsed="false">
      <c r="B916" s="46" t="s">
        <v>137</v>
      </c>
      <c r="C916" s="46" t="s">
        <v>152</v>
      </c>
      <c r="D916" s="47" t="n">
        <v>45078</v>
      </c>
      <c r="E916" s="46" t="s">
        <v>42</v>
      </c>
      <c r="F916" s="48" t="n">
        <v>59.3411</v>
      </c>
      <c r="G916" s="49" t="n">
        <v>5217.94</v>
      </c>
      <c r="H916" s="50" t="n">
        <f aca="false">F916*G916</f>
        <v>309638.299334</v>
      </c>
    </row>
    <row r="917" customFormat="false" ht="15" hidden="false" customHeight="false" outlineLevel="0" collapsed="false">
      <c r="B917" s="46" t="s">
        <v>142</v>
      </c>
      <c r="C917" s="46" t="s">
        <v>152</v>
      </c>
      <c r="D917" s="47" t="n">
        <v>45078</v>
      </c>
      <c r="E917" s="46" t="s">
        <v>42</v>
      </c>
      <c r="F917" s="48" t="n">
        <v>62.2338</v>
      </c>
      <c r="G917" s="49" t="n">
        <v>3902.54</v>
      </c>
      <c r="H917" s="50" t="n">
        <f aca="false">F917*G917</f>
        <v>242869.893852</v>
      </c>
    </row>
    <row r="918" customFormat="false" ht="15" hidden="false" customHeight="false" outlineLevel="0" collapsed="false">
      <c r="B918" s="46" t="s">
        <v>143</v>
      </c>
      <c r="C918" s="46" t="s">
        <v>152</v>
      </c>
      <c r="D918" s="47" t="n">
        <v>45078</v>
      </c>
      <c r="E918" s="46" t="s">
        <v>42</v>
      </c>
      <c r="F918" s="48" t="n">
        <v>26.3774</v>
      </c>
      <c r="G918" s="49" t="n">
        <v>6407.56</v>
      </c>
      <c r="H918" s="50" t="n">
        <f aca="false">F918*G918</f>
        <v>169014.773144</v>
      </c>
    </row>
    <row r="919" customFormat="false" ht="15" hidden="false" customHeight="false" outlineLevel="0" collapsed="false">
      <c r="B919" s="46" t="s">
        <v>144</v>
      </c>
      <c r="C919" s="46" t="s">
        <v>152</v>
      </c>
      <c r="D919" s="47" t="n">
        <v>45078</v>
      </c>
      <c r="E919" s="46" t="s">
        <v>42</v>
      </c>
      <c r="F919" s="48" t="n">
        <v>27.6889</v>
      </c>
      <c r="G919" s="49" t="n">
        <v>4741.05</v>
      </c>
      <c r="H919" s="50" t="n">
        <f aca="false">F919*G919</f>
        <v>131274.459345</v>
      </c>
    </row>
    <row r="920" customFormat="false" ht="15" hidden="false" customHeight="false" outlineLevel="0" collapsed="false">
      <c r="B920" s="46" t="s">
        <v>145</v>
      </c>
      <c r="C920" s="46" t="s">
        <v>152</v>
      </c>
      <c r="D920" s="47" t="n">
        <v>45078</v>
      </c>
      <c r="E920" s="46" t="s">
        <v>42</v>
      </c>
      <c r="F920" s="48" t="n">
        <v>10.9795</v>
      </c>
      <c r="G920" s="49" t="n">
        <v>8869.18</v>
      </c>
      <c r="H920" s="50" t="n">
        <f aca="false">F920*G920</f>
        <v>97379.16181</v>
      </c>
    </row>
    <row r="921" customFormat="false" ht="15" hidden="false" customHeight="false" outlineLevel="0" collapsed="false">
      <c r="B921" s="46" t="s">
        <v>137</v>
      </c>
      <c r="C921" s="46" t="s">
        <v>152</v>
      </c>
      <c r="D921" s="47" t="n">
        <v>45108</v>
      </c>
      <c r="E921" s="46" t="s">
        <v>42</v>
      </c>
      <c r="F921" s="48" t="n">
        <v>57.8273</v>
      </c>
      <c r="G921" s="49" t="n">
        <v>5225.43</v>
      </c>
      <c r="H921" s="50" t="n">
        <f aca="false">F921*G921</f>
        <v>302172.508239</v>
      </c>
    </row>
    <row r="922" customFormat="false" ht="15" hidden="false" customHeight="false" outlineLevel="0" collapsed="false">
      <c r="B922" s="46" t="s">
        <v>142</v>
      </c>
      <c r="C922" s="46" t="s">
        <v>152</v>
      </c>
      <c r="D922" s="47" t="n">
        <v>45108</v>
      </c>
      <c r="E922" s="46" t="s">
        <v>42</v>
      </c>
      <c r="F922" s="48" t="n">
        <v>56.069</v>
      </c>
      <c r="G922" s="49" t="n">
        <v>3948.74</v>
      </c>
      <c r="H922" s="50" t="n">
        <f aca="false">F922*G922</f>
        <v>221401.90306</v>
      </c>
    </row>
    <row r="923" customFormat="false" ht="15" hidden="false" customHeight="false" outlineLevel="0" collapsed="false">
      <c r="B923" s="46" t="s">
        <v>143</v>
      </c>
      <c r="C923" s="46" t="s">
        <v>152</v>
      </c>
      <c r="D923" s="47" t="n">
        <v>45108</v>
      </c>
      <c r="E923" s="46" t="s">
        <v>42</v>
      </c>
      <c r="F923" s="48" t="n">
        <v>31.2348</v>
      </c>
      <c r="G923" s="49" t="n">
        <v>6533.38</v>
      </c>
      <c r="H923" s="50" t="n">
        <f aca="false">F923*G923</f>
        <v>204068.817624</v>
      </c>
    </row>
    <row r="924" customFormat="false" ht="15" hidden="false" customHeight="false" outlineLevel="0" collapsed="false">
      <c r="B924" s="46" t="s">
        <v>144</v>
      </c>
      <c r="C924" s="46" t="s">
        <v>152</v>
      </c>
      <c r="D924" s="47" t="n">
        <v>45108</v>
      </c>
      <c r="E924" s="46" t="s">
        <v>42</v>
      </c>
      <c r="F924" s="48" t="n">
        <v>27.0257</v>
      </c>
      <c r="G924" s="49" t="n">
        <v>4738.45</v>
      </c>
      <c r="H924" s="50" t="n">
        <f aca="false">F924*G924</f>
        <v>128059.928165</v>
      </c>
    </row>
    <row r="925" customFormat="false" ht="15" hidden="false" customHeight="false" outlineLevel="0" collapsed="false">
      <c r="B925" s="46" t="s">
        <v>145</v>
      </c>
      <c r="C925" s="46" t="s">
        <v>152</v>
      </c>
      <c r="D925" s="47" t="n">
        <v>45108</v>
      </c>
      <c r="E925" s="46" t="s">
        <v>42</v>
      </c>
      <c r="F925" s="48" t="n">
        <v>10.7881</v>
      </c>
      <c r="G925" s="49" t="n">
        <v>8943.69</v>
      </c>
      <c r="H925" s="50" t="n">
        <f aca="false">F925*G925</f>
        <v>96485.422089</v>
      </c>
    </row>
    <row r="926" customFormat="false" ht="15" hidden="false" customHeight="false" outlineLevel="0" collapsed="false">
      <c r="B926" s="46" t="s">
        <v>137</v>
      </c>
      <c r="C926" s="46" t="s">
        <v>152</v>
      </c>
      <c r="D926" s="47" t="n">
        <v>45139</v>
      </c>
      <c r="E926" s="46" t="s">
        <v>42</v>
      </c>
      <c r="F926" s="48" t="n">
        <v>55.138</v>
      </c>
      <c r="G926" s="49" t="n">
        <v>5239.26</v>
      </c>
      <c r="H926" s="50" t="n">
        <f aca="false">F926*G926</f>
        <v>288882.31788</v>
      </c>
    </row>
    <row r="927" customFormat="false" ht="15" hidden="false" customHeight="false" outlineLevel="0" collapsed="false">
      <c r="B927" s="46" t="s">
        <v>142</v>
      </c>
      <c r="C927" s="46" t="s">
        <v>152</v>
      </c>
      <c r="D927" s="47" t="n">
        <v>45139</v>
      </c>
      <c r="E927" s="46" t="s">
        <v>42</v>
      </c>
      <c r="F927" s="48" t="n">
        <v>61.6438</v>
      </c>
      <c r="G927" s="49" t="n">
        <v>3934.59</v>
      </c>
      <c r="H927" s="50" t="n">
        <f aca="false">F927*G927</f>
        <v>242543.079042</v>
      </c>
    </row>
    <row r="928" customFormat="false" ht="15" hidden="false" customHeight="false" outlineLevel="0" collapsed="false">
      <c r="B928" s="46" t="s">
        <v>143</v>
      </c>
      <c r="C928" s="46" t="s">
        <v>152</v>
      </c>
      <c r="D928" s="47" t="n">
        <v>45139</v>
      </c>
      <c r="E928" s="46" t="s">
        <v>42</v>
      </c>
      <c r="F928" s="48" t="n">
        <v>27.7185</v>
      </c>
      <c r="G928" s="49" t="n">
        <v>6470.69</v>
      </c>
      <c r="H928" s="50" t="n">
        <f aca="false">F928*G928</f>
        <v>179357.820765</v>
      </c>
    </row>
    <row r="929" customFormat="false" ht="15" hidden="false" customHeight="false" outlineLevel="0" collapsed="false">
      <c r="B929" s="46" t="s">
        <v>144</v>
      </c>
      <c r="C929" s="46" t="s">
        <v>152</v>
      </c>
      <c r="D929" s="47" t="n">
        <v>45139</v>
      </c>
      <c r="E929" s="46" t="s">
        <v>42</v>
      </c>
      <c r="F929" s="48" t="n">
        <v>31.3624</v>
      </c>
      <c r="G929" s="49" t="n">
        <v>4625.58</v>
      </c>
      <c r="H929" s="50" t="n">
        <f aca="false">F929*G929</f>
        <v>145069.290192</v>
      </c>
    </row>
    <row r="930" customFormat="false" ht="15" hidden="false" customHeight="false" outlineLevel="0" collapsed="false">
      <c r="B930" s="46" t="s">
        <v>145</v>
      </c>
      <c r="C930" s="46" t="s">
        <v>152</v>
      </c>
      <c r="D930" s="47" t="n">
        <v>45139</v>
      </c>
      <c r="E930" s="46" t="s">
        <v>42</v>
      </c>
      <c r="F930" s="48" t="n">
        <v>9.5219</v>
      </c>
      <c r="G930" s="49" t="n">
        <v>9038.45</v>
      </c>
      <c r="H930" s="50" t="n">
        <f aca="false">F930*G930</f>
        <v>86063.217055</v>
      </c>
    </row>
    <row r="931" customFormat="false" ht="15" hidden="false" customHeight="false" outlineLevel="0" collapsed="false">
      <c r="B931" s="46" t="s">
        <v>137</v>
      </c>
      <c r="C931" s="46" t="s">
        <v>152</v>
      </c>
      <c r="D931" s="47" t="n">
        <v>45170</v>
      </c>
      <c r="E931" s="46" t="s">
        <v>42</v>
      </c>
      <c r="F931" s="48" t="n">
        <v>58.9135</v>
      </c>
      <c r="G931" s="49" t="n">
        <v>5230.47</v>
      </c>
      <c r="H931" s="50" t="n">
        <f aca="false">F931*G931</f>
        <v>308145.294345</v>
      </c>
    </row>
    <row r="932" customFormat="false" ht="15" hidden="false" customHeight="false" outlineLevel="0" collapsed="false">
      <c r="B932" s="46" t="s">
        <v>142</v>
      </c>
      <c r="C932" s="46" t="s">
        <v>152</v>
      </c>
      <c r="D932" s="47" t="n">
        <v>45170</v>
      </c>
      <c r="E932" s="46" t="s">
        <v>42</v>
      </c>
      <c r="F932" s="48" t="n">
        <v>63.3296</v>
      </c>
      <c r="G932" s="49" t="n">
        <v>3971.35</v>
      </c>
      <c r="H932" s="50" t="n">
        <f aca="false">F932*G932</f>
        <v>251504.00696</v>
      </c>
    </row>
    <row r="933" customFormat="false" ht="15" hidden="false" customHeight="false" outlineLevel="0" collapsed="false">
      <c r="B933" s="46" t="s">
        <v>143</v>
      </c>
      <c r="C933" s="46" t="s">
        <v>152</v>
      </c>
      <c r="D933" s="47" t="n">
        <v>45170</v>
      </c>
      <c r="E933" s="46" t="s">
        <v>42</v>
      </c>
      <c r="F933" s="48" t="n">
        <v>29.4676</v>
      </c>
      <c r="G933" s="49" t="n">
        <v>6520.51</v>
      </c>
      <c r="H933" s="50" t="n">
        <f aca="false">F933*G933</f>
        <v>192143.780476</v>
      </c>
    </row>
    <row r="934" customFormat="false" ht="15" hidden="false" customHeight="false" outlineLevel="0" collapsed="false">
      <c r="B934" s="46" t="s">
        <v>144</v>
      </c>
      <c r="C934" s="46" t="s">
        <v>152</v>
      </c>
      <c r="D934" s="47" t="n">
        <v>45170</v>
      </c>
      <c r="E934" s="46" t="s">
        <v>42</v>
      </c>
      <c r="F934" s="48" t="n">
        <v>29.7314</v>
      </c>
      <c r="G934" s="49" t="n">
        <v>4748.7</v>
      </c>
      <c r="H934" s="50" t="n">
        <f aca="false">F934*G934</f>
        <v>141185.49918</v>
      </c>
    </row>
    <row r="935" customFormat="false" ht="15" hidden="false" customHeight="false" outlineLevel="0" collapsed="false">
      <c r="B935" s="46" t="s">
        <v>145</v>
      </c>
      <c r="C935" s="46" t="s">
        <v>152</v>
      </c>
      <c r="D935" s="47" t="n">
        <v>45170</v>
      </c>
      <c r="E935" s="46" t="s">
        <v>42</v>
      </c>
      <c r="F935" s="48" t="n">
        <v>11.3381</v>
      </c>
      <c r="G935" s="49" t="n">
        <v>9134.64</v>
      </c>
      <c r="H935" s="50" t="n">
        <f aca="false">F935*G935</f>
        <v>103569.461784</v>
      </c>
    </row>
    <row r="936" customFormat="false" ht="15" hidden="false" customHeight="false" outlineLevel="0" collapsed="false">
      <c r="B936" s="46" t="s">
        <v>137</v>
      </c>
      <c r="C936" s="46" t="s">
        <v>152</v>
      </c>
      <c r="D936" s="47" t="n">
        <v>45200</v>
      </c>
      <c r="E936" s="46" t="s">
        <v>42</v>
      </c>
      <c r="F936" s="48" t="n">
        <v>63.9522</v>
      </c>
      <c r="G936" s="49" t="n">
        <v>5306.26</v>
      </c>
      <c r="H936" s="50" t="n">
        <f aca="false">F936*G936</f>
        <v>339347.000772</v>
      </c>
    </row>
    <row r="937" customFormat="false" ht="15" hidden="false" customHeight="false" outlineLevel="0" collapsed="false">
      <c r="B937" s="46" t="s">
        <v>142</v>
      </c>
      <c r="C937" s="46" t="s">
        <v>152</v>
      </c>
      <c r="D937" s="47" t="n">
        <v>45200</v>
      </c>
      <c r="E937" s="46" t="s">
        <v>42</v>
      </c>
      <c r="F937" s="48" t="n">
        <v>66.0777</v>
      </c>
      <c r="G937" s="49" t="n">
        <v>3915.47</v>
      </c>
      <c r="H937" s="50" t="n">
        <f aca="false">F937*G937</f>
        <v>258725.252019</v>
      </c>
    </row>
    <row r="938" customFormat="false" ht="15" hidden="false" customHeight="false" outlineLevel="0" collapsed="false">
      <c r="B938" s="46" t="s">
        <v>143</v>
      </c>
      <c r="C938" s="46" t="s">
        <v>152</v>
      </c>
      <c r="D938" s="47" t="n">
        <v>45200</v>
      </c>
      <c r="E938" s="46" t="s">
        <v>42</v>
      </c>
      <c r="F938" s="48" t="n">
        <v>29.8437</v>
      </c>
      <c r="G938" s="49" t="n">
        <v>6553.7</v>
      </c>
      <c r="H938" s="50" t="n">
        <f aca="false">F938*G938</f>
        <v>195586.65669</v>
      </c>
    </row>
    <row r="939" customFormat="false" ht="15" hidden="false" customHeight="false" outlineLevel="0" collapsed="false">
      <c r="B939" s="46" t="s">
        <v>144</v>
      </c>
      <c r="C939" s="46" t="s">
        <v>152</v>
      </c>
      <c r="D939" s="47" t="n">
        <v>45200</v>
      </c>
      <c r="E939" s="46" t="s">
        <v>42</v>
      </c>
      <c r="F939" s="48" t="n">
        <v>26.5448</v>
      </c>
      <c r="G939" s="49" t="n">
        <v>4751.24</v>
      </c>
      <c r="H939" s="50" t="n">
        <f aca="false">F939*G939</f>
        <v>126120.715552</v>
      </c>
    </row>
    <row r="940" customFormat="false" ht="15" hidden="false" customHeight="false" outlineLevel="0" collapsed="false">
      <c r="B940" s="46" t="s">
        <v>145</v>
      </c>
      <c r="C940" s="46" t="s">
        <v>152</v>
      </c>
      <c r="D940" s="47" t="n">
        <v>45200</v>
      </c>
      <c r="E940" s="46" t="s">
        <v>42</v>
      </c>
      <c r="F940" s="48" t="n">
        <v>10.0658</v>
      </c>
      <c r="G940" s="49" t="n">
        <v>8854.18</v>
      </c>
      <c r="H940" s="50" t="n">
        <f aca="false">F940*G940</f>
        <v>89124.405044</v>
      </c>
    </row>
    <row r="941" customFormat="false" ht="15" hidden="false" customHeight="false" outlineLevel="0" collapsed="false">
      <c r="B941" s="46" t="s">
        <v>137</v>
      </c>
      <c r="C941" s="46" t="s">
        <v>152</v>
      </c>
      <c r="D941" s="47" t="n">
        <v>45231</v>
      </c>
      <c r="E941" s="46" t="s">
        <v>42</v>
      </c>
      <c r="F941" s="48" t="n">
        <v>60.7325</v>
      </c>
      <c r="G941" s="49" t="n">
        <v>5315.87</v>
      </c>
      <c r="H941" s="50" t="n">
        <f aca="false">F941*G941</f>
        <v>322846.074775</v>
      </c>
    </row>
    <row r="942" customFormat="false" ht="15" hidden="false" customHeight="false" outlineLevel="0" collapsed="false">
      <c r="B942" s="46" t="s">
        <v>142</v>
      </c>
      <c r="C942" s="46" t="s">
        <v>152</v>
      </c>
      <c r="D942" s="47" t="n">
        <v>45231</v>
      </c>
      <c r="E942" s="46" t="s">
        <v>42</v>
      </c>
      <c r="F942" s="48" t="n">
        <v>64.916</v>
      </c>
      <c r="G942" s="49" t="n">
        <v>3962.1</v>
      </c>
      <c r="H942" s="50" t="n">
        <f aca="false">F942*G942</f>
        <v>257203.6836</v>
      </c>
    </row>
    <row r="943" customFormat="false" ht="15" hidden="false" customHeight="false" outlineLevel="0" collapsed="false">
      <c r="B943" s="46" t="s">
        <v>143</v>
      </c>
      <c r="C943" s="46" t="s">
        <v>152</v>
      </c>
      <c r="D943" s="47" t="n">
        <v>45231</v>
      </c>
      <c r="E943" s="46" t="s">
        <v>42</v>
      </c>
      <c r="F943" s="48" t="n">
        <v>30.2069</v>
      </c>
      <c r="G943" s="49" t="n">
        <v>6542.93</v>
      </c>
      <c r="H943" s="50" t="n">
        <f aca="false">F943*G943</f>
        <v>197641.632217</v>
      </c>
    </row>
    <row r="944" customFormat="false" ht="15" hidden="false" customHeight="false" outlineLevel="0" collapsed="false">
      <c r="B944" s="46" t="s">
        <v>144</v>
      </c>
      <c r="C944" s="46" t="s">
        <v>152</v>
      </c>
      <c r="D944" s="47" t="n">
        <v>45231</v>
      </c>
      <c r="E944" s="46" t="s">
        <v>42</v>
      </c>
      <c r="F944" s="48" t="n">
        <v>28.3931</v>
      </c>
      <c r="G944" s="49" t="n">
        <v>4804.02</v>
      </c>
      <c r="H944" s="50" t="n">
        <f aca="false">F944*G944</f>
        <v>136401.020262</v>
      </c>
    </row>
    <row r="945" customFormat="false" ht="15" hidden="false" customHeight="false" outlineLevel="0" collapsed="false">
      <c r="B945" s="46" t="s">
        <v>145</v>
      </c>
      <c r="C945" s="46" t="s">
        <v>152</v>
      </c>
      <c r="D945" s="47" t="n">
        <v>45231</v>
      </c>
      <c r="E945" s="46" t="s">
        <v>42</v>
      </c>
      <c r="F945" s="48" t="n">
        <v>10.2766</v>
      </c>
      <c r="G945" s="49" t="n">
        <v>9140.71</v>
      </c>
      <c r="H945" s="50" t="n">
        <f aca="false">F945*G945</f>
        <v>93935.420386</v>
      </c>
    </row>
    <row r="946" customFormat="false" ht="15" hidden="false" customHeight="false" outlineLevel="0" collapsed="false">
      <c r="B946" s="46" t="s">
        <v>137</v>
      </c>
      <c r="C946" s="46" t="s">
        <v>152</v>
      </c>
      <c r="D946" s="47" t="n">
        <v>45261</v>
      </c>
      <c r="E946" s="46" t="s">
        <v>42</v>
      </c>
      <c r="F946" s="48" t="n">
        <v>62.4868</v>
      </c>
      <c r="G946" s="49" t="n">
        <v>5350.71</v>
      </c>
      <c r="H946" s="50" t="n">
        <f aca="false">F946*G946</f>
        <v>334348.745628</v>
      </c>
    </row>
    <row r="947" customFormat="false" ht="15" hidden="false" customHeight="false" outlineLevel="0" collapsed="false">
      <c r="B947" s="46" t="s">
        <v>142</v>
      </c>
      <c r="C947" s="46" t="s">
        <v>152</v>
      </c>
      <c r="D947" s="47" t="n">
        <v>45261</v>
      </c>
      <c r="E947" s="46" t="s">
        <v>42</v>
      </c>
      <c r="F947" s="48" t="n">
        <v>53.789</v>
      </c>
      <c r="G947" s="49" t="n">
        <v>3919.23</v>
      </c>
      <c r="H947" s="50" t="n">
        <f aca="false">F947*G947</f>
        <v>210811.46247</v>
      </c>
    </row>
    <row r="948" customFormat="false" ht="15" hidden="false" customHeight="false" outlineLevel="0" collapsed="false">
      <c r="B948" s="46" t="s">
        <v>143</v>
      </c>
      <c r="C948" s="46" t="s">
        <v>152</v>
      </c>
      <c r="D948" s="47" t="n">
        <v>45261</v>
      </c>
      <c r="E948" s="46" t="s">
        <v>42</v>
      </c>
      <c r="F948" s="48" t="n">
        <v>33.204</v>
      </c>
      <c r="G948" s="49" t="n">
        <v>6496.95</v>
      </c>
      <c r="H948" s="50" t="n">
        <f aca="false">F948*G948</f>
        <v>215724.7278</v>
      </c>
    </row>
    <row r="949" customFormat="false" ht="15" hidden="false" customHeight="false" outlineLevel="0" collapsed="false">
      <c r="B949" s="46" t="s">
        <v>144</v>
      </c>
      <c r="C949" s="46" t="s">
        <v>152</v>
      </c>
      <c r="D949" s="47" t="n">
        <v>45261</v>
      </c>
      <c r="E949" s="46" t="s">
        <v>42</v>
      </c>
      <c r="F949" s="48" t="n">
        <v>29.8173</v>
      </c>
      <c r="G949" s="49" t="n">
        <v>4809.68</v>
      </c>
      <c r="H949" s="50" t="n">
        <f aca="false">F949*G949</f>
        <v>143411.671464</v>
      </c>
    </row>
    <row r="950" customFormat="false" ht="15" hidden="false" customHeight="false" outlineLevel="0" collapsed="false">
      <c r="B950" s="46" t="s">
        <v>145</v>
      </c>
      <c r="C950" s="46" t="s">
        <v>152</v>
      </c>
      <c r="D950" s="47" t="n">
        <v>45261</v>
      </c>
      <c r="E950" s="46" t="s">
        <v>42</v>
      </c>
      <c r="F950" s="48" t="n">
        <v>10.3326</v>
      </c>
      <c r="G950" s="49" t="n">
        <v>9147.94</v>
      </c>
      <c r="H950" s="50" t="n">
        <f aca="false">F950*G950</f>
        <v>94522.004844</v>
      </c>
    </row>
    <row r="951" customFormat="false" ht="15" hidden="false" customHeight="false" outlineLevel="0" collapsed="false">
      <c r="B951" s="46" t="s">
        <v>137</v>
      </c>
      <c r="C951" s="46" t="s">
        <v>152</v>
      </c>
      <c r="D951" s="47" t="n">
        <v>45292</v>
      </c>
      <c r="E951" s="46" t="s">
        <v>42</v>
      </c>
      <c r="F951" s="48" t="n">
        <v>64.3256</v>
      </c>
      <c r="G951" s="49" t="n">
        <v>5196.26</v>
      </c>
      <c r="H951" s="50" t="n">
        <f aca="false">F951*G951</f>
        <v>334252.542256</v>
      </c>
    </row>
    <row r="952" customFormat="false" ht="15" hidden="false" customHeight="false" outlineLevel="0" collapsed="false">
      <c r="B952" s="46" t="s">
        <v>142</v>
      </c>
      <c r="C952" s="46" t="s">
        <v>152</v>
      </c>
      <c r="D952" s="47" t="n">
        <v>45292</v>
      </c>
      <c r="E952" s="46" t="s">
        <v>42</v>
      </c>
      <c r="F952" s="48" t="n">
        <v>58.1662</v>
      </c>
      <c r="G952" s="49" t="n">
        <v>3996.78</v>
      </c>
      <c r="H952" s="50" t="n">
        <f aca="false">F952*G952</f>
        <v>232477.504836</v>
      </c>
    </row>
    <row r="953" customFormat="false" ht="15" hidden="false" customHeight="false" outlineLevel="0" collapsed="false">
      <c r="B953" s="46" t="s">
        <v>143</v>
      </c>
      <c r="C953" s="46" t="s">
        <v>152</v>
      </c>
      <c r="D953" s="47" t="n">
        <v>45292</v>
      </c>
      <c r="E953" s="46" t="s">
        <v>42</v>
      </c>
      <c r="F953" s="48" t="n">
        <v>29.9809</v>
      </c>
      <c r="G953" s="49" t="n">
        <v>6611.77</v>
      </c>
      <c r="H953" s="50" t="n">
        <f aca="false">F953*G953</f>
        <v>198226.815193</v>
      </c>
    </row>
    <row r="954" customFormat="false" ht="15" hidden="false" customHeight="false" outlineLevel="0" collapsed="false">
      <c r="B954" s="46" t="s">
        <v>144</v>
      </c>
      <c r="C954" s="46" t="s">
        <v>152</v>
      </c>
      <c r="D954" s="47" t="n">
        <v>45292</v>
      </c>
      <c r="E954" s="46" t="s">
        <v>42</v>
      </c>
      <c r="F954" s="48" t="n">
        <v>27.7492</v>
      </c>
      <c r="G954" s="49" t="n">
        <v>4832.14</v>
      </c>
      <c r="H954" s="50" t="n">
        <f aca="false">F954*G954</f>
        <v>134088.019288</v>
      </c>
    </row>
    <row r="955" customFormat="false" ht="15" hidden="false" customHeight="false" outlineLevel="0" collapsed="false">
      <c r="B955" s="46" t="s">
        <v>145</v>
      </c>
      <c r="C955" s="46" t="s">
        <v>152</v>
      </c>
      <c r="D955" s="47" t="n">
        <v>45292</v>
      </c>
      <c r="E955" s="46" t="s">
        <v>42</v>
      </c>
      <c r="F955" s="48" t="n">
        <v>10.1955</v>
      </c>
      <c r="G955" s="49" t="n">
        <v>9089.38</v>
      </c>
      <c r="H955" s="50" t="n">
        <f aca="false">F955*G955</f>
        <v>92670.77379</v>
      </c>
    </row>
    <row r="956" customFormat="false" ht="15" hidden="false" customHeight="false" outlineLevel="0" collapsed="false">
      <c r="B956" s="46" t="s">
        <v>137</v>
      </c>
      <c r="C956" s="46" t="s">
        <v>152</v>
      </c>
      <c r="D956" s="47" t="n">
        <v>45323</v>
      </c>
      <c r="E956" s="46" t="s">
        <v>42</v>
      </c>
      <c r="F956" s="48" t="n">
        <v>60.5774</v>
      </c>
      <c r="G956" s="49" t="n">
        <v>5301.35</v>
      </c>
      <c r="H956" s="50" t="n">
        <f aca="false">F956*G956</f>
        <v>321141.99949</v>
      </c>
    </row>
    <row r="957" customFormat="false" ht="15" hidden="false" customHeight="false" outlineLevel="0" collapsed="false">
      <c r="B957" s="46" t="s">
        <v>142</v>
      </c>
      <c r="C957" s="46" t="s">
        <v>152</v>
      </c>
      <c r="D957" s="47" t="n">
        <v>45323</v>
      </c>
      <c r="E957" s="46" t="s">
        <v>42</v>
      </c>
      <c r="F957" s="48" t="n">
        <v>56.5783</v>
      </c>
      <c r="G957" s="49" t="n">
        <v>3990.5</v>
      </c>
      <c r="H957" s="50" t="n">
        <f aca="false">F957*G957</f>
        <v>225775.70615</v>
      </c>
    </row>
    <row r="958" customFormat="false" ht="15" hidden="false" customHeight="false" outlineLevel="0" collapsed="false">
      <c r="B958" s="46" t="s">
        <v>143</v>
      </c>
      <c r="C958" s="46" t="s">
        <v>152</v>
      </c>
      <c r="D958" s="47" t="n">
        <v>45323</v>
      </c>
      <c r="E958" s="46" t="s">
        <v>42</v>
      </c>
      <c r="F958" s="48" t="n">
        <v>31.4866</v>
      </c>
      <c r="G958" s="49" t="n">
        <v>6583.68</v>
      </c>
      <c r="H958" s="50" t="n">
        <f aca="false">F958*G958</f>
        <v>207297.698688</v>
      </c>
    </row>
    <row r="959" customFormat="false" ht="15" hidden="false" customHeight="false" outlineLevel="0" collapsed="false">
      <c r="B959" s="46" t="s">
        <v>144</v>
      </c>
      <c r="C959" s="46" t="s">
        <v>152</v>
      </c>
      <c r="D959" s="47" t="n">
        <v>45323</v>
      </c>
      <c r="E959" s="46" t="s">
        <v>42</v>
      </c>
      <c r="F959" s="48" t="n">
        <v>30.1005</v>
      </c>
      <c r="G959" s="49" t="n">
        <v>4797.36</v>
      </c>
      <c r="H959" s="50" t="n">
        <f aca="false">F959*G959</f>
        <v>144402.93468</v>
      </c>
    </row>
    <row r="960" customFormat="false" ht="15" hidden="false" customHeight="false" outlineLevel="0" collapsed="false">
      <c r="B960" s="46" t="s">
        <v>145</v>
      </c>
      <c r="C960" s="46" t="s">
        <v>152</v>
      </c>
      <c r="D960" s="47" t="n">
        <v>45323</v>
      </c>
      <c r="E960" s="46" t="s">
        <v>42</v>
      </c>
      <c r="F960" s="48" t="n">
        <v>11.4569</v>
      </c>
      <c r="G960" s="49" t="n">
        <v>9143.52</v>
      </c>
      <c r="H960" s="50" t="n">
        <f aca="false">F960*G960</f>
        <v>104756.394288</v>
      </c>
    </row>
    <row r="961" customFormat="false" ht="15" hidden="false" customHeight="false" outlineLevel="0" collapsed="false">
      <c r="B961" s="46" t="s">
        <v>137</v>
      </c>
      <c r="C961" s="46" t="s">
        <v>152</v>
      </c>
      <c r="D961" s="47" t="n">
        <v>45352</v>
      </c>
      <c r="E961" s="46" t="s">
        <v>42</v>
      </c>
      <c r="F961" s="48" t="n">
        <v>64.8361</v>
      </c>
      <c r="G961" s="49" t="n">
        <v>5371.27</v>
      </c>
      <c r="H961" s="50" t="n">
        <f aca="false">F961*G961</f>
        <v>348252.198847</v>
      </c>
    </row>
    <row r="962" customFormat="false" ht="15" hidden="false" customHeight="false" outlineLevel="0" collapsed="false">
      <c r="B962" s="46" t="s">
        <v>142</v>
      </c>
      <c r="C962" s="46" t="s">
        <v>152</v>
      </c>
      <c r="D962" s="47" t="n">
        <v>45352</v>
      </c>
      <c r="E962" s="46" t="s">
        <v>42</v>
      </c>
      <c r="F962" s="48" t="n">
        <v>61.6988</v>
      </c>
      <c r="G962" s="49" t="n">
        <v>3931.3</v>
      </c>
      <c r="H962" s="50" t="n">
        <f aca="false">F962*G962</f>
        <v>242556.49244</v>
      </c>
    </row>
    <row r="963" customFormat="false" ht="15" hidden="false" customHeight="false" outlineLevel="0" collapsed="false">
      <c r="B963" s="46" t="s">
        <v>143</v>
      </c>
      <c r="C963" s="46" t="s">
        <v>152</v>
      </c>
      <c r="D963" s="47" t="n">
        <v>45352</v>
      </c>
      <c r="E963" s="46" t="s">
        <v>42</v>
      </c>
      <c r="F963" s="48" t="n">
        <v>34.0165</v>
      </c>
      <c r="G963" s="49" t="n">
        <v>6663.15</v>
      </c>
      <c r="H963" s="50" t="n">
        <f aca="false">F963*G963</f>
        <v>226657.041975</v>
      </c>
    </row>
    <row r="964" customFormat="false" ht="15" hidden="false" customHeight="false" outlineLevel="0" collapsed="false">
      <c r="B964" s="46" t="s">
        <v>144</v>
      </c>
      <c r="C964" s="46" t="s">
        <v>152</v>
      </c>
      <c r="D964" s="47" t="n">
        <v>45352</v>
      </c>
      <c r="E964" s="46" t="s">
        <v>42</v>
      </c>
      <c r="F964" s="48" t="n">
        <v>32.3253</v>
      </c>
      <c r="G964" s="49" t="n">
        <v>4915.64</v>
      </c>
      <c r="H964" s="50" t="n">
        <f aca="false">F964*G964</f>
        <v>158899.537692</v>
      </c>
    </row>
    <row r="965" customFormat="false" ht="15" hidden="false" customHeight="false" outlineLevel="0" collapsed="false">
      <c r="B965" s="46" t="s">
        <v>145</v>
      </c>
      <c r="C965" s="46" t="s">
        <v>152</v>
      </c>
      <c r="D965" s="47" t="n">
        <v>45352</v>
      </c>
      <c r="E965" s="46" t="s">
        <v>42</v>
      </c>
      <c r="F965" s="48" t="n">
        <v>12.2075</v>
      </c>
      <c r="G965" s="49" t="n">
        <v>9058.47</v>
      </c>
      <c r="H965" s="50" t="n">
        <f aca="false">F965*G965</f>
        <v>110581.272525</v>
      </c>
    </row>
    <row r="966" customFormat="false" ht="15" hidden="false" customHeight="false" outlineLevel="0" collapsed="false">
      <c r="B966" s="46" t="s">
        <v>137</v>
      </c>
      <c r="C966" s="46" t="s">
        <v>152</v>
      </c>
      <c r="D966" s="47" t="n">
        <v>45383</v>
      </c>
      <c r="E966" s="46" t="s">
        <v>43</v>
      </c>
      <c r="F966" s="48" t="n">
        <v>59.6748</v>
      </c>
      <c r="G966" s="49" t="n">
        <v>5465.85</v>
      </c>
      <c r="H966" s="50" t="n">
        <f aca="false">F966*G966</f>
        <v>326173.50558</v>
      </c>
    </row>
    <row r="967" customFormat="false" ht="15" hidden="false" customHeight="false" outlineLevel="0" collapsed="false">
      <c r="B967" s="46" t="s">
        <v>142</v>
      </c>
      <c r="C967" s="46" t="s">
        <v>152</v>
      </c>
      <c r="D967" s="47" t="n">
        <v>45383</v>
      </c>
      <c r="E967" s="46" t="s">
        <v>43</v>
      </c>
      <c r="F967" s="48" t="n">
        <v>61.6618</v>
      </c>
      <c r="G967" s="49" t="n">
        <v>3924.86</v>
      </c>
      <c r="H967" s="50" t="n">
        <f aca="false">F967*G967</f>
        <v>242013.932348</v>
      </c>
    </row>
    <row r="968" customFormat="false" ht="15" hidden="false" customHeight="false" outlineLevel="0" collapsed="false">
      <c r="B968" s="46" t="s">
        <v>143</v>
      </c>
      <c r="C968" s="46" t="s">
        <v>152</v>
      </c>
      <c r="D968" s="47" t="n">
        <v>45383</v>
      </c>
      <c r="E968" s="46" t="s">
        <v>43</v>
      </c>
      <c r="F968" s="48" t="n">
        <v>30.3312</v>
      </c>
      <c r="G968" s="49" t="n">
        <v>6654.25</v>
      </c>
      <c r="H968" s="50" t="n">
        <f aca="false">F968*G968</f>
        <v>201831.3876</v>
      </c>
    </row>
    <row r="969" customFormat="false" ht="15" hidden="false" customHeight="false" outlineLevel="0" collapsed="false">
      <c r="B969" s="46" t="s">
        <v>144</v>
      </c>
      <c r="C969" s="46" t="s">
        <v>152</v>
      </c>
      <c r="D969" s="47" t="n">
        <v>45383</v>
      </c>
      <c r="E969" s="46" t="s">
        <v>43</v>
      </c>
      <c r="F969" s="48" t="n">
        <v>31.3596</v>
      </c>
      <c r="G969" s="49" t="n">
        <v>4821.96</v>
      </c>
      <c r="H969" s="50" t="n">
        <f aca="false">F969*G969</f>
        <v>151214.736816</v>
      </c>
    </row>
    <row r="970" customFormat="false" ht="15" hidden="false" customHeight="false" outlineLevel="0" collapsed="false">
      <c r="B970" s="46" t="s">
        <v>145</v>
      </c>
      <c r="C970" s="46" t="s">
        <v>152</v>
      </c>
      <c r="D970" s="47" t="n">
        <v>45383</v>
      </c>
      <c r="E970" s="46" t="s">
        <v>43</v>
      </c>
      <c r="F970" s="48" t="n">
        <v>12.1052</v>
      </c>
      <c r="G970" s="49" t="n">
        <v>9303.34</v>
      </c>
      <c r="H970" s="50" t="n">
        <f aca="false">F970*G970</f>
        <v>112618.791368</v>
      </c>
    </row>
    <row r="971" customFormat="false" ht="15" hidden="false" customHeight="false" outlineLevel="0" collapsed="false">
      <c r="B971" s="46" t="s">
        <v>137</v>
      </c>
      <c r="C971" s="46" t="s">
        <v>152</v>
      </c>
      <c r="D971" s="47" t="n">
        <v>45413</v>
      </c>
      <c r="E971" s="46" t="s">
        <v>43</v>
      </c>
      <c r="F971" s="48" t="n">
        <v>63.5289</v>
      </c>
      <c r="G971" s="49" t="n">
        <v>5445.34</v>
      </c>
      <c r="H971" s="50" t="n">
        <f aca="false">F971*G971</f>
        <v>345936.460326</v>
      </c>
    </row>
    <row r="972" customFormat="false" ht="15" hidden="false" customHeight="false" outlineLevel="0" collapsed="false">
      <c r="B972" s="46" t="s">
        <v>142</v>
      </c>
      <c r="C972" s="46" t="s">
        <v>152</v>
      </c>
      <c r="D972" s="47" t="n">
        <v>45413</v>
      </c>
      <c r="E972" s="46" t="s">
        <v>43</v>
      </c>
      <c r="F972" s="48" t="n">
        <v>58.8787</v>
      </c>
      <c r="G972" s="49" t="n">
        <v>4005.26</v>
      </c>
      <c r="H972" s="50" t="n">
        <f aca="false">F972*G972</f>
        <v>235824.501962</v>
      </c>
    </row>
    <row r="973" customFormat="false" ht="15" hidden="false" customHeight="false" outlineLevel="0" collapsed="false">
      <c r="B973" s="46" t="s">
        <v>143</v>
      </c>
      <c r="C973" s="46" t="s">
        <v>152</v>
      </c>
      <c r="D973" s="47" t="n">
        <v>45413</v>
      </c>
      <c r="E973" s="46" t="s">
        <v>43</v>
      </c>
      <c r="F973" s="48" t="n">
        <v>27.364</v>
      </c>
      <c r="G973" s="49" t="n">
        <v>6689.14</v>
      </c>
      <c r="H973" s="50" t="n">
        <f aca="false">F973*G973</f>
        <v>183041.62696</v>
      </c>
    </row>
    <row r="974" customFormat="false" ht="15" hidden="false" customHeight="false" outlineLevel="0" collapsed="false">
      <c r="B974" s="46" t="s">
        <v>144</v>
      </c>
      <c r="C974" s="46" t="s">
        <v>152</v>
      </c>
      <c r="D974" s="47" t="n">
        <v>45413</v>
      </c>
      <c r="E974" s="46" t="s">
        <v>43</v>
      </c>
      <c r="F974" s="48" t="n">
        <v>30.4253</v>
      </c>
      <c r="G974" s="49" t="n">
        <v>4819.66</v>
      </c>
      <c r="H974" s="50" t="n">
        <f aca="false">F974*G974</f>
        <v>146639.601398</v>
      </c>
    </row>
    <row r="975" customFormat="false" ht="15" hidden="false" customHeight="false" outlineLevel="0" collapsed="false">
      <c r="B975" s="46" t="s">
        <v>145</v>
      </c>
      <c r="C975" s="46" t="s">
        <v>152</v>
      </c>
      <c r="D975" s="47" t="n">
        <v>45413</v>
      </c>
      <c r="E975" s="46" t="s">
        <v>43</v>
      </c>
      <c r="F975" s="48" t="n">
        <v>10.9916</v>
      </c>
      <c r="G975" s="49" t="n">
        <v>9128.88</v>
      </c>
      <c r="H975" s="50" t="n">
        <f aca="false">F975*G975</f>
        <v>100340.997408</v>
      </c>
    </row>
    <row r="976" customFormat="false" ht="15" hidden="false" customHeight="false" outlineLevel="0" collapsed="false">
      <c r="B976" s="46" t="s">
        <v>137</v>
      </c>
      <c r="C976" s="46" t="s">
        <v>152</v>
      </c>
      <c r="D976" s="47" t="n">
        <v>45444</v>
      </c>
      <c r="E976" s="46" t="s">
        <v>43</v>
      </c>
      <c r="F976" s="48" t="n">
        <v>66.3889</v>
      </c>
      <c r="G976" s="49" t="n">
        <v>5310.29</v>
      </c>
      <c r="H976" s="50" t="n">
        <f aca="false">F976*G976</f>
        <v>352544.311781</v>
      </c>
    </row>
    <row r="977" customFormat="false" ht="15" hidden="false" customHeight="false" outlineLevel="0" collapsed="false">
      <c r="B977" s="46" t="s">
        <v>142</v>
      </c>
      <c r="C977" s="46" t="s">
        <v>152</v>
      </c>
      <c r="D977" s="47" t="n">
        <v>45444</v>
      </c>
      <c r="E977" s="46" t="s">
        <v>43</v>
      </c>
      <c r="F977" s="48" t="n">
        <v>60.4779</v>
      </c>
      <c r="G977" s="49" t="n">
        <v>4020.49</v>
      </c>
      <c r="H977" s="50" t="n">
        <f aca="false">F977*G977</f>
        <v>243150.792171</v>
      </c>
    </row>
    <row r="978" customFormat="false" ht="15" hidden="false" customHeight="false" outlineLevel="0" collapsed="false">
      <c r="B978" s="46" t="s">
        <v>143</v>
      </c>
      <c r="C978" s="46" t="s">
        <v>152</v>
      </c>
      <c r="D978" s="47" t="n">
        <v>45444</v>
      </c>
      <c r="E978" s="46" t="s">
        <v>43</v>
      </c>
      <c r="F978" s="48" t="n">
        <v>31.2244</v>
      </c>
      <c r="G978" s="49" t="n">
        <v>6811.8</v>
      </c>
      <c r="H978" s="50" t="n">
        <f aca="false">F978*G978</f>
        <v>212694.36792</v>
      </c>
    </row>
    <row r="979" customFormat="false" ht="15" hidden="false" customHeight="false" outlineLevel="0" collapsed="false">
      <c r="B979" s="46" t="s">
        <v>144</v>
      </c>
      <c r="C979" s="46" t="s">
        <v>152</v>
      </c>
      <c r="D979" s="47" t="n">
        <v>45444</v>
      </c>
      <c r="E979" s="46" t="s">
        <v>43</v>
      </c>
      <c r="F979" s="48" t="n">
        <v>31.0974</v>
      </c>
      <c r="G979" s="49" t="n">
        <v>4782.6</v>
      </c>
      <c r="H979" s="50" t="n">
        <f aca="false">F979*G979</f>
        <v>148726.42524</v>
      </c>
    </row>
    <row r="980" customFormat="false" ht="15" hidden="false" customHeight="false" outlineLevel="0" collapsed="false">
      <c r="B980" s="46" t="s">
        <v>145</v>
      </c>
      <c r="C980" s="46" t="s">
        <v>152</v>
      </c>
      <c r="D980" s="47" t="n">
        <v>45444</v>
      </c>
      <c r="E980" s="46" t="s">
        <v>43</v>
      </c>
      <c r="F980" s="48" t="n">
        <v>10.8212</v>
      </c>
      <c r="G980" s="49" t="n">
        <v>9384.39</v>
      </c>
      <c r="H980" s="50" t="n">
        <f aca="false">F980*G980</f>
        <v>101550.361068</v>
      </c>
    </row>
    <row r="981" customFormat="false" ht="15" hidden="false" customHeight="false" outlineLevel="0" collapsed="false">
      <c r="B981" s="46" t="s">
        <v>137</v>
      </c>
      <c r="C981" s="46" t="s">
        <v>152</v>
      </c>
      <c r="D981" s="47" t="n">
        <v>45474</v>
      </c>
      <c r="E981" s="46" t="s">
        <v>43</v>
      </c>
      <c r="F981" s="48" t="n">
        <v>55.0823</v>
      </c>
      <c r="G981" s="49" t="n">
        <v>5569.57</v>
      </c>
      <c r="H981" s="50" t="n">
        <f aca="false">F981*G981</f>
        <v>306784.725611</v>
      </c>
    </row>
    <row r="982" customFormat="false" ht="15" hidden="false" customHeight="false" outlineLevel="0" collapsed="false">
      <c r="B982" s="46" t="s">
        <v>142</v>
      </c>
      <c r="C982" s="46" t="s">
        <v>152</v>
      </c>
      <c r="D982" s="47" t="n">
        <v>45474</v>
      </c>
      <c r="E982" s="46" t="s">
        <v>43</v>
      </c>
      <c r="F982" s="48" t="n">
        <v>68.8085</v>
      </c>
      <c r="G982" s="49" t="n">
        <v>3990.35</v>
      </c>
      <c r="H982" s="50" t="n">
        <f aca="false">F982*G982</f>
        <v>274569.997975</v>
      </c>
    </row>
    <row r="983" customFormat="false" ht="15" hidden="false" customHeight="false" outlineLevel="0" collapsed="false">
      <c r="B983" s="46" t="s">
        <v>143</v>
      </c>
      <c r="C983" s="46" t="s">
        <v>152</v>
      </c>
      <c r="D983" s="47" t="n">
        <v>45474</v>
      </c>
      <c r="E983" s="46" t="s">
        <v>43</v>
      </c>
      <c r="F983" s="48" t="n">
        <v>32.402</v>
      </c>
      <c r="G983" s="49" t="n">
        <v>6588.66</v>
      </c>
      <c r="H983" s="50" t="n">
        <f aca="false">F983*G983</f>
        <v>213485.76132</v>
      </c>
    </row>
    <row r="984" customFormat="false" ht="15" hidden="false" customHeight="false" outlineLevel="0" collapsed="false">
      <c r="B984" s="46" t="s">
        <v>144</v>
      </c>
      <c r="C984" s="46" t="s">
        <v>152</v>
      </c>
      <c r="D984" s="47" t="n">
        <v>45474</v>
      </c>
      <c r="E984" s="46" t="s">
        <v>43</v>
      </c>
      <c r="F984" s="48" t="n">
        <v>32.5842</v>
      </c>
      <c r="G984" s="49" t="n">
        <v>4894.94</v>
      </c>
      <c r="H984" s="50" t="n">
        <f aca="false">F984*G984</f>
        <v>159497.703948</v>
      </c>
    </row>
    <row r="985" customFormat="false" ht="15" hidden="false" customHeight="false" outlineLevel="0" collapsed="false">
      <c r="B985" s="46" t="s">
        <v>145</v>
      </c>
      <c r="C985" s="46" t="s">
        <v>152</v>
      </c>
      <c r="D985" s="47" t="n">
        <v>45474</v>
      </c>
      <c r="E985" s="46" t="s">
        <v>43</v>
      </c>
      <c r="F985" s="48" t="n">
        <v>11.2956</v>
      </c>
      <c r="G985" s="49" t="n">
        <v>9443.26</v>
      </c>
      <c r="H985" s="50" t="n">
        <f aca="false">F985*G985</f>
        <v>106667.287656</v>
      </c>
    </row>
    <row r="986" customFormat="false" ht="15" hidden="false" customHeight="false" outlineLevel="0" collapsed="false">
      <c r="B986" s="46" t="s">
        <v>137</v>
      </c>
      <c r="C986" s="46" t="s">
        <v>152</v>
      </c>
      <c r="D986" s="47" t="n">
        <v>45505</v>
      </c>
      <c r="E986" s="46" t="s">
        <v>43</v>
      </c>
      <c r="F986" s="48" t="n">
        <v>57.2474</v>
      </c>
      <c r="G986" s="49" t="n">
        <v>5491.59</v>
      </c>
      <c r="H986" s="50" t="n">
        <f aca="false">F986*G986</f>
        <v>314379.249366</v>
      </c>
    </row>
    <row r="987" customFormat="false" ht="15" hidden="false" customHeight="false" outlineLevel="0" collapsed="false">
      <c r="B987" s="46" t="s">
        <v>142</v>
      </c>
      <c r="C987" s="46" t="s">
        <v>152</v>
      </c>
      <c r="D987" s="47" t="n">
        <v>45505</v>
      </c>
      <c r="E987" s="46" t="s">
        <v>43</v>
      </c>
      <c r="F987" s="48" t="n">
        <v>65.1587</v>
      </c>
      <c r="G987" s="49" t="n">
        <v>4035.21</v>
      </c>
      <c r="H987" s="50" t="n">
        <f aca="false">F987*G987</f>
        <v>262929.037827</v>
      </c>
    </row>
    <row r="988" customFormat="false" ht="15" hidden="false" customHeight="false" outlineLevel="0" collapsed="false">
      <c r="B988" s="46" t="s">
        <v>143</v>
      </c>
      <c r="C988" s="46" t="s">
        <v>152</v>
      </c>
      <c r="D988" s="47" t="n">
        <v>45505</v>
      </c>
      <c r="E988" s="46" t="s">
        <v>43</v>
      </c>
      <c r="F988" s="48" t="n">
        <v>27.0766</v>
      </c>
      <c r="G988" s="49" t="n">
        <v>6822.91</v>
      </c>
      <c r="H988" s="50" t="n">
        <f aca="false">F988*G988</f>
        <v>184741.204906</v>
      </c>
    </row>
    <row r="989" customFormat="false" ht="15" hidden="false" customHeight="false" outlineLevel="0" collapsed="false">
      <c r="B989" s="46" t="s">
        <v>144</v>
      </c>
      <c r="C989" s="46" t="s">
        <v>152</v>
      </c>
      <c r="D989" s="47" t="n">
        <v>45505</v>
      </c>
      <c r="E989" s="46" t="s">
        <v>43</v>
      </c>
      <c r="F989" s="48" t="n">
        <v>33.0205</v>
      </c>
      <c r="G989" s="49" t="n">
        <v>4958.56</v>
      </c>
      <c r="H989" s="50" t="n">
        <f aca="false">F989*G989</f>
        <v>163734.13048</v>
      </c>
    </row>
    <row r="990" customFormat="false" ht="15" hidden="false" customHeight="false" outlineLevel="0" collapsed="false">
      <c r="B990" s="46" t="s">
        <v>145</v>
      </c>
      <c r="C990" s="46" t="s">
        <v>152</v>
      </c>
      <c r="D990" s="47" t="n">
        <v>45505</v>
      </c>
      <c r="E990" s="46" t="s">
        <v>43</v>
      </c>
      <c r="F990" s="48" t="n">
        <v>10.3922</v>
      </c>
      <c r="G990" s="49" t="n">
        <v>9408.37</v>
      </c>
      <c r="H990" s="50" t="n">
        <f aca="false">F990*G990</f>
        <v>97773.662714</v>
      </c>
    </row>
    <row r="991" customFormat="false" ht="15" hidden="false" customHeight="false" outlineLevel="0" collapsed="false">
      <c r="B991" s="46" t="s">
        <v>137</v>
      </c>
      <c r="C991" s="46" t="s">
        <v>152</v>
      </c>
      <c r="D991" s="47" t="n">
        <v>45536</v>
      </c>
      <c r="E991" s="46" t="s">
        <v>43</v>
      </c>
      <c r="F991" s="48" t="n">
        <v>58.9848</v>
      </c>
      <c r="G991" s="49" t="n">
        <v>5436.92</v>
      </c>
      <c r="H991" s="50" t="n">
        <f aca="false">F991*G991</f>
        <v>320695.638816</v>
      </c>
    </row>
    <row r="992" customFormat="false" ht="15" hidden="false" customHeight="false" outlineLevel="0" collapsed="false">
      <c r="B992" s="46" t="s">
        <v>142</v>
      </c>
      <c r="C992" s="46" t="s">
        <v>152</v>
      </c>
      <c r="D992" s="47" t="n">
        <v>45536</v>
      </c>
      <c r="E992" s="46" t="s">
        <v>43</v>
      </c>
      <c r="F992" s="48" t="n">
        <v>60.8918</v>
      </c>
      <c r="G992" s="49" t="n">
        <v>4038.71</v>
      </c>
      <c r="H992" s="50" t="n">
        <f aca="false">F992*G992</f>
        <v>245924.321578</v>
      </c>
    </row>
    <row r="993" customFormat="false" ht="15" hidden="false" customHeight="false" outlineLevel="0" collapsed="false">
      <c r="B993" s="46" t="s">
        <v>143</v>
      </c>
      <c r="C993" s="46" t="s">
        <v>152</v>
      </c>
      <c r="D993" s="47" t="n">
        <v>45536</v>
      </c>
      <c r="E993" s="46" t="s">
        <v>43</v>
      </c>
      <c r="F993" s="48" t="n">
        <v>29.6575</v>
      </c>
      <c r="G993" s="49" t="n">
        <v>6875.87</v>
      </c>
      <c r="H993" s="50" t="n">
        <f aca="false">F993*G993</f>
        <v>203921.114525</v>
      </c>
    </row>
    <row r="994" customFormat="false" ht="15" hidden="false" customHeight="false" outlineLevel="0" collapsed="false">
      <c r="B994" s="46" t="s">
        <v>144</v>
      </c>
      <c r="C994" s="46" t="s">
        <v>152</v>
      </c>
      <c r="D994" s="47" t="n">
        <v>45536</v>
      </c>
      <c r="E994" s="46" t="s">
        <v>43</v>
      </c>
      <c r="F994" s="48" t="n">
        <v>32.3906</v>
      </c>
      <c r="G994" s="49" t="n">
        <v>4889.85</v>
      </c>
      <c r="H994" s="50" t="n">
        <f aca="false">F994*G994</f>
        <v>158385.17541</v>
      </c>
    </row>
    <row r="995" customFormat="false" ht="15" hidden="false" customHeight="false" outlineLevel="0" collapsed="false">
      <c r="B995" s="46" t="s">
        <v>145</v>
      </c>
      <c r="C995" s="46" t="s">
        <v>152</v>
      </c>
      <c r="D995" s="47" t="n">
        <v>45536</v>
      </c>
      <c r="E995" s="46" t="s">
        <v>43</v>
      </c>
      <c r="F995" s="48" t="n">
        <v>10.8329</v>
      </c>
      <c r="G995" s="49" t="n">
        <v>9380.86</v>
      </c>
      <c r="H995" s="50" t="n">
        <f aca="false">F995*G995</f>
        <v>101621.918294</v>
      </c>
    </row>
    <row r="996" customFormat="false" ht="15" hidden="false" customHeight="false" outlineLevel="0" collapsed="false">
      <c r="B996" s="46" t="s">
        <v>137</v>
      </c>
      <c r="C996" s="46" t="s">
        <v>152</v>
      </c>
      <c r="D996" s="47" t="n">
        <v>45566</v>
      </c>
      <c r="E996" s="46" t="s">
        <v>43</v>
      </c>
      <c r="F996" s="48" t="n">
        <v>62.0041</v>
      </c>
      <c r="G996" s="49" t="n">
        <v>5477.68</v>
      </c>
      <c r="H996" s="50" t="n">
        <f aca="false">F996*G996</f>
        <v>339638.618488</v>
      </c>
    </row>
    <row r="997" customFormat="false" ht="15" hidden="false" customHeight="false" outlineLevel="0" collapsed="false">
      <c r="B997" s="46" t="s">
        <v>142</v>
      </c>
      <c r="C997" s="46" t="s">
        <v>152</v>
      </c>
      <c r="D997" s="47" t="n">
        <v>45566</v>
      </c>
      <c r="E997" s="46" t="s">
        <v>43</v>
      </c>
      <c r="F997" s="48" t="n">
        <v>64.9813</v>
      </c>
      <c r="G997" s="49" t="n">
        <v>3940.31</v>
      </c>
      <c r="H997" s="50" t="n">
        <f aca="false">F997*G997</f>
        <v>256046.466203</v>
      </c>
    </row>
    <row r="998" customFormat="false" ht="15" hidden="false" customHeight="false" outlineLevel="0" collapsed="false">
      <c r="B998" s="46" t="s">
        <v>143</v>
      </c>
      <c r="C998" s="46" t="s">
        <v>152</v>
      </c>
      <c r="D998" s="47" t="n">
        <v>45566</v>
      </c>
      <c r="E998" s="46" t="s">
        <v>43</v>
      </c>
      <c r="F998" s="48" t="n">
        <v>32.4374</v>
      </c>
      <c r="G998" s="49" t="n">
        <v>6786.48</v>
      </c>
      <c r="H998" s="50" t="n">
        <f aca="false">F998*G998</f>
        <v>220135.766352</v>
      </c>
    </row>
    <row r="999" customFormat="false" ht="15" hidden="false" customHeight="false" outlineLevel="0" collapsed="false">
      <c r="B999" s="46" t="s">
        <v>144</v>
      </c>
      <c r="C999" s="46" t="s">
        <v>152</v>
      </c>
      <c r="D999" s="47" t="n">
        <v>45566</v>
      </c>
      <c r="E999" s="46" t="s">
        <v>43</v>
      </c>
      <c r="F999" s="48" t="n">
        <v>32.4625</v>
      </c>
      <c r="G999" s="49" t="n">
        <v>4948.97</v>
      </c>
      <c r="H999" s="50" t="n">
        <f aca="false">F999*G999</f>
        <v>160655.938625</v>
      </c>
    </row>
    <row r="1000" customFormat="false" ht="15" hidden="false" customHeight="false" outlineLevel="0" collapsed="false">
      <c r="B1000" s="46" t="s">
        <v>145</v>
      </c>
      <c r="C1000" s="46" t="s">
        <v>152</v>
      </c>
      <c r="D1000" s="47" t="n">
        <v>45566</v>
      </c>
      <c r="E1000" s="46" t="s">
        <v>43</v>
      </c>
      <c r="F1000" s="48" t="n">
        <v>11.7195</v>
      </c>
      <c r="G1000" s="49" t="n">
        <v>9334.03</v>
      </c>
      <c r="H1000" s="50" t="n">
        <f aca="false">F1000*G1000</f>
        <v>109390.164585</v>
      </c>
    </row>
    <row r="1001" customFormat="false" ht="15" hidden="false" customHeight="false" outlineLevel="0" collapsed="false">
      <c r="B1001" s="46" t="s">
        <v>137</v>
      </c>
      <c r="C1001" s="46" t="s">
        <v>152</v>
      </c>
      <c r="D1001" s="47" t="n">
        <v>45597</v>
      </c>
      <c r="E1001" s="46" t="s">
        <v>43</v>
      </c>
      <c r="F1001" s="48" t="n">
        <v>68.5467</v>
      </c>
      <c r="G1001" s="49" t="n">
        <v>5443.37</v>
      </c>
      <c r="H1001" s="50" t="n">
        <f aca="false">F1001*G1001</f>
        <v>373125.050379</v>
      </c>
    </row>
    <row r="1002" customFormat="false" ht="15" hidden="false" customHeight="false" outlineLevel="0" collapsed="false">
      <c r="B1002" s="46" t="s">
        <v>142</v>
      </c>
      <c r="C1002" s="46" t="s">
        <v>152</v>
      </c>
      <c r="D1002" s="47" t="n">
        <v>45597</v>
      </c>
      <c r="E1002" s="46" t="s">
        <v>43</v>
      </c>
      <c r="F1002" s="48" t="n">
        <v>63.768</v>
      </c>
      <c r="G1002" s="49" t="n">
        <v>3971.63</v>
      </c>
      <c r="H1002" s="50" t="n">
        <f aca="false">F1002*G1002</f>
        <v>253262.90184</v>
      </c>
    </row>
    <row r="1003" customFormat="false" ht="15" hidden="false" customHeight="false" outlineLevel="0" collapsed="false">
      <c r="B1003" s="46" t="s">
        <v>143</v>
      </c>
      <c r="C1003" s="46" t="s">
        <v>152</v>
      </c>
      <c r="D1003" s="47" t="n">
        <v>45597</v>
      </c>
      <c r="E1003" s="46" t="s">
        <v>43</v>
      </c>
      <c r="F1003" s="48" t="n">
        <v>32.3515</v>
      </c>
      <c r="G1003" s="49" t="n">
        <v>6788.15</v>
      </c>
      <c r="H1003" s="50" t="n">
        <f aca="false">F1003*G1003</f>
        <v>219606.834725</v>
      </c>
    </row>
    <row r="1004" customFormat="false" ht="15" hidden="false" customHeight="false" outlineLevel="0" collapsed="false">
      <c r="B1004" s="46" t="s">
        <v>144</v>
      </c>
      <c r="C1004" s="46" t="s">
        <v>152</v>
      </c>
      <c r="D1004" s="47" t="n">
        <v>45597</v>
      </c>
      <c r="E1004" s="46" t="s">
        <v>43</v>
      </c>
      <c r="F1004" s="48" t="n">
        <v>33.911</v>
      </c>
      <c r="G1004" s="49" t="n">
        <v>4943.78</v>
      </c>
      <c r="H1004" s="50" t="n">
        <f aca="false">F1004*G1004</f>
        <v>167648.52358</v>
      </c>
    </row>
    <row r="1005" customFormat="false" ht="15" hidden="false" customHeight="false" outlineLevel="0" collapsed="false">
      <c r="B1005" s="46" t="s">
        <v>145</v>
      </c>
      <c r="C1005" s="46" t="s">
        <v>152</v>
      </c>
      <c r="D1005" s="47" t="n">
        <v>45597</v>
      </c>
      <c r="E1005" s="46" t="s">
        <v>43</v>
      </c>
      <c r="F1005" s="48" t="n">
        <v>10.7969</v>
      </c>
      <c r="G1005" s="49" t="n">
        <v>9245.07</v>
      </c>
      <c r="H1005" s="50" t="n">
        <f aca="false">F1005*G1005</f>
        <v>99818.096283</v>
      </c>
    </row>
    <row r="1006" customFormat="false" ht="15" hidden="false" customHeight="false" outlineLevel="0" collapsed="false">
      <c r="B1006" s="46" t="s">
        <v>137</v>
      </c>
      <c r="C1006" s="46" t="s">
        <v>152</v>
      </c>
      <c r="D1006" s="47" t="n">
        <v>45627</v>
      </c>
      <c r="E1006" s="46" t="s">
        <v>43</v>
      </c>
      <c r="F1006" s="48" t="n">
        <v>58.6913</v>
      </c>
      <c r="G1006" s="49" t="n">
        <v>5498.28</v>
      </c>
      <c r="H1006" s="50" t="n">
        <f aca="false">F1006*G1006</f>
        <v>322701.200964</v>
      </c>
    </row>
    <row r="1007" customFormat="false" ht="15" hidden="false" customHeight="false" outlineLevel="0" collapsed="false">
      <c r="B1007" s="46" t="s">
        <v>142</v>
      </c>
      <c r="C1007" s="46" t="s">
        <v>152</v>
      </c>
      <c r="D1007" s="47" t="n">
        <v>45627</v>
      </c>
      <c r="E1007" s="46" t="s">
        <v>43</v>
      </c>
      <c r="F1007" s="48" t="n">
        <v>62.9895</v>
      </c>
      <c r="G1007" s="49" t="n">
        <v>4062.69</v>
      </c>
      <c r="H1007" s="50" t="n">
        <f aca="false">F1007*G1007</f>
        <v>255906.811755</v>
      </c>
    </row>
    <row r="1008" customFormat="false" ht="15" hidden="false" customHeight="false" outlineLevel="0" collapsed="false">
      <c r="B1008" s="46" t="s">
        <v>143</v>
      </c>
      <c r="C1008" s="46" t="s">
        <v>152</v>
      </c>
      <c r="D1008" s="47" t="n">
        <v>45627</v>
      </c>
      <c r="E1008" s="46" t="s">
        <v>43</v>
      </c>
      <c r="F1008" s="48" t="n">
        <v>32.2214</v>
      </c>
      <c r="G1008" s="49" t="n">
        <v>6866.25</v>
      </c>
      <c r="H1008" s="50" t="n">
        <f aca="false">F1008*G1008</f>
        <v>221240.18775</v>
      </c>
    </row>
    <row r="1009" customFormat="false" ht="15" hidden="false" customHeight="false" outlineLevel="0" collapsed="false">
      <c r="B1009" s="46" t="s">
        <v>144</v>
      </c>
      <c r="C1009" s="46" t="s">
        <v>152</v>
      </c>
      <c r="D1009" s="47" t="n">
        <v>45627</v>
      </c>
      <c r="E1009" s="46" t="s">
        <v>43</v>
      </c>
      <c r="F1009" s="48" t="n">
        <v>34.0184</v>
      </c>
      <c r="G1009" s="49" t="n">
        <v>4998.98</v>
      </c>
      <c r="H1009" s="50" t="n">
        <f aca="false">F1009*G1009</f>
        <v>170057.301232</v>
      </c>
    </row>
    <row r="1010" customFormat="false" ht="15" hidden="false" customHeight="false" outlineLevel="0" collapsed="false">
      <c r="B1010" s="46" t="s">
        <v>145</v>
      </c>
      <c r="C1010" s="46" t="s">
        <v>152</v>
      </c>
      <c r="D1010" s="47" t="n">
        <v>45627</v>
      </c>
      <c r="E1010" s="46" t="s">
        <v>43</v>
      </c>
      <c r="F1010" s="48" t="n">
        <v>11.1283</v>
      </c>
      <c r="G1010" s="49" t="n">
        <v>9348.83</v>
      </c>
      <c r="H1010" s="50" t="n">
        <f aca="false">F1010*G1010</f>
        <v>104036.584889</v>
      </c>
    </row>
    <row r="1011" customFormat="false" ht="15" hidden="false" customHeight="false" outlineLevel="0" collapsed="false">
      <c r="B1011" s="46" t="s">
        <v>137</v>
      </c>
      <c r="C1011" s="46" t="s">
        <v>152</v>
      </c>
      <c r="D1011" s="47" t="n">
        <v>45658</v>
      </c>
      <c r="E1011" s="46" t="s">
        <v>43</v>
      </c>
      <c r="F1011" s="48" t="n">
        <v>61.8303</v>
      </c>
      <c r="G1011" s="49" t="n">
        <v>5568.99</v>
      </c>
      <c r="H1011" s="50" t="n">
        <f aca="false">F1011*G1011</f>
        <v>344332.322397</v>
      </c>
    </row>
    <row r="1012" customFormat="false" ht="15" hidden="false" customHeight="false" outlineLevel="0" collapsed="false">
      <c r="B1012" s="46" t="s">
        <v>142</v>
      </c>
      <c r="C1012" s="46" t="s">
        <v>152</v>
      </c>
      <c r="D1012" s="47" t="n">
        <v>45658</v>
      </c>
      <c r="E1012" s="46" t="s">
        <v>43</v>
      </c>
      <c r="F1012" s="48" t="n">
        <v>63.645</v>
      </c>
      <c r="G1012" s="49" t="n">
        <v>4075.25</v>
      </c>
      <c r="H1012" s="50" t="n">
        <f aca="false">F1012*G1012</f>
        <v>259369.28625</v>
      </c>
    </row>
    <row r="1013" customFormat="false" ht="15" hidden="false" customHeight="false" outlineLevel="0" collapsed="false">
      <c r="B1013" s="46" t="s">
        <v>143</v>
      </c>
      <c r="C1013" s="46" t="s">
        <v>152</v>
      </c>
      <c r="D1013" s="47" t="n">
        <v>45658</v>
      </c>
      <c r="E1013" s="46" t="s">
        <v>43</v>
      </c>
      <c r="F1013" s="48" t="n">
        <v>31.777</v>
      </c>
      <c r="G1013" s="49" t="n">
        <v>6915.69</v>
      </c>
      <c r="H1013" s="50" t="n">
        <f aca="false">F1013*G1013</f>
        <v>219759.88113</v>
      </c>
    </row>
    <row r="1014" customFormat="false" ht="15" hidden="false" customHeight="false" outlineLevel="0" collapsed="false">
      <c r="B1014" s="46" t="s">
        <v>144</v>
      </c>
      <c r="C1014" s="46" t="s">
        <v>152</v>
      </c>
      <c r="D1014" s="47" t="n">
        <v>45658</v>
      </c>
      <c r="E1014" s="46" t="s">
        <v>43</v>
      </c>
      <c r="F1014" s="48" t="n">
        <v>29.8135</v>
      </c>
      <c r="G1014" s="49" t="n">
        <v>4841.63</v>
      </c>
      <c r="H1014" s="50" t="n">
        <f aca="false">F1014*G1014</f>
        <v>144345.936005</v>
      </c>
    </row>
    <row r="1015" customFormat="false" ht="15" hidden="false" customHeight="false" outlineLevel="0" collapsed="false">
      <c r="B1015" s="46" t="s">
        <v>145</v>
      </c>
      <c r="C1015" s="46" t="s">
        <v>152</v>
      </c>
      <c r="D1015" s="47" t="n">
        <v>45658</v>
      </c>
      <c r="E1015" s="46" t="s">
        <v>43</v>
      </c>
      <c r="F1015" s="48" t="n">
        <v>11.162</v>
      </c>
      <c r="G1015" s="49" t="n">
        <v>9435.47</v>
      </c>
      <c r="H1015" s="50" t="n">
        <f aca="false">F1015*G1015</f>
        <v>105318.71614</v>
      </c>
    </row>
    <row r="1016" customFormat="false" ht="15" hidden="false" customHeight="false" outlineLevel="0" collapsed="false">
      <c r="B1016" s="46" t="s">
        <v>137</v>
      </c>
      <c r="C1016" s="46" t="s">
        <v>152</v>
      </c>
      <c r="D1016" s="47" t="n">
        <v>45689</v>
      </c>
      <c r="E1016" s="46" t="s">
        <v>43</v>
      </c>
      <c r="F1016" s="48" t="n">
        <v>61.4247</v>
      </c>
      <c r="G1016" s="49" t="n">
        <v>5561.91</v>
      </c>
      <c r="H1016" s="50" t="n">
        <f aca="false">F1016*G1016</f>
        <v>341638.653177</v>
      </c>
    </row>
    <row r="1017" customFormat="false" ht="15" hidden="false" customHeight="false" outlineLevel="0" collapsed="false">
      <c r="B1017" s="46" t="s">
        <v>142</v>
      </c>
      <c r="C1017" s="46" t="s">
        <v>152</v>
      </c>
      <c r="D1017" s="47" t="n">
        <v>45689</v>
      </c>
      <c r="E1017" s="46" t="s">
        <v>43</v>
      </c>
      <c r="F1017" s="48" t="n">
        <v>59.8331</v>
      </c>
      <c r="G1017" s="49" t="n">
        <v>4036.13</v>
      </c>
      <c r="H1017" s="50" t="n">
        <f aca="false">F1017*G1017</f>
        <v>241494.169903</v>
      </c>
    </row>
    <row r="1018" customFormat="false" ht="15" hidden="false" customHeight="false" outlineLevel="0" collapsed="false">
      <c r="B1018" s="46" t="s">
        <v>143</v>
      </c>
      <c r="C1018" s="46" t="s">
        <v>152</v>
      </c>
      <c r="D1018" s="47" t="n">
        <v>45689</v>
      </c>
      <c r="E1018" s="46" t="s">
        <v>43</v>
      </c>
      <c r="F1018" s="48" t="n">
        <v>28.2889</v>
      </c>
      <c r="G1018" s="49" t="n">
        <v>6823.74</v>
      </c>
      <c r="H1018" s="50" t="n">
        <f aca="false">F1018*G1018</f>
        <v>193036.098486</v>
      </c>
    </row>
    <row r="1019" customFormat="false" ht="15" hidden="false" customHeight="false" outlineLevel="0" collapsed="false">
      <c r="B1019" s="46" t="s">
        <v>144</v>
      </c>
      <c r="C1019" s="46" t="s">
        <v>152</v>
      </c>
      <c r="D1019" s="47" t="n">
        <v>45689</v>
      </c>
      <c r="E1019" s="46" t="s">
        <v>43</v>
      </c>
      <c r="F1019" s="48" t="n">
        <v>31.0957</v>
      </c>
      <c r="G1019" s="49" t="n">
        <v>5001.5</v>
      </c>
      <c r="H1019" s="50" t="n">
        <f aca="false">F1019*G1019</f>
        <v>155525.14355</v>
      </c>
    </row>
    <row r="1020" customFormat="false" ht="15" hidden="false" customHeight="false" outlineLevel="0" collapsed="false">
      <c r="B1020" s="46" t="s">
        <v>145</v>
      </c>
      <c r="C1020" s="46" t="s">
        <v>152</v>
      </c>
      <c r="D1020" s="47" t="n">
        <v>45689</v>
      </c>
      <c r="E1020" s="46" t="s">
        <v>43</v>
      </c>
      <c r="F1020" s="48" t="n">
        <v>10.8697</v>
      </c>
      <c r="G1020" s="49" t="n">
        <v>9433.12</v>
      </c>
      <c r="H1020" s="50" t="n">
        <f aca="false">F1020*G1020</f>
        <v>102535.184464</v>
      </c>
    </row>
    <row r="1021" customFormat="false" ht="15" hidden="false" customHeight="false" outlineLevel="0" collapsed="false">
      <c r="B1021" s="46" t="s">
        <v>137</v>
      </c>
      <c r="C1021" s="46" t="s">
        <v>152</v>
      </c>
      <c r="D1021" s="47" t="n">
        <v>45717</v>
      </c>
      <c r="E1021" s="46" t="s">
        <v>43</v>
      </c>
      <c r="F1021" s="48" t="n">
        <v>67.6529</v>
      </c>
      <c r="G1021" s="49" t="n">
        <v>5620.95</v>
      </c>
      <c r="H1021" s="50" t="n">
        <f aca="false">F1021*G1021</f>
        <v>380273.568255</v>
      </c>
    </row>
    <row r="1022" customFormat="false" ht="15" hidden="false" customHeight="false" outlineLevel="0" collapsed="false">
      <c r="B1022" s="46" t="s">
        <v>142</v>
      </c>
      <c r="C1022" s="46" t="s">
        <v>152</v>
      </c>
      <c r="D1022" s="47" t="n">
        <v>45717</v>
      </c>
      <c r="E1022" s="46" t="s">
        <v>43</v>
      </c>
      <c r="F1022" s="48" t="n">
        <v>63.211</v>
      </c>
      <c r="G1022" s="49" t="n">
        <v>4096.33</v>
      </c>
      <c r="H1022" s="50" t="n">
        <f aca="false">F1022*G1022</f>
        <v>258933.11563</v>
      </c>
    </row>
    <row r="1023" customFormat="false" ht="15" hidden="false" customHeight="false" outlineLevel="0" collapsed="false">
      <c r="B1023" s="46" t="s">
        <v>143</v>
      </c>
      <c r="C1023" s="46" t="s">
        <v>152</v>
      </c>
      <c r="D1023" s="47" t="n">
        <v>45717</v>
      </c>
      <c r="E1023" s="46" t="s">
        <v>43</v>
      </c>
      <c r="F1023" s="48" t="n">
        <v>33.8384</v>
      </c>
      <c r="G1023" s="49" t="n">
        <v>6820.52</v>
      </c>
      <c r="H1023" s="50" t="n">
        <f aca="false">F1023*G1023</f>
        <v>230795.483968</v>
      </c>
    </row>
    <row r="1024" customFormat="false" ht="15" hidden="false" customHeight="false" outlineLevel="0" collapsed="false">
      <c r="B1024" s="46" t="s">
        <v>144</v>
      </c>
      <c r="C1024" s="46" t="s">
        <v>152</v>
      </c>
      <c r="D1024" s="47" t="n">
        <v>45717</v>
      </c>
      <c r="E1024" s="46" t="s">
        <v>43</v>
      </c>
      <c r="F1024" s="48" t="n">
        <v>34.7516</v>
      </c>
      <c r="G1024" s="49" t="n">
        <v>4969.17</v>
      </c>
      <c r="H1024" s="50" t="n">
        <f aca="false">F1024*G1024</f>
        <v>172686.608172</v>
      </c>
    </row>
    <row r="1025" customFormat="false" ht="15" hidden="false" customHeight="false" outlineLevel="0" collapsed="false">
      <c r="B1025" s="46" t="s">
        <v>145</v>
      </c>
      <c r="C1025" s="46" t="s">
        <v>152</v>
      </c>
      <c r="D1025" s="47" t="n">
        <v>45717</v>
      </c>
      <c r="E1025" s="46" t="s">
        <v>43</v>
      </c>
      <c r="F1025" s="48" t="n">
        <v>13.126</v>
      </c>
      <c r="G1025" s="49" t="n">
        <v>9557.34</v>
      </c>
      <c r="H1025" s="50" t="n">
        <f aca="false">F1025*G1025</f>
        <v>125449.64484</v>
      </c>
    </row>
    <row r="1026" customFormat="false" ht="15" hidden="false" customHeight="false" outlineLevel="0" collapsed="false">
      <c r="B1026" s="46" t="s">
        <v>137</v>
      </c>
      <c r="C1026" s="46" t="s">
        <v>152</v>
      </c>
      <c r="D1026" s="47" t="n">
        <v>45748</v>
      </c>
      <c r="E1026" s="46" t="s">
        <v>44</v>
      </c>
      <c r="F1026" s="48" t="n">
        <v>57.6756</v>
      </c>
      <c r="G1026" s="49" t="n">
        <v>5630.46</v>
      </c>
      <c r="H1026" s="50" t="n">
        <f aca="false">F1026*G1026</f>
        <v>324740.158776</v>
      </c>
    </row>
    <row r="1027" customFormat="false" ht="15" hidden="false" customHeight="false" outlineLevel="0" collapsed="false">
      <c r="B1027" s="46" t="s">
        <v>142</v>
      </c>
      <c r="C1027" s="46" t="s">
        <v>152</v>
      </c>
      <c r="D1027" s="47" t="n">
        <v>45748</v>
      </c>
      <c r="E1027" s="46" t="s">
        <v>44</v>
      </c>
      <c r="F1027" s="48" t="n">
        <v>66.3812</v>
      </c>
      <c r="G1027" s="49" t="n">
        <v>4079.56</v>
      </c>
      <c r="H1027" s="50" t="n">
        <f aca="false">F1027*G1027</f>
        <v>270806.088272</v>
      </c>
    </row>
    <row r="1028" customFormat="false" ht="15" hidden="false" customHeight="false" outlineLevel="0" collapsed="false">
      <c r="B1028" s="46" t="s">
        <v>143</v>
      </c>
      <c r="C1028" s="46" t="s">
        <v>152</v>
      </c>
      <c r="D1028" s="47" t="n">
        <v>45748</v>
      </c>
      <c r="E1028" s="46" t="s">
        <v>44</v>
      </c>
      <c r="F1028" s="48" t="n">
        <v>33.4969</v>
      </c>
      <c r="G1028" s="49" t="n">
        <v>6952.39</v>
      </c>
      <c r="H1028" s="50" t="n">
        <f aca="false">F1028*G1028</f>
        <v>232883.512591</v>
      </c>
    </row>
    <row r="1029" customFormat="false" ht="15" hidden="false" customHeight="false" outlineLevel="0" collapsed="false">
      <c r="B1029" s="46" t="s">
        <v>144</v>
      </c>
      <c r="C1029" s="46" t="s">
        <v>152</v>
      </c>
      <c r="D1029" s="47" t="n">
        <v>45748</v>
      </c>
      <c r="E1029" s="46" t="s">
        <v>44</v>
      </c>
      <c r="F1029" s="48" t="n">
        <v>33.2857</v>
      </c>
      <c r="G1029" s="49" t="n">
        <v>4990.65</v>
      </c>
      <c r="H1029" s="50" t="n">
        <f aca="false">F1029*G1029</f>
        <v>166117.278705</v>
      </c>
    </row>
    <row r="1030" customFormat="false" ht="15" hidden="false" customHeight="false" outlineLevel="0" collapsed="false">
      <c r="B1030" s="46" t="s">
        <v>145</v>
      </c>
      <c r="C1030" s="46" t="s">
        <v>152</v>
      </c>
      <c r="D1030" s="47" t="n">
        <v>45748</v>
      </c>
      <c r="E1030" s="46" t="s">
        <v>44</v>
      </c>
      <c r="F1030" s="48" t="n">
        <v>10.8645</v>
      </c>
      <c r="G1030" s="49" t="n">
        <v>9529.25</v>
      </c>
      <c r="H1030" s="50" t="n">
        <f aca="false">F1030*G1030</f>
        <v>103530.536625</v>
      </c>
    </row>
    <row r="1031" customFormat="false" ht="15" hidden="false" customHeight="false" outlineLevel="0" collapsed="false">
      <c r="B1031" s="46" t="s">
        <v>137</v>
      </c>
      <c r="C1031" s="46" t="s">
        <v>152</v>
      </c>
      <c r="D1031" s="47" t="n">
        <v>45778</v>
      </c>
      <c r="E1031" s="46" t="s">
        <v>44</v>
      </c>
      <c r="F1031" s="48" t="n">
        <v>60.5057</v>
      </c>
      <c r="G1031" s="49" t="n">
        <v>5568.82</v>
      </c>
      <c r="H1031" s="50" t="n">
        <f aca="false">F1031*G1031</f>
        <v>336945.352274</v>
      </c>
    </row>
    <row r="1032" customFormat="false" ht="15" hidden="false" customHeight="false" outlineLevel="0" collapsed="false">
      <c r="B1032" s="46" t="s">
        <v>142</v>
      </c>
      <c r="C1032" s="46" t="s">
        <v>152</v>
      </c>
      <c r="D1032" s="47" t="n">
        <v>45778</v>
      </c>
      <c r="E1032" s="46" t="s">
        <v>44</v>
      </c>
      <c r="F1032" s="48" t="n">
        <v>65.1876</v>
      </c>
      <c r="G1032" s="49" t="n">
        <v>4114.1</v>
      </c>
      <c r="H1032" s="50" t="n">
        <f aca="false">F1032*G1032</f>
        <v>268188.30516</v>
      </c>
    </row>
    <row r="1033" customFormat="false" ht="15" hidden="false" customHeight="false" outlineLevel="0" collapsed="false">
      <c r="B1033" s="46" t="s">
        <v>143</v>
      </c>
      <c r="C1033" s="46" t="s">
        <v>152</v>
      </c>
      <c r="D1033" s="47" t="n">
        <v>45778</v>
      </c>
      <c r="E1033" s="46" t="s">
        <v>44</v>
      </c>
      <c r="F1033" s="48" t="n">
        <v>31.6353</v>
      </c>
      <c r="G1033" s="49" t="n">
        <v>6985.64</v>
      </c>
      <c r="H1033" s="50" t="n">
        <f aca="false">F1033*G1033</f>
        <v>220992.817092</v>
      </c>
    </row>
    <row r="1034" customFormat="false" ht="15" hidden="false" customHeight="false" outlineLevel="0" collapsed="false">
      <c r="B1034" s="46" t="s">
        <v>144</v>
      </c>
      <c r="C1034" s="46" t="s">
        <v>152</v>
      </c>
      <c r="D1034" s="47" t="n">
        <v>45778</v>
      </c>
      <c r="E1034" s="46" t="s">
        <v>44</v>
      </c>
      <c r="F1034" s="48" t="n">
        <v>33.4873</v>
      </c>
      <c r="G1034" s="49" t="n">
        <v>5034.79</v>
      </c>
      <c r="H1034" s="50" t="n">
        <f aca="false">F1034*G1034</f>
        <v>168601.523167</v>
      </c>
    </row>
    <row r="1035" customFormat="false" ht="15" hidden="false" customHeight="false" outlineLevel="0" collapsed="false">
      <c r="B1035" s="46" t="s">
        <v>145</v>
      </c>
      <c r="C1035" s="46" t="s">
        <v>152</v>
      </c>
      <c r="D1035" s="47" t="n">
        <v>45778</v>
      </c>
      <c r="E1035" s="46" t="s">
        <v>44</v>
      </c>
      <c r="F1035" s="48" t="n">
        <v>11.8336</v>
      </c>
      <c r="G1035" s="49" t="n">
        <v>9686.2</v>
      </c>
      <c r="H1035" s="50" t="n">
        <f aca="false">F1035*G1035</f>
        <v>114622.61632</v>
      </c>
    </row>
    <row r="1036" customFormat="false" ht="15" hidden="false" customHeight="false" outlineLevel="0" collapsed="false">
      <c r="B1036" s="46" t="s">
        <v>137</v>
      </c>
      <c r="C1036" s="46" t="s">
        <v>152</v>
      </c>
      <c r="D1036" s="47" t="n">
        <v>45809</v>
      </c>
      <c r="E1036" s="46" t="s">
        <v>44</v>
      </c>
      <c r="F1036" s="48" t="n">
        <v>65.2225</v>
      </c>
      <c r="G1036" s="49" t="n">
        <v>5633.29</v>
      </c>
      <c r="H1036" s="50" t="n">
        <f aca="false">F1036*G1036</f>
        <v>367417.257025</v>
      </c>
    </row>
    <row r="1037" customFormat="false" ht="15" hidden="false" customHeight="false" outlineLevel="0" collapsed="false">
      <c r="B1037" s="46" t="s">
        <v>142</v>
      </c>
      <c r="C1037" s="46" t="s">
        <v>152</v>
      </c>
      <c r="D1037" s="47" t="n">
        <v>45809</v>
      </c>
      <c r="E1037" s="46" t="s">
        <v>44</v>
      </c>
      <c r="F1037" s="48" t="n">
        <v>65.2184</v>
      </c>
      <c r="G1037" s="49" t="n">
        <v>4119.36</v>
      </c>
      <c r="H1037" s="50" t="n">
        <f aca="false">F1037*G1037</f>
        <v>268658.068224</v>
      </c>
    </row>
    <row r="1038" customFormat="false" ht="15" hidden="false" customHeight="false" outlineLevel="0" collapsed="false">
      <c r="B1038" s="46" t="s">
        <v>143</v>
      </c>
      <c r="C1038" s="46" t="s">
        <v>152</v>
      </c>
      <c r="D1038" s="47" t="n">
        <v>45809</v>
      </c>
      <c r="E1038" s="46" t="s">
        <v>44</v>
      </c>
      <c r="F1038" s="48" t="n">
        <v>30.5074</v>
      </c>
      <c r="G1038" s="49" t="n">
        <v>6870.32</v>
      </c>
      <c r="H1038" s="50" t="n">
        <f aca="false">F1038*G1038</f>
        <v>209595.600368</v>
      </c>
    </row>
    <row r="1039" customFormat="false" ht="15" hidden="false" customHeight="false" outlineLevel="0" collapsed="false">
      <c r="B1039" s="46" t="s">
        <v>144</v>
      </c>
      <c r="C1039" s="46" t="s">
        <v>152</v>
      </c>
      <c r="D1039" s="47" t="n">
        <v>45809</v>
      </c>
      <c r="E1039" s="46" t="s">
        <v>44</v>
      </c>
      <c r="F1039" s="48" t="n">
        <v>35.4584</v>
      </c>
      <c r="G1039" s="49" t="n">
        <v>5018.36</v>
      </c>
      <c r="H1039" s="50" t="n">
        <f aca="false">F1039*G1039</f>
        <v>177943.016224</v>
      </c>
    </row>
    <row r="1040" customFormat="false" ht="15" hidden="false" customHeight="false" outlineLevel="0" collapsed="false">
      <c r="B1040" s="46" t="s">
        <v>145</v>
      </c>
      <c r="C1040" s="46" t="s">
        <v>152</v>
      </c>
      <c r="D1040" s="47" t="n">
        <v>45809</v>
      </c>
      <c r="E1040" s="46" t="s">
        <v>44</v>
      </c>
      <c r="F1040" s="48" t="n">
        <v>11.8224</v>
      </c>
      <c r="G1040" s="49" t="n">
        <v>9719.69</v>
      </c>
      <c r="H1040" s="50" t="n">
        <f aca="false">F1040*G1040</f>
        <v>114910.063056</v>
      </c>
    </row>
    <row r="1041" customFormat="false" ht="15" hidden="false" customHeight="false" outlineLevel="0" collapsed="false">
      <c r="B1041" s="46" t="s">
        <v>137</v>
      </c>
      <c r="C1041" s="46" t="s">
        <v>152</v>
      </c>
      <c r="D1041" s="47" t="n">
        <v>45839</v>
      </c>
      <c r="E1041" s="46" t="s">
        <v>44</v>
      </c>
      <c r="F1041" s="48" t="n">
        <v>64.381</v>
      </c>
      <c r="G1041" s="49" t="n">
        <v>5568.64</v>
      </c>
      <c r="H1041" s="50" t="n">
        <f aca="false">F1041*G1041</f>
        <v>358514.61184</v>
      </c>
    </row>
    <row r="1042" customFormat="false" ht="15" hidden="false" customHeight="false" outlineLevel="0" collapsed="false">
      <c r="B1042" s="46" t="s">
        <v>142</v>
      </c>
      <c r="C1042" s="46" t="s">
        <v>152</v>
      </c>
      <c r="D1042" s="47" t="n">
        <v>45839</v>
      </c>
      <c r="E1042" s="46" t="s">
        <v>44</v>
      </c>
      <c r="F1042" s="48" t="n">
        <v>67.4244</v>
      </c>
      <c r="G1042" s="49" t="n">
        <v>4085.41</v>
      </c>
      <c r="H1042" s="50" t="n">
        <f aca="false">F1042*G1042</f>
        <v>275456.318004</v>
      </c>
    </row>
    <row r="1043" customFormat="false" ht="15" hidden="false" customHeight="false" outlineLevel="0" collapsed="false">
      <c r="B1043" s="46" t="s">
        <v>143</v>
      </c>
      <c r="C1043" s="46" t="s">
        <v>152</v>
      </c>
      <c r="D1043" s="47" t="n">
        <v>45839</v>
      </c>
      <c r="E1043" s="46" t="s">
        <v>44</v>
      </c>
      <c r="F1043" s="48" t="n">
        <v>27.4627</v>
      </c>
      <c r="G1043" s="49" t="n">
        <v>7091.13</v>
      </c>
      <c r="H1043" s="50" t="n">
        <f aca="false">F1043*G1043</f>
        <v>194741.575851</v>
      </c>
    </row>
    <row r="1044" customFormat="false" ht="15" hidden="false" customHeight="false" outlineLevel="0" collapsed="false">
      <c r="B1044" s="46" t="s">
        <v>144</v>
      </c>
      <c r="C1044" s="46" t="s">
        <v>152</v>
      </c>
      <c r="D1044" s="47" t="n">
        <v>45839</v>
      </c>
      <c r="E1044" s="46" t="s">
        <v>44</v>
      </c>
      <c r="F1044" s="48" t="n">
        <v>35.6932</v>
      </c>
      <c r="G1044" s="49" t="n">
        <v>4955.43</v>
      </c>
      <c r="H1044" s="50" t="n">
        <f aca="false">F1044*G1044</f>
        <v>176875.154076</v>
      </c>
    </row>
    <row r="1045" customFormat="false" ht="15" hidden="false" customHeight="false" outlineLevel="0" collapsed="false">
      <c r="B1045" s="46" t="s">
        <v>145</v>
      </c>
      <c r="C1045" s="46" t="s">
        <v>152</v>
      </c>
      <c r="D1045" s="47" t="n">
        <v>45839</v>
      </c>
      <c r="E1045" s="46" t="s">
        <v>44</v>
      </c>
      <c r="F1045" s="48" t="n">
        <v>10.608</v>
      </c>
      <c r="G1045" s="49" t="n">
        <v>9708.49</v>
      </c>
      <c r="H1045" s="50" t="n">
        <f aca="false">F1045*G1045</f>
        <v>102987.66192</v>
      </c>
    </row>
    <row r="1046" customFormat="false" ht="15" hidden="false" customHeight="false" outlineLevel="0" collapsed="false">
      <c r="B1046" s="46" t="s">
        <v>137</v>
      </c>
      <c r="C1046" s="46" t="s">
        <v>152</v>
      </c>
      <c r="D1046" s="47" t="n">
        <v>45870</v>
      </c>
      <c r="E1046" s="46" t="s">
        <v>44</v>
      </c>
      <c r="F1046" s="48" t="n">
        <v>62.5666</v>
      </c>
      <c r="G1046" s="49" t="n">
        <v>5619.62</v>
      </c>
      <c r="H1046" s="50" t="n">
        <f aca="false">F1046*G1046</f>
        <v>351600.516692</v>
      </c>
    </row>
    <row r="1047" customFormat="false" ht="15" hidden="false" customHeight="false" outlineLevel="0" collapsed="false">
      <c r="B1047" s="46" t="s">
        <v>142</v>
      </c>
      <c r="C1047" s="46" t="s">
        <v>152</v>
      </c>
      <c r="D1047" s="47" t="n">
        <v>45870</v>
      </c>
      <c r="E1047" s="46" t="s">
        <v>44</v>
      </c>
      <c r="F1047" s="48" t="n">
        <v>58.3594</v>
      </c>
      <c r="G1047" s="49" t="n">
        <v>4133.47</v>
      </c>
      <c r="H1047" s="50" t="n">
        <f aca="false">F1047*G1047</f>
        <v>241226.829118</v>
      </c>
    </row>
    <row r="1048" customFormat="false" ht="15" hidden="false" customHeight="false" outlineLevel="0" collapsed="false">
      <c r="B1048" s="46" t="s">
        <v>143</v>
      </c>
      <c r="C1048" s="46" t="s">
        <v>152</v>
      </c>
      <c r="D1048" s="47" t="n">
        <v>45870</v>
      </c>
      <c r="E1048" s="46" t="s">
        <v>44</v>
      </c>
      <c r="F1048" s="48" t="n">
        <v>30.6994</v>
      </c>
      <c r="G1048" s="49" t="n">
        <v>7055.55</v>
      </c>
      <c r="H1048" s="50" t="n">
        <f aca="false">F1048*G1048</f>
        <v>216601.15167</v>
      </c>
    </row>
    <row r="1049" customFormat="false" ht="15" hidden="false" customHeight="false" outlineLevel="0" collapsed="false">
      <c r="B1049" s="46" t="s">
        <v>144</v>
      </c>
      <c r="C1049" s="46" t="s">
        <v>152</v>
      </c>
      <c r="D1049" s="47" t="n">
        <v>45870</v>
      </c>
      <c r="E1049" s="46" t="s">
        <v>44</v>
      </c>
      <c r="F1049" s="48" t="n">
        <v>33.518</v>
      </c>
      <c r="G1049" s="49" t="n">
        <v>5005.5</v>
      </c>
      <c r="H1049" s="50" t="n">
        <f aca="false">F1049*G1049</f>
        <v>167774.349</v>
      </c>
    </row>
    <row r="1050" customFormat="false" ht="15" hidden="false" customHeight="false" outlineLevel="0" collapsed="false">
      <c r="B1050" s="46" t="s">
        <v>145</v>
      </c>
      <c r="C1050" s="46" t="s">
        <v>152</v>
      </c>
      <c r="D1050" s="47" t="n">
        <v>45870</v>
      </c>
      <c r="E1050" s="46" t="s">
        <v>44</v>
      </c>
      <c r="F1050" s="48" t="n">
        <v>10.9551</v>
      </c>
      <c r="G1050" s="49" t="n">
        <v>9720.12</v>
      </c>
      <c r="H1050" s="50" t="n">
        <f aca="false">F1050*G1050</f>
        <v>106484.886612</v>
      </c>
    </row>
    <row r="1051" customFormat="false" ht="15" hidden="false" customHeight="false" outlineLevel="0" collapsed="false">
      <c r="B1051" s="46" t="s">
        <v>137</v>
      </c>
      <c r="C1051" s="46" t="s">
        <v>152</v>
      </c>
      <c r="D1051" s="47" t="n">
        <v>45901</v>
      </c>
      <c r="E1051" s="46" t="s">
        <v>44</v>
      </c>
      <c r="F1051" s="48" t="n">
        <v>60.9268</v>
      </c>
      <c r="G1051" s="49" t="n">
        <v>5595.74</v>
      </c>
      <c r="H1051" s="50" t="n">
        <f aca="false">F1051*G1051</f>
        <v>340930.531832</v>
      </c>
    </row>
    <row r="1052" customFormat="false" ht="15" hidden="false" customHeight="false" outlineLevel="0" collapsed="false">
      <c r="B1052" s="46" t="s">
        <v>142</v>
      </c>
      <c r="C1052" s="46" t="s">
        <v>152</v>
      </c>
      <c r="D1052" s="47" t="n">
        <v>45901</v>
      </c>
      <c r="E1052" s="46" t="s">
        <v>44</v>
      </c>
      <c r="F1052" s="48" t="n">
        <v>68.4362</v>
      </c>
      <c r="G1052" s="49" t="n">
        <v>4094.5</v>
      </c>
      <c r="H1052" s="50" t="n">
        <f aca="false">F1052*G1052</f>
        <v>280212.0209</v>
      </c>
    </row>
    <row r="1053" customFormat="false" ht="15" hidden="false" customHeight="false" outlineLevel="0" collapsed="false">
      <c r="B1053" s="46" t="s">
        <v>143</v>
      </c>
      <c r="C1053" s="46" t="s">
        <v>152</v>
      </c>
      <c r="D1053" s="47" t="n">
        <v>45901</v>
      </c>
      <c r="E1053" s="46" t="s">
        <v>44</v>
      </c>
      <c r="F1053" s="48" t="n">
        <v>28.5207</v>
      </c>
      <c r="G1053" s="49" t="n">
        <v>7005.17</v>
      </c>
      <c r="H1053" s="50" t="n">
        <f aca="false">F1053*G1053</f>
        <v>199792.352019</v>
      </c>
    </row>
    <row r="1054" customFormat="false" ht="15" hidden="false" customHeight="false" outlineLevel="0" collapsed="false">
      <c r="B1054" s="46" t="s">
        <v>144</v>
      </c>
      <c r="C1054" s="46" t="s">
        <v>152</v>
      </c>
      <c r="D1054" s="47" t="n">
        <v>45901</v>
      </c>
      <c r="E1054" s="46" t="s">
        <v>44</v>
      </c>
      <c r="F1054" s="48" t="n">
        <v>40.0494</v>
      </c>
      <c r="G1054" s="49" t="n">
        <v>4989.94</v>
      </c>
      <c r="H1054" s="50" t="n">
        <f aca="false">F1054*G1054</f>
        <v>199844.103036</v>
      </c>
    </row>
    <row r="1055" customFormat="false" ht="15" hidden="false" customHeight="false" outlineLevel="0" collapsed="false">
      <c r="B1055" s="46" t="s">
        <v>145</v>
      </c>
      <c r="C1055" s="46" t="s">
        <v>152</v>
      </c>
      <c r="D1055" s="47" t="n">
        <v>45901</v>
      </c>
      <c r="E1055" s="46" t="s">
        <v>44</v>
      </c>
      <c r="F1055" s="48" t="n">
        <v>10.9723</v>
      </c>
      <c r="G1055" s="49" t="n">
        <v>9752.04</v>
      </c>
      <c r="H1055" s="50" t="n">
        <f aca="false">F1055*G1055</f>
        <v>107002.308492</v>
      </c>
    </row>
    <row r="1056" customFormat="false" ht="15" hidden="false" customHeight="false" outlineLevel="0" collapsed="false">
      <c r="B1056" s="46" t="s">
        <v>137</v>
      </c>
      <c r="C1056" s="46" t="s">
        <v>152</v>
      </c>
      <c r="D1056" s="47" t="n">
        <v>45931</v>
      </c>
      <c r="E1056" s="46" t="s">
        <v>44</v>
      </c>
      <c r="F1056" s="48" t="n">
        <v>69.3621</v>
      </c>
      <c r="G1056" s="49" t="n">
        <v>5627.1</v>
      </c>
      <c r="H1056" s="50" t="n">
        <f aca="false">F1056*G1056</f>
        <v>390307.47291</v>
      </c>
    </row>
    <row r="1057" customFormat="false" ht="15" hidden="false" customHeight="false" outlineLevel="0" collapsed="false">
      <c r="B1057" s="46" t="s">
        <v>142</v>
      </c>
      <c r="C1057" s="46" t="s">
        <v>152</v>
      </c>
      <c r="D1057" s="47" t="n">
        <v>45931</v>
      </c>
      <c r="E1057" s="46" t="s">
        <v>44</v>
      </c>
      <c r="F1057" s="48" t="n">
        <v>64.3899</v>
      </c>
      <c r="G1057" s="49" t="n">
        <v>4130.39</v>
      </c>
      <c r="H1057" s="50" t="n">
        <f aca="false">F1057*G1057</f>
        <v>265955.399061</v>
      </c>
    </row>
    <row r="1058" customFormat="false" ht="15" hidden="false" customHeight="false" outlineLevel="0" collapsed="false">
      <c r="B1058" s="46" t="s">
        <v>143</v>
      </c>
      <c r="C1058" s="46" t="s">
        <v>152</v>
      </c>
      <c r="D1058" s="47" t="n">
        <v>45931</v>
      </c>
      <c r="E1058" s="46" t="s">
        <v>44</v>
      </c>
      <c r="F1058" s="48" t="n">
        <v>29.4144</v>
      </c>
      <c r="G1058" s="49" t="n">
        <v>7061.69</v>
      </c>
      <c r="H1058" s="50" t="n">
        <f aca="false">F1058*G1058</f>
        <v>207715.374336</v>
      </c>
    </row>
    <row r="1059" customFormat="false" ht="15" hidden="false" customHeight="false" outlineLevel="0" collapsed="false">
      <c r="B1059" s="46" t="s">
        <v>144</v>
      </c>
      <c r="C1059" s="46" t="s">
        <v>152</v>
      </c>
      <c r="D1059" s="47" t="n">
        <v>45931</v>
      </c>
      <c r="E1059" s="46" t="s">
        <v>44</v>
      </c>
      <c r="F1059" s="48" t="n">
        <v>40.8603</v>
      </c>
      <c r="G1059" s="49" t="n">
        <v>5073.62</v>
      </c>
      <c r="H1059" s="50" t="n">
        <f aca="false">F1059*G1059</f>
        <v>207309.635286</v>
      </c>
    </row>
    <row r="1060" customFormat="false" ht="15" hidden="false" customHeight="false" outlineLevel="0" collapsed="false">
      <c r="B1060" s="46" t="s">
        <v>145</v>
      </c>
      <c r="C1060" s="46" t="s">
        <v>152</v>
      </c>
      <c r="D1060" s="47" t="n">
        <v>45931</v>
      </c>
      <c r="E1060" s="46" t="s">
        <v>44</v>
      </c>
      <c r="F1060" s="48" t="n">
        <v>10.8825</v>
      </c>
      <c r="G1060" s="49" t="n">
        <v>9825.46</v>
      </c>
      <c r="H1060" s="50" t="n">
        <f aca="false">F1060*G1060</f>
        <v>106925.56845</v>
      </c>
    </row>
    <row r="1061" customFormat="false" ht="15" hidden="false" customHeight="false" outlineLevel="0" collapsed="false">
      <c r="B1061" s="46" t="s">
        <v>137</v>
      </c>
      <c r="C1061" s="46" t="s">
        <v>152</v>
      </c>
      <c r="D1061" s="47" t="n">
        <v>45962</v>
      </c>
      <c r="E1061" s="46" t="s">
        <v>44</v>
      </c>
      <c r="F1061" s="48" t="n">
        <v>64.2171</v>
      </c>
      <c r="G1061" s="49" t="n">
        <v>5657.61</v>
      </c>
      <c r="H1061" s="50" t="n">
        <f aca="false">F1061*G1061</f>
        <v>363315.307131</v>
      </c>
    </row>
    <row r="1062" customFormat="false" ht="15" hidden="false" customHeight="false" outlineLevel="0" collapsed="false">
      <c r="B1062" s="46" t="s">
        <v>142</v>
      </c>
      <c r="C1062" s="46" t="s">
        <v>152</v>
      </c>
      <c r="D1062" s="47" t="n">
        <v>45962</v>
      </c>
      <c r="E1062" s="46" t="s">
        <v>44</v>
      </c>
      <c r="F1062" s="48" t="n">
        <v>70.2868</v>
      </c>
      <c r="G1062" s="49" t="n">
        <v>4126.23</v>
      </c>
      <c r="H1062" s="50" t="n">
        <f aca="false">F1062*G1062</f>
        <v>290019.502764</v>
      </c>
    </row>
    <row r="1063" customFormat="false" ht="15" hidden="false" customHeight="false" outlineLevel="0" collapsed="false">
      <c r="B1063" s="46" t="s">
        <v>143</v>
      </c>
      <c r="C1063" s="46" t="s">
        <v>152</v>
      </c>
      <c r="D1063" s="47" t="n">
        <v>45962</v>
      </c>
      <c r="E1063" s="46" t="s">
        <v>44</v>
      </c>
      <c r="F1063" s="48" t="n">
        <v>33.029</v>
      </c>
      <c r="G1063" s="49" t="n">
        <v>7080.06</v>
      </c>
      <c r="H1063" s="50" t="n">
        <f aca="false">F1063*G1063</f>
        <v>233847.30174</v>
      </c>
    </row>
    <row r="1064" customFormat="false" ht="15" hidden="false" customHeight="false" outlineLevel="0" collapsed="false">
      <c r="B1064" s="46" t="s">
        <v>144</v>
      </c>
      <c r="C1064" s="46" t="s">
        <v>152</v>
      </c>
      <c r="D1064" s="47" t="n">
        <v>45962</v>
      </c>
      <c r="E1064" s="46" t="s">
        <v>44</v>
      </c>
      <c r="F1064" s="48" t="n">
        <v>36.9253</v>
      </c>
      <c r="G1064" s="49" t="n">
        <v>5007.37</v>
      </c>
      <c r="H1064" s="50" t="n">
        <f aca="false">F1064*G1064</f>
        <v>184898.639461</v>
      </c>
    </row>
    <row r="1065" customFormat="false" ht="15" hidden="false" customHeight="false" outlineLevel="0" collapsed="false">
      <c r="B1065" s="46" t="s">
        <v>145</v>
      </c>
      <c r="C1065" s="46" t="s">
        <v>152</v>
      </c>
      <c r="D1065" s="47" t="n">
        <v>45962</v>
      </c>
      <c r="E1065" s="46" t="s">
        <v>44</v>
      </c>
      <c r="F1065" s="48" t="n">
        <v>12.2933</v>
      </c>
      <c r="G1065" s="49" t="n">
        <v>9716.8</v>
      </c>
      <c r="H1065" s="50" t="n">
        <f aca="false">F1065*G1065</f>
        <v>119451.53744</v>
      </c>
    </row>
    <row r="1066" customFormat="false" ht="15" hidden="false" customHeight="false" outlineLevel="0" collapsed="false">
      <c r="B1066" s="46" t="s">
        <v>137</v>
      </c>
      <c r="C1066" s="46" t="s">
        <v>152</v>
      </c>
      <c r="D1066" s="47" t="n">
        <v>45992</v>
      </c>
      <c r="E1066" s="46" t="s">
        <v>44</v>
      </c>
      <c r="F1066" s="48" t="n">
        <v>65.3369</v>
      </c>
      <c r="G1066" s="49" t="n">
        <v>5725.75</v>
      </c>
      <c r="H1066" s="50" t="n">
        <f aca="false">F1066*G1066</f>
        <v>374102.755175</v>
      </c>
    </row>
    <row r="1067" customFormat="false" ht="15" hidden="false" customHeight="false" outlineLevel="0" collapsed="false">
      <c r="B1067" s="46" t="s">
        <v>142</v>
      </c>
      <c r="C1067" s="46" t="s">
        <v>152</v>
      </c>
      <c r="D1067" s="47" t="n">
        <v>45992</v>
      </c>
      <c r="E1067" s="46" t="s">
        <v>44</v>
      </c>
      <c r="F1067" s="48" t="n">
        <v>64.1043</v>
      </c>
      <c r="G1067" s="49" t="n">
        <v>4085.81</v>
      </c>
      <c r="H1067" s="50" t="n">
        <f aca="false">F1067*G1067</f>
        <v>261917.989983</v>
      </c>
    </row>
    <row r="1068" customFormat="false" ht="15" hidden="false" customHeight="false" outlineLevel="0" collapsed="false">
      <c r="B1068" s="46" t="s">
        <v>143</v>
      </c>
      <c r="C1068" s="46" t="s">
        <v>152</v>
      </c>
      <c r="D1068" s="47" t="n">
        <v>45992</v>
      </c>
      <c r="E1068" s="46" t="s">
        <v>44</v>
      </c>
      <c r="F1068" s="48" t="n">
        <v>30.3502</v>
      </c>
      <c r="G1068" s="49" t="n">
        <v>7083.45</v>
      </c>
      <c r="H1068" s="50" t="n">
        <f aca="false">F1068*G1068</f>
        <v>214984.12419</v>
      </c>
    </row>
    <row r="1069" customFormat="false" ht="15" hidden="false" customHeight="false" outlineLevel="0" collapsed="false">
      <c r="B1069" s="46" t="s">
        <v>144</v>
      </c>
      <c r="C1069" s="46" t="s">
        <v>152</v>
      </c>
      <c r="D1069" s="47" t="n">
        <v>45992</v>
      </c>
      <c r="E1069" s="46" t="s">
        <v>44</v>
      </c>
      <c r="F1069" s="48" t="n">
        <v>37.612</v>
      </c>
      <c r="G1069" s="49" t="n">
        <v>5178.05</v>
      </c>
      <c r="H1069" s="50" t="n">
        <f aca="false">F1069*G1069</f>
        <v>194756.8166</v>
      </c>
    </row>
    <row r="1070" customFormat="false" ht="15" hidden="false" customHeight="false" outlineLevel="0" collapsed="false">
      <c r="B1070" s="46" t="s">
        <v>145</v>
      </c>
      <c r="C1070" s="46" t="s">
        <v>152</v>
      </c>
      <c r="D1070" s="47" t="n">
        <v>45992</v>
      </c>
      <c r="E1070" s="46" t="s">
        <v>44</v>
      </c>
      <c r="F1070" s="48" t="n">
        <v>11.9226</v>
      </c>
      <c r="G1070" s="49" t="n">
        <v>9750.52</v>
      </c>
      <c r="H1070" s="50" t="n">
        <f aca="false">F1070*G1070</f>
        <v>116251.549752</v>
      </c>
    </row>
    <row r="1071" customFormat="false" ht="15" hidden="false" customHeight="false" outlineLevel="0" collapsed="false">
      <c r="B1071" s="46" t="s">
        <v>137</v>
      </c>
      <c r="C1071" s="46" t="s">
        <v>152</v>
      </c>
      <c r="D1071" s="47" t="n">
        <v>46023</v>
      </c>
      <c r="E1071" s="46" t="s">
        <v>44</v>
      </c>
      <c r="F1071" s="48" t="n">
        <v>59.2364</v>
      </c>
      <c r="G1071" s="49" t="n">
        <v>5786.48</v>
      </c>
      <c r="H1071" s="50" t="n">
        <f aca="false">F1071*G1071</f>
        <v>342770.243872</v>
      </c>
    </row>
    <row r="1072" customFormat="false" ht="15" hidden="false" customHeight="false" outlineLevel="0" collapsed="false">
      <c r="B1072" s="46" t="s">
        <v>142</v>
      </c>
      <c r="C1072" s="46" t="s">
        <v>152</v>
      </c>
      <c r="D1072" s="47" t="n">
        <v>46023</v>
      </c>
      <c r="E1072" s="46" t="s">
        <v>44</v>
      </c>
      <c r="F1072" s="48" t="n">
        <v>65.5669</v>
      </c>
      <c r="G1072" s="49" t="n">
        <v>4129.72</v>
      </c>
      <c r="H1072" s="50" t="n">
        <f aca="false">F1072*G1072</f>
        <v>270772.938268</v>
      </c>
    </row>
    <row r="1073" customFormat="false" ht="15" hidden="false" customHeight="false" outlineLevel="0" collapsed="false">
      <c r="B1073" s="46" t="s">
        <v>143</v>
      </c>
      <c r="C1073" s="46" t="s">
        <v>152</v>
      </c>
      <c r="D1073" s="47" t="n">
        <v>46023</v>
      </c>
      <c r="E1073" s="46" t="s">
        <v>44</v>
      </c>
      <c r="F1073" s="48" t="n">
        <v>32.5015</v>
      </c>
      <c r="G1073" s="49" t="n">
        <v>7189.28</v>
      </c>
      <c r="H1073" s="50" t="n">
        <f aca="false">F1073*G1073</f>
        <v>233662.38392</v>
      </c>
    </row>
    <row r="1074" customFormat="false" ht="15" hidden="false" customHeight="false" outlineLevel="0" collapsed="false">
      <c r="B1074" s="46" t="s">
        <v>144</v>
      </c>
      <c r="C1074" s="46" t="s">
        <v>152</v>
      </c>
      <c r="D1074" s="47" t="n">
        <v>46023</v>
      </c>
      <c r="E1074" s="46" t="s">
        <v>44</v>
      </c>
      <c r="F1074" s="48" t="n">
        <v>38.5423</v>
      </c>
      <c r="G1074" s="49" t="n">
        <v>5001.32</v>
      </c>
      <c r="H1074" s="50" t="n">
        <f aca="false">F1074*G1074</f>
        <v>192762.375836</v>
      </c>
    </row>
    <row r="1075" customFormat="false" ht="15" hidden="false" customHeight="false" outlineLevel="0" collapsed="false">
      <c r="B1075" s="46" t="s">
        <v>145</v>
      </c>
      <c r="C1075" s="46" t="s">
        <v>152</v>
      </c>
      <c r="D1075" s="47" t="n">
        <v>46023</v>
      </c>
      <c r="E1075" s="46" t="s">
        <v>44</v>
      </c>
      <c r="F1075" s="48" t="n">
        <v>11.3933</v>
      </c>
      <c r="G1075" s="49" t="n">
        <v>9818.68</v>
      </c>
      <c r="H1075" s="50" t="n">
        <f aca="false">F1075*G1075</f>
        <v>111867.166844</v>
      </c>
    </row>
    <row r="1076" customFormat="false" ht="15" hidden="false" customHeight="false" outlineLevel="0" collapsed="false">
      <c r="B1076" s="46" t="s">
        <v>137</v>
      </c>
      <c r="C1076" s="46" t="s">
        <v>152</v>
      </c>
      <c r="D1076" s="47" t="n">
        <v>46054</v>
      </c>
      <c r="E1076" s="46" t="s">
        <v>44</v>
      </c>
      <c r="F1076" s="48" t="n">
        <v>60.0948</v>
      </c>
      <c r="G1076" s="49" t="n">
        <v>5790.61</v>
      </c>
      <c r="H1076" s="50" t="n">
        <f aca="false">F1076*G1076</f>
        <v>347985.549828</v>
      </c>
    </row>
    <row r="1077" customFormat="false" ht="15" hidden="false" customHeight="false" outlineLevel="0" collapsed="false">
      <c r="B1077" s="46" t="s">
        <v>142</v>
      </c>
      <c r="C1077" s="46" t="s">
        <v>152</v>
      </c>
      <c r="D1077" s="47" t="n">
        <v>46054</v>
      </c>
      <c r="E1077" s="46" t="s">
        <v>44</v>
      </c>
      <c r="F1077" s="48" t="n">
        <v>68.1014</v>
      </c>
      <c r="G1077" s="49" t="n">
        <v>4087.14</v>
      </c>
      <c r="H1077" s="50" t="n">
        <f aca="false">F1077*G1077</f>
        <v>278339.955996</v>
      </c>
    </row>
    <row r="1078" customFormat="false" ht="15" hidden="false" customHeight="false" outlineLevel="0" collapsed="false">
      <c r="B1078" s="46" t="s">
        <v>143</v>
      </c>
      <c r="C1078" s="46" t="s">
        <v>152</v>
      </c>
      <c r="D1078" s="47" t="n">
        <v>46054</v>
      </c>
      <c r="E1078" s="46" t="s">
        <v>44</v>
      </c>
      <c r="F1078" s="48" t="n">
        <v>31.1968</v>
      </c>
      <c r="G1078" s="49" t="n">
        <v>7102.86</v>
      </c>
      <c r="H1078" s="50" t="n">
        <f aca="false">F1078*G1078</f>
        <v>221586.502848</v>
      </c>
    </row>
    <row r="1079" customFormat="false" ht="15" hidden="false" customHeight="false" outlineLevel="0" collapsed="false">
      <c r="B1079" s="46" t="s">
        <v>144</v>
      </c>
      <c r="C1079" s="46" t="s">
        <v>152</v>
      </c>
      <c r="D1079" s="47" t="n">
        <v>46054</v>
      </c>
      <c r="E1079" s="46" t="s">
        <v>44</v>
      </c>
      <c r="F1079" s="48" t="n">
        <v>40.0088</v>
      </c>
      <c r="G1079" s="49" t="n">
        <v>5114.83</v>
      </c>
      <c r="H1079" s="50" t="n">
        <f aca="false">F1079*G1079</f>
        <v>204638.210504</v>
      </c>
    </row>
    <row r="1080" customFormat="false" ht="15" hidden="false" customHeight="false" outlineLevel="0" collapsed="false">
      <c r="B1080" s="46" t="s">
        <v>145</v>
      </c>
      <c r="C1080" s="46" t="s">
        <v>152</v>
      </c>
      <c r="D1080" s="47" t="n">
        <v>46054</v>
      </c>
      <c r="E1080" s="46" t="s">
        <v>44</v>
      </c>
      <c r="F1080" s="48" t="n">
        <v>10.3496</v>
      </c>
      <c r="G1080" s="49" t="n">
        <v>10092.39</v>
      </c>
      <c r="H1080" s="50" t="n">
        <f aca="false">F1080*G1080</f>
        <v>104452.199544</v>
      </c>
    </row>
    <row r="1081" customFormat="false" ht="15" hidden="false" customHeight="false" outlineLevel="0" collapsed="false">
      <c r="B1081" s="46" t="s">
        <v>137</v>
      </c>
      <c r="C1081" s="46" t="s">
        <v>152</v>
      </c>
      <c r="D1081" s="47" t="n">
        <v>46082</v>
      </c>
      <c r="E1081" s="46" t="s">
        <v>44</v>
      </c>
      <c r="F1081" s="48" t="n">
        <v>63.0293</v>
      </c>
      <c r="G1081" s="49" t="n">
        <v>5809.07</v>
      </c>
      <c r="H1081" s="50" t="n">
        <f aca="false">F1081*G1081</f>
        <v>366141.615751</v>
      </c>
    </row>
    <row r="1082" customFormat="false" ht="15" hidden="false" customHeight="false" outlineLevel="0" collapsed="false">
      <c r="B1082" s="46" t="s">
        <v>142</v>
      </c>
      <c r="C1082" s="46" t="s">
        <v>152</v>
      </c>
      <c r="D1082" s="47" t="n">
        <v>46082</v>
      </c>
      <c r="E1082" s="46" t="s">
        <v>44</v>
      </c>
      <c r="F1082" s="48" t="n">
        <v>68.0495</v>
      </c>
      <c r="G1082" s="49" t="n">
        <v>4136.78</v>
      </c>
      <c r="H1082" s="50" t="n">
        <f aca="false">F1082*G1082</f>
        <v>281505.81061</v>
      </c>
    </row>
    <row r="1083" customFormat="false" ht="15" hidden="false" customHeight="false" outlineLevel="0" collapsed="false">
      <c r="B1083" s="46" t="s">
        <v>143</v>
      </c>
      <c r="C1083" s="46" t="s">
        <v>152</v>
      </c>
      <c r="D1083" s="47" t="n">
        <v>46082</v>
      </c>
      <c r="E1083" s="46" t="s">
        <v>44</v>
      </c>
      <c r="F1083" s="48" t="n">
        <v>33.7154</v>
      </c>
      <c r="G1083" s="49" t="n">
        <v>7319.99</v>
      </c>
      <c r="H1083" s="50" t="n">
        <f aca="false">F1083*G1083</f>
        <v>246796.390846</v>
      </c>
    </row>
    <row r="1084" customFormat="false" ht="15" hidden="false" customHeight="false" outlineLevel="0" collapsed="false">
      <c r="B1084" s="46" t="s">
        <v>144</v>
      </c>
      <c r="C1084" s="46" t="s">
        <v>152</v>
      </c>
      <c r="D1084" s="47" t="n">
        <v>46082</v>
      </c>
      <c r="E1084" s="46" t="s">
        <v>44</v>
      </c>
      <c r="F1084" s="48" t="n">
        <v>38.4571</v>
      </c>
      <c r="G1084" s="49" t="n">
        <v>5072.56</v>
      </c>
      <c r="H1084" s="50" t="n">
        <f aca="false">F1084*G1084</f>
        <v>195075.947176</v>
      </c>
    </row>
    <row r="1085" customFormat="false" ht="15" hidden="false" customHeight="false" outlineLevel="0" collapsed="false">
      <c r="B1085" s="46" t="s">
        <v>145</v>
      </c>
      <c r="C1085" s="46" t="s">
        <v>152</v>
      </c>
      <c r="D1085" s="47" t="n">
        <v>46082</v>
      </c>
      <c r="E1085" s="46" t="s">
        <v>44</v>
      </c>
      <c r="F1085" s="48" t="n">
        <v>12.4296</v>
      </c>
      <c r="G1085" s="49" t="n">
        <v>10014.66</v>
      </c>
      <c r="H1085" s="50" t="n">
        <f aca="false">F1085*G1085</f>
        <v>124478.217936</v>
      </c>
    </row>
  </sheetData>
  <mergeCells count="2">
    <mergeCell ref="B1:P1"/>
    <mergeCell ref="B2:P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12" min="4" style="0" width="12"/>
  </cols>
  <sheetData>
    <row r="1" customFormat="false" ht="30" hidden="false" customHeight="true" outlineLevel="0" collapsed="false">
      <c r="A1" s="1"/>
      <c r="B1" s="2" t="s">
        <v>153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154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17" t="s">
        <v>41</v>
      </c>
      <c r="C4" s="18"/>
      <c r="D4" s="19" t="s">
        <v>82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5" customFormat="false" ht="15" hidden="false" customHeight="false" outlineLevel="0" collapsed="false">
      <c r="D5" s="20" t="s">
        <v>83</v>
      </c>
      <c r="E5" s="20" t="s">
        <v>50</v>
      </c>
      <c r="F5" s="20" t="s">
        <v>50</v>
      </c>
      <c r="G5" s="20" t="s">
        <v>50</v>
      </c>
      <c r="H5" s="20" t="s">
        <v>51</v>
      </c>
      <c r="I5" s="20" t="s">
        <v>51</v>
      </c>
      <c r="J5" s="20" t="s">
        <v>51</v>
      </c>
      <c r="K5" s="20" t="s">
        <v>51</v>
      </c>
      <c r="L5" s="20" t="s">
        <v>51</v>
      </c>
    </row>
    <row r="6" customFormat="false" ht="15" hidden="false" customHeight="false" outlineLevel="0" collapsed="false">
      <c r="B6" s="4" t="s">
        <v>52</v>
      </c>
      <c r="D6" s="21" t="n">
        <f aca="false">02_Assumptions!D47</f>
        <v>136400000</v>
      </c>
      <c r="E6" s="56" t="n">
        <f aca="false">02_Assumptions!E47</f>
        <v>148005508.221126</v>
      </c>
      <c r="F6" s="56" t="n">
        <f aca="false">02_Assumptions!F47</f>
        <v>159976067.618611</v>
      </c>
      <c r="G6" s="56" t="n">
        <f aca="false">02_Assumptions!G47</f>
        <v>171736155.20332</v>
      </c>
      <c r="H6" s="56" t="n">
        <f aca="false">G6*(1+02_Assumptions!H27)</f>
        <v>185475047.619586</v>
      </c>
      <c r="I6" s="56" t="n">
        <f aca="false">H6*(1+02_Assumptions!I27)</f>
        <v>199385676.191055</v>
      </c>
      <c r="J6" s="56" t="n">
        <f aca="false">I6*(1+02_Assumptions!J27)</f>
        <v>213342673.524428</v>
      </c>
      <c r="K6" s="56" t="n">
        <f aca="false">J6*(1+02_Assumptions!K27)</f>
        <v>226143233.935894</v>
      </c>
      <c r="L6" s="56" t="n">
        <f aca="false">K6*(1+02_Assumptions!L27)</f>
        <v>237450395.632689</v>
      </c>
    </row>
    <row r="7" customFormat="false" ht="15" hidden="false" customHeight="false" outlineLevel="0" collapsed="false">
      <c r="B7" s="12" t="s">
        <v>53</v>
      </c>
      <c r="E7" s="57" t="n">
        <f aca="false">E6/D6-1</f>
        <v>0.0850843711226246</v>
      </c>
      <c r="F7" s="57" t="n">
        <f aca="false">F6/E6-1</f>
        <v>0.0808791479544162</v>
      </c>
      <c r="G7" s="57" t="n">
        <f aca="false">G6/F6-1</f>
        <v>0.0735115430687137</v>
      </c>
      <c r="H7" s="57" t="n">
        <f aca="false">H6/G6-1</f>
        <v>0.0800000000000001</v>
      </c>
      <c r="I7" s="57" t="n">
        <f aca="false">I6/H6-1</f>
        <v>0.075</v>
      </c>
      <c r="J7" s="57" t="n">
        <f aca="false">J6/I6-1</f>
        <v>0.0700000000000001</v>
      </c>
      <c r="K7" s="57" t="n">
        <f aca="false">K6/J6-1</f>
        <v>0.0600000000000001</v>
      </c>
      <c r="L7" s="57" t="n">
        <f aca="false">L6/K6-1</f>
        <v>0.05</v>
      </c>
    </row>
    <row r="8" customFormat="false" ht="15" hidden="false" customHeight="false" outlineLevel="0" collapsed="false">
      <c r="B8" s="12" t="s">
        <v>111</v>
      </c>
      <c r="E8" s="21" t="n">
        <f aca="false">-E6*02_Assumptions!E32</f>
        <v>-89591668</v>
      </c>
      <c r="F8" s="21" t="n">
        <f aca="false">-F6*02_Assumptions!F32</f>
        <v>-97276491</v>
      </c>
      <c r="G8" s="21" t="n">
        <f aca="false">-G6*02_Assumptions!G32</f>
        <v>-105598412</v>
      </c>
      <c r="H8" s="21" t="n">
        <f aca="false">-H6*02_Assumptions!H32</f>
        <v>-113492181.638424</v>
      </c>
      <c r="I8" s="21" t="n">
        <f aca="false">-I6*02_Assumptions!I32</f>
        <v>-121605323.908924</v>
      </c>
      <c r="J8" s="21" t="n">
        <f aca="false">-J6*02_Assumptions!J32</f>
        <v>-129691011.2355</v>
      </c>
      <c r="K8" s="21" t="n">
        <f aca="false">-K6*02_Assumptions!K32</f>
        <v>-137246328.675694</v>
      </c>
      <c r="L8" s="21" t="n">
        <f aca="false">-L6*02_Assumptions!L32</f>
        <v>-143871194.713846</v>
      </c>
    </row>
    <row r="9" customFormat="false" ht="15" hidden="false" customHeight="false" outlineLevel="0" collapsed="false">
      <c r="B9" s="4" t="s">
        <v>155</v>
      </c>
      <c r="E9" s="58" t="n">
        <f aca="false">E6+E8</f>
        <v>58413840.221126</v>
      </c>
      <c r="F9" s="58" t="n">
        <f aca="false">F6+F8</f>
        <v>62699576.618611</v>
      </c>
      <c r="G9" s="58" t="n">
        <f aca="false">G6+G8</f>
        <v>66137743.20332</v>
      </c>
      <c r="H9" s="58" t="n">
        <f aca="false">H6+H8</f>
        <v>71982865.9811612</v>
      </c>
      <c r="I9" s="58" t="n">
        <f aca="false">I6+I8</f>
        <v>77780352.2821304</v>
      </c>
      <c r="J9" s="58" t="n">
        <f aca="false">J6+J8</f>
        <v>83651662.2889283</v>
      </c>
      <c r="K9" s="58" t="n">
        <f aca="false">K6+K8</f>
        <v>88896905.2601999</v>
      </c>
      <c r="L9" s="58" t="n">
        <f aca="false">L6+L8</f>
        <v>93579200.9188426</v>
      </c>
    </row>
    <row r="10" customFormat="false" ht="15" hidden="false" customHeight="false" outlineLevel="0" collapsed="false">
      <c r="B10" s="12" t="s">
        <v>156</v>
      </c>
      <c r="E10" s="57" t="n">
        <f aca="false">E9/E6</f>
        <v>0.394673420761161</v>
      </c>
      <c r="F10" s="57" t="n">
        <f aca="false">F9/F6</f>
        <v>0.391930977876573</v>
      </c>
      <c r="G10" s="57" t="n">
        <f aca="false">G9/G6</f>
        <v>0.385112518240664</v>
      </c>
      <c r="H10" s="57" t="n">
        <f aca="false">H9/H6</f>
        <v>0.3881</v>
      </c>
      <c r="I10" s="57" t="n">
        <f aca="false">I9/I6</f>
        <v>0.3901</v>
      </c>
      <c r="J10" s="57" t="n">
        <f aca="false">J9/J6</f>
        <v>0.3921</v>
      </c>
      <c r="K10" s="57" t="n">
        <f aca="false">K9/K6</f>
        <v>0.3931</v>
      </c>
      <c r="L10" s="57" t="n">
        <f aca="false">L9/L6</f>
        <v>0.3941</v>
      </c>
    </row>
    <row r="11" customFormat="false" ht="15" hidden="false" customHeight="false" outlineLevel="0" collapsed="false">
      <c r="B11" s="12" t="s">
        <v>112</v>
      </c>
      <c r="E11" s="21" t="n">
        <f aca="false">-E6*02_Assumptions!E37</f>
        <v>-22568246</v>
      </c>
      <c r="F11" s="21" t="n">
        <f aca="false">-F6*02_Assumptions!F37</f>
        <v>-24283170</v>
      </c>
      <c r="G11" s="21" t="n">
        <f aca="false">-G6*02_Assumptions!G37</f>
        <v>-26579366</v>
      </c>
      <c r="H11" s="21" t="n">
        <f aca="false">-H6*02_Assumptions!H37</f>
        <v>-28526062.3238923</v>
      </c>
      <c r="I11" s="21" t="n">
        <f aca="false">-I6*02_Assumptions!I37</f>
        <v>-30466131.3219931</v>
      </c>
      <c r="J11" s="21" t="n">
        <f aca="false">-J6*02_Assumptions!J37</f>
        <v>-32385417.8410082</v>
      </c>
      <c r="K11" s="21" t="n">
        <f aca="false">-K6*02_Assumptions!K37</f>
        <v>-34102399.6775328</v>
      </c>
      <c r="L11" s="21" t="n">
        <f aca="false">-L6*02_Assumptions!L37</f>
        <v>-35807519.6614095</v>
      </c>
    </row>
    <row r="12" customFormat="false" ht="15" hidden="false" customHeight="false" outlineLevel="0" collapsed="false">
      <c r="B12" s="4" t="s">
        <v>55</v>
      </c>
      <c r="E12" s="58" t="n">
        <f aca="false">E9+E11</f>
        <v>35845594.221126</v>
      </c>
      <c r="F12" s="58" t="n">
        <f aca="false">F9+F11</f>
        <v>38416406.618611</v>
      </c>
      <c r="G12" s="58" t="n">
        <f aca="false">G9+G11</f>
        <v>39558377.20332</v>
      </c>
      <c r="H12" s="58" t="n">
        <f aca="false">H9+H11</f>
        <v>43456803.6572689</v>
      </c>
      <c r="I12" s="58" t="n">
        <f aca="false">I9+I11</f>
        <v>47314220.9601373</v>
      </c>
      <c r="J12" s="58" t="n">
        <f aca="false">J9+J11</f>
        <v>51266244.4479201</v>
      </c>
      <c r="K12" s="58" t="n">
        <f aca="false">K9+K11</f>
        <v>54794505.5826671</v>
      </c>
      <c r="L12" s="58" t="n">
        <f aca="false">L9+L11</f>
        <v>57771681.2574332</v>
      </c>
    </row>
    <row r="13" customFormat="false" ht="15" hidden="false" customHeight="false" outlineLevel="0" collapsed="false">
      <c r="B13" s="12" t="s">
        <v>56</v>
      </c>
      <c r="E13" s="57" t="n">
        <f aca="false">E12/E6</f>
        <v>0.242190947161043</v>
      </c>
      <c r="F13" s="57" t="n">
        <f aca="false">F12/F6</f>
        <v>0.240138460648984</v>
      </c>
      <c r="G13" s="57" t="n">
        <f aca="false">G12/G6</f>
        <v>0.230343908401155</v>
      </c>
      <c r="H13" s="57" t="n">
        <f aca="false">H12/H6</f>
        <v>0.2343</v>
      </c>
      <c r="I13" s="57" t="n">
        <f aca="false">I12/I6</f>
        <v>0.2373</v>
      </c>
      <c r="J13" s="57" t="n">
        <f aca="false">J12/J6</f>
        <v>0.2403</v>
      </c>
      <c r="K13" s="57" t="n">
        <f aca="false">K12/K6</f>
        <v>0.2423</v>
      </c>
      <c r="L13" s="57" t="n">
        <f aca="false">L12/L6</f>
        <v>0.2433</v>
      </c>
    </row>
    <row r="14" customFormat="false" ht="15" hidden="false" customHeight="false" outlineLevel="0" collapsed="false">
      <c r="B14" s="12" t="s">
        <v>157</v>
      </c>
      <c r="E14" s="21" t="n">
        <f aca="false">-E6*02_Assumptions!E12</f>
        <v>-3256121.18086477</v>
      </c>
      <c r="F14" s="21" t="n">
        <f aca="false">-F6*02_Assumptions!F12</f>
        <v>-3679449.55522805</v>
      </c>
      <c r="G14" s="21" t="n">
        <f aca="false">-G6*02_Assumptions!G12</f>
        <v>-4121667.72487968</v>
      </c>
      <c r="H14" s="21" t="n">
        <f aca="false">-H6*02_Assumptions!H12</f>
        <v>-4451401.14287006</v>
      </c>
      <c r="I14" s="21" t="n">
        <f aca="false">-I6*02_Assumptions!I12</f>
        <v>-4785256.22858531</v>
      </c>
      <c r="J14" s="21" t="n">
        <f aca="false">-J6*02_Assumptions!J12</f>
        <v>-5120224.16458628</v>
      </c>
      <c r="K14" s="21" t="n">
        <f aca="false">-K6*02_Assumptions!K12</f>
        <v>-5427437.61446146</v>
      </c>
      <c r="L14" s="21" t="n">
        <f aca="false">-L6*02_Assumptions!L12</f>
        <v>-5698809.49518453</v>
      </c>
    </row>
    <row r="15" customFormat="false" ht="15" hidden="false" customHeight="false" outlineLevel="0" collapsed="false">
      <c r="B15" s="4" t="s">
        <v>158</v>
      </c>
      <c r="E15" s="58" t="n">
        <f aca="false">E12+E14</f>
        <v>32589473.0402612</v>
      </c>
      <c r="F15" s="58" t="n">
        <f aca="false">F12+F14</f>
        <v>34736957.063383</v>
      </c>
      <c r="G15" s="58" t="n">
        <f aca="false">G12+G14</f>
        <v>35436709.4784403</v>
      </c>
      <c r="H15" s="58" t="n">
        <f aca="false">H12+H14</f>
        <v>39005402.5143989</v>
      </c>
      <c r="I15" s="58" t="n">
        <f aca="false">I12+I14</f>
        <v>42528964.7315519</v>
      </c>
      <c r="J15" s="58" t="n">
        <f aca="false">J12+J14</f>
        <v>46146020.2833338</v>
      </c>
      <c r="K15" s="58" t="n">
        <f aca="false">K12+K14</f>
        <v>49367067.9682057</v>
      </c>
      <c r="L15" s="58" t="n">
        <f aca="false">L12+L14</f>
        <v>52072871.7622487</v>
      </c>
    </row>
    <row r="16" customFormat="false" ht="15" hidden="false" customHeight="false" outlineLevel="0" collapsed="false">
      <c r="B16" s="12" t="s">
        <v>159</v>
      </c>
      <c r="E16" s="57" t="n">
        <f aca="false">E15/E6</f>
        <v>0.220190947161043</v>
      </c>
      <c r="F16" s="57" t="n">
        <f aca="false">F15/F6</f>
        <v>0.217138460648984</v>
      </c>
      <c r="G16" s="57" t="n">
        <f aca="false">G15/G6</f>
        <v>0.206343908401155</v>
      </c>
      <c r="H16" s="57" t="n">
        <f aca="false">H15/H6</f>
        <v>0.2103</v>
      </c>
      <c r="I16" s="57" t="n">
        <f aca="false">I15/I6</f>
        <v>0.2133</v>
      </c>
      <c r="J16" s="57" t="n">
        <f aca="false">J15/J6</f>
        <v>0.2163</v>
      </c>
      <c r="K16" s="57" t="n">
        <f aca="false">K15/K6</f>
        <v>0.2183</v>
      </c>
      <c r="L16" s="57" t="n">
        <f aca="false">L15/L6</f>
        <v>0.2193</v>
      </c>
    </row>
    <row r="17" customFormat="false" ht="15" hidden="false" customHeight="false" outlineLevel="0" collapsed="false">
      <c r="B17" s="12" t="s">
        <v>160</v>
      </c>
      <c r="E17" s="21" t="n">
        <f aca="false">-05_Balance_Sheet!D16*02_Assumptions!E17</f>
        <v>-1875000</v>
      </c>
      <c r="F17" s="21" t="n">
        <f aca="false">-05_Balance_Sheet!E16*02_Assumptions!F17</f>
        <v>-1512000</v>
      </c>
      <c r="G17" s="21" t="n">
        <f aca="false">-05_Balance_Sheet!F16*02_Assumptions!G17</f>
        <v>-1190000</v>
      </c>
      <c r="H17" s="21" t="n">
        <f aca="false">-05_Balance_Sheet!G16*02_Assumptions!H17</f>
        <v>-884000</v>
      </c>
      <c r="I17" s="21" t="n">
        <f aca="false">-05_Balance_Sheet!H16*02_Assumptions!I17</f>
        <v>-594000</v>
      </c>
      <c r="J17" s="21" t="n">
        <f aca="false">-05_Balance_Sheet!I16*02_Assumptions!J17</f>
        <v>-325000</v>
      </c>
      <c r="K17" s="21" t="n">
        <f aca="false">-05_Balance_Sheet!J16*02_Assumptions!K17</f>
        <v>-0</v>
      </c>
      <c r="L17" s="21" t="n">
        <f aca="false">-05_Balance_Sheet!K16*02_Assumptions!L17</f>
        <v>-0</v>
      </c>
    </row>
    <row r="18" customFormat="false" ht="15" hidden="false" customHeight="false" outlineLevel="0" collapsed="false">
      <c r="B18" s="12" t="s">
        <v>161</v>
      </c>
      <c r="E18" s="21" t="n">
        <f aca="false">05_Balance_Sheet!D6*02_Assumptions!E18</f>
        <v>420000</v>
      </c>
      <c r="F18" s="21" t="n">
        <f aca="false">05_Balance_Sheet!E6*02_Assumptions!F18</f>
        <v>770988.581891876</v>
      </c>
      <c r="G18" s="21" t="n">
        <f aca="false">05_Balance_Sheet!F6*02_Assumptions!G18</f>
        <v>1035816.33693977</v>
      </c>
      <c r="H18" s="21" t="n">
        <f aca="false">05_Balance_Sheet!G6*02_Assumptions!H18</f>
        <v>1249954.95235052</v>
      </c>
      <c r="I18" s="21" t="n">
        <f aca="false">05_Balance_Sheet!H6*02_Assumptions!I18</f>
        <v>1369469.85225502</v>
      </c>
      <c r="J18" s="21" t="n">
        <f aca="false">05_Balance_Sheet!I6*02_Assumptions!J18</f>
        <v>1572647.9528514</v>
      </c>
      <c r="K18" s="21" t="n">
        <f aca="false">05_Balance_Sheet!J6*02_Assumptions!K18</f>
        <v>1773471.20710108</v>
      </c>
      <c r="L18" s="21" t="n">
        <f aca="false">05_Balance_Sheet!K6*02_Assumptions!L18</f>
        <v>2150381.05775047</v>
      </c>
    </row>
    <row r="19" customFormat="false" ht="15" hidden="false" customHeight="false" outlineLevel="0" collapsed="false">
      <c r="B19" s="4" t="s">
        <v>162</v>
      </c>
      <c r="E19" s="58" t="n">
        <f aca="false">E15+E17+E18</f>
        <v>31134473.0402612</v>
      </c>
      <c r="F19" s="58" t="n">
        <f aca="false">F15+F17+F18</f>
        <v>33995945.6452748</v>
      </c>
      <c r="G19" s="58" t="n">
        <f aca="false">G15+G17+G18</f>
        <v>35282525.8153801</v>
      </c>
      <c r="H19" s="58" t="n">
        <f aca="false">H15+H17+H18</f>
        <v>39371357.4667494</v>
      </c>
      <c r="I19" s="58" t="n">
        <f aca="false">I15+I17+I18</f>
        <v>43304434.583807</v>
      </c>
      <c r="J19" s="58" t="n">
        <f aca="false">J15+J17+J18</f>
        <v>47393668.2361852</v>
      </c>
      <c r="K19" s="58" t="n">
        <f aca="false">K15+K17+K18</f>
        <v>51140539.1753067</v>
      </c>
      <c r="L19" s="58" t="n">
        <f aca="false">L15+L17+L18</f>
        <v>54223252.8199991</v>
      </c>
    </row>
    <row r="20" customFormat="false" ht="15" hidden="false" customHeight="false" outlineLevel="0" collapsed="false">
      <c r="B20" s="12" t="s">
        <v>163</v>
      </c>
      <c r="E20" s="21" t="n">
        <f aca="false">-MAX(0,E19)*02_Assumptions!E11</f>
        <v>-5292860.41684441</v>
      </c>
      <c r="F20" s="21" t="n">
        <f aca="false">-MAX(0,F19)*02_Assumptions!F11</f>
        <v>-5779310.75969672</v>
      </c>
      <c r="G20" s="21" t="n">
        <f aca="false">-MAX(0,G19)*02_Assumptions!G11</f>
        <v>-5998029.38861461</v>
      </c>
      <c r="H20" s="21" t="n">
        <f aca="false">-MAX(0,H19)*02_Assumptions!H11</f>
        <v>-6693130.7693474</v>
      </c>
      <c r="I20" s="21" t="n">
        <f aca="false">-MAX(0,I19)*02_Assumptions!I11</f>
        <v>-7361753.87924718</v>
      </c>
      <c r="J20" s="21" t="n">
        <f aca="false">-MAX(0,J19)*02_Assumptions!J11</f>
        <v>-8056923.60015149</v>
      </c>
      <c r="K20" s="21" t="n">
        <f aca="false">-MAX(0,K19)*02_Assumptions!K11</f>
        <v>-8693891.65980215</v>
      </c>
      <c r="L20" s="21" t="n">
        <f aca="false">-MAX(0,L19)*02_Assumptions!L11</f>
        <v>-9217952.97939985</v>
      </c>
    </row>
    <row r="21" customFormat="false" ht="15" hidden="false" customHeight="false" outlineLevel="0" collapsed="false">
      <c r="B21" s="4" t="s">
        <v>57</v>
      </c>
      <c r="E21" s="54" t="n">
        <f aca="false">E19+E20</f>
        <v>25841612.6234168</v>
      </c>
      <c r="F21" s="54" t="n">
        <f aca="false">F19+F20</f>
        <v>28216634.8855781</v>
      </c>
      <c r="G21" s="54" t="n">
        <f aca="false">G19+G20</f>
        <v>29284496.4267655</v>
      </c>
      <c r="H21" s="54" t="n">
        <f aca="false">H19+H20</f>
        <v>32678226.697402</v>
      </c>
      <c r="I21" s="54" t="n">
        <f aca="false">I19+I20</f>
        <v>35942680.7045598</v>
      </c>
      <c r="J21" s="54" t="n">
        <f aca="false">J19+J20</f>
        <v>39336744.6360338</v>
      </c>
      <c r="K21" s="54" t="n">
        <f aca="false">K19+K20</f>
        <v>42446647.5155046</v>
      </c>
      <c r="L21" s="54" t="n">
        <f aca="false">L19+L20</f>
        <v>45005299.8405993</v>
      </c>
    </row>
    <row r="22" customFormat="false" ht="15" hidden="false" customHeight="false" outlineLevel="0" collapsed="false">
      <c r="B22" s="12" t="s">
        <v>164</v>
      </c>
      <c r="E22" s="57" t="n">
        <f aca="false">E21/E6</f>
        <v>0.174598992524038</v>
      </c>
      <c r="F22" s="57" t="n">
        <f aca="false">F21/F6</f>
        <v>0.176380350546231</v>
      </c>
      <c r="G22" s="57" t="n">
        <f aca="false">G21/G6</f>
        <v>0.170520275081827</v>
      </c>
      <c r="H22" s="57" t="n">
        <f aca="false">H21/H6</f>
        <v>0.176186646758145</v>
      </c>
      <c r="I22" s="57" t="n">
        <f aca="false">I21/I6</f>
        <v>0.180267115427685</v>
      </c>
      <c r="J22" s="57" t="n">
        <f aca="false">J21/J6</f>
        <v>0.184382917801626</v>
      </c>
      <c r="K22" s="57" t="n">
        <f aca="false">K21/K6</f>
        <v>0.187698065410779</v>
      </c>
      <c r="L22" s="57" t="n">
        <f aca="false">L21/L6</f>
        <v>0.189535585824914</v>
      </c>
    </row>
  </sheetData>
  <mergeCells count="2">
    <mergeCell ref="B1:L1"/>
    <mergeCell ref="B2:L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12" min="4" style="0" width="12"/>
  </cols>
  <sheetData>
    <row r="1" customFormat="false" ht="30" hidden="false" customHeight="true" outlineLevel="0" collapsed="false">
      <c r="A1" s="1"/>
      <c r="B1" s="2" t="s">
        <v>165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166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17" t="s">
        <v>41</v>
      </c>
      <c r="C4" s="18"/>
      <c r="D4" s="19" t="s">
        <v>82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5" customFormat="false" ht="15" hidden="false" customHeight="false" outlineLevel="0" collapsed="false">
      <c r="D5" s="20" t="s">
        <v>83</v>
      </c>
      <c r="E5" s="20" t="s">
        <v>50</v>
      </c>
      <c r="F5" s="20" t="s">
        <v>50</v>
      </c>
      <c r="G5" s="20" t="s">
        <v>50</v>
      </c>
      <c r="H5" s="20" t="s">
        <v>51</v>
      </c>
      <c r="I5" s="20" t="s">
        <v>51</v>
      </c>
      <c r="J5" s="20" t="s">
        <v>51</v>
      </c>
      <c r="K5" s="20" t="s">
        <v>51</v>
      </c>
      <c r="L5" s="20" t="s">
        <v>51</v>
      </c>
    </row>
    <row r="6" customFormat="false" ht="15" hidden="false" customHeight="false" outlineLevel="0" collapsed="false">
      <c r="B6" s="12" t="s">
        <v>120</v>
      </c>
      <c r="D6" s="21" t="n">
        <f aca="false">02_Assumptions!D59</f>
        <v>14000000</v>
      </c>
      <c r="E6" s="21" t="n">
        <f aca="false">06_Cash_Flow!E23</f>
        <v>25699619.3963959</v>
      </c>
      <c r="F6" s="21" t="n">
        <f aca="false">06_Cash_Flow!F23</f>
        <v>36993440.6049917</v>
      </c>
      <c r="G6" s="21" t="n">
        <f aca="false">06_Cash_Flow!G23</f>
        <v>48075190.47502</v>
      </c>
      <c r="H6" s="21" t="n">
        <f aca="false">06_Cash_Flow!H23</f>
        <v>54778794.0902007</v>
      </c>
      <c r="I6" s="21" t="n">
        <f aca="false">06_Cash_Flow!I23</f>
        <v>62905918.1140559</v>
      </c>
      <c r="J6" s="21" t="n">
        <f aca="false">06_Cash_Flow!J23</f>
        <v>70938848.2840434</v>
      </c>
      <c r="K6" s="21" t="n">
        <f aca="false">06_Cash_Flow!K23</f>
        <v>86015242.3100187</v>
      </c>
      <c r="L6" s="21" t="n">
        <f aca="false">06_Cash_Flow!L23</f>
        <v>102044590.902535</v>
      </c>
    </row>
    <row r="7" customFormat="false" ht="15" hidden="false" customHeight="false" outlineLevel="0" collapsed="false">
      <c r="B7" s="12" t="s">
        <v>121</v>
      </c>
      <c r="D7" s="21" t="n">
        <f aca="false">02_Assumptions!D60</f>
        <v>21600000</v>
      </c>
      <c r="E7" s="21" t="n">
        <f aca="false">04_Income_Statement!E6*02_Assumptions!E42/365</f>
        <v>23518683.4981515</v>
      </c>
      <c r="F7" s="21" t="n">
        <f aca="false">04_Income_Statement!F6*02_Assumptions!F42/365</f>
        <v>24982563.9842762</v>
      </c>
      <c r="G7" s="21" t="n">
        <f aca="false">04_Income_Statement!G6*02_Assumptions!G42/365</f>
        <v>26819070.8125733</v>
      </c>
      <c r="H7" s="21" t="n">
        <f aca="false">04_Income_Statement!H6*02_Assumptions!H42/365</f>
        <v>28456445.662183</v>
      </c>
      <c r="I7" s="21" t="n">
        <f aca="false">04_Income_Statement!I6*02_Assumptions!I42/365</f>
        <v>30044416.9602959</v>
      </c>
      <c r="J7" s="21" t="n">
        <f aca="false">04_Income_Statement!J6*02_Assumptions!J42/365</f>
        <v>32147526.1475166</v>
      </c>
      <c r="K7" s="21" t="n">
        <f aca="false">04_Income_Statement!K6*02_Assumptions!K42/365</f>
        <v>33456807.2124336</v>
      </c>
      <c r="L7" s="21" t="n">
        <f aca="false">04_Income_Statement!L6*02_Assumptions!L42/365</f>
        <v>35129647.5730553</v>
      </c>
    </row>
    <row r="8" customFormat="false" ht="15" hidden="false" customHeight="false" outlineLevel="0" collapsed="false">
      <c r="B8" s="12" t="s">
        <v>122</v>
      </c>
      <c r="D8" s="21" t="n">
        <f aca="false">02_Assumptions!D61</f>
        <v>2400000</v>
      </c>
      <c r="E8" s="21" t="n">
        <f aca="false">04_Income_Statement!E6*02_Assumptions!E14</f>
        <v>2664099.14798027</v>
      </c>
      <c r="F8" s="21" t="n">
        <f aca="false">04_Income_Statement!F6*02_Assumptions!F14</f>
        <v>2879569.217135</v>
      </c>
      <c r="G8" s="21" t="n">
        <f aca="false">04_Income_Statement!G6*02_Assumptions!G14</f>
        <v>3091250.79365976</v>
      </c>
      <c r="H8" s="21" t="n">
        <f aca="false">04_Income_Statement!H6*02_Assumptions!H14</f>
        <v>3338550.85715254</v>
      </c>
      <c r="I8" s="21" t="n">
        <f aca="false">04_Income_Statement!I6*02_Assumptions!I14</f>
        <v>3588942.17143898</v>
      </c>
      <c r="J8" s="21" t="n">
        <f aca="false">04_Income_Statement!J6*02_Assumptions!J14</f>
        <v>3840168.12343971</v>
      </c>
      <c r="K8" s="21" t="n">
        <f aca="false">04_Income_Statement!K6*02_Assumptions!K14</f>
        <v>4070578.21084609</v>
      </c>
      <c r="L8" s="21" t="n">
        <f aca="false">04_Income_Statement!L6*02_Assumptions!L14</f>
        <v>4274107.1213884</v>
      </c>
    </row>
    <row r="9" customFormat="false" ht="15" hidden="false" customHeight="false" outlineLevel="0" collapsed="false">
      <c r="B9" s="4" t="s">
        <v>167</v>
      </c>
      <c r="D9" s="58" t="n">
        <f aca="false">SUM(D6:D8)</f>
        <v>38000000</v>
      </c>
      <c r="E9" s="58" t="n">
        <f aca="false">SUM(E6:E8)</f>
        <v>51882402.0425277</v>
      </c>
      <c r="F9" s="58" t="n">
        <f aca="false">SUM(F6:F8)</f>
        <v>64855573.8064029</v>
      </c>
      <c r="G9" s="58" t="n">
        <f aca="false">SUM(G6:G8)</f>
        <v>77985512.0812531</v>
      </c>
      <c r="H9" s="58" t="n">
        <f aca="false">SUM(H6:H8)</f>
        <v>86573790.6095362</v>
      </c>
      <c r="I9" s="58" t="n">
        <f aca="false">SUM(I6:I8)</f>
        <v>96539277.2457908</v>
      </c>
      <c r="J9" s="58" t="n">
        <f aca="false">SUM(J6:J8)</f>
        <v>106926542.555</v>
      </c>
      <c r="K9" s="58" t="n">
        <f aca="false">SUM(K6:K8)</f>
        <v>123542627.733298</v>
      </c>
      <c r="L9" s="58" t="n">
        <f aca="false">SUM(L6:L8)</f>
        <v>141448345.596979</v>
      </c>
    </row>
    <row r="10" customFormat="false" ht="15" hidden="false" customHeight="false" outlineLevel="0" collapsed="false">
      <c r="B10" s="12" t="s">
        <v>123</v>
      </c>
      <c r="D10" s="21" t="n">
        <f aca="false">02_Assumptions!D62</f>
        <v>45000000</v>
      </c>
      <c r="E10" s="21" t="n">
        <f aca="false">D10-06_Cash_Flow!E14+04_Income_Statement!E14</f>
        <v>46184044.065769</v>
      </c>
      <c r="F10" s="21" t="n">
        <f aca="false">E10-06_Cash_Flow!F14+04_Income_Statement!F14</f>
        <v>47623828.6743365</v>
      </c>
      <c r="G10" s="21" t="n">
        <f aca="false">F10-06_Cash_Flow!G14+04_Income_Statement!G14</f>
        <v>49512926.381573</v>
      </c>
      <c r="H10" s="21" t="n">
        <f aca="false">G10-06_Cash_Flow!H14+04_Income_Statement!H14</f>
        <v>51553151.9053885</v>
      </c>
      <c r="I10" s="21" t="n">
        <f aca="false">H10-06_Cash_Flow!I14+04_Income_Statement!I14</f>
        <v>53547008.667299</v>
      </c>
      <c r="J10" s="21" t="n">
        <f aca="false">I10-06_Cash_Flow!J14+04_Income_Statement!J14</f>
        <v>55467092.7290189</v>
      </c>
      <c r="K10" s="21" t="n">
        <f aca="false">J10-06_Cash_Flow!K14+04_Income_Statement!K14</f>
        <v>57276238.600506</v>
      </c>
      <c r="L10" s="21" t="n">
        <f aca="false">K10-06_Cash_Flow!L14+04_Income_Statement!L14</f>
        <v>58700940.9743021</v>
      </c>
    </row>
    <row r="11" customFormat="false" ht="15" hidden="false" customHeight="false" outlineLevel="0" collapsed="false">
      <c r="B11" s="4" t="s">
        <v>168</v>
      </c>
      <c r="D11" s="54" t="n">
        <f aca="false">D9+D10</f>
        <v>83000000</v>
      </c>
      <c r="E11" s="54" t="n">
        <f aca="false">E9+E10</f>
        <v>98066446.1082967</v>
      </c>
      <c r="F11" s="54" t="n">
        <f aca="false">F9+F10</f>
        <v>112479402.480739</v>
      </c>
      <c r="G11" s="54" t="n">
        <f aca="false">G9+G10</f>
        <v>127498438.462826</v>
      </c>
      <c r="H11" s="54" t="n">
        <f aca="false">H9+H10</f>
        <v>138126942.514925</v>
      </c>
      <c r="I11" s="54" t="n">
        <f aca="false">I9+I10</f>
        <v>150086285.91309</v>
      </c>
      <c r="J11" s="54" t="n">
        <f aca="false">J9+J10</f>
        <v>162393635.284019</v>
      </c>
      <c r="K11" s="54" t="n">
        <f aca="false">K9+K10</f>
        <v>180818866.333804</v>
      </c>
      <c r="L11" s="54" t="n">
        <f aca="false">L9+L10</f>
        <v>200149286.571281</v>
      </c>
    </row>
    <row r="13" customFormat="false" ht="15" hidden="false" customHeight="false" outlineLevel="0" collapsed="false">
      <c r="B13" s="12" t="s">
        <v>124</v>
      </c>
      <c r="D13" s="21" t="n">
        <f aca="false">02_Assumptions!D63</f>
        <v>8400000</v>
      </c>
      <c r="E13" s="21" t="n">
        <f aca="false">-04_Income_Statement!E8*02_Assumptions!E15/365</f>
        <v>11291004.7342466</v>
      </c>
      <c r="F13" s="21" t="n">
        <f aca="false">-04_Income_Statement!F8*02_Assumptions!F15/365</f>
        <v>12259502.9753425</v>
      </c>
      <c r="G13" s="21" t="n">
        <f aca="false">-04_Income_Statement!G8*02_Assumptions!G15/365</f>
        <v>13018982.3013699</v>
      </c>
      <c r="H13" s="21" t="n">
        <f aca="false">-04_Income_Statement!H8*02_Assumptions!H15/365</f>
        <v>13992186.77734</v>
      </c>
      <c r="I13" s="21" t="n">
        <f aca="false">-04_Income_Statement!I8*02_Assumptions!I15/365</f>
        <v>14992437.1942509</v>
      </c>
      <c r="J13" s="21" t="n">
        <f aca="false">-04_Income_Statement!J8*02_Assumptions!J15/365</f>
        <v>15989302.7550616</v>
      </c>
      <c r="K13" s="21" t="n">
        <f aca="false">-04_Income_Statement!K8*02_Assumptions!K15/365</f>
        <v>16920780.2476883</v>
      </c>
      <c r="L13" s="21" t="n">
        <f aca="false">-04_Income_Statement!L8*02_Assumptions!L15/365</f>
        <v>17737544.5537619</v>
      </c>
    </row>
    <row r="14" customFormat="false" ht="15" hidden="false" customHeight="false" outlineLevel="0" collapsed="false">
      <c r="B14" s="12" t="s">
        <v>125</v>
      </c>
      <c r="D14" s="21" t="n">
        <f aca="false">02_Assumptions!D64</f>
        <v>6100000</v>
      </c>
      <c r="E14" s="21" t="n">
        <f aca="false">-04_Income_Statement!E11*02_Assumptions!E16</f>
        <v>6770473.8</v>
      </c>
      <c r="F14" s="21" t="n">
        <f aca="false">-04_Income_Statement!F11*02_Assumptions!F16</f>
        <v>7284951</v>
      </c>
      <c r="G14" s="21" t="n">
        <f aca="false">-04_Income_Statement!G11*02_Assumptions!G16</f>
        <v>7973809.8</v>
      </c>
      <c r="H14" s="21" t="n">
        <f aca="false">-04_Income_Statement!H11*02_Assumptions!H16</f>
        <v>8557818.69716768</v>
      </c>
      <c r="I14" s="21" t="n">
        <f aca="false">-04_Income_Statement!I11*02_Assumptions!I16</f>
        <v>9139839.39659794</v>
      </c>
      <c r="J14" s="21" t="n">
        <f aca="false">-04_Income_Statement!J11*02_Assumptions!J16</f>
        <v>9715625.35230247</v>
      </c>
      <c r="K14" s="21" t="n">
        <f aca="false">-04_Income_Statement!K11*02_Assumptions!K16</f>
        <v>10230719.9032598</v>
      </c>
      <c r="L14" s="21" t="n">
        <f aca="false">-04_Income_Statement!L11*02_Assumptions!L16</f>
        <v>10742255.8984228</v>
      </c>
    </row>
    <row r="15" customFormat="false" ht="15" hidden="false" customHeight="false" outlineLevel="0" collapsed="false">
      <c r="B15" s="4" t="s">
        <v>169</v>
      </c>
      <c r="D15" s="58" t="n">
        <f aca="false">SUM(D13:D14)</f>
        <v>14500000</v>
      </c>
      <c r="E15" s="58" t="n">
        <f aca="false">SUM(E13:E14)</f>
        <v>18061478.5342466</v>
      </c>
      <c r="F15" s="58" t="n">
        <f aca="false">SUM(F13:F14)</f>
        <v>19544453.9753425</v>
      </c>
      <c r="G15" s="58" t="n">
        <f aca="false">SUM(G13:G14)</f>
        <v>20992792.1013699</v>
      </c>
      <c r="H15" s="58" t="n">
        <f aca="false">SUM(H13:H14)</f>
        <v>22550005.4745077</v>
      </c>
      <c r="I15" s="58" t="n">
        <f aca="false">SUM(I13:I14)</f>
        <v>24132276.5908489</v>
      </c>
      <c r="J15" s="58" t="n">
        <f aca="false">SUM(J13:J14)</f>
        <v>25704928.1073641</v>
      </c>
      <c r="K15" s="58" t="n">
        <f aca="false">SUM(K13:K14)</f>
        <v>27151500.1509482</v>
      </c>
      <c r="L15" s="58" t="n">
        <f aca="false">SUM(L13:L14)</f>
        <v>28479800.4521847</v>
      </c>
    </row>
    <row r="16" customFormat="false" ht="15" hidden="false" customHeight="false" outlineLevel="0" collapsed="false">
      <c r="B16" s="12" t="s">
        <v>126</v>
      </c>
      <c r="D16" s="21" t="n">
        <f aca="false">02_Assumptions!D65</f>
        <v>25000000</v>
      </c>
      <c r="E16" s="21" t="n">
        <f aca="false">D16+06_Cash_Flow!E17</f>
        <v>21000000</v>
      </c>
      <c r="F16" s="21" t="n">
        <f aca="false">E16+06_Cash_Flow!F17</f>
        <v>17000000</v>
      </c>
      <c r="G16" s="21" t="n">
        <f aca="false">F16+06_Cash_Flow!G17</f>
        <v>13000000</v>
      </c>
      <c r="H16" s="21" t="n">
        <f aca="false">G16+06_Cash_Flow!H17</f>
        <v>9000000</v>
      </c>
      <c r="I16" s="21" t="n">
        <f aca="false">H16+06_Cash_Flow!I17</f>
        <v>5000000</v>
      </c>
      <c r="J16" s="21" t="n">
        <f aca="false">I16+06_Cash_Flow!J17</f>
        <v>0</v>
      </c>
      <c r="K16" s="21" t="n">
        <f aca="false">J16+06_Cash_Flow!K17</f>
        <v>0</v>
      </c>
      <c r="L16" s="21" t="n">
        <f aca="false">K16+06_Cash_Flow!L17</f>
        <v>0</v>
      </c>
    </row>
    <row r="17" customFormat="false" ht="15" hidden="false" customHeight="false" outlineLevel="0" collapsed="false">
      <c r="B17" s="4" t="s">
        <v>170</v>
      </c>
      <c r="D17" s="58" t="n">
        <f aca="false">D15+D16</f>
        <v>39500000</v>
      </c>
      <c r="E17" s="58" t="n">
        <f aca="false">E15+E16</f>
        <v>39061478.5342466</v>
      </c>
      <c r="F17" s="58" t="n">
        <f aca="false">F15+F16</f>
        <v>36544453.9753425</v>
      </c>
      <c r="G17" s="58" t="n">
        <f aca="false">G15+G16</f>
        <v>33992792.1013699</v>
      </c>
      <c r="H17" s="58" t="n">
        <f aca="false">H15+H16</f>
        <v>31550005.4745077</v>
      </c>
      <c r="I17" s="58" t="n">
        <f aca="false">I15+I16</f>
        <v>29132276.5908489</v>
      </c>
      <c r="J17" s="58" t="n">
        <f aca="false">J15+J16</f>
        <v>25704928.1073641</v>
      </c>
      <c r="K17" s="58" t="n">
        <f aca="false">K15+K16</f>
        <v>27151500.1509482</v>
      </c>
      <c r="L17" s="58" t="n">
        <f aca="false">L15+L16</f>
        <v>28479800.4521847</v>
      </c>
    </row>
    <row r="19" customFormat="false" ht="15" hidden="false" customHeight="false" outlineLevel="0" collapsed="false">
      <c r="B19" s="12" t="s">
        <v>127</v>
      </c>
      <c r="D19" s="21" t="n">
        <f aca="false">02_Assumptions!D66</f>
        <v>20000000</v>
      </c>
      <c r="E19" s="51" t="n">
        <f aca="false">D19</f>
        <v>20000000</v>
      </c>
      <c r="F19" s="51" t="n">
        <f aca="false">E19</f>
        <v>20000000</v>
      </c>
      <c r="G19" s="51" t="n">
        <f aca="false">F19</f>
        <v>20000000</v>
      </c>
      <c r="H19" s="51" t="n">
        <f aca="false">G19</f>
        <v>20000000</v>
      </c>
      <c r="I19" s="51" t="n">
        <f aca="false">H19</f>
        <v>20000000</v>
      </c>
      <c r="J19" s="51" t="n">
        <f aca="false">I19</f>
        <v>20000000</v>
      </c>
      <c r="K19" s="51" t="n">
        <f aca="false">J19</f>
        <v>20000000</v>
      </c>
      <c r="L19" s="51" t="n">
        <f aca="false">K19</f>
        <v>20000000</v>
      </c>
    </row>
    <row r="20" customFormat="false" ht="15" hidden="false" customHeight="false" outlineLevel="0" collapsed="false">
      <c r="B20" s="12" t="s">
        <v>171</v>
      </c>
      <c r="D20" s="51" t="n">
        <f aca="false">D11-D17-D19</f>
        <v>23500000</v>
      </c>
      <c r="E20" s="21" t="n">
        <f aca="false">D20+04_Income_Statement!E21+06_Cash_Flow!E18</f>
        <v>39004967.5740501</v>
      </c>
      <c r="F20" s="21" t="n">
        <f aca="false">E20+04_Income_Statement!F21+06_Cash_Flow!F18</f>
        <v>55934948.505397</v>
      </c>
      <c r="G20" s="21" t="n">
        <f aca="false">F20+04_Income_Statement!G21+06_Cash_Flow!G18</f>
        <v>73505646.3614562</v>
      </c>
      <c r="H20" s="21" t="n">
        <f aca="false">G20+04_Income_Statement!H21+06_Cash_Flow!H18</f>
        <v>86576937.040417</v>
      </c>
      <c r="I20" s="21" t="n">
        <f aca="false">H20+04_Income_Statement!I21+06_Cash_Flow!I18</f>
        <v>100954009.322241</v>
      </c>
      <c r="J20" s="21" t="n">
        <f aca="false">I20+04_Income_Statement!J21+06_Cash_Flow!J18</f>
        <v>116688707.176654</v>
      </c>
      <c r="K20" s="21" t="n">
        <f aca="false">J20+04_Income_Statement!K21+06_Cash_Flow!K18</f>
        <v>133667366.182856</v>
      </c>
      <c r="L20" s="21" t="n">
        <f aca="false">K20+04_Income_Statement!L21+06_Cash_Flow!L18</f>
        <v>151669486.119096</v>
      </c>
    </row>
    <row r="21" customFormat="false" ht="15" hidden="false" customHeight="false" outlineLevel="0" collapsed="false">
      <c r="B21" s="4" t="s">
        <v>172</v>
      </c>
      <c r="D21" s="58" t="n">
        <f aca="false">D19+D20</f>
        <v>43500000</v>
      </c>
      <c r="E21" s="58" t="n">
        <f aca="false">E19+E20</f>
        <v>59004967.5740501</v>
      </c>
      <c r="F21" s="58" t="n">
        <f aca="false">F19+F20</f>
        <v>75934948.505397</v>
      </c>
      <c r="G21" s="58" t="n">
        <f aca="false">G19+G20</f>
        <v>93505646.3614562</v>
      </c>
      <c r="H21" s="58" t="n">
        <f aca="false">H19+H20</f>
        <v>106576937.040417</v>
      </c>
      <c r="I21" s="58" t="n">
        <f aca="false">I19+I20</f>
        <v>120954009.322241</v>
      </c>
      <c r="J21" s="58" t="n">
        <f aca="false">J19+J20</f>
        <v>136688707.176654</v>
      </c>
      <c r="K21" s="58" t="n">
        <f aca="false">K19+K20</f>
        <v>153667366.182856</v>
      </c>
      <c r="L21" s="58" t="n">
        <f aca="false">L19+L20</f>
        <v>171669486.119096</v>
      </c>
    </row>
    <row r="22" customFormat="false" ht="15" hidden="false" customHeight="false" outlineLevel="0" collapsed="false">
      <c r="B22" s="4" t="s">
        <v>173</v>
      </c>
      <c r="D22" s="54" t="n">
        <f aca="false">D17+D21</f>
        <v>83000000</v>
      </c>
      <c r="E22" s="54" t="n">
        <f aca="false">E17+E21</f>
        <v>98066446.1082967</v>
      </c>
      <c r="F22" s="54" t="n">
        <f aca="false">F17+F21</f>
        <v>112479402.480739</v>
      </c>
      <c r="G22" s="54" t="n">
        <f aca="false">G17+G21</f>
        <v>127498438.462826</v>
      </c>
      <c r="H22" s="54" t="n">
        <f aca="false">H17+H21</f>
        <v>138126942.514925</v>
      </c>
      <c r="I22" s="54" t="n">
        <f aca="false">I17+I21</f>
        <v>150086285.91309</v>
      </c>
      <c r="J22" s="54" t="n">
        <f aca="false">J17+J21</f>
        <v>162393635.284019</v>
      </c>
      <c r="K22" s="54" t="n">
        <f aca="false">K17+K21</f>
        <v>180818866.333804</v>
      </c>
      <c r="L22" s="54" t="n">
        <f aca="false">L17+L21</f>
        <v>200149286.571281</v>
      </c>
    </row>
    <row r="24" customFormat="false" ht="15" hidden="false" customHeight="false" outlineLevel="0" collapsed="false">
      <c r="B24" s="12" t="s">
        <v>174</v>
      </c>
      <c r="D24" s="59" t="n">
        <f aca="false">ROUND(D11-D22,2)</f>
        <v>0</v>
      </c>
      <c r="E24" s="59" t="n">
        <f aca="false">ROUND(E11-E22,2)</f>
        <v>0</v>
      </c>
      <c r="F24" s="59" t="n">
        <f aca="false">ROUND(F11-F22,2)</f>
        <v>0</v>
      </c>
      <c r="G24" s="59" t="n">
        <f aca="false">ROUND(G11-G22,2)</f>
        <v>0</v>
      </c>
      <c r="H24" s="59" t="n">
        <f aca="false">ROUND(H11-H22,2)</f>
        <v>0</v>
      </c>
      <c r="I24" s="59" t="n">
        <f aca="false">ROUND(I11-I22,2)</f>
        <v>0</v>
      </c>
      <c r="J24" s="59" t="n">
        <f aca="false">ROUND(J11-J22,2)</f>
        <v>0</v>
      </c>
      <c r="K24" s="59" t="n">
        <f aca="false">ROUND(K11-K22,2)</f>
        <v>0</v>
      </c>
      <c r="L24" s="59" t="n">
        <f aca="false">ROUND(L11-L22,2)</f>
        <v>0</v>
      </c>
    </row>
  </sheetData>
  <mergeCells count="2">
    <mergeCell ref="B1:L1"/>
    <mergeCell ref="B2:L2"/>
  </mergeCells>
  <conditionalFormatting sqref="D24:L24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3"/>
    <col collapsed="false" customWidth="true" hidden="false" outlineLevel="0" max="12" min="4" style="0" width="12"/>
  </cols>
  <sheetData>
    <row r="1" customFormat="false" ht="30" hidden="false" customHeight="true" outlineLevel="0" collapsed="false">
      <c r="A1" s="1"/>
      <c r="B1" s="2" t="s">
        <v>175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176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17" t="s">
        <v>41</v>
      </c>
      <c r="C4" s="18"/>
      <c r="D4" s="19" t="s">
        <v>82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5" customFormat="false" ht="15" hidden="false" customHeight="false" outlineLevel="0" collapsed="false">
      <c r="D5" s="20" t="s">
        <v>83</v>
      </c>
      <c r="E5" s="20" t="s">
        <v>50</v>
      </c>
      <c r="F5" s="20" t="s">
        <v>50</v>
      </c>
      <c r="G5" s="20" t="s">
        <v>50</v>
      </c>
      <c r="H5" s="20" t="s">
        <v>51</v>
      </c>
      <c r="I5" s="20" t="s">
        <v>51</v>
      </c>
      <c r="J5" s="20" t="s">
        <v>51</v>
      </c>
      <c r="K5" s="20" t="s">
        <v>51</v>
      </c>
      <c r="L5" s="20" t="s">
        <v>51</v>
      </c>
    </row>
    <row r="6" customFormat="false" ht="15" hidden="false" customHeight="false" outlineLevel="0" collapsed="false">
      <c r="B6" s="12" t="s">
        <v>57</v>
      </c>
      <c r="E6" s="21" t="n">
        <f aca="false">04_Income_Statement!E21</f>
        <v>25841612.6234168</v>
      </c>
      <c r="F6" s="21" t="n">
        <f aca="false">04_Income_Statement!F21</f>
        <v>28216634.8855781</v>
      </c>
      <c r="G6" s="21" t="n">
        <f aca="false">04_Income_Statement!G21</f>
        <v>29284496.4267655</v>
      </c>
      <c r="H6" s="21" t="n">
        <f aca="false">04_Income_Statement!H21</f>
        <v>32678226.697402</v>
      </c>
      <c r="I6" s="21" t="n">
        <f aca="false">04_Income_Statement!I21</f>
        <v>35942680.7045598</v>
      </c>
      <c r="J6" s="21" t="n">
        <f aca="false">04_Income_Statement!J21</f>
        <v>39336744.6360338</v>
      </c>
      <c r="K6" s="21" t="n">
        <f aca="false">04_Income_Statement!K21</f>
        <v>42446647.5155046</v>
      </c>
      <c r="L6" s="21" t="n">
        <f aca="false">04_Income_Statement!L21</f>
        <v>45005299.8405993</v>
      </c>
    </row>
    <row r="7" customFormat="false" ht="15" hidden="false" customHeight="false" outlineLevel="0" collapsed="false">
      <c r="B7" s="12" t="s">
        <v>157</v>
      </c>
      <c r="E7" s="21" t="n">
        <f aca="false">-04_Income_Statement!E14</f>
        <v>3256121.18086477</v>
      </c>
      <c r="F7" s="21" t="n">
        <f aca="false">-04_Income_Statement!F14</f>
        <v>3679449.55522805</v>
      </c>
      <c r="G7" s="21" t="n">
        <f aca="false">-04_Income_Statement!G14</f>
        <v>4121667.72487968</v>
      </c>
      <c r="H7" s="21" t="n">
        <f aca="false">-04_Income_Statement!H14</f>
        <v>4451401.14287006</v>
      </c>
      <c r="I7" s="21" t="n">
        <f aca="false">-04_Income_Statement!I14</f>
        <v>4785256.22858531</v>
      </c>
      <c r="J7" s="21" t="n">
        <f aca="false">-04_Income_Statement!J14</f>
        <v>5120224.16458628</v>
      </c>
      <c r="K7" s="21" t="n">
        <f aca="false">-04_Income_Statement!K14</f>
        <v>5427437.61446146</v>
      </c>
      <c r="L7" s="21" t="n">
        <f aca="false">-04_Income_Statement!L14</f>
        <v>5698809.49518453</v>
      </c>
    </row>
    <row r="8" customFormat="false" ht="15" hidden="false" customHeight="false" outlineLevel="0" collapsed="false">
      <c r="B8" s="12" t="s">
        <v>177</v>
      </c>
      <c r="E8" s="21" t="n">
        <f aca="false">-(05_Balance_Sheet!E7-05_Balance_Sheet!D7)</f>
        <v>-1918683.49815153</v>
      </c>
      <c r="F8" s="21" t="n">
        <f aca="false">-(05_Balance_Sheet!F7-05_Balance_Sheet!E7)</f>
        <v>-1463880.48612471</v>
      </c>
      <c r="G8" s="21" t="n">
        <f aca="false">-(05_Balance_Sheet!G7-05_Balance_Sheet!F7)</f>
        <v>-1836506.82829702</v>
      </c>
      <c r="H8" s="21" t="n">
        <f aca="false">-(05_Balance_Sheet!H7-05_Balance_Sheet!G7)</f>
        <v>-1637374.84960974</v>
      </c>
      <c r="I8" s="21" t="n">
        <f aca="false">-(05_Balance_Sheet!I7-05_Balance_Sheet!H7)</f>
        <v>-1587971.29811289</v>
      </c>
      <c r="J8" s="21" t="n">
        <f aca="false">-(05_Balance_Sheet!J7-05_Balance_Sheet!I7)</f>
        <v>-2103109.18722071</v>
      </c>
      <c r="K8" s="21" t="n">
        <f aca="false">-(05_Balance_Sheet!K7-05_Balance_Sheet!J7)</f>
        <v>-1309281.06491704</v>
      </c>
      <c r="L8" s="21" t="n">
        <f aca="false">-(05_Balance_Sheet!L7-05_Balance_Sheet!K7)</f>
        <v>-1672840.36062169</v>
      </c>
    </row>
    <row r="9" customFormat="false" ht="15" hidden="false" customHeight="false" outlineLevel="0" collapsed="false">
      <c r="B9" s="12" t="s">
        <v>178</v>
      </c>
      <c r="E9" s="21" t="n">
        <f aca="false">-(05_Balance_Sheet!E8-05_Balance_Sheet!D8)</f>
        <v>-264099.147980268</v>
      </c>
      <c r="F9" s="21" t="n">
        <f aca="false">-(05_Balance_Sheet!F8-05_Balance_Sheet!E8)</f>
        <v>-215470.06915473</v>
      </c>
      <c r="G9" s="21" t="n">
        <f aca="false">-(05_Balance_Sheet!G8-05_Balance_Sheet!F8)</f>
        <v>-211681.576524762</v>
      </c>
      <c r="H9" s="21" t="n">
        <f aca="false">-(05_Balance_Sheet!H8-05_Balance_Sheet!G8)</f>
        <v>-247300.063492781</v>
      </c>
      <c r="I9" s="21" t="n">
        <f aca="false">-(05_Balance_Sheet!I8-05_Balance_Sheet!H8)</f>
        <v>-250391.314286441</v>
      </c>
      <c r="J9" s="21" t="n">
        <f aca="false">-(05_Balance_Sheet!J8-05_Balance_Sheet!I8)</f>
        <v>-251225.952000728</v>
      </c>
      <c r="K9" s="21" t="n">
        <f aca="false">-(05_Balance_Sheet!K8-05_Balance_Sheet!J8)</f>
        <v>-230410.087406383</v>
      </c>
      <c r="L9" s="21" t="n">
        <f aca="false">-(05_Balance_Sheet!L8-05_Balance_Sheet!K8)</f>
        <v>-203528.910542305</v>
      </c>
    </row>
    <row r="10" customFormat="false" ht="15" hidden="false" customHeight="false" outlineLevel="0" collapsed="false">
      <c r="B10" s="12" t="s">
        <v>179</v>
      </c>
      <c r="E10" s="21" t="n">
        <f aca="false">05_Balance_Sheet!E13-05_Balance_Sheet!D13</f>
        <v>2891004.73424658</v>
      </c>
      <c r="F10" s="21" t="n">
        <f aca="false">05_Balance_Sheet!F13-05_Balance_Sheet!E13</f>
        <v>968498.241095889</v>
      </c>
      <c r="G10" s="21" t="n">
        <f aca="false">05_Balance_Sheet!G13-05_Balance_Sheet!F13</f>
        <v>759479.326027397</v>
      </c>
      <c r="H10" s="21" t="n">
        <f aca="false">05_Balance_Sheet!H13-05_Balance_Sheet!G13</f>
        <v>973204.475970136</v>
      </c>
      <c r="I10" s="21" t="n">
        <f aca="false">05_Balance_Sheet!I13-05_Balance_Sheet!H13</f>
        <v>1000250.41691092</v>
      </c>
      <c r="J10" s="21" t="n">
        <f aca="false">05_Balance_Sheet!J13-05_Balance_Sheet!I13</f>
        <v>996865.560810721</v>
      </c>
      <c r="K10" s="21" t="n">
        <f aca="false">05_Balance_Sheet!K13-05_Balance_Sheet!J13</f>
        <v>931477.492626673</v>
      </c>
      <c r="L10" s="21" t="n">
        <f aca="false">05_Balance_Sheet!L13-05_Balance_Sheet!K13</f>
        <v>816764.306073535</v>
      </c>
    </row>
    <row r="11" customFormat="false" ht="15" hidden="false" customHeight="false" outlineLevel="0" collapsed="false">
      <c r="B11" s="12" t="s">
        <v>180</v>
      </c>
      <c r="E11" s="21" t="n">
        <f aca="false">05_Balance_Sheet!E14-05_Balance_Sheet!D14</f>
        <v>670473.8</v>
      </c>
      <c r="F11" s="21" t="n">
        <f aca="false">05_Balance_Sheet!F14-05_Balance_Sheet!E14</f>
        <v>514477.2</v>
      </c>
      <c r="G11" s="21" t="n">
        <f aca="false">05_Balance_Sheet!G14-05_Balance_Sheet!F14</f>
        <v>688858.8</v>
      </c>
      <c r="H11" s="21" t="n">
        <f aca="false">05_Balance_Sheet!H14-05_Balance_Sheet!G14</f>
        <v>584008.89716768</v>
      </c>
      <c r="I11" s="21" t="n">
        <f aca="false">05_Balance_Sheet!I14-05_Balance_Sheet!H14</f>
        <v>582020.699430259</v>
      </c>
      <c r="J11" s="21" t="n">
        <f aca="false">05_Balance_Sheet!J14-05_Balance_Sheet!I14</f>
        <v>575785.955704527</v>
      </c>
      <c r="K11" s="21" t="n">
        <f aca="false">05_Balance_Sheet!K14-05_Balance_Sheet!J14</f>
        <v>515094.55095738</v>
      </c>
      <c r="L11" s="21" t="n">
        <f aca="false">05_Balance_Sheet!L14-05_Balance_Sheet!K14</f>
        <v>511535.995162992</v>
      </c>
    </row>
    <row r="12" customFormat="false" ht="15" hidden="false" customHeight="false" outlineLevel="0" collapsed="false">
      <c r="B12" s="4" t="s">
        <v>181</v>
      </c>
      <c r="E12" s="58" t="n">
        <f aca="false">SUM(E6:E11)</f>
        <v>30476429.6923964</v>
      </c>
      <c r="F12" s="58" t="n">
        <f aca="false">SUM(F6:F11)</f>
        <v>31699709.3266226</v>
      </c>
      <c r="G12" s="58" t="n">
        <f aca="false">SUM(G6:G11)</f>
        <v>32806313.8728508</v>
      </c>
      <c r="H12" s="58" t="n">
        <f aca="false">SUM(H6:H11)</f>
        <v>36802166.3003073</v>
      </c>
      <c r="I12" s="58" t="n">
        <f aca="false">SUM(I6:I11)</f>
        <v>40471845.4370869</v>
      </c>
      <c r="J12" s="58" t="n">
        <f aca="false">SUM(J6:J11)</f>
        <v>43675285.1779138</v>
      </c>
      <c r="K12" s="58" t="n">
        <f aca="false">SUM(K6:K11)</f>
        <v>47780966.0212267</v>
      </c>
      <c r="L12" s="58" t="n">
        <f aca="false">SUM(L6:L11)</f>
        <v>50156040.3658563</v>
      </c>
    </row>
    <row r="14" customFormat="false" ht="15" hidden="false" customHeight="false" outlineLevel="0" collapsed="false">
      <c r="B14" s="12" t="s">
        <v>182</v>
      </c>
      <c r="E14" s="21" t="n">
        <f aca="false">-04_Income_Statement!E6*02_Assumptions!E13</f>
        <v>-4440165.24663378</v>
      </c>
      <c r="F14" s="21" t="n">
        <f aca="false">-04_Income_Statement!F6*02_Assumptions!F13</f>
        <v>-5119234.16379555</v>
      </c>
      <c r="G14" s="21" t="n">
        <f aca="false">-04_Income_Statement!G6*02_Assumptions!G13</f>
        <v>-6010765.4321162</v>
      </c>
      <c r="H14" s="21" t="n">
        <f aca="false">-04_Income_Statement!H6*02_Assumptions!H13</f>
        <v>-6491626.6666855</v>
      </c>
      <c r="I14" s="21" t="n">
        <f aca="false">-04_Income_Statement!I6*02_Assumptions!I13</f>
        <v>-6779112.99049585</v>
      </c>
      <c r="J14" s="21" t="n">
        <f aca="false">-04_Income_Statement!J6*02_Assumptions!J13</f>
        <v>-7040308.22630614</v>
      </c>
      <c r="K14" s="21" t="n">
        <f aca="false">-04_Income_Statement!K6*02_Assumptions!K13</f>
        <v>-7236583.48594861</v>
      </c>
      <c r="L14" s="21" t="n">
        <f aca="false">-04_Income_Statement!L6*02_Assumptions!L13</f>
        <v>-7123511.86898066</v>
      </c>
    </row>
    <row r="15" customFormat="false" ht="15" hidden="false" customHeight="false" outlineLevel="0" collapsed="false">
      <c r="B15" s="4" t="s">
        <v>183</v>
      </c>
      <c r="E15" s="58" t="n">
        <f aca="false">E14</f>
        <v>-4440165.24663378</v>
      </c>
      <c r="F15" s="58" t="n">
        <f aca="false">F14</f>
        <v>-5119234.16379555</v>
      </c>
      <c r="G15" s="58" t="n">
        <f aca="false">G14</f>
        <v>-6010765.4321162</v>
      </c>
      <c r="H15" s="58" t="n">
        <f aca="false">H14</f>
        <v>-6491626.6666855</v>
      </c>
      <c r="I15" s="58" t="n">
        <f aca="false">I14</f>
        <v>-6779112.99049585</v>
      </c>
      <c r="J15" s="58" t="n">
        <f aca="false">J14</f>
        <v>-7040308.22630614</v>
      </c>
      <c r="K15" s="58" t="n">
        <f aca="false">K14</f>
        <v>-7236583.48594861</v>
      </c>
      <c r="L15" s="58" t="n">
        <f aca="false">L14</f>
        <v>-7123511.86898066</v>
      </c>
    </row>
    <row r="17" customFormat="false" ht="15" hidden="false" customHeight="false" outlineLevel="0" collapsed="false">
      <c r="B17" s="12" t="s">
        <v>184</v>
      </c>
      <c r="E17" s="21" t="n">
        <f aca="false">-MIN(05_Balance_Sheet!D16,02_Assumptions!E20)</f>
        <v>-4000000</v>
      </c>
      <c r="F17" s="21" t="n">
        <f aca="false">-MIN(05_Balance_Sheet!E16,02_Assumptions!F20)</f>
        <v>-4000000</v>
      </c>
      <c r="G17" s="21" t="n">
        <f aca="false">-MIN(05_Balance_Sheet!F16,02_Assumptions!G20)</f>
        <v>-4000000</v>
      </c>
      <c r="H17" s="21" t="n">
        <f aca="false">-MIN(05_Balance_Sheet!G16,02_Assumptions!H20)</f>
        <v>-4000000</v>
      </c>
      <c r="I17" s="21" t="n">
        <f aca="false">-MIN(05_Balance_Sheet!H16,02_Assumptions!I20)</f>
        <v>-4000000</v>
      </c>
      <c r="J17" s="21" t="n">
        <f aca="false">-MIN(05_Balance_Sheet!I16,02_Assumptions!J20)</f>
        <v>-5000000</v>
      </c>
      <c r="K17" s="21" t="n">
        <f aca="false">-MIN(05_Balance_Sheet!J16,02_Assumptions!K20)</f>
        <v>-0</v>
      </c>
      <c r="L17" s="21" t="n">
        <f aca="false">-MIN(05_Balance_Sheet!K16,02_Assumptions!L20)</f>
        <v>-0</v>
      </c>
    </row>
    <row r="18" customFormat="false" ht="15" hidden="false" customHeight="false" outlineLevel="0" collapsed="false">
      <c r="B18" s="12" t="s">
        <v>185</v>
      </c>
      <c r="E18" s="21" t="n">
        <f aca="false">-MAX(0,E6)*02_Assumptions!E19</f>
        <v>-10336645.0493667</v>
      </c>
      <c r="F18" s="21" t="n">
        <f aca="false">-MAX(0,F6)*02_Assumptions!F19</f>
        <v>-11286653.9542312</v>
      </c>
      <c r="G18" s="21" t="n">
        <f aca="false">-MAX(0,G6)*02_Assumptions!G19</f>
        <v>-11713798.5707062</v>
      </c>
      <c r="H18" s="21" t="n">
        <f aca="false">-MAX(0,H6)*02_Assumptions!H19</f>
        <v>-19606936.0184412</v>
      </c>
      <c r="I18" s="21" t="n">
        <f aca="false">-MAX(0,I6)*02_Assumptions!I19</f>
        <v>-21565608.4227359</v>
      </c>
      <c r="J18" s="21" t="n">
        <f aca="false">-MAX(0,J6)*02_Assumptions!J19</f>
        <v>-23602046.7816203</v>
      </c>
      <c r="K18" s="21" t="n">
        <f aca="false">-MAX(0,K6)*02_Assumptions!K19</f>
        <v>-25467988.5093028</v>
      </c>
      <c r="L18" s="21" t="n">
        <f aca="false">-MAX(0,L6)*02_Assumptions!L19</f>
        <v>-27003179.9043596</v>
      </c>
    </row>
    <row r="19" customFormat="false" ht="15" hidden="false" customHeight="false" outlineLevel="0" collapsed="false">
      <c r="B19" s="4" t="s">
        <v>186</v>
      </c>
      <c r="E19" s="58" t="n">
        <f aca="false">E17+E18</f>
        <v>-14336645.0493667</v>
      </c>
      <c r="F19" s="58" t="n">
        <f aca="false">F17+F18</f>
        <v>-15286653.9542312</v>
      </c>
      <c r="G19" s="58" t="n">
        <f aca="false">G17+G18</f>
        <v>-15713798.5707062</v>
      </c>
      <c r="H19" s="58" t="n">
        <f aca="false">H17+H18</f>
        <v>-23606936.0184412</v>
      </c>
      <c r="I19" s="58" t="n">
        <f aca="false">I17+I18</f>
        <v>-25565608.4227359</v>
      </c>
      <c r="J19" s="58" t="n">
        <f aca="false">J17+J18</f>
        <v>-28602046.7816203</v>
      </c>
      <c r="K19" s="58" t="n">
        <f aca="false">K17+K18</f>
        <v>-25467988.5093028</v>
      </c>
      <c r="L19" s="58" t="n">
        <f aca="false">L17+L18</f>
        <v>-27003179.9043596</v>
      </c>
    </row>
    <row r="21" customFormat="false" ht="15" hidden="false" customHeight="false" outlineLevel="0" collapsed="false">
      <c r="B21" s="12" t="s">
        <v>187</v>
      </c>
      <c r="E21" s="51" t="n">
        <f aca="false">E12+E15+E19</f>
        <v>11699619.3963959</v>
      </c>
      <c r="F21" s="51" t="n">
        <f aca="false">F12+F15+F19</f>
        <v>11293821.2085958</v>
      </c>
      <c r="G21" s="51" t="n">
        <f aca="false">G12+G15+G19</f>
        <v>11081749.8700284</v>
      </c>
      <c r="H21" s="51" t="n">
        <f aca="false">H12+H15+H19</f>
        <v>6703603.61518065</v>
      </c>
      <c r="I21" s="51" t="n">
        <f aca="false">I12+I15+I19</f>
        <v>8127124.02385522</v>
      </c>
      <c r="J21" s="51" t="n">
        <f aca="false">J12+J15+J19</f>
        <v>8032930.16998746</v>
      </c>
      <c r="K21" s="51" t="n">
        <f aca="false">K12+K15+K19</f>
        <v>15076394.0259753</v>
      </c>
      <c r="L21" s="51" t="n">
        <f aca="false">L12+L15+L19</f>
        <v>16029348.5925161</v>
      </c>
    </row>
    <row r="22" customFormat="false" ht="15" hidden="false" customHeight="false" outlineLevel="0" collapsed="false">
      <c r="B22" s="12" t="s">
        <v>188</v>
      </c>
      <c r="E22" s="21" t="n">
        <f aca="false">05_Balance_Sheet!D6</f>
        <v>14000000</v>
      </c>
      <c r="F22" s="21" t="n">
        <f aca="false">05_Balance_Sheet!E6</f>
        <v>25699619.3963959</v>
      </c>
      <c r="G22" s="21" t="n">
        <f aca="false">05_Balance_Sheet!F6</f>
        <v>36993440.6049917</v>
      </c>
      <c r="H22" s="21" t="n">
        <f aca="false">05_Balance_Sheet!G6</f>
        <v>48075190.47502</v>
      </c>
      <c r="I22" s="21" t="n">
        <f aca="false">05_Balance_Sheet!H6</f>
        <v>54778794.0902007</v>
      </c>
      <c r="J22" s="21" t="n">
        <f aca="false">05_Balance_Sheet!I6</f>
        <v>62905918.1140559</v>
      </c>
      <c r="K22" s="21" t="n">
        <f aca="false">05_Balance_Sheet!J6</f>
        <v>70938848.2840434</v>
      </c>
      <c r="L22" s="21" t="n">
        <f aca="false">05_Balance_Sheet!K6</f>
        <v>86015242.3100187</v>
      </c>
    </row>
    <row r="23" customFormat="false" ht="15" hidden="false" customHeight="false" outlineLevel="0" collapsed="false">
      <c r="B23" s="4" t="s">
        <v>189</v>
      </c>
      <c r="E23" s="54" t="n">
        <f aca="false">E22+E21</f>
        <v>25699619.3963959</v>
      </c>
      <c r="F23" s="54" t="n">
        <f aca="false">F22+F21</f>
        <v>36993440.6049917</v>
      </c>
      <c r="G23" s="54" t="n">
        <f aca="false">G22+G21</f>
        <v>48075190.47502</v>
      </c>
      <c r="H23" s="54" t="n">
        <f aca="false">H22+H21</f>
        <v>54778794.0902007</v>
      </c>
      <c r="I23" s="54" t="n">
        <f aca="false">I22+I21</f>
        <v>62905918.1140559</v>
      </c>
      <c r="J23" s="54" t="n">
        <f aca="false">J22+J21</f>
        <v>70938848.2840434</v>
      </c>
      <c r="K23" s="54" t="n">
        <f aca="false">K22+K21</f>
        <v>86015242.3100187</v>
      </c>
      <c r="L23" s="54" t="n">
        <f aca="false">L22+L21</f>
        <v>102044590.902535</v>
      </c>
    </row>
    <row r="25" customFormat="false" ht="15" hidden="false" customHeight="false" outlineLevel="0" collapsed="false">
      <c r="B25" s="4" t="s">
        <v>190</v>
      </c>
      <c r="E25" s="60" t="n">
        <f aca="false">E12+E15</f>
        <v>26036264.4457626</v>
      </c>
      <c r="F25" s="60" t="n">
        <f aca="false">F12+F15</f>
        <v>26580475.1628271</v>
      </c>
      <c r="G25" s="60" t="n">
        <f aca="false">G12+G15</f>
        <v>26795548.4407346</v>
      </c>
      <c r="H25" s="60" t="n">
        <f aca="false">H12+H15</f>
        <v>30310539.6336218</v>
      </c>
      <c r="I25" s="60" t="n">
        <f aca="false">I12+I15</f>
        <v>33692732.4465911</v>
      </c>
      <c r="J25" s="60" t="n">
        <f aca="false">J12+J15</f>
        <v>36634976.9516077</v>
      </c>
      <c r="K25" s="60" t="n">
        <f aca="false">K12+K15</f>
        <v>40544382.5352781</v>
      </c>
      <c r="L25" s="60" t="n">
        <f aca="false">L12+L15</f>
        <v>43032528.4968757</v>
      </c>
    </row>
    <row r="26" customFormat="false" ht="15" hidden="false" customHeight="false" outlineLevel="0" collapsed="false">
      <c r="B26" s="12" t="s">
        <v>191</v>
      </c>
      <c r="E26" s="57" t="n">
        <f aca="false">E25/04_Income_Statement!E12</f>
        <v>0.726344897092481</v>
      </c>
      <c r="F26" s="57" t="n">
        <f aca="false">F25/04_Income_Statement!F12</f>
        <v>0.691904254000425</v>
      </c>
      <c r="G26" s="57" t="n">
        <f aca="false">G25/04_Income_Statement!G12</f>
        <v>0.677367231294961</v>
      </c>
      <c r="H26" s="57" t="n">
        <f aca="false">H25/04_Income_Statement!H12</f>
        <v>0.697486632304396</v>
      </c>
      <c r="I26" s="57" t="n">
        <f aca="false">I25/04_Income_Statement!I12</f>
        <v>0.712105827019271</v>
      </c>
      <c r="J26" s="57" t="n">
        <f aca="false">J25/04_Income_Statement!J12</f>
        <v>0.714602314761404</v>
      </c>
      <c r="K26" s="57" t="n">
        <f aca="false">K25/04_Income_Statement!K12</f>
        <v>0.739935183357203</v>
      </c>
      <c r="L26" s="57" t="n">
        <f aca="false">L25/04_Income_Statement!L12</f>
        <v>0.744872358917872</v>
      </c>
    </row>
  </sheetData>
  <mergeCells count="2">
    <mergeCell ref="B1:L1"/>
    <mergeCell ref="B2:L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12" min="4" style="0" width="13"/>
  </cols>
  <sheetData>
    <row r="1" customFormat="false" ht="30" hidden="false" customHeight="true" outlineLevel="0" collapsed="false">
      <c r="A1" s="1"/>
      <c r="B1" s="2" t="s">
        <v>192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193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17" t="s">
        <v>41</v>
      </c>
      <c r="C4" s="18"/>
      <c r="D4" s="19" t="s">
        <v>82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6" customFormat="false" ht="15" hidden="false" customHeight="false" outlineLevel="0" collapsed="false">
      <c r="B6" s="12" t="s">
        <v>158</v>
      </c>
      <c r="H6" s="21" t="n">
        <f aca="false">04_Income_Statement!H15</f>
        <v>39005402.5143989</v>
      </c>
      <c r="I6" s="21" t="n">
        <f aca="false">04_Income_Statement!I15</f>
        <v>42528964.7315519</v>
      </c>
      <c r="J6" s="21" t="n">
        <f aca="false">04_Income_Statement!J15</f>
        <v>46146020.2833338</v>
      </c>
      <c r="K6" s="21" t="n">
        <f aca="false">04_Income_Statement!K15</f>
        <v>49367067.9682057</v>
      </c>
      <c r="L6" s="21" t="n">
        <f aca="false">04_Income_Statement!L15</f>
        <v>52072871.7622487</v>
      </c>
    </row>
    <row r="7" customFormat="false" ht="15" hidden="false" customHeight="false" outlineLevel="0" collapsed="false">
      <c r="B7" s="12" t="s">
        <v>194</v>
      </c>
      <c r="H7" s="21" t="n">
        <f aca="false">-H6*02_Assumptions!H11</f>
        <v>-6630918.42744781</v>
      </c>
      <c r="I7" s="21" t="n">
        <f aca="false">-I6*02_Assumptions!I11</f>
        <v>-7229924.00436383</v>
      </c>
      <c r="J7" s="21" t="n">
        <f aca="false">-J6*02_Assumptions!J11</f>
        <v>-7844823.44816675</v>
      </c>
      <c r="K7" s="21" t="n">
        <f aca="false">-K6*02_Assumptions!K11</f>
        <v>-8392401.55459496</v>
      </c>
      <c r="L7" s="21" t="n">
        <f aca="false">-L6*02_Assumptions!L11</f>
        <v>-8852388.19958227</v>
      </c>
    </row>
    <row r="8" customFormat="false" ht="15" hidden="false" customHeight="false" outlineLevel="0" collapsed="false">
      <c r="B8" s="4" t="s">
        <v>195</v>
      </c>
      <c r="H8" s="58" t="n">
        <f aca="false">H6+H7</f>
        <v>32374484.0869511</v>
      </c>
      <c r="I8" s="58" t="n">
        <f aca="false">I6+I7</f>
        <v>35299040.7271881</v>
      </c>
      <c r="J8" s="58" t="n">
        <f aca="false">J6+J7</f>
        <v>38301196.8351671</v>
      </c>
      <c r="K8" s="58" t="n">
        <f aca="false">K6+K7</f>
        <v>40974666.4136107</v>
      </c>
      <c r="L8" s="58" t="n">
        <f aca="false">L6+L7</f>
        <v>43220483.5626664</v>
      </c>
    </row>
    <row r="9" customFormat="false" ht="15" hidden="false" customHeight="false" outlineLevel="0" collapsed="false">
      <c r="B9" s="12" t="s">
        <v>196</v>
      </c>
      <c r="H9" s="21" t="n">
        <f aca="false">-04_Income_Statement!H14</f>
        <v>4451401.14287006</v>
      </c>
      <c r="I9" s="21" t="n">
        <f aca="false">-04_Income_Statement!I14</f>
        <v>4785256.22858531</v>
      </c>
      <c r="J9" s="21" t="n">
        <f aca="false">-04_Income_Statement!J14</f>
        <v>5120224.16458628</v>
      </c>
      <c r="K9" s="21" t="n">
        <f aca="false">-04_Income_Statement!K14</f>
        <v>5427437.61446146</v>
      </c>
      <c r="L9" s="21" t="n">
        <f aca="false">-04_Income_Statement!L14</f>
        <v>5698809.49518453</v>
      </c>
    </row>
    <row r="10" customFormat="false" ht="15" hidden="false" customHeight="false" outlineLevel="0" collapsed="false">
      <c r="B10" s="12" t="s">
        <v>197</v>
      </c>
      <c r="H10" s="21" t="n">
        <f aca="false">06_Cash_Flow!H14</f>
        <v>-6491626.6666855</v>
      </c>
      <c r="I10" s="21" t="n">
        <f aca="false">06_Cash_Flow!I14</f>
        <v>-6779112.99049585</v>
      </c>
      <c r="J10" s="21" t="n">
        <f aca="false">06_Cash_Flow!J14</f>
        <v>-7040308.22630614</v>
      </c>
      <c r="K10" s="21" t="n">
        <f aca="false">06_Cash_Flow!K14</f>
        <v>-7236583.48594861</v>
      </c>
      <c r="L10" s="21" t="n">
        <f aca="false">06_Cash_Flow!L14</f>
        <v>-7123511.86898066</v>
      </c>
    </row>
    <row r="11" customFormat="false" ht="15" hidden="false" customHeight="false" outlineLevel="0" collapsed="false">
      <c r="B11" s="12" t="s">
        <v>198</v>
      </c>
      <c r="H11" s="21" t="n">
        <f aca="false">06_Cash_Flow!H8+06_Cash_Flow!H9+06_Cash_Flow!H10+06_Cash_Flow!H11</f>
        <v>-327461.539964705</v>
      </c>
      <c r="I11" s="21" t="n">
        <f aca="false">06_Cash_Flow!I8+06_Cash_Flow!I9+06_Cash_Flow!I10+06_Cash_Flow!I11</f>
        <v>-256091.496058149</v>
      </c>
      <c r="J11" s="21" t="n">
        <f aca="false">06_Cash_Flow!J8+06_Cash_Flow!J9+06_Cash_Flow!J10+06_Cash_Flow!J11</f>
        <v>-781683.622706192</v>
      </c>
      <c r="K11" s="21" t="n">
        <f aca="false">06_Cash_Flow!K8+06_Cash_Flow!K9+06_Cash_Flow!K10+06_Cash_Flow!K11</f>
        <v>-93119.1087393696</v>
      </c>
      <c r="L11" s="21" t="n">
        <f aca="false">06_Cash_Flow!L8+06_Cash_Flow!L9+06_Cash_Flow!L10+06_Cash_Flow!L11</f>
        <v>-548068.969927465</v>
      </c>
    </row>
    <row r="12" customFormat="false" ht="15" hidden="false" customHeight="false" outlineLevel="0" collapsed="false">
      <c r="B12" s="4" t="s">
        <v>199</v>
      </c>
      <c r="H12" s="54" t="n">
        <f aca="false">SUM(H8:H11)</f>
        <v>30006797.0231709</v>
      </c>
      <c r="I12" s="54" t="n">
        <f aca="false">SUM(I8:I11)</f>
        <v>33049092.4692194</v>
      </c>
      <c r="J12" s="54" t="n">
        <f aca="false">SUM(J8:J11)</f>
        <v>35599429.1507411</v>
      </c>
      <c r="K12" s="54" t="n">
        <f aca="false">SUM(K8:K11)</f>
        <v>39072401.4333842</v>
      </c>
      <c r="L12" s="54" t="n">
        <f aca="false">SUM(L8:L11)</f>
        <v>41247712.2189428</v>
      </c>
    </row>
    <row r="13" customFormat="false" ht="15" hidden="false" customHeight="false" outlineLevel="0" collapsed="false">
      <c r="B13" s="12" t="s">
        <v>200</v>
      </c>
      <c r="H13" s="61" t="n">
        <v>1</v>
      </c>
      <c r="I13" s="62" t="n">
        <f aca="false">H13+1</f>
        <v>2</v>
      </c>
      <c r="J13" s="62" t="n">
        <f aca="false">I13+1</f>
        <v>3</v>
      </c>
      <c r="K13" s="62" t="n">
        <f aca="false">J13+1</f>
        <v>4</v>
      </c>
      <c r="L13" s="62" t="n">
        <f aca="false">K13+1</f>
        <v>5</v>
      </c>
    </row>
    <row r="14" customFormat="false" ht="15" hidden="false" customHeight="false" outlineLevel="0" collapsed="false">
      <c r="B14" s="12" t="s">
        <v>201</v>
      </c>
      <c r="H14" s="63" t="n">
        <f aca="false">1/(1+$E$19)^H13</f>
        <v>0.900900900900901</v>
      </c>
      <c r="I14" s="63" t="n">
        <f aca="false">1/(1+$E$19)^I13</f>
        <v>0.811622433244055</v>
      </c>
      <c r="J14" s="63" t="n">
        <f aca="false">1/(1+$E$19)^J13</f>
        <v>0.73119138130095</v>
      </c>
      <c r="K14" s="63" t="n">
        <f aca="false">1/(1+$E$19)^K13</f>
        <v>0.658730974145</v>
      </c>
      <c r="L14" s="63" t="n">
        <f aca="false">1/(1+$E$19)^L13</f>
        <v>0.593451328058559</v>
      </c>
    </row>
    <row r="15" customFormat="false" ht="15" hidden="false" customHeight="false" outlineLevel="0" collapsed="false">
      <c r="B15" s="4" t="s">
        <v>202</v>
      </c>
      <c r="H15" s="60" t="n">
        <f aca="false">H12*H14</f>
        <v>27033150.4713251</v>
      </c>
      <c r="I15" s="60" t="n">
        <f aca="false">I12*I14</f>
        <v>26823384.8463756</v>
      </c>
      <c r="J15" s="60" t="n">
        <f aca="false">J12*J14</f>
        <v>26029995.7742557</v>
      </c>
      <c r="K15" s="60" t="n">
        <f aca="false">K12*K14</f>
        <v>25738201.0583977</v>
      </c>
      <c r="L15" s="60" t="n">
        <f aca="false">L12*L14</f>
        <v>24478509.5957088</v>
      </c>
    </row>
    <row r="17" customFormat="false" ht="15" hidden="false" customHeight="false" outlineLevel="0" collapsed="false">
      <c r="B17" s="6" t="s">
        <v>203</v>
      </c>
      <c r="C17" s="7"/>
      <c r="D17" s="7"/>
      <c r="E17" s="7"/>
      <c r="F17" s="7"/>
    </row>
    <row r="18" customFormat="false" ht="15" hidden="false" customHeight="false" outlineLevel="0" collapsed="false">
      <c r="B18" s="12" t="s">
        <v>80</v>
      </c>
      <c r="E18" s="64" t="str">
        <f aca="false">02_Assumptions!C4</f>
        <v>Base</v>
      </c>
    </row>
    <row r="19" customFormat="false" ht="15" hidden="false" customHeight="false" outlineLevel="0" collapsed="false">
      <c r="B19" s="12" t="s">
        <v>114</v>
      </c>
      <c r="E19" s="27" t="n">
        <f aca="false">02_Assumptions!D53</f>
        <v>0.11</v>
      </c>
    </row>
    <row r="20" customFormat="false" ht="15" hidden="false" customHeight="false" outlineLevel="0" collapsed="false">
      <c r="B20" s="12" t="s">
        <v>204</v>
      </c>
      <c r="E20" s="27" t="n">
        <f aca="false">02_Assumptions!D54</f>
        <v>0.025</v>
      </c>
    </row>
    <row r="21" customFormat="false" ht="15" hidden="false" customHeight="false" outlineLevel="0" collapsed="false">
      <c r="B21" s="12" t="s">
        <v>205</v>
      </c>
      <c r="E21" s="65" t="n">
        <f aca="false">SUM(H15:L15)</f>
        <v>130103241.746063</v>
      </c>
    </row>
    <row r="22" customFormat="false" ht="15" hidden="false" customHeight="false" outlineLevel="0" collapsed="false">
      <c r="B22" s="12" t="s">
        <v>206</v>
      </c>
      <c r="E22" s="65" t="n">
        <f aca="false">L12*(1+E20)/(E19-E20)</f>
        <v>497398882.640192</v>
      </c>
    </row>
    <row r="23" customFormat="false" ht="15" hidden="false" customHeight="false" outlineLevel="0" collapsed="false">
      <c r="B23" s="12" t="s">
        <v>207</v>
      </c>
      <c r="E23" s="65" t="n">
        <f aca="false">E22*L14</f>
        <v>295182027.477665</v>
      </c>
    </row>
    <row r="24" customFormat="false" ht="15" hidden="false" customHeight="false" outlineLevel="0" collapsed="false">
      <c r="B24" s="4" t="s">
        <v>208</v>
      </c>
      <c r="E24" s="66" t="n">
        <f aca="false">E21+E23</f>
        <v>425285269.223728</v>
      </c>
    </row>
    <row r="25" customFormat="false" ht="15" hidden="false" customHeight="false" outlineLevel="0" collapsed="false">
      <c r="B25" s="12" t="s">
        <v>209</v>
      </c>
      <c r="E25" s="25" t="n">
        <f aca="false">05_Balance_Sheet!G16-05_Balance_Sheet!G6</f>
        <v>-35075190.47502</v>
      </c>
    </row>
    <row r="26" customFormat="false" ht="15" hidden="false" customHeight="false" outlineLevel="0" collapsed="false">
      <c r="B26" s="4" t="s">
        <v>210</v>
      </c>
      <c r="E26" s="66" t="n">
        <f aca="false">E24-E25</f>
        <v>460360459.698748</v>
      </c>
    </row>
    <row r="27" customFormat="false" ht="15" hidden="false" customHeight="false" outlineLevel="0" collapsed="false">
      <c r="B27" s="12" t="s">
        <v>211</v>
      </c>
      <c r="E27" s="67" t="n">
        <f aca="false">E23/E24</f>
        <v>0.69408006540283</v>
      </c>
    </row>
    <row r="28" customFormat="false" ht="15" hidden="false" customHeight="false" outlineLevel="0" collapsed="false">
      <c r="B28" s="12" t="s">
        <v>66</v>
      </c>
      <c r="E28" s="26" t="n">
        <f aca="false">E24/04_Income_Statement!G12</f>
        <v>10.7508269876155</v>
      </c>
    </row>
    <row r="29" customFormat="false" ht="15" hidden="false" customHeight="false" outlineLevel="0" collapsed="false">
      <c r="B29" s="12" t="s">
        <v>212</v>
      </c>
      <c r="E29" s="26" t="n">
        <f aca="false">E24/04_Income_Statement!H12</f>
        <v>9.78639093150588</v>
      </c>
    </row>
    <row r="30" customFormat="false" ht="15" hidden="false" customHeight="false" outlineLevel="0" collapsed="false">
      <c r="B30" s="12" t="s">
        <v>213</v>
      </c>
      <c r="E30" s="26" t="n">
        <f aca="false">E22/04_Income_Statement!L12</f>
        <v>8.60973528576676</v>
      </c>
    </row>
    <row r="31" customFormat="false" ht="15" hidden="false" customHeight="false" outlineLevel="0" collapsed="false">
      <c r="B31" s="12" t="s">
        <v>214</v>
      </c>
      <c r="E31" s="25" t="n">
        <f aca="false">E21+04_Income_Statement!L12*02_Assumptions!D55*L14</f>
        <v>438665370.443658</v>
      </c>
    </row>
    <row r="32" customFormat="false" ht="15" hidden="false" customHeight="false" outlineLevel="0" collapsed="false">
      <c r="B32" s="12" t="s">
        <v>215</v>
      </c>
      <c r="E32" s="67" t="n">
        <f aca="false">E31/E24-1</f>
        <v>0.0314614734819116</v>
      </c>
    </row>
    <row r="35" customFormat="false" ht="15" hidden="false" customHeight="false" outlineLevel="0" collapsed="false">
      <c r="B35" s="6" t="s">
        <v>216</v>
      </c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B36" s="4" t="s">
        <v>217</v>
      </c>
      <c r="D36" s="68" t="n">
        <f aca="false">$E$20+(-0.01)</f>
        <v>0.015</v>
      </c>
      <c r="E36" s="68" t="n">
        <f aca="false">$E$20+(-0.005)</f>
        <v>0.02</v>
      </c>
      <c r="F36" s="68" t="n">
        <f aca="false">$E$20+(0)</f>
        <v>0.025</v>
      </c>
      <c r="G36" s="68" t="n">
        <f aca="false">$E$20+(0.005)</f>
        <v>0.03</v>
      </c>
      <c r="H36" s="68" t="n">
        <f aca="false">$E$20+(0.01)</f>
        <v>0.035</v>
      </c>
    </row>
    <row r="37" customFormat="false" ht="15" hidden="false" customHeight="false" outlineLevel="0" collapsed="false">
      <c r="C37" s="68" t="n">
        <f aca="false">$E$19+(-0.02)</f>
        <v>0.09</v>
      </c>
      <c r="D37" s="69" t="n">
        <f aca="false">SUMPRODUCT($H$12:$L$12/(1+$C37)^$H$13:$L$13)+$L$12*(1+D$36)/($C37-D$36)/(1+$C37)^$L$13</f>
        <v>500127353.292072</v>
      </c>
      <c r="E37" s="69" t="n">
        <f aca="false">SUMPRODUCT($H$12:$L$12/(1+$C37)^$H$13:$L$13)+$L$12*(1+E$36)/($C37-E$36)/(1+$C37)^$L$13</f>
        <v>527956800.182225</v>
      </c>
      <c r="F37" s="69" t="n">
        <f aca="false">SUMPRODUCT($H$12:$L$12/(1+$C37)^$H$13:$L$13)+$L$12*(1+F$36)/($C37-F$36)/(1+$C37)^$L$13</f>
        <v>560067700.440094</v>
      </c>
      <c r="G37" s="69" t="n">
        <f aca="false">SUMPRODUCT($H$12:$L$12/(1+$C37)^$H$13:$L$13)+$L$12*(1+G$36)/($C37-G$36)/(1+$C37)^$L$13</f>
        <v>597530417.407609</v>
      </c>
      <c r="H37" s="69" t="n">
        <f aca="false">SUMPRODUCT($H$12:$L$12/(1+$C37)^$H$13:$L$13)+$L$12*(1+H$36)/($C37-H$36)/(1+$C37)^$L$13</f>
        <v>641804537.460125</v>
      </c>
    </row>
    <row r="38" customFormat="false" ht="15" hidden="false" customHeight="false" outlineLevel="0" collapsed="false">
      <c r="C38" s="68" t="n">
        <f aca="false">$E$19+(-0.01)</f>
        <v>0.1</v>
      </c>
      <c r="D38" s="69" t="n">
        <f aca="false">SUMPRODUCT($H$12:$L$12/(1+$C38)^$H$13:$L$13)+$L$12*(1+D$36)/($C38-D$36)/(1+$C38)^$L$13</f>
        <v>439469588.689702</v>
      </c>
      <c r="E38" s="69" t="n">
        <f aca="false">SUMPRODUCT($H$12:$L$12/(1+$C38)^$H$13:$L$13)+$L$12*(1+E$36)/($C38-E$36)/(1+$C38)^$L$13</f>
        <v>460184840.490117</v>
      </c>
      <c r="F38" s="69" t="n">
        <f aca="false">SUMPRODUCT($H$12:$L$12/(1+$C38)^$H$13:$L$13)+$L$12*(1+F$36)/($C38-F$36)/(1+$C38)^$L$13</f>
        <v>483662125.86392</v>
      </c>
      <c r="G38" s="69" t="n">
        <f aca="false">SUMPRODUCT($H$12:$L$12/(1+$C38)^$H$13:$L$13)+$L$12*(1+G$36)/($C38-G$36)/(1+$C38)^$L$13</f>
        <v>510493309.148267</v>
      </c>
      <c r="H38" s="69" t="n">
        <f aca="false">SUMPRODUCT($H$12:$L$12/(1+$C38)^$H$13:$L$13)+$L$12*(1+H$36)/($C38-H$36)/(1+$C38)^$L$13</f>
        <v>541452366.784052</v>
      </c>
    </row>
    <row r="39" customFormat="false" ht="15" hidden="false" customHeight="false" outlineLevel="0" collapsed="false">
      <c r="C39" s="68" t="n">
        <f aca="false">$E$19+(0)</f>
        <v>0.11</v>
      </c>
      <c r="D39" s="69" t="n">
        <f aca="false">SUMPRODUCT($H$12:$L$12/(1+$C39)^$H$13:$L$13)+$L$12*(1+D$36)/($C39-D$36)/(1+$C39)^$L$13</f>
        <v>391636791.637057</v>
      </c>
      <c r="E39" s="69" t="n">
        <f aca="false">SUMPRODUCT($H$12:$L$12/(1+$C39)^$H$13:$L$13)+$L$12*(1+E$36)/($C39-E$36)/(1+$C39)^$L$13</f>
        <v>407526350.49743</v>
      </c>
      <c r="F39" s="69" t="n">
        <f aca="false">SUMPRODUCT($H$12:$L$12/(1+$C39)^$H$13:$L$13)+$L$12*(1+F$36)/($C39-F$36)/(1+$C39)^$L$13</f>
        <v>425285269.223728</v>
      </c>
      <c r="G39" s="69" t="n">
        <f aca="false">SUMPRODUCT($H$12:$L$12/(1+$C39)^$H$13:$L$13)+$L$12*(1+G$36)/($C39-G$36)/(1+$C39)^$L$13</f>
        <v>445264052.790814</v>
      </c>
      <c r="H39" s="69" t="n">
        <f aca="false">SUMPRODUCT($H$12:$L$12/(1+$C39)^$H$13:$L$13)+$L$12*(1+H$36)/($C39-H$36)/(1+$C39)^$L$13</f>
        <v>467906674.166845</v>
      </c>
    </row>
    <row r="40" customFormat="false" ht="15" hidden="false" customHeight="false" outlineLevel="0" collapsed="false">
      <c r="C40" s="68" t="n">
        <f aca="false">$E$19+(0.01)</f>
        <v>0.12</v>
      </c>
      <c r="D40" s="69" t="n">
        <f aca="false">SUMPRODUCT($H$12:$L$12/(1+$C40)^$H$13:$L$13)+$L$12*(1+D$36)/($C40-D$36)/(1+$C40)^$L$13</f>
        <v>352962474.811809</v>
      </c>
      <c r="E40" s="69" t="n">
        <f aca="false">SUMPRODUCT($H$12:$L$12/(1+$C40)^$H$13:$L$13)+$L$12*(1+E$36)/($C40-E$36)/(1+$C40)^$L$13</f>
        <v>365445173.291799</v>
      </c>
      <c r="F40" s="69" t="n">
        <f aca="false">SUMPRODUCT($H$12:$L$12/(1+$C40)^$H$13:$L$13)+$L$12*(1+F$36)/($C40-F$36)/(1+$C40)^$L$13</f>
        <v>379241840.03284</v>
      </c>
      <c r="G40" s="69" t="n">
        <f aca="false">SUMPRODUCT($H$12:$L$12/(1+$C40)^$H$13:$L$13)+$L$12*(1+G$36)/($C40-G$36)/(1+$C40)^$L$13</f>
        <v>394571469.745108</v>
      </c>
      <c r="H40" s="69" t="n">
        <f aca="false">SUMPRODUCT($H$12:$L$12/(1+$C40)^$H$13:$L$13)+$L$12*(1+H$36)/($C40-H$36)/(1+$C40)^$L$13</f>
        <v>411704585.305877</v>
      </c>
    </row>
    <row r="41" customFormat="false" ht="15" hidden="false" customHeight="false" outlineLevel="0" collapsed="false">
      <c r="C41" s="68" t="n">
        <f aca="false">$E$19+(0.02)</f>
        <v>0.13</v>
      </c>
      <c r="D41" s="69" t="n">
        <f aca="false">SUMPRODUCT($H$12:$L$12/(1+$C41)^$H$13:$L$13)+$L$12*(1+D$36)/($C41-D$36)/(1+$C41)^$L$13</f>
        <v>321055560.278341</v>
      </c>
      <c r="E41" s="69" t="n">
        <f aca="false">SUMPRODUCT($H$12:$L$12/(1+$C41)^$H$13:$L$13)+$L$12*(1+E$36)/($C41-E$36)/(1+$C41)^$L$13</f>
        <v>331054767.542297</v>
      </c>
      <c r="F41" s="69" t="n">
        <f aca="false">SUMPRODUCT($H$12:$L$12/(1+$C41)^$H$13:$L$13)+$L$12*(1+F$36)/($C41-F$36)/(1+$C41)^$L$13</f>
        <v>342006280.259962</v>
      </c>
      <c r="G41" s="69" t="n">
        <f aca="false">SUMPRODUCT($H$12:$L$12/(1+$C41)^$H$13:$L$13)+$L$12*(1+G$36)/($C41-G$36)/(1+$C41)^$L$13</f>
        <v>354052944.249394</v>
      </c>
      <c r="H41" s="69" t="n">
        <f aca="false">SUMPRODUCT($H$12:$L$12/(1+$C41)^$H$13:$L$13)+$L$12*(1+H$36)/($C41-H$36)/(1+$C41)^$L$13</f>
        <v>367367678.13245</v>
      </c>
    </row>
    <row r="43" customFormat="false" ht="15" hidden="false" customHeight="false" outlineLevel="0" collapsed="false">
      <c r="B43" s="31" t="s">
        <v>218</v>
      </c>
    </row>
    <row r="44" customFormat="false" ht="15" hidden="false" customHeight="false" outlineLevel="0" collapsed="false">
      <c r="B44" s="12" t="s">
        <v>219</v>
      </c>
      <c r="E44" s="62" t="n">
        <f aca="false">ROUND(F39-E24,0)</f>
        <v>0</v>
      </c>
    </row>
  </sheetData>
  <mergeCells count="2">
    <mergeCell ref="B1:L1"/>
    <mergeCell ref="B2:L2"/>
  </mergeCells>
  <conditionalFormatting sqref="D37:H41">
    <cfRule type="colorScale" priority="2">
      <colorScale>
        <cfvo type="min" val="0"/>
        <cfvo type="percentile" val="50"/>
        <cfvo type="max" val="0"/>
        <color rgb="FFF4B6AE"/>
        <color rgb="FFFFF4CC"/>
        <color rgb="FFB7E1CD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3"/>
    <col collapsed="false" customWidth="true" hidden="false" outlineLevel="0" max="12" min="4" style="0" width="12"/>
  </cols>
  <sheetData>
    <row r="1" customFormat="false" ht="30" hidden="false" customHeight="true" outlineLevel="0" collapsed="false">
      <c r="A1" s="1"/>
      <c r="B1" s="2" t="s">
        <v>220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B2" s="3" t="s">
        <v>221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B4" s="17" t="s">
        <v>41</v>
      </c>
      <c r="C4" s="18"/>
      <c r="D4" s="19" t="s">
        <v>82</v>
      </c>
      <c r="E4" s="19" t="s">
        <v>42</v>
      </c>
      <c r="F4" s="19" t="s">
        <v>43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5" customFormat="false" ht="15" hidden="false" customHeight="false" outlineLevel="0" collapsed="false">
      <c r="D5" s="20" t="s">
        <v>83</v>
      </c>
      <c r="E5" s="20" t="s">
        <v>50</v>
      </c>
      <c r="F5" s="20" t="s">
        <v>50</v>
      </c>
      <c r="G5" s="20" t="s">
        <v>50</v>
      </c>
      <c r="H5" s="20" t="s">
        <v>51</v>
      </c>
      <c r="I5" s="20" t="s">
        <v>51</v>
      </c>
      <c r="J5" s="20" t="s">
        <v>51</v>
      </c>
      <c r="K5" s="20" t="s">
        <v>51</v>
      </c>
      <c r="L5" s="20" t="s">
        <v>51</v>
      </c>
    </row>
    <row r="6" customFormat="false" ht="15" hidden="false" customHeight="false" outlineLevel="0" collapsed="false">
      <c r="B6" s="12" t="s">
        <v>98</v>
      </c>
      <c r="E6" s="22" t="n">
        <f aca="false">04_Income_Statement!E7</f>
        <v>0.0850843711226246</v>
      </c>
      <c r="F6" s="22" t="n">
        <f aca="false">04_Income_Statement!F7</f>
        <v>0.0808791479544162</v>
      </c>
      <c r="G6" s="22" t="n">
        <f aca="false">04_Income_Statement!G7</f>
        <v>0.0735115430687137</v>
      </c>
      <c r="H6" s="22" t="n">
        <f aca="false">04_Income_Statement!H7</f>
        <v>0.0800000000000001</v>
      </c>
      <c r="I6" s="22" t="n">
        <f aca="false">04_Income_Statement!I7</f>
        <v>0.075</v>
      </c>
      <c r="J6" s="22" t="n">
        <f aca="false">04_Income_Statement!J7</f>
        <v>0.0700000000000001</v>
      </c>
      <c r="K6" s="22" t="n">
        <f aca="false">04_Income_Statement!K7</f>
        <v>0.0600000000000001</v>
      </c>
      <c r="L6" s="22" t="n">
        <f aca="false">04_Income_Statement!L7</f>
        <v>0.05</v>
      </c>
    </row>
    <row r="7" customFormat="false" ht="15" hidden="false" customHeight="false" outlineLevel="0" collapsed="false">
      <c r="B7" s="12" t="s">
        <v>222</v>
      </c>
      <c r="E7" s="22" t="n">
        <f aca="false">04_Income_Statement!E10</f>
        <v>0.394673420761161</v>
      </c>
      <c r="F7" s="22" t="n">
        <f aca="false">04_Income_Statement!F10</f>
        <v>0.391930977876573</v>
      </c>
      <c r="G7" s="22" t="n">
        <f aca="false">04_Income_Statement!G10</f>
        <v>0.385112518240664</v>
      </c>
      <c r="H7" s="22" t="n">
        <f aca="false">04_Income_Statement!H10</f>
        <v>0.3881</v>
      </c>
      <c r="I7" s="22" t="n">
        <f aca="false">04_Income_Statement!I10</f>
        <v>0.3901</v>
      </c>
      <c r="J7" s="22" t="n">
        <f aca="false">04_Income_Statement!J10</f>
        <v>0.3921</v>
      </c>
      <c r="K7" s="22" t="n">
        <f aca="false">04_Income_Statement!K10</f>
        <v>0.3931</v>
      </c>
      <c r="L7" s="22" t="n">
        <f aca="false">04_Income_Statement!L10</f>
        <v>0.3941</v>
      </c>
    </row>
    <row r="8" customFormat="false" ht="15" hidden="false" customHeight="false" outlineLevel="0" collapsed="false">
      <c r="B8" s="12" t="s">
        <v>223</v>
      </c>
      <c r="E8" s="22" t="n">
        <f aca="false">04_Income_Statement!E13</f>
        <v>0.242190947161043</v>
      </c>
      <c r="F8" s="22" t="n">
        <f aca="false">04_Income_Statement!F13</f>
        <v>0.240138460648984</v>
      </c>
      <c r="G8" s="22" t="n">
        <f aca="false">04_Income_Statement!G13</f>
        <v>0.230343908401155</v>
      </c>
      <c r="H8" s="22" t="n">
        <f aca="false">04_Income_Statement!H13</f>
        <v>0.2343</v>
      </c>
      <c r="I8" s="22" t="n">
        <f aca="false">04_Income_Statement!I13</f>
        <v>0.2373</v>
      </c>
      <c r="J8" s="22" t="n">
        <f aca="false">04_Income_Statement!J13</f>
        <v>0.2403</v>
      </c>
      <c r="K8" s="22" t="n">
        <f aca="false">04_Income_Statement!K13</f>
        <v>0.2423</v>
      </c>
      <c r="L8" s="22" t="n">
        <f aca="false">04_Income_Statement!L13</f>
        <v>0.2433</v>
      </c>
    </row>
    <row r="9" customFormat="false" ht="15" hidden="false" customHeight="false" outlineLevel="0" collapsed="false">
      <c r="B9" s="12" t="s">
        <v>224</v>
      </c>
      <c r="E9" s="22" t="n">
        <f aca="false">04_Income_Statement!E16</f>
        <v>0.220190947161043</v>
      </c>
      <c r="F9" s="22" t="n">
        <f aca="false">04_Income_Statement!F16</f>
        <v>0.217138460648984</v>
      </c>
      <c r="G9" s="22" t="n">
        <f aca="false">04_Income_Statement!G16</f>
        <v>0.206343908401155</v>
      </c>
      <c r="H9" s="22" t="n">
        <f aca="false">04_Income_Statement!H16</f>
        <v>0.2103</v>
      </c>
      <c r="I9" s="22" t="n">
        <f aca="false">04_Income_Statement!I16</f>
        <v>0.2133</v>
      </c>
      <c r="J9" s="22" t="n">
        <f aca="false">04_Income_Statement!J16</f>
        <v>0.2163</v>
      </c>
      <c r="K9" s="22" t="n">
        <f aca="false">04_Income_Statement!K16</f>
        <v>0.2183</v>
      </c>
      <c r="L9" s="22" t="n">
        <f aca="false">04_Income_Statement!L16</f>
        <v>0.2193</v>
      </c>
    </row>
    <row r="10" customFormat="false" ht="15" hidden="false" customHeight="false" outlineLevel="0" collapsed="false">
      <c r="B10" s="12" t="s">
        <v>225</v>
      </c>
      <c r="E10" s="22" t="n">
        <f aca="false">04_Income_Statement!E22</f>
        <v>0.174598992524038</v>
      </c>
      <c r="F10" s="22" t="n">
        <f aca="false">04_Income_Statement!F22</f>
        <v>0.176380350546231</v>
      </c>
      <c r="G10" s="22" t="n">
        <f aca="false">04_Income_Statement!G22</f>
        <v>0.170520275081827</v>
      </c>
      <c r="H10" s="22" t="n">
        <f aca="false">04_Income_Statement!H22</f>
        <v>0.176186646758145</v>
      </c>
      <c r="I10" s="22" t="n">
        <f aca="false">04_Income_Statement!I22</f>
        <v>0.180267115427685</v>
      </c>
      <c r="J10" s="22" t="n">
        <f aca="false">04_Income_Statement!J22</f>
        <v>0.184382917801626</v>
      </c>
      <c r="K10" s="22" t="n">
        <f aca="false">04_Income_Statement!K22</f>
        <v>0.187698065410779</v>
      </c>
      <c r="L10" s="22" t="n">
        <f aca="false">04_Income_Statement!L22</f>
        <v>0.189535585824914</v>
      </c>
    </row>
    <row r="11" customFormat="false" ht="15" hidden="false" customHeight="false" outlineLevel="0" collapsed="false">
      <c r="B11" s="12" t="s">
        <v>226</v>
      </c>
      <c r="E11" s="22" t="n">
        <f aca="false">04_Income_Statement!E21/AVERAGE(05_Balance_Sheet!D21,05_Balance_Sheet!E21)</f>
        <v>0.504202152051777</v>
      </c>
      <c r="F11" s="22" t="n">
        <f aca="false">04_Income_Statement!F21/AVERAGE(05_Balance_Sheet!E21,05_Balance_Sheet!F21)</f>
        <v>0.418210351768195</v>
      </c>
      <c r="G11" s="22" t="n">
        <f aca="false">04_Income_Statement!G21/AVERAGE(05_Balance_Sheet!F21,05_Balance_Sheet!G21)</f>
        <v>0.345660925586071</v>
      </c>
      <c r="H11" s="22" t="n">
        <f aca="false">04_Income_Statement!H21/AVERAGE(05_Balance_Sheet!G21,05_Balance_Sheet!H21)</f>
        <v>0.326647388711156</v>
      </c>
      <c r="I11" s="22" t="n">
        <f aca="false">04_Income_Statement!I21/AVERAGE(05_Balance_Sheet!H21,05_Balance_Sheet!I21)</f>
        <v>0.315936634371232</v>
      </c>
      <c r="J11" s="22" t="n">
        <f aca="false">04_Income_Statement!J21/AVERAGE(05_Balance_Sheet!I21,05_Balance_Sheet!J21)</f>
        <v>0.305358871933819</v>
      </c>
      <c r="K11" s="22" t="n">
        <f aca="false">04_Income_Statement!K21/AVERAGE(05_Balance_Sheet!J21,05_Balance_Sheet!K21)</f>
        <v>0.292376508776852</v>
      </c>
      <c r="L11" s="22" t="n">
        <f aca="false">04_Income_Statement!L21/AVERAGE(05_Balance_Sheet!K21,05_Balance_Sheet!L21)</f>
        <v>0.276668932659549</v>
      </c>
    </row>
    <row r="12" customFormat="false" ht="15" hidden="false" customHeight="false" outlineLevel="0" collapsed="false">
      <c r="B12" s="12" t="s">
        <v>227</v>
      </c>
      <c r="E12" s="22" t="n">
        <f aca="false">04_Income_Statement!E15/(05_Balance_Sheet!E11-05_Balance_Sheet!E15)</f>
        <v>0.407343119164412</v>
      </c>
      <c r="F12" s="22" t="n">
        <f aca="false">04_Income_Statement!F15/(05_Balance_Sheet!F11-05_Balance_Sheet!F15)</f>
        <v>0.373777116381204</v>
      </c>
      <c r="G12" s="22" t="n">
        <f aca="false">04_Income_Statement!G15/(05_Balance_Sheet!G11-05_Balance_Sheet!G15)</f>
        <v>0.332721416085079</v>
      </c>
      <c r="H12" s="22" t="n">
        <f aca="false">04_Income_Statement!H15/(05_Balance_Sheet!H11-05_Balance_Sheet!H15)</f>
        <v>0.337484307104961</v>
      </c>
      <c r="I12" s="22" t="n">
        <f aca="false">04_Income_Statement!I15/(05_Balance_Sheet!I11-05_Balance_Sheet!I15)</f>
        <v>0.337654711909533</v>
      </c>
      <c r="J12" s="22" t="n">
        <f aca="false">04_Income_Statement!J15/(05_Balance_Sheet!J11-05_Balance_Sheet!J15)</f>
        <v>0.337599361618772</v>
      </c>
      <c r="K12" s="22" t="n">
        <f aca="false">04_Income_Statement!K15/(05_Balance_Sheet!K11-05_Balance_Sheet!K15)</f>
        <v>0.321259283571382</v>
      </c>
      <c r="L12" s="22" t="n">
        <f aca="false">04_Income_Statement!L15/(05_Balance_Sheet!L11-05_Balance_Sheet!L15)</f>
        <v>0.303332135136253</v>
      </c>
    </row>
    <row r="13" customFormat="false" ht="15" hidden="false" customHeight="false" outlineLevel="0" collapsed="false">
      <c r="B13" s="12" t="s">
        <v>228</v>
      </c>
      <c r="E13" s="70" t="n">
        <f aca="false">05_Balance_Sheet!E7/04_Income_Statement!E6*365</f>
        <v>58</v>
      </c>
      <c r="F13" s="70" t="n">
        <f aca="false">05_Balance_Sheet!F7/04_Income_Statement!F6*365</f>
        <v>57</v>
      </c>
      <c r="G13" s="70" t="n">
        <f aca="false">05_Balance_Sheet!G7/04_Income_Statement!G6*365</f>
        <v>57</v>
      </c>
      <c r="H13" s="70" t="n">
        <f aca="false">05_Balance_Sheet!H7/04_Income_Statement!H6*365</f>
        <v>56</v>
      </c>
      <c r="I13" s="70" t="n">
        <f aca="false">05_Balance_Sheet!I7/04_Income_Statement!I6*365</f>
        <v>55</v>
      </c>
      <c r="J13" s="70" t="n">
        <f aca="false">05_Balance_Sheet!J7/04_Income_Statement!J6*365</f>
        <v>55</v>
      </c>
      <c r="K13" s="70" t="n">
        <f aca="false">05_Balance_Sheet!K7/04_Income_Statement!K6*365</f>
        <v>54</v>
      </c>
      <c r="L13" s="70" t="n">
        <f aca="false">05_Balance_Sheet!L7/04_Income_Statement!L6*365</f>
        <v>54</v>
      </c>
    </row>
    <row r="14" customFormat="false" ht="15" hidden="false" customHeight="false" outlineLevel="0" collapsed="false">
      <c r="B14" s="12" t="s">
        <v>229</v>
      </c>
      <c r="E14" s="70" t="n">
        <f aca="false">-05_Balance_Sheet!E13/04_Income_Statement!E8*365</f>
        <v>46</v>
      </c>
      <c r="F14" s="70" t="n">
        <f aca="false">-05_Balance_Sheet!F13/04_Income_Statement!F8*365</f>
        <v>46</v>
      </c>
      <c r="G14" s="70" t="n">
        <f aca="false">-05_Balance_Sheet!G13/04_Income_Statement!G8*365</f>
        <v>45</v>
      </c>
      <c r="H14" s="70" t="n">
        <f aca="false">-05_Balance_Sheet!H13/04_Income_Statement!H8*365</f>
        <v>45</v>
      </c>
      <c r="I14" s="70" t="n">
        <f aca="false">-05_Balance_Sheet!I13/04_Income_Statement!I8*365</f>
        <v>45</v>
      </c>
      <c r="J14" s="70" t="n">
        <f aca="false">-05_Balance_Sheet!J13/04_Income_Statement!J8*365</f>
        <v>45</v>
      </c>
      <c r="K14" s="70" t="n">
        <f aca="false">-05_Balance_Sheet!K13/04_Income_Statement!K8*365</f>
        <v>45</v>
      </c>
      <c r="L14" s="70" t="n">
        <f aca="false">-05_Balance_Sheet!L13/04_Income_Statement!L8*365</f>
        <v>45</v>
      </c>
    </row>
    <row r="15" customFormat="false" ht="15" hidden="false" customHeight="false" outlineLevel="0" collapsed="false">
      <c r="B15" s="12" t="s">
        <v>230</v>
      </c>
      <c r="E15" s="21" t="n">
        <f aca="false">05_Balance_Sheet!E16-05_Balance_Sheet!E6</f>
        <v>-4699619.39639586</v>
      </c>
      <c r="F15" s="21" t="n">
        <f aca="false">05_Balance_Sheet!F16-05_Balance_Sheet!F6</f>
        <v>-19993440.6049917</v>
      </c>
      <c r="G15" s="21" t="n">
        <f aca="false">05_Balance_Sheet!G16-05_Balance_Sheet!G6</f>
        <v>-35075190.47502</v>
      </c>
      <c r="H15" s="21" t="n">
        <f aca="false">05_Balance_Sheet!H16-05_Balance_Sheet!H6</f>
        <v>-45778794.0902007</v>
      </c>
      <c r="I15" s="21" t="n">
        <f aca="false">05_Balance_Sheet!I16-05_Balance_Sheet!I6</f>
        <v>-57905918.1140559</v>
      </c>
      <c r="J15" s="21" t="n">
        <f aca="false">05_Balance_Sheet!J16-05_Balance_Sheet!J6</f>
        <v>-70938848.2840434</v>
      </c>
      <c r="K15" s="21" t="n">
        <f aca="false">05_Balance_Sheet!K16-05_Balance_Sheet!K6</f>
        <v>-86015242.3100187</v>
      </c>
      <c r="L15" s="21" t="n">
        <f aca="false">05_Balance_Sheet!L16-05_Balance_Sheet!L6</f>
        <v>-102044590.902535</v>
      </c>
    </row>
    <row r="16" customFormat="false" ht="15" hidden="false" customHeight="false" outlineLevel="0" collapsed="false">
      <c r="B16" s="12" t="s">
        <v>60</v>
      </c>
      <c r="E16" s="23" t="n">
        <f aca="false">E15/04_Income_Statement!E12</f>
        <v>-0.131107308959774</v>
      </c>
      <c r="F16" s="23" t="n">
        <f aca="false">F15/04_Income_Statement!F12</f>
        <v>-0.520440154736017</v>
      </c>
      <c r="G16" s="23" t="n">
        <f aca="false">G15/04_Income_Statement!G12</f>
        <v>-0.886669094001063</v>
      </c>
      <c r="H16" s="23" t="n">
        <f aca="false">H15/04_Income_Statement!H12</f>
        <v>-1.0534321495719</v>
      </c>
      <c r="I16" s="23" t="n">
        <f aca="false">I15/04_Income_Statement!I12</f>
        <v>-1.22385863993919</v>
      </c>
      <c r="J16" s="23" t="n">
        <f aca="false">J15/04_Income_Statement!J12</f>
        <v>-1.3837340544051</v>
      </c>
      <c r="K16" s="23" t="n">
        <f aca="false">K15/04_Income_Statement!K12</f>
        <v>-1.56977860089</v>
      </c>
      <c r="L16" s="23" t="n">
        <f aca="false">L15/04_Income_Statement!L12</f>
        <v>-1.76634275966143</v>
      </c>
    </row>
    <row r="17" customFormat="false" ht="15" hidden="false" customHeight="false" outlineLevel="0" collapsed="false">
      <c r="B17" s="12" t="s">
        <v>231</v>
      </c>
      <c r="E17" s="71" t="n">
        <f aca="false">IF(04_Income_Statement!E17=0,"n/m",-04_Income_Statement!E15/04_Income_Statement!E17)</f>
        <v>17.3810522881393</v>
      </c>
      <c r="F17" s="71" t="n">
        <f aca="false">IF(04_Income_Statement!F17=0,"n/m",-04_Income_Statement!F15/04_Income_Statement!F17)</f>
        <v>22.9741779519729</v>
      </c>
      <c r="G17" s="71" t="n">
        <f aca="false">IF(04_Income_Statement!G17=0,"n/m",-04_Income_Statement!G15/04_Income_Statement!G17)</f>
        <v>29.7787474608742</v>
      </c>
      <c r="H17" s="71" t="n">
        <f aca="false">IF(04_Income_Statement!H17=0,"n/m",-04_Income_Statement!H15/04_Income_Statement!H17)</f>
        <v>44.1237585004512</v>
      </c>
      <c r="I17" s="71" t="n">
        <f aca="false">IF(04_Income_Statement!I17=0,"n/m",-04_Income_Statement!I15/04_Income_Statement!I17)</f>
        <v>71.5975837231514</v>
      </c>
      <c r="J17" s="71" t="n">
        <f aca="false">IF(04_Income_Statement!J17=0,"n/m",-04_Income_Statement!J15/04_Income_Statement!J17)</f>
        <v>141.98775471795</v>
      </c>
      <c r="K17" s="71" t="str">
        <f aca="false">IF(04_Income_Statement!K17=0,"n/m",-04_Income_Statement!K15/04_Income_Statement!K17)</f>
        <v>n/m</v>
      </c>
      <c r="L17" s="71" t="str">
        <f aca="false">IF(04_Income_Statement!L17=0,"n/m",-04_Income_Statement!L15/04_Income_Statement!L17)</f>
        <v>n/m</v>
      </c>
    </row>
    <row r="18" customFormat="false" ht="15" hidden="false" customHeight="false" outlineLevel="0" collapsed="false">
      <c r="B18" s="12" t="s">
        <v>58</v>
      </c>
      <c r="E18" s="21" t="n">
        <f aca="false">06_Cash_Flow!E25</f>
        <v>26036264.4457626</v>
      </c>
      <c r="F18" s="21" t="n">
        <f aca="false">06_Cash_Flow!F25</f>
        <v>26580475.1628271</v>
      </c>
      <c r="G18" s="21" t="n">
        <f aca="false">06_Cash_Flow!G25</f>
        <v>26795548.4407346</v>
      </c>
      <c r="H18" s="21" t="n">
        <f aca="false">06_Cash_Flow!H25</f>
        <v>30310539.6336218</v>
      </c>
      <c r="I18" s="21" t="n">
        <f aca="false">06_Cash_Flow!I25</f>
        <v>33692732.4465911</v>
      </c>
      <c r="J18" s="21" t="n">
        <f aca="false">06_Cash_Flow!J25</f>
        <v>36634976.9516077</v>
      </c>
      <c r="K18" s="21" t="n">
        <f aca="false">06_Cash_Flow!K25</f>
        <v>40544382.5352781</v>
      </c>
      <c r="L18" s="21" t="n">
        <f aca="false">06_Cash_Flow!L25</f>
        <v>43032528.4968757</v>
      </c>
    </row>
    <row r="19" customFormat="false" ht="15" hidden="false" customHeight="false" outlineLevel="0" collapsed="false">
      <c r="B19" s="12" t="s">
        <v>232</v>
      </c>
      <c r="E19" s="22" t="n">
        <f aca="false">06_Cash_Flow!E26</f>
        <v>0.726344897092481</v>
      </c>
      <c r="F19" s="22" t="n">
        <f aca="false">06_Cash_Flow!F26</f>
        <v>0.691904254000425</v>
      </c>
      <c r="G19" s="22" t="n">
        <f aca="false">06_Cash_Flow!G26</f>
        <v>0.677367231294961</v>
      </c>
      <c r="H19" s="22" t="n">
        <f aca="false">06_Cash_Flow!H26</f>
        <v>0.697486632304396</v>
      </c>
      <c r="I19" s="22" t="n">
        <f aca="false">06_Cash_Flow!I26</f>
        <v>0.712105827019271</v>
      </c>
      <c r="J19" s="22" t="n">
        <f aca="false">06_Cash_Flow!J26</f>
        <v>0.714602314761404</v>
      </c>
      <c r="K19" s="22" t="n">
        <f aca="false">06_Cash_Flow!K26</f>
        <v>0.739935183357203</v>
      </c>
      <c r="L19" s="22" t="n">
        <f aca="false">06_Cash_Flow!L26</f>
        <v>0.744872358917872</v>
      </c>
    </row>
    <row r="20" customFormat="false" ht="15" hidden="false" customHeight="false" outlineLevel="0" collapsed="false">
      <c r="B20" s="12" t="s">
        <v>233</v>
      </c>
      <c r="E20" s="22" t="n">
        <f aca="false">05_Balance_Sheet!E6/04_Income_Statement!E6</f>
        <v>0.173639614533803</v>
      </c>
      <c r="F20" s="22" t="n">
        <f aca="false">05_Balance_Sheet!F6/04_Income_Statement!F6</f>
        <v>0.231243592592771</v>
      </c>
      <c r="G20" s="22" t="n">
        <f aca="false">05_Balance_Sheet!G6/04_Income_Statement!G6</f>
        <v>0.279936338496127</v>
      </c>
      <c r="H20" s="22" t="n">
        <f aca="false">05_Balance_Sheet!H6/04_Income_Statement!H6</f>
        <v>0.29534320003278</v>
      </c>
      <c r="I20" s="22" t="n">
        <f aca="false">05_Balance_Sheet!I6/04_Income_Statement!I6</f>
        <v>0.315498682331515</v>
      </c>
      <c r="J20" s="22" t="n">
        <f aca="false">05_Balance_Sheet!J6/04_Income_Statement!J6</f>
        <v>0.332511293273545</v>
      </c>
      <c r="K20" s="22" t="n">
        <f aca="false">05_Balance_Sheet!K6/04_Income_Statement!K6</f>
        <v>0.380357354995648</v>
      </c>
      <c r="L20" s="22" t="n">
        <f aca="false">05_Balance_Sheet!L6/04_Income_Statement!L6</f>
        <v>0.429751193425625</v>
      </c>
    </row>
  </sheetData>
  <mergeCells count="2">
    <mergeCell ref="B1:L1"/>
    <mergeCell ref="B2:L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/>
      <c r="B1" s="2" t="s">
        <v>234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235</v>
      </c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B4" s="4" t="s">
        <v>236</v>
      </c>
      <c r="C4" s="13" t="str">
        <f aca="false">IF(COUNTIF(F8:F19,"FAIL")=0,"ALL CHECKS PASS","CHECK FAILURES")</f>
        <v>ALL CHECKS PASS</v>
      </c>
    </row>
    <row r="7" customFormat="false" ht="30" hidden="false" customHeight="true" outlineLevel="0" collapsed="false">
      <c r="B7" s="8" t="s">
        <v>237</v>
      </c>
      <c r="C7" s="9" t="s">
        <v>238</v>
      </c>
      <c r="D7" s="9" t="s">
        <v>239</v>
      </c>
      <c r="E7" s="9" t="s">
        <v>240</v>
      </c>
      <c r="F7" s="9" t="s">
        <v>241</v>
      </c>
    </row>
    <row r="8" customFormat="false" ht="15" hidden="false" customHeight="false" outlineLevel="0" collapsed="false">
      <c r="B8" s="12" t="s">
        <v>242</v>
      </c>
      <c r="C8" s="72" t="n">
        <f aca="false">SUMPRODUCT(ABS(05_Balance_Sheet!D24:L24))</f>
        <v>0</v>
      </c>
      <c r="D8" s="73" t="n">
        <v>0</v>
      </c>
      <c r="E8" s="74" t="n">
        <f aca="false">C8-D8</f>
        <v>0</v>
      </c>
      <c r="F8" s="13" t="str">
        <f aca="false">IF(ABS(E8)&lt;=1,"PASS","FAIL")</f>
        <v>PASS</v>
      </c>
    </row>
    <row r="9" customFormat="false" ht="15" hidden="false" customHeight="false" outlineLevel="0" collapsed="false">
      <c r="B9" s="12" t="s">
        <v>243</v>
      </c>
      <c r="C9" s="21" t="n">
        <f aca="false">05_Balance_Sheet!L6</f>
        <v>102044590.902535</v>
      </c>
      <c r="D9" s="21" t="n">
        <f aca="false">06_Cash_Flow!L23</f>
        <v>102044590.902535</v>
      </c>
      <c r="E9" s="74" t="n">
        <f aca="false">C9-D9</f>
        <v>0</v>
      </c>
      <c r="F9" s="13" t="str">
        <f aca="false">IF(ABS(E9)&lt;=1,"PASS","FAIL")</f>
        <v>PASS</v>
      </c>
    </row>
    <row r="10" customFormat="false" ht="15" hidden="false" customHeight="false" outlineLevel="0" collapsed="false">
      <c r="B10" s="12" t="s">
        <v>244</v>
      </c>
      <c r="C10" s="21" t="n">
        <f aca="false">05_Balance_Sheet!L20-05_Balance_Sheet!G20</f>
        <v>78163839.7576398</v>
      </c>
      <c r="D10" s="21" t="n">
        <f aca="false">SUM(04_Income_Statement!H21:L21)+SUM(06_Cash_Flow!H18:L18)</f>
        <v>78163839.7576397</v>
      </c>
      <c r="E10" s="74" t="n">
        <f aca="false">C10-D10</f>
        <v>0</v>
      </c>
      <c r="F10" s="13" t="str">
        <f aca="false">IF(ABS(E10)&lt;=1,"PASS","FAIL")</f>
        <v>PASS</v>
      </c>
    </row>
    <row r="11" customFormat="false" ht="15" hidden="false" customHeight="false" outlineLevel="0" collapsed="false">
      <c r="B11" s="12" t="s">
        <v>245</v>
      </c>
      <c r="C11" s="21" t="n">
        <f aca="false">SUM(04_Income_Statement!E21:L21)</f>
        <v>278752343.32986</v>
      </c>
      <c r="D11" s="21" t="n">
        <f aca="false">SUM(06_Cash_Flow!E6:L6)</f>
        <v>278752343.32986</v>
      </c>
      <c r="E11" s="74" t="n">
        <f aca="false">C11-D11</f>
        <v>0</v>
      </c>
      <c r="F11" s="13" t="str">
        <f aca="false">IF(ABS(E11)&lt;=1,"PASS","FAIL")</f>
        <v>PASS</v>
      </c>
    </row>
    <row r="12" customFormat="false" ht="15" hidden="false" customHeight="false" outlineLevel="0" collapsed="false">
      <c r="B12" s="12" t="s">
        <v>246</v>
      </c>
      <c r="C12" s="21" t="n">
        <f aca="false">MIN(0,MIN(05_Balance_Sheet!E6:L6))</f>
        <v>0</v>
      </c>
      <c r="D12" s="28" t="n">
        <v>0</v>
      </c>
      <c r="E12" s="74" t="n">
        <f aca="false">C12-D12</f>
        <v>0</v>
      </c>
      <c r="F12" s="13" t="str">
        <f aca="false">IF(ABS(E12)&lt;=1,"PASS","FAIL")</f>
        <v>PASS</v>
      </c>
    </row>
    <row r="13" customFormat="false" ht="15" hidden="false" customHeight="false" outlineLevel="0" collapsed="false">
      <c r="B13" s="12" t="s">
        <v>247</v>
      </c>
      <c r="C13" s="21" t="n">
        <f aca="false">MIN(0,MIN(05_Balance_Sheet!E16:L16))</f>
        <v>0</v>
      </c>
      <c r="D13" s="28" t="n">
        <v>0</v>
      </c>
      <c r="E13" s="74" t="n">
        <f aca="false">C13-D13</f>
        <v>0</v>
      </c>
      <c r="F13" s="13" t="str">
        <f aca="false">IF(ABS(E13)&lt;=1,"PASS","FAIL")</f>
        <v>PASS</v>
      </c>
    </row>
    <row r="14" customFormat="false" ht="15" hidden="false" customHeight="false" outlineLevel="0" collapsed="false">
      <c r="B14" s="12" t="s">
        <v>248</v>
      </c>
      <c r="C14" s="75" t="n">
        <f aca="false">IF(02_Assumptions!D53&gt;02_Assumptions!D54,1,0)</f>
        <v>1</v>
      </c>
      <c r="D14" s="61" t="n">
        <v>1</v>
      </c>
      <c r="E14" s="74" t="n">
        <f aca="false">C14-D14</f>
        <v>0</v>
      </c>
      <c r="F14" s="13" t="str">
        <f aca="false">IF(ABS(E14)&lt;=0.5,"PASS","FAIL")</f>
        <v>PASS</v>
      </c>
    </row>
    <row r="15" customFormat="false" ht="15" hidden="false" customHeight="false" outlineLevel="0" collapsed="false">
      <c r="B15" s="12" t="s">
        <v>249</v>
      </c>
      <c r="C15" s="21" t="n">
        <f aca="false">07_DCF_Valuation!F39</f>
        <v>425285269.223728</v>
      </c>
      <c r="D15" s="21" t="n">
        <f aca="false">07_DCF_Valuation!E24</f>
        <v>425285269.223728</v>
      </c>
      <c r="E15" s="74" t="n">
        <f aca="false">C15-D15</f>
        <v>0</v>
      </c>
      <c r="F15" s="13" t="str">
        <f aca="false">IF(ABS(E15)&lt;=1,"PASS","FAIL")</f>
        <v>PASS</v>
      </c>
    </row>
    <row r="16" customFormat="false" ht="15" hidden="false" customHeight="false" outlineLevel="0" collapsed="false">
      <c r="B16" s="12" t="s">
        <v>250</v>
      </c>
      <c r="C16" s="21" t="n">
        <f aca="false">04_Income_Statement!G6</f>
        <v>171736155.20332</v>
      </c>
      <c r="D16" s="28" t="n">
        <v>171736155</v>
      </c>
      <c r="E16" s="74" t="n">
        <f aca="false">C16-D16</f>
        <v>0.203319996595383</v>
      </c>
      <c r="F16" s="13" t="str">
        <f aca="false">IF(ABS(E16)&lt;=25,"PASS","FAIL")</f>
        <v>PASS</v>
      </c>
    </row>
    <row r="17" customFormat="false" ht="15" hidden="false" customHeight="false" outlineLevel="0" collapsed="false">
      <c r="B17" s="12" t="s">
        <v>251</v>
      </c>
      <c r="C17" s="21" t="n">
        <f aca="false">04_Income_Statement!G12</f>
        <v>39558377.20332</v>
      </c>
      <c r="D17" s="28" t="n">
        <v>39558377</v>
      </c>
      <c r="E17" s="74" t="n">
        <f aca="false">C17-D17</f>
        <v>0.203319996595383</v>
      </c>
      <c r="F17" s="13" t="str">
        <f aca="false">IF(ABS(E17)&lt;=25,"PASS","FAIL")</f>
        <v>PASS</v>
      </c>
    </row>
    <row r="18" customFormat="false" ht="15" hidden="false" customHeight="false" outlineLevel="0" collapsed="false">
      <c r="B18" s="12" t="s">
        <v>252</v>
      </c>
      <c r="C18" s="21" t="n">
        <f aca="false">03_Revenue_Build!M12</f>
        <v>171736155.20332</v>
      </c>
      <c r="D18" s="21" t="n">
        <f aca="false">03_Revenue_Build!M22</f>
        <v>171736155.20332</v>
      </c>
      <c r="E18" s="74" t="n">
        <f aca="false">C18-D18</f>
        <v>0</v>
      </c>
      <c r="F18" s="13" t="str">
        <f aca="false">IF(ABS(E18)&lt;=1,"PASS","FAIL")</f>
        <v>PASS</v>
      </c>
    </row>
    <row r="19" customFormat="false" ht="15" hidden="false" customHeight="false" outlineLevel="0" collapsed="false">
      <c r="B19" s="12" t="s">
        <v>253</v>
      </c>
      <c r="C19" s="21" t="n">
        <f aca="false">SUM(03_Revenue_Build!K12:M12)</f>
        <v>479717731.043057</v>
      </c>
      <c r="D19" s="21" t="n">
        <f aca="false">SUM(02_Assumptions!E47:G47)</f>
        <v>479717731.043057</v>
      </c>
      <c r="E19" s="74" t="n">
        <f aca="false">C19-D19</f>
        <v>0</v>
      </c>
      <c r="F19" s="13" t="str">
        <f aca="false">IF(ABS(E19)&lt;=1,"PASS","FAIL")</f>
        <v>PASS</v>
      </c>
    </row>
  </sheetData>
  <mergeCells count="2">
    <mergeCell ref="B1:H1"/>
    <mergeCell ref="B2:H2"/>
  </mergeCells>
  <conditionalFormatting sqref="C4">
    <cfRule type="expression" priority="2" aboveAverage="0" equalAverage="0" bottom="0" percent="0" rank="0" text="" dxfId="1">
      <formula>C4="ALL CHECKS PASS"</formula>
    </cfRule>
    <cfRule type="expression" priority="3" aboveAverage="0" equalAverage="0" bottom="0" percent="0" rank="0" text="" dxfId="2">
      <formula>C4&lt;&gt;"ALL CHECKS PASS"</formula>
    </cfRule>
  </conditionalFormatting>
  <conditionalFormatting sqref="F8:F19">
    <cfRule type="cellIs" priority="4" operator="equal" aboveAverage="0" equalAverage="0" bottom="0" percent="0" rank="0" text="" dxfId="1">
      <formula>"PASS"</formula>
    </cfRule>
    <cfRule type="cellIs" priority="5" operator="equal" aboveAverage="0" equalAverage="0" bottom="0" percent="0" rank="0" text="" dxfId="2">
      <formula>"FAIL"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2026-10-13T08:00:58Z</dcterms:created>
  <dc:creator>openpyxl</dc:creator>
  <dc:description/>
  <dc:language>en-US</dc:language>
  <cp:lastModifiedBy/>
  <dcterms:modified xsi:type="dcterms:W3CDTF">2026-10-13T08:01:01Z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