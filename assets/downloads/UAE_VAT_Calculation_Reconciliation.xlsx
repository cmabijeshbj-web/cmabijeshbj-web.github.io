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Invoice_Register" sheetId="2" state="visible" r:id="rId4"/>
    <sheet name="02_VAT_Return" sheetId="3" state="visible" r:id="rId5"/>
    <sheet name="03_Reconciliatio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<sst xmlns="http://schemas.openxmlformats.org/spreadsheetml/2006/main" count="6271" uniqueCount="1651">
  <si>
    <t xml:space="preserve">UAE VAT Calculation &amp; Reconciliation</t>
  </si>
  <si>
    <t xml:space="preserve">FY2026 tax period (Jan–Dec) — sales &amp; purchase invoice register with FTA-style VAT return reconciliation</t>
  </si>
  <si>
    <t xml:space="preserve">Purpose: demonstration / training project — synthetic invoice data, not a real UAE entity's filings.</t>
  </si>
  <si>
    <t xml:space="preserve">Based on UAE VAT Law (Federal Decree-Law No. 8 of 2017) — standard rate 5%, zero-rated &amp; exempt categories illustrated.</t>
  </si>
  <si>
    <t xml:space="preserve">Sheet guide:</t>
  </si>
  <si>
    <t xml:space="preserve">  01_Invoice_Register   1,244 sales &amp; purchase invoices with VAT treatment, net, VAT and gross amounts.</t>
  </si>
  <si>
    <t xml:space="preserve">  02_VAT_Return          FTA VAT Return-style summary: Output VAT, Input VAT, Net VAT Payable/Refundable.</t>
  </si>
  <si>
    <t xml:space="preserve">  03_Reconciliation      Reconciles invoice register totals to the return, by treatment and by month.</t>
  </si>
  <si>
    <t xml:space="preserve">DocID</t>
  </si>
  <si>
    <t xml:space="preserve">Type</t>
  </si>
  <si>
    <t xml:space="preserve">Date</t>
  </si>
  <si>
    <t xml:space="preserve">Counterparty</t>
  </si>
  <si>
    <t xml:space="preserve">VATTreatment</t>
  </si>
  <si>
    <t xml:space="preserve">NetAmount_AED</t>
  </si>
  <si>
    <t xml:space="preserve">VATRate</t>
  </si>
  <si>
    <t xml:space="preserve">VATAmount_AED</t>
  </si>
  <si>
    <t xml:space="preserve">GrossAmount_AED</t>
  </si>
  <si>
    <t xml:space="preserve">SI-5001</t>
  </si>
  <si>
    <t xml:space="preserve">Sales Invoice</t>
  </si>
  <si>
    <t xml:space="preserve">2026-01-23</t>
  </si>
  <si>
    <t xml:space="preserve">Solstice Retail Co</t>
  </si>
  <si>
    <t xml:space="preserve">Standard Rated 5%</t>
  </si>
  <si>
    <t xml:space="preserve">SI-5002</t>
  </si>
  <si>
    <t xml:space="preserve">2026-01-13</t>
  </si>
  <si>
    <t xml:space="preserve">BlueHarbor Financial</t>
  </si>
  <si>
    <t xml:space="preserve">SI-5003</t>
  </si>
  <si>
    <t xml:space="preserve">2026-01-25</t>
  </si>
  <si>
    <t xml:space="preserve">Horizon Insurance</t>
  </si>
  <si>
    <t xml:space="preserve">Zero Rated</t>
  </si>
  <si>
    <t xml:space="preserve">SI-5004</t>
  </si>
  <si>
    <t xml:space="preserve">2026-01-07</t>
  </si>
  <si>
    <t xml:space="preserve">Falcon Aerospace</t>
  </si>
  <si>
    <t xml:space="preserve">SI-5005</t>
  </si>
  <si>
    <t xml:space="preserve">2026-01-09</t>
  </si>
  <si>
    <t xml:space="preserve">Vantage Telecom</t>
  </si>
  <si>
    <t xml:space="preserve">SI-5006</t>
  </si>
  <si>
    <t xml:space="preserve">2026-01-27</t>
  </si>
  <si>
    <t xml:space="preserve">Meridian Health Group</t>
  </si>
  <si>
    <t xml:space="preserve">SI-5007</t>
  </si>
  <si>
    <t xml:space="preserve">2026-01-22</t>
  </si>
  <si>
    <t xml:space="preserve">SI-5008</t>
  </si>
  <si>
    <t xml:space="preserve">SI-5009</t>
  </si>
  <si>
    <t xml:space="preserve">2026-01-21</t>
  </si>
  <si>
    <t xml:space="preserve">SI-5010</t>
  </si>
  <si>
    <t xml:space="preserve">2026-01-15</t>
  </si>
  <si>
    <t xml:space="preserve">Zenith Media</t>
  </si>
  <si>
    <t xml:space="preserve">Exempt</t>
  </si>
  <si>
    <t xml:space="preserve">SI-5011</t>
  </si>
  <si>
    <t xml:space="preserve">SI-5012</t>
  </si>
  <si>
    <t xml:space="preserve">2026-01-02</t>
  </si>
  <si>
    <t xml:space="preserve">Granite Construction Group</t>
  </si>
  <si>
    <t xml:space="preserve">SI-5013</t>
  </si>
  <si>
    <t xml:space="preserve">2026-01-19</t>
  </si>
  <si>
    <t xml:space="preserve">SI-5014</t>
  </si>
  <si>
    <t xml:space="preserve">2026-01-24</t>
  </si>
  <si>
    <t xml:space="preserve">SI-5015</t>
  </si>
  <si>
    <t xml:space="preserve">Willow Pharma</t>
  </si>
  <si>
    <t xml:space="preserve">SI-5016</t>
  </si>
  <si>
    <t xml:space="preserve">2026-01-11</t>
  </si>
  <si>
    <t xml:space="preserve">Apex Manufacturing</t>
  </si>
  <si>
    <t xml:space="preserve">SI-5017</t>
  </si>
  <si>
    <t xml:space="preserve">SI-5018</t>
  </si>
  <si>
    <t xml:space="preserve">Keystone Energy</t>
  </si>
  <si>
    <t xml:space="preserve">SI-5019</t>
  </si>
  <si>
    <t xml:space="preserve">SI-5020</t>
  </si>
  <si>
    <t xml:space="preserve">2026-01-12</t>
  </si>
  <si>
    <t xml:space="preserve">SI-5021</t>
  </si>
  <si>
    <t xml:space="preserve">2026-01-28</t>
  </si>
  <si>
    <t xml:space="preserve">SI-5022</t>
  </si>
  <si>
    <t xml:space="preserve">SI-5023</t>
  </si>
  <si>
    <t xml:space="preserve">Ironclad Public Utilities</t>
  </si>
  <si>
    <t xml:space="preserve">SI-5024</t>
  </si>
  <si>
    <t xml:space="preserve">2026-01-10</t>
  </si>
  <si>
    <t xml:space="preserve">SI-5025</t>
  </si>
  <si>
    <t xml:space="preserve">2026-01-04</t>
  </si>
  <si>
    <t xml:space="preserve">SI-5026</t>
  </si>
  <si>
    <t xml:space="preserve">SI-5027</t>
  </si>
  <si>
    <t xml:space="preserve">SI-5028</t>
  </si>
  <si>
    <t xml:space="preserve">CedarPoint Logistics</t>
  </si>
  <si>
    <t xml:space="preserve">SI-5029</t>
  </si>
  <si>
    <t xml:space="preserve">2026-01-17</t>
  </si>
  <si>
    <t xml:space="preserve">SI-5030</t>
  </si>
  <si>
    <t xml:space="preserve">SI-5031</t>
  </si>
  <si>
    <t xml:space="preserve">SI-5032</t>
  </si>
  <si>
    <t xml:space="preserve">SI-5033</t>
  </si>
  <si>
    <t xml:space="preserve">2026-01-20</t>
  </si>
  <si>
    <t xml:space="preserve">Northbridge Bank</t>
  </si>
  <si>
    <t xml:space="preserve">SI-5034</t>
  </si>
  <si>
    <t xml:space="preserve">Coral Bay Hospitality</t>
  </si>
  <si>
    <t xml:space="preserve">SI-5035</t>
  </si>
  <si>
    <t xml:space="preserve">2026-01-01</t>
  </si>
  <si>
    <t xml:space="preserve">SI-5036</t>
  </si>
  <si>
    <t xml:space="preserve">SI-5037</t>
  </si>
  <si>
    <t xml:space="preserve">SI-5038</t>
  </si>
  <si>
    <t xml:space="preserve">SI-5039</t>
  </si>
  <si>
    <t xml:space="preserve">2026-01-16</t>
  </si>
  <si>
    <t xml:space="preserve">SI-5040</t>
  </si>
  <si>
    <t xml:space="preserve">SI-5041</t>
  </si>
  <si>
    <t xml:space="preserve">SI-5042</t>
  </si>
  <si>
    <t xml:space="preserve">SI-5043</t>
  </si>
  <si>
    <t xml:space="preserve">SI-5044</t>
  </si>
  <si>
    <t xml:space="preserve">SI-5045</t>
  </si>
  <si>
    <t xml:space="preserve">SI-5046</t>
  </si>
  <si>
    <t xml:space="preserve">2026-01-26</t>
  </si>
  <si>
    <t xml:space="preserve">SI-5047</t>
  </si>
  <si>
    <t xml:space="preserve">SI-5048</t>
  </si>
  <si>
    <t xml:space="preserve">2026-01-18</t>
  </si>
  <si>
    <t xml:space="preserve">SI-5049</t>
  </si>
  <si>
    <t xml:space="preserve">SI-5050</t>
  </si>
  <si>
    <t xml:space="preserve">SI-5051</t>
  </si>
  <si>
    <t xml:space="preserve">2026-01-06</t>
  </si>
  <si>
    <t xml:space="preserve">SI-5052</t>
  </si>
  <si>
    <t xml:space="preserve">SI-5053</t>
  </si>
  <si>
    <t xml:space="preserve">SI-5054</t>
  </si>
  <si>
    <t xml:space="preserve">SI-5055</t>
  </si>
  <si>
    <t xml:space="preserve">SI-5056</t>
  </si>
  <si>
    <t xml:space="preserve">SI-5057</t>
  </si>
  <si>
    <t xml:space="preserve">SI-5058</t>
  </si>
  <si>
    <t xml:space="preserve">SI-5059</t>
  </si>
  <si>
    <t xml:space="preserve">PI-5060</t>
  </si>
  <si>
    <t xml:space="preserve">Purchase Invoice</t>
  </si>
  <si>
    <t xml:space="preserve">Al Naboodah Logistics</t>
  </si>
  <si>
    <t xml:space="preserve">PI-5061</t>
  </si>
  <si>
    <t xml:space="preserve">Etisalat Business</t>
  </si>
  <si>
    <t xml:space="preserve">PI-5062</t>
  </si>
  <si>
    <t xml:space="preserve">Gulf Marketing Agency</t>
  </si>
  <si>
    <t xml:space="preserve">PI-5063</t>
  </si>
  <si>
    <t xml:space="preserve">Al Futtaim Office Supplies</t>
  </si>
  <si>
    <t xml:space="preserve">PI-5064</t>
  </si>
  <si>
    <t xml:space="preserve">PI-5065</t>
  </si>
  <si>
    <t xml:space="preserve">DEWA</t>
  </si>
  <si>
    <t xml:space="preserve">PI-5066</t>
  </si>
  <si>
    <t xml:space="preserve">PI-5067</t>
  </si>
  <si>
    <t xml:space="preserve">Continental Consulting FZE</t>
  </si>
  <si>
    <t xml:space="preserve">PI-5068</t>
  </si>
  <si>
    <t xml:space="preserve">PI-5069</t>
  </si>
  <si>
    <t xml:space="preserve">PI-5070</t>
  </si>
  <si>
    <t xml:space="preserve">PI-5071</t>
  </si>
  <si>
    <t xml:space="preserve">PI-5072</t>
  </si>
  <si>
    <t xml:space="preserve">PI-5073</t>
  </si>
  <si>
    <t xml:space="preserve">PI-5074</t>
  </si>
  <si>
    <t xml:space="preserve">2026-01-05</t>
  </si>
  <si>
    <t xml:space="preserve">PI-5075</t>
  </si>
  <si>
    <t xml:space="preserve">2026-01-03</t>
  </si>
  <si>
    <t xml:space="preserve">Dubai Facilities Mgmt</t>
  </si>
  <si>
    <t xml:space="preserve">PI-5076</t>
  </si>
  <si>
    <t xml:space="preserve">Sharjah Print &amp; Design</t>
  </si>
  <si>
    <t xml:space="preserve">PI-5077</t>
  </si>
  <si>
    <t xml:space="preserve">2026-01-14</t>
  </si>
  <si>
    <t xml:space="preserve">Prime Cloud Hosting LLC</t>
  </si>
  <si>
    <t xml:space="preserve">PI-5078</t>
  </si>
  <si>
    <t xml:space="preserve">PI-5079</t>
  </si>
  <si>
    <t xml:space="preserve">PI-5080</t>
  </si>
  <si>
    <t xml:space="preserve">PI-5081</t>
  </si>
  <si>
    <t xml:space="preserve">PI-5082</t>
  </si>
  <si>
    <t xml:space="preserve">Emirates IT Solutions</t>
  </si>
  <si>
    <t xml:space="preserve">PI-5083</t>
  </si>
  <si>
    <t xml:space="preserve">PI-5084</t>
  </si>
  <si>
    <t xml:space="preserve">PI-5085</t>
  </si>
  <si>
    <t xml:space="preserve">PI-5086</t>
  </si>
  <si>
    <t xml:space="preserve">PI-5087</t>
  </si>
  <si>
    <t xml:space="preserve">PI-5088</t>
  </si>
  <si>
    <t xml:space="preserve">PI-5089</t>
  </si>
  <si>
    <t xml:space="preserve">PI-5090</t>
  </si>
  <si>
    <t xml:space="preserve">PI-5091</t>
  </si>
  <si>
    <t xml:space="preserve">PI-5092</t>
  </si>
  <si>
    <t xml:space="preserve">PI-5093</t>
  </si>
  <si>
    <t xml:space="preserve">PI-5094</t>
  </si>
  <si>
    <t xml:space="preserve">PI-5095</t>
  </si>
  <si>
    <t xml:space="preserve">PI-5096</t>
  </si>
  <si>
    <t xml:space="preserve">PI-5097</t>
  </si>
  <si>
    <t xml:space="preserve">PI-5098</t>
  </si>
  <si>
    <t xml:space="preserve">PI-5099</t>
  </si>
  <si>
    <t xml:space="preserve">SI-5100</t>
  </si>
  <si>
    <t xml:space="preserve">2026-02-02</t>
  </si>
  <si>
    <t xml:space="preserve">SI-5101</t>
  </si>
  <si>
    <t xml:space="preserve">2026-02-18</t>
  </si>
  <si>
    <t xml:space="preserve">SI-5102</t>
  </si>
  <si>
    <t xml:space="preserve">SI-5103</t>
  </si>
  <si>
    <t xml:space="preserve">2026-02-19</t>
  </si>
  <si>
    <t xml:space="preserve">SI-5104</t>
  </si>
  <si>
    <t xml:space="preserve">2026-02-05</t>
  </si>
  <si>
    <t xml:space="preserve">SI-5105</t>
  </si>
  <si>
    <t xml:space="preserve">2026-02-07</t>
  </si>
  <si>
    <t xml:space="preserve">SI-5106</t>
  </si>
  <si>
    <t xml:space="preserve">2026-02-01</t>
  </si>
  <si>
    <t xml:space="preserve">SI-5107</t>
  </si>
  <si>
    <t xml:space="preserve">2026-02-28</t>
  </si>
  <si>
    <t xml:space="preserve">SI-5108</t>
  </si>
  <si>
    <t xml:space="preserve">2026-02-20</t>
  </si>
  <si>
    <t xml:space="preserve">SI-5109</t>
  </si>
  <si>
    <t xml:space="preserve">2026-02-16</t>
  </si>
  <si>
    <t xml:space="preserve">SI-5110</t>
  </si>
  <si>
    <t xml:space="preserve">SI-5111</t>
  </si>
  <si>
    <t xml:space="preserve">SI-5112</t>
  </si>
  <si>
    <t xml:space="preserve">2026-02-12</t>
  </si>
  <si>
    <t xml:space="preserve">SI-5113</t>
  </si>
  <si>
    <t xml:space="preserve">SI-5114</t>
  </si>
  <si>
    <t xml:space="preserve">SI-5115</t>
  </si>
  <si>
    <t xml:space="preserve">SI-5116</t>
  </si>
  <si>
    <t xml:space="preserve">SI-5117</t>
  </si>
  <si>
    <t xml:space="preserve">SI-5118</t>
  </si>
  <si>
    <t xml:space="preserve">SI-5119</t>
  </si>
  <si>
    <t xml:space="preserve">2026-02-27</t>
  </si>
  <si>
    <t xml:space="preserve">SI-5120</t>
  </si>
  <si>
    <t xml:space="preserve">SI-5121</t>
  </si>
  <si>
    <t xml:space="preserve">2026-02-17</t>
  </si>
  <si>
    <t xml:space="preserve">SI-5122</t>
  </si>
  <si>
    <t xml:space="preserve">2026-02-11</t>
  </si>
  <si>
    <t xml:space="preserve">SI-5123</t>
  </si>
  <si>
    <t xml:space="preserve">2026-02-26</t>
  </si>
  <si>
    <t xml:space="preserve">SI-5124</t>
  </si>
  <si>
    <t xml:space="preserve">SI-5125</t>
  </si>
  <si>
    <t xml:space="preserve">2026-02-03</t>
  </si>
  <si>
    <t xml:space="preserve">SI-5126</t>
  </si>
  <si>
    <t xml:space="preserve">SI-5127</t>
  </si>
  <si>
    <t xml:space="preserve">2026-02-15</t>
  </si>
  <si>
    <t xml:space="preserve">SI-5128</t>
  </si>
  <si>
    <t xml:space="preserve">2026-02-10</t>
  </si>
  <si>
    <t xml:space="preserve">SI-5129</t>
  </si>
  <si>
    <t xml:space="preserve">SI-5130</t>
  </si>
  <si>
    <t xml:space="preserve">2026-02-06</t>
  </si>
  <si>
    <t xml:space="preserve">SI-5131</t>
  </si>
  <si>
    <t xml:space="preserve">SI-5132</t>
  </si>
  <si>
    <t xml:space="preserve">SI-5133</t>
  </si>
  <si>
    <t xml:space="preserve">SI-5134</t>
  </si>
  <si>
    <t xml:space="preserve">2026-02-08</t>
  </si>
  <si>
    <t xml:space="preserve">SI-5135</t>
  </si>
  <si>
    <t xml:space="preserve">SI-5136</t>
  </si>
  <si>
    <t xml:space="preserve">2026-02-09</t>
  </si>
  <si>
    <t xml:space="preserve">SI-5137</t>
  </si>
  <si>
    <t xml:space="preserve">SI-5138</t>
  </si>
  <si>
    <t xml:space="preserve">SI-5139</t>
  </si>
  <si>
    <t xml:space="preserve">SI-5140</t>
  </si>
  <si>
    <t xml:space="preserve">2026-02-04</t>
  </si>
  <si>
    <t xml:space="preserve">SI-5141</t>
  </si>
  <si>
    <t xml:space="preserve">SI-5142</t>
  </si>
  <si>
    <t xml:space="preserve">SI-5143</t>
  </si>
  <si>
    <t xml:space="preserve">SI-5144</t>
  </si>
  <si>
    <t xml:space="preserve">SI-5145</t>
  </si>
  <si>
    <t xml:space="preserve">2026-02-21</t>
  </si>
  <si>
    <t xml:space="preserve">SI-5146</t>
  </si>
  <si>
    <t xml:space="preserve">SI-5147</t>
  </si>
  <si>
    <t xml:space="preserve">SI-5148</t>
  </si>
  <si>
    <t xml:space="preserve">SI-5149</t>
  </si>
  <si>
    <t xml:space="preserve">SI-5150</t>
  </si>
  <si>
    <t xml:space="preserve">SI-5151</t>
  </si>
  <si>
    <t xml:space="preserve">2026-02-23</t>
  </si>
  <si>
    <t xml:space="preserve">SI-5152</t>
  </si>
  <si>
    <t xml:space="preserve">SI-5153</t>
  </si>
  <si>
    <t xml:space="preserve">SI-5154</t>
  </si>
  <si>
    <t xml:space="preserve">SI-5155</t>
  </si>
  <si>
    <t xml:space="preserve">SI-5156</t>
  </si>
  <si>
    <t xml:space="preserve">2026-02-22</t>
  </si>
  <si>
    <t xml:space="preserve">SI-5157</t>
  </si>
  <si>
    <t xml:space="preserve">SI-5158</t>
  </si>
  <si>
    <t xml:space="preserve">SI-5159</t>
  </si>
  <si>
    <t xml:space="preserve">SI-5160</t>
  </si>
  <si>
    <t xml:space="preserve">SI-5161</t>
  </si>
  <si>
    <t xml:space="preserve">SI-5162</t>
  </si>
  <si>
    <t xml:space="preserve">SI-5163</t>
  </si>
  <si>
    <t xml:space="preserve">SI-5164</t>
  </si>
  <si>
    <t xml:space="preserve">PI-5165</t>
  </si>
  <si>
    <t xml:space="preserve">PI-5166</t>
  </si>
  <si>
    <t xml:space="preserve">PI-5167</t>
  </si>
  <si>
    <t xml:space="preserve">2026-02-14</t>
  </si>
  <si>
    <t xml:space="preserve">PI-5168</t>
  </si>
  <si>
    <t xml:space="preserve">PI-5169</t>
  </si>
  <si>
    <t xml:space="preserve">PI-5170</t>
  </si>
  <si>
    <t xml:space="preserve">PI-5171</t>
  </si>
  <si>
    <t xml:space="preserve">PI-5172</t>
  </si>
  <si>
    <t xml:space="preserve">2026-02-24</t>
  </si>
  <si>
    <t xml:space="preserve">PI-5173</t>
  </si>
  <si>
    <t xml:space="preserve">PI-5174</t>
  </si>
  <si>
    <t xml:space="preserve">PI-5175</t>
  </si>
  <si>
    <t xml:space="preserve">PI-5176</t>
  </si>
  <si>
    <t xml:space="preserve">PI-5177</t>
  </si>
  <si>
    <t xml:space="preserve">PI-5178</t>
  </si>
  <si>
    <t xml:space="preserve">PI-5179</t>
  </si>
  <si>
    <t xml:space="preserve">PI-5180</t>
  </si>
  <si>
    <t xml:space="preserve">PI-5181</t>
  </si>
  <si>
    <t xml:space="preserve">PI-5182</t>
  </si>
  <si>
    <t xml:space="preserve">PI-5183</t>
  </si>
  <si>
    <t xml:space="preserve">PI-5184</t>
  </si>
  <si>
    <t xml:space="preserve">2026-02-13</t>
  </si>
  <si>
    <t xml:space="preserve">PI-5185</t>
  </si>
  <si>
    <t xml:space="preserve">PI-5186</t>
  </si>
  <si>
    <t xml:space="preserve">PI-5187</t>
  </si>
  <si>
    <t xml:space="preserve">PI-5188</t>
  </si>
  <si>
    <t xml:space="preserve">PI-5189</t>
  </si>
  <si>
    <t xml:space="preserve">PI-5190</t>
  </si>
  <si>
    <t xml:space="preserve">PI-5191</t>
  </si>
  <si>
    <t xml:space="preserve">PI-5192</t>
  </si>
  <si>
    <t xml:space="preserve">PI-5193</t>
  </si>
  <si>
    <t xml:space="preserve">PI-5194</t>
  </si>
  <si>
    <t xml:space="preserve">PI-5195</t>
  </si>
  <si>
    <t xml:space="preserve">PI-5196</t>
  </si>
  <si>
    <t xml:space="preserve">PI-5197</t>
  </si>
  <si>
    <t xml:space="preserve">PI-5198</t>
  </si>
  <si>
    <t xml:space="preserve">PI-5199</t>
  </si>
  <si>
    <t xml:space="preserve">PI-5200</t>
  </si>
  <si>
    <t xml:space="preserve">PI-5201</t>
  </si>
  <si>
    <t xml:space="preserve">PI-5202</t>
  </si>
  <si>
    <t xml:space="preserve">PI-5203</t>
  </si>
  <si>
    <t xml:space="preserve">PI-5204</t>
  </si>
  <si>
    <t xml:space="preserve">SI-5205</t>
  </si>
  <si>
    <t xml:space="preserve">2026-03-08</t>
  </si>
  <si>
    <t xml:space="preserve">SI-5206</t>
  </si>
  <si>
    <t xml:space="preserve">2026-03-25</t>
  </si>
  <si>
    <t xml:space="preserve">SI-5207</t>
  </si>
  <si>
    <t xml:space="preserve">2026-03-28</t>
  </si>
  <si>
    <t xml:space="preserve">SI-5208</t>
  </si>
  <si>
    <t xml:space="preserve">2026-03-12</t>
  </si>
  <si>
    <t xml:space="preserve">SI-5209</t>
  </si>
  <si>
    <t xml:space="preserve">2026-03-10</t>
  </si>
  <si>
    <t xml:space="preserve">SI-5210</t>
  </si>
  <si>
    <t xml:space="preserve">2026-03-03</t>
  </si>
  <si>
    <t xml:space="preserve">SI-5211</t>
  </si>
  <si>
    <t xml:space="preserve">2026-03-23</t>
  </si>
  <si>
    <t xml:space="preserve">SI-5212</t>
  </si>
  <si>
    <t xml:space="preserve">2026-03-04</t>
  </si>
  <si>
    <t xml:space="preserve">SI-5213</t>
  </si>
  <si>
    <t xml:space="preserve">SI-5214</t>
  </si>
  <si>
    <t xml:space="preserve">2026-03-05</t>
  </si>
  <si>
    <t xml:space="preserve">SI-5215</t>
  </si>
  <si>
    <t xml:space="preserve">2026-03-27</t>
  </si>
  <si>
    <t xml:space="preserve">SI-5216</t>
  </si>
  <si>
    <t xml:space="preserve">2026-03-14</t>
  </si>
  <si>
    <t xml:space="preserve">SI-5217</t>
  </si>
  <si>
    <t xml:space="preserve">SI-5218</t>
  </si>
  <si>
    <t xml:space="preserve">SI-5219</t>
  </si>
  <si>
    <t xml:space="preserve">2026-03-01</t>
  </si>
  <si>
    <t xml:space="preserve">SI-5220</t>
  </si>
  <si>
    <t xml:space="preserve">SI-5221</t>
  </si>
  <si>
    <t xml:space="preserve">2026-03-02</t>
  </si>
  <si>
    <t xml:space="preserve">SI-5222</t>
  </si>
  <si>
    <t xml:space="preserve">2026-03-13</t>
  </si>
  <si>
    <t xml:space="preserve">SI-5223</t>
  </si>
  <si>
    <t xml:space="preserve">SI-5224</t>
  </si>
  <si>
    <t xml:space="preserve">SI-5225</t>
  </si>
  <si>
    <t xml:space="preserve">SI-5226</t>
  </si>
  <si>
    <t xml:space="preserve">2026-03-17</t>
  </si>
  <si>
    <t xml:space="preserve">SI-5227</t>
  </si>
  <si>
    <t xml:space="preserve">SI-5228</t>
  </si>
  <si>
    <t xml:space="preserve">SI-5229</t>
  </si>
  <si>
    <t xml:space="preserve">2026-03-24</t>
  </si>
  <si>
    <t xml:space="preserve">SI-5230</t>
  </si>
  <si>
    <t xml:space="preserve">SI-5231</t>
  </si>
  <si>
    <t xml:space="preserve">SI-5232</t>
  </si>
  <si>
    <t xml:space="preserve">2026-03-09</t>
  </si>
  <si>
    <t xml:space="preserve">SI-5233</t>
  </si>
  <si>
    <t xml:space="preserve">SI-5234</t>
  </si>
  <si>
    <t xml:space="preserve">SI-5235</t>
  </si>
  <si>
    <t xml:space="preserve">SI-5236</t>
  </si>
  <si>
    <t xml:space="preserve">2026-03-22</t>
  </si>
  <si>
    <t xml:space="preserve">SI-5237</t>
  </si>
  <si>
    <t xml:space="preserve">SI-5238</t>
  </si>
  <si>
    <t xml:space="preserve">SI-5239</t>
  </si>
  <si>
    <t xml:space="preserve">2026-03-18</t>
  </si>
  <si>
    <t xml:space="preserve">SI-5240</t>
  </si>
  <si>
    <t xml:space="preserve">2026-03-06</t>
  </si>
  <si>
    <t xml:space="preserve">SI-5241</t>
  </si>
  <si>
    <t xml:space="preserve">SI-5242</t>
  </si>
  <si>
    <t xml:space="preserve">SI-5243</t>
  </si>
  <si>
    <t xml:space="preserve">SI-5244</t>
  </si>
  <si>
    <t xml:space="preserve">2026-03-21</t>
  </si>
  <si>
    <t xml:space="preserve">SI-5245</t>
  </si>
  <si>
    <t xml:space="preserve">SI-5246</t>
  </si>
  <si>
    <t xml:space="preserve">SI-5247</t>
  </si>
  <si>
    <t xml:space="preserve">SI-5248</t>
  </si>
  <si>
    <t xml:space="preserve">SI-5249</t>
  </si>
  <si>
    <t xml:space="preserve">2026-03-19</t>
  </si>
  <si>
    <t xml:space="preserve">SI-5250</t>
  </si>
  <si>
    <t xml:space="preserve">SI-5251</t>
  </si>
  <si>
    <t xml:space="preserve">SI-5252</t>
  </si>
  <si>
    <t xml:space="preserve">2026-03-16</t>
  </si>
  <si>
    <t xml:space="preserve">SI-5253</t>
  </si>
  <si>
    <t xml:space="preserve">SI-5254</t>
  </si>
  <si>
    <t xml:space="preserve">SI-5255</t>
  </si>
  <si>
    <t xml:space="preserve">SI-5256</t>
  </si>
  <si>
    <t xml:space="preserve">SI-5257</t>
  </si>
  <si>
    <t xml:space="preserve">SI-5258</t>
  </si>
  <si>
    <t xml:space="preserve">SI-5259</t>
  </si>
  <si>
    <t xml:space="preserve">SI-5260</t>
  </si>
  <si>
    <t xml:space="preserve">SI-5261</t>
  </si>
  <si>
    <t xml:space="preserve">SI-5262</t>
  </si>
  <si>
    <t xml:space="preserve">SI-5263</t>
  </si>
  <si>
    <t xml:space="preserve">SI-5264</t>
  </si>
  <si>
    <t xml:space="preserve">SI-5265</t>
  </si>
  <si>
    <t xml:space="preserve">SI-5266</t>
  </si>
  <si>
    <t xml:space="preserve">SI-5267</t>
  </si>
  <si>
    <t xml:space="preserve">SI-5268</t>
  </si>
  <si>
    <t xml:space="preserve">SI-5269</t>
  </si>
  <si>
    <t xml:space="preserve">SI-5270</t>
  </si>
  <si>
    <t xml:space="preserve">SI-5271</t>
  </si>
  <si>
    <t xml:space="preserve">SI-5272</t>
  </si>
  <si>
    <t xml:space="preserve">SI-5273</t>
  </si>
  <si>
    <t xml:space="preserve">SI-5274</t>
  </si>
  <si>
    <t xml:space="preserve">SI-5275</t>
  </si>
  <si>
    <t xml:space="preserve">PI-5276</t>
  </si>
  <si>
    <t xml:space="preserve">PI-5277</t>
  </si>
  <si>
    <t xml:space="preserve">PI-5278</t>
  </si>
  <si>
    <t xml:space="preserve">PI-5279</t>
  </si>
  <si>
    <t xml:space="preserve">2026-03-26</t>
  </si>
  <si>
    <t xml:space="preserve">PI-5280</t>
  </si>
  <si>
    <t xml:space="preserve">PI-5281</t>
  </si>
  <si>
    <t xml:space="preserve">PI-5282</t>
  </si>
  <si>
    <t xml:space="preserve">2026-03-20</t>
  </si>
  <si>
    <t xml:space="preserve">PI-5283</t>
  </si>
  <si>
    <t xml:space="preserve">PI-5284</t>
  </si>
  <si>
    <t xml:space="preserve">PI-5285</t>
  </si>
  <si>
    <t xml:space="preserve">PI-5286</t>
  </si>
  <si>
    <t xml:space="preserve">PI-5287</t>
  </si>
  <si>
    <t xml:space="preserve">PI-5288</t>
  </si>
  <si>
    <t xml:space="preserve">2026-03-11</t>
  </si>
  <si>
    <t xml:space="preserve">PI-5289</t>
  </si>
  <si>
    <t xml:space="preserve">PI-5290</t>
  </si>
  <si>
    <t xml:space="preserve">PI-5291</t>
  </si>
  <si>
    <t xml:space="preserve">PI-5292</t>
  </si>
  <si>
    <t xml:space="preserve">2026-03-15</t>
  </si>
  <si>
    <t xml:space="preserve">PI-5293</t>
  </si>
  <si>
    <t xml:space="preserve">PI-5294</t>
  </si>
  <si>
    <t xml:space="preserve">PI-5295</t>
  </si>
  <si>
    <t xml:space="preserve">PI-5296</t>
  </si>
  <si>
    <t xml:space="preserve">PI-5297</t>
  </si>
  <si>
    <t xml:space="preserve">PI-5298</t>
  </si>
  <si>
    <t xml:space="preserve">PI-5299</t>
  </si>
  <si>
    <t xml:space="preserve">PI-5300</t>
  </si>
  <si>
    <t xml:space="preserve">PI-5301</t>
  </si>
  <si>
    <t xml:space="preserve">PI-5302</t>
  </si>
  <si>
    <t xml:space="preserve">PI-5303</t>
  </si>
  <si>
    <t xml:space="preserve">PI-5304</t>
  </si>
  <si>
    <t xml:space="preserve">PI-5305</t>
  </si>
  <si>
    <t xml:space="preserve">PI-5306</t>
  </si>
  <si>
    <t xml:space="preserve">PI-5307</t>
  </si>
  <si>
    <t xml:space="preserve">PI-5308</t>
  </si>
  <si>
    <t xml:space="preserve">PI-5309</t>
  </si>
  <si>
    <t xml:space="preserve">PI-5310</t>
  </si>
  <si>
    <t xml:space="preserve">PI-5311</t>
  </si>
  <si>
    <t xml:space="preserve">PI-5312</t>
  </si>
  <si>
    <t xml:space="preserve">PI-5313</t>
  </si>
  <si>
    <t xml:space="preserve">PI-5314</t>
  </si>
  <si>
    <t xml:space="preserve">PI-5315</t>
  </si>
  <si>
    <t xml:space="preserve">SI-5316</t>
  </si>
  <si>
    <t xml:space="preserve">2026-04-26</t>
  </si>
  <si>
    <t xml:space="preserve">SI-5317</t>
  </si>
  <si>
    <t xml:space="preserve">2026-04-11</t>
  </si>
  <si>
    <t xml:space="preserve">SI-5318</t>
  </si>
  <si>
    <t xml:space="preserve">2026-04-22</t>
  </si>
  <si>
    <t xml:space="preserve">SI-5319</t>
  </si>
  <si>
    <t xml:space="preserve">2026-04-24</t>
  </si>
  <si>
    <t xml:space="preserve">SI-5320</t>
  </si>
  <si>
    <t xml:space="preserve">SI-5321</t>
  </si>
  <si>
    <t xml:space="preserve">2026-04-02</t>
  </si>
  <si>
    <t xml:space="preserve">SI-5322</t>
  </si>
  <si>
    <t xml:space="preserve">2026-04-03</t>
  </si>
  <si>
    <t xml:space="preserve">SI-5323</t>
  </si>
  <si>
    <t xml:space="preserve">2026-04-04</t>
  </si>
  <si>
    <t xml:space="preserve">SI-5324</t>
  </si>
  <si>
    <t xml:space="preserve">2026-04-10</t>
  </si>
  <si>
    <t xml:space="preserve">SI-5325</t>
  </si>
  <si>
    <t xml:space="preserve">2026-04-23</t>
  </si>
  <si>
    <t xml:space="preserve">SI-5326</t>
  </si>
  <si>
    <t xml:space="preserve">2026-04-21</t>
  </si>
  <si>
    <t xml:space="preserve">SI-5327</t>
  </si>
  <si>
    <t xml:space="preserve">SI-5328</t>
  </si>
  <si>
    <t xml:space="preserve">SI-5329</t>
  </si>
  <si>
    <t xml:space="preserve">2026-04-19</t>
  </si>
  <si>
    <t xml:space="preserve">SI-5330</t>
  </si>
  <si>
    <t xml:space="preserve">SI-5331</t>
  </si>
  <si>
    <t xml:space="preserve">SI-5332</t>
  </si>
  <si>
    <t xml:space="preserve">2026-04-07</t>
  </si>
  <si>
    <t xml:space="preserve">SI-5333</t>
  </si>
  <si>
    <t xml:space="preserve">2026-04-09</t>
  </si>
  <si>
    <t xml:space="preserve">SI-5334</t>
  </si>
  <si>
    <t xml:space="preserve">2026-04-13</t>
  </si>
  <si>
    <t xml:space="preserve">SI-5335</t>
  </si>
  <si>
    <t xml:space="preserve">2026-04-25</t>
  </si>
  <si>
    <t xml:space="preserve">SI-5336</t>
  </si>
  <si>
    <t xml:space="preserve">2026-04-16</t>
  </si>
  <si>
    <t xml:space="preserve">SI-5337</t>
  </si>
  <si>
    <t xml:space="preserve">2026-04-15</t>
  </si>
  <si>
    <t xml:space="preserve">SI-5338</t>
  </si>
  <si>
    <t xml:space="preserve">SI-5339</t>
  </si>
  <si>
    <t xml:space="preserve">2026-04-20</t>
  </si>
  <si>
    <t xml:space="preserve">SI-5340</t>
  </si>
  <si>
    <t xml:space="preserve">2026-04-17</t>
  </si>
  <si>
    <t xml:space="preserve">SI-5341</t>
  </si>
  <si>
    <t xml:space="preserve">2026-04-08</t>
  </si>
  <si>
    <t xml:space="preserve">SI-5342</t>
  </si>
  <si>
    <t xml:space="preserve">SI-5343</t>
  </si>
  <si>
    <t xml:space="preserve">2026-04-06</t>
  </si>
  <si>
    <t xml:space="preserve">SI-5344</t>
  </si>
  <si>
    <t xml:space="preserve">SI-5345</t>
  </si>
  <si>
    <t xml:space="preserve">SI-5346</t>
  </si>
  <si>
    <t xml:space="preserve">SI-5347</t>
  </si>
  <si>
    <t xml:space="preserve">SI-5348</t>
  </si>
  <si>
    <t xml:space="preserve">SI-5349</t>
  </si>
  <si>
    <t xml:space="preserve">2026-04-18</t>
  </si>
  <si>
    <t xml:space="preserve">SI-5350</t>
  </si>
  <si>
    <t xml:space="preserve">SI-5351</t>
  </si>
  <si>
    <t xml:space="preserve">SI-5352</t>
  </si>
  <si>
    <t xml:space="preserve">SI-5353</t>
  </si>
  <si>
    <t xml:space="preserve">SI-5354</t>
  </si>
  <si>
    <t xml:space="preserve">SI-5355</t>
  </si>
  <si>
    <t xml:space="preserve">SI-5356</t>
  </si>
  <si>
    <t xml:space="preserve">SI-5357</t>
  </si>
  <si>
    <t xml:space="preserve">SI-5358</t>
  </si>
  <si>
    <t xml:space="preserve">SI-5359</t>
  </si>
  <si>
    <t xml:space="preserve">SI-5360</t>
  </si>
  <si>
    <t xml:space="preserve">2026-04-01</t>
  </si>
  <si>
    <t xml:space="preserve">SI-5361</t>
  </si>
  <si>
    <t xml:space="preserve">SI-5362</t>
  </si>
  <si>
    <t xml:space="preserve">SI-5363</t>
  </si>
  <si>
    <t xml:space="preserve">SI-5364</t>
  </si>
  <si>
    <t xml:space="preserve">SI-5365</t>
  </si>
  <si>
    <t xml:space="preserve">SI-5366</t>
  </si>
  <si>
    <t xml:space="preserve">SI-5367</t>
  </si>
  <si>
    <t xml:space="preserve">SI-5368</t>
  </si>
  <si>
    <t xml:space="preserve">SI-5369</t>
  </si>
  <si>
    <t xml:space="preserve">2026-04-14</t>
  </si>
  <si>
    <t xml:space="preserve">SI-5370</t>
  </si>
  <si>
    <t xml:space="preserve">SI-5371</t>
  </si>
  <si>
    <t xml:space="preserve">SI-5372</t>
  </si>
  <si>
    <t xml:space="preserve">SI-5373</t>
  </si>
  <si>
    <t xml:space="preserve">SI-5374</t>
  </si>
  <si>
    <t xml:space="preserve">PI-5375</t>
  </si>
  <si>
    <t xml:space="preserve">PI-5376</t>
  </si>
  <si>
    <t xml:space="preserve">PI-5377</t>
  </si>
  <si>
    <t xml:space="preserve">PI-5378</t>
  </si>
  <si>
    <t xml:space="preserve">PI-5379</t>
  </si>
  <si>
    <t xml:space="preserve">2026-04-27</t>
  </si>
  <si>
    <t xml:space="preserve">PI-5380</t>
  </si>
  <si>
    <t xml:space="preserve">PI-5381</t>
  </si>
  <si>
    <t xml:space="preserve">PI-5382</t>
  </si>
  <si>
    <t xml:space="preserve">PI-5383</t>
  </si>
  <si>
    <t xml:space="preserve">PI-5384</t>
  </si>
  <si>
    <t xml:space="preserve">PI-5385</t>
  </si>
  <si>
    <t xml:space="preserve">2026-04-05</t>
  </si>
  <si>
    <t xml:space="preserve">PI-5386</t>
  </si>
  <si>
    <t xml:space="preserve">PI-5387</t>
  </si>
  <si>
    <t xml:space="preserve">PI-5388</t>
  </si>
  <si>
    <t xml:space="preserve">PI-5389</t>
  </si>
  <si>
    <t xml:space="preserve">PI-5390</t>
  </si>
  <si>
    <t xml:space="preserve">PI-5391</t>
  </si>
  <si>
    <t xml:space="preserve">PI-5392</t>
  </si>
  <si>
    <t xml:space="preserve">PI-5393</t>
  </si>
  <si>
    <t xml:space="preserve">PI-5394</t>
  </si>
  <si>
    <t xml:space="preserve">PI-5395</t>
  </si>
  <si>
    <t xml:space="preserve">PI-5396</t>
  </si>
  <si>
    <t xml:space="preserve">PI-5397</t>
  </si>
  <si>
    <t xml:space="preserve">PI-5398</t>
  </si>
  <si>
    <t xml:space="preserve">2026-04-28</t>
  </si>
  <si>
    <t xml:space="preserve">PI-5399</t>
  </si>
  <si>
    <t xml:space="preserve">PI-5400</t>
  </si>
  <si>
    <t xml:space="preserve">PI-5401</t>
  </si>
  <si>
    <t xml:space="preserve">PI-5402</t>
  </si>
  <si>
    <t xml:space="preserve">PI-5403</t>
  </si>
  <si>
    <t xml:space="preserve">PI-5404</t>
  </si>
  <si>
    <t xml:space="preserve">PI-5405</t>
  </si>
  <si>
    <t xml:space="preserve">PI-5406</t>
  </si>
  <si>
    <t xml:space="preserve">PI-5407</t>
  </si>
  <si>
    <t xml:space="preserve">PI-5408</t>
  </si>
  <si>
    <t xml:space="preserve">PI-5409</t>
  </si>
  <si>
    <t xml:space="preserve">SI-5410</t>
  </si>
  <si>
    <t xml:space="preserve">2026-05-22</t>
  </si>
  <si>
    <t xml:space="preserve">SI-5411</t>
  </si>
  <si>
    <t xml:space="preserve">2026-05-21</t>
  </si>
  <si>
    <t xml:space="preserve">SI-5412</t>
  </si>
  <si>
    <t xml:space="preserve">2026-05-10</t>
  </si>
  <si>
    <t xml:space="preserve">SI-5413</t>
  </si>
  <si>
    <t xml:space="preserve">2026-05-20</t>
  </si>
  <si>
    <t xml:space="preserve">SI-5414</t>
  </si>
  <si>
    <t xml:space="preserve">2026-05-16</t>
  </si>
  <si>
    <t xml:space="preserve">SI-5415</t>
  </si>
  <si>
    <t xml:space="preserve">2026-05-07</t>
  </si>
  <si>
    <t xml:space="preserve">SI-5416</t>
  </si>
  <si>
    <t xml:space="preserve">2026-05-09</t>
  </si>
  <si>
    <t xml:space="preserve">SI-5417</t>
  </si>
  <si>
    <t xml:space="preserve">2026-05-15</t>
  </si>
  <si>
    <t xml:space="preserve">SI-5418</t>
  </si>
  <si>
    <t xml:space="preserve">2026-05-14</t>
  </si>
  <si>
    <t xml:space="preserve">SI-5419</t>
  </si>
  <si>
    <t xml:space="preserve">2026-05-24</t>
  </si>
  <si>
    <t xml:space="preserve">SI-5420</t>
  </si>
  <si>
    <t xml:space="preserve">2026-05-05</t>
  </si>
  <si>
    <t xml:space="preserve">SI-5421</t>
  </si>
  <si>
    <t xml:space="preserve">SI-5422</t>
  </si>
  <si>
    <t xml:space="preserve">2026-05-03</t>
  </si>
  <si>
    <t xml:space="preserve">SI-5423</t>
  </si>
  <si>
    <t xml:space="preserve">2026-05-04</t>
  </si>
  <si>
    <t xml:space="preserve">SI-5424</t>
  </si>
  <si>
    <t xml:space="preserve">SI-5425</t>
  </si>
  <si>
    <t xml:space="preserve">SI-5426</t>
  </si>
  <si>
    <t xml:space="preserve">SI-5427</t>
  </si>
  <si>
    <t xml:space="preserve">SI-5428</t>
  </si>
  <si>
    <t xml:space="preserve">SI-5429</t>
  </si>
  <si>
    <t xml:space="preserve">2026-05-28</t>
  </si>
  <si>
    <t xml:space="preserve">SI-5430</t>
  </si>
  <si>
    <t xml:space="preserve">2026-05-27</t>
  </si>
  <si>
    <t xml:space="preserve">SI-5431</t>
  </si>
  <si>
    <t xml:space="preserve">2026-05-19</t>
  </si>
  <si>
    <t xml:space="preserve">SI-5432</t>
  </si>
  <si>
    <t xml:space="preserve">SI-5433</t>
  </si>
  <si>
    <t xml:space="preserve">SI-5434</t>
  </si>
  <si>
    <t xml:space="preserve">SI-5435</t>
  </si>
  <si>
    <t xml:space="preserve">SI-5436</t>
  </si>
  <si>
    <t xml:space="preserve">2026-05-08</t>
  </si>
  <si>
    <t xml:space="preserve">SI-5437</t>
  </si>
  <si>
    <t xml:space="preserve">SI-5438</t>
  </si>
  <si>
    <t xml:space="preserve">SI-5439</t>
  </si>
  <si>
    <t xml:space="preserve">SI-5440</t>
  </si>
  <si>
    <t xml:space="preserve">SI-5441</t>
  </si>
  <si>
    <t xml:space="preserve">SI-5442</t>
  </si>
  <si>
    <t xml:space="preserve">SI-5443</t>
  </si>
  <si>
    <t xml:space="preserve">SI-5444</t>
  </si>
  <si>
    <t xml:space="preserve">2026-05-26</t>
  </si>
  <si>
    <t xml:space="preserve">SI-5445</t>
  </si>
  <si>
    <t xml:space="preserve">SI-5446</t>
  </si>
  <si>
    <t xml:space="preserve">2026-05-01</t>
  </si>
  <si>
    <t xml:space="preserve">SI-5447</t>
  </si>
  <si>
    <t xml:space="preserve">SI-5448</t>
  </si>
  <si>
    <t xml:space="preserve">2026-05-12</t>
  </si>
  <si>
    <t xml:space="preserve">SI-5449</t>
  </si>
  <si>
    <t xml:space="preserve">2026-05-13</t>
  </si>
  <si>
    <t xml:space="preserve">SI-5450</t>
  </si>
  <si>
    <t xml:space="preserve">2026-05-17</t>
  </si>
  <si>
    <t xml:space="preserve">SI-5451</t>
  </si>
  <si>
    <t xml:space="preserve">SI-5452</t>
  </si>
  <si>
    <t xml:space="preserve">SI-5453</t>
  </si>
  <si>
    <t xml:space="preserve">SI-5454</t>
  </si>
  <si>
    <t xml:space="preserve">2026-05-06</t>
  </si>
  <si>
    <t xml:space="preserve">SI-5455</t>
  </si>
  <si>
    <t xml:space="preserve">SI-5456</t>
  </si>
  <si>
    <t xml:space="preserve">SI-5457</t>
  </si>
  <si>
    <t xml:space="preserve">SI-5458</t>
  </si>
  <si>
    <t xml:space="preserve">SI-5459</t>
  </si>
  <si>
    <t xml:space="preserve">SI-5460</t>
  </si>
  <si>
    <t xml:space="preserve">SI-5461</t>
  </si>
  <si>
    <t xml:space="preserve">SI-5462</t>
  </si>
  <si>
    <t xml:space="preserve">SI-5463</t>
  </si>
  <si>
    <t xml:space="preserve">SI-5464</t>
  </si>
  <si>
    <t xml:space="preserve">SI-5465</t>
  </si>
  <si>
    <t xml:space="preserve">SI-5466</t>
  </si>
  <si>
    <t xml:space="preserve">SI-5467</t>
  </si>
  <si>
    <t xml:space="preserve">SI-5468</t>
  </si>
  <si>
    <t xml:space="preserve">SI-5469</t>
  </si>
  <si>
    <t xml:space="preserve">PI-5470</t>
  </si>
  <si>
    <t xml:space="preserve">PI-5471</t>
  </si>
  <si>
    <t xml:space="preserve">PI-5472</t>
  </si>
  <si>
    <t xml:space="preserve">PI-5473</t>
  </si>
  <si>
    <t xml:space="preserve">PI-5474</t>
  </si>
  <si>
    <t xml:space="preserve">2026-05-18</t>
  </si>
  <si>
    <t xml:space="preserve">PI-5475</t>
  </si>
  <si>
    <t xml:space="preserve">PI-5476</t>
  </si>
  <si>
    <t xml:space="preserve">PI-5477</t>
  </si>
  <si>
    <t xml:space="preserve">PI-5478</t>
  </si>
  <si>
    <t xml:space="preserve">PI-5479</t>
  </si>
  <si>
    <t xml:space="preserve">PI-5480</t>
  </si>
  <si>
    <t xml:space="preserve">PI-5481</t>
  </si>
  <si>
    <t xml:space="preserve">PI-5482</t>
  </si>
  <si>
    <t xml:space="preserve">PI-5483</t>
  </si>
  <si>
    <t xml:space="preserve">PI-5484</t>
  </si>
  <si>
    <t xml:space="preserve">2026-05-25</t>
  </si>
  <si>
    <t xml:space="preserve">PI-5485</t>
  </si>
  <si>
    <t xml:space="preserve">PI-5486</t>
  </si>
  <si>
    <t xml:space="preserve">PI-5487</t>
  </si>
  <si>
    <t xml:space="preserve">PI-5488</t>
  </si>
  <si>
    <t xml:space="preserve">PI-5489</t>
  </si>
  <si>
    <t xml:space="preserve">PI-5490</t>
  </si>
  <si>
    <t xml:space="preserve">2026-05-02</t>
  </si>
  <si>
    <t xml:space="preserve">PI-5491</t>
  </si>
  <si>
    <t xml:space="preserve">PI-5492</t>
  </si>
  <si>
    <t xml:space="preserve">PI-5493</t>
  </si>
  <si>
    <t xml:space="preserve">2026-05-23</t>
  </si>
  <si>
    <t xml:space="preserve">PI-5494</t>
  </si>
  <si>
    <t xml:space="preserve">PI-5495</t>
  </si>
  <si>
    <t xml:space="preserve">2026-05-11</t>
  </si>
  <si>
    <t xml:space="preserve">PI-5496</t>
  </si>
  <si>
    <t xml:space="preserve">PI-5497</t>
  </si>
  <si>
    <t xml:space="preserve">PI-5498</t>
  </si>
  <si>
    <t xml:space="preserve">PI-5499</t>
  </si>
  <si>
    <t xml:space="preserve">PI-5500</t>
  </si>
  <si>
    <t xml:space="preserve">PI-5501</t>
  </si>
  <si>
    <t xml:space="preserve">PI-5502</t>
  </si>
  <si>
    <t xml:space="preserve">PI-5503</t>
  </si>
  <si>
    <t xml:space="preserve">PI-5504</t>
  </si>
  <si>
    <t xml:space="preserve">PI-5505</t>
  </si>
  <si>
    <t xml:space="preserve">PI-5506</t>
  </si>
  <si>
    <t xml:space="preserve">SI-5507</t>
  </si>
  <si>
    <t xml:space="preserve">2026-06-10</t>
  </si>
  <si>
    <t xml:space="preserve">SI-5508</t>
  </si>
  <si>
    <t xml:space="preserve">2026-06-27</t>
  </si>
  <si>
    <t xml:space="preserve">SI-5509</t>
  </si>
  <si>
    <t xml:space="preserve">2026-06-19</t>
  </si>
  <si>
    <t xml:space="preserve">SI-5510</t>
  </si>
  <si>
    <t xml:space="preserve">2026-06-12</t>
  </si>
  <si>
    <t xml:space="preserve">SI-5511</t>
  </si>
  <si>
    <t xml:space="preserve">2026-06-21</t>
  </si>
  <si>
    <t xml:space="preserve">SI-5512</t>
  </si>
  <si>
    <t xml:space="preserve">2026-06-23</t>
  </si>
  <si>
    <t xml:space="preserve">SI-5513</t>
  </si>
  <si>
    <t xml:space="preserve">2026-06-25</t>
  </si>
  <si>
    <t xml:space="preserve">SI-5514</t>
  </si>
  <si>
    <t xml:space="preserve">2026-06-06</t>
  </si>
  <si>
    <t xml:space="preserve">SI-5515</t>
  </si>
  <si>
    <t xml:space="preserve">SI-5516</t>
  </si>
  <si>
    <t xml:space="preserve">2026-06-26</t>
  </si>
  <si>
    <t xml:space="preserve">SI-5517</t>
  </si>
  <si>
    <t xml:space="preserve">SI-5518</t>
  </si>
  <si>
    <t xml:space="preserve">SI-5519</t>
  </si>
  <si>
    <t xml:space="preserve">2026-06-09</t>
  </si>
  <si>
    <t xml:space="preserve">SI-5520</t>
  </si>
  <si>
    <t xml:space="preserve">2026-06-28</t>
  </si>
  <si>
    <t xml:space="preserve">SI-5521</t>
  </si>
  <si>
    <t xml:space="preserve">2026-06-13</t>
  </si>
  <si>
    <t xml:space="preserve">SI-5522</t>
  </si>
  <si>
    <t xml:space="preserve">2026-06-22</t>
  </si>
  <si>
    <t xml:space="preserve">SI-5523</t>
  </si>
  <si>
    <t xml:space="preserve">SI-5524</t>
  </si>
  <si>
    <t xml:space="preserve">2026-06-11</t>
  </si>
  <si>
    <t xml:space="preserve">SI-5525</t>
  </si>
  <si>
    <t xml:space="preserve">SI-5526</t>
  </si>
  <si>
    <t xml:space="preserve">2026-06-15</t>
  </si>
  <si>
    <t xml:space="preserve">SI-5527</t>
  </si>
  <si>
    <t xml:space="preserve">SI-5528</t>
  </si>
  <si>
    <t xml:space="preserve">SI-5529</t>
  </si>
  <si>
    <t xml:space="preserve">2026-06-08</t>
  </si>
  <si>
    <t xml:space="preserve">SI-5530</t>
  </si>
  <si>
    <t xml:space="preserve">SI-5531</t>
  </si>
  <si>
    <t xml:space="preserve">2026-06-17</t>
  </si>
  <si>
    <t xml:space="preserve">SI-5532</t>
  </si>
  <si>
    <t xml:space="preserve">SI-5533</t>
  </si>
  <si>
    <t xml:space="preserve">SI-5534</t>
  </si>
  <si>
    <t xml:space="preserve">2026-06-05</t>
  </si>
  <si>
    <t xml:space="preserve">SI-5535</t>
  </si>
  <si>
    <t xml:space="preserve">SI-5536</t>
  </si>
  <si>
    <t xml:space="preserve">SI-5537</t>
  </si>
  <si>
    <t xml:space="preserve">SI-5538</t>
  </si>
  <si>
    <t xml:space="preserve">SI-5539</t>
  </si>
  <si>
    <t xml:space="preserve">SI-5540</t>
  </si>
  <si>
    <t xml:space="preserve">SI-5541</t>
  </si>
  <si>
    <t xml:space="preserve">SI-5542</t>
  </si>
  <si>
    <t xml:space="preserve">SI-5543</t>
  </si>
  <si>
    <t xml:space="preserve">SI-5544</t>
  </si>
  <si>
    <t xml:space="preserve">SI-5545</t>
  </si>
  <si>
    <t xml:space="preserve">SI-5546</t>
  </si>
  <si>
    <t xml:space="preserve">SI-5547</t>
  </si>
  <si>
    <t xml:space="preserve">2026-06-02</t>
  </si>
  <si>
    <t xml:space="preserve">SI-5548</t>
  </si>
  <si>
    <t xml:space="preserve">SI-5549</t>
  </si>
  <si>
    <t xml:space="preserve">SI-5550</t>
  </si>
  <si>
    <t xml:space="preserve">SI-5551</t>
  </si>
  <si>
    <t xml:space="preserve">SI-5552</t>
  </si>
  <si>
    <t xml:space="preserve">SI-5553</t>
  </si>
  <si>
    <t xml:space="preserve">SI-5554</t>
  </si>
  <si>
    <t xml:space="preserve">SI-5555</t>
  </si>
  <si>
    <t xml:space="preserve">2026-06-16</t>
  </si>
  <si>
    <t xml:space="preserve">SI-5556</t>
  </si>
  <si>
    <t xml:space="preserve">2026-06-24</t>
  </si>
  <si>
    <t xml:space="preserve">SI-5557</t>
  </si>
  <si>
    <t xml:space="preserve">SI-5558</t>
  </si>
  <si>
    <t xml:space="preserve">SI-5559</t>
  </si>
  <si>
    <t xml:space="preserve">2026-06-04</t>
  </si>
  <si>
    <t xml:space="preserve">SI-5560</t>
  </si>
  <si>
    <t xml:space="preserve">SI-5561</t>
  </si>
  <si>
    <t xml:space="preserve">SI-5562</t>
  </si>
  <si>
    <t xml:space="preserve">SI-5563</t>
  </si>
  <si>
    <t xml:space="preserve">SI-5564</t>
  </si>
  <si>
    <t xml:space="preserve">SI-5565</t>
  </si>
  <si>
    <t xml:space="preserve">2026-06-18</t>
  </si>
  <si>
    <t xml:space="preserve">SI-5566</t>
  </si>
  <si>
    <t xml:space="preserve">SI-5567</t>
  </si>
  <si>
    <t xml:space="preserve">SI-5568</t>
  </si>
  <si>
    <t xml:space="preserve">2026-06-01</t>
  </si>
  <si>
    <t xml:space="preserve">SI-5569</t>
  </si>
  <si>
    <t xml:space="preserve">SI-5570</t>
  </si>
  <si>
    <t xml:space="preserve">SI-5571</t>
  </si>
  <si>
    <t xml:space="preserve">SI-5572</t>
  </si>
  <si>
    <t xml:space="preserve">SI-5573</t>
  </si>
  <si>
    <t xml:space="preserve">SI-5574</t>
  </si>
  <si>
    <t xml:space="preserve">SI-5575</t>
  </si>
  <si>
    <t xml:space="preserve">PI-5576</t>
  </si>
  <si>
    <t xml:space="preserve">PI-5577</t>
  </si>
  <si>
    <t xml:space="preserve">PI-5578</t>
  </si>
  <si>
    <t xml:space="preserve">PI-5579</t>
  </si>
  <si>
    <t xml:space="preserve">PI-5580</t>
  </si>
  <si>
    <t xml:space="preserve">PI-5581</t>
  </si>
  <si>
    <t xml:space="preserve">PI-5582</t>
  </si>
  <si>
    <t xml:space="preserve">PI-5583</t>
  </si>
  <si>
    <t xml:space="preserve">PI-5584</t>
  </si>
  <si>
    <t xml:space="preserve">PI-5585</t>
  </si>
  <si>
    <t xml:space="preserve">PI-5586</t>
  </si>
  <si>
    <t xml:space="preserve">PI-5587</t>
  </si>
  <si>
    <t xml:space="preserve">PI-5588</t>
  </si>
  <si>
    <t xml:space="preserve">PI-5589</t>
  </si>
  <si>
    <t xml:space="preserve">PI-5590</t>
  </si>
  <si>
    <t xml:space="preserve">2026-06-07</t>
  </si>
  <si>
    <t xml:space="preserve">PI-5591</t>
  </si>
  <si>
    <t xml:space="preserve">PI-5592</t>
  </si>
  <si>
    <t xml:space="preserve">PI-5593</t>
  </si>
  <si>
    <t xml:space="preserve">PI-5594</t>
  </si>
  <si>
    <t xml:space="preserve">PI-5595</t>
  </si>
  <si>
    <t xml:space="preserve">PI-5596</t>
  </si>
  <si>
    <t xml:space="preserve">PI-5597</t>
  </si>
  <si>
    <t xml:space="preserve">PI-5598</t>
  </si>
  <si>
    <t xml:space="preserve">PI-5599</t>
  </si>
  <si>
    <t xml:space="preserve">PI-5600</t>
  </si>
  <si>
    <t xml:space="preserve">PI-5601</t>
  </si>
  <si>
    <t xml:space="preserve">PI-5602</t>
  </si>
  <si>
    <t xml:space="preserve">PI-5603</t>
  </si>
  <si>
    <t xml:space="preserve">PI-5604</t>
  </si>
  <si>
    <t xml:space="preserve">PI-5605</t>
  </si>
  <si>
    <t xml:space="preserve">PI-5606</t>
  </si>
  <si>
    <t xml:space="preserve">PI-5607</t>
  </si>
  <si>
    <t xml:space="preserve">2026-06-14</t>
  </si>
  <si>
    <t xml:space="preserve">PI-5608</t>
  </si>
  <si>
    <t xml:space="preserve">PI-5609</t>
  </si>
  <si>
    <t xml:space="preserve">PI-5610</t>
  </si>
  <si>
    <t xml:space="preserve">PI-5611</t>
  </si>
  <si>
    <t xml:space="preserve">PI-5612</t>
  </si>
  <si>
    <t xml:space="preserve">SI-5613</t>
  </si>
  <si>
    <t xml:space="preserve">2026-07-11</t>
  </si>
  <si>
    <t xml:space="preserve">SI-5614</t>
  </si>
  <si>
    <t xml:space="preserve">2026-07-04</t>
  </si>
  <si>
    <t xml:space="preserve">SI-5615</t>
  </si>
  <si>
    <t xml:space="preserve">2026-07-05</t>
  </si>
  <si>
    <t xml:space="preserve">SI-5616</t>
  </si>
  <si>
    <t xml:space="preserve">2026-07-21</t>
  </si>
  <si>
    <t xml:space="preserve">SI-5617</t>
  </si>
  <si>
    <t xml:space="preserve">2026-07-10</t>
  </si>
  <si>
    <t xml:space="preserve">SI-5618</t>
  </si>
  <si>
    <t xml:space="preserve">2026-07-12</t>
  </si>
  <si>
    <t xml:space="preserve">SI-5619</t>
  </si>
  <si>
    <t xml:space="preserve">SI-5620</t>
  </si>
  <si>
    <t xml:space="preserve">SI-5621</t>
  </si>
  <si>
    <t xml:space="preserve">2026-07-14</t>
  </si>
  <si>
    <t xml:space="preserve">SI-5622</t>
  </si>
  <si>
    <t xml:space="preserve">2026-07-16</t>
  </si>
  <si>
    <t xml:space="preserve">SI-5623</t>
  </si>
  <si>
    <t xml:space="preserve">2026-07-20</t>
  </si>
  <si>
    <t xml:space="preserve">SI-5624</t>
  </si>
  <si>
    <t xml:space="preserve">2026-07-07</t>
  </si>
  <si>
    <t xml:space="preserve">SI-5625</t>
  </si>
  <si>
    <t xml:space="preserve">2026-07-28</t>
  </si>
  <si>
    <t xml:space="preserve">SI-5626</t>
  </si>
  <si>
    <t xml:space="preserve">2026-07-02</t>
  </si>
  <si>
    <t xml:space="preserve">SI-5627</t>
  </si>
  <si>
    <t xml:space="preserve">2026-07-17</t>
  </si>
  <si>
    <t xml:space="preserve">SI-5628</t>
  </si>
  <si>
    <t xml:space="preserve">2026-07-13</t>
  </si>
  <si>
    <t xml:space="preserve">SI-5629</t>
  </si>
  <si>
    <t xml:space="preserve">SI-5630</t>
  </si>
  <si>
    <t xml:space="preserve">2026-07-22</t>
  </si>
  <si>
    <t xml:space="preserve">SI-5631</t>
  </si>
  <si>
    <t xml:space="preserve">2026-07-15</t>
  </si>
  <si>
    <t xml:space="preserve">SI-5632</t>
  </si>
  <si>
    <t xml:space="preserve">SI-5633</t>
  </si>
  <si>
    <t xml:space="preserve">SI-5634</t>
  </si>
  <si>
    <t xml:space="preserve">2026-07-24</t>
  </si>
  <si>
    <t xml:space="preserve">SI-5635</t>
  </si>
  <si>
    <t xml:space="preserve">2026-07-06</t>
  </si>
  <si>
    <t xml:space="preserve">SI-5636</t>
  </si>
  <si>
    <t xml:space="preserve">SI-5637</t>
  </si>
  <si>
    <t xml:space="preserve">SI-5638</t>
  </si>
  <si>
    <t xml:space="preserve">SI-5639</t>
  </si>
  <si>
    <t xml:space="preserve">SI-5640</t>
  </si>
  <si>
    <t xml:space="preserve">SI-5641</t>
  </si>
  <si>
    <t xml:space="preserve">SI-5642</t>
  </si>
  <si>
    <t xml:space="preserve">SI-5643</t>
  </si>
  <si>
    <t xml:space="preserve">SI-5644</t>
  </si>
  <si>
    <t xml:space="preserve">SI-5645</t>
  </si>
  <si>
    <t xml:space="preserve">SI-5646</t>
  </si>
  <si>
    <t xml:space="preserve">SI-5647</t>
  </si>
  <si>
    <t xml:space="preserve">SI-5648</t>
  </si>
  <si>
    <t xml:space="preserve">SI-5649</t>
  </si>
  <si>
    <t xml:space="preserve">2026-07-25</t>
  </si>
  <si>
    <t xml:space="preserve">SI-5650</t>
  </si>
  <si>
    <t xml:space="preserve">2026-07-18</t>
  </si>
  <si>
    <t xml:space="preserve">SI-5651</t>
  </si>
  <si>
    <t xml:space="preserve">SI-5652</t>
  </si>
  <si>
    <t xml:space="preserve">SI-5653</t>
  </si>
  <si>
    <t xml:space="preserve">SI-5654</t>
  </si>
  <si>
    <t xml:space="preserve">SI-5655</t>
  </si>
  <si>
    <t xml:space="preserve">SI-5656</t>
  </si>
  <si>
    <t xml:space="preserve">SI-5657</t>
  </si>
  <si>
    <t xml:space="preserve">SI-5658</t>
  </si>
  <si>
    <t xml:space="preserve">SI-5659</t>
  </si>
  <si>
    <t xml:space="preserve">2026-07-01</t>
  </si>
  <si>
    <t xml:space="preserve">SI-5660</t>
  </si>
  <si>
    <t xml:space="preserve">2026-07-23</t>
  </si>
  <si>
    <t xml:space="preserve">SI-5661</t>
  </si>
  <si>
    <t xml:space="preserve">2026-07-27</t>
  </si>
  <si>
    <t xml:space="preserve">SI-5662</t>
  </si>
  <si>
    <t xml:space="preserve">SI-5663</t>
  </si>
  <si>
    <t xml:space="preserve">SI-5664</t>
  </si>
  <si>
    <t xml:space="preserve">SI-5665</t>
  </si>
  <si>
    <t xml:space="preserve">SI-5666</t>
  </si>
  <si>
    <t xml:space="preserve">2026-07-26</t>
  </si>
  <si>
    <t xml:space="preserve">SI-5667</t>
  </si>
  <si>
    <t xml:space="preserve">SI-5668</t>
  </si>
  <si>
    <t xml:space="preserve">SI-5669</t>
  </si>
  <si>
    <t xml:space="preserve">SI-5670</t>
  </si>
  <si>
    <t xml:space="preserve">SI-5671</t>
  </si>
  <si>
    <t xml:space="preserve">SI-5672</t>
  </si>
  <si>
    <t xml:space="preserve">SI-5673</t>
  </si>
  <si>
    <t xml:space="preserve">2026-07-03</t>
  </si>
  <si>
    <t xml:space="preserve">SI-5674</t>
  </si>
  <si>
    <t xml:space="preserve">SI-5675</t>
  </si>
  <si>
    <t xml:space="preserve">SI-5676</t>
  </si>
  <si>
    <t xml:space="preserve">SI-5677</t>
  </si>
  <si>
    <t xml:space="preserve">PI-5678</t>
  </si>
  <si>
    <t xml:space="preserve">PI-5679</t>
  </si>
  <si>
    <t xml:space="preserve">PI-5680</t>
  </si>
  <si>
    <t xml:space="preserve">PI-5681</t>
  </si>
  <si>
    <t xml:space="preserve">PI-5682</t>
  </si>
  <si>
    <t xml:space="preserve">PI-5683</t>
  </si>
  <si>
    <t xml:space="preserve">PI-5684</t>
  </si>
  <si>
    <t xml:space="preserve">PI-5685</t>
  </si>
  <si>
    <t xml:space="preserve">PI-5686</t>
  </si>
  <si>
    <t xml:space="preserve">PI-5687</t>
  </si>
  <si>
    <t xml:space="preserve">PI-5688</t>
  </si>
  <si>
    <t xml:space="preserve">PI-5689</t>
  </si>
  <si>
    <t xml:space="preserve">PI-5690</t>
  </si>
  <si>
    <t xml:space="preserve">PI-5691</t>
  </si>
  <si>
    <t xml:space="preserve">PI-5692</t>
  </si>
  <si>
    <t xml:space="preserve">PI-5693</t>
  </si>
  <si>
    <t xml:space="preserve">PI-5694</t>
  </si>
  <si>
    <t xml:space="preserve">PI-5695</t>
  </si>
  <si>
    <t xml:space="preserve">PI-5696</t>
  </si>
  <si>
    <t xml:space="preserve">PI-5697</t>
  </si>
  <si>
    <t xml:space="preserve">PI-5698</t>
  </si>
  <si>
    <t xml:space="preserve">PI-5699</t>
  </si>
  <si>
    <t xml:space="preserve">PI-5700</t>
  </si>
  <si>
    <t xml:space="preserve">PI-5701</t>
  </si>
  <si>
    <t xml:space="preserve">PI-5702</t>
  </si>
  <si>
    <t xml:space="preserve">PI-5703</t>
  </si>
  <si>
    <t xml:space="preserve">PI-5704</t>
  </si>
  <si>
    <t xml:space="preserve">PI-5705</t>
  </si>
  <si>
    <t xml:space="preserve">PI-5706</t>
  </si>
  <si>
    <t xml:space="preserve">PI-5707</t>
  </si>
  <si>
    <t xml:space="preserve">PI-5708</t>
  </si>
  <si>
    <t xml:space="preserve">PI-5709</t>
  </si>
  <si>
    <t xml:space="preserve">PI-5710</t>
  </si>
  <si>
    <t xml:space="preserve">PI-5711</t>
  </si>
  <si>
    <t xml:space="preserve">PI-5712</t>
  </si>
  <si>
    <t xml:space="preserve">PI-5713</t>
  </si>
  <si>
    <t xml:space="preserve">PI-5714</t>
  </si>
  <si>
    <t xml:space="preserve">PI-5715</t>
  </si>
  <si>
    <t xml:space="preserve">SI-5716</t>
  </si>
  <si>
    <t xml:space="preserve">2026-08-26</t>
  </si>
  <si>
    <t xml:space="preserve">SI-5717</t>
  </si>
  <si>
    <t xml:space="preserve">2026-08-25</t>
  </si>
  <si>
    <t xml:space="preserve">SI-5718</t>
  </si>
  <si>
    <t xml:space="preserve">2026-08-18</t>
  </si>
  <si>
    <t xml:space="preserve">SI-5719</t>
  </si>
  <si>
    <t xml:space="preserve">2026-08-01</t>
  </si>
  <si>
    <t xml:space="preserve">SI-5720</t>
  </si>
  <si>
    <t xml:space="preserve">2026-08-16</t>
  </si>
  <si>
    <t xml:space="preserve">SI-5721</t>
  </si>
  <si>
    <t xml:space="preserve">2026-08-15</t>
  </si>
  <si>
    <t xml:space="preserve">SI-5722</t>
  </si>
  <si>
    <t xml:space="preserve">SI-5723</t>
  </si>
  <si>
    <t xml:space="preserve">2026-08-24</t>
  </si>
  <si>
    <t xml:space="preserve">SI-5724</t>
  </si>
  <si>
    <t xml:space="preserve">2026-08-09</t>
  </si>
  <si>
    <t xml:space="preserve">SI-5725</t>
  </si>
  <si>
    <t xml:space="preserve">2026-08-17</t>
  </si>
  <si>
    <t xml:space="preserve">SI-5726</t>
  </si>
  <si>
    <t xml:space="preserve">SI-5727</t>
  </si>
  <si>
    <t xml:space="preserve">2026-08-10</t>
  </si>
  <si>
    <t xml:space="preserve">SI-5728</t>
  </si>
  <si>
    <t xml:space="preserve">SI-5729</t>
  </si>
  <si>
    <t xml:space="preserve">2026-08-19</t>
  </si>
  <si>
    <t xml:space="preserve">SI-5730</t>
  </si>
  <si>
    <t xml:space="preserve">2026-08-07</t>
  </si>
  <si>
    <t xml:space="preserve">SI-5731</t>
  </si>
  <si>
    <t xml:space="preserve">2026-08-08</t>
  </si>
  <si>
    <t xml:space="preserve">SI-5732</t>
  </si>
  <si>
    <t xml:space="preserve">SI-5733</t>
  </si>
  <si>
    <t xml:space="preserve">2026-08-04</t>
  </si>
  <si>
    <t xml:space="preserve">SI-5734</t>
  </si>
  <si>
    <t xml:space="preserve">SI-5735</t>
  </si>
  <si>
    <t xml:space="preserve">SI-5736</t>
  </si>
  <si>
    <t xml:space="preserve">2026-08-20</t>
  </si>
  <si>
    <t xml:space="preserve">SI-5737</t>
  </si>
  <si>
    <t xml:space="preserve">2026-08-27</t>
  </si>
  <si>
    <t xml:space="preserve">SI-5738</t>
  </si>
  <si>
    <t xml:space="preserve">SI-5739</t>
  </si>
  <si>
    <t xml:space="preserve">2026-08-22</t>
  </si>
  <si>
    <t xml:space="preserve">SI-5740</t>
  </si>
  <si>
    <t xml:space="preserve">SI-5741</t>
  </si>
  <si>
    <t xml:space="preserve">2026-08-23</t>
  </si>
  <si>
    <t xml:space="preserve">SI-5742</t>
  </si>
  <si>
    <t xml:space="preserve">SI-5743</t>
  </si>
  <si>
    <t xml:space="preserve">2026-08-28</t>
  </si>
  <si>
    <t xml:space="preserve">SI-5744</t>
  </si>
  <si>
    <t xml:space="preserve">SI-5745</t>
  </si>
  <si>
    <t xml:space="preserve">SI-5746</t>
  </si>
  <si>
    <t xml:space="preserve">2026-08-06</t>
  </si>
  <si>
    <t xml:space="preserve">SI-5747</t>
  </si>
  <si>
    <t xml:space="preserve">SI-5748</t>
  </si>
  <si>
    <t xml:space="preserve">SI-5749</t>
  </si>
  <si>
    <t xml:space="preserve">SI-5750</t>
  </si>
  <si>
    <t xml:space="preserve">SI-5751</t>
  </si>
  <si>
    <t xml:space="preserve">SI-5752</t>
  </si>
  <si>
    <t xml:space="preserve">SI-5753</t>
  </si>
  <si>
    <t xml:space="preserve">SI-5754</t>
  </si>
  <si>
    <t xml:space="preserve">SI-5755</t>
  </si>
  <si>
    <t xml:space="preserve">SI-5756</t>
  </si>
  <si>
    <t xml:space="preserve">SI-5757</t>
  </si>
  <si>
    <t xml:space="preserve">2026-08-02</t>
  </si>
  <si>
    <t xml:space="preserve">SI-5758</t>
  </si>
  <si>
    <t xml:space="preserve">2026-08-05</t>
  </si>
  <si>
    <t xml:space="preserve">SI-5759</t>
  </si>
  <si>
    <t xml:space="preserve">SI-5760</t>
  </si>
  <si>
    <t xml:space="preserve">SI-5761</t>
  </si>
  <si>
    <t xml:space="preserve">SI-5762</t>
  </si>
  <si>
    <t xml:space="preserve">2026-08-11</t>
  </si>
  <si>
    <t xml:space="preserve">SI-5763</t>
  </si>
  <si>
    <t xml:space="preserve">SI-5764</t>
  </si>
  <si>
    <t xml:space="preserve">2026-08-03</t>
  </si>
  <si>
    <t xml:space="preserve">SI-5765</t>
  </si>
  <si>
    <t xml:space="preserve">SI-5766</t>
  </si>
  <si>
    <t xml:space="preserve">SI-5767</t>
  </si>
  <si>
    <t xml:space="preserve">SI-5768</t>
  </si>
  <si>
    <t xml:space="preserve">2026-08-14</t>
  </si>
  <si>
    <t xml:space="preserve">SI-5769</t>
  </si>
  <si>
    <t xml:space="preserve">SI-5770</t>
  </si>
  <si>
    <t xml:space="preserve">2026-08-13</t>
  </si>
  <si>
    <t xml:space="preserve">SI-5771</t>
  </si>
  <si>
    <t xml:space="preserve">SI-5772</t>
  </si>
  <si>
    <t xml:space="preserve">SI-5773</t>
  </si>
  <si>
    <t xml:space="preserve">SI-5774</t>
  </si>
  <si>
    <t xml:space="preserve">SI-5775</t>
  </si>
  <si>
    <t xml:space="preserve">SI-5776</t>
  </si>
  <si>
    <t xml:space="preserve">SI-5777</t>
  </si>
  <si>
    <t xml:space="preserve">SI-5778</t>
  </si>
  <si>
    <t xml:space="preserve">SI-5779</t>
  </si>
  <si>
    <t xml:space="preserve">SI-5780</t>
  </si>
  <si>
    <t xml:space="preserve">SI-5781</t>
  </si>
  <si>
    <t xml:space="preserve">SI-5782</t>
  </si>
  <si>
    <t xml:space="preserve">SI-5783</t>
  </si>
  <si>
    <t xml:space="preserve">SI-5784</t>
  </si>
  <si>
    <t xml:space="preserve">2026-08-21</t>
  </si>
  <si>
    <t xml:space="preserve">SI-5785</t>
  </si>
  <si>
    <t xml:space="preserve">PI-5786</t>
  </si>
  <si>
    <t xml:space="preserve">PI-5787</t>
  </si>
  <si>
    <t xml:space="preserve">PI-5788</t>
  </si>
  <si>
    <t xml:space="preserve">PI-5789</t>
  </si>
  <si>
    <t xml:space="preserve">PI-5790</t>
  </si>
  <si>
    <t xml:space="preserve">PI-5791</t>
  </si>
  <si>
    <t xml:space="preserve">PI-5792</t>
  </si>
  <si>
    <t xml:space="preserve">PI-5793</t>
  </si>
  <si>
    <t xml:space="preserve">PI-5794</t>
  </si>
  <si>
    <t xml:space="preserve">PI-5795</t>
  </si>
  <si>
    <t xml:space="preserve">PI-5796</t>
  </si>
  <si>
    <t xml:space="preserve">PI-5797</t>
  </si>
  <si>
    <t xml:space="preserve">PI-5798</t>
  </si>
  <si>
    <t xml:space="preserve">PI-5799</t>
  </si>
  <si>
    <t xml:space="preserve">PI-5800</t>
  </si>
  <si>
    <t xml:space="preserve">PI-5801</t>
  </si>
  <si>
    <t xml:space="preserve">PI-5802</t>
  </si>
  <si>
    <t xml:space="preserve">PI-5803</t>
  </si>
  <si>
    <t xml:space="preserve">PI-5804</t>
  </si>
  <si>
    <t xml:space="preserve">PI-5805</t>
  </si>
  <si>
    <t xml:space="preserve">PI-5806</t>
  </si>
  <si>
    <t xml:space="preserve">PI-5807</t>
  </si>
  <si>
    <t xml:space="preserve">PI-5808</t>
  </si>
  <si>
    <t xml:space="preserve">PI-5809</t>
  </si>
  <si>
    <t xml:space="preserve">PI-5810</t>
  </si>
  <si>
    <t xml:space="preserve">PI-5811</t>
  </si>
  <si>
    <t xml:space="preserve">PI-5812</t>
  </si>
  <si>
    <t xml:space="preserve">PI-5813</t>
  </si>
  <si>
    <t xml:space="preserve">PI-5814</t>
  </si>
  <si>
    <t xml:space="preserve">PI-5815</t>
  </si>
  <si>
    <t xml:space="preserve">PI-5816</t>
  </si>
  <si>
    <t xml:space="preserve">PI-5817</t>
  </si>
  <si>
    <t xml:space="preserve">2026-08-12</t>
  </si>
  <si>
    <t xml:space="preserve">PI-5818</t>
  </si>
  <si>
    <t xml:space="preserve">PI-5819</t>
  </si>
  <si>
    <t xml:space="preserve">PI-5820</t>
  </si>
  <si>
    <t xml:space="preserve">PI-5821</t>
  </si>
  <si>
    <t xml:space="preserve">PI-5822</t>
  </si>
  <si>
    <t xml:space="preserve">PI-5823</t>
  </si>
  <si>
    <t xml:space="preserve">PI-5824</t>
  </si>
  <si>
    <t xml:space="preserve">PI-5825</t>
  </si>
  <si>
    <t xml:space="preserve">PI-5826</t>
  </si>
  <si>
    <t xml:space="preserve">PI-5827</t>
  </si>
  <si>
    <t xml:space="preserve">SI-5828</t>
  </si>
  <si>
    <t xml:space="preserve">2026-09-14</t>
  </si>
  <si>
    <t xml:space="preserve">SI-5829</t>
  </si>
  <si>
    <t xml:space="preserve">2026-09-23</t>
  </si>
  <si>
    <t xml:space="preserve">SI-5830</t>
  </si>
  <si>
    <t xml:space="preserve">2026-09-26</t>
  </si>
  <si>
    <t xml:space="preserve">SI-5831</t>
  </si>
  <si>
    <t xml:space="preserve">2026-09-10</t>
  </si>
  <si>
    <t xml:space="preserve">SI-5832</t>
  </si>
  <si>
    <t xml:space="preserve">2026-09-18</t>
  </si>
  <si>
    <t xml:space="preserve">SI-5833</t>
  </si>
  <si>
    <t xml:space="preserve">2026-09-19</t>
  </si>
  <si>
    <t xml:space="preserve">SI-5834</t>
  </si>
  <si>
    <t xml:space="preserve">2026-09-21</t>
  </si>
  <si>
    <t xml:space="preserve">SI-5835</t>
  </si>
  <si>
    <t xml:space="preserve">2026-09-27</t>
  </si>
  <si>
    <t xml:space="preserve">SI-5836</t>
  </si>
  <si>
    <t xml:space="preserve">2026-09-01</t>
  </si>
  <si>
    <t xml:space="preserve">SI-5837</t>
  </si>
  <si>
    <t xml:space="preserve">2026-09-09</t>
  </si>
  <si>
    <t xml:space="preserve">SI-5838</t>
  </si>
  <si>
    <t xml:space="preserve">2026-09-08</t>
  </si>
  <si>
    <t xml:space="preserve">SI-5839</t>
  </si>
  <si>
    <t xml:space="preserve">2026-09-20</t>
  </si>
  <si>
    <t xml:space="preserve">SI-5840</t>
  </si>
  <si>
    <t xml:space="preserve">2026-09-06</t>
  </si>
  <si>
    <t xml:space="preserve">SI-5841</t>
  </si>
  <si>
    <t xml:space="preserve">2026-09-12</t>
  </si>
  <si>
    <t xml:space="preserve">SI-5842</t>
  </si>
  <si>
    <t xml:space="preserve">2026-09-15</t>
  </si>
  <si>
    <t xml:space="preserve">SI-5843</t>
  </si>
  <si>
    <t xml:space="preserve">SI-5844</t>
  </si>
  <si>
    <t xml:space="preserve">SI-5845</t>
  </si>
  <si>
    <t xml:space="preserve">SI-5846</t>
  </si>
  <si>
    <t xml:space="preserve">SI-5847</t>
  </si>
  <si>
    <t xml:space="preserve">SI-5848</t>
  </si>
  <si>
    <t xml:space="preserve">2026-09-07</t>
  </si>
  <si>
    <t xml:space="preserve">SI-5849</t>
  </si>
  <si>
    <t xml:space="preserve">SI-5850</t>
  </si>
  <si>
    <t xml:space="preserve">SI-5851</t>
  </si>
  <si>
    <t xml:space="preserve">2026-09-04</t>
  </si>
  <si>
    <t xml:space="preserve">SI-5852</t>
  </si>
  <si>
    <t xml:space="preserve">2026-09-28</t>
  </si>
  <si>
    <t xml:space="preserve">SI-5853</t>
  </si>
  <si>
    <t xml:space="preserve">SI-5854</t>
  </si>
  <si>
    <t xml:space="preserve">SI-5855</t>
  </si>
  <si>
    <t xml:space="preserve">SI-5856</t>
  </si>
  <si>
    <t xml:space="preserve">2026-09-22</t>
  </si>
  <si>
    <t xml:space="preserve">SI-5857</t>
  </si>
  <si>
    <t xml:space="preserve">SI-5858</t>
  </si>
  <si>
    <t xml:space="preserve">SI-5859</t>
  </si>
  <si>
    <t xml:space="preserve">SI-5860</t>
  </si>
  <si>
    <t xml:space="preserve">2026-09-17</t>
  </si>
  <si>
    <t xml:space="preserve">SI-5861</t>
  </si>
  <si>
    <t xml:space="preserve">2026-09-11</t>
  </si>
  <si>
    <t xml:space="preserve">SI-5862</t>
  </si>
  <si>
    <t xml:space="preserve">SI-5863</t>
  </si>
  <si>
    <t xml:space="preserve">SI-5864</t>
  </si>
  <si>
    <t xml:space="preserve">SI-5865</t>
  </si>
  <si>
    <t xml:space="preserve">SI-5866</t>
  </si>
  <si>
    <t xml:space="preserve">SI-5867</t>
  </si>
  <si>
    <t xml:space="preserve">SI-5868</t>
  </si>
  <si>
    <t xml:space="preserve">SI-5869</t>
  </si>
  <si>
    <t xml:space="preserve">SI-5870</t>
  </si>
  <si>
    <t xml:space="preserve">SI-5871</t>
  </si>
  <si>
    <t xml:space="preserve">SI-5872</t>
  </si>
  <si>
    <t xml:space="preserve">2026-09-05</t>
  </si>
  <si>
    <t xml:space="preserve">SI-5873</t>
  </si>
  <si>
    <t xml:space="preserve">2026-09-02</t>
  </si>
  <si>
    <t xml:space="preserve">SI-5874</t>
  </si>
  <si>
    <t xml:space="preserve">SI-5875</t>
  </si>
  <si>
    <t xml:space="preserve">SI-5876</t>
  </si>
  <si>
    <t xml:space="preserve">SI-5877</t>
  </si>
  <si>
    <t xml:space="preserve">SI-5878</t>
  </si>
  <si>
    <t xml:space="preserve">SI-5879</t>
  </si>
  <si>
    <t xml:space="preserve">SI-5880</t>
  </si>
  <si>
    <t xml:space="preserve">2026-09-13</t>
  </si>
  <si>
    <t xml:space="preserve">SI-5881</t>
  </si>
  <si>
    <t xml:space="preserve">SI-5882</t>
  </si>
  <si>
    <t xml:space="preserve">2026-09-25</t>
  </si>
  <si>
    <t xml:space="preserve">SI-5883</t>
  </si>
  <si>
    <t xml:space="preserve">SI-5884</t>
  </si>
  <si>
    <t xml:space="preserve">SI-5885</t>
  </si>
  <si>
    <t xml:space="preserve">2026-09-24</t>
  </si>
  <si>
    <t xml:space="preserve">SI-5886</t>
  </si>
  <si>
    <t xml:space="preserve">SI-5887</t>
  </si>
  <si>
    <t xml:space="preserve">SI-5888</t>
  </si>
  <si>
    <t xml:space="preserve">SI-5889</t>
  </si>
  <si>
    <t xml:space="preserve">2026-09-03</t>
  </si>
  <si>
    <t xml:space="preserve">SI-5890</t>
  </si>
  <si>
    <t xml:space="preserve">PI-5891</t>
  </si>
  <si>
    <t xml:space="preserve">PI-5892</t>
  </si>
  <si>
    <t xml:space="preserve">PI-5893</t>
  </si>
  <si>
    <t xml:space="preserve">PI-5894</t>
  </si>
  <si>
    <t xml:space="preserve">PI-5895</t>
  </si>
  <si>
    <t xml:space="preserve">PI-5896</t>
  </si>
  <si>
    <t xml:space="preserve">PI-5897</t>
  </si>
  <si>
    <t xml:space="preserve">PI-5898</t>
  </si>
  <si>
    <t xml:space="preserve">PI-5899</t>
  </si>
  <si>
    <t xml:space="preserve">PI-5900</t>
  </si>
  <si>
    <t xml:space="preserve">PI-5901</t>
  </si>
  <si>
    <t xml:space="preserve">PI-5902</t>
  </si>
  <si>
    <t xml:space="preserve">PI-5903</t>
  </si>
  <si>
    <t xml:space="preserve">PI-5904</t>
  </si>
  <si>
    <t xml:space="preserve">PI-5905</t>
  </si>
  <si>
    <t xml:space="preserve">PI-5906</t>
  </si>
  <si>
    <t xml:space="preserve">PI-5907</t>
  </si>
  <si>
    <t xml:space="preserve">PI-5908</t>
  </si>
  <si>
    <t xml:space="preserve">PI-5909</t>
  </si>
  <si>
    <t xml:space="preserve">PI-5910</t>
  </si>
  <si>
    <t xml:space="preserve">PI-5911</t>
  </si>
  <si>
    <t xml:space="preserve">PI-5912</t>
  </si>
  <si>
    <t xml:space="preserve">PI-5913</t>
  </si>
  <si>
    <t xml:space="preserve">PI-5914</t>
  </si>
  <si>
    <t xml:space="preserve">PI-5915</t>
  </si>
  <si>
    <t xml:space="preserve">PI-5916</t>
  </si>
  <si>
    <t xml:space="preserve">PI-5917</t>
  </si>
  <si>
    <t xml:space="preserve">PI-5918</t>
  </si>
  <si>
    <t xml:space="preserve">PI-5919</t>
  </si>
  <si>
    <t xml:space="preserve">PI-5920</t>
  </si>
  <si>
    <t xml:space="preserve">PI-5921</t>
  </si>
  <si>
    <t xml:space="preserve">PI-5922</t>
  </si>
  <si>
    <t xml:space="preserve">PI-5923</t>
  </si>
  <si>
    <t xml:space="preserve">PI-5924</t>
  </si>
  <si>
    <t xml:space="preserve">PI-5925</t>
  </si>
  <si>
    <t xml:space="preserve">PI-5926</t>
  </si>
  <si>
    <t xml:space="preserve">PI-5927</t>
  </si>
  <si>
    <t xml:space="preserve">SI-5928</t>
  </si>
  <si>
    <t xml:space="preserve">2026-10-13</t>
  </si>
  <si>
    <t xml:space="preserve">SI-5929</t>
  </si>
  <si>
    <t xml:space="preserve">2026-10-01</t>
  </si>
  <si>
    <t xml:space="preserve">SI-5930</t>
  </si>
  <si>
    <t xml:space="preserve">2026-10-21</t>
  </si>
  <si>
    <t xml:space="preserve">SI-5931</t>
  </si>
  <si>
    <t xml:space="preserve">2026-10-28</t>
  </si>
  <si>
    <t xml:space="preserve">SI-5932</t>
  </si>
  <si>
    <t xml:space="preserve">2026-10-23</t>
  </si>
  <si>
    <t xml:space="preserve">SI-5933</t>
  </si>
  <si>
    <t xml:space="preserve">SI-5934</t>
  </si>
  <si>
    <t xml:space="preserve">SI-5935</t>
  </si>
  <si>
    <t xml:space="preserve">SI-5936</t>
  </si>
  <si>
    <t xml:space="preserve">2026-10-12</t>
  </si>
  <si>
    <t xml:space="preserve">SI-5937</t>
  </si>
  <si>
    <t xml:space="preserve">2026-10-20</t>
  </si>
  <si>
    <t xml:space="preserve">SI-5938</t>
  </si>
  <si>
    <t xml:space="preserve">SI-5939</t>
  </si>
  <si>
    <t xml:space="preserve">2026-10-08</t>
  </si>
  <si>
    <t xml:space="preserve">SI-5940</t>
  </si>
  <si>
    <t xml:space="preserve">2026-10-16</t>
  </si>
  <si>
    <t xml:space="preserve">SI-5941</t>
  </si>
  <si>
    <t xml:space="preserve">SI-5942</t>
  </si>
  <si>
    <t xml:space="preserve">SI-5943</t>
  </si>
  <si>
    <t xml:space="preserve">2026-10-02</t>
  </si>
  <si>
    <t xml:space="preserve">SI-5944</t>
  </si>
  <si>
    <t xml:space="preserve">2026-10-06</t>
  </si>
  <si>
    <t xml:space="preserve">SI-5945</t>
  </si>
  <si>
    <t xml:space="preserve">SI-5946</t>
  </si>
  <si>
    <t xml:space="preserve">2026-10-18</t>
  </si>
  <si>
    <t xml:space="preserve">SI-5947</t>
  </si>
  <si>
    <t xml:space="preserve">SI-5948</t>
  </si>
  <si>
    <t xml:space="preserve">SI-5949</t>
  </si>
  <si>
    <t xml:space="preserve">2026-10-11</t>
  </si>
  <si>
    <t xml:space="preserve">SI-5950</t>
  </si>
  <si>
    <t xml:space="preserve">SI-5951</t>
  </si>
  <si>
    <t xml:space="preserve">SI-5952</t>
  </si>
  <si>
    <t xml:space="preserve">2026-10-05</t>
  </si>
  <si>
    <t xml:space="preserve">SI-5953</t>
  </si>
  <si>
    <t xml:space="preserve">SI-5954</t>
  </si>
  <si>
    <t xml:space="preserve">SI-5955</t>
  </si>
  <si>
    <t xml:space="preserve">2026-10-04</t>
  </si>
  <si>
    <t xml:space="preserve">SI-5956</t>
  </si>
  <si>
    <t xml:space="preserve">2026-10-26</t>
  </si>
  <si>
    <t xml:space="preserve">SI-5957</t>
  </si>
  <si>
    <t xml:space="preserve">2026-10-17</t>
  </si>
  <si>
    <t xml:space="preserve">SI-5958</t>
  </si>
  <si>
    <t xml:space="preserve">SI-5959</t>
  </si>
  <si>
    <t xml:space="preserve">2026-10-07</t>
  </si>
  <si>
    <t xml:space="preserve">SI-5960</t>
  </si>
  <si>
    <t xml:space="preserve">2026-10-19</t>
  </si>
  <si>
    <t xml:space="preserve">SI-5961</t>
  </si>
  <si>
    <t xml:space="preserve">SI-5962</t>
  </si>
  <si>
    <t xml:space="preserve">SI-5963</t>
  </si>
  <si>
    <t xml:space="preserve">SI-5964</t>
  </si>
  <si>
    <t xml:space="preserve">SI-5965</t>
  </si>
  <si>
    <t xml:space="preserve">SI-5966</t>
  </si>
  <si>
    <t xml:space="preserve">SI-5967</t>
  </si>
  <si>
    <t xml:space="preserve">SI-5968</t>
  </si>
  <si>
    <t xml:space="preserve">SI-5969</t>
  </si>
  <si>
    <t xml:space="preserve">SI-5970</t>
  </si>
  <si>
    <t xml:space="preserve">SI-5971</t>
  </si>
  <si>
    <t xml:space="preserve">SI-5972</t>
  </si>
  <si>
    <t xml:space="preserve">2026-10-03</t>
  </si>
  <si>
    <t xml:space="preserve">SI-5973</t>
  </si>
  <si>
    <t xml:space="preserve">SI-5974</t>
  </si>
  <si>
    <t xml:space="preserve">SI-5975</t>
  </si>
  <si>
    <t xml:space="preserve">SI-5976</t>
  </si>
  <si>
    <t xml:space="preserve">SI-5977</t>
  </si>
  <si>
    <t xml:space="preserve">SI-5978</t>
  </si>
  <si>
    <t xml:space="preserve">SI-5979</t>
  </si>
  <si>
    <t xml:space="preserve">SI-5980</t>
  </si>
  <si>
    <t xml:space="preserve">SI-5981</t>
  </si>
  <si>
    <t xml:space="preserve">SI-5982</t>
  </si>
  <si>
    <t xml:space="preserve">2026-10-25</t>
  </si>
  <si>
    <t xml:space="preserve">SI-5983</t>
  </si>
  <si>
    <t xml:space="preserve">SI-5984</t>
  </si>
  <si>
    <t xml:space="preserve">SI-5985</t>
  </si>
  <si>
    <t xml:space="preserve">SI-5986</t>
  </si>
  <si>
    <t xml:space="preserve">SI-5987</t>
  </si>
  <si>
    <t xml:space="preserve">SI-5988</t>
  </si>
  <si>
    <t xml:space="preserve">SI-5989</t>
  </si>
  <si>
    <t xml:space="preserve">2026-10-14</t>
  </si>
  <si>
    <t xml:space="preserve">SI-5990</t>
  </si>
  <si>
    <t xml:space="preserve">SI-5991</t>
  </si>
  <si>
    <t xml:space="preserve">SI-5992</t>
  </si>
  <si>
    <t xml:space="preserve">2026-10-09</t>
  </si>
  <si>
    <t xml:space="preserve">PI-5993</t>
  </si>
  <si>
    <t xml:space="preserve">2026-10-24</t>
  </si>
  <si>
    <t xml:space="preserve">PI-5994</t>
  </si>
  <si>
    <t xml:space="preserve">PI-5995</t>
  </si>
  <si>
    <t xml:space="preserve">PI-5996</t>
  </si>
  <si>
    <t xml:space="preserve">2026-10-22</t>
  </si>
  <si>
    <t xml:space="preserve">PI-5997</t>
  </si>
  <si>
    <t xml:space="preserve">PI-5998</t>
  </si>
  <si>
    <t xml:space="preserve">PI-5999</t>
  </si>
  <si>
    <t xml:space="preserve">PI-6000</t>
  </si>
  <si>
    <t xml:space="preserve">PI-6001</t>
  </si>
  <si>
    <t xml:space="preserve">PI-6002</t>
  </si>
  <si>
    <t xml:space="preserve">2026-10-27</t>
  </si>
  <si>
    <t xml:space="preserve">PI-6003</t>
  </si>
  <si>
    <t xml:space="preserve">PI-6004</t>
  </si>
  <si>
    <t xml:space="preserve">PI-6005</t>
  </si>
  <si>
    <t xml:space="preserve">PI-6006</t>
  </si>
  <si>
    <t xml:space="preserve">PI-6007</t>
  </si>
  <si>
    <t xml:space="preserve">PI-6008</t>
  </si>
  <si>
    <t xml:space="preserve">PI-6009</t>
  </si>
  <si>
    <t xml:space="preserve">2026-10-10</t>
  </si>
  <si>
    <t xml:space="preserve">PI-6010</t>
  </si>
  <si>
    <t xml:space="preserve">PI-6011</t>
  </si>
  <si>
    <t xml:space="preserve">PI-6012</t>
  </si>
  <si>
    <t xml:space="preserve">PI-6013</t>
  </si>
  <si>
    <t xml:space="preserve">PI-6014</t>
  </si>
  <si>
    <t xml:space="preserve">PI-6015</t>
  </si>
  <si>
    <t xml:space="preserve">PI-6016</t>
  </si>
  <si>
    <t xml:space="preserve">PI-6017</t>
  </si>
  <si>
    <t xml:space="preserve">PI-6018</t>
  </si>
  <si>
    <t xml:space="preserve">PI-6019</t>
  </si>
  <si>
    <t xml:space="preserve">PI-6020</t>
  </si>
  <si>
    <t xml:space="preserve">PI-6021</t>
  </si>
  <si>
    <t xml:space="preserve">PI-6022</t>
  </si>
  <si>
    <t xml:space="preserve">PI-6023</t>
  </si>
  <si>
    <t xml:space="preserve">PI-6024</t>
  </si>
  <si>
    <t xml:space="preserve">PI-6025</t>
  </si>
  <si>
    <t xml:space="preserve">PI-6026</t>
  </si>
  <si>
    <t xml:space="preserve">PI-6027</t>
  </si>
  <si>
    <t xml:space="preserve">PI-6028</t>
  </si>
  <si>
    <t xml:space="preserve">PI-6029</t>
  </si>
  <si>
    <t xml:space="preserve">PI-6030</t>
  </si>
  <si>
    <t xml:space="preserve">PI-6031</t>
  </si>
  <si>
    <t xml:space="preserve">PI-6032</t>
  </si>
  <si>
    <t xml:space="preserve">PI-6033</t>
  </si>
  <si>
    <t xml:space="preserve">2026-10-15</t>
  </si>
  <si>
    <t xml:space="preserve">PI-6034</t>
  </si>
  <si>
    <t xml:space="preserve">SI-6035</t>
  </si>
  <si>
    <t xml:space="preserve">2026-11-24</t>
  </si>
  <si>
    <t xml:space="preserve">SI-6036</t>
  </si>
  <si>
    <t xml:space="preserve">2026-11-15</t>
  </si>
  <si>
    <t xml:space="preserve">SI-6037</t>
  </si>
  <si>
    <t xml:space="preserve">2026-11-09</t>
  </si>
  <si>
    <t xml:space="preserve">SI-6038</t>
  </si>
  <si>
    <t xml:space="preserve">2026-11-19</t>
  </si>
  <si>
    <t xml:space="preserve">SI-6039</t>
  </si>
  <si>
    <t xml:space="preserve">2026-11-04</t>
  </si>
  <si>
    <t xml:space="preserve">SI-6040</t>
  </si>
  <si>
    <t xml:space="preserve">SI-6041</t>
  </si>
  <si>
    <t xml:space="preserve">2026-11-03</t>
  </si>
  <si>
    <t xml:space="preserve">SI-6042</t>
  </si>
  <si>
    <t xml:space="preserve">2026-11-08</t>
  </si>
  <si>
    <t xml:space="preserve">SI-6043</t>
  </si>
  <si>
    <t xml:space="preserve">2026-11-26</t>
  </si>
  <si>
    <t xml:space="preserve">SI-6044</t>
  </si>
  <si>
    <t xml:space="preserve">2026-11-10</t>
  </si>
  <si>
    <t xml:space="preserve">SI-6045</t>
  </si>
  <si>
    <t xml:space="preserve">SI-6046</t>
  </si>
  <si>
    <t xml:space="preserve">2026-11-28</t>
  </si>
  <si>
    <t xml:space="preserve">SI-6047</t>
  </si>
  <si>
    <t xml:space="preserve">2026-11-06</t>
  </si>
  <si>
    <t xml:space="preserve">SI-6048</t>
  </si>
  <si>
    <t xml:space="preserve">2026-11-22</t>
  </si>
  <si>
    <t xml:space="preserve">SI-6049</t>
  </si>
  <si>
    <t xml:space="preserve">2026-11-27</t>
  </si>
  <si>
    <t xml:space="preserve">SI-6050</t>
  </si>
  <si>
    <t xml:space="preserve">2026-11-02</t>
  </si>
  <si>
    <t xml:space="preserve">SI-6051</t>
  </si>
  <si>
    <t xml:space="preserve">SI-6052</t>
  </si>
  <si>
    <t xml:space="preserve">SI-6053</t>
  </si>
  <si>
    <t xml:space="preserve">2026-11-25</t>
  </si>
  <si>
    <t xml:space="preserve">SI-6054</t>
  </si>
  <si>
    <t xml:space="preserve">2026-11-18</t>
  </si>
  <si>
    <t xml:space="preserve">SI-6055</t>
  </si>
  <si>
    <t xml:space="preserve">SI-6056</t>
  </si>
  <si>
    <t xml:space="preserve">SI-6057</t>
  </si>
  <si>
    <t xml:space="preserve">2026-11-05</t>
  </si>
  <si>
    <t xml:space="preserve">SI-6058</t>
  </si>
  <si>
    <t xml:space="preserve">SI-6059</t>
  </si>
  <si>
    <t xml:space="preserve">2026-11-07</t>
  </si>
  <si>
    <t xml:space="preserve">SI-6060</t>
  </si>
  <si>
    <t xml:space="preserve">2026-11-12</t>
  </si>
  <si>
    <t xml:space="preserve">SI-6061</t>
  </si>
  <si>
    <t xml:space="preserve">2026-11-13</t>
  </si>
  <si>
    <t xml:space="preserve">SI-6062</t>
  </si>
  <si>
    <t xml:space="preserve">SI-6063</t>
  </si>
  <si>
    <t xml:space="preserve">SI-6064</t>
  </si>
  <si>
    <t xml:space="preserve">SI-6065</t>
  </si>
  <si>
    <t xml:space="preserve">2026-11-01</t>
  </si>
  <si>
    <t xml:space="preserve">SI-6066</t>
  </si>
  <si>
    <t xml:space="preserve">2026-11-16</t>
  </si>
  <si>
    <t xml:space="preserve">SI-6067</t>
  </si>
  <si>
    <t xml:space="preserve">2026-11-17</t>
  </si>
  <si>
    <t xml:space="preserve">SI-6068</t>
  </si>
  <si>
    <t xml:space="preserve">2026-11-23</t>
  </si>
  <si>
    <t xml:space="preserve">SI-6069</t>
  </si>
  <si>
    <t xml:space="preserve">SI-6070</t>
  </si>
  <si>
    <t xml:space="preserve">SI-6071</t>
  </si>
  <si>
    <t xml:space="preserve">SI-6072</t>
  </si>
  <si>
    <t xml:space="preserve">2026-11-20</t>
  </si>
  <si>
    <t xml:space="preserve">SI-6073</t>
  </si>
  <si>
    <t xml:space="preserve">SI-6074</t>
  </si>
  <si>
    <t xml:space="preserve">SI-6075</t>
  </si>
  <si>
    <t xml:space="preserve">SI-6076</t>
  </si>
  <si>
    <t xml:space="preserve">SI-6077</t>
  </si>
  <si>
    <t xml:space="preserve">SI-6078</t>
  </si>
  <si>
    <t xml:space="preserve">SI-6079</t>
  </si>
  <si>
    <t xml:space="preserve">SI-6080</t>
  </si>
  <si>
    <t xml:space="preserve">SI-6081</t>
  </si>
  <si>
    <t xml:space="preserve">SI-6082</t>
  </si>
  <si>
    <t xml:space="preserve">SI-6083</t>
  </si>
  <si>
    <t xml:space="preserve">2026-11-11</t>
  </si>
  <si>
    <t xml:space="preserve">SI-6084</t>
  </si>
  <si>
    <t xml:space="preserve">SI-6085</t>
  </si>
  <si>
    <t xml:space="preserve">SI-6086</t>
  </si>
  <si>
    <t xml:space="preserve">SI-6087</t>
  </si>
  <si>
    <t xml:space="preserve">SI-6088</t>
  </si>
  <si>
    <t xml:space="preserve">SI-6089</t>
  </si>
  <si>
    <t xml:space="preserve">SI-6090</t>
  </si>
  <si>
    <t xml:space="preserve">SI-6091</t>
  </si>
  <si>
    <t xml:space="preserve">SI-6092</t>
  </si>
  <si>
    <t xml:space="preserve">SI-6093</t>
  </si>
  <si>
    <t xml:space="preserve">2026-11-21</t>
  </si>
  <si>
    <t xml:space="preserve">SI-6094</t>
  </si>
  <si>
    <t xml:space="preserve">SI-6095</t>
  </si>
  <si>
    <t xml:space="preserve">SI-6096</t>
  </si>
  <si>
    <t xml:space="preserve">SI-6097</t>
  </si>
  <si>
    <t xml:space="preserve">SI-6098</t>
  </si>
  <si>
    <t xml:space="preserve">SI-6099</t>
  </si>
  <si>
    <t xml:space="preserve">SI-6100</t>
  </si>
  <si>
    <t xml:space="preserve">PI-6101</t>
  </si>
  <si>
    <t xml:space="preserve">PI-6102</t>
  </si>
  <si>
    <t xml:space="preserve">PI-6103</t>
  </si>
  <si>
    <t xml:space="preserve">PI-6104</t>
  </si>
  <si>
    <t xml:space="preserve">PI-6105</t>
  </si>
  <si>
    <t xml:space="preserve">PI-6106</t>
  </si>
  <si>
    <t xml:space="preserve">PI-6107</t>
  </si>
  <si>
    <t xml:space="preserve">PI-6108</t>
  </si>
  <si>
    <t xml:space="preserve">PI-6109</t>
  </si>
  <si>
    <t xml:space="preserve">PI-6110</t>
  </si>
  <si>
    <t xml:space="preserve">PI-6111</t>
  </si>
  <si>
    <t xml:space="preserve">PI-6112</t>
  </si>
  <si>
    <t xml:space="preserve">PI-6113</t>
  </si>
  <si>
    <t xml:space="preserve">PI-6114</t>
  </si>
  <si>
    <t xml:space="preserve">PI-6115</t>
  </si>
  <si>
    <t xml:space="preserve">PI-6116</t>
  </si>
  <si>
    <t xml:space="preserve">PI-6117</t>
  </si>
  <si>
    <t xml:space="preserve">2026-11-14</t>
  </si>
  <si>
    <t xml:space="preserve">PI-6118</t>
  </si>
  <si>
    <t xml:space="preserve">PI-6119</t>
  </si>
  <si>
    <t xml:space="preserve">PI-6120</t>
  </si>
  <si>
    <t xml:space="preserve">PI-6121</t>
  </si>
  <si>
    <t xml:space="preserve">PI-6122</t>
  </si>
  <si>
    <t xml:space="preserve">PI-6123</t>
  </si>
  <si>
    <t xml:space="preserve">PI-6124</t>
  </si>
  <si>
    <t xml:space="preserve">PI-6125</t>
  </si>
  <si>
    <t xml:space="preserve">PI-6126</t>
  </si>
  <si>
    <t xml:space="preserve">PI-6127</t>
  </si>
  <si>
    <t xml:space="preserve">PI-6128</t>
  </si>
  <si>
    <t xml:space="preserve">PI-6129</t>
  </si>
  <si>
    <t xml:space="preserve">PI-6130</t>
  </si>
  <si>
    <t xml:space="preserve">PI-6131</t>
  </si>
  <si>
    <t xml:space="preserve">PI-6132</t>
  </si>
  <si>
    <t xml:space="preserve">PI-6133</t>
  </si>
  <si>
    <t xml:space="preserve">PI-6134</t>
  </si>
  <si>
    <t xml:space="preserve">PI-6135</t>
  </si>
  <si>
    <t xml:space="preserve">SI-6136</t>
  </si>
  <si>
    <t xml:space="preserve">2026-12-25</t>
  </si>
  <si>
    <t xml:space="preserve">SI-6137</t>
  </si>
  <si>
    <t xml:space="preserve">2026-12-08</t>
  </si>
  <si>
    <t xml:space="preserve">SI-6138</t>
  </si>
  <si>
    <t xml:space="preserve">2026-12-03</t>
  </si>
  <si>
    <t xml:space="preserve">SI-6139</t>
  </si>
  <si>
    <t xml:space="preserve">2026-12-19</t>
  </si>
  <si>
    <t xml:space="preserve">SI-6140</t>
  </si>
  <si>
    <t xml:space="preserve">2026-12-05</t>
  </si>
  <si>
    <t xml:space="preserve">SI-6141</t>
  </si>
  <si>
    <t xml:space="preserve">2026-12-20</t>
  </si>
  <si>
    <t xml:space="preserve">SI-6142</t>
  </si>
  <si>
    <t xml:space="preserve">2026-12-11</t>
  </si>
  <si>
    <t xml:space="preserve">SI-6143</t>
  </si>
  <si>
    <t xml:space="preserve">2026-12-16</t>
  </si>
  <si>
    <t xml:space="preserve">SI-6144</t>
  </si>
  <si>
    <t xml:space="preserve">SI-6145</t>
  </si>
  <si>
    <t xml:space="preserve">SI-6146</t>
  </si>
  <si>
    <t xml:space="preserve">SI-6147</t>
  </si>
  <si>
    <t xml:space="preserve">SI-6148</t>
  </si>
  <si>
    <t xml:space="preserve">SI-6149</t>
  </si>
  <si>
    <t xml:space="preserve">SI-6150</t>
  </si>
  <si>
    <t xml:space="preserve">2026-12-10</t>
  </si>
  <si>
    <t xml:space="preserve">SI-6151</t>
  </si>
  <si>
    <t xml:space="preserve">2026-12-22</t>
  </si>
  <si>
    <t xml:space="preserve">SI-6152</t>
  </si>
  <si>
    <t xml:space="preserve">SI-6153</t>
  </si>
  <si>
    <t xml:space="preserve">2026-12-02</t>
  </si>
  <si>
    <t xml:space="preserve">SI-6154</t>
  </si>
  <si>
    <t xml:space="preserve">SI-6155</t>
  </si>
  <si>
    <t xml:space="preserve">2026-12-15</t>
  </si>
  <si>
    <t xml:space="preserve">SI-6156</t>
  </si>
  <si>
    <t xml:space="preserve">SI-6157</t>
  </si>
  <si>
    <t xml:space="preserve">2026-12-13</t>
  </si>
  <si>
    <t xml:space="preserve">SI-6158</t>
  </si>
  <si>
    <t xml:space="preserve">2026-12-23</t>
  </si>
  <si>
    <t xml:space="preserve">SI-6159</t>
  </si>
  <si>
    <t xml:space="preserve">2026-12-24</t>
  </si>
  <si>
    <t xml:space="preserve">SI-6160</t>
  </si>
  <si>
    <t xml:space="preserve">SI-6161</t>
  </si>
  <si>
    <t xml:space="preserve">SI-6162</t>
  </si>
  <si>
    <t xml:space="preserve">2026-12-04</t>
  </si>
  <si>
    <t xml:space="preserve">SI-6163</t>
  </si>
  <si>
    <t xml:space="preserve">2026-12-01</t>
  </si>
  <si>
    <t xml:space="preserve">SI-6164</t>
  </si>
  <si>
    <t xml:space="preserve">SI-6165</t>
  </si>
  <si>
    <t xml:space="preserve">2026-12-07</t>
  </si>
  <si>
    <t xml:space="preserve">SI-6166</t>
  </si>
  <si>
    <t xml:space="preserve">SI-6167</t>
  </si>
  <si>
    <t xml:space="preserve">2026-12-18</t>
  </si>
  <si>
    <t xml:space="preserve">SI-6168</t>
  </si>
  <si>
    <t xml:space="preserve">SI-6169</t>
  </si>
  <si>
    <t xml:space="preserve">SI-6170</t>
  </si>
  <si>
    <t xml:space="preserve">2026-12-14</t>
  </si>
  <si>
    <t xml:space="preserve">SI-6171</t>
  </si>
  <si>
    <t xml:space="preserve">SI-6172</t>
  </si>
  <si>
    <t xml:space="preserve">SI-6173</t>
  </si>
  <si>
    <t xml:space="preserve">SI-6174</t>
  </si>
  <si>
    <t xml:space="preserve">SI-6175</t>
  </si>
  <si>
    <t xml:space="preserve">SI-6176</t>
  </si>
  <si>
    <t xml:space="preserve">SI-6177</t>
  </si>
  <si>
    <t xml:space="preserve">2026-12-09</t>
  </si>
  <si>
    <t xml:space="preserve">SI-6178</t>
  </si>
  <si>
    <t xml:space="preserve">SI-6179</t>
  </si>
  <si>
    <t xml:space="preserve">SI-6180</t>
  </si>
  <si>
    <t xml:space="preserve">2026-12-26</t>
  </si>
  <si>
    <t xml:space="preserve">SI-6181</t>
  </si>
  <si>
    <t xml:space="preserve">SI-6182</t>
  </si>
  <si>
    <t xml:space="preserve">2026-12-12</t>
  </si>
  <si>
    <t xml:space="preserve">SI-6183</t>
  </si>
  <si>
    <t xml:space="preserve">SI-6184</t>
  </si>
  <si>
    <t xml:space="preserve">SI-6185</t>
  </si>
  <si>
    <t xml:space="preserve">SI-6186</t>
  </si>
  <si>
    <t xml:space="preserve">SI-6187</t>
  </si>
  <si>
    <t xml:space="preserve">SI-6188</t>
  </si>
  <si>
    <t xml:space="preserve">2026-12-17</t>
  </si>
  <si>
    <t xml:space="preserve">SI-6189</t>
  </si>
  <si>
    <t xml:space="preserve">SI-6190</t>
  </si>
  <si>
    <t xml:space="preserve">SI-6191</t>
  </si>
  <si>
    <t xml:space="preserve">2026-12-28</t>
  </si>
  <si>
    <t xml:space="preserve">SI-6192</t>
  </si>
  <si>
    <t xml:space="preserve">SI-6193</t>
  </si>
  <si>
    <t xml:space="preserve">2026-12-21</t>
  </si>
  <si>
    <t xml:space="preserve">SI-6194</t>
  </si>
  <si>
    <t xml:space="preserve">SI-6195</t>
  </si>
  <si>
    <t xml:space="preserve">SI-6196</t>
  </si>
  <si>
    <t xml:space="preserve">SI-6197</t>
  </si>
  <si>
    <t xml:space="preserve">SI-6198</t>
  </si>
  <si>
    <t xml:space="preserve">SI-6199</t>
  </si>
  <si>
    <t xml:space="preserve">SI-6200</t>
  </si>
  <si>
    <t xml:space="preserve">SI-6201</t>
  </si>
  <si>
    <t xml:space="preserve">SI-6202</t>
  </si>
  <si>
    <t xml:space="preserve">SI-6203</t>
  </si>
  <si>
    <t xml:space="preserve">PI-6204</t>
  </si>
  <si>
    <t xml:space="preserve">2026-12-06</t>
  </si>
  <si>
    <t xml:space="preserve">PI-6205</t>
  </si>
  <si>
    <t xml:space="preserve">PI-6206</t>
  </si>
  <si>
    <t xml:space="preserve">PI-6207</t>
  </si>
  <si>
    <t xml:space="preserve">PI-6208</t>
  </si>
  <si>
    <t xml:space="preserve">PI-6209</t>
  </si>
  <si>
    <t xml:space="preserve">PI-6210</t>
  </si>
  <si>
    <t xml:space="preserve">PI-6211</t>
  </si>
  <si>
    <t xml:space="preserve">PI-6212</t>
  </si>
  <si>
    <t xml:space="preserve">PI-6213</t>
  </si>
  <si>
    <t xml:space="preserve">PI-6214</t>
  </si>
  <si>
    <t xml:space="preserve">PI-6215</t>
  </si>
  <si>
    <t xml:space="preserve">PI-6216</t>
  </si>
  <si>
    <t xml:space="preserve">PI-6217</t>
  </si>
  <si>
    <t xml:space="preserve">PI-6218</t>
  </si>
  <si>
    <t xml:space="preserve">PI-6219</t>
  </si>
  <si>
    <t xml:space="preserve">PI-6220</t>
  </si>
  <si>
    <t xml:space="preserve">PI-6221</t>
  </si>
  <si>
    <t xml:space="preserve">PI-6222</t>
  </si>
  <si>
    <t xml:space="preserve">PI-6223</t>
  </si>
  <si>
    <t xml:space="preserve">PI-6224</t>
  </si>
  <si>
    <t xml:space="preserve">2026-12-27</t>
  </si>
  <si>
    <t xml:space="preserve">PI-6225</t>
  </si>
  <si>
    <t xml:space="preserve">PI-6226</t>
  </si>
  <si>
    <t xml:space="preserve">PI-6227</t>
  </si>
  <si>
    <t xml:space="preserve">PI-6228</t>
  </si>
  <si>
    <t xml:space="preserve">PI-6229</t>
  </si>
  <si>
    <t xml:space="preserve">PI-6230</t>
  </si>
  <si>
    <t xml:space="preserve">PI-6231</t>
  </si>
  <si>
    <t xml:space="preserve">PI-6232</t>
  </si>
  <si>
    <t xml:space="preserve">PI-6233</t>
  </si>
  <si>
    <t xml:space="preserve">PI-6234</t>
  </si>
  <si>
    <t xml:space="preserve">PI-6235</t>
  </si>
  <si>
    <t xml:space="preserve">PI-6236</t>
  </si>
  <si>
    <t xml:space="preserve">PI-6237</t>
  </si>
  <si>
    <t xml:space="preserve">PI-6238</t>
  </si>
  <si>
    <t xml:space="preserve">PI-6239</t>
  </si>
  <si>
    <t xml:space="preserve">PI-6240</t>
  </si>
  <si>
    <t xml:space="preserve">PI-6241</t>
  </si>
  <si>
    <t xml:space="preserve">PI-6242</t>
  </si>
  <si>
    <t xml:space="preserve">PI-6243</t>
  </si>
  <si>
    <t xml:space="preserve">PI-6244</t>
  </si>
  <si>
    <t xml:space="preserve">VAT Return Summary — FY2026, Jan–Dec (FTA VAT201-style)</t>
  </si>
  <si>
    <t xml:space="preserve">Box 1</t>
  </si>
  <si>
    <t xml:space="preserve">Standard Rated Supplies (Net)</t>
  </si>
  <si>
    <t xml:space="preserve">Output VAT on Standard Rated Supplies</t>
  </si>
  <si>
    <t xml:space="preserve">Box 3</t>
  </si>
  <si>
    <t xml:space="preserve">Zero Rated Supplies (Net)</t>
  </si>
  <si>
    <t xml:space="preserve">Box 4</t>
  </si>
  <si>
    <t xml:space="preserve">Exempt Supplies (Net)</t>
  </si>
  <si>
    <t xml:space="preserve">Box 9</t>
  </si>
  <si>
    <t xml:space="preserve">Standard Rated Purchases (Net)</t>
  </si>
  <si>
    <t xml:space="preserve">Recoverable Input VAT</t>
  </si>
  <si>
    <t xml:space="preserve">Total Output VAT (Box 1+3+4 VAT)</t>
  </si>
  <si>
    <t xml:space="preserve">Total Recoverable Input VAT</t>
  </si>
  <si>
    <t xml:space="preserve">NET VAT PAYABLE / (REFUNDABLE)</t>
  </si>
  <si>
    <t xml:space="preserve">Reconciliation — Register Totals vs VAT Return, by Month</t>
  </si>
  <si>
    <t xml:space="preserve">Month</t>
  </si>
  <si>
    <t xml:space="preserve">Output VAT (Sales, Std Rated)</t>
  </si>
  <si>
    <t xml:space="preserve">Input VAT (Purchases, Std Rated)</t>
  </si>
  <si>
    <t xml:space="preserve">Net VAT Movement</t>
  </si>
  <si>
    <t xml:space="preserve">Zero-Rated Sales (Net)</t>
  </si>
  <si>
    <t xml:space="preserve">Exempt Sales (Net)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</si>
  <si>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</si>
  <si>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</si>
  <si>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</si>
  <si>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</si>
  <si>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</si>
  <si>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</si>
  <si>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</si>
  <si>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</si>
  <si>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</si>
  <si>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</si>
  <si>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2026-11</t>
  </si>
  <si>
    <t xml:space="preserve">2026-12</t>
  </si>
  <si>
    <t xml:space="preserve">Check: sum ties to 02_VAT_Return Net VAT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</si>
</sst>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1"/>
      <name val="Arial"/>
      <family val="0"/>
      <charset val="1"/>
    </font>
    <font>
      <i val="true"/>
      <sz val="9"/>
      <color rgb="FF5C57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2A4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0" t="s">
        <v>2</v>
      </c>
    </row>
    <row r="7" customFormat="false" ht="15" hidden="false" customHeight="false" outlineLevel="0" collapsed="false">
      <c r="B7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  <row r="12" customFormat="false" ht="15" hidden="false" customHeight="false" outlineLevel="0" collapsed="false">
      <c r="B12" s="0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  <col collapsed="false" customWidth="true" hidden="false" outlineLevel="0" max="9" min="9" style="0" width="17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</row>
    <row r="2" customFormat="false" ht="15" hidden="false" customHeight="false" outlineLevel="0" collapsed="false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5" t="n">
        <v>86816.93</v>
      </c>
      <c r="G2" s="6" t="n">
        <v>0.05</v>
      </c>
      <c r="H2" s="5" t="n">
        <v>4340.85</v>
      </c>
      <c r="I2" s="5" t="n">
        <v>91157.78</v>
      </c>
    </row>
    <row r="3" customFormat="false" ht="15" hidden="false" customHeight="false" outlineLevel="0" collapsed="false">
      <c r="A3" s="4" t="s">
        <v>22</v>
      </c>
      <c r="B3" s="4" t="s">
        <v>18</v>
      </c>
      <c r="C3" s="4" t="s">
        <v>23</v>
      </c>
      <c r="D3" s="4" t="s">
        <v>24</v>
      </c>
      <c r="E3" s="4" t="s">
        <v>21</v>
      </c>
      <c r="F3" s="5" t="n">
        <v>34026.32</v>
      </c>
      <c r="G3" s="6" t="n">
        <v>0.05</v>
      </c>
      <c r="H3" s="5" t="n">
        <v>1701.32</v>
      </c>
      <c r="I3" s="5" t="n">
        <v>35727.64</v>
      </c>
    </row>
    <row r="4" customFormat="false" ht="15" hidden="false" customHeight="false" outlineLevel="0" collapsed="false">
      <c r="A4" s="4" t="s">
        <v>25</v>
      </c>
      <c r="B4" s="4" t="s">
        <v>18</v>
      </c>
      <c r="C4" s="4" t="s">
        <v>26</v>
      </c>
      <c r="D4" s="4" t="s">
        <v>27</v>
      </c>
      <c r="E4" s="4" t="s">
        <v>28</v>
      </c>
      <c r="F4" s="5" t="n">
        <v>77632.77</v>
      </c>
      <c r="G4" s="6" t="n">
        <v>0</v>
      </c>
      <c r="H4" s="5" t="n">
        <v>0</v>
      </c>
      <c r="I4" s="5" t="n">
        <v>77632.77</v>
      </c>
    </row>
    <row r="5" customFormat="false" ht="15" hidden="false" customHeight="false" outlineLevel="0" collapsed="false">
      <c r="A5" s="4" t="s">
        <v>29</v>
      </c>
      <c r="B5" s="4" t="s">
        <v>18</v>
      </c>
      <c r="C5" s="4" t="s">
        <v>30</v>
      </c>
      <c r="D5" s="4" t="s">
        <v>31</v>
      </c>
      <c r="E5" s="4" t="s">
        <v>28</v>
      </c>
      <c r="F5" s="5" t="n">
        <v>57744.3</v>
      </c>
      <c r="G5" s="6" t="n">
        <v>0</v>
      </c>
      <c r="H5" s="5" t="n">
        <v>0</v>
      </c>
      <c r="I5" s="5" t="n">
        <v>57744.3</v>
      </c>
    </row>
    <row r="6" customFormat="false" ht="15" hidden="false" customHeight="false" outlineLevel="0" collapsed="false">
      <c r="A6" s="4" t="s">
        <v>32</v>
      </c>
      <c r="B6" s="4" t="s">
        <v>18</v>
      </c>
      <c r="C6" s="4" t="s">
        <v>33</v>
      </c>
      <c r="D6" s="4" t="s">
        <v>34</v>
      </c>
      <c r="E6" s="4" t="s">
        <v>28</v>
      </c>
      <c r="F6" s="5" t="n">
        <v>39051.82</v>
      </c>
      <c r="G6" s="6" t="n">
        <v>0</v>
      </c>
      <c r="H6" s="5" t="n">
        <v>0</v>
      </c>
      <c r="I6" s="5" t="n">
        <v>39051.82</v>
      </c>
    </row>
    <row r="7" customFormat="false" ht="15" hidden="false" customHeight="false" outlineLevel="0" collapsed="false">
      <c r="A7" s="4" t="s">
        <v>35</v>
      </c>
      <c r="B7" s="4" t="s">
        <v>18</v>
      </c>
      <c r="C7" s="4" t="s">
        <v>36</v>
      </c>
      <c r="D7" s="4" t="s">
        <v>37</v>
      </c>
      <c r="E7" s="4" t="s">
        <v>28</v>
      </c>
      <c r="F7" s="5" t="n">
        <v>45272.64</v>
      </c>
      <c r="G7" s="6" t="n">
        <v>0</v>
      </c>
      <c r="H7" s="5" t="n">
        <v>0</v>
      </c>
      <c r="I7" s="5" t="n">
        <v>45272.64</v>
      </c>
    </row>
    <row r="8" customFormat="false" ht="15" hidden="false" customHeight="false" outlineLevel="0" collapsed="false">
      <c r="A8" s="4" t="s">
        <v>38</v>
      </c>
      <c r="B8" s="4" t="s">
        <v>18</v>
      </c>
      <c r="C8" s="4" t="s">
        <v>39</v>
      </c>
      <c r="D8" s="4" t="s">
        <v>24</v>
      </c>
      <c r="E8" s="4" t="s">
        <v>28</v>
      </c>
      <c r="F8" s="5" t="n">
        <v>46295.73</v>
      </c>
      <c r="G8" s="6" t="n">
        <v>0</v>
      </c>
      <c r="H8" s="5" t="n">
        <v>0</v>
      </c>
      <c r="I8" s="5" t="n">
        <v>46295.73</v>
      </c>
    </row>
    <row r="9" customFormat="false" ht="15" hidden="false" customHeight="false" outlineLevel="0" collapsed="false">
      <c r="A9" s="4" t="s">
        <v>40</v>
      </c>
      <c r="B9" s="4" t="s">
        <v>18</v>
      </c>
      <c r="C9" s="4" t="s">
        <v>33</v>
      </c>
      <c r="D9" s="4" t="s">
        <v>24</v>
      </c>
      <c r="E9" s="4" t="s">
        <v>21</v>
      </c>
      <c r="F9" s="5" t="n">
        <v>4854.48</v>
      </c>
      <c r="G9" s="6" t="n">
        <v>0.05</v>
      </c>
      <c r="H9" s="5" t="n">
        <v>242.72</v>
      </c>
      <c r="I9" s="5" t="n">
        <v>5097.2</v>
      </c>
    </row>
    <row r="10" customFormat="false" ht="15" hidden="false" customHeight="false" outlineLevel="0" collapsed="false">
      <c r="A10" s="4" t="s">
        <v>41</v>
      </c>
      <c r="B10" s="4" t="s">
        <v>18</v>
      </c>
      <c r="C10" s="4" t="s">
        <v>42</v>
      </c>
      <c r="D10" s="4" t="s">
        <v>34</v>
      </c>
      <c r="E10" s="4" t="s">
        <v>21</v>
      </c>
      <c r="F10" s="5" t="n">
        <v>33538.36</v>
      </c>
      <c r="G10" s="6" t="n">
        <v>0.05</v>
      </c>
      <c r="H10" s="5" t="n">
        <v>1676.92</v>
      </c>
      <c r="I10" s="5" t="n">
        <v>35215.28</v>
      </c>
    </row>
    <row r="11" customFormat="false" ht="15" hidden="false" customHeight="false" outlineLevel="0" collapsed="false">
      <c r="A11" s="4" t="s">
        <v>43</v>
      </c>
      <c r="B11" s="4" t="s">
        <v>18</v>
      </c>
      <c r="C11" s="4" t="s">
        <v>44</v>
      </c>
      <c r="D11" s="4" t="s">
        <v>45</v>
      </c>
      <c r="E11" s="4" t="s">
        <v>46</v>
      </c>
      <c r="F11" s="5" t="n">
        <v>76712.47</v>
      </c>
      <c r="G11" s="6" t="n">
        <v>0</v>
      </c>
      <c r="H11" s="5" t="n">
        <v>0</v>
      </c>
      <c r="I11" s="5" t="n">
        <v>76712.47</v>
      </c>
    </row>
    <row r="12" customFormat="false" ht="15" hidden="false" customHeight="false" outlineLevel="0" collapsed="false">
      <c r="A12" s="4" t="s">
        <v>47</v>
      </c>
      <c r="B12" s="4" t="s">
        <v>18</v>
      </c>
      <c r="C12" s="4" t="s">
        <v>42</v>
      </c>
      <c r="D12" s="4" t="s">
        <v>31</v>
      </c>
      <c r="E12" s="4" t="s">
        <v>21</v>
      </c>
      <c r="F12" s="5" t="n">
        <v>80691.03</v>
      </c>
      <c r="G12" s="6" t="n">
        <v>0.05</v>
      </c>
      <c r="H12" s="5" t="n">
        <v>4034.55</v>
      </c>
      <c r="I12" s="5" t="n">
        <v>84725.58</v>
      </c>
    </row>
    <row r="13" customFormat="false" ht="15" hidden="false" customHeight="false" outlineLevel="0" collapsed="false">
      <c r="A13" s="4" t="s">
        <v>48</v>
      </c>
      <c r="B13" s="4" t="s">
        <v>18</v>
      </c>
      <c r="C13" s="4" t="s">
        <v>49</v>
      </c>
      <c r="D13" s="4" t="s">
        <v>50</v>
      </c>
      <c r="E13" s="4" t="s">
        <v>28</v>
      </c>
      <c r="F13" s="5" t="n">
        <v>73187.69</v>
      </c>
      <c r="G13" s="6" t="n">
        <v>0</v>
      </c>
      <c r="H13" s="5" t="n">
        <v>0</v>
      </c>
      <c r="I13" s="5" t="n">
        <v>73187.69</v>
      </c>
    </row>
    <row r="14" customFormat="false" ht="15" hidden="false" customHeight="false" outlineLevel="0" collapsed="false">
      <c r="A14" s="4" t="s">
        <v>51</v>
      </c>
      <c r="B14" s="4" t="s">
        <v>18</v>
      </c>
      <c r="C14" s="4" t="s">
        <v>52</v>
      </c>
      <c r="D14" s="4" t="s">
        <v>34</v>
      </c>
      <c r="E14" s="4" t="s">
        <v>21</v>
      </c>
      <c r="F14" s="5" t="n">
        <v>20111.28</v>
      </c>
      <c r="G14" s="6" t="n">
        <v>0.05</v>
      </c>
      <c r="H14" s="5" t="n">
        <v>1005.56</v>
      </c>
      <c r="I14" s="5" t="n">
        <v>21116.84</v>
      </c>
    </row>
    <row r="15" customFormat="false" ht="15" hidden="false" customHeight="false" outlineLevel="0" collapsed="false">
      <c r="A15" s="4" t="s">
        <v>53</v>
      </c>
      <c r="B15" s="4" t="s">
        <v>18</v>
      </c>
      <c r="C15" s="4" t="s">
        <v>54</v>
      </c>
      <c r="D15" s="4" t="s">
        <v>50</v>
      </c>
      <c r="E15" s="4" t="s">
        <v>21</v>
      </c>
      <c r="F15" s="5" t="n">
        <v>72105.93</v>
      </c>
      <c r="G15" s="6" t="n">
        <v>0.05</v>
      </c>
      <c r="H15" s="5" t="n">
        <v>3605.3</v>
      </c>
      <c r="I15" s="5" t="n">
        <v>75711.23</v>
      </c>
    </row>
    <row r="16" customFormat="false" ht="15" hidden="false" customHeight="false" outlineLevel="0" collapsed="false">
      <c r="A16" s="4" t="s">
        <v>55</v>
      </c>
      <c r="B16" s="4" t="s">
        <v>18</v>
      </c>
      <c r="C16" s="4" t="s">
        <v>26</v>
      </c>
      <c r="D16" s="4" t="s">
        <v>56</v>
      </c>
      <c r="E16" s="4" t="s">
        <v>28</v>
      </c>
      <c r="F16" s="5" t="n">
        <v>34333.12</v>
      </c>
      <c r="G16" s="6" t="n">
        <v>0</v>
      </c>
      <c r="H16" s="5" t="n">
        <v>0</v>
      </c>
      <c r="I16" s="5" t="n">
        <v>34333.12</v>
      </c>
    </row>
    <row r="17" customFormat="false" ht="15" hidden="false" customHeight="false" outlineLevel="0" collapsed="false">
      <c r="A17" s="4" t="s">
        <v>57</v>
      </c>
      <c r="B17" s="4" t="s">
        <v>18</v>
      </c>
      <c r="C17" s="4" t="s">
        <v>58</v>
      </c>
      <c r="D17" s="4" t="s">
        <v>59</v>
      </c>
      <c r="E17" s="4" t="s">
        <v>21</v>
      </c>
      <c r="F17" s="5" t="n">
        <v>94503.58</v>
      </c>
      <c r="G17" s="6" t="n">
        <v>0.05</v>
      </c>
      <c r="H17" s="5" t="n">
        <v>4725.18</v>
      </c>
      <c r="I17" s="5" t="n">
        <v>99228.76</v>
      </c>
    </row>
    <row r="18" customFormat="false" ht="15" hidden="false" customHeight="false" outlineLevel="0" collapsed="false">
      <c r="A18" s="4" t="s">
        <v>60</v>
      </c>
      <c r="B18" s="4" t="s">
        <v>18</v>
      </c>
      <c r="C18" s="4" t="s">
        <v>33</v>
      </c>
      <c r="D18" s="4" t="s">
        <v>37</v>
      </c>
      <c r="E18" s="4" t="s">
        <v>21</v>
      </c>
      <c r="F18" s="5" t="n">
        <v>31499.72</v>
      </c>
      <c r="G18" s="6" t="n">
        <v>0.05</v>
      </c>
      <c r="H18" s="5" t="n">
        <v>1574.99</v>
      </c>
      <c r="I18" s="5" t="n">
        <v>33074.71</v>
      </c>
    </row>
    <row r="19" customFormat="false" ht="15" hidden="false" customHeight="false" outlineLevel="0" collapsed="false">
      <c r="A19" s="4" t="s">
        <v>61</v>
      </c>
      <c r="B19" s="4" t="s">
        <v>18</v>
      </c>
      <c r="C19" s="4" t="s">
        <v>52</v>
      </c>
      <c r="D19" s="4" t="s">
        <v>62</v>
      </c>
      <c r="E19" s="4" t="s">
        <v>28</v>
      </c>
      <c r="F19" s="5" t="n">
        <v>82149.46</v>
      </c>
      <c r="G19" s="6" t="n">
        <v>0</v>
      </c>
      <c r="H19" s="5" t="n">
        <v>0</v>
      </c>
      <c r="I19" s="5" t="n">
        <v>82149.46</v>
      </c>
    </row>
    <row r="20" customFormat="false" ht="15" hidden="false" customHeight="false" outlineLevel="0" collapsed="false">
      <c r="A20" s="4" t="s">
        <v>63</v>
      </c>
      <c r="B20" s="4" t="s">
        <v>18</v>
      </c>
      <c r="C20" s="4" t="s">
        <v>30</v>
      </c>
      <c r="D20" s="4" t="s">
        <v>27</v>
      </c>
      <c r="E20" s="4" t="s">
        <v>28</v>
      </c>
      <c r="F20" s="5" t="n">
        <v>70007.92</v>
      </c>
      <c r="G20" s="6" t="n">
        <v>0</v>
      </c>
      <c r="H20" s="5" t="n">
        <v>0</v>
      </c>
      <c r="I20" s="5" t="n">
        <v>70007.92</v>
      </c>
    </row>
    <row r="21" customFormat="false" ht="15" hidden="false" customHeight="false" outlineLevel="0" collapsed="false">
      <c r="A21" s="4" t="s">
        <v>64</v>
      </c>
      <c r="B21" s="4" t="s">
        <v>18</v>
      </c>
      <c r="C21" s="4" t="s">
        <v>65</v>
      </c>
      <c r="D21" s="4" t="s">
        <v>45</v>
      </c>
      <c r="E21" s="4" t="s">
        <v>21</v>
      </c>
      <c r="F21" s="5" t="n">
        <v>53267.52</v>
      </c>
      <c r="G21" s="6" t="n">
        <v>0.05</v>
      </c>
      <c r="H21" s="5" t="n">
        <v>2663.38</v>
      </c>
      <c r="I21" s="5" t="n">
        <v>55930.9</v>
      </c>
    </row>
    <row r="22" customFormat="false" ht="15" hidden="false" customHeight="false" outlineLevel="0" collapsed="false">
      <c r="A22" s="4" t="s">
        <v>66</v>
      </c>
      <c r="B22" s="4" t="s">
        <v>18</v>
      </c>
      <c r="C22" s="4" t="s">
        <v>67</v>
      </c>
      <c r="D22" s="4" t="s">
        <v>24</v>
      </c>
      <c r="E22" s="4" t="s">
        <v>21</v>
      </c>
      <c r="F22" s="5" t="n">
        <v>81936.56</v>
      </c>
      <c r="G22" s="6" t="n">
        <v>0.05</v>
      </c>
      <c r="H22" s="5" t="n">
        <v>4096.83</v>
      </c>
      <c r="I22" s="5" t="n">
        <v>86033.39</v>
      </c>
    </row>
    <row r="23" customFormat="false" ht="15" hidden="false" customHeight="false" outlineLevel="0" collapsed="false">
      <c r="A23" s="4" t="s">
        <v>68</v>
      </c>
      <c r="B23" s="4" t="s">
        <v>18</v>
      </c>
      <c r="C23" s="4" t="s">
        <v>44</v>
      </c>
      <c r="D23" s="4" t="s">
        <v>27</v>
      </c>
      <c r="E23" s="4" t="s">
        <v>21</v>
      </c>
      <c r="F23" s="5" t="n">
        <v>48012.04</v>
      </c>
      <c r="G23" s="6" t="n">
        <v>0.05</v>
      </c>
      <c r="H23" s="5" t="n">
        <v>2400.6</v>
      </c>
      <c r="I23" s="5" t="n">
        <v>50412.64</v>
      </c>
    </row>
    <row r="24" customFormat="false" ht="15" hidden="false" customHeight="false" outlineLevel="0" collapsed="false">
      <c r="A24" s="4" t="s">
        <v>69</v>
      </c>
      <c r="B24" s="4" t="s">
        <v>18</v>
      </c>
      <c r="C24" s="4" t="s">
        <v>65</v>
      </c>
      <c r="D24" s="4" t="s">
        <v>70</v>
      </c>
      <c r="E24" s="4" t="s">
        <v>46</v>
      </c>
      <c r="F24" s="5" t="n">
        <v>85081.04</v>
      </c>
      <c r="G24" s="6" t="n">
        <v>0</v>
      </c>
      <c r="H24" s="5" t="n">
        <v>0</v>
      </c>
      <c r="I24" s="5" t="n">
        <v>85081.04</v>
      </c>
    </row>
    <row r="25" customFormat="false" ht="15" hidden="false" customHeight="false" outlineLevel="0" collapsed="false">
      <c r="A25" s="4" t="s">
        <v>71</v>
      </c>
      <c r="B25" s="4" t="s">
        <v>18</v>
      </c>
      <c r="C25" s="4" t="s">
        <v>72</v>
      </c>
      <c r="D25" s="4" t="s">
        <v>45</v>
      </c>
      <c r="E25" s="4" t="s">
        <v>46</v>
      </c>
      <c r="F25" s="5" t="n">
        <v>69348.83</v>
      </c>
      <c r="G25" s="6" t="n">
        <v>0</v>
      </c>
      <c r="H25" s="5" t="n">
        <v>0</v>
      </c>
      <c r="I25" s="5" t="n">
        <v>69348.83</v>
      </c>
    </row>
    <row r="26" customFormat="false" ht="15" hidden="false" customHeight="false" outlineLevel="0" collapsed="false">
      <c r="A26" s="4" t="s">
        <v>73</v>
      </c>
      <c r="B26" s="4" t="s">
        <v>18</v>
      </c>
      <c r="C26" s="4" t="s">
        <v>74</v>
      </c>
      <c r="D26" s="4" t="s">
        <v>50</v>
      </c>
      <c r="E26" s="4" t="s">
        <v>28</v>
      </c>
      <c r="F26" s="5" t="n">
        <v>41633.65</v>
      </c>
      <c r="G26" s="6" t="n">
        <v>0</v>
      </c>
      <c r="H26" s="5" t="n">
        <v>0</v>
      </c>
      <c r="I26" s="5" t="n">
        <v>41633.65</v>
      </c>
    </row>
    <row r="27" customFormat="false" ht="15" hidden="false" customHeight="false" outlineLevel="0" collapsed="false">
      <c r="A27" s="4" t="s">
        <v>75</v>
      </c>
      <c r="B27" s="4" t="s">
        <v>18</v>
      </c>
      <c r="C27" s="4" t="s">
        <v>52</v>
      </c>
      <c r="D27" s="4" t="s">
        <v>37</v>
      </c>
      <c r="E27" s="4" t="s">
        <v>21</v>
      </c>
      <c r="F27" s="5" t="n">
        <v>8661.47</v>
      </c>
      <c r="G27" s="6" t="n">
        <v>0.05</v>
      </c>
      <c r="H27" s="5" t="n">
        <v>433.07</v>
      </c>
      <c r="I27" s="5" t="n">
        <v>9094.54</v>
      </c>
    </row>
    <row r="28" customFormat="false" ht="15" hidden="false" customHeight="false" outlineLevel="0" collapsed="false">
      <c r="A28" s="4" t="s">
        <v>76</v>
      </c>
      <c r="B28" s="4" t="s">
        <v>18</v>
      </c>
      <c r="C28" s="4" t="s">
        <v>44</v>
      </c>
      <c r="D28" s="4" t="s">
        <v>59</v>
      </c>
      <c r="E28" s="4" t="s">
        <v>21</v>
      </c>
      <c r="F28" s="5" t="n">
        <v>31907.28</v>
      </c>
      <c r="G28" s="6" t="n">
        <v>0.05</v>
      </c>
      <c r="H28" s="5" t="n">
        <v>1595.36</v>
      </c>
      <c r="I28" s="5" t="n">
        <v>33502.64</v>
      </c>
    </row>
    <row r="29" customFormat="false" ht="15" hidden="false" customHeight="false" outlineLevel="0" collapsed="false">
      <c r="A29" s="4" t="s">
        <v>77</v>
      </c>
      <c r="B29" s="4" t="s">
        <v>18</v>
      </c>
      <c r="C29" s="4" t="s">
        <v>65</v>
      </c>
      <c r="D29" s="4" t="s">
        <v>78</v>
      </c>
      <c r="E29" s="4" t="s">
        <v>21</v>
      </c>
      <c r="F29" s="5" t="n">
        <v>65298.59</v>
      </c>
      <c r="G29" s="6" t="n">
        <v>0.05</v>
      </c>
      <c r="H29" s="5" t="n">
        <v>3264.93</v>
      </c>
      <c r="I29" s="5" t="n">
        <v>68563.52</v>
      </c>
    </row>
    <row r="30" customFormat="false" ht="15" hidden="false" customHeight="false" outlineLevel="0" collapsed="false">
      <c r="A30" s="4" t="s">
        <v>79</v>
      </c>
      <c r="B30" s="4" t="s">
        <v>18</v>
      </c>
      <c r="C30" s="4" t="s">
        <v>80</v>
      </c>
      <c r="D30" s="4" t="s">
        <v>24</v>
      </c>
      <c r="E30" s="4" t="s">
        <v>21</v>
      </c>
      <c r="F30" s="5" t="n">
        <v>45981.46</v>
      </c>
      <c r="G30" s="6" t="n">
        <v>0.05</v>
      </c>
      <c r="H30" s="5" t="n">
        <v>2299.07</v>
      </c>
      <c r="I30" s="5" t="n">
        <v>48280.53</v>
      </c>
    </row>
    <row r="31" customFormat="false" ht="15" hidden="false" customHeight="false" outlineLevel="0" collapsed="false">
      <c r="A31" s="4" t="s">
        <v>81</v>
      </c>
      <c r="B31" s="4" t="s">
        <v>18</v>
      </c>
      <c r="C31" s="4" t="s">
        <v>23</v>
      </c>
      <c r="D31" s="4" t="s">
        <v>70</v>
      </c>
      <c r="E31" s="4" t="s">
        <v>28</v>
      </c>
      <c r="F31" s="5" t="n">
        <v>17804.76</v>
      </c>
      <c r="G31" s="6" t="n">
        <v>0</v>
      </c>
      <c r="H31" s="5" t="n">
        <v>0</v>
      </c>
      <c r="I31" s="5" t="n">
        <v>17804.76</v>
      </c>
    </row>
    <row r="32" customFormat="false" ht="15" hidden="false" customHeight="false" outlineLevel="0" collapsed="false">
      <c r="A32" s="4" t="s">
        <v>82</v>
      </c>
      <c r="B32" s="4" t="s">
        <v>18</v>
      </c>
      <c r="C32" s="4" t="s">
        <v>80</v>
      </c>
      <c r="D32" s="4" t="s">
        <v>31</v>
      </c>
      <c r="E32" s="4" t="s">
        <v>46</v>
      </c>
      <c r="F32" s="5" t="n">
        <v>23118.04</v>
      </c>
      <c r="G32" s="6" t="n">
        <v>0</v>
      </c>
      <c r="H32" s="5" t="n">
        <v>0</v>
      </c>
      <c r="I32" s="5" t="n">
        <v>23118.04</v>
      </c>
    </row>
    <row r="33" customFormat="false" ht="15" hidden="false" customHeight="false" outlineLevel="0" collapsed="false">
      <c r="A33" s="4" t="s">
        <v>83</v>
      </c>
      <c r="B33" s="4" t="s">
        <v>18</v>
      </c>
      <c r="C33" s="4" t="s">
        <v>39</v>
      </c>
      <c r="D33" s="4" t="s">
        <v>78</v>
      </c>
      <c r="E33" s="4" t="s">
        <v>21</v>
      </c>
      <c r="F33" s="5" t="n">
        <v>89837.87</v>
      </c>
      <c r="G33" s="6" t="n">
        <v>0.05</v>
      </c>
      <c r="H33" s="5" t="n">
        <v>4491.89</v>
      </c>
      <c r="I33" s="5" t="n">
        <v>94329.76</v>
      </c>
    </row>
    <row r="34" customFormat="false" ht="15" hidden="false" customHeight="false" outlineLevel="0" collapsed="false">
      <c r="A34" s="4" t="s">
        <v>84</v>
      </c>
      <c r="B34" s="4" t="s">
        <v>18</v>
      </c>
      <c r="C34" s="4" t="s">
        <v>85</v>
      </c>
      <c r="D34" s="4" t="s">
        <v>86</v>
      </c>
      <c r="E34" s="4" t="s">
        <v>21</v>
      </c>
      <c r="F34" s="5" t="n">
        <v>56777.27</v>
      </c>
      <c r="G34" s="6" t="n">
        <v>0.05</v>
      </c>
      <c r="H34" s="5" t="n">
        <v>2838.86</v>
      </c>
      <c r="I34" s="5" t="n">
        <v>59616.13</v>
      </c>
    </row>
    <row r="35" customFormat="false" ht="15" hidden="false" customHeight="false" outlineLevel="0" collapsed="false">
      <c r="A35" s="4" t="s">
        <v>87</v>
      </c>
      <c r="B35" s="4" t="s">
        <v>18</v>
      </c>
      <c r="C35" s="4" t="s">
        <v>23</v>
      </c>
      <c r="D35" s="4" t="s">
        <v>88</v>
      </c>
      <c r="E35" s="4" t="s">
        <v>21</v>
      </c>
      <c r="F35" s="5" t="n">
        <v>91054.08</v>
      </c>
      <c r="G35" s="6" t="n">
        <v>0.05</v>
      </c>
      <c r="H35" s="5" t="n">
        <v>4552.7</v>
      </c>
      <c r="I35" s="5" t="n">
        <v>95606.78</v>
      </c>
    </row>
    <row r="36" customFormat="false" ht="15" hidden="false" customHeight="false" outlineLevel="0" collapsed="false">
      <c r="A36" s="4" t="s">
        <v>89</v>
      </c>
      <c r="B36" s="4" t="s">
        <v>18</v>
      </c>
      <c r="C36" s="4" t="s">
        <v>90</v>
      </c>
      <c r="D36" s="4" t="s">
        <v>88</v>
      </c>
      <c r="E36" s="4" t="s">
        <v>21</v>
      </c>
      <c r="F36" s="5" t="n">
        <v>71489.51</v>
      </c>
      <c r="G36" s="6" t="n">
        <v>0.05</v>
      </c>
      <c r="H36" s="5" t="n">
        <v>3574.48</v>
      </c>
      <c r="I36" s="5" t="n">
        <v>75063.99</v>
      </c>
    </row>
    <row r="37" customFormat="false" ht="15" hidden="false" customHeight="false" outlineLevel="0" collapsed="false">
      <c r="A37" s="4" t="s">
        <v>91</v>
      </c>
      <c r="B37" s="4" t="s">
        <v>18</v>
      </c>
      <c r="C37" s="4" t="s">
        <v>52</v>
      </c>
      <c r="D37" s="4" t="s">
        <v>45</v>
      </c>
      <c r="E37" s="4" t="s">
        <v>21</v>
      </c>
      <c r="F37" s="5" t="n">
        <v>38485.01</v>
      </c>
      <c r="G37" s="6" t="n">
        <v>0.05</v>
      </c>
      <c r="H37" s="5" t="n">
        <v>1924.25</v>
      </c>
      <c r="I37" s="5" t="n">
        <v>40409.26</v>
      </c>
    </row>
    <row r="38" customFormat="false" ht="15" hidden="false" customHeight="false" outlineLevel="0" collapsed="false">
      <c r="A38" s="4" t="s">
        <v>92</v>
      </c>
      <c r="B38" s="4" t="s">
        <v>18</v>
      </c>
      <c r="C38" s="4" t="s">
        <v>67</v>
      </c>
      <c r="D38" s="4" t="s">
        <v>56</v>
      </c>
      <c r="E38" s="4" t="s">
        <v>46</v>
      </c>
      <c r="F38" s="5" t="n">
        <v>20561.66</v>
      </c>
      <c r="G38" s="6" t="n">
        <v>0</v>
      </c>
      <c r="H38" s="5" t="n">
        <v>0</v>
      </c>
      <c r="I38" s="5" t="n">
        <v>20561.66</v>
      </c>
    </row>
    <row r="39" customFormat="false" ht="15" hidden="false" customHeight="false" outlineLevel="0" collapsed="false">
      <c r="A39" s="4" t="s">
        <v>93</v>
      </c>
      <c r="B39" s="4" t="s">
        <v>18</v>
      </c>
      <c r="C39" s="4" t="s">
        <v>80</v>
      </c>
      <c r="D39" s="4" t="s">
        <v>31</v>
      </c>
      <c r="E39" s="4" t="s">
        <v>21</v>
      </c>
      <c r="F39" s="5" t="n">
        <v>10158.82</v>
      </c>
      <c r="G39" s="6" t="n">
        <v>0.05</v>
      </c>
      <c r="H39" s="5" t="n">
        <v>507.94</v>
      </c>
      <c r="I39" s="5" t="n">
        <v>10666.76</v>
      </c>
    </row>
    <row r="40" customFormat="false" ht="15" hidden="false" customHeight="false" outlineLevel="0" collapsed="false">
      <c r="A40" s="4" t="s">
        <v>94</v>
      </c>
      <c r="B40" s="4" t="s">
        <v>18</v>
      </c>
      <c r="C40" s="4" t="s">
        <v>95</v>
      </c>
      <c r="D40" s="4" t="s">
        <v>20</v>
      </c>
      <c r="E40" s="4" t="s">
        <v>21</v>
      </c>
      <c r="F40" s="5" t="n">
        <v>75142.69</v>
      </c>
      <c r="G40" s="6" t="n">
        <v>0.05</v>
      </c>
      <c r="H40" s="5" t="n">
        <v>3757.13</v>
      </c>
      <c r="I40" s="5" t="n">
        <v>78899.82</v>
      </c>
    </row>
    <row r="41" customFormat="false" ht="15" hidden="false" customHeight="false" outlineLevel="0" collapsed="false">
      <c r="A41" s="4" t="s">
        <v>96</v>
      </c>
      <c r="B41" s="4" t="s">
        <v>18</v>
      </c>
      <c r="C41" s="4" t="s">
        <v>44</v>
      </c>
      <c r="D41" s="4" t="s">
        <v>86</v>
      </c>
      <c r="E41" s="4" t="s">
        <v>46</v>
      </c>
      <c r="F41" s="5" t="n">
        <v>73845.21</v>
      </c>
      <c r="G41" s="6" t="n">
        <v>0</v>
      </c>
      <c r="H41" s="5" t="n">
        <v>0</v>
      </c>
      <c r="I41" s="5" t="n">
        <v>73845.21</v>
      </c>
    </row>
    <row r="42" customFormat="false" ht="15" hidden="false" customHeight="false" outlineLevel="0" collapsed="false">
      <c r="A42" s="4" t="s">
        <v>97</v>
      </c>
      <c r="B42" s="4" t="s">
        <v>18</v>
      </c>
      <c r="C42" s="4" t="s">
        <v>44</v>
      </c>
      <c r="D42" s="4" t="s">
        <v>62</v>
      </c>
      <c r="E42" s="4" t="s">
        <v>28</v>
      </c>
      <c r="F42" s="5" t="n">
        <v>85023.73</v>
      </c>
      <c r="G42" s="6" t="n">
        <v>0</v>
      </c>
      <c r="H42" s="5" t="n">
        <v>0</v>
      </c>
      <c r="I42" s="5" t="n">
        <v>85023.73</v>
      </c>
    </row>
    <row r="43" customFormat="false" ht="15" hidden="false" customHeight="false" outlineLevel="0" collapsed="false">
      <c r="A43" s="4" t="s">
        <v>98</v>
      </c>
      <c r="B43" s="4" t="s">
        <v>18</v>
      </c>
      <c r="C43" s="4" t="s">
        <v>26</v>
      </c>
      <c r="D43" s="4" t="s">
        <v>70</v>
      </c>
      <c r="E43" s="4" t="s">
        <v>21</v>
      </c>
      <c r="F43" s="5" t="n">
        <v>46623.25</v>
      </c>
      <c r="G43" s="6" t="n">
        <v>0.05</v>
      </c>
      <c r="H43" s="5" t="n">
        <v>2331.16</v>
      </c>
      <c r="I43" s="5" t="n">
        <v>48954.41</v>
      </c>
    </row>
    <row r="44" customFormat="false" ht="15" hidden="false" customHeight="false" outlineLevel="0" collapsed="false">
      <c r="A44" s="4" t="s">
        <v>99</v>
      </c>
      <c r="B44" s="4" t="s">
        <v>18</v>
      </c>
      <c r="C44" s="4" t="s">
        <v>36</v>
      </c>
      <c r="D44" s="4" t="s">
        <v>31</v>
      </c>
      <c r="E44" s="4" t="s">
        <v>21</v>
      </c>
      <c r="F44" s="5" t="n">
        <v>55824.78</v>
      </c>
      <c r="G44" s="6" t="n">
        <v>0.05</v>
      </c>
      <c r="H44" s="5" t="n">
        <v>2791.24</v>
      </c>
      <c r="I44" s="5" t="n">
        <v>58616.02</v>
      </c>
    </row>
    <row r="45" customFormat="false" ht="15" hidden="false" customHeight="false" outlineLevel="0" collapsed="false">
      <c r="A45" s="4" t="s">
        <v>100</v>
      </c>
      <c r="B45" s="4" t="s">
        <v>18</v>
      </c>
      <c r="C45" s="4" t="s">
        <v>95</v>
      </c>
      <c r="D45" s="4" t="s">
        <v>24</v>
      </c>
      <c r="E45" s="4" t="s">
        <v>21</v>
      </c>
      <c r="F45" s="5" t="n">
        <v>38238.62</v>
      </c>
      <c r="G45" s="6" t="n">
        <v>0.05</v>
      </c>
      <c r="H45" s="5" t="n">
        <v>1911.93</v>
      </c>
      <c r="I45" s="5" t="n">
        <v>40150.55</v>
      </c>
    </row>
    <row r="46" customFormat="false" ht="15" hidden="false" customHeight="false" outlineLevel="0" collapsed="false">
      <c r="A46" s="4" t="s">
        <v>101</v>
      </c>
      <c r="B46" s="4" t="s">
        <v>18</v>
      </c>
      <c r="C46" s="4" t="s">
        <v>54</v>
      </c>
      <c r="D46" s="4" t="s">
        <v>59</v>
      </c>
      <c r="E46" s="4" t="s">
        <v>46</v>
      </c>
      <c r="F46" s="5" t="n">
        <v>20720.12</v>
      </c>
      <c r="G46" s="6" t="n">
        <v>0</v>
      </c>
      <c r="H46" s="5" t="n">
        <v>0</v>
      </c>
      <c r="I46" s="5" t="n">
        <v>20720.12</v>
      </c>
    </row>
    <row r="47" customFormat="false" ht="15" hidden="false" customHeight="false" outlineLevel="0" collapsed="false">
      <c r="A47" s="4" t="s">
        <v>102</v>
      </c>
      <c r="B47" s="4" t="s">
        <v>18</v>
      </c>
      <c r="C47" s="4" t="s">
        <v>103</v>
      </c>
      <c r="D47" s="4" t="s">
        <v>50</v>
      </c>
      <c r="E47" s="4" t="s">
        <v>28</v>
      </c>
      <c r="F47" s="5" t="n">
        <v>10348.08</v>
      </c>
      <c r="G47" s="6" t="n">
        <v>0</v>
      </c>
      <c r="H47" s="5" t="n">
        <v>0</v>
      </c>
      <c r="I47" s="5" t="n">
        <v>10348.08</v>
      </c>
    </row>
    <row r="48" customFormat="false" ht="15" hidden="false" customHeight="false" outlineLevel="0" collapsed="false">
      <c r="A48" s="4" t="s">
        <v>104</v>
      </c>
      <c r="B48" s="4" t="s">
        <v>18</v>
      </c>
      <c r="C48" s="4" t="s">
        <v>26</v>
      </c>
      <c r="D48" s="4" t="s">
        <v>37</v>
      </c>
      <c r="E48" s="4" t="s">
        <v>21</v>
      </c>
      <c r="F48" s="5" t="n">
        <v>90118.08</v>
      </c>
      <c r="G48" s="6" t="n">
        <v>0.05</v>
      </c>
      <c r="H48" s="5" t="n">
        <v>4505.9</v>
      </c>
      <c r="I48" s="5" t="n">
        <v>94623.98</v>
      </c>
    </row>
    <row r="49" customFormat="false" ht="15" hidden="false" customHeight="false" outlineLevel="0" collapsed="false">
      <c r="A49" s="4" t="s">
        <v>105</v>
      </c>
      <c r="B49" s="4" t="s">
        <v>18</v>
      </c>
      <c r="C49" s="4" t="s">
        <v>106</v>
      </c>
      <c r="D49" s="4" t="s">
        <v>34</v>
      </c>
      <c r="E49" s="4" t="s">
        <v>21</v>
      </c>
      <c r="F49" s="5" t="n">
        <v>15211.45</v>
      </c>
      <c r="G49" s="6" t="n">
        <v>0.05</v>
      </c>
      <c r="H49" s="5" t="n">
        <v>760.57</v>
      </c>
      <c r="I49" s="5" t="n">
        <v>15972.02</v>
      </c>
    </row>
    <row r="50" customFormat="false" ht="15" hidden="false" customHeight="false" outlineLevel="0" collapsed="false">
      <c r="A50" s="4" t="s">
        <v>107</v>
      </c>
      <c r="B50" s="4" t="s">
        <v>18</v>
      </c>
      <c r="C50" s="4" t="s">
        <v>39</v>
      </c>
      <c r="D50" s="4" t="s">
        <v>70</v>
      </c>
      <c r="E50" s="4" t="s">
        <v>21</v>
      </c>
      <c r="F50" s="5" t="n">
        <v>19687.61</v>
      </c>
      <c r="G50" s="6" t="n">
        <v>0.05</v>
      </c>
      <c r="H50" s="5" t="n">
        <v>984.38</v>
      </c>
      <c r="I50" s="5" t="n">
        <v>20671.99</v>
      </c>
    </row>
    <row r="51" customFormat="false" ht="15" hidden="false" customHeight="false" outlineLevel="0" collapsed="false">
      <c r="A51" s="4" t="s">
        <v>108</v>
      </c>
      <c r="B51" s="4" t="s">
        <v>18</v>
      </c>
      <c r="C51" s="4" t="s">
        <v>42</v>
      </c>
      <c r="D51" s="4" t="s">
        <v>50</v>
      </c>
      <c r="E51" s="4" t="s">
        <v>21</v>
      </c>
      <c r="F51" s="5" t="n">
        <v>41024.86</v>
      </c>
      <c r="G51" s="6" t="n">
        <v>0.05</v>
      </c>
      <c r="H51" s="5" t="n">
        <v>2051.24</v>
      </c>
      <c r="I51" s="5" t="n">
        <v>43076.1</v>
      </c>
    </row>
    <row r="52" customFormat="false" ht="15" hidden="false" customHeight="false" outlineLevel="0" collapsed="false">
      <c r="A52" s="4" t="s">
        <v>109</v>
      </c>
      <c r="B52" s="4" t="s">
        <v>18</v>
      </c>
      <c r="C52" s="4" t="s">
        <v>110</v>
      </c>
      <c r="D52" s="4" t="s">
        <v>62</v>
      </c>
      <c r="E52" s="4" t="s">
        <v>21</v>
      </c>
      <c r="F52" s="5" t="n">
        <v>30155.19</v>
      </c>
      <c r="G52" s="6" t="n">
        <v>0.05</v>
      </c>
      <c r="H52" s="5" t="n">
        <v>1507.76</v>
      </c>
      <c r="I52" s="5" t="n">
        <v>31662.95</v>
      </c>
    </row>
    <row r="53" customFormat="false" ht="15" hidden="false" customHeight="false" outlineLevel="0" collapsed="false">
      <c r="A53" s="4" t="s">
        <v>111</v>
      </c>
      <c r="B53" s="4" t="s">
        <v>18</v>
      </c>
      <c r="C53" s="4" t="s">
        <v>26</v>
      </c>
      <c r="D53" s="4" t="s">
        <v>34</v>
      </c>
      <c r="E53" s="4" t="s">
        <v>21</v>
      </c>
      <c r="F53" s="5" t="n">
        <v>66281.39</v>
      </c>
      <c r="G53" s="6" t="n">
        <v>0.05</v>
      </c>
      <c r="H53" s="5" t="n">
        <v>3314.07</v>
      </c>
      <c r="I53" s="5" t="n">
        <v>69595.46</v>
      </c>
    </row>
    <row r="54" customFormat="false" ht="15" hidden="false" customHeight="false" outlineLevel="0" collapsed="false">
      <c r="A54" s="4" t="s">
        <v>112</v>
      </c>
      <c r="B54" s="4" t="s">
        <v>18</v>
      </c>
      <c r="C54" s="4" t="s">
        <v>30</v>
      </c>
      <c r="D54" s="4" t="s">
        <v>34</v>
      </c>
      <c r="E54" s="4" t="s">
        <v>21</v>
      </c>
      <c r="F54" s="5" t="n">
        <v>75689.21</v>
      </c>
      <c r="G54" s="6" t="n">
        <v>0.05</v>
      </c>
      <c r="H54" s="5" t="n">
        <v>3784.46</v>
      </c>
      <c r="I54" s="5" t="n">
        <v>79473.67</v>
      </c>
    </row>
    <row r="55" customFormat="false" ht="15" hidden="false" customHeight="false" outlineLevel="0" collapsed="false">
      <c r="A55" s="4" t="s">
        <v>113</v>
      </c>
      <c r="B55" s="4" t="s">
        <v>18</v>
      </c>
      <c r="C55" s="4" t="s">
        <v>33</v>
      </c>
      <c r="D55" s="4" t="s">
        <v>70</v>
      </c>
      <c r="E55" s="4" t="s">
        <v>46</v>
      </c>
      <c r="F55" s="5" t="n">
        <v>88545.72</v>
      </c>
      <c r="G55" s="6" t="n">
        <v>0</v>
      </c>
      <c r="H55" s="5" t="n">
        <v>0</v>
      </c>
      <c r="I55" s="5" t="n">
        <v>88545.72</v>
      </c>
    </row>
    <row r="56" customFormat="false" ht="15" hidden="false" customHeight="false" outlineLevel="0" collapsed="false">
      <c r="A56" s="4" t="s">
        <v>114</v>
      </c>
      <c r="B56" s="4" t="s">
        <v>18</v>
      </c>
      <c r="C56" s="4" t="s">
        <v>23</v>
      </c>
      <c r="D56" s="4" t="s">
        <v>27</v>
      </c>
      <c r="E56" s="4" t="s">
        <v>21</v>
      </c>
      <c r="F56" s="5" t="n">
        <v>6052.75</v>
      </c>
      <c r="G56" s="6" t="n">
        <v>0.05</v>
      </c>
      <c r="H56" s="5" t="n">
        <v>302.64</v>
      </c>
      <c r="I56" s="5" t="n">
        <v>6355.39</v>
      </c>
    </row>
    <row r="57" customFormat="false" ht="15" hidden="false" customHeight="false" outlineLevel="0" collapsed="false">
      <c r="A57" s="4" t="s">
        <v>115</v>
      </c>
      <c r="B57" s="4" t="s">
        <v>18</v>
      </c>
      <c r="C57" s="4" t="s">
        <v>23</v>
      </c>
      <c r="D57" s="4" t="s">
        <v>45</v>
      </c>
      <c r="E57" s="4" t="s">
        <v>21</v>
      </c>
      <c r="F57" s="5" t="n">
        <v>79941.18</v>
      </c>
      <c r="G57" s="6" t="n">
        <v>0.05</v>
      </c>
      <c r="H57" s="5" t="n">
        <v>3997.06</v>
      </c>
      <c r="I57" s="5" t="n">
        <v>83938.24</v>
      </c>
    </row>
    <row r="58" customFormat="false" ht="15" hidden="false" customHeight="false" outlineLevel="0" collapsed="false">
      <c r="A58" s="4" t="s">
        <v>116</v>
      </c>
      <c r="B58" s="4" t="s">
        <v>18</v>
      </c>
      <c r="C58" s="4" t="s">
        <v>39</v>
      </c>
      <c r="D58" s="4" t="s">
        <v>70</v>
      </c>
      <c r="E58" s="4" t="s">
        <v>21</v>
      </c>
      <c r="F58" s="5" t="n">
        <v>68402.33</v>
      </c>
      <c r="G58" s="6" t="n">
        <v>0.05</v>
      </c>
      <c r="H58" s="5" t="n">
        <v>3420.12</v>
      </c>
      <c r="I58" s="5" t="n">
        <v>71822.45</v>
      </c>
    </row>
    <row r="59" customFormat="false" ht="15" hidden="false" customHeight="false" outlineLevel="0" collapsed="false">
      <c r="A59" s="4" t="s">
        <v>117</v>
      </c>
      <c r="B59" s="4" t="s">
        <v>18</v>
      </c>
      <c r="C59" s="4" t="s">
        <v>65</v>
      </c>
      <c r="D59" s="4" t="s">
        <v>62</v>
      </c>
      <c r="E59" s="4" t="s">
        <v>21</v>
      </c>
      <c r="F59" s="5" t="n">
        <v>40293.23</v>
      </c>
      <c r="G59" s="6" t="n">
        <v>0.05</v>
      </c>
      <c r="H59" s="5" t="n">
        <v>2014.66</v>
      </c>
      <c r="I59" s="5" t="n">
        <v>42307.89</v>
      </c>
    </row>
    <row r="60" customFormat="false" ht="15" hidden="false" customHeight="false" outlineLevel="0" collapsed="false">
      <c r="A60" s="4" t="s">
        <v>118</v>
      </c>
      <c r="B60" s="4" t="s">
        <v>18</v>
      </c>
      <c r="C60" s="4" t="s">
        <v>44</v>
      </c>
      <c r="D60" s="4" t="s">
        <v>31</v>
      </c>
      <c r="E60" s="4" t="s">
        <v>21</v>
      </c>
      <c r="F60" s="5" t="n">
        <v>21356.36</v>
      </c>
      <c r="G60" s="6" t="n">
        <v>0.05</v>
      </c>
      <c r="H60" s="5" t="n">
        <v>1067.82</v>
      </c>
      <c r="I60" s="5" t="n">
        <v>22424.18</v>
      </c>
    </row>
    <row r="61" customFormat="false" ht="15" hidden="false" customHeight="false" outlineLevel="0" collapsed="false">
      <c r="A61" s="4" t="s">
        <v>119</v>
      </c>
      <c r="B61" s="4" t="s">
        <v>120</v>
      </c>
      <c r="C61" s="4" t="s">
        <v>85</v>
      </c>
      <c r="D61" s="4" t="s">
        <v>121</v>
      </c>
      <c r="E61" s="4" t="s">
        <v>21</v>
      </c>
      <c r="F61" s="5" t="n">
        <v>32808.91</v>
      </c>
      <c r="G61" s="6" t="n">
        <v>0.05</v>
      </c>
      <c r="H61" s="5" t="n">
        <v>1640.45</v>
      </c>
      <c r="I61" s="5" t="n">
        <v>34449.36</v>
      </c>
    </row>
    <row r="62" customFormat="false" ht="15" hidden="false" customHeight="false" outlineLevel="0" collapsed="false">
      <c r="A62" s="4" t="s">
        <v>122</v>
      </c>
      <c r="B62" s="4" t="s">
        <v>120</v>
      </c>
      <c r="C62" s="4" t="s">
        <v>58</v>
      </c>
      <c r="D62" s="4" t="s">
        <v>123</v>
      </c>
      <c r="E62" s="4" t="s">
        <v>21</v>
      </c>
      <c r="F62" s="5" t="n">
        <v>6166.42</v>
      </c>
      <c r="G62" s="6" t="n">
        <v>0.05</v>
      </c>
      <c r="H62" s="5" t="n">
        <v>308.32</v>
      </c>
      <c r="I62" s="5" t="n">
        <v>6474.74</v>
      </c>
    </row>
    <row r="63" customFormat="false" ht="15" hidden="false" customHeight="false" outlineLevel="0" collapsed="false">
      <c r="A63" s="4" t="s">
        <v>124</v>
      </c>
      <c r="B63" s="4" t="s">
        <v>120</v>
      </c>
      <c r="C63" s="4" t="s">
        <v>49</v>
      </c>
      <c r="D63" s="4" t="s">
        <v>125</v>
      </c>
      <c r="E63" s="4" t="s">
        <v>28</v>
      </c>
      <c r="F63" s="5" t="n">
        <v>30189.2</v>
      </c>
      <c r="G63" s="6" t="n">
        <v>0</v>
      </c>
      <c r="H63" s="5" t="n">
        <v>0</v>
      </c>
      <c r="I63" s="5" t="n">
        <v>30189.2</v>
      </c>
    </row>
    <row r="64" customFormat="false" ht="15" hidden="false" customHeight="false" outlineLevel="0" collapsed="false">
      <c r="A64" s="4" t="s">
        <v>126</v>
      </c>
      <c r="B64" s="4" t="s">
        <v>120</v>
      </c>
      <c r="C64" s="4" t="s">
        <v>33</v>
      </c>
      <c r="D64" s="4" t="s">
        <v>127</v>
      </c>
      <c r="E64" s="4" t="s">
        <v>21</v>
      </c>
      <c r="F64" s="5" t="n">
        <v>36251.66</v>
      </c>
      <c r="G64" s="6" t="n">
        <v>0.05</v>
      </c>
      <c r="H64" s="5" t="n">
        <v>1812.58</v>
      </c>
      <c r="I64" s="5" t="n">
        <v>38064.24</v>
      </c>
    </row>
    <row r="65" customFormat="false" ht="15" hidden="false" customHeight="false" outlineLevel="0" collapsed="false">
      <c r="A65" s="4" t="s">
        <v>128</v>
      </c>
      <c r="B65" s="4" t="s">
        <v>120</v>
      </c>
      <c r="C65" s="4" t="s">
        <v>106</v>
      </c>
      <c r="D65" s="4" t="s">
        <v>123</v>
      </c>
      <c r="E65" s="4" t="s">
        <v>28</v>
      </c>
      <c r="F65" s="5" t="n">
        <v>37259.92</v>
      </c>
      <c r="G65" s="6" t="n">
        <v>0</v>
      </c>
      <c r="H65" s="5" t="n">
        <v>0</v>
      </c>
      <c r="I65" s="5" t="n">
        <v>37259.92</v>
      </c>
    </row>
    <row r="66" customFormat="false" ht="15" hidden="false" customHeight="false" outlineLevel="0" collapsed="false">
      <c r="A66" s="4" t="s">
        <v>129</v>
      </c>
      <c r="B66" s="4" t="s">
        <v>120</v>
      </c>
      <c r="C66" s="4" t="s">
        <v>26</v>
      </c>
      <c r="D66" s="4" t="s">
        <v>130</v>
      </c>
      <c r="E66" s="4" t="s">
        <v>21</v>
      </c>
      <c r="F66" s="5" t="n">
        <v>22565.88</v>
      </c>
      <c r="G66" s="6" t="n">
        <v>0.05</v>
      </c>
      <c r="H66" s="5" t="n">
        <v>1128.29</v>
      </c>
      <c r="I66" s="5" t="n">
        <v>23694.17</v>
      </c>
    </row>
    <row r="67" customFormat="false" ht="15" hidden="false" customHeight="false" outlineLevel="0" collapsed="false">
      <c r="A67" s="4" t="s">
        <v>131</v>
      </c>
      <c r="B67" s="4" t="s">
        <v>120</v>
      </c>
      <c r="C67" s="4" t="s">
        <v>52</v>
      </c>
      <c r="D67" s="4" t="s">
        <v>130</v>
      </c>
      <c r="E67" s="4" t="s">
        <v>21</v>
      </c>
      <c r="F67" s="5" t="n">
        <v>4925.3</v>
      </c>
      <c r="G67" s="6" t="n">
        <v>0.05</v>
      </c>
      <c r="H67" s="5" t="n">
        <v>246.27</v>
      </c>
      <c r="I67" s="5" t="n">
        <v>5171.57</v>
      </c>
    </row>
    <row r="68" customFormat="false" ht="15" hidden="false" customHeight="false" outlineLevel="0" collapsed="false">
      <c r="A68" s="4" t="s">
        <v>132</v>
      </c>
      <c r="B68" s="4" t="s">
        <v>120</v>
      </c>
      <c r="C68" s="4" t="s">
        <v>65</v>
      </c>
      <c r="D68" s="4" t="s">
        <v>133</v>
      </c>
      <c r="E68" s="4" t="s">
        <v>21</v>
      </c>
      <c r="F68" s="5" t="n">
        <v>11120.89</v>
      </c>
      <c r="G68" s="6" t="n">
        <v>0.05</v>
      </c>
      <c r="H68" s="5" t="n">
        <v>556.04</v>
      </c>
      <c r="I68" s="5" t="n">
        <v>11676.93</v>
      </c>
    </row>
    <row r="69" customFormat="false" ht="15" hidden="false" customHeight="false" outlineLevel="0" collapsed="false">
      <c r="A69" s="4" t="s">
        <v>134</v>
      </c>
      <c r="B69" s="4" t="s">
        <v>120</v>
      </c>
      <c r="C69" s="4" t="s">
        <v>80</v>
      </c>
      <c r="D69" s="4" t="s">
        <v>130</v>
      </c>
      <c r="E69" s="4" t="s">
        <v>21</v>
      </c>
      <c r="F69" s="5" t="n">
        <v>38037.34</v>
      </c>
      <c r="G69" s="6" t="n">
        <v>0.05</v>
      </c>
      <c r="H69" s="5" t="n">
        <v>1901.87</v>
      </c>
      <c r="I69" s="5" t="n">
        <v>39939.21</v>
      </c>
    </row>
    <row r="70" customFormat="false" ht="15" hidden="false" customHeight="false" outlineLevel="0" collapsed="false">
      <c r="A70" s="4" t="s">
        <v>135</v>
      </c>
      <c r="B70" s="4" t="s">
        <v>120</v>
      </c>
      <c r="C70" s="4" t="s">
        <v>44</v>
      </c>
      <c r="D70" s="4" t="s">
        <v>127</v>
      </c>
      <c r="E70" s="4" t="s">
        <v>21</v>
      </c>
      <c r="F70" s="5" t="n">
        <v>10774.62</v>
      </c>
      <c r="G70" s="6" t="n">
        <v>0.05</v>
      </c>
      <c r="H70" s="5" t="n">
        <v>538.73</v>
      </c>
      <c r="I70" s="5" t="n">
        <v>11313.35</v>
      </c>
    </row>
    <row r="71" customFormat="false" ht="15" hidden="false" customHeight="false" outlineLevel="0" collapsed="false">
      <c r="A71" s="4" t="s">
        <v>136</v>
      </c>
      <c r="B71" s="4" t="s">
        <v>120</v>
      </c>
      <c r="C71" s="4" t="s">
        <v>65</v>
      </c>
      <c r="D71" s="4" t="s">
        <v>121</v>
      </c>
      <c r="E71" s="4" t="s">
        <v>21</v>
      </c>
      <c r="F71" s="5" t="n">
        <v>40780.85</v>
      </c>
      <c r="G71" s="6" t="n">
        <v>0.05</v>
      </c>
      <c r="H71" s="5" t="n">
        <v>2039.04</v>
      </c>
      <c r="I71" s="5" t="n">
        <v>42819.89</v>
      </c>
    </row>
    <row r="72" customFormat="false" ht="15" hidden="false" customHeight="false" outlineLevel="0" collapsed="false">
      <c r="A72" s="4" t="s">
        <v>137</v>
      </c>
      <c r="B72" s="4" t="s">
        <v>120</v>
      </c>
      <c r="C72" s="4" t="s">
        <v>67</v>
      </c>
      <c r="D72" s="4" t="s">
        <v>130</v>
      </c>
      <c r="E72" s="4" t="s">
        <v>21</v>
      </c>
      <c r="F72" s="5" t="n">
        <v>20406.36</v>
      </c>
      <c r="G72" s="6" t="n">
        <v>0.05</v>
      </c>
      <c r="H72" s="5" t="n">
        <v>1020.32</v>
      </c>
      <c r="I72" s="5" t="n">
        <v>21426.68</v>
      </c>
    </row>
    <row r="73" customFormat="false" ht="15" hidden="false" customHeight="false" outlineLevel="0" collapsed="false">
      <c r="A73" s="4" t="s">
        <v>138</v>
      </c>
      <c r="B73" s="4" t="s">
        <v>120</v>
      </c>
      <c r="C73" s="4" t="s">
        <v>44</v>
      </c>
      <c r="D73" s="4" t="s">
        <v>121</v>
      </c>
      <c r="E73" s="4" t="s">
        <v>28</v>
      </c>
      <c r="F73" s="5" t="n">
        <v>22496.41</v>
      </c>
      <c r="G73" s="6" t="n">
        <v>0</v>
      </c>
      <c r="H73" s="5" t="n">
        <v>0</v>
      </c>
      <c r="I73" s="5" t="n">
        <v>22496.41</v>
      </c>
    </row>
    <row r="74" customFormat="false" ht="15" hidden="false" customHeight="false" outlineLevel="0" collapsed="false">
      <c r="A74" s="4" t="s">
        <v>139</v>
      </c>
      <c r="B74" s="4" t="s">
        <v>120</v>
      </c>
      <c r="C74" s="4" t="s">
        <v>110</v>
      </c>
      <c r="D74" s="4" t="s">
        <v>133</v>
      </c>
      <c r="E74" s="4" t="s">
        <v>21</v>
      </c>
      <c r="F74" s="5" t="n">
        <v>1637.64</v>
      </c>
      <c r="G74" s="6" t="n">
        <v>0.05</v>
      </c>
      <c r="H74" s="5" t="n">
        <v>81.88</v>
      </c>
      <c r="I74" s="5" t="n">
        <v>1719.52</v>
      </c>
    </row>
    <row r="75" customFormat="false" ht="15" hidden="false" customHeight="false" outlineLevel="0" collapsed="false">
      <c r="A75" s="4" t="s">
        <v>140</v>
      </c>
      <c r="B75" s="4" t="s">
        <v>120</v>
      </c>
      <c r="C75" s="4" t="s">
        <v>141</v>
      </c>
      <c r="D75" s="4" t="s">
        <v>127</v>
      </c>
      <c r="E75" s="4" t="s">
        <v>21</v>
      </c>
      <c r="F75" s="5" t="n">
        <v>30467.43</v>
      </c>
      <c r="G75" s="6" t="n">
        <v>0.05</v>
      </c>
      <c r="H75" s="5" t="n">
        <v>1523.37</v>
      </c>
      <c r="I75" s="5" t="n">
        <v>31990.8</v>
      </c>
    </row>
    <row r="76" customFormat="false" ht="15" hidden="false" customHeight="false" outlineLevel="0" collapsed="false">
      <c r="A76" s="4" t="s">
        <v>142</v>
      </c>
      <c r="B76" s="4" t="s">
        <v>120</v>
      </c>
      <c r="C76" s="4" t="s">
        <v>143</v>
      </c>
      <c r="D76" s="4" t="s">
        <v>144</v>
      </c>
      <c r="E76" s="4" t="s">
        <v>21</v>
      </c>
      <c r="F76" s="5" t="n">
        <v>10837.92</v>
      </c>
      <c r="G76" s="6" t="n">
        <v>0.05</v>
      </c>
      <c r="H76" s="5" t="n">
        <v>541.9</v>
      </c>
      <c r="I76" s="5" t="n">
        <v>11379.82</v>
      </c>
    </row>
    <row r="77" customFormat="false" ht="15" hidden="false" customHeight="false" outlineLevel="0" collapsed="false">
      <c r="A77" s="4" t="s">
        <v>145</v>
      </c>
      <c r="B77" s="4" t="s">
        <v>120</v>
      </c>
      <c r="C77" s="4" t="s">
        <v>143</v>
      </c>
      <c r="D77" s="4" t="s">
        <v>146</v>
      </c>
      <c r="E77" s="4" t="s">
        <v>21</v>
      </c>
      <c r="F77" s="5" t="n">
        <v>37931.52</v>
      </c>
      <c r="G77" s="6" t="n">
        <v>0.05</v>
      </c>
      <c r="H77" s="5" t="n">
        <v>1896.58</v>
      </c>
      <c r="I77" s="5" t="n">
        <v>39828.1</v>
      </c>
    </row>
    <row r="78" customFormat="false" ht="15" hidden="false" customHeight="false" outlineLevel="0" collapsed="false">
      <c r="A78" s="4" t="s">
        <v>147</v>
      </c>
      <c r="B78" s="4" t="s">
        <v>120</v>
      </c>
      <c r="C78" s="4" t="s">
        <v>148</v>
      </c>
      <c r="D78" s="4" t="s">
        <v>149</v>
      </c>
      <c r="E78" s="4" t="s">
        <v>21</v>
      </c>
      <c r="F78" s="5" t="n">
        <v>23747.58</v>
      </c>
      <c r="G78" s="6" t="n">
        <v>0.05</v>
      </c>
      <c r="H78" s="5" t="n">
        <v>1187.38</v>
      </c>
      <c r="I78" s="5" t="n">
        <v>24934.96</v>
      </c>
    </row>
    <row r="79" customFormat="false" ht="15" hidden="false" customHeight="false" outlineLevel="0" collapsed="false">
      <c r="A79" s="4" t="s">
        <v>150</v>
      </c>
      <c r="B79" s="4" t="s">
        <v>120</v>
      </c>
      <c r="C79" s="4" t="s">
        <v>39</v>
      </c>
      <c r="D79" s="4" t="s">
        <v>125</v>
      </c>
      <c r="E79" s="4" t="s">
        <v>46</v>
      </c>
      <c r="F79" s="5" t="n">
        <v>32690.96</v>
      </c>
      <c r="G79" s="6" t="n">
        <v>0</v>
      </c>
      <c r="H79" s="5" t="n">
        <v>0</v>
      </c>
      <c r="I79" s="5" t="n">
        <v>32690.96</v>
      </c>
    </row>
    <row r="80" customFormat="false" ht="15" hidden="false" customHeight="false" outlineLevel="0" collapsed="false">
      <c r="A80" s="4" t="s">
        <v>151</v>
      </c>
      <c r="B80" s="4" t="s">
        <v>120</v>
      </c>
      <c r="C80" s="4" t="s">
        <v>52</v>
      </c>
      <c r="D80" s="4" t="s">
        <v>144</v>
      </c>
      <c r="E80" s="4" t="s">
        <v>28</v>
      </c>
      <c r="F80" s="5" t="n">
        <v>34161.06</v>
      </c>
      <c r="G80" s="6" t="n">
        <v>0</v>
      </c>
      <c r="H80" s="5" t="n">
        <v>0</v>
      </c>
      <c r="I80" s="5" t="n">
        <v>34161.06</v>
      </c>
    </row>
    <row r="81" customFormat="false" ht="15" hidden="false" customHeight="false" outlineLevel="0" collapsed="false">
      <c r="A81" s="4" t="s">
        <v>152</v>
      </c>
      <c r="B81" s="4" t="s">
        <v>120</v>
      </c>
      <c r="C81" s="4" t="s">
        <v>80</v>
      </c>
      <c r="D81" s="4" t="s">
        <v>133</v>
      </c>
      <c r="E81" s="4" t="s">
        <v>28</v>
      </c>
      <c r="F81" s="5" t="n">
        <v>7118.4</v>
      </c>
      <c r="G81" s="6" t="n">
        <v>0</v>
      </c>
      <c r="H81" s="5" t="n">
        <v>0</v>
      </c>
      <c r="I81" s="5" t="n">
        <v>7118.4</v>
      </c>
    </row>
    <row r="82" customFormat="false" ht="15" hidden="false" customHeight="false" outlineLevel="0" collapsed="false">
      <c r="A82" s="4" t="s">
        <v>153</v>
      </c>
      <c r="B82" s="4" t="s">
        <v>120</v>
      </c>
      <c r="C82" s="4" t="s">
        <v>19</v>
      </c>
      <c r="D82" s="4" t="s">
        <v>146</v>
      </c>
      <c r="E82" s="4" t="s">
        <v>21</v>
      </c>
      <c r="F82" s="5" t="n">
        <v>34794.2</v>
      </c>
      <c r="G82" s="6" t="n">
        <v>0.05</v>
      </c>
      <c r="H82" s="5" t="n">
        <v>1739.71</v>
      </c>
      <c r="I82" s="5" t="n">
        <v>36533.91</v>
      </c>
    </row>
    <row r="83" customFormat="false" ht="15" hidden="false" customHeight="false" outlineLevel="0" collapsed="false">
      <c r="A83" s="4" t="s">
        <v>154</v>
      </c>
      <c r="B83" s="4" t="s">
        <v>120</v>
      </c>
      <c r="C83" s="4" t="s">
        <v>103</v>
      </c>
      <c r="D83" s="4" t="s">
        <v>155</v>
      </c>
      <c r="E83" s="4" t="s">
        <v>21</v>
      </c>
      <c r="F83" s="5" t="n">
        <v>33759.71</v>
      </c>
      <c r="G83" s="6" t="n">
        <v>0.05</v>
      </c>
      <c r="H83" s="5" t="n">
        <v>1687.99</v>
      </c>
      <c r="I83" s="5" t="n">
        <v>35447.7</v>
      </c>
    </row>
    <row r="84" customFormat="false" ht="15" hidden="false" customHeight="false" outlineLevel="0" collapsed="false">
      <c r="A84" s="4" t="s">
        <v>156</v>
      </c>
      <c r="B84" s="4" t="s">
        <v>120</v>
      </c>
      <c r="C84" s="4" t="s">
        <v>148</v>
      </c>
      <c r="D84" s="4" t="s">
        <v>123</v>
      </c>
      <c r="E84" s="4" t="s">
        <v>46</v>
      </c>
      <c r="F84" s="5" t="n">
        <v>15535.16</v>
      </c>
      <c r="G84" s="6" t="n">
        <v>0</v>
      </c>
      <c r="H84" s="5" t="n">
        <v>0</v>
      </c>
      <c r="I84" s="5" t="n">
        <v>15535.16</v>
      </c>
    </row>
    <row r="85" customFormat="false" ht="15" hidden="false" customHeight="false" outlineLevel="0" collapsed="false">
      <c r="A85" s="4" t="s">
        <v>157</v>
      </c>
      <c r="B85" s="4" t="s">
        <v>120</v>
      </c>
      <c r="C85" s="4" t="s">
        <v>95</v>
      </c>
      <c r="D85" s="4" t="s">
        <v>144</v>
      </c>
      <c r="E85" s="4" t="s">
        <v>46</v>
      </c>
      <c r="F85" s="5" t="n">
        <v>34423.52</v>
      </c>
      <c r="G85" s="6" t="n">
        <v>0</v>
      </c>
      <c r="H85" s="5" t="n">
        <v>0</v>
      </c>
      <c r="I85" s="5" t="n">
        <v>34423.52</v>
      </c>
    </row>
    <row r="86" customFormat="false" ht="15" hidden="false" customHeight="false" outlineLevel="0" collapsed="false">
      <c r="A86" s="4" t="s">
        <v>158</v>
      </c>
      <c r="B86" s="4" t="s">
        <v>120</v>
      </c>
      <c r="C86" s="4" t="s">
        <v>74</v>
      </c>
      <c r="D86" s="4" t="s">
        <v>149</v>
      </c>
      <c r="E86" s="4" t="s">
        <v>21</v>
      </c>
      <c r="F86" s="5" t="n">
        <v>13352.94</v>
      </c>
      <c r="G86" s="6" t="n">
        <v>0.05</v>
      </c>
      <c r="H86" s="5" t="n">
        <v>667.65</v>
      </c>
      <c r="I86" s="5" t="n">
        <v>14020.59</v>
      </c>
    </row>
    <row r="87" customFormat="false" ht="15" hidden="false" customHeight="false" outlineLevel="0" collapsed="false">
      <c r="A87" s="4" t="s">
        <v>159</v>
      </c>
      <c r="B87" s="4" t="s">
        <v>120</v>
      </c>
      <c r="C87" s="4" t="s">
        <v>26</v>
      </c>
      <c r="D87" s="4" t="s">
        <v>121</v>
      </c>
      <c r="E87" s="4" t="s">
        <v>21</v>
      </c>
      <c r="F87" s="5" t="n">
        <v>10229.87</v>
      </c>
      <c r="G87" s="6" t="n">
        <v>0.05</v>
      </c>
      <c r="H87" s="5" t="n">
        <v>511.49</v>
      </c>
      <c r="I87" s="5" t="n">
        <v>10741.36</v>
      </c>
    </row>
    <row r="88" customFormat="false" ht="15" hidden="false" customHeight="false" outlineLevel="0" collapsed="false">
      <c r="A88" s="4" t="s">
        <v>160</v>
      </c>
      <c r="B88" s="4" t="s">
        <v>120</v>
      </c>
      <c r="C88" s="4" t="s">
        <v>90</v>
      </c>
      <c r="D88" s="4" t="s">
        <v>144</v>
      </c>
      <c r="E88" s="4" t="s">
        <v>28</v>
      </c>
      <c r="F88" s="5" t="n">
        <v>23603.38</v>
      </c>
      <c r="G88" s="6" t="n">
        <v>0</v>
      </c>
      <c r="H88" s="5" t="n">
        <v>0</v>
      </c>
      <c r="I88" s="5" t="n">
        <v>23603.38</v>
      </c>
    </row>
    <row r="89" customFormat="false" ht="15" hidden="false" customHeight="false" outlineLevel="0" collapsed="false">
      <c r="A89" s="4" t="s">
        <v>161</v>
      </c>
      <c r="B89" s="4" t="s">
        <v>120</v>
      </c>
      <c r="C89" s="4" t="s">
        <v>143</v>
      </c>
      <c r="D89" s="4" t="s">
        <v>146</v>
      </c>
      <c r="E89" s="4" t="s">
        <v>21</v>
      </c>
      <c r="F89" s="5" t="n">
        <v>1304.52</v>
      </c>
      <c r="G89" s="6" t="n">
        <v>0.05</v>
      </c>
      <c r="H89" s="5" t="n">
        <v>65.23</v>
      </c>
      <c r="I89" s="5" t="n">
        <v>1369.75</v>
      </c>
    </row>
    <row r="90" customFormat="false" ht="15" hidden="false" customHeight="false" outlineLevel="0" collapsed="false">
      <c r="A90" s="4" t="s">
        <v>162</v>
      </c>
      <c r="B90" s="4" t="s">
        <v>120</v>
      </c>
      <c r="C90" s="4" t="s">
        <v>72</v>
      </c>
      <c r="D90" s="4" t="s">
        <v>127</v>
      </c>
      <c r="E90" s="4" t="s">
        <v>21</v>
      </c>
      <c r="F90" s="5" t="n">
        <v>22373.45</v>
      </c>
      <c r="G90" s="6" t="n">
        <v>0.05</v>
      </c>
      <c r="H90" s="5" t="n">
        <v>1118.67</v>
      </c>
      <c r="I90" s="5" t="n">
        <v>23492.12</v>
      </c>
    </row>
    <row r="91" customFormat="false" ht="15" hidden="false" customHeight="false" outlineLevel="0" collapsed="false">
      <c r="A91" s="4" t="s">
        <v>163</v>
      </c>
      <c r="B91" s="4" t="s">
        <v>120</v>
      </c>
      <c r="C91" s="4" t="s">
        <v>90</v>
      </c>
      <c r="D91" s="4" t="s">
        <v>130</v>
      </c>
      <c r="E91" s="4" t="s">
        <v>21</v>
      </c>
      <c r="F91" s="5" t="n">
        <v>6727.61</v>
      </c>
      <c r="G91" s="6" t="n">
        <v>0.05</v>
      </c>
      <c r="H91" s="5" t="n">
        <v>336.38</v>
      </c>
      <c r="I91" s="5" t="n">
        <v>7063.99</v>
      </c>
    </row>
    <row r="92" customFormat="false" ht="15" hidden="false" customHeight="false" outlineLevel="0" collapsed="false">
      <c r="A92" s="4" t="s">
        <v>164</v>
      </c>
      <c r="B92" s="4" t="s">
        <v>120</v>
      </c>
      <c r="C92" s="4" t="s">
        <v>42</v>
      </c>
      <c r="D92" s="4" t="s">
        <v>144</v>
      </c>
      <c r="E92" s="4" t="s">
        <v>21</v>
      </c>
      <c r="F92" s="5" t="n">
        <v>30820.83</v>
      </c>
      <c r="G92" s="6" t="n">
        <v>0.05</v>
      </c>
      <c r="H92" s="5" t="n">
        <v>1541.04</v>
      </c>
      <c r="I92" s="5" t="n">
        <v>32361.87</v>
      </c>
    </row>
    <row r="93" customFormat="false" ht="15" hidden="false" customHeight="false" outlineLevel="0" collapsed="false">
      <c r="A93" s="4" t="s">
        <v>165</v>
      </c>
      <c r="B93" s="4" t="s">
        <v>120</v>
      </c>
      <c r="C93" s="4" t="s">
        <v>95</v>
      </c>
      <c r="D93" s="4" t="s">
        <v>127</v>
      </c>
      <c r="E93" s="4" t="s">
        <v>21</v>
      </c>
      <c r="F93" s="5" t="n">
        <v>30511.08</v>
      </c>
      <c r="G93" s="6" t="n">
        <v>0.05</v>
      </c>
      <c r="H93" s="5" t="n">
        <v>1525.55</v>
      </c>
      <c r="I93" s="5" t="n">
        <v>32036.63</v>
      </c>
    </row>
    <row r="94" customFormat="false" ht="15" hidden="false" customHeight="false" outlineLevel="0" collapsed="false">
      <c r="A94" s="4" t="s">
        <v>166</v>
      </c>
      <c r="B94" s="4" t="s">
        <v>120</v>
      </c>
      <c r="C94" s="4" t="s">
        <v>33</v>
      </c>
      <c r="D94" s="4" t="s">
        <v>130</v>
      </c>
      <c r="E94" s="4" t="s">
        <v>21</v>
      </c>
      <c r="F94" s="5" t="n">
        <v>15712.82</v>
      </c>
      <c r="G94" s="6" t="n">
        <v>0.05</v>
      </c>
      <c r="H94" s="5" t="n">
        <v>785.64</v>
      </c>
      <c r="I94" s="5" t="n">
        <v>16498.46</v>
      </c>
    </row>
    <row r="95" customFormat="false" ht="15" hidden="false" customHeight="false" outlineLevel="0" collapsed="false">
      <c r="A95" s="4" t="s">
        <v>167</v>
      </c>
      <c r="B95" s="4" t="s">
        <v>120</v>
      </c>
      <c r="C95" s="4" t="s">
        <v>95</v>
      </c>
      <c r="D95" s="4" t="s">
        <v>155</v>
      </c>
      <c r="E95" s="4" t="s">
        <v>21</v>
      </c>
      <c r="F95" s="5" t="n">
        <v>11930.21</v>
      </c>
      <c r="G95" s="6" t="n">
        <v>0.05</v>
      </c>
      <c r="H95" s="5" t="n">
        <v>596.51</v>
      </c>
      <c r="I95" s="5" t="n">
        <v>12526.72</v>
      </c>
    </row>
    <row r="96" customFormat="false" ht="15" hidden="false" customHeight="false" outlineLevel="0" collapsed="false">
      <c r="A96" s="4" t="s">
        <v>168</v>
      </c>
      <c r="B96" s="4" t="s">
        <v>120</v>
      </c>
      <c r="C96" s="4" t="s">
        <v>19</v>
      </c>
      <c r="D96" s="4" t="s">
        <v>149</v>
      </c>
      <c r="E96" s="4" t="s">
        <v>21</v>
      </c>
      <c r="F96" s="5" t="n">
        <v>27829.76</v>
      </c>
      <c r="G96" s="6" t="n">
        <v>0.05</v>
      </c>
      <c r="H96" s="5" t="n">
        <v>1391.49</v>
      </c>
      <c r="I96" s="5" t="n">
        <v>29221.25</v>
      </c>
    </row>
    <row r="97" customFormat="false" ht="15" hidden="false" customHeight="false" outlineLevel="0" collapsed="false">
      <c r="A97" s="4" t="s">
        <v>169</v>
      </c>
      <c r="B97" s="4" t="s">
        <v>120</v>
      </c>
      <c r="C97" s="4" t="s">
        <v>33</v>
      </c>
      <c r="D97" s="4" t="s">
        <v>155</v>
      </c>
      <c r="E97" s="4" t="s">
        <v>21</v>
      </c>
      <c r="F97" s="5" t="n">
        <v>36540.42</v>
      </c>
      <c r="G97" s="6" t="n">
        <v>0.05</v>
      </c>
      <c r="H97" s="5" t="n">
        <v>1827.02</v>
      </c>
      <c r="I97" s="5" t="n">
        <v>38367.44</v>
      </c>
    </row>
    <row r="98" customFormat="false" ht="15" hidden="false" customHeight="false" outlineLevel="0" collapsed="false">
      <c r="A98" s="4" t="s">
        <v>170</v>
      </c>
      <c r="B98" s="4" t="s">
        <v>120</v>
      </c>
      <c r="C98" s="4" t="s">
        <v>44</v>
      </c>
      <c r="D98" s="4" t="s">
        <v>121</v>
      </c>
      <c r="E98" s="4" t="s">
        <v>21</v>
      </c>
      <c r="F98" s="5" t="n">
        <v>5961.73</v>
      </c>
      <c r="G98" s="6" t="n">
        <v>0.05</v>
      </c>
      <c r="H98" s="5" t="n">
        <v>298.09</v>
      </c>
      <c r="I98" s="5" t="n">
        <v>6259.82</v>
      </c>
    </row>
    <row r="99" customFormat="false" ht="15" hidden="false" customHeight="false" outlineLevel="0" collapsed="false">
      <c r="A99" s="4" t="s">
        <v>171</v>
      </c>
      <c r="B99" s="4" t="s">
        <v>120</v>
      </c>
      <c r="C99" s="4" t="s">
        <v>65</v>
      </c>
      <c r="D99" s="4" t="s">
        <v>130</v>
      </c>
      <c r="E99" s="4" t="s">
        <v>21</v>
      </c>
      <c r="F99" s="5" t="n">
        <v>32866.64</v>
      </c>
      <c r="G99" s="6" t="n">
        <v>0.05</v>
      </c>
      <c r="H99" s="5" t="n">
        <v>1643.33</v>
      </c>
      <c r="I99" s="5" t="n">
        <v>34509.97</v>
      </c>
    </row>
    <row r="100" customFormat="false" ht="15" hidden="false" customHeight="false" outlineLevel="0" collapsed="false">
      <c r="A100" s="4" t="s">
        <v>172</v>
      </c>
      <c r="B100" s="4" t="s">
        <v>120</v>
      </c>
      <c r="C100" s="4" t="s">
        <v>52</v>
      </c>
      <c r="D100" s="4" t="s">
        <v>144</v>
      </c>
      <c r="E100" s="4" t="s">
        <v>21</v>
      </c>
      <c r="F100" s="5" t="n">
        <v>28759.26</v>
      </c>
      <c r="G100" s="6" t="n">
        <v>0.05</v>
      </c>
      <c r="H100" s="5" t="n">
        <v>1437.96</v>
      </c>
      <c r="I100" s="5" t="n">
        <v>30197.22</v>
      </c>
    </row>
    <row r="101" customFormat="false" ht="15" hidden="false" customHeight="false" outlineLevel="0" collapsed="false">
      <c r="A101" s="4" t="s">
        <v>173</v>
      </c>
      <c r="B101" s="4" t="s">
        <v>18</v>
      </c>
      <c r="C101" s="4" t="s">
        <v>174</v>
      </c>
      <c r="D101" s="4" t="s">
        <v>27</v>
      </c>
      <c r="E101" s="4" t="s">
        <v>21</v>
      </c>
      <c r="F101" s="5" t="n">
        <v>19543.73</v>
      </c>
      <c r="G101" s="6" t="n">
        <v>0.05</v>
      </c>
      <c r="H101" s="5" t="n">
        <v>977.19</v>
      </c>
      <c r="I101" s="5" t="n">
        <v>20520.92</v>
      </c>
    </row>
    <row r="102" customFormat="false" ht="15" hidden="false" customHeight="false" outlineLevel="0" collapsed="false">
      <c r="A102" s="4" t="s">
        <v>175</v>
      </c>
      <c r="B102" s="4" t="s">
        <v>18</v>
      </c>
      <c r="C102" s="4" t="s">
        <v>176</v>
      </c>
      <c r="D102" s="4" t="s">
        <v>34</v>
      </c>
      <c r="E102" s="4" t="s">
        <v>21</v>
      </c>
      <c r="F102" s="5" t="n">
        <v>9041.6</v>
      </c>
      <c r="G102" s="6" t="n">
        <v>0.05</v>
      </c>
      <c r="H102" s="5" t="n">
        <v>452.08</v>
      </c>
      <c r="I102" s="5" t="n">
        <v>9493.68</v>
      </c>
    </row>
    <row r="103" customFormat="false" ht="15" hidden="false" customHeight="false" outlineLevel="0" collapsed="false">
      <c r="A103" s="4" t="s">
        <v>177</v>
      </c>
      <c r="B103" s="4" t="s">
        <v>18</v>
      </c>
      <c r="C103" s="4" t="s">
        <v>176</v>
      </c>
      <c r="D103" s="4" t="s">
        <v>62</v>
      </c>
      <c r="E103" s="4" t="s">
        <v>21</v>
      </c>
      <c r="F103" s="5" t="n">
        <v>30604.27</v>
      </c>
      <c r="G103" s="6" t="n">
        <v>0.05</v>
      </c>
      <c r="H103" s="5" t="n">
        <v>1530.21</v>
      </c>
      <c r="I103" s="5" t="n">
        <v>32134.48</v>
      </c>
    </row>
    <row r="104" customFormat="false" ht="15" hidden="false" customHeight="false" outlineLevel="0" collapsed="false">
      <c r="A104" s="4" t="s">
        <v>178</v>
      </c>
      <c r="B104" s="4" t="s">
        <v>18</v>
      </c>
      <c r="C104" s="4" t="s">
        <v>179</v>
      </c>
      <c r="D104" s="4" t="s">
        <v>62</v>
      </c>
      <c r="E104" s="4" t="s">
        <v>21</v>
      </c>
      <c r="F104" s="5" t="n">
        <v>22351.35</v>
      </c>
      <c r="G104" s="6" t="n">
        <v>0.05</v>
      </c>
      <c r="H104" s="5" t="n">
        <v>1117.57</v>
      </c>
      <c r="I104" s="5" t="n">
        <v>23468.92</v>
      </c>
    </row>
    <row r="105" customFormat="false" ht="15" hidden="false" customHeight="false" outlineLevel="0" collapsed="false">
      <c r="A105" s="4" t="s">
        <v>180</v>
      </c>
      <c r="B105" s="4" t="s">
        <v>18</v>
      </c>
      <c r="C105" s="4" t="s">
        <v>181</v>
      </c>
      <c r="D105" s="4" t="s">
        <v>78</v>
      </c>
      <c r="E105" s="4" t="s">
        <v>28</v>
      </c>
      <c r="F105" s="5" t="n">
        <v>90663.59</v>
      </c>
      <c r="G105" s="6" t="n">
        <v>0</v>
      </c>
      <c r="H105" s="5" t="n">
        <v>0</v>
      </c>
      <c r="I105" s="5" t="n">
        <v>90663.59</v>
      </c>
    </row>
    <row r="106" customFormat="false" ht="15" hidden="false" customHeight="false" outlineLevel="0" collapsed="false">
      <c r="A106" s="4" t="s">
        <v>182</v>
      </c>
      <c r="B106" s="4" t="s">
        <v>18</v>
      </c>
      <c r="C106" s="4" t="s">
        <v>183</v>
      </c>
      <c r="D106" s="4" t="s">
        <v>62</v>
      </c>
      <c r="E106" s="4" t="s">
        <v>21</v>
      </c>
      <c r="F106" s="5" t="n">
        <v>66680.3</v>
      </c>
      <c r="G106" s="6" t="n">
        <v>0.05</v>
      </c>
      <c r="H106" s="5" t="n">
        <v>3334.02</v>
      </c>
      <c r="I106" s="5" t="n">
        <v>70014.32</v>
      </c>
    </row>
    <row r="107" customFormat="false" ht="15" hidden="false" customHeight="false" outlineLevel="0" collapsed="false">
      <c r="A107" s="4" t="s">
        <v>184</v>
      </c>
      <c r="B107" s="4" t="s">
        <v>18</v>
      </c>
      <c r="C107" s="4" t="s">
        <v>185</v>
      </c>
      <c r="D107" s="4" t="s">
        <v>24</v>
      </c>
      <c r="E107" s="4" t="s">
        <v>28</v>
      </c>
      <c r="F107" s="5" t="n">
        <v>68356.82</v>
      </c>
      <c r="G107" s="6" t="n">
        <v>0</v>
      </c>
      <c r="H107" s="5" t="n">
        <v>0</v>
      </c>
      <c r="I107" s="5" t="n">
        <v>68356.82</v>
      </c>
    </row>
    <row r="108" customFormat="false" ht="15" hidden="false" customHeight="false" outlineLevel="0" collapsed="false">
      <c r="A108" s="4" t="s">
        <v>186</v>
      </c>
      <c r="B108" s="4" t="s">
        <v>18</v>
      </c>
      <c r="C108" s="4" t="s">
        <v>187</v>
      </c>
      <c r="D108" s="4" t="s">
        <v>24</v>
      </c>
      <c r="E108" s="4" t="s">
        <v>21</v>
      </c>
      <c r="F108" s="5" t="n">
        <v>76401.51</v>
      </c>
      <c r="G108" s="6" t="n">
        <v>0.05</v>
      </c>
      <c r="H108" s="5" t="n">
        <v>3820.08</v>
      </c>
      <c r="I108" s="5" t="n">
        <v>80221.59</v>
      </c>
    </row>
    <row r="109" customFormat="false" ht="15" hidden="false" customHeight="false" outlineLevel="0" collapsed="false">
      <c r="A109" s="4" t="s">
        <v>188</v>
      </c>
      <c r="B109" s="4" t="s">
        <v>18</v>
      </c>
      <c r="C109" s="4" t="s">
        <v>189</v>
      </c>
      <c r="D109" s="4" t="s">
        <v>27</v>
      </c>
      <c r="E109" s="4" t="s">
        <v>21</v>
      </c>
      <c r="F109" s="5" t="n">
        <v>44534.51</v>
      </c>
      <c r="G109" s="6" t="n">
        <v>0.05</v>
      </c>
      <c r="H109" s="5" t="n">
        <v>2226.73</v>
      </c>
      <c r="I109" s="5" t="n">
        <v>46761.24</v>
      </c>
    </row>
    <row r="110" customFormat="false" ht="15" hidden="false" customHeight="false" outlineLevel="0" collapsed="false">
      <c r="A110" s="4" t="s">
        <v>190</v>
      </c>
      <c r="B110" s="4" t="s">
        <v>18</v>
      </c>
      <c r="C110" s="4" t="s">
        <v>191</v>
      </c>
      <c r="D110" s="4" t="s">
        <v>20</v>
      </c>
      <c r="E110" s="4" t="s">
        <v>21</v>
      </c>
      <c r="F110" s="5" t="n">
        <v>16246.98</v>
      </c>
      <c r="G110" s="6" t="n">
        <v>0.05</v>
      </c>
      <c r="H110" s="5" t="n">
        <v>812.35</v>
      </c>
      <c r="I110" s="5" t="n">
        <v>17059.33</v>
      </c>
    </row>
    <row r="111" customFormat="false" ht="15" hidden="false" customHeight="false" outlineLevel="0" collapsed="false">
      <c r="A111" s="4" t="s">
        <v>192</v>
      </c>
      <c r="B111" s="4" t="s">
        <v>18</v>
      </c>
      <c r="C111" s="4" t="s">
        <v>176</v>
      </c>
      <c r="D111" s="4" t="s">
        <v>37</v>
      </c>
      <c r="E111" s="4" t="s">
        <v>21</v>
      </c>
      <c r="F111" s="5" t="n">
        <v>71478.92</v>
      </c>
      <c r="G111" s="6" t="n">
        <v>0.05</v>
      </c>
      <c r="H111" s="5" t="n">
        <v>3573.95</v>
      </c>
      <c r="I111" s="5" t="n">
        <v>75052.87</v>
      </c>
    </row>
    <row r="112" customFormat="false" ht="15" hidden="false" customHeight="false" outlineLevel="0" collapsed="false">
      <c r="A112" s="4" t="s">
        <v>193</v>
      </c>
      <c r="B112" s="4" t="s">
        <v>18</v>
      </c>
      <c r="C112" s="4" t="s">
        <v>189</v>
      </c>
      <c r="D112" s="4" t="s">
        <v>78</v>
      </c>
      <c r="E112" s="4" t="s">
        <v>28</v>
      </c>
      <c r="F112" s="5" t="n">
        <v>68036.23</v>
      </c>
      <c r="G112" s="6" t="n">
        <v>0</v>
      </c>
      <c r="H112" s="5" t="n">
        <v>0</v>
      </c>
      <c r="I112" s="5" t="n">
        <v>68036.23</v>
      </c>
    </row>
    <row r="113" customFormat="false" ht="15" hidden="false" customHeight="false" outlineLevel="0" collapsed="false">
      <c r="A113" s="4" t="s">
        <v>194</v>
      </c>
      <c r="B113" s="4" t="s">
        <v>18</v>
      </c>
      <c r="C113" s="4" t="s">
        <v>195</v>
      </c>
      <c r="D113" s="4" t="s">
        <v>31</v>
      </c>
      <c r="E113" s="4" t="s">
        <v>28</v>
      </c>
      <c r="F113" s="5" t="n">
        <v>4634.03</v>
      </c>
      <c r="G113" s="6" t="n">
        <v>0</v>
      </c>
      <c r="H113" s="5" t="n">
        <v>0</v>
      </c>
      <c r="I113" s="5" t="n">
        <v>4634.03</v>
      </c>
    </row>
    <row r="114" customFormat="false" ht="15" hidden="false" customHeight="false" outlineLevel="0" collapsed="false">
      <c r="A114" s="4" t="s">
        <v>196</v>
      </c>
      <c r="B114" s="4" t="s">
        <v>18</v>
      </c>
      <c r="C114" s="4" t="s">
        <v>191</v>
      </c>
      <c r="D114" s="4" t="s">
        <v>86</v>
      </c>
      <c r="E114" s="4" t="s">
        <v>21</v>
      </c>
      <c r="F114" s="5" t="n">
        <v>55460.16</v>
      </c>
      <c r="G114" s="6" t="n">
        <v>0.05</v>
      </c>
      <c r="H114" s="5" t="n">
        <v>2773.01</v>
      </c>
      <c r="I114" s="5" t="n">
        <v>58233.17</v>
      </c>
    </row>
    <row r="115" customFormat="false" ht="15" hidden="false" customHeight="false" outlineLevel="0" collapsed="false">
      <c r="A115" s="4" t="s">
        <v>197</v>
      </c>
      <c r="B115" s="4" t="s">
        <v>18</v>
      </c>
      <c r="C115" s="4" t="s">
        <v>185</v>
      </c>
      <c r="D115" s="4" t="s">
        <v>70</v>
      </c>
      <c r="E115" s="4" t="s">
        <v>28</v>
      </c>
      <c r="F115" s="5" t="n">
        <v>64907.16</v>
      </c>
      <c r="G115" s="6" t="n">
        <v>0</v>
      </c>
      <c r="H115" s="5" t="n">
        <v>0</v>
      </c>
      <c r="I115" s="5" t="n">
        <v>64907.16</v>
      </c>
    </row>
    <row r="116" customFormat="false" ht="15" hidden="false" customHeight="false" outlineLevel="0" collapsed="false">
      <c r="A116" s="4" t="s">
        <v>198</v>
      </c>
      <c r="B116" s="4" t="s">
        <v>18</v>
      </c>
      <c r="C116" s="4" t="s">
        <v>179</v>
      </c>
      <c r="D116" s="4" t="s">
        <v>70</v>
      </c>
      <c r="E116" s="4" t="s">
        <v>21</v>
      </c>
      <c r="F116" s="5" t="n">
        <v>35886.18</v>
      </c>
      <c r="G116" s="6" t="n">
        <v>0.05</v>
      </c>
      <c r="H116" s="5" t="n">
        <v>1794.31</v>
      </c>
      <c r="I116" s="5" t="n">
        <v>37680.49</v>
      </c>
    </row>
    <row r="117" customFormat="false" ht="15" hidden="false" customHeight="false" outlineLevel="0" collapsed="false">
      <c r="A117" s="4" t="s">
        <v>199</v>
      </c>
      <c r="B117" s="4" t="s">
        <v>18</v>
      </c>
      <c r="C117" s="4" t="s">
        <v>176</v>
      </c>
      <c r="D117" s="4" t="s">
        <v>20</v>
      </c>
      <c r="E117" s="4" t="s">
        <v>21</v>
      </c>
      <c r="F117" s="5" t="n">
        <v>14843.38</v>
      </c>
      <c r="G117" s="6" t="n">
        <v>0.05</v>
      </c>
      <c r="H117" s="5" t="n">
        <v>742.17</v>
      </c>
      <c r="I117" s="5" t="n">
        <v>15585.55</v>
      </c>
    </row>
    <row r="118" customFormat="false" ht="15" hidden="false" customHeight="false" outlineLevel="0" collapsed="false">
      <c r="A118" s="4" t="s">
        <v>200</v>
      </c>
      <c r="B118" s="4" t="s">
        <v>18</v>
      </c>
      <c r="C118" s="4" t="s">
        <v>195</v>
      </c>
      <c r="D118" s="4" t="s">
        <v>20</v>
      </c>
      <c r="E118" s="4" t="s">
        <v>28</v>
      </c>
      <c r="F118" s="5" t="n">
        <v>69867.86</v>
      </c>
      <c r="G118" s="6" t="n">
        <v>0</v>
      </c>
      <c r="H118" s="5" t="n">
        <v>0</v>
      </c>
      <c r="I118" s="5" t="n">
        <v>69867.86</v>
      </c>
    </row>
    <row r="119" customFormat="false" ht="15" hidden="false" customHeight="false" outlineLevel="0" collapsed="false">
      <c r="A119" s="4" t="s">
        <v>201</v>
      </c>
      <c r="B119" s="4" t="s">
        <v>18</v>
      </c>
      <c r="C119" s="4" t="s">
        <v>181</v>
      </c>
      <c r="D119" s="4" t="s">
        <v>20</v>
      </c>
      <c r="E119" s="4" t="s">
        <v>21</v>
      </c>
      <c r="F119" s="5" t="n">
        <v>24642.87</v>
      </c>
      <c r="G119" s="6" t="n">
        <v>0.05</v>
      </c>
      <c r="H119" s="5" t="n">
        <v>1232.14</v>
      </c>
      <c r="I119" s="5" t="n">
        <v>25875.01</v>
      </c>
    </row>
    <row r="120" customFormat="false" ht="15" hidden="false" customHeight="false" outlineLevel="0" collapsed="false">
      <c r="A120" s="4" t="s">
        <v>202</v>
      </c>
      <c r="B120" s="4" t="s">
        <v>18</v>
      </c>
      <c r="C120" s="4" t="s">
        <v>203</v>
      </c>
      <c r="D120" s="4" t="s">
        <v>70</v>
      </c>
      <c r="E120" s="4" t="s">
        <v>28</v>
      </c>
      <c r="F120" s="5" t="n">
        <v>80601.72</v>
      </c>
      <c r="G120" s="6" t="n">
        <v>0</v>
      </c>
      <c r="H120" s="5" t="n">
        <v>0</v>
      </c>
      <c r="I120" s="5" t="n">
        <v>80601.72</v>
      </c>
    </row>
    <row r="121" customFormat="false" ht="15" hidden="false" customHeight="false" outlineLevel="0" collapsed="false">
      <c r="A121" s="4" t="s">
        <v>204</v>
      </c>
      <c r="B121" s="4" t="s">
        <v>18</v>
      </c>
      <c r="C121" s="4" t="s">
        <v>183</v>
      </c>
      <c r="D121" s="4" t="s">
        <v>27</v>
      </c>
      <c r="E121" s="4" t="s">
        <v>46</v>
      </c>
      <c r="F121" s="5" t="n">
        <v>62917.51</v>
      </c>
      <c r="G121" s="6" t="n">
        <v>0</v>
      </c>
      <c r="H121" s="5" t="n">
        <v>0</v>
      </c>
      <c r="I121" s="5" t="n">
        <v>62917.51</v>
      </c>
    </row>
    <row r="122" customFormat="false" ht="15" hidden="false" customHeight="false" outlineLevel="0" collapsed="false">
      <c r="A122" s="4" t="s">
        <v>205</v>
      </c>
      <c r="B122" s="4" t="s">
        <v>18</v>
      </c>
      <c r="C122" s="4" t="s">
        <v>206</v>
      </c>
      <c r="D122" s="4" t="s">
        <v>50</v>
      </c>
      <c r="E122" s="4" t="s">
        <v>28</v>
      </c>
      <c r="F122" s="5" t="n">
        <v>57279.64</v>
      </c>
      <c r="G122" s="6" t="n">
        <v>0</v>
      </c>
      <c r="H122" s="5" t="n">
        <v>0</v>
      </c>
      <c r="I122" s="5" t="n">
        <v>57279.64</v>
      </c>
    </row>
    <row r="123" customFormat="false" ht="15" hidden="false" customHeight="false" outlineLevel="0" collapsed="false">
      <c r="A123" s="4" t="s">
        <v>207</v>
      </c>
      <c r="B123" s="4" t="s">
        <v>18</v>
      </c>
      <c r="C123" s="4" t="s">
        <v>208</v>
      </c>
      <c r="D123" s="4" t="s">
        <v>20</v>
      </c>
      <c r="E123" s="4" t="s">
        <v>46</v>
      </c>
      <c r="F123" s="5" t="n">
        <v>86763.7</v>
      </c>
      <c r="G123" s="6" t="n">
        <v>0</v>
      </c>
      <c r="H123" s="5" t="n">
        <v>0</v>
      </c>
      <c r="I123" s="5" t="n">
        <v>86763.7</v>
      </c>
    </row>
    <row r="124" customFormat="false" ht="15" hidden="false" customHeight="false" outlineLevel="0" collapsed="false">
      <c r="A124" s="4" t="s">
        <v>209</v>
      </c>
      <c r="B124" s="4" t="s">
        <v>18</v>
      </c>
      <c r="C124" s="4" t="s">
        <v>210</v>
      </c>
      <c r="D124" s="4" t="s">
        <v>88</v>
      </c>
      <c r="E124" s="4" t="s">
        <v>21</v>
      </c>
      <c r="F124" s="5" t="n">
        <v>87218.19</v>
      </c>
      <c r="G124" s="6" t="n">
        <v>0.05</v>
      </c>
      <c r="H124" s="5" t="n">
        <v>4360.91</v>
      </c>
      <c r="I124" s="5" t="n">
        <v>91579.1</v>
      </c>
    </row>
    <row r="125" customFormat="false" ht="15" hidden="false" customHeight="false" outlineLevel="0" collapsed="false">
      <c r="A125" s="4" t="s">
        <v>211</v>
      </c>
      <c r="B125" s="4" t="s">
        <v>18</v>
      </c>
      <c r="C125" s="4" t="s">
        <v>183</v>
      </c>
      <c r="D125" s="4" t="s">
        <v>37</v>
      </c>
      <c r="E125" s="4" t="s">
        <v>21</v>
      </c>
      <c r="F125" s="5" t="n">
        <v>43071.42</v>
      </c>
      <c r="G125" s="6" t="n">
        <v>0.05</v>
      </c>
      <c r="H125" s="5" t="n">
        <v>2153.57</v>
      </c>
      <c r="I125" s="5" t="n">
        <v>45224.99</v>
      </c>
    </row>
    <row r="126" customFormat="false" ht="15" hidden="false" customHeight="false" outlineLevel="0" collapsed="false">
      <c r="A126" s="4" t="s">
        <v>212</v>
      </c>
      <c r="B126" s="4" t="s">
        <v>18</v>
      </c>
      <c r="C126" s="4" t="s">
        <v>213</v>
      </c>
      <c r="D126" s="4" t="s">
        <v>50</v>
      </c>
      <c r="E126" s="4" t="s">
        <v>46</v>
      </c>
      <c r="F126" s="5" t="n">
        <v>62779.12</v>
      </c>
      <c r="G126" s="6" t="n">
        <v>0</v>
      </c>
      <c r="H126" s="5" t="n">
        <v>0</v>
      </c>
      <c r="I126" s="5" t="n">
        <v>62779.12</v>
      </c>
    </row>
    <row r="127" customFormat="false" ht="15" hidden="false" customHeight="false" outlineLevel="0" collapsed="false">
      <c r="A127" s="4" t="s">
        <v>214</v>
      </c>
      <c r="B127" s="4" t="s">
        <v>18</v>
      </c>
      <c r="C127" s="4" t="s">
        <v>185</v>
      </c>
      <c r="D127" s="4" t="s">
        <v>27</v>
      </c>
      <c r="E127" s="4" t="s">
        <v>46</v>
      </c>
      <c r="F127" s="5" t="n">
        <v>19003.51</v>
      </c>
      <c r="G127" s="6" t="n">
        <v>0</v>
      </c>
      <c r="H127" s="5" t="n">
        <v>0</v>
      </c>
      <c r="I127" s="5" t="n">
        <v>19003.51</v>
      </c>
    </row>
    <row r="128" customFormat="false" ht="15" hidden="false" customHeight="false" outlineLevel="0" collapsed="false">
      <c r="A128" s="4" t="s">
        <v>215</v>
      </c>
      <c r="B128" s="4" t="s">
        <v>18</v>
      </c>
      <c r="C128" s="4" t="s">
        <v>216</v>
      </c>
      <c r="D128" s="4" t="s">
        <v>62</v>
      </c>
      <c r="E128" s="4" t="s">
        <v>28</v>
      </c>
      <c r="F128" s="5" t="n">
        <v>34416.46</v>
      </c>
      <c r="G128" s="6" t="n">
        <v>0</v>
      </c>
      <c r="H128" s="5" t="n">
        <v>0</v>
      </c>
      <c r="I128" s="5" t="n">
        <v>34416.46</v>
      </c>
    </row>
    <row r="129" customFormat="false" ht="15" hidden="false" customHeight="false" outlineLevel="0" collapsed="false">
      <c r="A129" s="4" t="s">
        <v>217</v>
      </c>
      <c r="B129" s="4" t="s">
        <v>18</v>
      </c>
      <c r="C129" s="4" t="s">
        <v>218</v>
      </c>
      <c r="D129" s="4" t="s">
        <v>27</v>
      </c>
      <c r="E129" s="4" t="s">
        <v>21</v>
      </c>
      <c r="F129" s="5" t="n">
        <v>94537.63</v>
      </c>
      <c r="G129" s="6" t="n">
        <v>0.05</v>
      </c>
      <c r="H129" s="5" t="n">
        <v>4726.88</v>
      </c>
      <c r="I129" s="5" t="n">
        <v>99264.51</v>
      </c>
    </row>
    <row r="130" customFormat="false" ht="15" hidden="false" customHeight="false" outlineLevel="0" collapsed="false">
      <c r="A130" s="4" t="s">
        <v>219</v>
      </c>
      <c r="B130" s="4" t="s">
        <v>18</v>
      </c>
      <c r="C130" s="4" t="s">
        <v>210</v>
      </c>
      <c r="D130" s="4" t="s">
        <v>62</v>
      </c>
      <c r="E130" s="4" t="s">
        <v>21</v>
      </c>
      <c r="F130" s="5" t="n">
        <v>31211.43</v>
      </c>
      <c r="G130" s="6" t="n">
        <v>0.05</v>
      </c>
      <c r="H130" s="5" t="n">
        <v>1560.57</v>
      </c>
      <c r="I130" s="5" t="n">
        <v>32772</v>
      </c>
    </row>
    <row r="131" customFormat="false" ht="15" hidden="false" customHeight="false" outlineLevel="0" collapsed="false">
      <c r="A131" s="4" t="s">
        <v>220</v>
      </c>
      <c r="B131" s="4" t="s">
        <v>18</v>
      </c>
      <c r="C131" s="4" t="s">
        <v>221</v>
      </c>
      <c r="D131" s="4" t="s">
        <v>59</v>
      </c>
      <c r="E131" s="4" t="s">
        <v>21</v>
      </c>
      <c r="F131" s="5" t="n">
        <v>57036.97</v>
      </c>
      <c r="G131" s="6" t="n">
        <v>0.05</v>
      </c>
      <c r="H131" s="5" t="n">
        <v>2851.85</v>
      </c>
      <c r="I131" s="5" t="n">
        <v>59888.82</v>
      </c>
    </row>
    <row r="132" customFormat="false" ht="15" hidden="false" customHeight="false" outlineLevel="0" collapsed="false">
      <c r="A132" s="4" t="s">
        <v>222</v>
      </c>
      <c r="B132" s="4" t="s">
        <v>18</v>
      </c>
      <c r="C132" s="4" t="s">
        <v>213</v>
      </c>
      <c r="D132" s="4" t="s">
        <v>24</v>
      </c>
      <c r="E132" s="4" t="s">
        <v>21</v>
      </c>
      <c r="F132" s="5" t="n">
        <v>35470.26</v>
      </c>
      <c r="G132" s="6" t="n">
        <v>0.05</v>
      </c>
      <c r="H132" s="5" t="n">
        <v>1773.51</v>
      </c>
      <c r="I132" s="5" t="n">
        <v>37243.77</v>
      </c>
    </row>
    <row r="133" customFormat="false" ht="15" hidden="false" customHeight="false" outlineLevel="0" collapsed="false">
      <c r="A133" s="4" t="s">
        <v>223</v>
      </c>
      <c r="B133" s="4" t="s">
        <v>18</v>
      </c>
      <c r="C133" s="4" t="s">
        <v>213</v>
      </c>
      <c r="D133" s="4" t="s">
        <v>88</v>
      </c>
      <c r="E133" s="4" t="s">
        <v>28</v>
      </c>
      <c r="F133" s="5" t="n">
        <v>25633.85</v>
      </c>
      <c r="G133" s="6" t="n">
        <v>0</v>
      </c>
      <c r="H133" s="5" t="n">
        <v>0</v>
      </c>
      <c r="I133" s="5" t="n">
        <v>25633.85</v>
      </c>
    </row>
    <row r="134" customFormat="false" ht="15" hidden="false" customHeight="false" outlineLevel="0" collapsed="false">
      <c r="A134" s="4" t="s">
        <v>224</v>
      </c>
      <c r="B134" s="4" t="s">
        <v>18</v>
      </c>
      <c r="C134" s="4" t="s">
        <v>210</v>
      </c>
      <c r="D134" s="4" t="s">
        <v>20</v>
      </c>
      <c r="E134" s="4" t="s">
        <v>21</v>
      </c>
      <c r="F134" s="5" t="n">
        <v>63435.31</v>
      </c>
      <c r="G134" s="6" t="n">
        <v>0.05</v>
      </c>
      <c r="H134" s="5" t="n">
        <v>3171.77</v>
      </c>
      <c r="I134" s="5" t="n">
        <v>66607.08</v>
      </c>
    </row>
    <row r="135" customFormat="false" ht="15" hidden="false" customHeight="false" outlineLevel="0" collapsed="false">
      <c r="A135" s="4" t="s">
        <v>225</v>
      </c>
      <c r="B135" s="4" t="s">
        <v>18</v>
      </c>
      <c r="C135" s="4" t="s">
        <v>226</v>
      </c>
      <c r="D135" s="4" t="s">
        <v>62</v>
      </c>
      <c r="E135" s="4" t="s">
        <v>28</v>
      </c>
      <c r="F135" s="5" t="n">
        <v>70213.17</v>
      </c>
      <c r="G135" s="6" t="n">
        <v>0</v>
      </c>
      <c r="H135" s="5" t="n">
        <v>0</v>
      </c>
      <c r="I135" s="5" t="n">
        <v>70213.17</v>
      </c>
    </row>
    <row r="136" customFormat="false" ht="15" hidden="false" customHeight="false" outlineLevel="0" collapsed="false">
      <c r="A136" s="4" t="s">
        <v>227</v>
      </c>
      <c r="B136" s="4" t="s">
        <v>18</v>
      </c>
      <c r="C136" s="4" t="s">
        <v>216</v>
      </c>
      <c r="D136" s="4" t="s">
        <v>50</v>
      </c>
      <c r="E136" s="4" t="s">
        <v>21</v>
      </c>
      <c r="F136" s="5" t="n">
        <v>68453.49</v>
      </c>
      <c r="G136" s="6" t="n">
        <v>0.05</v>
      </c>
      <c r="H136" s="5" t="n">
        <v>3422.67</v>
      </c>
      <c r="I136" s="5" t="n">
        <v>71876.16</v>
      </c>
    </row>
    <row r="137" customFormat="false" ht="15" hidden="false" customHeight="false" outlineLevel="0" collapsed="false">
      <c r="A137" s="4" t="s">
        <v>228</v>
      </c>
      <c r="B137" s="4" t="s">
        <v>18</v>
      </c>
      <c r="C137" s="4" t="s">
        <v>229</v>
      </c>
      <c r="D137" s="4" t="s">
        <v>59</v>
      </c>
      <c r="E137" s="4" t="s">
        <v>21</v>
      </c>
      <c r="F137" s="5" t="n">
        <v>84250.03</v>
      </c>
      <c r="G137" s="6" t="n">
        <v>0.05</v>
      </c>
      <c r="H137" s="5" t="n">
        <v>4212.5</v>
      </c>
      <c r="I137" s="5" t="n">
        <v>88462.53</v>
      </c>
    </row>
    <row r="138" customFormat="false" ht="15" hidden="false" customHeight="false" outlineLevel="0" collapsed="false">
      <c r="A138" s="4" t="s">
        <v>230</v>
      </c>
      <c r="B138" s="4" t="s">
        <v>18</v>
      </c>
      <c r="C138" s="4" t="s">
        <v>183</v>
      </c>
      <c r="D138" s="4" t="s">
        <v>27</v>
      </c>
      <c r="E138" s="4" t="s">
        <v>21</v>
      </c>
      <c r="F138" s="5" t="n">
        <v>61817.43</v>
      </c>
      <c r="G138" s="6" t="n">
        <v>0.05</v>
      </c>
      <c r="H138" s="5" t="n">
        <v>3090.87</v>
      </c>
      <c r="I138" s="5" t="n">
        <v>64908.3</v>
      </c>
    </row>
    <row r="139" customFormat="false" ht="15" hidden="false" customHeight="false" outlineLevel="0" collapsed="false">
      <c r="A139" s="4" t="s">
        <v>231</v>
      </c>
      <c r="B139" s="4" t="s">
        <v>18</v>
      </c>
      <c r="C139" s="4" t="s">
        <v>189</v>
      </c>
      <c r="D139" s="4" t="s">
        <v>31</v>
      </c>
      <c r="E139" s="4" t="s">
        <v>21</v>
      </c>
      <c r="F139" s="5" t="n">
        <v>82253.44</v>
      </c>
      <c r="G139" s="6" t="n">
        <v>0.05</v>
      </c>
      <c r="H139" s="5" t="n">
        <v>4112.67</v>
      </c>
      <c r="I139" s="5" t="n">
        <v>86366.11</v>
      </c>
    </row>
    <row r="140" customFormat="false" ht="15" hidden="false" customHeight="false" outlineLevel="0" collapsed="false">
      <c r="A140" s="4" t="s">
        <v>232</v>
      </c>
      <c r="B140" s="4" t="s">
        <v>18</v>
      </c>
      <c r="C140" s="4" t="s">
        <v>221</v>
      </c>
      <c r="D140" s="4" t="s">
        <v>62</v>
      </c>
      <c r="E140" s="4" t="s">
        <v>28</v>
      </c>
      <c r="F140" s="5" t="n">
        <v>51219.17</v>
      </c>
      <c r="G140" s="6" t="n">
        <v>0</v>
      </c>
      <c r="H140" s="5" t="n">
        <v>0</v>
      </c>
      <c r="I140" s="5" t="n">
        <v>51219.17</v>
      </c>
    </row>
    <row r="141" customFormat="false" ht="15" hidden="false" customHeight="false" outlineLevel="0" collapsed="false">
      <c r="A141" s="4" t="s">
        <v>233</v>
      </c>
      <c r="B141" s="4" t="s">
        <v>18</v>
      </c>
      <c r="C141" s="4" t="s">
        <v>234</v>
      </c>
      <c r="D141" s="4" t="s">
        <v>70</v>
      </c>
      <c r="E141" s="4" t="s">
        <v>21</v>
      </c>
      <c r="F141" s="5" t="n">
        <v>36933.19</v>
      </c>
      <c r="G141" s="6" t="n">
        <v>0.05</v>
      </c>
      <c r="H141" s="5" t="n">
        <v>1846.66</v>
      </c>
      <c r="I141" s="5" t="n">
        <v>38779.85</v>
      </c>
    </row>
    <row r="142" customFormat="false" ht="15" hidden="false" customHeight="false" outlineLevel="0" collapsed="false">
      <c r="A142" s="4" t="s">
        <v>235</v>
      </c>
      <c r="B142" s="4" t="s">
        <v>18</v>
      </c>
      <c r="C142" s="4" t="s">
        <v>187</v>
      </c>
      <c r="D142" s="4" t="s">
        <v>78</v>
      </c>
      <c r="E142" s="4" t="s">
        <v>21</v>
      </c>
      <c r="F142" s="5" t="n">
        <v>72494.18</v>
      </c>
      <c r="G142" s="6" t="n">
        <v>0.05</v>
      </c>
      <c r="H142" s="5" t="n">
        <v>3624.71</v>
      </c>
      <c r="I142" s="5" t="n">
        <v>76118.89</v>
      </c>
    </row>
    <row r="143" customFormat="false" ht="15" hidden="false" customHeight="false" outlineLevel="0" collapsed="false">
      <c r="A143" s="4" t="s">
        <v>236</v>
      </c>
      <c r="B143" s="4" t="s">
        <v>18</v>
      </c>
      <c r="C143" s="4" t="s">
        <v>187</v>
      </c>
      <c r="D143" s="4" t="s">
        <v>27</v>
      </c>
      <c r="E143" s="4" t="s">
        <v>21</v>
      </c>
      <c r="F143" s="5" t="n">
        <v>85383.77</v>
      </c>
      <c r="G143" s="6" t="n">
        <v>0.05</v>
      </c>
      <c r="H143" s="5" t="n">
        <v>4269.19</v>
      </c>
      <c r="I143" s="5" t="n">
        <v>89652.96</v>
      </c>
    </row>
    <row r="144" customFormat="false" ht="15" hidden="false" customHeight="false" outlineLevel="0" collapsed="false">
      <c r="A144" s="4" t="s">
        <v>237</v>
      </c>
      <c r="B144" s="4" t="s">
        <v>18</v>
      </c>
      <c r="C144" s="4" t="s">
        <v>189</v>
      </c>
      <c r="D144" s="4" t="s">
        <v>31</v>
      </c>
      <c r="E144" s="4" t="s">
        <v>21</v>
      </c>
      <c r="F144" s="5" t="n">
        <v>79977.52</v>
      </c>
      <c r="G144" s="6" t="n">
        <v>0.05</v>
      </c>
      <c r="H144" s="5" t="n">
        <v>3998.88</v>
      </c>
      <c r="I144" s="5" t="n">
        <v>83976.4</v>
      </c>
    </row>
    <row r="145" customFormat="false" ht="15" hidden="false" customHeight="false" outlineLevel="0" collapsed="false">
      <c r="A145" s="4" t="s">
        <v>238</v>
      </c>
      <c r="B145" s="4" t="s">
        <v>18</v>
      </c>
      <c r="C145" s="4" t="s">
        <v>210</v>
      </c>
      <c r="D145" s="4" t="s">
        <v>62</v>
      </c>
      <c r="E145" s="4" t="s">
        <v>46</v>
      </c>
      <c r="F145" s="5" t="n">
        <v>8265.65</v>
      </c>
      <c r="G145" s="6" t="n">
        <v>0</v>
      </c>
      <c r="H145" s="5" t="n">
        <v>0</v>
      </c>
      <c r="I145" s="5" t="n">
        <v>8265.65</v>
      </c>
    </row>
    <row r="146" customFormat="false" ht="15" hidden="false" customHeight="false" outlineLevel="0" collapsed="false">
      <c r="A146" s="4" t="s">
        <v>239</v>
      </c>
      <c r="B146" s="4" t="s">
        <v>18</v>
      </c>
      <c r="C146" s="4" t="s">
        <v>240</v>
      </c>
      <c r="D146" s="4" t="s">
        <v>34</v>
      </c>
      <c r="E146" s="4" t="s">
        <v>21</v>
      </c>
      <c r="F146" s="5" t="n">
        <v>88456.72</v>
      </c>
      <c r="G146" s="6" t="n">
        <v>0.05</v>
      </c>
      <c r="H146" s="5" t="n">
        <v>4422.84</v>
      </c>
      <c r="I146" s="5" t="n">
        <v>92879.56</v>
      </c>
    </row>
    <row r="147" customFormat="false" ht="15" hidden="false" customHeight="false" outlineLevel="0" collapsed="false">
      <c r="A147" s="4" t="s">
        <v>241</v>
      </c>
      <c r="B147" s="4" t="s">
        <v>18</v>
      </c>
      <c r="C147" s="4" t="s">
        <v>191</v>
      </c>
      <c r="D147" s="4" t="s">
        <v>86</v>
      </c>
      <c r="E147" s="4" t="s">
        <v>21</v>
      </c>
      <c r="F147" s="5" t="n">
        <v>15407.86</v>
      </c>
      <c r="G147" s="6" t="n">
        <v>0.05</v>
      </c>
      <c r="H147" s="5" t="n">
        <v>770.39</v>
      </c>
      <c r="I147" s="5" t="n">
        <v>16178.25</v>
      </c>
    </row>
    <row r="148" customFormat="false" ht="15" hidden="false" customHeight="false" outlineLevel="0" collapsed="false">
      <c r="A148" s="4" t="s">
        <v>242</v>
      </c>
      <c r="B148" s="4" t="s">
        <v>18</v>
      </c>
      <c r="C148" s="4" t="s">
        <v>240</v>
      </c>
      <c r="D148" s="4" t="s">
        <v>70</v>
      </c>
      <c r="E148" s="4" t="s">
        <v>21</v>
      </c>
      <c r="F148" s="5" t="n">
        <v>91451.8</v>
      </c>
      <c r="G148" s="6" t="n">
        <v>0.05</v>
      </c>
      <c r="H148" s="5" t="n">
        <v>4572.59</v>
      </c>
      <c r="I148" s="5" t="n">
        <v>96024.39</v>
      </c>
    </row>
    <row r="149" customFormat="false" ht="15" hidden="false" customHeight="false" outlineLevel="0" collapsed="false">
      <c r="A149" s="4" t="s">
        <v>243</v>
      </c>
      <c r="B149" s="4" t="s">
        <v>18</v>
      </c>
      <c r="C149" s="4" t="s">
        <v>185</v>
      </c>
      <c r="D149" s="4" t="s">
        <v>86</v>
      </c>
      <c r="E149" s="4" t="s">
        <v>21</v>
      </c>
      <c r="F149" s="5" t="n">
        <v>55653.8</v>
      </c>
      <c r="G149" s="6" t="n">
        <v>0.05</v>
      </c>
      <c r="H149" s="5" t="n">
        <v>2782.69</v>
      </c>
      <c r="I149" s="5" t="n">
        <v>58436.49</v>
      </c>
    </row>
    <row r="150" customFormat="false" ht="15" hidden="false" customHeight="false" outlineLevel="0" collapsed="false">
      <c r="A150" s="4" t="s">
        <v>244</v>
      </c>
      <c r="B150" s="4" t="s">
        <v>18</v>
      </c>
      <c r="C150" s="4" t="s">
        <v>195</v>
      </c>
      <c r="D150" s="4" t="s">
        <v>70</v>
      </c>
      <c r="E150" s="4" t="s">
        <v>21</v>
      </c>
      <c r="F150" s="5" t="n">
        <v>42124.47</v>
      </c>
      <c r="G150" s="6" t="n">
        <v>0.05</v>
      </c>
      <c r="H150" s="5" t="n">
        <v>2106.22</v>
      </c>
      <c r="I150" s="5" t="n">
        <v>44230.69</v>
      </c>
    </row>
    <row r="151" customFormat="false" ht="15" hidden="false" customHeight="false" outlineLevel="0" collapsed="false">
      <c r="A151" s="4" t="s">
        <v>245</v>
      </c>
      <c r="B151" s="4" t="s">
        <v>18</v>
      </c>
      <c r="C151" s="4" t="s">
        <v>181</v>
      </c>
      <c r="D151" s="4" t="s">
        <v>59</v>
      </c>
      <c r="E151" s="4" t="s">
        <v>21</v>
      </c>
      <c r="F151" s="5" t="n">
        <v>47487.29</v>
      </c>
      <c r="G151" s="6" t="n">
        <v>0.05</v>
      </c>
      <c r="H151" s="5" t="n">
        <v>2374.36</v>
      </c>
      <c r="I151" s="5" t="n">
        <v>49861.65</v>
      </c>
    </row>
    <row r="152" customFormat="false" ht="15" hidden="false" customHeight="false" outlineLevel="0" collapsed="false">
      <c r="A152" s="4" t="s">
        <v>246</v>
      </c>
      <c r="B152" s="4" t="s">
        <v>18</v>
      </c>
      <c r="C152" s="4" t="s">
        <v>247</v>
      </c>
      <c r="D152" s="4" t="s">
        <v>27</v>
      </c>
      <c r="E152" s="4" t="s">
        <v>21</v>
      </c>
      <c r="F152" s="5" t="n">
        <v>40902.1</v>
      </c>
      <c r="G152" s="6" t="n">
        <v>0.05</v>
      </c>
      <c r="H152" s="5" t="n">
        <v>2045.11</v>
      </c>
      <c r="I152" s="5" t="n">
        <v>42947.21</v>
      </c>
    </row>
    <row r="153" customFormat="false" ht="15" hidden="false" customHeight="false" outlineLevel="0" collapsed="false">
      <c r="A153" s="4" t="s">
        <v>248</v>
      </c>
      <c r="B153" s="4" t="s">
        <v>18</v>
      </c>
      <c r="C153" s="4" t="s">
        <v>229</v>
      </c>
      <c r="D153" s="4" t="s">
        <v>50</v>
      </c>
      <c r="E153" s="4" t="s">
        <v>21</v>
      </c>
      <c r="F153" s="5" t="n">
        <v>15456.06</v>
      </c>
      <c r="G153" s="6" t="n">
        <v>0.05</v>
      </c>
      <c r="H153" s="5" t="n">
        <v>772.8</v>
      </c>
      <c r="I153" s="5" t="n">
        <v>16228.86</v>
      </c>
    </row>
    <row r="154" customFormat="false" ht="15" hidden="false" customHeight="false" outlineLevel="0" collapsed="false">
      <c r="A154" s="4" t="s">
        <v>249</v>
      </c>
      <c r="B154" s="4" t="s">
        <v>18</v>
      </c>
      <c r="C154" s="4" t="s">
        <v>226</v>
      </c>
      <c r="D154" s="4" t="s">
        <v>70</v>
      </c>
      <c r="E154" s="4" t="s">
        <v>21</v>
      </c>
      <c r="F154" s="5" t="n">
        <v>87978.69</v>
      </c>
      <c r="G154" s="6" t="n">
        <v>0.05</v>
      </c>
      <c r="H154" s="5" t="n">
        <v>4398.93</v>
      </c>
      <c r="I154" s="5" t="n">
        <v>92377.62</v>
      </c>
    </row>
    <row r="155" customFormat="false" ht="15" hidden="false" customHeight="false" outlineLevel="0" collapsed="false">
      <c r="A155" s="4" t="s">
        <v>250</v>
      </c>
      <c r="B155" s="4" t="s">
        <v>18</v>
      </c>
      <c r="C155" s="4" t="s">
        <v>189</v>
      </c>
      <c r="D155" s="4" t="s">
        <v>24</v>
      </c>
      <c r="E155" s="4" t="s">
        <v>46</v>
      </c>
      <c r="F155" s="5" t="n">
        <v>25014.53</v>
      </c>
      <c r="G155" s="6" t="n">
        <v>0</v>
      </c>
      <c r="H155" s="5" t="n">
        <v>0</v>
      </c>
      <c r="I155" s="5" t="n">
        <v>25014.53</v>
      </c>
    </row>
    <row r="156" customFormat="false" ht="15" hidden="false" customHeight="false" outlineLevel="0" collapsed="false">
      <c r="A156" s="4" t="s">
        <v>251</v>
      </c>
      <c r="B156" s="4" t="s">
        <v>18</v>
      </c>
      <c r="C156" s="4" t="s">
        <v>229</v>
      </c>
      <c r="D156" s="4" t="s">
        <v>50</v>
      </c>
      <c r="E156" s="4" t="s">
        <v>21</v>
      </c>
      <c r="F156" s="5" t="n">
        <v>69322.75</v>
      </c>
      <c r="G156" s="6" t="n">
        <v>0.05</v>
      </c>
      <c r="H156" s="5" t="n">
        <v>3466.14</v>
      </c>
      <c r="I156" s="5" t="n">
        <v>72788.89</v>
      </c>
    </row>
    <row r="157" customFormat="false" ht="15" hidden="false" customHeight="false" outlineLevel="0" collapsed="false">
      <c r="A157" s="4" t="s">
        <v>252</v>
      </c>
      <c r="B157" s="4" t="s">
        <v>18</v>
      </c>
      <c r="C157" s="4" t="s">
        <v>253</v>
      </c>
      <c r="D157" s="4" t="s">
        <v>62</v>
      </c>
      <c r="E157" s="4" t="s">
        <v>21</v>
      </c>
      <c r="F157" s="5" t="n">
        <v>87025.74</v>
      </c>
      <c r="G157" s="6" t="n">
        <v>0.05</v>
      </c>
      <c r="H157" s="5" t="n">
        <v>4351.29</v>
      </c>
      <c r="I157" s="5" t="n">
        <v>91377.03</v>
      </c>
    </row>
    <row r="158" customFormat="false" ht="15" hidden="false" customHeight="false" outlineLevel="0" collapsed="false">
      <c r="A158" s="4" t="s">
        <v>254</v>
      </c>
      <c r="B158" s="4" t="s">
        <v>18</v>
      </c>
      <c r="C158" s="4" t="s">
        <v>234</v>
      </c>
      <c r="D158" s="4" t="s">
        <v>78</v>
      </c>
      <c r="E158" s="4" t="s">
        <v>21</v>
      </c>
      <c r="F158" s="5" t="n">
        <v>46475.25</v>
      </c>
      <c r="G158" s="6" t="n">
        <v>0.05</v>
      </c>
      <c r="H158" s="5" t="n">
        <v>2323.76</v>
      </c>
      <c r="I158" s="5" t="n">
        <v>48799.01</v>
      </c>
    </row>
    <row r="159" customFormat="false" ht="15" hidden="false" customHeight="false" outlineLevel="0" collapsed="false">
      <c r="A159" s="4" t="s">
        <v>255</v>
      </c>
      <c r="B159" s="4" t="s">
        <v>18</v>
      </c>
      <c r="C159" s="4" t="s">
        <v>221</v>
      </c>
      <c r="D159" s="4" t="s">
        <v>56</v>
      </c>
      <c r="E159" s="4" t="s">
        <v>21</v>
      </c>
      <c r="F159" s="5" t="n">
        <v>72444.93</v>
      </c>
      <c r="G159" s="6" t="n">
        <v>0.05</v>
      </c>
      <c r="H159" s="5" t="n">
        <v>3622.25</v>
      </c>
      <c r="I159" s="5" t="n">
        <v>76067.18</v>
      </c>
    </row>
    <row r="160" customFormat="false" ht="15" hidden="false" customHeight="false" outlineLevel="0" collapsed="false">
      <c r="A160" s="4" t="s">
        <v>256</v>
      </c>
      <c r="B160" s="4" t="s">
        <v>18</v>
      </c>
      <c r="C160" s="4" t="s">
        <v>213</v>
      </c>
      <c r="D160" s="4" t="s">
        <v>45</v>
      </c>
      <c r="E160" s="4" t="s">
        <v>21</v>
      </c>
      <c r="F160" s="5" t="n">
        <v>40036.18</v>
      </c>
      <c r="G160" s="6" t="n">
        <v>0.05</v>
      </c>
      <c r="H160" s="5" t="n">
        <v>2001.81</v>
      </c>
      <c r="I160" s="5" t="n">
        <v>42037.99</v>
      </c>
    </row>
    <row r="161" customFormat="false" ht="15" hidden="false" customHeight="false" outlineLevel="0" collapsed="false">
      <c r="A161" s="4" t="s">
        <v>257</v>
      </c>
      <c r="B161" s="4" t="s">
        <v>18</v>
      </c>
      <c r="C161" s="4" t="s">
        <v>208</v>
      </c>
      <c r="D161" s="4" t="s">
        <v>27</v>
      </c>
      <c r="E161" s="4" t="s">
        <v>28</v>
      </c>
      <c r="F161" s="5" t="n">
        <v>91360.15</v>
      </c>
      <c r="G161" s="6" t="n">
        <v>0</v>
      </c>
      <c r="H161" s="5" t="n">
        <v>0</v>
      </c>
      <c r="I161" s="5" t="n">
        <v>91360.15</v>
      </c>
    </row>
    <row r="162" customFormat="false" ht="15" hidden="false" customHeight="false" outlineLevel="0" collapsed="false">
      <c r="A162" s="4" t="s">
        <v>258</v>
      </c>
      <c r="B162" s="4" t="s">
        <v>18</v>
      </c>
      <c r="C162" s="4" t="s">
        <v>185</v>
      </c>
      <c r="D162" s="4" t="s">
        <v>24</v>
      </c>
      <c r="E162" s="4" t="s">
        <v>46</v>
      </c>
      <c r="F162" s="5" t="n">
        <v>92238.92</v>
      </c>
      <c r="G162" s="6" t="n">
        <v>0</v>
      </c>
      <c r="H162" s="5" t="n">
        <v>0</v>
      </c>
      <c r="I162" s="5" t="n">
        <v>92238.92</v>
      </c>
    </row>
    <row r="163" customFormat="false" ht="15" hidden="false" customHeight="false" outlineLevel="0" collapsed="false">
      <c r="A163" s="4" t="s">
        <v>259</v>
      </c>
      <c r="B163" s="4" t="s">
        <v>18</v>
      </c>
      <c r="C163" s="4" t="s">
        <v>206</v>
      </c>
      <c r="D163" s="4" t="s">
        <v>62</v>
      </c>
      <c r="E163" s="4" t="s">
        <v>21</v>
      </c>
      <c r="F163" s="5" t="n">
        <v>61706.23</v>
      </c>
      <c r="G163" s="6" t="n">
        <v>0.05</v>
      </c>
      <c r="H163" s="5" t="n">
        <v>3085.31</v>
      </c>
      <c r="I163" s="5" t="n">
        <v>64791.54</v>
      </c>
    </row>
    <row r="164" customFormat="false" ht="15" hidden="false" customHeight="false" outlineLevel="0" collapsed="false">
      <c r="A164" s="4" t="s">
        <v>260</v>
      </c>
      <c r="B164" s="4" t="s">
        <v>18</v>
      </c>
      <c r="C164" s="4" t="s">
        <v>210</v>
      </c>
      <c r="D164" s="4" t="s">
        <v>27</v>
      </c>
      <c r="E164" s="4" t="s">
        <v>21</v>
      </c>
      <c r="F164" s="5" t="n">
        <v>87574.98</v>
      </c>
      <c r="G164" s="6" t="n">
        <v>0.05</v>
      </c>
      <c r="H164" s="5" t="n">
        <v>4378.75</v>
      </c>
      <c r="I164" s="5" t="n">
        <v>91953.73</v>
      </c>
    </row>
    <row r="165" customFormat="false" ht="15" hidden="false" customHeight="false" outlineLevel="0" collapsed="false">
      <c r="A165" s="4" t="s">
        <v>261</v>
      </c>
      <c r="B165" s="4" t="s">
        <v>18</v>
      </c>
      <c r="C165" s="4" t="s">
        <v>189</v>
      </c>
      <c r="D165" s="4" t="s">
        <v>34</v>
      </c>
      <c r="E165" s="4" t="s">
        <v>21</v>
      </c>
      <c r="F165" s="5" t="n">
        <v>93079.12</v>
      </c>
      <c r="G165" s="6" t="n">
        <v>0.05</v>
      </c>
      <c r="H165" s="5" t="n">
        <v>4653.96</v>
      </c>
      <c r="I165" s="5" t="n">
        <v>97733.08</v>
      </c>
    </row>
    <row r="166" customFormat="false" ht="15" hidden="false" customHeight="false" outlineLevel="0" collapsed="false">
      <c r="A166" s="4" t="s">
        <v>262</v>
      </c>
      <c r="B166" s="4" t="s">
        <v>120</v>
      </c>
      <c r="C166" s="4" t="s">
        <v>221</v>
      </c>
      <c r="D166" s="4" t="s">
        <v>123</v>
      </c>
      <c r="E166" s="4" t="s">
        <v>28</v>
      </c>
      <c r="F166" s="5" t="n">
        <v>33746.79</v>
      </c>
      <c r="G166" s="6" t="n">
        <v>0</v>
      </c>
      <c r="H166" s="5" t="n">
        <v>0</v>
      </c>
      <c r="I166" s="5" t="n">
        <v>33746.79</v>
      </c>
    </row>
    <row r="167" customFormat="false" ht="15" hidden="false" customHeight="false" outlineLevel="0" collapsed="false">
      <c r="A167" s="4" t="s">
        <v>263</v>
      </c>
      <c r="B167" s="4" t="s">
        <v>120</v>
      </c>
      <c r="C167" s="4" t="s">
        <v>226</v>
      </c>
      <c r="D167" s="4" t="s">
        <v>144</v>
      </c>
      <c r="E167" s="4" t="s">
        <v>46</v>
      </c>
      <c r="F167" s="5" t="n">
        <v>22856.22</v>
      </c>
      <c r="G167" s="6" t="n">
        <v>0</v>
      </c>
      <c r="H167" s="5" t="n">
        <v>0</v>
      </c>
      <c r="I167" s="5" t="n">
        <v>22856.22</v>
      </c>
    </row>
    <row r="168" customFormat="false" ht="15" hidden="false" customHeight="false" outlineLevel="0" collapsed="false">
      <c r="A168" s="4" t="s">
        <v>264</v>
      </c>
      <c r="B168" s="4" t="s">
        <v>120</v>
      </c>
      <c r="C168" s="4" t="s">
        <v>265</v>
      </c>
      <c r="D168" s="4" t="s">
        <v>130</v>
      </c>
      <c r="E168" s="4" t="s">
        <v>46</v>
      </c>
      <c r="F168" s="5" t="n">
        <v>17816.14</v>
      </c>
      <c r="G168" s="6" t="n">
        <v>0</v>
      </c>
      <c r="H168" s="5" t="n">
        <v>0</v>
      </c>
      <c r="I168" s="5" t="n">
        <v>17816.14</v>
      </c>
    </row>
    <row r="169" customFormat="false" ht="15" hidden="false" customHeight="false" outlineLevel="0" collapsed="false">
      <c r="A169" s="4" t="s">
        <v>266</v>
      </c>
      <c r="B169" s="4" t="s">
        <v>120</v>
      </c>
      <c r="C169" s="4" t="s">
        <v>213</v>
      </c>
      <c r="D169" s="4" t="s">
        <v>146</v>
      </c>
      <c r="E169" s="4" t="s">
        <v>28</v>
      </c>
      <c r="F169" s="5" t="n">
        <v>33585.89</v>
      </c>
      <c r="G169" s="6" t="n">
        <v>0</v>
      </c>
      <c r="H169" s="5" t="n">
        <v>0</v>
      </c>
      <c r="I169" s="5" t="n">
        <v>33585.89</v>
      </c>
    </row>
    <row r="170" customFormat="false" ht="15" hidden="false" customHeight="false" outlineLevel="0" collapsed="false">
      <c r="A170" s="4" t="s">
        <v>267</v>
      </c>
      <c r="B170" s="4" t="s">
        <v>120</v>
      </c>
      <c r="C170" s="4" t="s">
        <v>185</v>
      </c>
      <c r="D170" s="4" t="s">
        <v>130</v>
      </c>
      <c r="E170" s="4" t="s">
        <v>21</v>
      </c>
      <c r="F170" s="5" t="n">
        <v>36316.35</v>
      </c>
      <c r="G170" s="6" t="n">
        <v>0.05</v>
      </c>
      <c r="H170" s="5" t="n">
        <v>1815.82</v>
      </c>
      <c r="I170" s="5" t="n">
        <v>38132.17</v>
      </c>
    </row>
    <row r="171" customFormat="false" ht="15" hidden="false" customHeight="false" outlineLevel="0" collapsed="false">
      <c r="A171" s="4" t="s">
        <v>268</v>
      </c>
      <c r="B171" s="4" t="s">
        <v>120</v>
      </c>
      <c r="C171" s="4" t="s">
        <v>221</v>
      </c>
      <c r="D171" s="4" t="s">
        <v>144</v>
      </c>
      <c r="E171" s="4" t="s">
        <v>21</v>
      </c>
      <c r="F171" s="5" t="n">
        <v>18397.96</v>
      </c>
      <c r="G171" s="6" t="n">
        <v>0.05</v>
      </c>
      <c r="H171" s="5" t="n">
        <v>919.9</v>
      </c>
      <c r="I171" s="5" t="n">
        <v>19317.86</v>
      </c>
    </row>
    <row r="172" customFormat="false" ht="15" hidden="false" customHeight="false" outlineLevel="0" collapsed="false">
      <c r="A172" s="4" t="s">
        <v>269</v>
      </c>
      <c r="B172" s="4" t="s">
        <v>120</v>
      </c>
      <c r="C172" s="4" t="s">
        <v>226</v>
      </c>
      <c r="D172" s="4" t="s">
        <v>123</v>
      </c>
      <c r="E172" s="4" t="s">
        <v>28</v>
      </c>
      <c r="F172" s="5" t="n">
        <v>30736.65</v>
      </c>
      <c r="G172" s="6" t="n">
        <v>0</v>
      </c>
      <c r="H172" s="5" t="n">
        <v>0</v>
      </c>
      <c r="I172" s="5" t="n">
        <v>30736.65</v>
      </c>
    </row>
    <row r="173" customFormat="false" ht="15" hidden="false" customHeight="false" outlineLevel="0" collapsed="false">
      <c r="A173" s="4" t="s">
        <v>270</v>
      </c>
      <c r="B173" s="4" t="s">
        <v>120</v>
      </c>
      <c r="C173" s="4" t="s">
        <v>271</v>
      </c>
      <c r="D173" s="4" t="s">
        <v>121</v>
      </c>
      <c r="E173" s="4" t="s">
        <v>21</v>
      </c>
      <c r="F173" s="5" t="n">
        <v>939.81</v>
      </c>
      <c r="G173" s="6" t="n">
        <v>0.05</v>
      </c>
      <c r="H173" s="5" t="n">
        <v>46.99</v>
      </c>
      <c r="I173" s="5" t="n">
        <v>986.8</v>
      </c>
    </row>
    <row r="174" customFormat="false" ht="15" hidden="false" customHeight="false" outlineLevel="0" collapsed="false">
      <c r="A174" s="4" t="s">
        <v>272</v>
      </c>
      <c r="B174" s="4" t="s">
        <v>120</v>
      </c>
      <c r="C174" s="4" t="s">
        <v>185</v>
      </c>
      <c r="D174" s="4" t="s">
        <v>125</v>
      </c>
      <c r="E174" s="4" t="s">
        <v>21</v>
      </c>
      <c r="F174" s="5" t="n">
        <v>25612.23</v>
      </c>
      <c r="G174" s="6" t="n">
        <v>0.05</v>
      </c>
      <c r="H174" s="5" t="n">
        <v>1280.61</v>
      </c>
      <c r="I174" s="5" t="n">
        <v>26892.84</v>
      </c>
    </row>
    <row r="175" customFormat="false" ht="15" hidden="false" customHeight="false" outlineLevel="0" collapsed="false">
      <c r="A175" s="4" t="s">
        <v>273</v>
      </c>
      <c r="B175" s="4" t="s">
        <v>120</v>
      </c>
      <c r="C175" s="4" t="s">
        <v>240</v>
      </c>
      <c r="D175" s="4" t="s">
        <v>149</v>
      </c>
      <c r="E175" s="4" t="s">
        <v>21</v>
      </c>
      <c r="F175" s="5" t="n">
        <v>29681.6</v>
      </c>
      <c r="G175" s="6" t="n">
        <v>0.05</v>
      </c>
      <c r="H175" s="5" t="n">
        <v>1484.08</v>
      </c>
      <c r="I175" s="5" t="n">
        <v>31165.68</v>
      </c>
    </row>
    <row r="176" customFormat="false" ht="15" hidden="false" customHeight="false" outlineLevel="0" collapsed="false">
      <c r="A176" s="4" t="s">
        <v>274</v>
      </c>
      <c r="B176" s="4" t="s">
        <v>120</v>
      </c>
      <c r="C176" s="4" t="s">
        <v>216</v>
      </c>
      <c r="D176" s="4" t="s">
        <v>127</v>
      </c>
      <c r="E176" s="4" t="s">
        <v>21</v>
      </c>
      <c r="F176" s="5" t="n">
        <v>12975.48</v>
      </c>
      <c r="G176" s="6" t="n">
        <v>0.05</v>
      </c>
      <c r="H176" s="5" t="n">
        <v>648.77</v>
      </c>
      <c r="I176" s="5" t="n">
        <v>13624.25</v>
      </c>
    </row>
    <row r="177" customFormat="false" ht="15" hidden="false" customHeight="false" outlineLevel="0" collapsed="false">
      <c r="A177" s="4" t="s">
        <v>275</v>
      </c>
      <c r="B177" s="4" t="s">
        <v>120</v>
      </c>
      <c r="C177" s="4" t="s">
        <v>240</v>
      </c>
      <c r="D177" s="4" t="s">
        <v>121</v>
      </c>
      <c r="E177" s="4" t="s">
        <v>21</v>
      </c>
      <c r="F177" s="5" t="n">
        <v>36383.61</v>
      </c>
      <c r="G177" s="6" t="n">
        <v>0.05</v>
      </c>
      <c r="H177" s="5" t="n">
        <v>1819.18</v>
      </c>
      <c r="I177" s="5" t="n">
        <v>38202.79</v>
      </c>
    </row>
    <row r="178" customFormat="false" ht="15" hidden="false" customHeight="false" outlineLevel="0" collapsed="false">
      <c r="A178" s="4" t="s">
        <v>276</v>
      </c>
      <c r="B178" s="4" t="s">
        <v>120</v>
      </c>
      <c r="C178" s="4" t="s">
        <v>206</v>
      </c>
      <c r="D178" s="4" t="s">
        <v>123</v>
      </c>
      <c r="E178" s="4" t="s">
        <v>21</v>
      </c>
      <c r="F178" s="5" t="n">
        <v>6544.43</v>
      </c>
      <c r="G178" s="6" t="n">
        <v>0.05</v>
      </c>
      <c r="H178" s="5" t="n">
        <v>327.22</v>
      </c>
      <c r="I178" s="5" t="n">
        <v>6871.65</v>
      </c>
    </row>
    <row r="179" customFormat="false" ht="15" hidden="false" customHeight="false" outlineLevel="0" collapsed="false">
      <c r="A179" s="4" t="s">
        <v>277</v>
      </c>
      <c r="B179" s="4" t="s">
        <v>120</v>
      </c>
      <c r="C179" s="4" t="s">
        <v>247</v>
      </c>
      <c r="D179" s="4" t="s">
        <v>146</v>
      </c>
      <c r="E179" s="4" t="s">
        <v>21</v>
      </c>
      <c r="F179" s="5" t="n">
        <v>35444.44</v>
      </c>
      <c r="G179" s="6" t="n">
        <v>0.05</v>
      </c>
      <c r="H179" s="5" t="n">
        <v>1772.22</v>
      </c>
      <c r="I179" s="5" t="n">
        <v>37216.66</v>
      </c>
    </row>
    <row r="180" customFormat="false" ht="15" hidden="false" customHeight="false" outlineLevel="0" collapsed="false">
      <c r="A180" s="4" t="s">
        <v>278</v>
      </c>
      <c r="B180" s="4" t="s">
        <v>120</v>
      </c>
      <c r="C180" s="4" t="s">
        <v>174</v>
      </c>
      <c r="D180" s="4" t="s">
        <v>130</v>
      </c>
      <c r="E180" s="4" t="s">
        <v>21</v>
      </c>
      <c r="F180" s="5" t="n">
        <v>11282.02</v>
      </c>
      <c r="G180" s="6" t="n">
        <v>0.05</v>
      </c>
      <c r="H180" s="5" t="n">
        <v>564.1</v>
      </c>
      <c r="I180" s="5" t="n">
        <v>11846.12</v>
      </c>
    </row>
    <row r="181" customFormat="false" ht="15" hidden="false" customHeight="false" outlineLevel="0" collapsed="false">
      <c r="A181" s="4" t="s">
        <v>279</v>
      </c>
      <c r="B181" s="4" t="s">
        <v>120</v>
      </c>
      <c r="C181" s="4" t="s">
        <v>234</v>
      </c>
      <c r="D181" s="4" t="s">
        <v>123</v>
      </c>
      <c r="E181" s="4" t="s">
        <v>21</v>
      </c>
      <c r="F181" s="5" t="n">
        <v>27113.85</v>
      </c>
      <c r="G181" s="6" t="n">
        <v>0.05</v>
      </c>
      <c r="H181" s="5" t="n">
        <v>1355.69</v>
      </c>
      <c r="I181" s="5" t="n">
        <v>28469.54</v>
      </c>
    </row>
    <row r="182" customFormat="false" ht="15" hidden="false" customHeight="false" outlineLevel="0" collapsed="false">
      <c r="A182" s="4" t="s">
        <v>280</v>
      </c>
      <c r="B182" s="4" t="s">
        <v>120</v>
      </c>
      <c r="C182" s="4" t="s">
        <v>181</v>
      </c>
      <c r="D182" s="4" t="s">
        <v>121</v>
      </c>
      <c r="E182" s="4" t="s">
        <v>46</v>
      </c>
      <c r="F182" s="5" t="n">
        <v>20947.44</v>
      </c>
      <c r="G182" s="6" t="n">
        <v>0</v>
      </c>
      <c r="H182" s="5" t="n">
        <v>0</v>
      </c>
      <c r="I182" s="5" t="n">
        <v>20947.44</v>
      </c>
    </row>
    <row r="183" customFormat="false" ht="15" hidden="false" customHeight="false" outlineLevel="0" collapsed="false">
      <c r="A183" s="4" t="s">
        <v>281</v>
      </c>
      <c r="B183" s="4" t="s">
        <v>120</v>
      </c>
      <c r="C183" s="4" t="s">
        <v>195</v>
      </c>
      <c r="D183" s="4" t="s">
        <v>127</v>
      </c>
      <c r="E183" s="4" t="s">
        <v>21</v>
      </c>
      <c r="F183" s="5" t="n">
        <v>18879.3</v>
      </c>
      <c r="G183" s="6" t="n">
        <v>0.05</v>
      </c>
      <c r="H183" s="5" t="n">
        <v>943.97</v>
      </c>
      <c r="I183" s="5" t="n">
        <v>19823.27</v>
      </c>
    </row>
    <row r="184" customFormat="false" ht="15" hidden="false" customHeight="false" outlineLevel="0" collapsed="false">
      <c r="A184" s="4" t="s">
        <v>282</v>
      </c>
      <c r="B184" s="4" t="s">
        <v>120</v>
      </c>
      <c r="C184" s="4" t="s">
        <v>183</v>
      </c>
      <c r="D184" s="4" t="s">
        <v>123</v>
      </c>
      <c r="E184" s="4" t="s">
        <v>46</v>
      </c>
      <c r="F184" s="5" t="n">
        <v>9822.3</v>
      </c>
      <c r="G184" s="6" t="n">
        <v>0</v>
      </c>
      <c r="H184" s="5" t="n">
        <v>0</v>
      </c>
      <c r="I184" s="5" t="n">
        <v>9822.3</v>
      </c>
    </row>
    <row r="185" customFormat="false" ht="15" hidden="false" customHeight="false" outlineLevel="0" collapsed="false">
      <c r="A185" s="4" t="s">
        <v>283</v>
      </c>
      <c r="B185" s="4" t="s">
        <v>120</v>
      </c>
      <c r="C185" s="4" t="s">
        <v>284</v>
      </c>
      <c r="D185" s="4" t="s">
        <v>123</v>
      </c>
      <c r="E185" s="4" t="s">
        <v>21</v>
      </c>
      <c r="F185" s="5" t="n">
        <v>28882.26</v>
      </c>
      <c r="G185" s="6" t="n">
        <v>0.05</v>
      </c>
      <c r="H185" s="5" t="n">
        <v>1444.11</v>
      </c>
      <c r="I185" s="5" t="n">
        <v>30326.37</v>
      </c>
    </row>
    <row r="186" customFormat="false" ht="15" hidden="false" customHeight="false" outlineLevel="0" collapsed="false">
      <c r="A186" s="4" t="s">
        <v>285</v>
      </c>
      <c r="B186" s="4" t="s">
        <v>120</v>
      </c>
      <c r="C186" s="4" t="s">
        <v>187</v>
      </c>
      <c r="D186" s="4" t="s">
        <v>149</v>
      </c>
      <c r="E186" s="4" t="s">
        <v>21</v>
      </c>
      <c r="F186" s="5" t="n">
        <v>12002.83</v>
      </c>
      <c r="G186" s="6" t="n">
        <v>0.05</v>
      </c>
      <c r="H186" s="5" t="n">
        <v>600.14</v>
      </c>
      <c r="I186" s="5" t="n">
        <v>12602.97</v>
      </c>
    </row>
    <row r="187" customFormat="false" ht="15" hidden="false" customHeight="false" outlineLevel="0" collapsed="false">
      <c r="A187" s="4" t="s">
        <v>286</v>
      </c>
      <c r="B187" s="4" t="s">
        <v>120</v>
      </c>
      <c r="C187" s="4" t="s">
        <v>210</v>
      </c>
      <c r="D187" s="4" t="s">
        <v>125</v>
      </c>
      <c r="E187" s="4" t="s">
        <v>46</v>
      </c>
      <c r="F187" s="5" t="n">
        <v>36402.75</v>
      </c>
      <c r="G187" s="6" t="n">
        <v>0</v>
      </c>
      <c r="H187" s="5" t="n">
        <v>0</v>
      </c>
      <c r="I187" s="5" t="n">
        <v>36402.75</v>
      </c>
    </row>
    <row r="188" customFormat="false" ht="15" hidden="false" customHeight="false" outlineLevel="0" collapsed="false">
      <c r="A188" s="4" t="s">
        <v>287</v>
      </c>
      <c r="B188" s="4" t="s">
        <v>120</v>
      </c>
      <c r="C188" s="4" t="s">
        <v>176</v>
      </c>
      <c r="D188" s="4" t="s">
        <v>130</v>
      </c>
      <c r="E188" s="4" t="s">
        <v>21</v>
      </c>
      <c r="F188" s="5" t="n">
        <v>21805.44</v>
      </c>
      <c r="G188" s="6" t="n">
        <v>0.05</v>
      </c>
      <c r="H188" s="5" t="n">
        <v>1090.27</v>
      </c>
      <c r="I188" s="5" t="n">
        <v>22895.71</v>
      </c>
    </row>
    <row r="189" customFormat="false" ht="15" hidden="false" customHeight="false" outlineLevel="0" collapsed="false">
      <c r="A189" s="4" t="s">
        <v>288</v>
      </c>
      <c r="B189" s="4" t="s">
        <v>120</v>
      </c>
      <c r="C189" s="4" t="s">
        <v>226</v>
      </c>
      <c r="D189" s="4" t="s">
        <v>125</v>
      </c>
      <c r="E189" s="4" t="s">
        <v>21</v>
      </c>
      <c r="F189" s="5" t="n">
        <v>19451.95</v>
      </c>
      <c r="G189" s="6" t="n">
        <v>0.05</v>
      </c>
      <c r="H189" s="5" t="n">
        <v>972.6</v>
      </c>
      <c r="I189" s="5" t="n">
        <v>20424.55</v>
      </c>
    </row>
    <row r="190" customFormat="false" ht="15" hidden="false" customHeight="false" outlineLevel="0" collapsed="false">
      <c r="A190" s="4" t="s">
        <v>289</v>
      </c>
      <c r="B190" s="4" t="s">
        <v>120</v>
      </c>
      <c r="C190" s="4" t="s">
        <v>226</v>
      </c>
      <c r="D190" s="4" t="s">
        <v>133</v>
      </c>
      <c r="E190" s="4" t="s">
        <v>21</v>
      </c>
      <c r="F190" s="5" t="n">
        <v>37515.37</v>
      </c>
      <c r="G190" s="6" t="n">
        <v>0.05</v>
      </c>
      <c r="H190" s="5" t="n">
        <v>1875.77</v>
      </c>
      <c r="I190" s="5" t="n">
        <v>39391.14</v>
      </c>
    </row>
    <row r="191" customFormat="false" ht="15" hidden="false" customHeight="false" outlineLevel="0" collapsed="false">
      <c r="A191" s="4" t="s">
        <v>290</v>
      </c>
      <c r="B191" s="4" t="s">
        <v>120</v>
      </c>
      <c r="C191" s="4" t="s">
        <v>208</v>
      </c>
      <c r="D191" s="4" t="s">
        <v>127</v>
      </c>
      <c r="E191" s="4" t="s">
        <v>28</v>
      </c>
      <c r="F191" s="5" t="n">
        <v>10146.4</v>
      </c>
      <c r="G191" s="6" t="n">
        <v>0</v>
      </c>
      <c r="H191" s="5" t="n">
        <v>0</v>
      </c>
      <c r="I191" s="5" t="n">
        <v>10146.4</v>
      </c>
    </row>
    <row r="192" customFormat="false" ht="15" hidden="false" customHeight="false" outlineLevel="0" collapsed="false">
      <c r="A192" s="4" t="s">
        <v>291</v>
      </c>
      <c r="B192" s="4" t="s">
        <v>120</v>
      </c>
      <c r="C192" s="4" t="s">
        <v>226</v>
      </c>
      <c r="D192" s="4" t="s">
        <v>125</v>
      </c>
      <c r="E192" s="4" t="s">
        <v>21</v>
      </c>
      <c r="F192" s="5" t="n">
        <v>2594.66</v>
      </c>
      <c r="G192" s="6" t="n">
        <v>0.05</v>
      </c>
      <c r="H192" s="5" t="n">
        <v>129.73</v>
      </c>
      <c r="I192" s="5" t="n">
        <v>2724.39</v>
      </c>
    </row>
    <row r="193" customFormat="false" ht="15" hidden="false" customHeight="false" outlineLevel="0" collapsed="false">
      <c r="A193" s="4" t="s">
        <v>292</v>
      </c>
      <c r="B193" s="4" t="s">
        <v>120</v>
      </c>
      <c r="C193" s="4" t="s">
        <v>221</v>
      </c>
      <c r="D193" s="4" t="s">
        <v>121</v>
      </c>
      <c r="E193" s="4" t="s">
        <v>21</v>
      </c>
      <c r="F193" s="5" t="n">
        <v>4711.04</v>
      </c>
      <c r="G193" s="6" t="n">
        <v>0.05</v>
      </c>
      <c r="H193" s="5" t="n">
        <v>235.55</v>
      </c>
      <c r="I193" s="5" t="n">
        <v>4946.59</v>
      </c>
    </row>
    <row r="194" customFormat="false" ht="15" hidden="false" customHeight="false" outlineLevel="0" collapsed="false">
      <c r="A194" s="4" t="s">
        <v>293</v>
      </c>
      <c r="B194" s="4" t="s">
        <v>120</v>
      </c>
      <c r="C194" s="4" t="s">
        <v>229</v>
      </c>
      <c r="D194" s="4" t="s">
        <v>144</v>
      </c>
      <c r="E194" s="4" t="s">
        <v>21</v>
      </c>
      <c r="F194" s="5" t="n">
        <v>31963.35</v>
      </c>
      <c r="G194" s="6" t="n">
        <v>0.05</v>
      </c>
      <c r="H194" s="5" t="n">
        <v>1598.17</v>
      </c>
      <c r="I194" s="5" t="n">
        <v>33561.52</v>
      </c>
    </row>
    <row r="195" customFormat="false" ht="15" hidden="false" customHeight="false" outlineLevel="0" collapsed="false">
      <c r="A195" s="4" t="s">
        <v>294</v>
      </c>
      <c r="B195" s="4" t="s">
        <v>120</v>
      </c>
      <c r="C195" s="4" t="s">
        <v>183</v>
      </c>
      <c r="D195" s="4" t="s">
        <v>127</v>
      </c>
      <c r="E195" s="4" t="s">
        <v>46</v>
      </c>
      <c r="F195" s="5" t="n">
        <v>22857.45</v>
      </c>
      <c r="G195" s="6" t="n">
        <v>0</v>
      </c>
      <c r="H195" s="5" t="n">
        <v>0</v>
      </c>
      <c r="I195" s="5" t="n">
        <v>22857.45</v>
      </c>
    </row>
    <row r="196" customFormat="false" ht="15" hidden="false" customHeight="false" outlineLevel="0" collapsed="false">
      <c r="A196" s="4" t="s">
        <v>295</v>
      </c>
      <c r="B196" s="4" t="s">
        <v>120</v>
      </c>
      <c r="C196" s="4" t="s">
        <v>226</v>
      </c>
      <c r="D196" s="4" t="s">
        <v>146</v>
      </c>
      <c r="E196" s="4" t="s">
        <v>21</v>
      </c>
      <c r="F196" s="5" t="n">
        <v>2781.04</v>
      </c>
      <c r="G196" s="6" t="n">
        <v>0.05</v>
      </c>
      <c r="H196" s="5" t="n">
        <v>139.05</v>
      </c>
      <c r="I196" s="5" t="n">
        <v>2920.09</v>
      </c>
    </row>
    <row r="197" customFormat="false" ht="15" hidden="false" customHeight="false" outlineLevel="0" collapsed="false">
      <c r="A197" s="4" t="s">
        <v>296</v>
      </c>
      <c r="B197" s="4" t="s">
        <v>120</v>
      </c>
      <c r="C197" s="4" t="s">
        <v>213</v>
      </c>
      <c r="D197" s="4" t="s">
        <v>130</v>
      </c>
      <c r="E197" s="4" t="s">
        <v>21</v>
      </c>
      <c r="F197" s="5" t="n">
        <v>13954.16</v>
      </c>
      <c r="G197" s="6" t="n">
        <v>0.05</v>
      </c>
      <c r="H197" s="5" t="n">
        <v>697.71</v>
      </c>
      <c r="I197" s="5" t="n">
        <v>14651.87</v>
      </c>
    </row>
    <row r="198" customFormat="false" ht="15" hidden="false" customHeight="false" outlineLevel="0" collapsed="false">
      <c r="A198" s="4" t="s">
        <v>297</v>
      </c>
      <c r="B198" s="4" t="s">
        <v>120</v>
      </c>
      <c r="C198" s="4" t="s">
        <v>203</v>
      </c>
      <c r="D198" s="4" t="s">
        <v>121</v>
      </c>
      <c r="E198" s="4" t="s">
        <v>21</v>
      </c>
      <c r="F198" s="5" t="n">
        <v>5708.81</v>
      </c>
      <c r="G198" s="6" t="n">
        <v>0.05</v>
      </c>
      <c r="H198" s="5" t="n">
        <v>285.44</v>
      </c>
      <c r="I198" s="5" t="n">
        <v>5994.25</v>
      </c>
    </row>
    <row r="199" customFormat="false" ht="15" hidden="false" customHeight="false" outlineLevel="0" collapsed="false">
      <c r="A199" s="4" t="s">
        <v>298</v>
      </c>
      <c r="B199" s="4" t="s">
        <v>120</v>
      </c>
      <c r="C199" s="4" t="s">
        <v>185</v>
      </c>
      <c r="D199" s="4" t="s">
        <v>144</v>
      </c>
      <c r="E199" s="4" t="s">
        <v>21</v>
      </c>
      <c r="F199" s="5" t="n">
        <v>4477.26</v>
      </c>
      <c r="G199" s="6" t="n">
        <v>0.05</v>
      </c>
      <c r="H199" s="5" t="n">
        <v>223.86</v>
      </c>
      <c r="I199" s="5" t="n">
        <v>4701.12</v>
      </c>
    </row>
    <row r="200" customFormat="false" ht="15" hidden="false" customHeight="false" outlineLevel="0" collapsed="false">
      <c r="A200" s="4" t="s">
        <v>299</v>
      </c>
      <c r="B200" s="4" t="s">
        <v>120</v>
      </c>
      <c r="C200" s="4" t="s">
        <v>195</v>
      </c>
      <c r="D200" s="4" t="s">
        <v>146</v>
      </c>
      <c r="E200" s="4" t="s">
        <v>21</v>
      </c>
      <c r="F200" s="5" t="n">
        <v>15673.96</v>
      </c>
      <c r="G200" s="6" t="n">
        <v>0.05</v>
      </c>
      <c r="H200" s="5" t="n">
        <v>783.7</v>
      </c>
      <c r="I200" s="5" t="n">
        <v>16457.66</v>
      </c>
    </row>
    <row r="201" customFormat="false" ht="15" hidden="false" customHeight="false" outlineLevel="0" collapsed="false">
      <c r="A201" s="4" t="s">
        <v>300</v>
      </c>
      <c r="B201" s="4" t="s">
        <v>120</v>
      </c>
      <c r="C201" s="4" t="s">
        <v>174</v>
      </c>
      <c r="D201" s="4" t="s">
        <v>130</v>
      </c>
      <c r="E201" s="4" t="s">
        <v>28</v>
      </c>
      <c r="F201" s="5" t="n">
        <v>36156.78</v>
      </c>
      <c r="G201" s="6" t="n">
        <v>0</v>
      </c>
      <c r="H201" s="5" t="n">
        <v>0</v>
      </c>
      <c r="I201" s="5" t="n">
        <v>36156.78</v>
      </c>
    </row>
    <row r="202" customFormat="false" ht="15" hidden="false" customHeight="false" outlineLevel="0" collapsed="false">
      <c r="A202" s="4" t="s">
        <v>301</v>
      </c>
      <c r="B202" s="4" t="s">
        <v>120</v>
      </c>
      <c r="C202" s="4" t="s">
        <v>247</v>
      </c>
      <c r="D202" s="4" t="s">
        <v>149</v>
      </c>
      <c r="E202" s="4" t="s">
        <v>21</v>
      </c>
      <c r="F202" s="5" t="n">
        <v>26813.07</v>
      </c>
      <c r="G202" s="6" t="n">
        <v>0.05</v>
      </c>
      <c r="H202" s="5" t="n">
        <v>1340.65</v>
      </c>
      <c r="I202" s="5" t="n">
        <v>28153.72</v>
      </c>
    </row>
    <row r="203" customFormat="false" ht="15" hidden="false" customHeight="false" outlineLevel="0" collapsed="false">
      <c r="A203" s="4" t="s">
        <v>302</v>
      </c>
      <c r="B203" s="4" t="s">
        <v>120</v>
      </c>
      <c r="C203" s="4" t="s">
        <v>240</v>
      </c>
      <c r="D203" s="4" t="s">
        <v>127</v>
      </c>
      <c r="E203" s="4" t="s">
        <v>21</v>
      </c>
      <c r="F203" s="5" t="n">
        <v>6803.25</v>
      </c>
      <c r="G203" s="6" t="n">
        <v>0.05</v>
      </c>
      <c r="H203" s="5" t="n">
        <v>340.16</v>
      </c>
      <c r="I203" s="5" t="n">
        <v>7143.41</v>
      </c>
    </row>
    <row r="204" customFormat="false" ht="15" hidden="false" customHeight="false" outlineLevel="0" collapsed="false">
      <c r="A204" s="4" t="s">
        <v>303</v>
      </c>
      <c r="B204" s="4" t="s">
        <v>120</v>
      </c>
      <c r="C204" s="4" t="s">
        <v>213</v>
      </c>
      <c r="D204" s="4" t="s">
        <v>123</v>
      </c>
      <c r="E204" s="4" t="s">
        <v>21</v>
      </c>
      <c r="F204" s="5" t="n">
        <v>16820.72</v>
      </c>
      <c r="G204" s="6" t="n">
        <v>0.05</v>
      </c>
      <c r="H204" s="5" t="n">
        <v>841.04</v>
      </c>
      <c r="I204" s="5" t="n">
        <v>17661.76</v>
      </c>
    </row>
    <row r="205" customFormat="false" ht="15" hidden="false" customHeight="false" outlineLevel="0" collapsed="false">
      <c r="A205" s="4" t="s">
        <v>304</v>
      </c>
      <c r="B205" s="4" t="s">
        <v>120</v>
      </c>
      <c r="C205" s="4" t="s">
        <v>195</v>
      </c>
      <c r="D205" s="4" t="s">
        <v>155</v>
      </c>
      <c r="E205" s="4" t="s">
        <v>46</v>
      </c>
      <c r="F205" s="5" t="n">
        <v>26256.97</v>
      </c>
      <c r="G205" s="6" t="n">
        <v>0</v>
      </c>
      <c r="H205" s="5" t="n">
        <v>0</v>
      </c>
      <c r="I205" s="5" t="n">
        <v>26256.97</v>
      </c>
    </row>
    <row r="206" customFormat="false" ht="15" hidden="false" customHeight="false" outlineLevel="0" collapsed="false">
      <c r="A206" s="4" t="s">
        <v>305</v>
      </c>
      <c r="B206" s="4" t="s">
        <v>18</v>
      </c>
      <c r="C206" s="4" t="s">
        <v>306</v>
      </c>
      <c r="D206" s="4" t="s">
        <v>78</v>
      </c>
      <c r="E206" s="4" t="s">
        <v>21</v>
      </c>
      <c r="F206" s="5" t="n">
        <v>15975.23</v>
      </c>
      <c r="G206" s="6" t="n">
        <v>0.05</v>
      </c>
      <c r="H206" s="5" t="n">
        <v>798.76</v>
      </c>
      <c r="I206" s="5" t="n">
        <v>16773.99</v>
      </c>
    </row>
    <row r="207" customFormat="false" ht="15" hidden="false" customHeight="false" outlineLevel="0" collapsed="false">
      <c r="A207" s="4" t="s">
        <v>307</v>
      </c>
      <c r="B207" s="4" t="s">
        <v>18</v>
      </c>
      <c r="C207" s="4" t="s">
        <v>308</v>
      </c>
      <c r="D207" s="4" t="s">
        <v>88</v>
      </c>
      <c r="E207" s="4" t="s">
        <v>21</v>
      </c>
      <c r="F207" s="5" t="n">
        <v>89665.61</v>
      </c>
      <c r="G207" s="6" t="n">
        <v>0.05</v>
      </c>
      <c r="H207" s="5" t="n">
        <v>4483.28</v>
      </c>
      <c r="I207" s="5" t="n">
        <v>94148.89</v>
      </c>
    </row>
    <row r="208" customFormat="false" ht="15" hidden="false" customHeight="false" outlineLevel="0" collapsed="false">
      <c r="A208" s="4" t="s">
        <v>309</v>
      </c>
      <c r="B208" s="4" t="s">
        <v>18</v>
      </c>
      <c r="C208" s="4" t="s">
        <v>310</v>
      </c>
      <c r="D208" s="4" t="s">
        <v>88</v>
      </c>
      <c r="E208" s="4" t="s">
        <v>21</v>
      </c>
      <c r="F208" s="5" t="n">
        <v>57360.81</v>
      </c>
      <c r="G208" s="6" t="n">
        <v>0.05</v>
      </c>
      <c r="H208" s="5" t="n">
        <v>2868.04</v>
      </c>
      <c r="I208" s="5" t="n">
        <v>60228.85</v>
      </c>
    </row>
    <row r="209" customFormat="false" ht="15" hidden="false" customHeight="false" outlineLevel="0" collapsed="false">
      <c r="A209" s="4" t="s">
        <v>311</v>
      </c>
      <c r="B209" s="4" t="s">
        <v>18</v>
      </c>
      <c r="C209" s="4" t="s">
        <v>312</v>
      </c>
      <c r="D209" s="4" t="s">
        <v>34</v>
      </c>
      <c r="E209" s="4" t="s">
        <v>21</v>
      </c>
      <c r="F209" s="5" t="n">
        <v>86211.1</v>
      </c>
      <c r="G209" s="6" t="n">
        <v>0.05</v>
      </c>
      <c r="H209" s="5" t="n">
        <v>4310.56</v>
      </c>
      <c r="I209" s="5" t="n">
        <v>90521.66</v>
      </c>
    </row>
    <row r="210" customFormat="false" ht="15" hidden="false" customHeight="false" outlineLevel="0" collapsed="false">
      <c r="A210" s="4" t="s">
        <v>313</v>
      </c>
      <c r="B210" s="4" t="s">
        <v>18</v>
      </c>
      <c r="C210" s="4" t="s">
        <v>314</v>
      </c>
      <c r="D210" s="4" t="s">
        <v>56</v>
      </c>
      <c r="E210" s="4" t="s">
        <v>21</v>
      </c>
      <c r="F210" s="5" t="n">
        <v>70359.57</v>
      </c>
      <c r="G210" s="6" t="n">
        <v>0.05</v>
      </c>
      <c r="H210" s="5" t="n">
        <v>3517.98</v>
      </c>
      <c r="I210" s="5" t="n">
        <v>73877.55</v>
      </c>
    </row>
    <row r="211" customFormat="false" ht="15" hidden="false" customHeight="false" outlineLevel="0" collapsed="false">
      <c r="A211" s="4" t="s">
        <v>315</v>
      </c>
      <c r="B211" s="4" t="s">
        <v>18</v>
      </c>
      <c r="C211" s="4" t="s">
        <v>316</v>
      </c>
      <c r="D211" s="4" t="s">
        <v>70</v>
      </c>
      <c r="E211" s="4" t="s">
        <v>21</v>
      </c>
      <c r="F211" s="5" t="n">
        <v>88775.65</v>
      </c>
      <c r="G211" s="6" t="n">
        <v>0.05</v>
      </c>
      <c r="H211" s="5" t="n">
        <v>4438.78</v>
      </c>
      <c r="I211" s="5" t="n">
        <v>93214.43</v>
      </c>
    </row>
    <row r="212" customFormat="false" ht="15" hidden="false" customHeight="false" outlineLevel="0" collapsed="false">
      <c r="A212" s="4" t="s">
        <v>317</v>
      </c>
      <c r="B212" s="4" t="s">
        <v>18</v>
      </c>
      <c r="C212" s="4" t="s">
        <v>318</v>
      </c>
      <c r="D212" s="4" t="s">
        <v>70</v>
      </c>
      <c r="E212" s="4" t="s">
        <v>28</v>
      </c>
      <c r="F212" s="5" t="n">
        <v>14016.84</v>
      </c>
      <c r="G212" s="6" t="n">
        <v>0</v>
      </c>
      <c r="H212" s="5" t="n">
        <v>0</v>
      </c>
      <c r="I212" s="5" t="n">
        <v>14016.84</v>
      </c>
    </row>
    <row r="213" customFormat="false" ht="15" hidden="false" customHeight="false" outlineLevel="0" collapsed="false">
      <c r="A213" s="4" t="s">
        <v>319</v>
      </c>
      <c r="B213" s="4" t="s">
        <v>18</v>
      </c>
      <c r="C213" s="4" t="s">
        <v>320</v>
      </c>
      <c r="D213" s="4" t="s">
        <v>59</v>
      </c>
      <c r="E213" s="4" t="s">
        <v>21</v>
      </c>
      <c r="F213" s="5" t="n">
        <v>36572.75</v>
      </c>
      <c r="G213" s="6" t="n">
        <v>0.05</v>
      </c>
      <c r="H213" s="5" t="n">
        <v>1828.64</v>
      </c>
      <c r="I213" s="5" t="n">
        <v>38401.39</v>
      </c>
    </row>
    <row r="214" customFormat="false" ht="15" hidden="false" customHeight="false" outlineLevel="0" collapsed="false">
      <c r="A214" s="4" t="s">
        <v>321</v>
      </c>
      <c r="B214" s="4" t="s">
        <v>18</v>
      </c>
      <c r="C214" s="4" t="s">
        <v>306</v>
      </c>
      <c r="D214" s="4" t="s">
        <v>62</v>
      </c>
      <c r="E214" s="4" t="s">
        <v>21</v>
      </c>
      <c r="F214" s="5" t="n">
        <v>43334.09</v>
      </c>
      <c r="G214" s="6" t="n">
        <v>0.05</v>
      </c>
      <c r="H214" s="5" t="n">
        <v>2166.7</v>
      </c>
      <c r="I214" s="5" t="n">
        <v>45500.79</v>
      </c>
    </row>
    <row r="215" customFormat="false" ht="15" hidden="false" customHeight="false" outlineLevel="0" collapsed="false">
      <c r="A215" s="4" t="s">
        <v>322</v>
      </c>
      <c r="B215" s="4" t="s">
        <v>18</v>
      </c>
      <c r="C215" s="4" t="s">
        <v>323</v>
      </c>
      <c r="D215" s="4" t="s">
        <v>20</v>
      </c>
      <c r="E215" s="4" t="s">
        <v>28</v>
      </c>
      <c r="F215" s="5" t="n">
        <v>61494.13</v>
      </c>
      <c r="G215" s="6" t="n">
        <v>0</v>
      </c>
      <c r="H215" s="5" t="n">
        <v>0</v>
      </c>
      <c r="I215" s="5" t="n">
        <v>61494.13</v>
      </c>
    </row>
    <row r="216" customFormat="false" ht="15" hidden="false" customHeight="false" outlineLevel="0" collapsed="false">
      <c r="A216" s="4" t="s">
        <v>324</v>
      </c>
      <c r="B216" s="4" t="s">
        <v>18</v>
      </c>
      <c r="C216" s="4" t="s">
        <v>325</v>
      </c>
      <c r="D216" s="4" t="s">
        <v>27</v>
      </c>
      <c r="E216" s="4" t="s">
        <v>21</v>
      </c>
      <c r="F216" s="5" t="n">
        <v>26388.85</v>
      </c>
      <c r="G216" s="6" t="n">
        <v>0.05</v>
      </c>
      <c r="H216" s="5" t="n">
        <v>1319.44</v>
      </c>
      <c r="I216" s="5" t="n">
        <v>27708.29</v>
      </c>
    </row>
    <row r="217" customFormat="false" ht="15" hidden="false" customHeight="false" outlineLevel="0" collapsed="false">
      <c r="A217" s="4" t="s">
        <v>326</v>
      </c>
      <c r="B217" s="4" t="s">
        <v>18</v>
      </c>
      <c r="C217" s="4" t="s">
        <v>327</v>
      </c>
      <c r="D217" s="4" t="s">
        <v>50</v>
      </c>
      <c r="E217" s="4" t="s">
        <v>21</v>
      </c>
      <c r="F217" s="5" t="n">
        <v>14949.54</v>
      </c>
      <c r="G217" s="6" t="n">
        <v>0.05</v>
      </c>
      <c r="H217" s="5" t="n">
        <v>747.48</v>
      </c>
      <c r="I217" s="5" t="n">
        <v>15697.02</v>
      </c>
    </row>
    <row r="218" customFormat="false" ht="15" hidden="false" customHeight="false" outlineLevel="0" collapsed="false">
      <c r="A218" s="4" t="s">
        <v>328</v>
      </c>
      <c r="B218" s="4" t="s">
        <v>18</v>
      </c>
      <c r="C218" s="4" t="s">
        <v>310</v>
      </c>
      <c r="D218" s="4" t="s">
        <v>20</v>
      </c>
      <c r="E218" s="4" t="s">
        <v>21</v>
      </c>
      <c r="F218" s="5" t="n">
        <v>65092.94</v>
      </c>
      <c r="G218" s="6" t="n">
        <v>0.05</v>
      </c>
      <c r="H218" s="5" t="n">
        <v>3254.65</v>
      </c>
      <c r="I218" s="5" t="n">
        <v>68347.59</v>
      </c>
    </row>
    <row r="219" customFormat="false" ht="15" hidden="false" customHeight="false" outlineLevel="0" collapsed="false">
      <c r="A219" s="4" t="s">
        <v>329</v>
      </c>
      <c r="B219" s="4" t="s">
        <v>18</v>
      </c>
      <c r="C219" s="4" t="s">
        <v>318</v>
      </c>
      <c r="D219" s="4" t="s">
        <v>88</v>
      </c>
      <c r="E219" s="4" t="s">
        <v>21</v>
      </c>
      <c r="F219" s="5" t="n">
        <v>85151.73</v>
      </c>
      <c r="G219" s="6" t="n">
        <v>0.05</v>
      </c>
      <c r="H219" s="5" t="n">
        <v>4257.59</v>
      </c>
      <c r="I219" s="5" t="n">
        <v>89409.32</v>
      </c>
    </row>
    <row r="220" customFormat="false" ht="15" hidden="false" customHeight="false" outlineLevel="0" collapsed="false">
      <c r="A220" s="4" t="s">
        <v>330</v>
      </c>
      <c r="B220" s="4" t="s">
        <v>18</v>
      </c>
      <c r="C220" s="4" t="s">
        <v>331</v>
      </c>
      <c r="D220" s="4" t="s">
        <v>24</v>
      </c>
      <c r="E220" s="4" t="s">
        <v>21</v>
      </c>
      <c r="F220" s="5" t="n">
        <v>32750.79</v>
      </c>
      <c r="G220" s="6" t="n">
        <v>0.05</v>
      </c>
      <c r="H220" s="5" t="n">
        <v>1637.54</v>
      </c>
      <c r="I220" s="5" t="n">
        <v>34388.33</v>
      </c>
    </row>
    <row r="221" customFormat="false" ht="15" hidden="false" customHeight="false" outlineLevel="0" collapsed="false">
      <c r="A221" s="4" t="s">
        <v>332</v>
      </c>
      <c r="B221" s="4" t="s">
        <v>18</v>
      </c>
      <c r="C221" s="4" t="s">
        <v>316</v>
      </c>
      <c r="D221" s="4" t="s">
        <v>45</v>
      </c>
      <c r="E221" s="4" t="s">
        <v>21</v>
      </c>
      <c r="F221" s="5" t="n">
        <v>45696.33</v>
      </c>
      <c r="G221" s="6" t="n">
        <v>0.05</v>
      </c>
      <c r="H221" s="5" t="n">
        <v>2284.82</v>
      </c>
      <c r="I221" s="5" t="n">
        <v>47981.15</v>
      </c>
    </row>
    <row r="222" customFormat="false" ht="15" hidden="false" customHeight="false" outlineLevel="0" collapsed="false">
      <c r="A222" s="4" t="s">
        <v>333</v>
      </c>
      <c r="B222" s="4" t="s">
        <v>18</v>
      </c>
      <c r="C222" s="4" t="s">
        <v>334</v>
      </c>
      <c r="D222" s="4" t="s">
        <v>78</v>
      </c>
      <c r="E222" s="4" t="s">
        <v>21</v>
      </c>
      <c r="F222" s="5" t="n">
        <v>30313.72</v>
      </c>
      <c r="G222" s="6" t="n">
        <v>0.05</v>
      </c>
      <c r="H222" s="5" t="n">
        <v>1515.69</v>
      </c>
      <c r="I222" s="5" t="n">
        <v>31829.41</v>
      </c>
    </row>
    <row r="223" customFormat="false" ht="15" hidden="false" customHeight="false" outlineLevel="0" collapsed="false">
      <c r="A223" s="4" t="s">
        <v>335</v>
      </c>
      <c r="B223" s="4" t="s">
        <v>18</v>
      </c>
      <c r="C223" s="4" t="s">
        <v>336</v>
      </c>
      <c r="D223" s="4" t="s">
        <v>78</v>
      </c>
      <c r="E223" s="4" t="s">
        <v>46</v>
      </c>
      <c r="F223" s="5" t="n">
        <v>55176.31</v>
      </c>
      <c r="G223" s="6" t="n">
        <v>0</v>
      </c>
      <c r="H223" s="5" t="n">
        <v>0</v>
      </c>
      <c r="I223" s="5" t="n">
        <v>55176.31</v>
      </c>
    </row>
    <row r="224" customFormat="false" ht="15" hidden="false" customHeight="false" outlineLevel="0" collapsed="false">
      <c r="A224" s="4" t="s">
        <v>337</v>
      </c>
      <c r="B224" s="4" t="s">
        <v>18</v>
      </c>
      <c r="C224" s="4" t="s">
        <v>327</v>
      </c>
      <c r="D224" s="4" t="s">
        <v>88</v>
      </c>
      <c r="E224" s="4" t="s">
        <v>21</v>
      </c>
      <c r="F224" s="5" t="n">
        <v>64755.66</v>
      </c>
      <c r="G224" s="6" t="n">
        <v>0.05</v>
      </c>
      <c r="H224" s="5" t="n">
        <v>3237.78</v>
      </c>
      <c r="I224" s="5" t="n">
        <v>67993.44</v>
      </c>
    </row>
    <row r="225" customFormat="false" ht="15" hidden="false" customHeight="false" outlineLevel="0" collapsed="false">
      <c r="A225" s="4" t="s">
        <v>338</v>
      </c>
      <c r="B225" s="4" t="s">
        <v>18</v>
      </c>
      <c r="C225" s="4" t="s">
        <v>316</v>
      </c>
      <c r="D225" s="4" t="s">
        <v>70</v>
      </c>
      <c r="E225" s="4" t="s">
        <v>28</v>
      </c>
      <c r="F225" s="5" t="n">
        <v>45912.7</v>
      </c>
      <c r="G225" s="6" t="n">
        <v>0</v>
      </c>
      <c r="H225" s="5" t="n">
        <v>0</v>
      </c>
      <c r="I225" s="5" t="n">
        <v>45912.7</v>
      </c>
    </row>
    <row r="226" customFormat="false" ht="15" hidden="false" customHeight="false" outlineLevel="0" collapsed="false">
      <c r="A226" s="4" t="s">
        <v>339</v>
      </c>
      <c r="B226" s="4" t="s">
        <v>18</v>
      </c>
      <c r="C226" s="4" t="s">
        <v>318</v>
      </c>
      <c r="D226" s="4" t="s">
        <v>27</v>
      </c>
      <c r="E226" s="4" t="s">
        <v>21</v>
      </c>
      <c r="F226" s="5" t="n">
        <v>66411.31</v>
      </c>
      <c r="G226" s="6" t="n">
        <v>0.05</v>
      </c>
      <c r="H226" s="5" t="n">
        <v>3320.57</v>
      </c>
      <c r="I226" s="5" t="n">
        <v>69731.88</v>
      </c>
    </row>
    <row r="227" customFormat="false" ht="15" hidden="false" customHeight="false" outlineLevel="0" collapsed="false">
      <c r="A227" s="4" t="s">
        <v>340</v>
      </c>
      <c r="B227" s="4" t="s">
        <v>18</v>
      </c>
      <c r="C227" s="4" t="s">
        <v>341</v>
      </c>
      <c r="D227" s="4" t="s">
        <v>24</v>
      </c>
      <c r="E227" s="4" t="s">
        <v>21</v>
      </c>
      <c r="F227" s="5" t="n">
        <v>87074.26</v>
      </c>
      <c r="G227" s="6" t="n">
        <v>0.05</v>
      </c>
      <c r="H227" s="5" t="n">
        <v>4353.71</v>
      </c>
      <c r="I227" s="5" t="n">
        <v>91427.97</v>
      </c>
    </row>
    <row r="228" customFormat="false" ht="15" hidden="false" customHeight="false" outlineLevel="0" collapsed="false">
      <c r="A228" s="4" t="s">
        <v>342</v>
      </c>
      <c r="B228" s="4" t="s">
        <v>18</v>
      </c>
      <c r="C228" s="4" t="s">
        <v>334</v>
      </c>
      <c r="D228" s="4" t="s">
        <v>86</v>
      </c>
      <c r="E228" s="4" t="s">
        <v>46</v>
      </c>
      <c r="F228" s="5" t="n">
        <v>7452.72</v>
      </c>
      <c r="G228" s="6" t="n">
        <v>0</v>
      </c>
      <c r="H228" s="5" t="n">
        <v>0</v>
      </c>
      <c r="I228" s="5" t="n">
        <v>7452.72</v>
      </c>
    </row>
    <row r="229" customFormat="false" ht="15" hidden="false" customHeight="false" outlineLevel="0" collapsed="false">
      <c r="A229" s="4" t="s">
        <v>343</v>
      </c>
      <c r="B229" s="4" t="s">
        <v>18</v>
      </c>
      <c r="C229" s="4" t="s">
        <v>327</v>
      </c>
      <c r="D229" s="4" t="s">
        <v>37</v>
      </c>
      <c r="E229" s="4" t="s">
        <v>21</v>
      </c>
      <c r="F229" s="5" t="n">
        <v>73641.44</v>
      </c>
      <c r="G229" s="6" t="n">
        <v>0.05</v>
      </c>
      <c r="H229" s="5" t="n">
        <v>3682.07</v>
      </c>
      <c r="I229" s="5" t="n">
        <v>77323.51</v>
      </c>
    </row>
    <row r="230" customFormat="false" ht="15" hidden="false" customHeight="false" outlineLevel="0" collapsed="false">
      <c r="A230" s="4" t="s">
        <v>344</v>
      </c>
      <c r="B230" s="4" t="s">
        <v>18</v>
      </c>
      <c r="C230" s="4" t="s">
        <v>345</v>
      </c>
      <c r="D230" s="4" t="s">
        <v>56</v>
      </c>
      <c r="E230" s="4" t="s">
        <v>21</v>
      </c>
      <c r="F230" s="5" t="n">
        <v>81311.7</v>
      </c>
      <c r="G230" s="6" t="n">
        <v>0.05</v>
      </c>
      <c r="H230" s="5" t="n">
        <v>4065.59</v>
      </c>
      <c r="I230" s="5" t="n">
        <v>85377.29</v>
      </c>
    </row>
    <row r="231" customFormat="false" ht="15" hidden="false" customHeight="false" outlineLevel="0" collapsed="false">
      <c r="A231" s="4" t="s">
        <v>346</v>
      </c>
      <c r="B231" s="4" t="s">
        <v>18</v>
      </c>
      <c r="C231" s="4" t="s">
        <v>325</v>
      </c>
      <c r="D231" s="4" t="s">
        <v>34</v>
      </c>
      <c r="E231" s="4" t="s">
        <v>46</v>
      </c>
      <c r="F231" s="5" t="n">
        <v>17540.75</v>
      </c>
      <c r="G231" s="6" t="n">
        <v>0</v>
      </c>
      <c r="H231" s="5" t="n">
        <v>0</v>
      </c>
      <c r="I231" s="5" t="n">
        <v>17540.75</v>
      </c>
    </row>
    <row r="232" customFormat="false" ht="15" hidden="false" customHeight="false" outlineLevel="0" collapsed="false">
      <c r="A232" s="4" t="s">
        <v>347</v>
      </c>
      <c r="B232" s="4" t="s">
        <v>18</v>
      </c>
      <c r="C232" s="4" t="s">
        <v>320</v>
      </c>
      <c r="D232" s="4" t="s">
        <v>88</v>
      </c>
      <c r="E232" s="4" t="s">
        <v>28</v>
      </c>
      <c r="F232" s="5" t="n">
        <v>49576.13</v>
      </c>
      <c r="G232" s="6" t="n">
        <v>0</v>
      </c>
      <c r="H232" s="5" t="n">
        <v>0</v>
      </c>
      <c r="I232" s="5" t="n">
        <v>49576.13</v>
      </c>
    </row>
    <row r="233" customFormat="false" ht="15" hidden="false" customHeight="false" outlineLevel="0" collapsed="false">
      <c r="A233" s="4" t="s">
        <v>348</v>
      </c>
      <c r="B233" s="4" t="s">
        <v>18</v>
      </c>
      <c r="C233" s="4" t="s">
        <v>349</v>
      </c>
      <c r="D233" s="4" t="s">
        <v>88</v>
      </c>
      <c r="E233" s="4" t="s">
        <v>46</v>
      </c>
      <c r="F233" s="5" t="n">
        <v>22848.29</v>
      </c>
      <c r="G233" s="6" t="n">
        <v>0</v>
      </c>
      <c r="H233" s="5" t="n">
        <v>0</v>
      </c>
      <c r="I233" s="5" t="n">
        <v>22848.29</v>
      </c>
    </row>
    <row r="234" customFormat="false" ht="15" hidden="false" customHeight="false" outlineLevel="0" collapsed="false">
      <c r="A234" s="4" t="s">
        <v>350</v>
      </c>
      <c r="B234" s="4" t="s">
        <v>18</v>
      </c>
      <c r="C234" s="4" t="s">
        <v>336</v>
      </c>
      <c r="D234" s="4" t="s">
        <v>50</v>
      </c>
      <c r="E234" s="4" t="s">
        <v>21</v>
      </c>
      <c r="F234" s="5" t="n">
        <v>63736.37</v>
      </c>
      <c r="G234" s="6" t="n">
        <v>0.05</v>
      </c>
      <c r="H234" s="5" t="n">
        <v>3186.82</v>
      </c>
      <c r="I234" s="5" t="n">
        <v>66923.19</v>
      </c>
    </row>
    <row r="235" customFormat="false" ht="15" hidden="false" customHeight="false" outlineLevel="0" collapsed="false">
      <c r="A235" s="4" t="s">
        <v>351</v>
      </c>
      <c r="B235" s="4" t="s">
        <v>18</v>
      </c>
      <c r="C235" s="4" t="s">
        <v>327</v>
      </c>
      <c r="D235" s="4" t="s">
        <v>34</v>
      </c>
      <c r="E235" s="4" t="s">
        <v>28</v>
      </c>
      <c r="F235" s="5" t="n">
        <v>51593.25</v>
      </c>
      <c r="G235" s="6" t="n">
        <v>0</v>
      </c>
      <c r="H235" s="5" t="n">
        <v>0</v>
      </c>
      <c r="I235" s="5" t="n">
        <v>51593.25</v>
      </c>
    </row>
    <row r="236" customFormat="false" ht="15" hidden="false" customHeight="false" outlineLevel="0" collapsed="false">
      <c r="A236" s="4" t="s">
        <v>352</v>
      </c>
      <c r="B236" s="4" t="s">
        <v>18</v>
      </c>
      <c r="C236" s="4" t="s">
        <v>345</v>
      </c>
      <c r="D236" s="4" t="s">
        <v>88</v>
      </c>
      <c r="E236" s="4" t="s">
        <v>28</v>
      </c>
      <c r="F236" s="5" t="n">
        <v>68402.66</v>
      </c>
      <c r="G236" s="6" t="n">
        <v>0</v>
      </c>
      <c r="H236" s="5" t="n">
        <v>0</v>
      </c>
      <c r="I236" s="5" t="n">
        <v>68402.66</v>
      </c>
    </row>
    <row r="237" customFormat="false" ht="15" hidden="false" customHeight="false" outlineLevel="0" collapsed="false">
      <c r="A237" s="4" t="s">
        <v>353</v>
      </c>
      <c r="B237" s="4" t="s">
        <v>18</v>
      </c>
      <c r="C237" s="4" t="s">
        <v>354</v>
      </c>
      <c r="D237" s="4" t="s">
        <v>78</v>
      </c>
      <c r="E237" s="4" t="s">
        <v>21</v>
      </c>
      <c r="F237" s="5" t="n">
        <v>51997.24</v>
      </c>
      <c r="G237" s="6" t="n">
        <v>0.05</v>
      </c>
      <c r="H237" s="5" t="n">
        <v>2599.86</v>
      </c>
      <c r="I237" s="5" t="n">
        <v>54597.1</v>
      </c>
    </row>
    <row r="238" customFormat="false" ht="15" hidden="false" customHeight="false" outlineLevel="0" collapsed="false">
      <c r="A238" s="4" t="s">
        <v>355</v>
      </c>
      <c r="B238" s="4" t="s">
        <v>18</v>
      </c>
      <c r="C238" s="4" t="s">
        <v>334</v>
      </c>
      <c r="D238" s="4" t="s">
        <v>78</v>
      </c>
      <c r="E238" s="4" t="s">
        <v>21</v>
      </c>
      <c r="F238" s="5" t="n">
        <v>88717.7</v>
      </c>
      <c r="G238" s="6" t="n">
        <v>0.05</v>
      </c>
      <c r="H238" s="5" t="n">
        <v>4435.89</v>
      </c>
      <c r="I238" s="5" t="n">
        <v>93153.59</v>
      </c>
    </row>
    <row r="239" customFormat="false" ht="15" hidden="false" customHeight="false" outlineLevel="0" collapsed="false">
      <c r="A239" s="4" t="s">
        <v>356</v>
      </c>
      <c r="B239" s="4" t="s">
        <v>18</v>
      </c>
      <c r="C239" s="4" t="s">
        <v>336</v>
      </c>
      <c r="D239" s="4" t="s">
        <v>78</v>
      </c>
      <c r="E239" s="4" t="s">
        <v>21</v>
      </c>
      <c r="F239" s="5" t="n">
        <v>64136.29</v>
      </c>
      <c r="G239" s="6" t="n">
        <v>0.05</v>
      </c>
      <c r="H239" s="5" t="n">
        <v>3206.81</v>
      </c>
      <c r="I239" s="5" t="n">
        <v>67343.1</v>
      </c>
    </row>
    <row r="240" customFormat="false" ht="15" hidden="false" customHeight="false" outlineLevel="0" collapsed="false">
      <c r="A240" s="4" t="s">
        <v>357</v>
      </c>
      <c r="B240" s="4" t="s">
        <v>18</v>
      </c>
      <c r="C240" s="4" t="s">
        <v>358</v>
      </c>
      <c r="D240" s="4" t="s">
        <v>78</v>
      </c>
      <c r="E240" s="4" t="s">
        <v>21</v>
      </c>
      <c r="F240" s="5" t="n">
        <v>73045.83</v>
      </c>
      <c r="G240" s="6" t="n">
        <v>0.05</v>
      </c>
      <c r="H240" s="5" t="n">
        <v>3652.29</v>
      </c>
      <c r="I240" s="5" t="n">
        <v>76698.12</v>
      </c>
    </row>
    <row r="241" customFormat="false" ht="15" hidden="false" customHeight="false" outlineLevel="0" collapsed="false">
      <c r="A241" s="4" t="s">
        <v>359</v>
      </c>
      <c r="B241" s="4" t="s">
        <v>18</v>
      </c>
      <c r="C241" s="4" t="s">
        <v>360</v>
      </c>
      <c r="D241" s="4" t="s">
        <v>50</v>
      </c>
      <c r="E241" s="4" t="s">
        <v>21</v>
      </c>
      <c r="F241" s="5" t="n">
        <v>38597.61</v>
      </c>
      <c r="G241" s="6" t="n">
        <v>0.05</v>
      </c>
      <c r="H241" s="5" t="n">
        <v>1929.88</v>
      </c>
      <c r="I241" s="5" t="n">
        <v>40527.49</v>
      </c>
    </row>
    <row r="242" customFormat="false" ht="15" hidden="false" customHeight="false" outlineLevel="0" collapsed="false">
      <c r="A242" s="4" t="s">
        <v>361</v>
      </c>
      <c r="B242" s="4" t="s">
        <v>18</v>
      </c>
      <c r="C242" s="4" t="s">
        <v>323</v>
      </c>
      <c r="D242" s="4" t="s">
        <v>88</v>
      </c>
      <c r="E242" s="4" t="s">
        <v>21</v>
      </c>
      <c r="F242" s="5" t="n">
        <v>5094.87</v>
      </c>
      <c r="G242" s="6" t="n">
        <v>0.05</v>
      </c>
      <c r="H242" s="5" t="n">
        <v>254.74</v>
      </c>
      <c r="I242" s="5" t="n">
        <v>5349.61</v>
      </c>
    </row>
    <row r="243" customFormat="false" ht="15" hidden="false" customHeight="false" outlineLevel="0" collapsed="false">
      <c r="A243" s="4" t="s">
        <v>362</v>
      </c>
      <c r="B243" s="4" t="s">
        <v>18</v>
      </c>
      <c r="C243" s="4" t="s">
        <v>331</v>
      </c>
      <c r="D243" s="4" t="s">
        <v>56</v>
      </c>
      <c r="E243" s="4" t="s">
        <v>28</v>
      </c>
      <c r="F243" s="5" t="n">
        <v>18249.96</v>
      </c>
      <c r="G243" s="6" t="n">
        <v>0</v>
      </c>
      <c r="H243" s="5" t="n">
        <v>0</v>
      </c>
      <c r="I243" s="5" t="n">
        <v>18249.96</v>
      </c>
    </row>
    <row r="244" customFormat="false" ht="15" hidden="false" customHeight="false" outlineLevel="0" collapsed="false">
      <c r="A244" s="4" t="s">
        <v>363</v>
      </c>
      <c r="B244" s="4" t="s">
        <v>18</v>
      </c>
      <c r="C244" s="4" t="s">
        <v>354</v>
      </c>
      <c r="D244" s="4" t="s">
        <v>56</v>
      </c>
      <c r="E244" s="4" t="s">
        <v>28</v>
      </c>
      <c r="F244" s="5" t="n">
        <v>14215.65</v>
      </c>
      <c r="G244" s="6" t="n">
        <v>0</v>
      </c>
      <c r="H244" s="5" t="n">
        <v>0</v>
      </c>
      <c r="I244" s="5" t="n">
        <v>14215.65</v>
      </c>
    </row>
    <row r="245" customFormat="false" ht="15" hidden="false" customHeight="false" outlineLevel="0" collapsed="false">
      <c r="A245" s="4" t="s">
        <v>364</v>
      </c>
      <c r="B245" s="4" t="s">
        <v>18</v>
      </c>
      <c r="C245" s="4" t="s">
        <v>365</v>
      </c>
      <c r="D245" s="4" t="s">
        <v>45</v>
      </c>
      <c r="E245" s="4" t="s">
        <v>21</v>
      </c>
      <c r="F245" s="5" t="n">
        <v>44716</v>
      </c>
      <c r="G245" s="6" t="n">
        <v>0.05</v>
      </c>
      <c r="H245" s="5" t="n">
        <v>2235.8</v>
      </c>
      <c r="I245" s="5" t="n">
        <v>46951.8</v>
      </c>
    </row>
    <row r="246" customFormat="false" ht="15" hidden="false" customHeight="false" outlineLevel="0" collapsed="false">
      <c r="A246" s="4" t="s">
        <v>366</v>
      </c>
      <c r="B246" s="4" t="s">
        <v>18</v>
      </c>
      <c r="C246" s="4" t="s">
        <v>327</v>
      </c>
      <c r="D246" s="4" t="s">
        <v>34</v>
      </c>
      <c r="E246" s="4" t="s">
        <v>28</v>
      </c>
      <c r="F246" s="5" t="n">
        <v>23180.83</v>
      </c>
      <c r="G246" s="6" t="n">
        <v>0</v>
      </c>
      <c r="H246" s="5" t="n">
        <v>0</v>
      </c>
      <c r="I246" s="5" t="n">
        <v>23180.83</v>
      </c>
    </row>
    <row r="247" customFormat="false" ht="15" hidden="false" customHeight="false" outlineLevel="0" collapsed="false">
      <c r="A247" s="4" t="s">
        <v>367</v>
      </c>
      <c r="B247" s="4" t="s">
        <v>18</v>
      </c>
      <c r="C247" s="4" t="s">
        <v>306</v>
      </c>
      <c r="D247" s="4" t="s">
        <v>27</v>
      </c>
      <c r="E247" s="4" t="s">
        <v>21</v>
      </c>
      <c r="F247" s="5" t="n">
        <v>46416.01</v>
      </c>
      <c r="G247" s="6" t="n">
        <v>0.05</v>
      </c>
      <c r="H247" s="5" t="n">
        <v>2320.8</v>
      </c>
      <c r="I247" s="5" t="n">
        <v>48736.81</v>
      </c>
    </row>
    <row r="248" customFormat="false" ht="15" hidden="false" customHeight="false" outlineLevel="0" collapsed="false">
      <c r="A248" s="4" t="s">
        <v>368</v>
      </c>
      <c r="B248" s="4" t="s">
        <v>18</v>
      </c>
      <c r="C248" s="4" t="s">
        <v>306</v>
      </c>
      <c r="D248" s="4" t="s">
        <v>56</v>
      </c>
      <c r="E248" s="4" t="s">
        <v>21</v>
      </c>
      <c r="F248" s="5" t="n">
        <v>91307.89</v>
      </c>
      <c r="G248" s="6" t="n">
        <v>0.05</v>
      </c>
      <c r="H248" s="5" t="n">
        <v>4565.39</v>
      </c>
      <c r="I248" s="5" t="n">
        <v>95873.28</v>
      </c>
    </row>
    <row r="249" customFormat="false" ht="15" hidden="false" customHeight="false" outlineLevel="0" collapsed="false">
      <c r="A249" s="4" t="s">
        <v>369</v>
      </c>
      <c r="B249" s="4" t="s">
        <v>18</v>
      </c>
      <c r="C249" s="4" t="s">
        <v>341</v>
      </c>
      <c r="D249" s="4" t="s">
        <v>86</v>
      </c>
      <c r="E249" s="4" t="s">
        <v>21</v>
      </c>
      <c r="F249" s="5" t="n">
        <v>58933.1</v>
      </c>
      <c r="G249" s="6" t="n">
        <v>0.05</v>
      </c>
      <c r="H249" s="5" t="n">
        <v>2946.66</v>
      </c>
      <c r="I249" s="5" t="n">
        <v>61879.76</v>
      </c>
    </row>
    <row r="250" customFormat="false" ht="15" hidden="false" customHeight="false" outlineLevel="0" collapsed="false">
      <c r="A250" s="4" t="s">
        <v>370</v>
      </c>
      <c r="B250" s="4" t="s">
        <v>18</v>
      </c>
      <c r="C250" s="4" t="s">
        <v>371</v>
      </c>
      <c r="D250" s="4" t="s">
        <v>50</v>
      </c>
      <c r="E250" s="4" t="s">
        <v>46</v>
      </c>
      <c r="F250" s="5" t="n">
        <v>57142.93</v>
      </c>
      <c r="G250" s="6" t="n">
        <v>0</v>
      </c>
      <c r="H250" s="5" t="n">
        <v>0</v>
      </c>
      <c r="I250" s="5" t="n">
        <v>57142.93</v>
      </c>
    </row>
    <row r="251" customFormat="false" ht="15" hidden="false" customHeight="false" outlineLevel="0" collapsed="false">
      <c r="A251" s="4" t="s">
        <v>372</v>
      </c>
      <c r="B251" s="4" t="s">
        <v>18</v>
      </c>
      <c r="C251" s="4" t="s">
        <v>312</v>
      </c>
      <c r="D251" s="4" t="s">
        <v>78</v>
      </c>
      <c r="E251" s="4" t="s">
        <v>21</v>
      </c>
      <c r="F251" s="5" t="n">
        <v>62380.43</v>
      </c>
      <c r="G251" s="6" t="n">
        <v>0.05</v>
      </c>
      <c r="H251" s="5" t="n">
        <v>3119.02</v>
      </c>
      <c r="I251" s="5" t="n">
        <v>65499.45</v>
      </c>
    </row>
    <row r="252" customFormat="false" ht="15" hidden="false" customHeight="false" outlineLevel="0" collapsed="false">
      <c r="A252" s="4" t="s">
        <v>373</v>
      </c>
      <c r="B252" s="4" t="s">
        <v>18</v>
      </c>
      <c r="C252" s="4" t="s">
        <v>327</v>
      </c>
      <c r="D252" s="4" t="s">
        <v>27</v>
      </c>
      <c r="E252" s="4" t="s">
        <v>46</v>
      </c>
      <c r="F252" s="5" t="n">
        <v>53924.85</v>
      </c>
      <c r="G252" s="6" t="n">
        <v>0</v>
      </c>
      <c r="H252" s="5" t="n">
        <v>0</v>
      </c>
      <c r="I252" s="5" t="n">
        <v>53924.85</v>
      </c>
    </row>
    <row r="253" customFormat="false" ht="15" hidden="false" customHeight="false" outlineLevel="0" collapsed="false">
      <c r="A253" s="4" t="s">
        <v>374</v>
      </c>
      <c r="B253" s="4" t="s">
        <v>18</v>
      </c>
      <c r="C253" s="4" t="s">
        <v>375</v>
      </c>
      <c r="D253" s="4" t="s">
        <v>59</v>
      </c>
      <c r="E253" s="4" t="s">
        <v>21</v>
      </c>
      <c r="F253" s="5" t="n">
        <v>27679.32</v>
      </c>
      <c r="G253" s="6" t="n">
        <v>0.05</v>
      </c>
      <c r="H253" s="5" t="n">
        <v>1383.97</v>
      </c>
      <c r="I253" s="5" t="n">
        <v>29063.29</v>
      </c>
    </row>
    <row r="254" customFormat="false" ht="15" hidden="false" customHeight="false" outlineLevel="0" collapsed="false">
      <c r="A254" s="4" t="s">
        <v>376</v>
      </c>
      <c r="B254" s="4" t="s">
        <v>18</v>
      </c>
      <c r="C254" s="4" t="s">
        <v>327</v>
      </c>
      <c r="D254" s="4" t="s">
        <v>27</v>
      </c>
      <c r="E254" s="4" t="s">
        <v>46</v>
      </c>
      <c r="F254" s="5" t="n">
        <v>7213.99</v>
      </c>
      <c r="G254" s="6" t="n">
        <v>0</v>
      </c>
      <c r="H254" s="5" t="n">
        <v>0</v>
      </c>
      <c r="I254" s="5" t="n">
        <v>7213.99</v>
      </c>
    </row>
    <row r="255" customFormat="false" ht="15" hidden="false" customHeight="false" outlineLevel="0" collapsed="false">
      <c r="A255" s="4" t="s">
        <v>377</v>
      </c>
      <c r="B255" s="4" t="s">
        <v>18</v>
      </c>
      <c r="C255" s="4" t="s">
        <v>327</v>
      </c>
      <c r="D255" s="4" t="s">
        <v>24</v>
      </c>
      <c r="E255" s="4" t="s">
        <v>28</v>
      </c>
      <c r="F255" s="5" t="n">
        <v>50874.3</v>
      </c>
      <c r="G255" s="6" t="n">
        <v>0</v>
      </c>
      <c r="H255" s="5" t="n">
        <v>0</v>
      </c>
      <c r="I255" s="5" t="n">
        <v>50874.3</v>
      </c>
    </row>
    <row r="256" customFormat="false" ht="15" hidden="false" customHeight="false" outlineLevel="0" collapsed="false">
      <c r="A256" s="4" t="s">
        <v>378</v>
      </c>
      <c r="B256" s="4" t="s">
        <v>18</v>
      </c>
      <c r="C256" s="4" t="s">
        <v>358</v>
      </c>
      <c r="D256" s="4" t="s">
        <v>59</v>
      </c>
      <c r="E256" s="4" t="s">
        <v>21</v>
      </c>
      <c r="F256" s="5" t="n">
        <v>10222.41</v>
      </c>
      <c r="G256" s="6" t="n">
        <v>0.05</v>
      </c>
      <c r="H256" s="5" t="n">
        <v>511.12</v>
      </c>
      <c r="I256" s="5" t="n">
        <v>10733.53</v>
      </c>
    </row>
    <row r="257" customFormat="false" ht="15" hidden="false" customHeight="false" outlineLevel="0" collapsed="false">
      <c r="A257" s="4" t="s">
        <v>379</v>
      </c>
      <c r="B257" s="4" t="s">
        <v>18</v>
      </c>
      <c r="C257" s="4" t="s">
        <v>316</v>
      </c>
      <c r="D257" s="4" t="s">
        <v>78</v>
      </c>
      <c r="E257" s="4" t="s">
        <v>28</v>
      </c>
      <c r="F257" s="5" t="n">
        <v>85282.6</v>
      </c>
      <c r="G257" s="6" t="n">
        <v>0</v>
      </c>
      <c r="H257" s="5" t="n">
        <v>0</v>
      </c>
      <c r="I257" s="5" t="n">
        <v>85282.6</v>
      </c>
    </row>
    <row r="258" customFormat="false" ht="15" hidden="false" customHeight="false" outlineLevel="0" collapsed="false">
      <c r="A258" s="4" t="s">
        <v>380</v>
      </c>
      <c r="B258" s="4" t="s">
        <v>18</v>
      </c>
      <c r="C258" s="4" t="s">
        <v>334</v>
      </c>
      <c r="D258" s="4" t="s">
        <v>24</v>
      </c>
      <c r="E258" s="4" t="s">
        <v>21</v>
      </c>
      <c r="F258" s="5" t="n">
        <v>36243.43</v>
      </c>
      <c r="G258" s="6" t="n">
        <v>0.05</v>
      </c>
      <c r="H258" s="5" t="n">
        <v>1812.17</v>
      </c>
      <c r="I258" s="5" t="n">
        <v>38055.6</v>
      </c>
    </row>
    <row r="259" customFormat="false" ht="15" hidden="false" customHeight="false" outlineLevel="0" collapsed="false">
      <c r="A259" s="4" t="s">
        <v>381</v>
      </c>
      <c r="B259" s="4" t="s">
        <v>18</v>
      </c>
      <c r="C259" s="4" t="s">
        <v>325</v>
      </c>
      <c r="D259" s="4" t="s">
        <v>78</v>
      </c>
      <c r="E259" s="4" t="s">
        <v>46</v>
      </c>
      <c r="F259" s="5" t="n">
        <v>76400.08</v>
      </c>
      <c r="G259" s="6" t="n">
        <v>0</v>
      </c>
      <c r="H259" s="5" t="n">
        <v>0</v>
      </c>
      <c r="I259" s="5" t="n">
        <v>76400.08</v>
      </c>
    </row>
    <row r="260" customFormat="false" ht="15" hidden="false" customHeight="false" outlineLevel="0" collapsed="false">
      <c r="A260" s="4" t="s">
        <v>382</v>
      </c>
      <c r="B260" s="4" t="s">
        <v>18</v>
      </c>
      <c r="C260" s="4" t="s">
        <v>306</v>
      </c>
      <c r="D260" s="4" t="s">
        <v>24</v>
      </c>
      <c r="E260" s="4" t="s">
        <v>21</v>
      </c>
      <c r="F260" s="5" t="n">
        <v>94719.03</v>
      </c>
      <c r="G260" s="6" t="n">
        <v>0.05</v>
      </c>
      <c r="H260" s="5" t="n">
        <v>4735.95</v>
      </c>
      <c r="I260" s="5" t="n">
        <v>99454.98</v>
      </c>
    </row>
    <row r="261" customFormat="false" ht="15" hidden="false" customHeight="false" outlineLevel="0" collapsed="false">
      <c r="A261" s="4" t="s">
        <v>383</v>
      </c>
      <c r="B261" s="4" t="s">
        <v>18</v>
      </c>
      <c r="C261" s="4" t="s">
        <v>365</v>
      </c>
      <c r="D261" s="4" t="s">
        <v>62</v>
      </c>
      <c r="E261" s="4" t="s">
        <v>21</v>
      </c>
      <c r="F261" s="5" t="n">
        <v>49844.05</v>
      </c>
      <c r="G261" s="6" t="n">
        <v>0.05</v>
      </c>
      <c r="H261" s="5" t="n">
        <v>2492.2</v>
      </c>
      <c r="I261" s="5" t="n">
        <v>52336.25</v>
      </c>
    </row>
    <row r="262" customFormat="false" ht="15" hidden="false" customHeight="false" outlineLevel="0" collapsed="false">
      <c r="A262" s="4" t="s">
        <v>384</v>
      </c>
      <c r="B262" s="4" t="s">
        <v>18</v>
      </c>
      <c r="C262" s="4" t="s">
        <v>323</v>
      </c>
      <c r="D262" s="4" t="s">
        <v>31</v>
      </c>
      <c r="E262" s="4" t="s">
        <v>28</v>
      </c>
      <c r="F262" s="5" t="n">
        <v>23065.33</v>
      </c>
      <c r="G262" s="6" t="n">
        <v>0</v>
      </c>
      <c r="H262" s="5" t="n">
        <v>0</v>
      </c>
      <c r="I262" s="5" t="n">
        <v>23065.33</v>
      </c>
    </row>
    <row r="263" customFormat="false" ht="15" hidden="false" customHeight="false" outlineLevel="0" collapsed="false">
      <c r="A263" s="4" t="s">
        <v>385</v>
      </c>
      <c r="B263" s="4" t="s">
        <v>18</v>
      </c>
      <c r="C263" s="4" t="s">
        <v>341</v>
      </c>
      <c r="D263" s="4" t="s">
        <v>86</v>
      </c>
      <c r="E263" s="4" t="s">
        <v>21</v>
      </c>
      <c r="F263" s="5" t="n">
        <v>16257.95</v>
      </c>
      <c r="G263" s="6" t="n">
        <v>0.05</v>
      </c>
      <c r="H263" s="5" t="n">
        <v>812.9</v>
      </c>
      <c r="I263" s="5" t="n">
        <v>17070.85</v>
      </c>
    </row>
    <row r="264" customFormat="false" ht="15" hidden="false" customHeight="false" outlineLevel="0" collapsed="false">
      <c r="A264" s="4" t="s">
        <v>386</v>
      </c>
      <c r="B264" s="4" t="s">
        <v>18</v>
      </c>
      <c r="C264" s="4" t="s">
        <v>308</v>
      </c>
      <c r="D264" s="4" t="s">
        <v>45</v>
      </c>
      <c r="E264" s="4" t="s">
        <v>21</v>
      </c>
      <c r="F264" s="5" t="n">
        <v>42995.52</v>
      </c>
      <c r="G264" s="6" t="n">
        <v>0.05</v>
      </c>
      <c r="H264" s="5" t="n">
        <v>2149.78</v>
      </c>
      <c r="I264" s="5" t="n">
        <v>45145.3</v>
      </c>
    </row>
    <row r="265" customFormat="false" ht="15" hidden="false" customHeight="false" outlineLevel="0" collapsed="false">
      <c r="A265" s="4" t="s">
        <v>387</v>
      </c>
      <c r="B265" s="4" t="s">
        <v>18</v>
      </c>
      <c r="C265" s="4" t="s">
        <v>375</v>
      </c>
      <c r="D265" s="4" t="s">
        <v>50</v>
      </c>
      <c r="E265" s="4" t="s">
        <v>21</v>
      </c>
      <c r="F265" s="5" t="n">
        <v>25860.6</v>
      </c>
      <c r="G265" s="6" t="n">
        <v>0.05</v>
      </c>
      <c r="H265" s="5" t="n">
        <v>1293.03</v>
      </c>
      <c r="I265" s="5" t="n">
        <v>27153.63</v>
      </c>
    </row>
    <row r="266" customFormat="false" ht="15" hidden="false" customHeight="false" outlineLevel="0" collapsed="false">
      <c r="A266" s="4" t="s">
        <v>388</v>
      </c>
      <c r="B266" s="4" t="s">
        <v>18</v>
      </c>
      <c r="C266" s="4" t="s">
        <v>306</v>
      </c>
      <c r="D266" s="4" t="s">
        <v>56</v>
      </c>
      <c r="E266" s="4" t="s">
        <v>28</v>
      </c>
      <c r="F266" s="5" t="n">
        <v>47872.1</v>
      </c>
      <c r="G266" s="6" t="n">
        <v>0</v>
      </c>
      <c r="H266" s="5" t="n">
        <v>0</v>
      </c>
      <c r="I266" s="5" t="n">
        <v>47872.1</v>
      </c>
    </row>
    <row r="267" customFormat="false" ht="15" hidden="false" customHeight="false" outlineLevel="0" collapsed="false">
      <c r="A267" s="4" t="s">
        <v>389</v>
      </c>
      <c r="B267" s="4" t="s">
        <v>18</v>
      </c>
      <c r="C267" s="4" t="s">
        <v>375</v>
      </c>
      <c r="D267" s="4" t="s">
        <v>86</v>
      </c>
      <c r="E267" s="4" t="s">
        <v>21</v>
      </c>
      <c r="F267" s="5" t="n">
        <v>13047.37</v>
      </c>
      <c r="G267" s="6" t="n">
        <v>0.05</v>
      </c>
      <c r="H267" s="5" t="n">
        <v>652.37</v>
      </c>
      <c r="I267" s="5" t="n">
        <v>13699.74</v>
      </c>
    </row>
    <row r="268" customFormat="false" ht="15" hidden="false" customHeight="false" outlineLevel="0" collapsed="false">
      <c r="A268" s="4" t="s">
        <v>390</v>
      </c>
      <c r="B268" s="4" t="s">
        <v>18</v>
      </c>
      <c r="C268" s="4" t="s">
        <v>371</v>
      </c>
      <c r="D268" s="4" t="s">
        <v>56</v>
      </c>
      <c r="E268" s="4" t="s">
        <v>28</v>
      </c>
      <c r="F268" s="5" t="n">
        <v>47773.85</v>
      </c>
      <c r="G268" s="6" t="n">
        <v>0</v>
      </c>
      <c r="H268" s="5" t="n">
        <v>0</v>
      </c>
      <c r="I268" s="5" t="n">
        <v>47773.85</v>
      </c>
    </row>
    <row r="269" customFormat="false" ht="15" hidden="false" customHeight="false" outlineLevel="0" collapsed="false">
      <c r="A269" s="4" t="s">
        <v>391</v>
      </c>
      <c r="B269" s="4" t="s">
        <v>18</v>
      </c>
      <c r="C269" s="4" t="s">
        <v>320</v>
      </c>
      <c r="D269" s="4" t="s">
        <v>50</v>
      </c>
      <c r="E269" s="4" t="s">
        <v>21</v>
      </c>
      <c r="F269" s="5" t="n">
        <v>80408.08</v>
      </c>
      <c r="G269" s="6" t="n">
        <v>0.05</v>
      </c>
      <c r="H269" s="5" t="n">
        <v>4020.4</v>
      </c>
      <c r="I269" s="5" t="n">
        <v>84428.48</v>
      </c>
    </row>
    <row r="270" customFormat="false" ht="15" hidden="false" customHeight="false" outlineLevel="0" collapsed="false">
      <c r="A270" s="4" t="s">
        <v>392</v>
      </c>
      <c r="B270" s="4" t="s">
        <v>18</v>
      </c>
      <c r="C270" s="4" t="s">
        <v>354</v>
      </c>
      <c r="D270" s="4" t="s">
        <v>78</v>
      </c>
      <c r="E270" s="4" t="s">
        <v>21</v>
      </c>
      <c r="F270" s="5" t="n">
        <v>53823.04</v>
      </c>
      <c r="G270" s="6" t="n">
        <v>0.05</v>
      </c>
      <c r="H270" s="5" t="n">
        <v>2691.15</v>
      </c>
      <c r="I270" s="5" t="n">
        <v>56514.19</v>
      </c>
    </row>
    <row r="271" customFormat="false" ht="15" hidden="false" customHeight="false" outlineLevel="0" collapsed="false">
      <c r="A271" s="4" t="s">
        <v>393</v>
      </c>
      <c r="B271" s="4" t="s">
        <v>18</v>
      </c>
      <c r="C271" s="4" t="s">
        <v>323</v>
      </c>
      <c r="D271" s="4" t="s">
        <v>20</v>
      </c>
      <c r="E271" s="4" t="s">
        <v>21</v>
      </c>
      <c r="F271" s="5" t="n">
        <v>81542.37</v>
      </c>
      <c r="G271" s="6" t="n">
        <v>0.05</v>
      </c>
      <c r="H271" s="5" t="n">
        <v>4077.12</v>
      </c>
      <c r="I271" s="5" t="n">
        <v>85619.49</v>
      </c>
    </row>
    <row r="272" customFormat="false" ht="15" hidden="false" customHeight="false" outlineLevel="0" collapsed="false">
      <c r="A272" s="4" t="s">
        <v>394</v>
      </c>
      <c r="B272" s="4" t="s">
        <v>18</v>
      </c>
      <c r="C272" s="4" t="s">
        <v>312</v>
      </c>
      <c r="D272" s="4" t="s">
        <v>27</v>
      </c>
      <c r="E272" s="4" t="s">
        <v>21</v>
      </c>
      <c r="F272" s="5" t="n">
        <v>16603.11</v>
      </c>
      <c r="G272" s="6" t="n">
        <v>0.05</v>
      </c>
      <c r="H272" s="5" t="n">
        <v>830.16</v>
      </c>
      <c r="I272" s="5" t="n">
        <v>17433.27</v>
      </c>
    </row>
    <row r="273" customFormat="false" ht="15" hidden="false" customHeight="false" outlineLevel="0" collapsed="false">
      <c r="A273" s="4" t="s">
        <v>395</v>
      </c>
      <c r="B273" s="4" t="s">
        <v>18</v>
      </c>
      <c r="C273" s="4" t="s">
        <v>331</v>
      </c>
      <c r="D273" s="4" t="s">
        <v>45</v>
      </c>
      <c r="E273" s="4" t="s">
        <v>21</v>
      </c>
      <c r="F273" s="5" t="n">
        <v>34668.39</v>
      </c>
      <c r="G273" s="6" t="n">
        <v>0.05</v>
      </c>
      <c r="H273" s="5" t="n">
        <v>1733.42</v>
      </c>
      <c r="I273" s="5" t="n">
        <v>36401.81</v>
      </c>
    </row>
    <row r="274" customFormat="false" ht="15" hidden="false" customHeight="false" outlineLevel="0" collapsed="false">
      <c r="A274" s="4" t="s">
        <v>396</v>
      </c>
      <c r="B274" s="4" t="s">
        <v>18</v>
      </c>
      <c r="C274" s="4" t="s">
        <v>314</v>
      </c>
      <c r="D274" s="4" t="s">
        <v>31</v>
      </c>
      <c r="E274" s="4" t="s">
        <v>21</v>
      </c>
      <c r="F274" s="5" t="n">
        <v>94707.68</v>
      </c>
      <c r="G274" s="6" t="n">
        <v>0.05</v>
      </c>
      <c r="H274" s="5" t="n">
        <v>4735.38</v>
      </c>
      <c r="I274" s="5" t="n">
        <v>99443.06</v>
      </c>
    </row>
    <row r="275" customFormat="false" ht="15" hidden="false" customHeight="false" outlineLevel="0" collapsed="false">
      <c r="A275" s="4" t="s">
        <v>397</v>
      </c>
      <c r="B275" s="4" t="s">
        <v>18</v>
      </c>
      <c r="C275" s="4" t="s">
        <v>345</v>
      </c>
      <c r="D275" s="4" t="s">
        <v>70</v>
      </c>
      <c r="E275" s="4" t="s">
        <v>21</v>
      </c>
      <c r="F275" s="5" t="n">
        <v>50162.56</v>
      </c>
      <c r="G275" s="6" t="n">
        <v>0.05</v>
      </c>
      <c r="H275" s="5" t="n">
        <v>2508.13</v>
      </c>
      <c r="I275" s="5" t="n">
        <v>52670.69</v>
      </c>
    </row>
    <row r="276" customFormat="false" ht="15" hidden="false" customHeight="false" outlineLevel="0" collapsed="false">
      <c r="A276" s="4" t="s">
        <v>398</v>
      </c>
      <c r="B276" s="4" t="s">
        <v>18</v>
      </c>
      <c r="C276" s="4" t="s">
        <v>371</v>
      </c>
      <c r="D276" s="4" t="s">
        <v>56</v>
      </c>
      <c r="E276" s="4" t="s">
        <v>21</v>
      </c>
      <c r="F276" s="5" t="n">
        <v>64588.53</v>
      </c>
      <c r="G276" s="6" t="n">
        <v>0.05</v>
      </c>
      <c r="H276" s="5" t="n">
        <v>3229.43</v>
      </c>
      <c r="I276" s="5" t="n">
        <v>67817.96</v>
      </c>
    </row>
    <row r="277" customFormat="false" ht="15" hidden="false" customHeight="false" outlineLevel="0" collapsed="false">
      <c r="A277" s="4" t="s">
        <v>399</v>
      </c>
      <c r="B277" s="4" t="s">
        <v>120</v>
      </c>
      <c r="C277" s="4" t="s">
        <v>336</v>
      </c>
      <c r="D277" s="4" t="s">
        <v>125</v>
      </c>
      <c r="E277" s="4" t="s">
        <v>46</v>
      </c>
      <c r="F277" s="5" t="n">
        <v>35635.39</v>
      </c>
      <c r="G277" s="6" t="n">
        <v>0</v>
      </c>
      <c r="H277" s="5" t="n">
        <v>0</v>
      </c>
      <c r="I277" s="5" t="n">
        <v>35635.39</v>
      </c>
    </row>
    <row r="278" customFormat="false" ht="15" hidden="false" customHeight="false" outlineLevel="0" collapsed="false">
      <c r="A278" s="4" t="s">
        <v>400</v>
      </c>
      <c r="B278" s="4" t="s">
        <v>120</v>
      </c>
      <c r="C278" s="4" t="s">
        <v>375</v>
      </c>
      <c r="D278" s="4" t="s">
        <v>146</v>
      </c>
      <c r="E278" s="4" t="s">
        <v>21</v>
      </c>
      <c r="F278" s="5" t="n">
        <v>22097.78</v>
      </c>
      <c r="G278" s="6" t="n">
        <v>0.05</v>
      </c>
      <c r="H278" s="5" t="n">
        <v>1104.89</v>
      </c>
      <c r="I278" s="5" t="n">
        <v>23202.67</v>
      </c>
    </row>
    <row r="279" customFormat="false" ht="15" hidden="false" customHeight="false" outlineLevel="0" collapsed="false">
      <c r="A279" s="4" t="s">
        <v>401</v>
      </c>
      <c r="B279" s="4" t="s">
        <v>120</v>
      </c>
      <c r="C279" s="4" t="s">
        <v>336</v>
      </c>
      <c r="D279" s="4" t="s">
        <v>144</v>
      </c>
      <c r="E279" s="4" t="s">
        <v>21</v>
      </c>
      <c r="F279" s="5" t="n">
        <v>16166.52</v>
      </c>
      <c r="G279" s="6" t="n">
        <v>0.05</v>
      </c>
      <c r="H279" s="5" t="n">
        <v>808.33</v>
      </c>
      <c r="I279" s="5" t="n">
        <v>16974.85</v>
      </c>
    </row>
    <row r="280" customFormat="false" ht="15" hidden="false" customHeight="false" outlineLevel="0" collapsed="false">
      <c r="A280" s="4" t="s">
        <v>402</v>
      </c>
      <c r="B280" s="4" t="s">
        <v>120</v>
      </c>
      <c r="C280" s="4" t="s">
        <v>403</v>
      </c>
      <c r="D280" s="4" t="s">
        <v>125</v>
      </c>
      <c r="E280" s="4" t="s">
        <v>21</v>
      </c>
      <c r="F280" s="5" t="n">
        <v>8891.21</v>
      </c>
      <c r="G280" s="6" t="n">
        <v>0.05</v>
      </c>
      <c r="H280" s="5" t="n">
        <v>444.56</v>
      </c>
      <c r="I280" s="5" t="n">
        <v>9335.77</v>
      </c>
    </row>
    <row r="281" customFormat="false" ht="15" hidden="false" customHeight="false" outlineLevel="0" collapsed="false">
      <c r="A281" s="4" t="s">
        <v>404</v>
      </c>
      <c r="B281" s="4" t="s">
        <v>120</v>
      </c>
      <c r="C281" s="4" t="s">
        <v>308</v>
      </c>
      <c r="D281" s="4" t="s">
        <v>123</v>
      </c>
      <c r="E281" s="4" t="s">
        <v>21</v>
      </c>
      <c r="F281" s="5" t="n">
        <v>22335.3</v>
      </c>
      <c r="G281" s="6" t="n">
        <v>0.05</v>
      </c>
      <c r="H281" s="5" t="n">
        <v>1116.77</v>
      </c>
      <c r="I281" s="5" t="n">
        <v>23452.07</v>
      </c>
    </row>
    <row r="282" customFormat="false" ht="15" hidden="false" customHeight="false" outlineLevel="0" collapsed="false">
      <c r="A282" s="4" t="s">
        <v>405</v>
      </c>
      <c r="B282" s="4" t="s">
        <v>120</v>
      </c>
      <c r="C282" s="4" t="s">
        <v>316</v>
      </c>
      <c r="D282" s="4" t="s">
        <v>127</v>
      </c>
      <c r="E282" s="4" t="s">
        <v>21</v>
      </c>
      <c r="F282" s="5" t="n">
        <v>1741.21</v>
      </c>
      <c r="G282" s="6" t="n">
        <v>0.05</v>
      </c>
      <c r="H282" s="5" t="n">
        <v>87.06</v>
      </c>
      <c r="I282" s="5" t="n">
        <v>1828.27</v>
      </c>
    </row>
    <row r="283" customFormat="false" ht="15" hidden="false" customHeight="false" outlineLevel="0" collapsed="false">
      <c r="A283" s="4" t="s">
        <v>406</v>
      </c>
      <c r="B283" s="4" t="s">
        <v>120</v>
      </c>
      <c r="C283" s="4" t="s">
        <v>407</v>
      </c>
      <c r="D283" s="4" t="s">
        <v>123</v>
      </c>
      <c r="E283" s="4" t="s">
        <v>21</v>
      </c>
      <c r="F283" s="5" t="n">
        <v>13484.16</v>
      </c>
      <c r="G283" s="6" t="n">
        <v>0.05</v>
      </c>
      <c r="H283" s="5" t="n">
        <v>674.21</v>
      </c>
      <c r="I283" s="5" t="n">
        <v>14158.37</v>
      </c>
    </row>
    <row r="284" customFormat="false" ht="15" hidden="false" customHeight="false" outlineLevel="0" collapsed="false">
      <c r="A284" s="4" t="s">
        <v>408</v>
      </c>
      <c r="B284" s="4" t="s">
        <v>120</v>
      </c>
      <c r="C284" s="4" t="s">
        <v>331</v>
      </c>
      <c r="D284" s="4" t="s">
        <v>123</v>
      </c>
      <c r="E284" s="4" t="s">
        <v>46</v>
      </c>
      <c r="F284" s="5" t="n">
        <v>39378.79</v>
      </c>
      <c r="G284" s="6" t="n">
        <v>0</v>
      </c>
      <c r="H284" s="5" t="n">
        <v>0</v>
      </c>
      <c r="I284" s="5" t="n">
        <v>39378.79</v>
      </c>
    </row>
    <row r="285" customFormat="false" ht="15" hidden="false" customHeight="false" outlineLevel="0" collapsed="false">
      <c r="A285" s="4" t="s">
        <v>409</v>
      </c>
      <c r="B285" s="4" t="s">
        <v>120</v>
      </c>
      <c r="C285" s="4" t="s">
        <v>371</v>
      </c>
      <c r="D285" s="4" t="s">
        <v>146</v>
      </c>
      <c r="E285" s="4" t="s">
        <v>21</v>
      </c>
      <c r="F285" s="5" t="n">
        <v>4913.8</v>
      </c>
      <c r="G285" s="6" t="n">
        <v>0.05</v>
      </c>
      <c r="H285" s="5" t="n">
        <v>245.69</v>
      </c>
      <c r="I285" s="5" t="n">
        <v>5159.49</v>
      </c>
    </row>
    <row r="286" customFormat="false" ht="15" hidden="false" customHeight="false" outlineLevel="0" collapsed="false">
      <c r="A286" s="4" t="s">
        <v>410</v>
      </c>
      <c r="B286" s="4" t="s">
        <v>120</v>
      </c>
      <c r="C286" s="4" t="s">
        <v>349</v>
      </c>
      <c r="D286" s="4" t="s">
        <v>149</v>
      </c>
      <c r="E286" s="4" t="s">
        <v>21</v>
      </c>
      <c r="F286" s="5" t="n">
        <v>13534.81</v>
      </c>
      <c r="G286" s="6" t="n">
        <v>0.05</v>
      </c>
      <c r="H286" s="5" t="n">
        <v>676.74</v>
      </c>
      <c r="I286" s="5" t="n">
        <v>14211.55</v>
      </c>
    </row>
    <row r="287" customFormat="false" ht="15" hidden="false" customHeight="false" outlineLevel="0" collapsed="false">
      <c r="A287" s="4" t="s">
        <v>411</v>
      </c>
      <c r="B287" s="4" t="s">
        <v>120</v>
      </c>
      <c r="C287" s="4" t="s">
        <v>407</v>
      </c>
      <c r="D287" s="4" t="s">
        <v>121</v>
      </c>
      <c r="E287" s="4" t="s">
        <v>21</v>
      </c>
      <c r="F287" s="5" t="n">
        <v>6833.06</v>
      </c>
      <c r="G287" s="6" t="n">
        <v>0.05</v>
      </c>
      <c r="H287" s="5" t="n">
        <v>341.65</v>
      </c>
      <c r="I287" s="5" t="n">
        <v>7174.71</v>
      </c>
    </row>
    <row r="288" customFormat="false" ht="15" hidden="false" customHeight="false" outlineLevel="0" collapsed="false">
      <c r="A288" s="4" t="s">
        <v>412</v>
      </c>
      <c r="B288" s="4" t="s">
        <v>120</v>
      </c>
      <c r="C288" s="4" t="s">
        <v>341</v>
      </c>
      <c r="D288" s="4" t="s">
        <v>146</v>
      </c>
      <c r="E288" s="4" t="s">
        <v>21</v>
      </c>
      <c r="F288" s="5" t="n">
        <v>15407.89</v>
      </c>
      <c r="G288" s="6" t="n">
        <v>0.05</v>
      </c>
      <c r="H288" s="5" t="n">
        <v>770.39</v>
      </c>
      <c r="I288" s="5" t="n">
        <v>16178.28</v>
      </c>
    </row>
    <row r="289" customFormat="false" ht="15" hidden="false" customHeight="false" outlineLevel="0" collapsed="false">
      <c r="A289" s="4" t="s">
        <v>413</v>
      </c>
      <c r="B289" s="4" t="s">
        <v>120</v>
      </c>
      <c r="C289" s="4" t="s">
        <v>414</v>
      </c>
      <c r="D289" s="4" t="s">
        <v>149</v>
      </c>
      <c r="E289" s="4" t="s">
        <v>21</v>
      </c>
      <c r="F289" s="5" t="n">
        <v>7005.63</v>
      </c>
      <c r="G289" s="6" t="n">
        <v>0.05</v>
      </c>
      <c r="H289" s="5" t="n">
        <v>350.28</v>
      </c>
      <c r="I289" s="5" t="n">
        <v>7355.91</v>
      </c>
    </row>
    <row r="290" customFormat="false" ht="15" hidden="false" customHeight="false" outlineLevel="0" collapsed="false">
      <c r="A290" s="4" t="s">
        <v>415</v>
      </c>
      <c r="B290" s="4" t="s">
        <v>120</v>
      </c>
      <c r="C290" s="4" t="s">
        <v>365</v>
      </c>
      <c r="D290" s="4" t="s">
        <v>144</v>
      </c>
      <c r="E290" s="4" t="s">
        <v>28</v>
      </c>
      <c r="F290" s="5" t="n">
        <v>32786.55</v>
      </c>
      <c r="G290" s="6" t="n">
        <v>0</v>
      </c>
      <c r="H290" s="5" t="n">
        <v>0</v>
      </c>
      <c r="I290" s="5" t="n">
        <v>32786.55</v>
      </c>
    </row>
    <row r="291" customFormat="false" ht="15" hidden="false" customHeight="false" outlineLevel="0" collapsed="false">
      <c r="A291" s="4" t="s">
        <v>416</v>
      </c>
      <c r="B291" s="4" t="s">
        <v>120</v>
      </c>
      <c r="C291" s="4" t="s">
        <v>323</v>
      </c>
      <c r="D291" s="4" t="s">
        <v>121</v>
      </c>
      <c r="E291" s="4" t="s">
        <v>21</v>
      </c>
      <c r="F291" s="5" t="n">
        <v>673.37</v>
      </c>
      <c r="G291" s="6" t="n">
        <v>0.05</v>
      </c>
      <c r="H291" s="5" t="n">
        <v>33.67</v>
      </c>
      <c r="I291" s="5" t="n">
        <v>707.04</v>
      </c>
    </row>
    <row r="292" customFormat="false" ht="15" hidden="false" customHeight="false" outlineLevel="0" collapsed="false">
      <c r="A292" s="4" t="s">
        <v>417</v>
      </c>
      <c r="B292" s="4" t="s">
        <v>120</v>
      </c>
      <c r="C292" s="4" t="s">
        <v>314</v>
      </c>
      <c r="D292" s="4" t="s">
        <v>125</v>
      </c>
      <c r="E292" s="4" t="s">
        <v>21</v>
      </c>
      <c r="F292" s="5" t="n">
        <v>5880.03</v>
      </c>
      <c r="G292" s="6" t="n">
        <v>0.05</v>
      </c>
      <c r="H292" s="5" t="n">
        <v>294</v>
      </c>
      <c r="I292" s="5" t="n">
        <v>6174.03</v>
      </c>
    </row>
    <row r="293" customFormat="false" ht="15" hidden="false" customHeight="false" outlineLevel="0" collapsed="false">
      <c r="A293" s="4" t="s">
        <v>418</v>
      </c>
      <c r="B293" s="4" t="s">
        <v>120</v>
      </c>
      <c r="C293" s="4" t="s">
        <v>419</v>
      </c>
      <c r="D293" s="4" t="s">
        <v>127</v>
      </c>
      <c r="E293" s="4" t="s">
        <v>21</v>
      </c>
      <c r="F293" s="5" t="n">
        <v>16363.03</v>
      </c>
      <c r="G293" s="6" t="n">
        <v>0.05</v>
      </c>
      <c r="H293" s="5" t="n">
        <v>818.15</v>
      </c>
      <c r="I293" s="5" t="n">
        <v>17181.18</v>
      </c>
    </row>
    <row r="294" customFormat="false" ht="15" hidden="false" customHeight="false" outlineLevel="0" collapsed="false">
      <c r="A294" s="4" t="s">
        <v>420</v>
      </c>
      <c r="B294" s="4" t="s">
        <v>120</v>
      </c>
      <c r="C294" s="4" t="s">
        <v>316</v>
      </c>
      <c r="D294" s="4" t="s">
        <v>146</v>
      </c>
      <c r="E294" s="4" t="s">
        <v>21</v>
      </c>
      <c r="F294" s="5" t="n">
        <v>8154.77</v>
      </c>
      <c r="G294" s="6" t="n">
        <v>0.05</v>
      </c>
      <c r="H294" s="5" t="n">
        <v>407.74</v>
      </c>
      <c r="I294" s="5" t="n">
        <v>8562.51</v>
      </c>
    </row>
    <row r="295" customFormat="false" ht="15" hidden="false" customHeight="false" outlineLevel="0" collapsed="false">
      <c r="A295" s="4" t="s">
        <v>421</v>
      </c>
      <c r="B295" s="4" t="s">
        <v>120</v>
      </c>
      <c r="C295" s="4" t="s">
        <v>334</v>
      </c>
      <c r="D295" s="4" t="s">
        <v>130</v>
      </c>
      <c r="E295" s="4" t="s">
        <v>28</v>
      </c>
      <c r="F295" s="5" t="n">
        <v>23900.27</v>
      </c>
      <c r="G295" s="6" t="n">
        <v>0</v>
      </c>
      <c r="H295" s="5" t="n">
        <v>0</v>
      </c>
      <c r="I295" s="5" t="n">
        <v>23900.27</v>
      </c>
    </row>
    <row r="296" customFormat="false" ht="15" hidden="false" customHeight="false" outlineLevel="0" collapsed="false">
      <c r="A296" s="4" t="s">
        <v>422</v>
      </c>
      <c r="B296" s="4" t="s">
        <v>120</v>
      </c>
      <c r="C296" s="4" t="s">
        <v>310</v>
      </c>
      <c r="D296" s="4" t="s">
        <v>123</v>
      </c>
      <c r="E296" s="4" t="s">
        <v>21</v>
      </c>
      <c r="F296" s="5" t="n">
        <v>38805.65</v>
      </c>
      <c r="G296" s="6" t="n">
        <v>0.05</v>
      </c>
      <c r="H296" s="5" t="n">
        <v>1940.28</v>
      </c>
      <c r="I296" s="5" t="n">
        <v>40745.93</v>
      </c>
    </row>
    <row r="297" customFormat="false" ht="15" hidden="false" customHeight="false" outlineLevel="0" collapsed="false">
      <c r="A297" s="4" t="s">
        <v>423</v>
      </c>
      <c r="B297" s="4" t="s">
        <v>120</v>
      </c>
      <c r="C297" s="4" t="s">
        <v>331</v>
      </c>
      <c r="D297" s="4" t="s">
        <v>144</v>
      </c>
      <c r="E297" s="4" t="s">
        <v>28</v>
      </c>
      <c r="F297" s="5" t="n">
        <v>37126.31</v>
      </c>
      <c r="G297" s="6" t="n">
        <v>0</v>
      </c>
      <c r="H297" s="5" t="n">
        <v>0</v>
      </c>
      <c r="I297" s="5" t="n">
        <v>37126.31</v>
      </c>
    </row>
    <row r="298" customFormat="false" ht="15" hidden="false" customHeight="false" outlineLevel="0" collapsed="false">
      <c r="A298" s="4" t="s">
        <v>424</v>
      </c>
      <c r="B298" s="4" t="s">
        <v>120</v>
      </c>
      <c r="C298" s="4" t="s">
        <v>327</v>
      </c>
      <c r="D298" s="4" t="s">
        <v>130</v>
      </c>
      <c r="E298" s="4" t="s">
        <v>21</v>
      </c>
      <c r="F298" s="5" t="n">
        <v>17631.94</v>
      </c>
      <c r="G298" s="6" t="n">
        <v>0.05</v>
      </c>
      <c r="H298" s="5" t="n">
        <v>881.6</v>
      </c>
      <c r="I298" s="5" t="n">
        <v>18513.54</v>
      </c>
    </row>
    <row r="299" customFormat="false" ht="15" hidden="false" customHeight="false" outlineLevel="0" collapsed="false">
      <c r="A299" s="4" t="s">
        <v>425</v>
      </c>
      <c r="B299" s="4" t="s">
        <v>120</v>
      </c>
      <c r="C299" s="4" t="s">
        <v>310</v>
      </c>
      <c r="D299" s="4" t="s">
        <v>127</v>
      </c>
      <c r="E299" s="4" t="s">
        <v>28</v>
      </c>
      <c r="F299" s="5" t="n">
        <v>33743.08</v>
      </c>
      <c r="G299" s="6" t="n">
        <v>0</v>
      </c>
      <c r="H299" s="5" t="n">
        <v>0</v>
      </c>
      <c r="I299" s="5" t="n">
        <v>33743.08</v>
      </c>
    </row>
    <row r="300" customFormat="false" ht="15" hidden="false" customHeight="false" outlineLevel="0" collapsed="false">
      <c r="A300" s="4" t="s">
        <v>426</v>
      </c>
      <c r="B300" s="4" t="s">
        <v>120</v>
      </c>
      <c r="C300" s="4" t="s">
        <v>375</v>
      </c>
      <c r="D300" s="4" t="s">
        <v>144</v>
      </c>
      <c r="E300" s="4" t="s">
        <v>21</v>
      </c>
      <c r="F300" s="5" t="n">
        <v>24533.26</v>
      </c>
      <c r="G300" s="6" t="n">
        <v>0.05</v>
      </c>
      <c r="H300" s="5" t="n">
        <v>1226.66</v>
      </c>
      <c r="I300" s="5" t="n">
        <v>25759.92</v>
      </c>
    </row>
    <row r="301" customFormat="false" ht="15" hidden="false" customHeight="false" outlineLevel="0" collapsed="false">
      <c r="A301" s="4" t="s">
        <v>427</v>
      </c>
      <c r="B301" s="4" t="s">
        <v>120</v>
      </c>
      <c r="C301" s="4" t="s">
        <v>349</v>
      </c>
      <c r="D301" s="4" t="s">
        <v>133</v>
      </c>
      <c r="E301" s="4" t="s">
        <v>28</v>
      </c>
      <c r="F301" s="5" t="n">
        <v>12697.38</v>
      </c>
      <c r="G301" s="6" t="n">
        <v>0</v>
      </c>
      <c r="H301" s="5" t="n">
        <v>0</v>
      </c>
      <c r="I301" s="5" t="n">
        <v>12697.38</v>
      </c>
    </row>
    <row r="302" customFormat="false" ht="15" hidden="false" customHeight="false" outlineLevel="0" collapsed="false">
      <c r="A302" s="4" t="s">
        <v>428</v>
      </c>
      <c r="B302" s="4" t="s">
        <v>120</v>
      </c>
      <c r="C302" s="4" t="s">
        <v>358</v>
      </c>
      <c r="D302" s="4" t="s">
        <v>146</v>
      </c>
      <c r="E302" s="4" t="s">
        <v>46</v>
      </c>
      <c r="F302" s="5" t="n">
        <v>1896.29</v>
      </c>
      <c r="G302" s="6" t="n">
        <v>0</v>
      </c>
      <c r="H302" s="5" t="n">
        <v>0</v>
      </c>
      <c r="I302" s="5" t="n">
        <v>1896.29</v>
      </c>
    </row>
    <row r="303" customFormat="false" ht="15" hidden="false" customHeight="false" outlineLevel="0" collapsed="false">
      <c r="A303" s="4" t="s">
        <v>429</v>
      </c>
      <c r="B303" s="4" t="s">
        <v>120</v>
      </c>
      <c r="C303" s="4" t="s">
        <v>414</v>
      </c>
      <c r="D303" s="4" t="s">
        <v>121</v>
      </c>
      <c r="E303" s="4" t="s">
        <v>21</v>
      </c>
      <c r="F303" s="5" t="n">
        <v>17775.79</v>
      </c>
      <c r="G303" s="6" t="n">
        <v>0.05</v>
      </c>
      <c r="H303" s="5" t="n">
        <v>888.79</v>
      </c>
      <c r="I303" s="5" t="n">
        <v>18664.58</v>
      </c>
    </row>
    <row r="304" customFormat="false" ht="15" hidden="false" customHeight="false" outlineLevel="0" collapsed="false">
      <c r="A304" s="4" t="s">
        <v>430</v>
      </c>
      <c r="B304" s="4" t="s">
        <v>120</v>
      </c>
      <c r="C304" s="4" t="s">
        <v>414</v>
      </c>
      <c r="D304" s="4" t="s">
        <v>144</v>
      </c>
      <c r="E304" s="4" t="s">
        <v>28</v>
      </c>
      <c r="F304" s="5" t="n">
        <v>16722.68</v>
      </c>
      <c r="G304" s="6" t="n">
        <v>0</v>
      </c>
      <c r="H304" s="5" t="n">
        <v>0</v>
      </c>
      <c r="I304" s="5" t="n">
        <v>16722.68</v>
      </c>
    </row>
    <row r="305" customFormat="false" ht="15" hidden="false" customHeight="false" outlineLevel="0" collapsed="false">
      <c r="A305" s="4" t="s">
        <v>431</v>
      </c>
      <c r="B305" s="4" t="s">
        <v>120</v>
      </c>
      <c r="C305" s="4" t="s">
        <v>323</v>
      </c>
      <c r="D305" s="4" t="s">
        <v>133</v>
      </c>
      <c r="E305" s="4" t="s">
        <v>21</v>
      </c>
      <c r="F305" s="5" t="n">
        <v>13063.96</v>
      </c>
      <c r="G305" s="6" t="n">
        <v>0.05</v>
      </c>
      <c r="H305" s="5" t="n">
        <v>653.2</v>
      </c>
      <c r="I305" s="5" t="n">
        <v>13717.16</v>
      </c>
    </row>
    <row r="306" customFormat="false" ht="15" hidden="false" customHeight="false" outlineLevel="0" collapsed="false">
      <c r="A306" s="4" t="s">
        <v>432</v>
      </c>
      <c r="B306" s="4" t="s">
        <v>120</v>
      </c>
      <c r="C306" s="4" t="s">
        <v>349</v>
      </c>
      <c r="D306" s="4" t="s">
        <v>127</v>
      </c>
      <c r="E306" s="4" t="s">
        <v>21</v>
      </c>
      <c r="F306" s="5" t="n">
        <v>7142.93</v>
      </c>
      <c r="G306" s="6" t="n">
        <v>0.05</v>
      </c>
      <c r="H306" s="5" t="n">
        <v>357.15</v>
      </c>
      <c r="I306" s="5" t="n">
        <v>7500.08</v>
      </c>
    </row>
    <row r="307" customFormat="false" ht="15" hidden="false" customHeight="false" outlineLevel="0" collapsed="false">
      <c r="A307" s="4" t="s">
        <v>433</v>
      </c>
      <c r="B307" s="4" t="s">
        <v>120</v>
      </c>
      <c r="C307" s="4" t="s">
        <v>358</v>
      </c>
      <c r="D307" s="4" t="s">
        <v>133</v>
      </c>
      <c r="E307" s="4" t="s">
        <v>21</v>
      </c>
      <c r="F307" s="5" t="n">
        <v>10919.08</v>
      </c>
      <c r="G307" s="6" t="n">
        <v>0.05</v>
      </c>
      <c r="H307" s="5" t="n">
        <v>545.95</v>
      </c>
      <c r="I307" s="5" t="n">
        <v>11465.03</v>
      </c>
    </row>
    <row r="308" customFormat="false" ht="15" hidden="false" customHeight="false" outlineLevel="0" collapsed="false">
      <c r="A308" s="4" t="s">
        <v>434</v>
      </c>
      <c r="B308" s="4" t="s">
        <v>120</v>
      </c>
      <c r="C308" s="4" t="s">
        <v>306</v>
      </c>
      <c r="D308" s="4" t="s">
        <v>121</v>
      </c>
      <c r="E308" s="4" t="s">
        <v>21</v>
      </c>
      <c r="F308" s="5" t="n">
        <v>30553.76</v>
      </c>
      <c r="G308" s="6" t="n">
        <v>0.05</v>
      </c>
      <c r="H308" s="5" t="n">
        <v>1527.69</v>
      </c>
      <c r="I308" s="5" t="n">
        <v>32081.45</v>
      </c>
    </row>
    <row r="309" customFormat="false" ht="15" hidden="false" customHeight="false" outlineLevel="0" collapsed="false">
      <c r="A309" s="4" t="s">
        <v>435</v>
      </c>
      <c r="B309" s="4" t="s">
        <v>120</v>
      </c>
      <c r="C309" s="4" t="s">
        <v>314</v>
      </c>
      <c r="D309" s="4" t="s">
        <v>146</v>
      </c>
      <c r="E309" s="4" t="s">
        <v>21</v>
      </c>
      <c r="F309" s="5" t="n">
        <v>19673.98</v>
      </c>
      <c r="G309" s="6" t="n">
        <v>0.05</v>
      </c>
      <c r="H309" s="5" t="n">
        <v>983.7</v>
      </c>
      <c r="I309" s="5" t="n">
        <v>20657.68</v>
      </c>
    </row>
    <row r="310" customFormat="false" ht="15" hidden="false" customHeight="false" outlineLevel="0" collapsed="false">
      <c r="A310" s="4" t="s">
        <v>436</v>
      </c>
      <c r="B310" s="4" t="s">
        <v>120</v>
      </c>
      <c r="C310" s="4" t="s">
        <v>316</v>
      </c>
      <c r="D310" s="4" t="s">
        <v>130</v>
      </c>
      <c r="E310" s="4" t="s">
        <v>21</v>
      </c>
      <c r="F310" s="5" t="n">
        <v>9894.1</v>
      </c>
      <c r="G310" s="6" t="n">
        <v>0.05</v>
      </c>
      <c r="H310" s="5" t="n">
        <v>494.71</v>
      </c>
      <c r="I310" s="5" t="n">
        <v>10388.81</v>
      </c>
    </row>
    <row r="311" customFormat="false" ht="15" hidden="false" customHeight="false" outlineLevel="0" collapsed="false">
      <c r="A311" s="4" t="s">
        <v>437</v>
      </c>
      <c r="B311" s="4" t="s">
        <v>120</v>
      </c>
      <c r="C311" s="4" t="s">
        <v>323</v>
      </c>
      <c r="D311" s="4" t="s">
        <v>155</v>
      </c>
      <c r="E311" s="4" t="s">
        <v>28</v>
      </c>
      <c r="F311" s="5" t="n">
        <v>1810</v>
      </c>
      <c r="G311" s="6" t="n">
        <v>0</v>
      </c>
      <c r="H311" s="5" t="n">
        <v>0</v>
      </c>
      <c r="I311" s="5" t="n">
        <v>1810</v>
      </c>
    </row>
    <row r="312" customFormat="false" ht="15" hidden="false" customHeight="false" outlineLevel="0" collapsed="false">
      <c r="A312" s="4" t="s">
        <v>438</v>
      </c>
      <c r="B312" s="4" t="s">
        <v>120</v>
      </c>
      <c r="C312" s="4" t="s">
        <v>403</v>
      </c>
      <c r="D312" s="4" t="s">
        <v>121</v>
      </c>
      <c r="E312" s="4" t="s">
        <v>21</v>
      </c>
      <c r="F312" s="5" t="n">
        <v>26698.89</v>
      </c>
      <c r="G312" s="6" t="n">
        <v>0.05</v>
      </c>
      <c r="H312" s="5" t="n">
        <v>1334.94</v>
      </c>
      <c r="I312" s="5" t="n">
        <v>28033.83</v>
      </c>
    </row>
    <row r="313" customFormat="false" ht="15" hidden="false" customHeight="false" outlineLevel="0" collapsed="false">
      <c r="A313" s="4" t="s">
        <v>439</v>
      </c>
      <c r="B313" s="4" t="s">
        <v>120</v>
      </c>
      <c r="C313" s="4" t="s">
        <v>407</v>
      </c>
      <c r="D313" s="4" t="s">
        <v>155</v>
      </c>
      <c r="E313" s="4" t="s">
        <v>21</v>
      </c>
      <c r="F313" s="5" t="n">
        <v>33201.43</v>
      </c>
      <c r="G313" s="6" t="n">
        <v>0.05</v>
      </c>
      <c r="H313" s="5" t="n">
        <v>1660.07</v>
      </c>
      <c r="I313" s="5" t="n">
        <v>34861.5</v>
      </c>
    </row>
    <row r="314" customFormat="false" ht="15" hidden="false" customHeight="false" outlineLevel="0" collapsed="false">
      <c r="A314" s="4" t="s">
        <v>440</v>
      </c>
      <c r="B314" s="4" t="s">
        <v>120</v>
      </c>
      <c r="C314" s="4" t="s">
        <v>336</v>
      </c>
      <c r="D314" s="4" t="s">
        <v>125</v>
      </c>
      <c r="E314" s="4" t="s">
        <v>46</v>
      </c>
      <c r="F314" s="5" t="n">
        <v>17463.71</v>
      </c>
      <c r="G314" s="6" t="n">
        <v>0</v>
      </c>
      <c r="H314" s="5" t="n">
        <v>0</v>
      </c>
      <c r="I314" s="5" t="n">
        <v>17463.71</v>
      </c>
    </row>
    <row r="315" customFormat="false" ht="15" hidden="false" customHeight="false" outlineLevel="0" collapsed="false">
      <c r="A315" s="4" t="s">
        <v>441</v>
      </c>
      <c r="B315" s="4" t="s">
        <v>120</v>
      </c>
      <c r="C315" s="4" t="s">
        <v>403</v>
      </c>
      <c r="D315" s="4" t="s">
        <v>155</v>
      </c>
      <c r="E315" s="4" t="s">
        <v>21</v>
      </c>
      <c r="F315" s="5" t="n">
        <v>11443.31</v>
      </c>
      <c r="G315" s="6" t="n">
        <v>0.05</v>
      </c>
      <c r="H315" s="5" t="n">
        <v>572.17</v>
      </c>
      <c r="I315" s="5" t="n">
        <v>12015.48</v>
      </c>
    </row>
    <row r="316" customFormat="false" ht="15" hidden="false" customHeight="false" outlineLevel="0" collapsed="false">
      <c r="A316" s="4" t="s">
        <v>442</v>
      </c>
      <c r="B316" s="4" t="s">
        <v>120</v>
      </c>
      <c r="C316" s="4" t="s">
        <v>345</v>
      </c>
      <c r="D316" s="4" t="s">
        <v>155</v>
      </c>
      <c r="E316" s="4" t="s">
        <v>28</v>
      </c>
      <c r="F316" s="5" t="n">
        <v>24066.23</v>
      </c>
      <c r="G316" s="6" t="n">
        <v>0</v>
      </c>
      <c r="H316" s="5" t="n">
        <v>0</v>
      </c>
      <c r="I316" s="5" t="n">
        <v>24066.23</v>
      </c>
    </row>
    <row r="317" customFormat="false" ht="15" hidden="false" customHeight="false" outlineLevel="0" collapsed="false">
      <c r="A317" s="4" t="s">
        <v>443</v>
      </c>
      <c r="B317" s="4" t="s">
        <v>18</v>
      </c>
      <c r="C317" s="4" t="s">
        <v>444</v>
      </c>
      <c r="D317" s="4" t="s">
        <v>45</v>
      </c>
      <c r="E317" s="4" t="s">
        <v>21</v>
      </c>
      <c r="F317" s="5" t="n">
        <v>78127.03</v>
      </c>
      <c r="G317" s="6" t="n">
        <v>0.05</v>
      </c>
      <c r="H317" s="5" t="n">
        <v>3906.35</v>
      </c>
      <c r="I317" s="5" t="n">
        <v>82033.38</v>
      </c>
    </row>
    <row r="318" customFormat="false" ht="15" hidden="false" customHeight="false" outlineLevel="0" collapsed="false">
      <c r="A318" s="4" t="s">
        <v>445</v>
      </c>
      <c r="B318" s="4" t="s">
        <v>18</v>
      </c>
      <c r="C318" s="4" t="s">
        <v>446</v>
      </c>
      <c r="D318" s="4" t="s">
        <v>50</v>
      </c>
      <c r="E318" s="4" t="s">
        <v>46</v>
      </c>
      <c r="F318" s="5" t="n">
        <v>15392.71</v>
      </c>
      <c r="G318" s="6" t="n">
        <v>0</v>
      </c>
      <c r="H318" s="5" t="n">
        <v>0</v>
      </c>
      <c r="I318" s="5" t="n">
        <v>15392.71</v>
      </c>
    </row>
    <row r="319" customFormat="false" ht="15" hidden="false" customHeight="false" outlineLevel="0" collapsed="false">
      <c r="A319" s="4" t="s">
        <v>447</v>
      </c>
      <c r="B319" s="4" t="s">
        <v>18</v>
      </c>
      <c r="C319" s="4" t="s">
        <v>448</v>
      </c>
      <c r="D319" s="4" t="s">
        <v>45</v>
      </c>
      <c r="E319" s="4" t="s">
        <v>21</v>
      </c>
      <c r="F319" s="5" t="n">
        <v>91033.59</v>
      </c>
      <c r="G319" s="6" t="n">
        <v>0.05</v>
      </c>
      <c r="H319" s="5" t="n">
        <v>4551.68</v>
      </c>
      <c r="I319" s="5" t="n">
        <v>95585.27</v>
      </c>
    </row>
    <row r="320" customFormat="false" ht="15" hidden="false" customHeight="false" outlineLevel="0" collapsed="false">
      <c r="A320" s="4" t="s">
        <v>449</v>
      </c>
      <c r="B320" s="4" t="s">
        <v>18</v>
      </c>
      <c r="C320" s="4" t="s">
        <v>450</v>
      </c>
      <c r="D320" s="4" t="s">
        <v>70</v>
      </c>
      <c r="E320" s="4" t="s">
        <v>21</v>
      </c>
      <c r="F320" s="5" t="n">
        <v>84843.57</v>
      </c>
      <c r="G320" s="6" t="n">
        <v>0.05</v>
      </c>
      <c r="H320" s="5" t="n">
        <v>4242.18</v>
      </c>
      <c r="I320" s="5" t="n">
        <v>89085.75</v>
      </c>
    </row>
    <row r="321" customFormat="false" ht="15" hidden="false" customHeight="false" outlineLevel="0" collapsed="false">
      <c r="A321" s="4" t="s">
        <v>451</v>
      </c>
      <c r="B321" s="4" t="s">
        <v>18</v>
      </c>
      <c r="C321" s="4" t="s">
        <v>448</v>
      </c>
      <c r="D321" s="4" t="s">
        <v>59</v>
      </c>
      <c r="E321" s="4" t="s">
        <v>21</v>
      </c>
      <c r="F321" s="5" t="n">
        <v>54978.1</v>
      </c>
      <c r="G321" s="6" t="n">
        <v>0.05</v>
      </c>
      <c r="H321" s="5" t="n">
        <v>2748.91</v>
      </c>
      <c r="I321" s="5" t="n">
        <v>57727.01</v>
      </c>
    </row>
    <row r="322" customFormat="false" ht="15" hidden="false" customHeight="false" outlineLevel="0" collapsed="false">
      <c r="A322" s="4" t="s">
        <v>452</v>
      </c>
      <c r="B322" s="4" t="s">
        <v>18</v>
      </c>
      <c r="C322" s="4" t="s">
        <v>453</v>
      </c>
      <c r="D322" s="4" t="s">
        <v>50</v>
      </c>
      <c r="E322" s="4" t="s">
        <v>21</v>
      </c>
      <c r="F322" s="5" t="n">
        <v>30341.41</v>
      </c>
      <c r="G322" s="6" t="n">
        <v>0.05</v>
      </c>
      <c r="H322" s="5" t="n">
        <v>1517.07</v>
      </c>
      <c r="I322" s="5" t="n">
        <v>31858.48</v>
      </c>
    </row>
    <row r="323" customFormat="false" ht="15" hidden="false" customHeight="false" outlineLevel="0" collapsed="false">
      <c r="A323" s="4" t="s">
        <v>454</v>
      </c>
      <c r="B323" s="4" t="s">
        <v>18</v>
      </c>
      <c r="C323" s="4" t="s">
        <v>455</v>
      </c>
      <c r="D323" s="4" t="s">
        <v>34</v>
      </c>
      <c r="E323" s="4" t="s">
        <v>21</v>
      </c>
      <c r="F323" s="5" t="n">
        <v>11142.77</v>
      </c>
      <c r="G323" s="6" t="n">
        <v>0.05</v>
      </c>
      <c r="H323" s="5" t="n">
        <v>557.14</v>
      </c>
      <c r="I323" s="5" t="n">
        <v>11699.91</v>
      </c>
    </row>
    <row r="324" customFormat="false" ht="15" hidden="false" customHeight="false" outlineLevel="0" collapsed="false">
      <c r="A324" s="4" t="s">
        <v>456</v>
      </c>
      <c r="B324" s="4" t="s">
        <v>18</v>
      </c>
      <c r="C324" s="4" t="s">
        <v>457</v>
      </c>
      <c r="D324" s="4" t="s">
        <v>34</v>
      </c>
      <c r="E324" s="4" t="s">
        <v>21</v>
      </c>
      <c r="F324" s="5" t="n">
        <v>50925.85</v>
      </c>
      <c r="G324" s="6" t="n">
        <v>0.05</v>
      </c>
      <c r="H324" s="5" t="n">
        <v>2546.29</v>
      </c>
      <c r="I324" s="5" t="n">
        <v>53472.14</v>
      </c>
    </row>
    <row r="325" customFormat="false" ht="15" hidden="false" customHeight="false" outlineLevel="0" collapsed="false">
      <c r="A325" s="4" t="s">
        <v>458</v>
      </c>
      <c r="B325" s="4" t="s">
        <v>18</v>
      </c>
      <c r="C325" s="4" t="s">
        <v>459</v>
      </c>
      <c r="D325" s="4" t="s">
        <v>45</v>
      </c>
      <c r="E325" s="4" t="s">
        <v>28</v>
      </c>
      <c r="F325" s="5" t="n">
        <v>61647.42</v>
      </c>
      <c r="G325" s="6" t="n">
        <v>0</v>
      </c>
      <c r="H325" s="5" t="n">
        <v>0</v>
      </c>
      <c r="I325" s="5" t="n">
        <v>61647.42</v>
      </c>
    </row>
    <row r="326" customFormat="false" ht="15" hidden="false" customHeight="false" outlineLevel="0" collapsed="false">
      <c r="A326" s="4" t="s">
        <v>460</v>
      </c>
      <c r="B326" s="4" t="s">
        <v>18</v>
      </c>
      <c r="C326" s="4" t="s">
        <v>461</v>
      </c>
      <c r="D326" s="4" t="s">
        <v>86</v>
      </c>
      <c r="E326" s="4" t="s">
        <v>21</v>
      </c>
      <c r="F326" s="5" t="n">
        <v>87868.31</v>
      </c>
      <c r="G326" s="6" t="n">
        <v>0.05</v>
      </c>
      <c r="H326" s="5" t="n">
        <v>4393.42</v>
      </c>
      <c r="I326" s="5" t="n">
        <v>92261.73</v>
      </c>
    </row>
    <row r="327" customFormat="false" ht="15" hidden="false" customHeight="false" outlineLevel="0" collapsed="false">
      <c r="A327" s="4" t="s">
        <v>462</v>
      </c>
      <c r="B327" s="4" t="s">
        <v>18</v>
      </c>
      <c r="C327" s="4" t="s">
        <v>463</v>
      </c>
      <c r="D327" s="4" t="s">
        <v>56</v>
      </c>
      <c r="E327" s="4" t="s">
        <v>21</v>
      </c>
      <c r="F327" s="5" t="n">
        <v>18248.09</v>
      </c>
      <c r="G327" s="6" t="n">
        <v>0.05</v>
      </c>
      <c r="H327" s="5" t="n">
        <v>912.4</v>
      </c>
      <c r="I327" s="5" t="n">
        <v>19160.49</v>
      </c>
    </row>
    <row r="328" customFormat="false" ht="15" hidden="false" customHeight="false" outlineLevel="0" collapsed="false">
      <c r="A328" s="4" t="s">
        <v>464</v>
      </c>
      <c r="B328" s="4" t="s">
        <v>18</v>
      </c>
      <c r="C328" s="4" t="s">
        <v>448</v>
      </c>
      <c r="D328" s="4" t="s">
        <v>37</v>
      </c>
      <c r="E328" s="4" t="s">
        <v>28</v>
      </c>
      <c r="F328" s="5" t="n">
        <v>83522.56</v>
      </c>
      <c r="G328" s="6" t="n">
        <v>0</v>
      </c>
      <c r="H328" s="5" t="n">
        <v>0</v>
      </c>
      <c r="I328" s="5" t="n">
        <v>83522.56</v>
      </c>
    </row>
    <row r="329" customFormat="false" ht="15" hidden="false" customHeight="false" outlineLevel="0" collapsed="false">
      <c r="A329" s="4" t="s">
        <v>465</v>
      </c>
      <c r="B329" s="4" t="s">
        <v>18</v>
      </c>
      <c r="C329" s="4" t="s">
        <v>453</v>
      </c>
      <c r="D329" s="4" t="s">
        <v>86</v>
      </c>
      <c r="E329" s="4" t="s">
        <v>21</v>
      </c>
      <c r="F329" s="5" t="n">
        <v>32375.54</v>
      </c>
      <c r="G329" s="6" t="n">
        <v>0.05</v>
      </c>
      <c r="H329" s="5" t="n">
        <v>1618.78</v>
      </c>
      <c r="I329" s="5" t="n">
        <v>33994.32</v>
      </c>
    </row>
    <row r="330" customFormat="false" ht="15" hidden="false" customHeight="false" outlineLevel="0" collapsed="false">
      <c r="A330" s="4" t="s">
        <v>466</v>
      </c>
      <c r="B330" s="4" t="s">
        <v>18</v>
      </c>
      <c r="C330" s="4" t="s">
        <v>467</v>
      </c>
      <c r="D330" s="4" t="s">
        <v>88</v>
      </c>
      <c r="E330" s="4" t="s">
        <v>21</v>
      </c>
      <c r="F330" s="5" t="n">
        <v>41680.42</v>
      </c>
      <c r="G330" s="6" t="n">
        <v>0.05</v>
      </c>
      <c r="H330" s="5" t="n">
        <v>2084.02</v>
      </c>
      <c r="I330" s="5" t="n">
        <v>43764.44</v>
      </c>
    </row>
    <row r="331" customFormat="false" ht="15" hidden="false" customHeight="false" outlineLevel="0" collapsed="false">
      <c r="A331" s="4" t="s">
        <v>468</v>
      </c>
      <c r="B331" s="4" t="s">
        <v>18</v>
      </c>
      <c r="C331" s="4" t="s">
        <v>444</v>
      </c>
      <c r="D331" s="4" t="s">
        <v>56</v>
      </c>
      <c r="E331" s="4" t="s">
        <v>21</v>
      </c>
      <c r="F331" s="5" t="n">
        <v>76107.03</v>
      </c>
      <c r="G331" s="6" t="n">
        <v>0.05</v>
      </c>
      <c r="H331" s="5" t="n">
        <v>3805.35</v>
      </c>
      <c r="I331" s="5" t="n">
        <v>79912.38</v>
      </c>
    </row>
    <row r="332" customFormat="false" ht="15" hidden="false" customHeight="false" outlineLevel="0" collapsed="false">
      <c r="A332" s="4" t="s">
        <v>469</v>
      </c>
      <c r="B332" s="4" t="s">
        <v>18</v>
      </c>
      <c r="C332" s="4" t="s">
        <v>459</v>
      </c>
      <c r="D332" s="4" t="s">
        <v>62</v>
      </c>
      <c r="E332" s="4" t="s">
        <v>21</v>
      </c>
      <c r="F332" s="5" t="n">
        <v>45244.42</v>
      </c>
      <c r="G332" s="6" t="n">
        <v>0.05</v>
      </c>
      <c r="H332" s="5" t="n">
        <v>2262.22</v>
      </c>
      <c r="I332" s="5" t="n">
        <v>47506.64</v>
      </c>
    </row>
    <row r="333" customFormat="false" ht="15" hidden="false" customHeight="false" outlineLevel="0" collapsed="false">
      <c r="A333" s="4" t="s">
        <v>470</v>
      </c>
      <c r="B333" s="4" t="s">
        <v>18</v>
      </c>
      <c r="C333" s="4" t="s">
        <v>471</v>
      </c>
      <c r="D333" s="4" t="s">
        <v>31</v>
      </c>
      <c r="E333" s="4" t="s">
        <v>28</v>
      </c>
      <c r="F333" s="5" t="n">
        <v>45748.19</v>
      </c>
      <c r="G333" s="6" t="n">
        <v>0</v>
      </c>
      <c r="H333" s="5" t="n">
        <v>0</v>
      </c>
      <c r="I333" s="5" t="n">
        <v>45748.19</v>
      </c>
    </row>
    <row r="334" customFormat="false" ht="15" hidden="false" customHeight="false" outlineLevel="0" collapsed="false">
      <c r="A334" s="4" t="s">
        <v>472</v>
      </c>
      <c r="B334" s="4" t="s">
        <v>18</v>
      </c>
      <c r="C334" s="4" t="s">
        <v>473</v>
      </c>
      <c r="D334" s="4" t="s">
        <v>37</v>
      </c>
      <c r="E334" s="4" t="s">
        <v>21</v>
      </c>
      <c r="F334" s="5" t="n">
        <v>22011.86</v>
      </c>
      <c r="G334" s="6" t="n">
        <v>0.05</v>
      </c>
      <c r="H334" s="5" t="n">
        <v>1100.59</v>
      </c>
      <c r="I334" s="5" t="n">
        <v>23112.45</v>
      </c>
    </row>
    <row r="335" customFormat="false" ht="15" hidden="false" customHeight="false" outlineLevel="0" collapsed="false">
      <c r="A335" s="4" t="s">
        <v>474</v>
      </c>
      <c r="B335" s="4" t="s">
        <v>18</v>
      </c>
      <c r="C335" s="4" t="s">
        <v>475</v>
      </c>
      <c r="D335" s="4" t="s">
        <v>50</v>
      </c>
      <c r="E335" s="4" t="s">
        <v>21</v>
      </c>
      <c r="F335" s="5" t="n">
        <v>73426.4</v>
      </c>
      <c r="G335" s="6" t="n">
        <v>0.05</v>
      </c>
      <c r="H335" s="5" t="n">
        <v>3671.32</v>
      </c>
      <c r="I335" s="5" t="n">
        <v>77097.72</v>
      </c>
    </row>
    <row r="336" customFormat="false" ht="15" hidden="false" customHeight="false" outlineLevel="0" collapsed="false">
      <c r="A336" s="4" t="s">
        <v>476</v>
      </c>
      <c r="B336" s="4" t="s">
        <v>18</v>
      </c>
      <c r="C336" s="4" t="s">
        <v>477</v>
      </c>
      <c r="D336" s="4" t="s">
        <v>27</v>
      </c>
      <c r="E336" s="4" t="s">
        <v>21</v>
      </c>
      <c r="F336" s="5" t="n">
        <v>47115.91</v>
      </c>
      <c r="G336" s="6" t="n">
        <v>0.05</v>
      </c>
      <c r="H336" s="5" t="n">
        <v>2355.8</v>
      </c>
      <c r="I336" s="5" t="n">
        <v>49471.71</v>
      </c>
    </row>
    <row r="337" customFormat="false" ht="15" hidden="false" customHeight="false" outlineLevel="0" collapsed="false">
      <c r="A337" s="4" t="s">
        <v>478</v>
      </c>
      <c r="B337" s="4" t="s">
        <v>18</v>
      </c>
      <c r="C337" s="4" t="s">
        <v>479</v>
      </c>
      <c r="D337" s="4" t="s">
        <v>20</v>
      </c>
      <c r="E337" s="4" t="s">
        <v>28</v>
      </c>
      <c r="F337" s="5" t="n">
        <v>33859.13</v>
      </c>
      <c r="G337" s="6" t="n">
        <v>0</v>
      </c>
      <c r="H337" s="5" t="n">
        <v>0</v>
      </c>
      <c r="I337" s="5" t="n">
        <v>33859.13</v>
      </c>
    </row>
    <row r="338" customFormat="false" ht="15" hidden="false" customHeight="false" outlineLevel="0" collapsed="false">
      <c r="A338" s="4" t="s">
        <v>480</v>
      </c>
      <c r="B338" s="4" t="s">
        <v>18</v>
      </c>
      <c r="C338" s="4" t="s">
        <v>481</v>
      </c>
      <c r="D338" s="4" t="s">
        <v>70</v>
      </c>
      <c r="E338" s="4" t="s">
        <v>21</v>
      </c>
      <c r="F338" s="5" t="n">
        <v>75940.91</v>
      </c>
      <c r="G338" s="6" t="n">
        <v>0.05</v>
      </c>
      <c r="H338" s="5" t="n">
        <v>3797.05</v>
      </c>
      <c r="I338" s="5" t="n">
        <v>79737.96</v>
      </c>
    </row>
    <row r="339" customFormat="false" ht="15" hidden="false" customHeight="false" outlineLevel="0" collapsed="false">
      <c r="A339" s="4" t="s">
        <v>482</v>
      </c>
      <c r="B339" s="4" t="s">
        <v>18</v>
      </c>
      <c r="C339" s="4" t="s">
        <v>471</v>
      </c>
      <c r="D339" s="4" t="s">
        <v>56</v>
      </c>
      <c r="E339" s="4" t="s">
        <v>21</v>
      </c>
      <c r="F339" s="5" t="n">
        <v>6486.25</v>
      </c>
      <c r="G339" s="6" t="n">
        <v>0.05</v>
      </c>
      <c r="H339" s="5" t="n">
        <v>324.31</v>
      </c>
      <c r="I339" s="5" t="n">
        <v>6810.56</v>
      </c>
    </row>
    <row r="340" customFormat="false" ht="15" hidden="false" customHeight="false" outlineLevel="0" collapsed="false">
      <c r="A340" s="4" t="s">
        <v>483</v>
      </c>
      <c r="B340" s="4" t="s">
        <v>18</v>
      </c>
      <c r="C340" s="4" t="s">
        <v>484</v>
      </c>
      <c r="D340" s="4" t="s">
        <v>45</v>
      </c>
      <c r="E340" s="4" t="s">
        <v>28</v>
      </c>
      <c r="F340" s="5" t="n">
        <v>28162.74</v>
      </c>
      <c r="G340" s="6" t="n">
        <v>0</v>
      </c>
      <c r="H340" s="5" t="n">
        <v>0</v>
      </c>
      <c r="I340" s="5" t="n">
        <v>28162.74</v>
      </c>
    </row>
    <row r="341" customFormat="false" ht="15" hidden="false" customHeight="false" outlineLevel="0" collapsed="false">
      <c r="A341" s="4" t="s">
        <v>485</v>
      </c>
      <c r="B341" s="4" t="s">
        <v>18</v>
      </c>
      <c r="C341" s="4" t="s">
        <v>486</v>
      </c>
      <c r="D341" s="4" t="s">
        <v>31</v>
      </c>
      <c r="E341" s="4" t="s">
        <v>46</v>
      </c>
      <c r="F341" s="5" t="n">
        <v>59822.76</v>
      </c>
      <c r="G341" s="6" t="n">
        <v>0</v>
      </c>
      <c r="H341" s="5" t="n">
        <v>0</v>
      </c>
      <c r="I341" s="5" t="n">
        <v>59822.76</v>
      </c>
    </row>
    <row r="342" customFormat="false" ht="15" hidden="false" customHeight="false" outlineLevel="0" collapsed="false">
      <c r="A342" s="4" t="s">
        <v>487</v>
      </c>
      <c r="B342" s="4" t="s">
        <v>18</v>
      </c>
      <c r="C342" s="4" t="s">
        <v>488</v>
      </c>
      <c r="D342" s="4" t="s">
        <v>59</v>
      </c>
      <c r="E342" s="4" t="s">
        <v>21</v>
      </c>
      <c r="F342" s="5" t="n">
        <v>58988.44</v>
      </c>
      <c r="G342" s="6" t="n">
        <v>0.05</v>
      </c>
      <c r="H342" s="5" t="n">
        <v>2949.42</v>
      </c>
      <c r="I342" s="5" t="n">
        <v>61937.86</v>
      </c>
    </row>
    <row r="343" customFormat="false" ht="15" hidden="false" customHeight="false" outlineLevel="0" collapsed="false">
      <c r="A343" s="4" t="s">
        <v>489</v>
      </c>
      <c r="B343" s="4" t="s">
        <v>18</v>
      </c>
      <c r="C343" s="4" t="s">
        <v>488</v>
      </c>
      <c r="D343" s="4" t="s">
        <v>34</v>
      </c>
      <c r="E343" s="4" t="s">
        <v>46</v>
      </c>
      <c r="F343" s="5" t="n">
        <v>13695.38</v>
      </c>
      <c r="G343" s="6" t="n">
        <v>0</v>
      </c>
      <c r="H343" s="5" t="n">
        <v>0</v>
      </c>
      <c r="I343" s="5" t="n">
        <v>13695.38</v>
      </c>
    </row>
    <row r="344" customFormat="false" ht="15" hidden="false" customHeight="false" outlineLevel="0" collapsed="false">
      <c r="A344" s="4" t="s">
        <v>490</v>
      </c>
      <c r="B344" s="4" t="s">
        <v>18</v>
      </c>
      <c r="C344" s="4" t="s">
        <v>491</v>
      </c>
      <c r="D344" s="4" t="s">
        <v>24</v>
      </c>
      <c r="E344" s="4" t="s">
        <v>46</v>
      </c>
      <c r="F344" s="5" t="n">
        <v>30292.68</v>
      </c>
      <c r="G344" s="6" t="n">
        <v>0</v>
      </c>
      <c r="H344" s="5" t="n">
        <v>0</v>
      </c>
      <c r="I344" s="5" t="n">
        <v>30292.68</v>
      </c>
    </row>
    <row r="345" customFormat="false" ht="15" hidden="false" customHeight="false" outlineLevel="0" collapsed="false">
      <c r="A345" s="4" t="s">
        <v>492</v>
      </c>
      <c r="B345" s="4" t="s">
        <v>18</v>
      </c>
      <c r="C345" s="4" t="s">
        <v>455</v>
      </c>
      <c r="D345" s="4" t="s">
        <v>45</v>
      </c>
      <c r="E345" s="4" t="s">
        <v>21</v>
      </c>
      <c r="F345" s="5" t="n">
        <v>91675.93</v>
      </c>
      <c r="G345" s="6" t="n">
        <v>0.05</v>
      </c>
      <c r="H345" s="5" t="n">
        <v>4583.8</v>
      </c>
      <c r="I345" s="5" t="n">
        <v>96259.73</v>
      </c>
    </row>
    <row r="346" customFormat="false" ht="15" hidden="false" customHeight="false" outlineLevel="0" collapsed="false">
      <c r="A346" s="4" t="s">
        <v>493</v>
      </c>
      <c r="B346" s="4" t="s">
        <v>18</v>
      </c>
      <c r="C346" s="4" t="s">
        <v>491</v>
      </c>
      <c r="D346" s="4" t="s">
        <v>86</v>
      </c>
      <c r="E346" s="4" t="s">
        <v>21</v>
      </c>
      <c r="F346" s="5" t="n">
        <v>5539.85</v>
      </c>
      <c r="G346" s="6" t="n">
        <v>0.05</v>
      </c>
      <c r="H346" s="5" t="n">
        <v>276.99</v>
      </c>
      <c r="I346" s="5" t="n">
        <v>5816.84</v>
      </c>
    </row>
    <row r="347" customFormat="false" ht="15" hidden="false" customHeight="false" outlineLevel="0" collapsed="false">
      <c r="A347" s="4" t="s">
        <v>494</v>
      </c>
      <c r="B347" s="4" t="s">
        <v>18</v>
      </c>
      <c r="C347" s="4" t="s">
        <v>455</v>
      </c>
      <c r="D347" s="4" t="s">
        <v>24</v>
      </c>
      <c r="E347" s="4" t="s">
        <v>28</v>
      </c>
      <c r="F347" s="5" t="n">
        <v>35903.95</v>
      </c>
      <c r="G347" s="6" t="n">
        <v>0</v>
      </c>
      <c r="H347" s="5" t="n">
        <v>0</v>
      </c>
      <c r="I347" s="5" t="n">
        <v>35903.95</v>
      </c>
    </row>
    <row r="348" customFormat="false" ht="15" hidden="false" customHeight="false" outlineLevel="0" collapsed="false">
      <c r="A348" s="4" t="s">
        <v>495</v>
      </c>
      <c r="B348" s="4" t="s">
        <v>18</v>
      </c>
      <c r="C348" s="4" t="s">
        <v>479</v>
      </c>
      <c r="D348" s="4" t="s">
        <v>56</v>
      </c>
      <c r="E348" s="4" t="s">
        <v>28</v>
      </c>
      <c r="F348" s="5" t="n">
        <v>8138.07</v>
      </c>
      <c r="G348" s="6" t="n">
        <v>0</v>
      </c>
      <c r="H348" s="5" t="n">
        <v>0</v>
      </c>
      <c r="I348" s="5" t="n">
        <v>8138.07</v>
      </c>
    </row>
    <row r="349" customFormat="false" ht="15" hidden="false" customHeight="false" outlineLevel="0" collapsed="false">
      <c r="A349" s="4" t="s">
        <v>496</v>
      </c>
      <c r="B349" s="4" t="s">
        <v>18</v>
      </c>
      <c r="C349" s="4" t="s">
        <v>448</v>
      </c>
      <c r="D349" s="4" t="s">
        <v>62</v>
      </c>
      <c r="E349" s="4" t="s">
        <v>21</v>
      </c>
      <c r="F349" s="5" t="n">
        <v>25970.67</v>
      </c>
      <c r="G349" s="6" t="n">
        <v>0.05</v>
      </c>
      <c r="H349" s="5" t="n">
        <v>1298.53</v>
      </c>
      <c r="I349" s="5" t="n">
        <v>27269.2</v>
      </c>
    </row>
    <row r="350" customFormat="false" ht="15" hidden="false" customHeight="false" outlineLevel="0" collapsed="false">
      <c r="A350" s="4" t="s">
        <v>497</v>
      </c>
      <c r="B350" s="4" t="s">
        <v>18</v>
      </c>
      <c r="C350" s="4" t="s">
        <v>498</v>
      </c>
      <c r="D350" s="4" t="s">
        <v>45</v>
      </c>
      <c r="E350" s="4" t="s">
        <v>21</v>
      </c>
      <c r="F350" s="5" t="n">
        <v>11390.49</v>
      </c>
      <c r="G350" s="6" t="n">
        <v>0.05</v>
      </c>
      <c r="H350" s="5" t="n">
        <v>569.52</v>
      </c>
      <c r="I350" s="5" t="n">
        <v>11960.01</v>
      </c>
    </row>
    <row r="351" customFormat="false" ht="15" hidden="false" customHeight="false" outlineLevel="0" collapsed="false">
      <c r="A351" s="4" t="s">
        <v>499</v>
      </c>
      <c r="B351" s="4" t="s">
        <v>18</v>
      </c>
      <c r="C351" s="4" t="s">
        <v>459</v>
      </c>
      <c r="D351" s="4" t="s">
        <v>70</v>
      </c>
      <c r="E351" s="4" t="s">
        <v>21</v>
      </c>
      <c r="F351" s="5" t="n">
        <v>62604.65</v>
      </c>
      <c r="G351" s="6" t="n">
        <v>0.05</v>
      </c>
      <c r="H351" s="5" t="n">
        <v>3130.23</v>
      </c>
      <c r="I351" s="5" t="n">
        <v>65734.88</v>
      </c>
    </row>
    <row r="352" customFormat="false" ht="15" hidden="false" customHeight="false" outlineLevel="0" collapsed="false">
      <c r="A352" s="4" t="s">
        <v>500</v>
      </c>
      <c r="B352" s="4" t="s">
        <v>18</v>
      </c>
      <c r="C352" s="4" t="s">
        <v>488</v>
      </c>
      <c r="D352" s="4" t="s">
        <v>24</v>
      </c>
      <c r="E352" s="4" t="s">
        <v>21</v>
      </c>
      <c r="F352" s="5" t="n">
        <v>19082.67</v>
      </c>
      <c r="G352" s="6" t="n">
        <v>0.05</v>
      </c>
      <c r="H352" s="5" t="n">
        <v>954.13</v>
      </c>
      <c r="I352" s="5" t="n">
        <v>20036.8</v>
      </c>
    </row>
    <row r="353" customFormat="false" ht="15" hidden="false" customHeight="false" outlineLevel="0" collapsed="false">
      <c r="A353" s="4" t="s">
        <v>501</v>
      </c>
      <c r="B353" s="4" t="s">
        <v>18</v>
      </c>
      <c r="C353" s="4" t="s">
        <v>459</v>
      </c>
      <c r="D353" s="4" t="s">
        <v>24</v>
      </c>
      <c r="E353" s="4" t="s">
        <v>21</v>
      </c>
      <c r="F353" s="5" t="n">
        <v>39353.27</v>
      </c>
      <c r="G353" s="6" t="n">
        <v>0.05</v>
      </c>
      <c r="H353" s="5" t="n">
        <v>1967.66</v>
      </c>
      <c r="I353" s="5" t="n">
        <v>41320.93</v>
      </c>
    </row>
    <row r="354" customFormat="false" ht="15" hidden="false" customHeight="false" outlineLevel="0" collapsed="false">
      <c r="A354" s="4" t="s">
        <v>502</v>
      </c>
      <c r="B354" s="4" t="s">
        <v>18</v>
      </c>
      <c r="C354" s="4" t="s">
        <v>459</v>
      </c>
      <c r="D354" s="4" t="s">
        <v>86</v>
      </c>
      <c r="E354" s="4" t="s">
        <v>21</v>
      </c>
      <c r="F354" s="5" t="n">
        <v>29561.79</v>
      </c>
      <c r="G354" s="6" t="n">
        <v>0.05</v>
      </c>
      <c r="H354" s="5" t="n">
        <v>1478.09</v>
      </c>
      <c r="I354" s="5" t="n">
        <v>31039.88</v>
      </c>
    </row>
    <row r="355" customFormat="false" ht="15" hidden="false" customHeight="false" outlineLevel="0" collapsed="false">
      <c r="A355" s="4" t="s">
        <v>503</v>
      </c>
      <c r="B355" s="4" t="s">
        <v>18</v>
      </c>
      <c r="C355" s="4" t="s">
        <v>459</v>
      </c>
      <c r="D355" s="4" t="s">
        <v>88</v>
      </c>
      <c r="E355" s="4" t="s">
        <v>21</v>
      </c>
      <c r="F355" s="5" t="n">
        <v>46213</v>
      </c>
      <c r="G355" s="6" t="n">
        <v>0.05</v>
      </c>
      <c r="H355" s="5" t="n">
        <v>2310.65</v>
      </c>
      <c r="I355" s="5" t="n">
        <v>48523.65</v>
      </c>
    </row>
    <row r="356" customFormat="false" ht="15" hidden="false" customHeight="false" outlineLevel="0" collapsed="false">
      <c r="A356" s="4" t="s">
        <v>504</v>
      </c>
      <c r="B356" s="4" t="s">
        <v>18</v>
      </c>
      <c r="C356" s="4" t="s">
        <v>463</v>
      </c>
      <c r="D356" s="4" t="s">
        <v>62</v>
      </c>
      <c r="E356" s="4" t="s">
        <v>28</v>
      </c>
      <c r="F356" s="5" t="n">
        <v>38449.96</v>
      </c>
      <c r="G356" s="6" t="n">
        <v>0</v>
      </c>
      <c r="H356" s="5" t="n">
        <v>0</v>
      </c>
      <c r="I356" s="5" t="n">
        <v>38449.96</v>
      </c>
    </row>
    <row r="357" customFormat="false" ht="15" hidden="false" customHeight="false" outlineLevel="0" collapsed="false">
      <c r="A357" s="4" t="s">
        <v>505</v>
      </c>
      <c r="B357" s="4" t="s">
        <v>18</v>
      </c>
      <c r="C357" s="4" t="s">
        <v>467</v>
      </c>
      <c r="D357" s="4" t="s">
        <v>31</v>
      </c>
      <c r="E357" s="4" t="s">
        <v>46</v>
      </c>
      <c r="F357" s="5" t="n">
        <v>78284.08</v>
      </c>
      <c r="G357" s="6" t="n">
        <v>0</v>
      </c>
      <c r="H357" s="5" t="n">
        <v>0</v>
      </c>
      <c r="I357" s="5" t="n">
        <v>78284.08</v>
      </c>
    </row>
    <row r="358" customFormat="false" ht="15" hidden="false" customHeight="false" outlineLevel="0" collapsed="false">
      <c r="A358" s="4" t="s">
        <v>506</v>
      </c>
      <c r="B358" s="4" t="s">
        <v>18</v>
      </c>
      <c r="C358" s="4" t="s">
        <v>455</v>
      </c>
      <c r="D358" s="4" t="s">
        <v>27</v>
      </c>
      <c r="E358" s="4" t="s">
        <v>28</v>
      </c>
      <c r="F358" s="5" t="n">
        <v>26961.63</v>
      </c>
      <c r="G358" s="6" t="n">
        <v>0</v>
      </c>
      <c r="H358" s="5" t="n">
        <v>0</v>
      </c>
      <c r="I358" s="5" t="n">
        <v>26961.63</v>
      </c>
    </row>
    <row r="359" customFormat="false" ht="15" hidden="false" customHeight="false" outlineLevel="0" collapsed="false">
      <c r="A359" s="4" t="s">
        <v>507</v>
      </c>
      <c r="B359" s="4" t="s">
        <v>18</v>
      </c>
      <c r="C359" s="4" t="s">
        <v>488</v>
      </c>
      <c r="D359" s="4" t="s">
        <v>59</v>
      </c>
      <c r="E359" s="4" t="s">
        <v>21</v>
      </c>
      <c r="F359" s="5" t="n">
        <v>85734.66</v>
      </c>
      <c r="G359" s="6" t="n">
        <v>0.05</v>
      </c>
      <c r="H359" s="5" t="n">
        <v>4286.73</v>
      </c>
      <c r="I359" s="5" t="n">
        <v>90021.39</v>
      </c>
    </row>
    <row r="360" customFormat="false" ht="15" hidden="false" customHeight="false" outlineLevel="0" collapsed="false">
      <c r="A360" s="4" t="s">
        <v>508</v>
      </c>
      <c r="B360" s="4" t="s">
        <v>18</v>
      </c>
      <c r="C360" s="4" t="s">
        <v>453</v>
      </c>
      <c r="D360" s="4" t="s">
        <v>24</v>
      </c>
      <c r="E360" s="4" t="s">
        <v>21</v>
      </c>
      <c r="F360" s="5" t="n">
        <v>6307.14</v>
      </c>
      <c r="G360" s="6" t="n">
        <v>0.05</v>
      </c>
      <c r="H360" s="5" t="n">
        <v>315.36</v>
      </c>
      <c r="I360" s="5" t="n">
        <v>6622.5</v>
      </c>
    </row>
    <row r="361" customFormat="false" ht="15" hidden="false" customHeight="false" outlineLevel="0" collapsed="false">
      <c r="A361" s="4" t="s">
        <v>509</v>
      </c>
      <c r="B361" s="4" t="s">
        <v>18</v>
      </c>
      <c r="C361" s="4" t="s">
        <v>510</v>
      </c>
      <c r="D361" s="4" t="s">
        <v>62</v>
      </c>
      <c r="E361" s="4" t="s">
        <v>28</v>
      </c>
      <c r="F361" s="5" t="n">
        <v>76611.85</v>
      </c>
      <c r="G361" s="6" t="n">
        <v>0</v>
      </c>
      <c r="H361" s="5" t="n">
        <v>0</v>
      </c>
      <c r="I361" s="5" t="n">
        <v>76611.85</v>
      </c>
    </row>
    <row r="362" customFormat="false" ht="15" hidden="false" customHeight="false" outlineLevel="0" collapsed="false">
      <c r="A362" s="4" t="s">
        <v>511</v>
      </c>
      <c r="B362" s="4" t="s">
        <v>18</v>
      </c>
      <c r="C362" s="4" t="s">
        <v>477</v>
      </c>
      <c r="D362" s="4" t="s">
        <v>50</v>
      </c>
      <c r="E362" s="4" t="s">
        <v>21</v>
      </c>
      <c r="F362" s="5" t="n">
        <v>44450.94</v>
      </c>
      <c r="G362" s="6" t="n">
        <v>0.05</v>
      </c>
      <c r="H362" s="5" t="n">
        <v>2222.55</v>
      </c>
      <c r="I362" s="5" t="n">
        <v>46673.49</v>
      </c>
    </row>
    <row r="363" customFormat="false" ht="15" hidden="false" customHeight="false" outlineLevel="0" collapsed="false">
      <c r="A363" s="4" t="s">
        <v>512</v>
      </c>
      <c r="B363" s="4" t="s">
        <v>18</v>
      </c>
      <c r="C363" s="4" t="s">
        <v>446</v>
      </c>
      <c r="D363" s="4" t="s">
        <v>45</v>
      </c>
      <c r="E363" s="4" t="s">
        <v>21</v>
      </c>
      <c r="F363" s="5" t="n">
        <v>63499.63</v>
      </c>
      <c r="G363" s="6" t="n">
        <v>0.05</v>
      </c>
      <c r="H363" s="5" t="n">
        <v>3174.98</v>
      </c>
      <c r="I363" s="5" t="n">
        <v>66674.61</v>
      </c>
    </row>
    <row r="364" customFormat="false" ht="15" hidden="false" customHeight="false" outlineLevel="0" collapsed="false">
      <c r="A364" s="4" t="s">
        <v>513</v>
      </c>
      <c r="B364" s="4" t="s">
        <v>18</v>
      </c>
      <c r="C364" s="4" t="s">
        <v>444</v>
      </c>
      <c r="D364" s="4" t="s">
        <v>70</v>
      </c>
      <c r="E364" s="4" t="s">
        <v>21</v>
      </c>
      <c r="F364" s="5" t="n">
        <v>58192.17</v>
      </c>
      <c r="G364" s="6" t="n">
        <v>0.05</v>
      </c>
      <c r="H364" s="5" t="n">
        <v>2909.61</v>
      </c>
      <c r="I364" s="5" t="n">
        <v>61101.78</v>
      </c>
    </row>
    <row r="365" customFormat="false" ht="15" hidden="false" customHeight="false" outlineLevel="0" collapsed="false">
      <c r="A365" s="4" t="s">
        <v>514</v>
      </c>
      <c r="B365" s="4" t="s">
        <v>18</v>
      </c>
      <c r="C365" s="4" t="s">
        <v>457</v>
      </c>
      <c r="D365" s="4" t="s">
        <v>34</v>
      </c>
      <c r="E365" s="4" t="s">
        <v>21</v>
      </c>
      <c r="F365" s="5" t="n">
        <v>44417.76</v>
      </c>
      <c r="G365" s="6" t="n">
        <v>0.05</v>
      </c>
      <c r="H365" s="5" t="n">
        <v>2220.89</v>
      </c>
      <c r="I365" s="5" t="n">
        <v>46638.65</v>
      </c>
    </row>
    <row r="366" customFormat="false" ht="15" hidden="false" customHeight="false" outlineLevel="0" collapsed="false">
      <c r="A366" s="4" t="s">
        <v>515</v>
      </c>
      <c r="B366" s="4" t="s">
        <v>18</v>
      </c>
      <c r="C366" s="4" t="s">
        <v>467</v>
      </c>
      <c r="D366" s="4" t="s">
        <v>37</v>
      </c>
      <c r="E366" s="4" t="s">
        <v>21</v>
      </c>
      <c r="F366" s="5" t="n">
        <v>44253.83</v>
      </c>
      <c r="G366" s="6" t="n">
        <v>0.05</v>
      </c>
      <c r="H366" s="5" t="n">
        <v>2212.69</v>
      </c>
      <c r="I366" s="5" t="n">
        <v>46466.52</v>
      </c>
    </row>
    <row r="367" customFormat="false" ht="15" hidden="false" customHeight="false" outlineLevel="0" collapsed="false">
      <c r="A367" s="4" t="s">
        <v>516</v>
      </c>
      <c r="B367" s="4" t="s">
        <v>18</v>
      </c>
      <c r="C367" s="4" t="s">
        <v>453</v>
      </c>
      <c r="D367" s="4" t="s">
        <v>56</v>
      </c>
      <c r="E367" s="4" t="s">
        <v>21</v>
      </c>
      <c r="F367" s="5" t="n">
        <v>79725.41</v>
      </c>
      <c r="G367" s="6" t="n">
        <v>0.05</v>
      </c>
      <c r="H367" s="5" t="n">
        <v>3986.27</v>
      </c>
      <c r="I367" s="5" t="n">
        <v>83711.68</v>
      </c>
    </row>
    <row r="368" customFormat="false" ht="15" hidden="false" customHeight="false" outlineLevel="0" collapsed="false">
      <c r="A368" s="4" t="s">
        <v>517</v>
      </c>
      <c r="B368" s="4" t="s">
        <v>18</v>
      </c>
      <c r="C368" s="4" t="s">
        <v>455</v>
      </c>
      <c r="D368" s="4" t="s">
        <v>27</v>
      </c>
      <c r="E368" s="4" t="s">
        <v>46</v>
      </c>
      <c r="F368" s="5" t="n">
        <v>6149.97</v>
      </c>
      <c r="G368" s="6" t="n">
        <v>0</v>
      </c>
      <c r="H368" s="5" t="n">
        <v>0</v>
      </c>
      <c r="I368" s="5" t="n">
        <v>6149.97</v>
      </c>
    </row>
    <row r="369" customFormat="false" ht="15" hidden="false" customHeight="false" outlineLevel="0" collapsed="false">
      <c r="A369" s="4" t="s">
        <v>518</v>
      </c>
      <c r="B369" s="4" t="s">
        <v>18</v>
      </c>
      <c r="C369" s="4" t="s">
        <v>444</v>
      </c>
      <c r="D369" s="4" t="s">
        <v>27</v>
      </c>
      <c r="E369" s="4" t="s">
        <v>21</v>
      </c>
      <c r="F369" s="5" t="n">
        <v>30728.94</v>
      </c>
      <c r="G369" s="6" t="n">
        <v>0.05</v>
      </c>
      <c r="H369" s="5" t="n">
        <v>1536.45</v>
      </c>
      <c r="I369" s="5" t="n">
        <v>32265.39</v>
      </c>
    </row>
    <row r="370" customFormat="false" ht="15" hidden="false" customHeight="false" outlineLevel="0" collapsed="false">
      <c r="A370" s="4" t="s">
        <v>519</v>
      </c>
      <c r="B370" s="4" t="s">
        <v>18</v>
      </c>
      <c r="C370" s="4" t="s">
        <v>520</v>
      </c>
      <c r="D370" s="4" t="s">
        <v>78</v>
      </c>
      <c r="E370" s="4" t="s">
        <v>21</v>
      </c>
      <c r="F370" s="5" t="n">
        <v>81277.95</v>
      </c>
      <c r="G370" s="6" t="n">
        <v>0.05</v>
      </c>
      <c r="H370" s="5" t="n">
        <v>4063.9</v>
      </c>
      <c r="I370" s="5" t="n">
        <v>85341.85</v>
      </c>
    </row>
    <row r="371" customFormat="false" ht="15" hidden="false" customHeight="false" outlineLevel="0" collapsed="false">
      <c r="A371" s="4" t="s">
        <v>521</v>
      </c>
      <c r="B371" s="4" t="s">
        <v>18</v>
      </c>
      <c r="C371" s="4" t="s">
        <v>488</v>
      </c>
      <c r="D371" s="4" t="s">
        <v>59</v>
      </c>
      <c r="E371" s="4" t="s">
        <v>21</v>
      </c>
      <c r="F371" s="5" t="n">
        <v>24697.92</v>
      </c>
      <c r="G371" s="6" t="n">
        <v>0.05</v>
      </c>
      <c r="H371" s="5" t="n">
        <v>1234.9</v>
      </c>
      <c r="I371" s="5" t="n">
        <v>25932.82</v>
      </c>
    </row>
    <row r="372" customFormat="false" ht="15" hidden="false" customHeight="false" outlineLevel="0" collapsed="false">
      <c r="A372" s="4" t="s">
        <v>522</v>
      </c>
      <c r="B372" s="4" t="s">
        <v>18</v>
      </c>
      <c r="C372" s="4" t="s">
        <v>467</v>
      </c>
      <c r="D372" s="4" t="s">
        <v>31</v>
      </c>
      <c r="E372" s="4" t="s">
        <v>28</v>
      </c>
      <c r="F372" s="5" t="n">
        <v>31576.46</v>
      </c>
      <c r="G372" s="6" t="n">
        <v>0</v>
      </c>
      <c r="H372" s="5" t="n">
        <v>0</v>
      </c>
      <c r="I372" s="5" t="n">
        <v>31576.46</v>
      </c>
    </row>
    <row r="373" customFormat="false" ht="15" hidden="false" customHeight="false" outlineLevel="0" collapsed="false">
      <c r="A373" s="4" t="s">
        <v>523</v>
      </c>
      <c r="B373" s="4" t="s">
        <v>18</v>
      </c>
      <c r="C373" s="4" t="s">
        <v>446</v>
      </c>
      <c r="D373" s="4" t="s">
        <v>56</v>
      </c>
      <c r="E373" s="4" t="s">
        <v>21</v>
      </c>
      <c r="F373" s="5" t="n">
        <v>93628.35</v>
      </c>
      <c r="G373" s="6" t="n">
        <v>0.05</v>
      </c>
      <c r="H373" s="5" t="n">
        <v>4681.42</v>
      </c>
      <c r="I373" s="5" t="n">
        <v>98309.77</v>
      </c>
    </row>
    <row r="374" customFormat="false" ht="15" hidden="false" customHeight="false" outlineLevel="0" collapsed="false">
      <c r="A374" s="4" t="s">
        <v>524</v>
      </c>
      <c r="B374" s="4" t="s">
        <v>18</v>
      </c>
      <c r="C374" s="4" t="s">
        <v>457</v>
      </c>
      <c r="D374" s="4" t="s">
        <v>78</v>
      </c>
      <c r="E374" s="4" t="s">
        <v>21</v>
      </c>
      <c r="F374" s="5" t="n">
        <v>24821.87</v>
      </c>
      <c r="G374" s="6" t="n">
        <v>0.05</v>
      </c>
      <c r="H374" s="5" t="n">
        <v>1241.09</v>
      </c>
      <c r="I374" s="5" t="n">
        <v>26062.96</v>
      </c>
    </row>
    <row r="375" customFormat="false" ht="15" hidden="false" customHeight="false" outlineLevel="0" collapsed="false">
      <c r="A375" s="4" t="s">
        <v>525</v>
      </c>
      <c r="B375" s="4" t="s">
        <v>18</v>
      </c>
      <c r="C375" s="4" t="s">
        <v>450</v>
      </c>
      <c r="D375" s="4" t="s">
        <v>59</v>
      </c>
      <c r="E375" s="4" t="s">
        <v>21</v>
      </c>
      <c r="F375" s="5" t="n">
        <v>78487.46</v>
      </c>
      <c r="G375" s="6" t="n">
        <v>0.05</v>
      </c>
      <c r="H375" s="5" t="n">
        <v>3924.37</v>
      </c>
      <c r="I375" s="5" t="n">
        <v>82411.83</v>
      </c>
    </row>
    <row r="376" customFormat="false" ht="15" hidden="false" customHeight="false" outlineLevel="0" collapsed="false">
      <c r="A376" s="4" t="s">
        <v>526</v>
      </c>
      <c r="B376" s="4" t="s">
        <v>120</v>
      </c>
      <c r="C376" s="4" t="s">
        <v>477</v>
      </c>
      <c r="D376" s="4" t="s">
        <v>130</v>
      </c>
      <c r="E376" s="4" t="s">
        <v>21</v>
      </c>
      <c r="F376" s="5" t="n">
        <v>38135.17</v>
      </c>
      <c r="G376" s="6" t="n">
        <v>0.05</v>
      </c>
      <c r="H376" s="5" t="n">
        <v>1906.76</v>
      </c>
      <c r="I376" s="5" t="n">
        <v>40041.93</v>
      </c>
    </row>
    <row r="377" customFormat="false" ht="15" hidden="false" customHeight="false" outlineLevel="0" collapsed="false">
      <c r="A377" s="4" t="s">
        <v>527</v>
      </c>
      <c r="B377" s="4" t="s">
        <v>120</v>
      </c>
      <c r="C377" s="4" t="s">
        <v>444</v>
      </c>
      <c r="D377" s="4" t="s">
        <v>127</v>
      </c>
      <c r="E377" s="4" t="s">
        <v>21</v>
      </c>
      <c r="F377" s="5" t="n">
        <v>26113.34</v>
      </c>
      <c r="G377" s="6" t="n">
        <v>0.05</v>
      </c>
      <c r="H377" s="5" t="n">
        <v>1305.67</v>
      </c>
      <c r="I377" s="5" t="n">
        <v>27419.01</v>
      </c>
    </row>
    <row r="378" customFormat="false" ht="15" hidden="false" customHeight="false" outlineLevel="0" collapsed="false">
      <c r="A378" s="4" t="s">
        <v>528</v>
      </c>
      <c r="B378" s="4" t="s">
        <v>120</v>
      </c>
      <c r="C378" s="4" t="s">
        <v>463</v>
      </c>
      <c r="D378" s="4" t="s">
        <v>149</v>
      </c>
      <c r="E378" s="4" t="s">
        <v>46</v>
      </c>
      <c r="F378" s="5" t="n">
        <v>7974.66</v>
      </c>
      <c r="G378" s="6" t="n">
        <v>0</v>
      </c>
      <c r="H378" s="5" t="n">
        <v>0</v>
      </c>
      <c r="I378" s="5" t="n">
        <v>7974.66</v>
      </c>
    </row>
    <row r="379" customFormat="false" ht="15" hidden="false" customHeight="false" outlineLevel="0" collapsed="false">
      <c r="A379" s="4" t="s">
        <v>529</v>
      </c>
      <c r="B379" s="4" t="s">
        <v>120</v>
      </c>
      <c r="C379" s="4" t="s">
        <v>475</v>
      </c>
      <c r="D379" s="4" t="s">
        <v>121</v>
      </c>
      <c r="E379" s="4" t="s">
        <v>21</v>
      </c>
      <c r="F379" s="5" t="n">
        <v>9399.36</v>
      </c>
      <c r="G379" s="6" t="n">
        <v>0.05</v>
      </c>
      <c r="H379" s="5" t="n">
        <v>469.97</v>
      </c>
      <c r="I379" s="5" t="n">
        <v>9869.33</v>
      </c>
    </row>
    <row r="380" customFormat="false" ht="15" hidden="false" customHeight="false" outlineLevel="0" collapsed="false">
      <c r="A380" s="4" t="s">
        <v>530</v>
      </c>
      <c r="B380" s="4" t="s">
        <v>120</v>
      </c>
      <c r="C380" s="4" t="s">
        <v>531</v>
      </c>
      <c r="D380" s="4" t="s">
        <v>155</v>
      </c>
      <c r="E380" s="4" t="s">
        <v>46</v>
      </c>
      <c r="F380" s="5" t="n">
        <v>20321.33</v>
      </c>
      <c r="G380" s="6" t="n">
        <v>0</v>
      </c>
      <c r="H380" s="5" t="n">
        <v>0</v>
      </c>
      <c r="I380" s="5" t="n">
        <v>20321.33</v>
      </c>
    </row>
    <row r="381" customFormat="false" ht="15" hidden="false" customHeight="false" outlineLevel="0" collapsed="false">
      <c r="A381" s="4" t="s">
        <v>532</v>
      </c>
      <c r="B381" s="4" t="s">
        <v>120</v>
      </c>
      <c r="C381" s="4" t="s">
        <v>481</v>
      </c>
      <c r="D381" s="4" t="s">
        <v>146</v>
      </c>
      <c r="E381" s="4" t="s">
        <v>21</v>
      </c>
      <c r="F381" s="5" t="n">
        <v>4806.27</v>
      </c>
      <c r="G381" s="6" t="n">
        <v>0.05</v>
      </c>
      <c r="H381" s="5" t="n">
        <v>240.31</v>
      </c>
      <c r="I381" s="5" t="n">
        <v>5046.58</v>
      </c>
    </row>
    <row r="382" customFormat="false" ht="15" hidden="false" customHeight="false" outlineLevel="0" collapsed="false">
      <c r="A382" s="4" t="s">
        <v>533</v>
      </c>
      <c r="B382" s="4" t="s">
        <v>120</v>
      </c>
      <c r="C382" s="4" t="s">
        <v>477</v>
      </c>
      <c r="D382" s="4" t="s">
        <v>125</v>
      </c>
      <c r="E382" s="4" t="s">
        <v>46</v>
      </c>
      <c r="F382" s="5" t="n">
        <v>36565.71</v>
      </c>
      <c r="G382" s="6" t="n">
        <v>0</v>
      </c>
      <c r="H382" s="5" t="n">
        <v>0</v>
      </c>
      <c r="I382" s="5" t="n">
        <v>36565.71</v>
      </c>
    </row>
    <row r="383" customFormat="false" ht="15" hidden="false" customHeight="false" outlineLevel="0" collapsed="false">
      <c r="A383" s="4" t="s">
        <v>534</v>
      </c>
      <c r="B383" s="4" t="s">
        <v>120</v>
      </c>
      <c r="C383" s="4" t="s">
        <v>479</v>
      </c>
      <c r="D383" s="4" t="s">
        <v>121</v>
      </c>
      <c r="E383" s="4" t="s">
        <v>21</v>
      </c>
      <c r="F383" s="5" t="n">
        <v>11831.42</v>
      </c>
      <c r="G383" s="6" t="n">
        <v>0.05</v>
      </c>
      <c r="H383" s="5" t="n">
        <v>591.57</v>
      </c>
      <c r="I383" s="5" t="n">
        <v>12422.99</v>
      </c>
    </row>
    <row r="384" customFormat="false" ht="15" hidden="false" customHeight="false" outlineLevel="0" collapsed="false">
      <c r="A384" s="4" t="s">
        <v>535</v>
      </c>
      <c r="B384" s="4" t="s">
        <v>120</v>
      </c>
      <c r="C384" s="4" t="s">
        <v>444</v>
      </c>
      <c r="D384" s="4" t="s">
        <v>144</v>
      </c>
      <c r="E384" s="4" t="s">
        <v>21</v>
      </c>
      <c r="F384" s="5" t="n">
        <v>33400.36</v>
      </c>
      <c r="G384" s="6" t="n">
        <v>0.05</v>
      </c>
      <c r="H384" s="5" t="n">
        <v>1670.02</v>
      </c>
      <c r="I384" s="5" t="n">
        <v>35070.38</v>
      </c>
    </row>
    <row r="385" customFormat="false" ht="15" hidden="false" customHeight="false" outlineLevel="0" collapsed="false">
      <c r="A385" s="4" t="s">
        <v>536</v>
      </c>
      <c r="B385" s="4" t="s">
        <v>120</v>
      </c>
      <c r="C385" s="4" t="s">
        <v>475</v>
      </c>
      <c r="D385" s="4" t="s">
        <v>133</v>
      </c>
      <c r="E385" s="4" t="s">
        <v>21</v>
      </c>
      <c r="F385" s="5" t="n">
        <v>35600.6</v>
      </c>
      <c r="G385" s="6" t="n">
        <v>0.05</v>
      </c>
      <c r="H385" s="5" t="n">
        <v>1780.03</v>
      </c>
      <c r="I385" s="5" t="n">
        <v>37380.63</v>
      </c>
    </row>
    <row r="386" customFormat="false" ht="15" hidden="false" customHeight="false" outlineLevel="0" collapsed="false">
      <c r="A386" s="4" t="s">
        <v>537</v>
      </c>
      <c r="B386" s="4" t="s">
        <v>120</v>
      </c>
      <c r="C386" s="4" t="s">
        <v>538</v>
      </c>
      <c r="D386" s="4" t="s">
        <v>130</v>
      </c>
      <c r="E386" s="4" t="s">
        <v>21</v>
      </c>
      <c r="F386" s="5" t="n">
        <v>35177.13</v>
      </c>
      <c r="G386" s="6" t="n">
        <v>0.05</v>
      </c>
      <c r="H386" s="5" t="n">
        <v>1758.86</v>
      </c>
      <c r="I386" s="5" t="n">
        <v>36935.99</v>
      </c>
    </row>
    <row r="387" customFormat="false" ht="15" hidden="false" customHeight="false" outlineLevel="0" collapsed="false">
      <c r="A387" s="4" t="s">
        <v>539</v>
      </c>
      <c r="B387" s="4" t="s">
        <v>120</v>
      </c>
      <c r="C387" s="4" t="s">
        <v>448</v>
      </c>
      <c r="D387" s="4" t="s">
        <v>146</v>
      </c>
      <c r="E387" s="4" t="s">
        <v>21</v>
      </c>
      <c r="F387" s="5" t="n">
        <v>23466.44</v>
      </c>
      <c r="G387" s="6" t="n">
        <v>0.05</v>
      </c>
      <c r="H387" s="5" t="n">
        <v>1173.32</v>
      </c>
      <c r="I387" s="5" t="n">
        <v>24639.76</v>
      </c>
    </row>
    <row r="388" customFormat="false" ht="15" hidden="false" customHeight="false" outlineLevel="0" collapsed="false">
      <c r="A388" s="4" t="s">
        <v>540</v>
      </c>
      <c r="B388" s="4" t="s">
        <v>120</v>
      </c>
      <c r="C388" s="4" t="s">
        <v>488</v>
      </c>
      <c r="D388" s="4" t="s">
        <v>155</v>
      </c>
      <c r="E388" s="4" t="s">
        <v>21</v>
      </c>
      <c r="F388" s="5" t="n">
        <v>29603.76</v>
      </c>
      <c r="G388" s="6" t="n">
        <v>0.05</v>
      </c>
      <c r="H388" s="5" t="n">
        <v>1480.19</v>
      </c>
      <c r="I388" s="5" t="n">
        <v>31083.95</v>
      </c>
    </row>
    <row r="389" customFormat="false" ht="15" hidden="false" customHeight="false" outlineLevel="0" collapsed="false">
      <c r="A389" s="4" t="s">
        <v>541</v>
      </c>
      <c r="B389" s="4" t="s">
        <v>120</v>
      </c>
      <c r="C389" s="4" t="s">
        <v>457</v>
      </c>
      <c r="D389" s="4" t="s">
        <v>123</v>
      </c>
      <c r="E389" s="4" t="s">
        <v>46</v>
      </c>
      <c r="F389" s="5" t="n">
        <v>8831.47</v>
      </c>
      <c r="G389" s="6" t="n">
        <v>0</v>
      </c>
      <c r="H389" s="5" t="n">
        <v>0</v>
      </c>
      <c r="I389" s="5" t="n">
        <v>8831.47</v>
      </c>
    </row>
    <row r="390" customFormat="false" ht="15" hidden="false" customHeight="false" outlineLevel="0" collapsed="false">
      <c r="A390" s="4" t="s">
        <v>542</v>
      </c>
      <c r="B390" s="4" t="s">
        <v>120</v>
      </c>
      <c r="C390" s="4" t="s">
        <v>453</v>
      </c>
      <c r="D390" s="4" t="s">
        <v>146</v>
      </c>
      <c r="E390" s="4" t="s">
        <v>46</v>
      </c>
      <c r="F390" s="5" t="n">
        <v>16706.45</v>
      </c>
      <c r="G390" s="6" t="n">
        <v>0</v>
      </c>
      <c r="H390" s="5" t="n">
        <v>0</v>
      </c>
      <c r="I390" s="5" t="n">
        <v>16706.45</v>
      </c>
    </row>
    <row r="391" customFormat="false" ht="15" hidden="false" customHeight="false" outlineLevel="0" collapsed="false">
      <c r="A391" s="4" t="s">
        <v>543</v>
      </c>
      <c r="B391" s="4" t="s">
        <v>120</v>
      </c>
      <c r="C391" s="4" t="s">
        <v>498</v>
      </c>
      <c r="D391" s="4" t="s">
        <v>121</v>
      </c>
      <c r="E391" s="4" t="s">
        <v>21</v>
      </c>
      <c r="F391" s="5" t="n">
        <v>15659.59</v>
      </c>
      <c r="G391" s="6" t="n">
        <v>0.05</v>
      </c>
      <c r="H391" s="5" t="n">
        <v>782.98</v>
      </c>
      <c r="I391" s="5" t="n">
        <v>16442.57</v>
      </c>
    </row>
    <row r="392" customFormat="false" ht="15" hidden="false" customHeight="false" outlineLevel="0" collapsed="false">
      <c r="A392" s="4" t="s">
        <v>544</v>
      </c>
      <c r="B392" s="4" t="s">
        <v>120</v>
      </c>
      <c r="C392" s="4" t="s">
        <v>531</v>
      </c>
      <c r="D392" s="4" t="s">
        <v>155</v>
      </c>
      <c r="E392" s="4" t="s">
        <v>28</v>
      </c>
      <c r="F392" s="5" t="n">
        <v>36717.61</v>
      </c>
      <c r="G392" s="6" t="n">
        <v>0</v>
      </c>
      <c r="H392" s="5" t="n">
        <v>0</v>
      </c>
      <c r="I392" s="5" t="n">
        <v>36717.61</v>
      </c>
    </row>
    <row r="393" customFormat="false" ht="15" hidden="false" customHeight="false" outlineLevel="0" collapsed="false">
      <c r="A393" s="4" t="s">
        <v>545</v>
      </c>
      <c r="B393" s="4" t="s">
        <v>120</v>
      </c>
      <c r="C393" s="4" t="s">
        <v>457</v>
      </c>
      <c r="D393" s="4" t="s">
        <v>130</v>
      </c>
      <c r="E393" s="4" t="s">
        <v>28</v>
      </c>
      <c r="F393" s="5" t="n">
        <v>25712.29</v>
      </c>
      <c r="G393" s="6" t="n">
        <v>0</v>
      </c>
      <c r="H393" s="5" t="n">
        <v>0</v>
      </c>
      <c r="I393" s="5" t="n">
        <v>25712.29</v>
      </c>
    </row>
    <row r="394" customFormat="false" ht="15" hidden="false" customHeight="false" outlineLevel="0" collapsed="false">
      <c r="A394" s="4" t="s">
        <v>546</v>
      </c>
      <c r="B394" s="4" t="s">
        <v>120</v>
      </c>
      <c r="C394" s="4" t="s">
        <v>510</v>
      </c>
      <c r="D394" s="4" t="s">
        <v>155</v>
      </c>
      <c r="E394" s="4" t="s">
        <v>21</v>
      </c>
      <c r="F394" s="5" t="n">
        <v>6154.27</v>
      </c>
      <c r="G394" s="6" t="n">
        <v>0.05</v>
      </c>
      <c r="H394" s="5" t="n">
        <v>307.71</v>
      </c>
      <c r="I394" s="5" t="n">
        <v>6461.98</v>
      </c>
    </row>
    <row r="395" customFormat="false" ht="15" hidden="false" customHeight="false" outlineLevel="0" collapsed="false">
      <c r="A395" s="4" t="s">
        <v>547</v>
      </c>
      <c r="B395" s="4" t="s">
        <v>120</v>
      </c>
      <c r="C395" s="4" t="s">
        <v>471</v>
      </c>
      <c r="D395" s="4" t="s">
        <v>121</v>
      </c>
      <c r="E395" s="4" t="s">
        <v>46</v>
      </c>
      <c r="F395" s="5" t="n">
        <v>23627.63</v>
      </c>
      <c r="G395" s="6" t="n">
        <v>0</v>
      </c>
      <c r="H395" s="5" t="n">
        <v>0</v>
      </c>
      <c r="I395" s="5" t="n">
        <v>23627.63</v>
      </c>
    </row>
    <row r="396" customFormat="false" ht="15" hidden="false" customHeight="false" outlineLevel="0" collapsed="false">
      <c r="A396" s="4" t="s">
        <v>548</v>
      </c>
      <c r="B396" s="4" t="s">
        <v>120</v>
      </c>
      <c r="C396" s="4" t="s">
        <v>475</v>
      </c>
      <c r="D396" s="4" t="s">
        <v>130</v>
      </c>
      <c r="E396" s="4" t="s">
        <v>21</v>
      </c>
      <c r="F396" s="5" t="n">
        <v>16815.51</v>
      </c>
      <c r="G396" s="6" t="n">
        <v>0.05</v>
      </c>
      <c r="H396" s="5" t="n">
        <v>840.78</v>
      </c>
      <c r="I396" s="5" t="n">
        <v>17656.29</v>
      </c>
    </row>
    <row r="397" customFormat="false" ht="15" hidden="false" customHeight="false" outlineLevel="0" collapsed="false">
      <c r="A397" s="4" t="s">
        <v>549</v>
      </c>
      <c r="B397" s="4" t="s">
        <v>120</v>
      </c>
      <c r="C397" s="4" t="s">
        <v>484</v>
      </c>
      <c r="D397" s="4" t="s">
        <v>125</v>
      </c>
      <c r="E397" s="4" t="s">
        <v>46</v>
      </c>
      <c r="F397" s="5" t="n">
        <v>22707.26</v>
      </c>
      <c r="G397" s="6" t="n">
        <v>0</v>
      </c>
      <c r="H397" s="5" t="n">
        <v>0</v>
      </c>
      <c r="I397" s="5" t="n">
        <v>22707.26</v>
      </c>
    </row>
    <row r="398" customFormat="false" ht="15" hidden="false" customHeight="false" outlineLevel="0" collapsed="false">
      <c r="A398" s="4" t="s">
        <v>550</v>
      </c>
      <c r="B398" s="4" t="s">
        <v>120</v>
      </c>
      <c r="C398" s="4" t="s">
        <v>459</v>
      </c>
      <c r="D398" s="4" t="s">
        <v>146</v>
      </c>
      <c r="E398" s="4" t="s">
        <v>21</v>
      </c>
      <c r="F398" s="5" t="n">
        <v>4717.41</v>
      </c>
      <c r="G398" s="6" t="n">
        <v>0.05</v>
      </c>
      <c r="H398" s="5" t="n">
        <v>235.87</v>
      </c>
      <c r="I398" s="5" t="n">
        <v>4953.28</v>
      </c>
    </row>
    <row r="399" customFormat="false" ht="15" hidden="false" customHeight="false" outlineLevel="0" collapsed="false">
      <c r="A399" s="4" t="s">
        <v>551</v>
      </c>
      <c r="B399" s="4" t="s">
        <v>120</v>
      </c>
      <c r="C399" s="4" t="s">
        <v>552</v>
      </c>
      <c r="D399" s="4" t="s">
        <v>130</v>
      </c>
      <c r="E399" s="4" t="s">
        <v>21</v>
      </c>
      <c r="F399" s="5" t="n">
        <v>20668.9</v>
      </c>
      <c r="G399" s="6" t="n">
        <v>0.05</v>
      </c>
      <c r="H399" s="5" t="n">
        <v>1033.45</v>
      </c>
      <c r="I399" s="5" t="n">
        <v>21702.35</v>
      </c>
    </row>
    <row r="400" customFormat="false" ht="15" hidden="false" customHeight="false" outlineLevel="0" collapsed="false">
      <c r="A400" s="4" t="s">
        <v>553</v>
      </c>
      <c r="B400" s="4" t="s">
        <v>120</v>
      </c>
      <c r="C400" s="4" t="s">
        <v>473</v>
      </c>
      <c r="D400" s="4" t="s">
        <v>125</v>
      </c>
      <c r="E400" s="4" t="s">
        <v>46</v>
      </c>
      <c r="F400" s="5" t="n">
        <v>30269.91</v>
      </c>
      <c r="G400" s="6" t="n">
        <v>0</v>
      </c>
      <c r="H400" s="5" t="n">
        <v>0</v>
      </c>
      <c r="I400" s="5" t="n">
        <v>30269.91</v>
      </c>
    </row>
    <row r="401" customFormat="false" ht="15" hidden="false" customHeight="false" outlineLevel="0" collapsed="false">
      <c r="A401" s="4" t="s">
        <v>554</v>
      </c>
      <c r="B401" s="4" t="s">
        <v>120</v>
      </c>
      <c r="C401" s="4" t="s">
        <v>457</v>
      </c>
      <c r="D401" s="4" t="s">
        <v>144</v>
      </c>
      <c r="E401" s="4" t="s">
        <v>28</v>
      </c>
      <c r="F401" s="5" t="n">
        <v>29367.82</v>
      </c>
      <c r="G401" s="6" t="n">
        <v>0</v>
      </c>
      <c r="H401" s="5" t="n">
        <v>0</v>
      </c>
      <c r="I401" s="5" t="n">
        <v>29367.82</v>
      </c>
    </row>
    <row r="402" customFormat="false" ht="15" hidden="false" customHeight="false" outlineLevel="0" collapsed="false">
      <c r="A402" s="4" t="s">
        <v>555</v>
      </c>
      <c r="B402" s="4" t="s">
        <v>120</v>
      </c>
      <c r="C402" s="4" t="s">
        <v>450</v>
      </c>
      <c r="D402" s="4" t="s">
        <v>133</v>
      </c>
      <c r="E402" s="4" t="s">
        <v>21</v>
      </c>
      <c r="F402" s="5" t="n">
        <v>16997.61</v>
      </c>
      <c r="G402" s="6" t="n">
        <v>0.05</v>
      </c>
      <c r="H402" s="5" t="n">
        <v>849.88</v>
      </c>
      <c r="I402" s="5" t="n">
        <v>17847.49</v>
      </c>
    </row>
    <row r="403" customFormat="false" ht="15" hidden="false" customHeight="false" outlineLevel="0" collapsed="false">
      <c r="A403" s="4" t="s">
        <v>556</v>
      </c>
      <c r="B403" s="4" t="s">
        <v>120</v>
      </c>
      <c r="C403" s="4" t="s">
        <v>538</v>
      </c>
      <c r="D403" s="4" t="s">
        <v>149</v>
      </c>
      <c r="E403" s="4" t="s">
        <v>21</v>
      </c>
      <c r="F403" s="5" t="n">
        <v>15527.81</v>
      </c>
      <c r="G403" s="6" t="n">
        <v>0.05</v>
      </c>
      <c r="H403" s="5" t="n">
        <v>776.39</v>
      </c>
      <c r="I403" s="5" t="n">
        <v>16304.2</v>
      </c>
    </row>
    <row r="404" customFormat="false" ht="15" hidden="false" customHeight="false" outlineLevel="0" collapsed="false">
      <c r="A404" s="4" t="s">
        <v>557</v>
      </c>
      <c r="B404" s="4" t="s">
        <v>120</v>
      </c>
      <c r="C404" s="4" t="s">
        <v>484</v>
      </c>
      <c r="D404" s="4" t="s">
        <v>149</v>
      </c>
      <c r="E404" s="4" t="s">
        <v>21</v>
      </c>
      <c r="F404" s="5" t="n">
        <v>14164.58</v>
      </c>
      <c r="G404" s="6" t="n">
        <v>0.05</v>
      </c>
      <c r="H404" s="5" t="n">
        <v>708.23</v>
      </c>
      <c r="I404" s="5" t="n">
        <v>14872.81</v>
      </c>
    </row>
    <row r="405" customFormat="false" ht="15" hidden="false" customHeight="false" outlineLevel="0" collapsed="false">
      <c r="A405" s="4" t="s">
        <v>558</v>
      </c>
      <c r="B405" s="4" t="s">
        <v>120</v>
      </c>
      <c r="C405" s="4" t="s">
        <v>510</v>
      </c>
      <c r="D405" s="4" t="s">
        <v>144</v>
      </c>
      <c r="E405" s="4" t="s">
        <v>21</v>
      </c>
      <c r="F405" s="5" t="n">
        <v>41373.85</v>
      </c>
      <c r="G405" s="6" t="n">
        <v>0.05</v>
      </c>
      <c r="H405" s="5" t="n">
        <v>2068.69</v>
      </c>
      <c r="I405" s="5" t="n">
        <v>43442.54</v>
      </c>
    </row>
    <row r="406" customFormat="false" ht="15" hidden="false" customHeight="false" outlineLevel="0" collapsed="false">
      <c r="A406" s="4" t="s">
        <v>559</v>
      </c>
      <c r="B406" s="4" t="s">
        <v>120</v>
      </c>
      <c r="C406" s="4" t="s">
        <v>444</v>
      </c>
      <c r="D406" s="4" t="s">
        <v>127</v>
      </c>
      <c r="E406" s="4" t="s">
        <v>21</v>
      </c>
      <c r="F406" s="5" t="n">
        <v>33026.52</v>
      </c>
      <c r="G406" s="6" t="n">
        <v>0.05</v>
      </c>
      <c r="H406" s="5" t="n">
        <v>1651.33</v>
      </c>
      <c r="I406" s="5" t="n">
        <v>34677.85</v>
      </c>
    </row>
    <row r="407" customFormat="false" ht="15" hidden="false" customHeight="false" outlineLevel="0" collapsed="false">
      <c r="A407" s="4" t="s">
        <v>560</v>
      </c>
      <c r="B407" s="4" t="s">
        <v>120</v>
      </c>
      <c r="C407" s="4" t="s">
        <v>446</v>
      </c>
      <c r="D407" s="4" t="s">
        <v>155</v>
      </c>
      <c r="E407" s="4" t="s">
        <v>21</v>
      </c>
      <c r="F407" s="5" t="n">
        <v>3951.31</v>
      </c>
      <c r="G407" s="6" t="n">
        <v>0.05</v>
      </c>
      <c r="H407" s="5" t="n">
        <v>197.57</v>
      </c>
      <c r="I407" s="5" t="n">
        <v>4148.88</v>
      </c>
    </row>
    <row r="408" customFormat="false" ht="15" hidden="false" customHeight="false" outlineLevel="0" collapsed="false">
      <c r="A408" s="4" t="s">
        <v>561</v>
      </c>
      <c r="B408" s="4" t="s">
        <v>120</v>
      </c>
      <c r="C408" s="4" t="s">
        <v>552</v>
      </c>
      <c r="D408" s="4" t="s">
        <v>121</v>
      </c>
      <c r="E408" s="4" t="s">
        <v>21</v>
      </c>
      <c r="F408" s="5" t="n">
        <v>17734.04</v>
      </c>
      <c r="G408" s="6" t="n">
        <v>0.05</v>
      </c>
      <c r="H408" s="5" t="n">
        <v>886.7</v>
      </c>
      <c r="I408" s="5" t="n">
        <v>18620.74</v>
      </c>
    </row>
    <row r="409" customFormat="false" ht="15" hidden="false" customHeight="false" outlineLevel="0" collapsed="false">
      <c r="A409" s="4" t="s">
        <v>562</v>
      </c>
      <c r="B409" s="4" t="s">
        <v>120</v>
      </c>
      <c r="C409" s="4" t="s">
        <v>473</v>
      </c>
      <c r="D409" s="4" t="s">
        <v>149</v>
      </c>
      <c r="E409" s="4" t="s">
        <v>28</v>
      </c>
      <c r="F409" s="5" t="n">
        <v>8489.85</v>
      </c>
      <c r="G409" s="6" t="n">
        <v>0</v>
      </c>
      <c r="H409" s="5" t="n">
        <v>0</v>
      </c>
      <c r="I409" s="5" t="n">
        <v>8489.85</v>
      </c>
    </row>
    <row r="410" customFormat="false" ht="15" hidden="false" customHeight="false" outlineLevel="0" collapsed="false">
      <c r="A410" s="4" t="s">
        <v>563</v>
      </c>
      <c r="B410" s="4" t="s">
        <v>120</v>
      </c>
      <c r="C410" s="4" t="s">
        <v>455</v>
      </c>
      <c r="D410" s="4" t="s">
        <v>123</v>
      </c>
      <c r="E410" s="4" t="s">
        <v>46</v>
      </c>
      <c r="F410" s="5" t="n">
        <v>26512.18</v>
      </c>
      <c r="G410" s="6" t="n">
        <v>0</v>
      </c>
      <c r="H410" s="5" t="n">
        <v>0</v>
      </c>
      <c r="I410" s="5" t="n">
        <v>26512.18</v>
      </c>
    </row>
    <row r="411" customFormat="false" ht="15" hidden="false" customHeight="false" outlineLevel="0" collapsed="false">
      <c r="A411" s="4" t="s">
        <v>564</v>
      </c>
      <c r="B411" s="4" t="s">
        <v>18</v>
      </c>
      <c r="C411" s="4" t="s">
        <v>565</v>
      </c>
      <c r="D411" s="4" t="s">
        <v>37</v>
      </c>
      <c r="E411" s="4" t="s">
        <v>21</v>
      </c>
      <c r="F411" s="5" t="n">
        <v>4109.87</v>
      </c>
      <c r="G411" s="6" t="n">
        <v>0.05</v>
      </c>
      <c r="H411" s="5" t="n">
        <v>205.49</v>
      </c>
      <c r="I411" s="5" t="n">
        <v>4315.36</v>
      </c>
    </row>
    <row r="412" customFormat="false" ht="15" hidden="false" customHeight="false" outlineLevel="0" collapsed="false">
      <c r="A412" s="4" t="s">
        <v>566</v>
      </c>
      <c r="B412" s="4" t="s">
        <v>18</v>
      </c>
      <c r="C412" s="4" t="s">
        <v>567</v>
      </c>
      <c r="D412" s="4" t="s">
        <v>56</v>
      </c>
      <c r="E412" s="4" t="s">
        <v>28</v>
      </c>
      <c r="F412" s="5" t="n">
        <v>50591.43</v>
      </c>
      <c r="G412" s="6" t="n">
        <v>0</v>
      </c>
      <c r="H412" s="5" t="n">
        <v>0</v>
      </c>
      <c r="I412" s="5" t="n">
        <v>50591.43</v>
      </c>
    </row>
    <row r="413" customFormat="false" ht="15" hidden="false" customHeight="false" outlineLevel="0" collapsed="false">
      <c r="A413" s="4" t="s">
        <v>568</v>
      </c>
      <c r="B413" s="4" t="s">
        <v>18</v>
      </c>
      <c r="C413" s="4" t="s">
        <v>569</v>
      </c>
      <c r="D413" s="4" t="s">
        <v>50</v>
      </c>
      <c r="E413" s="4" t="s">
        <v>21</v>
      </c>
      <c r="F413" s="5" t="n">
        <v>52307.88</v>
      </c>
      <c r="G413" s="6" t="n">
        <v>0.05</v>
      </c>
      <c r="H413" s="5" t="n">
        <v>2615.39</v>
      </c>
      <c r="I413" s="5" t="n">
        <v>54923.27</v>
      </c>
    </row>
    <row r="414" customFormat="false" ht="15" hidden="false" customHeight="false" outlineLevel="0" collapsed="false">
      <c r="A414" s="4" t="s">
        <v>570</v>
      </c>
      <c r="B414" s="4" t="s">
        <v>18</v>
      </c>
      <c r="C414" s="4" t="s">
        <v>571</v>
      </c>
      <c r="D414" s="4" t="s">
        <v>31</v>
      </c>
      <c r="E414" s="4" t="s">
        <v>21</v>
      </c>
      <c r="F414" s="5" t="n">
        <v>79730.93</v>
      </c>
      <c r="G414" s="6" t="n">
        <v>0.05</v>
      </c>
      <c r="H414" s="5" t="n">
        <v>3986.55</v>
      </c>
      <c r="I414" s="5" t="n">
        <v>83717.48</v>
      </c>
    </row>
    <row r="415" customFormat="false" ht="15" hidden="false" customHeight="false" outlineLevel="0" collapsed="false">
      <c r="A415" s="4" t="s">
        <v>572</v>
      </c>
      <c r="B415" s="4" t="s">
        <v>18</v>
      </c>
      <c r="C415" s="4" t="s">
        <v>573</v>
      </c>
      <c r="D415" s="4" t="s">
        <v>86</v>
      </c>
      <c r="E415" s="4" t="s">
        <v>28</v>
      </c>
      <c r="F415" s="5" t="n">
        <v>81595.46</v>
      </c>
      <c r="G415" s="6" t="n">
        <v>0</v>
      </c>
      <c r="H415" s="5" t="n">
        <v>0</v>
      </c>
      <c r="I415" s="5" t="n">
        <v>81595.46</v>
      </c>
    </row>
    <row r="416" customFormat="false" ht="15" hidden="false" customHeight="false" outlineLevel="0" collapsed="false">
      <c r="A416" s="4" t="s">
        <v>574</v>
      </c>
      <c r="B416" s="4" t="s">
        <v>18</v>
      </c>
      <c r="C416" s="4" t="s">
        <v>575</v>
      </c>
      <c r="D416" s="4" t="s">
        <v>20</v>
      </c>
      <c r="E416" s="4" t="s">
        <v>21</v>
      </c>
      <c r="F416" s="5" t="n">
        <v>65320.7</v>
      </c>
      <c r="G416" s="6" t="n">
        <v>0.05</v>
      </c>
      <c r="H416" s="5" t="n">
        <v>3266.03</v>
      </c>
      <c r="I416" s="5" t="n">
        <v>68586.73</v>
      </c>
    </row>
    <row r="417" customFormat="false" ht="15" hidden="false" customHeight="false" outlineLevel="0" collapsed="false">
      <c r="A417" s="4" t="s">
        <v>576</v>
      </c>
      <c r="B417" s="4" t="s">
        <v>18</v>
      </c>
      <c r="C417" s="4" t="s">
        <v>577</v>
      </c>
      <c r="D417" s="4" t="s">
        <v>37</v>
      </c>
      <c r="E417" s="4" t="s">
        <v>21</v>
      </c>
      <c r="F417" s="5" t="n">
        <v>27996.34</v>
      </c>
      <c r="G417" s="6" t="n">
        <v>0.05</v>
      </c>
      <c r="H417" s="5" t="n">
        <v>1399.82</v>
      </c>
      <c r="I417" s="5" t="n">
        <v>29396.16</v>
      </c>
    </row>
    <row r="418" customFormat="false" ht="15" hidden="false" customHeight="false" outlineLevel="0" collapsed="false">
      <c r="A418" s="4" t="s">
        <v>578</v>
      </c>
      <c r="B418" s="4" t="s">
        <v>18</v>
      </c>
      <c r="C418" s="4" t="s">
        <v>579</v>
      </c>
      <c r="D418" s="4" t="s">
        <v>88</v>
      </c>
      <c r="E418" s="4" t="s">
        <v>21</v>
      </c>
      <c r="F418" s="5" t="n">
        <v>48934.91</v>
      </c>
      <c r="G418" s="6" t="n">
        <v>0.05</v>
      </c>
      <c r="H418" s="5" t="n">
        <v>2446.75</v>
      </c>
      <c r="I418" s="5" t="n">
        <v>51381.66</v>
      </c>
    </row>
    <row r="419" customFormat="false" ht="15" hidden="false" customHeight="false" outlineLevel="0" collapsed="false">
      <c r="A419" s="4" t="s">
        <v>580</v>
      </c>
      <c r="B419" s="4" t="s">
        <v>18</v>
      </c>
      <c r="C419" s="4" t="s">
        <v>581</v>
      </c>
      <c r="D419" s="4" t="s">
        <v>31</v>
      </c>
      <c r="E419" s="4" t="s">
        <v>21</v>
      </c>
      <c r="F419" s="5" t="n">
        <v>61159.8</v>
      </c>
      <c r="G419" s="6" t="n">
        <v>0.05</v>
      </c>
      <c r="H419" s="5" t="n">
        <v>3057.99</v>
      </c>
      <c r="I419" s="5" t="n">
        <v>64217.79</v>
      </c>
    </row>
    <row r="420" customFormat="false" ht="15" hidden="false" customHeight="false" outlineLevel="0" collapsed="false">
      <c r="A420" s="4" t="s">
        <v>582</v>
      </c>
      <c r="B420" s="4" t="s">
        <v>18</v>
      </c>
      <c r="C420" s="4" t="s">
        <v>583</v>
      </c>
      <c r="D420" s="4" t="s">
        <v>45</v>
      </c>
      <c r="E420" s="4" t="s">
        <v>21</v>
      </c>
      <c r="F420" s="5" t="n">
        <v>92217.87</v>
      </c>
      <c r="G420" s="6" t="n">
        <v>0.05</v>
      </c>
      <c r="H420" s="5" t="n">
        <v>4610.89</v>
      </c>
      <c r="I420" s="5" t="n">
        <v>96828.76</v>
      </c>
    </row>
    <row r="421" customFormat="false" ht="15" hidden="false" customHeight="false" outlineLevel="0" collapsed="false">
      <c r="A421" s="4" t="s">
        <v>584</v>
      </c>
      <c r="B421" s="4" t="s">
        <v>18</v>
      </c>
      <c r="C421" s="4" t="s">
        <v>585</v>
      </c>
      <c r="D421" s="4" t="s">
        <v>24</v>
      </c>
      <c r="E421" s="4" t="s">
        <v>21</v>
      </c>
      <c r="F421" s="5" t="n">
        <v>59137.67</v>
      </c>
      <c r="G421" s="6" t="n">
        <v>0.05</v>
      </c>
      <c r="H421" s="5" t="n">
        <v>2956.88</v>
      </c>
      <c r="I421" s="5" t="n">
        <v>62094.55</v>
      </c>
    </row>
    <row r="422" customFormat="false" ht="15" hidden="false" customHeight="false" outlineLevel="0" collapsed="false">
      <c r="A422" s="4" t="s">
        <v>586</v>
      </c>
      <c r="B422" s="4" t="s">
        <v>18</v>
      </c>
      <c r="C422" s="4" t="s">
        <v>585</v>
      </c>
      <c r="D422" s="4" t="s">
        <v>37</v>
      </c>
      <c r="E422" s="4" t="s">
        <v>28</v>
      </c>
      <c r="F422" s="5" t="n">
        <v>53772.48</v>
      </c>
      <c r="G422" s="6" t="n">
        <v>0</v>
      </c>
      <c r="H422" s="5" t="n">
        <v>0</v>
      </c>
      <c r="I422" s="5" t="n">
        <v>53772.48</v>
      </c>
    </row>
    <row r="423" customFormat="false" ht="15" hidden="false" customHeight="false" outlineLevel="0" collapsed="false">
      <c r="A423" s="4" t="s">
        <v>587</v>
      </c>
      <c r="B423" s="4" t="s">
        <v>18</v>
      </c>
      <c r="C423" s="4" t="s">
        <v>588</v>
      </c>
      <c r="D423" s="4" t="s">
        <v>86</v>
      </c>
      <c r="E423" s="4" t="s">
        <v>21</v>
      </c>
      <c r="F423" s="5" t="n">
        <v>23412.38</v>
      </c>
      <c r="G423" s="6" t="n">
        <v>0.05</v>
      </c>
      <c r="H423" s="5" t="n">
        <v>1170.62</v>
      </c>
      <c r="I423" s="5" t="n">
        <v>24583</v>
      </c>
    </row>
    <row r="424" customFormat="false" ht="15" hidden="false" customHeight="false" outlineLevel="0" collapsed="false">
      <c r="A424" s="4" t="s">
        <v>589</v>
      </c>
      <c r="B424" s="4" t="s">
        <v>18</v>
      </c>
      <c r="C424" s="4" t="s">
        <v>590</v>
      </c>
      <c r="D424" s="4" t="s">
        <v>88</v>
      </c>
      <c r="E424" s="4" t="s">
        <v>21</v>
      </c>
      <c r="F424" s="5" t="n">
        <v>78797.21</v>
      </c>
      <c r="G424" s="6" t="n">
        <v>0.05</v>
      </c>
      <c r="H424" s="5" t="n">
        <v>3939.86</v>
      </c>
      <c r="I424" s="5" t="n">
        <v>82737.07</v>
      </c>
    </row>
    <row r="425" customFormat="false" ht="15" hidden="false" customHeight="false" outlineLevel="0" collapsed="false">
      <c r="A425" s="4" t="s">
        <v>591</v>
      </c>
      <c r="B425" s="4" t="s">
        <v>18</v>
      </c>
      <c r="C425" s="4" t="s">
        <v>567</v>
      </c>
      <c r="D425" s="4" t="s">
        <v>59</v>
      </c>
      <c r="E425" s="4" t="s">
        <v>21</v>
      </c>
      <c r="F425" s="5" t="n">
        <v>9744.88</v>
      </c>
      <c r="G425" s="6" t="n">
        <v>0.05</v>
      </c>
      <c r="H425" s="5" t="n">
        <v>487.24</v>
      </c>
      <c r="I425" s="5" t="n">
        <v>10232.12</v>
      </c>
    </row>
    <row r="426" customFormat="false" ht="15" hidden="false" customHeight="false" outlineLevel="0" collapsed="false">
      <c r="A426" s="4" t="s">
        <v>592</v>
      </c>
      <c r="B426" s="4" t="s">
        <v>18</v>
      </c>
      <c r="C426" s="4" t="s">
        <v>585</v>
      </c>
      <c r="D426" s="4" t="s">
        <v>31</v>
      </c>
      <c r="E426" s="4" t="s">
        <v>21</v>
      </c>
      <c r="F426" s="5" t="n">
        <v>79390.77</v>
      </c>
      <c r="G426" s="6" t="n">
        <v>0.05</v>
      </c>
      <c r="H426" s="5" t="n">
        <v>3969.54</v>
      </c>
      <c r="I426" s="5" t="n">
        <v>83360.31</v>
      </c>
    </row>
    <row r="427" customFormat="false" ht="15" hidden="false" customHeight="false" outlineLevel="0" collapsed="false">
      <c r="A427" s="4" t="s">
        <v>593</v>
      </c>
      <c r="B427" s="4" t="s">
        <v>18</v>
      </c>
      <c r="C427" s="4" t="s">
        <v>590</v>
      </c>
      <c r="D427" s="4" t="s">
        <v>34</v>
      </c>
      <c r="E427" s="4" t="s">
        <v>21</v>
      </c>
      <c r="F427" s="5" t="n">
        <v>27823.66</v>
      </c>
      <c r="G427" s="6" t="n">
        <v>0.05</v>
      </c>
      <c r="H427" s="5" t="n">
        <v>1391.18</v>
      </c>
      <c r="I427" s="5" t="n">
        <v>29214.84</v>
      </c>
    </row>
    <row r="428" customFormat="false" ht="15" hidden="false" customHeight="false" outlineLevel="0" collapsed="false">
      <c r="A428" s="4" t="s">
        <v>594</v>
      </c>
      <c r="B428" s="4" t="s">
        <v>18</v>
      </c>
      <c r="C428" s="4" t="s">
        <v>581</v>
      </c>
      <c r="D428" s="4" t="s">
        <v>56</v>
      </c>
      <c r="E428" s="4" t="s">
        <v>21</v>
      </c>
      <c r="F428" s="5" t="n">
        <v>59287.11</v>
      </c>
      <c r="G428" s="6" t="n">
        <v>0.05</v>
      </c>
      <c r="H428" s="5" t="n">
        <v>2964.36</v>
      </c>
      <c r="I428" s="5" t="n">
        <v>62251.47</v>
      </c>
    </row>
    <row r="429" customFormat="false" ht="15" hidden="false" customHeight="false" outlineLevel="0" collapsed="false">
      <c r="A429" s="4" t="s">
        <v>595</v>
      </c>
      <c r="B429" s="4" t="s">
        <v>18</v>
      </c>
      <c r="C429" s="4" t="s">
        <v>567</v>
      </c>
      <c r="D429" s="4" t="s">
        <v>88</v>
      </c>
      <c r="E429" s="4" t="s">
        <v>21</v>
      </c>
      <c r="F429" s="5" t="n">
        <v>32834.64</v>
      </c>
      <c r="G429" s="6" t="n">
        <v>0.05</v>
      </c>
      <c r="H429" s="5" t="n">
        <v>1641.73</v>
      </c>
      <c r="I429" s="5" t="n">
        <v>34476.37</v>
      </c>
    </row>
    <row r="430" customFormat="false" ht="15" hidden="false" customHeight="false" outlineLevel="0" collapsed="false">
      <c r="A430" s="4" t="s">
        <v>596</v>
      </c>
      <c r="B430" s="4" t="s">
        <v>18</v>
      </c>
      <c r="C430" s="4" t="s">
        <v>597</v>
      </c>
      <c r="D430" s="4" t="s">
        <v>70</v>
      </c>
      <c r="E430" s="4" t="s">
        <v>46</v>
      </c>
      <c r="F430" s="5" t="n">
        <v>10016.7</v>
      </c>
      <c r="G430" s="6" t="n">
        <v>0</v>
      </c>
      <c r="H430" s="5" t="n">
        <v>0</v>
      </c>
      <c r="I430" s="5" t="n">
        <v>10016.7</v>
      </c>
    </row>
    <row r="431" customFormat="false" ht="15" hidden="false" customHeight="false" outlineLevel="0" collapsed="false">
      <c r="A431" s="4" t="s">
        <v>598</v>
      </c>
      <c r="B431" s="4" t="s">
        <v>18</v>
      </c>
      <c r="C431" s="4" t="s">
        <v>599</v>
      </c>
      <c r="D431" s="4" t="s">
        <v>59</v>
      </c>
      <c r="E431" s="4" t="s">
        <v>21</v>
      </c>
      <c r="F431" s="5" t="n">
        <v>28926.27</v>
      </c>
      <c r="G431" s="6" t="n">
        <v>0.05</v>
      </c>
      <c r="H431" s="5" t="n">
        <v>1446.31</v>
      </c>
      <c r="I431" s="5" t="n">
        <v>30372.58</v>
      </c>
    </row>
    <row r="432" customFormat="false" ht="15" hidden="false" customHeight="false" outlineLevel="0" collapsed="false">
      <c r="A432" s="4" t="s">
        <v>600</v>
      </c>
      <c r="B432" s="4" t="s">
        <v>18</v>
      </c>
      <c r="C432" s="4" t="s">
        <v>601</v>
      </c>
      <c r="D432" s="4" t="s">
        <v>34</v>
      </c>
      <c r="E432" s="4" t="s">
        <v>21</v>
      </c>
      <c r="F432" s="5" t="n">
        <v>24504.86</v>
      </c>
      <c r="G432" s="6" t="n">
        <v>0.05</v>
      </c>
      <c r="H432" s="5" t="n">
        <v>1225.24</v>
      </c>
      <c r="I432" s="5" t="n">
        <v>25730.1</v>
      </c>
    </row>
    <row r="433" customFormat="false" ht="15" hidden="false" customHeight="false" outlineLevel="0" collapsed="false">
      <c r="A433" s="4" t="s">
        <v>602</v>
      </c>
      <c r="B433" s="4" t="s">
        <v>18</v>
      </c>
      <c r="C433" s="4" t="s">
        <v>583</v>
      </c>
      <c r="D433" s="4" t="s">
        <v>31</v>
      </c>
      <c r="E433" s="4" t="s">
        <v>21</v>
      </c>
      <c r="F433" s="5" t="n">
        <v>68884.55</v>
      </c>
      <c r="G433" s="6" t="n">
        <v>0.05</v>
      </c>
      <c r="H433" s="5" t="n">
        <v>3444.23</v>
      </c>
      <c r="I433" s="5" t="n">
        <v>72328.78</v>
      </c>
    </row>
    <row r="434" customFormat="false" ht="15" hidden="false" customHeight="false" outlineLevel="0" collapsed="false">
      <c r="A434" s="4" t="s">
        <v>603</v>
      </c>
      <c r="B434" s="4" t="s">
        <v>18</v>
      </c>
      <c r="C434" s="4" t="s">
        <v>585</v>
      </c>
      <c r="D434" s="4" t="s">
        <v>34</v>
      </c>
      <c r="E434" s="4" t="s">
        <v>21</v>
      </c>
      <c r="F434" s="5" t="n">
        <v>92953.49</v>
      </c>
      <c r="G434" s="6" t="n">
        <v>0.05</v>
      </c>
      <c r="H434" s="5" t="n">
        <v>4647.67</v>
      </c>
      <c r="I434" s="5" t="n">
        <v>97601.16</v>
      </c>
    </row>
    <row r="435" customFormat="false" ht="15" hidden="false" customHeight="false" outlineLevel="0" collapsed="false">
      <c r="A435" s="4" t="s">
        <v>604</v>
      </c>
      <c r="B435" s="4" t="s">
        <v>18</v>
      </c>
      <c r="C435" s="4" t="s">
        <v>567</v>
      </c>
      <c r="D435" s="4" t="s">
        <v>50</v>
      </c>
      <c r="E435" s="4" t="s">
        <v>28</v>
      </c>
      <c r="F435" s="5" t="n">
        <v>17575.83</v>
      </c>
      <c r="G435" s="6" t="n">
        <v>0</v>
      </c>
      <c r="H435" s="5" t="n">
        <v>0</v>
      </c>
      <c r="I435" s="5" t="n">
        <v>17575.83</v>
      </c>
    </row>
    <row r="436" customFormat="false" ht="15" hidden="false" customHeight="false" outlineLevel="0" collapsed="false">
      <c r="A436" s="4" t="s">
        <v>605</v>
      </c>
      <c r="B436" s="4" t="s">
        <v>18</v>
      </c>
      <c r="C436" s="4" t="s">
        <v>590</v>
      </c>
      <c r="D436" s="4" t="s">
        <v>50</v>
      </c>
      <c r="E436" s="4" t="s">
        <v>21</v>
      </c>
      <c r="F436" s="5" t="n">
        <v>77258.94</v>
      </c>
      <c r="G436" s="6" t="n">
        <v>0.05</v>
      </c>
      <c r="H436" s="5" t="n">
        <v>3862.95</v>
      </c>
      <c r="I436" s="5" t="n">
        <v>81121.89</v>
      </c>
    </row>
    <row r="437" customFormat="false" ht="15" hidden="false" customHeight="false" outlineLevel="0" collapsed="false">
      <c r="A437" s="4" t="s">
        <v>606</v>
      </c>
      <c r="B437" s="4" t="s">
        <v>18</v>
      </c>
      <c r="C437" s="4" t="s">
        <v>607</v>
      </c>
      <c r="D437" s="4" t="s">
        <v>20</v>
      </c>
      <c r="E437" s="4" t="s">
        <v>21</v>
      </c>
      <c r="F437" s="5" t="n">
        <v>84813.77</v>
      </c>
      <c r="G437" s="6" t="n">
        <v>0.05</v>
      </c>
      <c r="H437" s="5" t="n">
        <v>4240.69</v>
      </c>
      <c r="I437" s="5" t="n">
        <v>89054.46</v>
      </c>
    </row>
    <row r="438" customFormat="false" ht="15" hidden="false" customHeight="false" outlineLevel="0" collapsed="false">
      <c r="A438" s="4" t="s">
        <v>608</v>
      </c>
      <c r="B438" s="4" t="s">
        <v>18</v>
      </c>
      <c r="C438" s="4" t="s">
        <v>597</v>
      </c>
      <c r="D438" s="4" t="s">
        <v>59</v>
      </c>
      <c r="E438" s="4" t="s">
        <v>46</v>
      </c>
      <c r="F438" s="5" t="n">
        <v>27663.34</v>
      </c>
      <c r="G438" s="6" t="n">
        <v>0</v>
      </c>
      <c r="H438" s="5" t="n">
        <v>0</v>
      </c>
      <c r="I438" s="5" t="n">
        <v>27663.34</v>
      </c>
    </row>
    <row r="439" customFormat="false" ht="15" hidden="false" customHeight="false" outlineLevel="0" collapsed="false">
      <c r="A439" s="4" t="s">
        <v>609</v>
      </c>
      <c r="B439" s="4" t="s">
        <v>18</v>
      </c>
      <c r="C439" s="4" t="s">
        <v>597</v>
      </c>
      <c r="D439" s="4" t="s">
        <v>70</v>
      </c>
      <c r="E439" s="4" t="s">
        <v>46</v>
      </c>
      <c r="F439" s="5" t="n">
        <v>33199.91</v>
      </c>
      <c r="G439" s="6" t="n">
        <v>0</v>
      </c>
      <c r="H439" s="5" t="n">
        <v>0</v>
      </c>
      <c r="I439" s="5" t="n">
        <v>33199.91</v>
      </c>
    </row>
    <row r="440" customFormat="false" ht="15" hidden="false" customHeight="false" outlineLevel="0" collapsed="false">
      <c r="A440" s="4" t="s">
        <v>610</v>
      </c>
      <c r="B440" s="4" t="s">
        <v>18</v>
      </c>
      <c r="C440" s="4" t="s">
        <v>571</v>
      </c>
      <c r="D440" s="4" t="s">
        <v>20</v>
      </c>
      <c r="E440" s="4" t="s">
        <v>21</v>
      </c>
      <c r="F440" s="5" t="n">
        <v>32484.94</v>
      </c>
      <c r="G440" s="6" t="n">
        <v>0.05</v>
      </c>
      <c r="H440" s="5" t="n">
        <v>1624.25</v>
      </c>
      <c r="I440" s="5" t="n">
        <v>34109.19</v>
      </c>
    </row>
    <row r="441" customFormat="false" ht="15" hidden="false" customHeight="false" outlineLevel="0" collapsed="false">
      <c r="A441" s="4" t="s">
        <v>611</v>
      </c>
      <c r="B441" s="4" t="s">
        <v>18</v>
      </c>
      <c r="C441" s="4" t="s">
        <v>565</v>
      </c>
      <c r="D441" s="4" t="s">
        <v>24</v>
      </c>
      <c r="E441" s="4" t="s">
        <v>21</v>
      </c>
      <c r="F441" s="5" t="n">
        <v>27490.58</v>
      </c>
      <c r="G441" s="6" t="n">
        <v>0.05</v>
      </c>
      <c r="H441" s="5" t="n">
        <v>1374.53</v>
      </c>
      <c r="I441" s="5" t="n">
        <v>28865.11</v>
      </c>
    </row>
    <row r="442" customFormat="false" ht="15" hidden="false" customHeight="false" outlineLevel="0" collapsed="false">
      <c r="A442" s="4" t="s">
        <v>612</v>
      </c>
      <c r="B442" s="4" t="s">
        <v>18</v>
      </c>
      <c r="C442" s="4" t="s">
        <v>607</v>
      </c>
      <c r="D442" s="4" t="s">
        <v>88</v>
      </c>
      <c r="E442" s="4" t="s">
        <v>21</v>
      </c>
      <c r="F442" s="5" t="n">
        <v>73170.98</v>
      </c>
      <c r="G442" s="6" t="n">
        <v>0.05</v>
      </c>
      <c r="H442" s="5" t="n">
        <v>3658.55</v>
      </c>
      <c r="I442" s="5" t="n">
        <v>76829.53</v>
      </c>
    </row>
    <row r="443" customFormat="false" ht="15" hidden="false" customHeight="false" outlineLevel="0" collapsed="false">
      <c r="A443" s="4" t="s">
        <v>613</v>
      </c>
      <c r="B443" s="4" t="s">
        <v>18</v>
      </c>
      <c r="C443" s="4" t="s">
        <v>583</v>
      </c>
      <c r="D443" s="4" t="s">
        <v>50</v>
      </c>
      <c r="E443" s="4" t="s">
        <v>21</v>
      </c>
      <c r="F443" s="5" t="n">
        <v>73773.7</v>
      </c>
      <c r="G443" s="6" t="n">
        <v>0.05</v>
      </c>
      <c r="H443" s="5" t="n">
        <v>3688.68</v>
      </c>
      <c r="I443" s="5" t="n">
        <v>77462.38</v>
      </c>
    </row>
    <row r="444" customFormat="false" ht="15" hidden="false" customHeight="false" outlineLevel="0" collapsed="false">
      <c r="A444" s="4" t="s">
        <v>614</v>
      </c>
      <c r="B444" s="4" t="s">
        <v>18</v>
      </c>
      <c r="C444" s="4" t="s">
        <v>597</v>
      </c>
      <c r="D444" s="4" t="s">
        <v>88</v>
      </c>
      <c r="E444" s="4" t="s">
        <v>21</v>
      </c>
      <c r="F444" s="5" t="n">
        <v>50163.9</v>
      </c>
      <c r="G444" s="6" t="n">
        <v>0.05</v>
      </c>
      <c r="H444" s="5" t="n">
        <v>2508.2</v>
      </c>
      <c r="I444" s="5" t="n">
        <v>52672.1</v>
      </c>
    </row>
    <row r="445" customFormat="false" ht="15" hidden="false" customHeight="false" outlineLevel="0" collapsed="false">
      <c r="A445" s="4" t="s">
        <v>615</v>
      </c>
      <c r="B445" s="4" t="s">
        <v>18</v>
      </c>
      <c r="C445" s="4" t="s">
        <v>616</v>
      </c>
      <c r="D445" s="4" t="s">
        <v>62</v>
      </c>
      <c r="E445" s="4" t="s">
        <v>21</v>
      </c>
      <c r="F445" s="5" t="n">
        <v>10769.08</v>
      </c>
      <c r="G445" s="6" t="n">
        <v>0.05</v>
      </c>
      <c r="H445" s="5" t="n">
        <v>538.45</v>
      </c>
      <c r="I445" s="5" t="n">
        <v>11307.53</v>
      </c>
    </row>
    <row r="446" customFormat="false" ht="15" hidden="false" customHeight="false" outlineLevel="0" collapsed="false">
      <c r="A446" s="4" t="s">
        <v>617</v>
      </c>
      <c r="B446" s="4" t="s">
        <v>18</v>
      </c>
      <c r="C446" s="4" t="s">
        <v>577</v>
      </c>
      <c r="D446" s="4" t="s">
        <v>34</v>
      </c>
      <c r="E446" s="4" t="s">
        <v>21</v>
      </c>
      <c r="F446" s="5" t="n">
        <v>8216.23</v>
      </c>
      <c r="G446" s="6" t="n">
        <v>0.05</v>
      </c>
      <c r="H446" s="5" t="n">
        <v>410.81</v>
      </c>
      <c r="I446" s="5" t="n">
        <v>8627.04</v>
      </c>
    </row>
    <row r="447" customFormat="false" ht="15" hidden="false" customHeight="false" outlineLevel="0" collapsed="false">
      <c r="A447" s="4" t="s">
        <v>618</v>
      </c>
      <c r="B447" s="4" t="s">
        <v>18</v>
      </c>
      <c r="C447" s="4" t="s">
        <v>619</v>
      </c>
      <c r="D447" s="4" t="s">
        <v>86</v>
      </c>
      <c r="E447" s="4" t="s">
        <v>46</v>
      </c>
      <c r="F447" s="5" t="n">
        <v>68385.45</v>
      </c>
      <c r="G447" s="6" t="n">
        <v>0</v>
      </c>
      <c r="H447" s="5" t="n">
        <v>0</v>
      </c>
      <c r="I447" s="5" t="n">
        <v>68385.45</v>
      </c>
    </row>
    <row r="448" customFormat="false" ht="15" hidden="false" customHeight="false" outlineLevel="0" collapsed="false">
      <c r="A448" s="4" t="s">
        <v>620</v>
      </c>
      <c r="B448" s="4" t="s">
        <v>18</v>
      </c>
      <c r="C448" s="4" t="s">
        <v>588</v>
      </c>
      <c r="D448" s="4" t="s">
        <v>78</v>
      </c>
      <c r="E448" s="4" t="s">
        <v>28</v>
      </c>
      <c r="F448" s="5" t="n">
        <v>49471.08</v>
      </c>
      <c r="G448" s="6" t="n">
        <v>0</v>
      </c>
      <c r="H448" s="5" t="n">
        <v>0</v>
      </c>
      <c r="I448" s="5" t="n">
        <v>49471.08</v>
      </c>
    </row>
    <row r="449" customFormat="false" ht="15" hidden="false" customHeight="false" outlineLevel="0" collapsed="false">
      <c r="A449" s="4" t="s">
        <v>621</v>
      </c>
      <c r="B449" s="4" t="s">
        <v>18</v>
      </c>
      <c r="C449" s="4" t="s">
        <v>622</v>
      </c>
      <c r="D449" s="4" t="s">
        <v>45</v>
      </c>
      <c r="E449" s="4" t="s">
        <v>21</v>
      </c>
      <c r="F449" s="5" t="n">
        <v>32871.03</v>
      </c>
      <c r="G449" s="6" t="n">
        <v>0.05</v>
      </c>
      <c r="H449" s="5" t="n">
        <v>1643.55</v>
      </c>
      <c r="I449" s="5" t="n">
        <v>34514.58</v>
      </c>
    </row>
    <row r="450" customFormat="false" ht="15" hidden="false" customHeight="false" outlineLevel="0" collapsed="false">
      <c r="A450" s="4" t="s">
        <v>623</v>
      </c>
      <c r="B450" s="4" t="s">
        <v>18</v>
      </c>
      <c r="C450" s="4" t="s">
        <v>624</v>
      </c>
      <c r="D450" s="4" t="s">
        <v>70</v>
      </c>
      <c r="E450" s="4" t="s">
        <v>21</v>
      </c>
      <c r="F450" s="5" t="n">
        <v>74154.03</v>
      </c>
      <c r="G450" s="6" t="n">
        <v>0.05</v>
      </c>
      <c r="H450" s="5" t="n">
        <v>3707.7</v>
      </c>
      <c r="I450" s="5" t="n">
        <v>77861.73</v>
      </c>
    </row>
    <row r="451" customFormat="false" ht="15" hidden="false" customHeight="false" outlineLevel="0" collapsed="false">
      <c r="A451" s="4" t="s">
        <v>625</v>
      </c>
      <c r="B451" s="4" t="s">
        <v>18</v>
      </c>
      <c r="C451" s="4" t="s">
        <v>626</v>
      </c>
      <c r="D451" s="4" t="s">
        <v>56</v>
      </c>
      <c r="E451" s="4" t="s">
        <v>21</v>
      </c>
      <c r="F451" s="5" t="n">
        <v>74979.89</v>
      </c>
      <c r="G451" s="6" t="n">
        <v>0.05</v>
      </c>
      <c r="H451" s="5" t="n">
        <v>3748.99</v>
      </c>
      <c r="I451" s="5" t="n">
        <v>78728.88</v>
      </c>
    </row>
    <row r="452" customFormat="false" ht="15" hidden="false" customHeight="false" outlineLevel="0" collapsed="false">
      <c r="A452" s="4" t="s">
        <v>627</v>
      </c>
      <c r="B452" s="4" t="s">
        <v>18</v>
      </c>
      <c r="C452" s="4" t="s">
        <v>622</v>
      </c>
      <c r="D452" s="4" t="s">
        <v>59</v>
      </c>
      <c r="E452" s="4" t="s">
        <v>46</v>
      </c>
      <c r="F452" s="5" t="n">
        <v>8743.87</v>
      </c>
      <c r="G452" s="6" t="n">
        <v>0</v>
      </c>
      <c r="H452" s="5" t="n">
        <v>0</v>
      </c>
      <c r="I452" s="5" t="n">
        <v>8743.87</v>
      </c>
    </row>
    <row r="453" customFormat="false" ht="15" hidden="false" customHeight="false" outlineLevel="0" collapsed="false">
      <c r="A453" s="4" t="s">
        <v>628</v>
      </c>
      <c r="B453" s="4" t="s">
        <v>18</v>
      </c>
      <c r="C453" s="4" t="s">
        <v>619</v>
      </c>
      <c r="D453" s="4" t="s">
        <v>70</v>
      </c>
      <c r="E453" s="4" t="s">
        <v>21</v>
      </c>
      <c r="F453" s="5" t="n">
        <v>66616.68</v>
      </c>
      <c r="G453" s="6" t="n">
        <v>0.05</v>
      </c>
      <c r="H453" s="5" t="n">
        <v>3330.83</v>
      </c>
      <c r="I453" s="5" t="n">
        <v>69947.51</v>
      </c>
    </row>
    <row r="454" customFormat="false" ht="15" hidden="false" customHeight="false" outlineLevel="0" collapsed="false">
      <c r="A454" s="4" t="s">
        <v>629</v>
      </c>
      <c r="B454" s="4" t="s">
        <v>18</v>
      </c>
      <c r="C454" s="4" t="s">
        <v>607</v>
      </c>
      <c r="D454" s="4" t="s">
        <v>56</v>
      </c>
      <c r="E454" s="4" t="s">
        <v>21</v>
      </c>
      <c r="F454" s="5" t="n">
        <v>90862.2</v>
      </c>
      <c r="G454" s="6" t="n">
        <v>0.05</v>
      </c>
      <c r="H454" s="5" t="n">
        <v>4543.11</v>
      </c>
      <c r="I454" s="5" t="n">
        <v>95405.31</v>
      </c>
    </row>
    <row r="455" customFormat="false" ht="15" hidden="false" customHeight="false" outlineLevel="0" collapsed="false">
      <c r="A455" s="4" t="s">
        <v>630</v>
      </c>
      <c r="B455" s="4" t="s">
        <v>18</v>
      </c>
      <c r="C455" s="4" t="s">
        <v>631</v>
      </c>
      <c r="D455" s="4" t="s">
        <v>59</v>
      </c>
      <c r="E455" s="4" t="s">
        <v>21</v>
      </c>
      <c r="F455" s="5" t="n">
        <v>14576.92</v>
      </c>
      <c r="G455" s="6" t="n">
        <v>0.05</v>
      </c>
      <c r="H455" s="5" t="n">
        <v>728.85</v>
      </c>
      <c r="I455" s="5" t="n">
        <v>15305.77</v>
      </c>
    </row>
    <row r="456" customFormat="false" ht="15" hidden="false" customHeight="false" outlineLevel="0" collapsed="false">
      <c r="A456" s="4" t="s">
        <v>632</v>
      </c>
      <c r="B456" s="4" t="s">
        <v>18</v>
      </c>
      <c r="C456" s="4" t="s">
        <v>619</v>
      </c>
      <c r="D456" s="4" t="s">
        <v>62</v>
      </c>
      <c r="E456" s="4" t="s">
        <v>21</v>
      </c>
      <c r="F456" s="5" t="n">
        <v>39969.55</v>
      </c>
      <c r="G456" s="6" t="n">
        <v>0.05</v>
      </c>
      <c r="H456" s="5" t="n">
        <v>1998.48</v>
      </c>
      <c r="I456" s="5" t="n">
        <v>41968.03</v>
      </c>
    </row>
    <row r="457" customFormat="false" ht="15" hidden="false" customHeight="false" outlineLevel="0" collapsed="false">
      <c r="A457" s="4" t="s">
        <v>633</v>
      </c>
      <c r="B457" s="4" t="s">
        <v>18</v>
      </c>
      <c r="C457" s="4" t="s">
        <v>626</v>
      </c>
      <c r="D457" s="4" t="s">
        <v>34</v>
      </c>
      <c r="E457" s="4" t="s">
        <v>21</v>
      </c>
      <c r="F457" s="5" t="n">
        <v>21313.82</v>
      </c>
      <c r="G457" s="6" t="n">
        <v>0.05</v>
      </c>
      <c r="H457" s="5" t="n">
        <v>1065.69</v>
      </c>
      <c r="I457" s="5" t="n">
        <v>22379.51</v>
      </c>
    </row>
    <row r="458" customFormat="false" ht="15" hidden="false" customHeight="false" outlineLevel="0" collapsed="false">
      <c r="A458" s="4" t="s">
        <v>634</v>
      </c>
      <c r="B458" s="4" t="s">
        <v>18</v>
      </c>
      <c r="C458" s="4" t="s">
        <v>619</v>
      </c>
      <c r="D458" s="4" t="s">
        <v>27</v>
      </c>
      <c r="E458" s="4" t="s">
        <v>21</v>
      </c>
      <c r="F458" s="5" t="n">
        <v>52702.05</v>
      </c>
      <c r="G458" s="6" t="n">
        <v>0.05</v>
      </c>
      <c r="H458" s="5" t="n">
        <v>2635.1</v>
      </c>
      <c r="I458" s="5" t="n">
        <v>55337.15</v>
      </c>
    </row>
    <row r="459" customFormat="false" ht="15" hidden="false" customHeight="false" outlineLevel="0" collapsed="false">
      <c r="A459" s="4" t="s">
        <v>635</v>
      </c>
      <c r="B459" s="4" t="s">
        <v>18</v>
      </c>
      <c r="C459" s="4" t="s">
        <v>565</v>
      </c>
      <c r="D459" s="4" t="s">
        <v>20</v>
      </c>
      <c r="E459" s="4" t="s">
        <v>46</v>
      </c>
      <c r="F459" s="5" t="n">
        <v>33072.22</v>
      </c>
      <c r="G459" s="6" t="n">
        <v>0</v>
      </c>
      <c r="H459" s="5" t="n">
        <v>0</v>
      </c>
      <c r="I459" s="5" t="n">
        <v>33072.22</v>
      </c>
    </row>
    <row r="460" customFormat="false" ht="15" hidden="false" customHeight="false" outlineLevel="0" collapsed="false">
      <c r="A460" s="4" t="s">
        <v>636</v>
      </c>
      <c r="B460" s="4" t="s">
        <v>18</v>
      </c>
      <c r="C460" s="4" t="s">
        <v>573</v>
      </c>
      <c r="D460" s="4" t="s">
        <v>70</v>
      </c>
      <c r="E460" s="4" t="s">
        <v>46</v>
      </c>
      <c r="F460" s="5" t="n">
        <v>55667.43</v>
      </c>
      <c r="G460" s="6" t="n">
        <v>0</v>
      </c>
      <c r="H460" s="5" t="n">
        <v>0</v>
      </c>
      <c r="I460" s="5" t="n">
        <v>55667.43</v>
      </c>
    </row>
    <row r="461" customFormat="false" ht="15" hidden="false" customHeight="false" outlineLevel="0" collapsed="false">
      <c r="A461" s="4" t="s">
        <v>637</v>
      </c>
      <c r="B461" s="4" t="s">
        <v>18</v>
      </c>
      <c r="C461" s="4" t="s">
        <v>616</v>
      </c>
      <c r="D461" s="4" t="s">
        <v>59</v>
      </c>
      <c r="E461" s="4" t="s">
        <v>21</v>
      </c>
      <c r="F461" s="5" t="n">
        <v>69655.04</v>
      </c>
      <c r="G461" s="6" t="n">
        <v>0.05</v>
      </c>
      <c r="H461" s="5" t="n">
        <v>3482.75</v>
      </c>
      <c r="I461" s="5" t="n">
        <v>73137.79</v>
      </c>
    </row>
    <row r="462" customFormat="false" ht="15" hidden="false" customHeight="false" outlineLevel="0" collapsed="false">
      <c r="A462" s="4" t="s">
        <v>638</v>
      </c>
      <c r="B462" s="4" t="s">
        <v>18</v>
      </c>
      <c r="C462" s="4" t="s">
        <v>622</v>
      </c>
      <c r="D462" s="4" t="s">
        <v>70</v>
      </c>
      <c r="E462" s="4" t="s">
        <v>21</v>
      </c>
      <c r="F462" s="5" t="n">
        <v>58749.63</v>
      </c>
      <c r="G462" s="6" t="n">
        <v>0.05</v>
      </c>
      <c r="H462" s="5" t="n">
        <v>2937.48</v>
      </c>
      <c r="I462" s="5" t="n">
        <v>61687.11</v>
      </c>
    </row>
    <row r="463" customFormat="false" ht="15" hidden="false" customHeight="false" outlineLevel="0" collapsed="false">
      <c r="A463" s="4" t="s">
        <v>639</v>
      </c>
      <c r="B463" s="4" t="s">
        <v>18</v>
      </c>
      <c r="C463" s="4" t="s">
        <v>622</v>
      </c>
      <c r="D463" s="4" t="s">
        <v>59</v>
      </c>
      <c r="E463" s="4" t="s">
        <v>46</v>
      </c>
      <c r="F463" s="5" t="n">
        <v>32742.09</v>
      </c>
      <c r="G463" s="6" t="n">
        <v>0</v>
      </c>
      <c r="H463" s="5" t="n">
        <v>0</v>
      </c>
      <c r="I463" s="5" t="n">
        <v>32742.09</v>
      </c>
    </row>
    <row r="464" customFormat="false" ht="15" hidden="false" customHeight="false" outlineLevel="0" collapsed="false">
      <c r="A464" s="4" t="s">
        <v>640</v>
      </c>
      <c r="B464" s="4" t="s">
        <v>18</v>
      </c>
      <c r="C464" s="4" t="s">
        <v>599</v>
      </c>
      <c r="D464" s="4" t="s">
        <v>37</v>
      </c>
      <c r="E464" s="4" t="s">
        <v>46</v>
      </c>
      <c r="F464" s="5" t="n">
        <v>91512.01</v>
      </c>
      <c r="G464" s="6" t="n">
        <v>0</v>
      </c>
      <c r="H464" s="5" t="n">
        <v>0</v>
      </c>
      <c r="I464" s="5" t="n">
        <v>91512.01</v>
      </c>
    </row>
    <row r="465" customFormat="false" ht="15" hidden="false" customHeight="false" outlineLevel="0" collapsed="false">
      <c r="A465" s="4" t="s">
        <v>641</v>
      </c>
      <c r="B465" s="4" t="s">
        <v>18</v>
      </c>
      <c r="C465" s="4" t="s">
        <v>577</v>
      </c>
      <c r="D465" s="4" t="s">
        <v>20</v>
      </c>
      <c r="E465" s="4" t="s">
        <v>21</v>
      </c>
      <c r="F465" s="5" t="n">
        <v>69502.86</v>
      </c>
      <c r="G465" s="6" t="n">
        <v>0.05</v>
      </c>
      <c r="H465" s="5" t="n">
        <v>3475.14</v>
      </c>
      <c r="I465" s="5" t="n">
        <v>72978</v>
      </c>
    </row>
    <row r="466" customFormat="false" ht="15" hidden="false" customHeight="false" outlineLevel="0" collapsed="false">
      <c r="A466" s="4" t="s">
        <v>642</v>
      </c>
      <c r="B466" s="4" t="s">
        <v>18</v>
      </c>
      <c r="C466" s="4" t="s">
        <v>573</v>
      </c>
      <c r="D466" s="4" t="s">
        <v>31</v>
      </c>
      <c r="E466" s="4" t="s">
        <v>21</v>
      </c>
      <c r="F466" s="5" t="n">
        <v>10687.63</v>
      </c>
      <c r="G466" s="6" t="n">
        <v>0.05</v>
      </c>
      <c r="H466" s="5" t="n">
        <v>534.38</v>
      </c>
      <c r="I466" s="5" t="n">
        <v>11222.01</v>
      </c>
    </row>
    <row r="467" customFormat="false" ht="15" hidden="false" customHeight="false" outlineLevel="0" collapsed="false">
      <c r="A467" s="4" t="s">
        <v>643</v>
      </c>
      <c r="B467" s="4" t="s">
        <v>18</v>
      </c>
      <c r="C467" s="4" t="s">
        <v>579</v>
      </c>
      <c r="D467" s="4" t="s">
        <v>31</v>
      </c>
      <c r="E467" s="4" t="s">
        <v>21</v>
      </c>
      <c r="F467" s="5" t="n">
        <v>93875.15</v>
      </c>
      <c r="G467" s="6" t="n">
        <v>0.05</v>
      </c>
      <c r="H467" s="5" t="n">
        <v>4693.76</v>
      </c>
      <c r="I467" s="5" t="n">
        <v>98568.91</v>
      </c>
    </row>
    <row r="468" customFormat="false" ht="15" hidden="false" customHeight="false" outlineLevel="0" collapsed="false">
      <c r="A468" s="4" t="s">
        <v>644</v>
      </c>
      <c r="B468" s="4" t="s">
        <v>18</v>
      </c>
      <c r="C468" s="4" t="s">
        <v>581</v>
      </c>
      <c r="D468" s="4" t="s">
        <v>86</v>
      </c>
      <c r="E468" s="4" t="s">
        <v>21</v>
      </c>
      <c r="F468" s="5" t="n">
        <v>68654.04</v>
      </c>
      <c r="G468" s="6" t="n">
        <v>0.05</v>
      </c>
      <c r="H468" s="5" t="n">
        <v>3432.7</v>
      </c>
      <c r="I468" s="5" t="n">
        <v>72086.74</v>
      </c>
    </row>
    <row r="469" customFormat="false" ht="15" hidden="false" customHeight="false" outlineLevel="0" collapsed="false">
      <c r="A469" s="4" t="s">
        <v>645</v>
      </c>
      <c r="B469" s="4" t="s">
        <v>18</v>
      </c>
      <c r="C469" s="4" t="s">
        <v>567</v>
      </c>
      <c r="D469" s="4" t="s">
        <v>20</v>
      </c>
      <c r="E469" s="4" t="s">
        <v>21</v>
      </c>
      <c r="F469" s="5" t="n">
        <v>39757.98</v>
      </c>
      <c r="G469" s="6" t="n">
        <v>0.05</v>
      </c>
      <c r="H469" s="5" t="n">
        <v>1987.9</v>
      </c>
      <c r="I469" s="5" t="n">
        <v>41745.88</v>
      </c>
    </row>
    <row r="470" customFormat="false" ht="15" hidden="false" customHeight="false" outlineLevel="0" collapsed="false">
      <c r="A470" s="4" t="s">
        <v>646</v>
      </c>
      <c r="B470" s="4" t="s">
        <v>18</v>
      </c>
      <c r="C470" s="4" t="s">
        <v>631</v>
      </c>
      <c r="D470" s="4" t="s">
        <v>59</v>
      </c>
      <c r="E470" s="4" t="s">
        <v>21</v>
      </c>
      <c r="F470" s="5" t="n">
        <v>13470.64</v>
      </c>
      <c r="G470" s="6" t="n">
        <v>0.05</v>
      </c>
      <c r="H470" s="5" t="n">
        <v>673.53</v>
      </c>
      <c r="I470" s="5" t="n">
        <v>14144.17</v>
      </c>
    </row>
    <row r="471" customFormat="false" ht="15" hidden="false" customHeight="false" outlineLevel="0" collapsed="false">
      <c r="A471" s="4" t="s">
        <v>647</v>
      </c>
      <c r="B471" s="4" t="s">
        <v>120</v>
      </c>
      <c r="C471" s="4" t="s">
        <v>631</v>
      </c>
      <c r="D471" s="4" t="s">
        <v>133</v>
      </c>
      <c r="E471" s="4" t="s">
        <v>21</v>
      </c>
      <c r="F471" s="5" t="n">
        <v>30806.76</v>
      </c>
      <c r="G471" s="6" t="n">
        <v>0.05</v>
      </c>
      <c r="H471" s="5" t="n">
        <v>1540.34</v>
      </c>
      <c r="I471" s="5" t="n">
        <v>32347.1</v>
      </c>
    </row>
    <row r="472" customFormat="false" ht="15" hidden="false" customHeight="false" outlineLevel="0" collapsed="false">
      <c r="A472" s="4" t="s">
        <v>648</v>
      </c>
      <c r="B472" s="4" t="s">
        <v>120</v>
      </c>
      <c r="C472" s="4" t="s">
        <v>619</v>
      </c>
      <c r="D472" s="4" t="s">
        <v>125</v>
      </c>
      <c r="E472" s="4" t="s">
        <v>21</v>
      </c>
      <c r="F472" s="5" t="n">
        <v>1771.11</v>
      </c>
      <c r="G472" s="6" t="n">
        <v>0.05</v>
      </c>
      <c r="H472" s="5" t="n">
        <v>88.56</v>
      </c>
      <c r="I472" s="5" t="n">
        <v>1859.67</v>
      </c>
    </row>
    <row r="473" customFormat="false" ht="15" hidden="false" customHeight="false" outlineLevel="0" collapsed="false">
      <c r="A473" s="4" t="s">
        <v>649</v>
      </c>
      <c r="B473" s="4" t="s">
        <v>120</v>
      </c>
      <c r="C473" s="4" t="s">
        <v>607</v>
      </c>
      <c r="D473" s="4" t="s">
        <v>133</v>
      </c>
      <c r="E473" s="4" t="s">
        <v>21</v>
      </c>
      <c r="F473" s="5" t="n">
        <v>15501.99</v>
      </c>
      <c r="G473" s="6" t="n">
        <v>0.05</v>
      </c>
      <c r="H473" s="5" t="n">
        <v>775.1</v>
      </c>
      <c r="I473" s="5" t="n">
        <v>16277.09</v>
      </c>
    </row>
    <row r="474" customFormat="false" ht="15" hidden="false" customHeight="false" outlineLevel="0" collapsed="false">
      <c r="A474" s="4" t="s">
        <v>650</v>
      </c>
      <c r="B474" s="4" t="s">
        <v>120</v>
      </c>
      <c r="C474" s="4" t="s">
        <v>601</v>
      </c>
      <c r="D474" s="4" t="s">
        <v>127</v>
      </c>
      <c r="E474" s="4" t="s">
        <v>28</v>
      </c>
      <c r="F474" s="5" t="n">
        <v>29526.15</v>
      </c>
      <c r="G474" s="6" t="n">
        <v>0</v>
      </c>
      <c r="H474" s="5" t="n">
        <v>0</v>
      </c>
      <c r="I474" s="5" t="n">
        <v>29526.15</v>
      </c>
    </row>
    <row r="475" customFormat="false" ht="15" hidden="false" customHeight="false" outlineLevel="0" collapsed="false">
      <c r="A475" s="4" t="s">
        <v>651</v>
      </c>
      <c r="B475" s="4" t="s">
        <v>120</v>
      </c>
      <c r="C475" s="4" t="s">
        <v>652</v>
      </c>
      <c r="D475" s="4" t="s">
        <v>144</v>
      </c>
      <c r="E475" s="4" t="s">
        <v>21</v>
      </c>
      <c r="F475" s="5" t="n">
        <v>41760.39</v>
      </c>
      <c r="G475" s="6" t="n">
        <v>0.05</v>
      </c>
      <c r="H475" s="5" t="n">
        <v>2088.02</v>
      </c>
      <c r="I475" s="5" t="n">
        <v>43848.41</v>
      </c>
    </row>
    <row r="476" customFormat="false" ht="15" hidden="false" customHeight="false" outlineLevel="0" collapsed="false">
      <c r="A476" s="4" t="s">
        <v>653</v>
      </c>
      <c r="B476" s="4" t="s">
        <v>120</v>
      </c>
      <c r="C476" s="4" t="s">
        <v>599</v>
      </c>
      <c r="D476" s="4" t="s">
        <v>144</v>
      </c>
      <c r="E476" s="4" t="s">
        <v>28</v>
      </c>
      <c r="F476" s="5" t="n">
        <v>19853.01</v>
      </c>
      <c r="G476" s="6" t="n">
        <v>0</v>
      </c>
      <c r="H476" s="5" t="n">
        <v>0</v>
      </c>
      <c r="I476" s="5" t="n">
        <v>19853.01</v>
      </c>
    </row>
    <row r="477" customFormat="false" ht="15" hidden="false" customHeight="false" outlineLevel="0" collapsed="false">
      <c r="A477" s="4" t="s">
        <v>654</v>
      </c>
      <c r="B477" s="4" t="s">
        <v>120</v>
      </c>
      <c r="C477" s="4" t="s">
        <v>573</v>
      </c>
      <c r="D477" s="4" t="s">
        <v>144</v>
      </c>
      <c r="E477" s="4" t="s">
        <v>21</v>
      </c>
      <c r="F477" s="5" t="n">
        <v>2131.59</v>
      </c>
      <c r="G477" s="6" t="n">
        <v>0.05</v>
      </c>
      <c r="H477" s="5" t="n">
        <v>106.58</v>
      </c>
      <c r="I477" s="5" t="n">
        <v>2238.17</v>
      </c>
    </row>
    <row r="478" customFormat="false" ht="15" hidden="false" customHeight="false" outlineLevel="0" collapsed="false">
      <c r="A478" s="4" t="s">
        <v>655</v>
      </c>
      <c r="B478" s="4" t="s">
        <v>120</v>
      </c>
      <c r="C478" s="4" t="s">
        <v>631</v>
      </c>
      <c r="D478" s="4" t="s">
        <v>133</v>
      </c>
      <c r="E478" s="4" t="s">
        <v>28</v>
      </c>
      <c r="F478" s="5" t="n">
        <v>8913</v>
      </c>
      <c r="G478" s="6" t="n">
        <v>0</v>
      </c>
      <c r="H478" s="5" t="n">
        <v>0</v>
      </c>
      <c r="I478" s="5" t="n">
        <v>8913</v>
      </c>
    </row>
    <row r="479" customFormat="false" ht="15" hidden="false" customHeight="false" outlineLevel="0" collapsed="false">
      <c r="A479" s="4" t="s">
        <v>656</v>
      </c>
      <c r="B479" s="4" t="s">
        <v>120</v>
      </c>
      <c r="C479" s="4" t="s">
        <v>622</v>
      </c>
      <c r="D479" s="4" t="s">
        <v>146</v>
      </c>
      <c r="E479" s="4" t="s">
        <v>21</v>
      </c>
      <c r="F479" s="5" t="n">
        <v>30225.17</v>
      </c>
      <c r="G479" s="6" t="n">
        <v>0.05</v>
      </c>
      <c r="H479" s="5" t="n">
        <v>1511.26</v>
      </c>
      <c r="I479" s="5" t="n">
        <v>31736.43</v>
      </c>
    </row>
    <row r="480" customFormat="false" ht="15" hidden="false" customHeight="false" outlineLevel="0" collapsed="false">
      <c r="A480" s="4" t="s">
        <v>657</v>
      </c>
      <c r="B480" s="4" t="s">
        <v>120</v>
      </c>
      <c r="C480" s="4" t="s">
        <v>631</v>
      </c>
      <c r="D480" s="4" t="s">
        <v>123</v>
      </c>
      <c r="E480" s="4" t="s">
        <v>28</v>
      </c>
      <c r="F480" s="5" t="n">
        <v>14980.83</v>
      </c>
      <c r="G480" s="6" t="n">
        <v>0</v>
      </c>
      <c r="H480" s="5" t="n">
        <v>0</v>
      </c>
      <c r="I480" s="5" t="n">
        <v>14980.83</v>
      </c>
    </row>
    <row r="481" customFormat="false" ht="15" hidden="false" customHeight="false" outlineLevel="0" collapsed="false">
      <c r="A481" s="4" t="s">
        <v>658</v>
      </c>
      <c r="B481" s="4" t="s">
        <v>120</v>
      </c>
      <c r="C481" s="4" t="s">
        <v>588</v>
      </c>
      <c r="D481" s="4" t="s">
        <v>127</v>
      </c>
      <c r="E481" s="4" t="s">
        <v>28</v>
      </c>
      <c r="F481" s="5" t="n">
        <v>6049.97</v>
      </c>
      <c r="G481" s="6" t="n">
        <v>0</v>
      </c>
      <c r="H481" s="5" t="n">
        <v>0</v>
      </c>
      <c r="I481" s="5" t="n">
        <v>6049.97</v>
      </c>
    </row>
    <row r="482" customFormat="false" ht="15" hidden="false" customHeight="false" outlineLevel="0" collapsed="false">
      <c r="A482" s="4" t="s">
        <v>659</v>
      </c>
      <c r="B482" s="4" t="s">
        <v>120</v>
      </c>
      <c r="C482" s="4" t="s">
        <v>652</v>
      </c>
      <c r="D482" s="4" t="s">
        <v>149</v>
      </c>
      <c r="E482" s="4" t="s">
        <v>28</v>
      </c>
      <c r="F482" s="5" t="n">
        <v>35565.58</v>
      </c>
      <c r="G482" s="6" t="n">
        <v>0</v>
      </c>
      <c r="H482" s="5" t="n">
        <v>0</v>
      </c>
      <c r="I482" s="5" t="n">
        <v>35565.58</v>
      </c>
    </row>
    <row r="483" customFormat="false" ht="15" hidden="false" customHeight="false" outlineLevel="0" collapsed="false">
      <c r="A483" s="4" t="s">
        <v>660</v>
      </c>
      <c r="B483" s="4" t="s">
        <v>120</v>
      </c>
      <c r="C483" s="4" t="s">
        <v>577</v>
      </c>
      <c r="D483" s="4" t="s">
        <v>123</v>
      </c>
      <c r="E483" s="4" t="s">
        <v>21</v>
      </c>
      <c r="F483" s="5" t="n">
        <v>23107.95</v>
      </c>
      <c r="G483" s="6" t="n">
        <v>0.05</v>
      </c>
      <c r="H483" s="5" t="n">
        <v>1155.4</v>
      </c>
      <c r="I483" s="5" t="n">
        <v>24263.35</v>
      </c>
    </row>
    <row r="484" customFormat="false" ht="15" hidden="false" customHeight="false" outlineLevel="0" collapsed="false">
      <c r="A484" s="4" t="s">
        <v>661</v>
      </c>
      <c r="B484" s="4" t="s">
        <v>120</v>
      </c>
      <c r="C484" s="4" t="s">
        <v>631</v>
      </c>
      <c r="D484" s="4" t="s">
        <v>155</v>
      </c>
      <c r="E484" s="4" t="s">
        <v>21</v>
      </c>
      <c r="F484" s="5" t="n">
        <v>28797.95</v>
      </c>
      <c r="G484" s="6" t="n">
        <v>0.05</v>
      </c>
      <c r="H484" s="5" t="n">
        <v>1439.9</v>
      </c>
      <c r="I484" s="5" t="n">
        <v>30237.85</v>
      </c>
    </row>
    <row r="485" customFormat="false" ht="15" hidden="false" customHeight="false" outlineLevel="0" collapsed="false">
      <c r="A485" s="4" t="s">
        <v>662</v>
      </c>
      <c r="B485" s="4" t="s">
        <v>120</v>
      </c>
      <c r="C485" s="4" t="s">
        <v>663</v>
      </c>
      <c r="D485" s="4" t="s">
        <v>146</v>
      </c>
      <c r="E485" s="4" t="s">
        <v>46</v>
      </c>
      <c r="F485" s="5" t="n">
        <v>29474.76</v>
      </c>
      <c r="G485" s="6" t="n">
        <v>0</v>
      </c>
      <c r="H485" s="5" t="n">
        <v>0</v>
      </c>
      <c r="I485" s="5" t="n">
        <v>29474.76</v>
      </c>
    </row>
    <row r="486" customFormat="false" ht="15" hidden="false" customHeight="false" outlineLevel="0" collapsed="false">
      <c r="A486" s="4" t="s">
        <v>664</v>
      </c>
      <c r="B486" s="4" t="s">
        <v>120</v>
      </c>
      <c r="C486" s="4" t="s">
        <v>631</v>
      </c>
      <c r="D486" s="4" t="s">
        <v>125</v>
      </c>
      <c r="E486" s="4" t="s">
        <v>21</v>
      </c>
      <c r="F486" s="5" t="n">
        <v>14039.26</v>
      </c>
      <c r="G486" s="6" t="n">
        <v>0.05</v>
      </c>
      <c r="H486" s="5" t="n">
        <v>701.96</v>
      </c>
      <c r="I486" s="5" t="n">
        <v>14741.22</v>
      </c>
    </row>
    <row r="487" customFormat="false" ht="15" hidden="false" customHeight="false" outlineLevel="0" collapsed="false">
      <c r="A487" s="4" t="s">
        <v>665</v>
      </c>
      <c r="B487" s="4" t="s">
        <v>120</v>
      </c>
      <c r="C487" s="4" t="s">
        <v>588</v>
      </c>
      <c r="D487" s="4" t="s">
        <v>149</v>
      </c>
      <c r="E487" s="4" t="s">
        <v>21</v>
      </c>
      <c r="F487" s="5" t="n">
        <v>15169.52</v>
      </c>
      <c r="G487" s="6" t="n">
        <v>0.05</v>
      </c>
      <c r="H487" s="5" t="n">
        <v>758.48</v>
      </c>
      <c r="I487" s="5" t="n">
        <v>15928</v>
      </c>
    </row>
    <row r="488" customFormat="false" ht="15" hidden="false" customHeight="false" outlineLevel="0" collapsed="false">
      <c r="A488" s="4" t="s">
        <v>666</v>
      </c>
      <c r="B488" s="4" t="s">
        <v>120</v>
      </c>
      <c r="C488" s="4" t="s">
        <v>588</v>
      </c>
      <c r="D488" s="4" t="s">
        <v>127</v>
      </c>
      <c r="E488" s="4" t="s">
        <v>21</v>
      </c>
      <c r="F488" s="5" t="n">
        <v>40215.29</v>
      </c>
      <c r="G488" s="6" t="n">
        <v>0.05</v>
      </c>
      <c r="H488" s="5" t="n">
        <v>2010.76</v>
      </c>
      <c r="I488" s="5" t="n">
        <v>42226.05</v>
      </c>
    </row>
    <row r="489" customFormat="false" ht="15" hidden="false" customHeight="false" outlineLevel="0" collapsed="false">
      <c r="A489" s="4" t="s">
        <v>667</v>
      </c>
      <c r="B489" s="4" t="s">
        <v>120</v>
      </c>
      <c r="C489" s="4" t="s">
        <v>569</v>
      </c>
      <c r="D489" s="4" t="s">
        <v>127</v>
      </c>
      <c r="E489" s="4" t="s">
        <v>28</v>
      </c>
      <c r="F489" s="5" t="n">
        <v>5265.17</v>
      </c>
      <c r="G489" s="6" t="n">
        <v>0</v>
      </c>
      <c r="H489" s="5" t="n">
        <v>0</v>
      </c>
      <c r="I489" s="5" t="n">
        <v>5265.17</v>
      </c>
    </row>
    <row r="490" customFormat="false" ht="15" hidden="false" customHeight="false" outlineLevel="0" collapsed="false">
      <c r="A490" s="4" t="s">
        <v>668</v>
      </c>
      <c r="B490" s="4" t="s">
        <v>120</v>
      </c>
      <c r="C490" s="4" t="s">
        <v>585</v>
      </c>
      <c r="D490" s="4" t="s">
        <v>133</v>
      </c>
      <c r="E490" s="4" t="s">
        <v>21</v>
      </c>
      <c r="F490" s="5" t="n">
        <v>29965.22</v>
      </c>
      <c r="G490" s="6" t="n">
        <v>0.05</v>
      </c>
      <c r="H490" s="5" t="n">
        <v>1498.26</v>
      </c>
      <c r="I490" s="5" t="n">
        <v>31463.48</v>
      </c>
    </row>
    <row r="491" customFormat="false" ht="15" hidden="false" customHeight="false" outlineLevel="0" collapsed="false">
      <c r="A491" s="4" t="s">
        <v>669</v>
      </c>
      <c r="B491" s="4" t="s">
        <v>120</v>
      </c>
      <c r="C491" s="4" t="s">
        <v>670</v>
      </c>
      <c r="D491" s="4" t="s">
        <v>121</v>
      </c>
      <c r="E491" s="4" t="s">
        <v>21</v>
      </c>
      <c r="F491" s="5" t="n">
        <v>9131.64</v>
      </c>
      <c r="G491" s="6" t="n">
        <v>0.05</v>
      </c>
      <c r="H491" s="5" t="n">
        <v>456.58</v>
      </c>
      <c r="I491" s="5" t="n">
        <v>9588.22</v>
      </c>
    </row>
    <row r="492" customFormat="false" ht="15" hidden="false" customHeight="false" outlineLevel="0" collapsed="false">
      <c r="A492" s="4" t="s">
        <v>671</v>
      </c>
      <c r="B492" s="4" t="s">
        <v>120</v>
      </c>
      <c r="C492" s="4" t="s">
        <v>579</v>
      </c>
      <c r="D492" s="4" t="s">
        <v>127</v>
      </c>
      <c r="E492" s="4" t="s">
        <v>21</v>
      </c>
      <c r="F492" s="5" t="n">
        <v>17861.18</v>
      </c>
      <c r="G492" s="6" t="n">
        <v>0.05</v>
      </c>
      <c r="H492" s="5" t="n">
        <v>893.06</v>
      </c>
      <c r="I492" s="5" t="n">
        <v>18754.24</v>
      </c>
    </row>
    <row r="493" customFormat="false" ht="15" hidden="false" customHeight="false" outlineLevel="0" collapsed="false">
      <c r="A493" s="4" t="s">
        <v>672</v>
      </c>
      <c r="B493" s="4" t="s">
        <v>120</v>
      </c>
      <c r="C493" s="4" t="s">
        <v>670</v>
      </c>
      <c r="D493" s="4" t="s">
        <v>144</v>
      </c>
      <c r="E493" s="4" t="s">
        <v>21</v>
      </c>
      <c r="F493" s="5" t="n">
        <v>10486.03</v>
      </c>
      <c r="G493" s="6" t="n">
        <v>0.05</v>
      </c>
      <c r="H493" s="5" t="n">
        <v>524.3</v>
      </c>
      <c r="I493" s="5" t="n">
        <v>11010.33</v>
      </c>
    </row>
    <row r="494" customFormat="false" ht="15" hidden="false" customHeight="false" outlineLevel="0" collapsed="false">
      <c r="A494" s="4" t="s">
        <v>673</v>
      </c>
      <c r="B494" s="4" t="s">
        <v>120</v>
      </c>
      <c r="C494" s="4" t="s">
        <v>674</v>
      </c>
      <c r="D494" s="4" t="s">
        <v>144</v>
      </c>
      <c r="E494" s="4" t="s">
        <v>28</v>
      </c>
      <c r="F494" s="5" t="n">
        <v>10082.92</v>
      </c>
      <c r="G494" s="6" t="n">
        <v>0</v>
      </c>
      <c r="H494" s="5" t="n">
        <v>0</v>
      </c>
      <c r="I494" s="5" t="n">
        <v>10082.92</v>
      </c>
    </row>
    <row r="495" customFormat="false" ht="15" hidden="false" customHeight="false" outlineLevel="0" collapsed="false">
      <c r="A495" s="4" t="s">
        <v>675</v>
      </c>
      <c r="B495" s="4" t="s">
        <v>120</v>
      </c>
      <c r="C495" s="4" t="s">
        <v>599</v>
      </c>
      <c r="D495" s="4" t="s">
        <v>125</v>
      </c>
      <c r="E495" s="4" t="s">
        <v>21</v>
      </c>
      <c r="F495" s="5" t="n">
        <v>28836.32</v>
      </c>
      <c r="G495" s="6" t="n">
        <v>0.05</v>
      </c>
      <c r="H495" s="5" t="n">
        <v>1441.82</v>
      </c>
      <c r="I495" s="5" t="n">
        <v>30278.14</v>
      </c>
    </row>
    <row r="496" customFormat="false" ht="15" hidden="false" customHeight="false" outlineLevel="0" collapsed="false">
      <c r="A496" s="4" t="s">
        <v>676</v>
      </c>
      <c r="B496" s="4" t="s">
        <v>120</v>
      </c>
      <c r="C496" s="4" t="s">
        <v>677</v>
      </c>
      <c r="D496" s="4" t="s">
        <v>123</v>
      </c>
      <c r="E496" s="4" t="s">
        <v>21</v>
      </c>
      <c r="F496" s="5" t="n">
        <v>41824.23</v>
      </c>
      <c r="G496" s="6" t="n">
        <v>0.05</v>
      </c>
      <c r="H496" s="5" t="n">
        <v>2091.21</v>
      </c>
      <c r="I496" s="5" t="n">
        <v>43915.44</v>
      </c>
    </row>
    <row r="497" customFormat="false" ht="15" hidden="false" customHeight="false" outlineLevel="0" collapsed="false">
      <c r="A497" s="4" t="s">
        <v>678</v>
      </c>
      <c r="B497" s="4" t="s">
        <v>120</v>
      </c>
      <c r="C497" s="4" t="s">
        <v>581</v>
      </c>
      <c r="D497" s="4" t="s">
        <v>125</v>
      </c>
      <c r="E497" s="4" t="s">
        <v>46</v>
      </c>
      <c r="F497" s="5" t="n">
        <v>5261.21</v>
      </c>
      <c r="G497" s="6" t="n">
        <v>0</v>
      </c>
      <c r="H497" s="5" t="n">
        <v>0</v>
      </c>
      <c r="I497" s="5" t="n">
        <v>5261.21</v>
      </c>
    </row>
    <row r="498" customFormat="false" ht="15" hidden="false" customHeight="false" outlineLevel="0" collapsed="false">
      <c r="A498" s="4" t="s">
        <v>679</v>
      </c>
      <c r="B498" s="4" t="s">
        <v>120</v>
      </c>
      <c r="C498" s="4" t="s">
        <v>652</v>
      </c>
      <c r="D498" s="4" t="s">
        <v>149</v>
      </c>
      <c r="E498" s="4" t="s">
        <v>21</v>
      </c>
      <c r="F498" s="5" t="n">
        <v>35750.96</v>
      </c>
      <c r="G498" s="6" t="n">
        <v>0.05</v>
      </c>
      <c r="H498" s="5" t="n">
        <v>1787.55</v>
      </c>
      <c r="I498" s="5" t="n">
        <v>37538.51</v>
      </c>
    </row>
    <row r="499" customFormat="false" ht="15" hidden="false" customHeight="false" outlineLevel="0" collapsed="false">
      <c r="A499" s="4" t="s">
        <v>680</v>
      </c>
      <c r="B499" s="4" t="s">
        <v>120</v>
      </c>
      <c r="C499" s="4" t="s">
        <v>581</v>
      </c>
      <c r="D499" s="4" t="s">
        <v>127</v>
      </c>
      <c r="E499" s="4" t="s">
        <v>46</v>
      </c>
      <c r="F499" s="5" t="n">
        <v>5142.07</v>
      </c>
      <c r="G499" s="6" t="n">
        <v>0</v>
      </c>
      <c r="H499" s="5" t="n">
        <v>0</v>
      </c>
      <c r="I499" s="5" t="n">
        <v>5142.07</v>
      </c>
    </row>
    <row r="500" customFormat="false" ht="15" hidden="false" customHeight="false" outlineLevel="0" collapsed="false">
      <c r="A500" s="4" t="s">
        <v>681</v>
      </c>
      <c r="B500" s="4" t="s">
        <v>120</v>
      </c>
      <c r="C500" s="4" t="s">
        <v>599</v>
      </c>
      <c r="D500" s="4" t="s">
        <v>121</v>
      </c>
      <c r="E500" s="4" t="s">
        <v>21</v>
      </c>
      <c r="F500" s="5" t="n">
        <v>5644.67</v>
      </c>
      <c r="G500" s="6" t="n">
        <v>0.05</v>
      </c>
      <c r="H500" s="5" t="n">
        <v>282.23</v>
      </c>
      <c r="I500" s="5" t="n">
        <v>5926.9</v>
      </c>
    </row>
    <row r="501" customFormat="false" ht="15" hidden="false" customHeight="false" outlineLevel="0" collapsed="false">
      <c r="A501" s="4" t="s">
        <v>682</v>
      </c>
      <c r="B501" s="4" t="s">
        <v>120</v>
      </c>
      <c r="C501" s="4" t="s">
        <v>652</v>
      </c>
      <c r="D501" s="4" t="s">
        <v>121</v>
      </c>
      <c r="E501" s="4" t="s">
        <v>46</v>
      </c>
      <c r="F501" s="5" t="n">
        <v>16498.54</v>
      </c>
      <c r="G501" s="6" t="n">
        <v>0</v>
      </c>
      <c r="H501" s="5" t="n">
        <v>0</v>
      </c>
      <c r="I501" s="5" t="n">
        <v>16498.54</v>
      </c>
    </row>
    <row r="502" customFormat="false" ht="15" hidden="false" customHeight="false" outlineLevel="0" collapsed="false">
      <c r="A502" s="4" t="s">
        <v>683</v>
      </c>
      <c r="B502" s="4" t="s">
        <v>120</v>
      </c>
      <c r="C502" s="4" t="s">
        <v>575</v>
      </c>
      <c r="D502" s="4" t="s">
        <v>146</v>
      </c>
      <c r="E502" s="4" t="s">
        <v>21</v>
      </c>
      <c r="F502" s="5" t="n">
        <v>883.86</v>
      </c>
      <c r="G502" s="6" t="n">
        <v>0.05</v>
      </c>
      <c r="H502" s="5" t="n">
        <v>44.19</v>
      </c>
      <c r="I502" s="5" t="n">
        <v>928.05</v>
      </c>
    </row>
    <row r="503" customFormat="false" ht="15" hidden="false" customHeight="false" outlineLevel="0" collapsed="false">
      <c r="A503" s="4" t="s">
        <v>684</v>
      </c>
      <c r="B503" s="4" t="s">
        <v>120</v>
      </c>
      <c r="C503" s="4" t="s">
        <v>577</v>
      </c>
      <c r="D503" s="4" t="s">
        <v>127</v>
      </c>
      <c r="E503" s="4" t="s">
        <v>21</v>
      </c>
      <c r="F503" s="5" t="n">
        <v>16013.38</v>
      </c>
      <c r="G503" s="6" t="n">
        <v>0.05</v>
      </c>
      <c r="H503" s="5" t="n">
        <v>800.67</v>
      </c>
      <c r="I503" s="5" t="n">
        <v>16814.05</v>
      </c>
    </row>
    <row r="504" customFormat="false" ht="15" hidden="false" customHeight="false" outlineLevel="0" collapsed="false">
      <c r="A504" s="4" t="s">
        <v>685</v>
      </c>
      <c r="B504" s="4" t="s">
        <v>120</v>
      </c>
      <c r="C504" s="4" t="s">
        <v>581</v>
      </c>
      <c r="D504" s="4" t="s">
        <v>155</v>
      </c>
      <c r="E504" s="4" t="s">
        <v>21</v>
      </c>
      <c r="F504" s="5" t="n">
        <v>16665.69</v>
      </c>
      <c r="G504" s="6" t="n">
        <v>0.05</v>
      </c>
      <c r="H504" s="5" t="n">
        <v>833.28</v>
      </c>
      <c r="I504" s="5" t="n">
        <v>17498.97</v>
      </c>
    </row>
    <row r="505" customFormat="false" ht="15" hidden="false" customHeight="false" outlineLevel="0" collapsed="false">
      <c r="A505" s="4" t="s">
        <v>686</v>
      </c>
      <c r="B505" s="4" t="s">
        <v>120</v>
      </c>
      <c r="C505" s="4" t="s">
        <v>619</v>
      </c>
      <c r="D505" s="4" t="s">
        <v>121</v>
      </c>
      <c r="E505" s="4" t="s">
        <v>21</v>
      </c>
      <c r="F505" s="5" t="n">
        <v>24581.82</v>
      </c>
      <c r="G505" s="6" t="n">
        <v>0.05</v>
      </c>
      <c r="H505" s="5" t="n">
        <v>1229.09</v>
      </c>
      <c r="I505" s="5" t="n">
        <v>25810.91</v>
      </c>
    </row>
    <row r="506" customFormat="false" ht="15" hidden="false" customHeight="false" outlineLevel="0" collapsed="false">
      <c r="A506" s="4" t="s">
        <v>687</v>
      </c>
      <c r="B506" s="4" t="s">
        <v>120</v>
      </c>
      <c r="C506" s="4" t="s">
        <v>616</v>
      </c>
      <c r="D506" s="4" t="s">
        <v>127</v>
      </c>
      <c r="E506" s="4" t="s">
        <v>28</v>
      </c>
      <c r="F506" s="5" t="n">
        <v>12426.86</v>
      </c>
      <c r="G506" s="6" t="n">
        <v>0</v>
      </c>
      <c r="H506" s="5" t="n">
        <v>0</v>
      </c>
      <c r="I506" s="5" t="n">
        <v>12426.86</v>
      </c>
    </row>
    <row r="507" customFormat="false" ht="15" hidden="false" customHeight="false" outlineLevel="0" collapsed="false">
      <c r="A507" s="4" t="s">
        <v>688</v>
      </c>
      <c r="B507" s="4" t="s">
        <v>120</v>
      </c>
      <c r="C507" s="4" t="s">
        <v>677</v>
      </c>
      <c r="D507" s="4" t="s">
        <v>130</v>
      </c>
      <c r="E507" s="4" t="s">
        <v>28</v>
      </c>
      <c r="F507" s="5" t="n">
        <v>1639.98</v>
      </c>
      <c r="G507" s="6" t="n">
        <v>0</v>
      </c>
      <c r="H507" s="5" t="n">
        <v>0</v>
      </c>
      <c r="I507" s="5" t="n">
        <v>1639.98</v>
      </c>
    </row>
    <row r="508" customFormat="false" ht="15" hidden="false" customHeight="false" outlineLevel="0" collapsed="false">
      <c r="A508" s="4" t="s">
        <v>689</v>
      </c>
      <c r="B508" s="4" t="s">
        <v>18</v>
      </c>
      <c r="C508" s="4" t="s">
        <v>690</v>
      </c>
      <c r="D508" s="4" t="s">
        <v>31</v>
      </c>
      <c r="E508" s="4" t="s">
        <v>21</v>
      </c>
      <c r="F508" s="5" t="n">
        <v>48571.93</v>
      </c>
      <c r="G508" s="6" t="n">
        <v>0.05</v>
      </c>
      <c r="H508" s="5" t="n">
        <v>2428.6</v>
      </c>
      <c r="I508" s="5" t="n">
        <v>51000.53</v>
      </c>
    </row>
    <row r="509" customFormat="false" ht="15" hidden="false" customHeight="false" outlineLevel="0" collapsed="false">
      <c r="A509" s="4" t="s">
        <v>691</v>
      </c>
      <c r="B509" s="4" t="s">
        <v>18</v>
      </c>
      <c r="C509" s="4" t="s">
        <v>692</v>
      </c>
      <c r="D509" s="4" t="s">
        <v>20</v>
      </c>
      <c r="E509" s="4" t="s">
        <v>46</v>
      </c>
      <c r="F509" s="5" t="n">
        <v>90028.75</v>
      </c>
      <c r="G509" s="6" t="n">
        <v>0</v>
      </c>
      <c r="H509" s="5" t="n">
        <v>0</v>
      </c>
      <c r="I509" s="5" t="n">
        <v>90028.75</v>
      </c>
    </row>
    <row r="510" customFormat="false" ht="15" hidden="false" customHeight="false" outlineLevel="0" collapsed="false">
      <c r="A510" s="4" t="s">
        <v>693</v>
      </c>
      <c r="B510" s="4" t="s">
        <v>18</v>
      </c>
      <c r="C510" s="4" t="s">
        <v>694</v>
      </c>
      <c r="D510" s="4" t="s">
        <v>56</v>
      </c>
      <c r="E510" s="4" t="s">
        <v>21</v>
      </c>
      <c r="F510" s="5" t="n">
        <v>50930.91</v>
      </c>
      <c r="G510" s="6" t="n">
        <v>0.05</v>
      </c>
      <c r="H510" s="5" t="n">
        <v>2546.55</v>
      </c>
      <c r="I510" s="5" t="n">
        <v>53477.46</v>
      </c>
    </row>
    <row r="511" customFormat="false" ht="15" hidden="false" customHeight="false" outlineLevel="0" collapsed="false">
      <c r="A511" s="4" t="s">
        <v>695</v>
      </c>
      <c r="B511" s="4" t="s">
        <v>18</v>
      </c>
      <c r="C511" s="4" t="s">
        <v>696</v>
      </c>
      <c r="D511" s="4" t="s">
        <v>20</v>
      </c>
      <c r="E511" s="4" t="s">
        <v>21</v>
      </c>
      <c r="F511" s="5" t="n">
        <v>12726.23</v>
      </c>
      <c r="G511" s="6" t="n">
        <v>0.05</v>
      </c>
      <c r="H511" s="5" t="n">
        <v>636.31</v>
      </c>
      <c r="I511" s="5" t="n">
        <v>13362.54</v>
      </c>
    </row>
    <row r="512" customFormat="false" ht="15" hidden="false" customHeight="false" outlineLevel="0" collapsed="false">
      <c r="A512" s="4" t="s">
        <v>697</v>
      </c>
      <c r="B512" s="4" t="s">
        <v>18</v>
      </c>
      <c r="C512" s="4" t="s">
        <v>698</v>
      </c>
      <c r="D512" s="4" t="s">
        <v>86</v>
      </c>
      <c r="E512" s="4" t="s">
        <v>21</v>
      </c>
      <c r="F512" s="5" t="n">
        <v>78448.59</v>
      </c>
      <c r="G512" s="6" t="n">
        <v>0.05</v>
      </c>
      <c r="H512" s="5" t="n">
        <v>3922.43</v>
      </c>
      <c r="I512" s="5" t="n">
        <v>82371.02</v>
      </c>
    </row>
    <row r="513" customFormat="false" ht="15" hidden="false" customHeight="false" outlineLevel="0" collapsed="false">
      <c r="A513" s="4" t="s">
        <v>699</v>
      </c>
      <c r="B513" s="4" t="s">
        <v>18</v>
      </c>
      <c r="C513" s="4" t="s">
        <v>700</v>
      </c>
      <c r="D513" s="4" t="s">
        <v>70</v>
      </c>
      <c r="E513" s="4" t="s">
        <v>21</v>
      </c>
      <c r="F513" s="5" t="n">
        <v>59989.92</v>
      </c>
      <c r="G513" s="6" t="n">
        <v>0.05</v>
      </c>
      <c r="H513" s="5" t="n">
        <v>2999.5</v>
      </c>
      <c r="I513" s="5" t="n">
        <v>62989.42</v>
      </c>
    </row>
    <row r="514" customFormat="false" ht="15" hidden="false" customHeight="false" outlineLevel="0" collapsed="false">
      <c r="A514" s="4" t="s">
        <v>701</v>
      </c>
      <c r="B514" s="4" t="s">
        <v>18</v>
      </c>
      <c r="C514" s="4" t="s">
        <v>702</v>
      </c>
      <c r="D514" s="4" t="s">
        <v>24</v>
      </c>
      <c r="E514" s="4" t="s">
        <v>21</v>
      </c>
      <c r="F514" s="5" t="n">
        <v>70503.52</v>
      </c>
      <c r="G514" s="6" t="n">
        <v>0.05</v>
      </c>
      <c r="H514" s="5" t="n">
        <v>3525.18</v>
      </c>
      <c r="I514" s="5" t="n">
        <v>74028.7</v>
      </c>
    </row>
    <row r="515" customFormat="false" ht="15" hidden="false" customHeight="false" outlineLevel="0" collapsed="false">
      <c r="A515" s="4" t="s">
        <v>703</v>
      </c>
      <c r="B515" s="4" t="s">
        <v>18</v>
      </c>
      <c r="C515" s="4" t="s">
        <v>704</v>
      </c>
      <c r="D515" s="4" t="s">
        <v>34</v>
      </c>
      <c r="E515" s="4" t="s">
        <v>21</v>
      </c>
      <c r="F515" s="5" t="n">
        <v>34020.55</v>
      </c>
      <c r="G515" s="6" t="n">
        <v>0.05</v>
      </c>
      <c r="H515" s="5" t="n">
        <v>1701.03</v>
      </c>
      <c r="I515" s="5" t="n">
        <v>35721.58</v>
      </c>
    </row>
    <row r="516" customFormat="false" ht="15" hidden="false" customHeight="false" outlineLevel="0" collapsed="false">
      <c r="A516" s="4" t="s">
        <v>705</v>
      </c>
      <c r="B516" s="4" t="s">
        <v>18</v>
      </c>
      <c r="C516" s="4" t="s">
        <v>700</v>
      </c>
      <c r="D516" s="4" t="s">
        <v>56</v>
      </c>
      <c r="E516" s="4" t="s">
        <v>21</v>
      </c>
      <c r="F516" s="5" t="n">
        <v>37895.49</v>
      </c>
      <c r="G516" s="6" t="n">
        <v>0.05</v>
      </c>
      <c r="H516" s="5" t="n">
        <v>1894.77</v>
      </c>
      <c r="I516" s="5" t="n">
        <v>39790.26</v>
      </c>
    </row>
    <row r="517" customFormat="false" ht="15" hidden="false" customHeight="false" outlineLevel="0" collapsed="false">
      <c r="A517" s="4" t="s">
        <v>706</v>
      </c>
      <c r="B517" s="4" t="s">
        <v>18</v>
      </c>
      <c r="C517" s="4" t="s">
        <v>707</v>
      </c>
      <c r="D517" s="4" t="s">
        <v>34</v>
      </c>
      <c r="E517" s="4" t="s">
        <v>21</v>
      </c>
      <c r="F517" s="5" t="n">
        <v>16117.48</v>
      </c>
      <c r="G517" s="6" t="n">
        <v>0.05</v>
      </c>
      <c r="H517" s="5" t="n">
        <v>805.87</v>
      </c>
      <c r="I517" s="5" t="n">
        <v>16923.35</v>
      </c>
    </row>
    <row r="518" customFormat="false" ht="15" hidden="false" customHeight="false" outlineLevel="0" collapsed="false">
      <c r="A518" s="4" t="s">
        <v>708</v>
      </c>
      <c r="B518" s="4" t="s">
        <v>18</v>
      </c>
      <c r="C518" s="4" t="s">
        <v>692</v>
      </c>
      <c r="D518" s="4" t="s">
        <v>88</v>
      </c>
      <c r="E518" s="4" t="s">
        <v>21</v>
      </c>
      <c r="F518" s="5" t="n">
        <v>33518.33</v>
      </c>
      <c r="G518" s="6" t="n">
        <v>0.05</v>
      </c>
      <c r="H518" s="5" t="n">
        <v>1675.92</v>
      </c>
      <c r="I518" s="5" t="n">
        <v>35194.25</v>
      </c>
    </row>
    <row r="519" customFormat="false" ht="15" hidden="false" customHeight="false" outlineLevel="0" collapsed="false">
      <c r="A519" s="4" t="s">
        <v>709</v>
      </c>
      <c r="B519" s="4" t="s">
        <v>18</v>
      </c>
      <c r="C519" s="4" t="s">
        <v>698</v>
      </c>
      <c r="D519" s="4" t="s">
        <v>88</v>
      </c>
      <c r="E519" s="4" t="s">
        <v>21</v>
      </c>
      <c r="F519" s="5" t="n">
        <v>93553.65</v>
      </c>
      <c r="G519" s="6" t="n">
        <v>0.05</v>
      </c>
      <c r="H519" s="5" t="n">
        <v>4677.68</v>
      </c>
      <c r="I519" s="5" t="n">
        <v>98231.33</v>
      </c>
    </row>
    <row r="520" customFormat="false" ht="15" hidden="false" customHeight="false" outlineLevel="0" collapsed="false">
      <c r="A520" s="4" t="s">
        <v>710</v>
      </c>
      <c r="B520" s="4" t="s">
        <v>18</v>
      </c>
      <c r="C520" s="4" t="s">
        <v>711</v>
      </c>
      <c r="D520" s="4" t="s">
        <v>59</v>
      </c>
      <c r="E520" s="4" t="s">
        <v>21</v>
      </c>
      <c r="F520" s="5" t="n">
        <v>25386.06</v>
      </c>
      <c r="G520" s="6" t="n">
        <v>0.05</v>
      </c>
      <c r="H520" s="5" t="n">
        <v>1269.3</v>
      </c>
      <c r="I520" s="5" t="n">
        <v>26655.36</v>
      </c>
    </row>
    <row r="521" customFormat="false" ht="15" hidden="false" customHeight="false" outlineLevel="0" collapsed="false">
      <c r="A521" s="4" t="s">
        <v>712</v>
      </c>
      <c r="B521" s="4" t="s">
        <v>18</v>
      </c>
      <c r="C521" s="4" t="s">
        <v>713</v>
      </c>
      <c r="D521" s="4" t="s">
        <v>56</v>
      </c>
      <c r="E521" s="4" t="s">
        <v>21</v>
      </c>
      <c r="F521" s="5" t="n">
        <v>90872.88</v>
      </c>
      <c r="G521" s="6" t="n">
        <v>0.05</v>
      </c>
      <c r="H521" s="5" t="n">
        <v>4543.64</v>
      </c>
      <c r="I521" s="5" t="n">
        <v>95416.52</v>
      </c>
    </row>
    <row r="522" customFormat="false" ht="15" hidden="false" customHeight="false" outlineLevel="0" collapsed="false">
      <c r="A522" s="4" t="s">
        <v>714</v>
      </c>
      <c r="B522" s="4" t="s">
        <v>18</v>
      </c>
      <c r="C522" s="4" t="s">
        <v>715</v>
      </c>
      <c r="D522" s="4" t="s">
        <v>56</v>
      </c>
      <c r="E522" s="4" t="s">
        <v>21</v>
      </c>
      <c r="F522" s="5" t="n">
        <v>49221.9</v>
      </c>
      <c r="G522" s="6" t="n">
        <v>0.05</v>
      </c>
      <c r="H522" s="5" t="n">
        <v>2461.1</v>
      </c>
      <c r="I522" s="5" t="n">
        <v>51683</v>
      </c>
    </row>
    <row r="523" customFormat="false" ht="15" hidden="false" customHeight="false" outlineLevel="0" collapsed="false">
      <c r="A523" s="4" t="s">
        <v>716</v>
      </c>
      <c r="B523" s="4" t="s">
        <v>18</v>
      </c>
      <c r="C523" s="4" t="s">
        <v>717</v>
      </c>
      <c r="D523" s="4" t="s">
        <v>20</v>
      </c>
      <c r="E523" s="4" t="s">
        <v>21</v>
      </c>
      <c r="F523" s="5" t="n">
        <v>71899.83</v>
      </c>
      <c r="G523" s="6" t="n">
        <v>0.05</v>
      </c>
      <c r="H523" s="5" t="n">
        <v>3594.99</v>
      </c>
      <c r="I523" s="5" t="n">
        <v>75494.82</v>
      </c>
    </row>
    <row r="524" customFormat="false" ht="15" hidden="false" customHeight="false" outlineLevel="0" collapsed="false">
      <c r="A524" s="4" t="s">
        <v>718</v>
      </c>
      <c r="B524" s="4" t="s">
        <v>18</v>
      </c>
      <c r="C524" s="4" t="s">
        <v>702</v>
      </c>
      <c r="D524" s="4" t="s">
        <v>34</v>
      </c>
      <c r="E524" s="4" t="s">
        <v>46</v>
      </c>
      <c r="F524" s="5" t="n">
        <v>37136.05</v>
      </c>
      <c r="G524" s="6" t="n">
        <v>0</v>
      </c>
      <c r="H524" s="5" t="n">
        <v>0</v>
      </c>
      <c r="I524" s="5" t="n">
        <v>37136.05</v>
      </c>
    </row>
    <row r="525" customFormat="false" ht="15" hidden="false" customHeight="false" outlineLevel="0" collapsed="false">
      <c r="A525" s="4" t="s">
        <v>719</v>
      </c>
      <c r="B525" s="4" t="s">
        <v>18</v>
      </c>
      <c r="C525" s="4" t="s">
        <v>720</v>
      </c>
      <c r="D525" s="4" t="s">
        <v>37</v>
      </c>
      <c r="E525" s="4" t="s">
        <v>21</v>
      </c>
      <c r="F525" s="5" t="n">
        <v>14538.84</v>
      </c>
      <c r="G525" s="6" t="n">
        <v>0.05</v>
      </c>
      <c r="H525" s="5" t="n">
        <v>726.94</v>
      </c>
      <c r="I525" s="5" t="n">
        <v>15265.78</v>
      </c>
    </row>
    <row r="526" customFormat="false" ht="15" hidden="false" customHeight="false" outlineLevel="0" collapsed="false">
      <c r="A526" s="4" t="s">
        <v>721</v>
      </c>
      <c r="B526" s="4" t="s">
        <v>18</v>
      </c>
      <c r="C526" s="4" t="s">
        <v>720</v>
      </c>
      <c r="D526" s="4" t="s">
        <v>50</v>
      </c>
      <c r="E526" s="4" t="s">
        <v>21</v>
      </c>
      <c r="F526" s="5" t="n">
        <v>78353.49</v>
      </c>
      <c r="G526" s="6" t="n">
        <v>0.05</v>
      </c>
      <c r="H526" s="5" t="n">
        <v>3917.67</v>
      </c>
      <c r="I526" s="5" t="n">
        <v>82271.16</v>
      </c>
    </row>
    <row r="527" customFormat="false" ht="15" hidden="false" customHeight="false" outlineLevel="0" collapsed="false">
      <c r="A527" s="4" t="s">
        <v>722</v>
      </c>
      <c r="B527" s="4" t="s">
        <v>18</v>
      </c>
      <c r="C527" s="4" t="s">
        <v>723</v>
      </c>
      <c r="D527" s="4" t="s">
        <v>88</v>
      </c>
      <c r="E527" s="4" t="s">
        <v>21</v>
      </c>
      <c r="F527" s="5" t="n">
        <v>79968.98</v>
      </c>
      <c r="G527" s="6" t="n">
        <v>0.05</v>
      </c>
      <c r="H527" s="5" t="n">
        <v>3998.45</v>
      </c>
      <c r="I527" s="5" t="n">
        <v>83967.43</v>
      </c>
    </row>
    <row r="528" customFormat="false" ht="15" hidden="false" customHeight="false" outlineLevel="0" collapsed="false">
      <c r="A528" s="4" t="s">
        <v>724</v>
      </c>
      <c r="B528" s="4" t="s">
        <v>18</v>
      </c>
      <c r="C528" s="4" t="s">
        <v>704</v>
      </c>
      <c r="D528" s="4" t="s">
        <v>59</v>
      </c>
      <c r="E528" s="4" t="s">
        <v>28</v>
      </c>
      <c r="F528" s="5" t="n">
        <v>54246.86</v>
      </c>
      <c r="G528" s="6" t="n">
        <v>0</v>
      </c>
      <c r="H528" s="5" t="n">
        <v>0</v>
      </c>
      <c r="I528" s="5" t="n">
        <v>54246.86</v>
      </c>
    </row>
    <row r="529" customFormat="false" ht="15" hidden="false" customHeight="false" outlineLevel="0" collapsed="false">
      <c r="A529" s="4" t="s">
        <v>725</v>
      </c>
      <c r="B529" s="4" t="s">
        <v>18</v>
      </c>
      <c r="C529" s="4" t="s">
        <v>723</v>
      </c>
      <c r="D529" s="4" t="s">
        <v>24</v>
      </c>
      <c r="E529" s="4" t="s">
        <v>21</v>
      </c>
      <c r="F529" s="5" t="n">
        <v>24115.47</v>
      </c>
      <c r="G529" s="6" t="n">
        <v>0.05</v>
      </c>
      <c r="H529" s="5" t="n">
        <v>1205.77</v>
      </c>
      <c r="I529" s="5" t="n">
        <v>25321.24</v>
      </c>
    </row>
    <row r="530" customFormat="false" ht="15" hidden="false" customHeight="false" outlineLevel="0" collapsed="false">
      <c r="A530" s="4" t="s">
        <v>726</v>
      </c>
      <c r="B530" s="4" t="s">
        <v>18</v>
      </c>
      <c r="C530" s="4" t="s">
        <v>727</v>
      </c>
      <c r="D530" s="4" t="s">
        <v>27</v>
      </c>
      <c r="E530" s="4" t="s">
        <v>28</v>
      </c>
      <c r="F530" s="5" t="n">
        <v>57468.06</v>
      </c>
      <c r="G530" s="6" t="n">
        <v>0</v>
      </c>
      <c r="H530" s="5" t="n">
        <v>0</v>
      </c>
      <c r="I530" s="5" t="n">
        <v>57468.06</v>
      </c>
    </row>
    <row r="531" customFormat="false" ht="15" hidden="false" customHeight="false" outlineLevel="0" collapsed="false">
      <c r="A531" s="4" t="s">
        <v>728</v>
      </c>
      <c r="B531" s="4" t="s">
        <v>18</v>
      </c>
      <c r="C531" s="4" t="s">
        <v>696</v>
      </c>
      <c r="D531" s="4" t="s">
        <v>86</v>
      </c>
      <c r="E531" s="4" t="s">
        <v>21</v>
      </c>
      <c r="F531" s="5" t="n">
        <v>86671.31</v>
      </c>
      <c r="G531" s="6" t="n">
        <v>0.05</v>
      </c>
      <c r="H531" s="5" t="n">
        <v>4333.57</v>
      </c>
      <c r="I531" s="5" t="n">
        <v>91004.88</v>
      </c>
    </row>
    <row r="532" customFormat="false" ht="15" hidden="false" customHeight="false" outlineLevel="0" collapsed="false">
      <c r="A532" s="4" t="s">
        <v>729</v>
      </c>
      <c r="B532" s="4" t="s">
        <v>18</v>
      </c>
      <c r="C532" s="4" t="s">
        <v>730</v>
      </c>
      <c r="D532" s="4" t="s">
        <v>50</v>
      </c>
      <c r="E532" s="4" t="s">
        <v>28</v>
      </c>
      <c r="F532" s="5" t="n">
        <v>85071.36</v>
      </c>
      <c r="G532" s="6" t="n">
        <v>0</v>
      </c>
      <c r="H532" s="5" t="n">
        <v>0</v>
      </c>
      <c r="I532" s="5" t="n">
        <v>85071.36</v>
      </c>
    </row>
    <row r="533" customFormat="false" ht="15" hidden="false" customHeight="false" outlineLevel="0" collapsed="false">
      <c r="A533" s="4" t="s">
        <v>731</v>
      </c>
      <c r="B533" s="4" t="s">
        <v>18</v>
      </c>
      <c r="C533" s="4" t="s">
        <v>692</v>
      </c>
      <c r="D533" s="4" t="s">
        <v>86</v>
      </c>
      <c r="E533" s="4" t="s">
        <v>46</v>
      </c>
      <c r="F533" s="5" t="n">
        <v>46850.79</v>
      </c>
      <c r="G533" s="6" t="n">
        <v>0</v>
      </c>
      <c r="H533" s="5" t="n">
        <v>0</v>
      </c>
      <c r="I533" s="5" t="n">
        <v>46850.79</v>
      </c>
    </row>
    <row r="534" customFormat="false" ht="15" hidden="false" customHeight="false" outlineLevel="0" collapsed="false">
      <c r="A534" s="4" t="s">
        <v>732</v>
      </c>
      <c r="B534" s="4" t="s">
        <v>18</v>
      </c>
      <c r="C534" s="4" t="s">
        <v>713</v>
      </c>
      <c r="D534" s="4" t="s">
        <v>88</v>
      </c>
      <c r="E534" s="4" t="s">
        <v>21</v>
      </c>
      <c r="F534" s="5" t="n">
        <v>10134.03</v>
      </c>
      <c r="G534" s="6" t="n">
        <v>0.05</v>
      </c>
      <c r="H534" s="5" t="n">
        <v>506.7</v>
      </c>
      <c r="I534" s="5" t="n">
        <v>10640.73</v>
      </c>
    </row>
    <row r="535" customFormat="false" ht="15" hidden="false" customHeight="false" outlineLevel="0" collapsed="false">
      <c r="A535" s="4" t="s">
        <v>733</v>
      </c>
      <c r="B535" s="4" t="s">
        <v>18</v>
      </c>
      <c r="C535" s="4" t="s">
        <v>734</v>
      </c>
      <c r="D535" s="4" t="s">
        <v>45</v>
      </c>
      <c r="E535" s="4" t="s">
        <v>21</v>
      </c>
      <c r="F535" s="5" t="n">
        <v>79240.37</v>
      </c>
      <c r="G535" s="6" t="n">
        <v>0.05</v>
      </c>
      <c r="H535" s="5" t="n">
        <v>3962.02</v>
      </c>
      <c r="I535" s="5" t="n">
        <v>83202.39</v>
      </c>
    </row>
    <row r="536" customFormat="false" ht="15" hidden="false" customHeight="false" outlineLevel="0" collapsed="false">
      <c r="A536" s="4" t="s">
        <v>735</v>
      </c>
      <c r="B536" s="4" t="s">
        <v>18</v>
      </c>
      <c r="C536" s="4" t="s">
        <v>727</v>
      </c>
      <c r="D536" s="4" t="s">
        <v>20</v>
      </c>
      <c r="E536" s="4" t="s">
        <v>46</v>
      </c>
      <c r="F536" s="5" t="n">
        <v>94240.54</v>
      </c>
      <c r="G536" s="6" t="n">
        <v>0</v>
      </c>
      <c r="H536" s="5" t="n">
        <v>0</v>
      </c>
      <c r="I536" s="5" t="n">
        <v>94240.54</v>
      </c>
    </row>
    <row r="537" customFormat="false" ht="15" hidden="false" customHeight="false" outlineLevel="0" collapsed="false">
      <c r="A537" s="4" t="s">
        <v>736</v>
      </c>
      <c r="B537" s="4" t="s">
        <v>18</v>
      </c>
      <c r="C537" s="4" t="s">
        <v>702</v>
      </c>
      <c r="D537" s="4" t="s">
        <v>78</v>
      </c>
      <c r="E537" s="4" t="s">
        <v>21</v>
      </c>
      <c r="F537" s="5" t="n">
        <v>91325.81</v>
      </c>
      <c r="G537" s="6" t="n">
        <v>0.05</v>
      </c>
      <c r="H537" s="5" t="n">
        <v>4566.29</v>
      </c>
      <c r="I537" s="5" t="n">
        <v>95892.1</v>
      </c>
    </row>
    <row r="538" customFormat="false" ht="15" hidden="false" customHeight="false" outlineLevel="0" collapsed="false">
      <c r="A538" s="4" t="s">
        <v>737</v>
      </c>
      <c r="B538" s="4" t="s">
        <v>18</v>
      </c>
      <c r="C538" s="4" t="s">
        <v>704</v>
      </c>
      <c r="D538" s="4" t="s">
        <v>27</v>
      </c>
      <c r="E538" s="4" t="s">
        <v>21</v>
      </c>
      <c r="F538" s="5" t="n">
        <v>58259.41</v>
      </c>
      <c r="G538" s="6" t="n">
        <v>0.05</v>
      </c>
      <c r="H538" s="5" t="n">
        <v>2912.97</v>
      </c>
      <c r="I538" s="5" t="n">
        <v>61172.38</v>
      </c>
    </row>
    <row r="539" customFormat="false" ht="15" hidden="false" customHeight="false" outlineLevel="0" collapsed="false">
      <c r="A539" s="4" t="s">
        <v>738</v>
      </c>
      <c r="B539" s="4" t="s">
        <v>18</v>
      </c>
      <c r="C539" s="4" t="s">
        <v>696</v>
      </c>
      <c r="D539" s="4" t="s">
        <v>86</v>
      </c>
      <c r="E539" s="4" t="s">
        <v>21</v>
      </c>
      <c r="F539" s="5" t="n">
        <v>71017.15</v>
      </c>
      <c r="G539" s="6" t="n">
        <v>0.05</v>
      </c>
      <c r="H539" s="5" t="n">
        <v>3550.86</v>
      </c>
      <c r="I539" s="5" t="n">
        <v>74568.01</v>
      </c>
    </row>
    <row r="540" customFormat="false" ht="15" hidden="false" customHeight="false" outlineLevel="0" collapsed="false">
      <c r="A540" s="4" t="s">
        <v>739</v>
      </c>
      <c r="B540" s="4" t="s">
        <v>18</v>
      </c>
      <c r="C540" s="4" t="s">
        <v>723</v>
      </c>
      <c r="D540" s="4" t="s">
        <v>70</v>
      </c>
      <c r="E540" s="4" t="s">
        <v>21</v>
      </c>
      <c r="F540" s="5" t="n">
        <v>44308.87</v>
      </c>
      <c r="G540" s="6" t="n">
        <v>0.05</v>
      </c>
      <c r="H540" s="5" t="n">
        <v>2215.44</v>
      </c>
      <c r="I540" s="5" t="n">
        <v>46524.31</v>
      </c>
    </row>
    <row r="541" customFormat="false" ht="15" hidden="false" customHeight="false" outlineLevel="0" collapsed="false">
      <c r="A541" s="4" t="s">
        <v>740</v>
      </c>
      <c r="B541" s="4" t="s">
        <v>18</v>
      </c>
      <c r="C541" s="4" t="s">
        <v>713</v>
      </c>
      <c r="D541" s="4" t="s">
        <v>59</v>
      </c>
      <c r="E541" s="4" t="s">
        <v>46</v>
      </c>
      <c r="F541" s="5" t="n">
        <v>59261.29</v>
      </c>
      <c r="G541" s="6" t="n">
        <v>0</v>
      </c>
      <c r="H541" s="5" t="n">
        <v>0</v>
      </c>
      <c r="I541" s="5" t="n">
        <v>59261.29</v>
      </c>
    </row>
    <row r="542" customFormat="false" ht="15" hidden="false" customHeight="false" outlineLevel="0" collapsed="false">
      <c r="A542" s="4" t="s">
        <v>741</v>
      </c>
      <c r="B542" s="4" t="s">
        <v>18</v>
      </c>
      <c r="C542" s="4" t="s">
        <v>707</v>
      </c>
      <c r="D542" s="4" t="s">
        <v>37</v>
      </c>
      <c r="E542" s="4" t="s">
        <v>21</v>
      </c>
      <c r="F542" s="5" t="n">
        <v>65936.37</v>
      </c>
      <c r="G542" s="6" t="n">
        <v>0.05</v>
      </c>
      <c r="H542" s="5" t="n">
        <v>3296.82</v>
      </c>
      <c r="I542" s="5" t="n">
        <v>69233.19</v>
      </c>
    </row>
    <row r="543" customFormat="false" ht="15" hidden="false" customHeight="false" outlineLevel="0" collapsed="false">
      <c r="A543" s="4" t="s">
        <v>742</v>
      </c>
      <c r="B543" s="4" t="s">
        <v>18</v>
      </c>
      <c r="C543" s="4" t="s">
        <v>727</v>
      </c>
      <c r="D543" s="4" t="s">
        <v>59</v>
      </c>
      <c r="E543" s="4" t="s">
        <v>46</v>
      </c>
      <c r="F543" s="5" t="n">
        <v>76570.77</v>
      </c>
      <c r="G543" s="6" t="n">
        <v>0</v>
      </c>
      <c r="H543" s="5" t="n">
        <v>0</v>
      </c>
      <c r="I543" s="5" t="n">
        <v>76570.77</v>
      </c>
    </row>
    <row r="544" customFormat="false" ht="15" hidden="false" customHeight="false" outlineLevel="0" collapsed="false">
      <c r="A544" s="4" t="s">
        <v>743</v>
      </c>
      <c r="B544" s="4" t="s">
        <v>18</v>
      </c>
      <c r="C544" s="4" t="s">
        <v>723</v>
      </c>
      <c r="D544" s="4" t="s">
        <v>86</v>
      </c>
      <c r="E544" s="4" t="s">
        <v>21</v>
      </c>
      <c r="F544" s="5" t="n">
        <v>73032.25</v>
      </c>
      <c r="G544" s="6" t="n">
        <v>0.05</v>
      </c>
      <c r="H544" s="5" t="n">
        <v>3651.61</v>
      </c>
      <c r="I544" s="5" t="n">
        <v>76683.86</v>
      </c>
    </row>
    <row r="545" customFormat="false" ht="15" hidden="false" customHeight="false" outlineLevel="0" collapsed="false">
      <c r="A545" s="4" t="s">
        <v>744</v>
      </c>
      <c r="B545" s="4" t="s">
        <v>18</v>
      </c>
      <c r="C545" s="4" t="s">
        <v>711</v>
      </c>
      <c r="D545" s="4" t="s">
        <v>24</v>
      </c>
      <c r="E545" s="4" t="s">
        <v>21</v>
      </c>
      <c r="F545" s="5" t="n">
        <v>44235.82</v>
      </c>
      <c r="G545" s="6" t="n">
        <v>0.05</v>
      </c>
      <c r="H545" s="5" t="n">
        <v>2211.79</v>
      </c>
      <c r="I545" s="5" t="n">
        <v>46447.61</v>
      </c>
    </row>
    <row r="546" customFormat="false" ht="15" hidden="false" customHeight="false" outlineLevel="0" collapsed="false">
      <c r="A546" s="4" t="s">
        <v>745</v>
      </c>
      <c r="B546" s="4" t="s">
        <v>18</v>
      </c>
      <c r="C546" s="4" t="s">
        <v>715</v>
      </c>
      <c r="D546" s="4" t="s">
        <v>78</v>
      </c>
      <c r="E546" s="4" t="s">
        <v>21</v>
      </c>
      <c r="F546" s="5" t="n">
        <v>11986.45</v>
      </c>
      <c r="G546" s="6" t="n">
        <v>0.05</v>
      </c>
      <c r="H546" s="5" t="n">
        <v>599.32</v>
      </c>
      <c r="I546" s="5" t="n">
        <v>12585.77</v>
      </c>
    </row>
    <row r="547" customFormat="false" ht="15" hidden="false" customHeight="false" outlineLevel="0" collapsed="false">
      <c r="A547" s="4" t="s">
        <v>746</v>
      </c>
      <c r="B547" s="4" t="s">
        <v>18</v>
      </c>
      <c r="C547" s="4" t="s">
        <v>713</v>
      </c>
      <c r="D547" s="4" t="s">
        <v>86</v>
      </c>
      <c r="E547" s="4" t="s">
        <v>28</v>
      </c>
      <c r="F547" s="5" t="n">
        <v>55868.83</v>
      </c>
      <c r="G547" s="6" t="n">
        <v>0</v>
      </c>
      <c r="H547" s="5" t="n">
        <v>0</v>
      </c>
      <c r="I547" s="5" t="n">
        <v>55868.83</v>
      </c>
    </row>
    <row r="548" customFormat="false" ht="15" hidden="false" customHeight="false" outlineLevel="0" collapsed="false">
      <c r="A548" s="4" t="s">
        <v>747</v>
      </c>
      <c r="B548" s="4" t="s">
        <v>18</v>
      </c>
      <c r="C548" s="4" t="s">
        <v>748</v>
      </c>
      <c r="D548" s="4" t="s">
        <v>78</v>
      </c>
      <c r="E548" s="4" t="s">
        <v>28</v>
      </c>
      <c r="F548" s="5" t="n">
        <v>55910.05</v>
      </c>
      <c r="G548" s="6" t="n">
        <v>0</v>
      </c>
      <c r="H548" s="5" t="n">
        <v>0</v>
      </c>
      <c r="I548" s="5" t="n">
        <v>55910.05</v>
      </c>
    </row>
    <row r="549" customFormat="false" ht="15" hidden="false" customHeight="false" outlineLevel="0" collapsed="false">
      <c r="A549" s="4" t="s">
        <v>749</v>
      </c>
      <c r="B549" s="4" t="s">
        <v>18</v>
      </c>
      <c r="C549" s="4" t="s">
        <v>717</v>
      </c>
      <c r="D549" s="4" t="s">
        <v>50</v>
      </c>
      <c r="E549" s="4" t="s">
        <v>21</v>
      </c>
      <c r="F549" s="5" t="n">
        <v>83915.7</v>
      </c>
      <c r="G549" s="6" t="n">
        <v>0.05</v>
      </c>
      <c r="H549" s="5" t="n">
        <v>4195.78</v>
      </c>
      <c r="I549" s="5" t="n">
        <v>88111.48</v>
      </c>
    </row>
    <row r="550" customFormat="false" ht="15" hidden="false" customHeight="false" outlineLevel="0" collapsed="false">
      <c r="A550" s="4" t="s">
        <v>750</v>
      </c>
      <c r="B550" s="4" t="s">
        <v>18</v>
      </c>
      <c r="C550" s="4" t="s">
        <v>702</v>
      </c>
      <c r="D550" s="4" t="s">
        <v>62</v>
      </c>
      <c r="E550" s="4" t="s">
        <v>21</v>
      </c>
      <c r="F550" s="5" t="n">
        <v>20519.6</v>
      </c>
      <c r="G550" s="6" t="n">
        <v>0.05</v>
      </c>
      <c r="H550" s="5" t="n">
        <v>1025.98</v>
      </c>
      <c r="I550" s="5" t="n">
        <v>21545.58</v>
      </c>
    </row>
    <row r="551" customFormat="false" ht="15" hidden="false" customHeight="false" outlineLevel="0" collapsed="false">
      <c r="A551" s="4" t="s">
        <v>751</v>
      </c>
      <c r="B551" s="4" t="s">
        <v>18</v>
      </c>
      <c r="C551" s="4" t="s">
        <v>730</v>
      </c>
      <c r="D551" s="4" t="s">
        <v>34</v>
      </c>
      <c r="E551" s="4" t="s">
        <v>21</v>
      </c>
      <c r="F551" s="5" t="n">
        <v>38481.33</v>
      </c>
      <c r="G551" s="6" t="n">
        <v>0.05</v>
      </c>
      <c r="H551" s="5" t="n">
        <v>1924.07</v>
      </c>
      <c r="I551" s="5" t="n">
        <v>40405.4</v>
      </c>
    </row>
    <row r="552" customFormat="false" ht="15" hidden="false" customHeight="false" outlineLevel="0" collapsed="false">
      <c r="A552" s="4" t="s">
        <v>752</v>
      </c>
      <c r="B552" s="4" t="s">
        <v>18</v>
      </c>
      <c r="C552" s="4" t="s">
        <v>730</v>
      </c>
      <c r="D552" s="4" t="s">
        <v>70</v>
      </c>
      <c r="E552" s="4" t="s">
        <v>21</v>
      </c>
      <c r="F552" s="5" t="n">
        <v>9531.7</v>
      </c>
      <c r="G552" s="6" t="n">
        <v>0.05</v>
      </c>
      <c r="H552" s="5" t="n">
        <v>476.59</v>
      </c>
      <c r="I552" s="5" t="n">
        <v>10008.29</v>
      </c>
    </row>
    <row r="553" customFormat="false" ht="15" hidden="false" customHeight="false" outlineLevel="0" collapsed="false">
      <c r="A553" s="4" t="s">
        <v>753</v>
      </c>
      <c r="B553" s="4" t="s">
        <v>18</v>
      </c>
      <c r="C553" s="4" t="s">
        <v>717</v>
      </c>
      <c r="D553" s="4" t="s">
        <v>34</v>
      </c>
      <c r="E553" s="4" t="s">
        <v>21</v>
      </c>
      <c r="F553" s="5" t="n">
        <v>45724.08</v>
      </c>
      <c r="G553" s="6" t="n">
        <v>0.05</v>
      </c>
      <c r="H553" s="5" t="n">
        <v>2286.2</v>
      </c>
      <c r="I553" s="5" t="n">
        <v>48010.28</v>
      </c>
    </row>
    <row r="554" customFormat="false" ht="15" hidden="false" customHeight="false" outlineLevel="0" collapsed="false">
      <c r="A554" s="4" t="s">
        <v>754</v>
      </c>
      <c r="B554" s="4" t="s">
        <v>18</v>
      </c>
      <c r="C554" s="4" t="s">
        <v>730</v>
      </c>
      <c r="D554" s="4" t="s">
        <v>56</v>
      </c>
      <c r="E554" s="4" t="s">
        <v>21</v>
      </c>
      <c r="F554" s="5" t="n">
        <v>15821.33</v>
      </c>
      <c r="G554" s="6" t="n">
        <v>0.05</v>
      </c>
      <c r="H554" s="5" t="n">
        <v>791.07</v>
      </c>
      <c r="I554" s="5" t="n">
        <v>16612.4</v>
      </c>
    </row>
    <row r="555" customFormat="false" ht="15" hidden="false" customHeight="false" outlineLevel="0" collapsed="false">
      <c r="A555" s="4" t="s">
        <v>755</v>
      </c>
      <c r="B555" s="4" t="s">
        <v>18</v>
      </c>
      <c r="C555" s="4" t="s">
        <v>694</v>
      </c>
      <c r="D555" s="4" t="s">
        <v>31</v>
      </c>
      <c r="E555" s="4" t="s">
        <v>46</v>
      </c>
      <c r="F555" s="5" t="n">
        <v>84819.12</v>
      </c>
      <c r="G555" s="6" t="n">
        <v>0</v>
      </c>
      <c r="H555" s="5" t="n">
        <v>0</v>
      </c>
      <c r="I555" s="5" t="n">
        <v>84819.12</v>
      </c>
    </row>
    <row r="556" customFormat="false" ht="15" hidden="false" customHeight="false" outlineLevel="0" collapsed="false">
      <c r="A556" s="4" t="s">
        <v>756</v>
      </c>
      <c r="B556" s="4" t="s">
        <v>18</v>
      </c>
      <c r="C556" s="4" t="s">
        <v>757</v>
      </c>
      <c r="D556" s="4" t="s">
        <v>70</v>
      </c>
      <c r="E556" s="4" t="s">
        <v>21</v>
      </c>
      <c r="F556" s="5" t="n">
        <v>4639.95</v>
      </c>
      <c r="G556" s="6" t="n">
        <v>0.05</v>
      </c>
      <c r="H556" s="5" t="n">
        <v>232</v>
      </c>
      <c r="I556" s="5" t="n">
        <v>4871.95</v>
      </c>
    </row>
    <row r="557" customFormat="false" ht="15" hidden="false" customHeight="false" outlineLevel="0" collapsed="false">
      <c r="A557" s="4" t="s">
        <v>758</v>
      </c>
      <c r="B557" s="4" t="s">
        <v>18</v>
      </c>
      <c r="C557" s="4" t="s">
        <v>759</v>
      </c>
      <c r="D557" s="4" t="s">
        <v>27</v>
      </c>
      <c r="E557" s="4" t="s">
        <v>21</v>
      </c>
      <c r="F557" s="5" t="n">
        <v>86127.85</v>
      </c>
      <c r="G557" s="6" t="n">
        <v>0.05</v>
      </c>
      <c r="H557" s="5" t="n">
        <v>4306.39</v>
      </c>
      <c r="I557" s="5" t="n">
        <v>90434.24</v>
      </c>
    </row>
    <row r="558" customFormat="false" ht="15" hidden="false" customHeight="false" outlineLevel="0" collapsed="false">
      <c r="A558" s="4" t="s">
        <v>760</v>
      </c>
      <c r="B558" s="4" t="s">
        <v>18</v>
      </c>
      <c r="C558" s="4" t="s">
        <v>694</v>
      </c>
      <c r="D558" s="4" t="s">
        <v>37</v>
      </c>
      <c r="E558" s="4" t="s">
        <v>21</v>
      </c>
      <c r="F558" s="5" t="n">
        <v>70477.56</v>
      </c>
      <c r="G558" s="6" t="n">
        <v>0.05</v>
      </c>
      <c r="H558" s="5" t="n">
        <v>3523.88</v>
      </c>
      <c r="I558" s="5" t="n">
        <v>74001.44</v>
      </c>
    </row>
    <row r="559" customFormat="false" ht="15" hidden="false" customHeight="false" outlineLevel="0" collapsed="false">
      <c r="A559" s="4" t="s">
        <v>761</v>
      </c>
      <c r="B559" s="4" t="s">
        <v>18</v>
      </c>
      <c r="C559" s="4" t="s">
        <v>713</v>
      </c>
      <c r="D559" s="4" t="s">
        <v>70</v>
      </c>
      <c r="E559" s="4" t="s">
        <v>28</v>
      </c>
      <c r="F559" s="5" t="n">
        <v>56535.76</v>
      </c>
      <c r="G559" s="6" t="n">
        <v>0</v>
      </c>
      <c r="H559" s="5" t="n">
        <v>0</v>
      </c>
      <c r="I559" s="5" t="n">
        <v>56535.76</v>
      </c>
    </row>
    <row r="560" customFormat="false" ht="15" hidden="false" customHeight="false" outlineLevel="0" collapsed="false">
      <c r="A560" s="4" t="s">
        <v>762</v>
      </c>
      <c r="B560" s="4" t="s">
        <v>18</v>
      </c>
      <c r="C560" s="4" t="s">
        <v>763</v>
      </c>
      <c r="D560" s="4" t="s">
        <v>45</v>
      </c>
      <c r="E560" s="4" t="s">
        <v>46</v>
      </c>
      <c r="F560" s="5" t="n">
        <v>15524.77</v>
      </c>
      <c r="G560" s="6" t="n">
        <v>0</v>
      </c>
      <c r="H560" s="5" t="n">
        <v>0</v>
      </c>
      <c r="I560" s="5" t="n">
        <v>15524.77</v>
      </c>
    </row>
    <row r="561" customFormat="false" ht="15" hidden="false" customHeight="false" outlineLevel="0" collapsed="false">
      <c r="A561" s="4" t="s">
        <v>764</v>
      </c>
      <c r="B561" s="4" t="s">
        <v>18</v>
      </c>
      <c r="C561" s="4" t="s">
        <v>748</v>
      </c>
      <c r="D561" s="4" t="s">
        <v>31</v>
      </c>
      <c r="E561" s="4" t="s">
        <v>21</v>
      </c>
      <c r="F561" s="5" t="n">
        <v>67329.78</v>
      </c>
      <c r="G561" s="6" t="n">
        <v>0.05</v>
      </c>
      <c r="H561" s="5" t="n">
        <v>3366.49</v>
      </c>
      <c r="I561" s="5" t="n">
        <v>70696.27</v>
      </c>
    </row>
    <row r="562" customFormat="false" ht="15" hidden="false" customHeight="false" outlineLevel="0" collapsed="false">
      <c r="A562" s="4" t="s">
        <v>765</v>
      </c>
      <c r="B562" s="4" t="s">
        <v>18</v>
      </c>
      <c r="C562" s="4" t="s">
        <v>717</v>
      </c>
      <c r="D562" s="4" t="s">
        <v>62</v>
      </c>
      <c r="E562" s="4" t="s">
        <v>21</v>
      </c>
      <c r="F562" s="5" t="n">
        <v>23223.17</v>
      </c>
      <c r="G562" s="6" t="n">
        <v>0.05</v>
      </c>
      <c r="H562" s="5" t="n">
        <v>1161.16</v>
      </c>
      <c r="I562" s="5" t="n">
        <v>24384.33</v>
      </c>
    </row>
    <row r="563" customFormat="false" ht="15" hidden="false" customHeight="false" outlineLevel="0" collapsed="false">
      <c r="A563" s="4" t="s">
        <v>766</v>
      </c>
      <c r="B563" s="4" t="s">
        <v>18</v>
      </c>
      <c r="C563" s="4" t="s">
        <v>717</v>
      </c>
      <c r="D563" s="4" t="s">
        <v>59</v>
      </c>
      <c r="E563" s="4" t="s">
        <v>28</v>
      </c>
      <c r="F563" s="5" t="n">
        <v>84255.46</v>
      </c>
      <c r="G563" s="6" t="n">
        <v>0</v>
      </c>
      <c r="H563" s="5" t="n">
        <v>0</v>
      </c>
      <c r="I563" s="5" t="n">
        <v>84255.46</v>
      </c>
    </row>
    <row r="564" customFormat="false" ht="15" hidden="false" customHeight="false" outlineLevel="0" collapsed="false">
      <c r="A564" s="4" t="s">
        <v>767</v>
      </c>
      <c r="B564" s="4" t="s">
        <v>18</v>
      </c>
      <c r="C564" s="4" t="s">
        <v>759</v>
      </c>
      <c r="D564" s="4" t="s">
        <v>78</v>
      </c>
      <c r="E564" s="4" t="s">
        <v>21</v>
      </c>
      <c r="F564" s="5" t="n">
        <v>50716.13</v>
      </c>
      <c r="G564" s="6" t="n">
        <v>0.05</v>
      </c>
      <c r="H564" s="5" t="n">
        <v>2535.81</v>
      </c>
      <c r="I564" s="5" t="n">
        <v>53251.94</v>
      </c>
    </row>
    <row r="565" customFormat="false" ht="15" hidden="false" customHeight="false" outlineLevel="0" collapsed="false">
      <c r="A565" s="4" t="s">
        <v>768</v>
      </c>
      <c r="B565" s="4" t="s">
        <v>18</v>
      </c>
      <c r="C565" s="4" t="s">
        <v>730</v>
      </c>
      <c r="D565" s="4" t="s">
        <v>31</v>
      </c>
      <c r="E565" s="4" t="s">
        <v>28</v>
      </c>
      <c r="F565" s="5" t="n">
        <v>82331.01</v>
      </c>
      <c r="G565" s="6" t="n">
        <v>0</v>
      </c>
      <c r="H565" s="5" t="n">
        <v>0</v>
      </c>
      <c r="I565" s="5" t="n">
        <v>82331.01</v>
      </c>
    </row>
    <row r="566" customFormat="false" ht="15" hidden="false" customHeight="false" outlineLevel="0" collapsed="false">
      <c r="A566" s="4" t="s">
        <v>769</v>
      </c>
      <c r="B566" s="4" t="s">
        <v>18</v>
      </c>
      <c r="C566" s="4" t="s">
        <v>770</v>
      </c>
      <c r="D566" s="4" t="s">
        <v>24</v>
      </c>
      <c r="E566" s="4" t="s">
        <v>28</v>
      </c>
      <c r="F566" s="5" t="n">
        <v>63328.46</v>
      </c>
      <c r="G566" s="6" t="n">
        <v>0</v>
      </c>
      <c r="H566" s="5" t="n">
        <v>0</v>
      </c>
      <c r="I566" s="5" t="n">
        <v>63328.46</v>
      </c>
    </row>
    <row r="567" customFormat="false" ht="15" hidden="false" customHeight="false" outlineLevel="0" collapsed="false">
      <c r="A567" s="4" t="s">
        <v>771</v>
      </c>
      <c r="B567" s="4" t="s">
        <v>18</v>
      </c>
      <c r="C567" s="4" t="s">
        <v>694</v>
      </c>
      <c r="D567" s="4" t="s">
        <v>50</v>
      </c>
      <c r="E567" s="4" t="s">
        <v>21</v>
      </c>
      <c r="F567" s="5" t="n">
        <v>74610.75</v>
      </c>
      <c r="G567" s="6" t="n">
        <v>0.05</v>
      </c>
      <c r="H567" s="5" t="n">
        <v>3730.54</v>
      </c>
      <c r="I567" s="5" t="n">
        <v>78341.29</v>
      </c>
    </row>
    <row r="568" customFormat="false" ht="15" hidden="false" customHeight="false" outlineLevel="0" collapsed="false">
      <c r="A568" s="4" t="s">
        <v>772</v>
      </c>
      <c r="B568" s="4" t="s">
        <v>18</v>
      </c>
      <c r="C568" s="4" t="s">
        <v>748</v>
      </c>
      <c r="D568" s="4" t="s">
        <v>59</v>
      </c>
      <c r="E568" s="4" t="s">
        <v>21</v>
      </c>
      <c r="F568" s="5" t="n">
        <v>67397.57</v>
      </c>
      <c r="G568" s="6" t="n">
        <v>0.05</v>
      </c>
      <c r="H568" s="5" t="n">
        <v>3369.88</v>
      </c>
      <c r="I568" s="5" t="n">
        <v>70767.45</v>
      </c>
    </row>
    <row r="569" customFormat="false" ht="15" hidden="false" customHeight="false" outlineLevel="0" collapsed="false">
      <c r="A569" s="4" t="s">
        <v>773</v>
      </c>
      <c r="B569" s="4" t="s">
        <v>18</v>
      </c>
      <c r="C569" s="4" t="s">
        <v>774</v>
      </c>
      <c r="D569" s="4" t="s">
        <v>56</v>
      </c>
      <c r="E569" s="4" t="s">
        <v>46</v>
      </c>
      <c r="F569" s="5" t="n">
        <v>4778.32</v>
      </c>
      <c r="G569" s="6" t="n">
        <v>0</v>
      </c>
      <c r="H569" s="5" t="n">
        <v>0</v>
      </c>
      <c r="I569" s="5" t="n">
        <v>4778.32</v>
      </c>
    </row>
    <row r="570" customFormat="false" ht="15" hidden="false" customHeight="false" outlineLevel="0" collapsed="false">
      <c r="A570" s="4" t="s">
        <v>775</v>
      </c>
      <c r="B570" s="4" t="s">
        <v>18</v>
      </c>
      <c r="C570" s="4" t="s">
        <v>690</v>
      </c>
      <c r="D570" s="4" t="s">
        <v>59</v>
      </c>
      <c r="E570" s="4" t="s">
        <v>21</v>
      </c>
      <c r="F570" s="5" t="n">
        <v>49176.17</v>
      </c>
      <c r="G570" s="6" t="n">
        <v>0.05</v>
      </c>
      <c r="H570" s="5" t="n">
        <v>2458.81</v>
      </c>
      <c r="I570" s="5" t="n">
        <v>51634.98</v>
      </c>
    </row>
    <row r="571" customFormat="false" ht="15" hidden="false" customHeight="false" outlineLevel="0" collapsed="false">
      <c r="A571" s="4" t="s">
        <v>776</v>
      </c>
      <c r="B571" s="4" t="s">
        <v>18</v>
      </c>
      <c r="C571" s="4" t="s">
        <v>713</v>
      </c>
      <c r="D571" s="4" t="s">
        <v>70</v>
      </c>
      <c r="E571" s="4" t="s">
        <v>46</v>
      </c>
      <c r="F571" s="5" t="n">
        <v>93199.83</v>
      </c>
      <c r="G571" s="6" t="n">
        <v>0</v>
      </c>
      <c r="H571" s="5" t="n">
        <v>0</v>
      </c>
      <c r="I571" s="5" t="n">
        <v>93199.83</v>
      </c>
    </row>
    <row r="572" customFormat="false" ht="15" hidden="false" customHeight="false" outlineLevel="0" collapsed="false">
      <c r="A572" s="4" t="s">
        <v>777</v>
      </c>
      <c r="B572" s="4" t="s">
        <v>18</v>
      </c>
      <c r="C572" s="4" t="s">
        <v>720</v>
      </c>
      <c r="D572" s="4" t="s">
        <v>50</v>
      </c>
      <c r="E572" s="4" t="s">
        <v>21</v>
      </c>
      <c r="F572" s="5" t="n">
        <v>75146.87</v>
      </c>
      <c r="G572" s="6" t="n">
        <v>0.05</v>
      </c>
      <c r="H572" s="5" t="n">
        <v>3757.34</v>
      </c>
      <c r="I572" s="5" t="n">
        <v>78904.21</v>
      </c>
    </row>
    <row r="573" customFormat="false" ht="15" hidden="false" customHeight="false" outlineLevel="0" collapsed="false">
      <c r="A573" s="4" t="s">
        <v>778</v>
      </c>
      <c r="B573" s="4" t="s">
        <v>18</v>
      </c>
      <c r="C573" s="4" t="s">
        <v>690</v>
      </c>
      <c r="D573" s="4" t="s">
        <v>59</v>
      </c>
      <c r="E573" s="4" t="s">
        <v>21</v>
      </c>
      <c r="F573" s="5" t="n">
        <v>83128.9</v>
      </c>
      <c r="G573" s="6" t="n">
        <v>0.05</v>
      </c>
      <c r="H573" s="5" t="n">
        <v>4156.44</v>
      </c>
      <c r="I573" s="5" t="n">
        <v>87285.34</v>
      </c>
    </row>
    <row r="574" customFormat="false" ht="15" hidden="false" customHeight="false" outlineLevel="0" collapsed="false">
      <c r="A574" s="4" t="s">
        <v>779</v>
      </c>
      <c r="B574" s="4" t="s">
        <v>18</v>
      </c>
      <c r="C574" s="4" t="s">
        <v>748</v>
      </c>
      <c r="D574" s="4" t="s">
        <v>27</v>
      </c>
      <c r="E574" s="4" t="s">
        <v>21</v>
      </c>
      <c r="F574" s="5" t="n">
        <v>81349.91</v>
      </c>
      <c r="G574" s="6" t="n">
        <v>0.05</v>
      </c>
      <c r="H574" s="5" t="n">
        <v>4067.5</v>
      </c>
      <c r="I574" s="5" t="n">
        <v>85417.41</v>
      </c>
    </row>
    <row r="575" customFormat="false" ht="15" hidden="false" customHeight="false" outlineLevel="0" collapsed="false">
      <c r="A575" s="4" t="s">
        <v>780</v>
      </c>
      <c r="B575" s="4" t="s">
        <v>18</v>
      </c>
      <c r="C575" s="4" t="s">
        <v>692</v>
      </c>
      <c r="D575" s="4" t="s">
        <v>59</v>
      </c>
      <c r="E575" s="4" t="s">
        <v>21</v>
      </c>
      <c r="F575" s="5" t="n">
        <v>56919.27</v>
      </c>
      <c r="G575" s="6" t="n">
        <v>0.05</v>
      </c>
      <c r="H575" s="5" t="n">
        <v>2845.96</v>
      </c>
      <c r="I575" s="5" t="n">
        <v>59765.23</v>
      </c>
    </row>
    <row r="576" customFormat="false" ht="15" hidden="false" customHeight="false" outlineLevel="0" collapsed="false">
      <c r="A576" s="4" t="s">
        <v>781</v>
      </c>
      <c r="B576" s="4" t="s">
        <v>18</v>
      </c>
      <c r="C576" s="4" t="s">
        <v>698</v>
      </c>
      <c r="D576" s="4" t="s">
        <v>20</v>
      </c>
      <c r="E576" s="4" t="s">
        <v>21</v>
      </c>
      <c r="F576" s="5" t="n">
        <v>16324.83</v>
      </c>
      <c r="G576" s="6" t="n">
        <v>0.05</v>
      </c>
      <c r="H576" s="5" t="n">
        <v>816.24</v>
      </c>
      <c r="I576" s="5" t="n">
        <v>17141.07</v>
      </c>
    </row>
    <row r="577" customFormat="false" ht="15" hidden="false" customHeight="false" outlineLevel="0" collapsed="false">
      <c r="A577" s="4" t="s">
        <v>782</v>
      </c>
      <c r="B577" s="4" t="s">
        <v>120</v>
      </c>
      <c r="C577" s="4" t="s">
        <v>723</v>
      </c>
      <c r="D577" s="4" t="s">
        <v>123</v>
      </c>
      <c r="E577" s="4" t="s">
        <v>21</v>
      </c>
      <c r="F577" s="5" t="n">
        <v>12855.31</v>
      </c>
      <c r="G577" s="6" t="n">
        <v>0.05</v>
      </c>
      <c r="H577" s="5" t="n">
        <v>642.77</v>
      </c>
      <c r="I577" s="5" t="n">
        <v>13498.08</v>
      </c>
    </row>
    <row r="578" customFormat="false" ht="15" hidden="false" customHeight="false" outlineLevel="0" collapsed="false">
      <c r="A578" s="4" t="s">
        <v>783</v>
      </c>
      <c r="B578" s="4" t="s">
        <v>120</v>
      </c>
      <c r="C578" s="4" t="s">
        <v>715</v>
      </c>
      <c r="D578" s="4" t="s">
        <v>130</v>
      </c>
      <c r="E578" s="4" t="s">
        <v>46</v>
      </c>
      <c r="F578" s="5" t="n">
        <v>5028.69</v>
      </c>
      <c r="G578" s="6" t="n">
        <v>0</v>
      </c>
      <c r="H578" s="5" t="n">
        <v>0</v>
      </c>
      <c r="I578" s="5" t="n">
        <v>5028.69</v>
      </c>
    </row>
    <row r="579" customFormat="false" ht="15" hidden="false" customHeight="false" outlineLevel="0" collapsed="false">
      <c r="A579" s="4" t="s">
        <v>784</v>
      </c>
      <c r="B579" s="4" t="s">
        <v>120</v>
      </c>
      <c r="C579" s="4" t="s">
        <v>694</v>
      </c>
      <c r="D579" s="4" t="s">
        <v>127</v>
      </c>
      <c r="E579" s="4" t="s">
        <v>21</v>
      </c>
      <c r="F579" s="5" t="n">
        <v>10853.65</v>
      </c>
      <c r="G579" s="6" t="n">
        <v>0.05</v>
      </c>
      <c r="H579" s="5" t="n">
        <v>542.68</v>
      </c>
      <c r="I579" s="5" t="n">
        <v>11396.33</v>
      </c>
    </row>
    <row r="580" customFormat="false" ht="15" hidden="false" customHeight="false" outlineLevel="0" collapsed="false">
      <c r="A580" s="4" t="s">
        <v>785</v>
      </c>
      <c r="B580" s="4" t="s">
        <v>120</v>
      </c>
      <c r="C580" s="4" t="s">
        <v>730</v>
      </c>
      <c r="D580" s="4" t="s">
        <v>133</v>
      </c>
      <c r="E580" s="4" t="s">
        <v>21</v>
      </c>
      <c r="F580" s="5" t="n">
        <v>38717.42</v>
      </c>
      <c r="G580" s="6" t="n">
        <v>0.05</v>
      </c>
      <c r="H580" s="5" t="n">
        <v>1935.87</v>
      </c>
      <c r="I580" s="5" t="n">
        <v>40653.29</v>
      </c>
    </row>
    <row r="581" customFormat="false" ht="15" hidden="false" customHeight="false" outlineLevel="0" collapsed="false">
      <c r="A581" s="4" t="s">
        <v>786</v>
      </c>
      <c r="B581" s="4" t="s">
        <v>120</v>
      </c>
      <c r="C581" s="4" t="s">
        <v>723</v>
      </c>
      <c r="D581" s="4" t="s">
        <v>130</v>
      </c>
      <c r="E581" s="4" t="s">
        <v>46</v>
      </c>
      <c r="F581" s="5" t="n">
        <v>31242.04</v>
      </c>
      <c r="G581" s="6" t="n">
        <v>0</v>
      </c>
      <c r="H581" s="5" t="n">
        <v>0</v>
      </c>
      <c r="I581" s="5" t="n">
        <v>31242.04</v>
      </c>
    </row>
    <row r="582" customFormat="false" ht="15" hidden="false" customHeight="false" outlineLevel="0" collapsed="false">
      <c r="A582" s="4" t="s">
        <v>787</v>
      </c>
      <c r="B582" s="4" t="s">
        <v>120</v>
      </c>
      <c r="C582" s="4" t="s">
        <v>696</v>
      </c>
      <c r="D582" s="4" t="s">
        <v>149</v>
      </c>
      <c r="E582" s="4" t="s">
        <v>46</v>
      </c>
      <c r="F582" s="5" t="n">
        <v>40594.25</v>
      </c>
      <c r="G582" s="6" t="n">
        <v>0</v>
      </c>
      <c r="H582" s="5" t="n">
        <v>0</v>
      </c>
      <c r="I582" s="5" t="n">
        <v>40594.25</v>
      </c>
    </row>
    <row r="583" customFormat="false" ht="15" hidden="false" customHeight="false" outlineLevel="0" collapsed="false">
      <c r="A583" s="4" t="s">
        <v>788</v>
      </c>
      <c r="B583" s="4" t="s">
        <v>120</v>
      </c>
      <c r="C583" s="4" t="s">
        <v>702</v>
      </c>
      <c r="D583" s="4" t="s">
        <v>133</v>
      </c>
      <c r="E583" s="4" t="s">
        <v>21</v>
      </c>
      <c r="F583" s="5" t="n">
        <v>19193.24</v>
      </c>
      <c r="G583" s="6" t="n">
        <v>0.05</v>
      </c>
      <c r="H583" s="5" t="n">
        <v>959.66</v>
      </c>
      <c r="I583" s="5" t="n">
        <v>20152.9</v>
      </c>
    </row>
    <row r="584" customFormat="false" ht="15" hidden="false" customHeight="false" outlineLevel="0" collapsed="false">
      <c r="A584" s="4" t="s">
        <v>789</v>
      </c>
      <c r="B584" s="4" t="s">
        <v>120</v>
      </c>
      <c r="C584" s="4" t="s">
        <v>717</v>
      </c>
      <c r="D584" s="4" t="s">
        <v>125</v>
      </c>
      <c r="E584" s="4" t="s">
        <v>28</v>
      </c>
      <c r="F584" s="5" t="n">
        <v>14189.43</v>
      </c>
      <c r="G584" s="6" t="n">
        <v>0</v>
      </c>
      <c r="H584" s="5" t="n">
        <v>0</v>
      </c>
      <c r="I584" s="5" t="n">
        <v>14189.43</v>
      </c>
    </row>
    <row r="585" customFormat="false" ht="15" hidden="false" customHeight="false" outlineLevel="0" collapsed="false">
      <c r="A585" s="4" t="s">
        <v>790</v>
      </c>
      <c r="B585" s="4" t="s">
        <v>120</v>
      </c>
      <c r="C585" s="4" t="s">
        <v>730</v>
      </c>
      <c r="D585" s="4" t="s">
        <v>133</v>
      </c>
      <c r="E585" s="4" t="s">
        <v>21</v>
      </c>
      <c r="F585" s="5" t="n">
        <v>16204.29</v>
      </c>
      <c r="G585" s="6" t="n">
        <v>0.05</v>
      </c>
      <c r="H585" s="5" t="n">
        <v>810.21</v>
      </c>
      <c r="I585" s="5" t="n">
        <v>17014.5</v>
      </c>
    </row>
    <row r="586" customFormat="false" ht="15" hidden="false" customHeight="false" outlineLevel="0" collapsed="false">
      <c r="A586" s="4" t="s">
        <v>791</v>
      </c>
      <c r="B586" s="4" t="s">
        <v>120</v>
      </c>
      <c r="C586" s="4" t="s">
        <v>717</v>
      </c>
      <c r="D586" s="4" t="s">
        <v>123</v>
      </c>
      <c r="E586" s="4" t="s">
        <v>21</v>
      </c>
      <c r="F586" s="5" t="n">
        <v>41625.78</v>
      </c>
      <c r="G586" s="6" t="n">
        <v>0.05</v>
      </c>
      <c r="H586" s="5" t="n">
        <v>2081.29</v>
      </c>
      <c r="I586" s="5" t="n">
        <v>43707.07</v>
      </c>
    </row>
    <row r="587" customFormat="false" ht="15" hidden="false" customHeight="false" outlineLevel="0" collapsed="false">
      <c r="A587" s="4" t="s">
        <v>792</v>
      </c>
      <c r="B587" s="4" t="s">
        <v>120</v>
      </c>
      <c r="C587" s="4" t="s">
        <v>700</v>
      </c>
      <c r="D587" s="4" t="s">
        <v>127</v>
      </c>
      <c r="E587" s="4" t="s">
        <v>28</v>
      </c>
      <c r="F587" s="5" t="n">
        <v>35401.84</v>
      </c>
      <c r="G587" s="6" t="n">
        <v>0</v>
      </c>
      <c r="H587" s="5" t="n">
        <v>0</v>
      </c>
      <c r="I587" s="5" t="n">
        <v>35401.84</v>
      </c>
    </row>
    <row r="588" customFormat="false" ht="15" hidden="false" customHeight="false" outlineLevel="0" collapsed="false">
      <c r="A588" s="4" t="s">
        <v>793</v>
      </c>
      <c r="B588" s="4" t="s">
        <v>120</v>
      </c>
      <c r="C588" s="4" t="s">
        <v>698</v>
      </c>
      <c r="D588" s="4" t="s">
        <v>125</v>
      </c>
      <c r="E588" s="4" t="s">
        <v>21</v>
      </c>
      <c r="F588" s="5" t="n">
        <v>41837.27</v>
      </c>
      <c r="G588" s="6" t="n">
        <v>0.05</v>
      </c>
      <c r="H588" s="5" t="n">
        <v>2091.86</v>
      </c>
      <c r="I588" s="5" t="n">
        <v>43929.13</v>
      </c>
    </row>
    <row r="589" customFormat="false" ht="15" hidden="false" customHeight="false" outlineLevel="0" collapsed="false">
      <c r="A589" s="4" t="s">
        <v>794</v>
      </c>
      <c r="B589" s="4" t="s">
        <v>120</v>
      </c>
      <c r="C589" s="4" t="s">
        <v>715</v>
      </c>
      <c r="D589" s="4" t="s">
        <v>155</v>
      </c>
      <c r="E589" s="4" t="s">
        <v>28</v>
      </c>
      <c r="F589" s="5" t="n">
        <v>19826.21</v>
      </c>
      <c r="G589" s="6" t="n">
        <v>0</v>
      </c>
      <c r="H589" s="5" t="n">
        <v>0</v>
      </c>
      <c r="I589" s="5" t="n">
        <v>19826.21</v>
      </c>
    </row>
    <row r="590" customFormat="false" ht="15" hidden="false" customHeight="false" outlineLevel="0" collapsed="false">
      <c r="A590" s="4" t="s">
        <v>795</v>
      </c>
      <c r="B590" s="4" t="s">
        <v>120</v>
      </c>
      <c r="C590" s="4" t="s">
        <v>774</v>
      </c>
      <c r="D590" s="4" t="s">
        <v>155</v>
      </c>
      <c r="E590" s="4" t="s">
        <v>21</v>
      </c>
      <c r="F590" s="5" t="n">
        <v>13626.57</v>
      </c>
      <c r="G590" s="6" t="n">
        <v>0.05</v>
      </c>
      <c r="H590" s="5" t="n">
        <v>681.33</v>
      </c>
      <c r="I590" s="5" t="n">
        <v>14307.9</v>
      </c>
    </row>
    <row r="591" customFormat="false" ht="15" hidden="false" customHeight="false" outlineLevel="0" collapsed="false">
      <c r="A591" s="4" t="s">
        <v>796</v>
      </c>
      <c r="B591" s="4" t="s">
        <v>120</v>
      </c>
      <c r="C591" s="4" t="s">
        <v>797</v>
      </c>
      <c r="D591" s="4" t="s">
        <v>127</v>
      </c>
      <c r="E591" s="4" t="s">
        <v>28</v>
      </c>
      <c r="F591" s="5" t="n">
        <v>21576.23</v>
      </c>
      <c r="G591" s="6" t="n">
        <v>0</v>
      </c>
      <c r="H591" s="5" t="n">
        <v>0</v>
      </c>
      <c r="I591" s="5" t="n">
        <v>21576.23</v>
      </c>
    </row>
    <row r="592" customFormat="false" ht="15" hidden="false" customHeight="false" outlineLevel="0" collapsed="false">
      <c r="A592" s="4" t="s">
        <v>798</v>
      </c>
      <c r="B592" s="4" t="s">
        <v>120</v>
      </c>
      <c r="C592" s="4" t="s">
        <v>797</v>
      </c>
      <c r="D592" s="4" t="s">
        <v>121</v>
      </c>
      <c r="E592" s="4" t="s">
        <v>46</v>
      </c>
      <c r="F592" s="5" t="n">
        <v>7003.97</v>
      </c>
      <c r="G592" s="6" t="n">
        <v>0</v>
      </c>
      <c r="H592" s="5" t="n">
        <v>0</v>
      </c>
      <c r="I592" s="5" t="n">
        <v>7003.97</v>
      </c>
    </row>
    <row r="593" customFormat="false" ht="15" hidden="false" customHeight="false" outlineLevel="0" collapsed="false">
      <c r="A593" s="4" t="s">
        <v>799</v>
      </c>
      <c r="B593" s="4" t="s">
        <v>120</v>
      </c>
      <c r="C593" s="4" t="s">
        <v>774</v>
      </c>
      <c r="D593" s="4" t="s">
        <v>125</v>
      </c>
      <c r="E593" s="4" t="s">
        <v>28</v>
      </c>
      <c r="F593" s="5" t="n">
        <v>13844.19</v>
      </c>
      <c r="G593" s="6" t="n">
        <v>0</v>
      </c>
      <c r="H593" s="5" t="n">
        <v>0</v>
      </c>
      <c r="I593" s="5" t="n">
        <v>13844.19</v>
      </c>
    </row>
    <row r="594" customFormat="false" ht="15" hidden="false" customHeight="false" outlineLevel="0" collapsed="false">
      <c r="A594" s="4" t="s">
        <v>800</v>
      </c>
      <c r="B594" s="4" t="s">
        <v>120</v>
      </c>
      <c r="C594" s="4" t="s">
        <v>694</v>
      </c>
      <c r="D594" s="4" t="s">
        <v>125</v>
      </c>
      <c r="E594" s="4" t="s">
        <v>21</v>
      </c>
      <c r="F594" s="5" t="n">
        <v>17465.21</v>
      </c>
      <c r="G594" s="6" t="n">
        <v>0.05</v>
      </c>
      <c r="H594" s="5" t="n">
        <v>873.26</v>
      </c>
      <c r="I594" s="5" t="n">
        <v>18338.47</v>
      </c>
    </row>
    <row r="595" customFormat="false" ht="15" hidden="false" customHeight="false" outlineLevel="0" collapsed="false">
      <c r="A595" s="4" t="s">
        <v>801</v>
      </c>
      <c r="B595" s="4" t="s">
        <v>120</v>
      </c>
      <c r="C595" s="4" t="s">
        <v>770</v>
      </c>
      <c r="D595" s="4" t="s">
        <v>149</v>
      </c>
      <c r="E595" s="4" t="s">
        <v>21</v>
      </c>
      <c r="F595" s="5" t="n">
        <v>5890.68</v>
      </c>
      <c r="G595" s="6" t="n">
        <v>0.05</v>
      </c>
      <c r="H595" s="5" t="n">
        <v>294.53</v>
      </c>
      <c r="I595" s="5" t="n">
        <v>6185.21</v>
      </c>
    </row>
    <row r="596" customFormat="false" ht="15" hidden="false" customHeight="false" outlineLevel="0" collapsed="false">
      <c r="A596" s="4" t="s">
        <v>802</v>
      </c>
      <c r="B596" s="4" t="s">
        <v>120</v>
      </c>
      <c r="C596" s="4" t="s">
        <v>727</v>
      </c>
      <c r="D596" s="4" t="s">
        <v>130</v>
      </c>
      <c r="E596" s="4" t="s">
        <v>21</v>
      </c>
      <c r="F596" s="5" t="n">
        <v>30713.88</v>
      </c>
      <c r="G596" s="6" t="n">
        <v>0.05</v>
      </c>
      <c r="H596" s="5" t="n">
        <v>1535.69</v>
      </c>
      <c r="I596" s="5" t="n">
        <v>32249.57</v>
      </c>
    </row>
    <row r="597" customFormat="false" ht="15" hidden="false" customHeight="false" outlineLevel="0" collapsed="false">
      <c r="A597" s="4" t="s">
        <v>803</v>
      </c>
      <c r="B597" s="4" t="s">
        <v>120</v>
      </c>
      <c r="C597" s="4" t="s">
        <v>717</v>
      </c>
      <c r="D597" s="4" t="s">
        <v>155</v>
      </c>
      <c r="E597" s="4" t="s">
        <v>21</v>
      </c>
      <c r="F597" s="5" t="n">
        <v>39082.41</v>
      </c>
      <c r="G597" s="6" t="n">
        <v>0.05</v>
      </c>
      <c r="H597" s="5" t="n">
        <v>1954.12</v>
      </c>
      <c r="I597" s="5" t="n">
        <v>41036.53</v>
      </c>
    </row>
    <row r="598" customFormat="false" ht="15" hidden="false" customHeight="false" outlineLevel="0" collapsed="false">
      <c r="A598" s="4" t="s">
        <v>804</v>
      </c>
      <c r="B598" s="4" t="s">
        <v>120</v>
      </c>
      <c r="C598" s="4" t="s">
        <v>723</v>
      </c>
      <c r="D598" s="4" t="s">
        <v>121</v>
      </c>
      <c r="E598" s="4" t="s">
        <v>21</v>
      </c>
      <c r="F598" s="5" t="n">
        <v>8616.05</v>
      </c>
      <c r="G598" s="6" t="n">
        <v>0.05</v>
      </c>
      <c r="H598" s="5" t="n">
        <v>430.8</v>
      </c>
      <c r="I598" s="5" t="n">
        <v>9046.85</v>
      </c>
    </row>
    <row r="599" customFormat="false" ht="15" hidden="false" customHeight="false" outlineLevel="0" collapsed="false">
      <c r="A599" s="4" t="s">
        <v>805</v>
      </c>
      <c r="B599" s="4" t="s">
        <v>120</v>
      </c>
      <c r="C599" s="4" t="s">
        <v>700</v>
      </c>
      <c r="D599" s="4" t="s">
        <v>125</v>
      </c>
      <c r="E599" s="4" t="s">
        <v>21</v>
      </c>
      <c r="F599" s="5" t="n">
        <v>29315.76</v>
      </c>
      <c r="G599" s="6" t="n">
        <v>0.05</v>
      </c>
      <c r="H599" s="5" t="n">
        <v>1465.79</v>
      </c>
      <c r="I599" s="5" t="n">
        <v>30781.55</v>
      </c>
    </row>
    <row r="600" customFormat="false" ht="15" hidden="false" customHeight="false" outlineLevel="0" collapsed="false">
      <c r="A600" s="4" t="s">
        <v>806</v>
      </c>
      <c r="B600" s="4" t="s">
        <v>120</v>
      </c>
      <c r="C600" s="4" t="s">
        <v>723</v>
      </c>
      <c r="D600" s="4" t="s">
        <v>130</v>
      </c>
      <c r="E600" s="4" t="s">
        <v>21</v>
      </c>
      <c r="F600" s="5" t="n">
        <v>12316.85</v>
      </c>
      <c r="G600" s="6" t="n">
        <v>0.05</v>
      </c>
      <c r="H600" s="5" t="n">
        <v>615.84</v>
      </c>
      <c r="I600" s="5" t="n">
        <v>12932.69</v>
      </c>
    </row>
    <row r="601" customFormat="false" ht="15" hidden="false" customHeight="false" outlineLevel="0" collapsed="false">
      <c r="A601" s="4" t="s">
        <v>807</v>
      </c>
      <c r="B601" s="4" t="s">
        <v>120</v>
      </c>
      <c r="C601" s="4" t="s">
        <v>748</v>
      </c>
      <c r="D601" s="4" t="s">
        <v>144</v>
      </c>
      <c r="E601" s="4" t="s">
        <v>21</v>
      </c>
      <c r="F601" s="5" t="n">
        <v>25160.77</v>
      </c>
      <c r="G601" s="6" t="n">
        <v>0.05</v>
      </c>
      <c r="H601" s="5" t="n">
        <v>1258.04</v>
      </c>
      <c r="I601" s="5" t="n">
        <v>26418.81</v>
      </c>
    </row>
    <row r="602" customFormat="false" ht="15" hidden="false" customHeight="false" outlineLevel="0" collapsed="false">
      <c r="A602" s="4" t="s">
        <v>808</v>
      </c>
      <c r="B602" s="4" t="s">
        <v>120</v>
      </c>
      <c r="C602" s="4" t="s">
        <v>727</v>
      </c>
      <c r="D602" s="4" t="s">
        <v>125</v>
      </c>
      <c r="E602" s="4" t="s">
        <v>21</v>
      </c>
      <c r="F602" s="5" t="n">
        <v>40696.02</v>
      </c>
      <c r="G602" s="6" t="n">
        <v>0.05</v>
      </c>
      <c r="H602" s="5" t="n">
        <v>2034.8</v>
      </c>
      <c r="I602" s="5" t="n">
        <v>42730.82</v>
      </c>
    </row>
    <row r="603" customFormat="false" ht="15" hidden="false" customHeight="false" outlineLevel="0" collapsed="false">
      <c r="A603" s="4" t="s">
        <v>809</v>
      </c>
      <c r="B603" s="4" t="s">
        <v>120</v>
      </c>
      <c r="C603" s="4" t="s">
        <v>690</v>
      </c>
      <c r="D603" s="4" t="s">
        <v>123</v>
      </c>
      <c r="E603" s="4" t="s">
        <v>28</v>
      </c>
      <c r="F603" s="5" t="n">
        <v>20722.9</v>
      </c>
      <c r="G603" s="6" t="n">
        <v>0</v>
      </c>
      <c r="H603" s="5" t="n">
        <v>0</v>
      </c>
      <c r="I603" s="5" t="n">
        <v>20722.9</v>
      </c>
    </row>
    <row r="604" customFormat="false" ht="15" hidden="false" customHeight="false" outlineLevel="0" collapsed="false">
      <c r="A604" s="4" t="s">
        <v>810</v>
      </c>
      <c r="B604" s="4" t="s">
        <v>120</v>
      </c>
      <c r="C604" s="4" t="s">
        <v>748</v>
      </c>
      <c r="D604" s="4" t="s">
        <v>121</v>
      </c>
      <c r="E604" s="4" t="s">
        <v>46</v>
      </c>
      <c r="F604" s="5" t="n">
        <v>14184.18</v>
      </c>
      <c r="G604" s="6" t="n">
        <v>0</v>
      </c>
      <c r="H604" s="5" t="n">
        <v>0</v>
      </c>
      <c r="I604" s="5" t="n">
        <v>14184.18</v>
      </c>
    </row>
    <row r="605" customFormat="false" ht="15" hidden="false" customHeight="false" outlineLevel="0" collapsed="false">
      <c r="A605" s="4" t="s">
        <v>811</v>
      </c>
      <c r="B605" s="4" t="s">
        <v>120</v>
      </c>
      <c r="C605" s="4" t="s">
        <v>720</v>
      </c>
      <c r="D605" s="4" t="s">
        <v>149</v>
      </c>
      <c r="E605" s="4" t="s">
        <v>21</v>
      </c>
      <c r="F605" s="5" t="n">
        <v>29979.99</v>
      </c>
      <c r="G605" s="6" t="n">
        <v>0.05</v>
      </c>
      <c r="H605" s="5" t="n">
        <v>1499</v>
      </c>
      <c r="I605" s="5" t="n">
        <v>31478.99</v>
      </c>
    </row>
    <row r="606" customFormat="false" ht="15" hidden="false" customHeight="false" outlineLevel="0" collapsed="false">
      <c r="A606" s="4" t="s">
        <v>812</v>
      </c>
      <c r="B606" s="4" t="s">
        <v>120</v>
      </c>
      <c r="C606" s="4" t="s">
        <v>748</v>
      </c>
      <c r="D606" s="4" t="s">
        <v>130</v>
      </c>
      <c r="E606" s="4" t="s">
        <v>21</v>
      </c>
      <c r="F606" s="5" t="n">
        <v>29336.72</v>
      </c>
      <c r="G606" s="6" t="n">
        <v>0.05</v>
      </c>
      <c r="H606" s="5" t="n">
        <v>1466.84</v>
      </c>
      <c r="I606" s="5" t="n">
        <v>30803.56</v>
      </c>
    </row>
    <row r="607" customFormat="false" ht="15" hidden="false" customHeight="false" outlineLevel="0" collapsed="false">
      <c r="A607" s="4" t="s">
        <v>813</v>
      </c>
      <c r="B607" s="4" t="s">
        <v>120</v>
      </c>
      <c r="C607" s="4" t="s">
        <v>763</v>
      </c>
      <c r="D607" s="4" t="s">
        <v>144</v>
      </c>
      <c r="E607" s="4" t="s">
        <v>21</v>
      </c>
      <c r="F607" s="5" t="n">
        <v>2199.61</v>
      </c>
      <c r="G607" s="6" t="n">
        <v>0.05</v>
      </c>
      <c r="H607" s="5" t="n">
        <v>109.98</v>
      </c>
      <c r="I607" s="5" t="n">
        <v>2309.59</v>
      </c>
    </row>
    <row r="608" customFormat="false" ht="15" hidden="false" customHeight="false" outlineLevel="0" collapsed="false">
      <c r="A608" s="4" t="s">
        <v>814</v>
      </c>
      <c r="B608" s="4" t="s">
        <v>120</v>
      </c>
      <c r="C608" s="4" t="s">
        <v>815</v>
      </c>
      <c r="D608" s="4" t="s">
        <v>146</v>
      </c>
      <c r="E608" s="4" t="s">
        <v>21</v>
      </c>
      <c r="F608" s="5" t="n">
        <v>3556.18</v>
      </c>
      <c r="G608" s="6" t="n">
        <v>0.05</v>
      </c>
      <c r="H608" s="5" t="n">
        <v>177.81</v>
      </c>
      <c r="I608" s="5" t="n">
        <v>3733.99</v>
      </c>
    </row>
    <row r="609" customFormat="false" ht="15" hidden="false" customHeight="false" outlineLevel="0" collapsed="false">
      <c r="A609" s="4" t="s">
        <v>816</v>
      </c>
      <c r="B609" s="4" t="s">
        <v>120</v>
      </c>
      <c r="C609" s="4" t="s">
        <v>707</v>
      </c>
      <c r="D609" s="4" t="s">
        <v>123</v>
      </c>
      <c r="E609" s="4" t="s">
        <v>21</v>
      </c>
      <c r="F609" s="5" t="n">
        <v>39386.24</v>
      </c>
      <c r="G609" s="6" t="n">
        <v>0.05</v>
      </c>
      <c r="H609" s="5" t="n">
        <v>1969.31</v>
      </c>
      <c r="I609" s="5" t="n">
        <v>41355.55</v>
      </c>
    </row>
    <row r="610" customFormat="false" ht="15" hidden="false" customHeight="false" outlineLevel="0" collapsed="false">
      <c r="A610" s="4" t="s">
        <v>817</v>
      </c>
      <c r="B610" s="4" t="s">
        <v>120</v>
      </c>
      <c r="C610" s="4" t="s">
        <v>757</v>
      </c>
      <c r="D610" s="4" t="s">
        <v>130</v>
      </c>
      <c r="E610" s="4" t="s">
        <v>46</v>
      </c>
      <c r="F610" s="5" t="n">
        <v>11874.93</v>
      </c>
      <c r="G610" s="6" t="n">
        <v>0</v>
      </c>
      <c r="H610" s="5" t="n">
        <v>0</v>
      </c>
      <c r="I610" s="5" t="n">
        <v>11874.93</v>
      </c>
    </row>
    <row r="611" customFormat="false" ht="15" hidden="false" customHeight="false" outlineLevel="0" collapsed="false">
      <c r="A611" s="4" t="s">
        <v>818</v>
      </c>
      <c r="B611" s="4" t="s">
        <v>120</v>
      </c>
      <c r="C611" s="4" t="s">
        <v>763</v>
      </c>
      <c r="D611" s="4" t="s">
        <v>121</v>
      </c>
      <c r="E611" s="4" t="s">
        <v>21</v>
      </c>
      <c r="F611" s="5" t="n">
        <v>32287.81</v>
      </c>
      <c r="G611" s="6" t="n">
        <v>0.05</v>
      </c>
      <c r="H611" s="5" t="n">
        <v>1614.39</v>
      </c>
      <c r="I611" s="5" t="n">
        <v>33902.2</v>
      </c>
    </row>
    <row r="612" customFormat="false" ht="15" hidden="false" customHeight="false" outlineLevel="0" collapsed="false">
      <c r="A612" s="4" t="s">
        <v>819</v>
      </c>
      <c r="B612" s="4" t="s">
        <v>120</v>
      </c>
      <c r="C612" s="4" t="s">
        <v>717</v>
      </c>
      <c r="D612" s="4" t="s">
        <v>133</v>
      </c>
      <c r="E612" s="4" t="s">
        <v>46</v>
      </c>
      <c r="F612" s="5" t="n">
        <v>10845.18</v>
      </c>
      <c r="G612" s="6" t="n">
        <v>0</v>
      </c>
      <c r="H612" s="5" t="n">
        <v>0</v>
      </c>
      <c r="I612" s="5" t="n">
        <v>10845.18</v>
      </c>
    </row>
    <row r="613" customFormat="false" ht="15" hidden="false" customHeight="false" outlineLevel="0" collapsed="false">
      <c r="A613" s="4" t="s">
        <v>820</v>
      </c>
      <c r="B613" s="4" t="s">
        <v>120</v>
      </c>
      <c r="C613" s="4" t="s">
        <v>734</v>
      </c>
      <c r="D613" s="4" t="s">
        <v>149</v>
      </c>
      <c r="E613" s="4" t="s">
        <v>21</v>
      </c>
      <c r="F613" s="5" t="n">
        <v>40196.9</v>
      </c>
      <c r="G613" s="6" t="n">
        <v>0.05</v>
      </c>
      <c r="H613" s="5" t="n">
        <v>2009.85</v>
      </c>
      <c r="I613" s="5" t="n">
        <v>42206.75</v>
      </c>
    </row>
    <row r="614" customFormat="false" ht="15" hidden="false" customHeight="false" outlineLevel="0" collapsed="false">
      <c r="A614" s="4" t="s">
        <v>821</v>
      </c>
      <c r="B614" s="4" t="s">
        <v>18</v>
      </c>
      <c r="C614" s="4" t="s">
        <v>822</v>
      </c>
      <c r="D614" s="4" t="s">
        <v>31</v>
      </c>
      <c r="E614" s="4" t="s">
        <v>21</v>
      </c>
      <c r="F614" s="5" t="n">
        <v>80689.24</v>
      </c>
      <c r="G614" s="6" t="n">
        <v>0.05</v>
      </c>
      <c r="H614" s="5" t="n">
        <v>4034.46</v>
      </c>
      <c r="I614" s="5" t="n">
        <v>84723.7</v>
      </c>
    </row>
    <row r="615" customFormat="false" ht="15" hidden="false" customHeight="false" outlineLevel="0" collapsed="false">
      <c r="A615" s="4" t="s">
        <v>823</v>
      </c>
      <c r="B615" s="4" t="s">
        <v>18</v>
      </c>
      <c r="C615" s="4" t="s">
        <v>824</v>
      </c>
      <c r="D615" s="4" t="s">
        <v>86</v>
      </c>
      <c r="E615" s="4" t="s">
        <v>28</v>
      </c>
      <c r="F615" s="5" t="n">
        <v>70879.81</v>
      </c>
      <c r="G615" s="6" t="n">
        <v>0</v>
      </c>
      <c r="H615" s="5" t="n">
        <v>0</v>
      </c>
      <c r="I615" s="5" t="n">
        <v>70879.81</v>
      </c>
    </row>
    <row r="616" customFormat="false" ht="15" hidden="false" customHeight="false" outlineLevel="0" collapsed="false">
      <c r="A616" s="4" t="s">
        <v>825</v>
      </c>
      <c r="B616" s="4" t="s">
        <v>18</v>
      </c>
      <c r="C616" s="4" t="s">
        <v>826</v>
      </c>
      <c r="D616" s="4" t="s">
        <v>62</v>
      </c>
      <c r="E616" s="4" t="s">
        <v>21</v>
      </c>
      <c r="F616" s="5" t="n">
        <v>19366.25</v>
      </c>
      <c r="G616" s="6" t="n">
        <v>0.05</v>
      </c>
      <c r="H616" s="5" t="n">
        <v>968.31</v>
      </c>
      <c r="I616" s="5" t="n">
        <v>20334.56</v>
      </c>
    </row>
    <row r="617" customFormat="false" ht="15" hidden="false" customHeight="false" outlineLevel="0" collapsed="false">
      <c r="A617" s="4" t="s">
        <v>827</v>
      </c>
      <c r="B617" s="4" t="s">
        <v>18</v>
      </c>
      <c r="C617" s="4" t="s">
        <v>828</v>
      </c>
      <c r="D617" s="4" t="s">
        <v>62</v>
      </c>
      <c r="E617" s="4" t="s">
        <v>28</v>
      </c>
      <c r="F617" s="5" t="n">
        <v>63068.77</v>
      </c>
      <c r="G617" s="6" t="n">
        <v>0</v>
      </c>
      <c r="H617" s="5" t="n">
        <v>0</v>
      </c>
      <c r="I617" s="5" t="n">
        <v>63068.77</v>
      </c>
    </row>
    <row r="618" customFormat="false" ht="15" hidden="false" customHeight="false" outlineLevel="0" collapsed="false">
      <c r="A618" s="4" t="s">
        <v>829</v>
      </c>
      <c r="B618" s="4" t="s">
        <v>18</v>
      </c>
      <c r="C618" s="4" t="s">
        <v>830</v>
      </c>
      <c r="D618" s="4" t="s">
        <v>56</v>
      </c>
      <c r="E618" s="4" t="s">
        <v>21</v>
      </c>
      <c r="F618" s="5" t="n">
        <v>37185.67</v>
      </c>
      <c r="G618" s="6" t="n">
        <v>0.05</v>
      </c>
      <c r="H618" s="5" t="n">
        <v>1859.28</v>
      </c>
      <c r="I618" s="5" t="n">
        <v>39044.95</v>
      </c>
    </row>
    <row r="619" customFormat="false" ht="15" hidden="false" customHeight="false" outlineLevel="0" collapsed="false">
      <c r="A619" s="4" t="s">
        <v>831</v>
      </c>
      <c r="B619" s="4" t="s">
        <v>18</v>
      </c>
      <c r="C619" s="4" t="s">
        <v>832</v>
      </c>
      <c r="D619" s="4" t="s">
        <v>27</v>
      </c>
      <c r="E619" s="4" t="s">
        <v>21</v>
      </c>
      <c r="F619" s="5" t="n">
        <v>54728.61</v>
      </c>
      <c r="G619" s="6" t="n">
        <v>0.05</v>
      </c>
      <c r="H619" s="5" t="n">
        <v>2736.43</v>
      </c>
      <c r="I619" s="5" t="n">
        <v>57465.04</v>
      </c>
    </row>
    <row r="620" customFormat="false" ht="15" hidden="false" customHeight="false" outlineLevel="0" collapsed="false">
      <c r="A620" s="4" t="s">
        <v>833</v>
      </c>
      <c r="B620" s="4" t="s">
        <v>18</v>
      </c>
      <c r="C620" s="4" t="s">
        <v>832</v>
      </c>
      <c r="D620" s="4" t="s">
        <v>34</v>
      </c>
      <c r="E620" s="4" t="s">
        <v>21</v>
      </c>
      <c r="F620" s="5" t="n">
        <v>89249.7</v>
      </c>
      <c r="G620" s="6" t="n">
        <v>0.05</v>
      </c>
      <c r="H620" s="5" t="n">
        <v>4462.48</v>
      </c>
      <c r="I620" s="5" t="n">
        <v>93712.18</v>
      </c>
    </row>
    <row r="621" customFormat="false" ht="15" hidden="false" customHeight="false" outlineLevel="0" collapsed="false">
      <c r="A621" s="4" t="s">
        <v>834</v>
      </c>
      <c r="B621" s="4" t="s">
        <v>18</v>
      </c>
      <c r="C621" s="4" t="s">
        <v>822</v>
      </c>
      <c r="D621" s="4" t="s">
        <v>78</v>
      </c>
      <c r="E621" s="4" t="s">
        <v>21</v>
      </c>
      <c r="F621" s="5" t="n">
        <v>77826.34</v>
      </c>
      <c r="G621" s="6" t="n">
        <v>0.05</v>
      </c>
      <c r="H621" s="5" t="n">
        <v>3891.32</v>
      </c>
      <c r="I621" s="5" t="n">
        <v>81717.66</v>
      </c>
    </row>
    <row r="622" customFormat="false" ht="15" hidden="false" customHeight="false" outlineLevel="0" collapsed="false">
      <c r="A622" s="4" t="s">
        <v>835</v>
      </c>
      <c r="B622" s="4" t="s">
        <v>18</v>
      </c>
      <c r="C622" s="4" t="s">
        <v>836</v>
      </c>
      <c r="D622" s="4" t="s">
        <v>70</v>
      </c>
      <c r="E622" s="4" t="s">
        <v>21</v>
      </c>
      <c r="F622" s="5" t="n">
        <v>8646.01</v>
      </c>
      <c r="G622" s="6" t="n">
        <v>0.05</v>
      </c>
      <c r="H622" s="5" t="n">
        <v>432.3</v>
      </c>
      <c r="I622" s="5" t="n">
        <v>9078.31</v>
      </c>
    </row>
    <row r="623" customFormat="false" ht="15" hidden="false" customHeight="false" outlineLevel="0" collapsed="false">
      <c r="A623" s="4" t="s">
        <v>837</v>
      </c>
      <c r="B623" s="4" t="s">
        <v>18</v>
      </c>
      <c r="C623" s="4" t="s">
        <v>838</v>
      </c>
      <c r="D623" s="4" t="s">
        <v>34</v>
      </c>
      <c r="E623" s="4" t="s">
        <v>21</v>
      </c>
      <c r="F623" s="5" t="n">
        <v>43012.06</v>
      </c>
      <c r="G623" s="6" t="n">
        <v>0.05</v>
      </c>
      <c r="H623" s="5" t="n">
        <v>2150.6</v>
      </c>
      <c r="I623" s="5" t="n">
        <v>45162.66</v>
      </c>
    </row>
    <row r="624" customFormat="false" ht="15" hidden="false" customHeight="false" outlineLevel="0" collapsed="false">
      <c r="A624" s="4" t="s">
        <v>839</v>
      </c>
      <c r="B624" s="4" t="s">
        <v>18</v>
      </c>
      <c r="C624" s="4" t="s">
        <v>840</v>
      </c>
      <c r="D624" s="4" t="s">
        <v>59</v>
      </c>
      <c r="E624" s="4" t="s">
        <v>28</v>
      </c>
      <c r="F624" s="5" t="n">
        <v>73902.59</v>
      </c>
      <c r="G624" s="6" t="n">
        <v>0</v>
      </c>
      <c r="H624" s="5" t="n">
        <v>0</v>
      </c>
      <c r="I624" s="5" t="n">
        <v>73902.59</v>
      </c>
    </row>
    <row r="625" customFormat="false" ht="15" hidden="false" customHeight="false" outlineLevel="0" collapsed="false">
      <c r="A625" s="4" t="s">
        <v>841</v>
      </c>
      <c r="B625" s="4" t="s">
        <v>18</v>
      </c>
      <c r="C625" s="4" t="s">
        <v>842</v>
      </c>
      <c r="D625" s="4" t="s">
        <v>50</v>
      </c>
      <c r="E625" s="4" t="s">
        <v>21</v>
      </c>
      <c r="F625" s="5" t="n">
        <v>87986.81</v>
      </c>
      <c r="G625" s="6" t="n">
        <v>0.05</v>
      </c>
      <c r="H625" s="5" t="n">
        <v>4399.34</v>
      </c>
      <c r="I625" s="5" t="n">
        <v>92386.15</v>
      </c>
    </row>
    <row r="626" customFormat="false" ht="15" hidden="false" customHeight="false" outlineLevel="0" collapsed="false">
      <c r="A626" s="4" t="s">
        <v>843</v>
      </c>
      <c r="B626" s="4" t="s">
        <v>18</v>
      </c>
      <c r="C626" s="4" t="s">
        <v>844</v>
      </c>
      <c r="D626" s="4" t="s">
        <v>34</v>
      </c>
      <c r="E626" s="4" t="s">
        <v>21</v>
      </c>
      <c r="F626" s="5" t="n">
        <v>48422.43</v>
      </c>
      <c r="G626" s="6" t="n">
        <v>0.05</v>
      </c>
      <c r="H626" s="5" t="n">
        <v>2421.12</v>
      </c>
      <c r="I626" s="5" t="n">
        <v>50843.55</v>
      </c>
    </row>
    <row r="627" customFormat="false" ht="15" hidden="false" customHeight="false" outlineLevel="0" collapsed="false">
      <c r="A627" s="4" t="s">
        <v>845</v>
      </c>
      <c r="B627" s="4" t="s">
        <v>18</v>
      </c>
      <c r="C627" s="4" t="s">
        <v>846</v>
      </c>
      <c r="D627" s="4" t="s">
        <v>34</v>
      </c>
      <c r="E627" s="4" t="s">
        <v>46</v>
      </c>
      <c r="F627" s="5" t="n">
        <v>69808.91</v>
      </c>
      <c r="G627" s="6" t="n">
        <v>0</v>
      </c>
      <c r="H627" s="5" t="n">
        <v>0</v>
      </c>
      <c r="I627" s="5" t="n">
        <v>69808.91</v>
      </c>
    </row>
    <row r="628" customFormat="false" ht="15" hidden="false" customHeight="false" outlineLevel="0" collapsed="false">
      <c r="A628" s="4" t="s">
        <v>847</v>
      </c>
      <c r="B628" s="4" t="s">
        <v>18</v>
      </c>
      <c r="C628" s="4" t="s">
        <v>848</v>
      </c>
      <c r="D628" s="4" t="s">
        <v>27</v>
      </c>
      <c r="E628" s="4" t="s">
        <v>21</v>
      </c>
      <c r="F628" s="5" t="n">
        <v>7218.27</v>
      </c>
      <c r="G628" s="6" t="n">
        <v>0.05</v>
      </c>
      <c r="H628" s="5" t="n">
        <v>360.91</v>
      </c>
      <c r="I628" s="5" t="n">
        <v>7579.18</v>
      </c>
    </row>
    <row r="629" customFormat="false" ht="15" hidden="false" customHeight="false" outlineLevel="0" collapsed="false">
      <c r="A629" s="4" t="s">
        <v>849</v>
      </c>
      <c r="B629" s="4" t="s">
        <v>18</v>
      </c>
      <c r="C629" s="4" t="s">
        <v>850</v>
      </c>
      <c r="D629" s="4" t="s">
        <v>20</v>
      </c>
      <c r="E629" s="4" t="s">
        <v>21</v>
      </c>
      <c r="F629" s="5" t="n">
        <v>40427.97</v>
      </c>
      <c r="G629" s="6" t="n">
        <v>0.05</v>
      </c>
      <c r="H629" s="5" t="n">
        <v>2021.4</v>
      </c>
      <c r="I629" s="5" t="n">
        <v>42449.37</v>
      </c>
    </row>
    <row r="630" customFormat="false" ht="15" hidden="false" customHeight="false" outlineLevel="0" collapsed="false">
      <c r="A630" s="4" t="s">
        <v>851</v>
      </c>
      <c r="B630" s="4" t="s">
        <v>18</v>
      </c>
      <c r="C630" s="4" t="s">
        <v>836</v>
      </c>
      <c r="D630" s="4" t="s">
        <v>56</v>
      </c>
      <c r="E630" s="4" t="s">
        <v>21</v>
      </c>
      <c r="F630" s="5" t="n">
        <v>90271.65</v>
      </c>
      <c r="G630" s="6" t="n">
        <v>0.05</v>
      </c>
      <c r="H630" s="5" t="n">
        <v>4513.58</v>
      </c>
      <c r="I630" s="5" t="n">
        <v>94785.23</v>
      </c>
    </row>
    <row r="631" customFormat="false" ht="15" hidden="false" customHeight="false" outlineLevel="0" collapsed="false">
      <c r="A631" s="4" t="s">
        <v>852</v>
      </c>
      <c r="B631" s="4" t="s">
        <v>18</v>
      </c>
      <c r="C631" s="4" t="s">
        <v>853</v>
      </c>
      <c r="D631" s="4" t="s">
        <v>62</v>
      </c>
      <c r="E631" s="4" t="s">
        <v>46</v>
      </c>
      <c r="F631" s="5" t="n">
        <v>5580.85</v>
      </c>
      <c r="G631" s="6" t="n">
        <v>0</v>
      </c>
      <c r="H631" s="5" t="n">
        <v>0</v>
      </c>
      <c r="I631" s="5" t="n">
        <v>5580.85</v>
      </c>
    </row>
    <row r="632" customFormat="false" ht="15" hidden="false" customHeight="false" outlineLevel="0" collapsed="false">
      <c r="A632" s="4" t="s">
        <v>854</v>
      </c>
      <c r="B632" s="4" t="s">
        <v>18</v>
      </c>
      <c r="C632" s="4" t="s">
        <v>855</v>
      </c>
      <c r="D632" s="4" t="s">
        <v>20</v>
      </c>
      <c r="E632" s="4" t="s">
        <v>21</v>
      </c>
      <c r="F632" s="5" t="n">
        <v>9648.27</v>
      </c>
      <c r="G632" s="6" t="n">
        <v>0.05</v>
      </c>
      <c r="H632" s="5" t="n">
        <v>482.41</v>
      </c>
      <c r="I632" s="5" t="n">
        <v>10130.68</v>
      </c>
    </row>
    <row r="633" customFormat="false" ht="15" hidden="false" customHeight="false" outlineLevel="0" collapsed="false">
      <c r="A633" s="4" t="s">
        <v>856</v>
      </c>
      <c r="B633" s="4" t="s">
        <v>18</v>
      </c>
      <c r="C633" s="4" t="s">
        <v>850</v>
      </c>
      <c r="D633" s="4" t="s">
        <v>78</v>
      </c>
      <c r="E633" s="4" t="s">
        <v>21</v>
      </c>
      <c r="F633" s="5" t="n">
        <v>65564.65</v>
      </c>
      <c r="G633" s="6" t="n">
        <v>0.05</v>
      </c>
      <c r="H633" s="5" t="n">
        <v>3278.23</v>
      </c>
      <c r="I633" s="5" t="n">
        <v>68842.88</v>
      </c>
    </row>
    <row r="634" customFormat="false" ht="15" hidden="false" customHeight="false" outlineLevel="0" collapsed="false">
      <c r="A634" s="4" t="s">
        <v>857</v>
      </c>
      <c r="B634" s="4" t="s">
        <v>18</v>
      </c>
      <c r="C634" s="4" t="s">
        <v>846</v>
      </c>
      <c r="D634" s="4" t="s">
        <v>37</v>
      </c>
      <c r="E634" s="4" t="s">
        <v>28</v>
      </c>
      <c r="F634" s="5" t="n">
        <v>74366.56</v>
      </c>
      <c r="G634" s="6" t="n">
        <v>0</v>
      </c>
      <c r="H634" s="5" t="n">
        <v>0</v>
      </c>
      <c r="I634" s="5" t="n">
        <v>74366.56</v>
      </c>
    </row>
    <row r="635" customFormat="false" ht="15" hidden="false" customHeight="false" outlineLevel="0" collapsed="false">
      <c r="A635" s="4" t="s">
        <v>858</v>
      </c>
      <c r="B635" s="4" t="s">
        <v>18</v>
      </c>
      <c r="C635" s="4" t="s">
        <v>859</v>
      </c>
      <c r="D635" s="4" t="s">
        <v>24</v>
      </c>
      <c r="E635" s="4" t="s">
        <v>28</v>
      </c>
      <c r="F635" s="5" t="n">
        <v>6161.89</v>
      </c>
      <c r="G635" s="6" t="n">
        <v>0</v>
      </c>
      <c r="H635" s="5" t="n">
        <v>0</v>
      </c>
      <c r="I635" s="5" t="n">
        <v>6161.89</v>
      </c>
    </row>
    <row r="636" customFormat="false" ht="15" hidden="false" customHeight="false" outlineLevel="0" collapsed="false">
      <c r="A636" s="4" t="s">
        <v>860</v>
      </c>
      <c r="B636" s="4" t="s">
        <v>18</v>
      </c>
      <c r="C636" s="4" t="s">
        <v>861</v>
      </c>
      <c r="D636" s="4" t="s">
        <v>37</v>
      </c>
      <c r="E636" s="4" t="s">
        <v>21</v>
      </c>
      <c r="F636" s="5" t="n">
        <v>65717.59</v>
      </c>
      <c r="G636" s="6" t="n">
        <v>0.05</v>
      </c>
      <c r="H636" s="5" t="n">
        <v>3285.88</v>
      </c>
      <c r="I636" s="5" t="n">
        <v>69003.47</v>
      </c>
    </row>
    <row r="637" customFormat="false" ht="15" hidden="false" customHeight="false" outlineLevel="0" collapsed="false">
      <c r="A637" s="4" t="s">
        <v>862</v>
      </c>
      <c r="B637" s="4" t="s">
        <v>18</v>
      </c>
      <c r="C637" s="4" t="s">
        <v>844</v>
      </c>
      <c r="D637" s="4" t="s">
        <v>86</v>
      </c>
      <c r="E637" s="4" t="s">
        <v>21</v>
      </c>
      <c r="F637" s="5" t="n">
        <v>22855.78</v>
      </c>
      <c r="G637" s="6" t="n">
        <v>0.05</v>
      </c>
      <c r="H637" s="5" t="n">
        <v>1142.79</v>
      </c>
      <c r="I637" s="5" t="n">
        <v>23998.57</v>
      </c>
    </row>
    <row r="638" customFormat="false" ht="15" hidden="false" customHeight="false" outlineLevel="0" collapsed="false">
      <c r="A638" s="4" t="s">
        <v>863</v>
      </c>
      <c r="B638" s="4" t="s">
        <v>18</v>
      </c>
      <c r="C638" s="4" t="s">
        <v>846</v>
      </c>
      <c r="D638" s="4" t="s">
        <v>34</v>
      </c>
      <c r="E638" s="4" t="s">
        <v>21</v>
      </c>
      <c r="F638" s="5" t="n">
        <v>32149.82</v>
      </c>
      <c r="G638" s="6" t="n">
        <v>0.05</v>
      </c>
      <c r="H638" s="5" t="n">
        <v>1607.49</v>
      </c>
      <c r="I638" s="5" t="n">
        <v>33757.31</v>
      </c>
    </row>
    <row r="639" customFormat="false" ht="15" hidden="false" customHeight="false" outlineLevel="0" collapsed="false">
      <c r="A639" s="4" t="s">
        <v>864</v>
      </c>
      <c r="B639" s="4" t="s">
        <v>18</v>
      </c>
      <c r="C639" s="4" t="s">
        <v>861</v>
      </c>
      <c r="D639" s="4" t="s">
        <v>59</v>
      </c>
      <c r="E639" s="4" t="s">
        <v>21</v>
      </c>
      <c r="F639" s="5" t="n">
        <v>58521.07</v>
      </c>
      <c r="G639" s="6" t="n">
        <v>0.05</v>
      </c>
      <c r="H639" s="5" t="n">
        <v>2926.05</v>
      </c>
      <c r="I639" s="5" t="n">
        <v>61447.12</v>
      </c>
    </row>
    <row r="640" customFormat="false" ht="15" hidden="false" customHeight="false" outlineLevel="0" collapsed="false">
      <c r="A640" s="4" t="s">
        <v>865</v>
      </c>
      <c r="B640" s="4" t="s">
        <v>18</v>
      </c>
      <c r="C640" s="4" t="s">
        <v>859</v>
      </c>
      <c r="D640" s="4" t="s">
        <v>62</v>
      </c>
      <c r="E640" s="4" t="s">
        <v>21</v>
      </c>
      <c r="F640" s="5" t="n">
        <v>38797.72</v>
      </c>
      <c r="G640" s="6" t="n">
        <v>0.05</v>
      </c>
      <c r="H640" s="5" t="n">
        <v>1939.89</v>
      </c>
      <c r="I640" s="5" t="n">
        <v>40737.61</v>
      </c>
    </row>
    <row r="641" customFormat="false" ht="15" hidden="false" customHeight="false" outlineLevel="0" collapsed="false">
      <c r="A641" s="4" t="s">
        <v>866</v>
      </c>
      <c r="B641" s="4" t="s">
        <v>18</v>
      </c>
      <c r="C641" s="4" t="s">
        <v>853</v>
      </c>
      <c r="D641" s="4" t="s">
        <v>37</v>
      </c>
      <c r="E641" s="4" t="s">
        <v>28</v>
      </c>
      <c r="F641" s="5" t="n">
        <v>63063.86</v>
      </c>
      <c r="G641" s="6" t="n">
        <v>0</v>
      </c>
      <c r="H641" s="5" t="n">
        <v>0</v>
      </c>
      <c r="I641" s="5" t="n">
        <v>63063.86</v>
      </c>
    </row>
    <row r="642" customFormat="false" ht="15" hidden="false" customHeight="false" outlineLevel="0" collapsed="false">
      <c r="A642" s="4" t="s">
        <v>867</v>
      </c>
      <c r="B642" s="4" t="s">
        <v>18</v>
      </c>
      <c r="C642" s="4" t="s">
        <v>828</v>
      </c>
      <c r="D642" s="4" t="s">
        <v>34</v>
      </c>
      <c r="E642" s="4" t="s">
        <v>21</v>
      </c>
      <c r="F642" s="5" t="n">
        <v>57523.12</v>
      </c>
      <c r="G642" s="6" t="n">
        <v>0.05</v>
      </c>
      <c r="H642" s="5" t="n">
        <v>2876.16</v>
      </c>
      <c r="I642" s="5" t="n">
        <v>60399.28</v>
      </c>
    </row>
    <row r="643" customFormat="false" ht="15" hidden="false" customHeight="false" outlineLevel="0" collapsed="false">
      <c r="A643" s="4" t="s">
        <v>868</v>
      </c>
      <c r="B643" s="4" t="s">
        <v>18</v>
      </c>
      <c r="C643" s="4" t="s">
        <v>861</v>
      </c>
      <c r="D643" s="4" t="s">
        <v>45</v>
      </c>
      <c r="E643" s="4" t="s">
        <v>21</v>
      </c>
      <c r="F643" s="5" t="n">
        <v>71397.57</v>
      </c>
      <c r="G643" s="6" t="n">
        <v>0.05</v>
      </c>
      <c r="H643" s="5" t="n">
        <v>3569.88</v>
      </c>
      <c r="I643" s="5" t="n">
        <v>74967.45</v>
      </c>
    </row>
    <row r="644" customFormat="false" ht="15" hidden="false" customHeight="false" outlineLevel="0" collapsed="false">
      <c r="A644" s="4" t="s">
        <v>869</v>
      </c>
      <c r="B644" s="4" t="s">
        <v>18</v>
      </c>
      <c r="C644" s="4" t="s">
        <v>840</v>
      </c>
      <c r="D644" s="4" t="s">
        <v>70</v>
      </c>
      <c r="E644" s="4" t="s">
        <v>21</v>
      </c>
      <c r="F644" s="5" t="n">
        <v>75270.89</v>
      </c>
      <c r="G644" s="6" t="n">
        <v>0.05</v>
      </c>
      <c r="H644" s="5" t="n">
        <v>3763.54</v>
      </c>
      <c r="I644" s="5" t="n">
        <v>79034.43</v>
      </c>
    </row>
    <row r="645" customFormat="false" ht="15" hidden="false" customHeight="false" outlineLevel="0" collapsed="false">
      <c r="A645" s="4" t="s">
        <v>870</v>
      </c>
      <c r="B645" s="4" t="s">
        <v>18</v>
      </c>
      <c r="C645" s="4" t="s">
        <v>822</v>
      </c>
      <c r="D645" s="4" t="s">
        <v>20</v>
      </c>
      <c r="E645" s="4" t="s">
        <v>21</v>
      </c>
      <c r="F645" s="5" t="n">
        <v>4222.45</v>
      </c>
      <c r="G645" s="6" t="n">
        <v>0.05</v>
      </c>
      <c r="H645" s="5" t="n">
        <v>211.12</v>
      </c>
      <c r="I645" s="5" t="n">
        <v>4433.57</v>
      </c>
    </row>
    <row r="646" customFormat="false" ht="15" hidden="false" customHeight="false" outlineLevel="0" collapsed="false">
      <c r="A646" s="4" t="s">
        <v>871</v>
      </c>
      <c r="B646" s="4" t="s">
        <v>18</v>
      </c>
      <c r="C646" s="4" t="s">
        <v>861</v>
      </c>
      <c r="D646" s="4" t="s">
        <v>34</v>
      </c>
      <c r="E646" s="4" t="s">
        <v>21</v>
      </c>
      <c r="F646" s="5" t="n">
        <v>47714.94</v>
      </c>
      <c r="G646" s="6" t="n">
        <v>0.05</v>
      </c>
      <c r="H646" s="5" t="n">
        <v>2385.75</v>
      </c>
      <c r="I646" s="5" t="n">
        <v>50100.69</v>
      </c>
    </row>
    <row r="647" customFormat="false" ht="15" hidden="false" customHeight="false" outlineLevel="0" collapsed="false">
      <c r="A647" s="4" t="s">
        <v>872</v>
      </c>
      <c r="B647" s="4" t="s">
        <v>18</v>
      </c>
      <c r="C647" s="4" t="s">
        <v>846</v>
      </c>
      <c r="D647" s="4" t="s">
        <v>20</v>
      </c>
      <c r="E647" s="4" t="s">
        <v>21</v>
      </c>
      <c r="F647" s="5" t="n">
        <v>7833.26</v>
      </c>
      <c r="G647" s="6" t="n">
        <v>0.05</v>
      </c>
      <c r="H647" s="5" t="n">
        <v>391.66</v>
      </c>
      <c r="I647" s="5" t="n">
        <v>8224.92</v>
      </c>
    </row>
    <row r="648" customFormat="false" ht="15" hidden="false" customHeight="false" outlineLevel="0" collapsed="false">
      <c r="A648" s="4" t="s">
        <v>873</v>
      </c>
      <c r="B648" s="4" t="s">
        <v>18</v>
      </c>
      <c r="C648" s="4" t="s">
        <v>826</v>
      </c>
      <c r="D648" s="4" t="s">
        <v>62</v>
      </c>
      <c r="E648" s="4" t="s">
        <v>28</v>
      </c>
      <c r="F648" s="5" t="n">
        <v>15459.02</v>
      </c>
      <c r="G648" s="6" t="n">
        <v>0</v>
      </c>
      <c r="H648" s="5" t="n">
        <v>0</v>
      </c>
      <c r="I648" s="5" t="n">
        <v>15459.02</v>
      </c>
    </row>
    <row r="649" customFormat="false" ht="15" hidden="false" customHeight="false" outlineLevel="0" collapsed="false">
      <c r="A649" s="4" t="s">
        <v>874</v>
      </c>
      <c r="B649" s="4" t="s">
        <v>18</v>
      </c>
      <c r="C649" s="4" t="s">
        <v>855</v>
      </c>
      <c r="D649" s="4" t="s">
        <v>88</v>
      </c>
      <c r="E649" s="4" t="s">
        <v>21</v>
      </c>
      <c r="F649" s="5" t="n">
        <v>63365.47</v>
      </c>
      <c r="G649" s="6" t="n">
        <v>0.05</v>
      </c>
      <c r="H649" s="5" t="n">
        <v>3168.27</v>
      </c>
      <c r="I649" s="5" t="n">
        <v>66533.74</v>
      </c>
    </row>
    <row r="650" customFormat="false" ht="15" hidden="false" customHeight="false" outlineLevel="0" collapsed="false">
      <c r="A650" s="4" t="s">
        <v>875</v>
      </c>
      <c r="B650" s="4" t="s">
        <v>18</v>
      </c>
      <c r="C650" s="4" t="s">
        <v>876</v>
      </c>
      <c r="D650" s="4" t="s">
        <v>56</v>
      </c>
      <c r="E650" s="4" t="s">
        <v>21</v>
      </c>
      <c r="F650" s="5" t="n">
        <v>20546.63</v>
      </c>
      <c r="G650" s="6" t="n">
        <v>0.05</v>
      </c>
      <c r="H650" s="5" t="n">
        <v>1027.33</v>
      </c>
      <c r="I650" s="5" t="n">
        <v>21573.96</v>
      </c>
    </row>
    <row r="651" customFormat="false" ht="15" hidden="false" customHeight="false" outlineLevel="0" collapsed="false">
      <c r="A651" s="4" t="s">
        <v>877</v>
      </c>
      <c r="B651" s="4" t="s">
        <v>18</v>
      </c>
      <c r="C651" s="4" t="s">
        <v>878</v>
      </c>
      <c r="D651" s="4" t="s">
        <v>86</v>
      </c>
      <c r="E651" s="4" t="s">
        <v>21</v>
      </c>
      <c r="F651" s="5" t="n">
        <v>30032.54</v>
      </c>
      <c r="G651" s="6" t="n">
        <v>0.05</v>
      </c>
      <c r="H651" s="5" t="n">
        <v>1501.63</v>
      </c>
      <c r="I651" s="5" t="n">
        <v>31534.17</v>
      </c>
    </row>
    <row r="652" customFormat="false" ht="15" hidden="false" customHeight="false" outlineLevel="0" collapsed="false">
      <c r="A652" s="4" t="s">
        <v>879</v>
      </c>
      <c r="B652" s="4" t="s">
        <v>18</v>
      </c>
      <c r="C652" s="4" t="s">
        <v>878</v>
      </c>
      <c r="D652" s="4" t="s">
        <v>78</v>
      </c>
      <c r="E652" s="4" t="s">
        <v>28</v>
      </c>
      <c r="F652" s="5" t="n">
        <v>70915.77</v>
      </c>
      <c r="G652" s="6" t="n">
        <v>0</v>
      </c>
      <c r="H652" s="5" t="n">
        <v>0</v>
      </c>
      <c r="I652" s="5" t="n">
        <v>70915.77</v>
      </c>
    </row>
    <row r="653" customFormat="false" ht="15" hidden="false" customHeight="false" outlineLevel="0" collapsed="false">
      <c r="A653" s="4" t="s">
        <v>880</v>
      </c>
      <c r="B653" s="4" t="s">
        <v>18</v>
      </c>
      <c r="C653" s="4" t="s">
        <v>878</v>
      </c>
      <c r="D653" s="4" t="s">
        <v>62</v>
      </c>
      <c r="E653" s="4" t="s">
        <v>28</v>
      </c>
      <c r="F653" s="5" t="n">
        <v>75825.02</v>
      </c>
      <c r="G653" s="6" t="n">
        <v>0</v>
      </c>
      <c r="H653" s="5" t="n">
        <v>0</v>
      </c>
      <c r="I653" s="5" t="n">
        <v>75825.02</v>
      </c>
    </row>
    <row r="654" customFormat="false" ht="15" hidden="false" customHeight="false" outlineLevel="0" collapsed="false">
      <c r="A654" s="4" t="s">
        <v>881</v>
      </c>
      <c r="B654" s="4" t="s">
        <v>18</v>
      </c>
      <c r="C654" s="4" t="s">
        <v>842</v>
      </c>
      <c r="D654" s="4" t="s">
        <v>62</v>
      </c>
      <c r="E654" s="4" t="s">
        <v>21</v>
      </c>
      <c r="F654" s="5" t="n">
        <v>9654.7</v>
      </c>
      <c r="G654" s="6" t="n">
        <v>0.05</v>
      </c>
      <c r="H654" s="5" t="n">
        <v>482.74</v>
      </c>
      <c r="I654" s="5" t="n">
        <v>10137.44</v>
      </c>
    </row>
    <row r="655" customFormat="false" ht="15" hidden="false" customHeight="false" outlineLevel="0" collapsed="false">
      <c r="A655" s="4" t="s">
        <v>882</v>
      </c>
      <c r="B655" s="4" t="s">
        <v>18</v>
      </c>
      <c r="C655" s="4" t="s">
        <v>848</v>
      </c>
      <c r="D655" s="4" t="s">
        <v>20</v>
      </c>
      <c r="E655" s="4" t="s">
        <v>21</v>
      </c>
      <c r="F655" s="5" t="n">
        <v>67060.23</v>
      </c>
      <c r="G655" s="6" t="n">
        <v>0.05</v>
      </c>
      <c r="H655" s="5" t="n">
        <v>3353.01</v>
      </c>
      <c r="I655" s="5" t="n">
        <v>70413.24</v>
      </c>
    </row>
    <row r="656" customFormat="false" ht="15" hidden="false" customHeight="false" outlineLevel="0" collapsed="false">
      <c r="A656" s="4" t="s">
        <v>883</v>
      </c>
      <c r="B656" s="4" t="s">
        <v>18</v>
      </c>
      <c r="C656" s="4" t="s">
        <v>861</v>
      </c>
      <c r="D656" s="4" t="s">
        <v>45</v>
      </c>
      <c r="E656" s="4" t="s">
        <v>21</v>
      </c>
      <c r="F656" s="5" t="n">
        <v>91358.7</v>
      </c>
      <c r="G656" s="6" t="n">
        <v>0.05</v>
      </c>
      <c r="H656" s="5" t="n">
        <v>4567.94</v>
      </c>
      <c r="I656" s="5" t="n">
        <v>95926.64</v>
      </c>
    </row>
    <row r="657" customFormat="false" ht="15" hidden="false" customHeight="false" outlineLevel="0" collapsed="false">
      <c r="A657" s="4" t="s">
        <v>884</v>
      </c>
      <c r="B657" s="4" t="s">
        <v>18</v>
      </c>
      <c r="C657" s="4" t="s">
        <v>830</v>
      </c>
      <c r="D657" s="4" t="s">
        <v>24</v>
      </c>
      <c r="E657" s="4" t="s">
        <v>46</v>
      </c>
      <c r="F657" s="5" t="n">
        <v>54359.97</v>
      </c>
      <c r="G657" s="6" t="n">
        <v>0</v>
      </c>
      <c r="H657" s="5" t="n">
        <v>0</v>
      </c>
      <c r="I657" s="5" t="n">
        <v>54359.97</v>
      </c>
    </row>
    <row r="658" customFormat="false" ht="15" hidden="false" customHeight="false" outlineLevel="0" collapsed="false">
      <c r="A658" s="4" t="s">
        <v>885</v>
      </c>
      <c r="B658" s="4" t="s">
        <v>18</v>
      </c>
      <c r="C658" s="4" t="s">
        <v>832</v>
      </c>
      <c r="D658" s="4" t="s">
        <v>27</v>
      </c>
      <c r="E658" s="4" t="s">
        <v>21</v>
      </c>
      <c r="F658" s="5" t="n">
        <v>68035.65</v>
      </c>
      <c r="G658" s="6" t="n">
        <v>0.05</v>
      </c>
      <c r="H658" s="5" t="n">
        <v>3401.78</v>
      </c>
      <c r="I658" s="5" t="n">
        <v>71437.43</v>
      </c>
    </row>
    <row r="659" customFormat="false" ht="15" hidden="false" customHeight="false" outlineLevel="0" collapsed="false">
      <c r="A659" s="4" t="s">
        <v>886</v>
      </c>
      <c r="B659" s="4" t="s">
        <v>18</v>
      </c>
      <c r="C659" s="4" t="s">
        <v>859</v>
      </c>
      <c r="D659" s="4" t="s">
        <v>88</v>
      </c>
      <c r="E659" s="4" t="s">
        <v>46</v>
      </c>
      <c r="F659" s="5" t="n">
        <v>33488</v>
      </c>
      <c r="G659" s="6" t="n">
        <v>0</v>
      </c>
      <c r="H659" s="5" t="n">
        <v>0</v>
      </c>
      <c r="I659" s="5" t="n">
        <v>33488</v>
      </c>
    </row>
    <row r="660" customFormat="false" ht="15" hidden="false" customHeight="false" outlineLevel="0" collapsed="false">
      <c r="A660" s="4" t="s">
        <v>887</v>
      </c>
      <c r="B660" s="4" t="s">
        <v>18</v>
      </c>
      <c r="C660" s="4" t="s">
        <v>888</v>
      </c>
      <c r="D660" s="4" t="s">
        <v>62</v>
      </c>
      <c r="E660" s="4" t="s">
        <v>21</v>
      </c>
      <c r="F660" s="5" t="n">
        <v>48687.33</v>
      </c>
      <c r="G660" s="6" t="n">
        <v>0.05</v>
      </c>
      <c r="H660" s="5" t="n">
        <v>2434.37</v>
      </c>
      <c r="I660" s="5" t="n">
        <v>51121.7</v>
      </c>
    </row>
    <row r="661" customFormat="false" ht="15" hidden="false" customHeight="false" outlineLevel="0" collapsed="false">
      <c r="A661" s="4" t="s">
        <v>889</v>
      </c>
      <c r="B661" s="4" t="s">
        <v>18</v>
      </c>
      <c r="C661" s="4" t="s">
        <v>890</v>
      </c>
      <c r="D661" s="4" t="s">
        <v>45</v>
      </c>
      <c r="E661" s="4" t="s">
        <v>46</v>
      </c>
      <c r="F661" s="5" t="n">
        <v>41942.99</v>
      </c>
      <c r="G661" s="6" t="n">
        <v>0</v>
      </c>
      <c r="H661" s="5" t="n">
        <v>0</v>
      </c>
      <c r="I661" s="5" t="n">
        <v>41942.99</v>
      </c>
    </row>
    <row r="662" customFormat="false" ht="15" hidden="false" customHeight="false" outlineLevel="0" collapsed="false">
      <c r="A662" s="4" t="s">
        <v>891</v>
      </c>
      <c r="B662" s="4" t="s">
        <v>18</v>
      </c>
      <c r="C662" s="4" t="s">
        <v>892</v>
      </c>
      <c r="D662" s="4" t="s">
        <v>45</v>
      </c>
      <c r="E662" s="4" t="s">
        <v>21</v>
      </c>
      <c r="F662" s="5" t="n">
        <v>62852.65</v>
      </c>
      <c r="G662" s="6" t="n">
        <v>0.05</v>
      </c>
      <c r="H662" s="5" t="n">
        <v>3142.63</v>
      </c>
      <c r="I662" s="5" t="n">
        <v>65995.28</v>
      </c>
    </row>
    <row r="663" customFormat="false" ht="15" hidden="false" customHeight="false" outlineLevel="0" collapsed="false">
      <c r="A663" s="4" t="s">
        <v>893</v>
      </c>
      <c r="B663" s="4" t="s">
        <v>18</v>
      </c>
      <c r="C663" s="4" t="s">
        <v>828</v>
      </c>
      <c r="D663" s="4" t="s">
        <v>27</v>
      </c>
      <c r="E663" s="4" t="s">
        <v>28</v>
      </c>
      <c r="F663" s="5" t="n">
        <v>18162.47</v>
      </c>
      <c r="G663" s="6" t="n">
        <v>0</v>
      </c>
      <c r="H663" s="5" t="n">
        <v>0</v>
      </c>
      <c r="I663" s="5" t="n">
        <v>18162.47</v>
      </c>
    </row>
    <row r="664" customFormat="false" ht="15" hidden="false" customHeight="false" outlineLevel="0" collapsed="false">
      <c r="A664" s="4" t="s">
        <v>894</v>
      </c>
      <c r="B664" s="4" t="s">
        <v>18</v>
      </c>
      <c r="C664" s="4" t="s">
        <v>855</v>
      </c>
      <c r="D664" s="4" t="s">
        <v>27</v>
      </c>
      <c r="E664" s="4" t="s">
        <v>21</v>
      </c>
      <c r="F664" s="5" t="n">
        <v>20096.45</v>
      </c>
      <c r="G664" s="6" t="n">
        <v>0.05</v>
      </c>
      <c r="H664" s="5" t="n">
        <v>1004.82</v>
      </c>
      <c r="I664" s="5" t="n">
        <v>21101.27</v>
      </c>
    </row>
    <row r="665" customFormat="false" ht="15" hidden="false" customHeight="false" outlineLevel="0" collapsed="false">
      <c r="A665" s="4" t="s">
        <v>895</v>
      </c>
      <c r="B665" s="4" t="s">
        <v>18</v>
      </c>
      <c r="C665" s="4" t="s">
        <v>890</v>
      </c>
      <c r="D665" s="4" t="s">
        <v>34</v>
      </c>
      <c r="E665" s="4" t="s">
        <v>28</v>
      </c>
      <c r="F665" s="5" t="n">
        <v>54060.22</v>
      </c>
      <c r="G665" s="6" t="n">
        <v>0</v>
      </c>
      <c r="H665" s="5" t="n">
        <v>0</v>
      </c>
      <c r="I665" s="5" t="n">
        <v>54060.22</v>
      </c>
    </row>
    <row r="666" customFormat="false" ht="15" hidden="false" customHeight="false" outlineLevel="0" collapsed="false">
      <c r="A666" s="4" t="s">
        <v>896</v>
      </c>
      <c r="B666" s="4" t="s">
        <v>18</v>
      </c>
      <c r="C666" s="4" t="s">
        <v>878</v>
      </c>
      <c r="D666" s="4" t="s">
        <v>27</v>
      </c>
      <c r="E666" s="4" t="s">
        <v>28</v>
      </c>
      <c r="F666" s="5" t="n">
        <v>49028.44</v>
      </c>
      <c r="G666" s="6" t="n">
        <v>0</v>
      </c>
      <c r="H666" s="5" t="n">
        <v>0</v>
      </c>
      <c r="I666" s="5" t="n">
        <v>49028.44</v>
      </c>
    </row>
    <row r="667" customFormat="false" ht="15" hidden="false" customHeight="false" outlineLevel="0" collapsed="false">
      <c r="A667" s="4" t="s">
        <v>897</v>
      </c>
      <c r="B667" s="4" t="s">
        <v>18</v>
      </c>
      <c r="C667" s="4" t="s">
        <v>898</v>
      </c>
      <c r="D667" s="4" t="s">
        <v>27</v>
      </c>
      <c r="E667" s="4" t="s">
        <v>21</v>
      </c>
      <c r="F667" s="5" t="n">
        <v>44178.21</v>
      </c>
      <c r="G667" s="6" t="n">
        <v>0.05</v>
      </c>
      <c r="H667" s="5" t="n">
        <v>2208.91</v>
      </c>
      <c r="I667" s="5" t="n">
        <v>46387.12</v>
      </c>
    </row>
    <row r="668" customFormat="false" ht="15" hidden="false" customHeight="false" outlineLevel="0" collapsed="false">
      <c r="A668" s="4" t="s">
        <v>899</v>
      </c>
      <c r="B668" s="4" t="s">
        <v>18</v>
      </c>
      <c r="C668" s="4" t="s">
        <v>822</v>
      </c>
      <c r="D668" s="4" t="s">
        <v>56</v>
      </c>
      <c r="E668" s="4" t="s">
        <v>46</v>
      </c>
      <c r="F668" s="5" t="n">
        <v>28805.2</v>
      </c>
      <c r="G668" s="6" t="n">
        <v>0</v>
      </c>
      <c r="H668" s="5" t="n">
        <v>0</v>
      </c>
      <c r="I668" s="5" t="n">
        <v>28805.2</v>
      </c>
    </row>
    <row r="669" customFormat="false" ht="15" hidden="false" customHeight="false" outlineLevel="0" collapsed="false">
      <c r="A669" s="4" t="s">
        <v>900</v>
      </c>
      <c r="B669" s="4" t="s">
        <v>18</v>
      </c>
      <c r="C669" s="4" t="s">
        <v>844</v>
      </c>
      <c r="D669" s="4" t="s">
        <v>59</v>
      </c>
      <c r="E669" s="4" t="s">
        <v>28</v>
      </c>
      <c r="F669" s="5" t="n">
        <v>45691.49</v>
      </c>
      <c r="G669" s="6" t="n">
        <v>0</v>
      </c>
      <c r="H669" s="5" t="n">
        <v>0</v>
      </c>
      <c r="I669" s="5" t="n">
        <v>45691.49</v>
      </c>
    </row>
    <row r="670" customFormat="false" ht="15" hidden="false" customHeight="false" outlineLevel="0" collapsed="false">
      <c r="A670" s="4" t="s">
        <v>901</v>
      </c>
      <c r="B670" s="4" t="s">
        <v>18</v>
      </c>
      <c r="C670" s="4" t="s">
        <v>840</v>
      </c>
      <c r="D670" s="4" t="s">
        <v>86</v>
      </c>
      <c r="E670" s="4" t="s">
        <v>21</v>
      </c>
      <c r="F670" s="5" t="n">
        <v>11863.37</v>
      </c>
      <c r="G670" s="6" t="n">
        <v>0.05</v>
      </c>
      <c r="H670" s="5" t="n">
        <v>593.17</v>
      </c>
      <c r="I670" s="5" t="n">
        <v>12456.54</v>
      </c>
    </row>
    <row r="671" customFormat="false" ht="15" hidden="false" customHeight="false" outlineLevel="0" collapsed="false">
      <c r="A671" s="4" t="s">
        <v>902</v>
      </c>
      <c r="B671" s="4" t="s">
        <v>18</v>
      </c>
      <c r="C671" s="4" t="s">
        <v>826</v>
      </c>
      <c r="D671" s="4" t="s">
        <v>88</v>
      </c>
      <c r="E671" s="4" t="s">
        <v>28</v>
      </c>
      <c r="F671" s="5" t="n">
        <v>59206.4</v>
      </c>
      <c r="G671" s="6" t="n">
        <v>0</v>
      </c>
      <c r="H671" s="5" t="n">
        <v>0</v>
      </c>
      <c r="I671" s="5" t="n">
        <v>59206.4</v>
      </c>
    </row>
    <row r="672" customFormat="false" ht="15" hidden="false" customHeight="false" outlineLevel="0" collapsed="false">
      <c r="A672" s="4" t="s">
        <v>903</v>
      </c>
      <c r="B672" s="4" t="s">
        <v>18</v>
      </c>
      <c r="C672" s="4" t="s">
        <v>848</v>
      </c>
      <c r="D672" s="4" t="s">
        <v>88</v>
      </c>
      <c r="E672" s="4" t="s">
        <v>21</v>
      </c>
      <c r="F672" s="5" t="n">
        <v>18110.75</v>
      </c>
      <c r="G672" s="6" t="n">
        <v>0.05</v>
      </c>
      <c r="H672" s="5" t="n">
        <v>905.54</v>
      </c>
      <c r="I672" s="5" t="n">
        <v>19016.29</v>
      </c>
    </row>
    <row r="673" customFormat="false" ht="15" hidden="false" customHeight="false" outlineLevel="0" collapsed="false">
      <c r="A673" s="4" t="s">
        <v>904</v>
      </c>
      <c r="B673" s="4" t="s">
        <v>18</v>
      </c>
      <c r="C673" s="4" t="s">
        <v>898</v>
      </c>
      <c r="D673" s="4" t="s">
        <v>86</v>
      </c>
      <c r="E673" s="4" t="s">
        <v>46</v>
      </c>
      <c r="F673" s="5" t="n">
        <v>16406.11</v>
      </c>
      <c r="G673" s="6" t="n">
        <v>0</v>
      </c>
      <c r="H673" s="5" t="n">
        <v>0</v>
      </c>
      <c r="I673" s="5" t="n">
        <v>16406.11</v>
      </c>
    </row>
    <row r="674" customFormat="false" ht="15" hidden="false" customHeight="false" outlineLevel="0" collapsed="false">
      <c r="A674" s="4" t="s">
        <v>905</v>
      </c>
      <c r="B674" s="4" t="s">
        <v>18</v>
      </c>
      <c r="C674" s="4" t="s">
        <v>906</v>
      </c>
      <c r="D674" s="4" t="s">
        <v>20</v>
      </c>
      <c r="E674" s="4" t="s">
        <v>21</v>
      </c>
      <c r="F674" s="5" t="n">
        <v>66518.58</v>
      </c>
      <c r="G674" s="6" t="n">
        <v>0.05</v>
      </c>
      <c r="H674" s="5" t="n">
        <v>3325.93</v>
      </c>
      <c r="I674" s="5" t="n">
        <v>69844.51</v>
      </c>
    </row>
    <row r="675" customFormat="false" ht="15" hidden="false" customHeight="false" outlineLevel="0" collapsed="false">
      <c r="A675" s="4" t="s">
        <v>907</v>
      </c>
      <c r="B675" s="4" t="s">
        <v>18</v>
      </c>
      <c r="C675" s="4" t="s">
        <v>855</v>
      </c>
      <c r="D675" s="4" t="s">
        <v>56</v>
      </c>
      <c r="E675" s="4" t="s">
        <v>21</v>
      </c>
      <c r="F675" s="5" t="n">
        <v>27401.33</v>
      </c>
      <c r="G675" s="6" t="n">
        <v>0.05</v>
      </c>
      <c r="H675" s="5" t="n">
        <v>1370.07</v>
      </c>
      <c r="I675" s="5" t="n">
        <v>28771.4</v>
      </c>
    </row>
    <row r="676" customFormat="false" ht="15" hidden="false" customHeight="false" outlineLevel="0" collapsed="false">
      <c r="A676" s="4" t="s">
        <v>908</v>
      </c>
      <c r="B676" s="4" t="s">
        <v>18</v>
      </c>
      <c r="C676" s="4" t="s">
        <v>844</v>
      </c>
      <c r="D676" s="4" t="s">
        <v>86</v>
      </c>
      <c r="E676" s="4" t="s">
        <v>21</v>
      </c>
      <c r="F676" s="5" t="n">
        <v>35085.61</v>
      </c>
      <c r="G676" s="6" t="n">
        <v>0.05</v>
      </c>
      <c r="H676" s="5" t="n">
        <v>1754.28</v>
      </c>
      <c r="I676" s="5" t="n">
        <v>36839.89</v>
      </c>
    </row>
    <row r="677" customFormat="false" ht="15" hidden="false" customHeight="false" outlineLevel="0" collapsed="false">
      <c r="A677" s="4" t="s">
        <v>909</v>
      </c>
      <c r="B677" s="4" t="s">
        <v>18</v>
      </c>
      <c r="C677" s="4" t="s">
        <v>836</v>
      </c>
      <c r="D677" s="4" t="s">
        <v>59</v>
      </c>
      <c r="E677" s="4" t="s">
        <v>21</v>
      </c>
      <c r="F677" s="5" t="n">
        <v>62738.11</v>
      </c>
      <c r="G677" s="6" t="n">
        <v>0.05</v>
      </c>
      <c r="H677" s="5" t="n">
        <v>3136.91</v>
      </c>
      <c r="I677" s="5" t="n">
        <v>65875.02</v>
      </c>
    </row>
    <row r="678" customFormat="false" ht="15" hidden="false" customHeight="false" outlineLevel="0" collapsed="false">
      <c r="A678" s="4" t="s">
        <v>910</v>
      </c>
      <c r="B678" s="4" t="s">
        <v>18</v>
      </c>
      <c r="C678" s="4" t="s">
        <v>890</v>
      </c>
      <c r="D678" s="4" t="s">
        <v>86</v>
      </c>
      <c r="E678" s="4" t="s">
        <v>21</v>
      </c>
      <c r="F678" s="5" t="n">
        <v>39234.52</v>
      </c>
      <c r="G678" s="6" t="n">
        <v>0.05</v>
      </c>
      <c r="H678" s="5" t="n">
        <v>1961.73</v>
      </c>
      <c r="I678" s="5" t="n">
        <v>41196.25</v>
      </c>
    </row>
    <row r="679" customFormat="false" ht="15" hidden="false" customHeight="false" outlineLevel="0" collapsed="false">
      <c r="A679" s="4" t="s">
        <v>911</v>
      </c>
      <c r="B679" s="4" t="s">
        <v>120</v>
      </c>
      <c r="C679" s="4" t="s">
        <v>842</v>
      </c>
      <c r="D679" s="4" t="s">
        <v>133</v>
      </c>
      <c r="E679" s="4" t="s">
        <v>28</v>
      </c>
      <c r="F679" s="5" t="n">
        <v>938.84</v>
      </c>
      <c r="G679" s="6" t="n">
        <v>0</v>
      </c>
      <c r="H679" s="5" t="n">
        <v>0</v>
      </c>
      <c r="I679" s="5" t="n">
        <v>938.84</v>
      </c>
    </row>
    <row r="680" customFormat="false" ht="15" hidden="false" customHeight="false" outlineLevel="0" collapsed="false">
      <c r="A680" s="4" t="s">
        <v>912</v>
      </c>
      <c r="B680" s="4" t="s">
        <v>120</v>
      </c>
      <c r="C680" s="4" t="s">
        <v>838</v>
      </c>
      <c r="D680" s="4" t="s">
        <v>155</v>
      </c>
      <c r="E680" s="4" t="s">
        <v>21</v>
      </c>
      <c r="F680" s="5" t="n">
        <v>16186.95</v>
      </c>
      <c r="G680" s="6" t="n">
        <v>0.05</v>
      </c>
      <c r="H680" s="5" t="n">
        <v>809.35</v>
      </c>
      <c r="I680" s="5" t="n">
        <v>16996.3</v>
      </c>
    </row>
    <row r="681" customFormat="false" ht="15" hidden="false" customHeight="false" outlineLevel="0" collapsed="false">
      <c r="A681" s="4" t="s">
        <v>913</v>
      </c>
      <c r="B681" s="4" t="s">
        <v>120</v>
      </c>
      <c r="C681" s="4" t="s">
        <v>826</v>
      </c>
      <c r="D681" s="4" t="s">
        <v>149</v>
      </c>
      <c r="E681" s="4" t="s">
        <v>21</v>
      </c>
      <c r="F681" s="5" t="n">
        <v>26893.06</v>
      </c>
      <c r="G681" s="6" t="n">
        <v>0.05</v>
      </c>
      <c r="H681" s="5" t="n">
        <v>1344.65</v>
      </c>
      <c r="I681" s="5" t="n">
        <v>28237.71</v>
      </c>
    </row>
    <row r="682" customFormat="false" ht="15" hidden="false" customHeight="false" outlineLevel="0" collapsed="false">
      <c r="A682" s="4" t="s">
        <v>914</v>
      </c>
      <c r="B682" s="4" t="s">
        <v>120</v>
      </c>
      <c r="C682" s="4" t="s">
        <v>824</v>
      </c>
      <c r="D682" s="4" t="s">
        <v>146</v>
      </c>
      <c r="E682" s="4" t="s">
        <v>46</v>
      </c>
      <c r="F682" s="5" t="n">
        <v>22233.41</v>
      </c>
      <c r="G682" s="6" t="n">
        <v>0</v>
      </c>
      <c r="H682" s="5" t="n">
        <v>0</v>
      </c>
      <c r="I682" s="5" t="n">
        <v>22233.41</v>
      </c>
    </row>
    <row r="683" customFormat="false" ht="15" hidden="false" customHeight="false" outlineLevel="0" collapsed="false">
      <c r="A683" s="4" t="s">
        <v>915</v>
      </c>
      <c r="B683" s="4" t="s">
        <v>120</v>
      </c>
      <c r="C683" s="4" t="s">
        <v>853</v>
      </c>
      <c r="D683" s="4" t="s">
        <v>144</v>
      </c>
      <c r="E683" s="4" t="s">
        <v>21</v>
      </c>
      <c r="F683" s="5" t="n">
        <v>6041.75</v>
      </c>
      <c r="G683" s="6" t="n">
        <v>0.05</v>
      </c>
      <c r="H683" s="5" t="n">
        <v>302.09</v>
      </c>
      <c r="I683" s="5" t="n">
        <v>6343.84</v>
      </c>
    </row>
    <row r="684" customFormat="false" ht="15" hidden="false" customHeight="false" outlineLevel="0" collapsed="false">
      <c r="A684" s="4" t="s">
        <v>916</v>
      </c>
      <c r="B684" s="4" t="s">
        <v>120</v>
      </c>
      <c r="C684" s="4" t="s">
        <v>853</v>
      </c>
      <c r="D684" s="4" t="s">
        <v>130</v>
      </c>
      <c r="E684" s="4" t="s">
        <v>21</v>
      </c>
      <c r="F684" s="5" t="n">
        <v>41293.74</v>
      </c>
      <c r="G684" s="6" t="n">
        <v>0.05</v>
      </c>
      <c r="H684" s="5" t="n">
        <v>2064.69</v>
      </c>
      <c r="I684" s="5" t="n">
        <v>43358.43</v>
      </c>
    </row>
    <row r="685" customFormat="false" ht="15" hidden="false" customHeight="false" outlineLevel="0" collapsed="false">
      <c r="A685" s="4" t="s">
        <v>917</v>
      </c>
      <c r="B685" s="4" t="s">
        <v>120</v>
      </c>
      <c r="C685" s="4" t="s">
        <v>898</v>
      </c>
      <c r="D685" s="4" t="s">
        <v>123</v>
      </c>
      <c r="E685" s="4" t="s">
        <v>21</v>
      </c>
      <c r="F685" s="5" t="n">
        <v>35295.88</v>
      </c>
      <c r="G685" s="6" t="n">
        <v>0.05</v>
      </c>
      <c r="H685" s="5" t="n">
        <v>1764.79</v>
      </c>
      <c r="I685" s="5" t="n">
        <v>37060.67</v>
      </c>
    </row>
    <row r="686" customFormat="false" ht="15" hidden="false" customHeight="false" outlineLevel="0" collapsed="false">
      <c r="A686" s="4" t="s">
        <v>918</v>
      </c>
      <c r="B686" s="4" t="s">
        <v>120</v>
      </c>
      <c r="C686" s="4" t="s">
        <v>906</v>
      </c>
      <c r="D686" s="4" t="s">
        <v>127</v>
      </c>
      <c r="E686" s="4" t="s">
        <v>21</v>
      </c>
      <c r="F686" s="5" t="n">
        <v>24437.24</v>
      </c>
      <c r="G686" s="6" t="n">
        <v>0.05</v>
      </c>
      <c r="H686" s="5" t="n">
        <v>1221.86</v>
      </c>
      <c r="I686" s="5" t="n">
        <v>25659.1</v>
      </c>
    </row>
    <row r="687" customFormat="false" ht="15" hidden="false" customHeight="false" outlineLevel="0" collapsed="false">
      <c r="A687" s="4" t="s">
        <v>919</v>
      </c>
      <c r="B687" s="4" t="s">
        <v>120</v>
      </c>
      <c r="C687" s="4" t="s">
        <v>878</v>
      </c>
      <c r="D687" s="4" t="s">
        <v>149</v>
      </c>
      <c r="E687" s="4" t="s">
        <v>28</v>
      </c>
      <c r="F687" s="5" t="n">
        <v>28757.91</v>
      </c>
      <c r="G687" s="6" t="n">
        <v>0</v>
      </c>
      <c r="H687" s="5" t="n">
        <v>0</v>
      </c>
      <c r="I687" s="5" t="n">
        <v>28757.91</v>
      </c>
    </row>
    <row r="688" customFormat="false" ht="15" hidden="false" customHeight="false" outlineLevel="0" collapsed="false">
      <c r="A688" s="4" t="s">
        <v>920</v>
      </c>
      <c r="B688" s="4" t="s">
        <v>120</v>
      </c>
      <c r="C688" s="4" t="s">
        <v>890</v>
      </c>
      <c r="D688" s="4" t="s">
        <v>127</v>
      </c>
      <c r="E688" s="4" t="s">
        <v>28</v>
      </c>
      <c r="F688" s="5" t="n">
        <v>18759.67</v>
      </c>
      <c r="G688" s="6" t="n">
        <v>0</v>
      </c>
      <c r="H688" s="5" t="n">
        <v>0</v>
      </c>
      <c r="I688" s="5" t="n">
        <v>18759.67</v>
      </c>
    </row>
    <row r="689" customFormat="false" ht="15" hidden="false" customHeight="false" outlineLevel="0" collapsed="false">
      <c r="A689" s="4" t="s">
        <v>921</v>
      </c>
      <c r="B689" s="4" t="s">
        <v>120</v>
      </c>
      <c r="C689" s="4" t="s">
        <v>848</v>
      </c>
      <c r="D689" s="4" t="s">
        <v>155</v>
      </c>
      <c r="E689" s="4" t="s">
        <v>28</v>
      </c>
      <c r="F689" s="5" t="n">
        <v>548.75</v>
      </c>
      <c r="G689" s="6" t="n">
        <v>0</v>
      </c>
      <c r="H689" s="5" t="n">
        <v>0</v>
      </c>
      <c r="I689" s="5" t="n">
        <v>548.75</v>
      </c>
    </row>
    <row r="690" customFormat="false" ht="15" hidden="false" customHeight="false" outlineLevel="0" collapsed="false">
      <c r="A690" s="4" t="s">
        <v>922</v>
      </c>
      <c r="B690" s="4" t="s">
        <v>120</v>
      </c>
      <c r="C690" s="4" t="s">
        <v>824</v>
      </c>
      <c r="D690" s="4" t="s">
        <v>121</v>
      </c>
      <c r="E690" s="4" t="s">
        <v>28</v>
      </c>
      <c r="F690" s="5" t="n">
        <v>36697.24</v>
      </c>
      <c r="G690" s="6" t="n">
        <v>0</v>
      </c>
      <c r="H690" s="5" t="n">
        <v>0</v>
      </c>
      <c r="I690" s="5" t="n">
        <v>36697.24</v>
      </c>
    </row>
    <row r="691" customFormat="false" ht="15" hidden="false" customHeight="false" outlineLevel="0" collapsed="false">
      <c r="A691" s="4" t="s">
        <v>923</v>
      </c>
      <c r="B691" s="4" t="s">
        <v>120</v>
      </c>
      <c r="C691" s="4" t="s">
        <v>855</v>
      </c>
      <c r="D691" s="4" t="s">
        <v>130</v>
      </c>
      <c r="E691" s="4" t="s">
        <v>21</v>
      </c>
      <c r="F691" s="5" t="n">
        <v>2135.5</v>
      </c>
      <c r="G691" s="6" t="n">
        <v>0.05</v>
      </c>
      <c r="H691" s="5" t="n">
        <v>106.78</v>
      </c>
      <c r="I691" s="5" t="n">
        <v>2242.28</v>
      </c>
    </row>
    <row r="692" customFormat="false" ht="15" hidden="false" customHeight="false" outlineLevel="0" collapsed="false">
      <c r="A692" s="4" t="s">
        <v>924</v>
      </c>
      <c r="B692" s="4" t="s">
        <v>120</v>
      </c>
      <c r="C692" s="4" t="s">
        <v>830</v>
      </c>
      <c r="D692" s="4" t="s">
        <v>155</v>
      </c>
      <c r="E692" s="4" t="s">
        <v>21</v>
      </c>
      <c r="F692" s="5" t="n">
        <v>20058.77</v>
      </c>
      <c r="G692" s="6" t="n">
        <v>0.05</v>
      </c>
      <c r="H692" s="5" t="n">
        <v>1002.94</v>
      </c>
      <c r="I692" s="5" t="n">
        <v>21061.71</v>
      </c>
    </row>
    <row r="693" customFormat="false" ht="15" hidden="false" customHeight="false" outlineLevel="0" collapsed="false">
      <c r="A693" s="4" t="s">
        <v>925</v>
      </c>
      <c r="B693" s="4" t="s">
        <v>120</v>
      </c>
      <c r="C693" s="4" t="s">
        <v>836</v>
      </c>
      <c r="D693" s="4" t="s">
        <v>127</v>
      </c>
      <c r="E693" s="4" t="s">
        <v>21</v>
      </c>
      <c r="F693" s="5" t="n">
        <v>9882.69</v>
      </c>
      <c r="G693" s="6" t="n">
        <v>0.05</v>
      </c>
      <c r="H693" s="5" t="n">
        <v>494.13</v>
      </c>
      <c r="I693" s="5" t="n">
        <v>10376.82</v>
      </c>
    </row>
    <row r="694" customFormat="false" ht="15" hidden="false" customHeight="false" outlineLevel="0" collapsed="false">
      <c r="A694" s="4" t="s">
        <v>926</v>
      </c>
      <c r="B694" s="4" t="s">
        <v>120</v>
      </c>
      <c r="C694" s="4" t="s">
        <v>855</v>
      </c>
      <c r="D694" s="4" t="s">
        <v>133</v>
      </c>
      <c r="E694" s="4" t="s">
        <v>46</v>
      </c>
      <c r="F694" s="5" t="n">
        <v>15979.09</v>
      </c>
      <c r="G694" s="6" t="n">
        <v>0</v>
      </c>
      <c r="H694" s="5" t="n">
        <v>0</v>
      </c>
      <c r="I694" s="5" t="n">
        <v>15979.09</v>
      </c>
    </row>
    <row r="695" customFormat="false" ht="15" hidden="false" customHeight="false" outlineLevel="0" collapsed="false">
      <c r="A695" s="4" t="s">
        <v>927</v>
      </c>
      <c r="B695" s="4" t="s">
        <v>120</v>
      </c>
      <c r="C695" s="4" t="s">
        <v>826</v>
      </c>
      <c r="D695" s="4" t="s">
        <v>149</v>
      </c>
      <c r="E695" s="4" t="s">
        <v>21</v>
      </c>
      <c r="F695" s="5" t="n">
        <v>19299.99</v>
      </c>
      <c r="G695" s="6" t="n">
        <v>0.05</v>
      </c>
      <c r="H695" s="5" t="n">
        <v>965</v>
      </c>
      <c r="I695" s="5" t="n">
        <v>20264.99</v>
      </c>
    </row>
    <row r="696" customFormat="false" ht="15" hidden="false" customHeight="false" outlineLevel="0" collapsed="false">
      <c r="A696" s="4" t="s">
        <v>928</v>
      </c>
      <c r="B696" s="4" t="s">
        <v>120</v>
      </c>
      <c r="C696" s="4" t="s">
        <v>846</v>
      </c>
      <c r="D696" s="4" t="s">
        <v>123</v>
      </c>
      <c r="E696" s="4" t="s">
        <v>21</v>
      </c>
      <c r="F696" s="5" t="n">
        <v>3954.36</v>
      </c>
      <c r="G696" s="6" t="n">
        <v>0.05</v>
      </c>
      <c r="H696" s="5" t="n">
        <v>197.72</v>
      </c>
      <c r="I696" s="5" t="n">
        <v>4152.08</v>
      </c>
    </row>
    <row r="697" customFormat="false" ht="15" hidden="false" customHeight="false" outlineLevel="0" collapsed="false">
      <c r="A697" s="4" t="s">
        <v>929</v>
      </c>
      <c r="B697" s="4" t="s">
        <v>120</v>
      </c>
      <c r="C697" s="4" t="s">
        <v>892</v>
      </c>
      <c r="D697" s="4" t="s">
        <v>130</v>
      </c>
      <c r="E697" s="4" t="s">
        <v>21</v>
      </c>
      <c r="F697" s="5" t="n">
        <v>4301.02</v>
      </c>
      <c r="G697" s="6" t="n">
        <v>0.05</v>
      </c>
      <c r="H697" s="5" t="n">
        <v>215.05</v>
      </c>
      <c r="I697" s="5" t="n">
        <v>4516.07</v>
      </c>
    </row>
    <row r="698" customFormat="false" ht="15" hidden="false" customHeight="false" outlineLevel="0" collapsed="false">
      <c r="A698" s="4" t="s">
        <v>930</v>
      </c>
      <c r="B698" s="4" t="s">
        <v>120</v>
      </c>
      <c r="C698" s="4" t="s">
        <v>838</v>
      </c>
      <c r="D698" s="4" t="s">
        <v>149</v>
      </c>
      <c r="E698" s="4" t="s">
        <v>21</v>
      </c>
      <c r="F698" s="5" t="n">
        <v>2626.53</v>
      </c>
      <c r="G698" s="6" t="n">
        <v>0.05</v>
      </c>
      <c r="H698" s="5" t="n">
        <v>131.33</v>
      </c>
      <c r="I698" s="5" t="n">
        <v>2757.86</v>
      </c>
    </row>
    <row r="699" customFormat="false" ht="15" hidden="false" customHeight="false" outlineLevel="0" collapsed="false">
      <c r="A699" s="4" t="s">
        <v>931</v>
      </c>
      <c r="B699" s="4" t="s">
        <v>120</v>
      </c>
      <c r="C699" s="4" t="s">
        <v>859</v>
      </c>
      <c r="D699" s="4" t="s">
        <v>127</v>
      </c>
      <c r="E699" s="4" t="s">
        <v>21</v>
      </c>
      <c r="F699" s="5" t="n">
        <v>21099.03</v>
      </c>
      <c r="G699" s="6" t="n">
        <v>0.05</v>
      </c>
      <c r="H699" s="5" t="n">
        <v>1054.95</v>
      </c>
      <c r="I699" s="5" t="n">
        <v>22153.98</v>
      </c>
    </row>
    <row r="700" customFormat="false" ht="15" hidden="false" customHeight="false" outlineLevel="0" collapsed="false">
      <c r="A700" s="4" t="s">
        <v>932</v>
      </c>
      <c r="B700" s="4" t="s">
        <v>120</v>
      </c>
      <c r="C700" s="4" t="s">
        <v>888</v>
      </c>
      <c r="D700" s="4" t="s">
        <v>130</v>
      </c>
      <c r="E700" s="4" t="s">
        <v>21</v>
      </c>
      <c r="F700" s="5" t="n">
        <v>30650.28</v>
      </c>
      <c r="G700" s="6" t="n">
        <v>0.05</v>
      </c>
      <c r="H700" s="5" t="n">
        <v>1532.51</v>
      </c>
      <c r="I700" s="5" t="n">
        <v>32182.79</v>
      </c>
    </row>
    <row r="701" customFormat="false" ht="15" hidden="false" customHeight="false" outlineLevel="0" collapsed="false">
      <c r="A701" s="4" t="s">
        <v>933</v>
      </c>
      <c r="B701" s="4" t="s">
        <v>120</v>
      </c>
      <c r="C701" s="4" t="s">
        <v>853</v>
      </c>
      <c r="D701" s="4" t="s">
        <v>130</v>
      </c>
      <c r="E701" s="4" t="s">
        <v>21</v>
      </c>
      <c r="F701" s="5" t="n">
        <v>6666.79</v>
      </c>
      <c r="G701" s="6" t="n">
        <v>0.05</v>
      </c>
      <c r="H701" s="5" t="n">
        <v>333.34</v>
      </c>
      <c r="I701" s="5" t="n">
        <v>7000.13</v>
      </c>
    </row>
    <row r="702" customFormat="false" ht="15" hidden="false" customHeight="false" outlineLevel="0" collapsed="false">
      <c r="A702" s="4" t="s">
        <v>934</v>
      </c>
      <c r="B702" s="4" t="s">
        <v>120</v>
      </c>
      <c r="C702" s="4" t="s">
        <v>853</v>
      </c>
      <c r="D702" s="4" t="s">
        <v>123</v>
      </c>
      <c r="E702" s="4" t="s">
        <v>46</v>
      </c>
      <c r="F702" s="5" t="n">
        <v>20152.55</v>
      </c>
      <c r="G702" s="6" t="n">
        <v>0</v>
      </c>
      <c r="H702" s="5" t="n">
        <v>0</v>
      </c>
      <c r="I702" s="5" t="n">
        <v>20152.55</v>
      </c>
    </row>
    <row r="703" customFormat="false" ht="15" hidden="false" customHeight="false" outlineLevel="0" collapsed="false">
      <c r="A703" s="4" t="s">
        <v>935</v>
      </c>
      <c r="B703" s="4" t="s">
        <v>120</v>
      </c>
      <c r="C703" s="4" t="s">
        <v>906</v>
      </c>
      <c r="D703" s="4" t="s">
        <v>125</v>
      </c>
      <c r="E703" s="4" t="s">
        <v>46</v>
      </c>
      <c r="F703" s="5" t="n">
        <v>7788.45</v>
      </c>
      <c r="G703" s="6" t="n">
        <v>0</v>
      </c>
      <c r="H703" s="5" t="n">
        <v>0</v>
      </c>
      <c r="I703" s="5" t="n">
        <v>7788.45</v>
      </c>
    </row>
    <row r="704" customFormat="false" ht="15" hidden="false" customHeight="false" outlineLevel="0" collapsed="false">
      <c r="A704" s="4" t="s">
        <v>936</v>
      </c>
      <c r="B704" s="4" t="s">
        <v>120</v>
      </c>
      <c r="C704" s="4" t="s">
        <v>838</v>
      </c>
      <c r="D704" s="4" t="s">
        <v>127</v>
      </c>
      <c r="E704" s="4" t="s">
        <v>21</v>
      </c>
      <c r="F704" s="5" t="n">
        <v>26234.32</v>
      </c>
      <c r="G704" s="6" t="n">
        <v>0.05</v>
      </c>
      <c r="H704" s="5" t="n">
        <v>1311.72</v>
      </c>
      <c r="I704" s="5" t="n">
        <v>27546.04</v>
      </c>
    </row>
    <row r="705" customFormat="false" ht="15" hidden="false" customHeight="false" outlineLevel="0" collapsed="false">
      <c r="A705" s="4" t="s">
        <v>937</v>
      </c>
      <c r="B705" s="4" t="s">
        <v>120</v>
      </c>
      <c r="C705" s="4" t="s">
        <v>838</v>
      </c>
      <c r="D705" s="4" t="s">
        <v>130</v>
      </c>
      <c r="E705" s="4" t="s">
        <v>46</v>
      </c>
      <c r="F705" s="5" t="n">
        <v>33308.07</v>
      </c>
      <c r="G705" s="6" t="n">
        <v>0</v>
      </c>
      <c r="H705" s="5" t="n">
        <v>0</v>
      </c>
      <c r="I705" s="5" t="n">
        <v>33308.07</v>
      </c>
    </row>
    <row r="706" customFormat="false" ht="15" hidden="false" customHeight="false" outlineLevel="0" collapsed="false">
      <c r="A706" s="4" t="s">
        <v>938</v>
      </c>
      <c r="B706" s="4" t="s">
        <v>120</v>
      </c>
      <c r="C706" s="4" t="s">
        <v>828</v>
      </c>
      <c r="D706" s="4" t="s">
        <v>123</v>
      </c>
      <c r="E706" s="4" t="s">
        <v>28</v>
      </c>
      <c r="F706" s="5" t="n">
        <v>28489.21</v>
      </c>
      <c r="G706" s="6" t="n">
        <v>0</v>
      </c>
      <c r="H706" s="5" t="n">
        <v>0</v>
      </c>
      <c r="I706" s="5" t="n">
        <v>28489.21</v>
      </c>
    </row>
    <row r="707" customFormat="false" ht="15" hidden="false" customHeight="false" outlineLevel="0" collapsed="false">
      <c r="A707" s="4" t="s">
        <v>939</v>
      </c>
      <c r="B707" s="4" t="s">
        <v>120</v>
      </c>
      <c r="C707" s="4" t="s">
        <v>836</v>
      </c>
      <c r="D707" s="4" t="s">
        <v>130</v>
      </c>
      <c r="E707" s="4" t="s">
        <v>21</v>
      </c>
      <c r="F707" s="5" t="n">
        <v>36528.48</v>
      </c>
      <c r="G707" s="6" t="n">
        <v>0.05</v>
      </c>
      <c r="H707" s="5" t="n">
        <v>1826.42</v>
      </c>
      <c r="I707" s="5" t="n">
        <v>38354.9</v>
      </c>
    </row>
    <row r="708" customFormat="false" ht="15" hidden="false" customHeight="false" outlineLevel="0" collapsed="false">
      <c r="A708" s="4" t="s">
        <v>940</v>
      </c>
      <c r="B708" s="4" t="s">
        <v>120</v>
      </c>
      <c r="C708" s="4" t="s">
        <v>855</v>
      </c>
      <c r="D708" s="4" t="s">
        <v>130</v>
      </c>
      <c r="E708" s="4" t="s">
        <v>46</v>
      </c>
      <c r="F708" s="5" t="n">
        <v>36483.33</v>
      </c>
      <c r="G708" s="6" t="n">
        <v>0</v>
      </c>
      <c r="H708" s="5" t="n">
        <v>0</v>
      </c>
      <c r="I708" s="5" t="n">
        <v>36483.33</v>
      </c>
    </row>
    <row r="709" customFormat="false" ht="15" hidden="false" customHeight="false" outlineLevel="0" collapsed="false">
      <c r="A709" s="4" t="s">
        <v>941</v>
      </c>
      <c r="B709" s="4" t="s">
        <v>120</v>
      </c>
      <c r="C709" s="4" t="s">
        <v>861</v>
      </c>
      <c r="D709" s="4" t="s">
        <v>123</v>
      </c>
      <c r="E709" s="4" t="s">
        <v>21</v>
      </c>
      <c r="F709" s="5" t="n">
        <v>35003.79</v>
      </c>
      <c r="G709" s="6" t="n">
        <v>0.05</v>
      </c>
      <c r="H709" s="5" t="n">
        <v>1750.19</v>
      </c>
      <c r="I709" s="5" t="n">
        <v>36753.98</v>
      </c>
    </row>
    <row r="710" customFormat="false" ht="15" hidden="false" customHeight="false" outlineLevel="0" collapsed="false">
      <c r="A710" s="4" t="s">
        <v>942</v>
      </c>
      <c r="B710" s="4" t="s">
        <v>120</v>
      </c>
      <c r="C710" s="4" t="s">
        <v>853</v>
      </c>
      <c r="D710" s="4" t="s">
        <v>130</v>
      </c>
      <c r="E710" s="4" t="s">
        <v>21</v>
      </c>
      <c r="F710" s="5" t="n">
        <v>16418.48</v>
      </c>
      <c r="G710" s="6" t="n">
        <v>0.05</v>
      </c>
      <c r="H710" s="5" t="n">
        <v>820.92</v>
      </c>
      <c r="I710" s="5" t="n">
        <v>17239.4</v>
      </c>
    </row>
    <row r="711" customFormat="false" ht="15" hidden="false" customHeight="false" outlineLevel="0" collapsed="false">
      <c r="A711" s="4" t="s">
        <v>943</v>
      </c>
      <c r="B711" s="4" t="s">
        <v>120</v>
      </c>
      <c r="C711" s="4" t="s">
        <v>861</v>
      </c>
      <c r="D711" s="4" t="s">
        <v>149</v>
      </c>
      <c r="E711" s="4" t="s">
        <v>21</v>
      </c>
      <c r="F711" s="5" t="n">
        <v>28261.39</v>
      </c>
      <c r="G711" s="6" t="n">
        <v>0.05</v>
      </c>
      <c r="H711" s="5" t="n">
        <v>1413.07</v>
      </c>
      <c r="I711" s="5" t="n">
        <v>29674.46</v>
      </c>
    </row>
    <row r="712" customFormat="false" ht="15" hidden="false" customHeight="false" outlineLevel="0" collapsed="false">
      <c r="A712" s="4" t="s">
        <v>944</v>
      </c>
      <c r="B712" s="4" t="s">
        <v>120</v>
      </c>
      <c r="C712" s="4" t="s">
        <v>830</v>
      </c>
      <c r="D712" s="4" t="s">
        <v>127</v>
      </c>
      <c r="E712" s="4" t="s">
        <v>21</v>
      </c>
      <c r="F712" s="5" t="n">
        <v>3960.3</v>
      </c>
      <c r="G712" s="6" t="n">
        <v>0.05</v>
      </c>
      <c r="H712" s="5" t="n">
        <v>198.02</v>
      </c>
      <c r="I712" s="5" t="n">
        <v>4158.32</v>
      </c>
    </row>
    <row r="713" customFormat="false" ht="15" hidden="false" customHeight="false" outlineLevel="0" collapsed="false">
      <c r="A713" s="4" t="s">
        <v>945</v>
      </c>
      <c r="B713" s="4" t="s">
        <v>120</v>
      </c>
      <c r="C713" s="4" t="s">
        <v>842</v>
      </c>
      <c r="D713" s="4" t="s">
        <v>155</v>
      </c>
      <c r="E713" s="4" t="s">
        <v>21</v>
      </c>
      <c r="F713" s="5" t="n">
        <v>32810.25</v>
      </c>
      <c r="G713" s="6" t="n">
        <v>0.05</v>
      </c>
      <c r="H713" s="5" t="n">
        <v>1640.51</v>
      </c>
      <c r="I713" s="5" t="n">
        <v>34450.76</v>
      </c>
    </row>
    <row r="714" customFormat="false" ht="15" hidden="false" customHeight="false" outlineLevel="0" collapsed="false">
      <c r="A714" s="4" t="s">
        <v>946</v>
      </c>
      <c r="B714" s="4" t="s">
        <v>120</v>
      </c>
      <c r="C714" s="4" t="s">
        <v>898</v>
      </c>
      <c r="D714" s="4" t="s">
        <v>146</v>
      </c>
      <c r="E714" s="4" t="s">
        <v>21</v>
      </c>
      <c r="F714" s="5" t="n">
        <v>2133</v>
      </c>
      <c r="G714" s="6" t="n">
        <v>0.05</v>
      </c>
      <c r="H714" s="5" t="n">
        <v>106.65</v>
      </c>
      <c r="I714" s="5" t="n">
        <v>2239.65</v>
      </c>
    </row>
    <row r="715" customFormat="false" ht="15" hidden="false" customHeight="false" outlineLevel="0" collapsed="false">
      <c r="A715" s="4" t="s">
        <v>947</v>
      </c>
      <c r="B715" s="4" t="s">
        <v>120</v>
      </c>
      <c r="C715" s="4" t="s">
        <v>842</v>
      </c>
      <c r="D715" s="4" t="s">
        <v>130</v>
      </c>
      <c r="E715" s="4" t="s">
        <v>21</v>
      </c>
      <c r="F715" s="5" t="n">
        <v>37868.95</v>
      </c>
      <c r="G715" s="6" t="n">
        <v>0.05</v>
      </c>
      <c r="H715" s="5" t="n">
        <v>1893.45</v>
      </c>
      <c r="I715" s="5" t="n">
        <v>39762.4</v>
      </c>
    </row>
    <row r="716" customFormat="false" ht="15" hidden="false" customHeight="false" outlineLevel="0" collapsed="false">
      <c r="A716" s="4" t="s">
        <v>948</v>
      </c>
      <c r="B716" s="4" t="s">
        <v>120</v>
      </c>
      <c r="C716" s="4" t="s">
        <v>840</v>
      </c>
      <c r="D716" s="4" t="s">
        <v>125</v>
      </c>
      <c r="E716" s="4" t="s">
        <v>28</v>
      </c>
      <c r="F716" s="5" t="n">
        <v>39403.42</v>
      </c>
      <c r="G716" s="6" t="n">
        <v>0</v>
      </c>
      <c r="H716" s="5" t="n">
        <v>0</v>
      </c>
      <c r="I716" s="5" t="n">
        <v>39403.42</v>
      </c>
    </row>
    <row r="717" customFormat="false" ht="15" hidden="false" customHeight="false" outlineLevel="0" collapsed="false">
      <c r="A717" s="4" t="s">
        <v>949</v>
      </c>
      <c r="B717" s="4" t="s">
        <v>18</v>
      </c>
      <c r="C717" s="4" t="s">
        <v>950</v>
      </c>
      <c r="D717" s="4" t="s">
        <v>34</v>
      </c>
      <c r="E717" s="4" t="s">
        <v>28</v>
      </c>
      <c r="F717" s="5" t="n">
        <v>75836.74</v>
      </c>
      <c r="G717" s="6" t="n">
        <v>0</v>
      </c>
      <c r="H717" s="5" t="n">
        <v>0</v>
      </c>
      <c r="I717" s="5" t="n">
        <v>75836.74</v>
      </c>
    </row>
    <row r="718" customFormat="false" ht="15" hidden="false" customHeight="false" outlineLevel="0" collapsed="false">
      <c r="A718" s="4" t="s">
        <v>951</v>
      </c>
      <c r="B718" s="4" t="s">
        <v>18</v>
      </c>
      <c r="C718" s="4" t="s">
        <v>952</v>
      </c>
      <c r="D718" s="4" t="s">
        <v>50</v>
      </c>
      <c r="E718" s="4" t="s">
        <v>21</v>
      </c>
      <c r="F718" s="5" t="n">
        <v>71481.83</v>
      </c>
      <c r="G718" s="6" t="n">
        <v>0.05</v>
      </c>
      <c r="H718" s="5" t="n">
        <v>3574.09</v>
      </c>
      <c r="I718" s="5" t="n">
        <v>75055.92</v>
      </c>
    </row>
    <row r="719" customFormat="false" ht="15" hidden="false" customHeight="false" outlineLevel="0" collapsed="false">
      <c r="A719" s="4" t="s">
        <v>953</v>
      </c>
      <c r="B719" s="4" t="s">
        <v>18</v>
      </c>
      <c r="C719" s="4" t="s">
        <v>954</v>
      </c>
      <c r="D719" s="4" t="s">
        <v>50</v>
      </c>
      <c r="E719" s="4" t="s">
        <v>46</v>
      </c>
      <c r="F719" s="5" t="n">
        <v>44703.27</v>
      </c>
      <c r="G719" s="6" t="n">
        <v>0</v>
      </c>
      <c r="H719" s="5" t="n">
        <v>0</v>
      </c>
      <c r="I719" s="5" t="n">
        <v>44703.27</v>
      </c>
    </row>
    <row r="720" customFormat="false" ht="15" hidden="false" customHeight="false" outlineLevel="0" collapsed="false">
      <c r="A720" s="4" t="s">
        <v>955</v>
      </c>
      <c r="B720" s="4" t="s">
        <v>18</v>
      </c>
      <c r="C720" s="4" t="s">
        <v>956</v>
      </c>
      <c r="D720" s="4" t="s">
        <v>37</v>
      </c>
      <c r="E720" s="4" t="s">
        <v>21</v>
      </c>
      <c r="F720" s="5" t="n">
        <v>73808.15</v>
      </c>
      <c r="G720" s="6" t="n">
        <v>0.05</v>
      </c>
      <c r="H720" s="5" t="n">
        <v>3690.41</v>
      </c>
      <c r="I720" s="5" t="n">
        <v>77498.56</v>
      </c>
    </row>
    <row r="721" customFormat="false" ht="15" hidden="false" customHeight="false" outlineLevel="0" collapsed="false">
      <c r="A721" s="4" t="s">
        <v>957</v>
      </c>
      <c r="B721" s="4" t="s">
        <v>18</v>
      </c>
      <c r="C721" s="4" t="s">
        <v>958</v>
      </c>
      <c r="D721" s="4" t="s">
        <v>45</v>
      </c>
      <c r="E721" s="4" t="s">
        <v>28</v>
      </c>
      <c r="F721" s="5" t="n">
        <v>33140.99</v>
      </c>
      <c r="G721" s="6" t="n">
        <v>0</v>
      </c>
      <c r="H721" s="5" t="n">
        <v>0</v>
      </c>
      <c r="I721" s="5" t="n">
        <v>33140.99</v>
      </c>
    </row>
    <row r="722" customFormat="false" ht="15" hidden="false" customHeight="false" outlineLevel="0" collapsed="false">
      <c r="A722" s="4" t="s">
        <v>959</v>
      </c>
      <c r="B722" s="4" t="s">
        <v>18</v>
      </c>
      <c r="C722" s="4" t="s">
        <v>960</v>
      </c>
      <c r="D722" s="4" t="s">
        <v>50</v>
      </c>
      <c r="E722" s="4" t="s">
        <v>21</v>
      </c>
      <c r="F722" s="5" t="n">
        <v>77558.44</v>
      </c>
      <c r="G722" s="6" t="n">
        <v>0.05</v>
      </c>
      <c r="H722" s="5" t="n">
        <v>3877.92</v>
      </c>
      <c r="I722" s="5" t="n">
        <v>81436.36</v>
      </c>
    </row>
    <row r="723" customFormat="false" ht="15" hidden="false" customHeight="false" outlineLevel="0" collapsed="false">
      <c r="A723" s="4" t="s">
        <v>961</v>
      </c>
      <c r="B723" s="4" t="s">
        <v>18</v>
      </c>
      <c r="C723" s="4" t="s">
        <v>950</v>
      </c>
      <c r="D723" s="4" t="s">
        <v>27</v>
      </c>
      <c r="E723" s="4" t="s">
        <v>46</v>
      </c>
      <c r="F723" s="5" t="n">
        <v>63814.23</v>
      </c>
      <c r="G723" s="6" t="n">
        <v>0</v>
      </c>
      <c r="H723" s="5" t="n">
        <v>0</v>
      </c>
      <c r="I723" s="5" t="n">
        <v>63814.23</v>
      </c>
    </row>
    <row r="724" customFormat="false" ht="15" hidden="false" customHeight="false" outlineLevel="0" collapsed="false">
      <c r="A724" s="4" t="s">
        <v>962</v>
      </c>
      <c r="B724" s="4" t="s">
        <v>18</v>
      </c>
      <c r="C724" s="4" t="s">
        <v>963</v>
      </c>
      <c r="D724" s="4" t="s">
        <v>78</v>
      </c>
      <c r="E724" s="4" t="s">
        <v>28</v>
      </c>
      <c r="F724" s="5" t="n">
        <v>31142.99</v>
      </c>
      <c r="G724" s="6" t="n">
        <v>0</v>
      </c>
      <c r="H724" s="5" t="n">
        <v>0</v>
      </c>
      <c r="I724" s="5" t="n">
        <v>31142.99</v>
      </c>
    </row>
    <row r="725" customFormat="false" ht="15" hidden="false" customHeight="false" outlineLevel="0" collapsed="false">
      <c r="A725" s="4" t="s">
        <v>964</v>
      </c>
      <c r="B725" s="4" t="s">
        <v>18</v>
      </c>
      <c r="C725" s="4" t="s">
        <v>965</v>
      </c>
      <c r="D725" s="4" t="s">
        <v>24</v>
      </c>
      <c r="E725" s="4" t="s">
        <v>28</v>
      </c>
      <c r="F725" s="5" t="n">
        <v>50331.73</v>
      </c>
      <c r="G725" s="6" t="n">
        <v>0</v>
      </c>
      <c r="H725" s="5" t="n">
        <v>0</v>
      </c>
      <c r="I725" s="5" t="n">
        <v>50331.73</v>
      </c>
    </row>
    <row r="726" customFormat="false" ht="15" hidden="false" customHeight="false" outlineLevel="0" collapsed="false">
      <c r="A726" s="4" t="s">
        <v>966</v>
      </c>
      <c r="B726" s="4" t="s">
        <v>18</v>
      </c>
      <c r="C726" s="4" t="s">
        <v>967</v>
      </c>
      <c r="D726" s="4" t="s">
        <v>27</v>
      </c>
      <c r="E726" s="4" t="s">
        <v>46</v>
      </c>
      <c r="F726" s="5" t="n">
        <v>59716.98</v>
      </c>
      <c r="G726" s="6" t="n">
        <v>0</v>
      </c>
      <c r="H726" s="5" t="n">
        <v>0</v>
      </c>
      <c r="I726" s="5" t="n">
        <v>59716.98</v>
      </c>
    </row>
    <row r="727" customFormat="false" ht="15" hidden="false" customHeight="false" outlineLevel="0" collapsed="false">
      <c r="A727" s="4" t="s">
        <v>968</v>
      </c>
      <c r="B727" s="4" t="s">
        <v>18</v>
      </c>
      <c r="C727" s="4" t="s">
        <v>950</v>
      </c>
      <c r="D727" s="4" t="s">
        <v>86</v>
      </c>
      <c r="E727" s="4" t="s">
        <v>21</v>
      </c>
      <c r="F727" s="5" t="n">
        <v>90996.24</v>
      </c>
      <c r="G727" s="6" t="n">
        <v>0.05</v>
      </c>
      <c r="H727" s="5" t="n">
        <v>4549.81</v>
      </c>
      <c r="I727" s="5" t="n">
        <v>95546.05</v>
      </c>
    </row>
    <row r="728" customFormat="false" ht="15" hidden="false" customHeight="false" outlineLevel="0" collapsed="false">
      <c r="A728" s="4" t="s">
        <v>969</v>
      </c>
      <c r="B728" s="4" t="s">
        <v>18</v>
      </c>
      <c r="C728" s="4" t="s">
        <v>970</v>
      </c>
      <c r="D728" s="4" t="s">
        <v>78</v>
      </c>
      <c r="E728" s="4" t="s">
        <v>28</v>
      </c>
      <c r="F728" s="5" t="n">
        <v>40469.87</v>
      </c>
      <c r="G728" s="6" t="n">
        <v>0</v>
      </c>
      <c r="H728" s="5" t="n">
        <v>0</v>
      </c>
      <c r="I728" s="5" t="n">
        <v>40469.87</v>
      </c>
    </row>
    <row r="729" customFormat="false" ht="15" hidden="false" customHeight="false" outlineLevel="0" collapsed="false">
      <c r="A729" s="4" t="s">
        <v>971</v>
      </c>
      <c r="B729" s="4" t="s">
        <v>18</v>
      </c>
      <c r="C729" s="4" t="s">
        <v>960</v>
      </c>
      <c r="D729" s="4" t="s">
        <v>56</v>
      </c>
      <c r="E729" s="4" t="s">
        <v>21</v>
      </c>
      <c r="F729" s="5" t="n">
        <v>65319.48</v>
      </c>
      <c r="G729" s="6" t="n">
        <v>0.05</v>
      </c>
      <c r="H729" s="5" t="n">
        <v>3265.97</v>
      </c>
      <c r="I729" s="5" t="n">
        <v>68585.45</v>
      </c>
    </row>
    <row r="730" customFormat="false" ht="15" hidden="false" customHeight="false" outlineLevel="0" collapsed="false">
      <c r="A730" s="4" t="s">
        <v>972</v>
      </c>
      <c r="B730" s="4" t="s">
        <v>18</v>
      </c>
      <c r="C730" s="4" t="s">
        <v>973</v>
      </c>
      <c r="D730" s="4" t="s">
        <v>27</v>
      </c>
      <c r="E730" s="4" t="s">
        <v>21</v>
      </c>
      <c r="F730" s="5" t="n">
        <v>34093.79</v>
      </c>
      <c r="G730" s="6" t="n">
        <v>0.05</v>
      </c>
      <c r="H730" s="5" t="n">
        <v>1704.69</v>
      </c>
      <c r="I730" s="5" t="n">
        <v>35798.48</v>
      </c>
    </row>
    <row r="731" customFormat="false" ht="15" hidden="false" customHeight="false" outlineLevel="0" collapsed="false">
      <c r="A731" s="4" t="s">
        <v>974</v>
      </c>
      <c r="B731" s="4" t="s">
        <v>18</v>
      </c>
      <c r="C731" s="4" t="s">
        <v>975</v>
      </c>
      <c r="D731" s="4" t="s">
        <v>70</v>
      </c>
      <c r="E731" s="4" t="s">
        <v>46</v>
      </c>
      <c r="F731" s="5" t="n">
        <v>54763.54</v>
      </c>
      <c r="G731" s="6" t="n">
        <v>0</v>
      </c>
      <c r="H731" s="5" t="n">
        <v>0</v>
      </c>
      <c r="I731" s="5" t="n">
        <v>54763.54</v>
      </c>
    </row>
    <row r="732" customFormat="false" ht="15" hidden="false" customHeight="false" outlineLevel="0" collapsed="false">
      <c r="A732" s="4" t="s">
        <v>976</v>
      </c>
      <c r="B732" s="4" t="s">
        <v>18</v>
      </c>
      <c r="C732" s="4" t="s">
        <v>977</v>
      </c>
      <c r="D732" s="4" t="s">
        <v>20</v>
      </c>
      <c r="E732" s="4" t="s">
        <v>21</v>
      </c>
      <c r="F732" s="5" t="n">
        <v>38023.57</v>
      </c>
      <c r="G732" s="6" t="n">
        <v>0.05</v>
      </c>
      <c r="H732" s="5" t="n">
        <v>1901.18</v>
      </c>
      <c r="I732" s="5" t="n">
        <v>39924.75</v>
      </c>
    </row>
    <row r="733" customFormat="false" ht="15" hidden="false" customHeight="false" outlineLevel="0" collapsed="false">
      <c r="A733" s="4" t="s">
        <v>978</v>
      </c>
      <c r="B733" s="4" t="s">
        <v>18</v>
      </c>
      <c r="C733" s="4" t="s">
        <v>963</v>
      </c>
      <c r="D733" s="4" t="s">
        <v>78</v>
      </c>
      <c r="E733" s="4" t="s">
        <v>21</v>
      </c>
      <c r="F733" s="5" t="n">
        <v>92635.3</v>
      </c>
      <c r="G733" s="6" t="n">
        <v>0.05</v>
      </c>
      <c r="H733" s="5" t="n">
        <v>4631.77</v>
      </c>
      <c r="I733" s="5" t="n">
        <v>97267.07</v>
      </c>
    </row>
    <row r="734" customFormat="false" ht="15" hidden="false" customHeight="false" outlineLevel="0" collapsed="false">
      <c r="A734" s="4" t="s">
        <v>979</v>
      </c>
      <c r="B734" s="4" t="s">
        <v>18</v>
      </c>
      <c r="C734" s="4" t="s">
        <v>980</v>
      </c>
      <c r="D734" s="4" t="s">
        <v>70</v>
      </c>
      <c r="E734" s="4" t="s">
        <v>21</v>
      </c>
      <c r="F734" s="5" t="n">
        <v>12842.58</v>
      </c>
      <c r="G734" s="6" t="n">
        <v>0.05</v>
      </c>
      <c r="H734" s="5" t="n">
        <v>642.13</v>
      </c>
      <c r="I734" s="5" t="n">
        <v>13484.71</v>
      </c>
    </row>
    <row r="735" customFormat="false" ht="15" hidden="false" customHeight="false" outlineLevel="0" collapsed="false">
      <c r="A735" s="4" t="s">
        <v>981</v>
      </c>
      <c r="B735" s="4" t="s">
        <v>18</v>
      </c>
      <c r="C735" s="4" t="s">
        <v>967</v>
      </c>
      <c r="D735" s="4" t="s">
        <v>37</v>
      </c>
      <c r="E735" s="4" t="s">
        <v>21</v>
      </c>
      <c r="F735" s="5" t="n">
        <v>86905.01</v>
      </c>
      <c r="G735" s="6" t="n">
        <v>0.05</v>
      </c>
      <c r="H735" s="5" t="n">
        <v>4345.25</v>
      </c>
      <c r="I735" s="5" t="n">
        <v>91250.26</v>
      </c>
    </row>
    <row r="736" customFormat="false" ht="15" hidden="false" customHeight="false" outlineLevel="0" collapsed="false">
      <c r="A736" s="4" t="s">
        <v>982</v>
      </c>
      <c r="B736" s="4" t="s">
        <v>18</v>
      </c>
      <c r="C736" s="4" t="s">
        <v>965</v>
      </c>
      <c r="D736" s="4" t="s">
        <v>78</v>
      </c>
      <c r="E736" s="4" t="s">
        <v>21</v>
      </c>
      <c r="F736" s="5" t="n">
        <v>91556.55</v>
      </c>
      <c r="G736" s="6" t="n">
        <v>0.05</v>
      </c>
      <c r="H736" s="5" t="n">
        <v>4577.83</v>
      </c>
      <c r="I736" s="5" t="n">
        <v>96134.38</v>
      </c>
    </row>
    <row r="737" customFormat="false" ht="15" hidden="false" customHeight="false" outlineLevel="0" collapsed="false">
      <c r="A737" s="4" t="s">
        <v>983</v>
      </c>
      <c r="B737" s="4" t="s">
        <v>18</v>
      </c>
      <c r="C737" s="4" t="s">
        <v>984</v>
      </c>
      <c r="D737" s="4" t="s">
        <v>24</v>
      </c>
      <c r="E737" s="4" t="s">
        <v>21</v>
      </c>
      <c r="F737" s="5" t="n">
        <v>85633.16</v>
      </c>
      <c r="G737" s="6" t="n">
        <v>0.05</v>
      </c>
      <c r="H737" s="5" t="n">
        <v>4281.66</v>
      </c>
      <c r="I737" s="5" t="n">
        <v>89914.82</v>
      </c>
    </row>
    <row r="738" customFormat="false" ht="15" hidden="false" customHeight="false" outlineLevel="0" collapsed="false">
      <c r="A738" s="4" t="s">
        <v>985</v>
      </c>
      <c r="B738" s="4" t="s">
        <v>18</v>
      </c>
      <c r="C738" s="4" t="s">
        <v>986</v>
      </c>
      <c r="D738" s="4" t="s">
        <v>88</v>
      </c>
      <c r="E738" s="4" t="s">
        <v>21</v>
      </c>
      <c r="F738" s="5" t="n">
        <v>58277.34</v>
      </c>
      <c r="G738" s="6" t="n">
        <v>0.05</v>
      </c>
      <c r="H738" s="5" t="n">
        <v>2913.87</v>
      </c>
      <c r="I738" s="5" t="n">
        <v>61191.21</v>
      </c>
    </row>
    <row r="739" customFormat="false" ht="15" hidden="false" customHeight="false" outlineLevel="0" collapsed="false">
      <c r="A739" s="4" t="s">
        <v>987</v>
      </c>
      <c r="B739" s="4" t="s">
        <v>18</v>
      </c>
      <c r="C739" s="4" t="s">
        <v>986</v>
      </c>
      <c r="D739" s="4" t="s">
        <v>20</v>
      </c>
      <c r="E739" s="4" t="s">
        <v>21</v>
      </c>
      <c r="F739" s="5" t="n">
        <v>26091.42</v>
      </c>
      <c r="G739" s="6" t="n">
        <v>0.05</v>
      </c>
      <c r="H739" s="5" t="n">
        <v>1304.57</v>
      </c>
      <c r="I739" s="5" t="n">
        <v>27395.99</v>
      </c>
    </row>
    <row r="740" customFormat="false" ht="15" hidden="false" customHeight="false" outlineLevel="0" collapsed="false">
      <c r="A740" s="4" t="s">
        <v>988</v>
      </c>
      <c r="B740" s="4" t="s">
        <v>18</v>
      </c>
      <c r="C740" s="4" t="s">
        <v>989</v>
      </c>
      <c r="D740" s="4" t="s">
        <v>70</v>
      </c>
      <c r="E740" s="4" t="s">
        <v>21</v>
      </c>
      <c r="F740" s="5" t="n">
        <v>14718.39</v>
      </c>
      <c r="G740" s="6" t="n">
        <v>0.05</v>
      </c>
      <c r="H740" s="5" t="n">
        <v>735.92</v>
      </c>
      <c r="I740" s="5" t="n">
        <v>15454.31</v>
      </c>
    </row>
    <row r="741" customFormat="false" ht="15" hidden="false" customHeight="false" outlineLevel="0" collapsed="false">
      <c r="A741" s="4" t="s">
        <v>990</v>
      </c>
      <c r="B741" s="4" t="s">
        <v>18</v>
      </c>
      <c r="C741" s="4" t="s">
        <v>960</v>
      </c>
      <c r="D741" s="4" t="s">
        <v>34</v>
      </c>
      <c r="E741" s="4" t="s">
        <v>21</v>
      </c>
      <c r="F741" s="5" t="n">
        <v>78504.82</v>
      </c>
      <c r="G741" s="6" t="n">
        <v>0.05</v>
      </c>
      <c r="H741" s="5" t="n">
        <v>3925.24</v>
      </c>
      <c r="I741" s="5" t="n">
        <v>82430.06</v>
      </c>
    </row>
    <row r="742" customFormat="false" ht="15" hidden="false" customHeight="false" outlineLevel="0" collapsed="false">
      <c r="A742" s="4" t="s">
        <v>991</v>
      </c>
      <c r="B742" s="4" t="s">
        <v>18</v>
      </c>
      <c r="C742" s="4" t="s">
        <v>992</v>
      </c>
      <c r="D742" s="4" t="s">
        <v>56</v>
      </c>
      <c r="E742" s="4" t="s">
        <v>21</v>
      </c>
      <c r="F742" s="5" t="n">
        <v>63225.93</v>
      </c>
      <c r="G742" s="6" t="n">
        <v>0.05</v>
      </c>
      <c r="H742" s="5" t="n">
        <v>3161.3</v>
      </c>
      <c r="I742" s="5" t="n">
        <v>66387.23</v>
      </c>
    </row>
    <row r="743" customFormat="false" ht="15" hidden="false" customHeight="false" outlineLevel="0" collapsed="false">
      <c r="A743" s="4" t="s">
        <v>993</v>
      </c>
      <c r="B743" s="4" t="s">
        <v>18</v>
      </c>
      <c r="C743" s="4" t="s">
        <v>952</v>
      </c>
      <c r="D743" s="4" t="s">
        <v>62</v>
      </c>
      <c r="E743" s="4" t="s">
        <v>28</v>
      </c>
      <c r="F743" s="5" t="n">
        <v>4756.59</v>
      </c>
      <c r="G743" s="6" t="n">
        <v>0</v>
      </c>
      <c r="H743" s="5" t="n">
        <v>0</v>
      </c>
      <c r="I743" s="5" t="n">
        <v>4756.59</v>
      </c>
    </row>
    <row r="744" customFormat="false" ht="15" hidden="false" customHeight="false" outlineLevel="0" collapsed="false">
      <c r="A744" s="4" t="s">
        <v>994</v>
      </c>
      <c r="B744" s="4" t="s">
        <v>18</v>
      </c>
      <c r="C744" s="4" t="s">
        <v>995</v>
      </c>
      <c r="D744" s="4" t="s">
        <v>86</v>
      </c>
      <c r="E744" s="4" t="s">
        <v>21</v>
      </c>
      <c r="F744" s="5" t="n">
        <v>17449.5</v>
      </c>
      <c r="G744" s="6" t="n">
        <v>0.05</v>
      </c>
      <c r="H744" s="5" t="n">
        <v>872.48</v>
      </c>
      <c r="I744" s="5" t="n">
        <v>18321.98</v>
      </c>
    </row>
    <row r="745" customFormat="false" ht="15" hidden="false" customHeight="false" outlineLevel="0" collapsed="false">
      <c r="A745" s="4" t="s">
        <v>996</v>
      </c>
      <c r="B745" s="4" t="s">
        <v>18</v>
      </c>
      <c r="C745" s="4" t="s">
        <v>984</v>
      </c>
      <c r="D745" s="4" t="s">
        <v>24</v>
      </c>
      <c r="E745" s="4" t="s">
        <v>21</v>
      </c>
      <c r="F745" s="5" t="n">
        <v>18092.56</v>
      </c>
      <c r="G745" s="6" t="n">
        <v>0.05</v>
      </c>
      <c r="H745" s="5" t="n">
        <v>904.63</v>
      </c>
      <c r="I745" s="5" t="n">
        <v>18997.19</v>
      </c>
    </row>
    <row r="746" customFormat="false" ht="15" hidden="false" customHeight="false" outlineLevel="0" collapsed="false">
      <c r="A746" s="4" t="s">
        <v>997</v>
      </c>
      <c r="B746" s="4" t="s">
        <v>18</v>
      </c>
      <c r="C746" s="4" t="s">
        <v>995</v>
      </c>
      <c r="D746" s="4" t="s">
        <v>59</v>
      </c>
      <c r="E746" s="4" t="s">
        <v>21</v>
      </c>
      <c r="F746" s="5" t="n">
        <v>4787.32</v>
      </c>
      <c r="G746" s="6" t="n">
        <v>0.05</v>
      </c>
      <c r="H746" s="5" t="n">
        <v>239.37</v>
      </c>
      <c r="I746" s="5" t="n">
        <v>5026.69</v>
      </c>
    </row>
    <row r="747" customFormat="false" ht="15" hidden="false" customHeight="false" outlineLevel="0" collapsed="false">
      <c r="A747" s="4" t="s">
        <v>998</v>
      </c>
      <c r="B747" s="4" t="s">
        <v>18</v>
      </c>
      <c r="C747" s="4" t="s">
        <v>999</v>
      </c>
      <c r="D747" s="4" t="s">
        <v>78</v>
      </c>
      <c r="E747" s="4" t="s">
        <v>21</v>
      </c>
      <c r="F747" s="5" t="n">
        <v>53745.05</v>
      </c>
      <c r="G747" s="6" t="n">
        <v>0.05</v>
      </c>
      <c r="H747" s="5" t="n">
        <v>2687.25</v>
      </c>
      <c r="I747" s="5" t="n">
        <v>56432.3</v>
      </c>
    </row>
    <row r="748" customFormat="false" ht="15" hidden="false" customHeight="false" outlineLevel="0" collapsed="false">
      <c r="A748" s="4" t="s">
        <v>1000</v>
      </c>
      <c r="B748" s="4" t="s">
        <v>18</v>
      </c>
      <c r="C748" s="4" t="s">
        <v>958</v>
      </c>
      <c r="D748" s="4" t="s">
        <v>45</v>
      </c>
      <c r="E748" s="4" t="s">
        <v>46</v>
      </c>
      <c r="F748" s="5" t="n">
        <v>51050.79</v>
      </c>
      <c r="G748" s="6" t="n">
        <v>0</v>
      </c>
      <c r="H748" s="5" t="n">
        <v>0</v>
      </c>
      <c r="I748" s="5" t="n">
        <v>51050.79</v>
      </c>
    </row>
    <row r="749" customFormat="false" ht="15" hidden="false" customHeight="false" outlineLevel="0" collapsed="false">
      <c r="A749" s="4" t="s">
        <v>1001</v>
      </c>
      <c r="B749" s="4" t="s">
        <v>18</v>
      </c>
      <c r="C749" s="4" t="s">
        <v>992</v>
      </c>
      <c r="D749" s="4" t="s">
        <v>62</v>
      </c>
      <c r="E749" s="4" t="s">
        <v>28</v>
      </c>
      <c r="F749" s="5" t="n">
        <v>82666.14</v>
      </c>
      <c r="G749" s="6" t="n">
        <v>0</v>
      </c>
      <c r="H749" s="5" t="n">
        <v>0</v>
      </c>
      <c r="I749" s="5" t="n">
        <v>82666.14</v>
      </c>
    </row>
    <row r="750" customFormat="false" ht="15" hidden="false" customHeight="false" outlineLevel="0" collapsed="false">
      <c r="A750" s="4" t="s">
        <v>1002</v>
      </c>
      <c r="B750" s="4" t="s">
        <v>18</v>
      </c>
      <c r="C750" s="4" t="s">
        <v>995</v>
      </c>
      <c r="D750" s="4" t="s">
        <v>70</v>
      </c>
      <c r="E750" s="4" t="s">
        <v>21</v>
      </c>
      <c r="F750" s="5" t="n">
        <v>92123.09</v>
      </c>
      <c r="G750" s="6" t="n">
        <v>0.05</v>
      </c>
      <c r="H750" s="5" t="n">
        <v>4606.15</v>
      </c>
      <c r="I750" s="5" t="n">
        <v>96729.24</v>
      </c>
    </row>
    <row r="751" customFormat="false" ht="15" hidden="false" customHeight="false" outlineLevel="0" collapsed="false">
      <c r="A751" s="4" t="s">
        <v>1003</v>
      </c>
      <c r="B751" s="4" t="s">
        <v>18</v>
      </c>
      <c r="C751" s="4" t="s">
        <v>989</v>
      </c>
      <c r="D751" s="4" t="s">
        <v>50</v>
      </c>
      <c r="E751" s="4" t="s">
        <v>21</v>
      </c>
      <c r="F751" s="5" t="n">
        <v>46813.71</v>
      </c>
      <c r="G751" s="6" t="n">
        <v>0.05</v>
      </c>
      <c r="H751" s="5" t="n">
        <v>2340.69</v>
      </c>
      <c r="I751" s="5" t="n">
        <v>49154.4</v>
      </c>
    </row>
    <row r="752" customFormat="false" ht="15" hidden="false" customHeight="false" outlineLevel="0" collapsed="false">
      <c r="A752" s="4" t="s">
        <v>1004</v>
      </c>
      <c r="B752" s="4" t="s">
        <v>18</v>
      </c>
      <c r="C752" s="4" t="s">
        <v>965</v>
      </c>
      <c r="D752" s="4" t="s">
        <v>27</v>
      </c>
      <c r="E752" s="4" t="s">
        <v>46</v>
      </c>
      <c r="F752" s="5" t="n">
        <v>70324.8</v>
      </c>
      <c r="G752" s="6" t="n">
        <v>0</v>
      </c>
      <c r="H752" s="5" t="n">
        <v>0</v>
      </c>
      <c r="I752" s="5" t="n">
        <v>70324.8</v>
      </c>
    </row>
    <row r="753" customFormat="false" ht="15" hidden="false" customHeight="false" outlineLevel="0" collapsed="false">
      <c r="A753" s="4" t="s">
        <v>1005</v>
      </c>
      <c r="B753" s="4" t="s">
        <v>18</v>
      </c>
      <c r="C753" s="4" t="s">
        <v>970</v>
      </c>
      <c r="D753" s="4" t="s">
        <v>59</v>
      </c>
      <c r="E753" s="4" t="s">
        <v>21</v>
      </c>
      <c r="F753" s="5" t="n">
        <v>39180.28</v>
      </c>
      <c r="G753" s="6" t="n">
        <v>0.05</v>
      </c>
      <c r="H753" s="5" t="n">
        <v>1959.01</v>
      </c>
      <c r="I753" s="5" t="n">
        <v>41139.29</v>
      </c>
    </row>
    <row r="754" customFormat="false" ht="15" hidden="false" customHeight="false" outlineLevel="0" collapsed="false">
      <c r="A754" s="4" t="s">
        <v>1006</v>
      </c>
      <c r="B754" s="4" t="s">
        <v>18</v>
      </c>
      <c r="C754" s="4" t="s">
        <v>960</v>
      </c>
      <c r="D754" s="4" t="s">
        <v>20</v>
      </c>
      <c r="E754" s="4" t="s">
        <v>46</v>
      </c>
      <c r="F754" s="5" t="n">
        <v>26559.5</v>
      </c>
      <c r="G754" s="6" t="n">
        <v>0</v>
      </c>
      <c r="H754" s="5" t="n">
        <v>0</v>
      </c>
      <c r="I754" s="5" t="n">
        <v>26559.5</v>
      </c>
    </row>
    <row r="755" customFormat="false" ht="15" hidden="false" customHeight="false" outlineLevel="0" collapsed="false">
      <c r="A755" s="4" t="s">
        <v>1007</v>
      </c>
      <c r="B755" s="4" t="s">
        <v>18</v>
      </c>
      <c r="C755" s="4" t="s">
        <v>965</v>
      </c>
      <c r="D755" s="4" t="s">
        <v>37</v>
      </c>
      <c r="E755" s="4" t="s">
        <v>28</v>
      </c>
      <c r="F755" s="5" t="n">
        <v>69616.3</v>
      </c>
      <c r="G755" s="6" t="n">
        <v>0</v>
      </c>
      <c r="H755" s="5" t="n">
        <v>0</v>
      </c>
      <c r="I755" s="5" t="n">
        <v>69616.3</v>
      </c>
    </row>
    <row r="756" customFormat="false" ht="15" hidden="false" customHeight="false" outlineLevel="0" collapsed="false">
      <c r="A756" s="4" t="s">
        <v>1008</v>
      </c>
      <c r="B756" s="4" t="s">
        <v>18</v>
      </c>
      <c r="C756" s="4" t="s">
        <v>999</v>
      </c>
      <c r="D756" s="4" t="s">
        <v>31</v>
      </c>
      <c r="E756" s="4" t="s">
        <v>28</v>
      </c>
      <c r="F756" s="5" t="n">
        <v>93786.66</v>
      </c>
      <c r="G756" s="6" t="n">
        <v>0</v>
      </c>
      <c r="H756" s="5" t="n">
        <v>0</v>
      </c>
      <c r="I756" s="5" t="n">
        <v>93786.66</v>
      </c>
    </row>
    <row r="757" customFormat="false" ht="15" hidden="false" customHeight="false" outlineLevel="0" collapsed="false">
      <c r="A757" s="4" t="s">
        <v>1009</v>
      </c>
      <c r="B757" s="4" t="s">
        <v>18</v>
      </c>
      <c r="C757" s="4" t="s">
        <v>960</v>
      </c>
      <c r="D757" s="4" t="s">
        <v>37</v>
      </c>
      <c r="E757" s="4" t="s">
        <v>21</v>
      </c>
      <c r="F757" s="5" t="n">
        <v>43109.99</v>
      </c>
      <c r="G757" s="6" t="n">
        <v>0.05</v>
      </c>
      <c r="H757" s="5" t="n">
        <v>2155.5</v>
      </c>
      <c r="I757" s="5" t="n">
        <v>45265.49</v>
      </c>
    </row>
    <row r="758" customFormat="false" ht="15" hidden="false" customHeight="false" outlineLevel="0" collapsed="false">
      <c r="A758" s="4" t="s">
        <v>1010</v>
      </c>
      <c r="B758" s="4" t="s">
        <v>18</v>
      </c>
      <c r="C758" s="4" t="s">
        <v>1011</v>
      </c>
      <c r="D758" s="4" t="s">
        <v>20</v>
      </c>
      <c r="E758" s="4" t="s">
        <v>28</v>
      </c>
      <c r="F758" s="5" t="n">
        <v>34571.36</v>
      </c>
      <c r="G758" s="6" t="n">
        <v>0</v>
      </c>
      <c r="H758" s="5" t="n">
        <v>0</v>
      </c>
      <c r="I758" s="5" t="n">
        <v>34571.36</v>
      </c>
    </row>
    <row r="759" customFormat="false" ht="15" hidden="false" customHeight="false" outlineLevel="0" collapsed="false">
      <c r="A759" s="4" t="s">
        <v>1012</v>
      </c>
      <c r="B759" s="4" t="s">
        <v>18</v>
      </c>
      <c r="C759" s="4" t="s">
        <v>1013</v>
      </c>
      <c r="D759" s="4" t="s">
        <v>50</v>
      </c>
      <c r="E759" s="4" t="s">
        <v>21</v>
      </c>
      <c r="F759" s="5" t="n">
        <v>35316.48</v>
      </c>
      <c r="G759" s="6" t="n">
        <v>0.05</v>
      </c>
      <c r="H759" s="5" t="n">
        <v>1765.82</v>
      </c>
      <c r="I759" s="5" t="n">
        <v>37082.3</v>
      </c>
    </row>
    <row r="760" customFormat="false" ht="15" hidden="false" customHeight="false" outlineLevel="0" collapsed="false">
      <c r="A760" s="4" t="s">
        <v>1014</v>
      </c>
      <c r="B760" s="4" t="s">
        <v>18</v>
      </c>
      <c r="C760" s="4" t="s">
        <v>995</v>
      </c>
      <c r="D760" s="4" t="s">
        <v>70</v>
      </c>
      <c r="E760" s="4" t="s">
        <v>21</v>
      </c>
      <c r="F760" s="5" t="n">
        <v>42567.92</v>
      </c>
      <c r="G760" s="6" t="n">
        <v>0.05</v>
      </c>
      <c r="H760" s="5" t="n">
        <v>2128.4</v>
      </c>
      <c r="I760" s="5" t="n">
        <v>44696.32</v>
      </c>
    </row>
    <row r="761" customFormat="false" ht="15" hidden="false" customHeight="false" outlineLevel="0" collapsed="false">
      <c r="A761" s="4" t="s">
        <v>1015</v>
      </c>
      <c r="B761" s="4" t="s">
        <v>18</v>
      </c>
      <c r="C761" s="4" t="s">
        <v>967</v>
      </c>
      <c r="D761" s="4" t="s">
        <v>45</v>
      </c>
      <c r="E761" s="4" t="s">
        <v>21</v>
      </c>
      <c r="F761" s="5" t="n">
        <v>60390.29</v>
      </c>
      <c r="G761" s="6" t="n">
        <v>0.05</v>
      </c>
      <c r="H761" s="5" t="n">
        <v>3019.51</v>
      </c>
      <c r="I761" s="5" t="n">
        <v>63409.8</v>
      </c>
    </row>
    <row r="762" customFormat="false" ht="15" hidden="false" customHeight="false" outlineLevel="0" collapsed="false">
      <c r="A762" s="4" t="s">
        <v>1016</v>
      </c>
      <c r="B762" s="4" t="s">
        <v>18</v>
      </c>
      <c r="C762" s="4" t="s">
        <v>954</v>
      </c>
      <c r="D762" s="4" t="s">
        <v>88</v>
      </c>
      <c r="E762" s="4" t="s">
        <v>46</v>
      </c>
      <c r="F762" s="5" t="n">
        <v>45404.64</v>
      </c>
      <c r="G762" s="6" t="n">
        <v>0</v>
      </c>
      <c r="H762" s="5" t="n">
        <v>0</v>
      </c>
      <c r="I762" s="5" t="n">
        <v>45404.64</v>
      </c>
    </row>
    <row r="763" customFormat="false" ht="15" hidden="false" customHeight="false" outlineLevel="0" collapsed="false">
      <c r="A763" s="4" t="s">
        <v>1017</v>
      </c>
      <c r="B763" s="4" t="s">
        <v>18</v>
      </c>
      <c r="C763" s="4" t="s">
        <v>1018</v>
      </c>
      <c r="D763" s="4" t="s">
        <v>88</v>
      </c>
      <c r="E763" s="4" t="s">
        <v>28</v>
      </c>
      <c r="F763" s="5" t="n">
        <v>89604.45</v>
      </c>
      <c r="G763" s="6" t="n">
        <v>0</v>
      </c>
      <c r="H763" s="5" t="n">
        <v>0</v>
      </c>
      <c r="I763" s="5" t="n">
        <v>89604.45</v>
      </c>
    </row>
    <row r="764" customFormat="false" ht="15" hidden="false" customHeight="false" outlineLevel="0" collapsed="false">
      <c r="A764" s="4" t="s">
        <v>1019</v>
      </c>
      <c r="B764" s="4" t="s">
        <v>18</v>
      </c>
      <c r="C764" s="4" t="s">
        <v>965</v>
      </c>
      <c r="D764" s="4" t="s">
        <v>27</v>
      </c>
      <c r="E764" s="4" t="s">
        <v>21</v>
      </c>
      <c r="F764" s="5" t="n">
        <v>33974.44</v>
      </c>
      <c r="G764" s="6" t="n">
        <v>0.05</v>
      </c>
      <c r="H764" s="5" t="n">
        <v>1698.72</v>
      </c>
      <c r="I764" s="5" t="n">
        <v>35673.16</v>
      </c>
    </row>
    <row r="765" customFormat="false" ht="15" hidden="false" customHeight="false" outlineLevel="0" collapsed="false">
      <c r="A765" s="4" t="s">
        <v>1020</v>
      </c>
      <c r="B765" s="4" t="s">
        <v>18</v>
      </c>
      <c r="C765" s="4" t="s">
        <v>1021</v>
      </c>
      <c r="D765" s="4" t="s">
        <v>62</v>
      </c>
      <c r="E765" s="4" t="s">
        <v>28</v>
      </c>
      <c r="F765" s="5" t="n">
        <v>73022.74</v>
      </c>
      <c r="G765" s="6" t="n">
        <v>0</v>
      </c>
      <c r="H765" s="5" t="n">
        <v>0</v>
      </c>
      <c r="I765" s="5" t="n">
        <v>73022.74</v>
      </c>
    </row>
    <row r="766" customFormat="false" ht="15" hidden="false" customHeight="false" outlineLevel="0" collapsed="false">
      <c r="A766" s="4" t="s">
        <v>1022</v>
      </c>
      <c r="B766" s="4" t="s">
        <v>18</v>
      </c>
      <c r="C766" s="4" t="s">
        <v>984</v>
      </c>
      <c r="D766" s="4" t="s">
        <v>34</v>
      </c>
      <c r="E766" s="4" t="s">
        <v>21</v>
      </c>
      <c r="F766" s="5" t="n">
        <v>4388.7</v>
      </c>
      <c r="G766" s="6" t="n">
        <v>0.05</v>
      </c>
      <c r="H766" s="5" t="n">
        <v>219.44</v>
      </c>
      <c r="I766" s="5" t="n">
        <v>4608.14</v>
      </c>
    </row>
    <row r="767" customFormat="false" ht="15" hidden="false" customHeight="false" outlineLevel="0" collapsed="false">
      <c r="A767" s="4" t="s">
        <v>1023</v>
      </c>
      <c r="B767" s="4" t="s">
        <v>18</v>
      </c>
      <c r="C767" s="4" t="s">
        <v>973</v>
      </c>
      <c r="D767" s="4" t="s">
        <v>62</v>
      </c>
      <c r="E767" s="4" t="s">
        <v>21</v>
      </c>
      <c r="F767" s="5" t="n">
        <v>69705.98</v>
      </c>
      <c r="G767" s="6" t="n">
        <v>0.05</v>
      </c>
      <c r="H767" s="5" t="n">
        <v>3485.3</v>
      </c>
      <c r="I767" s="5" t="n">
        <v>73191.28</v>
      </c>
    </row>
    <row r="768" customFormat="false" ht="15" hidden="false" customHeight="false" outlineLevel="0" collapsed="false">
      <c r="A768" s="4" t="s">
        <v>1024</v>
      </c>
      <c r="B768" s="4" t="s">
        <v>18</v>
      </c>
      <c r="C768" s="4" t="s">
        <v>956</v>
      </c>
      <c r="D768" s="4" t="s">
        <v>56</v>
      </c>
      <c r="E768" s="4" t="s">
        <v>21</v>
      </c>
      <c r="F768" s="5" t="n">
        <v>41851.35</v>
      </c>
      <c r="G768" s="6" t="n">
        <v>0.05</v>
      </c>
      <c r="H768" s="5" t="n">
        <v>2092.57</v>
      </c>
      <c r="I768" s="5" t="n">
        <v>43943.92</v>
      </c>
    </row>
    <row r="769" customFormat="false" ht="15" hidden="false" customHeight="false" outlineLevel="0" collapsed="false">
      <c r="A769" s="4" t="s">
        <v>1025</v>
      </c>
      <c r="B769" s="4" t="s">
        <v>18</v>
      </c>
      <c r="C769" s="4" t="s">
        <v>1026</v>
      </c>
      <c r="D769" s="4" t="s">
        <v>56</v>
      </c>
      <c r="E769" s="4" t="s">
        <v>21</v>
      </c>
      <c r="F769" s="5" t="n">
        <v>91593.05</v>
      </c>
      <c r="G769" s="6" t="n">
        <v>0.05</v>
      </c>
      <c r="H769" s="5" t="n">
        <v>4579.65</v>
      </c>
      <c r="I769" s="5" t="n">
        <v>96172.7</v>
      </c>
    </row>
    <row r="770" customFormat="false" ht="15" hidden="false" customHeight="false" outlineLevel="0" collapsed="false">
      <c r="A770" s="4" t="s">
        <v>1027</v>
      </c>
      <c r="B770" s="4" t="s">
        <v>18</v>
      </c>
      <c r="C770" s="4" t="s">
        <v>1021</v>
      </c>
      <c r="D770" s="4" t="s">
        <v>20</v>
      </c>
      <c r="E770" s="4" t="s">
        <v>28</v>
      </c>
      <c r="F770" s="5" t="n">
        <v>34291.29</v>
      </c>
      <c r="G770" s="6" t="n">
        <v>0</v>
      </c>
      <c r="H770" s="5" t="n">
        <v>0</v>
      </c>
      <c r="I770" s="5" t="n">
        <v>34291.29</v>
      </c>
    </row>
    <row r="771" customFormat="false" ht="15" hidden="false" customHeight="false" outlineLevel="0" collapsed="false">
      <c r="A771" s="4" t="s">
        <v>1028</v>
      </c>
      <c r="B771" s="4" t="s">
        <v>18</v>
      </c>
      <c r="C771" s="4" t="s">
        <v>1029</v>
      </c>
      <c r="D771" s="4" t="s">
        <v>56</v>
      </c>
      <c r="E771" s="4" t="s">
        <v>46</v>
      </c>
      <c r="F771" s="5" t="n">
        <v>23000.33</v>
      </c>
      <c r="G771" s="6" t="n">
        <v>0</v>
      </c>
      <c r="H771" s="5" t="n">
        <v>0</v>
      </c>
      <c r="I771" s="5" t="n">
        <v>23000.33</v>
      </c>
    </row>
    <row r="772" customFormat="false" ht="15" hidden="false" customHeight="false" outlineLevel="0" collapsed="false">
      <c r="A772" s="4" t="s">
        <v>1030</v>
      </c>
      <c r="B772" s="4" t="s">
        <v>18</v>
      </c>
      <c r="C772" s="4" t="s">
        <v>956</v>
      </c>
      <c r="D772" s="4" t="s">
        <v>62</v>
      </c>
      <c r="E772" s="4" t="s">
        <v>21</v>
      </c>
      <c r="F772" s="5" t="n">
        <v>50949.86</v>
      </c>
      <c r="G772" s="6" t="n">
        <v>0.05</v>
      </c>
      <c r="H772" s="5" t="n">
        <v>2547.49</v>
      </c>
      <c r="I772" s="5" t="n">
        <v>53497.35</v>
      </c>
    </row>
    <row r="773" customFormat="false" ht="15" hidden="false" customHeight="false" outlineLevel="0" collapsed="false">
      <c r="A773" s="4" t="s">
        <v>1031</v>
      </c>
      <c r="B773" s="4" t="s">
        <v>18</v>
      </c>
      <c r="C773" s="4" t="s">
        <v>986</v>
      </c>
      <c r="D773" s="4" t="s">
        <v>37</v>
      </c>
      <c r="E773" s="4" t="s">
        <v>21</v>
      </c>
      <c r="F773" s="5" t="n">
        <v>80466.96</v>
      </c>
      <c r="G773" s="6" t="n">
        <v>0.05</v>
      </c>
      <c r="H773" s="5" t="n">
        <v>4023.35</v>
      </c>
      <c r="I773" s="5" t="n">
        <v>84490.31</v>
      </c>
    </row>
    <row r="774" customFormat="false" ht="15" hidden="false" customHeight="false" outlineLevel="0" collapsed="false">
      <c r="A774" s="4" t="s">
        <v>1032</v>
      </c>
      <c r="B774" s="4" t="s">
        <v>18</v>
      </c>
      <c r="C774" s="4" t="s">
        <v>958</v>
      </c>
      <c r="D774" s="4" t="s">
        <v>88</v>
      </c>
      <c r="E774" s="4" t="s">
        <v>21</v>
      </c>
      <c r="F774" s="5" t="n">
        <v>75673.96</v>
      </c>
      <c r="G774" s="6" t="n">
        <v>0.05</v>
      </c>
      <c r="H774" s="5" t="n">
        <v>3783.7</v>
      </c>
      <c r="I774" s="5" t="n">
        <v>79457.66</v>
      </c>
    </row>
    <row r="775" customFormat="false" ht="15" hidden="false" customHeight="false" outlineLevel="0" collapsed="false">
      <c r="A775" s="4" t="s">
        <v>1033</v>
      </c>
      <c r="B775" s="4" t="s">
        <v>18</v>
      </c>
      <c r="C775" s="4" t="s">
        <v>950</v>
      </c>
      <c r="D775" s="4" t="s">
        <v>70</v>
      </c>
      <c r="E775" s="4" t="s">
        <v>21</v>
      </c>
      <c r="F775" s="5" t="n">
        <v>42395.84</v>
      </c>
      <c r="G775" s="6" t="n">
        <v>0.05</v>
      </c>
      <c r="H775" s="5" t="n">
        <v>2119.79</v>
      </c>
      <c r="I775" s="5" t="n">
        <v>44515.63</v>
      </c>
    </row>
    <row r="776" customFormat="false" ht="15" hidden="false" customHeight="false" outlineLevel="0" collapsed="false">
      <c r="A776" s="4" t="s">
        <v>1034</v>
      </c>
      <c r="B776" s="4" t="s">
        <v>18</v>
      </c>
      <c r="C776" s="4" t="s">
        <v>1021</v>
      </c>
      <c r="D776" s="4" t="s">
        <v>31</v>
      </c>
      <c r="E776" s="4" t="s">
        <v>21</v>
      </c>
      <c r="F776" s="5" t="n">
        <v>41048.24</v>
      </c>
      <c r="G776" s="6" t="n">
        <v>0.05</v>
      </c>
      <c r="H776" s="5" t="n">
        <v>2052.41</v>
      </c>
      <c r="I776" s="5" t="n">
        <v>43100.65</v>
      </c>
    </row>
    <row r="777" customFormat="false" ht="15" hidden="false" customHeight="false" outlineLevel="0" collapsed="false">
      <c r="A777" s="4" t="s">
        <v>1035</v>
      </c>
      <c r="B777" s="4" t="s">
        <v>18</v>
      </c>
      <c r="C777" s="4" t="s">
        <v>1029</v>
      </c>
      <c r="D777" s="4" t="s">
        <v>78</v>
      </c>
      <c r="E777" s="4" t="s">
        <v>21</v>
      </c>
      <c r="F777" s="5" t="n">
        <v>54448.98</v>
      </c>
      <c r="G777" s="6" t="n">
        <v>0.05</v>
      </c>
      <c r="H777" s="5" t="n">
        <v>2722.45</v>
      </c>
      <c r="I777" s="5" t="n">
        <v>57171.43</v>
      </c>
    </row>
    <row r="778" customFormat="false" ht="15" hidden="false" customHeight="false" outlineLevel="0" collapsed="false">
      <c r="A778" s="4" t="s">
        <v>1036</v>
      </c>
      <c r="B778" s="4" t="s">
        <v>18</v>
      </c>
      <c r="C778" s="4" t="s">
        <v>977</v>
      </c>
      <c r="D778" s="4" t="s">
        <v>20</v>
      </c>
      <c r="E778" s="4" t="s">
        <v>21</v>
      </c>
      <c r="F778" s="5" t="n">
        <v>67811.98</v>
      </c>
      <c r="G778" s="6" t="n">
        <v>0.05</v>
      </c>
      <c r="H778" s="5" t="n">
        <v>3390.6</v>
      </c>
      <c r="I778" s="5" t="n">
        <v>71202.58</v>
      </c>
    </row>
    <row r="779" customFormat="false" ht="15" hidden="false" customHeight="false" outlineLevel="0" collapsed="false">
      <c r="A779" s="4" t="s">
        <v>1037</v>
      </c>
      <c r="B779" s="4" t="s">
        <v>18</v>
      </c>
      <c r="C779" s="4" t="s">
        <v>950</v>
      </c>
      <c r="D779" s="4" t="s">
        <v>45</v>
      </c>
      <c r="E779" s="4" t="s">
        <v>21</v>
      </c>
      <c r="F779" s="5" t="n">
        <v>91914</v>
      </c>
      <c r="G779" s="6" t="n">
        <v>0.05</v>
      </c>
      <c r="H779" s="5" t="n">
        <v>4595.7</v>
      </c>
      <c r="I779" s="5" t="n">
        <v>96509.7</v>
      </c>
    </row>
    <row r="780" customFormat="false" ht="15" hidden="false" customHeight="false" outlineLevel="0" collapsed="false">
      <c r="A780" s="4" t="s">
        <v>1038</v>
      </c>
      <c r="B780" s="4" t="s">
        <v>18</v>
      </c>
      <c r="C780" s="4" t="s">
        <v>1018</v>
      </c>
      <c r="D780" s="4" t="s">
        <v>59</v>
      </c>
      <c r="E780" s="4" t="s">
        <v>21</v>
      </c>
      <c r="F780" s="5" t="n">
        <v>63808.01</v>
      </c>
      <c r="G780" s="6" t="n">
        <v>0.05</v>
      </c>
      <c r="H780" s="5" t="n">
        <v>3190.4</v>
      </c>
      <c r="I780" s="5" t="n">
        <v>66998.41</v>
      </c>
    </row>
    <row r="781" customFormat="false" ht="15" hidden="false" customHeight="false" outlineLevel="0" collapsed="false">
      <c r="A781" s="4" t="s">
        <v>1039</v>
      </c>
      <c r="B781" s="4" t="s">
        <v>18</v>
      </c>
      <c r="C781" s="4" t="s">
        <v>995</v>
      </c>
      <c r="D781" s="4" t="s">
        <v>70</v>
      </c>
      <c r="E781" s="4" t="s">
        <v>21</v>
      </c>
      <c r="F781" s="5" t="n">
        <v>51179.86</v>
      </c>
      <c r="G781" s="6" t="n">
        <v>0.05</v>
      </c>
      <c r="H781" s="5" t="n">
        <v>2558.99</v>
      </c>
      <c r="I781" s="5" t="n">
        <v>53738.85</v>
      </c>
    </row>
    <row r="782" customFormat="false" ht="15" hidden="false" customHeight="false" outlineLevel="0" collapsed="false">
      <c r="A782" s="4" t="s">
        <v>1040</v>
      </c>
      <c r="B782" s="4" t="s">
        <v>18</v>
      </c>
      <c r="C782" s="4" t="s">
        <v>1011</v>
      </c>
      <c r="D782" s="4" t="s">
        <v>78</v>
      </c>
      <c r="E782" s="4" t="s">
        <v>21</v>
      </c>
      <c r="F782" s="5" t="n">
        <v>13294.57</v>
      </c>
      <c r="G782" s="6" t="n">
        <v>0.05</v>
      </c>
      <c r="H782" s="5" t="n">
        <v>664.73</v>
      </c>
      <c r="I782" s="5" t="n">
        <v>13959.3</v>
      </c>
    </row>
    <row r="783" customFormat="false" ht="15" hidden="false" customHeight="false" outlineLevel="0" collapsed="false">
      <c r="A783" s="4" t="s">
        <v>1041</v>
      </c>
      <c r="B783" s="4" t="s">
        <v>18</v>
      </c>
      <c r="C783" s="4" t="s">
        <v>970</v>
      </c>
      <c r="D783" s="4" t="s">
        <v>20</v>
      </c>
      <c r="E783" s="4" t="s">
        <v>21</v>
      </c>
      <c r="F783" s="5" t="n">
        <v>44905.47</v>
      </c>
      <c r="G783" s="6" t="n">
        <v>0.05</v>
      </c>
      <c r="H783" s="5" t="n">
        <v>2245.27</v>
      </c>
      <c r="I783" s="5" t="n">
        <v>47150.74</v>
      </c>
    </row>
    <row r="784" customFormat="false" ht="15" hidden="false" customHeight="false" outlineLevel="0" collapsed="false">
      <c r="A784" s="4" t="s">
        <v>1042</v>
      </c>
      <c r="B784" s="4" t="s">
        <v>18</v>
      </c>
      <c r="C784" s="4" t="s">
        <v>986</v>
      </c>
      <c r="D784" s="4" t="s">
        <v>34</v>
      </c>
      <c r="E784" s="4" t="s">
        <v>21</v>
      </c>
      <c r="F784" s="5" t="n">
        <v>8810.04</v>
      </c>
      <c r="G784" s="6" t="n">
        <v>0.05</v>
      </c>
      <c r="H784" s="5" t="n">
        <v>440.5</v>
      </c>
      <c r="I784" s="5" t="n">
        <v>9250.54</v>
      </c>
    </row>
    <row r="785" customFormat="false" ht="15" hidden="false" customHeight="false" outlineLevel="0" collapsed="false">
      <c r="A785" s="4" t="s">
        <v>1043</v>
      </c>
      <c r="B785" s="4" t="s">
        <v>18</v>
      </c>
      <c r="C785" s="4" t="s">
        <v>1044</v>
      </c>
      <c r="D785" s="4" t="s">
        <v>59</v>
      </c>
      <c r="E785" s="4" t="s">
        <v>21</v>
      </c>
      <c r="F785" s="5" t="n">
        <v>77566.79</v>
      </c>
      <c r="G785" s="6" t="n">
        <v>0.05</v>
      </c>
      <c r="H785" s="5" t="n">
        <v>3878.34</v>
      </c>
      <c r="I785" s="5" t="n">
        <v>81445.13</v>
      </c>
    </row>
    <row r="786" customFormat="false" ht="15" hidden="false" customHeight="false" outlineLevel="0" collapsed="false">
      <c r="A786" s="4" t="s">
        <v>1045</v>
      </c>
      <c r="B786" s="4" t="s">
        <v>18</v>
      </c>
      <c r="C786" s="4" t="s">
        <v>1026</v>
      </c>
      <c r="D786" s="4" t="s">
        <v>56</v>
      </c>
      <c r="E786" s="4" t="s">
        <v>28</v>
      </c>
      <c r="F786" s="5" t="n">
        <v>10133.93</v>
      </c>
      <c r="G786" s="6" t="n">
        <v>0</v>
      </c>
      <c r="H786" s="5" t="n">
        <v>0</v>
      </c>
      <c r="I786" s="5" t="n">
        <v>10133.93</v>
      </c>
    </row>
    <row r="787" customFormat="false" ht="15" hidden="false" customHeight="false" outlineLevel="0" collapsed="false">
      <c r="A787" s="4" t="s">
        <v>1046</v>
      </c>
      <c r="B787" s="4" t="s">
        <v>120</v>
      </c>
      <c r="C787" s="4" t="s">
        <v>995</v>
      </c>
      <c r="D787" s="4" t="s">
        <v>144</v>
      </c>
      <c r="E787" s="4" t="s">
        <v>21</v>
      </c>
      <c r="F787" s="5" t="n">
        <v>12877.44</v>
      </c>
      <c r="G787" s="6" t="n">
        <v>0.05</v>
      </c>
      <c r="H787" s="5" t="n">
        <v>643.87</v>
      </c>
      <c r="I787" s="5" t="n">
        <v>13521.31</v>
      </c>
    </row>
    <row r="788" customFormat="false" ht="15" hidden="false" customHeight="false" outlineLevel="0" collapsed="false">
      <c r="A788" s="4" t="s">
        <v>1047</v>
      </c>
      <c r="B788" s="4" t="s">
        <v>120</v>
      </c>
      <c r="C788" s="4" t="s">
        <v>1021</v>
      </c>
      <c r="D788" s="4" t="s">
        <v>130</v>
      </c>
      <c r="E788" s="4" t="s">
        <v>21</v>
      </c>
      <c r="F788" s="5" t="n">
        <v>8304.2</v>
      </c>
      <c r="G788" s="6" t="n">
        <v>0.05</v>
      </c>
      <c r="H788" s="5" t="n">
        <v>415.21</v>
      </c>
      <c r="I788" s="5" t="n">
        <v>8719.41</v>
      </c>
    </row>
    <row r="789" customFormat="false" ht="15" hidden="false" customHeight="false" outlineLevel="0" collapsed="false">
      <c r="A789" s="4" t="s">
        <v>1048</v>
      </c>
      <c r="B789" s="4" t="s">
        <v>120</v>
      </c>
      <c r="C789" s="4" t="s">
        <v>975</v>
      </c>
      <c r="D789" s="4" t="s">
        <v>155</v>
      </c>
      <c r="E789" s="4" t="s">
        <v>21</v>
      </c>
      <c r="F789" s="5" t="n">
        <v>26460.05</v>
      </c>
      <c r="G789" s="6" t="n">
        <v>0.05</v>
      </c>
      <c r="H789" s="5" t="n">
        <v>1323</v>
      </c>
      <c r="I789" s="5" t="n">
        <v>27783.05</v>
      </c>
    </row>
    <row r="790" customFormat="false" ht="15" hidden="false" customHeight="false" outlineLevel="0" collapsed="false">
      <c r="A790" s="4" t="s">
        <v>1049</v>
      </c>
      <c r="B790" s="4" t="s">
        <v>120</v>
      </c>
      <c r="C790" s="4" t="s">
        <v>995</v>
      </c>
      <c r="D790" s="4" t="s">
        <v>133</v>
      </c>
      <c r="E790" s="4" t="s">
        <v>21</v>
      </c>
      <c r="F790" s="5" t="n">
        <v>20899.02</v>
      </c>
      <c r="G790" s="6" t="n">
        <v>0.05</v>
      </c>
      <c r="H790" s="5" t="n">
        <v>1044.95</v>
      </c>
      <c r="I790" s="5" t="n">
        <v>21943.97</v>
      </c>
    </row>
    <row r="791" customFormat="false" ht="15" hidden="false" customHeight="false" outlineLevel="0" collapsed="false">
      <c r="A791" s="4" t="s">
        <v>1050</v>
      </c>
      <c r="B791" s="4" t="s">
        <v>120</v>
      </c>
      <c r="C791" s="4" t="s">
        <v>954</v>
      </c>
      <c r="D791" s="4" t="s">
        <v>144</v>
      </c>
      <c r="E791" s="4" t="s">
        <v>28</v>
      </c>
      <c r="F791" s="5" t="n">
        <v>38019.27</v>
      </c>
      <c r="G791" s="6" t="n">
        <v>0</v>
      </c>
      <c r="H791" s="5" t="n">
        <v>0</v>
      </c>
      <c r="I791" s="5" t="n">
        <v>38019.27</v>
      </c>
    </row>
    <row r="792" customFormat="false" ht="15" hidden="false" customHeight="false" outlineLevel="0" collapsed="false">
      <c r="A792" s="4" t="s">
        <v>1051</v>
      </c>
      <c r="B792" s="4" t="s">
        <v>120</v>
      </c>
      <c r="C792" s="4" t="s">
        <v>1018</v>
      </c>
      <c r="D792" s="4" t="s">
        <v>127</v>
      </c>
      <c r="E792" s="4" t="s">
        <v>21</v>
      </c>
      <c r="F792" s="5" t="n">
        <v>17772.15</v>
      </c>
      <c r="G792" s="6" t="n">
        <v>0.05</v>
      </c>
      <c r="H792" s="5" t="n">
        <v>888.61</v>
      </c>
      <c r="I792" s="5" t="n">
        <v>18660.76</v>
      </c>
    </row>
    <row r="793" customFormat="false" ht="15" hidden="false" customHeight="false" outlineLevel="0" collapsed="false">
      <c r="A793" s="4" t="s">
        <v>1052</v>
      </c>
      <c r="B793" s="4" t="s">
        <v>120</v>
      </c>
      <c r="C793" s="4" t="s">
        <v>967</v>
      </c>
      <c r="D793" s="4" t="s">
        <v>123</v>
      </c>
      <c r="E793" s="4" t="s">
        <v>21</v>
      </c>
      <c r="F793" s="5" t="n">
        <v>26337.19</v>
      </c>
      <c r="G793" s="6" t="n">
        <v>0.05</v>
      </c>
      <c r="H793" s="5" t="n">
        <v>1316.86</v>
      </c>
      <c r="I793" s="5" t="n">
        <v>27654.05</v>
      </c>
    </row>
    <row r="794" customFormat="false" ht="15" hidden="false" customHeight="false" outlineLevel="0" collapsed="false">
      <c r="A794" s="4" t="s">
        <v>1053</v>
      </c>
      <c r="B794" s="4" t="s">
        <v>120</v>
      </c>
      <c r="C794" s="4" t="s">
        <v>977</v>
      </c>
      <c r="D794" s="4" t="s">
        <v>130</v>
      </c>
      <c r="E794" s="4" t="s">
        <v>28</v>
      </c>
      <c r="F794" s="5" t="n">
        <v>17155.6</v>
      </c>
      <c r="G794" s="6" t="n">
        <v>0</v>
      </c>
      <c r="H794" s="5" t="n">
        <v>0</v>
      </c>
      <c r="I794" s="5" t="n">
        <v>17155.6</v>
      </c>
    </row>
    <row r="795" customFormat="false" ht="15" hidden="false" customHeight="false" outlineLevel="0" collapsed="false">
      <c r="A795" s="4" t="s">
        <v>1054</v>
      </c>
      <c r="B795" s="4" t="s">
        <v>120</v>
      </c>
      <c r="C795" s="4" t="s">
        <v>986</v>
      </c>
      <c r="D795" s="4" t="s">
        <v>130</v>
      </c>
      <c r="E795" s="4" t="s">
        <v>21</v>
      </c>
      <c r="F795" s="5" t="n">
        <v>14033.29</v>
      </c>
      <c r="G795" s="6" t="n">
        <v>0.05</v>
      </c>
      <c r="H795" s="5" t="n">
        <v>701.66</v>
      </c>
      <c r="I795" s="5" t="n">
        <v>14734.95</v>
      </c>
    </row>
    <row r="796" customFormat="false" ht="15" hidden="false" customHeight="false" outlineLevel="0" collapsed="false">
      <c r="A796" s="4" t="s">
        <v>1055</v>
      </c>
      <c r="B796" s="4" t="s">
        <v>120</v>
      </c>
      <c r="C796" s="4" t="s">
        <v>956</v>
      </c>
      <c r="D796" s="4" t="s">
        <v>123</v>
      </c>
      <c r="E796" s="4" t="s">
        <v>21</v>
      </c>
      <c r="F796" s="5" t="n">
        <v>22199.74</v>
      </c>
      <c r="G796" s="6" t="n">
        <v>0.05</v>
      </c>
      <c r="H796" s="5" t="n">
        <v>1109.99</v>
      </c>
      <c r="I796" s="5" t="n">
        <v>23309.73</v>
      </c>
    </row>
    <row r="797" customFormat="false" ht="15" hidden="false" customHeight="false" outlineLevel="0" collapsed="false">
      <c r="A797" s="4" t="s">
        <v>1056</v>
      </c>
      <c r="B797" s="4" t="s">
        <v>120</v>
      </c>
      <c r="C797" s="4" t="s">
        <v>999</v>
      </c>
      <c r="D797" s="4" t="s">
        <v>144</v>
      </c>
      <c r="E797" s="4" t="s">
        <v>28</v>
      </c>
      <c r="F797" s="5" t="n">
        <v>28747.47</v>
      </c>
      <c r="G797" s="6" t="n">
        <v>0</v>
      </c>
      <c r="H797" s="5" t="n">
        <v>0</v>
      </c>
      <c r="I797" s="5" t="n">
        <v>28747.47</v>
      </c>
    </row>
    <row r="798" customFormat="false" ht="15" hidden="false" customHeight="false" outlineLevel="0" collapsed="false">
      <c r="A798" s="4" t="s">
        <v>1057</v>
      </c>
      <c r="B798" s="4" t="s">
        <v>120</v>
      </c>
      <c r="C798" s="4" t="s">
        <v>999</v>
      </c>
      <c r="D798" s="4" t="s">
        <v>130</v>
      </c>
      <c r="E798" s="4" t="s">
        <v>21</v>
      </c>
      <c r="F798" s="5" t="n">
        <v>3655.1</v>
      </c>
      <c r="G798" s="6" t="n">
        <v>0.05</v>
      </c>
      <c r="H798" s="5" t="n">
        <v>182.75</v>
      </c>
      <c r="I798" s="5" t="n">
        <v>3837.85</v>
      </c>
    </row>
    <row r="799" customFormat="false" ht="15" hidden="false" customHeight="false" outlineLevel="0" collapsed="false">
      <c r="A799" s="4" t="s">
        <v>1058</v>
      </c>
      <c r="B799" s="4" t="s">
        <v>120</v>
      </c>
      <c r="C799" s="4" t="s">
        <v>973</v>
      </c>
      <c r="D799" s="4" t="s">
        <v>133</v>
      </c>
      <c r="E799" s="4" t="s">
        <v>28</v>
      </c>
      <c r="F799" s="5" t="n">
        <v>16320.87</v>
      </c>
      <c r="G799" s="6" t="n">
        <v>0</v>
      </c>
      <c r="H799" s="5" t="n">
        <v>0</v>
      </c>
      <c r="I799" s="5" t="n">
        <v>16320.87</v>
      </c>
    </row>
    <row r="800" customFormat="false" ht="15" hidden="false" customHeight="false" outlineLevel="0" collapsed="false">
      <c r="A800" s="4" t="s">
        <v>1059</v>
      </c>
      <c r="B800" s="4" t="s">
        <v>120</v>
      </c>
      <c r="C800" s="4" t="s">
        <v>984</v>
      </c>
      <c r="D800" s="4" t="s">
        <v>127</v>
      </c>
      <c r="E800" s="4" t="s">
        <v>21</v>
      </c>
      <c r="F800" s="5" t="n">
        <v>35118.52</v>
      </c>
      <c r="G800" s="6" t="n">
        <v>0.05</v>
      </c>
      <c r="H800" s="5" t="n">
        <v>1755.93</v>
      </c>
      <c r="I800" s="5" t="n">
        <v>36874.45</v>
      </c>
    </row>
    <row r="801" customFormat="false" ht="15" hidden="false" customHeight="false" outlineLevel="0" collapsed="false">
      <c r="A801" s="4" t="s">
        <v>1060</v>
      </c>
      <c r="B801" s="4" t="s">
        <v>120</v>
      </c>
      <c r="C801" s="4" t="s">
        <v>992</v>
      </c>
      <c r="D801" s="4" t="s">
        <v>123</v>
      </c>
      <c r="E801" s="4" t="s">
        <v>21</v>
      </c>
      <c r="F801" s="5" t="n">
        <v>24957.28</v>
      </c>
      <c r="G801" s="6" t="n">
        <v>0.05</v>
      </c>
      <c r="H801" s="5" t="n">
        <v>1247.86</v>
      </c>
      <c r="I801" s="5" t="n">
        <v>26205.14</v>
      </c>
    </row>
    <row r="802" customFormat="false" ht="15" hidden="false" customHeight="false" outlineLevel="0" collapsed="false">
      <c r="A802" s="4" t="s">
        <v>1061</v>
      </c>
      <c r="B802" s="4" t="s">
        <v>120</v>
      </c>
      <c r="C802" s="4" t="s">
        <v>999</v>
      </c>
      <c r="D802" s="4" t="s">
        <v>149</v>
      </c>
      <c r="E802" s="4" t="s">
        <v>28</v>
      </c>
      <c r="F802" s="5" t="n">
        <v>32088.96</v>
      </c>
      <c r="G802" s="6" t="n">
        <v>0</v>
      </c>
      <c r="H802" s="5" t="n">
        <v>0</v>
      </c>
      <c r="I802" s="5" t="n">
        <v>32088.96</v>
      </c>
    </row>
    <row r="803" customFormat="false" ht="15" hidden="false" customHeight="false" outlineLevel="0" collapsed="false">
      <c r="A803" s="4" t="s">
        <v>1062</v>
      </c>
      <c r="B803" s="4" t="s">
        <v>120</v>
      </c>
      <c r="C803" s="4" t="s">
        <v>992</v>
      </c>
      <c r="D803" s="4" t="s">
        <v>133</v>
      </c>
      <c r="E803" s="4" t="s">
        <v>28</v>
      </c>
      <c r="F803" s="5" t="n">
        <v>37458.29</v>
      </c>
      <c r="G803" s="6" t="n">
        <v>0</v>
      </c>
      <c r="H803" s="5" t="n">
        <v>0</v>
      </c>
      <c r="I803" s="5" t="n">
        <v>37458.29</v>
      </c>
    </row>
    <row r="804" customFormat="false" ht="15" hidden="false" customHeight="false" outlineLevel="0" collapsed="false">
      <c r="A804" s="4" t="s">
        <v>1063</v>
      </c>
      <c r="B804" s="4" t="s">
        <v>120</v>
      </c>
      <c r="C804" s="4" t="s">
        <v>1011</v>
      </c>
      <c r="D804" s="4" t="s">
        <v>133</v>
      </c>
      <c r="E804" s="4" t="s">
        <v>21</v>
      </c>
      <c r="F804" s="5" t="n">
        <v>19133.81</v>
      </c>
      <c r="G804" s="6" t="n">
        <v>0.05</v>
      </c>
      <c r="H804" s="5" t="n">
        <v>956.69</v>
      </c>
      <c r="I804" s="5" t="n">
        <v>20090.5</v>
      </c>
    </row>
    <row r="805" customFormat="false" ht="15" hidden="false" customHeight="false" outlineLevel="0" collapsed="false">
      <c r="A805" s="4" t="s">
        <v>1064</v>
      </c>
      <c r="B805" s="4" t="s">
        <v>120</v>
      </c>
      <c r="C805" s="4" t="s">
        <v>1021</v>
      </c>
      <c r="D805" s="4" t="s">
        <v>130</v>
      </c>
      <c r="E805" s="4" t="s">
        <v>21</v>
      </c>
      <c r="F805" s="5" t="n">
        <v>2344.92</v>
      </c>
      <c r="G805" s="6" t="n">
        <v>0.05</v>
      </c>
      <c r="H805" s="5" t="n">
        <v>117.25</v>
      </c>
      <c r="I805" s="5" t="n">
        <v>2462.17</v>
      </c>
    </row>
    <row r="806" customFormat="false" ht="15" hidden="false" customHeight="false" outlineLevel="0" collapsed="false">
      <c r="A806" s="4" t="s">
        <v>1065</v>
      </c>
      <c r="B806" s="4" t="s">
        <v>120</v>
      </c>
      <c r="C806" s="4" t="s">
        <v>954</v>
      </c>
      <c r="D806" s="4" t="s">
        <v>125</v>
      </c>
      <c r="E806" s="4" t="s">
        <v>21</v>
      </c>
      <c r="F806" s="5" t="n">
        <v>34301.39</v>
      </c>
      <c r="G806" s="6" t="n">
        <v>0.05</v>
      </c>
      <c r="H806" s="5" t="n">
        <v>1715.07</v>
      </c>
      <c r="I806" s="5" t="n">
        <v>36016.46</v>
      </c>
    </row>
    <row r="807" customFormat="false" ht="15" hidden="false" customHeight="false" outlineLevel="0" collapsed="false">
      <c r="A807" s="4" t="s">
        <v>1066</v>
      </c>
      <c r="B807" s="4" t="s">
        <v>120</v>
      </c>
      <c r="C807" s="4" t="s">
        <v>963</v>
      </c>
      <c r="D807" s="4" t="s">
        <v>133</v>
      </c>
      <c r="E807" s="4" t="s">
        <v>28</v>
      </c>
      <c r="F807" s="5" t="n">
        <v>4283.59</v>
      </c>
      <c r="G807" s="6" t="n">
        <v>0</v>
      </c>
      <c r="H807" s="5" t="n">
        <v>0</v>
      </c>
      <c r="I807" s="5" t="n">
        <v>4283.59</v>
      </c>
    </row>
    <row r="808" customFormat="false" ht="15" hidden="false" customHeight="false" outlineLevel="0" collapsed="false">
      <c r="A808" s="4" t="s">
        <v>1067</v>
      </c>
      <c r="B808" s="4" t="s">
        <v>120</v>
      </c>
      <c r="C808" s="4" t="s">
        <v>956</v>
      </c>
      <c r="D808" s="4" t="s">
        <v>144</v>
      </c>
      <c r="E808" s="4" t="s">
        <v>21</v>
      </c>
      <c r="F808" s="5" t="n">
        <v>31450.37</v>
      </c>
      <c r="G808" s="6" t="n">
        <v>0.05</v>
      </c>
      <c r="H808" s="5" t="n">
        <v>1572.52</v>
      </c>
      <c r="I808" s="5" t="n">
        <v>33022.89</v>
      </c>
    </row>
    <row r="809" customFormat="false" ht="15" hidden="false" customHeight="false" outlineLevel="0" collapsed="false">
      <c r="A809" s="4" t="s">
        <v>1068</v>
      </c>
      <c r="B809" s="4" t="s">
        <v>120</v>
      </c>
      <c r="C809" s="4" t="s">
        <v>967</v>
      </c>
      <c r="D809" s="4" t="s">
        <v>125</v>
      </c>
      <c r="E809" s="4" t="s">
        <v>21</v>
      </c>
      <c r="F809" s="5" t="n">
        <v>39702.78</v>
      </c>
      <c r="G809" s="6" t="n">
        <v>0.05</v>
      </c>
      <c r="H809" s="5" t="n">
        <v>1985.14</v>
      </c>
      <c r="I809" s="5" t="n">
        <v>41687.92</v>
      </c>
    </row>
    <row r="810" customFormat="false" ht="15" hidden="false" customHeight="false" outlineLevel="0" collapsed="false">
      <c r="A810" s="4" t="s">
        <v>1069</v>
      </c>
      <c r="B810" s="4" t="s">
        <v>120</v>
      </c>
      <c r="C810" s="4" t="s">
        <v>960</v>
      </c>
      <c r="D810" s="4" t="s">
        <v>121</v>
      </c>
      <c r="E810" s="4" t="s">
        <v>21</v>
      </c>
      <c r="F810" s="5" t="n">
        <v>5761.2</v>
      </c>
      <c r="G810" s="6" t="n">
        <v>0.05</v>
      </c>
      <c r="H810" s="5" t="n">
        <v>288.06</v>
      </c>
      <c r="I810" s="5" t="n">
        <v>6049.26</v>
      </c>
    </row>
    <row r="811" customFormat="false" ht="15" hidden="false" customHeight="false" outlineLevel="0" collapsed="false">
      <c r="A811" s="4" t="s">
        <v>1070</v>
      </c>
      <c r="B811" s="4" t="s">
        <v>120</v>
      </c>
      <c r="C811" s="4" t="s">
        <v>1026</v>
      </c>
      <c r="D811" s="4" t="s">
        <v>146</v>
      </c>
      <c r="E811" s="4" t="s">
        <v>28</v>
      </c>
      <c r="F811" s="5" t="n">
        <v>16651.76</v>
      </c>
      <c r="G811" s="6" t="n">
        <v>0</v>
      </c>
      <c r="H811" s="5" t="n">
        <v>0</v>
      </c>
      <c r="I811" s="5" t="n">
        <v>16651.76</v>
      </c>
    </row>
    <row r="812" customFormat="false" ht="15" hidden="false" customHeight="false" outlineLevel="0" collapsed="false">
      <c r="A812" s="4" t="s">
        <v>1071</v>
      </c>
      <c r="B812" s="4" t="s">
        <v>120</v>
      </c>
      <c r="C812" s="4" t="s">
        <v>1013</v>
      </c>
      <c r="D812" s="4" t="s">
        <v>133</v>
      </c>
      <c r="E812" s="4" t="s">
        <v>21</v>
      </c>
      <c r="F812" s="5" t="n">
        <v>8225.33</v>
      </c>
      <c r="G812" s="6" t="n">
        <v>0.05</v>
      </c>
      <c r="H812" s="5" t="n">
        <v>411.27</v>
      </c>
      <c r="I812" s="5" t="n">
        <v>8636.6</v>
      </c>
    </row>
    <row r="813" customFormat="false" ht="15" hidden="false" customHeight="false" outlineLevel="0" collapsed="false">
      <c r="A813" s="4" t="s">
        <v>1072</v>
      </c>
      <c r="B813" s="4" t="s">
        <v>120</v>
      </c>
      <c r="C813" s="4" t="s">
        <v>956</v>
      </c>
      <c r="D813" s="4" t="s">
        <v>133</v>
      </c>
      <c r="E813" s="4" t="s">
        <v>28</v>
      </c>
      <c r="F813" s="5" t="n">
        <v>31159.41</v>
      </c>
      <c r="G813" s="6" t="n">
        <v>0</v>
      </c>
      <c r="H813" s="5" t="n">
        <v>0</v>
      </c>
      <c r="I813" s="5" t="n">
        <v>31159.41</v>
      </c>
    </row>
    <row r="814" customFormat="false" ht="15" hidden="false" customHeight="false" outlineLevel="0" collapsed="false">
      <c r="A814" s="4" t="s">
        <v>1073</v>
      </c>
      <c r="B814" s="4" t="s">
        <v>120</v>
      </c>
      <c r="C814" s="4" t="s">
        <v>958</v>
      </c>
      <c r="D814" s="4" t="s">
        <v>125</v>
      </c>
      <c r="E814" s="4" t="s">
        <v>21</v>
      </c>
      <c r="F814" s="5" t="n">
        <v>761.12</v>
      </c>
      <c r="G814" s="6" t="n">
        <v>0.05</v>
      </c>
      <c r="H814" s="5" t="n">
        <v>38.06</v>
      </c>
      <c r="I814" s="5" t="n">
        <v>799.18</v>
      </c>
    </row>
    <row r="815" customFormat="false" ht="15" hidden="false" customHeight="false" outlineLevel="0" collapsed="false">
      <c r="A815" s="4" t="s">
        <v>1074</v>
      </c>
      <c r="B815" s="4" t="s">
        <v>120</v>
      </c>
      <c r="C815" s="4" t="s">
        <v>965</v>
      </c>
      <c r="D815" s="4" t="s">
        <v>146</v>
      </c>
      <c r="E815" s="4" t="s">
        <v>28</v>
      </c>
      <c r="F815" s="5" t="n">
        <v>9899.61</v>
      </c>
      <c r="G815" s="6" t="n">
        <v>0</v>
      </c>
      <c r="H815" s="5" t="n">
        <v>0</v>
      </c>
      <c r="I815" s="5" t="n">
        <v>9899.61</v>
      </c>
    </row>
    <row r="816" customFormat="false" ht="15" hidden="false" customHeight="false" outlineLevel="0" collapsed="false">
      <c r="A816" s="4" t="s">
        <v>1075</v>
      </c>
      <c r="B816" s="4" t="s">
        <v>120</v>
      </c>
      <c r="C816" s="4" t="s">
        <v>956</v>
      </c>
      <c r="D816" s="4" t="s">
        <v>146</v>
      </c>
      <c r="E816" s="4" t="s">
        <v>21</v>
      </c>
      <c r="F816" s="5" t="n">
        <v>40198.4</v>
      </c>
      <c r="G816" s="6" t="n">
        <v>0.05</v>
      </c>
      <c r="H816" s="5" t="n">
        <v>2009.92</v>
      </c>
      <c r="I816" s="5" t="n">
        <v>42208.32</v>
      </c>
    </row>
    <row r="817" customFormat="false" ht="15" hidden="false" customHeight="false" outlineLevel="0" collapsed="false">
      <c r="A817" s="4" t="s">
        <v>1076</v>
      </c>
      <c r="B817" s="4" t="s">
        <v>120</v>
      </c>
      <c r="C817" s="4" t="s">
        <v>977</v>
      </c>
      <c r="D817" s="4" t="s">
        <v>121</v>
      </c>
      <c r="E817" s="4" t="s">
        <v>21</v>
      </c>
      <c r="F817" s="5" t="n">
        <v>28132.28</v>
      </c>
      <c r="G817" s="6" t="n">
        <v>0.05</v>
      </c>
      <c r="H817" s="5" t="n">
        <v>1406.61</v>
      </c>
      <c r="I817" s="5" t="n">
        <v>29538.89</v>
      </c>
    </row>
    <row r="818" customFormat="false" ht="15" hidden="false" customHeight="false" outlineLevel="0" collapsed="false">
      <c r="A818" s="4" t="s">
        <v>1077</v>
      </c>
      <c r="B818" s="4" t="s">
        <v>120</v>
      </c>
      <c r="C818" s="4" t="s">
        <v>1078</v>
      </c>
      <c r="D818" s="4" t="s">
        <v>125</v>
      </c>
      <c r="E818" s="4" t="s">
        <v>21</v>
      </c>
      <c r="F818" s="5" t="n">
        <v>26965.66</v>
      </c>
      <c r="G818" s="6" t="n">
        <v>0.05</v>
      </c>
      <c r="H818" s="5" t="n">
        <v>1348.28</v>
      </c>
      <c r="I818" s="5" t="n">
        <v>28313.94</v>
      </c>
    </row>
    <row r="819" customFormat="false" ht="15" hidden="false" customHeight="false" outlineLevel="0" collapsed="false">
      <c r="A819" s="4" t="s">
        <v>1079</v>
      </c>
      <c r="B819" s="4" t="s">
        <v>120</v>
      </c>
      <c r="C819" s="4" t="s">
        <v>1026</v>
      </c>
      <c r="D819" s="4" t="s">
        <v>130</v>
      </c>
      <c r="E819" s="4" t="s">
        <v>28</v>
      </c>
      <c r="F819" s="5" t="n">
        <v>10572.79</v>
      </c>
      <c r="G819" s="6" t="n">
        <v>0</v>
      </c>
      <c r="H819" s="5" t="n">
        <v>0</v>
      </c>
      <c r="I819" s="5" t="n">
        <v>10572.79</v>
      </c>
    </row>
    <row r="820" customFormat="false" ht="15" hidden="false" customHeight="false" outlineLevel="0" collapsed="false">
      <c r="A820" s="4" t="s">
        <v>1080</v>
      </c>
      <c r="B820" s="4" t="s">
        <v>120</v>
      </c>
      <c r="C820" s="4" t="s">
        <v>1013</v>
      </c>
      <c r="D820" s="4" t="s">
        <v>144</v>
      </c>
      <c r="E820" s="4" t="s">
        <v>21</v>
      </c>
      <c r="F820" s="5" t="n">
        <v>40092.65</v>
      </c>
      <c r="G820" s="6" t="n">
        <v>0.05</v>
      </c>
      <c r="H820" s="5" t="n">
        <v>2004.63</v>
      </c>
      <c r="I820" s="5" t="n">
        <v>42097.28</v>
      </c>
    </row>
    <row r="821" customFormat="false" ht="15" hidden="false" customHeight="false" outlineLevel="0" collapsed="false">
      <c r="A821" s="4" t="s">
        <v>1081</v>
      </c>
      <c r="B821" s="4" t="s">
        <v>120</v>
      </c>
      <c r="C821" s="4" t="s">
        <v>952</v>
      </c>
      <c r="D821" s="4" t="s">
        <v>146</v>
      </c>
      <c r="E821" s="4" t="s">
        <v>28</v>
      </c>
      <c r="F821" s="5" t="n">
        <v>27239.14</v>
      </c>
      <c r="G821" s="6" t="n">
        <v>0</v>
      </c>
      <c r="H821" s="5" t="n">
        <v>0</v>
      </c>
      <c r="I821" s="5" t="n">
        <v>27239.14</v>
      </c>
    </row>
    <row r="822" customFormat="false" ht="15" hidden="false" customHeight="false" outlineLevel="0" collapsed="false">
      <c r="A822" s="4" t="s">
        <v>1082</v>
      </c>
      <c r="B822" s="4" t="s">
        <v>120</v>
      </c>
      <c r="C822" s="4" t="s">
        <v>975</v>
      </c>
      <c r="D822" s="4" t="s">
        <v>127</v>
      </c>
      <c r="E822" s="4" t="s">
        <v>21</v>
      </c>
      <c r="F822" s="5" t="n">
        <v>11069.62</v>
      </c>
      <c r="G822" s="6" t="n">
        <v>0.05</v>
      </c>
      <c r="H822" s="5" t="n">
        <v>553.48</v>
      </c>
      <c r="I822" s="5" t="n">
        <v>11623.1</v>
      </c>
    </row>
    <row r="823" customFormat="false" ht="15" hidden="false" customHeight="false" outlineLevel="0" collapsed="false">
      <c r="A823" s="4" t="s">
        <v>1083</v>
      </c>
      <c r="B823" s="4" t="s">
        <v>120</v>
      </c>
      <c r="C823" s="4" t="s">
        <v>973</v>
      </c>
      <c r="D823" s="4" t="s">
        <v>130</v>
      </c>
      <c r="E823" s="4" t="s">
        <v>28</v>
      </c>
      <c r="F823" s="5" t="n">
        <v>15292.79</v>
      </c>
      <c r="G823" s="6" t="n">
        <v>0</v>
      </c>
      <c r="H823" s="5" t="n">
        <v>0</v>
      </c>
      <c r="I823" s="5" t="n">
        <v>15292.79</v>
      </c>
    </row>
    <row r="824" customFormat="false" ht="15" hidden="false" customHeight="false" outlineLevel="0" collapsed="false">
      <c r="A824" s="4" t="s">
        <v>1084</v>
      </c>
      <c r="B824" s="4" t="s">
        <v>120</v>
      </c>
      <c r="C824" s="4" t="s">
        <v>1013</v>
      </c>
      <c r="D824" s="4" t="s">
        <v>146</v>
      </c>
      <c r="E824" s="4" t="s">
        <v>21</v>
      </c>
      <c r="F824" s="5" t="n">
        <v>3027.17</v>
      </c>
      <c r="G824" s="6" t="n">
        <v>0.05</v>
      </c>
      <c r="H824" s="5" t="n">
        <v>151.36</v>
      </c>
      <c r="I824" s="5" t="n">
        <v>3178.53</v>
      </c>
    </row>
    <row r="825" customFormat="false" ht="15" hidden="false" customHeight="false" outlineLevel="0" collapsed="false">
      <c r="A825" s="4" t="s">
        <v>1085</v>
      </c>
      <c r="B825" s="4" t="s">
        <v>120</v>
      </c>
      <c r="C825" s="4" t="s">
        <v>989</v>
      </c>
      <c r="D825" s="4" t="s">
        <v>146</v>
      </c>
      <c r="E825" s="4" t="s">
        <v>21</v>
      </c>
      <c r="F825" s="5" t="n">
        <v>31436.76</v>
      </c>
      <c r="G825" s="6" t="n">
        <v>0.05</v>
      </c>
      <c r="H825" s="5" t="n">
        <v>1571.84</v>
      </c>
      <c r="I825" s="5" t="n">
        <v>33008.6</v>
      </c>
    </row>
    <row r="826" customFormat="false" ht="15" hidden="false" customHeight="false" outlineLevel="0" collapsed="false">
      <c r="A826" s="4" t="s">
        <v>1086</v>
      </c>
      <c r="B826" s="4" t="s">
        <v>120</v>
      </c>
      <c r="C826" s="4" t="s">
        <v>986</v>
      </c>
      <c r="D826" s="4" t="s">
        <v>144</v>
      </c>
      <c r="E826" s="4" t="s">
        <v>21</v>
      </c>
      <c r="F826" s="5" t="n">
        <v>23356.16</v>
      </c>
      <c r="G826" s="6" t="n">
        <v>0.05</v>
      </c>
      <c r="H826" s="5" t="n">
        <v>1167.81</v>
      </c>
      <c r="I826" s="5" t="n">
        <v>24523.97</v>
      </c>
    </row>
    <row r="827" customFormat="false" ht="15" hidden="false" customHeight="false" outlineLevel="0" collapsed="false">
      <c r="A827" s="4" t="s">
        <v>1087</v>
      </c>
      <c r="B827" s="4" t="s">
        <v>120</v>
      </c>
      <c r="C827" s="4" t="s">
        <v>999</v>
      </c>
      <c r="D827" s="4" t="s">
        <v>146</v>
      </c>
      <c r="E827" s="4" t="s">
        <v>21</v>
      </c>
      <c r="F827" s="5" t="n">
        <v>13455.16</v>
      </c>
      <c r="G827" s="6" t="n">
        <v>0.05</v>
      </c>
      <c r="H827" s="5" t="n">
        <v>672.76</v>
      </c>
      <c r="I827" s="5" t="n">
        <v>14127.92</v>
      </c>
    </row>
    <row r="828" customFormat="false" ht="15" hidden="false" customHeight="false" outlineLevel="0" collapsed="false">
      <c r="A828" s="4" t="s">
        <v>1088</v>
      </c>
      <c r="B828" s="4" t="s">
        <v>120</v>
      </c>
      <c r="C828" s="4" t="s">
        <v>1013</v>
      </c>
      <c r="D828" s="4" t="s">
        <v>123</v>
      </c>
      <c r="E828" s="4" t="s">
        <v>21</v>
      </c>
      <c r="F828" s="5" t="n">
        <v>32177.04</v>
      </c>
      <c r="G828" s="6" t="n">
        <v>0.05</v>
      </c>
      <c r="H828" s="5" t="n">
        <v>1608.85</v>
      </c>
      <c r="I828" s="5" t="n">
        <v>33785.89</v>
      </c>
    </row>
    <row r="829" customFormat="false" ht="15" hidden="false" customHeight="false" outlineLevel="0" collapsed="false">
      <c r="A829" s="4" t="s">
        <v>1089</v>
      </c>
      <c r="B829" s="4" t="s">
        <v>18</v>
      </c>
      <c r="C829" s="4" t="s">
        <v>1090</v>
      </c>
      <c r="D829" s="4" t="s">
        <v>78</v>
      </c>
      <c r="E829" s="4" t="s">
        <v>21</v>
      </c>
      <c r="F829" s="5" t="n">
        <v>30422.19</v>
      </c>
      <c r="G829" s="6" t="n">
        <v>0.05</v>
      </c>
      <c r="H829" s="5" t="n">
        <v>1521.11</v>
      </c>
      <c r="I829" s="5" t="n">
        <v>31943.3</v>
      </c>
    </row>
    <row r="830" customFormat="false" ht="15" hidden="false" customHeight="false" outlineLevel="0" collapsed="false">
      <c r="A830" s="4" t="s">
        <v>1091</v>
      </c>
      <c r="B830" s="4" t="s">
        <v>18</v>
      </c>
      <c r="C830" s="4" t="s">
        <v>1092</v>
      </c>
      <c r="D830" s="4" t="s">
        <v>88</v>
      </c>
      <c r="E830" s="4" t="s">
        <v>46</v>
      </c>
      <c r="F830" s="5" t="n">
        <v>70106.52</v>
      </c>
      <c r="G830" s="6" t="n">
        <v>0</v>
      </c>
      <c r="H830" s="5" t="n">
        <v>0</v>
      </c>
      <c r="I830" s="5" t="n">
        <v>70106.52</v>
      </c>
    </row>
    <row r="831" customFormat="false" ht="15" hidden="false" customHeight="false" outlineLevel="0" collapsed="false">
      <c r="A831" s="4" t="s">
        <v>1093</v>
      </c>
      <c r="B831" s="4" t="s">
        <v>18</v>
      </c>
      <c r="C831" s="4" t="s">
        <v>1094</v>
      </c>
      <c r="D831" s="4" t="s">
        <v>31</v>
      </c>
      <c r="E831" s="4" t="s">
        <v>21</v>
      </c>
      <c r="F831" s="5" t="n">
        <v>93280.46</v>
      </c>
      <c r="G831" s="6" t="n">
        <v>0.05</v>
      </c>
      <c r="H831" s="5" t="n">
        <v>4664.02</v>
      </c>
      <c r="I831" s="5" t="n">
        <v>97944.48</v>
      </c>
    </row>
    <row r="832" customFormat="false" ht="15" hidden="false" customHeight="false" outlineLevel="0" collapsed="false">
      <c r="A832" s="4" t="s">
        <v>1095</v>
      </c>
      <c r="B832" s="4" t="s">
        <v>18</v>
      </c>
      <c r="C832" s="4" t="s">
        <v>1096</v>
      </c>
      <c r="D832" s="4" t="s">
        <v>59</v>
      </c>
      <c r="E832" s="4" t="s">
        <v>28</v>
      </c>
      <c r="F832" s="5" t="n">
        <v>63080.75</v>
      </c>
      <c r="G832" s="6" t="n">
        <v>0</v>
      </c>
      <c r="H832" s="5" t="n">
        <v>0</v>
      </c>
      <c r="I832" s="5" t="n">
        <v>63080.75</v>
      </c>
    </row>
    <row r="833" customFormat="false" ht="15" hidden="false" customHeight="false" outlineLevel="0" collapsed="false">
      <c r="A833" s="4" t="s">
        <v>1097</v>
      </c>
      <c r="B833" s="4" t="s">
        <v>18</v>
      </c>
      <c r="C833" s="4" t="s">
        <v>1098</v>
      </c>
      <c r="D833" s="4" t="s">
        <v>37</v>
      </c>
      <c r="E833" s="4" t="s">
        <v>21</v>
      </c>
      <c r="F833" s="5" t="n">
        <v>41816.78</v>
      </c>
      <c r="G833" s="6" t="n">
        <v>0.05</v>
      </c>
      <c r="H833" s="5" t="n">
        <v>2090.84</v>
      </c>
      <c r="I833" s="5" t="n">
        <v>43907.62</v>
      </c>
    </row>
    <row r="834" customFormat="false" ht="15" hidden="false" customHeight="false" outlineLevel="0" collapsed="false">
      <c r="A834" s="4" t="s">
        <v>1099</v>
      </c>
      <c r="B834" s="4" t="s">
        <v>18</v>
      </c>
      <c r="C834" s="4" t="s">
        <v>1100</v>
      </c>
      <c r="D834" s="4" t="s">
        <v>88</v>
      </c>
      <c r="E834" s="4" t="s">
        <v>21</v>
      </c>
      <c r="F834" s="5" t="n">
        <v>36731.35</v>
      </c>
      <c r="G834" s="6" t="n">
        <v>0.05</v>
      </c>
      <c r="H834" s="5" t="n">
        <v>1836.57</v>
      </c>
      <c r="I834" s="5" t="n">
        <v>38567.92</v>
      </c>
    </row>
    <row r="835" customFormat="false" ht="15" hidden="false" customHeight="false" outlineLevel="0" collapsed="false">
      <c r="A835" s="4" t="s">
        <v>1101</v>
      </c>
      <c r="B835" s="4" t="s">
        <v>18</v>
      </c>
      <c r="C835" s="4" t="s">
        <v>1102</v>
      </c>
      <c r="D835" s="4" t="s">
        <v>24</v>
      </c>
      <c r="E835" s="4" t="s">
        <v>21</v>
      </c>
      <c r="F835" s="5" t="n">
        <v>40375.51</v>
      </c>
      <c r="G835" s="6" t="n">
        <v>0.05</v>
      </c>
      <c r="H835" s="5" t="n">
        <v>2018.78</v>
      </c>
      <c r="I835" s="5" t="n">
        <v>42394.29</v>
      </c>
    </row>
    <row r="836" customFormat="false" ht="15" hidden="false" customHeight="false" outlineLevel="0" collapsed="false">
      <c r="A836" s="4" t="s">
        <v>1103</v>
      </c>
      <c r="B836" s="4" t="s">
        <v>18</v>
      </c>
      <c r="C836" s="4" t="s">
        <v>1104</v>
      </c>
      <c r="D836" s="4" t="s">
        <v>59</v>
      </c>
      <c r="E836" s="4" t="s">
        <v>21</v>
      </c>
      <c r="F836" s="5" t="n">
        <v>52015.55</v>
      </c>
      <c r="G836" s="6" t="n">
        <v>0.05</v>
      </c>
      <c r="H836" s="5" t="n">
        <v>2600.78</v>
      </c>
      <c r="I836" s="5" t="n">
        <v>54616.33</v>
      </c>
    </row>
    <row r="837" customFormat="false" ht="15" hidden="false" customHeight="false" outlineLevel="0" collapsed="false">
      <c r="A837" s="4" t="s">
        <v>1105</v>
      </c>
      <c r="B837" s="4" t="s">
        <v>18</v>
      </c>
      <c r="C837" s="4" t="s">
        <v>1106</v>
      </c>
      <c r="D837" s="4" t="s">
        <v>50</v>
      </c>
      <c r="E837" s="4" t="s">
        <v>21</v>
      </c>
      <c r="F837" s="5" t="n">
        <v>38590.34</v>
      </c>
      <c r="G837" s="6" t="n">
        <v>0.05</v>
      </c>
      <c r="H837" s="5" t="n">
        <v>1929.52</v>
      </c>
      <c r="I837" s="5" t="n">
        <v>40519.86</v>
      </c>
    </row>
    <row r="838" customFormat="false" ht="15" hidden="false" customHeight="false" outlineLevel="0" collapsed="false">
      <c r="A838" s="4" t="s">
        <v>1107</v>
      </c>
      <c r="B838" s="4" t="s">
        <v>18</v>
      </c>
      <c r="C838" s="4" t="s">
        <v>1108</v>
      </c>
      <c r="D838" s="4" t="s">
        <v>27</v>
      </c>
      <c r="E838" s="4" t="s">
        <v>21</v>
      </c>
      <c r="F838" s="5" t="n">
        <v>50855.83</v>
      </c>
      <c r="G838" s="6" t="n">
        <v>0.05</v>
      </c>
      <c r="H838" s="5" t="n">
        <v>2542.79</v>
      </c>
      <c r="I838" s="5" t="n">
        <v>53398.62</v>
      </c>
    </row>
    <row r="839" customFormat="false" ht="15" hidden="false" customHeight="false" outlineLevel="0" collapsed="false">
      <c r="A839" s="4" t="s">
        <v>1109</v>
      </c>
      <c r="B839" s="4" t="s">
        <v>18</v>
      </c>
      <c r="C839" s="4" t="s">
        <v>1110</v>
      </c>
      <c r="D839" s="4" t="s">
        <v>56</v>
      </c>
      <c r="E839" s="4" t="s">
        <v>21</v>
      </c>
      <c r="F839" s="5" t="n">
        <v>49450.96</v>
      </c>
      <c r="G839" s="6" t="n">
        <v>0.05</v>
      </c>
      <c r="H839" s="5" t="n">
        <v>2472.55</v>
      </c>
      <c r="I839" s="5" t="n">
        <v>51923.51</v>
      </c>
    </row>
    <row r="840" customFormat="false" ht="15" hidden="false" customHeight="false" outlineLevel="0" collapsed="false">
      <c r="A840" s="4" t="s">
        <v>1111</v>
      </c>
      <c r="B840" s="4" t="s">
        <v>18</v>
      </c>
      <c r="C840" s="4" t="s">
        <v>1112</v>
      </c>
      <c r="D840" s="4" t="s">
        <v>34</v>
      </c>
      <c r="E840" s="4" t="s">
        <v>21</v>
      </c>
      <c r="F840" s="5" t="n">
        <v>68762.47</v>
      </c>
      <c r="G840" s="6" t="n">
        <v>0.05</v>
      </c>
      <c r="H840" s="5" t="n">
        <v>3438.12</v>
      </c>
      <c r="I840" s="5" t="n">
        <v>72200.59</v>
      </c>
    </row>
    <row r="841" customFormat="false" ht="15" hidden="false" customHeight="false" outlineLevel="0" collapsed="false">
      <c r="A841" s="4" t="s">
        <v>1113</v>
      </c>
      <c r="B841" s="4" t="s">
        <v>18</v>
      </c>
      <c r="C841" s="4" t="s">
        <v>1114</v>
      </c>
      <c r="D841" s="4" t="s">
        <v>45</v>
      </c>
      <c r="E841" s="4" t="s">
        <v>21</v>
      </c>
      <c r="F841" s="5" t="n">
        <v>91800.69</v>
      </c>
      <c r="G841" s="6" t="n">
        <v>0.05</v>
      </c>
      <c r="H841" s="5" t="n">
        <v>4590.03</v>
      </c>
      <c r="I841" s="5" t="n">
        <v>96390.72</v>
      </c>
    </row>
    <row r="842" customFormat="false" ht="15" hidden="false" customHeight="false" outlineLevel="0" collapsed="false">
      <c r="A842" s="4" t="s">
        <v>1115</v>
      </c>
      <c r="B842" s="4" t="s">
        <v>18</v>
      </c>
      <c r="C842" s="4" t="s">
        <v>1116</v>
      </c>
      <c r="D842" s="4" t="s">
        <v>27</v>
      </c>
      <c r="E842" s="4" t="s">
        <v>28</v>
      </c>
      <c r="F842" s="5" t="n">
        <v>58808.18</v>
      </c>
      <c r="G842" s="6" t="n">
        <v>0</v>
      </c>
      <c r="H842" s="5" t="n">
        <v>0</v>
      </c>
      <c r="I842" s="5" t="n">
        <v>58808.18</v>
      </c>
    </row>
    <row r="843" customFormat="false" ht="15" hidden="false" customHeight="false" outlineLevel="0" collapsed="false">
      <c r="A843" s="4" t="s">
        <v>1117</v>
      </c>
      <c r="B843" s="4" t="s">
        <v>18</v>
      </c>
      <c r="C843" s="4" t="s">
        <v>1118</v>
      </c>
      <c r="D843" s="4" t="s">
        <v>88</v>
      </c>
      <c r="E843" s="4" t="s">
        <v>28</v>
      </c>
      <c r="F843" s="5" t="n">
        <v>87539.8</v>
      </c>
      <c r="G843" s="6" t="n">
        <v>0</v>
      </c>
      <c r="H843" s="5" t="n">
        <v>0</v>
      </c>
      <c r="I843" s="5" t="n">
        <v>87539.8</v>
      </c>
    </row>
    <row r="844" customFormat="false" ht="15" hidden="false" customHeight="false" outlineLevel="0" collapsed="false">
      <c r="A844" s="4" t="s">
        <v>1119</v>
      </c>
      <c r="B844" s="4" t="s">
        <v>18</v>
      </c>
      <c r="C844" s="4" t="s">
        <v>1090</v>
      </c>
      <c r="D844" s="4" t="s">
        <v>86</v>
      </c>
      <c r="E844" s="4" t="s">
        <v>21</v>
      </c>
      <c r="F844" s="5" t="n">
        <v>63990.43</v>
      </c>
      <c r="G844" s="6" t="n">
        <v>0.05</v>
      </c>
      <c r="H844" s="5" t="n">
        <v>3199.52</v>
      </c>
      <c r="I844" s="5" t="n">
        <v>67189.95</v>
      </c>
    </row>
    <row r="845" customFormat="false" ht="15" hidden="false" customHeight="false" outlineLevel="0" collapsed="false">
      <c r="A845" s="4" t="s">
        <v>1120</v>
      </c>
      <c r="B845" s="4" t="s">
        <v>18</v>
      </c>
      <c r="C845" s="4" t="s">
        <v>1112</v>
      </c>
      <c r="D845" s="4" t="s">
        <v>62</v>
      </c>
      <c r="E845" s="4" t="s">
        <v>21</v>
      </c>
      <c r="F845" s="5" t="n">
        <v>25762.82</v>
      </c>
      <c r="G845" s="6" t="n">
        <v>0.05</v>
      </c>
      <c r="H845" s="5" t="n">
        <v>1288.14</v>
      </c>
      <c r="I845" s="5" t="n">
        <v>27050.96</v>
      </c>
    </row>
    <row r="846" customFormat="false" ht="15" hidden="false" customHeight="false" outlineLevel="0" collapsed="false">
      <c r="A846" s="4" t="s">
        <v>1121</v>
      </c>
      <c r="B846" s="4" t="s">
        <v>18</v>
      </c>
      <c r="C846" s="4" t="s">
        <v>1100</v>
      </c>
      <c r="D846" s="4" t="s">
        <v>27</v>
      </c>
      <c r="E846" s="4" t="s">
        <v>21</v>
      </c>
      <c r="F846" s="5" t="n">
        <v>57024.22</v>
      </c>
      <c r="G846" s="6" t="n">
        <v>0.05</v>
      </c>
      <c r="H846" s="5" t="n">
        <v>2851.21</v>
      </c>
      <c r="I846" s="5" t="n">
        <v>59875.43</v>
      </c>
    </row>
    <row r="847" customFormat="false" ht="15" hidden="false" customHeight="false" outlineLevel="0" collapsed="false">
      <c r="A847" s="4" t="s">
        <v>1122</v>
      </c>
      <c r="B847" s="4" t="s">
        <v>18</v>
      </c>
      <c r="C847" s="4" t="s">
        <v>1090</v>
      </c>
      <c r="D847" s="4" t="s">
        <v>31</v>
      </c>
      <c r="E847" s="4" t="s">
        <v>21</v>
      </c>
      <c r="F847" s="5" t="n">
        <v>91258.72</v>
      </c>
      <c r="G847" s="6" t="n">
        <v>0.05</v>
      </c>
      <c r="H847" s="5" t="n">
        <v>4562.94</v>
      </c>
      <c r="I847" s="5" t="n">
        <v>95821.66</v>
      </c>
    </row>
    <row r="848" customFormat="false" ht="15" hidden="false" customHeight="false" outlineLevel="0" collapsed="false">
      <c r="A848" s="4" t="s">
        <v>1123</v>
      </c>
      <c r="B848" s="4" t="s">
        <v>18</v>
      </c>
      <c r="C848" s="4" t="s">
        <v>1106</v>
      </c>
      <c r="D848" s="4" t="s">
        <v>27</v>
      </c>
      <c r="E848" s="4" t="s">
        <v>21</v>
      </c>
      <c r="F848" s="5" t="n">
        <v>48425.26</v>
      </c>
      <c r="G848" s="6" t="n">
        <v>0.05</v>
      </c>
      <c r="H848" s="5" t="n">
        <v>2421.26</v>
      </c>
      <c r="I848" s="5" t="n">
        <v>50846.52</v>
      </c>
    </row>
    <row r="849" customFormat="false" ht="15" hidden="false" customHeight="false" outlineLevel="0" collapsed="false">
      <c r="A849" s="4" t="s">
        <v>1124</v>
      </c>
      <c r="B849" s="4" t="s">
        <v>18</v>
      </c>
      <c r="C849" s="4" t="s">
        <v>1125</v>
      </c>
      <c r="D849" s="4" t="s">
        <v>31</v>
      </c>
      <c r="E849" s="4" t="s">
        <v>28</v>
      </c>
      <c r="F849" s="5" t="n">
        <v>58112.23</v>
      </c>
      <c r="G849" s="6" t="n">
        <v>0</v>
      </c>
      <c r="H849" s="5" t="n">
        <v>0</v>
      </c>
      <c r="I849" s="5" t="n">
        <v>58112.23</v>
      </c>
    </row>
    <row r="850" customFormat="false" ht="15" hidden="false" customHeight="false" outlineLevel="0" collapsed="false">
      <c r="A850" s="4" t="s">
        <v>1126</v>
      </c>
      <c r="B850" s="4" t="s">
        <v>18</v>
      </c>
      <c r="C850" s="4" t="s">
        <v>1092</v>
      </c>
      <c r="D850" s="4" t="s">
        <v>86</v>
      </c>
      <c r="E850" s="4" t="s">
        <v>21</v>
      </c>
      <c r="F850" s="5" t="n">
        <v>15718.39</v>
      </c>
      <c r="G850" s="6" t="n">
        <v>0.05</v>
      </c>
      <c r="H850" s="5" t="n">
        <v>785.92</v>
      </c>
      <c r="I850" s="5" t="n">
        <v>16504.31</v>
      </c>
    </row>
    <row r="851" customFormat="false" ht="15" hidden="false" customHeight="false" outlineLevel="0" collapsed="false">
      <c r="A851" s="4" t="s">
        <v>1127</v>
      </c>
      <c r="B851" s="4" t="s">
        <v>18</v>
      </c>
      <c r="C851" s="4" t="s">
        <v>1110</v>
      </c>
      <c r="D851" s="4" t="s">
        <v>86</v>
      </c>
      <c r="E851" s="4" t="s">
        <v>21</v>
      </c>
      <c r="F851" s="5" t="n">
        <v>82210.37</v>
      </c>
      <c r="G851" s="6" t="n">
        <v>0.05</v>
      </c>
      <c r="H851" s="5" t="n">
        <v>4110.52</v>
      </c>
      <c r="I851" s="5" t="n">
        <v>86320.89</v>
      </c>
    </row>
    <row r="852" customFormat="false" ht="15" hidden="false" customHeight="false" outlineLevel="0" collapsed="false">
      <c r="A852" s="4" t="s">
        <v>1128</v>
      </c>
      <c r="B852" s="4" t="s">
        <v>18</v>
      </c>
      <c r="C852" s="4" t="s">
        <v>1129</v>
      </c>
      <c r="D852" s="4" t="s">
        <v>70</v>
      </c>
      <c r="E852" s="4" t="s">
        <v>28</v>
      </c>
      <c r="F852" s="5" t="n">
        <v>6633.16</v>
      </c>
      <c r="G852" s="6" t="n">
        <v>0</v>
      </c>
      <c r="H852" s="5" t="n">
        <v>0</v>
      </c>
      <c r="I852" s="5" t="n">
        <v>6633.16</v>
      </c>
    </row>
    <row r="853" customFormat="false" ht="15" hidden="false" customHeight="false" outlineLevel="0" collapsed="false">
      <c r="A853" s="4" t="s">
        <v>1130</v>
      </c>
      <c r="B853" s="4" t="s">
        <v>18</v>
      </c>
      <c r="C853" s="4" t="s">
        <v>1131</v>
      </c>
      <c r="D853" s="4" t="s">
        <v>34</v>
      </c>
      <c r="E853" s="4" t="s">
        <v>28</v>
      </c>
      <c r="F853" s="5" t="n">
        <v>49390.71</v>
      </c>
      <c r="G853" s="6" t="n">
        <v>0</v>
      </c>
      <c r="H853" s="5" t="n">
        <v>0</v>
      </c>
      <c r="I853" s="5" t="n">
        <v>49390.71</v>
      </c>
    </row>
    <row r="854" customFormat="false" ht="15" hidden="false" customHeight="false" outlineLevel="0" collapsed="false">
      <c r="A854" s="4" t="s">
        <v>1132</v>
      </c>
      <c r="B854" s="4" t="s">
        <v>18</v>
      </c>
      <c r="C854" s="4" t="s">
        <v>1110</v>
      </c>
      <c r="D854" s="4" t="s">
        <v>50</v>
      </c>
      <c r="E854" s="4" t="s">
        <v>21</v>
      </c>
      <c r="F854" s="5" t="n">
        <v>17084.05</v>
      </c>
      <c r="G854" s="6" t="n">
        <v>0.05</v>
      </c>
      <c r="H854" s="5" t="n">
        <v>854.2</v>
      </c>
      <c r="I854" s="5" t="n">
        <v>17938.25</v>
      </c>
    </row>
    <row r="855" customFormat="false" ht="15" hidden="false" customHeight="false" outlineLevel="0" collapsed="false">
      <c r="A855" s="4" t="s">
        <v>1133</v>
      </c>
      <c r="B855" s="4" t="s">
        <v>18</v>
      </c>
      <c r="C855" s="4" t="s">
        <v>1112</v>
      </c>
      <c r="D855" s="4" t="s">
        <v>34</v>
      </c>
      <c r="E855" s="4" t="s">
        <v>21</v>
      </c>
      <c r="F855" s="5" t="n">
        <v>42611.15</v>
      </c>
      <c r="G855" s="6" t="n">
        <v>0.05</v>
      </c>
      <c r="H855" s="5" t="n">
        <v>2130.56</v>
      </c>
      <c r="I855" s="5" t="n">
        <v>44741.71</v>
      </c>
    </row>
    <row r="856" customFormat="false" ht="15" hidden="false" customHeight="false" outlineLevel="0" collapsed="false">
      <c r="A856" s="4" t="s">
        <v>1134</v>
      </c>
      <c r="B856" s="4" t="s">
        <v>18</v>
      </c>
      <c r="C856" s="4" t="s">
        <v>1098</v>
      </c>
      <c r="D856" s="4" t="s">
        <v>86</v>
      </c>
      <c r="E856" s="4" t="s">
        <v>21</v>
      </c>
      <c r="F856" s="5" t="n">
        <v>85089.42</v>
      </c>
      <c r="G856" s="6" t="n">
        <v>0.05</v>
      </c>
      <c r="H856" s="5" t="n">
        <v>4254.47</v>
      </c>
      <c r="I856" s="5" t="n">
        <v>89343.89</v>
      </c>
    </row>
    <row r="857" customFormat="false" ht="15" hidden="false" customHeight="false" outlineLevel="0" collapsed="false">
      <c r="A857" s="4" t="s">
        <v>1135</v>
      </c>
      <c r="B857" s="4" t="s">
        <v>18</v>
      </c>
      <c r="C857" s="4" t="s">
        <v>1136</v>
      </c>
      <c r="D857" s="4" t="s">
        <v>50</v>
      </c>
      <c r="E857" s="4" t="s">
        <v>21</v>
      </c>
      <c r="F857" s="5" t="n">
        <v>7475.37</v>
      </c>
      <c r="G857" s="6" t="n">
        <v>0.05</v>
      </c>
      <c r="H857" s="5" t="n">
        <v>373.77</v>
      </c>
      <c r="I857" s="5" t="n">
        <v>7849.14</v>
      </c>
    </row>
    <row r="858" customFormat="false" ht="15" hidden="false" customHeight="false" outlineLevel="0" collapsed="false">
      <c r="A858" s="4" t="s">
        <v>1137</v>
      </c>
      <c r="B858" s="4" t="s">
        <v>18</v>
      </c>
      <c r="C858" s="4" t="s">
        <v>1125</v>
      </c>
      <c r="D858" s="4" t="s">
        <v>86</v>
      </c>
      <c r="E858" s="4" t="s">
        <v>21</v>
      </c>
      <c r="F858" s="5" t="n">
        <v>37303.75</v>
      </c>
      <c r="G858" s="6" t="n">
        <v>0.05</v>
      </c>
      <c r="H858" s="5" t="n">
        <v>1865.19</v>
      </c>
      <c r="I858" s="5" t="n">
        <v>39168.94</v>
      </c>
    </row>
    <row r="859" customFormat="false" ht="15" hidden="false" customHeight="false" outlineLevel="0" collapsed="false">
      <c r="A859" s="4" t="s">
        <v>1138</v>
      </c>
      <c r="B859" s="4" t="s">
        <v>18</v>
      </c>
      <c r="C859" s="4" t="s">
        <v>1094</v>
      </c>
      <c r="D859" s="4" t="s">
        <v>34</v>
      </c>
      <c r="E859" s="4" t="s">
        <v>28</v>
      </c>
      <c r="F859" s="5" t="n">
        <v>29498.52</v>
      </c>
      <c r="G859" s="6" t="n">
        <v>0</v>
      </c>
      <c r="H859" s="5" t="n">
        <v>0</v>
      </c>
      <c r="I859" s="5" t="n">
        <v>29498.52</v>
      </c>
    </row>
    <row r="860" customFormat="false" ht="15" hidden="false" customHeight="false" outlineLevel="0" collapsed="false">
      <c r="A860" s="4" t="s">
        <v>1139</v>
      </c>
      <c r="B860" s="4" t="s">
        <v>18</v>
      </c>
      <c r="C860" s="4" t="s">
        <v>1106</v>
      </c>
      <c r="D860" s="4" t="s">
        <v>34</v>
      </c>
      <c r="E860" s="4" t="s">
        <v>21</v>
      </c>
      <c r="F860" s="5" t="n">
        <v>40736.72</v>
      </c>
      <c r="G860" s="6" t="n">
        <v>0.05</v>
      </c>
      <c r="H860" s="5" t="n">
        <v>2036.84</v>
      </c>
      <c r="I860" s="5" t="n">
        <v>42773.56</v>
      </c>
    </row>
    <row r="861" customFormat="false" ht="15" hidden="false" customHeight="false" outlineLevel="0" collapsed="false">
      <c r="A861" s="4" t="s">
        <v>1140</v>
      </c>
      <c r="B861" s="4" t="s">
        <v>18</v>
      </c>
      <c r="C861" s="4" t="s">
        <v>1141</v>
      </c>
      <c r="D861" s="4" t="s">
        <v>20</v>
      </c>
      <c r="E861" s="4" t="s">
        <v>28</v>
      </c>
      <c r="F861" s="5" t="n">
        <v>48681.2</v>
      </c>
      <c r="G861" s="6" t="n">
        <v>0</v>
      </c>
      <c r="H861" s="5" t="n">
        <v>0</v>
      </c>
      <c r="I861" s="5" t="n">
        <v>48681.2</v>
      </c>
    </row>
    <row r="862" customFormat="false" ht="15" hidden="false" customHeight="false" outlineLevel="0" collapsed="false">
      <c r="A862" s="4" t="s">
        <v>1142</v>
      </c>
      <c r="B862" s="4" t="s">
        <v>18</v>
      </c>
      <c r="C862" s="4" t="s">
        <v>1143</v>
      </c>
      <c r="D862" s="4" t="s">
        <v>50</v>
      </c>
      <c r="E862" s="4" t="s">
        <v>28</v>
      </c>
      <c r="F862" s="5" t="n">
        <v>10449.88</v>
      </c>
      <c r="G862" s="6" t="n">
        <v>0</v>
      </c>
      <c r="H862" s="5" t="n">
        <v>0</v>
      </c>
      <c r="I862" s="5" t="n">
        <v>10449.88</v>
      </c>
    </row>
    <row r="863" customFormat="false" ht="15" hidden="false" customHeight="false" outlineLevel="0" collapsed="false">
      <c r="A863" s="4" t="s">
        <v>1144</v>
      </c>
      <c r="B863" s="4" t="s">
        <v>18</v>
      </c>
      <c r="C863" s="4" t="s">
        <v>1090</v>
      </c>
      <c r="D863" s="4" t="s">
        <v>62</v>
      </c>
      <c r="E863" s="4" t="s">
        <v>21</v>
      </c>
      <c r="F863" s="5" t="n">
        <v>37289.1</v>
      </c>
      <c r="G863" s="6" t="n">
        <v>0.05</v>
      </c>
      <c r="H863" s="5" t="n">
        <v>1864.45</v>
      </c>
      <c r="I863" s="5" t="n">
        <v>39153.55</v>
      </c>
    </row>
    <row r="864" customFormat="false" ht="15" hidden="false" customHeight="false" outlineLevel="0" collapsed="false">
      <c r="A864" s="4" t="s">
        <v>1145</v>
      </c>
      <c r="B864" s="4" t="s">
        <v>18</v>
      </c>
      <c r="C864" s="4" t="s">
        <v>1092</v>
      </c>
      <c r="D864" s="4" t="s">
        <v>31</v>
      </c>
      <c r="E864" s="4" t="s">
        <v>46</v>
      </c>
      <c r="F864" s="5" t="n">
        <v>37496.27</v>
      </c>
      <c r="G864" s="6" t="n">
        <v>0</v>
      </c>
      <c r="H864" s="5" t="n">
        <v>0</v>
      </c>
      <c r="I864" s="5" t="n">
        <v>37496.27</v>
      </c>
    </row>
    <row r="865" customFormat="false" ht="15" hidden="false" customHeight="false" outlineLevel="0" collapsed="false">
      <c r="A865" s="4" t="s">
        <v>1146</v>
      </c>
      <c r="B865" s="4" t="s">
        <v>18</v>
      </c>
      <c r="C865" s="4" t="s">
        <v>1096</v>
      </c>
      <c r="D865" s="4" t="s">
        <v>62</v>
      </c>
      <c r="E865" s="4" t="s">
        <v>46</v>
      </c>
      <c r="F865" s="5" t="n">
        <v>64768.51</v>
      </c>
      <c r="G865" s="6" t="n">
        <v>0</v>
      </c>
      <c r="H865" s="5" t="n">
        <v>0</v>
      </c>
      <c r="I865" s="5" t="n">
        <v>64768.51</v>
      </c>
    </row>
    <row r="866" customFormat="false" ht="15" hidden="false" customHeight="false" outlineLevel="0" collapsed="false">
      <c r="A866" s="4" t="s">
        <v>1147</v>
      </c>
      <c r="B866" s="4" t="s">
        <v>18</v>
      </c>
      <c r="C866" s="4" t="s">
        <v>1143</v>
      </c>
      <c r="D866" s="4" t="s">
        <v>78</v>
      </c>
      <c r="E866" s="4" t="s">
        <v>28</v>
      </c>
      <c r="F866" s="5" t="n">
        <v>34997.02</v>
      </c>
      <c r="G866" s="6" t="n">
        <v>0</v>
      </c>
      <c r="H866" s="5" t="n">
        <v>0</v>
      </c>
      <c r="I866" s="5" t="n">
        <v>34997.02</v>
      </c>
    </row>
    <row r="867" customFormat="false" ht="15" hidden="false" customHeight="false" outlineLevel="0" collapsed="false">
      <c r="A867" s="4" t="s">
        <v>1148</v>
      </c>
      <c r="B867" s="4" t="s">
        <v>18</v>
      </c>
      <c r="C867" s="4" t="s">
        <v>1116</v>
      </c>
      <c r="D867" s="4" t="s">
        <v>70</v>
      </c>
      <c r="E867" s="4" t="s">
        <v>46</v>
      </c>
      <c r="F867" s="5" t="n">
        <v>37747.67</v>
      </c>
      <c r="G867" s="6" t="n">
        <v>0</v>
      </c>
      <c r="H867" s="5" t="n">
        <v>0</v>
      </c>
      <c r="I867" s="5" t="n">
        <v>37747.67</v>
      </c>
    </row>
    <row r="868" customFormat="false" ht="15" hidden="false" customHeight="false" outlineLevel="0" collapsed="false">
      <c r="A868" s="4" t="s">
        <v>1149</v>
      </c>
      <c r="B868" s="4" t="s">
        <v>18</v>
      </c>
      <c r="C868" s="4" t="s">
        <v>1102</v>
      </c>
      <c r="D868" s="4" t="s">
        <v>86</v>
      </c>
      <c r="E868" s="4" t="s">
        <v>21</v>
      </c>
      <c r="F868" s="5" t="n">
        <v>33503.12</v>
      </c>
      <c r="G868" s="6" t="n">
        <v>0.05</v>
      </c>
      <c r="H868" s="5" t="n">
        <v>1675.16</v>
      </c>
      <c r="I868" s="5" t="n">
        <v>35178.28</v>
      </c>
    </row>
    <row r="869" customFormat="false" ht="15" hidden="false" customHeight="false" outlineLevel="0" collapsed="false">
      <c r="A869" s="4" t="s">
        <v>1150</v>
      </c>
      <c r="B869" s="4" t="s">
        <v>18</v>
      </c>
      <c r="C869" s="4" t="s">
        <v>1092</v>
      </c>
      <c r="D869" s="4" t="s">
        <v>34</v>
      </c>
      <c r="E869" s="4" t="s">
        <v>21</v>
      </c>
      <c r="F869" s="5" t="n">
        <v>16194.34</v>
      </c>
      <c r="G869" s="6" t="n">
        <v>0.05</v>
      </c>
      <c r="H869" s="5" t="n">
        <v>809.72</v>
      </c>
      <c r="I869" s="5" t="n">
        <v>17004.06</v>
      </c>
    </row>
    <row r="870" customFormat="false" ht="15" hidden="false" customHeight="false" outlineLevel="0" collapsed="false">
      <c r="A870" s="4" t="s">
        <v>1151</v>
      </c>
      <c r="B870" s="4" t="s">
        <v>18</v>
      </c>
      <c r="C870" s="4" t="s">
        <v>1096</v>
      </c>
      <c r="D870" s="4" t="s">
        <v>31</v>
      </c>
      <c r="E870" s="4" t="s">
        <v>21</v>
      </c>
      <c r="F870" s="5" t="n">
        <v>44323.05</v>
      </c>
      <c r="G870" s="6" t="n">
        <v>0.05</v>
      </c>
      <c r="H870" s="5" t="n">
        <v>2216.15</v>
      </c>
      <c r="I870" s="5" t="n">
        <v>46539.2</v>
      </c>
    </row>
    <row r="871" customFormat="false" ht="15" hidden="false" customHeight="false" outlineLevel="0" collapsed="false">
      <c r="A871" s="4" t="s">
        <v>1152</v>
      </c>
      <c r="B871" s="4" t="s">
        <v>18</v>
      </c>
      <c r="C871" s="4" t="s">
        <v>1104</v>
      </c>
      <c r="D871" s="4" t="s">
        <v>88</v>
      </c>
      <c r="E871" s="4" t="s">
        <v>21</v>
      </c>
      <c r="F871" s="5" t="n">
        <v>83655.19</v>
      </c>
      <c r="G871" s="6" t="n">
        <v>0.05</v>
      </c>
      <c r="H871" s="5" t="n">
        <v>4182.76</v>
      </c>
      <c r="I871" s="5" t="n">
        <v>87837.95</v>
      </c>
    </row>
    <row r="872" customFormat="false" ht="15" hidden="false" customHeight="false" outlineLevel="0" collapsed="false">
      <c r="A872" s="4" t="s">
        <v>1153</v>
      </c>
      <c r="B872" s="4" t="s">
        <v>18</v>
      </c>
      <c r="C872" s="4" t="s">
        <v>1112</v>
      </c>
      <c r="D872" s="4" t="s">
        <v>27</v>
      </c>
      <c r="E872" s="4" t="s">
        <v>21</v>
      </c>
      <c r="F872" s="5" t="n">
        <v>54882.72</v>
      </c>
      <c r="G872" s="6" t="n">
        <v>0.05</v>
      </c>
      <c r="H872" s="5" t="n">
        <v>2744.14</v>
      </c>
      <c r="I872" s="5" t="n">
        <v>57626.86</v>
      </c>
    </row>
    <row r="873" customFormat="false" ht="15" hidden="false" customHeight="false" outlineLevel="0" collapsed="false">
      <c r="A873" s="4" t="s">
        <v>1154</v>
      </c>
      <c r="B873" s="4" t="s">
        <v>18</v>
      </c>
      <c r="C873" s="4" t="s">
        <v>1155</v>
      </c>
      <c r="D873" s="4" t="s">
        <v>78</v>
      </c>
      <c r="E873" s="4" t="s">
        <v>21</v>
      </c>
      <c r="F873" s="5" t="n">
        <v>66760.77</v>
      </c>
      <c r="G873" s="6" t="n">
        <v>0.05</v>
      </c>
      <c r="H873" s="5" t="n">
        <v>3338.04</v>
      </c>
      <c r="I873" s="5" t="n">
        <v>70098.81</v>
      </c>
    </row>
    <row r="874" customFormat="false" ht="15" hidden="false" customHeight="false" outlineLevel="0" collapsed="false">
      <c r="A874" s="4" t="s">
        <v>1156</v>
      </c>
      <c r="B874" s="4" t="s">
        <v>18</v>
      </c>
      <c r="C874" s="4" t="s">
        <v>1157</v>
      </c>
      <c r="D874" s="4" t="s">
        <v>56</v>
      </c>
      <c r="E874" s="4" t="s">
        <v>21</v>
      </c>
      <c r="F874" s="5" t="n">
        <v>17050.51</v>
      </c>
      <c r="G874" s="6" t="n">
        <v>0.05</v>
      </c>
      <c r="H874" s="5" t="n">
        <v>852.53</v>
      </c>
      <c r="I874" s="5" t="n">
        <v>17903.04</v>
      </c>
    </row>
    <row r="875" customFormat="false" ht="15" hidden="false" customHeight="false" outlineLevel="0" collapsed="false">
      <c r="A875" s="4" t="s">
        <v>1158</v>
      </c>
      <c r="B875" s="4" t="s">
        <v>18</v>
      </c>
      <c r="C875" s="4" t="s">
        <v>1141</v>
      </c>
      <c r="D875" s="4" t="s">
        <v>59</v>
      </c>
      <c r="E875" s="4" t="s">
        <v>28</v>
      </c>
      <c r="F875" s="5" t="n">
        <v>62716.63</v>
      </c>
      <c r="G875" s="6" t="n">
        <v>0</v>
      </c>
      <c r="H875" s="5" t="n">
        <v>0</v>
      </c>
      <c r="I875" s="5" t="n">
        <v>62716.63</v>
      </c>
    </row>
    <row r="876" customFormat="false" ht="15" hidden="false" customHeight="false" outlineLevel="0" collapsed="false">
      <c r="A876" s="4" t="s">
        <v>1159</v>
      </c>
      <c r="B876" s="4" t="s">
        <v>18</v>
      </c>
      <c r="C876" s="4" t="s">
        <v>1143</v>
      </c>
      <c r="D876" s="4" t="s">
        <v>20</v>
      </c>
      <c r="E876" s="4" t="s">
        <v>21</v>
      </c>
      <c r="F876" s="5" t="n">
        <v>39886.54</v>
      </c>
      <c r="G876" s="6" t="n">
        <v>0.05</v>
      </c>
      <c r="H876" s="5" t="n">
        <v>1994.33</v>
      </c>
      <c r="I876" s="5" t="n">
        <v>41880.87</v>
      </c>
    </row>
    <row r="877" customFormat="false" ht="15" hidden="false" customHeight="false" outlineLevel="0" collapsed="false">
      <c r="A877" s="4" t="s">
        <v>1160</v>
      </c>
      <c r="B877" s="4" t="s">
        <v>18</v>
      </c>
      <c r="C877" s="4" t="s">
        <v>1092</v>
      </c>
      <c r="D877" s="4" t="s">
        <v>37</v>
      </c>
      <c r="E877" s="4" t="s">
        <v>21</v>
      </c>
      <c r="F877" s="5" t="n">
        <v>59533.51</v>
      </c>
      <c r="G877" s="6" t="n">
        <v>0.05</v>
      </c>
      <c r="H877" s="5" t="n">
        <v>2976.68</v>
      </c>
      <c r="I877" s="5" t="n">
        <v>62510.19</v>
      </c>
    </row>
    <row r="878" customFormat="false" ht="15" hidden="false" customHeight="false" outlineLevel="0" collapsed="false">
      <c r="A878" s="4" t="s">
        <v>1161</v>
      </c>
      <c r="B878" s="4" t="s">
        <v>18</v>
      </c>
      <c r="C878" s="4" t="s">
        <v>1116</v>
      </c>
      <c r="D878" s="4" t="s">
        <v>20</v>
      </c>
      <c r="E878" s="4" t="s">
        <v>21</v>
      </c>
      <c r="F878" s="5" t="n">
        <v>31242.62</v>
      </c>
      <c r="G878" s="6" t="n">
        <v>0.05</v>
      </c>
      <c r="H878" s="5" t="n">
        <v>1562.13</v>
      </c>
      <c r="I878" s="5" t="n">
        <v>32804.75</v>
      </c>
    </row>
    <row r="879" customFormat="false" ht="15" hidden="false" customHeight="false" outlineLevel="0" collapsed="false">
      <c r="A879" s="4" t="s">
        <v>1162</v>
      </c>
      <c r="B879" s="4" t="s">
        <v>18</v>
      </c>
      <c r="C879" s="4" t="s">
        <v>1143</v>
      </c>
      <c r="D879" s="4" t="s">
        <v>59</v>
      </c>
      <c r="E879" s="4" t="s">
        <v>21</v>
      </c>
      <c r="F879" s="5" t="n">
        <v>68658.46</v>
      </c>
      <c r="G879" s="6" t="n">
        <v>0.05</v>
      </c>
      <c r="H879" s="5" t="n">
        <v>3432.92</v>
      </c>
      <c r="I879" s="5" t="n">
        <v>72091.38</v>
      </c>
    </row>
    <row r="880" customFormat="false" ht="15" hidden="false" customHeight="false" outlineLevel="0" collapsed="false">
      <c r="A880" s="4" t="s">
        <v>1163</v>
      </c>
      <c r="B880" s="4" t="s">
        <v>18</v>
      </c>
      <c r="C880" s="4" t="s">
        <v>1157</v>
      </c>
      <c r="D880" s="4" t="s">
        <v>20</v>
      </c>
      <c r="E880" s="4" t="s">
        <v>21</v>
      </c>
      <c r="F880" s="5" t="n">
        <v>77148.62</v>
      </c>
      <c r="G880" s="6" t="n">
        <v>0.05</v>
      </c>
      <c r="H880" s="5" t="n">
        <v>3857.43</v>
      </c>
      <c r="I880" s="5" t="n">
        <v>81006.05</v>
      </c>
    </row>
    <row r="881" customFormat="false" ht="15" hidden="false" customHeight="false" outlineLevel="0" collapsed="false">
      <c r="A881" s="4" t="s">
        <v>1164</v>
      </c>
      <c r="B881" s="4" t="s">
        <v>18</v>
      </c>
      <c r="C881" s="4" t="s">
        <v>1165</v>
      </c>
      <c r="D881" s="4" t="s">
        <v>50</v>
      </c>
      <c r="E881" s="4" t="s">
        <v>21</v>
      </c>
      <c r="F881" s="5" t="n">
        <v>47096.17</v>
      </c>
      <c r="G881" s="6" t="n">
        <v>0.05</v>
      </c>
      <c r="H881" s="5" t="n">
        <v>2354.81</v>
      </c>
      <c r="I881" s="5" t="n">
        <v>49450.98</v>
      </c>
    </row>
    <row r="882" customFormat="false" ht="15" hidden="false" customHeight="false" outlineLevel="0" collapsed="false">
      <c r="A882" s="4" t="s">
        <v>1166</v>
      </c>
      <c r="B882" s="4" t="s">
        <v>18</v>
      </c>
      <c r="C882" s="4" t="s">
        <v>1118</v>
      </c>
      <c r="D882" s="4" t="s">
        <v>50</v>
      </c>
      <c r="E882" s="4" t="s">
        <v>46</v>
      </c>
      <c r="F882" s="5" t="n">
        <v>84235.42</v>
      </c>
      <c r="G882" s="6" t="n">
        <v>0</v>
      </c>
      <c r="H882" s="5" t="n">
        <v>0</v>
      </c>
      <c r="I882" s="5" t="n">
        <v>84235.42</v>
      </c>
    </row>
    <row r="883" customFormat="false" ht="15" hidden="false" customHeight="false" outlineLevel="0" collapsed="false">
      <c r="A883" s="4" t="s">
        <v>1167</v>
      </c>
      <c r="B883" s="4" t="s">
        <v>18</v>
      </c>
      <c r="C883" s="4" t="s">
        <v>1168</v>
      </c>
      <c r="D883" s="4" t="s">
        <v>34</v>
      </c>
      <c r="E883" s="4" t="s">
        <v>21</v>
      </c>
      <c r="F883" s="5" t="n">
        <v>50673.07</v>
      </c>
      <c r="G883" s="6" t="n">
        <v>0.05</v>
      </c>
      <c r="H883" s="5" t="n">
        <v>2533.65</v>
      </c>
      <c r="I883" s="5" t="n">
        <v>53206.72</v>
      </c>
    </row>
    <row r="884" customFormat="false" ht="15" hidden="false" customHeight="false" outlineLevel="0" collapsed="false">
      <c r="A884" s="4" t="s">
        <v>1169</v>
      </c>
      <c r="B884" s="4" t="s">
        <v>18</v>
      </c>
      <c r="C884" s="4" t="s">
        <v>1157</v>
      </c>
      <c r="D884" s="4" t="s">
        <v>88</v>
      </c>
      <c r="E884" s="4" t="s">
        <v>21</v>
      </c>
      <c r="F884" s="5" t="n">
        <v>31316.88</v>
      </c>
      <c r="G884" s="6" t="n">
        <v>0.05</v>
      </c>
      <c r="H884" s="5" t="n">
        <v>1565.84</v>
      </c>
      <c r="I884" s="5" t="n">
        <v>32882.72</v>
      </c>
    </row>
    <row r="885" customFormat="false" ht="15" hidden="false" customHeight="false" outlineLevel="0" collapsed="false">
      <c r="A885" s="4" t="s">
        <v>1170</v>
      </c>
      <c r="B885" s="4" t="s">
        <v>18</v>
      </c>
      <c r="C885" s="4" t="s">
        <v>1110</v>
      </c>
      <c r="D885" s="4" t="s">
        <v>34</v>
      </c>
      <c r="E885" s="4" t="s">
        <v>21</v>
      </c>
      <c r="F885" s="5" t="n">
        <v>66171.38</v>
      </c>
      <c r="G885" s="6" t="n">
        <v>0.05</v>
      </c>
      <c r="H885" s="5" t="n">
        <v>3308.57</v>
      </c>
      <c r="I885" s="5" t="n">
        <v>69479.95</v>
      </c>
    </row>
    <row r="886" customFormat="false" ht="15" hidden="false" customHeight="false" outlineLevel="0" collapsed="false">
      <c r="A886" s="4" t="s">
        <v>1171</v>
      </c>
      <c r="B886" s="4" t="s">
        <v>18</v>
      </c>
      <c r="C886" s="4" t="s">
        <v>1172</v>
      </c>
      <c r="D886" s="4" t="s">
        <v>20</v>
      </c>
      <c r="E886" s="4" t="s">
        <v>21</v>
      </c>
      <c r="F886" s="5" t="n">
        <v>75505.43</v>
      </c>
      <c r="G886" s="6" t="n">
        <v>0.05</v>
      </c>
      <c r="H886" s="5" t="n">
        <v>3775.27</v>
      </c>
      <c r="I886" s="5" t="n">
        <v>79280.7</v>
      </c>
    </row>
    <row r="887" customFormat="false" ht="15" hidden="false" customHeight="false" outlineLevel="0" collapsed="false">
      <c r="A887" s="4" t="s">
        <v>1173</v>
      </c>
      <c r="B887" s="4" t="s">
        <v>18</v>
      </c>
      <c r="C887" s="4" t="s">
        <v>1092</v>
      </c>
      <c r="D887" s="4" t="s">
        <v>27</v>
      </c>
      <c r="E887" s="4" t="s">
        <v>21</v>
      </c>
      <c r="F887" s="5" t="n">
        <v>4874.23</v>
      </c>
      <c r="G887" s="6" t="n">
        <v>0.05</v>
      </c>
      <c r="H887" s="5" t="n">
        <v>243.71</v>
      </c>
      <c r="I887" s="5" t="n">
        <v>5117.94</v>
      </c>
    </row>
    <row r="888" customFormat="false" ht="15" hidden="false" customHeight="false" outlineLevel="0" collapsed="false">
      <c r="A888" s="4" t="s">
        <v>1174</v>
      </c>
      <c r="B888" s="4" t="s">
        <v>18</v>
      </c>
      <c r="C888" s="4" t="s">
        <v>1168</v>
      </c>
      <c r="D888" s="4" t="s">
        <v>20</v>
      </c>
      <c r="E888" s="4" t="s">
        <v>46</v>
      </c>
      <c r="F888" s="5" t="n">
        <v>22225.03</v>
      </c>
      <c r="G888" s="6" t="n">
        <v>0</v>
      </c>
      <c r="H888" s="5" t="n">
        <v>0</v>
      </c>
      <c r="I888" s="5" t="n">
        <v>22225.03</v>
      </c>
    </row>
    <row r="889" customFormat="false" ht="15" hidden="false" customHeight="false" outlineLevel="0" collapsed="false">
      <c r="A889" s="4" t="s">
        <v>1175</v>
      </c>
      <c r="B889" s="4" t="s">
        <v>18</v>
      </c>
      <c r="C889" s="4" t="s">
        <v>1104</v>
      </c>
      <c r="D889" s="4" t="s">
        <v>24</v>
      </c>
      <c r="E889" s="4" t="s">
        <v>21</v>
      </c>
      <c r="F889" s="5" t="n">
        <v>30350.1</v>
      </c>
      <c r="G889" s="6" t="n">
        <v>0.05</v>
      </c>
      <c r="H889" s="5" t="n">
        <v>1517.51</v>
      </c>
      <c r="I889" s="5" t="n">
        <v>31867.61</v>
      </c>
    </row>
    <row r="890" customFormat="false" ht="15" hidden="false" customHeight="false" outlineLevel="0" collapsed="false">
      <c r="A890" s="4" t="s">
        <v>1176</v>
      </c>
      <c r="B890" s="4" t="s">
        <v>18</v>
      </c>
      <c r="C890" s="4" t="s">
        <v>1177</v>
      </c>
      <c r="D890" s="4" t="s">
        <v>50</v>
      </c>
      <c r="E890" s="4" t="s">
        <v>21</v>
      </c>
      <c r="F890" s="5" t="n">
        <v>56404.58</v>
      </c>
      <c r="G890" s="6" t="n">
        <v>0.05</v>
      </c>
      <c r="H890" s="5" t="n">
        <v>2820.23</v>
      </c>
      <c r="I890" s="5" t="n">
        <v>59224.81</v>
      </c>
    </row>
    <row r="891" customFormat="false" ht="15" hidden="false" customHeight="false" outlineLevel="0" collapsed="false">
      <c r="A891" s="4" t="s">
        <v>1178</v>
      </c>
      <c r="B891" s="4" t="s">
        <v>18</v>
      </c>
      <c r="C891" s="4" t="s">
        <v>1157</v>
      </c>
      <c r="D891" s="4" t="s">
        <v>20</v>
      </c>
      <c r="E891" s="4" t="s">
        <v>21</v>
      </c>
      <c r="F891" s="5" t="n">
        <v>78869.4</v>
      </c>
      <c r="G891" s="6" t="n">
        <v>0.05</v>
      </c>
      <c r="H891" s="5" t="n">
        <v>3943.47</v>
      </c>
      <c r="I891" s="5" t="n">
        <v>82812.87</v>
      </c>
    </row>
    <row r="892" customFormat="false" ht="15" hidden="false" customHeight="false" outlineLevel="0" collapsed="false">
      <c r="A892" s="4" t="s">
        <v>1179</v>
      </c>
      <c r="B892" s="4" t="s">
        <v>120</v>
      </c>
      <c r="C892" s="4" t="s">
        <v>1143</v>
      </c>
      <c r="D892" s="4" t="s">
        <v>144</v>
      </c>
      <c r="E892" s="4" t="s">
        <v>21</v>
      </c>
      <c r="F892" s="5" t="n">
        <v>20345.1</v>
      </c>
      <c r="G892" s="6" t="n">
        <v>0.05</v>
      </c>
      <c r="H892" s="5" t="n">
        <v>1017.25</v>
      </c>
      <c r="I892" s="5" t="n">
        <v>21362.35</v>
      </c>
    </row>
    <row r="893" customFormat="false" ht="15" hidden="false" customHeight="false" outlineLevel="0" collapsed="false">
      <c r="A893" s="4" t="s">
        <v>1180</v>
      </c>
      <c r="B893" s="4" t="s">
        <v>120</v>
      </c>
      <c r="C893" s="4" t="s">
        <v>1106</v>
      </c>
      <c r="D893" s="4" t="s">
        <v>149</v>
      </c>
      <c r="E893" s="4" t="s">
        <v>46</v>
      </c>
      <c r="F893" s="5" t="n">
        <v>3036.92</v>
      </c>
      <c r="G893" s="6" t="n">
        <v>0</v>
      </c>
      <c r="H893" s="5" t="n">
        <v>0</v>
      </c>
      <c r="I893" s="5" t="n">
        <v>3036.92</v>
      </c>
    </row>
    <row r="894" customFormat="false" ht="15" hidden="false" customHeight="false" outlineLevel="0" collapsed="false">
      <c r="A894" s="4" t="s">
        <v>1181</v>
      </c>
      <c r="B894" s="4" t="s">
        <v>120</v>
      </c>
      <c r="C894" s="4" t="s">
        <v>1108</v>
      </c>
      <c r="D894" s="4" t="s">
        <v>123</v>
      </c>
      <c r="E894" s="4" t="s">
        <v>28</v>
      </c>
      <c r="F894" s="5" t="n">
        <v>25722.96</v>
      </c>
      <c r="G894" s="6" t="n">
        <v>0</v>
      </c>
      <c r="H894" s="5" t="n">
        <v>0</v>
      </c>
      <c r="I894" s="5" t="n">
        <v>25722.96</v>
      </c>
    </row>
    <row r="895" customFormat="false" ht="15" hidden="false" customHeight="false" outlineLevel="0" collapsed="false">
      <c r="A895" s="4" t="s">
        <v>1182</v>
      </c>
      <c r="B895" s="4" t="s">
        <v>120</v>
      </c>
      <c r="C895" s="4" t="s">
        <v>1102</v>
      </c>
      <c r="D895" s="4" t="s">
        <v>155</v>
      </c>
      <c r="E895" s="4" t="s">
        <v>21</v>
      </c>
      <c r="F895" s="5" t="n">
        <v>33719.81</v>
      </c>
      <c r="G895" s="6" t="n">
        <v>0.05</v>
      </c>
      <c r="H895" s="5" t="n">
        <v>1685.99</v>
      </c>
      <c r="I895" s="5" t="n">
        <v>35405.8</v>
      </c>
    </row>
    <row r="896" customFormat="false" ht="15" hidden="false" customHeight="false" outlineLevel="0" collapsed="false">
      <c r="A896" s="4" t="s">
        <v>1183</v>
      </c>
      <c r="B896" s="4" t="s">
        <v>120</v>
      </c>
      <c r="C896" s="4" t="s">
        <v>1090</v>
      </c>
      <c r="D896" s="4" t="s">
        <v>125</v>
      </c>
      <c r="E896" s="4" t="s">
        <v>21</v>
      </c>
      <c r="F896" s="5" t="n">
        <v>13984.08</v>
      </c>
      <c r="G896" s="6" t="n">
        <v>0.05</v>
      </c>
      <c r="H896" s="5" t="n">
        <v>699.2</v>
      </c>
      <c r="I896" s="5" t="n">
        <v>14683.28</v>
      </c>
    </row>
    <row r="897" customFormat="false" ht="15" hidden="false" customHeight="false" outlineLevel="0" collapsed="false">
      <c r="A897" s="4" t="s">
        <v>1184</v>
      </c>
      <c r="B897" s="4" t="s">
        <v>120</v>
      </c>
      <c r="C897" s="4" t="s">
        <v>1112</v>
      </c>
      <c r="D897" s="4" t="s">
        <v>127</v>
      </c>
      <c r="E897" s="4" t="s">
        <v>21</v>
      </c>
      <c r="F897" s="5" t="n">
        <v>23478.06</v>
      </c>
      <c r="G897" s="6" t="n">
        <v>0.05</v>
      </c>
      <c r="H897" s="5" t="n">
        <v>1173.9</v>
      </c>
      <c r="I897" s="5" t="n">
        <v>24651.96</v>
      </c>
    </row>
    <row r="898" customFormat="false" ht="15" hidden="false" customHeight="false" outlineLevel="0" collapsed="false">
      <c r="A898" s="4" t="s">
        <v>1185</v>
      </c>
      <c r="B898" s="4" t="s">
        <v>120</v>
      </c>
      <c r="C898" s="4" t="s">
        <v>1096</v>
      </c>
      <c r="D898" s="4" t="s">
        <v>155</v>
      </c>
      <c r="E898" s="4" t="s">
        <v>21</v>
      </c>
      <c r="F898" s="5" t="n">
        <v>8963.77</v>
      </c>
      <c r="G898" s="6" t="n">
        <v>0.05</v>
      </c>
      <c r="H898" s="5" t="n">
        <v>448.19</v>
      </c>
      <c r="I898" s="5" t="n">
        <v>9411.96</v>
      </c>
    </row>
    <row r="899" customFormat="false" ht="15" hidden="false" customHeight="false" outlineLevel="0" collapsed="false">
      <c r="A899" s="4" t="s">
        <v>1186</v>
      </c>
      <c r="B899" s="4" t="s">
        <v>120</v>
      </c>
      <c r="C899" s="4" t="s">
        <v>1092</v>
      </c>
      <c r="D899" s="4" t="s">
        <v>125</v>
      </c>
      <c r="E899" s="4" t="s">
        <v>21</v>
      </c>
      <c r="F899" s="5" t="n">
        <v>33743.35</v>
      </c>
      <c r="G899" s="6" t="n">
        <v>0.05</v>
      </c>
      <c r="H899" s="5" t="n">
        <v>1687.17</v>
      </c>
      <c r="I899" s="5" t="n">
        <v>35430.52</v>
      </c>
    </row>
    <row r="900" customFormat="false" ht="15" hidden="false" customHeight="false" outlineLevel="0" collapsed="false">
      <c r="A900" s="4" t="s">
        <v>1187</v>
      </c>
      <c r="B900" s="4" t="s">
        <v>120</v>
      </c>
      <c r="C900" s="4" t="s">
        <v>1125</v>
      </c>
      <c r="D900" s="4" t="s">
        <v>130</v>
      </c>
      <c r="E900" s="4" t="s">
        <v>28</v>
      </c>
      <c r="F900" s="5" t="n">
        <v>3349.28</v>
      </c>
      <c r="G900" s="6" t="n">
        <v>0</v>
      </c>
      <c r="H900" s="5" t="n">
        <v>0</v>
      </c>
      <c r="I900" s="5" t="n">
        <v>3349.28</v>
      </c>
    </row>
    <row r="901" customFormat="false" ht="15" hidden="false" customHeight="false" outlineLevel="0" collapsed="false">
      <c r="A901" s="4" t="s">
        <v>1188</v>
      </c>
      <c r="B901" s="4" t="s">
        <v>120</v>
      </c>
      <c r="C901" s="4" t="s">
        <v>1114</v>
      </c>
      <c r="D901" s="4" t="s">
        <v>149</v>
      </c>
      <c r="E901" s="4" t="s">
        <v>46</v>
      </c>
      <c r="F901" s="5" t="n">
        <v>18444.82</v>
      </c>
      <c r="G901" s="6" t="n">
        <v>0</v>
      </c>
      <c r="H901" s="5" t="n">
        <v>0</v>
      </c>
      <c r="I901" s="5" t="n">
        <v>18444.82</v>
      </c>
    </row>
    <row r="902" customFormat="false" ht="15" hidden="false" customHeight="false" outlineLevel="0" collapsed="false">
      <c r="A902" s="4" t="s">
        <v>1189</v>
      </c>
      <c r="B902" s="4" t="s">
        <v>120</v>
      </c>
      <c r="C902" s="4" t="s">
        <v>1177</v>
      </c>
      <c r="D902" s="4" t="s">
        <v>146</v>
      </c>
      <c r="E902" s="4" t="s">
        <v>21</v>
      </c>
      <c r="F902" s="5" t="n">
        <v>23194.89</v>
      </c>
      <c r="G902" s="6" t="n">
        <v>0.05</v>
      </c>
      <c r="H902" s="5" t="n">
        <v>1159.74</v>
      </c>
      <c r="I902" s="5" t="n">
        <v>24354.63</v>
      </c>
    </row>
    <row r="903" customFormat="false" ht="15" hidden="false" customHeight="false" outlineLevel="0" collapsed="false">
      <c r="A903" s="4" t="s">
        <v>1190</v>
      </c>
      <c r="B903" s="4" t="s">
        <v>120</v>
      </c>
      <c r="C903" s="4" t="s">
        <v>1104</v>
      </c>
      <c r="D903" s="4" t="s">
        <v>144</v>
      </c>
      <c r="E903" s="4" t="s">
        <v>28</v>
      </c>
      <c r="F903" s="5" t="n">
        <v>10427.49</v>
      </c>
      <c r="G903" s="6" t="n">
        <v>0</v>
      </c>
      <c r="H903" s="5" t="n">
        <v>0</v>
      </c>
      <c r="I903" s="5" t="n">
        <v>10427.49</v>
      </c>
    </row>
    <row r="904" customFormat="false" ht="15" hidden="false" customHeight="false" outlineLevel="0" collapsed="false">
      <c r="A904" s="4" t="s">
        <v>1191</v>
      </c>
      <c r="B904" s="4" t="s">
        <v>120</v>
      </c>
      <c r="C904" s="4" t="s">
        <v>1155</v>
      </c>
      <c r="D904" s="4" t="s">
        <v>144</v>
      </c>
      <c r="E904" s="4" t="s">
        <v>21</v>
      </c>
      <c r="F904" s="5" t="n">
        <v>32372.14</v>
      </c>
      <c r="G904" s="6" t="n">
        <v>0.05</v>
      </c>
      <c r="H904" s="5" t="n">
        <v>1618.61</v>
      </c>
      <c r="I904" s="5" t="n">
        <v>33990.75</v>
      </c>
    </row>
    <row r="905" customFormat="false" ht="15" hidden="false" customHeight="false" outlineLevel="0" collapsed="false">
      <c r="A905" s="4" t="s">
        <v>1192</v>
      </c>
      <c r="B905" s="4" t="s">
        <v>120</v>
      </c>
      <c r="C905" s="4" t="s">
        <v>1092</v>
      </c>
      <c r="D905" s="4" t="s">
        <v>127</v>
      </c>
      <c r="E905" s="4" t="s">
        <v>21</v>
      </c>
      <c r="F905" s="5" t="n">
        <v>26198.7</v>
      </c>
      <c r="G905" s="6" t="n">
        <v>0.05</v>
      </c>
      <c r="H905" s="5" t="n">
        <v>1309.94</v>
      </c>
      <c r="I905" s="5" t="n">
        <v>27508.64</v>
      </c>
    </row>
    <row r="906" customFormat="false" ht="15" hidden="false" customHeight="false" outlineLevel="0" collapsed="false">
      <c r="A906" s="4" t="s">
        <v>1193</v>
      </c>
      <c r="B906" s="4" t="s">
        <v>120</v>
      </c>
      <c r="C906" s="4" t="s">
        <v>1110</v>
      </c>
      <c r="D906" s="4" t="s">
        <v>125</v>
      </c>
      <c r="E906" s="4" t="s">
        <v>28</v>
      </c>
      <c r="F906" s="5" t="n">
        <v>3968.69</v>
      </c>
      <c r="G906" s="6" t="n">
        <v>0</v>
      </c>
      <c r="H906" s="5" t="n">
        <v>0</v>
      </c>
      <c r="I906" s="5" t="n">
        <v>3968.69</v>
      </c>
    </row>
    <row r="907" customFormat="false" ht="15" hidden="false" customHeight="false" outlineLevel="0" collapsed="false">
      <c r="A907" s="4" t="s">
        <v>1194</v>
      </c>
      <c r="B907" s="4" t="s">
        <v>120</v>
      </c>
      <c r="C907" s="4" t="s">
        <v>1131</v>
      </c>
      <c r="D907" s="4" t="s">
        <v>127</v>
      </c>
      <c r="E907" s="4" t="s">
        <v>21</v>
      </c>
      <c r="F907" s="5" t="n">
        <v>12534.96</v>
      </c>
      <c r="G907" s="6" t="n">
        <v>0.05</v>
      </c>
      <c r="H907" s="5" t="n">
        <v>626.75</v>
      </c>
      <c r="I907" s="5" t="n">
        <v>13161.71</v>
      </c>
    </row>
    <row r="908" customFormat="false" ht="15" hidden="false" customHeight="false" outlineLevel="0" collapsed="false">
      <c r="A908" s="4" t="s">
        <v>1195</v>
      </c>
      <c r="B908" s="4" t="s">
        <v>120</v>
      </c>
      <c r="C908" s="4" t="s">
        <v>1112</v>
      </c>
      <c r="D908" s="4" t="s">
        <v>123</v>
      </c>
      <c r="E908" s="4" t="s">
        <v>28</v>
      </c>
      <c r="F908" s="5" t="n">
        <v>1926.35</v>
      </c>
      <c r="G908" s="6" t="n">
        <v>0</v>
      </c>
      <c r="H908" s="5" t="n">
        <v>0</v>
      </c>
      <c r="I908" s="5" t="n">
        <v>1926.35</v>
      </c>
    </row>
    <row r="909" customFormat="false" ht="15" hidden="false" customHeight="false" outlineLevel="0" collapsed="false">
      <c r="A909" s="4" t="s">
        <v>1196</v>
      </c>
      <c r="B909" s="4" t="s">
        <v>120</v>
      </c>
      <c r="C909" s="4" t="s">
        <v>1098</v>
      </c>
      <c r="D909" s="4" t="s">
        <v>133</v>
      </c>
      <c r="E909" s="4" t="s">
        <v>46</v>
      </c>
      <c r="F909" s="5" t="n">
        <v>2605.68</v>
      </c>
      <c r="G909" s="6" t="n">
        <v>0</v>
      </c>
      <c r="H909" s="5" t="n">
        <v>0</v>
      </c>
      <c r="I909" s="5" t="n">
        <v>2605.68</v>
      </c>
    </row>
    <row r="910" customFormat="false" ht="15" hidden="false" customHeight="false" outlineLevel="0" collapsed="false">
      <c r="A910" s="4" t="s">
        <v>1197</v>
      </c>
      <c r="B910" s="4" t="s">
        <v>120</v>
      </c>
      <c r="C910" s="4" t="s">
        <v>1136</v>
      </c>
      <c r="D910" s="4" t="s">
        <v>133</v>
      </c>
      <c r="E910" s="4" t="s">
        <v>21</v>
      </c>
      <c r="F910" s="5" t="n">
        <v>24503.42</v>
      </c>
      <c r="G910" s="6" t="n">
        <v>0.05</v>
      </c>
      <c r="H910" s="5" t="n">
        <v>1225.17</v>
      </c>
      <c r="I910" s="5" t="n">
        <v>25728.59</v>
      </c>
    </row>
    <row r="911" customFormat="false" ht="15" hidden="false" customHeight="false" outlineLevel="0" collapsed="false">
      <c r="A911" s="4" t="s">
        <v>1198</v>
      </c>
      <c r="B911" s="4" t="s">
        <v>120</v>
      </c>
      <c r="C911" s="4" t="s">
        <v>1114</v>
      </c>
      <c r="D911" s="4" t="s">
        <v>121</v>
      </c>
      <c r="E911" s="4" t="s">
        <v>21</v>
      </c>
      <c r="F911" s="5" t="n">
        <v>34097.13</v>
      </c>
      <c r="G911" s="6" t="n">
        <v>0.05</v>
      </c>
      <c r="H911" s="5" t="n">
        <v>1704.86</v>
      </c>
      <c r="I911" s="5" t="n">
        <v>35801.99</v>
      </c>
    </row>
    <row r="912" customFormat="false" ht="15" hidden="false" customHeight="false" outlineLevel="0" collapsed="false">
      <c r="A912" s="4" t="s">
        <v>1199</v>
      </c>
      <c r="B912" s="4" t="s">
        <v>120</v>
      </c>
      <c r="C912" s="4" t="s">
        <v>1129</v>
      </c>
      <c r="D912" s="4" t="s">
        <v>125</v>
      </c>
      <c r="E912" s="4" t="s">
        <v>21</v>
      </c>
      <c r="F912" s="5" t="n">
        <v>34716.82</v>
      </c>
      <c r="G912" s="6" t="n">
        <v>0.05</v>
      </c>
      <c r="H912" s="5" t="n">
        <v>1735.84</v>
      </c>
      <c r="I912" s="5" t="n">
        <v>36452.66</v>
      </c>
    </row>
    <row r="913" customFormat="false" ht="15" hidden="false" customHeight="false" outlineLevel="0" collapsed="false">
      <c r="A913" s="4" t="s">
        <v>1200</v>
      </c>
      <c r="B913" s="4" t="s">
        <v>120</v>
      </c>
      <c r="C913" s="4" t="s">
        <v>1155</v>
      </c>
      <c r="D913" s="4" t="s">
        <v>149</v>
      </c>
      <c r="E913" s="4" t="s">
        <v>46</v>
      </c>
      <c r="F913" s="5" t="n">
        <v>1998.16</v>
      </c>
      <c r="G913" s="6" t="n">
        <v>0</v>
      </c>
      <c r="H913" s="5" t="n">
        <v>0</v>
      </c>
      <c r="I913" s="5" t="n">
        <v>1998.16</v>
      </c>
    </row>
    <row r="914" customFormat="false" ht="15" hidden="false" customHeight="false" outlineLevel="0" collapsed="false">
      <c r="A914" s="4" t="s">
        <v>1201</v>
      </c>
      <c r="B914" s="4" t="s">
        <v>120</v>
      </c>
      <c r="C914" s="4" t="s">
        <v>1165</v>
      </c>
      <c r="D914" s="4" t="s">
        <v>155</v>
      </c>
      <c r="E914" s="4" t="s">
        <v>21</v>
      </c>
      <c r="F914" s="5" t="n">
        <v>8476.02</v>
      </c>
      <c r="G914" s="6" t="n">
        <v>0.05</v>
      </c>
      <c r="H914" s="5" t="n">
        <v>423.8</v>
      </c>
      <c r="I914" s="5" t="n">
        <v>8899.82</v>
      </c>
    </row>
    <row r="915" customFormat="false" ht="15" hidden="false" customHeight="false" outlineLevel="0" collapsed="false">
      <c r="A915" s="4" t="s">
        <v>1202</v>
      </c>
      <c r="B915" s="4" t="s">
        <v>120</v>
      </c>
      <c r="C915" s="4" t="s">
        <v>1155</v>
      </c>
      <c r="D915" s="4" t="s">
        <v>133</v>
      </c>
      <c r="E915" s="4" t="s">
        <v>21</v>
      </c>
      <c r="F915" s="5" t="n">
        <v>4405.16</v>
      </c>
      <c r="G915" s="6" t="n">
        <v>0.05</v>
      </c>
      <c r="H915" s="5" t="n">
        <v>220.26</v>
      </c>
      <c r="I915" s="5" t="n">
        <v>4625.42</v>
      </c>
    </row>
    <row r="916" customFormat="false" ht="15" hidden="false" customHeight="false" outlineLevel="0" collapsed="false">
      <c r="A916" s="4" t="s">
        <v>1203</v>
      </c>
      <c r="B916" s="4" t="s">
        <v>120</v>
      </c>
      <c r="C916" s="4" t="s">
        <v>1102</v>
      </c>
      <c r="D916" s="4" t="s">
        <v>125</v>
      </c>
      <c r="E916" s="4" t="s">
        <v>21</v>
      </c>
      <c r="F916" s="5" t="n">
        <v>37061.56</v>
      </c>
      <c r="G916" s="6" t="n">
        <v>0.05</v>
      </c>
      <c r="H916" s="5" t="n">
        <v>1853.08</v>
      </c>
      <c r="I916" s="5" t="n">
        <v>38914.64</v>
      </c>
    </row>
    <row r="917" customFormat="false" ht="15" hidden="false" customHeight="false" outlineLevel="0" collapsed="false">
      <c r="A917" s="4" t="s">
        <v>1204</v>
      </c>
      <c r="B917" s="4" t="s">
        <v>120</v>
      </c>
      <c r="C917" s="4" t="s">
        <v>1096</v>
      </c>
      <c r="D917" s="4" t="s">
        <v>121</v>
      </c>
      <c r="E917" s="4" t="s">
        <v>28</v>
      </c>
      <c r="F917" s="5" t="n">
        <v>2734.13</v>
      </c>
      <c r="G917" s="6" t="n">
        <v>0</v>
      </c>
      <c r="H917" s="5" t="n">
        <v>0</v>
      </c>
      <c r="I917" s="5" t="n">
        <v>2734.13</v>
      </c>
    </row>
    <row r="918" customFormat="false" ht="15" hidden="false" customHeight="false" outlineLevel="0" collapsed="false">
      <c r="A918" s="4" t="s">
        <v>1205</v>
      </c>
      <c r="B918" s="4" t="s">
        <v>120</v>
      </c>
      <c r="C918" s="4" t="s">
        <v>1131</v>
      </c>
      <c r="D918" s="4" t="s">
        <v>155</v>
      </c>
      <c r="E918" s="4" t="s">
        <v>28</v>
      </c>
      <c r="F918" s="5" t="n">
        <v>4030.66</v>
      </c>
      <c r="G918" s="6" t="n">
        <v>0</v>
      </c>
      <c r="H918" s="5" t="n">
        <v>0</v>
      </c>
      <c r="I918" s="5" t="n">
        <v>4030.66</v>
      </c>
    </row>
    <row r="919" customFormat="false" ht="15" hidden="false" customHeight="false" outlineLevel="0" collapsed="false">
      <c r="A919" s="4" t="s">
        <v>1206</v>
      </c>
      <c r="B919" s="4" t="s">
        <v>120</v>
      </c>
      <c r="C919" s="4" t="s">
        <v>1177</v>
      </c>
      <c r="D919" s="4" t="s">
        <v>125</v>
      </c>
      <c r="E919" s="4" t="s">
        <v>28</v>
      </c>
      <c r="F919" s="5" t="n">
        <v>37929.39</v>
      </c>
      <c r="G919" s="6" t="n">
        <v>0</v>
      </c>
      <c r="H919" s="5" t="n">
        <v>0</v>
      </c>
      <c r="I919" s="5" t="n">
        <v>37929.39</v>
      </c>
    </row>
    <row r="920" customFormat="false" ht="15" hidden="false" customHeight="false" outlineLevel="0" collapsed="false">
      <c r="A920" s="4" t="s">
        <v>1207</v>
      </c>
      <c r="B920" s="4" t="s">
        <v>120</v>
      </c>
      <c r="C920" s="4" t="s">
        <v>1094</v>
      </c>
      <c r="D920" s="4" t="s">
        <v>149</v>
      </c>
      <c r="E920" s="4" t="s">
        <v>21</v>
      </c>
      <c r="F920" s="5" t="n">
        <v>37346.05</v>
      </c>
      <c r="G920" s="6" t="n">
        <v>0.05</v>
      </c>
      <c r="H920" s="5" t="n">
        <v>1867.3</v>
      </c>
      <c r="I920" s="5" t="n">
        <v>39213.35</v>
      </c>
    </row>
    <row r="921" customFormat="false" ht="15" hidden="false" customHeight="false" outlineLevel="0" collapsed="false">
      <c r="A921" s="4" t="s">
        <v>1208</v>
      </c>
      <c r="B921" s="4" t="s">
        <v>120</v>
      </c>
      <c r="C921" s="4" t="s">
        <v>1104</v>
      </c>
      <c r="D921" s="4" t="s">
        <v>146</v>
      </c>
      <c r="E921" s="4" t="s">
        <v>21</v>
      </c>
      <c r="F921" s="5" t="n">
        <v>1984.24</v>
      </c>
      <c r="G921" s="6" t="n">
        <v>0.05</v>
      </c>
      <c r="H921" s="5" t="n">
        <v>99.21</v>
      </c>
      <c r="I921" s="5" t="n">
        <v>2083.45</v>
      </c>
    </row>
    <row r="922" customFormat="false" ht="15" hidden="false" customHeight="false" outlineLevel="0" collapsed="false">
      <c r="A922" s="4" t="s">
        <v>1209</v>
      </c>
      <c r="B922" s="4" t="s">
        <v>120</v>
      </c>
      <c r="C922" s="4" t="s">
        <v>1125</v>
      </c>
      <c r="D922" s="4" t="s">
        <v>127</v>
      </c>
      <c r="E922" s="4" t="s">
        <v>21</v>
      </c>
      <c r="F922" s="5" t="n">
        <v>10425.88</v>
      </c>
      <c r="G922" s="6" t="n">
        <v>0.05</v>
      </c>
      <c r="H922" s="5" t="n">
        <v>521.29</v>
      </c>
      <c r="I922" s="5" t="n">
        <v>10947.17</v>
      </c>
    </row>
    <row r="923" customFormat="false" ht="15" hidden="false" customHeight="false" outlineLevel="0" collapsed="false">
      <c r="A923" s="4" t="s">
        <v>1210</v>
      </c>
      <c r="B923" s="4" t="s">
        <v>120</v>
      </c>
      <c r="C923" s="4" t="s">
        <v>1110</v>
      </c>
      <c r="D923" s="4" t="s">
        <v>144</v>
      </c>
      <c r="E923" s="4" t="s">
        <v>21</v>
      </c>
      <c r="F923" s="5" t="n">
        <v>32182.86</v>
      </c>
      <c r="G923" s="6" t="n">
        <v>0.05</v>
      </c>
      <c r="H923" s="5" t="n">
        <v>1609.14</v>
      </c>
      <c r="I923" s="5" t="n">
        <v>33792</v>
      </c>
    </row>
    <row r="924" customFormat="false" ht="15" hidden="false" customHeight="false" outlineLevel="0" collapsed="false">
      <c r="A924" s="4" t="s">
        <v>1211</v>
      </c>
      <c r="B924" s="4" t="s">
        <v>120</v>
      </c>
      <c r="C924" s="4" t="s">
        <v>1090</v>
      </c>
      <c r="D924" s="4" t="s">
        <v>123</v>
      </c>
      <c r="E924" s="4" t="s">
        <v>21</v>
      </c>
      <c r="F924" s="5" t="n">
        <v>25086</v>
      </c>
      <c r="G924" s="6" t="n">
        <v>0.05</v>
      </c>
      <c r="H924" s="5" t="n">
        <v>1254.3</v>
      </c>
      <c r="I924" s="5" t="n">
        <v>26340.3</v>
      </c>
    </row>
    <row r="925" customFormat="false" ht="15" hidden="false" customHeight="false" outlineLevel="0" collapsed="false">
      <c r="A925" s="4" t="s">
        <v>1212</v>
      </c>
      <c r="B925" s="4" t="s">
        <v>120</v>
      </c>
      <c r="C925" s="4" t="s">
        <v>1141</v>
      </c>
      <c r="D925" s="4" t="s">
        <v>127</v>
      </c>
      <c r="E925" s="4" t="s">
        <v>28</v>
      </c>
      <c r="F925" s="5" t="n">
        <v>3679.45</v>
      </c>
      <c r="G925" s="6" t="n">
        <v>0</v>
      </c>
      <c r="H925" s="5" t="n">
        <v>0</v>
      </c>
      <c r="I925" s="5" t="n">
        <v>3679.45</v>
      </c>
    </row>
    <row r="926" customFormat="false" ht="15" hidden="false" customHeight="false" outlineLevel="0" collapsed="false">
      <c r="A926" s="4" t="s">
        <v>1213</v>
      </c>
      <c r="B926" s="4" t="s">
        <v>120</v>
      </c>
      <c r="C926" s="4" t="s">
        <v>1104</v>
      </c>
      <c r="D926" s="4" t="s">
        <v>146</v>
      </c>
      <c r="E926" s="4" t="s">
        <v>21</v>
      </c>
      <c r="F926" s="5" t="n">
        <v>14815.11</v>
      </c>
      <c r="G926" s="6" t="n">
        <v>0.05</v>
      </c>
      <c r="H926" s="5" t="n">
        <v>740.76</v>
      </c>
      <c r="I926" s="5" t="n">
        <v>15555.87</v>
      </c>
    </row>
    <row r="927" customFormat="false" ht="15" hidden="false" customHeight="false" outlineLevel="0" collapsed="false">
      <c r="A927" s="4" t="s">
        <v>1214</v>
      </c>
      <c r="B927" s="4" t="s">
        <v>120</v>
      </c>
      <c r="C927" s="4" t="s">
        <v>1092</v>
      </c>
      <c r="D927" s="4" t="s">
        <v>146</v>
      </c>
      <c r="E927" s="4" t="s">
        <v>28</v>
      </c>
      <c r="F927" s="5" t="n">
        <v>14890.23</v>
      </c>
      <c r="G927" s="6" t="n">
        <v>0</v>
      </c>
      <c r="H927" s="5" t="n">
        <v>0</v>
      </c>
      <c r="I927" s="5" t="n">
        <v>14890.23</v>
      </c>
    </row>
    <row r="928" customFormat="false" ht="15" hidden="false" customHeight="false" outlineLevel="0" collapsed="false">
      <c r="A928" s="4" t="s">
        <v>1215</v>
      </c>
      <c r="B928" s="4" t="s">
        <v>120</v>
      </c>
      <c r="C928" s="4" t="s">
        <v>1102</v>
      </c>
      <c r="D928" s="4" t="s">
        <v>144</v>
      </c>
      <c r="E928" s="4" t="s">
        <v>21</v>
      </c>
      <c r="F928" s="5" t="n">
        <v>29860.68</v>
      </c>
      <c r="G928" s="6" t="n">
        <v>0.05</v>
      </c>
      <c r="H928" s="5" t="n">
        <v>1493.03</v>
      </c>
      <c r="I928" s="5" t="n">
        <v>31353.71</v>
      </c>
    </row>
    <row r="929" customFormat="false" ht="15" hidden="false" customHeight="false" outlineLevel="0" collapsed="false">
      <c r="A929" s="4" t="s">
        <v>1216</v>
      </c>
      <c r="B929" s="4" t="s">
        <v>18</v>
      </c>
      <c r="C929" s="4" t="s">
        <v>1217</v>
      </c>
      <c r="D929" s="4" t="s">
        <v>20</v>
      </c>
      <c r="E929" s="4" t="s">
        <v>21</v>
      </c>
      <c r="F929" s="5" t="n">
        <v>10846.99</v>
      </c>
      <c r="G929" s="6" t="n">
        <v>0.05</v>
      </c>
      <c r="H929" s="5" t="n">
        <v>542.35</v>
      </c>
      <c r="I929" s="5" t="n">
        <v>11389.34</v>
      </c>
    </row>
    <row r="930" customFormat="false" ht="15" hidden="false" customHeight="false" outlineLevel="0" collapsed="false">
      <c r="A930" s="4" t="s">
        <v>1218</v>
      </c>
      <c r="B930" s="4" t="s">
        <v>18</v>
      </c>
      <c r="C930" s="4" t="s">
        <v>1219</v>
      </c>
      <c r="D930" s="4" t="s">
        <v>50</v>
      </c>
      <c r="E930" s="4" t="s">
        <v>21</v>
      </c>
      <c r="F930" s="5" t="n">
        <v>14708.14</v>
      </c>
      <c r="G930" s="6" t="n">
        <v>0.05</v>
      </c>
      <c r="H930" s="5" t="n">
        <v>735.41</v>
      </c>
      <c r="I930" s="5" t="n">
        <v>15443.55</v>
      </c>
    </row>
    <row r="931" customFormat="false" ht="15" hidden="false" customHeight="false" outlineLevel="0" collapsed="false">
      <c r="A931" s="4" t="s">
        <v>1220</v>
      </c>
      <c r="B931" s="4" t="s">
        <v>18</v>
      </c>
      <c r="C931" s="4" t="s">
        <v>1221</v>
      </c>
      <c r="D931" s="4" t="s">
        <v>45</v>
      </c>
      <c r="E931" s="4" t="s">
        <v>21</v>
      </c>
      <c r="F931" s="5" t="n">
        <v>64254.47</v>
      </c>
      <c r="G931" s="6" t="n">
        <v>0.05</v>
      </c>
      <c r="H931" s="5" t="n">
        <v>3212.72</v>
      </c>
      <c r="I931" s="5" t="n">
        <v>67467.19</v>
      </c>
    </row>
    <row r="932" customFormat="false" ht="15" hidden="false" customHeight="false" outlineLevel="0" collapsed="false">
      <c r="A932" s="4" t="s">
        <v>1222</v>
      </c>
      <c r="B932" s="4" t="s">
        <v>18</v>
      </c>
      <c r="C932" s="4" t="s">
        <v>1223</v>
      </c>
      <c r="D932" s="4" t="s">
        <v>88</v>
      </c>
      <c r="E932" s="4" t="s">
        <v>21</v>
      </c>
      <c r="F932" s="5" t="n">
        <v>12446.8</v>
      </c>
      <c r="G932" s="6" t="n">
        <v>0.05</v>
      </c>
      <c r="H932" s="5" t="n">
        <v>622.34</v>
      </c>
      <c r="I932" s="5" t="n">
        <v>13069.14</v>
      </c>
    </row>
    <row r="933" customFormat="false" ht="15" hidden="false" customHeight="false" outlineLevel="0" collapsed="false">
      <c r="A933" s="4" t="s">
        <v>1224</v>
      </c>
      <c r="B933" s="4" t="s">
        <v>18</v>
      </c>
      <c r="C933" s="4" t="s">
        <v>1225</v>
      </c>
      <c r="D933" s="4" t="s">
        <v>31</v>
      </c>
      <c r="E933" s="4" t="s">
        <v>21</v>
      </c>
      <c r="F933" s="5" t="n">
        <v>32706.61</v>
      </c>
      <c r="G933" s="6" t="n">
        <v>0.05</v>
      </c>
      <c r="H933" s="5" t="n">
        <v>1635.33</v>
      </c>
      <c r="I933" s="5" t="n">
        <v>34341.94</v>
      </c>
    </row>
    <row r="934" customFormat="false" ht="15" hidden="false" customHeight="false" outlineLevel="0" collapsed="false">
      <c r="A934" s="4" t="s">
        <v>1226</v>
      </c>
      <c r="B934" s="4" t="s">
        <v>18</v>
      </c>
      <c r="C934" s="4" t="s">
        <v>1219</v>
      </c>
      <c r="D934" s="4" t="s">
        <v>50</v>
      </c>
      <c r="E934" s="4" t="s">
        <v>28</v>
      </c>
      <c r="F934" s="5" t="n">
        <v>92866.39</v>
      </c>
      <c r="G934" s="6" t="n">
        <v>0</v>
      </c>
      <c r="H934" s="5" t="n">
        <v>0</v>
      </c>
      <c r="I934" s="5" t="n">
        <v>92866.39</v>
      </c>
    </row>
    <row r="935" customFormat="false" ht="15" hidden="false" customHeight="false" outlineLevel="0" collapsed="false">
      <c r="A935" s="4" t="s">
        <v>1227</v>
      </c>
      <c r="B935" s="4" t="s">
        <v>18</v>
      </c>
      <c r="C935" s="4" t="s">
        <v>1223</v>
      </c>
      <c r="D935" s="4" t="s">
        <v>34</v>
      </c>
      <c r="E935" s="4" t="s">
        <v>46</v>
      </c>
      <c r="F935" s="5" t="n">
        <v>59696.69</v>
      </c>
      <c r="G935" s="6" t="n">
        <v>0</v>
      </c>
      <c r="H935" s="5" t="n">
        <v>0</v>
      </c>
      <c r="I935" s="5" t="n">
        <v>59696.69</v>
      </c>
    </row>
    <row r="936" customFormat="false" ht="15" hidden="false" customHeight="false" outlineLevel="0" collapsed="false">
      <c r="A936" s="4" t="s">
        <v>1228</v>
      </c>
      <c r="B936" s="4" t="s">
        <v>18</v>
      </c>
      <c r="C936" s="4" t="s">
        <v>1217</v>
      </c>
      <c r="D936" s="4" t="s">
        <v>50</v>
      </c>
      <c r="E936" s="4" t="s">
        <v>21</v>
      </c>
      <c r="F936" s="5" t="n">
        <v>9498.85</v>
      </c>
      <c r="G936" s="6" t="n">
        <v>0.05</v>
      </c>
      <c r="H936" s="5" t="n">
        <v>474.94</v>
      </c>
      <c r="I936" s="5" t="n">
        <v>9973.79</v>
      </c>
    </row>
    <row r="937" customFormat="false" ht="15" hidden="false" customHeight="false" outlineLevel="0" collapsed="false">
      <c r="A937" s="4" t="s">
        <v>1229</v>
      </c>
      <c r="B937" s="4" t="s">
        <v>18</v>
      </c>
      <c r="C937" s="4" t="s">
        <v>1230</v>
      </c>
      <c r="D937" s="4" t="s">
        <v>45</v>
      </c>
      <c r="E937" s="4" t="s">
        <v>28</v>
      </c>
      <c r="F937" s="5" t="n">
        <v>6066.6</v>
      </c>
      <c r="G937" s="6" t="n">
        <v>0</v>
      </c>
      <c r="H937" s="5" t="n">
        <v>0</v>
      </c>
      <c r="I937" s="5" t="n">
        <v>6066.6</v>
      </c>
    </row>
    <row r="938" customFormat="false" ht="15" hidden="false" customHeight="false" outlineLevel="0" collapsed="false">
      <c r="A938" s="4" t="s">
        <v>1231</v>
      </c>
      <c r="B938" s="4" t="s">
        <v>18</v>
      </c>
      <c r="C938" s="4" t="s">
        <v>1232</v>
      </c>
      <c r="D938" s="4" t="s">
        <v>70</v>
      </c>
      <c r="E938" s="4" t="s">
        <v>46</v>
      </c>
      <c r="F938" s="5" t="n">
        <v>29565.12</v>
      </c>
      <c r="G938" s="6" t="n">
        <v>0</v>
      </c>
      <c r="H938" s="5" t="n">
        <v>0</v>
      </c>
      <c r="I938" s="5" t="n">
        <v>29565.12</v>
      </c>
    </row>
    <row r="939" customFormat="false" ht="15" hidden="false" customHeight="false" outlineLevel="0" collapsed="false">
      <c r="A939" s="4" t="s">
        <v>1233</v>
      </c>
      <c r="B939" s="4" t="s">
        <v>18</v>
      </c>
      <c r="C939" s="4" t="s">
        <v>1232</v>
      </c>
      <c r="D939" s="4" t="s">
        <v>45</v>
      </c>
      <c r="E939" s="4" t="s">
        <v>21</v>
      </c>
      <c r="F939" s="5" t="n">
        <v>40146.39</v>
      </c>
      <c r="G939" s="6" t="n">
        <v>0.05</v>
      </c>
      <c r="H939" s="5" t="n">
        <v>2007.32</v>
      </c>
      <c r="I939" s="5" t="n">
        <v>42153.71</v>
      </c>
    </row>
    <row r="940" customFormat="false" ht="15" hidden="false" customHeight="false" outlineLevel="0" collapsed="false">
      <c r="A940" s="4" t="s">
        <v>1234</v>
      </c>
      <c r="B940" s="4" t="s">
        <v>18</v>
      </c>
      <c r="C940" s="4" t="s">
        <v>1235</v>
      </c>
      <c r="D940" s="4" t="s">
        <v>34</v>
      </c>
      <c r="E940" s="4" t="s">
        <v>21</v>
      </c>
      <c r="F940" s="5" t="n">
        <v>93800.16</v>
      </c>
      <c r="G940" s="6" t="n">
        <v>0.05</v>
      </c>
      <c r="H940" s="5" t="n">
        <v>4690.01</v>
      </c>
      <c r="I940" s="5" t="n">
        <v>98490.17</v>
      </c>
    </row>
    <row r="941" customFormat="false" ht="15" hidden="false" customHeight="false" outlineLevel="0" collapsed="false">
      <c r="A941" s="4" t="s">
        <v>1236</v>
      </c>
      <c r="B941" s="4" t="s">
        <v>18</v>
      </c>
      <c r="C941" s="4" t="s">
        <v>1237</v>
      </c>
      <c r="D941" s="4" t="s">
        <v>34</v>
      </c>
      <c r="E941" s="4" t="s">
        <v>28</v>
      </c>
      <c r="F941" s="5" t="n">
        <v>9393.13</v>
      </c>
      <c r="G941" s="6" t="n">
        <v>0</v>
      </c>
      <c r="H941" s="5" t="n">
        <v>0</v>
      </c>
      <c r="I941" s="5" t="n">
        <v>9393.13</v>
      </c>
    </row>
    <row r="942" customFormat="false" ht="15" hidden="false" customHeight="false" outlineLevel="0" collapsed="false">
      <c r="A942" s="4" t="s">
        <v>1238</v>
      </c>
      <c r="B942" s="4" t="s">
        <v>18</v>
      </c>
      <c r="C942" s="4" t="s">
        <v>1219</v>
      </c>
      <c r="D942" s="4" t="s">
        <v>37</v>
      </c>
      <c r="E942" s="4" t="s">
        <v>21</v>
      </c>
      <c r="F942" s="5" t="n">
        <v>51585.26</v>
      </c>
      <c r="G942" s="6" t="n">
        <v>0.05</v>
      </c>
      <c r="H942" s="5" t="n">
        <v>2579.26</v>
      </c>
      <c r="I942" s="5" t="n">
        <v>54164.52</v>
      </c>
    </row>
    <row r="943" customFormat="false" ht="15" hidden="false" customHeight="false" outlineLevel="0" collapsed="false">
      <c r="A943" s="4" t="s">
        <v>1239</v>
      </c>
      <c r="B943" s="4" t="s">
        <v>18</v>
      </c>
      <c r="C943" s="4" t="s">
        <v>1223</v>
      </c>
      <c r="D943" s="4" t="s">
        <v>50</v>
      </c>
      <c r="E943" s="4" t="s">
        <v>21</v>
      </c>
      <c r="F943" s="5" t="n">
        <v>56779.8</v>
      </c>
      <c r="G943" s="6" t="n">
        <v>0.05</v>
      </c>
      <c r="H943" s="5" t="n">
        <v>2838.99</v>
      </c>
      <c r="I943" s="5" t="n">
        <v>59618.79</v>
      </c>
    </row>
    <row r="944" customFormat="false" ht="15" hidden="false" customHeight="false" outlineLevel="0" collapsed="false">
      <c r="A944" s="4" t="s">
        <v>1240</v>
      </c>
      <c r="B944" s="4" t="s">
        <v>18</v>
      </c>
      <c r="C944" s="4" t="s">
        <v>1241</v>
      </c>
      <c r="D944" s="4" t="s">
        <v>62</v>
      </c>
      <c r="E944" s="4" t="s">
        <v>21</v>
      </c>
      <c r="F944" s="5" t="n">
        <v>28965.69</v>
      </c>
      <c r="G944" s="6" t="n">
        <v>0.05</v>
      </c>
      <c r="H944" s="5" t="n">
        <v>1448.28</v>
      </c>
      <c r="I944" s="5" t="n">
        <v>30413.97</v>
      </c>
    </row>
    <row r="945" customFormat="false" ht="15" hidden="false" customHeight="false" outlineLevel="0" collapsed="false">
      <c r="A945" s="4" t="s">
        <v>1242</v>
      </c>
      <c r="B945" s="4" t="s">
        <v>18</v>
      </c>
      <c r="C945" s="4" t="s">
        <v>1243</v>
      </c>
      <c r="D945" s="4" t="s">
        <v>88</v>
      </c>
      <c r="E945" s="4" t="s">
        <v>21</v>
      </c>
      <c r="F945" s="5" t="n">
        <v>22008.97</v>
      </c>
      <c r="G945" s="6" t="n">
        <v>0.05</v>
      </c>
      <c r="H945" s="5" t="n">
        <v>1100.45</v>
      </c>
      <c r="I945" s="5" t="n">
        <v>23109.42</v>
      </c>
    </row>
    <row r="946" customFormat="false" ht="15" hidden="false" customHeight="false" outlineLevel="0" collapsed="false">
      <c r="A946" s="4" t="s">
        <v>1244</v>
      </c>
      <c r="B946" s="4" t="s">
        <v>18</v>
      </c>
      <c r="C946" s="4" t="s">
        <v>1219</v>
      </c>
      <c r="D946" s="4" t="s">
        <v>34</v>
      </c>
      <c r="E946" s="4" t="s">
        <v>21</v>
      </c>
      <c r="F946" s="5" t="n">
        <v>23609.82</v>
      </c>
      <c r="G946" s="6" t="n">
        <v>0.05</v>
      </c>
      <c r="H946" s="5" t="n">
        <v>1180.49</v>
      </c>
      <c r="I946" s="5" t="n">
        <v>24790.31</v>
      </c>
    </row>
    <row r="947" customFormat="false" ht="15" hidden="false" customHeight="false" outlineLevel="0" collapsed="false">
      <c r="A947" s="4" t="s">
        <v>1245</v>
      </c>
      <c r="B947" s="4" t="s">
        <v>18</v>
      </c>
      <c r="C947" s="4" t="s">
        <v>1246</v>
      </c>
      <c r="D947" s="4" t="s">
        <v>50</v>
      </c>
      <c r="E947" s="4" t="s">
        <v>21</v>
      </c>
      <c r="F947" s="5" t="n">
        <v>34725.72</v>
      </c>
      <c r="G947" s="6" t="n">
        <v>0.05</v>
      </c>
      <c r="H947" s="5" t="n">
        <v>1736.29</v>
      </c>
      <c r="I947" s="5" t="n">
        <v>36462.01</v>
      </c>
    </row>
    <row r="948" customFormat="false" ht="15" hidden="false" customHeight="false" outlineLevel="0" collapsed="false">
      <c r="A948" s="4" t="s">
        <v>1247</v>
      </c>
      <c r="B948" s="4" t="s">
        <v>18</v>
      </c>
      <c r="C948" s="4" t="s">
        <v>1225</v>
      </c>
      <c r="D948" s="4" t="s">
        <v>50</v>
      </c>
      <c r="E948" s="4" t="s">
        <v>28</v>
      </c>
      <c r="F948" s="5" t="n">
        <v>30676.89</v>
      </c>
      <c r="G948" s="6" t="n">
        <v>0</v>
      </c>
      <c r="H948" s="5" t="n">
        <v>0</v>
      </c>
      <c r="I948" s="5" t="n">
        <v>30676.89</v>
      </c>
    </row>
    <row r="949" customFormat="false" ht="15" hidden="false" customHeight="false" outlineLevel="0" collapsed="false">
      <c r="A949" s="4" t="s">
        <v>1248</v>
      </c>
      <c r="B949" s="4" t="s">
        <v>18</v>
      </c>
      <c r="C949" s="4" t="s">
        <v>1232</v>
      </c>
      <c r="D949" s="4" t="s">
        <v>88</v>
      </c>
      <c r="E949" s="4" t="s">
        <v>28</v>
      </c>
      <c r="F949" s="5" t="n">
        <v>54237.41</v>
      </c>
      <c r="G949" s="6" t="n">
        <v>0</v>
      </c>
      <c r="H949" s="5" t="n">
        <v>0</v>
      </c>
      <c r="I949" s="5" t="n">
        <v>54237.41</v>
      </c>
    </row>
    <row r="950" customFormat="false" ht="15" hidden="false" customHeight="false" outlineLevel="0" collapsed="false">
      <c r="A950" s="4" t="s">
        <v>1249</v>
      </c>
      <c r="B950" s="4" t="s">
        <v>18</v>
      </c>
      <c r="C950" s="4" t="s">
        <v>1250</v>
      </c>
      <c r="D950" s="4" t="s">
        <v>62</v>
      </c>
      <c r="E950" s="4" t="s">
        <v>21</v>
      </c>
      <c r="F950" s="5" t="n">
        <v>26149.93</v>
      </c>
      <c r="G950" s="6" t="n">
        <v>0.05</v>
      </c>
      <c r="H950" s="5" t="n">
        <v>1307.5</v>
      </c>
      <c r="I950" s="5" t="n">
        <v>27457.43</v>
      </c>
    </row>
    <row r="951" customFormat="false" ht="15" hidden="false" customHeight="false" outlineLevel="0" collapsed="false">
      <c r="A951" s="4" t="s">
        <v>1251</v>
      </c>
      <c r="B951" s="4" t="s">
        <v>18</v>
      </c>
      <c r="C951" s="4" t="s">
        <v>1237</v>
      </c>
      <c r="D951" s="4" t="s">
        <v>70</v>
      </c>
      <c r="E951" s="4" t="s">
        <v>21</v>
      </c>
      <c r="F951" s="5" t="n">
        <v>80506.39</v>
      </c>
      <c r="G951" s="6" t="n">
        <v>0.05</v>
      </c>
      <c r="H951" s="5" t="n">
        <v>4025.32</v>
      </c>
      <c r="I951" s="5" t="n">
        <v>84531.71</v>
      </c>
    </row>
    <row r="952" customFormat="false" ht="15" hidden="false" customHeight="false" outlineLevel="0" collapsed="false">
      <c r="A952" s="4" t="s">
        <v>1252</v>
      </c>
      <c r="B952" s="4" t="s">
        <v>18</v>
      </c>
      <c r="C952" s="4" t="s">
        <v>1250</v>
      </c>
      <c r="D952" s="4" t="s">
        <v>20</v>
      </c>
      <c r="E952" s="4" t="s">
        <v>21</v>
      </c>
      <c r="F952" s="5" t="n">
        <v>51738.5</v>
      </c>
      <c r="G952" s="6" t="n">
        <v>0.05</v>
      </c>
      <c r="H952" s="5" t="n">
        <v>2586.93</v>
      </c>
      <c r="I952" s="5" t="n">
        <v>54325.43</v>
      </c>
    </row>
    <row r="953" customFormat="false" ht="15" hidden="false" customHeight="false" outlineLevel="0" collapsed="false">
      <c r="A953" s="4" t="s">
        <v>1253</v>
      </c>
      <c r="B953" s="4" t="s">
        <v>18</v>
      </c>
      <c r="C953" s="4" t="s">
        <v>1254</v>
      </c>
      <c r="D953" s="4" t="s">
        <v>62</v>
      </c>
      <c r="E953" s="4" t="s">
        <v>28</v>
      </c>
      <c r="F953" s="5" t="n">
        <v>80300.52</v>
      </c>
      <c r="G953" s="6" t="n">
        <v>0</v>
      </c>
      <c r="H953" s="5" t="n">
        <v>0</v>
      </c>
      <c r="I953" s="5" t="n">
        <v>80300.52</v>
      </c>
    </row>
    <row r="954" customFormat="false" ht="15" hidden="false" customHeight="false" outlineLevel="0" collapsed="false">
      <c r="A954" s="4" t="s">
        <v>1255</v>
      </c>
      <c r="B954" s="4" t="s">
        <v>18</v>
      </c>
      <c r="C954" s="4" t="s">
        <v>1250</v>
      </c>
      <c r="D954" s="4" t="s">
        <v>31</v>
      </c>
      <c r="E954" s="4" t="s">
        <v>21</v>
      </c>
      <c r="F954" s="5" t="n">
        <v>54087.28</v>
      </c>
      <c r="G954" s="6" t="n">
        <v>0.05</v>
      </c>
      <c r="H954" s="5" t="n">
        <v>2704.36</v>
      </c>
      <c r="I954" s="5" t="n">
        <v>56791.64</v>
      </c>
    </row>
    <row r="955" customFormat="false" ht="15" hidden="false" customHeight="false" outlineLevel="0" collapsed="false">
      <c r="A955" s="4" t="s">
        <v>1256</v>
      </c>
      <c r="B955" s="4" t="s">
        <v>18</v>
      </c>
      <c r="C955" s="4" t="s">
        <v>1223</v>
      </c>
      <c r="D955" s="4" t="s">
        <v>56</v>
      </c>
      <c r="E955" s="4" t="s">
        <v>21</v>
      </c>
      <c r="F955" s="5" t="n">
        <v>36402.44</v>
      </c>
      <c r="G955" s="6" t="n">
        <v>0.05</v>
      </c>
      <c r="H955" s="5" t="n">
        <v>1820.12</v>
      </c>
      <c r="I955" s="5" t="n">
        <v>38222.56</v>
      </c>
    </row>
    <row r="956" customFormat="false" ht="15" hidden="false" customHeight="false" outlineLevel="0" collapsed="false">
      <c r="A956" s="4" t="s">
        <v>1257</v>
      </c>
      <c r="B956" s="4" t="s">
        <v>18</v>
      </c>
      <c r="C956" s="4" t="s">
        <v>1258</v>
      </c>
      <c r="D956" s="4" t="s">
        <v>37</v>
      </c>
      <c r="E956" s="4" t="s">
        <v>21</v>
      </c>
      <c r="F956" s="5" t="n">
        <v>60438.76</v>
      </c>
      <c r="G956" s="6" t="n">
        <v>0.05</v>
      </c>
      <c r="H956" s="5" t="n">
        <v>3021.94</v>
      </c>
      <c r="I956" s="5" t="n">
        <v>63460.7</v>
      </c>
    </row>
    <row r="957" customFormat="false" ht="15" hidden="false" customHeight="false" outlineLevel="0" collapsed="false">
      <c r="A957" s="4" t="s">
        <v>1259</v>
      </c>
      <c r="B957" s="4" t="s">
        <v>18</v>
      </c>
      <c r="C957" s="4" t="s">
        <v>1260</v>
      </c>
      <c r="D957" s="4" t="s">
        <v>62</v>
      </c>
      <c r="E957" s="4" t="s">
        <v>46</v>
      </c>
      <c r="F957" s="5" t="n">
        <v>90888.2</v>
      </c>
      <c r="G957" s="6" t="n">
        <v>0</v>
      </c>
      <c r="H957" s="5" t="n">
        <v>0</v>
      </c>
      <c r="I957" s="5" t="n">
        <v>90888.2</v>
      </c>
    </row>
    <row r="958" customFormat="false" ht="15" hidden="false" customHeight="false" outlineLevel="0" collapsed="false">
      <c r="A958" s="4" t="s">
        <v>1261</v>
      </c>
      <c r="B958" s="4" t="s">
        <v>18</v>
      </c>
      <c r="C958" s="4" t="s">
        <v>1262</v>
      </c>
      <c r="D958" s="4" t="s">
        <v>86</v>
      </c>
      <c r="E958" s="4" t="s">
        <v>21</v>
      </c>
      <c r="F958" s="5" t="n">
        <v>87659.75</v>
      </c>
      <c r="G958" s="6" t="n">
        <v>0.05</v>
      </c>
      <c r="H958" s="5" t="n">
        <v>4382.99</v>
      </c>
      <c r="I958" s="5" t="n">
        <v>92042.74</v>
      </c>
    </row>
    <row r="959" customFormat="false" ht="15" hidden="false" customHeight="false" outlineLevel="0" collapsed="false">
      <c r="A959" s="4" t="s">
        <v>1263</v>
      </c>
      <c r="B959" s="4" t="s">
        <v>18</v>
      </c>
      <c r="C959" s="4" t="s">
        <v>1235</v>
      </c>
      <c r="D959" s="4" t="s">
        <v>45</v>
      </c>
      <c r="E959" s="4" t="s">
        <v>21</v>
      </c>
      <c r="F959" s="5" t="n">
        <v>74823.98</v>
      </c>
      <c r="G959" s="6" t="n">
        <v>0.05</v>
      </c>
      <c r="H959" s="5" t="n">
        <v>3741.2</v>
      </c>
      <c r="I959" s="5" t="n">
        <v>78565.18</v>
      </c>
    </row>
    <row r="960" customFormat="false" ht="15" hidden="false" customHeight="false" outlineLevel="0" collapsed="false">
      <c r="A960" s="4" t="s">
        <v>1264</v>
      </c>
      <c r="B960" s="4" t="s">
        <v>18</v>
      </c>
      <c r="C960" s="4" t="s">
        <v>1265</v>
      </c>
      <c r="D960" s="4" t="s">
        <v>24</v>
      </c>
      <c r="E960" s="4" t="s">
        <v>28</v>
      </c>
      <c r="F960" s="5" t="n">
        <v>53382.15</v>
      </c>
      <c r="G960" s="6" t="n">
        <v>0</v>
      </c>
      <c r="H960" s="5" t="n">
        <v>0</v>
      </c>
      <c r="I960" s="5" t="n">
        <v>53382.15</v>
      </c>
    </row>
    <row r="961" customFormat="false" ht="15" hidden="false" customHeight="false" outlineLevel="0" collapsed="false">
      <c r="A961" s="4" t="s">
        <v>1266</v>
      </c>
      <c r="B961" s="4" t="s">
        <v>18</v>
      </c>
      <c r="C961" s="4" t="s">
        <v>1267</v>
      </c>
      <c r="D961" s="4" t="s">
        <v>88</v>
      </c>
      <c r="E961" s="4" t="s">
        <v>28</v>
      </c>
      <c r="F961" s="5" t="n">
        <v>21786.14</v>
      </c>
      <c r="G961" s="6" t="n">
        <v>0</v>
      </c>
      <c r="H961" s="5" t="n">
        <v>0</v>
      </c>
      <c r="I961" s="5" t="n">
        <v>21786.14</v>
      </c>
    </row>
    <row r="962" customFormat="false" ht="15" hidden="false" customHeight="false" outlineLevel="0" collapsed="false">
      <c r="A962" s="4" t="s">
        <v>1268</v>
      </c>
      <c r="B962" s="4" t="s">
        <v>18</v>
      </c>
      <c r="C962" s="4" t="s">
        <v>1235</v>
      </c>
      <c r="D962" s="4" t="s">
        <v>45</v>
      </c>
      <c r="E962" s="4" t="s">
        <v>21</v>
      </c>
      <c r="F962" s="5" t="n">
        <v>17228.68</v>
      </c>
      <c r="G962" s="6" t="n">
        <v>0.05</v>
      </c>
      <c r="H962" s="5" t="n">
        <v>861.43</v>
      </c>
      <c r="I962" s="5" t="n">
        <v>18090.11</v>
      </c>
    </row>
    <row r="963" customFormat="false" ht="15" hidden="false" customHeight="false" outlineLevel="0" collapsed="false">
      <c r="A963" s="4" t="s">
        <v>1269</v>
      </c>
      <c r="B963" s="4" t="s">
        <v>18</v>
      </c>
      <c r="C963" s="4" t="s">
        <v>1225</v>
      </c>
      <c r="D963" s="4" t="s">
        <v>88</v>
      </c>
      <c r="E963" s="4" t="s">
        <v>21</v>
      </c>
      <c r="F963" s="5" t="n">
        <v>6961.28</v>
      </c>
      <c r="G963" s="6" t="n">
        <v>0.05</v>
      </c>
      <c r="H963" s="5" t="n">
        <v>348.06</v>
      </c>
      <c r="I963" s="5" t="n">
        <v>7309.34</v>
      </c>
    </row>
    <row r="964" customFormat="false" ht="15" hidden="false" customHeight="false" outlineLevel="0" collapsed="false">
      <c r="A964" s="4" t="s">
        <v>1270</v>
      </c>
      <c r="B964" s="4" t="s">
        <v>18</v>
      </c>
      <c r="C964" s="4" t="s">
        <v>1230</v>
      </c>
      <c r="D964" s="4" t="s">
        <v>34</v>
      </c>
      <c r="E964" s="4" t="s">
        <v>21</v>
      </c>
      <c r="F964" s="5" t="n">
        <v>27235.59</v>
      </c>
      <c r="G964" s="6" t="n">
        <v>0.05</v>
      </c>
      <c r="H964" s="5" t="n">
        <v>1361.78</v>
      </c>
      <c r="I964" s="5" t="n">
        <v>28597.37</v>
      </c>
    </row>
    <row r="965" customFormat="false" ht="15" hidden="false" customHeight="false" outlineLevel="0" collapsed="false">
      <c r="A965" s="4" t="s">
        <v>1271</v>
      </c>
      <c r="B965" s="4" t="s">
        <v>18</v>
      </c>
      <c r="C965" s="4" t="s">
        <v>1260</v>
      </c>
      <c r="D965" s="4" t="s">
        <v>88</v>
      </c>
      <c r="E965" s="4" t="s">
        <v>21</v>
      </c>
      <c r="F965" s="5" t="n">
        <v>41609.86</v>
      </c>
      <c r="G965" s="6" t="n">
        <v>0.05</v>
      </c>
      <c r="H965" s="5" t="n">
        <v>2080.49</v>
      </c>
      <c r="I965" s="5" t="n">
        <v>43690.35</v>
      </c>
    </row>
    <row r="966" customFormat="false" ht="15" hidden="false" customHeight="false" outlineLevel="0" collapsed="false">
      <c r="A966" s="4" t="s">
        <v>1272</v>
      </c>
      <c r="B966" s="4" t="s">
        <v>18</v>
      </c>
      <c r="C966" s="4" t="s">
        <v>1237</v>
      </c>
      <c r="D966" s="4" t="s">
        <v>27</v>
      </c>
      <c r="E966" s="4" t="s">
        <v>28</v>
      </c>
      <c r="F966" s="5" t="n">
        <v>43196.21</v>
      </c>
      <c r="G966" s="6" t="n">
        <v>0</v>
      </c>
      <c r="H966" s="5" t="n">
        <v>0</v>
      </c>
      <c r="I966" s="5" t="n">
        <v>43196.21</v>
      </c>
    </row>
    <row r="967" customFormat="false" ht="15" hidden="false" customHeight="false" outlineLevel="0" collapsed="false">
      <c r="A967" s="4" t="s">
        <v>1273</v>
      </c>
      <c r="B967" s="4" t="s">
        <v>18</v>
      </c>
      <c r="C967" s="4" t="s">
        <v>1235</v>
      </c>
      <c r="D967" s="4" t="s">
        <v>56</v>
      </c>
      <c r="E967" s="4" t="s">
        <v>21</v>
      </c>
      <c r="F967" s="5" t="n">
        <v>12942.11</v>
      </c>
      <c r="G967" s="6" t="n">
        <v>0.05</v>
      </c>
      <c r="H967" s="5" t="n">
        <v>647.11</v>
      </c>
      <c r="I967" s="5" t="n">
        <v>13589.22</v>
      </c>
    </row>
    <row r="968" customFormat="false" ht="15" hidden="false" customHeight="false" outlineLevel="0" collapsed="false">
      <c r="A968" s="4" t="s">
        <v>1274</v>
      </c>
      <c r="B968" s="4" t="s">
        <v>18</v>
      </c>
      <c r="C968" s="4" t="s">
        <v>1217</v>
      </c>
      <c r="D968" s="4" t="s">
        <v>59</v>
      </c>
      <c r="E968" s="4" t="s">
        <v>21</v>
      </c>
      <c r="F968" s="5" t="n">
        <v>15854.52</v>
      </c>
      <c r="G968" s="6" t="n">
        <v>0.05</v>
      </c>
      <c r="H968" s="5" t="n">
        <v>792.73</v>
      </c>
      <c r="I968" s="5" t="n">
        <v>16647.25</v>
      </c>
    </row>
    <row r="969" customFormat="false" ht="15" hidden="false" customHeight="false" outlineLevel="0" collapsed="false">
      <c r="A969" s="4" t="s">
        <v>1275</v>
      </c>
      <c r="B969" s="4" t="s">
        <v>18</v>
      </c>
      <c r="C969" s="4" t="s">
        <v>1230</v>
      </c>
      <c r="D969" s="4" t="s">
        <v>34</v>
      </c>
      <c r="E969" s="4" t="s">
        <v>21</v>
      </c>
      <c r="F969" s="5" t="n">
        <v>45620.53</v>
      </c>
      <c r="G969" s="6" t="n">
        <v>0.05</v>
      </c>
      <c r="H969" s="5" t="n">
        <v>2281.03</v>
      </c>
      <c r="I969" s="5" t="n">
        <v>47901.56</v>
      </c>
    </row>
    <row r="970" customFormat="false" ht="15" hidden="false" customHeight="false" outlineLevel="0" collapsed="false">
      <c r="A970" s="4" t="s">
        <v>1276</v>
      </c>
      <c r="B970" s="4" t="s">
        <v>18</v>
      </c>
      <c r="C970" s="4" t="s">
        <v>1237</v>
      </c>
      <c r="D970" s="4" t="s">
        <v>62</v>
      </c>
      <c r="E970" s="4" t="s">
        <v>21</v>
      </c>
      <c r="F970" s="5" t="n">
        <v>56332.95</v>
      </c>
      <c r="G970" s="6" t="n">
        <v>0.05</v>
      </c>
      <c r="H970" s="5" t="n">
        <v>2816.65</v>
      </c>
      <c r="I970" s="5" t="n">
        <v>59149.6</v>
      </c>
    </row>
    <row r="971" customFormat="false" ht="15" hidden="false" customHeight="false" outlineLevel="0" collapsed="false">
      <c r="A971" s="4" t="s">
        <v>1277</v>
      </c>
      <c r="B971" s="4" t="s">
        <v>18</v>
      </c>
      <c r="C971" s="4" t="s">
        <v>1230</v>
      </c>
      <c r="D971" s="4" t="s">
        <v>24</v>
      </c>
      <c r="E971" s="4" t="s">
        <v>21</v>
      </c>
      <c r="F971" s="5" t="n">
        <v>15086.37</v>
      </c>
      <c r="G971" s="6" t="n">
        <v>0.05</v>
      </c>
      <c r="H971" s="5" t="n">
        <v>754.32</v>
      </c>
      <c r="I971" s="5" t="n">
        <v>15840.69</v>
      </c>
    </row>
    <row r="972" customFormat="false" ht="15" hidden="false" customHeight="false" outlineLevel="0" collapsed="false">
      <c r="A972" s="4" t="s">
        <v>1278</v>
      </c>
      <c r="B972" s="4" t="s">
        <v>18</v>
      </c>
      <c r="C972" s="4" t="s">
        <v>1258</v>
      </c>
      <c r="D972" s="4" t="s">
        <v>88</v>
      </c>
      <c r="E972" s="4" t="s">
        <v>21</v>
      </c>
      <c r="F972" s="5" t="n">
        <v>4443.25</v>
      </c>
      <c r="G972" s="6" t="n">
        <v>0.05</v>
      </c>
      <c r="H972" s="5" t="n">
        <v>222.16</v>
      </c>
      <c r="I972" s="5" t="n">
        <v>4665.41</v>
      </c>
    </row>
    <row r="973" customFormat="false" ht="15" hidden="false" customHeight="false" outlineLevel="0" collapsed="false">
      <c r="A973" s="4" t="s">
        <v>1279</v>
      </c>
      <c r="B973" s="4" t="s">
        <v>18</v>
      </c>
      <c r="C973" s="4" t="s">
        <v>1280</v>
      </c>
      <c r="D973" s="4" t="s">
        <v>37</v>
      </c>
      <c r="E973" s="4" t="s">
        <v>21</v>
      </c>
      <c r="F973" s="5" t="n">
        <v>27028.58</v>
      </c>
      <c r="G973" s="6" t="n">
        <v>0.05</v>
      </c>
      <c r="H973" s="5" t="n">
        <v>1351.43</v>
      </c>
      <c r="I973" s="5" t="n">
        <v>28380.01</v>
      </c>
    </row>
    <row r="974" customFormat="false" ht="15" hidden="false" customHeight="false" outlineLevel="0" collapsed="false">
      <c r="A974" s="4" t="s">
        <v>1281</v>
      </c>
      <c r="B974" s="4" t="s">
        <v>18</v>
      </c>
      <c r="C974" s="4" t="s">
        <v>1258</v>
      </c>
      <c r="D974" s="4" t="s">
        <v>78</v>
      </c>
      <c r="E974" s="4" t="s">
        <v>28</v>
      </c>
      <c r="F974" s="5" t="n">
        <v>20221.9</v>
      </c>
      <c r="G974" s="6" t="n">
        <v>0</v>
      </c>
      <c r="H974" s="5" t="n">
        <v>0</v>
      </c>
      <c r="I974" s="5" t="n">
        <v>20221.9</v>
      </c>
    </row>
    <row r="975" customFormat="false" ht="15" hidden="false" customHeight="false" outlineLevel="0" collapsed="false">
      <c r="A975" s="4" t="s">
        <v>1282</v>
      </c>
      <c r="B975" s="4" t="s">
        <v>18</v>
      </c>
      <c r="C975" s="4" t="s">
        <v>1225</v>
      </c>
      <c r="D975" s="4" t="s">
        <v>56</v>
      </c>
      <c r="E975" s="4" t="s">
        <v>21</v>
      </c>
      <c r="F975" s="5" t="n">
        <v>68731.87</v>
      </c>
      <c r="G975" s="6" t="n">
        <v>0.05</v>
      </c>
      <c r="H975" s="5" t="n">
        <v>3436.59</v>
      </c>
      <c r="I975" s="5" t="n">
        <v>72168.46</v>
      </c>
    </row>
    <row r="976" customFormat="false" ht="15" hidden="false" customHeight="false" outlineLevel="0" collapsed="false">
      <c r="A976" s="4" t="s">
        <v>1283</v>
      </c>
      <c r="B976" s="4" t="s">
        <v>18</v>
      </c>
      <c r="C976" s="4" t="s">
        <v>1246</v>
      </c>
      <c r="D976" s="4" t="s">
        <v>24</v>
      </c>
      <c r="E976" s="4" t="s">
        <v>21</v>
      </c>
      <c r="F976" s="5" t="n">
        <v>10614.94</v>
      </c>
      <c r="G976" s="6" t="n">
        <v>0.05</v>
      </c>
      <c r="H976" s="5" t="n">
        <v>530.75</v>
      </c>
      <c r="I976" s="5" t="n">
        <v>11145.69</v>
      </c>
    </row>
    <row r="977" customFormat="false" ht="15" hidden="false" customHeight="false" outlineLevel="0" collapsed="false">
      <c r="A977" s="4" t="s">
        <v>1284</v>
      </c>
      <c r="B977" s="4" t="s">
        <v>18</v>
      </c>
      <c r="C977" s="4" t="s">
        <v>1217</v>
      </c>
      <c r="D977" s="4" t="s">
        <v>24</v>
      </c>
      <c r="E977" s="4" t="s">
        <v>21</v>
      </c>
      <c r="F977" s="5" t="n">
        <v>13279.95</v>
      </c>
      <c r="G977" s="6" t="n">
        <v>0.05</v>
      </c>
      <c r="H977" s="5" t="n">
        <v>664</v>
      </c>
      <c r="I977" s="5" t="n">
        <v>13943.95</v>
      </c>
    </row>
    <row r="978" customFormat="false" ht="15" hidden="false" customHeight="false" outlineLevel="0" collapsed="false">
      <c r="A978" s="4" t="s">
        <v>1285</v>
      </c>
      <c r="B978" s="4" t="s">
        <v>18</v>
      </c>
      <c r="C978" s="4" t="s">
        <v>1217</v>
      </c>
      <c r="D978" s="4" t="s">
        <v>62</v>
      </c>
      <c r="E978" s="4" t="s">
        <v>21</v>
      </c>
      <c r="F978" s="5" t="n">
        <v>82237.04</v>
      </c>
      <c r="G978" s="6" t="n">
        <v>0.05</v>
      </c>
      <c r="H978" s="5" t="n">
        <v>4111.85</v>
      </c>
      <c r="I978" s="5" t="n">
        <v>86348.89</v>
      </c>
    </row>
    <row r="979" customFormat="false" ht="15" hidden="false" customHeight="false" outlineLevel="0" collapsed="false">
      <c r="A979" s="4" t="s">
        <v>1286</v>
      </c>
      <c r="B979" s="4" t="s">
        <v>18</v>
      </c>
      <c r="C979" s="4" t="s">
        <v>1243</v>
      </c>
      <c r="D979" s="4" t="s">
        <v>37</v>
      </c>
      <c r="E979" s="4" t="s">
        <v>21</v>
      </c>
      <c r="F979" s="5" t="n">
        <v>50992.13</v>
      </c>
      <c r="G979" s="6" t="n">
        <v>0.05</v>
      </c>
      <c r="H979" s="5" t="n">
        <v>2549.61</v>
      </c>
      <c r="I979" s="5" t="n">
        <v>53541.74</v>
      </c>
    </row>
    <row r="980" customFormat="false" ht="15" hidden="false" customHeight="false" outlineLevel="0" collapsed="false">
      <c r="A980" s="4" t="s">
        <v>1287</v>
      </c>
      <c r="B980" s="4" t="s">
        <v>18</v>
      </c>
      <c r="C980" s="4" t="s">
        <v>1250</v>
      </c>
      <c r="D980" s="4" t="s">
        <v>24</v>
      </c>
      <c r="E980" s="4" t="s">
        <v>21</v>
      </c>
      <c r="F980" s="5" t="n">
        <v>75225.16</v>
      </c>
      <c r="G980" s="6" t="n">
        <v>0.05</v>
      </c>
      <c r="H980" s="5" t="n">
        <v>3761.26</v>
      </c>
      <c r="I980" s="5" t="n">
        <v>78986.42</v>
      </c>
    </row>
    <row r="981" customFormat="false" ht="15" hidden="false" customHeight="false" outlineLevel="0" collapsed="false">
      <c r="A981" s="4" t="s">
        <v>1288</v>
      </c>
      <c r="B981" s="4" t="s">
        <v>18</v>
      </c>
      <c r="C981" s="4" t="s">
        <v>1230</v>
      </c>
      <c r="D981" s="4" t="s">
        <v>78</v>
      </c>
      <c r="E981" s="4" t="s">
        <v>21</v>
      </c>
      <c r="F981" s="5" t="n">
        <v>38496.63</v>
      </c>
      <c r="G981" s="6" t="n">
        <v>0.05</v>
      </c>
      <c r="H981" s="5" t="n">
        <v>1924.83</v>
      </c>
      <c r="I981" s="5" t="n">
        <v>40421.46</v>
      </c>
    </row>
    <row r="982" customFormat="false" ht="15" hidden="false" customHeight="false" outlineLevel="0" collapsed="false">
      <c r="A982" s="4" t="s">
        <v>1289</v>
      </c>
      <c r="B982" s="4" t="s">
        <v>18</v>
      </c>
      <c r="C982" s="4" t="s">
        <v>1217</v>
      </c>
      <c r="D982" s="4" t="s">
        <v>62</v>
      </c>
      <c r="E982" s="4" t="s">
        <v>21</v>
      </c>
      <c r="F982" s="5" t="n">
        <v>19965.94</v>
      </c>
      <c r="G982" s="6" t="n">
        <v>0.05</v>
      </c>
      <c r="H982" s="5" t="n">
        <v>998.3</v>
      </c>
      <c r="I982" s="5" t="n">
        <v>20964.24</v>
      </c>
    </row>
    <row r="983" customFormat="false" ht="15" hidden="false" customHeight="false" outlineLevel="0" collapsed="false">
      <c r="A983" s="4" t="s">
        <v>1290</v>
      </c>
      <c r="B983" s="4" t="s">
        <v>18</v>
      </c>
      <c r="C983" s="4" t="s">
        <v>1291</v>
      </c>
      <c r="D983" s="4" t="s">
        <v>88</v>
      </c>
      <c r="E983" s="4" t="s">
        <v>21</v>
      </c>
      <c r="F983" s="5" t="n">
        <v>38559.51</v>
      </c>
      <c r="G983" s="6" t="n">
        <v>0.05</v>
      </c>
      <c r="H983" s="5" t="n">
        <v>1927.98</v>
      </c>
      <c r="I983" s="5" t="n">
        <v>40487.49</v>
      </c>
    </row>
    <row r="984" customFormat="false" ht="15" hidden="false" customHeight="false" outlineLevel="0" collapsed="false">
      <c r="A984" s="4" t="s">
        <v>1292</v>
      </c>
      <c r="B984" s="4" t="s">
        <v>18</v>
      </c>
      <c r="C984" s="4" t="s">
        <v>1280</v>
      </c>
      <c r="D984" s="4" t="s">
        <v>27</v>
      </c>
      <c r="E984" s="4" t="s">
        <v>21</v>
      </c>
      <c r="F984" s="5" t="n">
        <v>49484.7</v>
      </c>
      <c r="G984" s="6" t="n">
        <v>0.05</v>
      </c>
      <c r="H984" s="5" t="n">
        <v>2474.24</v>
      </c>
      <c r="I984" s="5" t="n">
        <v>51958.94</v>
      </c>
    </row>
    <row r="985" customFormat="false" ht="15" hidden="false" customHeight="false" outlineLevel="0" collapsed="false">
      <c r="A985" s="4" t="s">
        <v>1293</v>
      </c>
      <c r="B985" s="4" t="s">
        <v>18</v>
      </c>
      <c r="C985" s="4" t="s">
        <v>1260</v>
      </c>
      <c r="D985" s="4" t="s">
        <v>27</v>
      </c>
      <c r="E985" s="4" t="s">
        <v>21</v>
      </c>
      <c r="F985" s="5" t="n">
        <v>22054.82</v>
      </c>
      <c r="G985" s="6" t="n">
        <v>0.05</v>
      </c>
      <c r="H985" s="5" t="n">
        <v>1102.74</v>
      </c>
      <c r="I985" s="5" t="n">
        <v>23157.56</v>
      </c>
    </row>
    <row r="986" customFormat="false" ht="15" hidden="false" customHeight="false" outlineLevel="0" collapsed="false">
      <c r="A986" s="4" t="s">
        <v>1294</v>
      </c>
      <c r="B986" s="4" t="s">
        <v>18</v>
      </c>
      <c r="C986" s="4" t="s">
        <v>1250</v>
      </c>
      <c r="D986" s="4" t="s">
        <v>31</v>
      </c>
      <c r="E986" s="4" t="s">
        <v>21</v>
      </c>
      <c r="F986" s="5" t="n">
        <v>61501.38</v>
      </c>
      <c r="G986" s="6" t="n">
        <v>0.05</v>
      </c>
      <c r="H986" s="5" t="n">
        <v>3075.07</v>
      </c>
      <c r="I986" s="5" t="n">
        <v>64576.45</v>
      </c>
    </row>
    <row r="987" customFormat="false" ht="15" hidden="false" customHeight="false" outlineLevel="0" collapsed="false">
      <c r="A987" s="4" t="s">
        <v>1295</v>
      </c>
      <c r="B987" s="4" t="s">
        <v>18</v>
      </c>
      <c r="C987" s="4" t="s">
        <v>1230</v>
      </c>
      <c r="D987" s="4" t="s">
        <v>27</v>
      </c>
      <c r="E987" s="4" t="s">
        <v>21</v>
      </c>
      <c r="F987" s="5" t="n">
        <v>81131.56</v>
      </c>
      <c r="G987" s="6" t="n">
        <v>0.05</v>
      </c>
      <c r="H987" s="5" t="n">
        <v>4056.58</v>
      </c>
      <c r="I987" s="5" t="n">
        <v>85188.14</v>
      </c>
    </row>
    <row r="988" customFormat="false" ht="15" hidden="false" customHeight="false" outlineLevel="0" collapsed="false">
      <c r="A988" s="4" t="s">
        <v>1296</v>
      </c>
      <c r="B988" s="4" t="s">
        <v>18</v>
      </c>
      <c r="C988" s="4" t="s">
        <v>1219</v>
      </c>
      <c r="D988" s="4" t="s">
        <v>31</v>
      </c>
      <c r="E988" s="4" t="s">
        <v>21</v>
      </c>
      <c r="F988" s="5" t="n">
        <v>75701.56</v>
      </c>
      <c r="G988" s="6" t="n">
        <v>0.05</v>
      </c>
      <c r="H988" s="5" t="n">
        <v>3785.08</v>
      </c>
      <c r="I988" s="5" t="n">
        <v>79486.64</v>
      </c>
    </row>
    <row r="989" customFormat="false" ht="15" hidden="false" customHeight="false" outlineLevel="0" collapsed="false">
      <c r="A989" s="4" t="s">
        <v>1297</v>
      </c>
      <c r="B989" s="4" t="s">
        <v>18</v>
      </c>
      <c r="C989" s="4" t="s">
        <v>1223</v>
      </c>
      <c r="D989" s="4" t="s">
        <v>86</v>
      </c>
      <c r="E989" s="4" t="s">
        <v>21</v>
      </c>
      <c r="F989" s="5" t="n">
        <v>94315.34</v>
      </c>
      <c r="G989" s="6" t="n">
        <v>0.05</v>
      </c>
      <c r="H989" s="5" t="n">
        <v>4715.77</v>
      </c>
      <c r="I989" s="5" t="n">
        <v>99031.11</v>
      </c>
    </row>
    <row r="990" customFormat="false" ht="15" hidden="false" customHeight="false" outlineLevel="0" collapsed="false">
      <c r="A990" s="4" t="s">
        <v>1298</v>
      </c>
      <c r="B990" s="4" t="s">
        <v>18</v>
      </c>
      <c r="C990" s="4" t="s">
        <v>1299</v>
      </c>
      <c r="D990" s="4" t="s">
        <v>37</v>
      </c>
      <c r="E990" s="4" t="s">
        <v>21</v>
      </c>
      <c r="F990" s="5" t="n">
        <v>58688.6</v>
      </c>
      <c r="G990" s="6" t="n">
        <v>0.05</v>
      </c>
      <c r="H990" s="5" t="n">
        <v>2934.43</v>
      </c>
      <c r="I990" s="5" t="n">
        <v>61623.03</v>
      </c>
    </row>
    <row r="991" customFormat="false" ht="15" hidden="false" customHeight="false" outlineLevel="0" collapsed="false">
      <c r="A991" s="4" t="s">
        <v>1300</v>
      </c>
      <c r="B991" s="4" t="s">
        <v>18</v>
      </c>
      <c r="C991" s="4" t="s">
        <v>1291</v>
      </c>
      <c r="D991" s="4" t="s">
        <v>31</v>
      </c>
      <c r="E991" s="4" t="s">
        <v>21</v>
      </c>
      <c r="F991" s="5" t="n">
        <v>17849.09</v>
      </c>
      <c r="G991" s="6" t="n">
        <v>0.05</v>
      </c>
      <c r="H991" s="5" t="n">
        <v>892.45</v>
      </c>
      <c r="I991" s="5" t="n">
        <v>18741.54</v>
      </c>
    </row>
    <row r="992" customFormat="false" ht="15" hidden="false" customHeight="false" outlineLevel="0" collapsed="false">
      <c r="A992" s="4" t="s">
        <v>1301</v>
      </c>
      <c r="B992" s="4" t="s">
        <v>18</v>
      </c>
      <c r="C992" s="4" t="s">
        <v>1217</v>
      </c>
      <c r="D992" s="4" t="s">
        <v>20</v>
      </c>
      <c r="E992" s="4" t="s">
        <v>21</v>
      </c>
      <c r="F992" s="5" t="n">
        <v>92149.34</v>
      </c>
      <c r="G992" s="6" t="n">
        <v>0.05</v>
      </c>
      <c r="H992" s="5" t="n">
        <v>4607.47</v>
      </c>
      <c r="I992" s="5" t="n">
        <v>96756.81</v>
      </c>
    </row>
    <row r="993" customFormat="false" ht="15" hidden="false" customHeight="false" outlineLevel="0" collapsed="false">
      <c r="A993" s="4" t="s">
        <v>1302</v>
      </c>
      <c r="B993" s="4" t="s">
        <v>18</v>
      </c>
      <c r="C993" s="4" t="s">
        <v>1303</v>
      </c>
      <c r="D993" s="4" t="s">
        <v>50</v>
      </c>
      <c r="E993" s="4" t="s">
        <v>46</v>
      </c>
      <c r="F993" s="5" t="n">
        <v>46913.47</v>
      </c>
      <c r="G993" s="6" t="n">
        <v>0</v>
      </c>
      <c r="H993" s="5" t="n">
        <v>0</v>
      </c>
      <c r="I993" s="5" t="n">
        <v>46913.47</v>
      </c>
    </row>
    <row r="994" customFormat="false" ht="15" hidden="false" customHeight="false" outlineLevel="0" collapsed="false">
      <c r="A994" s="4" t="s">
        <v>1304</v>
      </c>
      <c r="B994" s="4" t="s">
        <v>120</v>
      </c>
      <c r="C994" s="4" t="s">
        <v>1305</v>
      </c>
      <c r="D994" s="4" t="s">
        <v>144</v>
      </c>
      <c r="E994" s="4" t="s">
        <v>21</v>
      </c>
      <c r="F994" s="5" t="n">
        <v>27542.77</v>
      </c>
      <c r="G994" s="6" t="n">
        <v>0.05</v>
      </c>
      <c r="H994" s="5" t="n">
        <v>1377.14</v>
      </c>
      <c r="I994" s="5" t="n">
        <v>28919.91</v>
      </c>
    </row>
    <row r="995" customFormat="false" ht="15" hidden="false" customHeight="false" outlineLevel="0" collapsed="false">
      <c r="A995" s="4" t="s">
        <v>1306</v>
      </c>
      <c r="B995" s="4" t="s">
        <v>120</v>
      </c>
      <c r="C995" s="4" t="s">
        <v>1262</v>
      </c>
      <c r="D995" s="4" t="s">
        <v>146</v>
      </c>
      <c r="E995" s="4" t="s">
        <v>21</v>
      </c>
      <c r="F995" s="5" t="n">
        <v>16709.02</v>
      </c>
      <c r="G995" s="6" t="n">
        <v>0.05</v>
      </c>
      <c r="H995" s="5" t="n">
        <v>835.45</v>
      </c>
      <c r="I995" s="5" t="n">
        <v>17544.47</v>
      </c>
    </row>
    <row r="996" customFormat="false" ht="15" hidden="false" customHeight="false" outlineLevel="0" collapsed="false">
      <c r="A996" s="4" t="s">
        <v>1307</v>
      </c>
      <c r="B996" s="4" t="s">
        <v>120</v>
      </c>
      <c r="C996" s="4" t="s">
        <v>1260</v>
      </c>
      <c r="D996" s="4" t="s">
        <v>125</v>
      </c>
      <c r="E996" s="4" t="s">
        <v>28</v>
      </c>
      <c r="F996" s="5" t="n">
        <v>15757.5</v>
      </c>
      <c r="G996" s="6" t="n">
        <v>0</v>
      </c>
      <c r="H996" s="5" t="n">
        <v>0</v>
      </c>
      <c r="I996" s="5" t="n">
        <v>15757.5</v>
      </c>
    </row>
    <row r="997" customFormat="false" ht="15" hidden="false" customHeight="false" outlineLevel="0" collapsed="false">
      <c r="A997" s="4" t="s">
        <v>1308</v>
      </c>
      <c r="B997" s="4" t="s">
        <v>120</v>
      </c>
      <c r="C997" s="4" t="s">
        <v>1309</v>
      </c>
      <c r="D997" s="4" t="s">
        <v>127</v>
      </c>
      <c r="E997" s="4" t="s">
        <v>46</v>
      </c>
      <c r="F997" s="5" t="n">
        <v>13981.03</v>
      </c>
      <c r="G997" s="6" t="n">
        <v>0</v>
      </c>
      <c r="H997" s="5" t="n">
        <v>0</v>
      </c>
      <c r="I997" s="5" t="n">
        <v>13981.03</v>
      </c>
    </row>
    <row r="998" customFormat="false" ht="15" hidden="false" customHeight="false" outlineLevel="0" collapsed="false">
      <c r="A998" s="4" t="s">
        <v>1310</v>
      </c>
      <c r="B998" s="4" t="s">
        <v>120</v>
      </c>
      <c r="C998" s="4" t="s">
        <v>1267</v>
      </c>
      <c r="D998" s="4" t="s">
        <v>146</v>
      </c>
      <c r="E998" s="4" t="s">
        <v>21</v>
      </c>
      <c r="F998" s="5" t="n">
        <v>41163.37</v>
      </c>
      <c r="G998" s="6" t="n">
        <v>0.05</v>
      </c>
      <c r="H998" s="5" t="n">
        <v>2058.17</v>
      </c>
      <c r="I998" s="5" t="n">
        <v>43221.54</v>
      </c>
    </row>
    <row r="999" customFormat="false" ht="15" hidden="false" customHeight="false" outlineLevel="0" collapsed="false">
      <c r="A999" s="4" t="s">
        <v>1311</v>
      </c>
      <c r="B999" s="4" t="s">
        <v>120</v>
      </c>
      <c r="C999" s="4" t="s">
        <v>1225</v>
      </c>
      <c r="D999" s="4" t="s">
        <v>125</v>
      </c>
      <c r="E999" s="4" t="s">
        <v>21</v>
      </c>
      <c r="F999" s="5" t="n">
        <v>1719.13</v>
      </c>
      <c r="G999" s="6" t="n">
        <v>0.05</v>
      </c>
      <c r="H999" s="5" t="n">
        <v>85.96</v>
      </c>
      <c r="I999" s="5" t="n">
        <v>1805.09</v>
      </c>
    </row>
    <row r="1000" customFormat="false" ht="15" hidden="false" customHeight="false" outlineLevel="0" collapsed="false">
      <c r="A1000" s="4" t="s">
        <v>1312</v>
      </c>
      <c r="B1000" s="4" t="s">
        <v>120</v>
      </c>
      <c r="C1000" s="4" t="s">
        <v>1309</v>
      </c>
      <c r="D1000" s="4" t="s">
        <v>149</v>
      </c>
      <c r="E1000" s="4" t="s">
        <v>46</v>
      </c>
      <c r="F1000" s="5" t="n">
        <v>4028.9</v>
      </c>
      <c r="G1000" s="6" t="n">
        <v>0</v>
      </c>
      <c r="H1000" s="5" t="n">
        <v>0</v>
      </c>
      <c r="I1000" s="5" t="n">
        <v>4028.9</v>
      </c>
    </row>
    <row r="1001" customFormat="false" ht="15" hidden="false" customHeight="false" outlineLevel="0" collapsed="false">
      <c r="A1001" s="4" t="s">
        <v>1313</v>
      </c>
      <c r="B1001" s="4" t="s">
        <v>120</v>
      </c>
      <c r="C1001" s="4" t="s">
        <v>1280</v>
      </c>
      <c r="D1001" s="4" t="s">
        <v>130</v>
      </c>
      <c r="E1001" s="4" t="s">
        <v>21</v>
      </c>
      <c r="F1001" s="5" t="n">
        <v>23059.23</v>
      </c>
      <c r="G1001" s="6" t="n">
        <v>0.05</v>
      </c>
      <c r="H1001" s="5" t="n">
        <v>1152.96</v>
      </c>
      <c r="I1001" s="5" t="n">
        <v>24212.19</v>
      </c>
    </row>
    <row r="1002" customFormat="false" ht="15" hidden="false" customHeight="false" outlineLevel="0" collapsed="false">
      <c r="A1002" s="4" t="s">
        <v>1314</v>
      </c>
      <c r="B1002" s="4" t="s">
        <v>120</v>
      </c>
      <c r="C1002" s="4" t="s">
        <v>1260</v>
      </c>
      <c r="D1002" s="4" t="s">
        <v>125</v>
      </c>
      <c r="E1002" s="4" t="s">
        <v>21</v>
      </c>
      <c r="F1002" s="5" t="n">
        <v>33846.42</v>
      </c>
      <c r="G1002" s="6" t="n">
        <v>0.05</v>
      </c>
      <c r="H1002" s="5" t="n">
        <v>1692.32</v>
      </c>
      <c r="I1002" s="5" t="n">
        <v>35538.74</v>
      </c>
    </row>
    <row r="1003" customFormat="false" ht="15" hidden="false" customHeight="false" outlineLevel="0" collapsed="false">
      <c r="A1003" s="4" t="s">
        <v>1315</v>
      </c>
      <c r="B1003" s="4" t="s">
        <v>120</v>
      </c>
      <c r="C1003" s="4" t="s">
        <v>1316</v>
      </c>
      <c r="D1003" s="4" t="s">
        <v>123</v>
      </c>
      <c r="E1003" s="4" t="s">
        <v>21</v>
      </c>
      <c r="F1003" s="5" t="n">
        <v>10482.75</v>
      </c>
      <c r="G1003" s="6" t="n">
        <v>0.05</v>
      </c>
      <c r="H1003" s="5" t="n">
        <v>524.14</v>
      </c>
      <c r="I1003" s="5" t="n">
        <v>11006.89</v>
      </c>
    </row>
    <row r="1004" customFormat="false" ht="15" hidden="false" customHeight="false" outlineLevel="0" collapsed="false">
      <c r="A1004" s="4" t="s">
        <v>1317</v>
      </c>
      <c r="B1004" s="4" t="s">
        <v>120</v>
      </c>
      <c r="C1004" s="4" t="s">
        <v>1265</v>
      </c>
      <c r="D1004" s="4" t="s">
        <v>133</v>
      </c>
      <c r="E1004" s="4" t="s">
        <v>21</v>
      </c>
      <c r="F1004" s="5" t="n">
        <v>23821.88</v>
      </c>
      <c r="G1004" s="6" t="n">
        <v>0.05</v>
      </c>
      <c r="H1004" s="5" t="n">
        <v>1191.09</v>
      </c>
      <c r="I1004" s="5" t="n">
        <v>25012.97</v>
      </c>
    </row>
    <row r="1005" customFormat="false" ht="15" hidden="false" customHeight="false" outlineLevel="0" collapsed="false">
      <c r="A1005" s="4" t="s">
        <v>1318</v>
      </c>
      <c r="B1005" s="4" t="s">
        <v>120</v>
      </c>
      <c r="C1005" s="4" t="s">
        <v>1225</v>
      </c>
      <c r="D1005" s="4" t="s">
        <v>146</v>
      </c>
      <c r="E1005" s="4" t="s">
        <v>28</v>
      </c>
      <c r="F1005" s="5" t="n">
        <v>1907.93</v>
      </c>
      <c r="G1005" s="6" t="n">
        <v>0</v>
      </c>
      <c r="H1005" s="5" t="n">
        <v>0</v>
      </c>
      <c r="I1005" s="5" t="n">
        <v>1907.93</v>
      </c>
    </row>
    <row r="1006" customFormat="false" ht="15" hidden="false" customHeight="false" outlineLevel="0" collapsed="false">
      <c r="A1006" s="4" t="s">
        <v>1319</v>
      </c>
      <c r="B1006" s="4" t="s">
        <v>120</v>
      </c>
      <c r="C1006" s="4" t="s">
        <v>1267</v>
      </c>
      <c r="D1006" s="4" t="s">
        <v>121</v>
      </c>
      <c r="E1006" s="4" t="s">
        <v>21</v>
      </c>
      <c r="F1006" s="5" t="n">
        <v>34134.54</v>
      </c>
      <c r="G1006" s="6" t="n">
        <v>0.05</v>
      </c>
      <c r="H1006" s="5" t="n">
        <v>1706.73</v>
      </c>
      <c r="I1006" s="5" t="n">
        <v>35841.27</v>
      </c>
    </row>
    <row r="1007" customFormat="false" ht="15" hidden="false" customHeight="false" outlineLevel="0" collapsed="false">
      <c r="A1007" s="4" t="s">
        <v>1320</v>
      </c>
      <c r="B1007" s="4" t="s">
        <v>120</v>
      </c>
      <c r="C1007" s="4" t="s">
        <v>1225</v>
      </c>
      <c r="D1007" s="4" t="s">
        <v>130</v>
      </c>
      <c r="E1007" s="4" t="s">
        <v>46</v>
      </c>
      <c r="F1007" s="5" t="n">
        <v>14418.44</v>
      </c>
      <c r="G1007" s="6" t="n">
        <v>0</v>
      </c>
      <c r="H1007" s="5" t="n">
        <v>0</v>
      </c>
      <c r="I1007" s="5" t="n">
        <v>14418.44</v>
      </c>
    </row>
    <row r="1008" customFormat="false" ht="15" hidden="false" customHeight="false" outlineLevel="0" collapsed="false">
      <c r="A1008" s="4" t="s">
        <v>1321</v>
      </c>
      <c r="B1008" s="4" t="s">
        <v>120</v>
      </c>
      <c r="C1008" s="4" t="s">
        <v>1232</v>
      </c>
      <c r="D1008" s="4" t="s">
        <v>155</v>
      </c>
      <c r="E1008" s="4" t="s">
        <v>21</v>
      </c>
      <c r="F1008" s="5" t="n">
        <v>34168.99</v>
      </c>
      <c r="G1008" s="6" t="n">
        <v>0.05</v>
      </c>
      <c r="H1008" s="5" t="n">
        <v>1708.45</v>
      </c>
      <c r="I1008" s="5" t="n">
        <v>35877.44</v>
      </c>
    </row>
    <row r="1009" customFormat="false" ht="15" hidden="false" customHeight="false" outlineLevel="0" collapsed="false">
      <c r="A1009" s="4" t="s">
        <v>1322</v>
      </c>
      <c r="B1009" s="4" t="s">
        <v>120</v>
      </c>
      <c r="C1009" s="4" t="s">
        <v>1305</v>
      </c>
      <c r="D1009" s="4" t="s">
        <v>130</v>
      </c>
      <c r="E1009" s="4" t="s">
        <v>21</v>
      </c>
      <c r="F1009" s="5" t="n">
        <v>12330.98</v>
      </c>
      <c r="G1009" s="6" t="n">
        <v>0.05</v>
      </c>
      <c r="H1009" s="5" t="n">
        <v>616.55</v>
      </c>
      <c r="I1009" s="5" t="n">
        <v>12947.53</v>
      </c>
    </row>
    <row r="1010" customFormat="false" ht="15" hidden="false" customHeight="false" outlineLevel="0" collapsed="false">
      <c r="A1010" s="4" t="s">
        <v>1323</v>
      </c>
      <c r="B1010" s="4" t="s">
        <v>120</v>
      </c>
      <c r="C1010" s="4" t="s">
        <v>1324</v>
      </c>
      <c r="D1010" s="4" t="s">
        <v>121</v>
      </c>
      <c r="E1010" s="4" t="s">
        <v>21</v>
      </c>
      <c r="F1010" s="5" t="n">
        <v>24407.22</v>
      </c>
      <c r="G1010" s="6" t="n">
        <v>0.05</v>
      </c>
      <c r="H1010" s="5" t="n">
        <v>1220.36</v>
      </c>
      <c r="I1010" s="5" t="n">
        <v>25627.58</v>
      </c>
    </row>
    <row r="1011" customFormat="false" ht="15" hidden="false" customHeight="false" outlineLevel="0" collapsed="false">
      <c r="A1011" s="4" t="s">
        <v>1325</v>
      </c>
      <c r="B1011" s="4" t="s">
        <v>120</v>
      </c>
      <c r="C1011" s="4" t="s">
        <v>1291</v>
      </c>
      <c r="D1011" s="4" t="s">
        <v>144</v>
      </c>
      <c r="E1011" s="4" t="s">
        <v>21</v>
      </c>
      <c r="F1011" s="5" t="n">
        <v>41210.32</v>
      </c>
      <c r="G1011" s="6" t="n">
        <v>0.05</v>
      </c>
      <c r="H1011" s="5" t="n">
        <v>2060.52</v>
      </c>
      <c r="I1011" s="5" t="n">
        <v>43270.84</v>
      </c>
    </row>
    <row r="1012" customFormat="false" ht="15" hidden="false" customHeight="false" outlineLevel="0" collapsed="false">
      <c r="A1012" s="4" t="s">
        <v>1326</v>
      </c>
      <c r="B1012" s="4" t="s">
        <v>120</v>
      </c>
      <c r="C1012" s="4" t="s">
        <v>1254</v>
      </c>
      <c r="D1012" s="4" t="s">
        <v>146</v>
      </c>
      <c r="E1012" s="4" t="s">
        <v>21</v>
      </c>
      <c r="F1012" s="5" t="n">
        <v>35556.75</v>
      </c>
      <c r="G1012" s="6" t="n">
        <v>0.05</v>
      </c>
      <c r="H1012" s="5" t="n">
        <v>1777.84</v>
      </c>
      <c r="I1012" s="5" t="n">
        <v>37334.59</v>
      </c>
    </row>
    <row r="1013" customFormat="false" ht="15" hidden="false" customHeight="false" outlineLevel="0" collapsed="false">
      <c r="A1013" s="4" t="s">
        <v>1327</v>
      </c>
      <c r="B1013" s="4" t="s">
        <v>120</v>
      </c>
      <c r="C1013" s="4" t="s">
        <v>1219</v>
      </c>
      <c r="D1013" s="4" t="s">
        <v>146</v>
      </c>
      <c r="E1013" s="4" t="s">
        <v>21</v>
      </c>
      <c r="F1013" s="5" t="n">
        <v>7495.08</v>
      </c>
      <c r="G1013" s="6" t="n">
        <v>0.05</v>
      </c>
      <c r="H1013" s="5" t="n">
        <v>374.75</v>
      </c>
      <c r="I1013" s="5" t="n">
        <v>7869.83</v>
      </c>
    </row>
    <row r="1014" customFormat="false" ht="15" hidden="false" customHeight="false" outlineLevel="0" collapsed="false">
      <c r="A1014" s="4" t="s">
        <v>1328</v>
      </c>
      <c r="B1014" s="4" t="s">
        <v>120</v>
      </c>
      <c r="C1014" s="4" t="s">
        <v>1305</v>
      </c>
      <c r="D1014" s="4" t="s">
        <v>127</v>
      </c>
      <c r="E1014" s="4" t="s">
        <v>21</v>
      </c>
      <c r="F1014" s="5" t="n">
        <v>17718.6</v>
      </c>
      <c r="G1014" s="6" t="n">
        <v>0.05</v>
      </c>
      <c r="H1014" s="5" t="n">
        <v>885.93</v>
      </c>
      <c r="I1014" s="5" t="n">
        <v>18604.53</v>
      </c>
    </row>
    <row r="1015" customFormat="false" ht="15" hidden="false" customHeight="false" outlineLevel="0" collapsed="false">
      <c r="A1015" s="4" t="s">
        <v>1329</v>
      </c>
      <c r="B1015" s="4" t="s">
        <v>120</v>
      </c>
      <c r="C1015" s="4" t="s">
        <v>1324</v>
      </c>
      <c r="D1015" s="4" t="s">
        <v>155</v>
      </c>
      <c r="E1015" s="4" t="s">
        <v>28</v>
      </c>
      <c r="F1015" s="5" t="n">
        <v>8994.79</v>
      </c>
      <c r="G1015" s="6" t="n">
        <v>0</v>
      </c>
      <c r="H1015" s="5" t="n">
        <v>0</v>
      </c>
      <c r="I1015" s="5" t="n">
        <v>8994.79</v>
      </c>
    </row>
    <row r="1016" customFormat="false" ht="15" hidden="false" customHeight="false" outlineLevel="0" collapsed="false">
      <c r="A1016" s="4" t="s">
        <v>1330</v>
      </c>
      <c r="B1016" s="4" t="s">
        <v>120</v>
      </c>
      <c r="C1016" s="4" t="s">
        <v>1324</v>
      </c>
      <c r="D1016" s="4" t="s">
        <v>146</v>
      </c>
      <c r="E1016" s="4" t="s">
        <v>46</v>
      </c>
      <c r="F1016" s="5" t="n">
        <v>27983.96</v>
      </c>
      <c r="G1016" s="6" t="n">
        <v>0</v>
      </c>
      <c r="H1016" s="5" t="n">
        <v>0</v>
      </c>
      <c r="I1016" s="5" t="n">
        <v>27983.96</v>
      </c>
    </row>
    <row r="1017" customFormat="false" ht="15" hidden="false" customHeight="false" outlineLevel="0" collapsed="false">
      <c r="A1017" s="4" t="s">
        <v>1331</v>
      </c>
      <c r="B1017" s="4" t="s">
        <v>120</v>
      </c>
      <c r="C1017" s="4" t="s">
        <v>1250</v>
      </c>
      <c r="D1017" s="4" t="s">
        <v>130</v>
      </c>
      <c r="E1017" s="4" t="s">
        <v>46</v>
      </c>
      <c r="F1017" s="5" t="n">
        <v>8141.17</v>
      </c>
      <c r="G1017" s="6" t="n">
        <v>0</v>
      </c>
      <c r="H1017" s="5" t="n">
        <v>0</v>
      </c>
      <c r="I1017" s="5" t="n">
        <v>8141.17</v>
      </c>
    </row>
    <row r="1018" customFormat="false" ht="15" hidden="false" customHeight="false" outlineLevel="0" collapsed="false">
      <c r="A1018" s="4" t="s">
        <v>1332</v>
      </c>
      <c r="B1018" s="4" t="s">
        <v>120</v>
      </c>
      <c r="C1018" s="4" t="s">
        <v>1246</v>
      </c>
      <c r="D1018" s="4" t="s">
        <v>155</v>
      </c>
      <c r="E1018" s="4" t="s">
        <v>21</v>
      </c>
      <c r="F1018" s="5" t="n">
        <v>30031.35</v>
      </c>
      <c r="G1018" s="6" t="n">
        <v>0.05</v>
      </c>
      <c r="H1018" s="5" t="n">
        <v>1501.57</v>
      </c>
      <c r="I1018" s="5" t="n">
        <v>31532.92</v>
      </c>
    </row>
    <row r="1019" customFormat="false" ht="15" hidden="false" customHeight="false" outlineLevel="0" collapsed="false">
      <c r="A1019" s="4" t="s">
        <v>1333</v>
      </c>
      <c r="B1019" s="4" t="s">
        <v>120</v>
      </c>
      <c r="C1019" s="4" t="s">
        <v>1305</v>
      </c>
      <c r="D1019" s="4" t="s">
        <v>125</v>
      </c>
      <c r="E1019" s="4" t="s">
        <v>21</v>
      </c>
      <c r="F1019" s="5" t="n">
        <v>18036.35</v>
      </c>
      <c r="G1019" s="6" t="n">
        <v>0.05</v>
      </c>
      <c r="H1019" s="5" t="n">
        <v>901.82</v>
      </c>
      <c r="I1019" s="5" t="n">
        <v>18938.17</v>
      </c>
    </row>
    <row r="1020" customFormat="false" ht="15" hidden="false" customHeight="false" outlineLevel="0" collapsed="false">
      <c r="A1020" s="4" t="s">
        <v>1334</v>
      </c>
      <c r="B1020" s="4" t="s">
        <v>120</v>
      </c>
      <c r="C1020" s="4" t="s">
        <v>1280</v>
      </c>
      <c r="D1020" s="4" t="s">
        <v>133</v>
      </c>
      <c r="E1020" s="4" t="s">
        <v>46</v>
      </c>
      <c r="F1020" s="5" t="n">
        <v>20686.15</v>
      </c>
      <c r="G1020" s="6" t="n">
        <v>0</v>
      </c>
      <c r="H1020" s="5" t="n">
        <v>0</v>
      </c>
      <c r="I1020" s="5" t="n">
        <v>20686.15</v>
      </c>
    </row>
    <row r="1021" customFormat="false" ht="15" hidden="false" customHeight="false" outlineLevel="0" collapsed="false">
      <c r="A1021" s="4" t="s">
        <v>1335</v>
      </c>
      <c r="B1021" s="4" t="s">
        <v>120</v>
      </c>
      <c r="C1021" s="4" t="s">
        <v>1219</v>
      </c>
      <c r="D1021" s="4" t="s">
        <v>127</v>
      </c>
      <c r="E1021" s="4" t="s">
        <v>21</v>
      </c>
      <c r="F1021" s="5" t="n">
        <v>4255.64</v>
      </c>
      <c r="G1021" s="6" t="n">
        <v>0.05</v>
      </c>
      <c r="H1021" s="5" t="n">
        <v>212.78</v>
      </c>
      <c r="I1021" s="5" t="n">
        <v>4468.42</v>
      </c>
    </row>
    <row r="1022" customFormat="false" ht="15" hidden="false" customHeight="false" outlineLevel="0" collapsed="false">
      <c r="A1022" s="4" t="s">
        <v>1336</v>
      </c>
      <c r="B1022" s="4" t="s">
        <v>120</v>
      </c>
      <c r="C1022" s="4" t="s">
        <v>1258</v>
      </c>
      <c r="D1022" s="4" t="s">
        <v>146</v>
      </c>
      <c r="E1022" s="4" t="s">
        <v>28</v>
      </c>
      <c r="F1022" s="5" t="n">
        <v>40587.16</v>
      </c>
      <c r="G1022" s="6" t="n">
        <v>0</v>
      </c>
      <c r="H1022" s="5" t="n">
        <v>0</v>
      </c>
      <c r="I1022" s="5" t="n">
        <v>40587.16</v>
      </c>
    </row>
    <row r="1023" customFormat="false" ht="15" hidden="false" customHeight="false" outlineLevel="0" collapsed="false">
      <c r="A1023" s="4" t="s">
        <v>1337</v>
      </c>
      <c r="B1023" s="4" t="s">
        <v>120</v>
      </c>
      <c r="C1023" s="4" t="s">
        <v>1221</v>
      </c>
      <c r="D1023" s="4" t="s">
        <v>144</v>
      </c>
      <c r="E1023" s="4" t="s">
        <v>46</v>
      </c>
      <c r="F1023" s="5" t="n">
        <v>12280.6</v>
      </c>
      <c r="G1023" s="6" t="n">
        <v>0</v>
      </c>
      <c r="H1023" s="5" t="n">
        <v>0</v>
      </c>
      <c r="I1023" s="5" t="n">
        <v>12280.6</v>
      </c>
    </row>
    <row r="1024" customFormat="false" ht="15" hidden="false" customHeight="false" outlineLevel="0" collapsed="false">
      <c r="A1024" s="4" t="s">
        <v>1338</v>
      </c>
      <c r="B1024" s="4" t="s">
        <v>120</v>
      </c>
      <c r="C1024" s="4" t="s">
        <v>1280</v>
      </c>
      <c r="D1024" s="4" t="s">
        <v>130</v>
      </c>
      <c r="E1024" s="4" t="s">
        <v>28</v>
      </c>
      <c r="F1024" s="5" t="n">
        <v>17308.98</v>
      </c>
      <c r="G1024" s="6" t="n">
        <v>0</v>
      </c>
      <c r="H1024" s="5" t="n">
        <v>0</v>
      </c>
      <c r="I1024" s="5" t="n">
        <v>17308.98</v>
      </c>
    </row>
    <row r="1025" customFormat="false" ht="15" hidden="false" customHeight="false" outlineLevel="0" collapsed="false">
      <c r="A1025" s="4" t="s">
        <v>1339</v>
      </c>
      <c r="B1025" s="4" t="s">
        <v>120</v>
      </c>
      <c r="C1025" s="4" t="s">
        <v>1223</v>
      </c>
      <c r="D1025" s="4" t="s">
        <v>125</v>
      </c>
      <c r="E1025" s="4" t="s">
        <v>21</v>
      </c>
      <c r="F1025" s="5" t="n">
        <v>36042.05</v>
      </c>
      <c r="G1025" s="6" t="n">
        <v>0.05</v>
      </c>
      <c r="H1025" s="5" t="n">
        <v>1802.1</v>
      </c>
      <c r="I1025" s="5" t="n">
        <v>37844.15</v>
      </c>
    </row>
    <row r="1026" customFormat="false" ht="15" hidden="false" customHeight="false" outlineLevel="0" collapsed="false">
      <c r="A1026" s="4" t="s">
        <v>1340</v>
      </c>
      <c r="B1026" s="4" t="s">
        <v>120</v>
      </c>
      <c r="C1026" s="4" t="s">
        <v>1280</v>
      </c>
      <c r="D1026" s="4" t="s">
        <v>149</v>
      </c>
      <c r="E1026" s="4" t="s">
        <v>21</v>
      </c>
      <c r="F1026" s="5" t="n">
        <v>23716.65</v>
      </c>
      <c r="G1026" s="6" t="n">
        <v>0.05</v>
      </c>
      <c r="H1026" s="5" t="n">
        <v>1185.83</v>
      </c>
      <c r="I1026" s="5" t="n">
        <v>24902.48</v>
      </c>
    </row>
    <row r="1027" customFormat="false" ht="15" hidden="false" customHeight="false" outlineLevel="0" collapsed="false">
      <c r="A1027" s="4" t="s">
        <v>1341</v>
      </c>
      <c r="B1027" s="4" t="s">
        <v>120</v>
      </c>
      <c r="C1027" s="4" t="s">
        <v>1221</v>
      </c>
      <c r="D1027" s="4" t="s">
        <v>123</v>
      </c>
      <c r="E1027" s="4" t="s">
        <v>21</v>
      </c>
      <c r="F1027" s="5" t="n">
        <v>26458.8</v>
      </c>
      <c r="G1027" s="6" t="n">
        <v>0.05</v>
      </c>
      <c r="H1027" s="5" t="n">
        <v>1322.94</v>
      </c>
      <c r="I1027" s="5" t="n">
        <v>27781.74</v>
      </c>
    </row>
    <row r="1028" customFormat="false" ht="15" hidden="false" customHeight="false" outlineLevel="0" collapsed="false">
      <c r="A1028" s="4" t="s">
        <v>1342</v>
      </c>
      <c r="B1028" s="4" t="s">
        <v>120</v>
      </c>
      <c r="C1028" s="4" t="s">
        <v>1291</v>
      </c>
      <c r="D1028" s="4" t="s">
        <v>125</v>
      </c>
      <c r="E1028" s="4" t="s">
        <v>21</v>
      </c>
      <c r="F1028" s="5" t="n">
        <v>30115.77</v>
      </c>
      <c r="G1028" s="6" t="n">
        <v>0.05</v>
      </c>
      <c r="H1028" s="5" t="n">
        <v>1505.79</v>
      </c>
      <c r="I1028" s="5" t="n">
        <v>31621.56</v>
      </c>
    </row>
    <row r="1029" customFormat="false" ht="15" hidden="false" customHeight="false" outlineLevel="0" collapsed="false">
      <c r="A1029" s="4" t="s">
        <v>1343</v>
      </c>
      <c r="B1029" s="4" t="s">
        <v>120</v>
      </c>
      <c r="C1029" s="4" t="s">
        <v>1265</v>
      </c>
      <c r="D1029" s="4" t="s">
        <v>144</v>
      </c>
      <c r="E1029" s="4" t="s">
        <v>28</v>
      </c>
      <c r="F1029" s="5" t="n">
        <v>8882.72</v>
      </c>
      <c r="G1029" s="6" t="n">
        <v>0</v>
      </c>
      <c r="H1029" s="5" t="n">
        <v>0</v>
      </c>
      <c r="I1029" s="5" t="n">
        <v>8882.72</v>
      </c>
    </row>
    <row r="1030" customFormat="false" ht="15" hidden="false" customHeight="false" outlineLevel="0" collapsed="false">
      <c r="A1030" s="4" t="s">
        <v>1344</v>
      </c>
      <c r="B1030" s="4" t="s">
        <v>120</v>
      </c>
      <c r="C1030" s="4" t="s">
        <v>1260</v>
      </c>
      <c r="D1030" s="4" t="s">
        <v>146</v>
      </c>
      <c r="E1030" s="4" t="s">
        <v>21</v>
      </c>
      <c r="F1030" s="5" t="n">
        <v>28491.87</v>
      </c>
      <c r="G1030" s="6" t="n">
        <v>0.05</v>
      </c>
      <c r="H1030" s="5" t="n">
        <v>1424.59</v>
      </c>
      <c r="I1030" s="5" t="n">
        <v>29916.46</v>
      </c>
    </row>
    <row r="1031" customFormat="false" ht="15" hidden="false" customHeight="false" outlineLevel="0" collapsed="false">
      <c r="A1031" s="4" t="s">
        <v>1345</v>
      </c>
      <c r="B1031" s="4" t="s">
        <v>120</v>
      </c>
      <c r="C1031" s="4" t="s">
        <v>1309</v>
      </c>
      <c r="D1031" s="4" t="s">
        <v>146</v>
      </c>
      <c r="E1031" s="4" t="s">
        <v>21</v>
      </c>
      <c r="F1031" s="5" t="n">
        <v>36166.98</v>
      </c>
      <c r="G1031" s="6" t="n">
        <v>0.05</v>
      </c>
      <c r="H1031" s="5" t="n">
        <v>1808.35</v>
      </c>
      <c r="I1031" s="5" t="n">
        <v>37975.33</v>
      </c>
    </row>
    <row r="1032" customFormat="false" ht="15" hidden="false" customHeight="false" outlineLevel="0" collapsed="false">
      <c r="A1032" s="4" t="s">
        <v>1346</v>
      </c>
      <c r="B1032" s="4" t="s">
        <v>120</v>
      </c>
      <c r="C1032" s="4" t="s">
        <v>1258</v>
      </c>
      <c r="D1032" s="4" t="s">
        <v>146</v>
      </c>
      <c r="E1032" s="4" t="s">
        <v>46</v>
      </c>
      <c r="F1032" s="5" t="n">
        <v>41732.18</v>
      </c>
      <c r="G1032" s="6" t="n">
        <v>0</v>
      </c>
      <c r="H1032" s="5" t="n">
        <v>0</v>
      </c>
      <c r="I1032" s="5" t="n">
        <v>41732.18</v>
      </c>
    </row>
    <row r="1033" customFormat="false" ht="15" hidden="false" customHeight="false" outlineLevel="0" collapsed="false">
      <c r="A1033" s="4" t="s">
        <v>1347</v>
      </c>
      <c r="B1033" s="4" t="s">
        <v>120</v>
      </c>
      <c r="C1033" s="4" t="s">
        <v>1299</v>
      </c>
      <c r="D1033" s="4" t="s">
        <v>125</v>
      </c>
      <c r="E1033" s="4" t="s">
        <v>21</v>
      </c>
      <c r="F1033" s="5" t="n">
        <v>38609.61</v>
      </c>
      <c r="G1033" s="6" t="n">
        <v>0.05</v>
      </c>
      <c r="H1033" s="5" t="n">
        <v>1930.48</v>
      </c>
      <c r="I1033" s="5" t="n">
        <v>40540.09</v>
      </c>
    </row>
    <row r="1034" customFormat="false" ht="15" hidden="false" customHeight="false" outlineLevel="0" collapsed="false">
      <c r="A1034" s="4" t="s">
        <v>1348</v>
      </c>
      <c r="B1034" s="4" t="s">
        <v>120</v>
      </c>
      <c r="C1034" s="4" t="s">
        <v>1349</v>
      </c>
      <c r="D1034" s="4" t="s">
        <v>130</v>
      </c>
      <c r="E1034" s="4" t="s">
        <v>21</v>
      </c>
      <c r="F1034" s="5" t="n">
        <v>11867.63</v>
      </c>
      <c r="G1034" s="6" t="n">
        <v>0.05</v>
      </c>
      <c r="H1034" s="5" t="n">
        <v>593.38</v>
      </c>
      <c r="I1034" s="5" t="n">
        <v>12461.01</v>
      </c>
    </row>
    <row r="1035" customFormat="false" ht="15" hidden="false" customHeight="false" outlineLevel="0" collapsed="false">
      <c r="A1035" s="4" t="s">
        <v>1350</v>
      </c>
      <c r="B1035" s="4" t="s">
        <v>120</v>
      </c>
      <c r="C1035" s="4" t="s">
        <v>1250</v>
      </c>
      <c r="D1035" s="4" t="s">
        <v>146</v>
      </c>
      <c r="E1035" s="4" t="s">
        <v>21</v>
      </c>
      <c r="F1035" s="5" t="n">
        <v>34859.46</v>
      </c>
      <c r="G1035" s="6" t="n">
        <v>0.05</v>
      </c>
      <c r="H1035" s="5" t="n">
        <v>1742.97</v>
      </c>
      <c r="I1035" s="5" t="n">
        <v>36602.43</v>
      </c>
    </row>
    <row r="1036" customFormat="false" ht="15" hidden="false" customHeight="false" outlineLevel="0" collapsed="false">
      <c r="A1036" s="4" t="s">
        <v>1351</v>
      </c>
      <c r="B1036" s="4" t="s">
        <v>18</v>
      </c>
      <c r="C1036" s="4" t="s">
        <v>1352</v>
      </c>
      <c r="D1036" s="4" t="s">
        <v>88</v>
      </c>
      <c r="E1036" s="4" t="s">
        <v>21</v>
      </c>
      <c r="F1036" s="5" t="n">
        <v>84401.36</v>
      </c>
      <c r="G1036" s="6" t="n">
        <v>0.05</v>
      </c>
      <c r="H1036" s="5" t="n">
        <v>4220.07</v>
      </c>
      <c r="I1036" s="5" t="n">
        <v>88621.43</v>
      </c>
    </row>
    <row r="1037" customFormat="false" ht="15" hidden="false" customHeight="false" outlineLevel="0" collapsed="false">
      <c r="A1037" s="4" t="s">
        <v>1353</v>
      </c>
      <c r="B1037" s="4" t="s">
        <v>18</v>
      </c>
      <c r="C1037" s="4" t="s">
        <v>1354</v>
      </c>
      <c r="D1037" s="4" t="s">
        <v>37</v>
      </c>
      <c r="E1037" s="4" t="s">
        <v>28</v>
      </c>
      <c r="F1037" s="5" t="n">
        <v>82742.72</v>
      </c>
      <c r="G1037" s="6" t="n">
        <v>0</v>
      </c>
      <c r="H1037" s="5" t="n">
        <v>0</v>
      </c>
      <c r="I1037" s="5" t="n">
        <v>82742.72</v>
      </c>
    </row>
    <row r="1038" customFormat="false" ht="15" hidden="false" customHeight="false" outlineLevel="0" collapsed="false">
      <c r="A1038" s="4" t="s">
        <v>1355</v>
      </c>
      <c r="B1038" s="4" t="s">
        <v>18</v>
      </c>
      <c r="C1038" s="4" t="s">
        <v>1356</v>
      </c>
      <c r="D1038" s="4" t="s">
        <v>86</v>
      </c>
      <c r="E1038" s="4" t="s">
        <v>28</v>
      </c>
      <c r="F1038" s="5" t="n">
        <v>75926.05</v>
      </c>
      <c r="G1038" s="6" t="n">
        <v>0</v>
      </c>
      <c r="H1038" s="5" t="n">
        <v>0</v>
      </c>
      <c r="I1038" s="5" t="n">
        <v>75926.05</v>
      </c>
    </row>
    <row r="1039" customFormat="false" ht="15" hidden="false" customHeight="false" outlineLevel="0" collapsed="false">
      <c r="A1039" s="4" t="s">
        <v>1357</v>
      </c>
      <c r="B1039" s="4" t="s">
        <v>18</v>
      </c>
      <c r="C1039" s="4" t="s">
        <v>1358</v>
      </c>
      <c r="D1039" s="4" t="s">
        <v>37</v>
      </c>
      <c r="E1039" s="4" t="s">
        <v>21</v>
      </c>
      <c r="F1039" s="5" t="n">
        <v>48375.35</v>
      </c>
      <c r="G1039" s="6" t="n">
        <v>0.05</v>
      </c>
      <c r="H1039" s="5" t="n">
        <v>2418.77</v>
      </c>
      <c r="I1039" s="5" t="n">
        <v>50794.12</v>
      </c>
    </row>
    <row r="1040" customFormat="false" ht="15" hidden="false" customHeight="false" outlineLevel="0" collapsed="false">
      <c r="A1040" s="4" t="s">
        <v>1359</v>
      </c>
      <c r="B1040" s="4" t="s">
        <v>18</v>
      </c>
      <c r="C1040" s="4" t="s">
        <v>1360</v>
      </c>
      <c r="D1040" s="4" t="s">
        <v>37</v>
      </c>
      <c r="E1040" s="4" t="s">
        <v>21</v>
      </c>
      <c r="F1040" s="5" t="n">
        <v>93984.94</v>
      </c>
      <c r="G1040" s="6" t="n">
        <v>0.05</v>
      </c>
      <c r="H1040" s="5" t="n">
        <v>4699.25</v>
      </c>
      <c r="I1040" s="5" t="n">
        <v>98684.19</v>
      </c>
    </row>
    <row r="1041" customFormat="false" ht="15" hidden="false" customHeight="false" outlineLevel="0" collapsed="false">
      <c r="A1041" s="4" t="s">
        <v>1361</v>
      </c>
      <c r="B1041" s="4" t="s">
        <v>18</v>
      </c>
      <c r="C1041" s="4" t="s">
        <v>1356</v>
      </c>
      <c r="D1041" s="4" t="s">
        <v>37</v>
      </c>
      <c r="E1041" s="4" t="s">
        <v>21</v>
      </c>
      <c r="F1041" s="5" t="n">
        <v>88905.25</v>
      </c>
      <c r="G1041" s="6" t="n">
        <v>0.05</v>
      </c>
      <c r="H1041" s="5" t="n">
        <v>4445.26</v>
      </c>
      <c r="I1041" s="5" t="n">
        <v>93350.51</v>
      </c>
    </row>
    <row r="1042" customFormat="false" ht="15" hidden="false" customHeight="false" outlineLevel="0" collapsed="false">
      <c r="A1042" s="4" t="s">
        <v>1362</v>
      </c>
      <c r="B1042" s="4" t="s">
        <v>18</v>
      </c>
      <c r="C1042" s="4" t="s">
        <v>1363</v>
      </c>
      <c r="D1042" s="4" t="s">
        <v>27</v>
      </c>
      <c r="E1042" s="4" t="s">
        <v>21</v>
      </c>
      <c r="F1042" s="5" t="n">
        <v>68843.32</v>
      </c>
      <c r="G1042" s="6" t="n">
        <v>0.05</v>
      </c>
      <c r="H1042" s="5" t="n">
        <v>3442.17</v>
      </c>
      <c r="I1042" s="5" t="n">
        <v>72285.49</v>
      </c>
    </row>
    <row r="1043" customFormat="false" ht="15" hidden="false" customHeight="false" outlineLevel="0" collapsed="false">
      <c r="A1043" s="4" t="s">
        <v>1364</v>
      </c>
      <c r="B1043" s="4" t="s">
        <v>18</v>
      </c>
      <c r="C1043" s="4" t="s">
        <v>1365</v>
      </c>
      <c r="D1043" s="4" t="s">
        <v>37</v>
      </c>
      <c r="E1043" s="4" t="s">
        <v>46</v>
      </c>
      <c r="F1043" s="5" t="n">
        <v>81919.54</v>
      </c>
      <c r="G1043" s="6" t="n">
        <v>0</v>
      </c>
      <c r="H1043" s="5" t="n">
        <v>0</v>
      </c>
      <c r="I1043" s="5" t="n">
        <v>81919.54</v>
      </c>
    </row>
    <row r="1044" customFormat="false" ht="15" hidden="false" customHeight="false" outlineLevel="0" collapsed="false">
      <c r="A1044" s="4" t="s">
        <v>1366</v>
      </c>
      <c r="B1044" s="4" t="s">
        <v>18</v>
      </c>
      <c r="C1044" s="4" t="s">
        <v>1367</v>
      </c>
      <c r="D1044" s="4" t="s">
        <v>86</v>
      </c>
      <c r="E1044" s="4" t="s">
        <v>46</v>
      </c>
      <c r="F1044" s="5" t="n">
        <v>45630.36</v>
      </c>
      <c r="G1044" s="6" t="n">
        <v>0</v>
      </c>
      <c r="H1044" s="5" t="n">
        <v>0</v>
      </c>
      <c r="I1044" s="5" t="n">
        <v>45630.36</v>
      </c>
    </row>
    <row r="1045" customFormat="false" ht="15" hidden="false" customHeight="false" outlineLevel="0" collapsed="false">
      <c r="A1045" s="4" t="s">
        <v>1368</v>
      </c>
      <c r="B1045" s="4" t="s">
        <v>18</v>
      </c>
      <c r="C1045" s="4" t="s">
        <v>1369</v>
      </c>
      <c r="D1045" s="4" t="s">
        <v>27</v>
      </c>
      <c r="E1045" s="4" t="s">
        <v>21</v>
      </c>
      <c r="F1045" s="5" t="n">
        <v>70562.36</v>
      </c>
      <c r="G1045" s="6" t="n">
        <v>0.05</v>
      </c>
      <c r="H1045" s="5" t="n">
        <v>3528.12</v>
      </c>
      <c r="I1045" s="5" t="n">
        <v>74090.48</v>
      </c>
    </row>
    <row r="1046" customFormat="false" ht="15" hidden="false" customHeight="false" outlineLevel="0" collapsed="false">
      <c r="A1046" s="4" t="s">
        <v>1370</v>
      </c>
      <c r="B1046" s="4" t="s">
        <v>18</v>
      </c>
      <c r="C1046" s="4" t="s">
        <v>1352</v>
      </c>
      <c r="D1046" s="4" t="s">
        <v>45</v>
      </c>
      <c r="E1046" s="4" t="s">
        <v>28</v>
      </c>
      <c r="F1046" s="5" t="n">
        <v>23372.6</v>
      </c>
      <c r="G1046" s="6" t="n">
        <v>0</v>
      </c>
      <c r="H1046" s="5" t="n">
        <v>0</v>
      </c>
      <c r="I1046" s="5" t="n">
        <v>23372.6</v>
      </c>
    </row>
    <row r="1047" customFormat="false" ht="15" hidden="false" customHeight="false" outlineLevel="0" collapsed="false">
      <c r="A1047" s="4" t="s">
        <v>1371</v>
      </c>
      <c r="B1047" s="4" t="s">
        <v>18</v>
      </c>
      <c r="C1047" s="4" t="s">
        <v>1372</v>
      </c>
      <c r="D1047" s="4" t="s">
        <v>45</v>
      </c>
      <c r="E1047" s="4" t="s">
        <v>28</v>
      </c>
      <c r="F1047" s="5" t="n">
        <v>87469.41</v>
      </c>
      <c r="G1047" s="6" t="n">
        <v>0</v>
      </c>
      <c r="H1047" s="5" t="n">
        <v>0</v>
      </c>
      <c r="I1047" s="5" t="n">
        <v>87469.41</v>
      </c>
    </row>
    <row r="1048" customFormat="false" ht="15" hidden="false" customHeight="false" outlineLevel="0" collapsed="false">
      <c r="A1048" s="4" t="s">
        <v>1373</v>
      </c>
      <c r="B1048" s="4" t="s">
        <v>18</v>
      </c>
      <c r="C1048" s="4" t="s">
        <v>1374</v>
      </c>
      <c r="D1048" s="4" t="s">
        <v>31</v>
      </c>
      <c r="E1048" s="4" t="s">
        <v>21</v>
      </c>
      <c r="F1048" s="5" t="n">
        <v>92276.21</v>
      </c>
      <c r="G1048" s="6" t="n">
        <v>0.05</v>
      </c>
      <c r="H1048" s="5" t="n">
        <v>4613.81</v>
      </c>
      <c r="I1048" s="5" t="n">
        <v>96890.02</v>
      </c>
    </row>
    <row r="1049" customFormat="false" ht="15" hidden="false" customHeight="false" outlineLevel="0" collapsed="false">
      <c r="A1049" s="4" t="s">
        <v>1375</v>
      </c>
      <c r="B1049" s="4" t="s">
        <v>18</v>
      </c>
      <c r="C1049" s="4" t="s">
        <v>1376</v>
      </c>
      <c r="D1049" s="4" t="s">
        <v>34</v>
      </c>
      <c r="E1049" s="4" t="s">
        <v>28</v>
      </c>
      <c r="F1049" s="5" t="n">
        <v>94998.99</v>
      </c>
      <c r="G1049" s="6" t="n">
        <v>0</v>
      </c>
      <c r="H1049" s="5" t="n">
        <v>0</v>
      </c>
      <c r="I1049" s="5" t="n">
        <v>94998.99</v>
      </c>
    </row>
    <row r="1050" customFormat="false" ht="15" hidden="false" customHeight="false" outlineLevel="0" collapsed="false">
      <c r="A1050" s="4" t="s">
        <v>1377</v>
      </c>
      <c r="B1050" s="4" t="s">
        <v>18</v>
      </c>
      <c r="C1050" s="4" t="s">
        <v>1378</v>
      </c>
      <c r="D1050" s="4" t="s">
        <v>59</v>
      </c>
      <c r="E1050" s="4" t="s">
        <v>21</v>
      </c>
      <c r="F1050" s="5" t="n">
        <v>54920.68</v>
      </c>
      <c r="G1050" s="6" t="n">
        <v>0.05</v>
      </c>
      <c r="H1050" s="5" t="n">
        <v>2746.03</v>
      </c>
      <c r="I1050" s="5" t="n">
        <v>57666.71</v>
      </c>
    </row>
    <row r="1051" customFormat="false" ht="15" hidden="false" customHeight="false" outlineLevel="0" collapsed="false">
      <c r="A1051" s="4" t="s">
        <v>1379</v>
      </c>
      <c r="B1051" s="4" t="s">
        <v>18</v>
      </c>
      <c r="C1051" s="4" t="s">
        <v>1380</v>
      </c>
      <c r="D1051" s="4" t="s">
        <v>56</v>
      </c>
      <c r="E1051" s="4" t="s">
        <v>28</v>
      </c>
      <c r="F1051" s="5" t="n">
        <v>45722.7</v>
      </c>
      <c r="G1051" s="6" t="n">
        <v>0</v>
      </c>
      <c r="H1051" s="5" t="n">
        <v>0</v>
      </c>
      <c r="I1051" s="5" t="n">
        <v>45722.7</v>
      </c>
    </row>
    <row r="1052" customFormat="false" ht="15" hidden="false" customHeight="false" outlineLevel="0" collapsed="false">
      <c r="A1052" s="4" t="s">
        <v>1381</v>
      </c>
      <c r="B1052" s="4" t="s">
        <v>18</v>
      </c>
      <c r="C1052" s="4" t="s">
        <v>1360</v>
      </c>
      <c r="D1052" s="4" t="s">
        <v>59</v>
      </c>
      <c r="E1052" s="4" t="s">
        <v>28</v>
      </c>
      <c r="F1052" s="5" t="n">
        <v>55006.37</v>
      </c>
      <c r="G1052" s="6" t="n">
        <v>0</v>
      </c>
      <c r="H1052" s="5" t="n">
        <v>0</v>
      </c>
      <c r="I1052" s="5" t="n">
        <v>55006.37</v>
      </c>
    </row>
    <row r="1053" customFormat="false" ht="15" hidden="false" customHeight="false" outlineLevel="0" collapsed="false">
      <c r="A1053" s="4" t="s">
        <v>1382</v>
      </c>
      <c r="B1053" s="4" t="s">
        <v>18</v>
      </c>
      <c r="C1053" s="4" t="s">
        <v>1374</v>
      </c>
      <c r="D1053" s="4" t="s">
        <v>31</v>
      </c>
      <c r="E1053" s="4" t="s">
        <v>21</v>
      </c>
      <c r="F1053" s="5" t="n">
        <v>34997.96</v>
      </c>
      <c r="G1053" s="6" t="n">
        <v>0.05</v>
      </c>
      <c r="H1053" s="5" t="n">
        <v>1749.9</v>
      </c>
      <c r="I1053" s="5" t="n">
        <v>36747.86</v>
      </c>
    </row>
    <row r="1054" customFormat="false" ht="15" hidden="false" customHeight="false" outlineLevel="0" collapsed="false">
      <c r="A1054" s="4" t="s">
        <v>1383</v>
      </c>
      <c r="B1054" s="4" t="s">
        <v>18</v>
      </c>
      <c r="C1054" s="4" t="s">
        <v>1384</v>
      </c>
      <c r="D1054" s="4" t="s">
        <v>78</v>
      </c>
      <c r="E1054" s="4" t="s">
        <v>21</v>
      </c>
      <c r="F1054" s="5" t="n">
        <v>18271</v>
      </c>
      <c r="G1054" s="6" t="n">
        <v>0.05</v>
      </c>
      <c r="H1054" s="5" t="n">
        <v>913.55</v>
      </c>
      <c r="I1054" s="5" t="n">
        <v>19184.55</v>
      </c>
    </row>
    <row r="1055" customFormat="false" ht="15" hidden="false" customHeight="false" outlineLevel="0" collapsed="false">
      <c r="A1055" s="4" t="s">
        <v>1385</v>
      </c>
      <c r="B1055" s="4" t="s">
        <v>18</v>
      </c>
      <c r="C1055" s="4" t="s">
        <v>1386</v>
      </c>
      <c r="D1055" s="4" t="s">
        <v>31</v>
      </c>
      <c r="E1055" s="4" t="s">
        <v>28</v>
      </c>
      <c r="F1055" s="5" t="n">
        <v>79376.42</v>
      </c>
      <c r="G1055" s="6" t="n">
        <v>0</v>
      </c>
      <c r="H1055" s="5" t="n">
        <v>0</v>
      </c>
      <c r="I1055" s="5" t="n">
        <v>79376.42</v>
      </c>
    </row>
    <row r="1056" customFormat="false" ht="15" hidden="false" customHeight="false" outlineLevel="0" collapsed="false">
      <c r="A1056" s="4" t="s">
        <v>1387</v>
      </c>
      <c r="B1056" s="4" t="s">
        <v>18</v>
      </c>
      <c r="C1056" s="4" t="s">
        <v>1358</v>
      </c>
      <c r="D1056" s="4" t="s">
        <v>20</v>
      </c>
      <c r="E1056" s="4" t="s">
        <v>21</v>
      </c>
      <c r="F1056" s="5" t="n">
        <v>40962.28</v>
      </c>
      <c r="G1056" s="6" t="n">
        <v>0.05</v>
      </c>
      <c r="H1056" s="5" t="n">
        <v>2048.11</v>
      </c>
      <c r="I1056" s="5" t="n">
        <v>43010.39</v>
      </c>
    </row>
    <row r="1057" customFormat="false" ht="15" hidden="false" customHeight="false" outlineLevel="0" collapsed="false">
      <c r="A1057" s="4" t="s">
        <v>1388</v>
      </c>
      <c r="B1057" s="4" t="s">
        <v>18</v>
      </c>
      <c r="C1057" s="4" t="s">
        <v>1376</v>
      </c>
      <c r="D1057" s="4" t="s">
        <v>70</v>
      </c>
      <c r="E1057" s="4" t="s">
        <v>21</v>
      </c>
      <c r="F1057" s="5" t="n">
        <v>59919.93</v>
      </c>
      <c r="G1057" s="6" t="n">
        <v>0.05</v>
      </c>
      <c r="H1057" s="5" t="n">
        <v>2996</v>
      </c>
      <c r="I1057" s="5" t="n">
        <v>62915.93</v>
      </c>
    </row>
    <row r="1058" customFormat="false" ht="15" hidden="false" customHeight="false" outlineLevel="0" collapsed="false">
      <c r="A1058" s="4" t="s">
        <v>1389</v>
      </c>
      <c r="B1058" s="4" t="s">
        <v>18</v>
      </c>
      <c r="C1058" s="4" t="s">
        <v>1390</v>
      </c>
      <c r="D1058" s="4" t="s">
        <v>24</v>
      </c>
      <c r="E1058" s="4" t="s">
        <v>21</v>
      </c>
      <c r="F1058" s="5" t="n">
        <v>70249.17</v>
      </c>
      <c r="G1058" s="6" t="n">
        <v>0.05</v>
      </c>
      <c r="H1058" s="5" t="n">
        <v>3512.46</v>
      </c>
      <c r="I1058" s="5" t="n">
        <v>73761.63</v>
      </c>
    </row>
    <row r="1059" customFormat="false" ht="15" hidden="false" customHeight="false" outlineLevel="0" collapsed="false">
      <c r="A1059" s="4" t="s">
        <v>1391</v>
      </c>
      <c r="B1059" s="4" t="s">
        <v>18</v>
      </c>
      <c r="C1059" s="4" t="s">
        <v>1352</v>
      </c>
      <c r="D1059" s="4" t="s">
        <v>88</v>
      </c>
      <c r="E1059" s="4" t="s">
        <v>21</v>
      </c>
      <c r="F1059" s="5" t="n">
        <v>36813.31</v>
      </c>
      <c r="G1059" s="6" t="n">
        <v>0.05</v>
      </c>
      <c r="H1059" s="5" t="n">
        <v>1840.67</v>
      </c>
      <c r="I1059" s="5" t="n">
        <v>38653.98</v>
      </c>
    </row>
    <row r="1060" customFormat="false" ht="15" hidden="false" customHeight="false" outlineLevel="0" collapsed="false">
      <c r="A1060" s="4" t="s">
        <v>1392</v>
      </c>
      <c r="B1060" s="4" t="s">
        <v>18</v>
      </c>
      <c r="C1060" s="4" t="s">
        <v>1393</v>
      </c>
      <c r="D1060" s="4" t="s">
        <v>45</v>
      </c>
      <c r="E1060" s="4" t="s">
        <v>21</v>
      </c>
      <c r="F1060" s="5" t="n">
        <v>53987.56</v>
      </c>
      <c r="G1060" s="6" t="n">
        <v>0.05</v>
      </c>
      <c r="H1060" s="5" t="n">
        <v>2699.38</v>
      </c>
      <c r="I1060" s="5" t="n">
        <v>56686.94</v>
      </c>
    </row>
    <row r="1061" customFormat="false" ht="15" hidden="false" customHeight="false" outlineLevel="0" collapsed="false">
      <c r="A1061" s="4" t="s">
        <v>1394</v>
      </c>
      <c r="B1061" s="4" t="s">
        <v>18</v>
      </c>
      <c r="C1061" s="4" t="s">
        <v>1395</v>
      </c>
      <c r="D1061" s="4" t="s">
        <v>45</v>
      </c>
      <c r="E1061" s="4" t="s">
        <v>46</v>
      </c>
      <c r="F1061" s="5" t="n">
        <v>62839.44</v>
      </c>
      <c r="G1061" s="6" t="n">
        <v>0</v>
      </c>
      <c r="H1061" s="5" t="n">
        <v>0</v>
      </c>
      <c r="I1061" s="5" t="n">
        <v>62839.44</v>
      </c>
    </row>
    <row r="1062" customFormat="false" ht="15" hidden="false" customHeight="false" outlineLevel="0" collapsed="false">
      <c r="A1062" s="4" t="s">
        <v>1396</v>
      </c>
      <c r="B1062" s="4" t="s">
        <v>18</v>
      </c>
      <c r="C1062" s="4" t="s">
        <v>1397</v>
      </c>
      <c r="D1062" s="4" t="s">
        <v>59</v>
      </c>
      <c r="E1062" s="4" t="s">
        <v>21</v>
      </c>
      <c r="F1062" s="5" t="n">
        <v>41297.91</v>
      </c>
      <c r="G1062" s="6" t="n">
        <v>0.05</v>
      </c>
      <c r="H1062" s="5" t="n">
        <v>2064.9</v>
      </c>
      <c r="I1062" s="5" t="n">
        <v>43362.81</v>
      </c>
    </row>
    <row r="1063" customFormat="false" ht="15" hidden="false" customHeight="false" outlineLevel="0" collapsed="false">
      <c r="A1063" s="4" t="s">
        <v>1398</v>
      </c>
      <c r="B1063" s="4" t="s">
        <v>18</v>
      </c>
      <c r="C1063" s="4" t="s">
        <v>1360</v>
      </c>
      <c r="D1063" s="4" t="s">
        <v>50</v>
      </c>
      <c r="E1063" s="4" t="s">
        <v>28</v>
      </c>
      <c r="F1063" s="5" t="n">
        <v>16157.35</v>
      </c>
      <c r="G1063" s="6" t="n">
        <v>0</v>
      </c>
      <c r="H1063" s="5" t="n">
        <v>0</v>
      </c>
      <c r="I1063" s="5" t="n">
        <v>16157.35</v>
      </c>
    </row>
    <row r="1064" customFormat="false" ht="15" hidden="false" customHeight="false" outlineLevel="0" collapsed="false">
      <c r="A1064" s="4" t="s">
        <v>1399</v>
      </c>
      <c r="B1064" s="4" t="s">
        <v>18</v>
      </c>
      <c r="C1064" s="4" t="s">
        <v>1393</v>
      </c>
      <c r="D1064" s="4" t="s">
        <v>50</v>
      </c>
      <c r="E1064" s="4" t="s">
        <v>21</v>
      </c>
      <c r="F1064" s="5" t="n">
        <v>79448.88</v>
      </c>
      <c r="G1064" s="6" t="n">
        <v>0.05</v>
      </c>
      <c r="H1064" s="5" t="n">
        <v>3972.44</v>
      </c>
      <c r="I1064" s="5" t="n">
        <v>83421.32</v>
      </c>
    </row>
    <row r="1065" customFormat="false" ht="15" hidden="false" customHeight="false" outlineLevel="0" collapsed="false">
      <c r="A1065" s="4" t="s">
        <v>1400</v>
      </c>
      <c r="B1065" s="4" t="s">
        <v>18</v>
      </c>
      <c r="C1065" s="4" t="s">
        <v>1384</v>
      </c>
      <c r="D1065" s="4" t="s">
        <v>31</v>
      </c>
      <c r="E1065" s="4" t="s">
        <v>28</v>
      </c>
      <c r="F1065" s="5" t="n">
        <v>4875.99</v>
      </c>
      <c r="G1065" s="6" t="n">
        <v>0</v>
      </c>
      <c r="H1065" s="5" t="n">
        <v>0</v>
      </c>
      <c r="I1065" s="5" t="n">
        <v>4875.99</v>
      </c>
    </row>
    <row r="1066" customFormat="false" ht="15" hidden="false" customHeight="false" outlineLevel="0" collapsed="false">
      <c r="A1066" s="4" t="s">
        <v>1401</v>
      </c>
      <c r="B1066" s="4" t="s">
        <v>18</v>
      </c>
      <c r="C1066" s="4" t="s">
        <v>1402</v>
      </c>
      <c r="D1066" s="4" t="s">
        <v>56</v>
      </c>
      <c r="E1066" s="4" t="s">
        <v>46</v>
      </c>
      <c r="F1066" s="5" t="n">
        <v>80693.05</v>
      </c>
      <c r="G1066" s="6" t="n">
        <v>0</v>
      </c>
      <c r="H1066" s="5" t="n">
        <v>0</v>
      </c>
      <c r="I1066" s="5" t="n">
        <v>80693.05</v>
      </c>
    </row>
    <row r="1067" customFormat="false" ht="15" hidden="false" customHeight="false" outlineLevel="0" collapsed="false">
      <c r="A1067" s="4" t="s">
        <v>1403</v>
      </c>
      <c r="B1067" s="4" t="s">
        <v>18</v>
      </c>
      <c r="C1067" s="4" t="s">
        <v>1404</v>
      </c>
      <c r="D1067" s="4" t="s">
        <v>59</v>
      </c>
      <c r="E1067" s="4" t="s">
        <v>21</v>
      </c>
      <c r="F1067" s="5" t="n">
        <v>77777.58</v>
      </c>
      <c r="G1067" s="6" t="n">
        <v>0.05</v>
      </c>
      <c r="H1067" s="5" t="n">
        <v>3888.88</v>
      </c>
      <c r="I1067" s="5" t="n">
        <v>81666.46</v>
      </c>
    </row>
    <row r="1068" customFormat="false" ht="15" hidden="false" customHeight="false" outlineLevel="0" collapsed="false">
      <c r="A1068" s="4" t="s">
        <v>1405</v>
      </c>
      <c r="B1068" s="4" t="s">
        <v>18</v>
      </c>
      <c r="C1068" s="4" t="s">
        <v>1406</v>
      </c>
      <c r="D1068" s="4" t="s">
        <v>88</v>
      </c>
      <c r="E1068" s="4" t="s">
        <v>21</v>
      </c>
      <c r="F1068" s="5" t="n">
        <v>52023.41</v>
      </c>
      <c r="G1068" s="6" t="n">
        <v>0.05</v>
      </c>
      <c r="H1068" s="5" t="n">
        <v>2601.17</v>
      </c>
      <c r="I1068" s="5" t="n">
        <v>54624.58</v>
      </c>
    </row>
    <row r="1069" customFormat="false" ht="15" hidden="false" customHeight="false" outlineLevel="0" collapsed="false">
      <c r="A1069" s="4" t="s">
        <v>1407</v>
      </c>
      <c r="B1069" s="4" t="s">
        <v>18</v>
      </c>
      <c r="C1069" s="4" t="s">
        <v>1408</v>
      </c>
      <c r="D1069" s="4" t="s">
        <v>50</v>
      </c>
      <c r="E1069" s="4" t="s">
        <v>21</v>
      </c>
      <c r="F1069" s="5" t="n">
        <v>87633.45</v>
      </c>
      <c r="G1069" s="6" t="n">
        <v>0.05</v>
      </c>
      <c r="H1069" s="5" t="n">
        <v>4381.67</v>
      </c>
      <c r="I1069" s="5" t="n">
        <v>92015.12</v>
      </c>
    </row>
    <row r="1070" customFormat="false" ht="15" hidden="false" customHeight="false" outlineLevel="0" collapsed="false">
      <c r="A1070" s="4" t="s">
        <v>1409</v>
      </c>
      <c r="B1070" s="4" t="s">
        <v>18</v>
      </c>
      <c r="C1070" s="4" t="s">
        <v>1358</v>
      </c>
      <c r="D1070" s="4" t="s">
        <v>50</v>
      </c>
      <c r="E1070" s="4" t="s">
        <v>21</v>
      </c>
      <c r="F1070" s="5" t="n">
        <v>72382.87</v>
      </c>
      <c r="G1070" s="6" t="n">
        <v>0.05</v>
      </c>
      <c r="H1070" s="5" t="n">
        <v>3619.14</v>
      </c>
      <c r="I1070" s="5" t="n">
        <v>76002.01</v>
      </c>
    </row>
    <row r="1071" customFormat="false" ht="15" hidden="false" customHeight="false" outlineLevel="0" collapsed="false">
      <c r="A1071" s="4" t="s">
        <v>1410</v>
      </c>
      <c r="B1071" s="4" t="s">
        <v>18</v>
      </c>
      <c r="C1071" s="4" t="s">
        <v>1367</v>
      </c>
      <c r="D1071" s="4" t="s">
        <v>34</v>
      </c>
      <c r="E1071" s="4" t="s">
        <v>21</v>
      </c>
      <c r="F1071" s="5" t="n">
        <v>7329.19</v>
      </c>
      <c r="G1071" s="6" t="n">
        <v>0.05</v>
      </c>
      <c r="H1071" s="5" t="n">
        <v>366.46</v>
      </c>
      <c r="I1071" s="5" t="n">
        <v>7695.65</v>
      </c>
    </row>
    <row r="1072" customFormat="false" ht="15" hidden="false" customHeight="false" outlineLevel="0" collapsed="false">
      <c r="A1072" s="4" t="s">
        <v>1411</v>
      </c>
      <c r="B1072" s="4" t="s">
        <v>18</v>
      </c>
      <c r="C1072" s="4" t="s">
        <v>1406</v>
      </c>
      <c r="D1072" s="4" t="s">
        <v>45</v>
      </c>
      <c r="E1072" s="4" t="s">
        <v>21</v>
      </c>
      <c r="F1072" s="5" t="n">
        <v>55928.15</v>
      </c>
      <c r="G1072" s="6" t="n">
        <v>0.05</v>
      </c>
      <c r="H1072" s="5" t="n">
        <v>2796.41</v>
      </c>
      <c r="I1072" s="5" t="n">
        <v>58724.56</v>
      </c>
    </row>
    <row r="1073" customFormat="false" ht="15" hidden="false" customHeight="false" outlineLevel="0" collapsed="false">
      <c r="A1073" s="4" t="s">
        <v>1412</v>
      </c>
      <c r="B1073" s="4" t="s">
        <v>18</v>
      </c>
      <c r="C1073" s="4" t="s">
        <v>1413</v>
      </c>
      <c r="D1073" s="4" t="s">
        <v>34</v>
      </c>
      <c r="E1073" s="4" t="s">
        <v>21</v>
      </c>
      <c r="F1073" s="5" t="n">
        <v>49919.24</v>
      </c>
      <c r="G1073" s="6" t="n">
        <v>0.05</v>
      </c>
      <c r="H1073" s="5" t="n">
        <v>2495.96</v>
      </c>
      <c r="I1073" s="5" t="n">
        <v>52415.2</v>
      </c>
    </row>
    <row r="1074" customFormat="false" ht="15" hidden="false" customHeight="false" outlineLevel="0" collapsed="false">
      <c r="A1074" s="4" t="s">
        <v>1414</v>
      </c>
      <c r="B1074" s="4" t="s">
        <v>18</v>
      </c>
      <c r="C1074" s="4" t="s">
        <v>1369</v>
      </c>
      <c r="D1074" s="4" t="s">
        <v>20</v>
      </c>
      <c r="E1074" s="4" t="s">
        <v>21</v>
      </c>
      <c r="F1074" s="5" t="n">
        <v>48745.42</v>
      </c>
      <c r="G1074" s="6" t="n">
        <v>0.05</v>
      </c>
      <c r="H1074" s="5" t="n">
        <v>2437.27</v>
      </c>
      <c r="I1074" s="5" t="n">
        <v>51182.69</v>
      </c>
    </row>
    <row r="1075" customFormat="false" ht="15" hidden="false" customHeight="false" outlineLevel="0" collapsed="false">
      <c r="A1075" s="4" t="s">
        <v>1415</v>
      </c>
      <c r="B1075" s="4" t="s">
        <v>18</v>
      </c>
      <c r="C1075" s="4" t="s">
        <v>1376</v>
      </c>
      <c r="D1075" s="4" t="s">
        <v>88</v>
      </c>
      <c r="E1075" s="4" t="s">
        <v>28</v>
      </c>
      <c r="F1075" s="5" t="n">
        <v>82736.1</v>
      </c>
      <c r="G1075" s="6" t="n">
        <v>0</v>
      </c>
      <c r="H1075" s="5" t="n">
        <v>0</v>
      </c>
      <c r="I1075" s="5" t="n">
        <v>82736.1</v>
      </c>
    </row>
    <row r="1076" customFormat="false" ht="15" hidden="false" customHeight="false" outlineLevel="0" collapsed="false">
      <c r="A1076" s="4" t="s">
        <v>1416</v>
      </c>
      <c r="B1076" s="4" t="s">
        <v>18</v>
      </c>
      <c r="C1076" s="4" t="s">
        <v>1380</v>
      </c>
      <c r="D1076" s="4" t="s">
        <v>20</v>
      </c>
      <c r="E1076" s="4" t="s">
        <v>46</v>
      </c>
      <c r="F1076" s="5" t="n">
        <v>41295.97</v>
      </c>
      <c r="G1076" s="6" t="n">
        <v>0</v>
      </c>
      <c r="H1076" s="5" t="n">
        <v>0</v>
      </c>
      <c r="I1076" s="5" t="n">
        <v>41295.97</v>
      </c>
    </row>
    <row r="1077" customFormat="false" ht="15" hidden="false" customHeight="false" outlineLevel="0" collapsed="false">
      <c r="A1077" s="4" t="s">
        <v>1417</v>
      </c>
      <c r="B1077" s="4" t="s">
        <v>18</v>
      </c>
      <c r="C1077" s="4" t="s">
        <v>1376</v>
      </c>
      <c r="D1077" s="4" t="s">
        <v>45</v>
      </c>
      <c r="E1077" s="4" t="s">
        <v>28</v>
      </c>
      <c r="F1077" s="5" t="n">
        <v>76658.35</v>
      </c>
      <c r="G1077" s="6" t="n">
        <v>0</v>
      </c>
      <c r="H1077" s="5" t="n">
        <v>0</v>
      </c>
      <c r="I1077" s="5" t="n">
        <v>76658.35</v>
      </c>
    </row>
    <row r="1078" customFormat="false" ht="15" hidden="false" customHeight="false" outlineLevel="0" collapsed="false">
      <c r="A1078" s="4" t="s">
        <v>1418</v>
      </c>
      <c r="B1078" s="4" t="s">
        <v>18</v>
      </c>
      <c r="C1078" s="4" t="s">
        <v>1397</v>
      </c>
      <c r="D1078" s="4" t="s">
        <v>45</v>
      </c>
      <c r="E1078" s="4" t="s">
        <v>21</v>
      </c>
      <c r="F1078" s="5" t="n">
        <v>77898.74</v>
      </c>
      <c r="G1078" s="6" t="n">
        <v>0.05</v>
      </c>
      <c r="H1078" s="5" t="n">
        <v>3894.94</v>
      </c>
      <c r="I1078" s="5" t="n">
        <v>81793.68</v>
      </c>
    </row>
    <row r="1079" customFormat="false" ht="15" hidden="false" customHeight="false" outlineLevel="0" collapsed="false">
      <c r="A1079" s="4" t="s">
        <v>1419</v>
      </c>
      <c r="B1079" s="4" t="s">
        <v>18</v>
      </c>
      <c r="C1079" s="4" t="s">
        <v>1404</v>
      </c>
      <c r="D1079" s="4" t="s">
        <v>78</v>
      </c>
      <c r="E1079" s="4" t="s">
        <v>28</v>
      </c>
      <c r="F1079" s="5" t="n">
        <v>16124.08</v>
      </c>
      <c r="G1079" s="6" t="n">
        <v>0</v>
      </c>
      <c r="H1079" s="5" t="n">
        <v>0</v>
      </c>
      <c r="I1079" s="5" t="n">
        <v>16124.08</v>
      </c>
    </row>
    <row r="1080" customFormat="false" ht="15" hidden="false" customHeight="false" outlineLevel="0" collapsed="false">
      <c r="A1080" s="4" t="s">
        <v>1420</v>
      </c>
      <c r="B1080" s="4" t="s">
        <v>18</v>
      </c>
      <c r="C1080" s="4" t="s">
        <v>1363</v>
      </c>
      <c r="D1080" s="4" t="s">
        <v>24</v>
      </c>
      <c r="E1080" s="4" t="s">
        <v>21</v>
      </c>
      <c r="F1080" s="5" t="n">
        <v>65605.34</v>
      </c>
      <c r="G1080" s="6" t="n">
        <v>0.05</v>
      </c>
      <c r="H1080" s="5" t="n">
        <v>3280.27</v>
      </c>
      <c r="I1080" s="5" t="n">
        <v>68885.61</v>
      </c>
    </row>
    <row r="1081" customFormat="false" ht="15" hidden="false" customHeight="false" outlineLevel="0" collapsed="false">
      <c r="A1081" s="4" t="s">
        <v>1421</v>
      </c>
      <c r="B1081" s="4" t="s">
        <v>18</v>
      </c>
      <c r="C1081" s="4" t="s">
        <v>1406</v>
      </c>
      <c r="D1081" s="4" t="s">
        <v>50</v>
      </c>
      <c r="E1081" s="4" t="s">
        <v>46</v>
      </c>
      <c r="F1081" s="5" t="n">
        <v>50394.64</v>
      </c>
      <c r="G1081" s="6" t="n">
        <v>0</v>
      </c>
      <c r="H1081" s="5" t="n">
        <v>0</v>
      </c>
      <c r="I1081" s="5" t="n">
        <v>50394.64</v>
      </c>
    </row>
    <row r="1082" customFormat="false" ht="15" hidden="false" customHeight="false" outlineLevel="0" collapsed="false">
      <c r="A1082" s="4" t="s">
        <v>1422</v>
      </c>
      <c r="B1082" s="4" t="s">
        <v>18</v>
      </c>
      <c r="C1082" s="4" t="s">
        <v>1356</v>
      </c>
      <c r="D1082" s="4" t="s">
        <v>37</v>
      </c>
      <c r="E1082" s="4" t="s">
        <v>28</v>
      </c>
      <c r="F1082" s="5" t="n">
        <v>94812.14</v>
      </c>
      <c r="G1082" s="6" t="n">
        <v>0</v>
      </c>
      <c r="H1082" s="5" t="n">
        <v>0</v>
      </c>
      <c r="I1082" s="5" t="n">
        <v>94812.14</v>
      </c>
    </row>
    <row r="1083" customFormat="false" ht="15" hidden="false" customHeight="false" outlineLevel="0" collapsed="false">
      <c r="A1083" s="4" t="s">
        <v>1423</v>
      </c>
      <c r="B1083" s="4" t="s">
        <v>18</v>
      </c>
      <c r="C1083" s="4" t="s">
        <v>1402</v>
      </c>
      <c r="D1083" s="4" t="s">
        <v>59</v>
      </c>
      <c r="E1083" s="4" t="s">
        <v>28</v>
      </c>
      <c r="F1083" s="5" t="n">
        <v>56542.93</v>
      </c>
      <c r="G1083" s="6" t="n">
        <v>0</v>
      </c>
      <c r="H1083" s="5" t="n">
        <v>0</v>
      </c>
      <c r="I1083" s="5" t="n">
        <v>56542.93</v>
      </c>
    </row>
    <row r="1084" customFormat="false" ht="15" hidden="false" customHeight="false" outlineLevel="0" collapsed="false">
      <c r="A1084" s="4" t="s">
        <v>1424</v>
      </c>
      <c r="B1084" s="4" t="s">
        <v>18</v>
      </c>
      <c r="C1084" s="4" t="s">
        <v>1425</v>
      </c>
      <c r="D1084" s="4" t="s">
        <v>45</v>
      </c>
      <c r="E1084" s="4" t="s">
        <v>21</v>
      </c>
      <c r="F1084" s="5" t="n">
        <v>21638.62</v>
      </c>
      <c r="G1084" s="6" t="n">
        <v>0.05</v>
      </c>
      <c r="H1084" s="5" t="n">
        <v>1081.93</v>
      </c>
      <c r="I1084" s="5" t="n">
        <v>22720.55</v>
      </c>
    </row>
    <row r="1085" customFormat="false" ht="15" hidden="false" customHeight="false" outlineLevel="0" collapsed="false">
      <c r="A1085" s="4" t="s">
        <v>1426</v>
      </c>
      <c r="B1085" s="4" t="s">
        <v>18</v>
      </c>
      <c r="C1085" s="4" t="s">
        <v>1380</v>
      </c>
      <c r="D1085" s="4" t="s">
        <v>50</v>
      </c>
      <c r="E1085" s="4" t="s">
        <v>21</v>
      </c>
      <c r="F1085" s="5" t="n">
        <v>72686.44</v>
      </c>
      <c r="G1085" s="6" t="n">
        <v>0.05</v>
      </c>
      <c r="H1085" s="5" t="n">
        <v>3634.32</v>
      </c>
      <c r="I1085" s="5" t="n">
        <v>76320.76</v>
      </c>
    </row>
    <row r="1086" customFormat="false" ht="15" hidden="false" customHeight="false" outlineLevel="0" collapsed="false">
      <c r="A1086" s="4" t="s">
        <v>1427</v>
      </c>
      <c r="B1086" s="4" t="s">
        <v>18</v>
      </c>
      <c r="C1086" s="4" t="s">
        <v>1397</v>
      </c>
      <c r="D1086" s="4" t="s">
        <v>20</v>
      </c>
      <c r="E1086" s="4" t="s">
        <v>21</v>
      </c>
      <c r="F1086" s="5" t="n">
        <v>92722.14</v>
      </c>
      <c r="G1086" s="6" t="n">
        <v>0.05</v>
      </c>
      <c r="H1086" s="5" t="n">
        <v>4636.11</v>
      </c>
      <c r="I1086" s="5" t="n">
        <v>97358.25</v>
      </c>
    </row>
    <row r="1087" customFormat="false" ht="15" hidden="false" customHeight="false" outlineLevel="0" collapsed="false">
      <c r="A1087" s="4" t="s">
        <v>1428</v>
      </c>
      <c r="B1087" s="4" t="s">
        <v>18</v>
      </c>
      <c r="C1087" s="4" t="s">
        <v>1390</v>
      </c>
      <c r="D1087" s="4" t="s">
        <v>70</v>
      </c>
      <c r="E1087" s="4" t="s">
        <v>21</v>
      </c>
      <c r="F1087" s="5" t="n">
        <v>9309.63</v>
      </c>
      <c r="G1087" s="6" t="n">
        <v>0.05</v>
      </c>
      <c r="H1087" s="5" t="n">
        <v>465.48</v>
      </c>
      <c r="I1087" s="5" t="n">
        <v>9775.11</v>
      </c>
    </row>
    <row r="1088" customFormat="false" ht="15" hidden="false" customHeight="false" outlineLevel="0" collapsed="false">
      <c r="A1088" s="4" t="s">
        <v>1429</v>
      </c>
      <c r="B1088" s="4" t="s">
        <v>18</v>
      </c>
      <c r="C1088" s="4" t="s">
        <v>1356</v>
      </c>
      <c r="D1088" s="4" t="s">
        <v>45</v>
      </c>
      <c r="E1088" s="4" t="s">
        <v>21</v>
      </c>
      <c r="F1088" s="5" t="n">
        <v>64360.5</v>
      </c>
      <c r="G1088" s="6" t="n">
        <v>0.05</v>
      </c>
      <c r="H1088" s="5" t="n">
        <v>3218.03</v>
      </c>
      <c r="I1088" s="5" t="n">
        <v>67578.53</v>
      </c>
    </row>
    <row r="1089" customFormat="false" ht="15" hidden="false" customHeight="false" outlineLevel="0" collapsed="false">
      <c r="A1089" s="4" t="s">
        <v>1430</v>
      </c>
      <c r="B1089" s="4" t="s">
        <v>18</v>
      </c>
      <c r="C1089" s="4" t="s">
        <v>1395</v>
      </c>
      <c r="D1089" s="4" t="s">
        <v>78</v>
      </c>
      <c r="E1089" s="4" t="s">
        <v>21</v>
      </c>
      <c r="F1089" s="5" t="n">
        <v>90725.76</v>
      </c>
      <c r="G1089" s="6" t="n">
        <v>0.05</v>
      </c>
      <c r="H1089" s="5" t="n">
        <v>4536.29</v>
      </c>
      <c r="I1089" s="5" t="n">
        <v>95262.05</v>
      </c>
    </row>
    <row r="1090" customFormat="false" ht="15" hidden="false" customHeight="false" outlineLevel="0" collapsed="false">
      <c r="A1090" s="4" t="s">
        <v>1431</v>
      </c>
      <c r="B1090" s="4" t="s">
        <v>18</v>
      </c>
      <c r="C1090" s="4" t="s">
        <v>1413</v>
      </c>
      <c r="D1090" s="4" t="s">
        <v>59</v>
      </c>
      <c r="E1090" s="4" t="s">
        <v>21</v>
      </c>
      <c r="F1090" s="5" t="n">
        <v>25978.51</v>
      </c>
      <c r="G1090" s="6" t="n">
        <v>0.05</v>
      </c>
      <c r="H1090" s="5" t="n">
        <v>1298.93</v>
      </c>
      <c r="I1090" s="5" t="n">
        <v>27277.44</v>
      </c>
    </row>
    <row r="1091" customFormat="false" ht="15" hidden="false" customHeight="false" outlineLevel="0" collapsed="false">
      <c r="A1091" s="4" t="s">
        <v>1432</v>
      </c>
      <c r="B1091" s="4" t="s">
        <v>18</v>
      </c>
      <c r="C1091" s="4" t="s">
        <v>1354</v>
      </c>
      <c r="D1091" s="4" t="s">
        <v>62</v>
      </c>
      <c r="E1091" s="4" t="s">
        <v>21</v>
      </c>
      <c r="F1091" s="5" t="n">
        <v>94917.62</v>
      </c>
      <c r="G1091" s="6" t="n">
        <v>0.05</v>
      </c>
      <c r="H1091" s="5" t="n">
        <v>4745.88</v>
      </c>
      <c r="I1091" s="5" t="n">
        <v>99663.5</v>
      </c>
    </row>
    <row r="1092" customFormat="false" ht="15" hidden="false" customHeight="false" outlineLevel="0" collapsed="false">
      <c r="A1092" s="4" t="s">
        <v>1433</v>
      </c>
      <c r="B1092" s="4" t="s">
        <v>18</v>
      </c>
      <c r="C1092" s="4" t="s">
        <v>1380</v>
      </c>
      <c r="D1092" s="4" t="s">
        <v>50</v>
      </c>
      <c r="E1092" s="4" t="s">
        <v>21</v>
      </c>
      <c r="F1092" s="5" t="n">
        <v>74575.91</v>
      </c>
      <c r="G1092" s="6" t="n">
        <v>0.05</v>
      </c>
      <c r="H1092" s="5" t="n">
        <v>3728.8</v>
      </c>
      <c r="I1092" s="5" t="n">
        <v>78304.71</v>
      </c>
    </row>
    <row r="1093" customFormat="false" ht="15" hidden="false" customHeight="false" outlineLevel="0" collapsed="false">
      <c r="A1093" s="4" t="s">
        <v>1434</v>
      </c>
      <c r="B1093" s="4" t="s">
        <v>18</v>
      </c>
      <c r="C1093" s="4" t="s">
        <v>1363</v>
      </c>
      <c r="D1093" s="4" t="s">
        <v>56</v>
      </c>
      <c r="E1093" s="4" t="s">
        <v>21</v>
      </c>
      <c r="F1093" s="5" t="n">
        <v>24666.13</v>
      </c>
      <c r="G1093" s="6" t="n">
        <v>0.05</v>
      </c>
      <c r="H1093" s="5" t="n">
        <v>1233.31</v>
      </c>
      <c r="I1093" s="5" t="n">
        <v>25899.44</v>
      </c>
    </row>
    <row r="1094" customFormat="false" ht="15" hidden="false" customHeight="false" outlineLevel="0" collapsed="false">
      <c r="A1094" s="4" t="s">
        <v>1435</v>
      </c>
      <c r="B1094" s="4" t="s">
        <v>18</v>
      </c>
      <c r="C1094" s="4" t="s">
        <v>1436</v>
      </c>
      <c r="D1094" s="4" t="s">
        <v>24</v>
      </c>
      <c r="E1094" s="4" t="s">
        <v>28</v>
      </c>
      <c r="F1094" s="5" t="n">
        <v>35197.49</v>
      </c>
      <c r="G1094" s="6" t="n">
        <v>0</v>
      </c>
      <c r="H1094" s="5" t="n">
        <v>0</v>
      </c>
      <c r="I1094" s="5" t="n">
        <v>35197.49</v>
      </c>
    </row>
    <row r="1095" customFormat="false" ht="15" hidden="false" customHeight="false" outlineLevel="0" collapsed="false">
      <c r="A1095" s="4" t="s">
        <v>1437</v>
      </c>
      <c r="B1095" s="4" t="s">
        <v>18</v>
      </c>
      <c r="C1095" s="4" t="s">
        <v>1352</v>
      </c>
      <c r="D1095" s="4" t="s">
        <v>20</v>
      </c>
      <c r="E1095" s="4" t="s">
        <v>21</v>
      </c>
      <c r="F1095" s="5" t="n">
        <v>46313.57</v>
      </c>
      <c r="G1095" s="6" t="n">
        <v>0.05</v>
      </c>
      <c r="H1095" s="5" t="n">
        <v>2315.68</v>
      </c>
      <c r="I1095" s="5" t="n">
        <v>48629.25</v>
      </c>
    </row>
    <row r="1096" customFormat="false" ht="15" hidden="false" customHeight="false" outlineLevel="0" collapsed="false">
      <c r="A1096" s="4" t="s">
        <v>1438</v>
      </c>
      <c r="B1096" s="4" t="s">
        <v>18</v>
      </c>
      <c r="C1096" s="4" t="s">
        <v>1425</v>
      </c>
      <c r="D1096" s="4" t="s">
        <v>59</v>
      </c>
      <c r="E1096" s="4" t="s">
        <v>21</v>
      </c>
      <c r="F1096" s="5" t="n">
        <v>15117.62</v>
      </c>
      <c r="G1096" s="6" t="n">
        <v>0.05</v>
      </c>
      <c r="H1096" s="5" t="n">
        <v>755.88</v>
      </c>
      <c r="I1096" s="5" t="n">
        <v>15873.5</v>
      </c>
    </row>
    <row r="1097" customFormat="false" ht="15" hidden="false" customHeight="false" outlineLevel="0" collapsed="false">
      <c r="A1097" s="4" t="s">
        <v>1439</v>
      </c>
      <c r="B1097" s="4" t="s">
        <v>18</v>
      </c>
      <c r="C1097" s="4" t="s">
        <v>1384</v>
      </c>
      <c r="D1097" s="4" t="s">
        <v>56</v>
      </c>
      <c r="E1097" s="4" t="s">
        <v>28</v>
      </c>
      <c r="F1097" s="5" t="n">
        <v>22209.62</v>
      </c>
      <c r="G1097" s="6" t="n">
        <v>0</v>
      </c>
      <c r="H1097" s="5" t="n">
        <v>0</v>
      </c>
      <c r="I1097" s="5" t="n">
        <v>22209.62</v>
      </c>
    </row>
    <row r="1098" customFormat="false" ht="15" hidden="false" customHeight="false" outlineLevel="0" collapsed="false">
      <c r="A1098" s="4" t="s">
        <v>1440</v>
      </c>
      <c r="B1098" s="4" t="s">
        <v>18</v>
      </c>
      <c r="C1098" s="4" t="s">
        <v>1402</v>
      </c>
      <c r="D1098" s="4" t="s">
        <v>31</v>
      </c>
      <c r="E1098" s="4" t="s">
        <v>46</v>
      </c>
      <c r="F1098" s="5" t="n">
        <v>58013.48</v>
      </c>
      <c r="G1098" s="6" t="n">
        <v>0</v>
      </c>
      <c r="H1098" s="5" t="n">
        <v>0</v>
      </c>
      <c r="I1098" s="5" t="n">
        <v>58013.48</v>
      </c>
    </row>
    <row r="1099" customFormat="false" ht="15" hidden="false" customHeight="false" outlineLevel="0" collapsed="false">
      <c r="A1099" s="4" t="s">
        <v>1441</v>
      </c>
      <c r="B1099" s="4" t="s">
        <v>18</v>
      </c>
      <c r="C1099" s="4" t="s">
        <v>1393</v>
      </c>
      <c r="D1099" s="4" t="s">
        <v>86</v>
      </c>
      <c r="E1099" s="4" t="s">
        <v>21</v>
      </c>
      <c r="F1099" s="5" t="n">
        <v>80491.17</v>
      </c>
      <c r="G1099" s="6" t="n">
        <v>0.05</v>
      </c>
      <c r="H1099" s="5" t="n">
        <v>4024.56</v>
      </c>
      <c r="I1099" s="5" t="n">
        <v>84515.73</v>
      </c>
    </row>
    <row r="1100" customFormat="false" ht="15" hidden="false" customHeight="false" outlineLevel="0" collapsed="false">
      <c r="A1100" s="4" t="s">
        <v>1442</v>
      </c>
      <c r="B1100" s="4" t="s">
        <v>18</v>
      </c>
      <c r="C1100" s="4" t="s">
        <v>1393</v>
      </c>
      <c r="D1100" s="4" t="s">
        <v>24</v>
      </c>
      <c r="E1100" s="4" t="s">
        <v>21</v>
      </c>
      <c r="F1100" s="5" t="n">
        <v>58643.6</v>
      </c>
      <c r="G1100" s="6" t="n">
        <v>0.05</v>
      </c>
      <c r="H1100" s="5" t="n">
        <v>2932.18</v>
      </c>
      <c r="I1100" s="5" t="n">
        <v>61575.78</v>
      </c>
    </row>
    <row r="1101" customFormat="false" ht="15" hidden="false" customHeight="false" outlineLevel="0" collapsed="false">
      <c r="A1101" s="4" t="s">
        <v>1443</v>
      </c>
      <c r="B1101" s="4" t="s">
        <v>18</v>
      </c>
      <c r="C1101" s="4" t="s">
        <v>1365</v>
      </c>
      <c r="D1101" s="4" t="s">
        <v>34</v>
      </c>
      <c r="E1101" s="4" t="s">
        <v>21</v>
      </c>
      <c r="F1101" s="5" t="n">
        <v>48823.59</v>
      </c>
      <c r="G1101" s="6" t="n">
        <v>0.05</v>
      </c>
      <c r="H1101" s="5" t="n">
        <v>2441.18</v>
      </c>
      <c r="I1101" s="5" t="n">
        <v>51264.77</v>
      </c>
    </row>
    <row r="1102" customFormat="false" ht="15" hidden="false" customHeight="false" outlineLevel="0" collapsed="false">
      <c r="A1102" s="4" t="s">
        <v>1444</v>
      </c>
      <c r="B1102" s="4" t="s">
        <v>120</v>
      </c>
      <c r="C1102" s="4" t="s">
        <v>1395</v>
      </c>
      <c r="D1102" s="4" t="s">
        <v>123</v>
      </c>
      <c r="E1102" s="4" t="s">
        <v>21</v>
      </c>
      <c r="F1102" s="5" t="n">
        <v>6702.11</v>
      </c>
      <c r="G1102" s="6" t="n">
        <v>0.05</v>
      </c>
      <c r="H1102" s="5" t="n">
        <v>335.11</v>
      </c>
      <c r="I1102" s="5" t="n">
        <v>7037.22</v>
      </c>
    </row>
    <row r="1103" customFormat="false" ht="15" hidden="false" customHeight="false" outlineLevel="0" collapsed="false">
      <c r="A1103" s="4" t="s">
        <v>1445</v>
      </c>
      <c r="B1103" s="4" t="s">
        <v>120</v>
      </c>
      <c r="C1103" s="4" t="s">
        <v>1384</v>
      </c>
      <c r="D1103" s="4" t="s">
        <v>121</v>
      </c>
      <c r="E1103" s="4" t="s">
        <v>21</v>
      </c>
      <c r="F1103" s="5" t="n">
        <v>32593.22</v>
      </c>
      <c r="G1103" s="6" t="n">
        <v>0.05</v>
      </c>
      <c r="H1103" s="5" t="n">
        <v>1629.66</v>
      </c>
      <c r="I1103" s="5" t="n">
        <v>34222.88</v>
      </c>
    </row>
    <row r="1104" customFormat="false" ht="15" hidden="false" customHeight="false" outlineLevel="0" collapsed="false">
      <c r="A1104" s="4" t="s">
        <v>1446</v>
      </c>
      <c r="B1104" s="4" t="s">
        <v>120</v>
      </c>
      <c r="C1104" s="4" t="s">
        <v>1367</v>
      </c>
      <c r="D1104" s="4" t="s">
        <v>133</v>
      </c>
      <c r="E1104" s="4" t="s">
        <v>21</v>
      </c>
      <c r="F1104" s="5" t="n">
        <v>19812.15</v>
      </c>
      <c r="G1104" s="6" t="n">
        <v>0.05</v>
      </c>
      <c r="H1104" s="5" t="n">
        <v>990.61</v>
      </c>
      <c r="I1104" s="5" t="n">
        <v>20802.76</v>
      </c>
    </row>
    <row r="1105" customFormat="false" ht="15" hidden="false" customHeight="false" outlineLevel="0" collapsed="false">
      <c r="A1105" s="4" t="s">
        <v>1447</v>
      </c>
      <c r="B1105" s="4" t="s">
        <v>120</v>
      </c>
      <c r="C1105" s="4" t="s">
        <v>1374</v>
      </c>
      <c r="D1105" s="4" t="s">
        <v>125</v>
      </c>
      <c r="E1105" s="4" t="s">
        <v>28</v>
      </c>
      <c r="F1105" s="5" t="n">
        <v>28478.03</v>
      </c>
      <c r="G1105" s="6" t="n">
        <v>0</v>
      </c>
      <c r="H1105" s="5" t="n">
        <v>0</v>
      </c>
      <c r="I1105" s="5" t="n">
        <v>28478.03</v>
      </c>
    </row>
    <row r="1106" customFormat="false" ht="15" hidden="false" customHeight="false" outlineLevel="0" collapsed="false">
      <c r="A1106" s="4" t="s">
        <v>1448</v>
      </c>
      <c r="B1106" s="4" t="s">
        <v>120</v>
      </c>
      <c r="C1106" s="4" t="s">
        <v>1380</v>
      </c>
      <c r="D1106" s="4" t="s">
        <v>130</v>
      </c>
      <c r="E1106" s="4" t="s">
        <v>46</v>
      </c>
      <c r="F1106" s="5" t="n">
        <v>9127.75</v>
      </c>
      <c r="G1106" s="6" t="n">
        <v>0</v>
      </c>
      <c r="H1106" s="5" t="n">
        <v>0</v>
      </c>
      <c r="I1106" s="5" t="n">
        <v>9127.75</v>
      </c>
    </row>
    <row r="1107" customFormat="false" ht="15" hidden="false" customHeight="false" outlineLevel="0" collapsed="false">
      <c r="A1107" s="4" t="s">
        <v>1449</v>
      </c>
      <c r="B1107" s="4" t="s">
        <v>120</v>
      </c>
      <c r="C1107" s="4" t="s">
        <v>1378</v>
      </c>
      <c r="D1107" s="4" t="s">
        <v>125</v>
      </c>
      <c r="E1107" s="4" t="s">
        <v>21</v>
      </c>
      <c r="F1107" s="5" t="n">
        <v>30274.62</v>
      </c>
      <c r="G1107" s="6" t="n">
        <v>0.05</v>
      </c>
      <c r="H1107" s="5" t="n">
        <v>1513.73</v>
      </c>
      <c r="I1107" s="5" t="n">
        <v>31788.35</v>
      </c>
    </row>
    <row r="1108" customFormat="false" ht="15" hidden="false" customHeight="false" outlineLevel="0" collapsed="false">
      <c r="A1108" s="4" t="s">
        <v>1450</v>
      </c>
      <c r="B1108" s="4" t="s">
        <v>120</v>
      </c>
      <c r="C1108" s="4" t="s">
        <v>1358</v>
      </c>
      <c r="D1108" s="4" t="s">
        <v>127</v>
      </c>
      <c r="E1108" s="4" t="s">
        <v>21</v>
      </c>
      <c r="F1108" s="5" t="n">
        <v>23043.56</v>
      </c>
      <c r="G1108" s="6" t="n">
        <v>0.05</v>
      </c>
      <c r="H1108" s="5" t="n">
        <v>1152.18</v>
      </c>
      <c r="I1108" s="5" t="n">
        <v>24195.74</v>
      </c>
    </row>
    <row r="1109" customFormat="false" ht="15" hidden="false" customHeight="false" outlineLevel="0" collapsed="false">
      <c r="A1109" s="4" t="s">
        <v>1451</v>
      </c>
      <c r="B1109" s="4" t="s">
        <v>120</v>
      </c>
      <c r="C1109" s="4" t="s">
        <v>1356</v>
      </c>
      <c r="D1109" s="4" t="s">
        <v>123</v>
      </c>
      <c r="E1109" s="4" t="s">
        <v>21</v>
      </c>
      <c r="F1109" s="5" t="n">
        <v>27681.67</v>
      </c>
      <c r="G1109" s="6" t="n">
        <v>0.05</v>
      </c>
      <c r="H1109" s="5" t="n">
        <v>1384.08</v>
      </c>
      <c r="I1109" s="5" t="n">
        <v>29065.75</v>
      </c>
    </row>
    <row r="1110" customFormat="false" ht="15" hidden="false" customHeight="false" outlineLevel="0" collapsed="false">
      <c r="A1110" s="4" t="s">
        <v>1452</v>
      </c>
      <c r="B1110" s="4" t="s">
        <v>120</v>
      </c>
      <c r="C1110" s="4" t="s">
        <v>1402</v>
      </c>
      <c r="D1110" s="4" t="s">
        <v>127</v>
      </c>
      <c r="E1110" s="4" t="s">
        <v>21</v>
      </c>
      <c r="F1110" s="5" t="n">
        <v>31337.14</v>
      </c>
      <c r="G1110" s="6" t="n">
        <v>0.05</v>
      </c>
      <c r="H1110" s="5" t="n">
        <v>1566.86</v>
      </c>
      <c r="I1110" s="5" t="n">
        <v>32904</v>
      </c>
    </row>
    <row r="1111" customFormat="false" ht="15" hidden="false" customHeight="false" outlineLevel="0" collapsed="false">
      <c r="A1111" s="4" t="s">
        <v>1453</v>
      </c>
      <c r="B1111" s="4" t="s">
        <v>120</v>
      </c>
      <c r="C1111" s="4" t="s">
        <v>1384</v>
      </c>
      <c r="D1111" s="4" t="s">
        <v>123</v>
      </c>
      <c r="E1111" s="4" t="s">
        <v>21</v>
      </c>
      <c r="F1111" s="5" t="n">
        <v>8430.13</v>
      </c>
      <c r="G1111" s="6" t="n">
        <v>0.05</v>
      </c>
      <c r="H1111" s="5" t="n">
        <v>421.51</v>
      </c>
      <c r="I1111" s="5" t="n">
        <v>8851.64</v>
      </c>
    </row>
    <row r="1112" customFormat="false" ht="15" hidden="false" customHeight="false" outlineLevel="0" collapsed="false">
      <c r="A1112" s="4" t="s">
        <v>1454</v>
      </c>
      <c r="B1112" s="4" t="s">
        <v>120</v>
      </c>
      <c r="C1112" s="4" t="s">
        <v>1386</v>
      </c>
      <c r="D1112" s="4" t="s">
        <v>125</v>
      </c>
      <c r="E1112" s="4" t="s">
        <v>21</v>
      </c>
      <c r="F1112" s="5" t="n">
        <v>26738.61</v>
      </c>
      <c r="G1112" s="6" t="n">
        <v>0.05</v>
      </c>
      <c r="H1112" s="5" t="n">
        <v>1336.93</v>
      </c>
      <c r="I1112" s="5" t="n">
        <v>28075.54</v>
      </c>
    </row>
    <row r="1113" customFormat="false" ht="15" hidden="false" customHeight="false" outlineLevel="0" collapsed="false">
      <c r="A1113" s="4" t="s">
        <v>1455</v>
      </c>
      <c r="B1113" s="4" t="s">
        <v>120</v>
      </c>
      <c r="C1113" s="4" t="s">
        <v>1395</v>
      </c>
      <c r="D1113" s="4" t="s">
        <v>133</v>
      </c>
      <c r="E1113" s="4" t="s">
        <v>21</v>
      </c>
      <c r="F1113" s="5" t="n">
        <v>22635.07</v>
      </c>
      <c r="G1113" s="6" t="n">
        <v>0.05</v>
      </c>
      <c r="H1113" s="5" t="n">
        <v>1131.75</v>
      </c>
      <c r="I1113" s="5" t="n">
        <v>23766.82</v>
      </c>
    </row>
    <row r="1114" customFormat="false" ht="15" hidden="false" customHeight="false" outlineLevel="0" collapsed="false">
      <c r="A1114" s="4" t="s">
        <v>1456</v>
      </c>
      <c r="B1114" s="4" t="s">
        <v>120</v>
      </c>
      <c r="C1114" s="4" t="s">
        <v>1436</v>
      </c>
      <c r="D1114" s="4" t="s">
        <v>121</v>
      </c>
      <c r="E1114" s="4" t="s">
        <v>21</v>
      </c>
      <c r="F1114" s="5" t="n">
        <v>5807.13</v>
      </c>
      <c r="G1114" s="6" t="n">
        <v>0.05</v>
      </c>
      <c r="H1114" s="5" t="n">
        <v>290.36</v>
      </c>
      <c r="I1114" s="5" t="n">
        <v>6097.49</v>
      </c>
    </row>
    <row r="1115" customFormat="false" ht="15" hidden="false" customHeight="false" outlineLevel="0" collapsed="false">
      <c r="A1115" s="4" t="s">
        <v>1457</v>
      </c>
      <c r="B1115" s="4" t="s">
        <v>120</v>
      </c>
      <c r="C1115" s="4" t="s">
        <v>1402</v>
      </c>
      <c r="D1115" s="4" t="s">
        <v>146</v>
      </c>
      <c r="E1115" s="4" t="s">
        <v>28</v>
      </c>
      <c r="F1115" s="5" t="n">
        <v>26476.38</v>
      </c>
      <c r="G1115" s="6" t="n">
        <v>0</v>
      </c>
      <c r="H1115" s="5" t="n">
        <v>0</v>
      </c>
      <c r="I1115" s="5" t="n">
        <v>26476.38</v>
      </c>
    </row>
    <row r="1116" customFormat="false" ht="15" hidden="false" customHeight="false" outlineLevel="0" collapsed="false">
      <c r="A1116" s="4" t="s">
        <v>1458</v>
      </c>
      <c r="B1116" s="4" t="s">
        <v>120</v>
      </c>
      <c r="C1116" s="4" t="s">
        <v>1360</v>
      </c>
      <c r="D1116" s="4" t="s">
        <v>123</v>
      </c>
      <c r="E1116" s="4" t="s">
        <v>28</v>
      </c>
      <c r="F1116" s="5" t="n">
        <v>9593.5</v>
      </c>
      <c r="G1116" s="6" t="n">
        <v>0</v>
      </c>
      <c r="H1116" s="5" t="n">
        <v>0</v>
      </c>
      <c r="I1116" s="5" t="n">
        <v>9593.5</v>
      </c>
    </row>
    <row r="1117" customFormat="false" ht="15" hidden="false" customHeight="false" outlineLevel="0" collapsed="false">
      <c r="A1117" s="4" t="s">
        <v>1459</v>
      </c>
      <c r="B1117" s="4" t="s">
        <v>120</v>
      </c>
      <c r="C1117" s="4" t="s">
        <v>1436</v>
      </c>
      <c r="D1117" s="4" t="s">
        <v>149</v>
      </c>
      <c r="E1117" s="4" t="s">
        <v>28</v>
      </c>
      <c r="F1117" s="5" t="n">
        <v>33739.29</v>
      </c>
      <c r="G1117" s="6" t="n">
        <v>0</v>
      </c>
      <c r="H1117" s="5" t="n">
        <v>0</v>
      </c>
      <c r="I1117" s="5" t="n">
        <v>33739.29</v>
      </c>
    </row>
    <row r="1118" customFormat="false" ht="15" hidden="false" customHeight="false" outlineLevel="0" collapsed="false">
      <c r="A1118" s="4" t="s">
        <v>1460</v>
      </c>
      <c r="B1118" s="4" t="s">
        <v>120</v>
      </c>
      <c r="C1118" s="4" t="s">
        <v>1461</v>
      </c>
      <c r="D1118" s="4" t="s">
        <v>130</v>
      </c>
      <c r="E1118" s="4" t="s">
        <v>21</v>
      </c>
      <c r="F1118" s="5" t="n">
        <v>20317.02</v>
      </c>
      <c r="G1118" s="6" t="n">
        <v>0.05</v>
      </c>
      <c r="H1118" s="5" t="n">
        <v>1015.85</v>
      </c>
      <c r="I1118" s="5" t="n">
        <v>21332.87</v>
      </c>
    </row>
    <row r="1119" customFormat="false" ht="15" hidden="false" customHeight="false" outlineLevel="0" collapsed="false">
      <c r="A1119" s="4" t="s">
        <v>1462</v>
      </c>
      <c r="B1119" s="4" t="s">
        <v>120</v>
      </c>
      <c r="C1119" s="4" t="s">
        <v>1436</v>
      </c>
      <c r="D1119" s="4" t="s">
        <v>149</v>
      </c>
      <c r="E1119" s="4" t="s">
        <v>21</v>
      </c>
      <c r="F1119" s="5" t="n">
        <v>22924.68</v>
      </c>
      <c r="G1119" s="6" t="n">
        <v>0.05</v>
      </c>
      <c r="H1119" s="5" t="n">
        <v>1146.23</v>
      </c>
      <c r="I1119" s="5" t="n">
        <v>24070.91</v>
      </c>
    </row>
    <row r="1120" customFormat="false" ht="15" hidden="false" customHeight="false" outlineLevel="0" collapsed="false">
      <c r="A1120" s="4" t="s">
        <v>1463</v>
      </c>
      <c r="B1120" s="4" t="s">
        <v>120</v>
      </c>
      <c r="C1120" s="4" t="s">
        <v>1408</v>
      </c>
      <c r="D1120" s="4" t="s">
        <v>121</v>
      </c>
      <c r="E1120" s="4" t="s">
        <v>21</v>
      </c>
      <c r="F1120" s="5" t="n">
        <v>15835.46</v>
      </c>
      <c r="G1120" s="6" t="n">
        <v>0.05</v>
      </c>
      <c r="H1120" s="5" t="n">
        <v>791.77</v>
      </c>
      <c r="I1120" s="5" t="n">
        <v>16627.23</v>
      </c>
    </row>
    <row r="1121" customFormat="false" ht="15" hidden="false" customHeight="false" outlineLevel="0" collapsed="false">
      <c r="A1121" s="4" t="s">
        <v>1464</v>
      </c>
      <c r="B1121" s="4" t="s">
        <v>120</v>
      </c>
      <c r="C1121" s="4" t="s">
        <v>1378</v>
      </c>
      <c r="D1121" s="4" t="s">
        <v>130</v>
      </c>
      <c r="E1121" s="4" t="s">
        <v>21</v>
      </c>
      <c r="F1121" s="5" t="n">
        <v>13051.75</v>
      </c>
      <c r="G1121" s="6" t="n">
        <v>0.05</v>
      </c>
      <c r="H1121" s="5" t="n">
        <v>652.59</v>
      </c>
      <c r="I1121" s="5" t="n">
        <v>13704.34</v>
      </c>
    </row>
    <row r="1122" customFormat="false" ht="15" hidden="false" customHeight="false" outlineLevel="0" collapsed="false">
      <c r="A1122" s="4" t="s">
        <v>1465</v>
      </c>
      <c r="B1122" s="4" t="s">
        <v>120</v>
      </c>
      <c r="C1122" s="4" t="s">
        <v>1376</v>
      </c>
      <c r="D1122" s="4" t="s">
        <v>144</v>
      </c>
      <c r="E1122" s="4" t="s">
        <v>21</v>
      </c>
      <c r="F1122" s="5" t="n">
        <v>15757.44</v>
      </c>
      <c r="G1122" s="6" t="n">
        <v>0.05</v>
      </c>
      <c r="H1122" s="5" t="n">
        <v>787.87</v>
      </c>
      <c r="I1122" s="5" t="n">
        <v>16545.31</v>
      </c>
    </row>
    <row r="1123" customFormat="false" ht="15" hidden="false" customHeight="false" outlineLevel="0" collapsed="false">
      <c r="A1123" s="4" t="s">
        <v>1466</v>
      </c>
      <c r="B1123" s="4" t="s">
        <v>120</v>
      </c>
      <c r="C1123" s="4" t="s">
        <v>1376</v>
      </c>
      <c r="D1123" s="4" t="s">
        <v>133</v>
      </c>
      <c r="E1123" s="4" t="s">
        <v>21</v>
      </c>
      <c r="F1123" s="5" t="n">
        <v>19738.05</v>
      </c>
      <c r="G1123" s="6" t="n">
        <v>0.05</v>
      </c>
      <c r="H1123" s="5" t="n">
        <v>986.9</v>
      </c>
      <c r="I1123" s="5" t="n">
        <v>20724.95</v>
      </c>
    </row>
    <row r="1124" customFormat="false" ht="15" hidden="false" customHeight="false" outlineLevel="0" collapsed="false">
      <c r="A1124" s="4" t="s">
        <v>1467</v>
      </c>
      <c r="B1124" s="4" t="s">
        <v>120</v>
      </c>
      <c r="C1124" s="4" t="s">
        <v>1425</v>
      </c>
      <c r="D1124" s="4" t="s">
        <v>144</v>
      </c>
      <c r="E1124" s="4" t="s">
        <v>21</v>
      </c>
      <c r="F1124" s="5" t="n">
        <v>12508.67</v>
      </c>
      <c r="G1124" s="6" t="n">
        <v>0.05</v>
      </c>
      <c r="H1124" s="5" t="n">
        <v>625.43</v>
      </c>
      <c r="I1124" s="5" t="n">
        <v>13134.1</v>
      </c>
    </row>
    <row r="1125" customFormat="false" ht="15" hidden="false" customHeight="false" outlineLevel="0" collapsed="false">
      <c r="A1125" s="4" t="s">
        <v>1468</v>
      </c>
      <c r="B1125" s="4" t="s">
        <v>120</v>
      </c>
      <c r="C1125" s="4" t="s">
        <v>1354</v>
      </c>
      <c r="D1125" s="4" t="s">
        <v>125</v>
      </c>
      <c r="E1125" s="4" t="s">
        <v>21</v>
      </c>
      <c r="F1125" s="5" t="n">
        <v>26613.42</v>
      </c>
      <c r="G1125" s="6" t="n">
        <v>0.05</v>
      </c>
      <c r="H1125" s="5" t="n">
        <v>1330.67</v>
      </c>
      <c r="I1125" s="5" t="n">
        <v>27944.09</v>
      </c>
    </row>
    <row r="1126" customFormat="false" ht="15" hidden="false" customHeight="false" outlineLevel="0" collapsed="false">
      <c r="A1126" s="4" t="s">
        <v>1469</v>
      </c>
      <c r="B1126" s="4" t="s">
        <v>120</v>
      </c>
      <c r="C1126" s="4" t="s">
        <v>1406</v>
      </c>
      <c r="D1126" s="4" t="s">
        <v>125</v>
      </c>
      <c r="E1126" s="4" t="s">
        <v>46</v>
      </c>
      <c r="F1126" s="5" t="n">
        <v>18290.07</v>
      </c>
      <c r="G1126" s="6" t="n">
        <v>0</v>
      </c>
      <c r="H1126" s="5" t="n">
        <v>0</v>
      </c>
      <c r="I1126" s="5" t="n">
        <v>18290.07</v>
      </c>
    </row>
    <row r="1127" customFormat="false" ht="15" hidden="false" customHeight="false" outlineLevel="0" collapsed="false">
      <c r="A1127" s="4" t="s">
        <v>1470</v>
      </c>
      <c r="B1127" s="4" t="s">
        <v>120</v>
      </c>
      <c r="C1127" s="4" t="s">
        <v>1352</v>
      </c>
      <c r="D1127" s="4" t="s">
        <v>130</v>
      </c>
      <c r="E1127" s="4" t="s">
        <v>46</v>
      </c>
      <c r="F1127" s="5" t="n">
        <v>8973.4</v>
      </c>
      <c r="G1127" s="6" t="n">
        <v>0</v>
      </c>
      <c r="H1127" s="5" t="n">
        <v>0</v>
      </c>
      <c r="I1127" s="5" t="n">
        <v>8973.4</v>
      </c>
    </row>
    <row r="1128" customFormat="false" ht="15" hidden="false" customHeight="false" outlineLevel="0" collapsed="false">
      <c r="A1128" s="4" t="s">
        <v>1471</v>
      </c>
      <c r="B1128" s="4" t="s">
        <v>120</v>
      </c>
      <c r="C1128" s="4" t="s">
        <v>1393</v>
      </c>
      <c r="D1128" s="4" t="s">
        <v>144</v>
      </c>
      <c r="E1128" s="4" t="s">
        <v>28</v>
      </c>
      <c r="F1128" s="5" t="n">
        <v>41669.86</v>
      </c>
      <c r="G1128" s="6" t="n">
        <v>0</v>
      </c>
      <c r="H1128" s="5" t="n">
        <v>0</v>
      </c>
      <c r="I1128" s="5" t="n">
        <v>41669.86</v>
      </c>
    </row>
    <row r="1129" customFormat="false" ht="15" hidden="false" customHeight="false" outlineLevel="0" collapsed="false">
      <c r="A1129" s="4" t="s">
        <v>1472</v>
      </c>
      <c r="B1129" s="4" t="s">
        <v>120</v>
      </c>
      <c r="C1129" s="4" t="s">
        <v>1354</v>
      </c>
      <c r="D1129" s="4" t="s">
        <v>149</v>
      </c>
      <c r="E1129" s="4" t="s">
        <v>21</v>
      </c>
      <c r="F1129" s="5" t="n">
        <v>9669.36</v>
      </c>
      <c r="G1129" s="6" t="n">
        <v>0.05</v>
      </c>
      <c r="H1129" s="5" t="n">
        <v>483.47</v>
      </c>
      <c r="I1129" s="5" t="n">
        <v>10152.83</v>
      </c>
    </row>
    <row r="1130" customFormat="false" ht="15" hidden="false" customHeight="false" outlineLevel="0" collapsed="false">
      <c r="A1130" s="4" t="s">
        <v>1473</v>
      </c>
      <c r="B1130" s="4" t="s">
        <v>120</v>
      </c>
      <c r="C1130" s="4" t="s">
        <v>1376</v>
      </c>
      <c r="D1130" s="4" t="s">
        <v>149</v>
      </c>
      <c r="E1130" s="4" t="s">
        <v>46</v>
      </c>
      <c r="F1130" s="5" t="n">
        <v>19953.09</v>
      </c>
      <c r="G1130" s="6" t="n">
        <v>0</v>
      </c>
      <c r="H1130" s="5" t="n">
        <v>0</v>
      </c>
      <c r="I1130" s="5" t="n">
        <v>19953.09</v>
      </c>
    </row>
    <row r="1131" customFormat="false" ht="15" hidden="false" customHeight="false" outlineLevel="0" collapsed="false">
      <c r="A1131" s="4" t="s">
        <v>1474</v>
      </c>
      <c r="B1131" s="4" t="s">
        <v>120</v>
      </c>
      <c r="C1131" s="4" t="s">
        <v>1363</v>
      </c>
      <c r="D1131" s="4" t="s">
        <v>133</v>
      </c>
      <c r="E1131" s="4" t="s">
        <v>21</v>
      </c>
      <c r="F1131" s="5" t="n">
        <v>28625.36</v>
      </c>
      <c r="G1131" s="6" t="n">
        <v>0.05</v>
      </c>
      <c r="H1131" s="5" t="n">
        <v>1431.27</v>
      </c>
      <c r="I1131" s="5" t="n">
        <v>30056.63</v>
      </c>
    </row>
    <row r="1132" customFormat="false" ht="15" hidden="false" customHeight="false" outlineLevel="0" collapsed="false">
      <c r="A1132" s="4" t="s">
        <v>1475</v>
      </c>
      <c r="B1132" s="4" t="s">
        <v>120</v>
      </c>
      <c r="C1132" s="4" t="s">
        <v>1360</v>
      </c>
      <c r="D1132" s="4" t="s">
        <v>130</v>
      </c>
      <c r="E1132" s="4" t="s">
        <v>21</v>
      </c>
      <c r="F1132" s="5" t="n">
        <v>10377.93</v>
      </c>
      <c r="G1132" s="6" t="n">
        <v>0.05</v>
      </c>
      <c r="H1132" s="5" t="n">
        <v>518.9</v>
      </c>
      <c r="I1132" s="5" t="n">
        <v>10896.83</v>
      </c>
    </row>
    <row r="1133" customFormat="false" ht="15" hidden="false" customHeight="false" outlineLevel="0" collapsed="false">
      <c r="A1133" s="4" t="s">
        <v>1476</v>
      </c>
      <c r="B1133" s="4" t="s">
        <v>120</v>
      </c>
      <c r="C1133" s="4" t="s">
        <v>1358</v>
      </c>
      <c r="D1133" s="4" t="s">
        <v>149</v>
      </c>
      <c r="E1133" s="4" t="s">
        <v>28</v>
      </c>
      <c r="F1133" s="5" t="n">
        <v>16026.43</v>
      </c>
      <c r="G1133" s="6" t="n">
        <v>0</v>
      </c>
      <c r="H1133" s="5" t="n">
        <v>0</v>
      </c>
      <c r="I1133" s="5" t="n">
        <v>16026.43</v>
      </c>
    </row>
    <row r="1134" customFormat="false" ht="15" hidden="false" customHeight="false" outlineLevel="0" collapsed="false">
      <c r="A1134" s="4" t="s">
        <v>1477</v>
      </c>
      <c r="B1134" s="4" t="s">
        <v>120</v>
      </c>
      <c r="C1134" s="4" t="s">
        <v>1384</v>
      </c>
      <c r="D1134" s="4" t="s">
        <v>121</v>
      </c>
      <c r="E1134" s="4" t="s">
        <v>21</v>
      </c>
      <c r="F1134" s="5" t="n">
        <v>33611.51</v>
      </c>
      <c r="G1134" s="6" t="n">
        <v>0.05</v>
      </c>
      <c r="H1134" s="5" t="n">
        <v>1680.58</v>
      </c>
      <c r="I1134" s="5" t="n">
        <v>35292.09</v>
      </c>
    </row>
    <row r="1135" customFormat="false" ht="15" hidden="false" customHeight="false" outlineLevel="0" collapsed="false">
      <c r="A1135" s="4" t="s">
        <v>1478</v>
      </c>
      <c r="B1135" s="4" t="s">
        <v>120</v>
      </c>
      <c r="C1135" s="4" t="s">
        <v>1402</v>
      </c>
      <c r="D1135" s="4" t="s">
        <v>155</v>
      </c>
      <c r="E1135" s="4" t="s">
        <v>21</v>
      </c>
      <c r="F1135" s="5" t="n">
        <v>5802.32</v>
      </c>
      <c r="G1135" s="6" t="n">
        <v>0.05</v>
      </c>
      <c r="H1135" s="5" t="n">
        <v>290.12</v>
      </c>
      <c r="I1135" s="5" t="n">
        <v>6092.44</v>
      </c>
    </row>
    <row r="1136" customFormat="false" ht="15" hidden="false" customHeight="false" outlineLevel="0" collapsed="false">
      <c r="A1136" s="4" t="s">
        <v>1479</v>
      </c>
      <c r="B1136" s="4" t="s">
        <v>120</v>
      </c>
      <c r="C1136" s="4" t="s">
        <v>1352</v>
      </c>
      <c r="D1136" s="4" t="s">
        <v>121</v>
      </c>
      <c r="E1136" s="4" t="s">
        <v>21</v>
      </c>
      <c r="F1136" s="5" t="n">
        <v>18527.66</v>
      </c>
      <c r="G1136" s="6" t="n">
        <v>0.05</v>
      </c>
      <c r="H1136" s="5" t="n">
        <v>926.38</v>
      </c>
      <c r="I1136" s="5" t="n">
        <v>19454.04</v>
      </c>
    </row>
    <row r="1137" customFormat="false" ht="15" hidden="false" customHeight="false" outlineLevel="0" collapsed="false">
      <c r="A1137" s="4" t="s">
        <v>1480</v>
      </c>
      <c r="B1137" s="4" t="s">
        <v>18</v>
      </c>
      <c r="C1137" s="4" t="s">
        <v>1481</v>
      </c>
      <c r="D1137" s="4" t="s">
        <v>88</v>
      </c>
      <c r="E1137" s="4" t="s">
        <v>21</v>
      </c>
      <c r="F1137" s="5" t="n">
        <v>62048.58</v>
      </c>
      <c r="G1137" s="6" t="n">
        <v>0.05</v>
      </c>
      <c r="H1137" s="5" t="n">
        <v>3102.43</v>
      </c>
      <c r="I1137" s="5" t="n">
        <v>65151.01</v>
      </c>
    </row>
    <row r="1138" customFormat="false" ht="15" hidden="false" customHeight="false" outlineLevel="0" collapsed="false">
      <c r="A1138" s="4" t="s">
        <v>1482</v>
      </c>
      <c r="B1138" s="4" t="s">
        <v>18</v>
      </c>
      <c r="C1138" s="4" t="s">
        <v>1483</v>
      </c>
      <c r="D1138" s="4" t="s">
        <v>86</v>
      </c>
      <c r="E1138" s="4" t="s">
        <v>21</v>
      </c>
      <c r="F1138" s="5" t="n">
        <v>62807.14</v>
      </c>
      <c r="G1138" s="6" t="n">
        <v>0.05</v>
      </c>
      <c r="H1138" s="5" t="n">
        <v>3140.36</v>
      </c>
      <c r="I1138" s="5" t="n">
        <v>65947.5</v>
      </c>
    </row>
    <row r="1139" customFormat="false" ht="15" hidden="false" customHeight="false" outlineLevel="0" collapsed="false">
      <c r="A1139" s="4" t="s">
        <v>1484</v>
      </c>
      <c r="B1139" s="4" t="s">
        <v>18</v>
      </c>
      <c r="C1139" s="4" t="s">
        <v>1485</v>
      </c>
      <c r="D1139" s="4" t="s">
        <v>27</v>
      </c>
      <c r="E1139" s="4" t="s">
        <v>28</v>
      </c>
      <c r="F1139" s="5" t="n">
        <v>41997.15</v>
      </c>
      <c r="G1139" s="6" t="n">
        <v>0</v>
      </c>
      <c r="H1139" s="5" t="n">
        <v>0</v>
      </c>
      <c r="I1139" s="5" t="n">
        <v>41997.15</v>
      </c>
    </row>
    <row r="1140" customFormat="false" ht="15" hidden="false" customHeight="false" outlineLevel="0" collapsed="false">
      <c r="A1140" s="4" t="s">
        <v>1486</v>
      </c>
      <c r="B1140" s="4" t="s">
        <v>18</v>
      </c>
      <c r="C1140" s="4" t="s">
        <v>1487</v>
      </c>
      <c r="D1140" s="4" t="s">
        <v>45</v>
      </c>
      <c r="E1140" s="4" t="s">
        <v>21</v>
      </c>
      <c r="F1140" s="5" t="n">
        <v>79424.27</v>
      </c>
      <c r="G1140" s="6" t="n">
        <v>0.05</v>
      </c>
      <c r="H1140" s="5" t="n">
        <v>3971.21</v>
      </c>
      <c r="I1140" s="5" t="n">
        <v>83395.48</v>
      </c>
    </row>
    <row r="1141" customFormat="false" ht="15" hidden="false" customHeight="false" outlineLevel="0" collapsed="false">
      <c r="A1141" s="4" t="s">
        <v>1488</v>
      </c>
      <c r="B1141" s="4" t="s">
        <v>18</v>
      </c>
      <c r="C1141" s="4" t="s">
        <v>1489</v>
      </c>
      <c r="D1141" s="4" t="s">
        <v>31</v>
      </c>
      <c r="E1141" s="4" t="s">
        <v>28</v>
      </c>
      <c r="F1141" s="5" t="n">
        <v>42999.16</v>
      </c>
      <c r="G1141" s="6" t="n">
        <v>0</v>
      </c>
      <c r="H1141" s="5" t="n">
        <v>0</v>
      </c>
      <c r="I1141" s="5" t="n">
        <v>42999.16</v>
      </c>
    </row>
    <row r="1142" customFormat="false" ht="15" hidden="false" customHeight="false" outlineLevel="0" collapsed="false">
      <c r="A1142" s="4" t="s">
        <v>1490</v>
      </c>
      <c r="B1142" s="4" t="s">
        <v>18</v>
      </c>
      <c r="C1142" s="4" t="s">
        <v>1491</v>
      </c>
      <c r="D1142" s="4" t="s">
        <v>88</v>
      </c>
      <c r="E1142" s="4" t="s">
        <v>46</v>
      </c>
      <c r="F1142" s="5" t="n">
        <v>36612.11</v>
      </c>
      <c r="G1142" s="6" t="n">
        <v>0</v>
      </c>
      <c r="H1142" s="5" t="n">
        <v>0</v>
      </c>
      <c r="I1142" s="5" t="n">
        <v>36612.11</v>
      </c>
    </row>
    <row r="1143" customFormat="false" ht="15" hidden="false" customHeight="false" outlineLevel="0" collapsed="false">
      <c r="A1143" s="4" t="s">
        <v>1492</v>
      </c>
      <c r="B1143" s="4" t="s">
        <v>18</v>
      </c>
      <c r="C1143" s="4" t="s">
        <v>1493</v>
      </c>
      <c r="D1143" s="4" t="s">
        <v>37</v>
      </c>
      <c r="E1143" s="4" t="s">
        <v>21</v>
      </c>
      <c r="F1143" s="5" t="n">
        <v>25031.1</v>
      </c>
      <c r="G1143" s="6" t="n">
        <v>0.05</v>
      </c>
      <c r="H1143" s="5" t="n">
        <v>1251.56</v>
      </c>
      <c r="I1143" s="5" t="n">
        <v>26282.66</v>
      </c>
    </row>
    <row r="1144" customFormat="false" ht="15" hidden="false" customHeight="false" outlineLevel="0" collapsed="false">
      <c r="A1144" s="4" t="s">
        <v>1494</v>
      </c>
      <c r="B1144" s="4" t="s">
        <v>18</v>
      </c>
      <c r="C1144" s="4" t="s">
        <v>1495</v>
      </c>
      <c r="D1144" s="4" t="s">
        <v>20</v>
      </c>
      <c r="E1144" s="4" t="s">
        <v>21</v>
      </c>
      <c r="F1144" s="5" t="n">
        <v>17343.91</v>
      </c>
      <c r="G1144" s="6" t="n">
        <v>0.05</v>
      </c>
      <c r="H1144" s="5" t="n">
        <v>867.2</v>
      </c>
      <c r="I1144" s="5" t="n">
        <v>18211.11</v>
      </c>
    </row>
    <row r="1145" customFormat="false" ht="15" hidden="false" customHeight="false" outlineLevel="0" collapsed="false">
      <c r="A1145" s="4" t="s">
        <v>1496</v>
      </c>
      <c r="B1145" s="4" t="s">
        <v>18</v>
      </c>
      <c r="C1145" s="4" t="s">
        <v>1493</v>
      </c>
      <c r="D1145" s="4" t="s">
        <v>24</v>
      </c>
      <c r="E1145" s="4" t="s">
        <v>21</v>
      </c>
      <c r="F1145" s="5" t="n">
        <v>17896.06</v>
      </c>
      <c r="G1145" s="6" t="n">
        <v>0.05</v>
      </c>
      <c r="H1145" s="5" t="n">
        <v>894.8</v>
      </c>
      <c r="I1145" s="5" t="n">
        <v>18790.86</v>
      </c>
    </row>
    <row r="1146" customFormat="false" ht="15" hidden="false" customHeight="false" outlineLevel="0" collapsed="false">
      <c r="A1146" s="4" t="s">
        <v>1497</v>
      </c>
      <c r="B1146" s="4" t="s">
        <v>18</v>
      </c>
      <c r="C1146" s="4" t="s">
        <v>1483</v>
      </c>
      <c r="D1146" s="4" t="s">
        <v>78</v>
      </c>
      <c r="E1146" s="4" t="s">
        <v>46</v>
      </c>
      <c r="F1146" s="5" t="n">
        <v>73102.9</v>
      </c>
      <c r="G1146" s="6" t="n">
        <v>0</v>
      </c>
      <c r="H1146" s="5" t="n">
        <v>0</v>
      </c>
      <c r="I1146" s="5" t="n">
        <v>73102.9</v>
      </c>
    </row>
    <row r="1147" customFormat="false" ht="15" hidden="false" customHeight="false" outlineLevel="0" collapsed="false">
      <c r="A1147" s="4" t="s">
        <v>1498</v>
      </c>
      <c r="B1147" s="4" t="s">
        <v>18</v>
      </c>
      <c r="C1147" s="4" t="s">
        <v>1487</v>
      </c>
      <c r="D1147" s="4" t="s">
        <v>62</v>
      </c>
      <c r="E1147" s="4" t="s">
        <v>28</v>
      </c>
      <c r="F1147" s="5" t="n">
        <v>30841.03</v>
      </c>
      <c r="G1147" s="6" t="n">
        <v>0</v>
      </c>
      <c r="H1147" s="5" t="n">
        <v>0</v>
      </c>
      <c r="I1147" s="5" t="n">
        <v>30841.03</v>
      </c>
    </row>
    <row r="1148" customFormat="false" ht="15" hidden="false" customHeight="false" outlineLevel="0" collapsed="false">
      <c r="A1148" s="4" t="s">
        <v>1499</v>
      </c>
      <c r="B1148" s="4" t="s">
        <v>18</v>
      </c>
      <c r="C1148" s="4" t="s">
        <v>1491</v>
      </c>
      <c r="D1148" s="4" t="s">
        <v>31</v>
      </c>
      <c r="E1148" s="4" t="s">
        <v>21</v>
      </c>
      <c r="F1148" s="5" t="n">
        <v>24734.54</v>
      </c>
      <c r="G1148" s="6" t="n">
        <v>0.05</v>
      </c>
      <c r="H1148" s="5" t="n">
        <v>1236.73</v>
      </c>
      <c r="I1148" s="5" t="n">
        <v>25971.27</v>
      </c>
    </row>
    <row r="1149" customFormat="false" ht="15" hidden="false" customHeight="false" outlineLevel="0" collapsed="false">
      <c r="A1149" s="4" t="s">
        <v>1500</v>
      </c>
      <c r="B1149" s="4" t="s">
        <v>18</v>
      </c>
      <c r="C1149" s="4" t="s">
        <v>1491</v>
      </c>
      <c r="D1149" s="4" t="s">
        <v>27</v>
      </c>
      <c r="E1149" s="4" t="s">
        <v>46</v>
      </c>
      <c r="F1149" s="5" t="n">
        <v>34650.34</v>
      </c>
      <c r="G1149" s="6" t="n">
        <v>0</v>
      </c>
      <c r="H1149" s="5" t="n">
        <v>0</v>
      </c>
      <c r="I1149" s="5" t="n">
        <v>34650.34</v>
      </c>
    </row>
    <row r="1150" customFormat="false" ht="15" hidden="false" customHeight="false" outlineLevel="0" collapsed="false">
      <c r="A1150" s="4" t="s">
        <v>1501</v>
      </c>
      <c r="B1150" s="4" t="s">
        <v>18</v>
      </c>
      <c r="C1150" s="4" t="s">
        <v>1487</v>
      </c>
      <c r="D1150" s="4" t="s">
        <v>27</v>
      </c>
      <c r="E1150" s="4" t="s">
        <v>21</v>
      </c>
      <c r="F1150" s="5" t="n">
        <v>22296.7</v>
      </c>
      <c r="G1150" s="6" t="n">
        <v>0.05</v>
      </c>
      <c r="H1150" s="5" t="n">
        <v>1114.84</v>
      </c>
      <c r="I1150" s="5" t="n">
        <v>23411.54</v>
      </c>
    </row>
    <row r="1151" customFormat="false" ht="15" hidden="false" customHeight="false" outlineLevel="0" collapsed="false">
      <c r="A1151" s="4" t="s">
        <v>1502</v>
      </c>
      <c r="B1151" s="4" t="s">
        <v>18</v>
      </c>
      <c r="C1151" s="4" t="s">
        <v>1503</v>
      </c>
      <c r="D1151" s="4" t="s">
        <v>78</v>
      </c>
      <c r="E1151" s="4" t="s">
        <v>21</v>
      </c>
      <c r="F1151" s="5" t="n">
        <v>75696.65</v>
      </c>
      <c r="G1151" s="6" t="n">
        <v>0.05</v>
      </c>
      <c r="H1151" s="5" t="n">
        <v>3784.83</v>
      </c>
      <c r="I1151" s="5" t="n">
        <v>79481.48</v>
      </c>
    </row>
    <row r="1152" customFormat="false" ht="15" hidden="false" customHeight="false" outlineLevel="0" collapsed="false">
      <c r="A1152" s="4" t="s">
        <v>1504</v>
      </c>
      <c r="B1152" s="4" t="s">
        <v>18</v>
      </c>
      <c r="C1152" s="4" t="s">
        <v>1505</v>
      </c>
      <c r="D1152" s="4" t="s">
        <v>24</v>
      </c>
      <c r="E1152" s="4" t="s">
        <v>21</v>
      </c>
      <c r="F1152" s="5" t="n">
        <v>43628.66</v>
      </c>
      <c r="G1152" s="6" t="n">
        <v>0.05</v>
      </c>
      <c r="H1152" s="5" t="n">
        <v>2181.43</v>
      </c>
      <c r="I1152" s="5" t="n">
        <v>45810.09</v>
      </c>
    </row>
    <row r="1153" customFormat="false" ht="15" hidden="false" customHeight="false" outlineLevel="0" collapsed="false">
      <c r="A1153" s="4" t="s">
        <v>1506</v>
      </c>
      <c r="B1153" s="4" t="s">
        <v>18</v>
      </c>
      <c r="C1153" s="4" t="s">
        <v>1495</v>
      </c>
      <c r="D1153" s="4" t="s">
        <v>31</v>
      </c>
      <c r="E1153" s="4" t="s">
        <v>21</v>
      </c>
      <c r="F1153" s="5" t="n">
        <v>22053.16</v>
      </c>
      <c r="G1153" s="6" t="n">
        <v>0.05</v>
      </c>
      <c r="H1153" s="5" t="n">
        <v>1102.66</v>
      </c>
      <c r="I1153" s="5" t="n">
        <v>23155.82</v>
      </c>
    </row>
    <row r="1154" customFormat="false" ht="15" hidden="false" customHeight="false" outlineLevel="0" collapsed="false">
      <c r="A1154" s="4" t="s">
        <v>1507</v>
      </c>
      <c r="B1154" s="4" t="s">
        <v>18</v>
      </c>
      <c r="C1154" s="4" t="s">
        <v>1508</v>
      </c>
      <c r="D1154" s="4" t="s">
        <v>86</v>
      </c>
      <c r="E1154" s="4" t="s">
        <v>28</v>
      </c>
      <c r="F1154" s="5" t="n">
        <v>48644.63</v>
      </c>
      <c r="G1154" s="6" t="n">
        <v>0</v>
      </c>
      <c r="H1154" s="5" t="n">
        <v>0</v>
      </c>
      <c r="I1154" s="5" t="n">
        <v>48644.63</v>
      </c>
    </row>
    <row r="1155" customFormat="false" ht="15" hidden="false" customHeight="false" outlineLevel="0" collapsed="false">
      <c r="A1155" s="4" t="s">
        <v>1509</v>
      </c>
      <c r="B1155" s="4" t="s">
        <v>18</v>
      </c>
      <c r="C1155" s="4" t="s">
        <v>1485</v>
      </c>
      <c r="D1155" s="4" t="s">
        <v>86</v>
      </c>
      <c r="E1155" s="4" t="s">
        <v>21</v>
      </c>
      <c r="F1155" s="5" t="n">
        <v>71188.11</v>
      </c>
      <c r="G1155" s="6" t="n">
        <v>0.05</v>
      </c>
      <c r="H1155" s="5" t="n">
        <v>3559.41</v>
      </c>
      <c r="I1155" s="5" t="n">
        <v>74747.52</v>
      </c>
    </row>
    <row r="1156" customFormat="false" ht="15" hidden="false" customHeight="false" outlineLevel="0" collapsed="false">
      <c r="A1156" s="4" t="s">
        <v>1510</v>
      </c>
      <c r="B1156" s="4" t="s">
        <v>18</v>
      </c>
      <c r="C1156" s="4" t="s">
        <v>1511</v>
      </c>
      <c r="D1156" s="4" t="s">
        <v>86</v>
      </c>
      <c r="E1156" s="4" t="s">
        <v>21</v>
      </c>
      <c r="F1156" s="5" t="n">
        <v>71003.42</v>
      </c>
      <c r="G1156" s="6" t="n">
        <v>0.05</v>
      </c>
      <c r="H1156" s="5" t="n">
        <v>3550.17</v>
      </c>
      <c r="I1156" s="5" t="n">
        <v>74553.59</v>
      </c>
    </row>
    <row r="1157" customFormat="false" ht="15" hidden="false" customHeight="false" outlineLevel="0" collapsed="false">
      <c r="A1157" s="4" t="s">
        <v>1512</v>
      </c>
      <c r="B1157" s="4" t="s">
        <v>18</v>
      </c>
      <c r="C1157" s="4" t="s">
        <v>1483</v>
      </c>
      <c r="D1157" s="4" t="s">
        <v>34</v>
      </c>
      <c r="E1157" s="4" t="s">
        <v>21</v>
      </c>
      <c r="F1157" s="5" t="n">
        <v>65104.77</v>
      </c>
      <c r="G1157" s="6" t="n">
        <v>0.05</v>
      </c>
      <c r="H1157" s="5" t="n">
        <v>3255.24</v>
      </c>
      <c r="I1157" s="5" t="n">
        <v>68360.01</v>
      </c>
    </row>
    <row r="1158" customFormat="false" ht="15" hidden="false" customHeight="false" outlineLevel="0" collapsed="false">
      <c r="A1158" s="4" t="s">
        <v>1513</v>
      </c>
      <c r="B1158" s="4" t="s">
        <v>18</v>
      </c>
      <c r="C1158" s="4" t="s">
        <v>1514</v>
      </c>
      <c r="D1158" s="4" t="s">
        <v>31</v>
      </c>
      <c r="E1158" s="4" t="s">
        <v>21</v>
      </c>
      <c r="F1158" s="5" t="n">
        <v>35934.09</v>
      </c>
      <c r="G1158" s="6" t="n">
        <v>0.05</v>
      </c>
      <c r="H1158" s="5" t="n">
        <v>1796.7</v>
      </c>
      <c r="I1158" s="5" t="n">
        <v>37730.79</v>
      </c>
    </row>
    <row r="1159" customFormat="false" ht="15" hidden="false" customHeight="false" outlineLevel="0" collapsed="false">
      <c r="A1159" s="4" t="s">
        <v>1515</v>
      </c>
      <c r="B1159" s="4" t="s">
        <v>18</v>
      </c>
      <c r="C1159" s="4" t="s">
        <v>1516</v>
      </c>
      <c r="D1159" s="4" t="s">
        <v>31</v>
      </c>
      <c r="E1159" s="4" t="s">
        <v>28</v>
      </c>
      <c r="F1159" s="5" t="n">
        <v>22644.79</v>
      </c>
      <c r="G1159" s="6" t="n">
        <v>0</v>
      </c>
      <c r="H1159" s="5" t="n">
        <v>0</v>
      </c>
      <c r="I1159" s="5" t="n">
        <v>22644.79</v>
      </c>
    </row>
    <row r="1160" customFormat="false" ht="15" hidden="false" customHeight="false" outlineLevel="0" collapsed="false">
      <c r="A1160" s="4" t="s">
        <v>1517</v>
      </c>
      <c r="B1160" s="4" t="s">
        <v>18</v>
      </c>
      <c r="C1160" s="4" t="s">
        <v>1518</v>
      </c>
      <c r="D1160" s="4" t="s">
        <v>45</v>
      </c>
      <c r="E1160" s="4" t="s">
        <v>21</v>
      </c>
      <c r="F1160" s="5" t="n">
        <v>19471.08</v>
      </c>
      <c r="G1160" s="6" t="n">
        <v>0.05</v>
      </c>
      <c r="H1160" s="5" t="n">
        <v>973.55</v>
      </c>
      <c r="I1160" s="5" t="n">
        <v>20444.63</v>
      </c>
    </row>
    <row r="1161" customFormat="false" ht="15" hidden="false" customHeight="false" outlineLevel="0" collapsed="false">
      <c r="A1161" s="4" t="s">
        <v>1519</v>
      </c>
      <c r="B1161" s="4" t="s">
        <v>18</v>
      </c>
      <c r="C1161" s="4" t="s">
        <v>1511</v>
      </c>
      <c r="D1161" s="4" t="s">
        <v>34</v>
      </c>
      <c r="E1161" s="4" t="s">
        <v>21</v>
      </c>
      <c r="F1161" s="5" t="n">
        <v>87549.3</v>
      </c>
      <c r="G1161" s="6" t="n">
        <v>0.05</v>
      </c>
      <c r="H1161" s="5" t="n">
        <v>4377.47</v>
      </c>
      <c r="I1161" s="5" t="n">
        <v>91926.77</v>
      </c>
    </row>
    <row r="1162" customFormat="false" ht="15" hidden="false" customHeight="false" outlineLevel="0" collapsed="false">
      <c r="A1162" s="4" t="s">
        <v>1520</v>
      </c>
      <c r="B1162" s="4" t="s">
        <v>18</v>
      </c>
      <c r="C1162" s="4" t="s">
        <v>1485</v>
      </c>
      <c r="D1162" s="4" t="s">
        <v>27</v>
      </c>
      <c r="E1162" s="4" t="s">
        <v>46</v>
      </c>
      <c r="F1162" s="5" t="n">
        <v>23458.26</v>
      </c>
      <c r="G1162" s="6" t="n">
        <v>0</v>
      </c>
      <c r="H1162" s="5" t="n">
        <v>0</v>
      </c>
      <c r="I1162" s="5" t="n">
        <v>23458.26</v>
      </c>
    </row>
    <row r="1163" customFormat="false" ht="15" hidden="false" customHeight="false" outlineLevel="0" collapsed="false">
      <c r="A1163" s="4" t="s">
        <v>1521</v>
      </c>
      <c r="B1163" s="4" t="s">
        <v>18</v>
      </c>
      <c r="C1163" s="4" t="s">
        <v>1522</v>
      </c>
      <c r="D1163" s="4" t="s">
        <v>24</v>
      </c>
      <c r="E1163" s="4" t="s">
        <v>21</v>
      </c>
      <c r="F1163" s="5" t="n">
        <v>4463.04</v>
      </c>
      <c r="G1163" s="6" t="n">
        <v>0.05</v>
      </c>
      <c r="H1163" s="5" t="n">
        <v>223.15</v>
      </c>
      <c r="I1163" s="5" t="n">
        <v>4686.19</v>
      </c>
    </row>
    <row r="1164" customFormat="false" ht="15" hidden="false" customHeight="false" outlineLevel="0" collapsed="false">
      <c r="A1164" s="4" t="s">
        <v>1523</v>
      </c>
      <c r="B1164" s="4" t="s">
        <v>18</v>
      </c>
      <c r="C1164" s="4" t="s">
        <v>1524</v>
      </c>
      <c r="D1164" s="4" t="s">
        <v>70</v>
      </c>
      <c r="E1164" s="4" t="s">
        <v>21</v>
      </c>
      <c r="F1164" s="5" t="n">
        <v>7038.06</v>
      </c>
      <c r="G1164" s="6" t="n">
        <v>0.05</v>
      </c>
      <c r="H1164" s="5" t="n">
        <v>351.9</v>
      </c>
      <c r="I1164" s="5" t="n">
        <v>7389.96</v>
      </c>
    </row>
    <row r="1165" customFormat="false" ht="15" hidden="false" customHeight="false" outlineLevel="0" collapsed="false">
      <c r="A1165" s="4" t="s">
        <v>1525</v>
      </c>
      <c r="B1165" s="4" t="s">
        <v>18</v>
      </c>
      <c r="C1165" s="4" t="s">
        <v>1514</v>
      </c>
      <c r="D1165" s="4" t="s">
        <v>27</v>
      </c>
      <c r="E1165" s="4" t="s">
        <v>28</v>
      </c>
      <c r="F1165" s="5" t="n">
        <v>51265.15</v>
      </c>
      <c r="G1165" s="6" t="n">
        <v>0</v>
      </c>
      <c r="H1165" s="5" t="n">
        <v>0</v>
      </c>
      <c r="I1165" s="5" t="n">
        <v>51265.15</v>
      </c>
    </row>
    <row r="1166" customFormat="false" ht="15" hidden="false" customHeight="false" outlineLevel="0" collapsed="false">
      <c r="A1166" s="4" t="s">
        <v>1526</v>
      </c>
      <c r="B1166" s="4" t="s">
        <v>18</v>
      </c>
      <c r="C1166" s="4" t="s">
        <v>1527</v>
      </c>
      <c r="D1166" s="4" t="s">
        <v>56</v>
      </c>
      <c r="E1166" s="4" t="s">
        <v>21</v>
      </c>
      <c r="F1166" s="5" t="n">
        <v>72048.88</v>
      </c>
      <c r="G1166" s="6" t="n">
        <v>0.05</v>
      </c>
      <c r="H1166" s="5" t="n">
        <v>3602.44</v>
      </c>
      <c r="I1166" s="5" t="n">
        <v>75651.32</v>
      </c>
    </row>
    <row r="1167" customFormat="false" ht="15" hidden="false" customHeight="false" outlineLevel="0" collapsed="false">
      <c r="A1167" s="4" t="s">
        <v>1528</v>
      </c>
      <c r="B1167" s="4" t="s">
        <v>18</v>
      </c>
      <c r="C1167" s="4" t="s">
        <v>1503</v>
      </c>
      <c r="D1167" s="4" t="s">
        <v>45</v>
      </c>
      <c r="E1167" s="4" t="s">
        <v>21</v>
      </c>
      <c r="F1167" s="5" t="n">
        <v>41614.88</v>
      </c>
      <c r="G1167" s="6" t="n">
        <v>0.05</v>
      </c>
      <c r="H1167" s="5" t="n">
        <v>2080.74</v>
      </c>
      <c r="I1167" s="5" t="n">
        <v>43695.62</v>
      </c>
    </row>
    <row r="1168" customFormat="false" ht="15" hidden="false" customHeight="false" outlineLevel="0" collapsed="false">
      <c r="A1168" s="4" t="s">
        <v>1529</v>
      </c>
      <c r="B1168" s="4" t="s">
        <v>18</v>
      </c>
      <c r="C1168" s="4" t="s">
        <v>1530</v>
      </c>
      <c r="D1168" s="4" t="s">
        <v>62</v>
      </c>
      <c r="E1168" s="4" t="s">
        <v>28</v>
      </c>
      <c r="F1168" s="5" t="n">
        <v>74393</v>
      </c>
      <c r="G1168" s="6" t="n">
        <v>0</v>
      </c>
      <c r="H1168" s="5" t="n">
        <v>0</v>
      </c>
      <c r="I1168" s="5" t="n">
        <v>74393</v>
      </c>
    </row>
    <row r="1169" customFormat="false" ht="15" hidden="false" customHeight="false" outlineLevel="0" collapsed="false">
      <c r="A1169" s="4" t="s">
        <v>1531</v>
      </c>
      <c r="B1169" s="4" t="s">
        <v>18</v>
      </c>
      <c r="C1169" s="4" t="s">
        <v>1527</v>
      </c>
      <c r="D1169" s="4" t="s">
        <v>62</v>
      </c>
      <c r="E1169" s="4" t="s">
        <v>46</v>
      </c>
      <c r="F1169" s="5" t="n">
        <v>61143.43</v>
      </c>
      <c r="G1169" s="6" t="n">
        <v>0</v>
      </c>
      <c r="H1169" s="5" t="n">
        <v>0</v>
      </c>
      <c r="I1169" s="5" t="n">
        <v>61143.43</v>
      </c>
    </row>
    <row r="1170" customFormat="false" ht="15" hidden="false" customHeight="false" outlineLevel="0" collapsed="false">
      <c r="A1170" s="4" t="s">
        <v>1532</v>
      </c>
      <c r="B1170" s="4" t="s">
        <v>18</v>
      </c>
      <c r="C1170" s="4" t="s">
        <v>1491</v>
      </c>
      <c r="D1170" s="4" t="s">
        <v>31</v>
      </c>
      <c r="E1170" s="4" t="s">
        <v>28</v>
      </c>
      <c r="F1170" s="5" t="n">
        <v>50782.92</v>
      </c>
      <c r="G1170" s="6" t="n">
        <v>0</v>
      </c>
      <c r="H1170" s="5" t="n">
        <v>0</v>
      </c>
      <c r="I1170" s="5" t="n">
        <v>50782.92</v>
      </c>
    </row>
    <row r="1171" customFormat="false" ht="15" hidden="false" customHeight="false" outlineLevel="0" collapsed="false">
      <c r="A1171" s="4" t="s">
        <v>1533</v>
      </c>
      <c r="B1171" s="4" t="s">
        <v>18</v>
      </c>
      <c r="C1171" s="4" t="s">
        <v>1534</v>
      </c>
      <c r="D1171" s="4" t="s">
        <v>78</v>
      </c>
      <c r="E1171" s="4" t="s">
        <v>21</v>
      </c>
      <c r="F1171" s="5" t="n">
        <v>12314.28</v>
      </c>
      <c r="G1171" s="6" t="n">
        <v>0.05</v>
      </c>
      <c r="H1171" s="5" t="n">
        <v>615.71</v>
      </c>
      <c r="I1171" s="5" t="n">
        <v>12929.99</v>
      </c>
    </row>
    <row r="1172" customFormat="false" ht="15" hidden="false" customHeight="false" outlineLevel="0" collapsed="false">
      <c r="A1172" s="4" t="s">
        <v>1535</v>
      </c>
      <c r="B1172" s="4" t="s">
        <v>18</v>
      </c>
      <c r="C1172" s="4" t="s">
        <v>1491</v>
      </c>
      <c r="D1172" s="4" t="s">
        <v>50</v>
      </c>
      <c r="E1172" s="4" t="s">
        <v>21</v>
      </c>
      <c r="F1172" s="5" t="n">
        <v>75607.17</v>
      </c>
      <c r="G1172" s="6" t="n">
        <v>0.05</v>
      </c>
      <c r="H1172" s="5" t="n">
        <v>3780.36</v>
      </c>
      <c r="I1172" s="5" t="n">
        <v>79387.53</v>
      </c>
    </row>
    <row r="1173" customFormat="false" ht="15" hidden="false" customHeight="false" outlineLevel="0" collapsed="false">
      <c r="A1173" s="4" t="s">
        <v>1536</v>
      </c>
      <c r="B1173" s="4" t="s">
        <v>18</v>
      </c>
      <c r="C1173" s="4" t="s">
        <v>1495</v>
      </c>
      <c r="D1173" s="4" t="s">
        <v>31</v>
      </c>
      <c r="E1173" s="4" t="s">
        <v>21</v>
      </c>
      <c r="F1173" s="5" t="n">
        <v>58551.78</v>
      </c>
      <c r="G1173" s="6" t="n">
        <v>0.05</v>
      </c>
      <c r="H1173" s="5" t="n">
        <v>2927.59</v>
      </c>
      <c r="I1173" s="5" t="n">
        <v>61479.37</v>
      </c>
    </row>
    <row r="1174" customFormat="false" ht="15" hidden="false" customHeight="false" outlineLevel="0" collapsed="false">
      <c r="A1174" s="4" t="s">
        <v>1537</v>
      </c>
      <c r="B1174" s="4" t="s">
        <v>18</v>
      </c>
      <c r="C1174" s="4" t="s">
        <v>1481</v>
      </c>
      <c r="D1174" s="4" t="s">
        <v>37</v>
      </c>
      <c r="E1174" s="4" t="s">
        <v>21</v>
      </c>
      <c r="F1174" s="5" t="n">
        <v>30629.85</v>
      </c>
      <c r="G1174" s="6" t="n">
        <v>0.05</v>
      </c>
      <c r="H1174" s="5" t="n">
        <v>1531.49</v>
      </c>
      <c r="I1174" s="5" t="n">
        <v>32161.34</v>
      </c>
    </row>
    <row r="1175" customFormat="false" ht="15" hidden="false" customHeight="false" outlineLevel="0" collapsed="false">
      <c r="A1175" s="4" t="s">
        <v>1538</v>
      </c>
      <c r="B1175" s="4" t="s">
        <v>18</v>
      </c>
      <c r="C1175" s="4" t="s">
        <v>1530</v>
      </c>
      <c r="D1175" s="4" t="s">
        <v>56</v>
      </c>
      <c r="E1175" s="4" t="s">
        <v>21</v>
      </c>
      <c r="F1175" s="5" t="n">
        <v>62103.56</v>
      </c>
      <c r="G1175" s="6" t="n">
        <v>0.05</v>
      </c>
      <c r="H1175" s="5" t="n">
        <v>3105.18</v>
      </c>
      <c r="I1175" s="5" t="n">
        <v>65208.74</v>
      </c>
    </row>
    <row r="1176" customFormat="false" ht="15" hidden="false" customHeight="false" outlineLevel="0" collapsed="false">
      <c r="A1176" s="4" t="s">
        <v>1539</v>
      </c>
      <c r="B1176" s="4" t="s">
        <v>18</v>
      </c>
      <c r="C1176" s="4" t="s">
        <v>1481</v>
      </c>
      <c r="D1176" s="4" t="s">
        <v>37</v>
      </c>
      <c r="E1176" s="4" t="s">
        <v>21</v>
      </c>
      <c r="F1176" s="5" t="n">
        <v>29986.34</v>
      </c>
      <c r="G1176" s="6" t="n">
        <v>0.05</v>
      </c>
      <c r="H1176" s="5" t="n">
        <v>1499.32</v>
      </c>
      <c r="I1176" s="5" t="n">
        <v>31485.66</v>
      </c>
    </row>
    <row r="1177" customFormat="false" ht="15" hidden="false" customHeight="false" outlineLevel="0" collapsed="false">
      <c r="A1177" s="4" t="s">
        <v>1540</v>
      </c>
      <c r="B1177" s="4" t="s">
        <v>18</v>
      </c>
      <c r="C1177" s="4" t="s">
        <v>1534</v>
      </c>
      <c r="D1177" s="4" t="s">
        <v>59</v>
      </c>
      <c r="E1177" s="4" t="s">
        <v>21</v>
      </c>
      <c r="F1177" s="5" t="n">
        <v>69135.29</v>
      </c>
      <c r="G1177" s="6" t="n">
        <v>0.05</v>
      </c>
      <c r="H1177" s="5" t="n">
        <v>3456.76</v>
      </c>
      <c r="I1177" s="5" t="n">
        <v>72592.05</v>
      </c>
    </row>
    <row r="1178" customFormat="false" ht="15" hidden="false" customHeight="false" outlineLevel="0" collapsed="false">
      <c r="A1178" s="4" t="s">
        <v>1541</v>
      </c>
      <c r="B1178" s="4" t="s">
        <v>18</v>
      </c>
      <c r="C1178" s="4" t="s">
        <v>1542</v>
      </c>
      <c r="D1178" s="4" t="s">
        <v>24</v>
      </c>
      <c r="E1178" s="4" t="s">
        <v>46</v>
      </c>
      <c r="F1178" s="5" t="n">
        <v>80020.64</v>
      </c>
      <c r="G1178" s="6" t="n">
        <v>0</v>
      </c>
      <c r="H1178" s="5" t="n">
        <v>0</v>
      </c>
      <c r="I1178" s="5" t="n">
        <v>80020.64</v>
      </c>
    </row>
    <row r="1179" customFormat="false" ht="15" hidden="false" customHeight="false" outlineLevel="0" collapsed="false">
      <c r="A1179" s="4" t="s">
        <v>1543</v>
      </c>
      <c r="B1179" s="4" t="s">
        <v>18</v>
      </c>
      <c r="C1179" s="4" t="s">
        <v>1516</v>
      </c>
      <c r="D1179" s="4" t="s">
        <v>62</v>
      </c>
      <c r="E1179" s="4" t="s">
        <v>28</v>
      </c>
      <c r="F1179" s="5" t="n">
        <v>76142.53</v>
      </c>
      <c r="G1179" s="6" t="n">
        <v>0</v>
      </c>
      <c r="H1179" s="5" t="n">
        <v>0</v>
      </c>
      <c r="I1179" s="5" t="n">
        <v>76142.53</v>
      </c>
    </row>
    <row r="1180" customFormat="false" ht="15" hidden="false" customHeight="false" outlineLevel="0" collapsed="false">
      <c r="A1180" s="4" t="s">
        <v>1544</v>
      </c>
      <c r="B1180" s="4" t="s">
        <v>18</v>
      </c>
      <c r="C1180" s="4" t="s">
        <v>1530</v>
      </c>
      <c r="D1180" s="4" t="s">
        <v>34</v>
      </c>
      <c r="E1180" s="4" t="s">
        <v>28</v>
      </c>
      <c r="F1180" s="5" t="n">
        <v>44083.68</v>
      </c>
      <c r="G1180" s="6" t="n">
        <v>0</v>
      </c>
      <c r="H1180" s="5" t="n">
        <v>0</v>
      </c>
      <c r="I1180" s="5" t="n">
        <v>44083.68</v>
      </c>
    </row>
    <row r="1181" customFormat="false" ht="15" hidden="false" customHeight="false" outlineLevel="0" collapsed="false">
      <c r="A1181" s="4" t="s">
        <v>1545</v>
      </c>
      <c r="B1181" s="4" t="s">
        <v>18</v>
      </c>
      <c r="C1181" s="4" t="s">
        <v>1546</v>
      </c>
      <c r="D1181" s="4" t="s">
        <v>62</v>
      </c>
      <c r="E1181" s="4" t="s">
        <v>21</v>
      </c>
      <c r="F1181" s="5" t="n">
        <v>71722.23</v>
      </c>
      <c r="G1181" s="6" t="n">
        <v>0.05</v>
      </c>
      <c r="H1181" s="5" t="n">
        <v>3586.11</v>
      </c>
      <c r="I1181" s="5" t="n">
        <v>75308.34</v>
      </c>
    </row>
    <row r="1182" customFormat="false" ht="15" hidden="false" customHeight="false" outlineLevel="0" collapsed="false">
      <c r="A1182" s="4" t="s">
        <v>1547</v>
      </c>
      <c r="B1182" s="4" t="s">
        <v>18</v>
      </c>
      <c r="C1182" s="4" t="s">
        <v>1487</v>
      </c>
      <c r="D1182" s="4" t="s">
        <v>62</v>
      </c>
      <c r="E1182" s="4" t="s">
        <v>21</v>
      </c>
      <c r="F1182" s="5" t="n">
        <v>15899.88</v>
      </c>
      <c r="G1182" s="6" t="n">
        <v>0.05</v>
      </c>
      <c r="H1182" s="5" t="n">
        <v>794.99</v>
      </c>
      <c r="I1182" s="5" t="n">
        <v>16694.87</v>
      </c>
    </row>
    <row r="1183" customFormat="false" ht="15" hidden="false" customHeight="false" outlineLevel="0" collapsed="false">
      <c r="A1183" s="4" t="s">
        <v>1548</v>
      </c>
      <c r="B1183" s="4" t="s">
        <v>18</v>
      </c>
      <c r="C1183" s="4" t="s">
        <v>1549</v>
      </c>
      <c r="D1183" s="4" t="s">
        <v>86</v>
      </c>
      <c r="E1183" s="4" t="s">
        <v>21</v>
      </c>
      <c r="F1183" s="5" t="n">
        <v>39398.19</v>
      </c>
      <c r="G1183" s="6" t="n">
        <v>0.05</v>
      </c>
      <c r="H1183" s="5" t="n">
        <v>1969.91</v>
      </c>
      <c r="I1183" s="5" t="n">
        <v>41368.1</v>
      </c>
    </row>
    <row r="1184" customFormat="false" ht="15" hidden="false" customHeight="false" outlineLevel="0" collapsed="false">
      <c r="A1184" s="4" t="s">
        <v>1550</v>
      </c>
      <c r="B1184" s="4" t="s">
        <v>18</v>
      </c>
      <c r="C1184" s="4" t="s">
        <v>1511</v>
      </c>
      <c r="D1184" s="4" t="s">
        <v>62</v>
      </c>
      <c r="E1184" s="4" t="s">
        <v>21</v>
      </c>
      <c r="F1184" s="5" t="n">
        <v>54334.45</v>
      </c>
      <c r="G1184" s="6" t="n">
        <v>0.05</v>
      </c>
      <c r="H1184" s="5" t="n">
        <v>2716.72</v>
      </c>
      <c r="I1184" s="5" t="n">
        <v>57051.17</v>
      </c>
    </row>
    <row r="1185" customFormat="false" ht="15" hidden="false" customHeight="false" outlineLevel="0" collapsed="false">
      <c r="A1185" s="4" t="s">
        <v>1551</v>
      </c>
      <c r="B1185" s="4" t="s">
        <v>18</v>
      </c>
      <c r="C1185" s="4" t="s">
        <v>1511</v>
      </c>
      <c r="D1185" s="4" t="s">
        <v>88</v>
      </c>
      <c r="E1185" s="4" t="s">
        <v>21</v>
      </c>
      <c r="F1185" s="5" t="n">
        <v>71353.66</v>
      </c>
      <c r="G1185" s="6" t="n">
        <v>0.05</v>
      </c>
      <c r="H1185" s="5" t="n">
        <v>3567.68</v>
      </c>
      <c r="I1185" s="5" t="n">
        <v>74921.34</v>
      </c>
    </row>
    <row r="1186" customFormat="false" ht="15" hidden="false" customHeight="false" outlineLevel="0" collapsed="false">
      <c r="A1186" s="4" t="s">
        <v>1552</v>
      </c>
      <c r="B1186" s="4" t="s">
        <v>18</v>
      </c>
      <c r="C1186" s="4" t="s">
        <v>1481</v>
      </c>
      <c r="D1186" s="4" t="s">
        <v>37</v>
      </c>
      <c r="E1186" s="4" t="s">
        <v>46</v>
      </c>
      <c r="F1186" s="5" t="n">
        <v>52108.53</v>
      </c>
      <c r="G1186" s="6" t="n">
        <v>0</v>
      </c>
      <c r="H1186" s="5" t="n">
        <v>0</v>
      </c>
      <c r="I1186" s="5" t="n">
        <v>52108.53</v>
      </c>
    </row>
    <row r="1187" customFormat="false" ht="15" hidden="false" customHeight="false" outlineLevel="0" collapsed="false">
      <c r="A1187" s="4" t="s">
        <v>1553</v>
      </c>
      <c r="B1187" s="4" t="s">
        <v>18</v>
      </c>
      <c r="C1187" s="4" t="s">
        <v>1511</v>
      </c>
      <c r="D1187" s="4" t="s">
        <v>88</v>
      </c>
      <c r="E1187" s="4" t="s">
        <v>28</v>
      </c>
      <c r="F1187" s="5" t="n">
        <v>25511.44</v>
      </c>
      <c r="G1187" s="6" t="n">
        <v>0</v>
      </c>
      <c r="H1187" s="5" t="n">
        <v>0</v>
      </c>
      <c r="I1187" s="5" t="n">
        <v>25511.44</v>
      </c>
    </row>
    <row r="1188" customFormat="false" ht="15" hidden="false" customHeight="false" outlineLevel="0" collapsed="false">
      <c r="A1188" s="4" t="s">
        <v>1554</v>
      </c>
      <c r="B1188" s="4" t="s">
        <v>18</v>
      </c>
      <c r="C1188" s="4" t="s">
        <v>1549</v>
      </c>
      <c r="D1188" s="4" t="s">
        <v>27</v>
      </c>
      <c r="E1188" s="4" t="s">
        <v>21</v>
      </c>
      <c r="F1188" s="5" t="n">
        <v>78191.23</v>
      </c>
      <c r="G1188" s="6" t="n">
        <v>0.05</v>
      </c>
      <c r="H1188" s="5" t="n">
        <v>3909.56</v>
      </c>
      <c r="I1188" s="5" t="n">
        <v>82100.79</v>
      </c>
    </row>
    <row r="1189" customFormat="false" ht="15" hidden="false" customHeight="false" outlineLevel="0" collapsed="false">
      <c r="A1189" s="4" t="s">
        <v>1555</v>
      </c>
      <c r="B1189" s="4" t="s">
        <v>18</v>
      </c>
      <c r="C1189" s="4" t="s">
        <v>1556</v>
      </c>
      <c r="D1189" s="4" t="s">
        <v>86</v>
      </c>
      <c r="E1189" s="4" t="s">
        <v>46</v>
      </c>
      <c r="F1189" s="5" t="n">
        <v>78566.42</v>
      </c>
      <c r="G1189" s="6" t="n">
        <v>0</v>
      </c>
      <c r="H1189" s="5" t="n">
        <v>0</v>
      </c>
      <c r="I1189" s="5" t="n">
        <v>78566.42</v>
      </c>
    </row>
    <row r="1190" customFormat="false" ht="15" hidden="false" customHeight="false" outlineLevel="0" collapsed="false">
      <c r="A1190" s="4" t="s">
        <v>1557</v>
      </c>
      <c r="B1190" s="4" t="s">
        <v>18</v>
      </c>
      <c r="C1190" s="4" t="s">
        <v>1508</v>
      </c>
      <c r="D1190" s="4" t="s">
        <v>78</v>
      </c>
      <c r="E1190" s="4" t="s">
        <v>46</v>
      </c>
      <c r="F1190" s="5" t="n">
        <v>23503.29</v>
      </c>
      <c r="G1190" s="6" t="n">
        <v>0</v>
      </c>
      <c r="H1190" s="5" t="n">
        <v>0</v>
      </c>
      <c r="I1190" s="5" t="n">
        <v>23503.29</v>
      </c>
    </row>
    <row r="1191" customFormat="false" ht="15" hidden="false" customHeight="false" outlineLevel="0" collapsed="false">
      <c r="A1191" s="4" t="s">
        <v>1558</v>
      </c>
      <c r="B1191" s="4" t="s">
        <v>18</v>
      </c>
      <c r="C1191" s="4" t="s">
        <v>1508</v>
      </c>
      <c r="D1191" s="4" t="s">
        <v>24</v>
      </c>
      <c r="E1191" s="4" t="s">
        <v>21</v>
      </c>
      <c r="F1191" s="5" t="n">
        <v>71968.49</v>
      </c>
      <c r="G1191" s="6" t="n">
        <v>0.05</v>
      </c>
      <c r="H1191" s="5" t="n">
        <v>3598.42</v>
      </c>
      <c r="I1191" s="5" t="n">
        <v>75566.91</v>
      </c>
    </row>
    <row r="1192" customFormat="false" ht="15" hidden="false" customHeight="false" outlineLevel="0" collapsed="false">
      <c r="A1192" s="4" t="s">
        <v>1559</v>
      </c>
      <c r="B1192" s="4" t="s">
        <v>18</v>
      </c>
      <c r="C1192" s="4" t="s">
        <v>1560</v>
      </c>
      <c r="D1192" s="4" t="s">
        <v>20</v>
      </c>
      <c r="E1192" s="4" t="s">
        <v>21</v>
      </c>
      <c r="F1192" s="5" t="n">
        <v>8102.17</v>
      </c>
      <c r="G1192" s="6" t="n">
        <v>0.05</v>
      </c>
      <c r="H1192" s="5" t="n">
        <v>405.11</v>
      </c>
      <c r="I1192" s="5" t="n">
        <v>8507.28</v>
      </c>
    </row>
    <row r="1193" customFormat="false" ht="15" hidden="false" customHeight="false" outlineLevel="0" collapsed="false">
      <c r="A1193" s="4" t="s">
        <v>1561</v>
      </c>
      <c r="B1193" s="4" t="s">
        <v>18</v>
      </c>
      <c r="C1193" s="4" t="s">
        <v>1514</v>
      </c>
      <c r="D1193" s="4" t="s">
        <v>70</v>
      </c>
      <c r="E1193" s="4" t="s">
        <v>46</v>
      </c>
      <c r="F1193" s="5" t="n">
        <v>79411.53</v>
      </c>
      <c r="G1193" s="6" t="n">
        <v>0</v>
      </c>
      <c r="H1193" s="5" t="n">
        <v>0</v>
      </c>
      <c r="I1193" s="5" t="n">
        <v>79411.53</v>
      </c>
    </row>
    <row r="1194" customFormat="false" ht="15" hidden="false" customHeight="false" outlineLevel="0" collapsed="false">
      <c r="A1194" s="4" t="s">
        <v>1562</v>
      </c>
      <c r="B1194" s="4" t="s">
        <v>18</v>
      </c>
      <c r="C1194" s="4" t="s">
        <v>1563</v>
      </c>
      <c r="D1194" s="4" t="s">
        <v>27</v>
      </c>
      <c r="E1194" s="4" t="s">
        <v>21</v>
      </c>
      <c r="F1194" s="5" t="n">
        <v>77001.57</v>
      </c>
      <c r="G1194" s="6" t="n">
        <v>0.05</v>
      </c>
      <c r="H1194" s="5" t="n">
        <v>3850.08</v>
      </c>
      <c r="I1194" s="5" t="n">
        <v>80851.65</v>
      </c>
    </row>
    <row r="1195" customFormat="false" ht="15" hidden="false" customHeight="false" outlineLevel="0" collapsed="false">
      <c r="A1195" s="4" t="s">
        <v>1564</v>
      </c>
      <c r="B1195" s="4" t="s">
        <v>18</v>
      </c>
      <c r="C1195" s="4" t="s">
        <v>1503</v>
      </c>
      <c r="D1195" s="4" t="s">
        <v>20</v>
      </c>
      <c r="E1195" s="4" t="s">
        <v>21</v>
      </c>
      <c r="F1195" s="5" t="n">
        <v>88660.84</v>
      </c>
      <c r="G1195" s="6" t="n">
        <v>0.05</v>
      </c>
      <c r="H1195" s="5" t="n">
        <v>4433.04</v>
      </c>
      <c r="I1195" s="5" t="n">
        <v>93093.88</v>
      </c>
    </row>
    <row r="1196" customFormat="false" ht="15" hidden="false" customHeight="false" outlineLevel="0" collapsed="false">
      <c r="A1196" s="4" t="s">
        <v>1565</v>
      </c>
      <c r="B1196" s="4" t="s">
        <v>18</v>
      </c>
      <c r="C1196" s="4" t="s">
        <v>1556</v>
      </c>
      <c r="D1196" s="4" t="s">
        <v>50</v>
      </c>
      <c r="E1196" s="4" t="s">
        <v>21</v>
      </c>
      <c r="F1196" s="5" t="n">
        <v>36607.76</v>
      </c>
      <c r="G1196" s="6" t="n">
        <v>0.05</v>
      </c>
      <c r="H1196" s="5" t="n">
        <v>1830.39</v>
      </c>
      <c r="I1196" s="5" t="n">
        <v>38438.15</v>
      </c>
    </row>
    <row r="1197" customFormat="false" ht="15" hidden="false" customHeight="false" outlineLevel="0" collapsed="false">
      <c r="A1197" s="4" t="s">
        <v>1566</v>
      </c>
      <c r="B1197" s="4" t="s">
        <v>18</v>
      </c>
      <c r="C1197" s="4" t="s">
        <v>1522</v>
      </c>
      <c r="D1197" s="4" t="s">
        <v>24</v>
      </c>
      <c r="E1197" s="4" t="s">
        <v>46</v>
      </c>
      <c r="F1197" s="5" t="n">
        <v>34027.87</v>
      </c>
      <c r="G1197" s="6" t="n">
        <v>0</v>
      </c>
      <c r="H1197" s="5" t="n">
        <v>0</v>
      </c>
      <c r="I1197" s="5" t="n">
        <v>34027.87</v>
      </c>
    </row>
    <row r="1198" customFormat="false" ht="15" hidden="false" customHeight="false" outlineLevel="0" collapsed="false">
      <c r="A1198" s="4" t="s">
        <v>1567</v>
      </c>
      <c r="B1198" s="4" t="s">
        <v>18</v>
      </c>
      <c r="C1198" s="4" t="s">
        <v>1514</v>
      </c>
      <c r="D1198" s="4" t="s">
        <v>20</v>
      </c>
      <c r="E1198" s="4" t="s">
        <v>21</v>
      </c>
      <c r="F1198" s="5" t="n">
        <v>66428.66</v>
      </c>
      <c r="G1198" s="6" t="n">
        <v>0.05</v>
      </c>
      <c r="H1198" s="5" t="n">
        <v>3321.43</v>
      </c>
      <c r="I1198" s="5" t="n">
        <v>69750.09</v>
      </c>
    </row>
    <row r="1199" customFormat="false" ht="15" hidden="false" customHeight="false" outlineLevel="0" collapsed="false">
      <c r="A1199" s="4" t="s">
        <v>1568</v>
      </c>
      <c r="B1199" s="4" t="s">
        <v>18</v>
      </c>
      <c r="C1199" s="4" t="s">
        <v>1485</v>
      </c>
      <c r="D1199" s="4" t="s">
        <v>86</v>
      </c>
      <c r="E1199" s="4" t="s">
        <v>21</v>
      </c>
      <c r="F1199" s="5" t="n">
        <v>49900.75</v>
      </c>
      <c r="G1199" s="6" t="n">
        <v>0.05</v>
      </c>
      <c r="H1199" s="5" t="n">
        <v>2495.04</v>
      </c>
      <c r="I1199" s="5" t="n">
        <v>52395.79</v>
      </c>
    </row>
    <row r="1200" customFormat="false" ht="15" hidden="false" customHeight="false" outlineLevel="0" collapsed="false">
      <c r="A1200" s="4" t="s">
        <v>1569</v>
      </c>
      <c r="B1200" s="4" t="s">
        <v>18</v>
      </c>
      <c r="C1200" s="4" t="s">
        <v>1527</v>
      </c>
      <c r="D1200" s="4" t="s">
        <v>86</v>
      </c>
      <c r="E1200" s="4" t="s">
        <v>28</v>
      </c>
      <c r="F1200" s="5" t="n">
        <v>53677.05</v>
      </c>
      <c r="G1200" s="6" t="n">
        <v>0</v>
      </c>
      <c r="H1200" s="5" t="n">
        <v>0</v>
      </c>
      <c r="I1200" s="5" t="n">
        <v>53677.05</v>
      </c>
    </row>
    <row r="1201" customFormat="false" ht="15" hidden="false" customHeight="false" outlineLevel="0" collapsed="false">
      <c r="A1201" s="4" t="s">
        <v>1570</v>
      </c>
      <c r="B1201" s="4" t="s">
        <v>18</v>
      </c>
      <c r="C1201" s="4" t="s">
        <v>1503</v>
      </c>
      <c r="D1201" s="4" t="s">
        <v>78</v>
      </c>
      <c r="E1201" s="4" t="s">
        <v>21</v>
      </c>
      <c r="F1201" s="5" t="n">
        <v>42184.29</v>
      </c>
      <c r="G1201" s="6" t="n">
        <v>0.05</v>
      </c>
      <c r="H1201" s="5" t="n">
        <v>2109.21</v>
      </c>
      <c r="I1201" s="5" t="n">
        <v>44293.5</v>
      </c>
    </row>
    <row r="1202" customFormat="false" ht="15" hidden="false" customHeight="false" outlineLevel="0" collapsed="false">
      <c r="A1202" s="4" t="s">
        <v>1571</v>
      </c>
      <c r="B1202" s="4" t="s">
        <v>18</v>
      </c>
      <c r="C1202" s="4" t="s">
        <v>1503</v>
      </c>
      <c r="D1202" s="4" t="s">
        <v>24</v>
      </c>
      <c r="E1202" s="4" t="s">
        <v>21</v>
      </c>
      <c r="F1202" s="5" t="n">
        <v>4062.95</v>
      </c>
      <c r="G1202" s="6" t="n">
        <v>0.05</v>
      </c>
      <c r="H1202" s="5" t="n">
        <v>203.15</v>
      </c>
      <c r="I1202" s="5" t="n">
        <v>4266.1</v>
      </c>
    </row>
    <row r="1203" customFormat="false" ht="15" hidden="false" customHeight="false" outlineLevel="0" collapsed="false">
      <c r="A1203" s="4" t="s">
        <v>1572</v>
      </c>
      <c r="B1203" s="4" t="s">
        <v>18</v>
      </c>
      <c r="C1203" s="4" t="s">
        <v>1514</v>
      </c>
      <c r="D1203" s="4" t="s">
        <v>70</v>
      </c>
      <c r="E1203" s="4" t="s">
        <v>21</v>
      </c>
      <c r="F1203" s="5" t="n">
        <v>23286.32</v>
      </c>
      <c r="G1203" s="6" t="n">
        <v>0.05</v>
      </c>
      <c r="H1203" s="5" t="n">
        <v>1164.32</v>
      </c>
      <c r="I1203" s="5" t="n">
        <v>24450.64</v>
      </c>
    </row>
    <row r="1204" customFormat="false" ht="15" hidden="false" customHeight="false" outlineLevel="0" collapsed="false">
      <c r="A1204" s="4" t="s">
        <v>1573</v>
      </c>
      <c r="B1204" s="4" t="s">
        <v>18</v>
      </c>
      <c r="C1204" s="4" t="s">
        <v>1534</v>
      </c>
      <c r="D1204" s="4" t="s">
        <v>27</v>
      </c>
      <c r="E1204" s="4" t="s">
        <v>28</v>
      </c>
      <c r="F1204" s="5" t="n">
        <v>29134.62</v>
      </c>
      <c r="G1204" s="6" t="n">
        <v>0</v>
      </c>
      <c r="H1204" s="5" t="n">
        <v>0</v>
      </c>
      <c r="I1204" s="5" t="n">
        <v>29134.62</v>
      </c>
    </row>
    <row r="1205" customFormat="false" ht="15" hidden="false" customHeight="false" outlineLevel="0" collapsed="false">
      <c r="A1205" s="4" t="s">
        <v>1574</v>
      </c>
      <c r="B1205" s="4" t="s">
        <v>120</v>
      </c>
      <c r="C1205" s="4" t="s">
        <v>1575</v>
      </c>
      <c r="D1205" s="4" t="s">
        <v>155</v>
      </c>
      <c r="E1205" s="4" t="s">
        <v>21</v>
      </c>
      <c r="F1205" s="5" t="n">
        <v>18180.21</v>
      </c>
      <c r="G1205" s="6" t="n">
        <v>0.05</v>
      </c>
      <c r="H1205" s="5" t="n">
        <v>909.01</v>
      </c>
      <c r="I1205" s="5" t="n">
        <v>19089.22</v>
      </c>
    </row>
    <row r="1206" customFormat="false" ht="15" hidden="false" customHeight="false" outlineLevel="0" collapsed="false">
      <c r="A1206" s="4" t="s">
        <v>1576</v>
      </c>
      <c r="B1206" s="4" t="s">
        <v>120</v>
      </c>
      <c r="C1206" s="4" t="s">
        <v>1508</v>
      </c>
      <c r="D1206" s="4" t="s">
        <v>144</v>
      </c>
      <c r="E1206" s="4" t="s">
        <v>21</v>
      </c>
      <c r="F1206" s="5" t="n">
        <v>34218.32</v>
      </c>
      <c r="G1206" s="6" t="n">
        <v>0.05</v>
      </c>
      <c r="H1206" s="5" t="n">
        <v>1710.92</v>
      </c>
      <c r="I1206" s="5" t="n">
        <v>35929.24</v>
      </c>
    </row>
    <row r="1207" customFormat="false" ht="15" hidden="false" customHeight="false" outlineLevel="0" collapsed="false">
      <c r="A1207" s="4" t="s">
        <v>1577</v>
      </c>
      <c r="B1207" s="4" t="s">
        <v>120</v>
      </c>
      <c r="C1207" s="4" t="s">
        <v>1514</v>
      </c>
      <c r="D1207" s="4" t="s">
        <v>125</v>
      </c>
      <c r="E1207" s="4" t="s">
        <v>46</v>
      </c>
      <c r="F1207" s="5" t="n">
        <v>34370.14</v>
      </c>
      <c r="G1207" s="6" t="n">
        <v>0</v>
      </c>
      <c r="H1207" s="5" t="n">
        <v>0</v>
      </c>
      <c r="I1207" s="5" t="n">
        <v>34370.14</v>
      </c>
    </row>
    <row r="1208" customFormat="false" ht="15" hidden="false" customHeight="false" outlineLevel="0" collapsed="false">
      <c r="A1208" s="4" t="s">
        <v>1578</v>
      </c>
      <c r="B1208" s="4" t="s">
        <v>120</v>
      </c>
      <c r="C1208" s="4" t="s">
        <v>1534</v>
      </c>
      <c r="D1208" s="4" t="s">
        <v>130</v>
      </c>
      <c r="E1208" s="4" t="s">
        <v>21</v>
      </c>
      <c r="F1208" s="5" t="n">
        <v>23376.84</v>
      </c>
      <c r="G1208" s="6" t="n">
        <v>0.05</v>
      </c>
      <c r="H1208" s="5" t="n">
        <v>1168.84</v>
      </c>
      <c r="I1208" s="5" t="n">
        <v>24545.68</v>
      </c>
    </row>
    <row r="1209" customFormat="false" ht="15" hidden="false" customHeight="false" outlineLevel="0" collapsed="false">
      <c r="A1209" s="4" t="s">
        <v>1579</v>
      </c>
      <c r="B1209" s="4" t="s">
        <v>120</v>
      </c>
      <c r="C1209" s="4" t="s">
        <v>1563</v>
      </c>
      <c r="D1209" s="4" t="s">
        <v>133</v>
      </c>
      <c r="E1209" s="4" t="s">
        <v>21</v>
      </c>
      <c r="F1209" s="5" t="n">
        <v>26996.66</v>
      </c>
      <c r="G1209" s="6" t="n">
        <v>0.05</v>
      </c>
      <c r="H1209" s="5" t="n">
        <v>1349.83</v>
      </c>
      <c r="I1209" s="5" t="n">
        <v>28346.49</v>
      </c>
    </row>
    <row r="1210" customFormat="false" ht="15" hidden="false" customHeight="false" outlineLevel="0" collapsed="false">
      <c r="A1210" s="4" t="s">
        <v>1580</v>
      </c>
      <c r="B1210" s="4" t="s">
        <v>120</v>
      </c>
      <c r="C1210" s="4" t="s">
        <v>1503</v>
      </c>
      <c r="D1210" s="4" t="s">
        <v>127</v>
      </c>
      <c r="E1210" s="4" t="s">
        <v>21</v>
      </c>
      <c r="F1210" s="5" t="n">
        <v>33194.9</v>
      </c>
      <c r="G1210" s="6" t="n">
        <v>0.05</v>
      </c>
      <c r="H1210" s="5" t="n">
        <v>1659.75</v>
      </c>
      <c r="I1210" s="5" t="n">
        <v>34854.65</v>
      </c>
    </row>
    <row r="1211" customFormat="false" ht="15" hidden="false" customHeight="false" outlineLevel="0" collapsed="false">
      <c r="A1211" s="4" t="s">
        <v>1581</v>
      </c>
      <c r="B1211" s="4" t="s">
        <v>120</v>
      </c>
      <c r="C1211" s="4" t="s">
        <v>1483</v>
      </c>
      <c r="D1211" s="4" t="s">
        <v>155</v>
      </c>
      <c r="E1211" s="4" t="s">
        <v>21</v>
      </c>
      <c r="F1211" s="5" t="n">
        <v>22127.05</v>
      </c>
      <c r="G1211" s="6" t="n">
        <v>0.05</v>
      </c>
      <c r="H1211" s="5" t="n">
        <v>1106.35</v>
      </c>
      <c r="I1211" s="5" t="n">
        <v>23233.4</v>
      </c>
    </row>
    <row r="1212" customFormat="false" ht="15" hidden="false" customHeight="false" outlineLevel="0" collapsed="false">
      <c r="A1212" s="4" t="s">
        <v>1582</v>
      </c>
      <c r="B1212" s="4" t="s">
        <v>120</v>
      </c>
      <c r="C1212" s="4" t="s">
        <v>1560</v>
      </c>
      <c r="D1212" s="4" t="s">
        <v>125</v>
      </c>
      <c r="E1212" s="4" t="s">
        <v>21</v>
      </c>
      <c r="F1212" s="5" t="n">
        <v>15971.48</v>
      </c>
      <c r="G1212" s="6" t="n">
        <v>0.05</v>
      </c>
      <c r="H1212" s="5" t="n">
        <v>798.57</v>
      </c>
      <c r="I1212" s="5" t="n">
        <v>16770.05</v>
      </c>
    </row>
    <row r="1213" customFormat="false" ht="15" hidden="false" customHeight="false" outlineLevel="0" collapsed="false">
      <c r="A1213" s="4" t="s">
        <v>1583</v>
      </c>
      <c r="B1213" s="4" t="s">
        <v>120</v>
      </c>
      <c r="C1213" s="4" t="s">
        <v>1505</v>
      </c>
      <c r="D1213" s="4" t="s">
        <v>133</v>
      </c>
      <c r="E1213" s="4" t="s">
        <v>21</v>
      </c>
      <c r="F1213" s="5" t="n">
        <v>30157.92</v>
      </c>
      <c r="G1213" s="6" t="n">
        <v>0.05</v>
      </c>
      <c r="H1213" s="5" t="n">
        <v>1507.9</v>
      </c>
      <c r="I1213" s="5" t="n">
        <v>31665.82</v>
      </c>
    </row>
    <row r="1214" customFormat="false" ht="15" hidden="false" customHeight="false" outlineLevel="0" collapsed="false">
      <c r="A1214" s="4" t="s">
        <v>1584</v>
      </c>
      <c r="B1214" s="4" t="s">
        <v>120</v>
      </c>
      <c r="C1214" s="4" t="s">
        <v>1483</v>
      </c>
      <c r="D1214" s="4" t="s">
        <v>121</v>
      </c>
      <c r="E1214" s="4" t="s">
        <v>21</v>
      </c>
      <c r="F1214" s="5" t="n">
        <v>4667.31</v>
      </c>
      <c r="G1214" s="6" t="n">
        <v>0.05</v>
      </c>
      <c r="H1214" s="5" t="n">
        <v>233.37</v>
      </c>
      <c r="I1214" s="5" t="n">
        <v>4900.68</v>
      </c>
    </row>
    <row r="1215" customFormat="false" ht="15" hidden="false" customHeight="false" outlineLevel="0" collapsed="false">
      <c r="A1215" s="4" t="s">
        <v>1585</v>
      </c>
      <c r="B1215" s="4" t="s">
        <v>120</v>
      </c>
      <c r="C1215" s="4" t="s">
        <v>1524</v>
      </c>
      <c r="D1215" s="4" t="s">
        <v>133</v>
      </c>
      <c r="E1215" s="4" t="s">
        <v>21</v>
      </c>
      <c r="F1215" s="5" t="n">
        <v>13599.62</v>
      </c>
      <c r="G1215" s="6" t="n">
        <v>0.05</v>
      </c>
      <c r="H1215" s="5" t="n">
        <v>679.98</v>
      </c>
      <c r="I1215" s="5" t="n">
        <v>14279.6</v>
      </c>
    </row>
    <row r="1216" customFormat="false" ht="15" hidden="false" customHeight="false" outlineLevel="0" collapsed="false">
      <c r="A1216" s="4" t="s">
        <v>1586</v>
      </c>
      <c r="B1216" s="4" t="s">
        <v>120</v>
      </c>
      <c r="C1216" s="4" t="s">
        <v>1546</v>
      </c>
      <c r="D1216" s="4" t="s">
        <v>127</v>
      </c>
      <c r="E1216" s="4" t="s">
        <v>21</v>
      </c>
      <c r="F1216" s="5" t="n">
        <v>24824.02</v>
      </c>
      <c r="G1216" s="6" t="n">
        <v>0.05</v>
      </c>
      <c r="H1216" s="5" t="n">
        <v>1241.2</v>
      </c>
      <c r="I1216" s="5" t="n">
        <v>26065.22</v>
      </c>
    </row>
    <row r="1217" customFormat="false" ht="15" hidden="false" customHeight="false" outlineLevel="0" collapsed="false">
      <c r="A1217" s="4" t="s">
        <v>1587</v>
      </c>
      <c r="B1217" s="4" t="s">
        <v>120</v>
      </c>
      <c r="C1217" s="4" t="s">
        <v>1524</v>
      </c>
      <c r="D1217" s="4" t="s">
        <v>146</v>
      </c>
      <c r="E1217" s="4" t="s">
        <v>21</v>
      </c>
      <c r="F1217" s="5" t="n">
        <v>33277.47</v>
      </c>
      <c r="G1217" s="6" t="n">
        <v>0.05</v>
      </c>
      <c r="H1217" s="5" t="n">
        <v>1663.87</v>
      </c>
      <c r="I1217" s="5" t="n">
        <v>34941.34</v>
      </c>
    </row>
    <row r="1218" customFormat="false" ht="15" hidden="false" customHeight="false" outlineLevel="0" collapsed="false">
      <c r="A1218" s="4" t="s">
        <v>1588</v>
      </c>
      <c r="B1218" s="4" t="s">
        <v>120</v>
      </c>
      <c r="C1218" s="4" t="s">
        <v>1560</v>
      </c>
      <c r="D1218" s="4" t="s">
        <v>155</v>
      </c>
      <c r="E1218" s="4" t="s">
        <v>21</v>
      </c>
      <c r="F1218" s="5" t="n">
        <v>3346.07</v>
      </c>
      <c r="G1218" s="6" t="n">
        <v>0.05</v>
      </c>
      <c r="H1218" s="5" t="n">
        <v>167.3</v>
      </c>
      <c r="I1218" s="5" t="n">
        <v>3513.37</v>
      </c>
    </row>
    <row r="1219" customFormat="false" ht="15" hidden="false" customHeight="false" outlineLevel="0" collapsed="false">
      <c r="A1219" s="4" t="s">
        <v>1589</v>
      </c>
      <c r="B1219" s="4" t="s">
        <v>120</v>
      </c>
      <c r="C1219" s="4" t="s">
        <v>1522</v>
      </c>
      <c r="D1219" s="4" t="s">
        <v>123</v>
      </c>
      <c r="E1219" s="4" t="s">
        <v>21</v>
      </c>
      <c r="F1219" s="5" t="n">
        <v>36030.25</v>
      </c>
      <c r="G1219" s="6" t="n">
        <v>0.05</v>
      </c>
      <c r="H1219" s="5" t="n">
        <v>1801.51</v>
      </c>
      <c r="I1219" s="5" t="n">
        <v>37831.76</v>
      </c>
    </row>
    <row r="1220" customFormat="false" ht="15" hidden="false" customHeight="false" outlineLevel="0" collapsed="false">
      <c r="A1220" s="4" t="s">
        <v>1590</v>
      </c>
      <c r="B1220" s="4" t="s">
        <v>120</v>
      </c>
      <c r="C1220" s="4" t="s">
        <v>1530</v>
      </c>
      <c r="D1220" s="4" t="s">
        <v>133</v>
      </c>
      <c r="E1220" s="4" t="s">
        <v>21</v>
      </c>
      <c r="F1220" s="5" t="n">
        <v>38315.66</v>
      </c>
      <c r="G1220" s="6" t="n">
        <v>0.05</v>
      </c>
      <c r="H1220" s="5" t="n">
        <v>1915.78</v>
      </c>
      <c r="I1220" s="5" t="n">
        <v>40231.44</v>
      </c>
    </row>
    <row r="1221" customFormat="false" ht="15" hidden="false" customHeight="false" outlineLevel="0" collapsed="false">
      <c r="A1221" s="4" t="s">
        <v>1591</v>
      </c>
      <c r="B1221" s="4" t="s">
        <v>120</v>
      </c>
      <c r="C1221" s="4" t="s">
        <v>1563</v>
      </c>
      <c r="D1221" s="4" t="s">
        <v>127</v>
      </c>
      <c r="E1221" s="4" t="s">
        <v>21</v>
      </c>
      <c r="F1221" s="5" t="n">
        <v>31528.45</v>
      </c>
      <c r="G1221" s="6" t="n">
        <v>0.05</v>
      </c>
      <c r="H1221" s="5" t="n">
        <v>1576.42</v>
      </c>
      <c r="I1221" s="5" t="n">
        <v>33104.87</v>
      </c>
    </row>
    <row r="1222" customFormat="false" ht="15" hidden="false" customHeight="false" outlineLevel="0" collapsed="false">
      <c r="A1222" s="4" t="s">
        <v>1592</v>
      </c>
      <c r="B1222" s="4" t="s">
        <v>120</v>
      </c>
      <c r="C1222" s="4" t="s">
        <v>1487</v>
      </c>
      <c r="D1222" s="4" t="s">
        <v>155</v>
      </c>
      <c r="E1222" s="4" t="s">
        <v>46</v>
      </c>
      <c r="F1222" s="5" t="n">
        <v>12750.95</v>
      </c>
      <c r="G1222" s="6" t="n">
        <v>0</v>
      </c>
      <c r="H1222" s="5" t="n">
        <v>0</v>
      </c>
      <c r="I1222" s="5" t="n">
        <v>12750.95</v>
      </c>
    </row>
    <row r="1223" customFormat="false" ht="15" hidden="false" customHeight="false" outlineLevel="0" collapsed="false">
      <c r="A1223" s="4" t="s">
        <v>1593</v>
      </c>
      <c r="B1223" s="4" t="s">
        <v>120</v>
      </c>
      <c r="C1223" s="4" t="s">
        <v>1514</v>
      </c>
      <c r="D1223" s="4" t="s">
        <v>149</v>
      </c>
      <c r="E1223" s="4" t="s">
        <v>21</v>
      </c>
      <c r="F1223" s="5" t="n">
        <v>8372.25</v>
      </c>
      <c r="G1223" s="6" t="n">
        <v>0.05</v>
      </c>
      <c r="H1223" s="5" t="n">
        <v>418.61</v>
      </c>
      <c r="I1223" s="5" t="n">
        <v>8790.86</v>
      </c>
    </row>
    <row r="1224" customFormat="false" ht="15" hidden="false" customHeight="false" outlineLevel="0" collapsed="false">
      <c r="A1224" s="4" t="s">
        <v>1594</v>
      </c>
      <c r="B1224" s="4" t="s">
        <v>120</v>
      </c>
      <c r="C1224" s="4" t="s">
        <v>1493</v>
      </c>
      <c r="D1224" s="4" t="s">
        <v>130</v>
      </c>
      <c r="E1224" s="4" t="s">
        <v>21</v>
      </c>
      <c r="F1224" s="5" t="n">
        <v>36899.12</v>
      </c>
      <c r="G1224" s="6" t="n">
        <v>0.05</v>
      </c>
      <c r="H1224" s="5" t="n">
        <v>1844.96</v>
      </c>
      <c r="I1224" s="5" t="n">
        <v>38744.08</v>
      </c>
    </row>
    <row r="1225" customFormat="false" ht="15" hidden="false" customHeight="false" outlineLevel="0" collapsed="false">
      <c r="A1225" s="4" t="s">
        <v>1595</v>
      </c>
      <c r="B1225" s="4" t="s">
        <v>120</v>
      </c>
      <c r="C1225" s="4" t="s">
        <v>1596</v>
      </c>
      <c r="D1225" s="4" t="s">
        <v>155</v>
      </c>
      <c r="E1225" s="4" t="s">
        <v>46</v>
      </c>
      <c r="F1225" s="5" t="n">
        <v>4437.89</v>
      </c>
      <c r="G1225" s="6" t="n">
        <v>0</v>
      </c>
      <c r="H1225" s="5" t="n">
        <v>0</v>
      </c>
      <c r="I1225" s="5" t="n">
        <v>4437.89</v>
      </c>
    </row>
    <row r="1226" customFormat="false" ht="15" hidden="false" customHeight="false" outlineLevel="0" collapsed="false">
      <c r="A1226" s="4" t="s">
        <v>1597</v>
      </c>
      <c r="B1226" s="4" t="s">
        <v>120</v>
      </c>
      <c r="C1226" s="4" t="s">
        <v>1487</v>
      </c>
      <c r="D1226" s="4" t="s">
        <v>149</v>
      </c>
      <c r="E1226" s="4" t="s">
        <v>21</v>
      </c>
      <c r="F1226" s="5" t="n">
        <v>35082.54</v>
      </c>
      <c r="G1226" s="6" t="n">
        <v>0.05</v>
      </c>
      <c r="H1226" s="5" t="n">
        <v>1754.13</v>
      </c>
      <c r="I1226" s="5" t="n">
        <v>36836.67</v>
      </c>
    </row>
    <row r="1227" customFormat="false" ht="15" hidden="false" customHeight="false" outlineLevel="0" collapsed="false">
      <c r="A1227" s="4" t="s">
        <v>1598</v>
      </c>
      <c r="B1227" s="4" t="s">
        <v>120</v>
      </c>
      <c r="C1227" s="4" t="s">
        <v>1556</v>
      </c>
      <c r="D1227" s="4" t="s">
        <v>121</v>
      </c>
      <c r="E1227" s="4" t="s">
        <v>28</v>
      </c>
      <c r="F1227" s="5" t="n">
        <v>18677.92</v>
      </c>
      <c r="G1227" s="6" t="n">
        <v>0</v>
      </c>
      <c r="H1227" s="5" t="n">
        <v>0</v>
      </c>
      <c r="I1227" s="5" t="n">
        <v>18677.92</v>
      </c>
    </row>
    <row r="1228" customFormat="false" ht="15" hidden="false" customHeight="false" outlineLevel="0" collapsed="false">
      <c r="A1228" s="4" t="s">
        <v>1599</v>
      </c>
      <c r="B1228" s="4" t="s">
        <v>120</v>
      </c>
      <c r="C1228" s="4" t="s">
        <v>1524</v>
      </c>
      <c r="D1228" s="4" t="s">
        <v>121</v>
      </c>
      <c r="E1228" s="4" t="s">
        <v>28</v>
      </c>
      <c r="F1228" s="5" t="n">
        <v>3687.32</v>
      </c>
      <c r="G1228" s="6" t="n">
        <v>0</v>
      </c>
      <c r="H1228" s="5" t="n">
        <v>0</v>
      </c>
      <c r="I1228" s="5" t="n">
        <v>3687.32</v>
      </c>
    </row>
    <row r="1229" customFormat="false" ht="15" hidden="false" customHeight="false" outlineLevel="0" collapsed="false">
      <c r="A1229" s="4" t="s">
        <v>1600</v>
      </c>
      <c r="B1229" s="4" t="s">
        <v>120</v>
      </c>
      <c r="C1229" s="4" t="s">
        <v>1491</v>
      </c>
      <c r="D1229" s="4" t="s">
        <v>133</v>
      </c>
      <c r="E1229" s="4" t="s">
        <v>21</v>
      </c>
      <c r="F1229" s="5" t="n">
        <v>27143.43</v>
      </c>
      <c r="G1229" s="6" t="n">
        <v>0.05</v>
      </c>
      <c r="H1229" s="5" t="n">
        <v>1357.17</v>
      </c>
      <c r="I1229" s="5" t="n">
        <v>28500.6</v>
      </c>
    </row>
    <row r="1230" customFormat="false" ht="15" hidden="false" customHeight="false" outlineLevel="0" collapsed="false">
      <c r="A1230" s="4" t="s">
        <v>1601</v>
      </c>
      <c r="B1230" s="4" t="s">
        <v>120</v>
      </c>
      <c r="C1230" s="4" t="s">
        <v>1516</v>
      </c>
      <c r="D1230" s="4" t="s">
        <v>144</v>
      </c>
      <c r="E1230" s="4" t="s">
        <v>46</v>
      </c>
      <c r="F1230" s="5" t="n">
        <v>35803.63</v>
      </c>
      <c r="G1230" s="6" t="n">
        <v>0</v>
      </c>
      <c r="H1230" s="5" t="n">
        <v>0</v>
      </c>
      <c r="I1230" s="5" t="n">
        <v>35803.63</v>
      </c>
    </row>
    <row r="1231" customFormat="false" ht="15" hidden="false" customHeight="false" outlineLevel="0" collapsed="false">
      <c r="A1231" s="4" t="s">
        <v>1602</v>
      </c>
      <c r="B1231" s="4" t="s">
        <v>120</v>
      </c>
      <c r="C1231" s="4" t="s">
        <v>1546</v>
      </c>
      <c r="D1231" s="4" t="s">
        <v>144</v>
      </c>
      <c r="E1231" s="4" t="s">
        <v>28</v>
      </c>
      <c r="F1231" s="5" t="n">
        <v>38147.65</v>
      </c>
      <c r="G1231" s="6" t="n">
        <v>0</v>
      </c>
      <c r="H1231" s="5" t="n">
        <v>0</v>
      </c>
      <c r="I1231" s="5" t="n">
        <v>38147.65</v>
      </c>
    </row>
    <row r="1232" customFormat="false" ht="15" hidden="false" customHeight="false" outlineLevel="0" collapsed="false">
      <c r="A1232" s="4" t="s">
        <v>1603</v>
      </c>
      <c r="B1232" s="4" t="s">
        <v>120</v>
      </c>
      <c r="C1232" s="4" t="s">
        <v>1516</v>
      </c>
      <c r="D1232" s="4" t="s">
        <v>130</v>
      </c>
      <c r="E1232" s="4" t="s">
        <v>21</v>
      </c>
      <c r="F1232" s="5" t="n">
        <v>20851.42</v>
      </c>
      <c r="G1232" s="6" t="n">
        <v>0.05</v>
      </c>
      <c r="H1232" s="5" t="n">
        <v>1042.57</v>
      </c>
      <c r="I1232" s="5" t="n">
        <v>21893.99</v>
      </c>
    </row>
    <row r="1233" customFormat="false" ht="15" hidden="false" customHeight="false" outlineLevel="0" collapsed="false">
      <c r="A1233" s="4" t="s">
        <v>1604</v>
      </c>
      <c r="B1233" s="4" t="s">
        <v>120</v>
      </c>
      <c r="C1233" s="4" t="s">
        <v>1489</v>
      </c>
      <c r="D1233" s="4" t="s">
        <v>155</v>
      </c>
      <c r="E1233" s="4" t="s">
        <v>46</v>
      </c>
      <c r="F1233" s="5" t="n">
        <v>18036.42</v>
      </c>
      <c r="G1233" s="6" t="n">
        <v>0</v>
      </c>
      <c r="H1233" s="5" t="n">
        <v>0</v>
      </c>
      <c r="I1233" s="5" t="n">
        <v>18036.42</v>
      </c>
    </row>
    <row r="1234" customFormat="false" ht="15" hidden="false" customHeight="false" outlineLevel="0" collapsed="false">
      <c r="A1234" s="4" t="s">
        <v>1605</v>
      </c>
      <c r="B1234" s="4" t="s">
        <v>120</v>
      </c>
      <c r="C1234" s="4" t="s">
        <v>1489</v>
      </c>
      <c r="D1234" s="4" t="s">
        <v>149</v>
      </c>
      <c r="E1234" s="4" t="s">
        <v>21</v>
      </c>
      <c r="F1234" s="5" t="n">
        <v>9112.73</v>
      </c>
      <c r="G1234" s="6" t="n">
        <v>0.05</v>
      </c>
      <c r="H1234" s="5" t="n">
        <v>455.64</v>
      </c>
      <c r="I1234" s="5" t="n">
        <v>9568.37</v>
      </c>
    </row>
    <row r="1235" customFormat="false" ht="15" hidden="false" customHeight="false" outlineLevel="0" collapsed="false">
      <c r="A1235" s="4" t="s">
        <v>1606</v>
      </c>
      <c r="B1235" s="4" t="s">
        <v>120</v>
      </c>
      <c r="C1235" s="4" t="s">
        <v>1549</v>
      </c>
      <c r="D1235" s="4" t="s">
        <v>155</v>
      </c>
      <c r="E1235" s="4" t="s">
        <v>21</v>
      </c>
      <c r="F1235" s="5" t="n">
        <v>12097.11</v>
      </c>
      <c r="G1235" s="6" t="n">
        <v>0.05</v>
      </c>
      <c r="H1235" s="5" t="n">
        <v>604.86</v>
      </c>
      <c r="I1235" s="5" t="n">
        <v>12701.97</v>
      </c>
    </row>
    <row r="1236" customFormat="false" ht="15" hidden="false" customHeight="false" outlineLevel="0" collapsed="false">
      <c r="A1236" s="4" t="s">
        <v>1607</v>
      </c>
      <c r="B1236" s="4" t="s">
        <v>120</v>
      </c>
      <c r="C1236" s="4" t="s">
        <v>1560</v>
      </c>
      <c r="D1236" s="4" t="s">
        <v>144</v>
      </c>
      <c r="E1236" s="4" t="s">
        <v>21</v>
      </c>
      <c r="F1236" s="5" t="n">
        <v>2246.79</v>
      </c>
      <c r="G1236" s="6" t="n">
        <v>0.05</v>
      </c>
      <c r="H1236" s="5" t="n">
        <v>112.34</v>
      </c>
      <c r="I1236" s="5" t="n">
        <v>2359.13</v>
      </c>
    </row>
    <row r="1237" customFormat="false" ht="15" hidden="false" customHeight="false" outlineLevel="0" collapsed="false">
      <c r="A1237" s="4" t="s">
        <v>1608</v>
      </c>
      <c r="B1237" s="4" t="s">
        <v>120</v>
      </c>
      <c r="C1237" s="4" t="s">
        <v>1596</v>
      </c>
      <c r="D1237" s="4" t="s">
        <v>123</v>
      </c>
      <c r="E1237" s="4" t="s">
        <v>21</v>
      </c>
      <c r="F1237" s="5" t="n">
        <v>28127.6</v>
      </c>
      <c r="G1237" s="6" t="n">
        <v>0.05</v>
      </c>
      <c r="H1237" s="5" t="n">
        <v>1406.38</v>
      </c>
      <c r="I1237" s="5" t="n">
        <v>29533.98</v>
      </c>
    </row>
    <row r="1238" customFormat="false" ht="15" hidden="false" customHeight="false" outlineLevel="0" collapsed="false">
      <c r="A1238" s="4" t="s">
        <v>1609</v>
      </c>
      <c r="B1238" s="4" t="s">
        <v>120</v>
      </c>
      <c r="C1238" s="4" t="s">
        <v>1485</v>
      </c>
      <c r="D1238" s="4" t="s">
        <v>125</v>
      </c>
      <c r="E1238" s="4" t="s">
        <v>28</v>
      </c>
      <c r="F1238" s="5" t="n">
        <v>36720.46</v>
      </c>
      <c r="G1238" s="6" t="n">
        <v>0</v>
      </c>
      <c r="H1238" s="5" t="n">
        <v>0</v>
      </c>
      <c r="I1238" s="5" t="n">
        <v>36720.46</v>
      </c>
    </row>
    <row r="1239" customFormat="false" ht="15" hidden="false" customHeight="false" outlineLevel="0" collapsed="false">
      <c r="A1239" s="4" t="s">
        <v>1610</v>
      </c>
      <c r="B1239" s="4" t="s">
        <v>120</v>
      </c>
      <c r="C1239" s="4" t="s">
        <v>1530</v>
      </c>
      <c r="D1239" s="4" t="s">
        <v>146</v>
      </c>
      <c r="E1239" s="4" t="s">
        <v>28</v>
      </c>
      <c r="F1239" s="5" t="n">
        <v>15573.44</v>
      </c>
      <c r="G1239" s="6" t="n">
        <v>0</v>
      </c>
      <c r="H1239" s="5" t="n">
        <v>0</v>
      </c>
      <c r="I1239" s="5" t="n">
        <v>15573.44</v>
      </c>
    </row>
    <row r="1240" customFormat="false" ht="15" hidden="false" customHeight="false" outlineLevel="0" collapsed="false">
      <c r="A1240" s="4" t="s">
        <v>1611</v>
      </c>
      <c r="B1240" s="4" t="s">
        <v>120</v>
      </c>
      <c r="C1240" s="4" t="s">
        <v>1511</v>
      </c>
      <c r="D1240" s="4" t="s">
        <v>130</v>
      </c>
      <c r="E1240" s="4" t="s">
        <v>21</v>
      </c>
      <c r="F1240" s="5" t="n">
        <v>6911.73</v>
      </c>
      <c r="G1240" s="6" t="n">
        <v>0.05</v>
      </c>
      <c r="H1240" s="5" t="n">
        <v>345.59</v>
      </c>
      <c r="I1240" s="5" t="n">
        <v>7257.32</v>
      </c>
    </row>
    <row r="1241" customFormat="false" ht="15" hidden="false" customHeight="false" outlineLevel="0" collapsed="false">
      <c r="A1241" s="4" t="s">
        <v>1612</v>
      </c>
      <c r="B1241" s="4" t="s">
        <v>120</v>
      </c>
      <c r="C1241" s="4" t="s">
        <v>1514</v>
      </c>
      <c r="D1241" s="4" t="s">
        <v>123</v>
      </c>
      <c r="E1241" s="4" t="s">
        <v>28</v>
      </c>
      <c r="F1241" s="5" t="n">
        <v>786.56</v>
      </c>
      <c r="G1241" s="6" t="n">
        <v>0</v>
      </c>
      <c r="H1241" s="5" t="n">
        <v>0</v>
      </c>
      <c r="I1241" s="5" t="n">
        <v>786.56</v>
      </c>
    </row>
    <row r="1242" customFormat="false" ht="15" hidden="false" customHeight="false" outlineLevel="0" collapsed="false">
      <c r="A1242" s="4" t="s">
        <v>1613</v>
      </c>
      <c r="B1242" s="4" t="s">
        <v>120</v>
      </c>
      <c r="C1242" s="4" t="s">
        <v>1575</v>
      </c>
      <c r="D1242" s="4" t="s">
        <v>155</v>
      </c>
      <c r="E1242" s="4" t="s">
        <v>21</v>
      </c>
      <c r="F1242" s="5" t="n">
        <v>29156</v>
      </c>
      <c r="G1242" s="6" t="n">
        <v>0.05</v>
      </c>
      <c r="H1242" s="5" t="n">
        <v>1457.8</v>
      </c>
      <c r="I1242" s="5" t="n">
        <v>30613.8</v>
      </c>
    </row>
    <row r="1243" customFormat="false" ht="15" hidden="false" customHeight="false" outlineLevel="0" collapsed="false">
      <c r="A1243" s="4" t="s">
        <v>1614</v>
      </c>
      <c r="B1243" s="4" t="s">
        <v>120</v>
      </c>
      <c r="C1243" s="4" t="s">
        <v>1563</v>
      </c>
      <c r="D1243" s="4" t="s">
        <v>121</v>
      </c>
      <c r="E1243" s="4" t="s">
        <v>21</v>
      </c>
      <c r="F1243" s="5" t="n">
        <v>30413.81</v>
      </c>
      <c r="G1243" s="6" t="n">
        <v>0.05</v>
      </c>
      <c r="H1243" s="5" t="n">
        <v>1520.69</v>
      </c>
      <c r="I1243" s="5" t="n">
        <v>31934.5</v>
      </c>
    </row>
    <row r="1244" customFormat="false" ht="15" hidden="false" customHeight="false" outlineLevel="0" collapsed="false">
      <c r="A1244" s="4" t="s">
        <v>1615</v>
      </c>
      <c r="B1244" s="4" t="s">
        <v>120</v>
      </c>
      <c r="C1244" s="4" t="s">
        <v>1487</v>
      </c>
      <c r="D1244" s="4" t="s">
        <v>125</v>
      </c>
      <c r="E1244" s="4" t="s">
        <v>21</v>
      </c>
      <c r="F1244" s="5" t="n">
        <v>41779.11</v>
      </c>
      <c r="G1244" s="6" t="n">
        <v>0.05</v>
      </c>
      <c r="H1244" s="5" t="n">
        <v>2088.96</v>
      </c>
      <c r="I1244" s="5" t="n">
        <v>43868.07</v>
      </c>
    </row>
    <row r="1245" customFormat="false" ht="15" hidden="false" customHeight="false" outlineLevel="0" collapsed="false">
      <c r="A1245" s="4" t="s">
        <v>1616</v>
      </c>
      <c r="B1245" s="4" t="s">
        <v>120</v>
      </c>
      <c r="C1245" s="4" t="s">
        <v>1495</v>
      </c>
      <c r="D1245" s="4" t="s">
        <v>130</v>
      </c>
      <c r="E1245" s="4" t="s">
        <v>21</v>
      </c>
      <c r="F1245" s="5" t="n">
        <v>18317.04</v>
      </c>
      <c r="G1245" s="6" t="n">
        <v>0.05</v>
      </c>
      <c r="H1245" s="5" t="n">
        <v>915.85</v>
      </c>
      <c r="I1245" s="5" t="n">
        <v>19232.89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2"/>
    <col collapsed="false" customWidth="true" hidden="false" outlineLevel="0" max="5" min="3" style="0" width="18"/>
  </cols>
  <sheetData>
    <row r="2" customFormat="false" ht="17.35" hidden="false" customHeight="false" outlineLevel="0" collapsed="false">
      <c r="B2" s="1" t="s">
        <v>1617</v>
      </c>
    </row>
    <row r="4" customFormat="false" ht="15" hidden="false" customHeight="false" outlineLevel="0" collapsed="false">
      <c r="B4" s="7" t="s">
        <v>1618</v>
      </c>
      <c r="C4" s="8" t="s">
        <v>1619</v>
      </c>
      <c r="D4" s="9" t="n">
        <f aca="false">SUMIFS(01_Invoice_Register!F2:F1245,01_Invoice_Register!B2:B1245,"Sales Invoice",01_Invoice_Register!E2:E1245,"Standard Rated 5%")</f>
        <v>27672753.17</v>
      </c>
    </row>
    <row r="5" customFormat="false" ht="15" hidden="false" customHeight="false" outlineLevel="0" collapsed="false">
      <c r="B5" s="7"/>
      <c r="C5" s="8" t="s">
        <v>1620</v>
      </c>
      <c r="D5" s="9" t="n">
        <f aca="false">SUMIFS(01_Invoice_Register!H2:H1245,01_Invoice_Register!B2:B1245,"Sales Invoice",01_Invoice_Register!E2:E1245,"Standard Rated 5%")</f>
        <v>1383637.72</v>
      </c>
    </row>
    <row r="6" customFormat="false" ht="15" hidden="false" customHeight="false" outlineLevel="0" collapsed="false">
      <c r="B6" s="7" t="s">
        <v>1621</v>
      </c>
      <c r="C6" s="8" t="s">
        <v>1622</v>
      </c>
      <c r="D6" s="9" t="n">
        <f aca="false">SUMIFS(01_Invoice_Register!F2:F1245,01_Invoice_Register!B2:B1245,"Sales Invoice",01_Invoice_Register!E2:E1245,"Zero Rated")</f>
        <v>7305035.91</v>
      </c>
    </row>
    <row r="7" customFormat="false" ht="15" hidden="false" customHeight="false" outlineLevel="0" collapsed="false">
      <c r="B7" s="7" t="s">
        <v>1623</v>
      </c>
      <c r="C7" s="8" t="s">
        <v>1624</v>
      </c>
      <c r="D7" s="9" t="n">
        <f aca="false">SUMIFS(01_Invoice_Register!F2:F1245,01_Invoice_Register!B2:B1245,"Sales Invoice",01_Invoice_Register!E2:E1245,"Exempt")</f>
        <v>4510431.59</v>
      </c>
    </row>
    <row r="8" customFormat="false" ht="15" hidden="false" customHeight="false" outlineLevel="0" collapsed="false">
      <c r="B8" s="7" t="s">
        <v>1625</v>
      </c>
      <c r="C8" s="8" t="s">
        <v>1626</v>
      </c>
      <c r="D8" s="9" t="n">
        <f aca="false">SUMIFS(01_Invoice_Register!F2:F1245,01_Invoice_Register!B2:B1245,"Purchase Invoice",01_Invoice_Register!E2:E1245,"Standard Rated 5%")</f>
        <v>6631400.4</v>
      </c>
    </row>
    <row r="9" customFormat="false" ht="15" hidden="false" customHeight="false" outlineLevel="0" collapsed="false">
      <c r="B9" s="7"/>
      <c r="C9" s="8" t="s">
        <v>1627</v>
      </c>
      <c r="D9" s="9" t="n">
        <f aca="false">SUMIFS(01_Invoice_Register!H2:H1245,01_Invoice_Register!B2:B1245,"Purchase Invoice",01_Invoice_Register!E2:E1245,"Standard Rated 5%")</f>
        <v>331570.03</v>
      </c>
    </row>
    <row r="11" customFormat="false" ht="15" hidden="false" customHeight="false" outlineLevel="0" collapsed="false">
      <c r="B11" s="7" t="s">
        <v>1628</v>
      </c>
      <c r="D11" s="10" t="n">
        <f aca="false">D5</f>
        <v>1383637.72</v>
      </c>
    </row>
    <row r="12" customFormat="false" ht="15" hidden="false" customHeight="false" outlineLevel="0" collapsed="false">
      <c r="B12" s="7" t="s">
        <v>1629</v>
      </c>
      <c r="D12" s="10" t="n">
        <f aca="false">D9</f>
        <v>331570.03</v>
      </c>
    </row>
    <row r="14" customFormat="false" ht="15" hidden="false" customHeight="false" outlineLevel="0" collapsed="false">
      <c r="B14" s="11" t="s">
        <v>1630</v>
      </c>
      <c r="D14" s="12" t="n">
        <f aca="false">D11-D12</f>
        <v>1052067.69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4"/>
    <col collapsed="false" customWidth="true" hidden="false" outlineLevel="0" max="7" min="3" style="0" width="20"/>
  </cols>
  <sheetData>
    <row r="2" customFormat="false" ht="17.35" hidden="false" customHeight="false" outlineLevel="0" collapsed="false">
      <c r="B2" s="1" t="s">
        <v>1631</v>
      </c>
    </row>
    <row r="4" customFormat="false" ht="23.85" hidden="false" customHeight="false" outlineLevel="0" collapsed="false">
      <c r="B4" s="3" t="s">
        <v>1632</v>
      </c>
      <c r="C4" s="3" t="s">
        <v>1633</v>
      </c>
      <c r="D4" s="3" t="s">
        <v>1634</v>
      </c>
      <c r="E4" s="3" t="s">
        <v>1635</v>
      </c>
      <c r="F4" s="3" t="s">
        <v>1636</v>
      </c>
      <c r="G4" s="3" t="s">
        <v>1637</v>
      </c>
    </row>
    <row r="5" customFormat="false" ht="15" hidden="false" customHeight="false" outlineLevel="0" collapsed="false">
      <c r="B5" s="13" t="s">
        <v>1638</v>
      </c>
      <c r="C5" s="14" t="n">
        <f aca="false">SUMIFS(01_Invoice_Register!H2:H1245,01_Invoice_Register!B2:B1245,"Sales Invoice",01_Invoice_Register!E2:E1245,"Standard Rated 5%",01_Invoice_Register!C2:C1245,"2026-01*"&amp;"-*")</f>
        <v>96052.89</v>
      </c>
      <c r="D5" s="14" t="n">
        <f aca="false">SUMIFS(01_Invoice_Register!H2:H1245,01_Invoice_Register!B2:B1245,"Purchase Invoice",01_Invoice_Register!E2:E1245,"Standard Rated 5%",01_Invoice_Register!C2:C1245,"2026-01*"&amp;"-*")</f>
        <v>33596.77</v>
      </c>
      <c r="E5" s="14" t="n">
        <f aca="false">C5-D5</f>
        <v>62456.12</v>
      </c>
      <c r="F5" s="14" t="n">
        <f aca="false">SUMIFS(01_Invoice_Register!F2:F1245,01_Invoice_Register!B2:B1245,"Sales Invoice",01_Invoice_Register!E2:E1245,"Zero Rated",01_Invoice_Register!C2:C1245,"2026-01*"&amp;"-*")</f>
        <v>680485.67</v>
      </c>
      <c r="G5" s="14" t="n">
        <f aca="false">SUMIFS(01_Invoice_Register!F2:F1245,01_Invoice_Register!B2:B1245,"Sales Invoice",01_Invoice_Register!E2:E1245,"Exempt",01_Invoice_Register!C2:C1245,"2026-01*"&amp;"-*")</f>
        <v>457933.09</v>
      </c>
    </row>
    <row r="6" customFormat="false" ht="15" hidden="false" customHeight="false" outlineLevel="0" collapsed="false">
      <c r="B6" s="13" t="s">
        <v>1639</v>
      </c>
      <c r="C6" s="14" t="n">
        <f aca="false">SUMIFS(01_Invoice_Register!H2:H1245,01_Invoice_Register!B2:B1245,"Sales Invoice",01_Invoice_Register!E2:E1245,"Standard Rated 5%",01_Invoice_Register!C2:C1245,"2026-02*"&amp;"-*")</f>
        <v>125692.22</v>
      </c>
      <c r="D6" s="14" t="n">
        <f aca="false">SUMIFS(01_Invoice_Register!H2:H1245,01_Invoice_Register!B2:B1245,"Purchase Invoice",01_Invoice_Register!E2:E1245,"Standard Rated 5%",01_Invoice_Register!C2:C1245,"2026-02*"&amp;"-*")</f>
        <v>25576.5</v>
      </c>
      <c r="E6" s="14" t="n">
        <f aca="false">C6-D6</f>
        <v>100115.72</v>
      </c>
      <c r="F6" s="14" t="n">
        <f aca="false">SUMIFS(01_Invoice_Register!F2:F1245,01_Invoice_Register!B2:B1245,"Sales Invoice",01_Invoice_Register!E2:E1245,"Zero Rated",01_Invoice_Register!C2:C1245,"2026-02*"&amp;"-*")</f>
        <v>777189.85</v>
      </c>
      <c r="G6" s="14" t="n">
        <f aca="false">SUMIFS(01_Invoice_Register!F2:F1245,01_Invoice_Register!B2:B1245,"Sales Invoice",01_Invoice_Register!E2:E1245,"Exempt",01_Invoice_Register!C2:C1245,"2026-02*"&amp;"-*")</f>
        <v>356982.94</v>
      </c>
    </row>
    <row r="7" customFormat="false" ht="15" hidden="false" customHeight="false" outlineLevel="0" collapsed="false">
      <c r="B7" s="13" t="s">
        <v>1640</v>
      </c>
      <c r="C7" s="14" t="n">
        <f aca="false">SUMIFS(01_Invoice_Register!H2:H1245,01_Invoice_Register!B2:B1245,"Sales Invoice",01_Invoice_Register!E2:E1245,"Standard Rated 5%",01_Invoice_Register!C2:C1245,"2026-03*"&amp;"-*")</f>
        <v>132212.31</v>
      </c>
      <c r="D7" s="14" t="n">
        <f aca="false">SUMIFS(01_Invoice_Register!H2:H1245,01_Invoice_Register!B2:B1245,"Purchase Invoice",01_Invoice_Register!E2:E1245,"Standard Rated 5%",01_Invoice_Register!C2:C1245,"2026-03*"&amp;"-*")</f>
        <v>21241.04</v>
      </c>
      <c r="E7" s="14" t="n">
        <f aca="false">C7-D7</f>
        <v>110971.27</v>
      </c>
      <c r="F7" s="14" t="n">
        <f aca="false">SUMIFS(01_Invoice_Register!F2:F1245,01_Invoice_Register!B2:B1245,"Sales Invoice",01_Invoice_Register!E2:E1245,"Zero Rated",01_Invoice_Register!C2:C1245,"2026-03*"&amp;"-*")</f>
        <v>601510.33</v>
      </c>
      <c r="G7" s="14" t="n">
        <f aca="false">SUMIFS(01_Invoice_Register!F2:F1245,01_Invoice_Register!B2:B1245,"Sales Invoice",01_Invoice_Register!E2:E1245,"Exempt",01_Invoice_Register!C2:C1245,"2026-03*"&amp;"-*")</f>
        <v>297699.92</v>
      </c>
    </row>
    <row r="8" customFormat="false" ht="15" hidden="false" customHeight="false" outlineLevel="0" collapsed="false">
      <c r="B8" s="13" t="s">
        <v>1641</v>
      </c>
      <c r="C8" s="14" t="n">
        <f aca="false">SUMIFS(01_Invoice_Register!H2:H1245,01_Invoice_Register!B2:B1245,"Sales Invoice",01_Invoice_Register!E2:E1245,"Standard Rated 5%",01_Invoice_Register!C2:C1245,"2026-04*"&amp;"-*")</f>
        <v>103925.11</v>
      </c>
      <c r="D8" s="14" t="n">
        <f aca="false">SUMIFS(01_Invoice_Register!H2:H1245,01_Invoice_Register!B2:B1245,"Purchase Invoice",01_Invoice_Register!E2:E1245,"Standard Rated 5%",01_Invoice_Register!C2:C1245,"2026-04*"&amp;"-*")</f>
        <v>22716.28</v>
      </c>
      <c r="E8" s="14" t="n">
        <f aca="false">C8-D8</f>
        <v>81208.83</v>
      </c>
      <c r="F8" s="14" t="n">
        <f aca="false">SUMIFS(01_Invoice_Register!F2:F1245,01_Invoice_Register!B2:B1245,"Sales Invoice",01_Invoice_Register!E2:E1245,"Zero Rated",01_Invoice_Register!C2:C1245,"2026-04*"&amp;"-*")</f>
        <v>470581.96</v>
      </c>
      <c r="G8" s="14" t="n">
        <f aca="false">SUMIFS(01_Invoice_Register!F2:F1245,01_Invoice_Register!B2:B1245,"Sales Invoice",01_Invoice_Register!E2:E1245,"Exempt",01_Invoice_Register!C2:C1245,"2026-04*"&amp;"-*")</f>
        <v>203637.58</v>
      </c>
    </row>
    <row r="9" customFormat="false" ht="15" hidden="false" customHeight="false" outlineLevel="0" collapsed="false">
      <c r="B9" s="13" t="s">
        <v>1642</v>
      </c>
      <c r="C9" s="14" t="n">
        <f aca="false">SUMIFS(01_Invoice_Register!H2:H1245,01_Invoice_Register!B2:B1245,"Sales Invoice",01_Invoice_Register!E2:E1245,"Standard Rated 5%",01_Invoice_Register!C2:C1245,"2026-05*"&amp;"-*")</f>
        <v>117400.82</v>
      </c>
      <c r="D9" s="14" t="n">
        <f aca="false">SUMIFS(01_Invoice_Register!H2:H1245,01_Invoice_Register!B2:B1245,"Purchase Invoice",01_Invoice_Register!E2:E1245,"Standard Rated 5%",01_Invoice_Register!C2:C1245,"2026-05*"&amp;"-*")</f>
        <v>24058.6</v>
      </c>
      <c r="E9" s="14" t="n">
        <f aca="false">C9-D9</f>
        <v>93342.22</v>
      </c>
      <c r="F9" s="14" t="n">
        <f aca="false">SUMIFS(01_Invoice_Register!F2:F1245,01_Invoice_Register!B2:B1245,"Sales Invoice",01_Invoice_Register!E2:E1245,"Zero Rated",01_Invoice_Register!C2:C1245,"2026-05*"&amp;"-*")</f>
        <v>253006.28</v>
      </c>
      <c r="G9" s="14" t="n">
        <f aca="false">SUMIFS(01_Invoice_Register!F2:F1245,01_Invoice_Register!B2:B1245,"Sales Invoice",01_Invoice_Register!E2:E1245,"Exempt",01_Invoice_Register!C2:C1245,"2026-05*"&amp;"-*")</f>
        <v>361003.02</v>
      </c>
    </row>
    <row r="10" customFormat="false" ht="15" hidden="false" customHeight="false" outlineLevel="0" collapsed="false">
      <c r="B10" s="13" t="s">
        <v>1643</v>
      </c>
      <c r="C10" s="14" t="n">
        <f aca="false">SUMIFS(01_Invoice_Register!H2:H1245,01_Invoice_Register!B2:B1245,"Sales Invoice",01_Invoice_Register!E2:E1245,"Standard Rated 5%",01_Invoice_Register!C2:C1245,"2026-06*"&amp;"-*")</f>
        <v>131367.22</v>
      </c>
      <c r="D10" s="14" t="n">
        <f aca="false">SUMIFS(01_Invoice_Register!H2:H1245,01_Invoice_Register!B2:B1245,"Purchase Invoice",01_Invoice_Register!E2:E1245,"Standard Rated 5%",01_Invoice_Register!C2:C1245,"2026-06*"&amp;"-*")</f>
        <v>29055.72</v>
      </c>
      <c r="E10" s="14" t="n">
        <f aca="false">C10-D10</f>
        <v>102311.5</v>
      </c>
      <c r="F10" s="14" t="n">
        <f aca="false">SUMIFS(01_Invoice_Register!F2:F1245,01_Invoice_Register!B2:B1245,"Sales Invoice",01_Invoice_Register!E2:E1245,"Zero Rated",01_Invoice_Register!C2:C1245,"2026-06*"&amp;"-*")</f>
        <v>595015.85</v>
      </c>
      <c r="G10" s="14" t="n">
        <f aca="false">SUMIFS(01_Invoice_Register!F2:F1245,01_Invoice_Register!B2:B1245,"Sales Invoice",01_Invoice_Register!E2:E1245,"Exempt",01_Invoice_Register!C2:C1245,"2026-06*"&amp;"-*")</f>
        <v>602410.23</v>
      </c>
    </row>
    <row r="11" customFormat="false" ht="15" hidden="false" customHeight="false" outlineLevel="0" collapsed="false">
      <c r="B11" s="13" t="s">
        <v>1644</v>
      </c>
      <c r="C11" s="14" t="n">
        <f aca="false">SUMIFS(01_Invoice_Register!H2:H1245,01_Invoice_Register!B2:B1245,"Sales Invoice",01_Invoice_Register!E2:E1245,"Standard Rated 5%",01_Invoice_Register!C2:C1245,"2026-07*"&amp;"-*")</f>
        <v>101453.44</v>
      </c>
      <c r="D11" s="14" t="n">
        <f aca="false">SUMIFS(01_Invoice_Register!H2:H1245,01_Invoice_Register!B2:B1245,"Purchase Invoice",01_Invoice_Register!E2:E1245,"Standard Rated 5%",01_Invoice_Register!C2:C1245,"2026-07*"&amp;"-*")</f>
        <v>24502.13</v>
      </c>
      <c r="E11" s="14" t="n">
        <f aca="false">C11-D11</f>
        <v>76951.31</v>
      </c>
      <c r="F11" s="14" t="n">
        <f aca="false">SUMIFS(01_Invoice_Register!F2:F1245,01_Invoice_Register!B2:B1245,"Sales Invoice",01_Invoice_Register!E2:E1245,"Zero Rated",01_Invoice_Register!C2:C1245,"2026-07*"&amp;"-*")</f>
        <v>739792.31</v>
      </c>
      <c r="G11" s="14" t="n">
        <f aca="false">SUMIFS(01_Invoice_Register!F2:F1245,01_Invoice_Register!B2:B1245,"Sales Invoice",01_Invoice_Register!E2:E1245,"Exempt",01_Invoice_Register!C2:C1245,"2026-07*"&amp;"-*")</f>
        <v>250392.03</v>
      </c>
    </row>
    <row r="12" customFormat="false" ht="15" hidden="false" customHeight="false" outlineLevel="0" collapsed="false">
      <c r="B12" s="13" t="s">
        <v>1645</v>
      </c>
      <c r="C12" s="14" t="n">
        <f aca="false">SUMIFS(01_Invoice_Register!H2:H1245,01_Invoice_Register!B2:B1245,"Sales Invoice",01_Invoice_Register!E2:E1245,"Standard Rated 5%",01_Invoice_Register!C2:C1245,"2026-08*"&amp;"-*")</f>
        <v>126051.82</v>
      </c>
      <c r="D12" s="14" t="n">
        <f aca="false">SUMIFS(01_Invoice_Register!H2:H1245,01_Invoice_Register!B2:B1245,"Purchase Invoice",01_Invoice_Register!E2:E1245,"Standard Rated 5%",01_Invoice_Register!C2:C1245,"2026-08*"&amp;"-*")</f>
        <v>30210.29</v>
      </c>
      <c r="E12" s="14" t="n">
        <f aca="false">C12-D12</f>
        <v>95841.53</v>
      </c>
      <c r="F12" s="14" t="n">
        <f aca="false">SUMIFS(01_Invoice_Register!F2:F1245,01_Invoice_Register!B2:B1245,"Sales Invoice",01_Invoice_Register!E2:E1245,"Zero Rated",01_Invoice_Register!C2:C1245,"2026-08*"&amp;"-*")</f>
        <v>723371.78</v>
      </c>
      <c r="G12" s="14" t="n">
        <f aca="false">SUMIFS(01_Invoice_Register!F2:F1245,01_Invoice_Register!B2:B1245,"Sales Invoice",01_Invoice_Register!E2:E1245,"Exempt",01_Invoice_Register!C2:C1245,"2026-08*"&amp;"-*")</f>
        <v>439338.08</v>
      </c>
    </row>
    <row r="13" customFormat="false" ht="15" hidden="false" customHeight="false" outlineLevel="0" collapsed="false">
      <c r="B13" s="13" t="s">
        <v>1646</v>
      </c>
      <c r="C13" s="14" t="n">
        <f aca="false">SUMIFS(01_Invoice_Register!H2:H1245,01_Invoice_Register!B2:B1245,"Sales Invoice",01_Invoice_Register!E2:E1245,"Standard Rated 5%",01_Invoice_Register!C2:C1245,"2026-09*"&amp;"-*")</f>
        <v>114009.15</v>
      </c>
      <c r="D13" s="14" t="n">
        <f aca="false">SUMIFS(01_Invoice_Register!H2:H1245,01_Invoice_Register!B2:B1245,"Purchase Invoice",01_Invoice_Register!E2:E1245,"Standard Rated 5%",01_Invoice_Register!C2:C1245,"2026-09*"&amp;"-*")</f>
        <v>26174.78</v>
      </c>
      <c r="E13" s="14" t="n">
        <f aca="false">C13-D13</f>
        <v>87834.37</v>
      </c>
      <c r="F13" s="14" t="n">
        <f aca="false">SUMIFS(01_Invoice_Register!F2:F1245,01_Invoice_Register!B2:B1245,"Sales Invoice",01_Invoice_Register!E2:E1245,"Zero Rated",01_Invoice_Register!C2:C1245,"2026-09*"&amp;"-*")</f>
        <v>509908.08</v>
      </c>
      <c r="G13" s="14" t="n">
        <f aca="false">SUMIFS(01_Invoice_Register!F2:F1245,01_Invoice_Register!B2:B1245,"Sales Invoice",01_Invoice_Register!E2:E1245,"Exempt",01_Invoice_Register!C2:C1245,"2026-09*"&amp;"-*")</f>
        <v>316579.42</v>
      </c>
    </row>
    <row r="14" customFormat="false" ht="15" hidden="false" customHeight="false" outlineLevel="0" collapsed="false">
      <c r="B14" s="13" t="s">
        <v>1647</v>
      </c>
      <c r="C14" s="14" t="n">
        <f aca="false">SUMIFS(01_Invoice_Register!H2:H1245,01_Invoice_Register!B2:B1245,"Sales Invoice",01_Invoice_Register!E2:E1245,"Standard Rated 5%",01_Invoice_Register!C2:C1245,"2026-10*"&amp;"-*")</f>
        <v>109460.73</v>
      </c>
      <c r="D14" s="14" t="n">
        <f aca="false">SUMIFS(01_Invoice_Register!H2:H1245,01_Invoice_Register!B2:B1245,"Purchase Invoice",01_Invoice_Register!E2:E1245,"Standard Rated 5%",01_Invoice_Register!C2:C1245,"2026-10*"&amp;"-*")</f>
        <v>35200.96</v>
      </c>
      <c r="E14" s="14" t="n">
        <f aca="false">C14-D14</f>
        <v>74259.77</v>
      </c>
      <c r="F14" s="14" t="n">
        <f aca="false">SUMIFS(01_Invoice_Register!F2:F1245,01_Invoice_Register!B2:B1245,"Sales Invoice",01_Invoice_Register!E2:E1245,"Zero Rated",01_Invoice_Register!C2:C1245,"2026-10*"&amp;"-*")</f>
        <v>412127.34</v>
      </c>
      <c r="G14" s="14" t="n">
        <f aca="false">SUMIFS(01_Invoice_Register!F2:F1245,01_Invoice_Register!B2:B1245,"Sales Invoice",01_Invoice_Register!E2:E1245,"Exempt",01_Invoice_Register!C2:C1245,"2026-10*"&amp;"-*")</f>
        <v>227063.48</v>
      </c>
    </row>
    <row r="15" customFormat="false" ht="15" hidden="false" customHeight="false" outlineLevel="0" collapsed="false">
      <c r="B15" s="13" t="s">
        <v>1648</v>
      </c>
      <c r="C15" s="14" t="n">
        <f aca="false">SUMIFS(01_Invoice_Register!H2:H1245,01_Invoice_Register!B2:B1245,"Sales Invoice",01_Invoice_Register!E2:E1245,"Standard Rated 5%",01_Invoice_Register!C2:C1245,"2026-11*"&amp;"-*")</f>
        <v>122721.62</v>
      </c>
      <c r="D15" s="14" t="n">
        <f aca="false">SUMIFS(01_Invoice_Register!H2:H1245,01_Invoice_Register!B2:B1245,"Purchase Invoice",01_Invoice_Register!E2:E1245,"Standard Rated 5%",01_Invoice_Register!C2:C1245,"2026-11*"&amp;"-*")</f>
        <v>24420.81</v>
      </c>
      <c r="E15" s="14" t="n">
        <f aca="false">C15-D15</f>
        <v>98300.81</v>
      </c>
      <c r="F15" s="14" t="n">
        <f aca="false">SUMIFS(01_Invoice_Register!F2:F1245,01_Invoice_Register!B2:B1245,"Sales Invoice",01_Invoice_Register!E2:E1245,"Zero Rated",01_Invoice_Register!C2:C1245,"2026-11*"&amp;"-*")</f>
        <v>949929.31</v>
      </c>
      <c r="G15" s="14" t="n">
        <f aca="false">SUMIFS(01_Invoice_Register!F2:F1245,01_Invoice_Register!B2:B1245,"Sales Invoice",01_Invoice_Register!E2:E1245,"Exempt",01_Invoice_Register!C2:C1245,"2026-11*"&amp;"-*")</f>
        <v>420786.48</v>
      </c>
    </row>
    <row r="16" customFormat="false" ht="15" hidden="false" customHeight="false" outlineLevel="0" collapsed="false">
      <c r="B16" s="13" t="s">
        <v>1649</v>
      </c>
      <c r="C16" s="14" t="n">
        <f aca="false">SUMIFS(01_Invoice_Register!H2:H1245,01_Invoice_Register!B2:B1245,"Sales Invoice",01_Invoice_Register!E2:E1245,"Standard Rated 5%",01_Invoice_Register!C2:C1245,"2026-12*"&amp;"-*")</f>
        <v>103290.39</v>
      </c>
      <c r="D16" s="14" t="n">
        <f aca="false">SUMIFS(01_Invoice_Register!H2:H1245,01_Invoice_Register!B2:B1245,"Purchase Invoice",01_Invoice_Register!E2:E1245,"Standard Rated 5%",01_Invoice_Register!C2:C1245,"2026-12*"&amp;"-*")</f>
        <v>34816.15</v>
      </c>
      <c r="E16" s="14" t="n">
        <f aca="false">C16-D16</f>
        <v>68474.24</v>
      </c>
      <c r="F16" s="14" t="n">
        <f aca="false">SUMIFS(01_Invoice_Register!F2:F1245,01_Invoice_Register!B2:B1245,"Sales Invoice",01_Invoice_Register!E2:E1245,"Zero Rated",01_Invoice_Register!C2:C1245,"2026-12*"&amp;"-*")</f>
        <v>592117.15</v>
      </c>
      <c r="G16" s="14" t="n">
        <f aca="false">SUMIFS(01_Invoice_Register!F2:F1245,01_Invoice_Register!B2:B1245,"Sales Invoice",01_Invoice_Register!E2:E1245,"Exempt",01_Invoice_Register!C2:C1245,"2026-12*"&amp;"-*")</f>
        <v>576605.32</v>
      </c>
    </row>
    <row r="18" customFormat="false" ht="15" hidden="false" customHeight="false" outlineLevel="0" collapsed="false">
      <c r="B18" s="7" t="s">
        <v>1650</v>
      </c>
      <c r="E18" s="10" t="n">
        <f aca="false">SUM(E5:E16)-02_VAT_Return!D14</f>
        <v>0</v>
      </c>
    </row>
  </sheetData>
  <conditionalFormatting sqref="E18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2026-09-17T04:33:16Z</dcterms:created>
  <dc:creator>openpyxl</dc:creator>
  <dc:description/>
  <dc:language>en-US</dc:language>
  <cp:lastModifiedBy/>
  <dcterms:modified xsi:type="dcterms:W3CDTF">2026-09-17T04:33:17Z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