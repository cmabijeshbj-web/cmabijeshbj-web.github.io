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_Summary" sheetId="1" state="visible" r:id="rId3"/>
    <sheet name="VAT201_Return" sheetId="2" state="visible" r:id="rId4"/>
    <sheet name="Monthly_Trend" sheetId="3" state="visible" r:id="rId5"/>
    <sheet name="Emirate_Split" sheetId="4" state="visible" r:id="rId6"/>
    <sheet name="Exceptions" sheetId="5" state="visible" r:id="rId7"/>
    <sheet name="Turnover_Recon" sheetId="6" state="visible" r:id="rId8"/>
    <sheet name="Register" sheetId="7" state="visible" r:id="rId9"/>
    <sheet name="KPI_Dictionary" sheetId="8" state="visible" r:id="rId10"/>
    <sheet name="Checks" sheetId="9" state="visible" r:id="rId11"/>
  </sheets>
  <definedNames>
    <definedName function="false" hidden="true" localSheetId="6" name="_xlnm._FilterDatabase" vbProcedure="false">Register!$A$5:$R$1255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<sst xmlns="http://schemas.openxmlformats.org/spreadsheetml/2006/main" count="7725" uniqueCount="1583">
  <si>
    <t xml:space="preserve">Meridian Gulf Trading LLC — UAE VAT Compliance Pack</t>
  </si>
  <si>
    <t xml:space="preserve">Illustrative UAE taxable person · calendar 2025 · AED · quarterly VAT 201 returns · change the period in C4</t>
  </si>
  <si>
    <t xml:space="preserve">Return period ▸</t>
  </si>
  <si>
    <t xml:space="preserve">FY2025</t>
  </si>
  <si>
    <t xml:space="preserve">Quarter key</t>
  </si>
  <si>
    <t xml:space="preserve">Model status</t>
  </si>
  <si>
    <t xml:space="preserve">1 · HEADLINE KPIs (selected period)</t>
  </si>
  <si>
    <t xml:space="preserve">Total sales (net of VAT)</t>
  </si>
  <si>
    <t xml:space="preserve">standard + zero-rated + exempt + out of scope</t>
  </si>
  <si>
    <t xml:space="preserve">Standard-rated sales</t>
  </si>
  <si>
    <t xml:space="preserve">Zero-rated exports</t>
  </si>
  <si>
    <t xml:space="preserve">of sales</t>
  </si>
  <si>
    <t xml:space="preserve">Output VAT (standard-rated sales)</t>
  </si>
  <si>
    <t xml:space="preserve">Output VAT — reverse charge (self-assessed)</t>
  </si>
  <si>
    <t xml:space="preserve">Input VAT recovered (incl. reverse charge)</t>
  </si>
  <si>
    <t xml:space="preserve">NET VAT PAYABLE / (REFUNDABLE)</t>
  </si>
  <si>
    <t xml:space="preserve">positive = pay FTA · negative = refund claim</t>
  </si>
  <si>
    <t xml:space="preserve">Input VAT not recoverable (blocked / no TRN)</t>
  </si>
  <si>
    <t xml:space="preserve">cost leakage</t>
  </si>
  <si>
    <t xml:space="preserve">Input VAT recovery rate</t>
  </si>
  <si>
    <t xml:space="preserve">recovered ÷ total input VAT incurred</t>
  </si>
  <si>
    <t xml:space="preserve">Effective VAT rate on total sales</t>
  </si>
  <si>
    <t xml:space="preserve">output VAT ÷ total sales (5% if all standard-rated)</t>
  </si>
  <si>
    <t xml:space="preserve">Compliance exceptions (documents)</t>
  </si>
  <si>
    <t xml:space="preserve">invalid TRN, blocked input, late posting</t>
  </si>
  <si>
    <t xml:space="preserve">2 · QUARTERLY VAT SUMMARY (all periods)</t>
  </si>
  <si>
    <t xml:space="preserve">Quarter</t>
  </si>
  <si>
    <t xml:space="preserve">Standard sales</t>
  </si>
  <si>
    <t xml:space="preserve">Zero-rated</t>
  </si>
  <si>
    <t xml:space="preserve">Exempt + OOS</t>
  </si>
  <si>
    <t xml:space="preserve">Total sales</t>
  </si>
  <si>
    <t xml:space="preserve">Output VAT</t>
  </si>
  <si>
    <t xml:space="preserve">Reverse-charge VAT</t>
  </si>
  <si>
    <t xml:space="preserve">Input VAT recovered</t>
  </si>
  <si>
    <t xml:space="preserve">Net VAT</t>
  </si>
  <si>
    <t xml:space="preserve">Position</t>
  </si>
  <si>
    <t xml:space="preserve">Q1</t>
  </si>
  <si>
    <t xml:space="preserve">Q2</t>
  </si>
  <si>
    <t xml:space="preserve">Q3</t>
  </si>
  <si>
    <t xml:space="preserve">Q4</t>
  </si>
  <si>
    <t xml:space="preserve">3 · KEY MESSAGES (auto-generated)</t>
  </si>
  <si>
    <t xml:space="preserve">VAT 201 return — box-by-box</t>
  </si>
  <si>
    <t xml:space="preserve">Maps the register to the FTA return layout for the period selected on Exec_Summary!C4 (amounts net of VAT, AED)</t>
  </si>
  <si>
    <t xml:space="preserve">Period</t>
  </si>
  <si>
    <t xml:space="preserve">Taxable person</t>
  </si>
  <si>
    <t xml:space="preserve">Meridian Gulf Trading LLC</t>
  </si>
  <si>
    <t xml:space="preserve">Box</t>
  </si>
  <si>
    <t xml:space="preserve">Description</t>
  </si>
  <si>
    <t xml:space="preserve">Amount (AED)</t>
  </si>
  <si>
    <t xml:space="preserve">VAT (AED)</t>
  </si>
  <si>
    <t xml:space="preserve">1a</t>
  </si>
  <si>
    <t xml:space="preserve">Standard-rated supplies — Abu Dhabi</t>
  </si>
  <si>
    <t xml:space="preserve">1b</t>
  </si>
  <si>
    <t xml:space="preserve">Standard-rated supplies — Dubai</t>
  </si>
  <si>
    <t xml:space="preserve">1c</t>
  </si>
  <si>
    <t xml:space="preserve">Standard-rated supplies — Sharjah</t>
  </si>
  <si>
    <t xml:space="preserve">1d</t>
  </si>
  <si>
    <t xml:space="preserve">Standard-rated supplies — Ajman</t>
  </si>
  <si>
    <t xml:space="preserve">1e</t>
  </si>
  <si>
    <t xml:space="preserve">Standard-rated supplies — Umm Al Quwain</t>
  </si>
  <si>
    <t xml:space="preserve">1f</t>
  </si>
  <si>
    <t xml:space="preserve">Standard-rated supplies — Ras Al Khaimah</t>
  </si>
  <si>
    <t xml:space="preserve">1g</t>
  </si>
  <si>
    <t xml:space="preserve">Standard-rated supplies — Fujairah</t>
  </si>
  <si>
    <t xml:space="preserve">2</t>
  </si>
  <si>
    <t xml:space="preserve">Tax refunds provided to tourists</t>
  </si>
  <si>
    <t xml:space="preserve">3</t>
  </si>
  <si>
    <t xml:space="preserve">Supplies subject to reverse charge provisions</t>
  </si>
  <si>
    <t xml:space="preserve">4</t>
  </si>
  <si>
    <t xml:space="preserve">Zero-rated supplies</t>
  </si>
  <si>
    <t xml:space="preserve">5</t>
  </si>
  <si>
    <t xml:space="preserve">Exempt supplies</t>
  </si>
  <si>
    <t xml:space="preserve">6</t>
  </si>
  <si>
    <t xml:space="preserve">Goods imported into the UAE</t>
  </si>
  <si>
    <t xml:space="preserve">7</t>
  </si>
  <si>
    <t xml:space="preserve">Adjustments to goods imported</t>
  </si>
  <si>
    <t xml:space="preserve">8</t>
  </si>
  <si>
    <t xml:space="preserve">TOTALS (boxes 1–7)</t>
  </si>
  <si>
    <t xml:space="preserve">9</t>
  </si>
  <si>
    <t xml:space="preserve">Standard-rated expenses (incl. capital assets; excl. blocked / no TRN)</t>
  </si>
  <si>
    <t xml:space="preserve">10</t>
  </si>
  <si>
    <t xml:space="preserve">11</t>
  </si>
  <si>
    <t xml:space="preserve">TOTALS (boxes 9–10)</t>
  </si>
  <si>
    <t xml:space="preserve">12</t>
  </si>
  <si>
    <t xml:space="preserve">Total due tax for the period</t>
  </si>
  <si>
    <t xml:space="preserve">13</t>
  </si>
  <si>
    <t xml:space="preserve">Total recoverable tax for the period</t>
  </si>
  <si>
    <t xml:space="preserve">14</t>
  </si>
  <si>
    <t xml:space="preserve">PAYABLE TAX / (REFUNDABLE) for the period</t>
  </si>
  <si>
    <t xml:space="preserve">Memo: input VAT not recoverable (blocked entertainment / no valid TRN)</t>
  </si>
  <si>
    <t xml:space="preserve">Memo: reconciliation to Exec_Summary net VAT (should be 0)</t>
  </si>
  <si>
    <t xml:space="preserve">Monthly VAT trend — 2025</t>
  </si>
  <si>
    <t xml:space="preserve">Output VAT, recoverable input VAT and net position by month</t>
  </si>
  <si>
    <t xml:space="preserve">Month</t>
  </si>
  <si>
    <t xml:space="preserve">Documents</t>
  </si>
  <si>
    <t xml:space="preserve">Total</t>
  </si>
  <si>
    <t xml:space="preserve">Standard-rated sales by emirate (VAT 201 boxes 1a–1g)</t>
  </si>
  <si>
    <t xml:space="preserve">Full-year 2025 · AED · supports place-of-supply review</t>
  </si>
  <si>
    <t xml:space="preserve">Emirate</t>
  </si>
  <si>
    <t xml:space="preserve">Share</t>
  </si>
  <si>
    <t xml:space="preserve">Dubai</t>
  </si>
  <si>
    <t xml:space="preserve">Abu Dhabi</t>
  </si>
  <si>
    <t xml:space="preserve">Sharjah</t>
  </si>
  <si>
    <t xml:space="preserve">Ajman</t>
  </si>
  <si>
    <t xml:space="preserve">Ras Al Khaimah</t>
  </si>
  <si>
    <t xml:space="preserve">Fujairah</t>
  </si>
  <si>
    <t xml:space="preserve">Umm Al Quwain</t>
  </si>
  <si>
    <t xml:space="preserve">Compliance exceptions</t>
  </si>
  <si>
    <t xml:space="preserve">Automatically flagged by the VAT engine in the Register (column R)</t>
  </si>
  <si>
    <t xml:space="preserve">Exception type</t>
  </si>
  <si>
    <t xml:space="preserve">Net value (AED)</t>
  </si>
  <si>
    <t xml:space="preserve">VAT at risk (AED)</t>
  </si>
  <si>
    <t xml:space="preserve">Invalid / missing TRN</t>
  </si>
  <si>
    <t xml:space="preserve">Blocked input</t>
  </si>
  <si>
    <t xml:space="preserve">Late posting (&gt;30d)</t>
  </si>
  <si>
    <t xml:space="preserve">Exception rate (documents flagged ÷ total documents)</t>
  </si>
  <si>
    <t xml:space="preserve">Recommended actions</t>
  </si>
  <si>
    <t xml:space="preserve">• Invalid TRN: obtain valid supplier TRN / tax invoice before claiming input VAT; hold payment until resolved.</t>
  </si>
  <si>
    <t xml:space="preserve">• Blocked input: confirm entertainment-type spend is coded to non-recoverable GL; review policy for client events.</t>
  </si>
  <si>
    <t xml:space="preserve">• Late posting: tighten month-end cut-off so tax points fall in the correct VAT return period (penalty exposure).</t>
  </si>
  <si>
    <t xml:space="preserve">Turnover reconciliation — VAT returns vs financial statements</t>
  </si>
  <si>
    <t xml:space="preserve">A standard FTA-audit control: sales declared in VAT returns must reconcile to revenue in the accounts</t>
  </si>
  <si>
    <t xml:space="preserve">Item</t>
  </si>
  <si>
    <t xml:space="preserve">AED</t>
  </si>
  <si>
    <t xml:space="preserve">Note</t>
  </si>
  <si>
    <t xml:space="preserve">Standard-rated supplies (Box 1a–1g)</t>
  </si>
  <si>
    <t xml:space="preserve">Zero-rated supplies (Box 4)</t>
  </si>
  <si>
    <t xml:space="preserve">Exempt + out-of-scope supplies (Box 5 and non-VAT)</t>
  </si>
  <si>
    <t xml:space="preserve">Total supplies per VAT returns</t>
  </si>
  <si>
    <t xml:space="preserve">Revenue per general ledger / financial statements</t>
  </si>
  <si>
    <t xml:space="preserve">Input from the trial balance (illustrative)</t>
  </si>
  <si>
    <t xml:space="preserve">Difference to explain</t>
  </si>
  <si>
    <t xml:space="preserve">Reconciling items</t>
  </si>
  <si>
    <t xml:space="preserve">  Credit notes issued after period-end (timing)</t>
  </si>
  <si>
    <t xml:space="preserve">  FX revaluation on foreign-currency invoices</t>
  </si>
  <si>
    <t xml:space="preserve">  Total explained</t>
  </si>
  <si>
    <t xml:space="preserve">  UNEXPLAINED DIFFERENCE</t>
  </si>
  <si>
    <t xml:space="preserve">  Unexplained as % of GL revenue</t>
  </si>
  <si>
    <t xml:space="preserve">  Tolerance (management policy)</t>
  </si>
  <si>
    <t xml:space="preserve">  Result</t>
  </si>
  <si>
    <t xml:space="preserve">Invoice register — calendar 2025</t>
  </si>
  <si>
    <t xml:space="preserve">1,250 sales &amp; purchase documents (AED). Blue = source data; black = VAT engine formulas.</t>
  </si>
  <si>
    <t xml:space="preserve">Doc no</t>
  </si>
  <si>
    <t xml:space="preserve">Doc date</t>
  </si>
  <si>
    <t xml:space="preserve">Type</t>
  </si>
  <si>
    <t xml:space="preserve">Counterparty</t>
  </si>
  <si>
    <t xml:space="preserve">VAT category</t>
  </si>
  <si>
    <t xml:space="preserve">Net amount (AED)</t>
  </si>
  <si>
    <t xml:space="preserve">VAT rate</t>
  </si>
  <si>
    <t xml:space="preserve">TRN valid</t>
  </si>
  <si>
    <t xml:space="preserve">Posting date</t>
  </si>
  <si>
    <t xml:space="preserve">VAT amount</t>
  </si>
  <si>
    <t xml:space="preserve">Output VAT (std-rated sales)</t>
  </si>
  <si>
    <t xml:space="preserve">Output VAT (reverse charge)</t>
  </si>
  <si>
    <t xml:space="preserve">Input VAT recoverable</t>
  </si>
  <si>
    <t xml:space="preserve">VAT not recoverable</t>
  </si>
  <si>
    <t xml:space="preserve">Posting lag (days)</t>
  </si>
  <si>
    <t xml:space="preserve">Exception</t>
  </si>
  <si>
    <t xml:space="preserve">SI-2025-0095</t>
  </si>
  <si>
    <t xml:space="preserve">Sales</t>
  </si>
  <si>
    <t xml:space="preserve">Pinnacle Contracting</t>
  </si>
  <si>
    <t xml:space="preserve">Standard-rated 5%</t>
  </si>
  <si>
    <t xml:space="preserve">Y</t>
  </si>
  <si>
    <t xml:space="preserve">SI-2025-0502</t>
  </si>
  <si>
    <t xml:space="preserve">Summit General Trading</t>
  </si>
  <si>
    <t xml:space="preserve">PI-2025-0595</t>
  </si>
  <si>
    <t xml:space="preserve">Purchase</t>
  </si>
  <si>
    <t xml:space="preserve">Delta Supplies LLC</t>
  </si>
  <si>
    <t xml:space="preserve">PI-2025-0029</t>
  </si>
  <si>
    <t xml:space="preserve">PI-2025-0173</t>
  </si>
  <si>
    <t xml:space="preserve">Blocked input (entertainment)</t>
  </si>
  <si>
    <t xml:space="preserve">PI-2025-0192</t>
  </si>
  <si>
    <t xml:space="preserve">Granite Supplies LLC</t>
  </si>
  <si>
    <t xml:space="preserve">Reverse charge (imported services)</t>
  </si>
  <si>
    <t xml:space="preserve">SI-2025-0267</t>
  </si>
  <si>
    <t xml:space="preserve">Alpha FZE</t>
  </si>
  <si>
    <t xml:space="preserve">SI-2025-0312</t>
  </si>
  <si>
    <t xml:space="preserve">Delta FZE</t>
  </si>
  <si>
    <t xml:space="preserve">SI-2025-0365</t>
  </si>
  <si>
    <t xml:space="preserve">Horizon Contracting</t>
  </si>
  <si>
    <t xml:space="preserve">PI-2025-0302</t>
  </si>
  <si>
    <t xml:space="preserve">Granite Technologies</t>
  </si>
  <si>
    <t xml:space="preserve">SI-2025-0012</t>
  </si>
  <si>
    <t xml:space="preserve">PI-2025-0337</t>
  </si>
  <si>
    <t xml:space="preserve">Summit Supplies LLC</t>
  </si>
  <si>
    <t xml:space="preserve">SI-2025-0348</t>
  </si>
  <si>
    <t xml:space="preserve">Falcon General Trading</t>
  </si>
  <si>
    <t xml:space="preserve">PI-2025-0097</t>
  </si>
  <si>
    <t xml:space="preserve">Delta Technologies</t>
  </si>
  <si>
    <t xml:space="preserve">PI-2025-0286</t>
  </si>
  <si>
    <t xml:space="preserve">Atlas Facilities</t>
  </si>
  <si>
    <t xml:space="preserve">PI-2025-0405</t>
  </si>
  <si>
    <t xml:space="preserve">Nova Facilities</t>
  </si>
  <si>
    <t xml:space="preserve">PI-2025-0474</t>
  </si>
  <si>
    <t xml:space="preserve">Juniper Services FZCO</t>
  </si>
  <si>
    <t xml:space="preserve">PI-2025-0506</t>
  </si>
  <si>
    <t xml:space="preserve">Summit Technologies</t>
  </si>
  <si>
    <t xml:space="preserve">PI-2025-0111</t>
  </si>
  <si>
    <t xml:space="preserve">PI-2025-0163</t>
  </si>
  <si>
    <t xml:space="preserve">Harbor Services FZCO</t>
  </si>
  <si>
    <t xml:space="preserve">PI-2025-0355</t>
  </si>
  <si>
    <t xml:space="preserve">Vertex Facilities</t>
  </si>
  <si>
    <t xml:space="preserve">PI-2025-0473</t>
  </si>
  <si>
    <t xml:space="preserve">SI-2025-0446</t>
  </si>
  <si>
    <t xml:space="preserve">Beacon General Trading</t>
  </si>
  <si>
    <t xml:space="preserve">PI-2025-0061</t>
  </si>
  <si>
    <t xml:space="preserve">Vertex Technologies</t>
  </si>
  <si>
    <t xml:space="preserve">PI-2025-0068</t>
  </si>
  <si>
    <t xml:space="preserve">Granite Facilities</t>
  </si>
  <si>
    <t xml:space="preserve">PI-2025-0316</t>
  </si>
  <si>
    <t xml:space="preserve">Nova Technologies</t>
  </si>
  <si>
    <t xml:space="preserve">SI-2025-0361</t>
  </si>
  <si>
    <t xml:space="preserve">SI-2025-0447</t>
  </si>
  <si>
    <t xml:space="preserve">Alpha Trading LLC</t>
  </si>
  <si>
    <t xml:space="preserve">Out of scope</t>
  </si>
  <si>
    <t xml:space="preserve">SI-2025-0489</t>
  </si>
  <si>
    <t xml:space="preserve">Summit Trading LLC</t>
  </si>
  <si>
    <t xml:space="preserve">PI-2025-0318</t>
  </si>
  <si>
    <t xml:space="preserve">Atlas Technologies</t>
  </si>
  <si>
    <t xml:space="preserve">PI-2025-0335</t>
  </si>
  <si>
    <t xml:space="preserve">PI-2025-0401</t>
  </si>
  <si>
    <t xml:space="preserve">Cobalt Supplies LLC</t>
  </si>
  <si>
    <t xml:space="preserve">SI-2025-0535</t>
  </si>
  <si>
    <t xml:space="preserve">Atlas FZE</t>
  </si>
  <si>
    <t xml:space="preserve">SI-2025-0537</t>
  </si>
  <si>
    <t xml:space="preserve">Delta Contracting</t>
  </si>
  <si>
    <t xml:space="preserve">PI-2025-0040</t>
  </si>
  <si>
    <t xml:space="preserve">Nova Services FZCO</t>
  </si>
  <si>
    <t xml:space="preserve">PI-2025-0043</t>
  </si>
  <si>
    <t xml:space="preserve">Ivory Technologies</t>
  </si>
  <si>
    <t xml:space="preserve">PI-2025-0102</t>
  </si>
  <si>
    <t xml:space="preserve">Delta Facilities</t>
  </si>
  <si>
    <t xml:space="preserve">PI-2025-0144</t>
  </si>
  <si>
    <t xml:space="preserve">Summit Facilities</t>
  </si>
  <si>
    <t xml:space="preserve">SI-2025-0169</t>
  </si>
  <si>
    <t xml:space="preserve">Nova FZE</t>
  </si>
  <si>
    <t xml:space="preserve">SI-2025-0293</t>
  </si>
  <si>
    <t xml:space="preserve">Cobalt Contracting</t>
  </si>
  <si>
    <t xml:space="preserve">SI-2025-0355</t>
  </si>
  <si>
    <t xml:space="preserve">Summit FZE</t>
  </si>
  <si>
    <t xml:space="preserve">SI-2025-0391</t>
  </si>
  <si>
    <t xml:space="preserve">Pinnacle Trading LLC</t>
  </si>
  <si>
    <t xml:space="preserve">SI-2025-0465</t>
  </si>
  <si>
    <t xml:space="preserve">Orbit FZE</t>
  </si>
  <si>
    <t xml:space="preserve">SI-2025-0131</t>
  </si>
  <si>
    <t xml:space="preserve">Pinnacle General Trading</t>
  </si>
  <si>
    <t xml:space="preserve">SI-2025-0301</t>
  </si>
  <si>
    <t xml:space="preserve">Zenith Contracting</t>
  </si>
  <si>
    <t xml:space="preserve">SI-2025-0384</t>
  </si>
  <si>
    <t xml:space="preserve">Vertex Contracting</t>
  </si>
  <si>
    <t xml:space="preserve">PI-2025-0296</t>
  </si>
  <si>
    <t xml:space="preserve">Harbor Technologies</t>
  </si>
  <si>
    <t xml:space="preserve">PI-2025-0346</t>
  </si>
  <si>
    <t xml:space="preserve">Ember Facilities</t>
  </si>
  <si>
    <t xml:space="preserve">PI-2025-0397</t>
  </si>
  <si>
    <t xml:space="preserve">Fjord Technologies</t>
  </si>
  <si>
    <t xml:space="preserve">PI-2025-0411</t>
  </si>
  <si>
    <t xml:space="preserve">Orbit Services FZCO</t>
  </si>
  <si>
    <t xml:space="preserve">PI-2025-0501</t>
  </si>
  <si>
    <t xml:space="preserve">SI-2025-0137</t>
  </si>
  <si>
    <t xml:space="preserve">Crescent General Trading</t>
  </si>
  <si>
    <t xml:space="preserve">SI-2025-0434</t>
  </si>
  <si>
    <t xml:space="preserve">Alpha General Trading</t>
  </si>
  <si>
    <t xml:space="preserve">PI-2025-0013</t>
  </si>
  <si>
    <t xml:space="preserve">Vertex Services FZCO</t>
  </si>
  <si>
    <t xml:space="preserve">PI-2025-0199</t>
  </si>
  <si>
    <t xml:space="preserve">PI-2025-0594</t>
  </si>
  <si>
    <t xml:space="preserve">Orbit Facilities</t>
  </si>
  <si>
    <t xml:space="preserve">Exempt/Out of scope</t>
  </si>
  <si>
    <t xml:space="preserve">SI-2025-0620</t>
  </si>
  <si>
    <t xml:space="preserve">PI-2025-0363</t>
  </si>
  <si>
    <t xml:space="preserve">PI-2025-0478</t>
  </si>
  <si>
    <t xml:space="preserve">Beacon Technologies</t>
  </si>
  <si>
    <t xml:space="preserve">PI-2025-0581</t>
  </si>
  <si>
    <t xml:space="preserve">Granite Services FZCO</t>
  </si>
  <si>
    <t xml:space="preserve">PI-2025-0496</t>
  </si>
  <si>
    <t xml:space="preserve">SI-2025-0064</t>
  </si>
  <si>
    <t xml:space="preserve">Summit Contracting</t>
  </si>
  <si>
    <t xml:space="preserve">Zero-rated export</t>
  </si>
  <si>
    <t xml:space="preserve">PI-2025-0393</t>
  </si>
  <si>
    <t xml:space="preserve">Cobalt Services FZCO</t>
  </si>
  <si>
    <t xml:space="preserve">PI-2025-0409</t>
  </si>
  <si>
    <t xml:space="preserve">SI-2025-0613</t>
  </si>
  <si>
    <t xml:space="preserve">Pinnacle FZE</t>
  </si>
  <si>
    <t xml:space="preserve">PI-2025-0164</t>
  </si>
  <si>
    <t xml:space="preserve">Fjord Supplies LLC</t>
  </si>
  <si>
    <t xml:space="preserve">PI-2025-0225</t>
  </si>
  <si>
    <t xml:space="preserve">PI-2025-0399</t>
  </si>
  <si>
    <t xml:space="preserve">Ember Services FZCO</t>
  </si>
  <si>
    <t xml:space="preserve">SI-2025-0017</t>
  </si>
  <si>
    <t xml:space="preserve">Beacon Trading LLC</t>
  </si>
  <si>
    <t xml:space="preserve">PI-2025-0058</t>
  </si>
  <si>
    <t xml:space="preserve">SI-2025-0310</t>
  </si>
  <si>
    <t xml:space="preserve">Beacon Contracting</t>
  </si>
  <si>
    <t xml:space="preserve">PI-2025-0362</t>
  </si>
  <si>
    <t xml:space="preserve">Juniper Technologies</t>
  </si>
  <si>
    <t xml:space="preserve">PI-2025-0570</t>
  </si>
  <si>
    <t xml:space="preserve">Atlas Supplies LLC</t>
  </si>
  <si>
    <t xml:space="preserve">SI-2025-0473</t>
  </si>
  <si>
    <t xml:space="preserve">SI-2025-0559</t>
  </si>
  <si>
    <t xml:space="preserve">Horizon FZE</t>
  </si>
  <si>
    <t xml:space="preserve">Exempt (residential/financial)</t>
  </si>
  <si>
    <t xml:space="preserve">PI-2025-0087</t>
  </si>
  <si>
    <t xml:space="preserve">PI-2025-0124</t>
  </si>
  <si>
    <t xml:space="preserve">Zenith Facilities</t>
  </si>
  <si>
    <t xml:space="preserve">PI-2025-0185</t>
  </si>
  <si>
    <t xml:space="preserve">PI-2025-0468</t>
  </si>
  <si>
    <t xml:space="preserve">SI-2025-0266</t>
  </si>
  <si>
    <t xml:space="preserve">SI-2025-0452</t>
  </si>
  <si>
    <t xml:space="preserve">PI-2025-0041</t>
  </si>
  <si>
    <t xml:space="preserve">PI-2025-0129</t>
  </si>
  <si>
    <t xml:space="preserve">PI-2025-0165</t>
  </si>
  <si>
    <t xml:space="preserve">Vertex Supplies LLC</t>
  </si>
  <si>
    <t xml:space="preserve">PI-2025-0170</t>
  </si>
  <si>
    <t xml:space="preserve">PI-2025-0445</t>
  </si>
  <si>
    <t xml:space="preserve">Cobalt Facilities</t>
  </si>
  <si>
    <t xml:space="preserve">SI-2025-0577</t>
  </si>
  <si>
    <t xml:space="preserve">Crescent Trading LLC</t>
  </si>
  <si>
    <t xml:space="preserve">SI-2025-0331</t>
  </si>
  <si>
    <t xml:space="preserve">SI-2025-0475</t>
  </si>
  <si>
    <t xml:space="preserve">Cobalt General Trading</t>
  </si>
  <si>
    <t xml:space="preserve">SI-2025-0636</t>
  </si>
  <si>
    <t xml:space="preserve">Nova Contracting</t>
  </si>
  <si>
    <t xml:space="preserve">PI-2025-0065</t>
  </si>
  <si>
    <t xml:space="preserve">Juniper Supplies LLC</t>
  </si>
  <si>
    <t xml:space="preserve">PI-2025-0095</t>
  </si>
  <si>
    <t xml:space="preserve">Summit Services FZCO</t>
  </si>
  <si>
    <t xml:space="preserve">SI-2025-0038</t>
  </si>
  <si>
    <t xml:space="preserve">SI-2025-0304</t>
  </si>
  <si>
    <t xml:space="preserve">SI-2025-0458</t>
  </si>
  <si>
    <t xml:space="preserve">Falcon Trading LLC</t>
  </si>
  <si>
    <t xml:space="preserve">PI-2025-0115</t>
  </si>
  <si>
    <t xml:space="preserve">SI-2025-0381</t>
  </si>
  <si>
    <t xml:space="preserve">Orbit Contracting</t>
  </si>
  <si>
    <t xml:space="preserve">PI-2025-0387</t>
  </si>
  <si>
    <t xml:space="preserve">Ivory Facilities</t>
  </si>
  <si>
    <t xml:space="preserve">PI-2025-0575</t>
  </si>
  <si>
    <t xml:space="preserve">Zero-rated import/export</t>
  </si>
  <si>
    <t xml:space="preserve">SI-2025-0026</t>
  </si>
  <si>
    <t xml:space="preserve">Zenith FZE</t>
  </si>
  <si>
    <t xml:space="preserve">PI-2025-0198</t>
  </si>
  <si>
    <t xml:space="preserve">SI-2025-0144</t>
  </si>
  <si>
    <t xml:space="preserve">SI-2025-0197</t>
  </si>
  <si>
    <t xml:space="preserve">Ember Trading LLC</t>
  </si>
  <si>
    <t xml:space="preserve">SI-2025-0426</t>
  </si>
  <si>
    <t xml:space="preserve">Atlas General Trading</t>
  </si>
  <si>
    <t xml:space="preserve">SI-2025-0610</t>
  </si>
  <si>
    <t xml:space="preserve">PI-2025-0034</t>
  </si>
  <si>
    <t xml:space="preserve">Ivory Services FZCO</t>
  </si>
  <si>
    <t xml:space="preserve">No TRN / invalid</t>
  </si>
  <si>
    <t xml:space="preserve">N</t>
  </si>
  <si>
    <t xml:space="preserve">PI-2025-0200</t>
  </si>
  <si>
    <t xml:space="preserve">Beacon Facilities</t>
  </si>
  <si>
    <t xml:space="preserve">PI-2025-0513</t>
  </si>
  <si>
    <t xml:space="preserve">SI-2025-0085</t>
  </si>
  <si>
    <t xml:space="preserve">Horizon General Trading</t>
  </si>
  <si>
    <t xml:space="preserve">SI-2025-0150</t>
  </si>
  <si>
    <t xml:space="preserve">SI-2025-0253</t>
  </si>
  <si>
    <t xml:space="preserve">SI-2025-0281</t>
  </si>
  <si>
    <t xml:space="preserve">Atlas Trading LLC</t>
  </si>
  <si>
    <t xml:space="preserve">SI-2025-0563</t>
  </si>
  <si>
    <t xml:space="preserve">Orbit General Trading</t>
  </si>
  <si>
    <t xml:space="preserve">PI-2025-0268</t>
  </si>
  <si>
    <t xml:space="preserve">SI-2025-0155</t>
  </si>
  <si>
    <t xml:space="preserve">Crescent FZE</t>
  </si>
  <si>
    <t xml:space="preserve">SI-2025-0622</t>
  </si>
  <si>
    <t xml:space="preserve">PI-2025-0215</t>
  </si>
  <si>
    <t xml:space="preserve">PI-2025-0482</t>
  </si>
  <si>
    <t xml:space="preserve">SI-2025-0204</t>
  </si>
  <si>
    <t xml:space="preserve">SI-2025-0273</t>
  </si>
  <si>
    <t xml:space="preserve">PI-2025-0331</t>
  </si>
  <si>
    <t xml:space="preserve">PI-2025-0544</t>
  </si>
  <si>
    <t xml:space="preserve">SI-2025-0047</t>
  </si>
  <si>
    <t xml:space="preserve">Cobalt Trading LLC</t>
  </si>
  <si>
    <t xml:space="preserve">SI-2025-0212</t>
  </si>
  <si>
    <t xml:space="preserve">SI-2025-0479</t>
  </si>
  <si>
    <t xml:space="preserve">Crescent Contracting</t>
  </si>
  <si>
    <t xml:space="preserve">SI-2025-0168</t>
  </si>
  <si>
    <t xml:space="preserve">SI-2025-0515</t>
  </si>
  <si>
    <t xml:space="preserve">SI-2025-0614</t>
  </si>
  <si>
    <t xml:space="preserve">PI-2025-0395</t>
  </si>
  <si>
    <t xml:space="preserve">PI-2025-0446</t>
  </si>
  <si>
    <t xml:space="preserve">SI-2025-0199</t>
  </si>
  <si>
    <t xml:space="preserve">Falcon FZE</t>
  </si>
  <si>
    <t xml:space="preserve">SI-2025-0340</t>
  </si>
  <si>
    <t xml:space="preserve">SI-2025-0382</t>
  </si>
  <si>
    <t xml:space="preserve">SI-2025-0396</t>
  </si>
  <si>
    <t xml:space="preserve">PI-2025-0101</t>
  </si>
  <si>
    <t xml:space="preserve">SI-2025-0217</t>
  </si>
  <si>
    <t xml:space="preserve">PI-2025-0104</t>
  </si>
  <si>
    <t xml:space="preserve">Delta Services FZCO</t>
  </si>
  <si>
    <t xml:space="preserve">PI-2025-0206</t>
  </si>
  <si>
    <t xml:space="preserve">Capital asset</t>
  </si>
  <si>
    <t xml:space="preserve">PI-2025-0421</t>
  </si>
  <si>
    <t xml:space="preserve">SI-2025-0488</t>
  </si>
  <si>
    <t xml:space="preserve">PI-2025-0254</t>
  </si>
  <si>
    <t xml:space="preserve">PI-2025-0444</t>
  </si>
  <si>
    <t xml:space="preserve">PI-2025-0610</t>
  </si>
  <si>
    <t xml:space="preserve">SI-2025-0191</t>
  </si>
  <si>
    <t xml:space="preserve">SI-2025-0176</t>
  </si>
  <si>
    <t xml:space="preserve">SI-2025-0414</t>
  </si>
  <si>
    <t xml:space="preserve">Vertex FZE</t>
  </si>
  <si>
    <t xml:space="preserve">PI-2025-0271</t>
  </si>
  <si>
    <t xml:space="preserve">SI-2025-0175</t>
  </si>
  <si>
    <t xml:space="preserve">SI-2025-0186</t>
  </si>
  <si>
    <t xml:space="preserve">Nova General Trading</t>
  </si>
  <si>
    <t xml:space="preserve">SI-2025-0433</t>
  </si>
  <si>
    <t xml:space="preserve">PI-2025-0251</t>
  </si>
  <si>
    <t xml:space="preserve">Beacon Supplies LLC</t>
  </si>
  <si>
    <t xml:space="preserve">PI-2025-0450</t>
  </si>
  <si>
    <t xml:space="preserve">PI-2025-0466</t>
  </si>
  <si>
    <t xml:space="preserve">Zenith Supplies LLC</t>
  </si>
  <si>
    <t xml:space="preserve">PI-2025-0508</t>
  </si>
  <si>
    <t xml:space="preserve">PI-2025-0588</t>
  </si>
  <si>
    <t xml:space="preserve">SI-2025-0049</t>
  </si>
  <si>
    <t xml:space="preserve">Delta Trading LLC</t>
  </si>
  <si>
    <t xml:space="preserve">SI-2025-0627</t>
  </si>
  <si>
    <t xml:space="preserve">PI-2025-0003</t>
  </si>
  <si>
    <t xml:space="preserve">SI-2025-0291</t>
  </si>
  <si>
    <t xml:space="preserve">PI-2025-0059</t>
  </si>
  <si>
    <t xml:space="preserve">SI-2025-0333</t>
  </si>
  <si>
    <t xml:space="preserve">SI-2025-0450</t>
  </si>
  <si>
    <t xml:space="preserve">SI-2025-0494</t>
  </si>
  <si>
    <t xml:space="preserve">Ember General Trading</t>
  </si>
  <si>
    <t xml:space="preserve">PI-2025-0027</t>
  </si>
  <si>
    <t xml:space="preserve">SI-2025-0270</t>
  </si>
  <si>
    <t xml:space="preserve">PI-2025-0009</t>
  </si>
  <si>
    <t xml:space="preserve">SI-2025-0216</t>
  </si>
  <si>
    <t xml:space="preserve">Zenith Trading LLC</t>
  </si>
  <si>
    <t xml:space="preserve">SI-2025-0306</t>
  </si>
  <si>
    <t xml:space="preserve">SI-2025-0490</t>
  </si>
  <si>
    <t xml:space="preserve">Cobalt FZE</t>
  </si>
  <si>
    <t xml:space="preserve">SI-2025-0496</t>
  </si>
  <si>
    <t xml:space="preserve">Beacon FZE</t>
  </si>
  <si>
    <t xml:space="preserve">PI-2025-0257</t>
  </si>
  <si>
    <t xml:space="preserve">Ivory Supplies LLC</t>
  </si>
  <si>
    <t xml:space="preserve">SI-2025-0011</t>
  </si>
  <si>
    <t xml:space="preserve">SI-2025-0257</t>
  </si>
  <si>
    <t xml:space="preserve">SI-2025-0359</t>
  </si>
  <si>
    <t xml:space="preserve">Vertex Trading LLC</t>
  </si>
  <si>
    <t xml:space="preserve">SI-2025-0439</t>
  </si>
  <si>
    <t xml:space="preserve">SI-2025-0328</t>
  </si>
  <si>
    <t xml:space="preserve">PI-2025-0154</t>
  </si>
  <si>
    <t xml:space="preserve">PI-2025-0504</t>
  </si>
  <si>
    <t xml:space="preserve">SI-2025-0178</t>
  </si>
  <si>
    <t xml:space="preserve">SI-2025-0237</t>
  </si>
  <si>
    <t xml:space="preserve">PI-2025-0063</t>
  </si>
  <si>
    <t xml:space="preserve">Beacon Services FZCO</t>
  </si>
  <si>
    <t xml:space="preserve">PI-2025-0373</t>
  </si>
  <si>
    <t xml:space="preserve">SI-2025-0547</t>
  </si>
  <si>
    <t xml:space="preserve">PI-2025-0391</t>
  </si>
  <si>
    <t xml:space="preserve">PI-2025-0430</t>
  </si>
  <si>
    <t xml:space="preserve">Orbit Supplies LLC</t>
  </si>
  <si>
    <t xml:space="preserve">PI-2025-0438</t>
  </si>
  <si>
    <t xml:space="preserve">SI-2025-0438</t>
  </si>
  <si>
    <t xml:space="preserve">SI-2025-0518</t>
  </si>
  <si>
    <t xml:space="preserve">PI-2025-0217</t>
  </si>
  <si>
    <t xml:space="preserve">PI-2025-0239</t>
  </si>
  <si>
    <t xml:space="preserve">Harbor Facilities</t>
  </si>
  <si>
    <t xml:space="preserve">PI-2025-0351</t>
  </si>
  <si>
    <t xml:space="preserve">Orbit Technologies</t>
  </si>
  <si>
    <t xml:space="preserve">PI-2025-0431</t>
  </si>
  <si>
    <t xml:space="preserve">Fjord Services FZCO</t>
  </si>
  <si>
    <t xml:space="preserve">SI-2025-0523</t>
  </si>
  <si>
    <t xml:space="preserve">PI-2025-0243</t>
  </si>
  <si>
    <t xml:space="preserve">PI-2025-0378</t>
  </si>
  <si>
    <t xml:space="preserve">Fjord Facilities</t>
  </si>
  <si>
    <t xml:space="preserve">SI-2025-0107</t>
  </si>
  <si>
    <t xml:space="preserve">SI-2025-0167</t>
  </si>
  <si>
    <t xml:space="preserve">PI-2025-0578</t>
  </si>
  <si>
    <t xml:space="preserve">SI-2025-0283</t>
  </si>
  <si>
    <t xml:space="preserve">SI-2025-0462</t>
  </si>
  <si>
    <t xml:space="preserve">PI-2025-0354</t>
  </si>
  <si>
    <t xml:space="preserve">SI-2025-0006</t>
  </si>
  <si>
    <t xml:space="preserve">SI-2025-0271</t>
  </si>
  <si>
    <t xml:space="preserve">PI-2025-0136</t>
  </si>
  <si>
    <t xml:space="preserve">PI-2025-0248</t>
  </si>
  <si>
    <t xml:space="preserve">PI-2025-0301</t>
  </si>
  <si>
    <t xml:space="preserve">SI-2025-0346</t>
  </si>
  <si>
    <t xml:space="preserve">SI-2025-0377</t>
  </si>
  <si>
    <t xml:space="preserve">PI-2025-0080</t>
  </si>
  <si>
    <t xml:space="preserve">SI-2025-0194</t>
  </si>
  <si>
    <t xml:space="preserve">SI-2025-0541</t>
  </si>
  <si>
    <t xml:space="preserve">PI-2025-0099</t>
  </si>
  <si>
    <t xml:space="preserve">SI-2025-0059</t>
  </si>
  <si>
    <t xml:space="preserve">PI-2025-0312</t>
  </si>
  <si>
    <t xml:space="preserve">PI-2025-0117</t>
  </si>
  <si>
    <t xml:space="preserve">PI-2025-0402</t>
  </si>
  <si>
    <t xml:space="preserve">PI-2025-0606</t>
  </si>
  <si>
    <t xml:space="preserve">SI-2025-0068</t>
  </si>
  <si>
    <t xml:space="preserve">Falcon Contracting</t>
  </si>
  <si>
    <t xml:space="preserve">SI-2025-0616</t>
  </si>
  <si>
    <t xml:space="preserve">PI-2025-0367</t>
  </si>
  <si>
    <t xml:space="preserve">PI-2025-0384</t>
  </si>
  <si>
    <t xml:space="preserve">PI-2025-0559</t>
  </si>
  <si>
    <t xml:space="preserve">SI-2025-0578</t>
  </si>
  <si>
    <t xml:space="preserve">PI-2025-0133</t>
  </si>
  <si>
    <t xml:space="preserve">PI-2025-0150</t>
  </si>
  <si>
    <t xml:space="preserve">PI-2025-0398</t>
  </si>
  <si>
    <t xml:space="preserve">PI-2025-0060</t>
  </si>
  <si>
    <t xml:space="preserve">PI-2025-0084</t>
  </si>
  <si>
    <t xml:space="preserve">PI-2025-0372</t>
  </si>
  <si>
    <t xml:space="preserve">PI-2025-0451</t>
  </si>
  <si>
    <t xml:space="preserve">SI-2025-0318</t>
  </si>
  <si>
    <t xml:space="preserve">SI-2025-0399</t>
  </si>
  <si>
    <t xml:space="preserve">Delta General Trading</t>
  </si>
  <si>
    <t xml:space="preserve">PI-2025-0075</t>
  </si>
  <si>
    <t xml:space="preserve">SI-2025-0324</t>
  </si>
  <si>
    <t xml:space="preserve">SI-2025-0626</t>
  </si>
  <si>
    <t xml:space="preserve">PI-2025-0408</t>
  </si>
  <si>
    <t xml:space="preserve">PI-2025-0557</t>
  </si>
  <si>
    <t xml:space="preserve">SI-2025-0282</t>
  </si>
  <si>
    <t xml:space="preserve">SI-2025-0284</t>
  </si>
  <si>
    <t xml:space="preserve">PI-2025-0048</t>
  </si>
  <si>
    <t xml:space="preserve">Harbor Supplies LLC</t>
  </si>
  <si>
    <t xml:space="preserve">SI-2025-0019</t>
  </si>
  <si>
    <t xml:space="preserve">SI-2025-0245</t>
  </si>
  <si>
    <t xml:space="preserve">SI-2025-0347</t>
  </si>
  <si>
    <t xml:space="preserve">SI-2025-0388</t>
  </si>
  <si>
    <t xml:space="preserve">SI-2025-0400</t>
  </si>
  <si>
    <t xml:space="preserve">PI-2025-0066</t>
  </si>
  <si>
    <t xml:space="preserve">PI-2025-0069</t>
  </si>
  <si>
    <t xml:space="preserve">PI-2025-0350</t>
  </si>
  <si>
    <t xml:space="preserve">PI-2025-0382</t>
  </si>
  <si>
    <t xml:space="preserve">SI-2025-0551</t>
  </si>
  <si>
    <t xml:space="preserve">PI-2025-0016</t>
  </si>
  <si>
    <t xml:space="preserve">PI-2025-0224</t>
  </si>
  <si>
    <t xml:space="preserve">PI-2025-0264</t>
  </si>
  <si>
    <t xml:space="preserve">Nova Supplies LLC</t>
  </si>
  <si>
    <t xml:space="preserve">PI-2025-0486</t>
  </si>
  <si>
    <t xml:space="preserve">SI-2025-0046</t>
  </si>
  <si>
    <t xml:space="preserve">SI-2025-0070</t>
  </si>
  <si>
    <t xml:space="preserve">Nova Trading LLC</t>
  </si>
  <si>
    <t xml:space="preserve">SI-2025-0632</t>
  </si>
  <si>
    <t xml:space="preserve">Orbit Trading LLC</t>
  </si>
  <si>
    <t xml:space="preserve">PI-2025-0469</t>
  </si>
  <si>
    <t xml:space="preserve">SI-2025-0240</t>
  </si>
  <si>
    <t xml:space="preserve">SI-2025-0587</t>
  </si>
  <si>
    <t xml:space="preserve">PI-2025-0188</t>
  </si>
  <si>
    <t xml:space="preserve">PI-2025-0481</t>
  </si>
  <si>
    <t xml:space="preserve">SI-2025-0326</t>
  </si>
  <si>
    <t xml:space="preserve">SI-2025-0568</t>
  </si>
  <si>
    <t xml:space="preserve">PI-2025-0182</t>
  </si>
  <si>
    <t xml:space="preserve">PI-2025-0218</t>
  </si>
  <si>
    <t xml:space="preserve">SI-2025-0224</t>
  </si>
  <si>
    <t xml:space="preserve">SI-2025-0639</t>
  </si>
  <si>
    <t xml:space="preserve">PI-2025-0026</t>
  </si>
  <si>
    <t xml:space="preserve">PI-2025-0039</t>
  </si>
  <si>
    <t xml:space="preserve">PI-2025-0179</t>
  </si>
  <si>
    <t xml:space="preserve">Cobalt Technologies</t>
  </si>
  <si>
    <t xml:space="preserve">SI-2025-0182</t>
  </si>
  <si>
    <t xml:space="preserve">SI-2025-0193</t>
  </si>
  <si>
    <t xml:space="preserve">SI-2025-0196</t>
  </si>
  <si>
    <t xml:space="preserve">PI-2025-0018</t>
  </si>
  <si>
    <t xml:space="preserve">PI-2025-0143</t>
  </si>
  <si>
    <t xml:space="preserve">Ember Technologies</t>
  </si>
  <si>
    <t xml:space="preserve">PI-2025-0334</t>
  </si>
  <si>
    <t xml:space="preserve">Atlas Services FZCO</t>
  </si>
  <si>
    <t xml:space="preserve">SI-2025-0075</t>
  </si>
  <si>
    <t xml:space="preserve">SI-2025-0618</t>
  </si>
  <si>
    <t xml:space="preserve">SI-2025-0322</t>
  </si>
  <si>
    <t xml:space="preserve">SI-2025-0360</t>
  </si>
  <si>
    <t xml:space="preserve">SI-2025-0432</t>
  </si>
  <si>
    <t xml:space="preserve">PI-2025-0388</t>
  </si>
  <si>
    <t xml:space="preserve">SI-2025-0252</t>
  </si>
  <si>
    <t xml:space="preserve">SI-2025-0574</t>
  </si>
  <si>
    <t xml:space="preserve">SI-2025-0625</t>
  </si>
  <si>
    <t xml:space="preserve">Alpha Contracting</t>
  </si>
  <si>
    <t xml:space="preserve">PI-2025-0088</t>
  </si>
  <si>
    <t xml:space="preserve">PI-2025-0345</t>
  </si>
  <si>
    <t xml:space="preserve">Zenith Technologies</t>
  </si>
  <si>
    <t xml:space="preserve">PI-2025-0326</t>
  </si>
  <si>
    <t xml:space="preserve">PI-2025-0392</t>
  </si>
  <si>
    <t xml:space="preserve">PI-2025-0441</t>
  </si>
  <si>
    <t xml:space="preserve">PI-2025-0554</t>
  </si>
  <si>
    <t xml:space="preserve">SI-2025-0201</t>
  </si>
  <si>
    <t xml:space="preserve">PI-2025-0093</t>
  </si>
  <si>
    <t xml:space="preserve">Zenith Services FZCO</t>
  </si>
  <si>
    <t xml:space="preserve">SI-2025-0034</t>
  </si>
  <si>
    <t xml:space="preserve">Vertex General Trading</t>
  </si>
  <si>
    <t xml:space="preserve">SI-2025-0112</t>
  </si>
  <si>
    <t xml:space="preserve">Atlas Contracting</t>
  </si>
  <si>
    <t xml:space="preserve">SI-2025-0163</t>
  </si>
  <si>
    <t xml:space="preserve">Horizon Trading LLC</t>
  </si>
  <si>
    <t xml:space="preserve">SI-2025-0246</t>
  </si>
  <si>
    <t xml:space="preserve">SI-2025-0520</t>
  </si>
  <si>
    <t xml:space="preserve">SI-2025-0528</t>
  </si>
  <si>
    <t xml:space="preserve">SI-2025-0530</t>
  </si>
  <si>
    <t xml:space="preserve">PI-2025-0563</t>
  </si>
  <si>
    <t xml:space="preserve">SI-2025-0274</t>
  </si>
  <si>
    <t xml:space="preserve">SI-2025-0370</t>
  </si>
  <si>
    <t xml:space="preserve">SI-2025-0562</t>
  </si>
  <si>
    <t xml:space="preserve">PI-2025-0108</t>
  </si>
  <si>
    <t xml:space="preserve">SI-2025-0286</t>
  </si>
  <si>
    <t xml:space="preserve">SI-2025-0417</t>
  </si>
  <si>
    <t xml:space="preserve">PI-2025-0220</t>
  </si>
  <si>
    <t xml:space="preserve">PI-2025-0300</t>
  </si>
  <si>
    <t xml:space="preserve">PI-2025-0420</t>
  </si>
  <si>
    <t xml:space="preserve">PI-2025-0004</t>
  </si>
  <si>
    <t xml:space="preserve">PI-2025-0008</t>
  </si>
  <si>
    <t xml:space="preserve">PI-2025-0038</t>
  </si>
  <si>
    <t xml:space="preserve">PI-2025-0374</t>
  </si>
  <si>
    <t xml:space="preserve">PI-2025-0432</t>
  </si>
  <si>
    <t xml:space="preserve">PI-2025-0547</t>
  </si>
  <si>
    <t xml:space="preserve">PI-2025-0555</t>
  </si>
  <si>
    <t xml:space="preserve">SI-2025-0128</t>
  </si>
  <si>
    <t xml:space="preserve">SI-2025-0325</t>
  </si>
  <si>
    <t xml:space="preserve">SI-2025-0367</t>
  </si>
  <si>
    <t xml:space="preserve">SI-2025-0369</t>
  </si>
  <si>
    <t xml:space="preserve">PI-2025-0194</t>
  </si>
  <si>
    <t xml:space="preserve">PI-2025-0210</t>
  </si>
  <si>
    <t xml:space="preserve">PI-2025-0258</t>
  </si>
  <si>
    <t xml:space="preserve">PI-2025-0470</t>
  </si>
  <si>
    <t xml:space="preserve">SI-2025-0056</t>
  </si>
  <si>
    <t xml:space="preserve">SI-2025-0222</t>
  </si>
  <si>
    <t xml:space="preserve">SI-2025-0297</t>
  </si>
  <si>
    <t xml:space="preserve">SI-2025-0418</t>
  </si>
  <si>
    <t xml:space="preserve">SI-2025-0512</t>
  </si>
  <si>
    <t xml:space="preserve">SI-2025-0104</t>
  </si>
  <si>
    <t xml:space="preserve">SI-2025-0241</t>
  </si>
  <si>
    <t xml:space="preserve">SI-2025-0431</t>
  </si>
  <si>
    <t xml:space="preserve">Zenith General Trading</t>
  </si>
  <si>
    <t xml:space="preserve">SI-2025-0453</t>
  </si>
  <si>
    <t xml:space="preserve">SI-2025-0540</t>
  </si>
  <si>
    <t xml:space="preserve">PI-2025-0389</t>
  </si>
  <si>
    <t xml:space="preserve">PI-2025-0530</t>
  </si>
  <si>
    <t xml:space="preserve">SI-2025-0002</t>
  </si>
  <si>
    <t xml:space="preserve">Ember FZE</t>
  </si>
  <si>
    <t xml:space="preserve">PI-2025-0480</t>
  </si>
  <si>
    <t xml:space="preserve">SI-2025-0457</t>
  </si>
  <si>
    <t xml:space="preserve">PI-2025-0156</t>
  </si>
  <si>
    <t xml:space="preserve">SI-2025-0136</t>
  </si>
  <si>
    <t xml:space="preserve">SI-2025-0227</t>
  </si>
  <si>
    <t xml:space="preserve">SI-2025-0393</t>
  </si>
  <si>
    <t xml:space="preserve">PI-2025-0216</t>
  </si>
  <si>
    <t xml:space="preserve">PI-2025-0429</t>
  </si>
  <si>
    <t xml:space="preserve">SI-2025-0033</t>
  </si>
  <si>
    <t xml:space="preserve">SI-2025-0599</t>
  </si>
  <si>
    <t xml:space="preserve">SI-2025-0344</t>
  </si>
  <si>
    <t xml:space="preserve">PI-2025-0521</t>
  </si>
  <si>
    <t xml:space="preserve">PI-2025-0534</t>
  </si>
  <si>
    <t xml:space="preserve">SI-2025-0082</t>
  </si>
  <si>
    <t xml:space="preserve">PI-2025-0033</t>
  </si>
  <si>
    <t xml:space="preserve">Ember Supplies LLC</t>
  </si>
  <si>
    <t xml:space="preserve">PI-2025-0359</t>
  </si>
  <si>
    <t xml:space="preserve">PI-2025-0380</t>
  </si>
  <si>
    <t xml:space="preserve">SI-2025-0058</t>
  </si>
  <si>
    <t xml:space="preserve">SI-2025-0319</t>
  </si>
  <si>
    <t xml:space="preserve">PI-2025-0417</t>
  </si>
  <si>
    <t xml:space="preserve">Juniper Facilities</t>
  </si>
  <si>
    <t xml:space="preserve">SI-2025-0513</t>
  </si>
  <si>
    <t xml:space="preserve">SI-2025-0550</t>
  </si>
  <si>
    <t xml:space="preserve">PI-2025-0390</t>
  </si>
  <si>
    <t xml:space="preserve">SI-2025-0035</t>
  </si>
  <si>
    <t xml:space="preserve">SI-2025-0371</t>
  </si>
  <si>
    <t xml:space="preserve">SI-2025-0430</t>
  </si>
  <si>
    <t xml:space="preserve">SI-2025-0171</t>
  </si>
  <si>
    <t xml:space="preserve">SI-2025-0456</t>
  </si>
  <si>
    <t xml:space="preserve">SI-2025-0630</t>
  </si>
  <si>
    <t xml:space="preserve">PI-2025-0056</t>
  </si>
  <si>
    <t xml:space="preserve">PI-2025-0556</t>
  </si>
  <si>
    <t xml:space="preserve">SI-2025-0202</t>
  </si>
  <si>
    <t xml:space="preserve">SI-2025-0268</t>
  </si>
  <si>
    <t xml:space="preserve">SI-2025-0606</t>
  </si>
  <si>
    <t xml:space="preserve">SI-2025-0025</t>
  </si>
  <si>
    <t xml:space="preserve">SI-2025-0203</t>
  </si>
  <si>
    <t xml:space="preserve">SI-2025-0251</t>
  </si>
  <si>
    <t xml:space="preserve">PI-2025-0121</t>
  </si>
  <si>
    <t xml:space="preserve">SI-2025-0043</t>
  </si>
  <si>
    <t xml:space="preserve">SI-2025-0379</t>
  </si>
  <si>
    <t xml:space="preserve">SI-2025-0463</t>
  </si>
  <si>
    <t xml:space="preserve">PI-2025-0064</t>
  </si>
  <si>
    <t xml:space="preserve">PI-2025-0295</t>
  </si>
  <si>
    <t xml:space="preserve">PI-2025-0309</t>
  </si>
  <si>
    <t xml:space="preserve">PI-2025-0226</t>
  </si>
  <si>
    <t xml:space="preserve">PI-2025-0340</t>
  </si>
  <si>
    <t xml:space="preserve">SI-2025-0478</t>
  </si>
  <si>
    <t xml:space="preserve">SI-2025-0483</t>
  </si>
  <si>
    <t xml:space="preserve">PI-2025-0208</t>
  </si>
  <si>
    <t xml:space="preserve">PI-2025-0306</t>
  </si>
  <si>
    <t xml:space="preserve">SI-2025-0073</t>
  </si>
  <si>
    <t xml:space="preserve">SI-2025-0299</t>
  </si>
  <si>
    <t xml:space="preserve">SI-2025-0429</t>
  </si>
  <si>
    <t xml:space="preserve">SI-2025-0468</t>
  </si>
  <si>
    <t xml:space="preserve">PI-2025-0116</t>
  </si>
  <si>
    <t xml:space="preserve">PI-2025-0205</t>
  </si>
  <si>
    <t xml:space="preserve">PI-2025-0245</t>
  </si>
  <si>
    <t xml:space="preserve">PI-2025-0414</t>
  </si>
  <si>
    <t xml:space="preserve">PI-2025-0549</t>
  </si>
  <si>
    <t xml:space="preserve">PI-2025-0586</t>
  </si>
  <si>
    <t xml:space="preserve">SI-2025-0469</t>
  </si>
  <si>
    <t xml:space="preserve">PI-2025-0201</t>
  </si>
  <si>
    <t xml:space="preserve">PI-2025-0383</t>
  </si>
  <si>
    <t xml:space="preserve">PI-2025-0118</t>
  </si>
  <si>
    <t xml:space="preserve">PI-2025-0344</t>
  </si>
  <si>
    <t xml:space="preserve">PI-2025-0352</t>
  </si>
  <si>
    <t xml:space="preserve">PI-2025-0582</t>
  </si>
  <si>
    <t xml:space="preserve">SI-2025-0103</t>
  </si>
  <si>
    <t xml:space="preserve">SI-2025-0374</t>
  </si>
  <si>
    <t xml:space="preserve">SI-2025-0598</t>
  </si>
  <si>
    <t xml:space="preserve">PI-2025-0592</t>
  </si>
  <si>
    <t xml:space="preserve">SI-2025-0118</t>
  </si>
  <si>
    <t xml:space="preserve">SI-2025-0320</t>
  </si>
  <si>
    <t xml:space="preserve">SI-2025-0380</t>
  </si>
  <si>
    <t xml:space="preserve">PI-2025-0113</t>
  </si>
  <si>
    <t xml:space="preserve">PI-2025-0319</t>
  </si>
  <si>
    <t xml:space="preserve">SI-2025-0397</t>
  </si>
  <si>
    <t xml:space="preserve">PI-2025-0171</t>
  </si>
  <si>
    <t xml:space="preserve">PI-2025-0525</t>
  </si>
  <si>
    <t xml:space="preserve">PI-2025-0600</t>
  </si>
  <si>
    <t xml:space="preserve">SI-2025-0497</t>
  </si>
  <si>
    <t xml:space="preserve">SI-2025-0556</t>
  </si>
  <si>
    <t xml:space="preserve">PI-2025-0371</t>
  </si>
  <si>
    <t xml:space="preserve">SI-2025-0045</t>
  </si>
  <si>
    <t xml:space="preserve">SI-2025-0354</t>
  </si>
  <si>
    <t xml:space="preserve">PI-2025-0005</t>
  </si>
  <si>
    <t xml:space="preserve">PI-2025-0400</t>
  </si>
  <si>
    <t xml:space="preserve">PI-2025-0453</t>
  </si>
  <si>
    <t xml:space="preserve">SI-2025-0048</t>
  </si>
  <si>
    <t xml:space="preserve">SI-2025-0139</t>
  </si>
  <si>
    <t xml:space="preserve">SI-2025-0341</t>
  </si>
  <si>
    <t xml:space="preserve">PI-2025-0293</t>
  </si>
  <si>
    <t xml:space="preserve">SI-2025-0260</t>
  </si>
  <si>
    <t xml:space="preserve">SI-2025-0330</t>
  </si>
  <si>
    <t xml:space="preserve">SI-2025-0366</t>
  </si>
  <si>
    <t xml:space="preserve">SI-2025-0440</t>
  </si>
  <si>
    <t xml:space="preserve">SI-2025-0608</t>
  </si>
  <si>
    <t xml:space="preserve">PI-2025-0572</t>
  </si>
  <si>
    <t xml:space="preserve">SI-2025-0018</t>
  </si>
  <si>
    <t xml:space="preserve">SI-2025-0402</t>
  </si>
  <si>
    <t xml:space="preserve">PI-2025-0232</t>
  </si>
  <si>
    <t xml:space="preserve">PI-2025-0433</t>
  </si>
  <si>
    <t xml:space="preserve">PI-2025-0477</t>
  </si>
  <si>
    <t xml:space="preserve">PI-2025-0546</t>
  </si>
  <si>
    <t xml:space="preserve">SI-2025-0149</t>
  </si>
  <si>
    <t xml:space="preserve">SI-2025-0498</t>
  </si>
  <si>
    <t xml:space="preserve">PI-2025-0467</t>
  </si>
  <si>
    <t xml:space="preserve">SI-2025-0305</t>
  </si>
  <si>
    <t xml:space="preserve">SI-2025-0504</t>
  </si>
  <si>
    <t xml:space="preserve">PI-2025-0023</t>
  </si>
  <si>
    <t xml:space="preserve">PI-2025-0533</t>
  </si>
  <si>
    <t xml:space="preserve">SI-2025-0078</t>
  </si>
  <si>
    <t xml:space="preserve">PI-2025-0001</t>
  </si>
  <si>
    <t xml:space="preserve">PI-2025-0434</t>
  </si>
  <si>
    <t xml:space="preserve">SI-2025-0368</t>
  </si>
  <si>
    <t xml:space="preserve">PI-2025-0086</t>
  </si>
  <si>
    <t xml:space="preserve">PI-2025-0356</t>
  </si>
  <si>
    <t xml:space="preserve">SI-2025-0016</t>
  </si>
  <si>
    <t xml:space="preserve">SI-2025-0609</t>
  </si>
  <si>
    <t xml:space="preserve">PI-2025-0320</t>
  </si>
  <si>
    <t xml:space="preserve">SI-2025-0449</t>
  </si>
  <si>
    <t xml:space="preserve">SI-2025-0570</t>
  </si>
  <si>
    <t xml:space="preserve">PI-2025-0361</t>
  </si>
  <si>
    <t xml:space="preserve">PI-2025-0112</t>
  </si>
  <si>
    <t xml:space="preserve">PI-2025-0282</t>
  </si>
  <si>
    <t xml:space="preserve">SI-2025-0419</t>
  </si>
  <si>
    <t xml:space="preserve">PI-2025-0280</t>
  </si>
  <si>
    <t xml:space="preserve">SI-2025-0264</t>
  </si>
  <si>
    <t xml:space="preserve">SI-2025-0133</t>
  </si>
  <si>
    <t xml:space="preserve">PI-2025-0014</t>
  </si>
  <si>
    <t xml:space="preserve">PI-2025-0130</t>
  </si>
  <si>
    <t xml:space="preserve">PI-2025-0166</t>
  </si>
  <si>
    <t xml:space="preserve">PI-2025-0418</t>
  </si>
  <si>
    <t xml:space="preserve">SI-2025-0594</t>
  </si>
  <si>
    <t xml:space="preserve">PI-2025-0510</t>
  </si>
  <si>
    <t xml:space="preserve">SI-2025-0157</t>
  </si>
  <si>
    <t xml:space="preserve">PI-2025-0007</t>
  </si>
  <si>
    <t xml:space="preserve">PI-2025-0125</t>
  </si>
  <si>
    <t xml:space="preserve">PI-2025-0452</t>
  </si>
  <si>
    <t xml:space="preserve">PI-2025-0454</t>
  </si>
  <si>
    <t xml:space="preserve">PI-2025-0509</t>
  </si>
  <si>
    <t xml:space="preserve">SI-2025-0054</t>
  </si>
  <si>
    <t xml:space="preserve">SI-2025-0254</t>
  </si>
  <si>
    <t xml:space="preserve">SI-2025-0409</t>
  </si>
  <si>
    <t xml:space="preserve">SI-2025-0607</t>
  </si>
  <si>
    <t xml:space="preserve">PI-2025-0047</t>
  </si>
  <si>
    <t xml:space="preserve">PI-2025-0082</t>
  </si>
  <si>
    <t xml:space="preserve">PI-2025-0145</t>
  </si>
  <si>
    <t xml:space="preserve">PI-2025-0250</t>
  </si>
  <si>
    <t xml:space="preserve">PI-2025-0366</t>
  </si>
  <si>
    <t xml:space="preserve">SI-2025-0036</t>
  </si>
  <si>
    <t xml:space="preserve">SI-2025-0074</t>
  </si>
  <si>
    <t xml:space="preserve">SI-2025-0207</t>
  </si>
  <si>
    <t xml:space="preserve">SI-2025-0313</t>
  </si>
  <si>
    <t xml:space="preserve">Ember Contracting</t>
  </si>
  <si>
    <t xml:space="preserve">PI-2025-0109</t>
  </si>
  <si>
    <t xml:space="preserve">PI-2025-0123</t>
  </si>
  <si>
    <t xml:space="preserve">SI-2025-0244</t>
  </si>
  <si>
    <t xml:space="preserve">SI-2025-0398</t>
  </si>
  <si>
    <t xml:space="preserve">SI-2025-0459</t>
  </si>
  <si>
    <t xml:space="preserve">PI-2025-0127</t>
  </si>
  <si>
    <t xml:space="preserve">PI-2025-0222</t>
  </si>
  <si>
    <t xml:space="preserve">PI-2025-0138</t>
  </si>
  <si>
    <t xml:space="preserve">PI-2025-0375</t>
  </si>
  <si>
    <t xml:space="preserve">PI-2025-0598</t>
  </si>
  <si>
    <t xml:space="preserve">PI-2025-0012</t>
  </si>
  <si>
    <t xml:space="preserve">PI-2025-0167</t>
  </si>
  <si>
    <t xml:space="preserve">SI-2025-0307</t>
  </si>
  <si>
    <t xml:space="preserve">SI-2025-0474</t>
  </si>
  <si>
    <t xml:space="preserve">PI-2025-0098</t>
  </si>
  <si>
    <t xml:space="preserve">SI-2025-0258</t>
  </si>
  <si>
    <t xml:space="preserve">SI-2025-0597</t>
  </si>
  <si>
    <t xml:space="preserve">PI-2025-0191</t>
  </si>
  <si>
    <t xml:space="preserve">PI-2025-0514</t>
  </si>
  <si>
    <t xml:space="preserve">SI-2025-0114</t>
  </si>
  <si>
    <t xml:space="preserve">SI-2025-0256</t>
  </si>
  <si>
    <t xml:space="preserve">SI-2025-0526</t>
  </si>
  <si>
    <t xml:space="preserve">PI-2025-0169</t>
  </si>
  <si>
    <t xml:space="preserve">PI-2025-0260</t>
  </si>
  <si>
    <t xml:space="preserve">SI-2025-0276</t>
  </si>
  <si>
    <t xml:space="preserve">PI-2025-0128</t>
  </si>
  <si>
    <t xml:space="preserve">PI-2025-0148</t>
  </si>
  <si>
    <t xml:space="preserve">PI-2025-0197</t>
  </si>
  <si>
    <t xml:space="preserve">PI-2025-0579</t>
  </si>
  <si>
    <t xml:space="preserve">PI-2025-0602</t>
  </si>
  <si>
    <t xml:space="preserve">SI-2025-0134</t>
  </si>
  <si>
    <t xml:space="preserve">PI-2025-0147</t>
  </si>
  <si>
    <t xml:space="preserve">PI-2025-0233</t>
  </si>
  <si>
    <t xml:space="preserve">PI-2025-0255</t>
  </si>
  <si>
    <t xml:space="preserve">PI-2025-0314</t>
  </si>
  <si>
    <t xml:space="preserve">PI-2025-0025</t>
  </si>
  <si>
    <t xml:space="preserve">PI-2025-0135</t>
  </si>
  <si>
    <t xml:space="preserve">PI-2025-0212</t>
  </si>
  <si>
    <t xml:space="preserve">PI-2025-0283</t>
  </si>
  <si>
    <t xml:space="preserve">PI-2025-0437</t>
  </si>
  <si>
    <t xml:space="preserve">PI-2025-0475</t>
  </si>
  <si>
    <t xml:space="preserve">SI-2025-0461</t>
  </si>
  <si>
    <t xml:space="preserve">PI-2025-0558</t>
  </si>
  <si>
    <t xml:space="preserve">SI-2025-0534</t>
  </si>
  <si>
    <t xml:space="preserve">PI-2025-0599</t>
  </si>
  <si>
    <t xml:space="preserve">SI-2025-0028</t>
  </si>
  <si>
    <t xml:space="preserve">SI-2025-0143</t>
  </si>
  <si>
    <t xml:space="preserve">SI-2025-0362</t>
  </si>
  <si>
    <t xml:space="preserve">PI-2025-0015</t>
  </si>
  <si>
    <t xml:space="preserve">SI-2025-0102</t>
  </si>
  <si>
    <t xml:space="preserve">SI-2025-0141</t>
  </si>
  <si>
    <t xml:space="preserve">SI-2025-0383</t>
  </si>
  <si>
    <t xml:space="preserve">PI-2025-0256</t>
  </si>
  <si>
    <t xml:space="preserve">SI-2025-0122</t>
  </si>
  <si>
    <t xml:space="preserve">PI-2025-0505</t>
  </si>
  <si>
    <t xml:space="preserve">SI-2025-0159</t>
  </si>
  <si>
    <t xml:space="preserve">SI-2025-0545</t>
  </si>
  <si>
    <t xml:space="preserve">PI-2025-0495</t>
  </si>
  <si>
    <t xml:space="preserve">PI-2025-0528</t>
  </si>
  <si>
    <t xml:space="preserve">SI-2025-0027</t>
  </si>
  <si>
    <t xml:space="preserve">SI-2025-0308</t>
  </si>
  <si>
    <t xml:space="preserve">SI-2025-0436</t>
  </si>
  <si>
    <t xml:space="preserve">SI-2025-0187</t>
  </si>
  <si>
    <t xml:space="preserve">PI-2025-0090</t>
  </si>
  <si>
    <t xml:space="preserve">PI-2025-0279</t>
  </si>
  <si>
    <t xml:space="preserve">PI-2025-0492</t>
  </si>
  <si>
    <t xml:space="preserve">SI-2025-0412</t>
  </si>
  <si>
    <t xml:space="preserve">SI-2025-0527</t>
  </si>
  <si>
    <t xml:space="preserve">SI-2025-0071</t>
  </si>
  <si>
    <t xml:space="preserve">SI-2025-0392</t>
  </si>
  <si>
    <t xml:space="preserve">SI-2025-0206</t>
  </si>
  <si>
    <t xml:space="preserve">SI-2025-0215</t>
  </si>
  <si>
    <t xml:space="preserve">SI-2025-0350</t>
  </si>
  <si>
    <t xml:space="preserve">PI-2025-0091</t>
  </si>
  <si>
    <t xml:space="preserve">SI-2025-0356</t>
  </si>
  <si>
    <t xml:space="preserve">PI-2025-0291</t>
  </si>
  <si>
    <t xml:space="preserve">PI-2025-0543</t>
  </si>
  <si>
    <t xml:space="preserve">PI-2025-0562</t>
  </si>
  <si>
    <t xml:space="preserve">SI-2025-0138</t>
  </si>
  <si>
    <t xml:space="preserve">SI-2025-0219</t>
  </si>
  <si>
    <t xml:space="preserve">SI-2025-0420</t>
  </si>
  <si>
    <t xml:space="preserve">SI-2025-0493</t>
  </si>
  <si>
    <t xml:space="preserve">SI-2025-0593</t>
  </si>
  <si>
    <t xml:space="preserve">SI-2025-0210</t>
  </si>
  <si>
    <t xml:space="preserve">SI-2025-0395</t>
  </si>
  <si>
    <t xml:space="preserve">SI-2025-0500</t>
  </si>
  <si>
    <t xml:space="preserve">SI-2025-0623</t>
  </si>
  <si>
    <t xml:space="preserve">SI-2025-0248</t>
  </si>
  <si>
    <t xml:space="preserve">SI-2025-0464</t>
  </si>
  <si>
    <t xml:space="preserve">PI-2025-0122</t>
  </si>
  <si>
    <t xml:space="preserve">PI-2025-0177</t>
  </si>
  <si>
    <t xml:space="preserve">SI-2025-0086</t>
  </si>
  <si>
    <t xml:space="preserve">SI-2025-0230</t>
  </si>
  <si>
    <t xml:space="preserve">PI-2025-0246</t>
  </si>
  <si>
    <t xml:space="preserve">PI-2025-0272</t>
  </si>
  <si>
    <t xml:space="preserve">SI-2025-0351</t>
  </si>
  <si>
    <t xml:space="preserve">SI-2025-0295</t>
  </si>
  <si>
    <t xml:space="preserve">PI-2025-0073</t>
  </si>
  <si>
    <t xml:space="preserve">PI-2025-0424</t>
  </si>
  <si>
    <t xml:space="preserve">SI-2025-0125</t>
  </si>
  <si>
    <t xml:space="preserve">PI-2025-0067</t>
  </si>
  <si>
    <t xml:space="preserve">SI-2025-0477</t>
  </si>
  <si>
    <t xml:space="preserve">PI-2025-0540</t>
  </si>
  <si>
    <t xml:space="preserve">PI-2025-0596</t>
  </si>
  <si>
    <t xml:space="preserve">SI-2025-0024</t>
  </si>
  <si>
    <t xml:space="preserve">SI-2025-0108</t>
  </si>
  <si>
    <t xml:space="preserve">SI-2025-0243</t>
  </si>
  <si>
    <t xml:space="preserve">SI-2025-0481</t>
  </si>
  <si>
    <t xml:space="preserve">SI-2025-0503</t>
  </si>
  <si>
    <t xml:space="preserve">PI-2025-0010</t>
  </si>
  <si>
    <t xml:space="preserve">PI-2025-0476</t>
  </si>
  <si>
    <t xml:space="preserve">PI-2025-0499</t>
  </si>
  <si>
    <t xml:space="preserve">PI-2025-0507</t>
  </si>
  <si>
    <t xml:space="preserve">SI-2025-0190</t>
  </si>
  <si>
    <t xml:space="preserve">SI-2025-0195</t>
  </si>
  <si>
    <t xml:space="preserve">SI-2025-0569</t>
  </si>
  <si>
    <t xml:space="preserve">SI-2025-0601</t>
  </si>
  <si>
    <t xml:space="preserve">PI-2025-0203</t>
  </si>
  <si>
    <t xml:space="preserve">SI-2025-0007</t>
  </si>
  <si>
    <t xml:space="preserve">SI-2025-0552</t>
  </si>
  <si>
    <t xml:space="preserve">SI-2025-0586</t>
  </si>
  <si>
    <t xml:space="preserve">PI-2025-0030</t>
  </si>
  <si>
    <t xml:space="preserve">PI-2025-0180</t>
  </si>
  <si>
    <t xml:space="preserve">SI-2025-0582</t>
  </si>
  <si>
    <t xml:space="preserve">PI-2025-0196</t>
  </si>
  <si>
    <t xml:space="preserve">SI-2025-0389</t>
  </si>
  <si>
    <t xml:space="preserve">PI-2025-0500</t>
  </si>
  <si>
    <t xml:space="preserve">SI-2025-0062</t>
  </si>
  <si>
    <t xml:space="preserve">PI-2025-0053</t>
  </si>
  <si>
    <t xml:space="preserve">PI-2025-0103</t>
  </si>
  <si>
    <t xml:space="preserve">PI-2025-0262</t>
  </si>
  <si>
    <t xml:space="preserve">PI-2025-0089</t>
  </si>
  <si>
    <t xml:space="preserve">PI-2025-0114</t>
  </si>
  <si>
    <t xml:space="preserve">SI-2025-0600</t>
  </si>
  <si>
    <t xml:space="preserve">PI-2025-0565</t>
  </si>
  <si>
    <t xml:space="preserve">PI-2025-0601</t>
  </si>
  <si>
    <t xml:space="preserve">SI-2025-0076</t>
  </si>
  <si>
    <t xml:space="preserve">SI-2025-0101</t>
  </si>
  <si>
    <t xml:space="preserve">SI-2025-0373</t>
  </si>
  <si>
    <t xml:space="preserve">SI-2025-0087</t>
  </si>
  <si>
    <t xml:space="preserve">SI-2025-0120</t>
  </si>
  <si>
    <t xml:space="preserve">SI-2025-0555</t>
  </si>
  <si>
    <t xml:space="preserve">SI-2025-0612</t>
  </si>
  <si>
    <t xml:space="preserve">SI-2025-0617</t>
  </si>
  <si>
    <t xml:space="preserve">SI-2025-0031</t>
  </si>
  <si>
    <t xml:space="preserve">SI-2025-0507</t>
  </si>
  <si>
    <t xml:space="preserve">SI-2025-0543</t>
  </si>
  <si>
    <t xml:space="preserve">PI-2025-0076</t>
  </si>
  <si>
    <t xml:space="preserve">PI-2025-0195</t>
  </si>
  <si>
    <t xml:space="preserve">SI-2025-0443</t>
  </si>
  <si>
    <t xml:space="preserve">PI-2025-0461</t>
  </si>
  <si>
    <t xml:space="preserve">PI-2025-0580</t>
  </si>
  <si>
    <t xml:space="preserve">SI-2025-0014</t>
  </si>
  <si>
    <t xml:space="preserve">SI-2025-0119</t>
  </si>
  <si>
    <t xml:space="preserve">PI-2025-0175</t>
  </si>
  <si>
    <t xml:space="preserve">SI-2025-0564</t>
  </si>
  <si>
    <t xml:space="preserve">SI-2025-0634</t>
  </si>
  <si>
    <t xml:space="preserve">PI-2025-0237</t>
  </si>
  <si>
    <t xml:space="preserve">PI-2025-0583</t>
  </si>
  <si>
    <t xml:space="preserve">SI-2025-0410</t>
  </si>
  <si>
    <t xml:space="preserve">SI-2025-0549</t>
  </si>
  <si>
    <t xml:space="preserve">PI-2025-0285</t>
  </si>
  <si>
    <t xml:space="preserve">PI-2025-0585</t>
  </si>
  <si>
    <t xml:space="preserve">SI-2025-0174</t>
  </si>
  <si>
    <t xml:space="preserve">SI-2025-0277</t>
  </si>
  <si>
    <t xml:space="preserve">SI-2025-0470</t>
  </si>
  <si>
    <t xml:space="preserve">PI-2025-0017</t>
  </si>
  <si>
    <t xml:space="preserve">PI-2025-0574</t>
  </si>
  <si>
    <t xml:space="preserve">SI-2025-0172</t>
  </si>
  <si>
    <t xml:space="preserve">SI-2025-0416</t>
  </si>
  <si>
    <t xml:space="preserve">SI-2025-0093</t>
  </si>
  <si>
    <t xml:space="preserve">SI-2025-0117</t>
  </si>
  <si>
    <t xml:space="preserve">SI-2025-0427</t>
  </si>
  <si>
    <t xml:space="preserve">PI-2025-0276</t>
  </si>
  <si>
    <t xml:space="preserve">PI-2025-0422</t>
  </si>
  <si>
    <t xml:space="preserve">PI-2025-0564</t>
  </si>
  <si>
    <t xml:space="preserve">SI-2025-0069</t>
  </si>
  <si>
    <t xml:space="preserve">SI-2025-0235</t>
  </si>
  <si>
    <t xml:space="preserve">SI-2025-0445</t>
  </si>
  <si>
    <t xml:space="preserve">SI-2025-0486</t>
  </si>
  <si>
    <t xml:space="preserve">SI-2025-0536</t>
  </si>
  <si>
    <t xml:space="preserve">SI-2025-0575</t>
  </si>
  <si>
    <t xml:space="preserve">SI-2025-0055</t>
  </si>
  <si>
    <t xml:space="preserve">SI-2025-0098</t>
  </si>
  <si>
    <t xml:space="preserve">SI-2025-0164</t>
  </si>
  <si>
    <t xml:space="preserve">SI-2025-0265</t>
  </si>
  <si>
    <t xml:space="preserve">SI-2025-0455</t>
  </si>
  <si>
    <t xml:space="preserve">SI-2025-0480</t>
  </si>
  <si>
    <t xml:space="preserve">SI-2025-0583</t>
  </si>
  <si>
    <t xml:space="preserve">PI-2025-0137</t>
  </si>
  <si>
    <t xml:space="preserve">PI-2025-0261</t>
  </si>
  <si>
    <t xml:space="preserve">PI-2025-0487</t>
  </si>
  <si>
    <t xml:space="preserve">SI-2025-0220</t>
  </si>
  <si>
    <t xml:space="preserve">PI-2025-0412</t>
  </si>
  <si>
    <t xml:space="preserve">SI-2025-0229</t>
  </si>
  <si>
    <t xml:space="preserve">PI-2025-0357</t>
  </si>
  <si>
    <t xml:space="preserve">PI-2025-0443</t>
  </si>
  <si>
    <t xml:space="preserve">SI-2025-0316</t>
  </si>
  <si>
    <t xml:space="preserve">PI-2025-0270</t>
  </si>
  <si>
    <t xml:space="preserve">PI-2025-0455</t>
  </si>
  <si>
    <t xml:space="preserve">PI-2025-0577</t>
  </si>
  <si>
    <t xml:space="preserve">SI-2025-0337</t>
  </si>
  <si>
    <t xml:space="preserve">SI-2025-0521</t>
  </si>
  <si>
    <t xml:space="preserve">PI-2025-0036</t>
  </si>
  <si>
    <t xml:space="preserve">PI-2025-0253</t>
  </si>
  <si>
    <t xml:space="preserve">PI-2025-0458</t>
  </si>
  <si>
    <t xml:space="preserve">SI-2025-0200</t>
  </si>
  <si>
    <t xml:space="preserve">PI-2025-0142</t>
  </si>
  <si>
    <t xml:space="preserve">PI-2025-0267</t>
  </si>
  <si>
    <t xml:space="preserve">PI-2025-0449</t>
  </si>
  <si>
    <t xml:space="preserve">SI-2025-0109</t>
  </si>
  <si>
    <t xml:space="preserve">SI-2025-0262</t>
  </si>
  <si>
    <t xml:space="preserve">PI-2025-0241</t>
  </si>
  <si>
    <t xml:space="preserve">SI-2025-0037</t>
  </si>
  <si>
    <t xml:space="preserve">SI-2025-0189</t>
  </si>
  <si>
    <t xml:space="preserve">SI-2025-0510</t>
  </si>
  <si>
    <t xml:space="preserve">PI-2025-0236</t>
  </si>
  <si>
    <t xml:space="preserve">PI-2025-0370</t>
  </si>
  <si>
    <t xml:space="preserve">SI-2025-0042</t>
  </si>
  <si>
    <t xml:space="preserve">SI-2025-0640</t>
  </si>
  <si>
    <t xml:space="preserve">PI-2025-0303</t>
  </si>
  <si>
    <t xml:space="preserve">SI-2025-0280</t>
  </si>
  <si>
    <t xml:space="preserve">PI-2025-0325</t>
  </si>
  <si>
    <t xml:space="preserve">SI-2025-0161</t>
  </si>
  <si>
    <t xml:space="preserve">PI-2025-0299</t>
  </si>
  <si>
    <t xml:space="preserve">SI-2025-0113</t>
  </si>
  <si>
    <t xml:space="preserve">SI-2025-0255</t>
  </si>
  <si>
    <t xml:space="preserve">SI-2025-0580</t>
  </si>
  <si>
    <t xml:space="preserve">PI-2025-0193</t>
  </si>
  <si>
    <t xml:space="preserve">SI-2025-0050</t>
  </si>
  <si>
    <t xml:space="preserve">SI-2025-0375</t>
  </si>
  <si>
    <t xml:space="preserve">PI-2025-0221</t>
  </si>
  <si>
    <t xml:space="preserve">PI-2025-0230</t>
  </si>
  <si>
    <t xml:space="preserve">PI-2025-0266</t>
  </si>
  <si>
    <t xml:space="preserve">PI-2025-0328</t>
  </si>
  <si>
    <t xml:space="preserve">PI-2025-0365</t>
  </si>
  <si>
    <t xml:space="preserve">PI-2025-0503</t>
  </si>
  <si>
    <t xml:space="preserve">PI-2025-0517</t>
  </si>
  <si>
    <t xml:space="preserve">PI-2025-0460</t>
  </si>
  <si>
    <t xml:space="preserve">PI-2025-0078</t>
  </si>
  <si>
    <t xml:space="preserve">PI-2025-0464</t>
  </si>
  <si>
    <t xml:space="preserve">SI-2025-0188</t>
  </si>
  <si>
    <t xml:space="preserve">SI-2025-0021</t>
  </si>
  <si>
    <t xml:space="preserve">SI-2025-0394</t>
  </si>
  <si>
    <t xml:space="preserve">PI-2025-0277</t>
  </si>
  <si>
    <t xml:space="preserve">SI-2025-0129</t>
  </si>
  <si>
    <t xml:space="preserve">SI-2025-0145</t>
  </si>
  <si>
    <t xml:space="preserve">PI-2025-0244</t>
  </si>
  <si>
    <t xml:space="preserve">PI-2025-0364</t>
  </si>
  <si>
    <t xml:space="preserve">PI-2025-0571</t>
  </si>
  <si>
    <t xml:space="preserve">SI-2025-0013</t>
  </si>
  <si>
    <t xml:space="preserve">SI-2025-0423</t>
  </si>
  <si>
    <t xml:space="preserve">SI-2025-0589</t>
  </si>
  <si>
    <t xml:space="preserve">PI-2025-0360</t>
  </si>
  <si>
    <t xml:space="preserve">SI-2025-0110</t>
  </si>
  <si>
    <t xml:space="preserve">SI-2025-0596</t>
  </si>
  <si>
    <t xml:space="preserve">PI-2025-0353</t>
  </si>
  <si>
    <t xml:space="preserve">SI-2025-0466</t>
  </si>
  <si>
    <t xml:space="preserve">PI-2025-0134</t>
  </si>
  <si>
    <t xml:space="preserve">PI-2025-0155</t>
  </si>
  <si>
    <t xml:space="preserve">PI-2025-0019</t>
  </si>
  <si>
    <t xml:space="preserve">PI-2025-0151</t>
  </si>
  <si>
    <t xml:space="preserve">SI-2025-0198</t>
  </si>
  <si>
    <t xml:space="preserve">PI-2025-0107</t>
  </si>
  <si>
    <t xml:space="preserve">PI-2025-0425</t>
  </si>
  <si>
    <t xml:space="preserve">SI-2025-0327</t>
  </si>
  <si>
    <t xml:space="preserve">PI-2025-0269</t>
  </si>
  <si>
    <t xml:space="preserve">PI-2025-0584</t>
  </si>
  <si>
    <t xml:space="preserve">SI-2025-0332</t>
  </si>
  <si>
    <t xml:space="preserve">PI-2025-0426</t>
  </si>
  <si>
    <t xml:space="preserve">PI-2025-0529</t>
  </si>
  <si>
    <t xml:space="preserve">PI-2025-0568</t>
  </si>
  <si>
    <t xml:space="preserve">SI-2025-0236</t>
  </si>
  <si>
    <t xml:space="preserve">SI-2025-0542</t>
  </si>
  <si>
    <t xml:space="preserve">PI-2025-0396</t>
  </si>
  <si>
    <t xml:space="preserve">SI-2025-0099</t>
  </si>
  <si>
    <t xml:space="preserve">SI-2025-0121</t>
  </si>
  <si>
    <t xml:space="preserve">SI-2025-0421</t>
  </si>
  <si>
    <t xml:space="preserve">PI-2025-0287</t>
  </si>
  <si>
    <t xml:space="preserve">SI-2025-0404</t>
  </si>
  <si>
    <t xml:space="preserve">SI-2025-0561</t>
  </si>
  <si>
    <t xml:space="preserve">SI-2025-0557</t>
  </si>
  <si>
    <t xml:space="preserve">PI-2025-0436</t>
  </si>
  <si>
    <t xml:space="preserve">SI-2025-0081</t>
  </si>
  <si>
    <t xml:space="preserve">SI-2025-0565</t>
  </si>
  <si>
    <t xml:space="preserve">PI-2025-0094</t>
  </si>
  <si>
    <t xml:space="preserve">PI-2025-0126</t>
  </si>
  <si>
    <t xml:space="preserve">SI-2025-0001</t>
  </si>
  <si>
    <t xml:space="preserve">SI-2025-0321</t>
  </si>
  <si>
    <t xml:space="preserve">SI-2025-0343</t>
  </si>
  <si>
    <t xml:space="preserve">SI-2025-0567</t>
  </si>
  <si>
    <t xml:space="preserve">PI-2025-0263</t>
  </si>
  <si>
    <t xml:space="preserve">SI-2025-0424</t>
  </si>
  <si>
    <t xml:space="preserve">SI-2025-0522</t>
  </si>
  <si>
    <t xml:space="preserve">SI-2025-0572</t>
  </si>
  <si>
    <t xml:space="preserve">PI-2025-0042</t>
  </si>
  <si>
    <t xml:space="preserve">PI-2025-0074</t>
  </si>
  <si>
    <t xml:space="preserve">PI-2025-0223</t>
  </si>
  <si>
    <t xml:space="preserve">PI-2025-0231</t>
  </si>
  <si>
    <t xml:space="preserve">PI-2025-0284</t>
  </si>
  <si>
    <t xml:space="preserve">SI-2025-0357</t>
  </si>
  <si>
    <t xml:space="preserve">SI-2025-0538</t>
  </si>
  <si>
    <t xml:space="preserve">PI-2025-0457</t>
  </si>
  <si>
    <t xml:space="preserve">PI-2025-0463</t>
  </si>
  <si>
    <t xml:space="preserve">SI-2025-0032</t>
  </si>
  <si>
    <t xml:space="preserve">SI-2025-0225</t>
  </si>
  <si>
    <t xml:space="preserve">SI-2025-0516</t>
  </si>
  <si>
    <t xml:space="preserve">PI-2025-0085</t>
  </si>
  <si>
    <t xml:space="preserve">PI-2025-0234</t>
  </si>
  <si>
    <t xml:space="preserve">PI-2025-0342</t>
  </si>
  <si>
    <t xml:space="preserve">SI-2025-0602</t>
  </si>
  <si>
    <t xml:space="preserve">SI-2025-0638</t>
  </si>
  <si>
    <t xml:space="preserve">PI-2025-0046</t>
  </si>
  <si>
    <t xml:space="preserve">PI-2025-0566</t>
  </si>
  <si>
    <t xml:space="preserve">SI-2025-0211</t>
  </si>
  <si>
    <t xml:space="preserve">PI-2025-0539</t>
  </si>
  <si>
    <t xml:space="preserve">SI-2025-0302</t>
  </si>
  <si>
    <t xml:space="preserve">SI-2025-0314</t>
  </si>
  <si>
    <t xml:space="preserve">SI-2025-0130</t>
  </si>
  <si>
    <t xml:space="preserve">SI-2025-0249</t>
  </si>
  <si>
    <t xml:space="preserve">SI-2025-0531</t>
  </si>
  <si>
    <t xml:space="preserve">SI-2025-0576</t>
  </si>
  <si>
    <t xml:space="preserve">PI-2025-0022</t>
  </si>
  <si>
    <t xml:space="preserve">SI-2025-0548</t>
  </si>
  <si>
    <t xml:space="preserve">PI-2025-0096</t>
  </si>
  <si>
    <t xml:space="preserve">PI-2025-0247</t>
  </si>
  <si>
    <t xml:space="preserve">SI-2025-0544</t>
  </si>
  <si>
    <t xml:space="preserve">PI-2025-0305</t>
  </si>
  <si>
    <t xml:space="preserve">PI-2025-0321</t>
  </si>
  <si>
    <t xml:space="preserve">SI-2025-0173</t>
  </si>
  <si>
    <t xml:space="preserve">PI-2025-0077</t>
  </si>
  <si>
    <t xml:space="preserve">PI-2025-0211</t>
  </si>
  <si>
    <t xml:space="preserve">PI-2025-0456</t>
  </si>
  <si>
    <t xml:space="preserve">SI-2025-0088</t>
  </si>
  <si>
    <t xml:space="preserve">PI-2025-0146</t>
  </si>
  <si>
    <t xml:space="preserve">PI-2025-0184</t>
  </si>
  <si>
    <t xml:space="preserve">PI-2025-0292</t>
  </si>
  <si>
    <t xml:space="preserve">PI-2025-0403</t>
  </si>
  <si>
    <t xml:space="preserve">SI-2025-0115</t>
  </si>
  <si>
    <t xml:space="preserve">SI-2025-0482</t>
  </si>
  <si>
    <t xml:space="preserve">PI-2025-0485</t>
  </si>
  <si>
    <t xml:space="preserve">PI-2025-0494</t>
  </si>
  <si>
    <t xml:space="preserve">SI-2025-0096</t>
  </si>
  <si>
    <t xml:space="preserve">SI-2025-0323</t>
  </si>
  <si>
    <t xml:space="preserve">PI-2025-0106</t>
  </si>
  <si>
    <t xml:space="preserve">SI-2025-0079</t>
  </si>
  <si>
    <t xml:space="preserve">PI-2025-0315</t>
  </si>
  <si>
    <t xml:space="preserve">PI-2025-0488</t>
  </si>
  <si>
    <t xml:space="preserve">PI-2025-0207</t>
  </si>
  <si>
    <t xml:space="preserve">PI-2025-0323</t>
  </si>
  <si>
    <t xml:space="preserve">PI-2025-0569</t>
  </si>
  <si>
    <t xml:space="preserve">SI-2025-0067</t>
  </si>
  <si>
    <t xml:space="preserve">SI-2025-0298</t>
  </si>
  <si>
    <t xml:space="preserve">SI-2025-0015</t>
  </si>
  <si>
    <t xml:space="preserve">SI-2025-0077</t>
  </si>
  <si>
    <t xml:space="preserve">PI-2025-0011</t>
  </si>
  <si>
    <t xml:space="preserve">PI-2025-0092</t>
  </si>
  <si>
    <t xml:space="preserve">PI-2025-0139</t>
  </si>
  <si>
    <t xml:space="preserve">PI-2025-0336</t>
  </si>
  <si>
    <t xml:space="preserve">SI-2025-0275</t>
  </si>
  <si>
    <t xml:space="preserve">SI-2025-0294</t>
  </si>
  <si>
    <t xml:space="preserve">SI-2025-0595</t>
  </si>
  <si>
    <t xml:space="preserve">SI-2025-0621</t>
  </si>
  <si>
    <t xml:space="preserve">SI-2025-0162</t>
  </si>
  <si>
    <t xml:space="preserve">SI-2025-0023</t>
  </si>
  <si>
    <t xml:space="preserve">SI-2025-0353</t>
  </si>
  <si>
    <t xml:space="preserve">PI-2025-0172</t>
  </si>
  <si>
    <t xml:space="preserve">PI-2025-0317</t>
  </si>
  <si>
    <t xml:space="preserve">SI-2025-0209</t>
  </si>
  <si>
    <t xml:space="preserve">SI-2025-0289</t>
  </si>
  <si>
    <t xml:space="preserve">SI-2025-0519</t>
  </si>
  <si>
    <t xml:space="preserve">PI-2025-0031</t>
  </si>
  <si>
    <t xml:space="preserve">PI-2025-0055</t>
  </si>
  <si>
    <t xml:space="preserve">SI-2025-0040</t>
  </si>
  <si>
    <t xml:space="preserve">SI-2025-0057</t>
  </si>
  <si>
    <t xml:space="preserve">SI-2025-0349</t>
  </si>
  <si>
    <t xml:space="preserve">PI-2025-0162</t>
  </si>
  <si>
    <t xml:space="preserve">SI-2025-0005</t>
  </si>
  <si>
    <t xml:space="preserve">SI-2025-0029</t>
  </si>
  <si>
    <t xml:space="preserve">SI-2025-0181</t>
  </si>
  <si>
    <t xml:space="preserve">SI-2025-0553</t>
  </si>
  <si>
    <t xml:space="preserve">PI-2025-0051</t>
  </si>
  <si>
    <t xml:space="preserve">PI-2025-0493</t>
  </si>
  <si>
    <t xml:space="preserve">SI-2025-0376</t>
  </si>
  <si>
    <t xml:space="preserve">SI-2025-0605</t>
  </si>
  <si>
    <t xml:space="preserve">PI-2025-0057</t>
  </si>
  <si>
    <t xml:space="preserve">PI-2025-0186</t>
  </si>
  <si>
    <t xml:space="preserve">PI-2025-0313</t>
  </si>
  <si>
    <t xml:space="preserve">PI-2025-0483</t>
  </si>
  <si>
    <t xml:space="preserve">SI-2025-0472</t>
  </si>
  <si>
    <t xml:space="preserve">PI-2025-0413</t>
  </si>
  <si>
    <t xml:space="preserve">SI-2025-0183</t>
  </si>
  <si>
    <t xml:space="preserve">SI-2025-0231</t>
  </si>
  <si>
    <t xml:space="preserve">SI-2025-0401</t>
  </si>
  <si>
    <t xml:space="preserve">PI-2025-0324</t>
  </si>
  <si>
    <t xml:space="preserve">SI-2025-0272</t>
  </si>
  <si>
    <t xml:space="preserve">SI-2025-0311</t>
  </si>
  <si>
    <t xml:space="preserve">SI-2025-0454</t>
  </si>
  <si>
    <t xml:space="preserve">PI-2025-0032</t>
  </si>
  <si>
    <t xml:space="preserve">PI-2025-0035</t>
  </si>
  <si>
    <t xml:space="preserve">PI-2025-0189</t>
  </si>
  <si>
    <t xml:space="preserve">PI-2025-0427</t>
  </si>
  <si>
    <t xml:space="preserve">PI-2025-0259</t>
  </si>
  <si>
    <t xml:space="preserve">PI-2025-0343</t>
  </si>
  <si>
    <t xml:space="preserve">PI-2025-0491</t>
  </si>
  <si>
    <t xml:space="preserve">PI-2025-0523</t>
  </si>
  <si>
    <t xml:space="preserve">SI-2025-0111</t>
  </si>
  <si>
    <t xml:space="preserve">SI-2025-0571</t>
  </si>
  <si>
    <t xml:space="preserve">PI-2025-0609</t>
  </si>
  <si>
    <t xml:space="preserve">SI-2025-0290</t>
  </si>
  <si>
    <t xml:space="preserve">PI-2025-0518</t>
  </si>
  <si>
    <t xml:space="preserve">SI-2025-0226</t>
  </si>
  <si>
    <t xml:space="preserve">PI-2025-0567</t>
  </si>
  <si>
    <t xml:space="preserve">PI-2025-0603</t>
  </si>
  <si>
    <t xml:space="preserve">SI-2025-0205</t>
  </si>
  <si>
    <t xml:space="preserve">PI-2025-0435</t>
  </si>
  <si>
    <t xml:space="preserve">PI-2025-0459</t>
  </si>
  <si>
    <t xml:space="preserve">SI-2025-0228</t>
  </si>
  <si>
    <t xml:space="preserve">SI-2025-0247</t>
  </si>
  <si>
    <t xml:space="preserve">PI-2025-0327</t>
  </si>
  <si>
    <t xml:space="preserve">SI-2025-0105</t>
  </si>
  <si>
    <t xml:space="preserve">SI-2025-0451</t>
  </si>
  <si>
    <t xml:space="preserve">SI-2025-0499</t>
  </si>
  <si>
    <t xml:space="preserve">PI-2025-0161</t>
  </si>
  <si>
    <t xml:space="preserve">PI-2025-0214</t>
  </si>
  <si>
    <t xml:space="preserve">PI-2025-0054</t>
  </si>
  <si>
    <t xml:space="preserve">SI-2025-0476</t>
  </si>
  <si>
    <t xml:space="preserve">SI-2025-0584</t>
  </si>
  <si>
    <t xml:space="preserve">PI-2025-0311</t>
  </si>
  <si>
    <t xml:space="preserve">PI-2025-0377</t>
  </si>
  <si>
    <t xml:space="preserve">SI-2025-0072</t>
  </si>
  <si>
    <t xml:space="preserve">PI-2025-0297</t>
  </si>
  <si>
    <t xml:space="preserve">PI-2025-0448</t>
  </si>
  <si>
    <t xml:space="preserve">PI-2025-0535</t>
  </si>
  <si>
    <t xml:space="preserve">PI-2025-0553</t>
  </si>
  <si>
    <t xml:space="preserve">SI-2025-0135</t>
  </si>
  <si>
    <t xml:space="preserve">SI-2025-0579</t>
  </si>
  <si>
    <t xml:space="preserve">SI-2025-0060</t>
  </si>
  <si>
    <t xml:space="preserve">SI-2025-0094</t>
  </si>
  <si>
    <t xml:space="preserve">SI-2025-0180</t>
  </si>
  <si>
    <t xml:space="preserve">PI-2025-0294</t>
  </si>
  <si>
    <t xml:space="preserve">SI-2025-0300</t>
  </si>
  <si>
    <t xml:space="preserve">PI-2025-0190</t>
  </si>
  <si>
    <t xml:space="preserve">PI-2025-0249</t>
  </si>
  <si>
    <t xml:space="preserve">PI-2025-0512</t>
  </si>
  <si>
    <t xml:space="preserve">SI-2025-0153</t>
  </si>
  <si>
    <t xml:space="preserve">SI-2025-0406</t>
  </si>
  <si>
    <t xml:space="preserve">SI-2025-0539</t>
  </si>
  <si>
    <t xml:space="preserve">PI-2025-0552</t>
  </si>
  <si>
    <t xml:space="preserve">SI-2025-0238</t>
  </si>
  <si>
    <t xml:space="preserve">SI-2025-0435</t>
  </si>
  <si>
    <t xml:space="preserve">SI-2025-0492</t>
  </si>
  <si>
    <t xml:space="preserve">SI-2025-0063</t>
  </si>
  <si>
    <t xml:space="preserve">SI-2025-0140</t>
  </si>
  <si>
    <t xml:space="preserve">SI-2025-0495</t>
  </si>
  <si>
    <t xml:space="preserve">SI-2025-0633</t>
  </si>
  <si>
    <t xml:space="preserve">SI-2025-0533</t>
  </si>
  <si>
    <t xml:space="preserve">SI-2025-0004</t>
  </si>
  <si>
    <t xml:space="preserve">SI-2025-0039</t>
  </si>
  <si>
    <t xml:space="preserve">SI-2025-0142</t>
  </si>
  <si>
    <t xml:space="preserve">PI-2025-0541</t>
  </si>
  <si>
    <t xml:space="preserve">SI-2025-0508</t>
  </si>
  <si>
    <t xml:space="preserve">PI-2025-0532</t>
  </si>
  <si>
    <t xml:space="preserve">SI-2025-0315</t>
  </si>
  <si>
    <t xml:space="preserve">PI-2025-0024</t>
  </si>
  <si>
    <t xml:space="preserve">PI-2025-0330</t>
  </si>
  <si>
    <t xml:space="preserve">SI-2025-0239</t>
  </si>
  <si>
    <t xml:space="preserve">PI-2025-0209</t>
  </si>
  <si>
    <t xml:space="preserve">PI-2025-0273</t>
  </si>
  <si>
    <t xml:space="preserve">SI-2025-0269</t>
  </si>
  <si>
    <t xml:space="preserve">PI-2025-0407</t>
  </si>
  <si>
    <t xml:space="preserve">PI-2025-0520</t>
  </si>
  <si>
    <t xml:space="preserve">SI-2025-0467</t>
  </si>
  <si>
    <t xml:space="preserve">PI-2025-0219</t>
  </si>
  <si>
    <t xml:space="preserve">SI-2025-0303</t>
  </si>
  <si>
    <t xml:space="preserve">PI-2025-0070</t>
  </si>
  <si>
    <t xml:space="preserve">PI-2025-0587</t>
  </si>
  <si>
    <t xml:space="preserve">SI-2025-0339</t>
  </si>
  <si>
    <t xml:space="preserve">SI-2025-0566</t>
  </si>
  <si>
    <t xml:space="preserve">SI-2025-0635</t>
  </si>
  <si>
    <t xml:space="preserve">PI-2025-0479</t>
  </si>
  <si>
    <t xml:space="preserve">SI-2025-0214</t>
  </si>
  <si>
    <t xml:space="preserve">SI-2025-0345</t>
  </si>
  <si>
    <t xml:space="preserve">PI-2025-0050</t>
  </si>
  <si>
    <t xml:space="preserve">PI-2025-0597</t>
  </si>
  <si>
    <t xml:space="preserve">SI-2025-0259</t>
  </si>
  <si>
    <t xml:space="preserve">PI-2025-0141</t>
  </si>
  <si>
    <t xml:space="preserve">PI-2025-0289</t>
  </si>
  <si>
    <t xml:space="preserve">PI-2025-0298</t>
  </si>
  <si>
    <t xml:space="preserve">PI-2025-0524</t>
  </si>
  <si>
    <t xml:space="preserve">SI-2025-0234</t>
  </si>
  <si>
    <t xml:space="preserve">SI-2025-0441</t>
  </si>
  <si>
    <t xml:space="preserve">SI-2025-0506</t>
  </si>
  <si>
    <t xml:space="preserve">SI-2025-0603</t>
  </si>
  <si>
    <t xml:space="preserve">PI-2025-0028</t>
  </si>
  <si>
    <t xml:space="preserve">PI-2025-0419</t>
  </si>
  <si>
    <t xml:space="preserve">PI-2025-0442</t>
  </si>
  <si>
    <t xml:space="preserve">SI-2025-0030</t>
  </si>
  <si>
    <t xml:space="preserve">PI-2025-0526</t>
  </si>
  <si>
    <t xml:space="preserve">PI-2025-0560</t>
  </si>
  <si>
    <t xml:space="preserve">SI-2025-0509</t>
  </si>
  <si>
    <t xml:space="preserve">SI-2025-0514</t>
  </si>
  <si>
    <t xml:space="preserve">PI-2025-0204</t>
  </si>
  <si>
    <t xml:space="preserve">PI-2025-0168</t>
  </si>
  <si>
    <t xml:space="preserve">PI-2025-0548</t>
  </si>
  <si>
    <t xml:space="preserve">SI-2025-0386</t>
  </si>
  <si>
    <t xml:space="preserve">PI-2025-0447</t>
  </si>
  <si>
    <t xml:space="preserve">PI-2025-0527</t>
  </si>
  <si>
    <t xml:space="preserve">PI-2025-0542</t>
  </si>
  <si>
    <t xml:space="preserve">PI-2025-0406</t>
  </si>
  <si>
    <t xml:space="preserve">SI-2025-0089</t>
  </si>
  <si>
    <t xml:space="preserve">SI-2025-0116</t>
  </si>
  <si>
    <t xml:space="preserve">SI-2025-0491</t>
  </si>
  <si>
    <t xml:space="preserve">SI-2025-0631</t>
  </si>
  <si>
    <t xml:space="preserve">SI-2025-0637</t>
  </si>
  <si>
    <t xml:space="preserve">PI-2025-0119</t>
  </si>
  <si>
    <t xml:space="preserve">PI-2025-0132</t>
  </si>
  <si>
    <t xml:space="preserve">PI-2025-0497</t>
  </si>
  <si>
    <t xml:space="preserve">SI-2025-0132</t>
  </si>
  <si>
    <t xml:space="preserve">SI-2025-0336</t>
  </si>
  <si>
    <t xml:space="preserve">SI-2025-0415</t>
  </si>
  <si>
    <t xml:space="preserve">PI-2025-0020</t>
  </si>
  <si>
    <t xml:space="preserve">PI-2025-0044</t>
  </si>
  <si>
    <t xml:space="preserve">SI-2025-0084</t>
  </si>
  <si>
    <t xml:space="preserve">SI-2025-0123</t>
  </si>
  <si>
    <t xml:space="preserve">PI-2025-0339</t>
  </si>
  <si>
    <t xml:space="preserve">PI-2025-0561</t>
  </si>
  <si>
    <t xml:space="preserve">SI-2025-0100</t>
  </si>
  <si>
    <t xml:space="preserve">SI-2025-0287</t>
  </si>
  <si>
    <t xml:space="preserve">SI-2025-0460</t>
  </si>
  <si>
    <t xml:space="preserve">PI-2025-0152</t>
  </si>
  <si>
    <t xml:space="preserve">PI-2025-0490</t>
  </si>
  <si>
    <t xml:space="preserve">SI-2025-0425</t>
  </si>
  <si>
    <t xml:space="preserve">PI-2025-0439</t>
  </si>
  <si>
    <t xml:space="preserve">SI-2025-0106</t>
  </si>
  <si>
    <t xml:space="preserve">SI-2025-0422</t>
  </si>
  <si>
    <t xml:space="preserve">SI-2025-0335</t>
  </si>
  <si>
    <t xml:space="preserve">PI-2025-0157</t>
  </si>
  <si>
    <t xml:space="preserve">SI-2025-0160</t>
  </si>
  <si>
    <t xml:space="preserve">SI-2025-0524</t>
  </si>
  <si>
    <t xml:space="preserve">PI-2025-0160</t>
  </si>
  <si>
    <t xml:space="preserve">PI-2025-0006</t>
  </si>
  <si>
    <t xml:space="preserve">PI-2025-0045</t>
  </si>
  <si>
    <t xml:space="preserve">SI-2025-0127</t>
  </si>
  <si>
    <t xml:space="preserve">SI-2025-0261</t>
  </si>
  <si>
    <t xml:space="preserve">SI-2025-0511</t>
  </si>
  <si>
    <t xml:space="preserve">PI-2025-0037</t>
  </si>
  <si>
    <t xml:space="preserve">PI-2025-0110</t>
  </si>
  <si>
    <t xml:space="preserve">PI-2025-0386</t>
  </si>
  <si>
    <t xml:space="preserve">SI-2025-0250</t>
  </si>
  <si>
    <t xml:space="preserve">SI-2025-0573</t>
  </si>
  <si>
    <t xml:space="preserve">PI-2025-0052</t>
  </si>
  <si>
    <t xml:space="preserve">SI-2025-0208</t>
  </si>
  <si>
    <t xml:space="preserve">SI-2025-0263</t>
  </si>
  <si>
    <t xml:space="preserve">PI-2025-0242</t>
  </si>
  <si>
    <t xml:space="preserve">SI-2025-0124</t>
  </si>
  <si>
    <t xml:space="preserve">SI-2025-0148</t>
  </si>
  <si>
    <t xml:space="preserve">PI-2025-0536</t>
  </si>
  <si>
    <t xml:space="preserve">SI-2025-0008</t>
  </si>
  <si>
    <t xml:space="preserve">SI-2025-0517</t>
  </si>
  <si>
    <t xml:space="preserve">PI-2025-0071</t>
  </si>
  <si>
    <t xml:space="preserve">PI-2025-0202</t>
  </si>
  <si>
    <t xml:space="preserve">PI-2025-0462</t>
  </si>
  <si>
    <t xml:space="preserve">PI-2025-0341</t>
  </si>
  <si>
    <t xml:space="preserve">PI-2025-0394</t>
  </si>
  <si>
    <t xml:space="preserve">PI-2025-0537</t>
  </si>
  <si>
    <t xml:space="preserve">PI-2025-0538</t>
  </si>
  <si>
    <t xml:space="preserve">SI-2025-0053</t>
  </si>
  <si>
    <t xml:space="preserve">SI-2025-0604</t>
  </si>
  <si>
    <t xml:space="preserve">PI-2025-0140</t>
  </si>
  <si>
    <t xml:space="preserve">PI-2025-0227</t>
  </si>
  <si>
    <t xml:space="preserve">PI-2025-0329</t>
  </si>
  <si>
    <t xml:space="preserve">SI-2025-0165</t>
  </si>
  <si>
    <t xml:space="preserve">SI-2025-0221</t>
  </si>
  <si>
    <t xml:space="preserve">SI-2025-0385</t>
  </si>
  <si>
    <t xml:space="preserve">PI-2025-0131</t>
  </si>
  <si>
    <t xml:space="preserve">PI-2025-0238</t>
  </si>
  <si>
    <t xml:space="preserve">PI-2025-0308</t>
  </si>
  <si>
    <t xml:space="preserve">SI-2025-0218</t>
  </si>
  <si>
    <t xml:space="preserve">SI-2025-0407</t>
  </si>
  <si>
    <t xml:space="preserve">PI-2025-0229</t>
  </si>
  <si>
    <t xml:space="preserve">SI-2025-0091</t>
  </si>
  <si>
    <t xml:space="preserve">SI-2025-0177</t>
  </si>
  <si>
    <t xml:space="preserve">PI-2025-0062</t>
  </si>
  <si>
    <t xml:space="preserve">PI-2025-0235</t>
  </si>
  <si>
    <t xml:space="preserve">PI-2025-0498</t>
  </si>
  <si>
    <t xml:space="preserve">SI-2025-0022</t>
  </si>
  <si>
    <t xml:space="preserve">SI-2025-0170</t>
  </si>
  <si>
    <t xml:space="preserve">SI-2025-0334</t>
  </si>
  <si>
    <t xml:space="preserve">SI-2025-0083</t>
  </si>
  <si>
    <t xml:space="preserve">PI-2025-0105</t>
  </si>
  <si>
    <t xml:space="preserve">PI-2025-0083</t>
  </si>
  <si>
    <t xml:space="preserve">SI-2025-0066</t>
  </si>
  <si>
    <t xml:space="preserve">SI-2025-0378</t>
  </si>
  <si>
    <t xml:space="preserve">SI-2025-0585</t>
  </si>
  <si>
    <t xml:space="preserve">PI-2025-0333</t>
  </si>
  <si>
    <t xml:space="preserve">SI-2025-0581</t>
  </si>
  <si>
    <t xml:space="preserve">PI-2025-0176</t>
  </si>
  <si>
    <t xml:space="preserve">PI-2025-0278</t>
  </si>
  <si>
    <t xml:space="preserve">PI-2025-0551</t>
  </si>
  <si>
    <t xml:space="preserve">SI-2025-0232</t>
  </si>
  <si>
    <t xml:space="preserve">PI-2025-0338</t>
  </si>
  <si>
    <t xml:space="preserve">SI-2025-0405</t>
  </si>
  <si>
    <t xml:space="preserve">SI-2025-0484</t>
  </si>
  <si>
    <t xml:space="preserve">SI-2025-0487</t>
  </si>
  <si>
    <t xml:space="preserve">PI-2025-0410</t>
  </si>
  <si>
    <t xml:space="preserve">SI-2025-0372</t>
  </si>
  <si>
    <t xml:space="preserve">PI-2025-0358</t>
  </si>
  <si>
    <t xml:space="preserve">PI-2025-0472</t>
  </si>
  <si>
    <t xml:space="preserve">SI-2025-0154</t>
  </si>
  <si>
    <t xml:space="preserve">SI-2025-0448</t>
  </si>
  <si>
    <t xml:space="preserve">PI-2025-0153</t>
  </si>
  <si>
    <t xml:space="preserve">PI-2025-0348</t>
  </si>
  <si>
    <t xml:space="preserve">SI-2025-0560</t>
  </si>
  <si>
    <t xml:space="preserve">PI-2025-0213</t>
  </si>
  <si>
    <t xml:space="preserve">PI-2025-0288</t>
  </si>
  <si>
    <t xml:space="preserve">PI-2025-0081</t>
  </si>
  <si>
    <t xml:space="preserve">PI-2025-0281</t>
  </si>
  <si>
    <t xml:space="preserve">PI-2025-0522</t>
  </si>
  <si>
    <t xml:space="preserve">SI-2025-0558</t>
  </si>
  <si>
    <t xml:space="preserve">PI-2025-0049</t>
  </si>
  <si>
    <t xml:space="preserve">PI-2025-0252</t>
  </si>
  <si>
    <t xml:space="preserve">PI-2025-0304</t>
  </si>
  <si>
    <t xml:space="preserve">PI-2025-0349</t>
  </si>
  <si>
    <t xml:space="preserve">SI-2025-0041</t>
  </si>
  <si>
    <t xml:space="preserve">PI-2025-0021</t>
  </si>
  <si>
    <t xml:space="preserve">PI-2025-0187</t>
  </si>
  <si>
    <t xml:space="preserve">PI-2025-0404</t>
  </si>
  <si>
    <t xml:space="preserve">SI-2025-0309</t>
  </si>
  <si>
    <t xml:space="preserve">SI-2025-0329</t>
  </si>
  <si>
    <t xml:space="preserve">SI-2025-0338</t>
  </si>
  <si>
    <t xml:space="preserve">SI-2025-0090</t>
  </si>
  <si>
    <t xml:space="preserve">SI-2025-0179</t>
  </si>
  <si>
    <t xml:space="preserve">SI-2025-0009</t>
  </si>
  <si>
    <t xml:space="preserve">SI-2025-0092</t>
  </si>
  <si>
    <t xml:space="preserve">PI-2025-0381</t>
  </si>
  <si>
    <t xml:space="preserve">PI-2025-0416</t>
  </si>
  <si>
    <t xml:space="preserve">PI-2025-0545</t>
  </si>
  <si>
    <t xml:space="preserve">SI-2025-0146</t>
  </si>
  <si>
    <t xml:space="preserve">SI-2025-0158</t>
  </si>
  <si>
    <t xml:space="preserve">SI-2025-0184</t>
  </si>
  <si>
    <t xml:space="preserve">SI-2025-0387</t>
  </si>
  <si>
    <t xml:space="preserve">SI-2025-0624</t>
  </si>
  <si>
    <t xml:space="preserve">PI-2025-0265</t>
  </si>
  <si>
    <t xml:space="preserve">PI-2025-0516</t>
  </si>
  <si>
    <t xml:space="preserve">SI-2025-0223</t>
  </si>
  <si>
    <t xml:space="preserve">SI-2025-0501</t>
  </si>
  <si>
    <t xml:space="preserve">PI-2025-0275</t>
  </si>
  <si>
    <t xml:space="preserve">SI-2025-0288</t>
  </si>
  <si>
    <t xml:space="preserve">SI-2025-0020</t>
  </si>
  <si>
    <t xml:space="preserve">SI-2025-0525</t>
  </si>
  <si>
    <t xml:space="preserve">SI-2025-0591</t>
  </si>
  <si>
    <t xml:space="preserve">PI-2025-0423</t>
  </si>
  <si>
    <t xml:space="preserve">PI-2025-0589</t>
  </si>
  <si>
    <t xml:space="preserve">SI-2025-0080</t>
  </si>
  <si>
    <t xml:space="preserve">SI-2025-0152</t>
  </si>
  <si>
    <t xml:space="preserve">SI-2025-0444</t>
  </si>
  <si>
    <t xml:space="preserve">PI-2025-0183</t>
  </si>
  <si>
    <t xml:space="preserve">PI-2025-0573</t>
  </si>
  <si>
    <t xml:space="preserve">SI-2025-0233</t>
  </si>
  <si>
    <t xml:space="preserve">SI-2025-0352</t>
  </si>
  <si>
    <t xml:space="preserve">PI-2025-0484</t>
  </si>
  <si>
    <t xml:space="preserve">SI-2025-0278</t>
  </si>
  <si>
    <t xml:space="preserve">SI-2025-0413</t>
  </si>
  <si>
    <t xml:space="preserve">SI-2025-0428</t>
  </si>
  <si>
    <t xml:space="preserve">PI-2025-0100</t>
  </si>
  <si>
    <t xml:space="preserve">PI-2025-0531</t>
  </si>
  <si>
    <t xml:space="preserve">PI-2025-0607</t>
  </si>
  <si>
    <t xml:space="preserve">SI-2025-0192</t>
  </si>
  <si>
    <t xml:space="preserve">SI-2025-0619</t>
  </si>
  <si>
    <t xml:space="preserve">PI-2025-0240</t>
  </si>
  <si>
    <t xml:space="preserve">PI-2025-0002</t>
  </si>
  <si>
    <t xml:space="preserve">PI-2025-0347</t>
  </si>
  <si>
    <t xml:space="preserve">SI-2025-0628</t>
  </si>
  <si>
    <t xml:space="preserve">SI-2025-0242</t>
  </si>
  <si>
    <t xml:space="preserve">SI-2025-0505</t>
  </si>
  <si>
    <t xml:space="preserve">PI-2025-0471</t>
  </si>
  <si>
    <t xml:space="preserve">PI-2025-0290</t>
  </si>
  <si>
    <t xml:space="preserve">SI-2025-0185</t>
  </si>
  <si>
    <t xml:space="preserve">SI-2025-0390</t>
  </si>
  <si>
    <t xml:space="preserve">SI-2025-0151</t>
  </si>
  <si>
    <t xml:space="preserve">SI-2025-0411</t>
  </si>
  <si>
    <t xml:space="preserve">SI-2025-0611</t>
  </si>
  <si>
    <t xml:space="preserve">PI-2025-0274</t>
  </si>
  <si>
    <t xml:space="preserve">PI-2025-0489</t>
  </si>
  <si>
    <t xml:space="preserve">SI-2025-0213</t>
  </si>
  <si>
    <t xml:space="preserve">PI-2025-0149</t>
  </si>
  <si>
    <t xml:space="preserve">PI-2025-0519</t>
  </si>
  <si>
    <t xml:space="preserve">SI-2025-0363</t>
  </si>
  <si>
    <t xml:space="preserve">SI-2025-0126</t>
  </si>
  <si>
    <t xml:space="preserve">SI-2025-0147</t>
  </si>
  <si>
    <t xml:space="preserve">SI-2025-0285</t>
  </si>
  <si>
    <t xml:space="preserve">SI-2025-0403</t>
  </si>
  <si>
    <t xml:space="preserve">SI-2025-0546</t>
  </si>
  <si>
    <t xml:space="preserve">PI-2025-0307</t>
  </si>
  <si>
    <t xml:space="preserve">PI-2025-0385</t>
  </si>
  <si>
    <t xml:space="preserve">PI-2025-0502</t>
  </si>
  <si>
    <t xml:space="preserve">PI-2025-0120</t>
  </si>
  <si>
    <t xml:space="preserve">PI-2025-0440</t>
  </si>
  <si>
    <t xml:space="preserve">PI-2025-0590</t>
  </si>
  <si>
    <t xml:space="preserve">SI-2025-0342</t>
  </si>
  <si>
    <t xml:space="preserve">SI-2025-0408</t>
  </si>
  <si>
    <t xml:space="preserve">SI-2025-0485</t>
  </si>
  <si>
    <t xml:space="preserve">SI-2025-0629</t>
  </si>
  <si>
    <t xml:space="preserve">PI-2025-0178</t>
  </si>
  <si>
    <t xml:space="preserve">SI-2025-0292</t>
  </si>
  <si>
    <t xml:space="preserve">SI-2025-0296</t>
  </si>
  <si>
    <t xml:space="preserve">SI-2025-0065</t>
  </si>
  <si>
    <t xml:space="preserve">SI-2025-0156</t>
  </si>
  <si>
    <t xml:space="preserve">PI-2025-0181</t>
  </si>
  <si>
    <t xml:space="preserve">SI-2025-0051</t>
  </si>
  <si>
    <t xml:space="preserve">PI-2025-0174</t>
  </si>
  <si>
    <t xml:space="preserve">PI-2025-0228</t>
  </si>
  <si>
    <t xml:space="preserve">PI-2025-0322</t>
  </si>
  <si>
    <t xml:space="preserve">PI-2025-0369</t>
  </si>
  <si>
    <t xml:space="preserve">PI-2025-0428</t>
  </si>
  <si>
    <t xml:space="preserve">SI-2025-0588</t>
  </si>
  <si>
    <t xml:space="preserve">SI-2025-0097</t>
  </si>
  <si>
    <t xml:space="preserve">SI-2025-0442</t>
  </si>
  <si>
    <t xml:space="preserve">SI-2025-0532</t>
  </si>
  <si>
    <t xml:space="preserve">PI-2025-0368</t>
  </si>
  <si>
    <t xml:space="preserve">PI-2025-0465</t>
  </si>
  <si>
    <t xml:space="preserve">SI-2025-0061</t>
  </si>
  <si>
    <t xml:space="preserve">SI-2025-0358</t>
  </si>
  <si>
    <t xml:space="preserve">SI-2025-0592</t>
  </si>
  <si>
    <t xml:space="preserve">PI-2025-0079</t>
  </si>
  <si>
    <t xml:space="preserve">SI-2025-0554</t>
  </si>
  <si>
    <t xml:space="preserve">PI-2025-0332</t>
  </si>
  <si>
    <t xml:space="preserve">PI-2025-0550</t>
  </si>
  <si>
    <t xml:space="preserve">SI-2025-0003</t>
  </si>
  <si>
    <t xml:space="preserve">SI-2025-0364</t>
  </si>
  <si>
    <t xml:space="preserve">PI-2025-0072</t>
  </si>
  <si>
    <t xml:space="preserve">PI-2025-0379</t>
  </si>
  <si>
    <t xml:space="preserve">PI-2025-0511</t>
  </si>
  <si>
    <t xml:space="preserve">PI-2025-0591</t>
  </si>
  <si>
    <t xml:space="preserve">PI-2025-0605</t>
  </si>
  <si>
    <t xml:space="preserve">SI-2025-0052</t>
  </si>
  <si>
    <t xml:space="preserve">PI-2025-0593</t>
  </si>
  <si>
    <t xml:space="preserve">PI-2025-0604</t>
  </si>
  <si>
    <t xml:space="preserve">PI-2025-0608</t>
  </si>
  <si>
    <t xml:space="preserve">SI-2025-0166</t>
  </si>
  <si>
    <t xml:space="preserve">PI-2025-0376</t>
  </si>
  <si>
    <t xml:space="preserve">SI-2025-0279</t>
  </si>
  <si>
    <t xml:space="preserve">SI-2025-0471</t>
  </si>
  <si>
    <t xml:space="preserve">PI-2025-0158</t>
  </si>
  <si>
    <t xml:space="preserve">PI-2025-0159</t>
  </si>
  <si>
    <t xml:space="preserve">PI-2025-0576</t>
  </si>
  <si>
    <t xml:space="preserve">SI-2025-0317</t>
  </si>
  <si>
    <t xml:space="preserve">SI-2025-0590</t>
  </si>
  <si>
    <t xml:space="preserve">SI-2025-0615</t>
  </si>
  <si>
    <t xml:space="preserve">SI-2025-0010</t>
  </si>
  <si>
    <t xml:space="preserve">SI-2025-0044</t>
  </si>
  <si>
    <t xml:space="preserve">PI-2025-0310</t>
  </si>
  <si>
    <t xml:space="preserve">PI-2025-0415</t>
  </si>
  <si>
    <t xml:space="preserve">PI-2025-0515</t>
  </si>
  <si>
    <t xml:space="preserve">SI-2025-0437</t>
  </si>
  <si>
    <t xml:space="preserve">SI-2025-0529</t>
  </si>
  <si>
    <t xml:space="preserve">KPI dictionary</t>
  </si>
  <si>
    <t xml:space="preserve">Definitions used in this VAT pack</t>
  </si>
  <si>
    <t xml:space="preserve">KPI</t>
  </si>
  <si>
    <t xml:space="preserve">Definition</t>
  </si>
  <si>
    <t xml:space="preserve">Why it matters</t>
  </si>
  <si>
    <t xml:space="preserve">Net value of all outward supplies (standard, zero-rated, exempt, out of scope).</t>
  </si>
  <si>
    <t xml:space="preserve">Basis for turnover and registration thresholds.</t>
  </si>
  <si>
    <t xml:space="preserve">5% × standard-rated sales, plus self-assessed reverse-charge VAT.</t>
  </si>
  <si>
    <t xml:space="preserve">Tax collected on behalf of the FTA.</t>
  </si>
  <si>
    <t xml:space="preserve">VAT on purchases with a valid TRN that are not blocked, including capital assets and reverse charge.</t>
  </si>
  <si>
    <t xml:space="preserve">Cash recovered through the return.</t>
  </si>
  <si>
    <t xml:space="preserve">Net VAT payable</t>
  </si>
  <si>
    <t xml:space="preserve">Output VAT (incl. reverse charge) − recoverable input VAT. Negative = refund.</t>
  </si>
  <si>
    <t xml:space="preserve">Cash outflow to/inflow from the FTA.</t>
  </si>
  <si>
    <t xml:space="preserve">Recovered ÷ (recovered + not recoverable).</t>
  </si>
  <si>
    <t xml:space="preserve">Measures purchase-to-pay compliance quality.</t>
  </si>
  <si>
    <t xml:space="preserve">Effective VAT rate</t>
  </si>
  <si>
    <t xml:space="preserve">Output VAT ÷ total sales.</t>
  </si>
  <si>
    <t xml:space="preserve">Falls below 5% when exports / exempt supplies are significant.</t>
  </si>
  <si>
    <t xml:space="preserve">Invalid TRN, blocked input or posting more than 30 days after the document date.</t>
  </si>
  <si>
    <t xml:space="preserve">Compliance risk and penalty exposure.</t>
  </si>
  <si>
    <t xml:space="preserve">Turnover reconciliation</t>
  </si>
  <si>
    <t xml:space="preserve">VAT-return supplies vs GL revenue; unexplained difference must be inside tolerance.</t>
  </si>
  <si>
    <t xml:space="preserve">Primary FTA audit trigger.</t>
  </si>
  <si>
    <t xml:space="preserve">Integrity checks</t>
  </si>
  <si>
    <t xml:space="preserve">All checks must show PASS (tolerance AED 1)</t>
  </si>
  <si>
    <t xml:space="preserve">Overall status</t>
  </si>
  <si>
    <t xml:space="preserve">Check</t>
  </si>
  <si>
    <t xml:space="preserve">Value A</t>
  </si>
  <si>
    <t xml:space="preserve">Value B</t>
  </si>
  <si>
    <t xml:space="preserve">Difference</t>
  </si>
  <si>
    <t xml:space="preserve">Result</t>
  </si>
  <si>
    <t xml:space="preserve">Register documents loaded (1,250)</t>
  </si>
  <si>
    <t xml:space="preserve">Sum of quarters = full-year net VAT</t>
  </si>
  <si>
    <t xml:space="preserve">VAT201 box 14 = Exec_Summary net VAT (selected period)</t>
  </si>
  <si>
    <t xml:space="preserve">Monthly trend net VAT = quarterly net VAT</t>
  </si>
  <si>
    <t xml:space="preserve">Emirate split total = standard-rated sales (FY)</t>
  </si>
  <si>
    <t xml:space="preserve">Recoverable + not recoverable = VAT on all purchases</t>
  </si>
  <si>
    <t xml:space="preserve">Exceptions: sum by type = flagged documents</t>
  </si>
  <si>
    <t xml:space="preserve">Every document has a VAT category</t>
  </si>
  <si>
    <t xml:space="preserve">Turnover recon unexplained difference within tolerance (1 = yes)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</si>
</sst>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[&gt;=1000000]&quot;AED &quot;#,##0.0,,\M;[&lt;=-1000000]&quot;-AED &quot;#,##0.0,,\M;&quot;AED &quot;#,##0,\K"/>
    <numFmt numFmtId="166" formatCode="0.0%;\-0.0%;0.0%"/>
    <numFmt numFmtId="167" formatCode="0"/>
    <numFmt numFmtId="168" formatCode="#,##0,\K"/>
    <numFmt numFmtId="169" formatCode="#,##0.0,,\M"/>
    <numFmt numFmtId="170" formatCode="#,##0.00"/>
    <numFmt numFmtId="171" formatCode="#,##0.00;\(#,##0.00\)"/>
    <numFmt numFmtId="172" formatCode="0.00"/>
    <numFmt numFmtId="173" formatCode="mmm\-yy"/>
    <numFmt numFmtId="174" formatCode="0.00%"/>
    <numFmt numFmtId="175" formatCode="dd\-mmm\-yy"/>
    <numFmt numFmtId="176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color rgb="FF555555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b val="true"/>
      <sz val="11"/>
      <color rgb="FF1B2A41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0"/>
      <color rgb="FF1B2A4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1"/>
        <bgColor rgb="FF003366"/>
      </patternFill>
    </fill>
    <fill>
      <patternFill patternType="solid">
        <fgColor rgb="FFFFF7DA"/>
        <bgColor rgb="FFFFFFFF"/>
      </patternFill>
    </fill>
    <fill>
      <patternFill patternType="solid">
        <fgColor rgb="FFD8A94E"/>
        <bgColor rgb="FFFF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C6D0"/>
      </left>
      <right style="thin">
        <color rgb="FFBFC6D0"/>
      </right>
      <top style="thin">
        <color rgb="FFBFC6D0"/>
      </top>
      <bottom style="thin">
        <color rgb="FFBFC6D0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thin">
        <color rgb="FFBFC6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Calibri"/>
        <charset val="1"/>
        <family val="0"/>
        <color rgb="FFC0392B"/>
      </font>
    </dxf>
    <dxf>
      <font>
        <name val="Calibri"/>
        <charset val="1"/>
        <family val="0"/>
        <color rgb="FF2E8B57"/>
      </font>
    </dxf>
    <dxf>
      <font>
        <name val="Calibri"/>
        <charset val="1"/>
        <family val="0"/>
        <b val="1"/>
        <color rgb="FF2E8B57"/>
      </font>
    </dxf>
    <dxf>
      <font>
        <name val="Calibri"/>
        <charset val="1"/>
        <family val="0"/>
        <b val="1"/>
        <color rgb="FFB7791F"/>
      </font>
    </dxf>
    <dxf>
      <font>
        <name val="Calibri"/>
        <charset val="1"/>
        <family val="0"/>
        <b val="1"/>
        <color rgb="FFC0392B"/>
      </font>
    </dxf>
    <dxf>
      <fill>
        <patternFill patternType="solid">
          <fgColor rgb="FF1B2A4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FC6D0"/>
      <rgbColor rgb="FF878787"/>
      <rgbColor rgb="FF7F8C8D"/>
      <rgbColor rgb="FF993366"/>
      <rgbColor rgb="FFFFF7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FA9A0"/>
      <rgbColor rgb="FF99CC00"/>
      <rgbColor rgb="FFFFCC00"/>
      <rgbColor rgb="FFD8A94E"/>
      <rgbColor rgb="FFFF6600"/>
      <rgbColor rgb="FF666666"/>
      <rgbColor rgb="FF888888"/>
      <rgbColor rgb="FF003366"/>
      <rgbColor rgb="FF2E8B57"/>
      <rgbColor rgb="FF003300"/>
      <rgbColor rgb="FF333300"/>
      <rgbColor rgb="FFC0392B"/>
      <rgbColor rgb="FF993366"/>
      <rgbColor rgb="FF555555"/>
      <rgbColor rgb="FF1B2A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Output vs recoverable input VAT by quarter (AED)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"Output VAT"</c:f>
              <c:strCache>
                <c:ptCount val="1"/>
                <c:pt idx="0">
                  <c:v>Output VAT</c:v>
                </c:pt>
              </c:strCache>
            </c:strRef>
          </c:tx>
          <c:spPr>
            <a:solidFill>
              <a:srgbClr val="1b2a4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Exec_Summary!$B$21:$B$24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Exec_Summary!$G$21:$G$24</c:f>
              <c:numCache>
                <c:formatCode>[&gt;=1000000]"AED "#,##0.0,,\M;[&lt;=-1000000]"-AED "#,##0.0,,\M;"AED "#,##0,\K</c:formatCode>
                <c:ptCount val="4"/>
                <c:pt idx="0">
                  <c:v>346691.34</c:v>
                </c:pt>
                <c:pt idx="1">
                  <c:v>396322.31</c:v>
                </c:pt>
                <c:pt idx="2">
                  <c:v>323113.18</c:v>
                </c:pt>
                <c:pt idx="3">
                  <c:v>311000.77</c:v>
                </c:pt>
              </c:numCache>
            </c:numRef>
          </c:val>
        </c:ser>
        <c:ser>
          <c:idx val="1"/>
          <c:order val="1"/>
          <c:tx>
            <c:strRef>
              <c:f>"Input VAT recovered"</c:f>
              <c:strCache>
                <c:ptCount val="1"/>
                <c:pt idx="0">
                  <c:v>Input VAT recovered</c:v>
                </c:pt>
              </c:strCache>
            </c:strRef>
          </c:tx>
          <c:spPr>
            <a:solidFill>
              <a:srgbClr val="d8a94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Exec_Summary!$B$21:$B$24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Exec_Summary!$I$21:$I$24</c:f>
              <c:numCache>
                <c:formatCode>[&gt;=1000000]"AED "#,##0.0,,\M;[&lt;=-1000000]"-AED "#,##0.0,,\M;"AED "#,##0,\K</c:formatCode>
                <c:ptCount val="4"/>
                <c:pt idx="0">
                  <c:v>353182.57</c:v>
                </c:pt>
                <c:pt idx="1">
                  <c:v>309105</c:v>
                </c:pt>
                <c:pt idx="2">
                  <c:v>349684.88</c:v>
                </c:pt>
                <c:pt idx="3">
                  <c:v>264246.65</c:v>
                </c:pt>
              </c:numCache>
            </c:numRef>
          </c:val>
        </c:ser>
        <c:ser>
          <c:idx val="2"/>
          <c:order val="2"/>
          <c:tx>
            <c:strRef>
              <c:f>"Net VAT"</c:f>
              <c:strCache>
                <c:ptCount val="1"/>
                <c:pt idx="0">
                  <c:v>Net VAT</c:v>
                </c:pt>
              </c:strCache>
            </c:strRef>
          </c:tx>
          <c:spPr>
            <a:solidFill>
              <a:srgbClr val="3fa9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Exec_Summary!$B$21:$B$24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Exec_Summary!$J$21:$J$24</c:f>
              <c:numCache>
                <c:formatCode>[&gt;=1000000]"AED "#,##0.0,,\M;[&lt;=-1000000]"-AED "#,##0.0,,\M;"AED "#,##0,\K</c:formatCode>
                <c:ptCount val="4"/>
                <c:pt idx="0">
                  <c:v>11751.86</c:v>
                </c:pt>
                <c:pt idx="1">
                  <c:v>101525.63</c:v>
                </c:pt>
                <c:pt idx="2">
                  <c:v>7084.07000000001</c:v>
                </c:pt>
                <c:pt idx="3">
                  <c:v>57424.87</c:v>
                </c:pt>
              </c:numCache>
            </c:numRef>
          </c:val>
        </c:ser>
        <c:gapWidth val="150"/>
        <c:overlap val="0"/>
        <c:axId val="68719447"/>
        <c:axId val="50920173"/>
      </c:barChart>
      <c:catAx>
        <c:axId val="68719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20173"/>
        <c:crosses val="autoZero"/>
        <c:auto val="1"/>
        <c:lblAlgn val="ctr"/>
        <c:lblOffset val="100"/>
        <c:noMultiLvlLbl val="0"/>
      </c:catAx>
      <c:valAx>
        <c:axId val="509201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194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mix by quarter (AED)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"Standard-rated"</c:f>
              <c:strCache>
                <c:ptCount val="1"/>
                <c:pt idx="0">
                  <c:v>Standard-rated</c:v>
                </c:pt>
              </c:strCache>
            </c:strRef>
          </c:tx>
          <c:spPr>
            <a:solidFill>
              <a:srgbClr val="1b2a4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Exec_Summary!$B$21:$B$24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Exec_Summary!$C$21:$C$24</c:f>
              <c:numCache>
                <c:formatCode>[&gt;=1000000]"AED "#,##0.0,,\M;[&lt;=-1000000]"-AED "#,##0.0,,\M;"AED "#,##0,\K</c:formatCode>
                <c:ptCount val="4"/>
                <c:pt idx="0">
                  <c:v>6933825.59</c:v>
                </c:pt>
                <c:pt idx="1">
                  <c:v>7926446.2</c:v>
                </c:pt>
                <c:pt idx="2">
                  <c:v>6462263.35</c:v>
                </c:pt>
                <c:pt idx="3">
                  <c:v>6220014.82</c:v>
                </c:pt>
              </c:numCache>
            </c:numRef>
          </c:val>
        </c:ser>
        <c:ser>
          <c:idx val="1"/>
          <c:order val="1"/>
          <c:tx>
            <c:strRef>
              <c:f>"Zero-rated"</c:f>
              <c:strCache>
                <c:ptCount val="1"/>
                <c:pt idx="0">
                  <c:v>Zero-rated</c:v>
                </c:pt>
              </c:strCache>
            </c:strRef>
          </c:tx>
          <c:spPr>
            <a:solidFill>
              <a:srgbClr val="3fa9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Exec_Summary!$B$21:$B$24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Exec_Summary!$D$21:$D$24</c:f>
              <c:numCache>
                <c:formatCode>[&gt;=1000000]"AED "#,##0.0,,\M;[&lt;=-1000000]"-AED "#,##0.0,,\M;"AED "#,##0,\K</c:formatCode>
                <c:ptCount val="4"/>
                <c:pt idx="0">
                  <c:v>892629.65</c:v>
                </c:pt>
                <c:pt idx="1">
                  <c:v>2527984.94</c:v>
                </c:pt>
                <c:pt idx="2">
                  <c:v>1804587.28</c:v>
                </c:pt>
                <c:pt idx="3">
                  <c:v>1201993.27</c:v>
                </c:pt>
              </c:numCache>
            </c:numRef>
          </c:val>
        </c:ser>
        <c:ser>
          <c:idx val="2"/>
          <c:order val="2"/>
          <c:tx>
            <c:strRef>
              <c:f>"Exempt + OOS"</c:f>
              <c:strCache>
                <c:ptCount val="1"/>
                <c:pt idx="0">
                  <c:v>Exempt + OOS</c:v>
                </c:pt>
              </c:strCache>
            </c:strRef>
          </c:tx>
          <c:spPr>
            <a:solidFill>
              <a:srgbClr val="d8a94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Exec_Summary!$B$21:$B$24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Exec_Summary!$E$21:$E$24</c:f>
              <c:numCache>
                <c:formatCode>[&gt;=1000000]"AED "#,##0.0,,\M;[&lt;=-1000000]"-AED "#,##0.0,,\M;"AED "#,##0,\K</c:formatCode>
                <c:ptCount val="4"/>
                <c:pt idx="0">
                  <c:v>518212.87</c:v>
                </c:pt>
                <c:pt idx="1">
                  <c:v>563490.4</c:v>
                </c:pt>
                <c:pt idx="2">
                  <c:v>629890.09</c:v>
                </c:pt>
                <c:pt idx="3">
                  <c:v>593694.71</c:v>
                </c:pt>
              </c:numCache>
            </c:numRef>
          </c:val>
        </c:ser>
        <c:gapWidth val="150"/>
        <c:overlap val="100"/>
        <c:axId val="17517077"/>
        <c:axId val="56282518"/>
      </c:barChart>
      <c:catAx>
        <c:axId val="175170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82518"/>
        <c:crosses val="autoZero"/>
        <c:auto val="1"/>
        <c:lblAlgn val="ctr"/>
        <c:lblOffset val="100"/>
        <c:noMultiLvlLbl val="0"/>
      </c:catAx>
      <c:valAx>
        <c:axId val="562825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170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VAT payable / (refundable)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Monthly_Trend!G5</c:f>
              <c:strCache>
                <c:ptCount val="1"/>
                <c:pt idx="0">
                  <c:v>Net VAT</c:v>
                </c:pt>
              </c:strCache>
            </c:strRef>
          </c:tx>
          <c:spPr>
            <a:solidFill>
              <a:srgbClr val="3fa9a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Monthly_Trend!$B$6:$B$17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Monthly_Trend!$G$6:$G$17</c:f>
              <c:numCache>
                <c:formatCode>[&gt;=1000000]"AED "#,##0.0,,\M;[&lt;=-1000000]"-AED "#,##0.0,,\M;"AED "#,##0,\K</c:formatCode>
                <c:ptCount val="12"/>
                <c:pt idx="0">
                  <c:v>28175.38</c:v>
                </c:pt>
                <c:pt idx="1">
                  <c:v>13416.72</c:v>
                </c:pt>
                <c:pt idx="2">
                  <c:v>-29840.24</c:v>
                </c:pt>
                <c:pt idx="3">
                  <c:v>72629.17</c:v>
                </c:pt>
                <c:pt idx="4">
                  <c:v>-26666.74</c:v>
                </c:pt>
                <c:pt idx="5">
                  <c:v>55563.2</c:v>
                </c:pt>
                <c:pt idx="6">
                  <c:v>-12419.96</c:v>
                </c:pt>
                <c:pt idx="7">
                  <c:v>30832.04</c:v>
                </c:pt>
                <c:pt idx="8">
                  <c:v>-11328.01</c:v>
                </c:pt>
                <c:pt idx="9">
                  <c:v>32684.37</c:v>
                </c:pt>
                <c:pt idx="10">
                  <c:v>-2128.97</c:v>
                </c:pt>
                <c:pt idx="11">
                  <c:v>26869.47</c:v>
                </c:pt>
              </c:numCache>
            </c:numRef>
          </c:val>
        </c:ser>
        <c:gapWidth val="150"/>
        <c:overlap val="0"/>
        <c:axId val="22504608"/>
        <c:axId val="14055711"/>
      </c:barChart>
      <c:catAx>
        <c:axId val="22504608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55711"/>
        <c:crosses val="autoZero"/>
        <c:auto val="1"/>
        <c:lblAlgn val="ctr"/>
        <c:lblOffset val="100"/>
        <c:noMultiLvlLbl val="0"/>
      </c:catAx>
      <c:valAx>
        <c:axId val="14055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046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32</xdr:row>
      <xdr:rowOff>0</xdr:rowOff>
    </xdr:from>
    <xdr:to>
      <xdr:col>4</xdr:col>
      <xdr:colOff>543960</xdr:colOff>
      <xdr:row>46</xdr:row>
      <xdr:rowOff>32400</xdr:rowOff>
    </xdr:to>
    <xdr:graphicFrame>
      <xdr:nvGraphicFramePr>
        <xdr:cNvPr id="0" name="Chart 1"/>
        <xdr:cNvGraphicFramePr/>
      </xdr:nvGraphicFramePr>
      <xdr:xfrm>
        <a:off x="141120" y="7238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32</xdr:row>
      <xdr:rowOff>0</xdr:rowOff>
    </xdr:from>
    <xdr:to>
      <xdr:col>11</xdr:col>
      <xdr:colOff>543600</xdr:colOff>
      <xdr:row>46</xdr:row>
      <xdr:rowOff>32400</xdr:rowOff>
    </xdr:to>
    <xdr:graphicFrame>
      <xdr:nvGraphicFramePr>
        <xdr:cNvPr id="1" name="Chart 2"/>
        <xdr:cNvGraphicFramePr/>
      </xdr:nvGraphicFramePr>
      <xdr:xfrm>
        <a:off x="7471440" y="7238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20</xdr:row>
      <xdr:rowOff>0</xdr:rowOff>
    </xdr:from>
    <xdr:to>
      <xdr:col>6</xdr:col>
      <xdr:colOff>1122840</xdr:colOff>
      <xdr:row>34</xdr:row>
      <xdr:rowOff>32760</xdr:rowOff>
    </xdr:to>
    <xdr:graphicFrame>
      <xdr:nvGraphicFramePr>
        <xdr:cNvPr id="2" name="Chart 1"/>
        <xdr:cNvGraphicFramePr/>
      </xdr:nvGraphicFramePr>
      <xdr:xfrm>
        <a:off x="141120" y="419112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1"/>
    <pageSetUpPr fitToPage="true"/>
  </sheetPr>
  <dimension ref="A1:K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16"/>
    <col collapsed="false" customWidth="true" hidden="false" outlineLevel="0" max="7" min="6" style="0" width="14"/>
    <col collapsed="false" customWidth="true" hidden="false" outlineLevel="0" max="9" min="8" style="0" width="16"/>
    <col collapsed="false" customWidth="true" hidden="false" outlineLevel="0" max="11" min="10" style="0" width="14"/>
  </cols>
  <sheetData>
    <row r="1" customFormat="false" ht="30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</row>
    <row r="4" customFormat="false" ht="15" hidden="false" customHeight="false" outlineLevel="0" collapsed="false">
      <c r="B4" s="4" t="s">
        <v>2</v>
      </c>
      <c r="C4" s="5" t="s">
        <v>3</v>
      </c>
      <c r="E4" s="6" t="s">
        <v>4</v>
      </c>
      <c r="F4" s="7" t="str">
        <f aca="false">IF(C4="FY2025","*",LEFT(C4,2))</f>
        <v>*</v>
      </c>
      <c r="H4" s="4" t="s">
        <v>5</v>
      </c>
      <c r="I4" s="8" t="str">
        <f aca="false">Checks!C4</f>
        <v>ALL CHECKS PASS</v>
      </c>
    </row>
    <row r="6" customFormat="false" ht="15" hidden="false" customHeight="false" outlineLevel="0" collapsed="false">
      <c r="B6" s="9" t="s">
        <v>6</v>
      </c>
      <c r="C6" s="10"/>
      <c r="D6" s="10"/>
      <c r="E6" s="10"/>
      <c r="F6" s="10"/>
      <c r="G6" s="10"/>
      <c r="H6" s="10"/>
      <c r="I6" s="10"/>
      <c r="J6" s="10"/>
      <c r="K6" s="10"/>
    </row>
    <row r="7" customFormat="false" ht="15" hidden="false" customHeight="false" outlineLevel="0" collapsed="false">
      <c r="B7" s="4" t="s">
        <v>7</v>
      </c>
      <c r="C7" s="11" t="n">
        <f aca="false">SUMIFS(Register!$G$6:$G$1255,Register!$F$6:$F$1255,"Standard-rated 5%",Register!$C$6:$C$1255,"Sales",Register!$K$6:$K$1255,Exec_Summary!$F$4)+SUMIFS(Register!$G$6:$G$1255,Register!$F$6:$F$1255,"Zero-rated export",Register!$K$6:$K$1255,Exec_Summary!$F$4)+SUMIFS(Register!$G$6:$G$1255,Register!$F$6:$F$1255,"Exempt (residential/financial)",Register!$K$6:$K$1255,Exec_Summary!$F$4)+SUMIFS(Register!$G$6:$G$1255,Register!$F$6:$F$1255,"Out of scope",Register!$K$6:$K$1255,Exec_Summary!$F$4)</f>
        <v>36275033.17</v>
      </c>
      <c r="D7" s="12" t="s">
        <v>8</v>
      </c>
    </row>
    <row r="8" customFormat="false" ht="15" hidden="false" customHeight="false" outlineLevel="0" collapsed="false">
      <c r="B8" s="4" t="s">
        <v>9</v>
      </c>
      <c r="C8" s="11" t="n">
        <f aca="false">SUMIFS(Register!$G$6:$G$1255,Register!$F$6:$F$1255,"Standard-rated 5%",Register!$C$6:$C$1255,"Sales",Register!$K$6:$K$1255,Exec_Summary!$F$4)</f>
        <v>27542549.96</v>
      </c>
      <c r="D8" s="12"/>
    </row>
    <row r="9" customFormat="false" ht="15" hidden="false" customHeight="false" outlineLevel="0" collapsed="false">
      <c r="B9" s="4" t="s">
        <v>10</v>
      </c>
      <c r="C9" s="11" t="n">
        <f aca="false">SUMIFS(Register!$G$6:$G$1255,Register!$F$6:$F$1255,"Zero-rated export",Register!$K$6:$K$1255,Exec_Summary!$F$4)</f>
        <v>6427195.14</v>
      </c>
      <c r="D9" s="12"/>
      <c r="E9" s="13" t="n">
        <f aca="false">IF(C7=0,0,C9/C7)</f>
        <v>0.177179579957363</v>
      </c>
      <c r="F9" s="14" t="s">
        <v>11</v>
      </c>
    </row>
    <row r="10" customFormat="false" ht="15" hidden="false" customHeight="false" outlineLevel="0" collapsed="false">
      <c r="B10" s="4" t="s">
        <v>12</v>
      </c>
      <c r="C10" s="11" t="n">
        <f aca="false">SUMIFS(Register!$M$6:$M$1255,Register!$K$6:$K$1255,Exec_Summary!$F$4)</f>
        <v>1377127.6</v>
      </c>
      <c r="D10" s="12"/>
    </row>
    <row r="11" customFormat="false" ht="15" hidden="false" customHeight="false" outlineLevel="0" collapsed="false">
      <c r="B11" s="4" t="s">
        <v>13</v>
      </c>
      <c r="C11" s="11" t="n">
        <f aca="false">SUMIFS(Register!$N$6:$N$1255,Register!$K$6:$K$1255,Exec_Summary!$F$4)</f>
        <v>76877.93</v>
      </c>
      <c r="D11" s="12"/>
    </row>
    <row r="12" customFormat="false" ht="15" hidden="false" customHeight="false" outlineLevel="0" collapsed="false">
      <c r="B12" s="4" t="s">
        <v>14</v>
      </c>
      <c r="C12" s="11" t="n">
        <f aca="false">SUMIFS(Register!$O$6:$O$1255,Register!$K$6:$K$1255,Exec_Summary!$F$4)</f>
        <v>1276219.1</v>
      </c>
      <c r="D12" s="12"/>
    </row>
    <row r="13" customFormat="false" ht="15" hidden="false" customHeight="false" outlineLevel="0" collapsed="false">
      <c r="B13" s="4" t="s">
        <v>15</v>
      </c>
      <c r="C13" s="15" t="n">
        <f aca="false">C10+C11-C12</f>
        <v>177786.43</v>
      </c>
      <c r="D13" s="12" t="s">
        <v>16</v>
      </c>
      <c r="E13" s="16" t="str">
        <f aca="false">IF(C13&gt;=0,"● Payable to FTA","● Refund position")</f>
        <v>● Payable to FTA</v>
      </c>
    </row>
    <row r="14" customFormat="false" ht="15" hidden="false" customHeight="false" outlineLevel="0" collapsed="false">
      <c r="B14" s="4" t="s">
        <v>17</v>
      </c>
      <c r="C14" s="11" t="n">
        <f aca="false">SUMIFS(Register!$P$6:$P$1255,Register!$K$6:$K$1255,Exec_Summary!$F$4)</f>
        <v>39770.56</v>
      </c>
      <c r="D14" s="12" t="s">
        <v>18</v>
      </c>
    </row>
    <row r="15" customFormat="false" ht="15" hidden="false" customHeight="false" outlineLevel="0" collapsed="false">
      <c r="B15" s="4" t="s">
        <v>19</v>
      </c>
      <c r="C15" s="17" t="n">
        <f aca="false">IF((C12+C14)=0,0,C12/(C12+C14))</f>
        <v>0.969778972275512</v>
      </c>
      <c r="D15" s="12" t="s">
        <v>20</v>
      </c>
    </row>
    <row r="16" customFormat="false" ht="15" hidden="false" customHeight="false" outlineLevel="0" collapsed="false">
      <c r="B16" s="4" t="s">
        <v>21</v>
      </c>
      <c r="C16" s="17" t="n">
        <f aca="false">IF(C7=0,0,C10/C7)</f>
        <v>0.0379635104273014</v>
      </c>
      <c r="D16" s="12" t="s">
        <v>22</v>
      </c>
    </row>
    <row r="17" customFormat="false" ht="15" hidden="false" customHeight="false" outlineLevel="0" collapsed="false">
      <c r="B17" s="4" t="s">
        <v>23</v>
      </c>
      <c r="C17" s="18" t="n">
        <f aca="false">COUNTIFS(Register!$R$6:$R$1255,"?*",Register!$K$6:$K$1255,Exec_Summary!$F$4)</f>
        <v>50</v>
      </c>
      <c r="D17" s="12" t="s">
        <v>24</v>
      </c>
    </row>
    <row r="19" customFormat="false" ht="15" hidden="false" customHeight="false" outlineLevel="0" collapsed="false">
      <c r="B19" s="9" t="s">
        <v>25</v>
      </c>
      <c r="C19" s="10"/>
      <c r="D19" s="10"/>
      <c r="E19" s="10"/>
      <c r="F19" s="10"/>
      <c r="G19" s="10"/>
      <c r="H19" s="10"/>
      <c r="I19" s="10"/>
      <c r="J19" s="10"/>
      <c r="K19" s="10"/>
    </row>
    <row r="20" customFormat="false" ht="30" hidden="false" customHeight="true" outlineLevel="0" collapsed="false">
      <c r="B20" s="19" t="s">
        <v>26</v>
      </c>
      <c r="C20" s="20" t="s">
        <v>27</v>
      </c>
      <c r="D20" s="20" t="s">
        <v>28</v>
      </c>
      <c r="E20" s="20" t="s">
        <v>29</v>
      </c>
      <c r="F20" s="20" t="s">
        <v>30</v>
      </c>
      <c r="G20" s="20" t="s">
        <v>31</v>
      </c>
      <c r="H20" s="20" t="s">
        <v>32</v>
      </c>
      <c r="I20" s="20" t="s">
        <v>33</v>
      </c>
      <c r="J20" s="20" t="s">
        <v>34</v>
      </c>
      <c r="K20" s="20" t="s">
        <v>35</v>
      </c>
    </row>
    <row r="21" customFormat="false" ht="15" hidden="false" customHeight="false" outlineLevel="0" collapsed="false">
      <c r="B21" s="4" t="s">
        <v>36</v>
      </c>
      <c r="C21" s="21" t="n">
        <f aca="false">SUMIFS(Register!$G$6:$G$1255,Register!$F$6:$F$1255,"Standard-rated 5%",Register!$C$6:$C$1255,"Sales",Register!$K$6:$K$1255,$B21)</f>
        <v>6933825.59</v>
      </c>
      <c r="D21" s="21" t="n">
        <f aca="false">SUMIFS(Register!$G$6:$G$1255,Register!$F$6:$F$1255,"Zero-rated export",Register!$K$6:$K$1255,$B21)</f>
        <v>892629.65</v>
      </c>
      <c r="E21" s="21" t="n">
        <f aca="false">SUMIFS(Register!$G$6:$G$1255,Register!$F$6:$F$1255,"Exempt (residential/financial)",Register!$K$6:$K$1255,$B21)+SUMIFS(Register!$G$6:$G$1255,Register!$F$6:$F$1255,"Out of scope",Register!$K$6:$K$1255,$B21)</f>
        <v>518212.87</v>
      </c>
      <c r="F21" s="22" t="n">
        <f aca="false">SUM(C21:E21)</f>
        <v>8344668.11</v>
      </c>
      <c r="G21" s="21" t="n">
        <f aca="false">SUMIFS(Register!$M$6:$M$1255,Register!$K$6:$K$1255,$B21)</f>
        <v>346691.34</v>
      </c>
      <c r="H21" s="21" t="n">
        <f aca="false">SUMIFS(Register!$N$6:$N$1255,Register!$K$6:$K$1255,$B21)</f>
        <v>18243.09</v>
      </c>
      <c r="I21" s="21" t="n">
        <f aca="false">SUMIFS(Register!$O$6:$O$1255,Register!$K$6:$K$1255,$B21)</f>
        <v>353182.57</v>
      </c>
      <c r="J21" s="23" t="n">
        <f aca="false">G21+H21-I21</f>
        <v>11751.86</v>
      </c>
      <c r="K21" s="24" t="str">
        <f aca="false">IF(J21&gt;=0,"● Payable","● Refund")</f>
        <v>● Payable</v>
      </c>
    </row>
    <row r="22" customFormat="false" ht="15" hidden="false" customHeight="false" outlineLevel="0" collapsed="false">
      <c r="B22" s="4" t="s">
        <v>37</v>
      </c>
      <c r="C22" s="21" t="n">
        <f aca="false">SUMIFS(Register!$G$6:$G$1255,Register!$F$6:$F$1255,"Standard-rated 5%",Register!$C$6:$C$1255,"Sales",Register!$K$6:$K$1255,$B22)</f>
        <v>7926446.2</v>
      </c>
      <c r="D22" s="21" t="n">
        <f aca="false">SUMIFS(Register!$G$6:$G$1255,Register!$F$6:$F$1255,"Zero-rated export",Register!$K$6:$K$1255,$B22)</f>
        <v>2527984.94</v>
      </c>
      <c r="E22" s="21" t="n">
        <f aca="false">SUMIFS(Register!$G$6:$G$1255,Register!$F$6:$F$1255,"Exempt (residential/financial)",Register!$K$6:$K$1255,$B22)+SUMIFS(Register!$G$6:$G$1255,Register!$F$6:$F$1255,"Out of scope",Register!$K$6:$K$1255,$B22)</f>
        <v>563490.4</v>
      </c>
      <c r="F22" s="22" t="n">
        <f aca="false">SUM(C22:E22)</f>
        <v>11017921.54</v>
      </c>
      <c r="G22" s="21" t="n">
        <f aca="false">SUMIFS(Register!$M$6:$M$1255,Register!$K$6:$K$1255,$B22)</f>
        <v>396322.31</v>
      </c>
      <c r="H22" s="21" t="n">
        <f aca="false">SUMIFS(Register!$N$6:$N$1255,Register!$K$6:$K$1255,$B22)</f>
        <v>14308.32</v>
      </c>
      <c r="I22" s="21" t="n">
        <f aca="false">SUMIFS(Register!$O$6:$O$1255,Register!$K$6:$K$1255,$B22)</f>
        <v>309105</v>
      </c>
      <c r="J22" s="23" t="n">
        <f aca="false">G22+H22-I22</f>
        <v>101525.63</v>
      </c>
      <c r="K22" s="24" t="str">
        <f aca="false">IF(J22&gt;=0,"● Payable","● Refund")</f>
        <v>● Payable</v>
      </c>
    </row>
    <row r="23" customFormat="false" ht="15" hidden="false" customHeight="false" outlineLevel="0" collapsed="false">
      <c r="B23" s="4" t="s">
        <v>38</v>
      </c>
      <c r="C23" s="21" t="n">
        <f aca="false">SUMIFS(Register!$G$6:$G$1255,Register!$F$6:$F$1255,"Standard-rated 5%",Register!$C$6:$C$1255,"Sales",Register!$K$6:$K$1255,$B23)</f>
        <v>6462263.35</v>
      </c>
      <c r="D23" s="21" t="n">
        <f aca="false">SUMIFS(Register!$G$6:$G$1255,Register!$F$6:$F$1255,"Zero-rated export",Register!$K$6:$K$1255,$B23)</f>
        <v>1804587.28</v>
      </c>
      <c r="E23" s="21" t="n">
        <f aca="false">SUMIFS(Register!$G$6:$G$1255,Register!$F$6:$F$1255,"Exempt (residential/financial)",Register!$K$6:$K$1255,$B23)+SUMIFS(Register!$G$6:$G$1255,Register!$F$6:$F$1255,"Out of scope",Register!$K$6:$K$1255,$B23)</f>
        <v>629890.09</v>
      </c>
      <c r="F23" s="22" t="n">
        <f aca="false">SUM(C23:E23)</f>
        <v>8896740.72</v>
      </c>
      <c r="G23" s="21" t="n">
        <f aca="false">SUMIFS(Register!$M$6:$M$1255,Register!$K$6:$K$1255,$B23)</f>
        <v>323113.18</v>
      </c>
      <c r="H23" s="21" t="n">
        <f aca="false">SUMIFS(Register!$N$6:$N$1255,Register!$K$6:$K$1255,$B23)</f>
        <v>33655.77</v>
      </c>
      <c r="I23" s="21" t="n">
        <f aca="false">SUMIFS(Register!$O$6:$O$1255,Register!$K$6:$K$1255,$B23)</f>
        <v>349684.88</v>
      </c>
      <c r="J23" s="23" t="n">
        <f aca="false">G23+H23-I23</f>
        <v>7084.07000000001</v>
      </c>
      <c r="K23" s="24" t="str">
        <f aca="false">IF(J23&gt;=0,"● Payable","● Refund")</f>
        <v>● Payable</v>
      </c>
    </row>
    <row r="24" customFormat="false" ht="15" hidden="false" customHeight="false" outlineLevel="0" collapsed="false">
      <c r="B24" s="4" t="s">
        <v>39</v>
      </c>
      <c r="C24" s="21" t="n">
        <f aca="false">SUMIFS(Register!$G$6:$G$1255,Register!$F$6:$F$1255,"Standard-rated 5%",Register!$C$6:$C$1255,"Sales",Register!$K$6:$K$1255,$B24)</f>
        <v>6220014.82</v>
      </c>
      <c r="D24" s="21" t="n">
        <f aca="false">SUMIFS(Register!$G$6:$G$1255,Register!$F$6:$F$1255,"Zero-rated export",Register!$K$6:$K$1255,$B24)</f>
        <v>1201993.27</v>
      </c>
      <c r="E24" s="21" t="n">
        <f aca="false">SUMIFS(Register!$G$6:$G$1255,Register!$F$6:$F$1255,"Exempt (residential/financial)",Register!$K$6:$K$1255,$B24)+SUMIFS(Register!$G$6:$G$1255,Register!$F$6:$F$1255,"Out of scope",Register!$K$6:$K$1255,$B24)</f>
        <v>593694.71</v>
      </c>
      <c r="F24" s="22" t="n">
        <f aca="false">SUM(C24:E24)</f>
        <v>8015702.8</v>
      </c>
      <c r="G24" s="21" t="n">
        <f aca="false">SUMIFS(Register!$M$6:$M$1255,Register!$K$6:$K$1255,$B24)</f>
        <v>311000.77</v>
      </c>
      <c r="H24" s="21" t="n">
        <f aca="false">SUMIFS(Register!$N$6:$N$1255,Register!$K$6:$K$1255,$B24)</f>
        <v>10670.75</v>
      </c>
      <c r="I24" s="21" t="n">
        <f aca="false">SUMIFS(Register!$O$6:$O$1255,Register!$K$6:$K$1255,$B24)</f>
        <v>264246.65</v>
      </c>
      <c r="J24" s="23" t="n">
        <f aca="false">G24+H24-I24</f>
        <v>57424.87</v>
      </c>
      <c r="K24" s="24" t="str">
        <f aca="false">IF(J24&gt;=0,"● Payable","● Refund")</f>
        <v>● Payable</v>
      </c>
    </row>
    <row r="25" customFormat="false" ht="15" hidden="false" customHeight="false" outlineLevel="0" collapsed="false">
      <c r="B25" s="25" t="s">
        <v>3</v>
      </c>
      <c r="C25" s="26" t="n">
        <f aca="false">SUM(C21:C24)</f>
        <v>27542549.96</v>
      </c>
      <c r="D25" s="26" t="n">
        <f aca="false">SUM(D21:D24)</f>
        <v>6427195.14</v>
      </c>
      <c r="E25" s="26" t="n">
        <f aca="false">SUM(E21:E24)</f>
        <v>2305288.07</v>
      </c>
      <c r="F25" s="26" t="n">
        <f aca="false">SUM(F21:F24)</f>
        <v>36275033.17</v>
      </c>
      <c r="G25" s="26" t="n">
        <f aca="false">SUM(G21:G24)</f>
        <v>1377127.6</v>
      </c>
      <c r="H25" s="26" t="n">
        <f aca="false">SUM(H21:H24)</f>
        <v>76877.93</v>
      </c>
      <c r="I25" s="26" t="n">
        <f aca="false">SUM(I21:I24)</f>
        <v>1276219.1</v>
      </c>
      <c r="J25" s="26" t="n">
        <f aca="false">SUM(J21:J24)</f>
        <v>177786.43</v>
      </c>
      <c r="K25" s="25" t="str">
        <f aca="false">IF(J25&gt;=0,"● Payable","● Refund")</f>
        <v>● Payable</v>
      </c>
    </row>
    <row r="27" customFormat="false" ht="15" hidden="false" customHeight="false" outlineLevel="0" collapsed="false">
      <c r="B27" s="9" t="s">
        <v>40</v>
      </c>
      <c r="C27" s="10"/>
      <c r="D27" s="10"/>
      <c r="E27" s="10"/>
      <c r="F27" s="10"/>
      <c r="G27" s="10"/>
      <c r="H27" s="10"/>
      <c r="I27" s="10"/>
      <c r="J27" s="10"/>
      <c r="K27" s="10"/>
    </row>
    <row r="28" customFormat="false" ht="30" hidden="false" customHeight="true" outlineLevel="0" collapsed="false">
      <c r="B28" s="27" t="str">
        <f aca="false">"Selected period "&amp;C4&amp;": total sales AED "&amp;TEXT(C7/1000000,"0.00")&amp;"M"&amp;", of which "&amp;TEXT(E9,"0.0%")&amp;" are zero-rated exports; output VAT AED "&amp;TEXT(C10/1000000,"0.00")&amp;"M"&amp;" against recoverable input VAT AED "&amp;TEXT(C12/1000000,"0.00")&amp;"M"&amp;"."</f>
        <v>Selected period FY2025: total sales AED 36.28M, of which 17.7% are zero-rated exports; output VAT AED 1.38M against recoverable input VAT AED 1.28M.</v>
      </c>
      <c r="C28" s="27"/>
      <c r="D28" s="27"/>
      <c r="E28" s="27"/>
      <c r="F28" s="27"/>
      <c r="G28" s="27"/>
      <c r="H28" s="27"/>
      <c r="I28" s="27"/>
      <c r="J28" s="27"/>
      <c r="K28" s="27"/>
    </row>
    <row r="29" customFormat="false" ht="30" hidden="false" customHeight="true" outlineLevel="0" collapsed="false">
      <c r="B29" s="27" t="str">
        <f aca="false">"Net VAT position is AED "&amp;TEXT(ABS(C13)/1000,"#,##0")&amp;"K "&amp;IF(C13&gt;=0,"payable to the FTA","refundable (input VAT exceeds output VAT)")&amp;"; effective VAT rate on sales "&amp;TEXT(C16,"0.00%")&amp;"."</f>
        <v>Net VAT position is AED 178K payable to the FTA; effective VAT rate on sales 3.80%.</v>
      </c>
      <c r="C29" s="27"/>
      <c r="D29" s="27"/>
      <c r="E29" s="27"/>
      <c r="F29" s="27"/>
      <c r="G29" s="27"/>
      <c r="H29" s="27"/>
      <c r="I29" s="27"/>
      <c r="J29" s="27"/>
      <c r="K29" s="27"/>
    </row>
    <row r="30" customFormat="false" ht="30" hidden="false" customHeight="true" outlineLevel="0" collapsed="false">
      <c r="B30" s="27" t="str">
        <f aca="false">"Largest quarterly payment: "&amp;INDEX(B21:B24,MATCH(MAX(J21:J24),J21:J24,0))&amp;" (AED "&amp;TEXT(MAX(J21:J24)/1000,"#,##0")&amp;"K); lowest: "&amp;INDEX(B21:B24,MATCH(MIN(J21:J24),J21:J24,0))&amp;" (AED "&amp;TEXT(MIN(J21:J24)/1000,"#,##0")&amp;"K)."</f>
        <v>Largest quarterly payment: Q2 (AED 102K); lowest: Q3 (AED 7K).</v>
      </c>
      <c r="C30" s="27"/>
      <c r="D30" s="27"/>
      <c r="E30" s="27"/>
      <c r="F30" s="27"/>
      <c r="G30" s="27"/>
      <c r="H30" s="27"/>
      <c r="I30" s="27"/>
      <c r="J30" s="27"/>
      <c r="K30" s="27"/>
    </row>
    <row r="31" customFormat="false" ht="30" hidden="false" customHeight="true" outlineLevel="0" collapsed="false">
      <c r="B31" s="27" t="str">
        <f aca="false">"Control leakage: AED "&amp;TEXT(C14/1000,"#,##0")&amp;"K of input VAT ("&amp;TEXT(1-C15,"0.0%")&amp;" of VAT incurred) was not recoverable; "&amp;C17&amp;" documents carry compliance exceptions (see Exceptions)."</f>
        <v>Control leakage: AED 40K of input VAT (3.0% of VAT incurred) was not recoverable; 50 documents carry compliance exceptions (see Exceptions).</v>
      </c>
      <c r="C31" s="27"/>
      <c r="D31" s="27"/>
      <c r="E31" s="27"/>
      <c r="F31" s="27"/>
      <c r="G31" s="27"/>
      <c r="H31" s="27"/>
      <c r="I31" s="27"/>
      <c r="J31" s="27"/>
      <c r="K31" s="27"/>
    </row>
  </sheetData>
  <mergeCells count="6">
    <mergeCell ref="B1:K1"/>
    <mergeCell ref="B2:K2"/>
    <mergeCell ref="B28:K28"/>
    <mergeCell ref="B29:K29"/>
    <mergeCell ref="B30:K30"/>
    <mergeCell ref="B31:K31"/>
  </mergeCells>
  <conditionalFormatting sqref="C13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J21:J25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K21:K25">
    <cfRule type="expression" priority="6" aboveAverage="0" equalAverage="0" bottom="0" percent="0" rank="0" text="" dxfId="2">
      <formula>ISNUMBER(SEARCH("Refund",K21))</formula>
    </cfRule>
    <cfRule type="expression" priority="7" aboveAverage="0" equalAverage="0" bottom="0" percent="0" rank="0" text="" dxfId="3">
      <formula>ISNUMBER(SEARCH("Payable",K21))</formula>
    </cfRule>
  </conditionalFormatting>
  <dataValidations count="1">
    <dataValidation allowBlank="false" errorStyle="stop" operator="between" showDropDown="false" showErrorMessage="false" showInputMessage="false" sqref="C4" type="list">
      <formula1>"Q1 2025,Q2 2025,Q3 2025,Q4 2025,FY2025"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A94E"/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66"/>
    <col collapsed="false" customWidth="true" hidden="false" outlineLevel="0" max="5" min="4" style="0" width="20"/>
    <col collapsed="false" customWidth="true" hidden="false" outlineLevel="0" max="6" min="6" style="0" width="4"/>
  </cols>
  <sheetData>
    <row r="1" customFormat="false" ht="30" hidden="false" customHeight="true" outlineLevel="0" collapsed="false">
      <c r="A1" s="1"/>
      <c r="B1" s="2" t="s">
        <v>41</v>
      </c>
      <c r="C1" s="2"/>
      <c r="D1" s="2"/>
      <c r="E1" s="2"/>
      <c r="F1" s="2"/>
    </row>
    <row r="2" customFormat="false" ht="15" hidden="false" customHeight="false" outlineLevel="0" collapsed="false">
      <c r="B2" s="3" t="s">
        <v>42</v>
      </c>
      <c r="C2" s="3"/>
      <c r="D2" s="3"/>
      <c r="E2" s="3"/>
      <c r="F2" s="3"/>
    </row>
    <row r="3" customFormat="false" ht="15" hidden="false" customHeight="false" outlineLevel="0" collapsed="false">
      <c r="B3" s="4" t="s">
        <v>43</v>
      </c>
      <c r="C3" s="8" t="str">
        <f aca="false">Exec_Summary!C4</f>
        <v>FY2025</v>
      </c>
      <c r="D3" s="6" t="s">
        <v>44</v>
      </c>
      <c r="E3" s="4" t="s">
        <v>45</v>
      </c>
    </row>
    <row r="5" customFormat="false" ht="30" hidden="false" customHeight="true" outlineLevel="0" collapsed="false">
      <c r="B5" s="19" t="s">
        <v>46</v>
      </c>
      <c r="C5" s="20" t="s">
        <v>47</v>
      </c>
      <c r="D5" s="20" t="s">
        <v>48</v>
      </c>
      <c r="E5" s="20" t="s">
        <v>49</v>
      </c>
    </row>
    <row r="6" customFormat="false" ht="15" hidden="false" customHeight="false" outlineLevel="0" collapsed="false">
      <c r="B6" s="7" t="s">
        <v>50</v>
      </c>
      <c r="C6" s="24" t="s">
        <v>51</v>
      </c>
      <c r="D6" s="28" t="n">
        <f aca="false">SUMIFS(Register!$G$6:$G$1255,Register!$F$6:$F$1255,"Standard-rated 5%",Register!$C$6:$C$1255,"Sales",Register!$E$6:$E$1255,"Abu Dhabi",Register!$K$6:$K$1255,Exec_Summary!$F$4)</f>
        <v>7049646.07</v>
      </c>
      <c r="E6" s="28" t="n">
        <f aca="false">SUMIFS(Register!$M$6:$M$1255,Register!$E$6:$E$1255,"Abu Dhabi",Register!$K$6:$K$1255,Exec_Summary!$F$4)</f>
        <v>352482.38</v>
      </c>
    </row>
    <row r="7" customFormat="false" ht="15" hidden="false" customHeight="false" outlineLevel="0" collapsed="false">
      <c r="B7" s="7" t="s">
        <v>52</v>
      </c>
      <c r="C7" s="24" t="s">
        <v>53</v>
      </c>
      <c r="D7" s="28" t="n">
        <f aca="false">SUMIFS(Register!$G$6:$G$1255,Register!$F$6:$F$1255,"Standard-rated 5%",Register!$C$6:$C$1255,"Sales",Register!$E$6:$E$1255,"Dubai",Register!$K$6:$K$1255,Exec_Summary!$F$4)</f>
        <v>13379603.03</v>
      </c>
      <c r="E7" s="28" t="n">
        <f aca="false">SUMIFS(Register!$M$6:$M$1255,Register!$E$6:$E$1255,"Dubai",Register!$K$6:$K$1255,Exec_Summary!$F$4)</f>
        <v>668980.13</v>
      </c>
    </row>
    <row r="8" customFormat="false" ht="15" hidden="false" customHeight="false" outlineLevel="0" collapsed="false">
      <c r="B8" s="7" t="s">
        <v>54</v>
      </c>
      <c r="C8" s="24" t="s">
        <v>55</v>
      </c>
      <c r="D8" s="28" t="n">
        <f aca="false">SUMIFS(Register!$G$6:$G$1255,Register!$F$6:$F$1255,"Standard-rated 5%",Register!$C$6:$C$1255,"Sales",Register!$E$6:$E$1255,"Sharjah",Register!$K$6:$K$1255,Exec_Summary!$F$4)</f>
        <v>3507187.56</v>
      </c>
      <c r="E8" s="28" t="n">
        <f aca="false">SUMIFS(Register!$M$6:$M$1255,Register!$E$6:$E$1255,"Sharjah",Register!$K$6:$K$1255,Exec_Summary!$F$4)</f>
        <v>175359.4</v>
      </c>
    </row>
    <row r="9" customFormat="false" ht="15" hidden="false" customHeight="false" outlineLevel="0" collapsed="false">
      <c r="B9" s="7" t="s">
        <v>56</v>
      </c>
      <c r="C9" s="24" t="s">
        <v>57</v>
      </c>
      <c r="D9" s="28" t="n">
        <f aca="false">SUMIFS(Register!$G$6:$G$1255,Register!$F$6:$F$1255,"Standard-rated 5%",Register!$C$6:$C$1255,"Sales",Register!$E$6:$E$1255,"Ajman",Register!$K$6:$K$1255,Exec_Summary!$F$4)</f>
        <v>736458.65</v>
      </c>
      <c r="E9" s="28" t="n">
        <f aca="false">SUMIFS(Register!$M$6:$M$1255,Register!$E$6:$E$1255,"Ajman",Register!$K$6:$K$1255,Exec_Summary!$F$4)</f>
        <v>36822.94</v>
      </c>
    </row>
    <row r="10" customFormat="false" ht="15" hidden="false" customHeight="false" outlineLevel="0" collapsed="false">
      <c r="B10" s="7" t="s">
        <v>58</v>
      </c>
      <c r="C10" s="24" t="s">
        <v>59</v>
      </c>
      <c r="D10" s="28" t="n">
        <f aca="false">SUMIFS(Register!$G$6:$G$1255,Register!$F$6:$F$1255,"Standard-rated 5%",Register!$C$6:$C$1255,"Sales",Register!$E$6:$E$1255,"Umm Al Quwain",Register!$K$6:$K$1255,Exec_Summary!$F$4)</f>
        <v>327552.56</v>
      </c>
      <c r="E10" s="28" t="n">
        <f aca="false">SUMIFS(Register!$M$6:$M$1255,Register!$E$6:$E$1255,"Umm Al Quwain",Register!$K$6:$K$1255,Exec_Summary!$F$4)</f>
        <v>16377.64</v>
      </c>
    </row>
    <row r="11" customFormat="false" ht="15" hidden="false" customHeight="false" outlineLevel="0" collapsed="false">
      <c r="B11" s="7" t="s">
        <v>60</v>
      </c>
      <c r="C11" s="24" t="s">
        <v>61</v>
      </c>
      <c r="D11" s="28" t="n">
        <f aca="false">SUMIFS(Register!$G$6:$G$1255,Register!$F$6:$F$1255,"Standard-rated 5%",Register!$C$6:$C$1255,"Sales",Register!$E$6:$E$1255,"Ras Al Khaimah",Register!$K$6:$K$1255,Exec_Summary!$F$4)</f>
        <v>1581289.9</v>
      </c>
      <c r="E11" s="28" t="n">
        <f aca="false">SUMIFS(Register!$M$6:$M$1255,Register!$E$6:$E$1255,"Ras Al Khaimah",Register!$K$6:$K$1255,Exec_Summary!$F$4)</f>
        <v>79064.48</v>
      </c>
    </row>
    <row r="12" customFormat="false" ht="15" hidden="false" customHeight="false" outlineLevel="0" collapsed="false">
      <c r="B12" s="7" t="s">
        <v>62</v>
      </c>
      <c r="C12" s="24" t="s">
        <v>63</v>
      </c>
      <c r="D12" s="28" t="n">
        <f aca="false">SUMIFS(Register!$G$6:$G$1255,Register!$F$6:$F$1255,"Standard-rated 5%",Register!$C$6:$C$1255,"Sales",Register!$E$6:$E$1255,"Fujairah",Register!$K$6:$K$1255,Exec_Summary!$F$4)</f>
        <v>960812.19</v>
      </c>
      <c r="E12" s="28" t="n">
        <f aca="false">SUMIFS(Register!$M$6:$M$1255,Register!$E$6:$E$1255,"Fujairah",Register!$K$6:$K$1255,Exec_Summary!$F$4)</f>
        <v>48040.63</v>
      </c>
    </row>
    <row r="13" customFormat="false" ht="15" hidden="false" customHeight="false" outlineLevel="0" collapsed="false">
      <c r="B13" s="7" t="s">
        <v>64</v>
      </c>
      <c r="C13" s="24" t="s">
        <v>65</v>
      </c>
      <c r="D13" s="29" t="n">
        <v>0</v>
      </c>
      <c r="E13" s="29" t="n">
        <v>0</v>
      </c>
    </row>
    <row r="14" customFormat="false" ht="15" hidden="false" customHeight="false" outlineLevel="0" collapsed="false">
      <c r="B14" s="7" t="s">
        <v>66</v>
      </c>
      <c r="C14" s="24" t="s">
        <v>67</v>
      </c>
      <c r="D14" s="28" t="n">
        <f aca="false">SUMIFS(Register!$G$6:$G$1255,Register!$F$6:$F$1255,"Reverse charge (imported services)",Register!$K$6:$K$1255,Exec_Summary!$F$4)</f>
        <v>1537558.93</v>
      </c>
      <c r="E14" s="28" t="n">
        <f aca="false">SUMIFS(Register!$N$6:$N$1255,Register!$K$6:$K$1255,Exec_Summary!$F$4)</f>
        <v>76877.93</v>
      </c>
    </row>
    <row r="15" customFormat="false" ht="15" hidden="false" customHeight="false" outlineLevel="0" collapsed="false">
      <c r="B15" s="7" t="s">
        <v>68</v>
      </c>
      <c r="C15" s="24" t="s">
        <v>69</v>
      </c>
      <c r="D15" s="28" t="n">
        <f aca="false">SUMIFS(Register!$G$6:$G$1255,Register!$F$6:$F$1255,"Zero-rated export",Register!$K$6:$K$1255,Exec_Summary!$F$4)</f>
        <v>6427195.14</v>
      </c>
      <c r="E15" s="29" t="n">
        <v>0</v>
      </c>
    </row>
    <row r="16" customFormat="false" ht="15" hidden="false" customHeight="false" outlineLevel="0" collapsed="false">
      <c r="B16" s="7" t="s">
        <v>70</v>
      </c>
      <c r="C16" s="24" t="s">
        <v>71</v>
      </c>
      <c r="D16" s="28" t="n">
        <f aca="false">SUMIFS(Register!$G$6:$G$1255,Register!$F$6:$F$1255,"Exempt (residential/financial)",Register!$K$6:$K$1255,Exec_Summary!$F$4)</f>
        <v>1294118.27</v>
      </c>
      <c r="E16" s="29" t="n">
        <v>0</v>
      </c>
    </row>
    <row r="17" customFormat="false" ht="15" hidden="false" customHeight="false" outlineLevel="0" collapsed="false">
      <c r="B17" s="7" t="s">
        <v>72</v>
      </c>
      <c r="C17" s="24" t="s">
        <v>73</v>
      </c>
      <c r="D17" s="29" t="n">
        <v>0</v>
      </c>
      <c r="E17" s="29" t="n">
        <v>0</v>
      </c>
    </row>
    <row r="18" customFormat="false" ht="15" hidden="false" customHeight="false" outlineLevel="0" collapsed="false">
      <c r="B18" s="7" t="s">
        <v>74</v>
      </c>
      <c r="C18" s="24" t="s">
        <v>75</v>
      </c>
      <c r="D18" s="29" t="n">
        <v>0</v>
      </c>
      <c r="E18" s="29" t="n">
        <v>0</v>
      </c>
    </row>
    <row r="19" customFormat="false" ht="15" hidden="false" customHeight="false" outlineLevel="0" collapsed="false">
      <c r="B19" s="30" t="s">
        <v>76</v>
      </c>
      <c r="C19" s="4" t="s">
        <v>77</v>
      </c>
      <c r="D19" s="31" t="n">
        <f aca="false">SUM(D6:D16)+D17+D18</f>
        <v>36801422.3</v>
      </c>
      <c r="E19" s="31" t="n">
        <f aca="false">SUM(E6:E18)</f>
        <v>1454005.53</v>
      </c>
    </row>
    <row r="21" customFormat="false" ht="15" hidden="false" customHeight="false" outlineLevel="0" collapsed="false">
      <c r="B21" s="7" t="s">
        <v>78</v>
      </c>
      <c r="C21" s="24" t="s">
        <v>79</v>
      </c>
      <c r="D21" s="28" t="n">
        <f aca="false">SUMIFS(Register!$G$6:$G$1255,Register!$F$6:$F$1255,"Standard-rated 5%",Register!$C$6:$C$1255,"Purchase",Register!$I$6:$I$1255,"Y",Register!$K$6:$K$1255,Exec_Summary!$F$4)+SUMIFS(Register!$G$6:$G$1255,Register!$F$6:$F$1255,"Capital asset",Register!$I$6:$I$1255,"Y",Register!$K$6:$K$1255,Exec_Summary!$F$4)</f>
        <v>23986822.56</v>
      </c>
      <c r="E21" s="28" t="n">
        <f aca="false">SUMIFS(Register!$O$6:$O$1255,Register!$F$6:$F$1255,"Standard-rated 5%",Register!$C$6:$C$1255,"Purchase",Register!$K$6:$K$1255,Exec_Summary!$F$4)+SUMIFS(Register!$O$6:$O$1255,Register!$F$6:$F$1255,"Capital asset",Register!$K$6:$K$1255,Exec_Summary!$F$4)</f>
        <v>1199341.17</v>
      </c>
    </row>
    <row r="22" customFormat="false" ht="15" hidden="false" customHeight="false" outlineLevel="0" collapsed="false">
      <c r="B22" s="7" t="s">
        <v>80</v>
      </c>
      <c r="C22" s="24" t="s">
        <v>67</v>
      </c>
      <c r="D22" s="32" t="n">
        <f aca="false">D14</f>
        <v>1537558.93</v>
      </c>
      <c r="E22" s="28" t="n">
        <f aca="false">SUMIFS(Register!$O$6:$O$1255,Register!$F$6:$F$1255,"Reverse charge (imported services)",Register!$K$6:$K$1255,Exec_Summary!$F$4)</f>
        <v>76877.93</v>
      </c>
    </row>
    <row r="23" customFormat="false" ht="15" hidden="false" customHeight="false" outlineLevel="0" collapsed="false">
      <c r="B23" s="30" t="s">
        <v>81</v>
      </c>
      <c r="C23" s="4" t="s">
        <v>82</v>
      </c>
      <c r="D23" s="31" t="n">
        <f aca="false">D21+D22</f>
        <v>25524381.49</v>
      </c>
      <c r="E23" s="31" t="n">
        <f aca="false">E21+E22</f>
        <v>1276219.1</v>
      </c>
    </row>
    <row r="25" customFormat="false" ht="15" hidden="false" customHeight="false" outlineLevel="0" collapsed="false">
      <c r="B25" s="30" t="s">
        <v>83</v>
      </c>
      <c r="C25" s="4" t="s">
        <v>84</v>
      </c>
      <c r="E25" s="33" t="n">
        <f aca="false">E19</f>
        <v>1454005.53</v>
      </c>
    </row>
    <row r="26" customFormat="false" ht="15" hidden="false" customHeight="false" outlineLevel="0" collapsed="false">
      <c r="B26" s="30" t="s">
        <v>85</v>
      </c>
      <c r="C26" s="4" t="s">
        <v>86</v>
      </c>
      <c r="E26" s="33" t="n">
        <f aca="false">E23</f>
        <v>1276219.1</v>
      </c>
    </row>
    <row r="27" customFormat="false" ht="15" hidden="false" customHeight="false" outlineLevel="0" collapsed="false">
      <c r="B27" s="30" t="s">
        <v>87</v>
      </c>
      <c r="C27" s="4" t="s">
        <v>88</v>
      </c>
      <c r="E27" s="34" t="n">
        <f aca="false">E25-E26</f>
        <v>177786.43</v>
      </c>
    </row>
    <row r="29" customFormat="false" ht="15" hidden="false" customHeight="false" outlineLevel="0" collapsed="false">
      <c r="C29" s="6" t="s">
        <v>89</v>
      </c>
      <c r="E29" s="28" t="n">
        <f aca="false">SUMIFS(Register!$P$6:$P$1255,Register!$K$6:$K$1255,Exec_Summary!$F$4)</f>
        <v>39770.56</v>
      </c>
    </row>
    <row r="30" customFormat="false" ht="15" hidden="false" customHeight="false" outlineLevel="0" collapsed="false">
      <c r="C30" s="6" t="s">
        <v>90</v>
      </c>
      <c r="E30" s="35" t="n">
        <f aca="false">ROUND(E27-Exec_Summary!C13,2)</f>
        <v>0</v>
      </c>
    </row>
  </sheetData>
  <mergeCells count="2">
    <mergeCell ref="B1:F1"/>
    <mergeCell ref="B2:F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8" min="3" style="0" width="16"/>
  </cols>
  <sheetData>
    <row r="1" customFormat="false" ht="30" hidden="false" customHeight="true" outlineLevel="0" collapsed="false">
      <c r="A1" s="1"/>
      <c r="B1" s="2" t="s">
        <v>91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92</v>
      </c>
      <c r="C2" s="3"/>
      <c r="D2" s="3"/>
      <c r="E2" s="3"/>
      <c r="F2" s="3"/>
      <c r="G2" s="3"/>
      <c r="H2" s="3"/>
    </row>
    <row r="5" customFormat="false" ht="30" hidden="false" customHeight="true" outlineLevel="0" collapsed="false">
      <c r="B5" s="19" t="s">
        <v>93</v>
      </c>
      <c r="C5" s="20" t="s">
        <v>30</v>
      </c>
      <c r="D5" s="20" t="s">
        <v>31</v>
      </c>
      <c r="E5" s="20" t="s">
        <v>32</v>
      </c>
      <c r="F5" s="20" t="s">
        <v>33</v>
      </c>
      <c r="G5" s="20" t="s">
        <v>34</v>
      </c>
      <c r="H5" s="20" t="s">
        <v>94</v>
      </c>
    </row>
    <row r="6" customFormat="false" ht="15" hidden="false" customHeight="false" outlineLevel="0" collapsed="false">
      <c r="B6" s="36" t="n">
        <f aca="false">DATE(2025,1,1)</f>
        <v>45658</v>
      </c>
      <c r="C6" s="21" t="n">
        <f aca="false">SUMIFS(Register!$G$6:$G$1255,Register!$C$6:$C$1255,"Sales",Register!$B$6:$B$1255,"&gt;="&amp;$B6,Register!$B$6:$B$1255,"&lt;"&amp;EDATE($B6,1))</f>
        <v>2417900.61</v>
      </c>
      <c r="D6" s="21" t="n">
        <f aca="false">SUMIFS(Register!$M$6:$M$1255,Register!$B$6:$B$1255,"&gt;="&amp;$B6,Register!$B$6:$B$1255,"&lt;"&amp;EDATE($B6,1))</f>
        <v>103832.79</v>
      </c>
      <c r="E6" s="21" t="n">
        <f aca="false">SUMIFS(Register!$N$6:$N$1255,Register!$B$6:$B$1255,"&gt;="&amp;$B6,Register!$B$6:$B$1255,"&lt;"&amp;EDATE($B6,1))</f>
        <v>9045.61</v>
      </c>
      <c r="F6" s="21" t="n">
        <f aca="false">SUMIFS(Register!$O$6:$O$1255,Register!$B$6:$B$1255,"&gt;="&amp;$B6,Register!$B$6:$B$1255,"&lt;"&amp;EDATE($B6,1))</f>
        <v>84703.02</v>
      </c>
      <c r="G6" s="23" t="n">
        <f aca="false">D6+E6-F6</f>
        <v>28175.38</v>
      </c>
      <c r="H6" s="37" t="n">
        <f aca="false">COUNTIFS(Register!$B$6:$B$1255,"&gt;="&amp;$B6,Register!$B$6:$B$1255,"&lt;"&amp;EDATE($B6,1))</f>
        <v>113</v>
      </c>
    </row>
    <row r="7" customFormat="false" ht="15" hidden="false" customHeight="false" outlineLevel="0" collapsed="false">
      <c r="B7" s="36" t="n">
        <f aca="false">EDATE(B6,1)</f>
        <v>45689</v>
      </c>
      <c r="C7" s="21" t="n">
        <f aca="false">SUMIFS(Register!$G$6:$G$1255,Register!$C$6:$C$1255,"Sales",Register!$B$6:$B$1255,"&gt;="&amp;$B7,Register!$B$6:$B$1255,"&lt;"&amp;EDATE($B7,1))</f>
        <v>2660923.63</v>
      </c>
      <c r="D7" s="21" t="n">
        <f aca="false">SUMIFS(Register!$M$6:$M$1255,Register!$B$6:$B$1255,"&gt;="&amp;$B7,Register!$B$6:$B$1255,"&lt;"&amp;EDATE($B7,1))</f>
        <v>105333.72</v>
      </c>
      <c r="E7" s="21" t="n">
        <f aca="false">SUMIFS(Register!$N$6:$N$1255,Register!$B$6:$B$1255,"&gt;="&amp;$B7,Register!$B$6:$B$1255,"&lt;"&amp;EDATE($B7,1))</f>
        <v>5265.89</v>
      </c>
      <c r="F7" s="21" t="n">
        <f aca="false">SUMIFS(Register!$O$6:$O$1255,Register!$B$6:$B$1255,"&gt;="&amp;$B7,Register!$B$6:$B$1255,"&lt;"&amp;EDATE($B7,1))</f>
        <v>97182.89</v>
      </c>
      <c r="G7" s="23" t="n">
        <f aca="false">D7+E7-F7</f>
        <v>13416.72</v>
      </c>
      <c r="H7" s="37" t="n">
        <f aca="false">COUNTIFS(Register!$B$6:$B$1255,"&gt;="&amp;$B7,Register!$B$6:$B$1255,"&lt;"&amp;EDATE($B7,1))</f>
        <v>95</v>
      </c>
    </row>
    <row r="8" customFormat="false" ht="15" hidden="false" customHeight="false" outlineLevel="0" collapsed="false">
      <c r="B8" s="36" t="n">
        <f aca="false">EDATE(B7,1)</f>
        <v>45717</v>
      </c>
      <c r="C8" s="21" t="n">
        <f aca="false">SUMIFS(Register!$G$6:$G$1255,Register!$C$6:$C$1255,"Sales",Register!$B$6:$B$1255,"&gt;="&amp;$B8,Register!$B$6:$B$1255,"&lt;"&amp;EDATE($B8,1))</f>
        <v>3265843.87</v>
      </c>
      <c r="D8" s="21" t="n">
        <f aca="false">SUMIFS(Register!$M$6:$M$1255,Register!$B$6:$B$1255,"&gt;="&amp;$B8,Register!$B$6:$B$1255,"&lt;"&amp;EDATE($B8,1))</f>
        <v>137524.83</v>
      </c>
      <c r="E8" s="21" t="n">
        <f aca="false">SUMIFS(Register!$N$6:$N$1255,Register!$B$6:$B$1255,"&gt;="&amp;$B8,Register!$B$6:$B$1255,"&lt;"&amp;EDATE($B8,1))</f>
        <v>3931.59</v>
      </c>
      <c r="F8" s="21" t="n">
        <f aca="false">SUMIFS(Register!$O$6:$O$1255,Register!$B$6:$B$1255,"&gt;="&amp;$B8,Register!$B$6:$B$1255,"&lt;"&amp;EDATE($B8,1))</f>
        <v>171296.66</v>
      </c>
      <c r="G8" s="23" t="n">
        <f aca="false">D8+E8-F8</f>
        <v>-29840.24</v>
      </c>
      <c r="H8" s="37" t="n">
        <f aca="false">COUNTIFS(Register!$B$6:$B$1255,"&gt;="&amp;$B8,Register!$B$6:$B$1255,"&lt;"&amp;EDATE($B8,1))</f>
        <v>123</v>
      </c>
    </row>
    <row r="9" customFormat="false" ht="15" hidden="false" customHeight="false" outlineLevel="0" collapsed="false">
      <c r="B9" s="36" t="n">
        <f aca="false">EDATE(B8,1)</f>
        <v>45748</v>
      </c>
      <c r="C9" s="21" t="n">
        <f aca="false">SUMIFS(Register!$G$6:$G$1255,Register!$C$6:$C$1255,"Sales",Register!$B$6:$B$1255,"&gt;="&amp;$B9,Register!$B$6:$B$1255,"&lt;"&amp;EDATE($B9,1))</f>
        <v>3660039</v>
      </c>
      <c r="D9" s="21" t="n">
        <f aca="false">SUMIFS(Register!$M$6:$M$1255,Register!$B$6:$B$1255,"&gt;="&amp;$B9,Register!$B$6:$B$1255,"&lt;"&amp;EDATE($B9,1))</f>
        <v>150584.77</v>
      </c>
      <c r="E9" s="21" t="n">
        <f aca="false">SUMIFS(Register!$N$6:$N$1255,Register!$B$6:$B$1255,"&gt;="&amp;$B9,Register!$B$6:$B$1255,"&lt;"&amp;EDATE($B9,1))</f>
        <v>7592.59</v>
      </c>
      <c r="F9" s="21" t="n">
        <f aca="false">SUMIFS(Register!$O$6:$O$1255,Register!$B$6:$B$1255,"&gt;="&amp;$B9,Register!$B$6:$B$1255,"&lt;"&amp;EDATE($B9,1))</f>
        <v>85548.19</v>
      </c>
      <c r="G9" s="23" t="n">
        <f aca="false">D9+E9-F9</f>
        <v>72629.17</v>
      </c>
      <c r="H9" s="37" t="n">
        <f aca="false">COUNTIFS(Register!$B$6:$B$1255,"&gt;="&amp;$B9,Register!$B$6:$B$1255,"&lt;"&amp;EDATE($B9,1))</f>
        <v>108</v>
      </c>
    </row>
    <row r="10" customFormat="false" ht="15" hidden="false" customHeight="false" outlineLevel="0" collapsed="false">
      <c r="B10" s="36" t="n">
        <f aca="false">EDATE(B9,1)</f>
        <v>45778</v>
      </c>
      <c r="C10" s="21" t="n">
        <f aca="false">SUMIFS(Register!$G$6:$G$1255,Register!$C$6:$C$1255,"Sales",Register!$B$6:$B$1255,"&gt;="&amp;$B10,Register!$B$6:$B$1255,"&lt;"&amp;EDATE($B10,1))</f>
        <v>3730667.51</v>
      </c>
      <c r="D10" s="21" t="n">
        <f aca="false">SUMIFS(Register!$M$6:$M$1255,Register!$B$6:$B$1255,"&gt;="&amp;$B10,Register!$B$6:$B$1255,"&lt;"&amp;EDATE($B10,1))</f>
        <v>122145.02</v>
      </c>
      <c r="E10" s="21" t="n">
        <f aca="false">SUMIFS(Register!$N$6:$N$1255,Register!$B$6:$B$1255,"&gt;="&amp;$B10,Register!$B$6:$B$1255,"&lt;"&amp;EDATE($B10,1))</f>
        <v>5819.31</v>
      </c>
      <c r="F10" s="21" t="n">
        <f aca="false">SUMIFS(Register!$O$6:$O$1255,Register!$B$6:$B$1255,"&gt;="&amp;$B10,Register!$B$6:$B$1255,"&lt;"&amp;EDATE($B10,1))</f>
        <v>154631.07</v>
      </c>
      <c r="G10" s="23" t="n">
        <f aca="false">D10+E10-F10</f>
        <v>-26666.74</v>
      </c>
      <c r="H10" s="37" t="n">
        <f aca="false">COUNTIFS(Register!$B$6:$B$1255,"&gt;="&amp;$B10,Register!$B$6:$B$1255,"&lt;"&amp;EDATE($B10,1))</f>
        <v>116</v>
      </c>
    </row>
    <row r="11" customFormat="false" ht="15" hidden="false" customHeight="false" outlineLevel="0" collapsed="false">
      <c r="B11" s="36" t="n">
        <f aca="false">EDATE(B10,1)</f>
        <v>45809</v>
      </c>
      <c r="C11" s="21" t="n">
        <f aca="false">SUMIFS(Register!$G$6:$G$1255,Register!$C$6:$C$1255,"Sales",Register!$B$6:$B$1255,"&gt;="&amp;$B11,Register!$B$6:$B$1255,"&lt;"&amp;EDATE($B11,1))</f>
        <v>3627215.03</v>
      </c>
      <c r="D11" s="21" t="n">
        <f aca="false">SUMIFS(Register!$M$6:$M$1255,Register!$B$6:$B$1255,"&gt;="&amp;$B11,Register!$B$6:$B$1255,"&lt;"&amp;EDATE($B11,1))</f>
        <v>123592.52</v>
      </c>
      <c r="E11" s="21" t="n">
        <f aca="false">SUMIFS(Register!$N$6:$N$1255,Register!$B$6:$B$1255,"&gt;="&amp;$B11,Register!$B$6:$B$1255,"&lt;"&amp;EDATE($B11,1))</f>
        <v>896.42</v>
      </c>
      <c r="F11" s="21" t="n">
        <f aca="false">SUMIFS(Register!$O$6:$O$1255,Register!$B$6:$B$1255,"&gt;="&amp;$B11,Register!$B$6:$B$1255,"&lt;"&amp;EDATE($B11,1))</f>
        <v>68925.74</v>
      </c>
      <c r="G11" s="23" t="n">
        <f aca="false">D11+E11-F11</f>
        <v>55563.2</v>
      </c>
      <c r="H11" s="37" t="n">
        <f aca="false">COUNTIFS(Register!$B$6:$B$1255,"&gt;="&amp;$B11,Register!$B$6:$B$1255,"&lt;"&amp;EDATE($B11,1))</f>
        <v>88</v>
      </c>
    </row>
    <row r="12" customFormat="false" ht="15" hidden="false" customHeight="false" outlineLevel="0" collapsed="false">
      <c r="B12" s="36" t="n">
        <f aca="false">EDATE(B11,1)</f>
        <v>45839</v>
      </c>
      <c r="C12" s="21" t="n">
        <f aca="false">SUMIFS(Register!$G$6:$G$1255,Register!$C$6:$C$1255,"Sales",Register!$B$6:$B$1255,"&gt;="&amp;$B12,Register!$B$6:$B$1255,"&lt;"&amp;EDATE($B12,1))</f>
        <v>3173938.92</v>
      </c>
      <c r="D12" s="21" t="n">
        <f aca="false">SUMIFS(Register!$M$6:$M$1255,Register!$B$6:$B$1255,"&gt;="&amp;$B12,Register!$B$6:$B$1255,"&lt;"&amp;EDATE($B12,1))</f>
        <v>109274.07</v>
      </c>
      <c r="E12" s="21" t="n">
        <f aca="false">SUMIFS(Register!$N$6:$N$1255,Register!$B$6:$B$1255,"&gt;="&amp;$B12,Register!$B$6:$B$1255,"&lt;"&amp;EDATE($B12,1))</f>
        <v>2531.61</v>
      </c>
      <c r="F12" s="21" t="n">
        <f aca="false">SUMIFS(Register!$O$6:$O$1255,Register!$B$6:$B$1255,"&gt;="&amp;$B12,Register!$B$6:$B$1255,"&lt;"&amp;EDATE($B12,1))</f>
        <v>124225.64</v>
      </c>
      <c r="G12" s="23" t="n">
        <f aca="false">D12+E12-F12</f>
        <v>-12419.96</v>
      </c>
      <c r="H12" s="37" t="n">
        <f aca="false">COUNTIFS(Register!$B$6:$B$1255,"&gt;="&amp;$B12,Register!$B$6:$B$1255,"&lt;"&amp;EDATE($B12,1))</f>
        <v>106</v>
      </c>
    </row>
    <row r="13" customFormat="false" ht="15" hidden="false" customHeight="false" outlineLevel="0" collapsed="false">
      <c r="B13" s="36" t="n">
        <f aca="false">EDATE(B12,1)</f>
        <v>45870</v>
      </c>
      <c r="C13" s="21" t="n">
        <f aca="false">SUMIFS(Register!$G$6:$G$1255,Register!$C$6:$C$1255,"Sales",Register!$B$6:$B$1255,"&gt;="&amp;$B13,Register!$B$6:$B$1255,"&lt;"&amp;EDATE($B13,1))</f>
        <v>3095598.34</v>
      </c>
      <c r="D13" s="21" t="n">
        <f aca="false">SUMIFS(Register!$M$6:$M$1255,Register!$B$6:$B$1255,"&gt;="&amp;$B13,Register!$B$6:$B$1255,"&lt;"&amp;EDATE($B13,1))</f>
        <v>127128.65</v>
      </c>
      <c r="E13" s="21" t="n">
        <f aca="false">SUMIFS(Register!$N$6:$N$1255,Register!$B$6:$B$1255,"&gt;="&amp;$B13,Register!$B$6:$B$1255,"&lt;"&amp;EDATE($B13,1))</f>
        <v>27156.39</v>
      </c>
      <c r="F13" s="21" t="n">
        <f aca="false">SUMIFS(Register!$O$6:$O$1255,Register!$B$6:$B$1255,"&gt;="&amp;$B13,Register!$B$6:$B$1255,"&lt;"&amp;EDATE($B13,1))</f>
        <v>123453</v>
      </c>
      <c r="G13" s="23" t="n">
        <f aca="false">D13+E13-F13</f>
        <v>30832.04</v>
      </c>
      <c r="H13" s="37" t="n">
        <f aca="false">COUNTIFS(Register!$B$6:$B$1255,"&gt;="&amp;$B13,Register!$B$6:$B$1255,"&lt;"&amp;EDATE($B13,1))</f>
        <v>107</v>
      </c>
    </row>
    <row r="14" customFormat="false" ht="15" hidden="false" customHeight="false" outlineLevel="0" collapsed="false">
      <c r="B14" s="36" t="n">
        <f aca="false">EDATE(B13,1)</f>
        <v>45901</v>
      </c>
      <c r="C14" s="21" t="n">
        <f aca="false">SUMIFS(Register!$G$6:$G$1255,Register!$C$6:$C$1255,"Sales",Register!$B$6:$B$1255,"&gt;="&amp;$B14,Register!$B$6:$B$1255,"&lt;"&amp;EDATE($B14,1))</f>
        <v>2627203.46</v>
      </c>
      <c r="D14" s="21" t="n">
        <f aca="false">SUMIFS(Register!$M$6:$M$1255,Register!$B$6:$B$1255,"&gt;="&amp;$B14,Register!$B$6:$B$1255,"&lt;"&amp;EDATE($B14,1))</f>
        <v>86710.46</v>
      </c>
      <c r="E14" s="21" t="n">
        <f aca="false">SUMIFS(Register!$N$6:$N$1255,Register!$B$6:$B$1255,"&gt;="&amp;$B14,Register!$B$6:$B$1255,"&lt;"&amp;EDATE($B14,1))</f>
        <v>3967.77</v>
      </c>
      <c r="F14" s="21" t="n">
        <f aca="false">SUMIFS(Register!$O$6:$O$1255,Register!$B$6:$B$1255,"&gt;="&amp;$B14,Register!$B$6:$B$1255,"&lt;"&amp;EDATE($B14,1))</f>
        <v>102006.24</v>
      </c>
      <c r="G14" s="23" t="n">
        <f aca="false">D14+E14-F14</f>
        <v>-11328.01</v>
      </c>
      <c r="H14" s="37" t="n">
        <f aca="false">COUNTIFS(Register!$B$6:$B$1255,"&gt;="&amp;$B14,Register!$B$6:$B$1255,"&lt;"&amp;EDATE($B14,1))</f>
        <v>94</v>
      </c>
    </row>
    <row r="15" customFormat="false" ht="15" hidden="false" customHeight="false" outlineLevel="0" collapsed="false">
      <c r="B15" s="36" t="n">
        <f aca="false">EDATE(B14,1)</f>
        <v>45931</v>
      </c>
      <c r="C15" s="21" t="n">
        <f aca="false">SUMIFS(Register!$G$6:$G$1255,Register!$C$6:$C$1255,"Sales",Register!$B$6:$B$1255,"&gt;="&amp;$B15,Register!$B$6:$B$1255,"&lt;"&amp;EDATE($B15,1))</f>
        <v>2878154.21</v>
      </c>
      <c r="D15" s="21" t="n">
        <f aca="false">SUMIFS(Register!$M$6:$M$1255,Register!$B$6:$B$1255,"&gt;="&amp;$B15,Register!$B$6:$B$1255,"&lt;"&amp;EDATE($B15,1))</f>
        <v>117219.47</v>
      </c>
      <c r="E15" s="21" t="n">
        <f aca="false">SUMIFS(Register!$N$6:$N$1255,Register!$B$6:$B$1255,"&gt;="&amp;$B15,Register!$B$6:$B$1255,"&lt;"&amp;EDATE($B15,1))</f>
        <v>4003.32</v>
      </c>
      <c r="F15" s="21" t="n">
        <f aca="false">SUMIFS(Register!$O$6:$O$1255,Register!$B$6:$B$1255,"&gt;="&amp;$B15,Register!$B$6:$B$1255,"&lt;"&amp;EDATE($B15,1))</f>
        <v>88538.42</v>
      </c>
      <c r="G15" s="23" t="n">
        <f aca="false">D15+E15-F15</f>
        <v>32684.37</v>
      </c>
      <c r="H15" s="37" t="n">
        <f aca="false">COUNTIFS(Register!$B$6:$B$1255,"&gt;="&amp;$B15,Register!$B$6:$B$1255,"&lt;"&amp;EDATE($B15,1))</f>
        <v>94</v>
      </c>
    </row>
    <row r="16" customFormat="false" ht="15" hidden="false" customHeight="false" outlineLevel="0" collapsed="false">
      <c r="B16" s="36" t="n">
        <f aca="false">EDATE(B15,1)</f>
        <v>45962</v>
      </c>
      <c r="C16" s="21" t="n">
        <f aca="false">SUMIFS(Register!$G$6:$G$1255,Register!$C$6:$C$1255,"Sales",Register!$B$6:$B$1255,"&gt;="&amp;$B16,Register!$B$6:$B$1255,"&lt;"&amp;EDATE($B16,1))</f>
        <v>2474655.7</v>
      </c>
      <c r="D16" s="21" t="n">
        <f aca="false">SUMIFS(Register!$M$6:$M$1255,Register!$B$6:$B$1255,"&gt;="&amp;$B16,Register!$B$6:$B$1255,"&lt;"&amp;EDATE($B16,1))</f>
        <v>101833.62</v>
      </c>
      <c r="E16" s="21" t="n">
        <f aca="false">SUMIFS(Register!$N$6:$N$1255,Register!$B$6:$B$1255,"&gt;="&amp;$B16,Register!$B$6:$B$1255,"&lt;"&amp;EDATE($B16,1))</f>
        <v>3379.06</v>
      </c>
      <c r="F16" s="21" t="n">
        <f aca="false">SUMIFS(Register!$O$6:$O$1255,Register!$B$6:$B$1255,"&gt;="&amp;$B16,Register!$B$6:$B$1255,"&lt;"&amp;EDATE($B16,1))</f>
        <v>107341.65</v>
      </c>
      <c r="G16" s="23" t="n">
        <f aca="false">D16+E16-F16</f>
        <v>-2128.97</v>
      </c>
      <c r="H16" s="37" t="n">
        <f aca="false">COUNTIFS(Register!$B$6:$B$1255,"&gt;="&amp;$B16,Register!$B$6:$B$1255,"&lt;"&amp;EDATE($B16,1))</f>
        <v>106</v>
      </c>
    </row>
    <row r="17" customFormat="false" ht="15" hidden="false" customHeight="false" outlineLevel="0" collapsed="false">
      <c r="B17" s="36" t="n">
        <f aca="false">EDATE(B16,1)</f>
        <v>45992</v>
      </c>
      <c r="C17" s="21" t="n">
        <f aca="false">SUMIFS(Register!$G$6:$G$1255,Register!$C$6:$C$1255,"Sales",Register!$B$6:$B$1255,"&gt;="&amp;$B17,Register!$B$6:$B$1255,"&lt;"&amp;EDATE($B17,1))</f>
        <v>2662892.89</v>
      </c>
      <c r="D17" s="21" t="n">
        <f aca="false">SUMIFS(Register!$M$6:$M$1255,Register!$B$6:$B$1255,"&gt;="&amp;$B17,Register!$B$6:$B$1255,"&lt;"&amp;EDATE($B17,1))</f>
        <v>91947.68</v>
      </c>
      <c r="E17" s="21" t="n">
        <f aca="false">SUMIFS(Register!$N$6:$N$1255,Register!$B$6:$B$1255,"&gt;="&amp;$B17,Register!$B$6:$B$1255,"&lt;"&amp;EDATE($B17,1))</f>
        <v>3288.37</v>
      </c>
      <c r="F17" s="21" t="n">
        <f aca="false">SUMIFS(Register!$O$6:$O$1255,Register!$B$6:$B$1255,"&gt;="&amp;$B17,Register!$B$6:$B$1255,"&lt;"&amp;EDATE($B17,1))</f>
        <v>68366.58</v>
      </c>
      <c r="G17" s="23" t="n">
        <f aca="false">D17+E17-F17</f>
        <v>26869.47</v>
      </c>
      <c r="H17" s="37" t="n">
        <f aca="false">COUNTIFS(Register!$B$6:$B$1255,"&gt;="&amp;$B17,Register!$B$6:$B$1255,"&lt;"&amp;EDATE($B17,1))</f>
        <v>100</v>
      </c>
    </row>
    <row r="18" customFormat="false" ht="15" hidden="false" customHeight="false" outlineLevel="0" collapsed="false">
      <c r="B18" s="25" t="s">
        <v>95</v>
      </c>
      <c r="C18" s="26" t="n">
        <f aca="false">SUM(C6:C17)</f>
        <v>36275033.17</v>
      </c>
      <c r="D18" s="26" t="n">
        <f aca="false">SUM(D6:D17)</f>
        <v>1377127.6</v>
      </c>
      <c r="E18" s="26" t="n">
        <f aca="false">SUM(E6:E17)</f>
        <v>76877.93</v>
      </c>
      <c r="F18" s="26" t="n">
        <f aca="false">SUM(F6:F17)</f>
        <v>1276219.1</v>
      </c>
      <c r="G18" s="26" t="n">
        <f aca="false">SUM(G6:G17)</f>
        <v>177786.43</v>
      </c>
      <c r="H18" s="38" t="n">
        <f aca="false">SUM(H6:H17)</f>
        <v>1250</v>
      </c>
    </row>
  </sheetData>
  <mergeCells count="2">
    <mergeCell ref="B1:H1"/>
    <mergeCell ref="B2:H2"/>
  </mergeCells>
  <conditionalFormatting sqref="G6:G1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A9A0"/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8" min="3" style="0" width="15"/>
  </cols>
  <sheetData>
    <row r="1" customFormat="false" ht="30" hidden="false" customHeight="true" outlineLevel="0" collapsed="false">
      <c r="A1" s="1"/>
      <c r="B1" s="2" t="s">
        <v>96</v>
      </c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B2" s="3" t="s">
        <v>97</v>
      </c>
      <c r="C2" s="3"/>
      <c r="D2" s="3"/>
      <c r="E2" s="3"/>
      <c r="F2" s="3"/>
      <c r="G2" s="3"/>
      <c r="H2" s="3"/>
    </row>
    <row r="5" customFormat="false" ht="30" hidden="false" customHeight="true" outlineLevel="0" collapsed="false">
      <c r="B5" s="19" t="s">
        <v>98</v>
      </c>
      <c r="C5" s="20" t="s">
        <v>36</v>
      </c>
      <c r="D5" s="20" t="s">
        <v>37</v>
      </c>
      <c r="E5" s="20" t="s">
        <v>38</v>
      </c>
      <c r="F5" s="20" t="s">
        <v>39</v>
      </c>
      <c r="G5" s="20" t="s">
        <v>3</v>
      </c>
      <c r="H5" s="20" t="s">
        <v>99</v>
      </c>
    </row>
    <row r="6" customFormat="false" ht="15" hidden="false" customHeight="false" outlineLevel="0" collapsed="false">
      <c r="B6" s="4" t="s">
        <v>100</v>
      </c>
      <c r="C6" s="21" t="n">
        <f aca="false">SUMIFS(Register!$G$6:$G$1255,Register!$F$6:$F$1255,"Standard-rated 5%",Register!$C$6:$C$1255,"Sales",Register!$E$6:$E$1255,$B6,Register!$K$6:$K$1255,"Q1")</f>
        <v>2878250.74</v>
      </c>
      <c r="D6" s="21" t="n">
        <f aca="false">SUMIFS(Register!$G$6:$G$1255,Register!$F$6:$F$1255,"Standard-rated 5%",Register!$C$6:$C$1255,"Sales",Register!$E$6:$E$1255,$B6,Register!$K$6:$K$1255,"Q2")</f>
        <v>3301520.59</v>
      </c>
      <c r="E6" s="21" t="n">
        <f aca="false">SUMIFS(Register!$G$6:$G$1255,Register!$F$6:$F$1255,"Standard-rated 5%",Register!$C$6:$C$1255,"Sales",Register!$E$6:$E$1255,$B6,Register!$K$6:$K$1255,"Q3")</f>
        <v>3589811.7</v>
      </c>
      <c r="F6" s="21" t="n">
        <f aca="false">SUMIFS(Register!$G$6:$G$1255,Register!$F$6:$F$1255,"Standard-rated 5%",Register!$C$6:$C$1255,"Sales",Register!$E$6:$E$1255,$B6,Register!$K$6:$K$1255,"Q4")</f>
        <v>3610020</v>
      </c>
      <c r="G6" s="23" t="n">
        <f aca="false">SUM(C6:F6)</f>
        <v>13379603.03</v>
      </c>
      <c r="H6" s="13" t="n">
        <f aca="false">G6/G$13</f>
        <v>0.485779386782675</v>
      </c>
    </row>
    <row r="7" customFormat="false" ht="15" hidden="false" customHeight="false" outlineLevel="0" collapsed="false">
      <c r="B7" s="4" t="s">
        <v>101</v>
      </c>
      <c r="C7" s="21" t="n">
        <f aca="false">SUMIFS(Register!$G$6:$G$1255,Register!$F$6:$F$1255,"Standard-rated 5%",Register!$C$6:$C$1255,"Sales",Register!$E$6:$E$1255,$B7,Register!$K$6:$K$1255,"Q1")</f>
        <v>2063647.78</v>
      </c>
      <c r="D7" s="21" t="n">
        <f aca="false">SUMIFS(Register!$G$6:$G$1255,Register!$F$6:$F$1255,"Standard-rated 5%",Register!$C$6:$C$1255,"Sales",Register!$E$6:$E$1255,$B7,Register!$K$6:$K$1255,"Q2")</f>
        <v>2411882.72</v>
      </c>
      <c r="E7" s="21" t="n">
        <f aca="false">SUMIFS(Register!$G$6:$G$1255,Register!$F$6:$F$1255,"Standard-rated 5%",Register!$C$6:$C$1255,"Sales",Register!$E$6:$E$1255,$B7,Register!$K$6:$K$1255,"Q3")</f>
        <v>1308600</v>
      </c>
      <c r="F7" s="21" t="n">
        <f aca="false">SUMIFS(Register!$G$6:$G$1255,Register!$F$6:$F$1255,"Standard-rated 5%",Register!$C$6:$C$1255,"Sales",Register!$E$6:$E$1255,$B7,Register!$K$6:$K$1255,"Q4")</f>
        <v>1265515.57</v>
      </c>
      <c r="G7" s="23" t="n">
        <f aca="false">SUM(C7:F7)</f>
        <v>7049646.07</v>
      </c>
      <c r="H7" s="13" t="n">
        <f aca="false">G7/G$13</f>
        <v>0.255954734773585</v>
      </c>
    </row>
    <row r="8" customFormat="false" ht="15" hidden="false" customHeight="false" outlineLevel="0" collapsed="false">
      <c r="B8" s="4" t="s">
        <v>102</v>
      </c>
      <c r="C8" s="21" t="n">
        <f aca="false">SUMIFS(Register!$G$6:$G$1255,Register!$F$6:$F$1255,"Standard-rated 5%",Register!$C$6:$C$1255,"Sales",Register!$E$6:$E$1255,$B8,Register!$K$6:$K$1255,"Q1")</f>
        <v>1105421.1</v>
      </c>
      <c r="D8" s="21" t="n">
        <f aca="false">SUMIFS(Register!$G$6:$G$1255,Register!$F$6:$F$1255,"Standard-rated 5%",Register!$C$6:$C$1255,"Sales",Register!$E$6:$E$1255,$B8,Register!$K$6:$K$1255,"Q2")</f>
        <v>966743</v>
      </c>
      <c r="E8" s="21" t="n">
        <f aca="false">SUMIFS(Register!$G$6:$G$1255,Register!$F$6:$F$1255,"Standard-rated 5%",Register!$C$6:$C$1255,"Sales",Register!$E$6:$E$1255,$B8,Register!$K$6:$K$1255,"Q3")</f>
        <v>806774.26</v>
      </c>
      <c r="F8" s="21" t="n">
        <f aca="false">SUMIFS(Register!$G$6:$G$1255,Register!$F$6:$F$1255,"Standard-rated 5%",Register!$C$6:$C$1255,"Sales",Register!$E$6:$E$1255,$B8,Register!$K$6:$K$1255,"Q4")</f>
        <v>628249.2</v>
      </c>
      <c r="G8" s="23" t="n">
        <f aca="false">SUM(C8:F8)</f>
        <v>3507187.56</v>
      </c>
      <c r="H8" s="13" t="n">
        <f aca="false">G8/G$13</f>
        <v>0.127337068103479</v>
      </c>
    </row>
    <row r="9" customFormat="false" ht="15" hidden="false" customHeight="false" outlineLevel="0" collapsed="false">
      <c r="B9" s="4" t="s">
        <v>103</v>
      </c>
      <c r="C9" s="21" t="n">
        <f aca="false">SUMIFS(Register!$G$6:$G$1255,Register!$F$6:$F$1255,"Standard-rated 5%",Register!$C$6:$C$1255,"Sales",Register!$E$6:$E$1255,$B9,Register!$K$6:$K$1255,"Q1")</f>
        <v>143096.49</v>
      </c>
      <c r="D9" s="21" t="n">
        <f aca="false">SUMIFS(Register!$G$6:$G$1255,Register!$F$6:$F$1255,"Standard-rated 5%",Register!$C$6:$C$1255,"Sales",Register!$E$6:$E$1255,$B9,Register!$K$6:$K$1255,"Q2")</f>
        <v>160628.76</v>
      </c>
      <c r="E9" s="21" t="n">
        <f aca="false">SUMIFS(Register!$G$6:$G$1255,Register!$F$6:$F$1255,"Standard-rated 5%",Register!$C$6:$C$1255,"Sales",Register!$E$6:$E$1255,$B9,Register!$K$6:$K$1255,"Q3")</f>
        <v>228397.01</v>
      </c>
      <c r="F9" s="21" t="n">
        <f aca="false">SUMIFS(Register!$G$6:$G$1255,Register!$F$6:$F$1255,"Standard-rated 5%",Register!$C$6:$C$1255,"Sales",Register!$E$6:$E$1255,$B9,Register!$K$6:$K$1255,"Q4")</f>
        <v>204336.39</v>
      </c>
      <c r="G9" s="23" t="n">
        <f aca="false">SUM(C9:F9)</f>
        <v>736458.65</v>
      </c>
      <c r="H9" s="13" t="n">
        <f aca="false">G9/G$13</f>
        <v>0.0267389421484052</v>
      </c>
    </row>
    <row r="10" customFormat="false" ht="15" hidden="false" customHeight="false" outlineLevel="0" collapsed="false">
      <c r="B10" s="4" t="s">
        <v>104</v>
      </c>
      <c r="C10" s="21" t="n">
        <f aca="false">SUMIFS(Register!$G$6:$G$1255,Register!$F$6:$F$1255,"Standard-rated 5%",Register!$C$6:$C$1255,"Sales",Register!$E$6:$E$1255,$B10,Register!$K$6:$K$1255,"Q1")</f>
        <v>381261.16</v>
      </c>
      <c r="D10" s="21" t="n">
        <f aca="false">SUMIFS(Register!$G$6:$G$1255,Register!$F$6:$F$1255,"Standard-rated 5%",Register!$C$6:$C$1255,"Sales",Register!$E$6:$E$1255,$B10,Register!$K$6:$K$1255,"Q2")</f>
        <v>759828.55</v>
      </c>
      <c r="E10" s="21" t="n">
        <f aca="false">SUMIFS(Register!$G$6:$G$1255,Register!$F$6:$F$1255,"Standard-rated 5%",Register!$C$6:$C$1255,"Sales",Register!$E$6:$E$1255,$B10,Register!$K$6:$K$1255,"Q3")</f>
        <v>253654.82</v>
      </c>
      <c r="F10" s="21" t="n">
        <f aca="false">SUMIFS(Register!$G$6:$G$1255,Register!$F$6:$F$1255,"Standard-rated 5%",Register!$C$6:$C$1255,"Sales",Register!$E$6:$E$1255,$B10,Register!$K$6:$K$1255,"Q4")</f>
        <v>186545.37</v>
      </c>
      <c r="G10" s="23" t="n">
        <f aca="false">SUM(C10:F10)</f>
        <v>1581289.9</v>
      </c>
      <c r="H10" s="13" t="n">
        <f aca="false">G10/G$13</f>
        <v>0.0574126180145449</v>
      </c>
    </row>
    <row r="11" customFormat="false" ht="15" hidden="false" customHeight="false" outlineLevel="0" collapsed="false">
      <c r="B11" s="4" t="s">
        <v>105</v>
      </c>
      <c r="C11" s="21" t="n">
        <f aca="false">SUMIFS(Register!$G$6:$G$1255,Register!$F$6:$F$1255,"Standard-rated 5%",Register!$C$6:$C$1255,"Sales",Register!$E$6:$E$1255,$B11,Register!$K$6:$K$1255,"Q1")</f>
        <v>261378.64</v>
      </c>
      <c r="D11" s="21" t="n">
        <f aca="false">SUMIFS(Register!$G$6:$G$1255,Register!$F$6:$F$1255,"Standard-rated 5%",Register!$C$6:$C$1255,"Sales",Register!$E$6:$E$1255,$B11,Register!$K$6:$K$1255,"Q2")</f>
        <v>325842.58</v>
      </c>
      <c r="E11" s="21" t="n">
        <f aca="false">SUMIFS(Register!$G$6:$G$1255,Register!$F$6:$F$1255,"Standard-rated 5%",Register!$C$6:$C$1255,"Sales",Register!$E$6:$E$1255,$B11,Register!$K$6:$K$1255,"Q3")</f>
        <v>126367.13</v>
      </c>
      <c r="F11" s="21" t="n">
        <f aca="false">SUMIFS(Register!$G$6:$G$1255,Register!$F$6:$F$1255,"Standard-rated 5%",Register!$C$6:$C$1255,"Sales",Register!$E$6:$E$1255,$B11,Register!$K$6:$K$1255,"Q4")</f>
        <v>247223.84</v>
      </c>
      <c r="G11" s="23" t="n">
        <f aca="false">SUM(C11:F11)</f>
        <v>960812.19</v>
      </c>
      <c r="H11" s="13" t="n">
        <f aca="false">G11/G$13</f>
        <v>0.0348846490755353</v>
      </c>
    </row>
    <row r="12" customFormat="false" ht="15" hidden="false" customHeight="false" outlineLevel="0" collapsed="false">
      <c r="B12" s="4" t="s">
        <v>106</v>
      </c>
      <c r="C12" s="21" t="n">
        <f aca="false">SUMIFS(Register!$G$6:$G$1255,Register!$F$6:$F$1255,"Standard-rated 5%",Register!$C$6:$C$1255,"Sales",Register!$E$6:$E$1255,$B12,Register!$K$6:$K$1255,"Q1")</f>
        <v>100769.68</v>
      </c>
      <c r="D12" s="21" t="n">
        <f aca="false">SUMIFS(Register!$G$6:$G$1255,Register!$F$6:$F$1255,"Standard-rated 5%",Register!$C$6:$C$1255,"Sales",Register!$E$6:$E$1255,$B12,Register!$K$6:$K$1255,"Q2")</f>
        <v>0</v>
      </c>
      <c r="E12" s="21" t="n">
        <f aca="false">SUMIFS(Register!$G$6:$G$1255,Register!$F$6:$F$1255,"Standard-rated 5%",Register!$C$6:$C$1255,"Sales",Register!$E$6:$E$1255,$B12,Register!$K$6:$K$1255,"Q3")</f>
        <v>148658.43</v>
      </c>
      <c r="F12" s="21" t="n">
        <f aca="false">SUMIFS(Register!$G$6:$G$1255,Register!$F$6:$F$1255,"Standard-rated 5%",Register!$C$6:$C$1255,"Sales",Register!$E$6:$E$1255,$B12,Register!$K$6:$K$1255,"Q4")</f>
        <v>78124.45</v>
      </c>
      <c r="G12" s="23" t="n">
        <f aca="false">SUM(C12:F12)</f>
        <v>327552.56</v>
      </c>
      <c r="H12" s="13" t="n">
        <f aca="false">G12/G$13</f>
        <v>0.0118926011017754</v>
      </c>
    </row>
    <row r="13" customFormat="false" ht="15" hidden="false" customHeight="false" outlineLevel="0" collapsed="false">
      <c r="B13" s="25" t="s">
        <v>95</v>
      </c>
      <c r="C13" s="26" t="n">
        <f aca="false">SUM(C6:C12)</f>
        <v>6933825.59</v>
      </c>
      <c r="D13" s="26" t="n">
        <f aca="false">SUM(D6:D12)</f>
        <v>7926446.2</v>
      </c>
      <c r="E13" s="26" t="n">
        <f aca="false">SUM(E6:E12)</f>
        <v>6462263.35</v>
      </c>
      <c r="F13" s="26" t="n">
        <f aca="false">SUM(F6:F12)</f>
        <v>6220014.82</v>
      </c>
      <c r="G13" s="26" t="n">
        <f aca="false">SUM(G6:G12)</f>
        <v>27542549.96</v>
      </c>
      <c r="H13" s="39" t="n">
        <f aca="false">SUM(H6:H12)</f>
        <v>1</v>
      </c>
    </row>
  </sheetData>
  <mergeCells count="2">
    <mergeCell ref="B1:H1"/>
    <mergeCell ref="B2:H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"/>
      <c r="B1" s="2" t="s">
        <v>107</v>
      </c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B2" s="3" t="s">
        <v>108</v>
      </c>
      <c r="C2" s="3"/>
      <c r="D2" s="3"/>
      <c r="E2" s="3"/>
      <c r="F2" s="3"/>
      <c r="G2" s="3"/>
      <c r="H2" s="3"/>
      <c r="I2" s="3"/>
    </row>
    <row r="5" customFormat="false" ht="30" hidden="false" customHeight="true" outlineLevel="0" collapsed="false">
      <c r="B5" s="19" t="s">
        <v>109</v>
      </c>
      <c r="C5" s="20" t="s">
        <v>36</v>
      </c>
      <c r="D5" s="20" t="s">
        <v>37</v>
      </c>
      <c r="E5" s="20" t="s">
        <v>38</v>
      </c>
      <c r="F5" s="20" t="s">
        <v>39</v>
      </c>
      <c r="G5" s="20" t="s">
        <v>94</v>
      </c>
      <c r="H5" s="20" t="s">
        <v>110</v>
      </c>
      <c r="I5" s="20" t="s">
        <v>111</v>
      </c>
    </row>
    <row r="6" customFormat="false" ht="15" hidden="false" customHeight="false" outlineLevel="0" collapsed="false">
      <c r="B6" s="4" t="s">
        <v>112</v>
      </c>
      <c r="C6" s="37" t="n">
        <f aca="false">COUNTIFS(Register!$R$6:$R$1255,$B6,Register!$K$6:$K$1255,"Q1")</f>
        <v>1</v>
      </c>
      <c r="D6" s="37" t="n">
        <f aca="false">COUNTIFS(Register!$R$6:$R$1255,$B6,Register!$K$6:$K$1255,"Q2")</f>
        <v>1</v>
      </c>
      <c r="E6" s="37" t="n">
        <f aca="false">COUNTIFS(Register!$R$6:$R$1255,$B6,Register!$K$6:$K$1255,"Q3")</f>
        <v>1</v>
      </c>
      <c r="F6" s="37" t="n">
        <f aca="false">COUNTIFS(Register!$R$6:$R$1255,$B6,Register!$K$6:$K$1255,"Q4")</f>
        <v>0</v>
      </c>
      <c r="G6" s="40" t="n">
        <f aca="false">SUM(C6:F6)</f>
        <v>3</v>
      </c>
      <c r="H6" s="21" t="n">
        <f aca="false">SUMIFS(Register!$G$6:$G$1255,Register!$R$6:$R$1255,$B6)</f>
        <v>200601.6</v>
      </c>
      <c r="I6" s="21" t="n">
        <f aca="false">SUMIFS(Register!$L$6:$L$1255,Register!$R$6:$R$1255,$B6,Register!$C$6:$C$1255,"Purchase")</f>
        <v>10030.07</v>
      </c>
    </row>
    <row r="7" customFormat="false" ht="15" hidden="false" customHeight="false" outlineLevel="0" collapsed="false">
      <c r="B7" s="4" t="s">
        <v>113</v>
      </c>
      <c r="C7" s="37" t="n">
        <f aca="false">COUNTIFS(Register!$R$6:$R$1255,$B7,Register!$K$6:$K$1255,"Q1")</f>
        <v>7</v>
      </c>
      <c r="D7" s="37" t="n">
        <f aca="false">COUNTIFS(Register!$R$6:$R$1255,$B7,Register!$K$6:$K$1255,"Q2")</f>
        <v>3</v>
      </c>
      <c r="E7" s="37" t="n">
        <f aca="false">COUNTIFS(Register!$R$6:$R$1255,$B7,Register!$K$6:$K$1255,"Q3")</f>
        <v>4</v>
      </c>
      <c r="F7" s="37" t="n">
        <f aca="false">COUNTIFS(Register!$R$6:$R$1255,$B7,Register!$K$6:$K$1255,"Q4")</f>
        <v>3</v>
      </c>
      <c r="G7" s="40" t="n">
        <f aca="false">SUM(C7:F7)</f>
        <v>17</v>
      </c>
      <c r="H7" s="21" t="n">
        <f aca="false">SUMIFS(Register!$G$6:$G$1255,Register!$R$6:$R$1255,$B7)</f>
        <v>594809.56</v>
      </c>
      <c r="I7" s="21" t="n">
        <f aca="false">SUMIFS(Register!$L$6:$L$1255,Register!$R$6:$R$1255,$B7,Register!$C$6:$C$1255,"Purchase")</f>
        <v>29740.49</v>
      </c>
    </row>
    <row r="8" customFormat="false" ht="15" hidden="false" customHeight="false" outlineLevel="0" collapsed="false">
      <c r="B8" s="4" t="s">
        <v>114</v>
      </c>
      <c r="C8" s="37" t="n">
        <f aca="false">COUNTIFS(Register!$R$6:$R$1255,$B8,Register!$K$6:$K$1255,"Q1")</f>
        <v>11</v>
      </c>
      <c r="D8" s="37" t="n">
        <f aca="false">COUNTIFS(Register!$R$6:$R$1255,$B8,Register!$K$6:$K$1255,"Q2")</f>
        <v>7</v>
      </c>
      <c r="E8" s="37" t="n">
        <f aca="false">COUNTIFS(Register!$R$6:$R$1255,$B8,Register!$K$6:$K$1255,"Q3")</f>
        <v>6</v>
      </c>
      <c r="F8" s="37" t="n">
        <f aca="false">COUNTIFS(Register!$R$6:$R$1255,$B8,Register!$K$6:$K$1255,"Q4")</f>
        <v>6</v>
      </c>
      <c r="G8" s="40" t="n">
        <f aca="false">SUM(C8:F8)</f>
        <v>30</v>
      </c>
      <c r="H8" s="21" t="n">
        <f aca="false">SUMIFS(Register!$G$6:$G$1255,Register!$R$6:$R$1255,$B8)</f>
        <v>1357022.49</v>
      </c>
      <c r="I8" s="21" t="n">
        <f aca="false">SUMIFS(Register!$L$6:$L$1255,Register!$R$6:$R$1255,$B8)</f>
        <v>54511.24</v>
      </c>
    </row>
    <row r="9" customFormat="false" ht="15" hidden="false" customHeight="false" outlineLevel="0" collapsed="false">
      <c r="B9" s="25" t="s">
        <v>95</v>
      </c>
      <c r="C9" s="41" t="n">
        <f aca="false">SUM(C6:C8)</f>
        <v>19</v>
      </c>
      <c r="D9" s="41" t="n">
        <f aca="false">SUM(D6:D8)</f>
        <v>11</v>
      </c>
      <c r="E9" s="41" t="n">
        <f aca="false">SUM(E6:E8)</f>
        <v>11</v>
      </c>
      <c r="F9" s="41" t="n">
        <f aca="false">SUM(F6:F8)</f>
        <v>9</v>
      </c>
      <c r="G9" s="41" t="n">
        <f aca="false">SUM(G6:G8)</f>
        <v>50</v>
      </c>
      <c r="H9" s="26" t="n">
        <f aca="false">SUM(H6:H8)</f>
        <v>2152433.65</v>
      </c>
      <c r="I9" s="26" t="n">
        <f aca="false">SUM(I6:I8)</f>
        <v>94281.8</v>
      </c>
    </row>
    <row r="11" customFormat="false" ht="15" hidden="false" customHeight="false" outlineLevel="0" collapsed="false">
      <c r="B11" s="4" t="s">
        <v>115</v>
      </c>
      <c r="G11" s="42" t="n">
        <f aca="false">G9/COUNTA(Register!$A$6:$A$1255)</f>
        <v>0.04</v>
      </c>
    </row>
    <row r="12" customFormat="false" ht="15" hidden="false" customHeight="false" outlineLevel="0" collapsed="false">
      <c r="B12" s="4" t="s">
        <v>116</v>
      </c>
    </row>
    <row r="13" customFormat="false" ht="15" hidden="false" customHeight="true" outlineLevel="0" collapsed="false">
      <c r="B13" s="27" t="s">
        <v>117</v>
      </c>
      <c r="C13" s="27"/>
      <c r="D13" s="27"/>
      <c r="E13" s="27"/>
      <c r="F13" s="27"/>
      <c r="G13" s="27"/>
      <c r="H13" s="27"/>
      <c r="I13" s="27"/>
    </row>
    <row r="14" customFormat="false" ht="15" hidden="false" customHeight="true" outlineLevel="0" collapsed="false">
      <c r="B14" s="27" t="s">
        <v>118</v>
      </c>
      <c r="C14" s="27"/>
      <c r="D14" s="27"/>
      <c r="E14" s="27"/>
      <c r="F14" s="27"/>
      <c r="G14" s="27"/>
      <c r="H14" s="27"/>
      <c r="I14" s="27"/>
    </row>
    <row r="15" customFormat="false" ht="15" hidden="false" customHeight="true" outlineLevel="0" collapsed="false">
      <c r="B15" s="27" t="s">
        <v>119</v>
      </c>
      <c r="C15" s="27"/>
      <c r="D15" s="27"/>
      <c r="E15" s="27"/>
      <c r="F15" s="27"/>
      <c r="G15" s="27"/>
      <c r="H15" s="27"/>
      <c r="I15" s="27"/>
    </row>
  </sheetData>
  <mergeCells count="5">
    <mergeCell ref="B1:I1"/>
    <mergeCell ref="B2:I2"/>
    <mergeCell ref="B13:I13"/>
    <mergeCell ref="B14:I14"/>
    <mergeCell ref="B15:I1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A94E"/>
    <pageSetUpPr fitToPage="tru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4"/>
    <col collapsed="false" customWidth="true" hidden="false" outlineLevel="0" max="3" min="3" style="0" width="18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"/>
      <c r="B1" s="2" t="s">
        <v>120</v>
      </c>
      <c r="C1" s="2"/>
      <c r="D1" s="2"/>
      <c r="E1" s="2"/>
      <c r="F1" s="2"/>
    </row>
    <row r="2" customFormat="false" ht="15" hidden="false" customHeight="false" outlineLevel="0" collapsed="false">
      <c r="B2" s="3" t="s">
        <v>121</v>
      </c>
      <c r="C2" s="3"/>
      <c r="D2" s="3"/>
      <c r="E2" s="3"/>
      <c r="F2" s="3"/>
    </row>
    <row r="5" customFormat="false" ht="30" hidden="false" customHeight="true" outlineLevel="0" collapsed="false">
      <c r="B5" s="19" t="s">
        <v>122</v>
      </c>
      <c r="C5" s="20" t="s">
        <v>123</v>
      </c>
      <c r="D5" s="20" t="s">
        <v>124</v>
      </c>
    </row>
    <row r="6" customFormat="false" ht="15" hidden="false" customHeight="false" outlineLevel="0" collapsed="false">
      <c r="B6" s="24" t="s">
        <v>125</v>
      </c>
      <c r="C6" s="21" t="n">
        <f aca="false">Exec_Summary!F25-Exec_Summary!D25-Exec_Summary!E25</f>
        <v>27542549.96</v>
      </c>
    </row>
    <row r="7" customFormat="false" ht="15" hidden="false" customHeight="false" outlineLevel="0" collapsed="false">
      <c r="B7" s="24" t="s">
        <v>126</v>
      </c>
      <c r="C7" s="21" t="n">
        <f aca="false">Exec_Summary!D25</f>
        <v>6427195.14</v>
      </c>
    </row>
    <row r="8" customFormat="false" ht="15" hidden="false" customHeight="false" outlineLevel="0" collapsed="false">
      <c r="B8" s="24" t="s">
        <v>127</v>
      </c>
      <c r="C8" s="21" t="n">
        <f aca="false">Exec_Summary!E25</f>
        <v>2305288.07</v>
      </c>
    </row>
    <row r="9" customFormat="false" ht="15" hidden="false" customHeight="false" outlineLevel="0" collapsed="false">
      <c r="B9" s="4" t="s">
        <v>128</v>
      </c>
      <c r="C9" s="26" t="n">
        <f aca="false">SUM(C6:C8)</f>
        <v>36275033.17</v>
      </c>
    </row>
    <row r="11" customFormat="false" ht="15" hidden="false" customHeight="false" outlineLevel="0" collapsed="false">
      <c r="B11" s="4" t="s">
        <v>129</v>
      </c>
      <c r="C11" s="43" t="n">
        <v>36423761</v>
      </c>
      <c r="D11" s="12" t="s">
        <v>130</v>
      </c>
    </row>
    <row r="12" customFormat="false" ht="15" hidden="false" customHeight="false" outlineLevel="0" collapsed="false">
      <c r="B12" s="4" t="s">
        <v>131</v>
      </c>
      <c r="C12" s="23" t="n">
        <f aca="false">C11-C9</f>
        <v>148727.829999998</v>
      </c>
    </row>
    <row r="14" customFormat="false" ht="15" hidden="false" customHeight="false" outlineLevel="0" collapsed="false">
      <c r="B14" s="4" t="s">
        <v>132</v>
      </c>
    </row>
    <row r="15" customFormat="false" ht="15" hidden="false" customHeight="false" outlineLevel="0" collapsed="false">
      <c r="B15" s="24" t="s">
        <v>133</v>
      </c>
      <c r="C15" s="43" t="n">
        <v>76178</v>
      </c>
    </row>
    <row r="16" customFormat="false" ht="15" hidden="false" customHeight="false" outlineLevel="0" collapsed="false">
      <c r="B16" s="24" t="s">
        <v>134</v>
      </c>
      <c r="C16" s="43" t="n">
        <v>47158</v>
      </c>
    </row>
    <row r="17" customFormat="false" ht="15" hidden="false" customHeight="false" outlineLevel="0" collapsed="false">
      <c r="B17" s="4" t="s">
        <v>135</v>
      </c>
      <c r="C17" s="44" t="n">
        <f aca="false">SUM(C15:C16)</f>
        <v>123336</v>
      </c>
    </row>
    <row r="18" customFormat="false" ht="15" hidden="false" customHeight="false" outlineLevel="0" collapsed="false">
      <c r="B18" s="4" t="s">
        <v>136</v>
      </c>
      <c r="C18" s="26" t="n">
        <f aca="false">C12-C17</f>
        <v>25391.8299999982</v>
      </c>
    </row>
    <row r="19" customFormat="false" ht="15" hidden="false" customHeight="false" outlineLevel="0" collapsed="false">
      <c r="B19" s="24" t="s">
        <v>137</v>
      </c>
      <c r="C19" s="45" t="n">
        <f aca="false">C18/C11</f>
        <v>0.0006971226831847</v>
      </c>
    </row>
    <row r="20" customFormat="false" ht="15" hidden="false" customHeight="false" outlineLevel="0" collapsed="false">
      <c r="B20" s="24" t="s">
        <v>138</v>
      </c>
      <c r="C20" s="46" t="n">
        <v>0.0015</v>
      </c>
    </row>
    <row r="21" customFormat="false" ht="15" hidden="false" customHeight="false" outlineLevel="0" collapsed="false">
      <c r="B21" s="4" t="s">
        <v>139</v>
      </c>
      <c r="C21" s="4" t="str">
        <f aca="false">IF(ABS(C19)&lt;=C20,"● Within tolerance","● Investigate")</f>
        <v>● Within tolerance</v>
      </c>
    </row>
  </sheetData>
  <mergeCells count="2">
    <mergeCell ref="B1:F1"/>
    <mergeCell ref="B2:F2"/>
  </mergeCells>
  <conditionalFormatting sqref="C21">
    <cfRule type="expression" priority="2" aboveAverage="0" equalAverage="0" bottom="0" percent="0" rank="0" text="" dxfId="2">
      <formula>ISNUMBER(SEARCH("Within",C21))</formula>
    </cfRule>
    <cfRule type="expression" priority="3" aboveAverage="0" equalAverage="0" bottom="0" percent="0" rank="0" text="" dxfId="4">
      <formula>ISNUMBER(SEARCH("Investigate",C21))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C8D"/>
    <pageSetUpPr fitToPage="true"/>
  </sheetPr>
  <dimension ref="A1:R12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5" min="13" style="0" width="16"/>
    <col collapsed="false" customWidth="true" hidden="false" outlineLevel="0" max="16" min="16" style="0" width="14"/>
    <col collapsed="false" customWidth="true" hidden="false" outlineLevel="0" max="17" min="17" style="0" width="10"/>
    <col collapsed="false" customWidth="true" hidden="false" outlineLevel="0" max="18" min="18" style="0" width="22"/>
  </cols>
  <sheetData>
    <row r="1" customFormat="false" ht="30" hidden="false" customHeight="true" outlineLevel="0" collapsed="false">
      <c r="A1" s="1"/>
      <c r="B1" s="2" t="s">
        <v>140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B2" s="3" t="s">
        <v>141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5" customFormat="false" ht="30" hidden="false" customHeight="true" outlineLevel="0" collapsed="false">
      <c r="A5" s="19" t="s">
        <v>142</v>
      </c>
      <c r="B5" s="20" t="s">
        <v>143</v>
      </c>
      <c r="C5" s="20" t="s">
        <v>144</v>
      </c>
      <c r="D5" s="20" t="s">
        <v>145</v>
      </c>
      <c r="E5" s="20" t="s">
        <v>98</v>
      </c>
      <c r="F5" s="20" t="s">
        <v>146</v>
      </c>
      <c r="G5" s="20" t="s">
        <v>147</v>
      </c>
      <c r="H5" s="20" t="s">
        <v>148</v>
      </c>
      <c r="I5" s="20" t="s">
        <v>149</v>
      </c>
      <c r="J5" s="20" t="s">
        <v>150</v>
      </c>
      <c r="K5" s="20" t="s">
        <v>26</v>
      </c>
      <c r="L5" s="20" t="s">
        <v>151</v>
      </c>
      <c r="M5" s="20" t="s">
        <v>152</v>
      </c>
      <c r="N5" s="20" t="s">
        <v>153</v>
      </c>
      <c r="O5" s="20" t="s">
        <v>154</v>
      </c>
      <c r="P5" s="20" t="s">
        <v>155</v>
      </c>
      <c r="Q5" s="20" t="s">
        <v>156</v>
      </c>
      <c r="R5" s="20" t="s">
        <v>157</v>
      </c>
    </row>
    <row r="6" customFormat="false" ht="15" hidden="false" customHeight="false" outlineLevel="0" collapsed="false">
      <c r="A6" s="47" t="s">
        <v>158</v>
      </c>
      <c r="B6" s="48" t="n">
        <v>45658</v>
      </c>
      <c r="C6" s="47" t="s">
        <v>159</v>
      </c>
      <c r="D6" s="47" t="s">
        <v>160</v>
      </c>
      <c r="E6" s="47" t="s">
        <v>100</v>
      </c>
      <c r="F6" s="47" t="s">
        <v>161</v>
      </c>
      <c r="G6" s="49" t="n">
        <v>31622.09</v>
      </c>
      <c r="H6" s="50" t="n">
        <v>0.05</v>
      </c>
      <c r="I6" s="47" t="s">
        <v>162</v>
      </c>
      <c r="J6" s="48" t="n">
        <v>45658</v>
      </c>
      <c r="K6" s="51" t="str">
        <f aca="false">"Q"&amp;ROUNDUP(MONTH(B6)/3,0)</f>
        <v>Q1</v>
      </c>
      <c r="L6" s="52" t="n">
        <f aca="false">ROUND(G6*H6,2)</f>
        <v>1581.1</v>
      </c>
      <c r="M6" s="52" t="n">
        <f aca="false">IF(AND(C6="Sales",F6="Standard-rated 5%"),L6,0)</f>
        <v>1581.1</v>
      </c>
      <c r="N6" s="52" t="n">
        <f aca="false">IF(F6="Reverse charge (imported services)",L6,0)</f>
        <v>0</v>
      </c>
      <c r="O6" s="52" t="n">
        <f aca="false">IF(C6&lt;&gt;"Purchase",0,IF(OR(I6="N",F6="Blocked input (entertainment)"),0,L6))</f>
        <v>0</v>
      </c>
      <c r="P6" s="52" t="n">
        <f aca="false">IF(C6&lt;&gt;"Purchase",0,L6-O6)</f>
        <v>0</v>
      </c>
      <c r="Q6" s="53" t="n">
        <f aca="false">J6-B6</f>
        <v>0</v>
      </c>
      <c r="R6" s="51" t="str">
        <f aca="false">IF(I6="N","Invalid / missing TRN",IF(F6="Blocked input (entertainment)","Blocked input",IF(Q6&gt;30,"Late posting (&gt;30d)","")))</f>
        <v/>
      </c>
    </row>
    <row r="7" customFormat="false" ht="15" hidden="false" customHeight="false" outlineLevel="0" collapsed="false">
      <c r="A7" s="47" t="s">
        <v>163</v>
      </c>
      <c r="B7" s="48" t="n">
        <v>45658</v>
      </c>
      <c r="C7" s="47" t="s">
        <v>159</v>
      </c>
      <c r="D7" s="47" t="s">
        <v>164</v>
      </c>
      <c r="E7" s="47" t="s">
        <v>100</v>
      </c>
      <c r="F7" s="47" t="s">
        <v>161</v>
      </c>
      <c r="G7" s="49" t="n">
        <v>65824.8</v>
      </c>
      <c r="H7" s="50" t="n">
        <v>0.05</v>
      </c>
      <c r="I7" s="47" t="s">
        <v>162</v>
      </c>
      <c r="J7" s="48" t="n">
        <v>45658</v>
      </c>
      <c r="K7" s="51" t="str">
        <f aca="false">"Q"&amp;ROUNDUP(MONTH(B7)/3,0)</f>
        <v>Q1</v>
      </c>
      <c r="L7" s="52" t="n">
        <f aca="false">ROUND(G7*H7,2)</f>
        <v>3291.24</v>
      </c>
      <c r="M7" s="52" t="n">
        <f aca="false">IF(AND(C7="Sales",F7="Standard-rated 5%"),L7,0)</f>
        <v>3291.24</v>
      </c>
      <c r="N7" s="52" t="n">
        <f aca="false">IF(F7="Reverse charge (imported services)",L7,0)</f>
        <v>0</v>
      </c>
      <c r="O7" s="52" t="n">
        <f aca="false">IF(C7&lt;&gt;"Purchase",0,IF(OR(I7="N",F7="Blocked input (entertainment)"),0,L7))</f>
        <v>0</v>
      </c>
      <c r="P7" s="52" t="n">
        <f aca="false">IF(C7&lt;&gt;"Purchase",0,L7-O7)</f>
        <v>0</v>
      </c>
      <c r="Q7" s="53" t="n">
        <f aca="false">J7-B7</f>
        <v>0</v>
      </c>
      <c r="R7" s="51" t="str">
        <f aca="false">IF(I7="N","Invalid / missing TRN",IF(F7="Blocked input (entertainment)","Blocked input",IF(Q7&gt;30,"Late posting (&gt;30d)","")))</f>
        <v/>
      </c>
    </row>
    <row r="8" customFormat="false" ht="15" hidden="false" customHeight="false" outlineLevel="0" collapsed="false">
      <c r="A8" s="47" t="s">
        <v>165</v>
      </c>
      <c r="B8" s="48" t="n">
        <v>45659</v>
      </c>
      <c r="C8" s="47" t="s">
        <v>166</v>
      </c>
      <c r="D8" s="47" t="s">
        <v>167</v>
      </c>
      <c r="E8" s="47" t="s">
        <v>100</v>
      </c>
      <c r="F8" s="47" t="s">
        <v>161</v>
      </c>
      <c r="G8" s="49" t="n">
        <v>10519.94</v>
      </c>
      <c r="H8" s="50" t="n">
        <v>0.05</v>
      </c>
      <c r="I8" s="47" t="s">
        <v>162</v>
      </c>
      <c r="J8" s="48" t="n">
        <v>45659</v>
      </c>
      <c r="K8" s="51" t="str">
        <f aca="false">"Q"&amp;ROUNDUP(MONTH(B8)/3,0)</f>
        <v>Q1</v>
      </c>
      <c r="L8" s="52" t="n">
        <f aca="false">ROUND(G8*H8,2)</f>
        <v>526</v>
      </c>
      <c r="M8" s="52" t="n">
        <f aca="false">IF(AND(C8="Sales",F8="Standard-rated 5%"),L8,0)</f>
        <v>0</v>
      </c>
      <c r="N8" s="52" t="n">
        <f aca="false">IF(F8="Reverse charge (imported services)",L8,0)</f>
        <v>0</v>
      </c>
      <c r="O8" s="52" t="n">
        <f aca="false">IF(C8&lt;&gt;"Purchase",0,IF(OR(I8="N",F8="Blocked input (entertainment)"),0,L8))</f>
        <v>526</v>
      </c>
      <c r="P8" s="52" t="n">
        <f aca="false">IF(C8&lt;&gt;"Purchase",0,L8-O8)</f>
        <v>0</v>
      </c>
      <c r="Q8" s="53" t="n">
        <f aca="false">J8-B8</f>
        <v>0</v>
      </c>
      <c r="R8" s="51" t="str">
        <f aca="false">IF(I8="N","Invalid / missing TRN",IF(F8="Blocked input (entertainment)","Blocked input",IF(Q8&gt;30,"Late posting (&gt;30d)","")))</f>
        <v/>
      </c>
    </row>
    <row r="9" customFormat="false" ht="15" hidden="false" customHeight="false" outlineLevel="0" collapsed="false">
      <c r="A9" s="47" t="s">
        <v>168</v>
      </c>
      <c r="B9" s="48" t="n">
        <v>45660</v>
      </c>
      <c r="C9" s="47" t="s">
        <v>166</v>
      </c>
      <c r="D9" s="47" t="s">
        <v>167</v>
      </c>
      <c r="E9" s="47" t="s">
        <v>100</v>
      </c>
      <c r="F9" s="47" t="s">
        <v>161</v>
      </c>
      <c r="G9" s="49" t="n">
        <v>18109.3</v>
      </c>
      <c r="H9" s="50" t="n">
        <v>0.05</v>
      </c>
      <c r="I9" s="47" t="s">
        <v>162</v>
      </c>
      <c r="J9" s="48" t="n">
        <v>45660</v>
      </c>
      <c r="K9" s="51" t="str">
        <f aca="false">"Q"&amp;ROUNDUP(MONTH(B9)/3,0)</f>
        <v>Q1</v>
      </c>
      <c r="L9" s="52" t="n">
        <f aca="false">ROUND(G9*H9,2)</f>
        <v>905.47</v>
      </c>
      <c r="M9" s="52" t="n">
        <f aca="false">IF(AND(C9="Sales",F9="Standard-rated 5%"),L9,0)</f>
        <v>0</v>
      </c>
      <c r="N9" s="52" t="n">
        <f aca="false">IF(F9="Reverse charge (imported services)",L9,0)</f>
        <v>0</v>
      </c>
      <c r="O9" s="52" t="n">
        <f aca="false">IF(C9&lt;&gt;"Purchase",0,IF(OR(I9="N",F9="Blocked input (entertainment)"),0,L9))</f>
        <v>905.47</v>
      </c>
      <c r="P9" s="52" t="n">
        <f aca="false">IF(C9&lt;&gt;"Purchase",0,L9-O9)</f>
        <v>0</v>
      </c>
      <c r="Q9" s="53" t="n">
        <f aca="false">J9-B9</f>
        <v>0</v>
      </c>
      <c r="R9" s="51" t="str">
        <f aca="false">IF(I9="N","Invalid / missing TRN",IF(F9="Blocked input (entertainment)","Blocked input",IF(Q9&gt;30,"Late posting (&gt;30d)","")))</f>
        <v/>
      </c>
    </row>
    <row r="10" customFormat="false" ht="15" hidden="false" customHeight="false" outlineLevel="0" collapsed="false">
      <c r="A10" s="47" t="s">
        <v>169</v>
      </c>
      <c r="B10" s="48" t="n">
        <v>45660</v>
      </c>
      <c r="C10" s="47" t="s">
        <v>166</v>
      </c>
      <c r="D10" s="47" t="s">
        <v>167</v>
      </c>
      <c r="E10" s="47" t="s">
        <v>102</v>
      </c>
      <c r="F10" s="47" t="s">
        <v>170</v>
      </c>
      <c r="G10" s="49" t="n">
        <v>11298.13</v>
      </c>
      <c r="H10" s="50" t="n">
        <v>0.05</v>
      </c>
      <c r="I10" s="47" t="s">
        <v>162</v>
      </c>
      <c r="J10" s="48" t="n">
        <v>45660</v>
      </c>
      <c r="K10" s="51" t="str">
        <f aca="false">"Q"&amp;ROUNDUP(MONTH(B10)/3,0)</f>
        <v>Q1</v>
      </c>
      <c r="L10" s="52" t="n">
        <f aca="false">ROUND(G10*H10,2)</f>
        <v>564.91</v>
      </c>
      <c r="M10" s="52" t="n">
        <f aca="false">IF(AND(C10="Sales",F10="Standard-rated 5%"),L10,0)</f>
        <v>0</v>
      </c>
      <c r="N10" s="52" t="n">
        <f aca="false">IF(F10="Reverse charge (imported services)",L10,0)</f>
        <v>0</v>
      </c>
      <c r="O10" s="52" t="n">
        <f aca="false">IF(C10&lt;&gt;"Purchase",0,IF(OR(I10="N",F10="Blocked input (entertainment)"),0,L10))</f>
        <v>0</v>
      </c>
      <c r="P10" s="52" t="n">
        <f aca="false">IF(C10&lt;&gt;"Purchase",0,L10-O10)</f>
        <v>564.91</v>
      </c>
      <c r="Q10" s="53" t="n">
        <f aca="false">J10-B10</f>
        <v>0</v>
      </c>
      <c r="R10" s="51" t="str">
        <f aca="false">IF(I10="N","Invalid / missing TRN",IF(F10="Blocked input (entertainment)","Blocked input",IF(Q10&gt;30,"Late posting (&gt;30d)","")))</f>
        <v>Blocked input</v>
      </c>
    </row>
    <row r="11" customFormat="false" ht="15" hidden="false" customHeight="false" outlineLevel="0" collapsed="false">
      <c r="A11" s="47" t="s">
        <v>171</v>
      </c>
      <c r="B11" s="48" t="n">
        <v>45660</v>
      </c>
      <c r="C11" s="47" t="s">
        <v>166</v>
      </c>
      <c r="D11" s="47" t="s">
        <v>172</v>
      </c>
      <c r="E11" s="47" t="s">
        <v>101</v>
      </c>
      <c r="F11" s="47" t="s">
        <v>173</v>
      </c>
      <c r="G11" s="49" t="n">
        <v>11049.53</v>
      </c>
      <c r="H11" s="50" t="n">
        <v>0.05</v>
      </c>
      <c r="I11" s="47" t="s">
        <v>162</v>
      </c>
      <c r="J11" s="48" t="n">
        <v>45660</v>
      </c>
      <c r="K11" s="51" t="str">
        <f aca="false">"Q"&amp;ROUNDUP(MONTH(B11)/3,0)</f>
        <v>Q1</v>
      </c>
      <c r="L11" s="52" t="n">
        <f aca="false">ROUND(G11*H11,2)</f>
        <v>552.48</v>
      </c>
      <c r="M11" s="52" t="n">
        <f aca="false">IF(AND(C11="Sales",F11="Standard-rated 5%"),L11,0)</f>
        <v>0</v>
      </c>
      <c r="N11" s="52" t="n">
        <f aca="false">IF(F11="Reverse charge (imported services)",L11,0)</f>
        <v>552.48</v>
      </c>
      <c r="O11" s="52" t="n">
        <f aca="false">IF(C11&lt;&gt;"Purchase",0,IF(OR(I11="N",F11="Blocked input (entertainment)"),0,L11))</f>
        <v>552.48</v>
      </c>
      <c r="P11" s="52" t="n">
        <f aca="false">IF(C11&lt;&gt;"Purchase",0,L11-O11)</f>
        <v>0</v>
      </c>
      <c r="Q11" s="53" t="n">
        <f aca="false">J11-B11</f>
        <v>0</v>
      </c>
      <c r="R11" s="51" t="str">
        <f aca="false">IF(I11="N","Invalid / missing TRN",IF(F11="Blocked input (entertainment)","Blocked input",IF(Q11&gt;30,"Late posting (&gt;30d)","")))</f>
        <v/>
      </c>
    </row>
    <row r="12" customFormat="false" ht="15" hidden="false" customHeight="false" outlineLevel="0" collapsed="false">
      <c r="A12" s="47" t="s">
        <v>174</v>
      </c>
      <c r="B12" s="48" t="n">
        <v>45660</v>
      </c>
      <c r="C12" s="47" t="s">
        <v>159</v>
      </c>
      <c r="D12" s="47" t="s">
        <v>175</v>
      </c>
      <c r="E12" s="47" t="s">
        <v>100</v>
      </c>
      <c r="F12" s="47" t="s">
        <v>161</v>
      </c>
      <c r="G12" s="49" t="n">
        <v>22251.01</v>
      </c>
      <c r="H12" s="50" t="n">
        <v>0.05</v>
      </c>
      <c r="I12" s="47" t="s">
        <v>162</v>
      </c>
      <c r="J12" s="48" t="n">
        <v>45660</v>
      </c>
      <c r="K12" s="51" t="str">
        <f aca="false">"Q"&amp;ROUNDUP(MONTH(B12)/3,0)</f>
        <v>Q1</v>
      </c>
      <c r="L12" s="52" t="n">
        <f aca="false">ROUND(G12*H12,2)</f>
        <v>1112.55</v>
      </c>
      <c r="M12" s="52" t="n">
        <f aca="false">IF(AND(C12="Sales",F12="Standard-rated 5%"),L12,0)</f>
        <v>1112.55</v>
      </c>
      <c r="N12" s="52" t="n">
        <f aca="false">IF(F12="Reverse charge (imported services)",L12,0)</f>
        <v>0</v>
      </c>
      <c r="O12" s="52" t="n">
        <f aca="false">IF(C12&lt;&gt;"Purchase",0,IF(OR(I12="N",F12="Blocked input (entertainment)"),0,L12))</f>
        <v>0</v>
      </c>
      <c r="P12" s="52" t="n">
        <f aca="false">IF(C12&lt;&gt;"Purchase",0,L12-O12)</f>
        <v>0</v>
      </c>
      <c r="Q12" s="53" t="n">
        <f aca="false">J12-B12</f>
        <v>0</v>
      </c>
      <c r="R12" s="51" t="str">
        <f aca="false">IF(I12="N","Invalid / missing TRN",IF(F12="Blocked input (entertainment)","Blocked input",IF(Q12&gt;30,"Late posting (&gt;30d)","")))</f>
        <v/>
      </c>
    </row>
    <row r="13" customFormat="false" ht="15" hidden="false" customHeight="false" outlineLevel="0" collapsed="false">
      <c r="A13" s="47" t="s">
        <v>176</v>
      </c>
      <c r="B13" s="48" t="n">
        <v>45661</v>
      </c>
      <c r="C13" s="47" t="s">
        <v>159</v>
      </c>
      <c r="D13" s="47" t="s">
        <v>177</v>
      </c>
      <c r="E13" s="47" t="s">
        <v>101</v>
      </c>
      <c r="F13" s="47" t="s">
        <v>161</v>
      </c>
      <c r="G13" s="49" t="n">
        <v>158101.16</v>
      </c>
      <c r="H13" s="50" t="n">
        <v>0.05</v>
      </c>
      <c r="I13" s="47" t="s">
        <v>162</v>
      </c>
      <c r="J13" s="48" t="n">
        <v>45701</v>
      </c>
      <c r="K13" s="51" t="str">
        <f aca="false">"Q"&amp;ROUNDUP(MONTH(B13)/3,0)</f>
        <v>Q1</v>
      </c>
      <c r="L13" s="52" t="n">
        <f aca="false">ROUND(G13*H13,2)</f>
        <v>7905.06</v>
      </c>
      <c r="M13" s="52" t="n">
        <f aca="false">IF(AND(C13="Sales",F13="Standard-rated 5%"),L13,0)</f>
        <v>7905.06</v>
      </c>
      <c r="N13" s="52" t="n">
        <f aca="false">IF(F13="Reverse charge (imported services)",L13,0)</f>
        <v>0</v>
      </c>
      <c r="O13" s="52" t="n">
        <f aca="false">IF(C13&lt;&gt;"Purchase",0,IF(OR(I13="N",F13="Blocked input (entertainment)"),0,L13))</f>
        <v>0</v>
      </c>
      <c r="P13" s="52" t="n">
        <f aca="false">IF(C13&lt;&gt;"Purchase",0,L13-O13)</f>
        <v>0</v>
      </c>
      <c r="Q13" s="53" t="n">
        <f aca="false">J13-B13</f>
        <v>40</v>
      </c>
      <c r="R13" s="51" t="str">
        <f aca="false">IF(I13="N","Invalid / missing TRN",IF(F13="Blocked input (entertainment)","Blocked input",IF(Q13&gt;30,"Late posting (&gt;30d)","")))</f>
        <v>Late posting (&gt;30d)</v>
      </c>
    </row>
    <row r="14" customFormat="false" ht="15" hidden="false" customHeight="false" outlineLevel="0" collapsed="false">
      <c r="A14" s="47" t="s">
        <v>178</v>
      </c>
      <c r="B14" s="48" t="n">
        <v>45661</v>
      </c>
      <c r="C14" s="47" t="s">
        <v>159</v>
      </c>
      <c r="D14" s="47" t="s">
        <v>179</v>
      </c>
      <c r="E14" s="47" t="s">
        <v>101</v>
      </c>
      <c r="F14" s="47" t="s">
        <v>161</v>
      </c>
      <c r="G14" s="49" t="n">
        <v>24165.13</v>
      </c>
      <c r="H14" s="50" t="n">
        <v>0.05</v>
      </c>
      <c r="I14" s="47" t="s">
        <v>162</v>
      </c>
      <c r="J14" s="48" t="n">
        <v>45663</v>
      </c>
      <c r="K14" s="51" t="str">
        <f aca="false">"Q"&amp;ROUNDUP(MONTH(B14)/3,0)</f>
        <v>Q1</v>
      </c>
      <c r="L14" s="52" t="n">
        <f aca="false">ROUND(G14*H14,2)</f>
        <v>1208.26</v>
      </c>
      <c r="M14" s="52" t="n">
        <f aca="false">IF(AND(C14="Sales",F14="Standard-rated 5%"),L14,0)</f>
        <v>1208.26</v>
      </c>
      <c r="N14" s="52" t="n">
        <f aca="false">IF(F14="Reverse charge (imported services)",L14,0)</f>
        <v>0</v>
      </c>
      <c r="O14" s="52" t="n">
        <f aca="false">IF(C14&lt;&gt;"Purchase",0,IF(OR(I14="N",F14="Blocked input (entertainment)"),0,L14))</f>
        <v>0</v>
      </c>
      <c r="P14" s="52" t="n">
        <f aca="false">IF(C14&lt;&gt;"Purchase",0,L14-O14)</f>
        <v>0</v>
      </c>
      <c r="Q14" s="53" t="n">
        <f aca="false">J14-B14</f>
        <v>2</v>
      </c>
      <c r="R14" s="51" t="str">
        <f aca="false">IF(I14="N","Invalid / missing TRN",IF(F14="Blocked input (entertainment)","Blocked input",IF(Q14&gt;30,"Late posting (&gt;30d)","")))</f>
        <v/>
      </c>
    </row>
    <row r="15" customFormat="false" ht="15" hidden="false" customHeight="false" outlineLevel="0" collapsed="false">
      <c r="A15" s="47" t="s">
        <v>180</v>
      </c>
      <c r="B15" s="48" t="n">
        <v>45662</v>
      </c>
      <c r="C15" s="47" t="s">
        <v>166</v>
      </c>
      <c r="D15" s="47" t="s">
        <v>181</v>
      </c>
      <c r="E15" s="47" t="s">
        <v>106</v>
      </c>
      <c r="F15" s="47" t="s">
        <v>161</v>
      </c>
      <c r="G15" s="49" t="n">
        <v>48577.89</v>
      </c>
      <c r="H15" s="50" t="n">
        <v>0.05</v>
      </c>
      <c r="I15" s="47" t="s">
        <v>162</v>
      </c>
      <c r="J15" s="48" t="n">
        <v>45662</v>
      </c>
      <c r="K15" s="51" t="str">
        <f aca="false">"Q"&amp;ROUNDUP(MONTH(B15)/3,0)</f>
        <v>Q1</v>
      </c>
      <c r="L15" s="52" t="n">
        <f aca="false">ROUND(G15*H15,2)</f>
        <v>2428.89</v>
      </c>
      <c r="M15" s="52" t="n">
        <f aca="false">IF(AND(C15="Sales",F15="Standard-rated 5%"),L15,0)</f>
        <v>0</v>
      </c>
      <c r="N15" s="52" t="n">
        <f aca="false">IF(F15="Reverse charge (imported services)",L15,0)</f>
        <v>0</v>
      </c>
      <c r="O15" s="52" t="n">
        <f aca="false">IF(C15&lt;&gt;"Purchase",0,IF(OR(I15="N",F15="Blocked input (entertainment)"),0,L15))</f>
        <v>2428.89</v>
      </c>
      <c r="P15" s="52" t="n">
        <f aca="false">IF(C15&lt;&gt;"Purchase",0,L15-O15)</f>
        <v>0</v>
      </c>
      <c r="Q15" s="53" t="n">
        <f aca="false">J15-B15</f>
        <v>0</v>
      </c>
      <c r="R15" s="51" t="str">
        <f aca="false">IF(I15="N","Invalid / missing TRN",IF(F15="Blocked input (entertainment)","Blocked input",IF(Q15&gt;30,"Late posting (&gt;30d)","")))</f>
        <v/>
      </c>
    </row>
    <row r="16" customFormat="false" ht="15" hidden="false" customHeight="false" outlineLevel="0" collapsed="false">
      <c r="A16" s="47" t="s">
        <v>182</v>
      </c>
      <c r="B16" s="48" t="n">
        <v>45662</v>
      </c>
      <c r="C16" s="47" t="s">
        <v>159</v>
      </c>
      <c r="D16" s="47" t="s">
        <v>177</v>
      </c>
      <c r="E16" s="47" t="s">
        <v>101</v>
      </c>
      <c r="F16" s="47" t="s">
        <v>161</v>
      </c>
      <c r="G16" s="49" t="n">
        <v>51783.1</v>
      </c>
      <c r="H16" s="50" t="n">
        <v>0.05</v>
      </c>
      <c r="I16" s="47" t="s">
        <v>162</v>
      </c>
      <c r="J16" s="48" t="n">
        <v>45662</v>
      </c>
      <c r="K16" s="51" t="str">
        <f aca="false">"Q"&amp;ROUNDUP(MONTH(B16)/3,0)</f>
        <v>Q1</v>
      </c>
      <c r="L16" s="52" t="n">
        <f aca="false">ROUND(G16*H16,2)</f>
        <v>2589.16</v>
      </c>
      <c r="M16" s="52" t="n">
        <f aca="false">IF(AND(C16="Sales",F16="Standard-rated 5%"),L16,0)</f>
        <v>2589.16</v>
      </c>
      <c r="N16" s="52" t="n">
        <f aca="false">IF(F16="Reverse charge (imported services)",L16,0)</f>
        <v>0</v>
      </c>
      <c r="O16" s="52" t="n">
        <f aca="false">IF(C16&lt;&gt;"Purchase",0,IF(OR(I16="N",F16="Blocked input (entertainment)"),0,L16))</f>
        <v>0</v>
      </c>
      <c r="P16" s="52" t="n">
        <f aca="false">IF(C16&lt;&gt;"Purchase",0,L16-O16)</f>
        <v>0</v>
      </c>
      <c r="Q16" s="53" t="n">
        <f aca="false">J16-B16</f>
        <v>0</v>
      </c>
      <c r="R16" s="51" t="str">
        <f aca="false">IF(I16="N","Invalid / missing TRN",IF(F16="Blocked input (entertainment)","Blocked input",IF(Q16&gt;30,"Late posting (&gt;30d)","")))</f>
        <v/>
      </c>
    </row>
    <row r="17" customFormat="false" ht="15" hidden="false" customHeight="false" outlineLevel="0" collapsed="false">
      <c r="A17" s="47" t="s">
        <v>183</v>
      </c>
      <c r="B17" s="48" t="n">
        <v>45663</v>
      </c>
      <c r="C17" s="47" t="s">
        <v>166</v>
      </c>
      <c r="D17" s="47" t="s">
        <v>184</v>
      </c>
      <c r="E17" s="47" t="s">
        <v>105</v>
      </c>
      <c r="F17" s="47" t="s">
        <v>161</v>
      </c>
      <c r="G17" s="49" t="n">
        <v>7359.07</v>
      </c>
      <c r="H17" s="50" t="n">
        <v>0.05</v>
      </c>
      <c r="I17" s="47" t="s">
        <v>162</v>
      </c>
      <c r="J17" s="48" t="n">
        <v>45663</v>
      </c>
      <c r="K17" s="51" t="str">
        <f aca="false">"Q"&amp;ROUNDUP(MONTH(B17)/3,0)</f>
        <v>Q1</v>
      </c>
      <c r="L17" s="52" t="n">
        <f aca="false">ROUND(G17*H17,2)</f>
        <v>367.95</v>
      </c>
      <c r="M17" s="52" t="n">
        <f aca="false">IF(AND(C17="Sales",F17="Standard-rated 5%"),L17,0)</f>
        <v>0</v>
      </c>
      <c r="N17" s="52" t="n">
        <f aca="false">IF(F17="Reverse charge (imported services)",L17,0)</f>
        <v>0</v>
      </c>
      <c r="O17" s="52" t="n">
        <f aca="false">IF(C17&lt;&gt;"Purchase",0,IF(OR(I17="N",F17="Blocked input (entertainment)"),0,L17))</f>
        <v>367.95</v>
      </c>
      <c r="P17" s="52" t="n">
        <f aca="false">IF(C17&lt;&gt;"Purchase",0,L17-O17)</f>
        <v>0</v>
      </c>
      <c r="Q17" s="53" t="n">
        <f aca="false">J17-B17</f>
        <v>0</v>
      </c>
      <c r="R17" s="51" t="str">
        <f aca="false">IF(I17="N","Invalid / missing TRN",IF(F17="Blocked input (entertainment)","Blocked input",IF(Q17&gt;30,"Late posting (&gt;30d)","")))</f>
        <v/>
      </c>
    </row>
    <row r="18" customFormat="false" ht="15" hidden="false" customHeight="false" outlineLevel="0" collapsed="false">
      <c r="A18" s="47" t="s">
        <v>185</v>
      </c>
      <c r="B18" s="48" t="n">
        <v>45663</v>
      </c>
      <c r="C18" s="47" t="s">
        <v>159</v>
      </c>
      <c r="D18" s="47" t="s">
        <v>186</v>
      </c>
      <c r="E18" s="47" t="s">
        <v>101</v>
      </c>
      <c r="F18" s="47" t="s">
        <v>161</v>
      </c>
      <c r="G18" s="49" t="n">
        <v>9882.4</v>
      </c>
      <c r="H18" s="50" t="n">
        <v>0.05</v>
      </c>
      <c r="I18" s="47" t="s">
        <v>162</v>
      </c>
      <c r="J18" s="48" t="n">
        <v>45663</v>
      </c>
      <c r="K18" s="51" t="str">
        <f aca="false">"Q"&amp;ROUNDUP(MONTH(B18)/3,0)</f>
        <v>Q1</v>
      </c>
      <c r="L18" s="52" t="n">
        <f aca="false">ROUND(G18*H18,2)</f>
        <v>494.12</v>
      </c>
      <c r="M18" s="52" t="n">
        <f aca="false">IF(AND(C18="Sales",F18="Standard-rated 5%"),L18,0)</f>
        <v>494.12</v>
      </c>
      <c r="N18" s="52" t="n">
        <f aca="false">IF(F18="Reverse charge (imported services)",L18,0)</f>
        <v>0</v>
      </c>
      <c r="O18" s="52" t="n">
        <f aca="false">IF(C18&lt;&gt;"Purchase",0,IF(OR(I18="N",F18="Blocked input (entertainment)"),0,L18))</f>
        <v>0</v>
      </c>
      <c r="P18" s="52" t="n">
        <f aca="false">IF(C18&lt;&gt;"Purchase",0,L18-O18)</f>
        <v>0</v>
      </c>
      <c r="Q18" s="53" t="n">
        <f aca="false">J18-B18</f>
        <v>0</v>
      </c>
      <c r="R18" s="51" t="str">
        <f aca="false">IF(I18="N","Invalid / missing TRN",IF(F18="Blocked input (entertainment)","Blocked input",IF(Q18&gt;30,"Late posting (&gt;30d)","")))</f>
        <v/>
      </c>
    </row>
    <row r="19" customFormat="false" ht="15" hidden="false" customHeight="false" outlineLevel="0" collapsed="false">
      <c r="A19" s="47" t="s">
        <v>187</v>
      </c>
      <c r="B19" s="48" t="n">
        <v>45664</v>
      </c>
      <c r="C19" s="47" t="s">
        <v>166</v>
      </c>
      <c r="D19" s="47" t="s">
        <v>188</v>
      </c>
      <c r="E19" s="47" t="s">
        <v>100</v>
      </c>
      <c r="F19" s="47" t="s">
        <v>161</v>
      </c>
      <c r="G19" s="49" t="n">
        <v>20826.48</v>
      </c>
      <c r="H19" s="50" t="n">
        <v>0.05</v>
      </c>
      <c r="I19" s="47" t="s">
        <v>162</v>
      </c>
      <c r="J19" s="48" t="n">
        <v>45664</v>
      </c>
      <c r="K19" s="51" t="str">
        <f aca="false">"Q"&amp;ROUNDUP(MONTH(B19)/3,0)</f>
        <v>Q1</v>
      </c>
      <c r="L19" s="52" t="n">
        <f aca="false">ROUND(G19*H19,2)</f>
        <v>1041.32</v>
      </c>
      <c r="M19" s="52" t="n">
        <f aca="false">IF(AND(C19="Sales",F19="Standard-rated 5%"),L19,0)</f>
        <v>0</v>
      </c>
      <c r="N19" s="52" t="n">
        <f aca="false">IF(F19="Reverse charge (imported services)",L19,0)</f>
        <v>0</v>
      </c>
      <c r="O19" s="52" t="n">
        <f aca="false">IF(C19&lt;&gt;"Purchase",0,IF(OR(I19="N",F19="Blocked input (entertainment)"),0,L19))</f>
        <v>1041.32</v>
      </c>
      <c r="P19" s="52" t="n">
        <f aca="false">IF(C19&lt;&gt;"Purchase",0,L19-O19)</f>
        <v>0</v>
      </c>
      <c r="Q19" s="53" t="n">
        <f aca="false">J19-B19</f>
        <v>0</v>
      </c>
      <c r="R19" s="51" t="str">
        <f aca="false">IF(I19="N","Invalid / missing TRN",IF(F19="Blocked input (entertainment)","Blocked input",IF(Q19&gt;30,"Late posting (&gt;30d)","")))</f>
        <v/>
      </c>
    </row>
    <row r="20" customFormat="false" ht="15" hidden="false" customHeight="false" outlineLevel="0" collapsed="false">
      <c r="A20" s="47" t="s">
        <v>189</v>
      </c>
      <c r="B20" s="48" t="n">
        <v>45664</v>
      </c>
      <c r="C20" s="47" t="s">
        <v>166</v>
      </c>
      <c r="D20" s="47" t="s">
        <v>190</v>
      </c>
      <c r="E20" s="47" t="s">
        <v>100</v>
      </c>
      <c r="F20" s="47" t="s">
        <v>161</v>
      </c>
      <c r="G20" s="49" t="n">
        <v>61658.92</v>
      </c>
      <c r="H20" s="50" t="n">
        <v>0.05</v>
      </c>
      <c r="I20" s="47" t="s">
        <v>162</v>
      </c>
      <c r="J20" s="48" t="n">
        <v>45664</v>
      </c>
      <c r="K20" s="51" t="str">
        <f aca="false">"Q"&amp;ROUNDUP(MONTH(B20)/3,0)</f>
        <v>Q1</v>
      </c>
      <c r="L20" s="52" t="n">
        <f aca="false">ROUND(G20*H20,2)</f>
        <v>3082.95</v>
      </c>
      <c r="M20" s="52" t="n">
        <f aca="false">IF(AND(C20="Sales",F20="Standard-rated 5%"),L20,0)</f>
        <v>0</v>
      </c>
      <c r="N20" s="52" t="n">
        <f aca="false">IF(F20="Reverse charge (imported services)",L20,0)</f>
        <v>0</v>
      </c>
      <c r="O20" s="52" t="n">
        <f aca="false">IF(C20&lt;&gt;"Purchase",0,IF(OR(I20="N",F20="Blocked input (entertainment)"),0,L20))</f>
        <v>3082.95</v>
      </c>
      <c r="P20" s="52" t="n">
        <f aca="false">IF(C20&lt;&gt;"Purchase",0,L20-O20)</f>
        <v>0</v>
      </c>
      <c r="Q20" s="53" t="n">
        <f aca="false">J20-B20</f>
        <v>0</v>
      </c>
      <c r="R20" s="51" t="str">
        <f aca="false">IF(I20="N","Invalid / missing TRN",IF(F20="Blocked input (entertainment)","Blocked input",IF(Q20&gt;30,"Late posting (&gt;30d)","")))</f>
        <v/>
      </c>
    </row>
    <row r="21" customFormat="false" ht="15" hidden="false" customHeight="false" outlineLevel="0" collapsed="false">
      <c r="A21" s="47" t="s">
        <v>191</v>
      </c>
      <c r="B21" s="48" t="n">
        <v>45664</v>
      </c>
      <c r="C21" s="47" t="s">
        <v>166</v>
      </c>
      <c r="D21" s="47" t="s">
        <v>192</v>
      </c>
      <c r="E21" s="47" t="s">
        <v>100</v>
      </c>
      <c r="F21" s="47" t="s">
        <v>173</v>
      </c>
      <c r="G21" s="49" t="n">
        <v>16660.97</v>
      </c>
      <c r="H21" s="50" t="n">
        <v>0.05</v>
      </c>
      <c r="I21" s="47" t="s">
        <v>162</v>
      </c>
      <c r="J21" s="48" t="n">
        <v>45664</v>
      </c>
      <c r="K21" s="51" t="str">
        <f aca="false">"Q"&amp;ROUNDUP(MONTH(B21)/3,0)</f>
        <v>Q1</v>
      </c>
      <c r="L21" s="52" t="n">
        <f aca="false">ROUND(G21*H21,2)</f>
        <v>833.05</v>
      </c>
      <c r="M21" s="52" t="n">
        <f aca="false">IF(AND(C21="Sales",F21="Standard-rated 5%"),L21,0)</f>
        <v>0</v>
      </c>
      <c r="N21" s="52" t="n">
        <f aca="false">IF(F21="Reverse charge (imported services)",L21,0)</f>
        <v>833.05</v>
      </c>
      <c r="O21" s="52" t="n">
        <f aca="false">IF(C21&lt;&gt;"Purchase",0,IF(OR(I21="N",F21="Blocked input (entertainment)"),0,L21))</f>
        <v>833.05</v>
      </c>
      <c r="P21" s="52" t="n">
        <f aca="false">IF(C21&lt;&gt;"Purchase",0,L21-O21)</f>
        <v>0</v>
      </c>
      <c r="Q21" s="53" t="n">
        <f aca="false">J21-B21</f>
        <v>0</v>
      </c>
      <c r="R21" s="51" t="str">
        <f aca="false">IF(I21="N","Invalid / missing TRN",IF(F21="Blocked input (entertainment)","Blocked input",IF(Q21&gt;30,"Late posting (&gt;30d)","")))</f>
        <v/>
      </c>
    </row>
    <row r="22" customFormat="false" ht="15" hidden="false" customHeight="false" outlineLevel="0" collapsed="false">
      <c r="A22" s="47" t="s">
        <v>193</v>
      </c>
      <c r="B22" s="48" t="n">
        <v>45664</v>
      </c>
      <c r="C22" s="47" t="s">
        <v>166</v>
      </c>
      <c r="D22" s="47" t="s">
        <v>194</v>
      </c>
      <c r="E22" s="47" t="s">
        <v>101</v>
      </c>
      <c r="F22" s="47" t="s">
        <v>161</v>
      </c>
      <c r="G22" s="49" t="n">
        <v>45660.78</v>
      </c>
      <c r="H22" s="50" t="n">
        <v>0.05</v>
      </c>
      <c r="I22" s="47" t="s">
        <v>162</v>
      </c>
      <c r="J22" s="48" t="n">
        <v>45664</v>
      </c>
      <c r="K22" s="51" t="str">
        <f aca="false">"Q"&amp;ROUNDUP(MONTH(B22)/3,0)</f>
        <v>Q1</v>
      </c>
      <c r="L22" s="52" t="n">
        <f aca="false">ROUND(G22*H22,2)</f>
        <v>2283.04</v>
      </c>
      <c r="M22" s="52" t="n">
        <f aca="false">IF(AND(C22="Sales",F22="Standard-rated 5%"),L22,0)</f>
        <v>0</v>
      </c>
      <c r="N22" s="52" t="n">
        <f aca="false">IF(F22="Reverse charge (imported services)",L22,0)</f>
        <v>0</v>
      </c>
      <c r="O22" s="52" t="n">
        <f aca="false">IF(C22&lt;&gt;"Purchase",0,IF(OR(I22="N",F22="Blocked input (entertainment)"),0,L22))</f>
        <v>2283.04</v>
      </c>
      <c r="P22" s="52" t="n">
        <f aca="false">IF(C22&lt;&gt;"Purchase",0,L22-O22)</f>
        <v>0</v>
      </c>
      <c r="Q22" s="53" t="n">
        <f aca="false">J22-B22</f>
        <v>0</v>
      </c>
      <c r="R22" s="51" t="str">
        <f aca="false">IF(I22="N","Invalid / missing TRN",IF(F22="Blocked input (entertainment)","Blocked input",IF(Q22&gt;30,"Late posting (&gt;30d)","")))</f>
        <v/>
      </c>
    </row>
    <row r="23" customFormat="false" ht="15" hidden="false" customHeight="false" outlineLevel="0" collapsed="false">
      <c r="A23" s="47" t="s">
        <v>195</v>
      </c>
      <c r="B23" s="48" t="n">
        <v>45664</v>
      </c>
      <c r="C23" s="47" t="s">
        <v>166</v>
      </c>
      <c r="D23" s="47" t="s">
        <v>196</v>
      </c>
      <c r="E23" s="47" t="s">
        <v>102</v>
      </c>
      <c r="F23" s="47" t="s">
        <v>161</v>
      </c>
      <c r="G23" s="49" t="n">
        <v>16951.23</v>
      </c>
      <c r="H23" s="50" t="n">
        <v>0.05</v>
      </c>
      <c r="I23" s="47" t="s">
        <v>162</v>
      </c>
      <c r="J23" s="48" t="n">
        <v>45664</v>
      </c>
      <c r="K23" s="51" t="str">
        <f aca="false">"Q"&amp;ROUNDUP(MONTH(B23)/3,0)</f>
        <v>Q1</v>
      </c>
      <c r="L23" s="52" t="n">
        <f aca="false">ROUND(G23*H23,2)</f>
        <v>847.56</v>
      </c>
      <c r="M23" s="52" t="n">
        <f aca="false">IF(AND(C23="Sales",F23="Standard-rated 5%"),L23,0)</f>
        <v>0</v>
      </c>
      <c r="N23" s="52" t="n">
        <f aca="false">IF(F23="Reverse charge (imported services)",L23,0)</f>
        <v>0</v>
      </c>
      <c r="O23" s="52" t="n">
        <f aca="false">IF(C23&lt;&gt;"Purchase",0,IF(OR(I23="N",F23="Blocked input (entertainment)"),0,L23))</f>
        <v>847.56</v>
      </c>
      <c r="P23" s="52" t="n">
        <f aca="false">IF(C23&lt;&gt;"Purchase",0,L23-O23)</f>
        <v>0</v>
      </c>
      <c r="Q23" s="53" t="n">
        <f aca="false">J23-B23</f>
        <v>0</v>
      </c>
      <c r="R23" s="51" t="str">
        <f aca="false">IF(I23="N","Invalid / missing TRN",IF(F23="Blocked input (entertainment)","Blocked input",IF(Q23&gt;30,"Late posting (&gt;30d)","")))</f>
        <v/>
      </c>
    </row>
    <row r="24" customFormat="false" ht="15" hidden="false" customHeight="false" outlineLevel="0" collapsed="false">
      <c r="A24" s="47" t="s">
        <v>197</v>
      </c>
      <c r="B24" s="48" t="n">
        <v>45665</v>
      </c>
      <c r="C24" s="47" t="s">
        <v>166</v>
      </c>
      <c r="D24" s="47" t="s">
        <v>167</v>
      </c>
      <c r="E24" s="47" t="s">
        <v>102</v>
      </c>
      <c r="F24" s="47" t="s">
        <v>161</v>
      </c>
      <c r="G24" s="49" t="n">
        <v>37669.05</v>
      </c>
      <c r="H24" s="50" t="n">
        <v>0.05</v>
      </c>
      <c r="I24" s="47" t="s">
        <v>162</v>
      </c>
      <c r="J24" s="48" t="n">
        <v>45665</v>
      </c>
      <c r="K24" s="51" t="str">
        <f aca="false">"Q"&amp;ROUNDUP(MONTH(B24)/3,0)</f>
        <v>Q1</v>
      </c>
      <c r="L24" s="52" t="n">
        <f aca="false">ROUND(G24*H24,2)</f>
        <v>1883.45</v>
      </c>
      <c r="M24" s="52" t="n">
        <f aca="false">IF(AND(C24="Sales",F24="Standard-rated 5%"),L24,0)</f>
        <v>0</v>
      </c>
      <c r="N24" s="52" t="n">
        <f aca="false">IF(F24="Reverse charge (imported services)",L24,0)</f>
        <v>0</v>
      </c>
      <c r="O24" s="52" t="n">
        <f aca="false">IF(C24&lt;&gt;"Purchase",0,IF(OR(I24="N",F24="Blocked input (entertainment)"),0,L24))</f>
        <v>1883.45</v>
      </c>
      <c r="P24" s="52" t="n">
        <f aca="false">IF(C24&lt;&gt;"Purchase",0,L24-O24)</f>
        <v>0</v>
      </c>
      <c r="Q24" s="53" t="n">
        <f aca="false">J24-B24</f>
        <v>0</v>
      </c>
      <c r="R24" s="51" t="str">
        <f aca="false">IF(I24="N","Invalid / missing TRN",IF(F24="Blocked input (entertainment)","Blocked input",IF(Q24&gt;30,"Late posting (&gt;30d)","")))</f>
        <v/>
      </c>
    </row>
    <row r="25" customFormat="false" ht="15" hidden="false" customHeight="false" outlineLevel="0" collapsed="false">
      <c r="A25" s="47" t="s">
        <v>198</v>
      </c>
      <c r="B25" s="48" t="n">
        <v>45665</v>
      </c>
      <c r="C25" s="47" t="s">
        <v>166</v>
      </c>
      <c r="D25" s="47" t="s">
        <v>199</v>
      </c>
      <c r="E25" s="47" t="s">
        <v>101</v>
      </c>
      <c r="F25" s="47" t="s">
        <v>161</v>
      </c>
      <c r="G25" s="49" t="n">
        <v>34657.19</v>
      </c>
      <c r="H25" s="50" t="n">
        <v>0.05</v>
      </c>
      <c r="I25" s="47" t="s">
        <v>162</v>
      </c>
      <c r="J25" s="48" t="n">
        <v>45665</v>
      </c>
      <c r="K25" s="51" t="str">
        <f aca="false">"Q"&amp;ROUNDUP(MONTH(B25)/3,0)</f>
        <v>Q1</v>
      </c>
      <c r="L25" s="52" t="n">
        <f aca="false">ROUND(G25*H25,2)</f>
        <v>1732.86</v>
      </c>
      <c r="M25" s="52" t="n">
        <f aca="false">IF(AND(C25="Sales",F25="Standard-rated 5%"),L25,0)</f>
        <v>0</v>
      </c>
      <c r="N25" s="52" t="n">
        <f aca="false">IF(F25="Reverse charge (imported services)",L25,0)</f>
        <v>0</v>
      </c>
      <c r="O25" s="52" t="n">
        <f aca="false">IF(C25&lt;&gt;"Purchase",0,IF(OR(I25="N",F25="Blocked input (entertainment)"),0,L25))</f>
        <v>1732.86</v>
      </c>
      <c r="P25" s="52" t="n">
        <f aca="false">IF(C25&lt;&gt;"Purchase",0,L25-O25)</f>
        <v>0</v>
      </c>
      <c r="Q25" s="53" t="n">
        <f aca="false">J25-B25</f>
        <v>0</v>
      </c>
      <c r="R25" s="51" t="str">
        <f aca="false">IF(I25="N","Invalid / missing TRN",IF(F25="Blocked input (entertainment)","Blocked input",IF(Q25&gt;30,"Late posting (&gt;30d)","")))</f>
        <v/>
      </c>
    </row>
    <row r="26" customFormat="false" ht="15" hidden="false" customHeight="false" outlineLevel="0" collapsed="false">
      <c r="A26" s="47" t="s">
        <v>200</v>
      </c>
      <c r="B26" s="48" t="n">
        <v>45665</v>
      </c>
      <c r="C26" s="47" t="s">
        <v>166</v>
      </c>
      <c r="D26" s="47" t="s">
        <v>201</v>
      </c>
      <c r="E26" s="47" t="s">
        <v>100</v>
      </c>
      <c r="F26" s="47" t="s">
        <v>161</v>
      </c>
      <c r="G26" s="49" t="n">
        <v>15463.94</v>
      </c>
      <c r="H26" s="50" t="n">
        <v>0.05</v>
      </c>
      <c r="I26" s="47" t="s">
        <v>162</v>
      </c>
      <c r="J26" s="48" t="n">
        <v>45665</v>
      </c>
      <c r="K26" s="51" t="str">
        <f aca="false">"Q"&amp;ROUNDUP(MONTH(B26)/3,0)</f>
        <v>Q1</v>
      </c>
      <c r="L26" s="52" t="n">
        <f aca="false">ROUND(G26*H26,2)</f>
        <v>773.2</v>
      </c>
      <c r="M26" s="52" t="n">
        <f aca="false">IF(AND(C26="Sales",F26="Standard-rated 5%"),L26,0)</f>
        <v>0</v>
      </c>
      <c r="N26" s="52" t="n">
        <f aca="false">IF(F26="Reverse charge (imported services)",L26,0)</f>
        <v>0</v>
      </c>
      <c r="O26" s="52" t="n">
        <f aca="false">IF(C26&lt;&gt;"Purchase",0,IF(OR(I26="N",F26="Blocked input (entertainment)"),0,L26))</f>
        <v>773.2</v>
      </c>
      <c r="P26" s="52" t="n">
        <f aca="false">IF(C26&lt;&gt;"Purchase",0,L26-O26)</f>
        <v>0</v>
      </c>
      <c r="Q26" s="53" t="n">
        <f aca="false">J26-B26</f>
        <v>0</v>
      </c>
      <c r="R26" s="51" t="str">
        <f aca="false">IF(I26="N","Invalid / missing TRN",IF(F26="Blocked input (entertainment)","Blocked input",IF(Q26&gt;30,"Late posting (&gt;30d)","")))</f>
        <v/>
      </c>
    </row>
    <row r="27" customFormat="false" ht="15" hidden="false" customHeight="false" outlineLevel="0" collapsed="false">
      <c r="A27" s="47" t="s">
        <v>202</v>
      </c>
      <c r="B27" s="48" t="n">
        <v>45665</v>
      </c>
      <c r="C27" s="47" t="s">
        <v>166</v>
      </c>
      <c r="D27" s="47" t="s">
        <v>199</v>
      </c>
      <c r="E27" s="47" t="s">
        <v>104</v>
      </c>
      <c r="F27" s="47" t="s">
        <v>161</v>
      </c>
      <c r="G27" s="49" t="n">
        <v>14073.45</v>
      </c>
      <c r="H27" s="50" t="n">
        <v>0.05</v>
      </c>
      <c r="I27" s="47" t="s">
        <v>162</v>
      </c>
      <c r="J27" s="48" t="n">
        <v>45665</v>
      </c>
      <c r="K27" s="51" t="str">
        <f aca="false">"Q"&amp;ROUNDUP(MONTH(B27)/3,0)</f>
        <v>Q1</v>
      </c>
      <c r="L27" s="52" t="n">
        <f aca="false">ROUND(G27*H27,2)</f>
        <v>703.67</v>
      </c>
      <c r="M27" s="52" t="n">
        <f aca="false">IF(AND(C27="Sales",F27="Standard-rated 5%"),L27,0)</f>
        <v>0</v>
      </c>
      <c r="N27" s="52" t="n">
        <f aca="false">IF(F27="Reverse charge (imported services)",L27,0)</f>
        <v>0</v>
      </c>
      <c r="O27" s="52" t="n">
        <f aca="false">IF(C27&lt;&gt;"Purchase",0,IF(OR(I27="N",F27="Blocked input (entertainment)"),0,L27))</f>
        <v>703.67</v>
      </c>
      <c r="P27" s="52" t="n">
        <f aca="false">IF(C27&lt;&gt;"Purchase",0,L27-O27)</f>
        <v>0</v>
      </c>
      <c r="Q27" s="53" t="n">
        <f aca="false">J27-B27</f>
        <v>0</v>
      </c>
      <c r="R27" s="51" t="str">
        <f aca="false">IF(I27="N","Invalid / missing TRN",IF(F27="Blocked input (entertainment)","Blocked input",IF(Q27&gt;30,"Late posting (&gt;30d)","")))</f>
        <v/>
      </c>
    </row>
    <row r="28" customFormat="false" ht="15" hidden="false" customHeight="false" outlineLevel="0" collapsed="false">
      <c r="A28" s="47" t="s">
        <v>203</v>
      </c>
      <c r="B28" s="48" t="n">
        <v>45665</v>
      </c>
      <c r="C28" s="47" t="s">
        <v>159</v>
      </c>
      <c r="D28" s="47" t="s">
        <v>204</v>
      </c>
      <c r="E28" s="47" t="s">
        <v>100</v>
      </c>
      <c r="F28" s="47" t="s">
        <v>161</v>
      </c>
      <c r="G28" s="49" t="n">
        <v>15274.95</v>
      </c>
      <c r="H28" s="50" t="n">
        <v>0.05</v>
      </c>
      <c r="I28" s="47" t="s">
        <v>162</v>
      </c>
      <c r="J28" s="48" t="n">
        <v>45665</v>
      </c>
      <c r="K28" s="51" t="str">
        <f aca="false">"Q"&amp;ROUNDUP(MONTH(B28)/3,0)</f>
        <v>Q1</v>
      </c>
      <c r="L28" s="52" t="n">
        <f aca="false">ROUND(G28*H28,2)</f>
        <v>763.75</v>
      </c>
      <c r="M28" s="52" t="n">
        <f aca="false">IF(AND(C28="Sales",F28="Standard-rated 5%"),L28,0)</f>
        <v>763.75</v>
      </c>
      <c r="N28" s="52" t="n">
        <f aca="false">IF(F28="Reverse charge (imported services)",L28,0)</f>
        <v>0</v>
      </c>
      <c r="O28" s="52" t="n">
        <f aca="false">IF(C28&lt;&gt;"Purchase",0,IF(OR(I28="N",F28="Blocked input (entertainment)"),0,L28))</f>
        <v>0</v>
      </c>
      <c r="P28" s="52" t="n">
        <f aca="false">IF(C28&lt;&gt;"Purchase",0,L28-O28)</f>
        <v>0</v>
      </c>
      <c r="Q28" s="53" t="n">
        <f aca="false">J28-B28</f>
        <v>0</v>
      </c>
      <c r="R28" s="51" t="str">
        <f aca="false">IF(I28="N","Invalid / missing TRN",IF(F28="Blocked input (entertainment)","Blocked input",IF(Q28&gt;30,"Late posting (&gt;30d)","")))</f>
        <v/>
      </c>
    </row>
    <row r="29" customFormat="false" ht="15" hidden="false" customHeight="false" outlineLevel="0" collapsed="false">
      <c r="A29" s="47" t="s">
        <v>205</v>
      </c>
      <c r="B29" s="48" t="n">
        <v>45666</v>
      </c>
      <c r="C29" s="47" t="s">
        <v>166</v>
      </c>
      <c r="D29" s="47" t="s">
        <v>206</v>
      </c>
      <c r="E29" s="47" t="s">
        <v>106</v>
      </c>
      <c r="F29" s="47" t="s">
        <v>161</v>
      </c>
      <c r="G29" s="49" t="n">
        <v>8624.4</v>
      </c>
      <c r="H29" s="50" t="n">
        <v>0.05</v>
      </c>
      <c r="I29" s="47" t="s">
        <v>162</v>
      </c>
      <c r="J29" s="48" t="n">
        <v>45666</v>
      </c>
      <c r="K29" s="51" t="str">
        <f aca="false">"Q"&amp;ROUNDUP(MONTH(B29)/3,0)</f>
        <v>Q1</v>
      </c>
      <c r="L29" s="52" t="n">
        <f aca="false">ROUND(G29*H29,2)</f>
        <v>431.22</v>
      </c>
      <c r="M29" s="52" t="n">
        <f aca="false">IF(AND(C29="Sales",F29="Standard-rated 5%"),L29,0)</f>
        <v>0</v>
      </c>
      <c r="N29" s="52" t="n">
        <f aca="false">IF(F29="Reverse charge (imported services)",L29,0)</f>
        <v>0</v>
      </c>
      <c r="O29" s="52" t="n">
        <f aca="false">IF(C29&lt;&gt;"Purchase",0,IF(OR(I29="N",F29="Blocked input (entertainment)"),0,L29))</f>
        <v>431.22</v>
      </c>
      <c r="P29" s="52" t="n">
        <f aca="false">IF(C29&lt;&gt;"Purchase",0,L29-O29)</f>
        <v>0</v>
      </c>
      <c r="Q29" s="53" t="n">
        <f aca="false">J29-B29</f>
        <v>0</v>
      </c>
      <c r="R29" s="51" t="str">
        <f aca="false">IF(I29="N","Invalid / missing TRN",IF(F29="Blocked input (entertainment)","Blocked input",IF(Q29&gt;30,"Late posting (&gt;30d)","")))</f>
        <v/>
      </c>
    </row>
    <row r="30" customFormat="false" ht="15" hidden="false" customHeight="false" outlineLevel="0" collapsed="false">
      <c r="A30" s="47" t="s">
        <v>207</v>
      </c>
      <c r="B30" s="48" t="n">
        <v>45666</v>
      </c>
      <c r="C30" s="47" t="s">
        <v>166</v>
      </c>
      <c r="D30" s="47" t="s">
        <v>208</v>
      </c>
      <c r="E30" s="47" t="s">
        <v>105</v>
      </c>
      <c r="F30" s="47" t="s">
        <v>161</v>
      </c>
      <c r="G30" s="49" t="n">
        <v>4009.03</v>
      </c>
      <c r="H30" s="50" t="n">
        <v>0.05</v>
      </c>
      <c r="I30" s="47" t="s">
        <v>162</v>
      </c>
      <c r="J30" s="48" t="n">
        <v>45666</v>
      </c>
      <c r="K30" s="51" t="str">
        <f aca="false">"Q"&amp;ROUNDUP(MONTH(B30)/3,0)</f>
        <v>Q1</v>
      </c>
      <c r="L30" s="52" t="n">
        <f aca="false">ROUND(G30*H30,2)</f>
        <v>200.45</v>
      </c>
      <c r="M30" s="52" t="n">
        <f aca="false">IF(AND(C30="Sales",F30="Standard-rated 5%"),L30,0)</f>
        <v>0</v>
      </c>
      <c r="N30" s="52" t="n">
        <f aca="false">IF(F30="Reverse charge (imported services)",L30,0)</f>
        <v>0</v>
      </c>
      <c r="O30" s="52" t="n">
        <f aca="false">IF(C30&lt;&gt;"Purchase",0,IF(OR(I30="N",F30="Blocked input (entertainment)"),0,L30))</f>
        <v>200.45</v>
      </c>
      <c r="P30" s="52" t="n">
        <f aca="false">IF(C30&lt;&gt;"Purchase",0,L30-O30)</f>
        <v>0</v>
      </c>
      <c r="Q30" s="53" t="n">
        <f aca="false">J30-B30</f>
        <v>0</v>
      </c>
      <c r="R30" s="51" t="str">
        <f aca="false">IF(I30="N","Invalid / missing TRN",IF(F30="Blocked input (entertainment)","Blocked input",IF(Q30&gt;30,"Late posting (&gt;30d)","")))</f>
        <v/>
      </c>
    </row>
    <row r="31" customFormat="false" ht="15" hidden="false" customHeight="false" outlineLevel="0" collapsed="false">
      <c r="A31" s="47" t="s">
        <v>209</v>
      </c>
      <c r="B31" s="48" t="n">
        <v>45666</v>
      </c>
      <c r="C31" s="47" t="s">
        <v>166</v>
      </c>
      <c r="D31" s="47" t="s">
        <v>210</v>
      </c>
      <c r="E31" s="47" t="s">
        <v>101</v>
      </c>
      <c r="F31" s="47" t="s">
        <v>161</v>
      </c>
      <c r="G31" s="49" t="n">
        <v>8510.92</v>
      </c>
      <c r="H31" s="50" t="n">
        <v>0.05</v>
      </c>
      <c r="I31" s="47" t="s">
        <v>162</v>
      </c>
      <c r="J31" s="48" t="n">
        <v>45666</v>
      </c>
      <c r="K31" s="51" t="str">
        <f aca="false">"Q"&amp;ROUNDUP(MONTH(B31)/3,0)</f>
        <v>Q1</v>
      </c>
      <c r="L31" s="52" t="n">
        <f aca="false">ROUND(G31*H31,2)</f>
        <v>425.55</v>
      </c>
      <c r="M31" s="52" t="n">
        <f aca="false">IF(AND(C31="Sales",F31="Standard-rated 5%"),L31,0)</f>
        <v>0</v>
      </c>
      <c r="N31" s="52" t="n">
        <f aca="false">IF(F31="Reverse charge (imported services)",L31,0)</f>
        <v>0</v>
      </c>
      <c r="O31" s="52" t="n">
        <f aca="false">IF(C31&lt;&gt;"Purchase",0,IF(OR(I31="N",F31="Blocked input (entertainment)"),0,L31))</f>
        <v>425.55</v>
      </c>
      <c r="P31" s="52" t="n">
        <f aca="false">IF(C31&lt;&gt;"Purchase",0,L31-O31)</f>
        <v>0</v>
      </c>
      <c r="Q31" s="53" t="n">
        <f aca="false">J31-B31</f>
        <v>0</v>
      </c>
      <c r="R31" s="51" t="str">
        <f aca="false">IF(I31="N","Invalid / missing TRN",IF(F31="Blocked input (entertainment)","Blocked input",IF(Q31&gt;30,"Late posting (&gt;30d)","")))</f>
        <v/>
      </c>
    </row>
    <row r="32" customFormat="false" ht="15" hidden="false" customHeight="false" outlineLevel="0" collapsed="false">
      <c r="A32" s="47" t="s">
        <v>211</v>
      </c>
      <c r="B32" s="48" t="n">
        <v>45666</v>
      </c>
      <c r="C32" s="47" t="s">
        <v>159</v>
      </c>
      <c r="D32" s="47" t="s">
        <v>179</v>
      </c>
      <c r="E32" s="47" t="s">
        <v>100</v>
      </c>
      <c r="F32" s="47" t="s">
        <v>161</v>
      </c>
      <c r="G32" s="49" t="n">
        <v>27759.4</v>
      </c>
      <c r="H32" s="50" t="n">
        <v>0.05</v>
      </c>
      <c r="I32" s="47" t="s">
        <v>162</v>
      </c>
      <c r="J32" s="48" t="n">
        <v>45666</v>
      </c>
      <c r="K32" s="51" t="str">
        <f aca="false">"Q"&amp;ROUNDUP(MONTH(B32)/3,0)</f>
        <v>Q1</v>
      </c>
      <c r="L32" s="52" t="n">
        <f aca="false">ROUND(G32*H32,2)</f>
        <v>1387.97</v>
      </c>
      <c r="M32" s="52" t="n">
        <f aca="false">IF(AND(C32="Sales",F32="Standard-rated 5%"),L32,0)</f>
        <v>1387.97</v>
      </c>
      <c r="N32" s="52" t="n">
        <f aca="false">IF(F32="Reverse charge (imported services)",L32,0)</f>
        <v>0</v>
      </c>
      <c r="O32" s="52" t="n">
        <f aca="false">IF(C32&lt;&gt;"Purchase",0,IF(OR(I32="N",F32="Blocked input (entertainment)"),0,L32))</f>
        <v>0</v>
      </c>
      <c r="P32" s="52" t="n">
        <f aca="false">IF(C32&lt;&gt;"Purchase",0,L32-O32)</f>
        <v>0</v>
      </c>
      <c r="Q32" s="53" t="n">
        <f aca="false">J32-B32</f>
        <v>0</v>
      </c>
      <c r="R32" s="51" t="str">
        <f aca="false">IF(I32="N","Invalid / missing TRN",IF(F32="Blocked input (entertainment)","Blocked input",IF(Q32&gt;30,"Late posting (&gt;30d)","")))</f>
        <v/>
      </c>
    </row>
    <row r="33" customFormat="false" ht="15" hidden="false" customHeight="false" outlineLevel="0" collapsed="false">
      <c r="A33" s="47" t="s">
        <v>212</v>
      </c>
      <c r="B33" s="48" t="n">
        <v>45666</v>
      </c>
      <c r="C33" s="47" t="s">
        <v>159</v>
      </c>
      <c r="D33" s="47" t="s">
        <v>213</v>
      </c>
      <c r="E33" s="47" t="s">
        <v>102</v>
      </c>
      <c r="F33" s="47" t="s">
        <v>214</v>
      </c>
      <c r="G33" s="49" t="n">
        <v>119591.46</v>
      </c>
      <c r="H33" s="50" t="n">
        <v>0</v>
      </c>
      <c r="I33" s="47" t="s">
        <v>162</v>
      </c>
      <c r="J33" s="48" t="n">
        <v>45706</v>
      </c>
      <c r="K33" s="51" t="str">
        <f aca="false">"Q"&amp;ROUNDUP(MONTH(B33)/3,0)</f>
        <v>Q1</v>
      </c>
      <c r="L33" s="52" t="n">
        <f aca="false">ROUND(G33*H33,2)</f>
        <v>0</v>
      </c>
      <c r="M33" s="52" t="n">
        <f aca="false">IF(AND(C33="Sales",F33="Standard-rated 5%"),L33,0)</f>
        <v>0</v>
      </c>
      <c r="N33" s="52" t="n">
        <f aca="false">IF(F33="Reverse charge (imported services)",L33,0)</f>
        <v>0</v>
      </c>
      <c r="O33" s="52" t="n">
        <f aca="false">IF(C33&lt;&gt;"Purchase",0,IF(OR(I33="N",F33="Blocked input (entertainment)"),0,L33))</f>
        <v>0</v>
      </c>
      <c r="P33" s="52" t="n">
        <f aca="false">IF(C33&lt;&gt;"Purchase",0,L33-O33)</f>
        <v>0</v>
      </c>
      <c r="Q33" s="53" t="n">
        <f aca="false">J33-B33</f>
        <v>40</v>
      </c>
      <c r="R33" s="51" t="str">
        <f aca="false">IF(I33="N","Invalid / missing TRN",IF(F33="Blocked input (entertainment)","Blocked input",IF(Q33&gt;30,"Late posting (&gt;30d)","")))</f>
        <v>Late posting (&gt;30d)</v>
      </c>
    </row>
    <row r="34" customFormat="false" ht="15" hidden="false" customHeight="false" outlineLevel="0" collapsed="false">
      <c r="A34" s="47" t="s">
        <v>215</v>
      </c>
      <c r="B34" s="48" t="n">
        <v>45666</v>
      </c>
      <c r="C34" s="47" t="s">
        <v>159</v>
      </c>
      <c r="D34" s="47" t="s">
        <v>216</v>
      </c>
      <c r="E34" s="47" t="s">
        <v>101</v>
      </c>
      <c r="F34" s="47" t="s">
        <v>161</v>
      </c>
      <c r="G34" s="49" t="n">
        <v>20729.57</v>
      </c>
      <c r="H34" s="50" t="n">
        <v>0.05</v>
      </c>
      <c r="I34" s="47" t="s">
        <v>162</v>
      </c>
      <c r="J34" s="48" t="n">
        <v>45666</v>
      </c>
      <c r="K34" s="51" t="str">
        <f aca="false">"Q"&amp;ROUNDUP(MONTH(B34)/3,0)</f>
        <v>Q1</v>
      </c>
      <c r="L34" s="52" t="n">
        <f aca="false">ROUND(G34*H34,2)</f>
        <v>1036.48</v>
      </c>
      <c r="M34" s="52" t="n">
        <f aca="false">IF(AND(C34="Sales",F34="Standard-rated 5%"),L34,0)</f>
        <v>1036.48</v>
      </c>
      <c r="N34" s="52" t="n">
        <f aca="false">IF(F34="Reverse charge (imported services)",L34,0)</f>
        <v>0</v>
      </c>
      <c r="O34" s="52" t="n">
        <f aca="false">IF(C34&lt;&gt;"Purchase",0,IF(OR(I34="N",F34="Blocked input (entertainment)"),0,L34))</f>
        <v>0</v>
      </c>
      <c r="P34" s="52" t="n">
        <f aca="false">IF(C34&lt;&gt;"Purchase",0,L34-O34)</f>
        <v>0</v>
      </c>
      <c r="Q34" s="53" t="n">
        <f aca="false">J34-B34</f>
        <v>0</v>
      </c>
      <c r="R34" s="51" t="str">
        <f aca="false">IF(I34="N","Invalid / missing TRN",IF(F34="Blocked input (entertainment)","Blocked input",IF(Q34&gt;30,"Late posting (&gt;30d)","")))</f>
        <v/>
      </c>
    </row>
    <row r="35" customFormat="false" ht="15" hidden="false" customHeight="false" outlineLevel="0" collapsed="false">
      <c r="A35" s="47" t="s">
        <v>217</v>
      </c>
      <c r="B35" s="48" t="n">
        <v>45667</v>
      </c>
      <c r="C35" s="47" t="s">
        <v>166</v>
      </c>
      <c r="D35" s="47" t="s">
        <v>218</v>
      </c>
      <c r="E35" s="47" t="s">
        <v>100</v>
      </c>
      <c r="F35" s="47" t="s">
        <v>170</v>
      </c>
      <c r="G35" s="49" t="n">
        <v>12501.01</v>
      </c>
      <c r="H35" s="50" t="n">
        <v>0.05</v>
      </c>
      <c r="I35" s="47" t="s">
        <v>162</v>
      </c>
      <c r="J35" s="48" t="n">
        <v>45667</v>
      </c>
      <c r="K35" s="51" t="str">
        <f aca="false">"Q"&amp;ROUNDUP(MONTH(B35)/3,0)</f>
        <v>Q1</v>
      </c>
      <c r="L35" s="52" t="n">
        <f aca="false">ROUND(G35*H35,2)</f>
        <v>625.05</v>
      </c>
      <c r="M35" s="52" t="n">
        <f aca="false">IF(AND(C35="Sales",F35="Standard-rated 5%"),L35,0)</f>
        <v>0</v>
      </c>
      <c r="N35" s="52" t="n">
        <f aca="false">IF(F35="Reverse charge (imported services)",L35,0)</f>
        <v>0</v>
      </c>
      <c r="O35" s="52" t="n">
        <f aca="false">IF(C35&lt;&gt;"Purchase",0,IF(OR(I35="N",F35="Blocked input (entertainment)"),0,L35))</f>
        <v>0</v>
      </c>
      <c r="P35" s="52" t="n">
        <f aca="false">IF(C35&lt;&gt;"Purchase",0,L35-O35)</f>
        <v>625.05</v>
      </c>
      <c r="Q35" s="53" t="n">
        <f aca="false">J35-B35</f>
        <v>0</v>
      </c>
      <c r="R35" s="51" t="str">
        <f aca="false">IF(I35="N","Invalid / missing TRN",IF(F35="Blocked input (entertainment)","Blocked input",IF(Q35&gt;30,"Late posting (&gt;30d)","")))</f>
        <v>Blocked input</v>
      </c>
    </row>
    <row r="36" customFormat="false" ht="15" hidden="false" customHeight="false" outlineLevel="0" collapsed="false">
      <c r="A36" s="47" t="s">
        <v>219</v>
      </c>
      <c r="B36" s="48" t="n">
        <v>45667</v>
      </c>
      <c r="C36" s="47" t="s">
        <v>166</v>
      </c>
      <c r="D36" s="47" t="s">
        <v>210</v>
      </c>
      <c r="E36" s="47" t="s">
        <v>101</v>
      </c>
      <c r="F36" s="47" t="s">
        <v>161</v>
      </c>
      <c r="G36" s="49" t="n">
        <v>26060.69</v>
      </c>
      <c r="H36" s="50" t="n">
        <v>0.05</v>
      </c>
      <c r="I36" s="47" t="s">
        <v>162</v>
      </c>
      <c r="J36" s="48" t="n">
        <v>45667</v>
      </c>
      <c r="K36" s="51" t="str">
        <f aca="false">"Q"&amp;ROUNDUP(MONTH(B36)/3,0)</f>
        <v>Q1</v>
      </c>
      <c r="L36" s="52" t="n">
        <f aca="false">ROUND(G36*H36,2)</f>
        <v>1303.03</v>
      </c>
      <c r="M36" s="52" t="n">
        <f aca="false">IF(AND(C36="Sales",F36="Standard-rated 5%"),L36,0)</f>
        <v>0</v>
      </c>
      <c r="N36" s="52" t="n">
        <f aca="false">IF(F36="Reverse charge (imported services)",L36,0)</f>
        <v>0</v>
      </c>
      <c r="O36" s="52" t="n">
        <f aca="false">IF(C36&lt;&gt;"Purchase",0,IF(OR(I36="N",F36="Blocked input (entertainment)"),0,L36))</f>
        <v>1303.03</v>
      </c>
      <c r="P36" s="52" t="n">
        <f aca="false">IF(C36&lt;&gt;"Purchase",0,L36-O36)</f>
        <v>0</v>
      </c>
      <c r="Q36" s="53" t="n">
        <f aca="false">J36-B36</f>
        <v>0</v>
      </c>
      <c r="R36" s="51" t="str">
        <f aca="false">IF(I36="N","Invalid / missing TRN",IF(F36="Blocked input (entertainment)","Blocked input",IF(Q36&gt;30,"Late posting (&gt;30d)","")))</f>
        <v/>
      </c>
    </row>
    <row r="37" customFormat="false" ht="15" hidden="false" customHeight="false" outlineLevel="0" collapsed="false">
      <c r="A37" s="47" t="s">
        <v>220</v>
      </c>
      <c r="B37" s="48" t="n">
        <v>45667</v>
      </c>
      <c r="C37" s="47" t="s">
        <v>166</v>
      </c>
      <c r="D37" s="47" t="s">
        <v>221</v>
      </c>
      <c r="E37" s="47" t="s">
        <v>103</v>
      </c>
      <c r="F37" s="47" t="s">
        <v>161</v>
      </c>
      <c r="G37" s="49" t="n">
        <v>33326.76</v>
      </c>
      <c r="H37" s="50" t="n">
        <v>0.05</v>
      </c>
      <c r="I37" s="47" t="s">
        <v>162</v>
      </c>
      <c r="J37" s="48" t="n">
        <v>45707</v>
      </c>
      <c r="K37" s="51" t="str">
        <f aca="false">"Q"&amp;ROUNDUP(MONTH(B37)/3,0)</f>
        <v>Q1</v>
      </c>
      <c r="L37" s="52" t="n">
        <f aca="false">ROUND(G37*H37,2)</f>
        <v>1666.34</v>
      </c>
      <c r="M37" s="52" t="n">
        <f aca="false">IF(AND(C37="Sales",F37="Standard-rated 5%"),L37,0)</f>
        <v>0</v>
      </c>
      <c r="N37" s="52" t="n">
        <f aca="false">IF(F37="Reverse charge (imported services)",L37,0)</f>
        <v>0</v>
      </c>
      <c r="O37" s="52" t="n">
        <f aca="false">IF(C37&lt;&gt;"Purchase",0,IF(OR(I37="N",F37="Blocked input (entertainment)"),0,L37))</f>
        <v>1666.34</v>
      </c>
      <c r="P37" s="52" t="n">
        <f aca="false">IF(C37&lt;&gt;"Purchase",0,L37-O37)</f>
        <v>0</v>
      </c>
      <c r="Q37" s="53" t="n">
        <f aca="false">J37-B37</f>
        <v>40</v>
      </c>
      <c r="R37" s="51" t="str">
        <f aca="false">IF(I37="N","Invalid / missing TRN",IF(F37="Blocked input (entertainment)","Blocked input",IF(Q37&gt;30,"Late posting (&gt;30d)","")))</f>
        <v>Late posting (&gt;30d)</v>
      </c>
    </row>
    <row r="38" customFormat="false" ht="15" hidden="false" customHeight="false" outlineLevel="0" collapsed="false">
      <c r="A38" s="47" t="s">
        <v>222</v>
      </c>
      <c r="B38" s="48" t="n">
        <v>45667</v>
      </c>
      <c r="C38" s="47" t="s">
        <v>159</v>
      </c>
      <c r="D38" s="47" t="s">
        <v>223</v>
      </c>
      <c r="E38" s="47" t="s">
        <v>100</v>
      </c>
      <c r="F38" s="47" t="s">
        <v>161</v>
      </c>
      <c r="G38" s="49" t="n">
        <v>47301.4</v>
      </c>
      <c r="H38" s="50" t="n">
        <v>0.05</v>
      </c>
      <c r="I38" s="47" t="s">
        <v>162</v>
      </c>
      <c r="J38" s="48" t="n">
        <v>45667</v>
      </c>
      <c r="K38" s="51" t="str">
        <f aca="false">"Q"&amp;ROUNDUP(MONTH(B38)/3,0)</f>
        <v>Q1</v>
      </c>
      <c r="L38" s="52" t="n">
        <f aca="false">ROUND(G38*H38,2)</f>
        <v>2365.07</v>
      </c>
      <c r="M38" s="52" t="n">
        <f aca="false">IF(AND(C38="Sales",F38="Standard-rated 5%"),L38,0)</f>
        <v>2365.07</v>
      </c>
      <c r="N38" s="52" t="n">
        <f aca="false">IF(F38="Reverse charge (imported services)",L38,0)</f>
        <v>0</v>
      </c>
      <c r="O38" s="52" t="n">
        <f aca="false">IF(C38&lt;&gt;"Purchase",0,IF(OR(I38="N",F38="Blocked input (entertainment)"),0,L38))</f>
        <v>0</v>
      </c>
      <c r="P38" s="52" t="n">
        <f aca="false">IF(C38&lt;&gt;"Purchase",0,L38-O38)</f>
        <v>0</v>
      </c>
      <c r="Q38" s="53" t="n">
        <f aca="false">J38-B38</f>
        <v>0</v>
      </c>
      <c r="R38" s="51" t="str">
        <f aca="false">IF(I38="N","Invalid / missing TRN",IF(F38="Blocked input (entertainment)","Blocked input",IF(Q38&gt;30,"Late posting (&gt;30d)","")))</f>
        <v/>
      </c>
    </row>
    <row r="39" customFormat="false" ht="15" hidden="false" customHeight="false" outlineLevel="0" collapsed="false">
      <c r="A39" s="47" t="s">
        <v>224</v>
      </c>
      <c r="B39" s="48" t="n">
        <v>45667</v>
      </c>
      <c r="C39" s="47" t="s">
        <v>159</v>
      </c>
      <c r="D39" s="47" t="s">
        <v>225</v>
      </c>
      <c r="E39" s="47" t="s">
        <v>100</v>
      </c>
      <c r="F39" s="47" t="s">
        <v>161</v>
      </c>
      <c r="G39" s="49" t="n">
        <v>138192.04</v>
      </c>
      <c r="H39" s="50" t="n">
        <v>0.05</v>
      </c>
      <c r="I39" s="47" t="s">
        <v>162</v>
      </c>
      <c r="J39" s="48" t="n">
        <v>45667</v>
      </c>
      <c r="K39" s="51" t="str">
        <f aca="false">"Q"&amp;ROUNDUP(MONTH(B39)/3,0)</f>
        <v>Q1</v>
      </c>
      <c r="L39" s="52" t="n">
        <f aca="false">ROUND(G39*H39,2)</f>
        <v>6909.6</v>
      </c>
      <c r="M39" s="52" t="n">
        <f aca="false">IF(AND(C39="Sales",F39="Standard-rated 5%"),L39,0)</f>
        <v>6909.6</v>
      </c>
      <c r="N39" s="52" t="n">
        <f aca="false">IF(F39="Reverse charge (imported services)",L39,0)</f>
        <v>0</v>
      </c>
      <c r="O39" s="52" t="n">
        <f aca="false">IF(C39&lt;&gt;"Purchase",0,IF(OR(I39="N",F39="Blocked input (entertainment)"),0,L39))</f>
        <v>0</v>
      </c>
      <c r="P39" s="52" t="n">
        <f aca="false">IF(C39&lt;&gt;"Purchase",0,L39-O39)</f>
        <v>0</v>
      </c>
      <c r="Q39" s="53" t="n">
        <f aca="false">J39-B39</f>
        <v>0</v>
      </c>
      <c r="R39" s="51" t="str">
        <f aca="false">IF(I39="N","Invalid / missing TRN",IF(F39="Blocked input (entertainment)","Blocked input",IF(Q39&gt;30,"Late posting (&gt;30d)","")))</f>
        <v/>
      </c>
    </row>
    <row r="40" customFormat="false" ht="15" hidden="false" customHeight="false" outlineLevel="0" collapsed="false">
      <c r="A40" s="47" t="s">
        <v>226</v>
      </c>
      <c r="B40" s="48" t="n">
        <v>45668</v>
      </c>
      <c r="C40" s="47" t="s">
        <v>166</v>
      </c>
      <c r="D40" s="47" t="s">
        <v>227</v>
      </c>
      <c r="E40" s="47" t="s">
        <v>102</v>
      </c>
      <c r="F40" s="47" t="s">
        <v>161</v>
      </c>
      <c r="G40" s="49" t="n">
        <v>23907.37</v>
      </c>
      <c r="H40" s="50" t="n">
        <v>0.05</v>
      </c>
      <c r="I40" s="47" t="s">
        <v>162</v>
      </c>
      <c r="J40" s="48" t="n">
        <v>45668</v>
      </c>
      <c r="K40" s="51" t="str">
        <f aca="false">"Q"&amp;ROUNDUP(MONTH(B40)/3,0)</f>
        <v>Q1</v>
      </c>
      <c r="L40" s="52" t="n">
        <f aca="false">ROUND(G40*H40,2)</f>
        <v>1195.37</v>
      </c>
      <c r="M40" s="52" t="n">
        <f aca="false">IF(AND(C40="Sales",F40="Standard-rated 5%"),L40,0)</f>
        <v>0</v>
      </c>
      <c r="N40" s="52" t="n">
        <f aca="false">IF(F40="Reverse charge (imported services)",L40,0)</f>
        <v>0</v>
      </c>
      <c r="O40" s="52" t="n">
        <f aca="false">IF(C40&lt;&gt;"Purchase",0,IF(OR(I40="N",F40="Blocked input (entertainment)"),0,L40))</f>
        <v>1195.37</v>
      </c>
      <c r="P40" s="52" t="n">
        <f aca="false">IF(C40&lt;&gt;"Purchase",0,L40-O40)</f>
        <v>0</v>
      </c>
      <c r="Q40" s="53" t="n">
        <f aca="false">J40-B40</f>
        <v>0</v>
      </c>
      <c r="R40" s="51" t="str">
        <f aca="false">IF(I40="N","Invalid / missing TRN",IF(F40="Blocked input (entertainment)","Blocked input",IF(Q40&gt;30,"Late posting (&gt;30d)","")))</f>
        <v/>
      </c>
    </row>
    <row r="41" customFormat="false" ht="15" hidden="false" customHeight="false" outlineLevel="0" collapsed="false">
      <c r="A41" s="47" t="s">
        <v>228</v>
      </c>
      <c r="B41" s="48" t="n">
        <v>45668</v>
      </c>
      <c r="C41" s="47" t="s">
        <v>166</v>
      </c>
      <c r="D41" s="47" t="s">
        <v>229</v>
      </c>
      <c r="E41" s="47" t="s">
        <v>100</v>
      </c>
      <c r="F41" s="47" t="s">
        <v>170</v>
      </c>
      <c r="G41" s="49" t="n">
        <v>51621.97</v>
      </c>
      <c r="H41" s="50" t="n">
        <v>0.05</v>
      </c>
      <c r="I41" s="47" t="s">
        <v>162</v>
      </c>
      <c r="J41" s="48" t="n">
        <v>45668</v>
      </c>
      <c r="K41" s="51" t="str">
        <f aca="false">"Q"&amp;ROUNDUP(MONTH(B41)/3,0)</f>
        <v>Q1</v>
      </c>
      <c r="L41" s="52" t="n">
        <f aca="false">ROUND(G41*H41,2)</f>
        <v>2581.1</v>
      </c>
      <c r="M41" s="52" t="n">
        <f aca="false">IF(AND(C41="Sales",F41="Standard-rated 5%"),L41,0)</f>
        <v>0</v>
      </c>
      <c r="N41" s="52" t="n">
        <f aca="false">IF(F41="Reverse charge (imported services)",L41,0)</f>
        <v>0</v>
      </c>
      <c r="O41" s="52" t="n">
        <f aca="false">IF(C41&lt;&gt;"Purchase",0,IF(OR(I41="N",F41="Blocked input (entertainment)"),0,L41))</f>
        <v>0</v>
      </c>
      <c r="P41" s="52" t="n">
        <f aca="false">IF(C41&lt;&gt;"Purchase",0,L41-O41)</f>
        <v>2581.1</v>
      </c>
      <c r="Q41" s="53" t="n">
        <f aca="false">J41-B41</f>
        <v>0</v>
      </c>
      <c r="R41" s="51" t="str">
        <f aca="false">IF(I41="N","Invalid / missing TRN",IF(F41="Blocked input (entertainment)","Blocked input",IF(Q41&gt;30,"Late posting (&gt;30d)","")))</f>
        <v>Blocked input</v>
      </c>
    </row>
    <row r="42" customFormat="false" ht="15" hidden="false" customHeight="false" outlineLevel="0" collapsed="false">
      <c r="A42" s="47" t="s">
        <v>230</v>
      </c>
      <c r="B42" s="48" t="n">
        <v>45668</v>
      </c>
      <c r="C42" s="47" t="s">
        <v>166</v>
      </c>
      <c r="D42" s="47" t="s">
        <v>231</v>
      </c>
      <c r="E42" s="47" t="s">
        <v>101</v>
      </c>
      <c r="F42" s="47" t="s">
        <v>161</v>
      </c>
      <c r="G42" s="49" t="n">
        <v>46495.93</v>
      </c>
      <c r="H42" s="50" t="n">
        <v>0.05</v>
      </c>
      <c r="I42" s="47" t="s">
        <v>162</v>
      </c>
      <c r="J42" s="48" t="n">
        <v>45668</v>
      </c>
      <c r="K42" s="51" t="str">
        <f aca="false">"Q"&amp;ROUNDUP(MONTH(B42)/3,0)</f>
        <v>Q1</v>
      </c>
      <c r="L42" s="52" t="n">
        <f aca="false">ROUND(G42*H42,2)</f>
        <v>2324.8</v>
      </c>
      <c r="M42" s="52" t="n">
        <f aca="false">IF(AND(C42="Sales",F42="Standard-rated 5%"),L42,0)</f>
        <v>0</v>
      </c>
      <c r="N42" s="52" t="n">
        <f aca="false">IF(F42="Reverse charge (imported services)",L42,0)</f>
        <v>0</v>
      </c>
      <c r="O42" s="52" t="n">
        <f aca="false">IF(C42&lt;&gt;"Purchase",0,IF(OR(I42="N",F42="Blocked input (entertainment)"),0,L42))</f>
        <v>2324.8</v>
      </c>
      <c r="P42" s="52" t="n">
        <f aca="false">IF(C42&lt;&gt;"Purchase",0,L42-O42)</f>
        <v>0</v>
      </c>
      <c r="Q42" s="53" t="n">
        <f aca="false">J42-B42</f>
        <v>0</v>
      </c>
      <c r="R42" s="51" t="str">
        <f aca="false">IF(I42="N","Invalid / missing TRN",IF(F42="Blocked input (entertainment)","Blocked input",IF(Q42&gt;30,"Late posting (&gt;30d)","")))</f>
        <v/>
      </c>
    </row>
    <row r="43" customFormat="false" ht="15" hidden="false" customHeight="false" outlineLevel="0" collapsed="false">
      <c r="A43" s="47" t="s">
        <v>232</v>
      </c>
      <c r="B43" s="48" t="n">
        <v>45668</v>
      </c>
      <c r="C43" s="47" t="s">
        <v>166</v>
      </c>
      <c r="D43" s="47" t="s">
        <v>233</v>
      </c>
      <c r="E43" s="47" t="s">
        <v>102</v>
      </c>
      <c r="F43" s="47" t="s">
        <v>161</v>
      </c>
      <c r="G43" s="49" t="n">
        <v>16885.18</v>
      </c>
      <c r="H43" s="50" t="n">
        <v>0.05</v>
      </c>
      <c r="I43" s="47" t="s">
        <v>162</v>
      </c>
      <c r="J43" s="48" t="n">
        <v>45668</v>
      </c>
      <c r="K43" s="51" t="str">
        <f aca="false">"Q"&amp;ROUNDUP(MONTH(B43)/3,0)</f>
        <v>Q1</v>
      </c>
      <c r="L43" s="52" t="n">
        <f aca="false">ROUND(G43*H43,2)</f>
        <v>844.26</v>
      </c>
      <c r="M43" s="52" t="n">
        <f aca="false">IF(AND(C43="Sales",F43="Standard-rated 5%"),L43,0)</f>
        <v>0</v>
      </c>
      <c r="N43" s="52" t="n">
        <f aca="false">IF(F43="Reverse charge (imported services)",L43,0)</f>
        <v>0</v>
      </c>
      <c r="O43" s="52" t="n">
        <f aca="false">IF(C43&lt;&gt;"Purchase",0,IF(OR(I43="N",F43="Blocked input (entertainment)"),0,L43))</f>
        <v>844.26</v>
      </c>
      <c r="P43" s="52" t="n">
        <f aca="false">IF(C43&lt;&gt;"Purchase",0,L43-O43)</f>
        <v>0</v>
      </c>
      <c r="Q43" s="53" t="n">
        <f aca="false">J43-B43</f>
        <v>0</v>
      </c>
      <c r="R43" s="51" t="str">
        <f aca="false">IF(I43="N","Invalid / missing TRN",IF(F43="Blocked input (entertainment)","Blocked input",IF(Q43&gt;30,"Late posting (&gt;30d)","")))</f>
        <v/>
      </c>
    </row>
    <row r="44" customFormat="false" ht="15" hidden="false" customHeight="false" outlineLevel="0" collapsed="false">
      <c r="A44" s="47" t="s">
        <v>234</v>
      </c>
      <c r="B44" s="48" t="n">
        <v>45668</v>
      </c>
      <c r="C44" s="47" t="s">
        <v>159</v>
      </c>
      <c r="D44" s="47" t="s">
        <v>235</v>
      </c>
      <c r="E44" s="47" t="s">
        <v>102</v>
      </c>
      <c r="F44" s="47" t="s">
        <v>161</v>
      </c>
      <c r="G44" s="49" t="n">
        <v>12389</v>
      </c>
      <c r="H44" s="50" t="n">
        <v>0.05</v>
      </c>
      <c r="I44" s="47" t="s">
        <v>162</v>
      </c>
      <c r="J44" s="48" t="n">
        <v>45668</v>
      </c>
      <c r="K44" s="51" t="str">
        <f aca="false">"Q"&amp;ROUNDUP(MONTH(B44)/3,0)</f>
        <v>Q1</v>
      </c>
      <c r="L44" s="52" t="n">
        <f aca="false">ROUND(G44*H44,2)</f>
        <v>619.45</v>
      </c>
      <c r="M44" s="52" t="n">
        <f aca="false">IF(AND(C44="Sales",F44="Standard-rated 5%"),L44,0)</f>
        <v>619.45</v>
      </c>
      <c r="N44" s="52" t="n">
        <f aca="false">IF(F44="Reverse charge (imported services)",L44,0)</f>
        <v>0</v>
      </c>
      <c r="O44" s="52" t="n">
        <f aca="false">IF(C44&lt;&gt;"Purchase",0,IF(OR(I44="N",F44="Blocked input (entertainment)"),0,L44))</f>
        <v>0</v>
      </c>
      <c r="P44" s="52" t="n">
        <f aca="false">IF(C44&lt;&gt;"Purchase",0,L44-O44)</f>
        <v>0</v>
      </c>
      <c r="Q44" s="53" t="n">
        <f aca="false">J44-B44</f>
        <v>0</v>
      </c>
      <c r="R44" s="51" t="str">
        <f aca="false">IF(I44="N","Invalid / missing TRN",IF(F44="Blocked input (entertainment)","Blocked input",IF(Q44&gt;30,"Late posting (&gt;30d)","")))</f>
        <v/>
      </c>
    </row>
    <row r="45" customFormat="false" ht="15" hidden="false" customHeight="false" outlineLevel="0" collapsed="false">
      <c r="A45" s="47" t="s">
        <v>236</v>
      </c>
      <c r="B45" s="48" t="n">
        <v>45668</v>
      </c>
      <c r="C45" s="47" t="s">
        <v>159</v>
      </c>
      <c r="D45" s="47" t="s">
        <v>237</v>
      </c>
      <c r="E45" s="47" t="s">
        <v>102</v>
      </c>
      <c r="F45" s="47" t="s">
        <v>161</v>
      </c>
      <c r="G45" s="49" t="n">
        <v>17804.84</v>
      </c>
      <c r="H45" s="50" t="n">
        <v>0.05</v>
      </c>
      <c r="I45" s="47" t="s">
        <v>162</v>
      </c>
      <c r="J45" s="48" t="n">
        <v>45668</v>
      </c>
      <c r="K45" s="51" t="str">
        <f aca="false">"Q"&amp;ROUNDUP(MONTH(B45)/3,0)</f>
        <v>Q1</v>
      </c>
      <c r="L45" s="52" t="n">
        <f aca="false">ROUND(G45*H45,2)</f>
        <v>890.24</v>
      </c>
      <c r="M45" s="52" t="n">
        <f aca="false">IF(AND(C45="Sales",F45="Standard-rated 5%"),L45,0)</f>
        <v>890.24</v>
      </c>
      <c r="N45" s="52" t="n">
        <f aca="false">IF(F45="Reverse charge (imported services)",L45,0)</f>
        <v>0</v>
      </c>
      <c r="O45" s="52" t="n">
        <f aca="false">IF(C45&lt;&gt;"Purchase",0,IF(OR(I45="N",F45="Blocked input (entertainment)"),0,L45))</f>
        <v>0</v>
      </c>
      <c r="P45" s="52" t="n">
        <f aca="false">IF(C45&lt;&gt;"Purchase",0,L45-O45)</f>
        <v>0</v>
      </c>
      <c r="Q45" s="53" t="n">
        <f aca="false">J45-B45</f>
        <v>0</v>
      </c>
      <c r="R45" s="51" t="str">
        <f aca="false">IF(I45="N","Invalid / missing TRN",IF(F45="Blocked input (entertainment)","Blocked input",IF(Q45&gt;30,"Late posting (&gt;30d)","")))</f>
        <v/>
      </c>
    </row>
    <row r="46" customFormat="false" ht="15" hidden="false" customHeight="false" outlineLevel="0" collapsed="false">
      <c r="A46" s="47" t="s">
        <v>238</v>
      </c>
      <c r="B46" s="48" t="n">
        <v>45668</v>
      </c>
      <c r="C46" s="47" t="s">
        <v>159</v>
      </c>
      <c r="D46" s="47" t="s">
        <v>239</v>
      </c>
      <c r="E46" s="47" t="s">
        <v>106</v>
      </c>
      <c r="F46" s="47" t="s">
        <v>161</v>
      </c>
      <c r="G46" s="49" t="n">
        <v>15864.98</v>
      </c>
      <c r="H46" s="50" t="n">
        <v>0.05</v>
      </c>
      <c r="I46" s="47" t="s">
        <v>162</v>
      </c>
      <c r="J46" s="48" t="n">
        <v>45668</v>
      </c>
      <c r="K46" s="51" t="str">
        <f aca="false">"Q"&amp;ROUNDUP(MONTH(B46)/3,0)</f>
        <v>Q1</v>
      </c>
      <c r="L46" s="52" t="n">
        <f aca="false">ROUND(G46*H46,2)</f>
        <v>793.25</v>
      </c>
      <c r="M46" s="52" t="n">
        <f aca="false">IF(AND(C46="Sales",F46="Standard-rated 5%"),L46,0)</f>
        <v>793.25</v>
      </c>
      <c r="N46" s="52" t="n">
        <f aca="false">IF(F46="Reverse charge (imported services)",L46,0)</f>
        <v>0</v>
      </c>
      <c r="O46" s="52" t="n">
        <f aca="false">IF(C46&lt;&gt;"Purchase",0,IF(OR(I46="N",F46="Blocked input (entertainment)"),0,L46))</f>
        <v>0</v>
      </c>
      <c r="P46" s="52" t="n">
        <f aca="false">IF(C46&lt;&gt;"Purchase",0,L46-O46)</f>
        <v>0</v>
      </c>
      <c r="Q46" s="53" t="n">
        <f aca="false">J46-B46</f>
        <v>0</v>
      </c>
      <c r="R46" s="51" t="str">
        <f aca="false">IF(I46="N","Invalid / missing TRN",IF(F46="Blocked input (entertainment)","Blocked input",IF(Q46&gt;30,"Late posting (&gt;30d)","")))</f>
        <v/>
      </c>
    </row>
    <row r="47" customFormat="false" ht="15" hidden="false" customHeight="false" outlineLevel="0" collapsed="false">
      <c r="A47" s="47" t="s">
        <v>240</v>
      </c>
      <c r="B47" s="48" t="n">
        <v>45668</v>
      </c>
      <c r="C47" s="47" t="s">
        <v>159</v>
      </c>
      <c r="D47" s="47" t="s">
        <v>241</v>
      </c>
      <c r="E47" s="47" t="s">
        <v>100</v>
      </c>
      <c r="F47" s="47" t="s">
        <v>161</v>
      </c>
      <c r="G47" s="49" t="n">
        <v>63039.87</v>
      </c>
      <c r="H47" s="50" t="n">
        <v>0.05</v>
      </c>
      <c r="I47" s="47" t="s">
        <v>162</v>
      </c>
      <c r="J47" s="48" t="n">
        <v>45668</v>
      </c>
      <c r="K47" s="51" t="str">
        <f aca="false">"Q"&amp;ROUNDUP(MONTH(B47)/3,0)</f>
        <v>Q1</v>
      </c>
      <c r="L47" s="52" t="n">
        <f aca="false">ROUND(G47*H47,2)</f>
        <v>3151.99</v>
      </c>
      <c r="M47" s="52" t="n">
        <f aca="false">IF(AND(C47="Sales",F47="Standard-rated 5%"),L47,0)</f>
        <v>3151.99</v>
      </c>
      <c r="N47" s="52" t="n">
        <f aca="false">IF(F47="Reverse charge (imported services)",L47,0)</f>
        <v>0</v>
      </c>
      <c r="O47" s="52" t="n">
        <f aca="false">IF(C47&lt;&gt;"Purchase",0,IF(OR(I47="N",F47="Blocked input (entertainment)"),0,L47))</f>
        <v>0</v>
      </c>
      <c r="P47" s="52" t="n">
        <f aca="false">IF(C47&lt;&gt;"Purchase",0,L47-O47)</f>
        <v>0</v>
      </c>
      <c r="Q47" s="53" t="n">
        <f aca="false">J47-B47</f>
        <v>0</v>
      </c>
      <c r="R47" s="51" t="str">
        <f aca="false">IF(I47="N","Invalid / missing TRN",IF(F47="Blocked input (entertainment)","Blocked input",IF(Q47&gt;30,"Late posting (&gt;30d)","")))</f>
        <v/>
      </c>
    </row>
    <row r="48" customFormat="false" ht="15" hidden="false" customHeight="false" outlineLevel="0" collapsed="false">
      <c r="A48" s="47" t="s">
        <v>242</v>
      </c>
      <c r="B48" s="48" t="n">
        <v>45668</v>
      </c>
      <c r="C48" s="47" t="s">
        <v>159</v>
      </c>
      <c r="D48" s="47" t="s">
        <v>243</v>
      </c>
      <c r="E48" s="47" t="s">
        <v>100</v>
      </c>
      <c r="F48" s="47" t="s">
        <v>161</v>
      </c>
      <c r="G48" s="49" t="n">
        <v>7393.3</v>
      </c>
      <c r="H48" s="50" t="n">
        <v>0.05</v>
      </c>
      <c r="I48" s="47" t="s">
        <v>162</v>
      </c>
      <c r="J48" s="48" t="n">
        <v>45708</v>
      </c>
      <c r="K48" s="51" t="str">
        <f aca="false">"Q"&amp;ROUNDUP(MONTH(B48)/3,0)</f>
        <v>Q1</v>
      </c>
      <c r="L48" s="52" t="n">
        <f aca="false">ROUND(G48*H48,2)</f>
        <v>369.67</v>
      </c>
      <c r="M48" s="52" t="n">
        <f aca="false">IF(AND(C48="Sales",F48="Standard-rated 5%"),L48,0)</f>
        <v>369.67</v>
      </c>
      <c r="N48" s="52" t="n">
        <f aca="false">IF(F48="Reverse charge (imported services)",L48,0)</f>
        <v>0</v>
      </c>
      <c r="O48" s="52" t="n">
        <f aca="false">IF(C48&lt;&gt;"Purchase",0,IF(OR(I48="N",F48="Blocked input (entertainment)"),0,L48))</f>
        <v>0</v>
      </c>
      <c r="P48" s="52" t="n">
        <f aca="false">IF(C48&lt;&gt;"Purchase",0,L48-O48)</f>
        <v>0</v>
      </c>
      <c r="Q48" s="53" t="n">
        <f aca="false">J48-B48</f>
        <v>40</v>
      </c>
      <c r="R48" s="51" t="str">
        <f aca="false">IF(I48="N","Invalid / missing TRN",IF(F48="Blocked input (entertainment)","Blocked input",IF(Q48&gt;30,"Late posting (&gt;30d)","")))</f>
        <v>Late posting (&gt;30d)</v>
      </c>
    </row>
    <row r="49" customFormat="false" ht="15" hidden="false" customHeight="false" outlineLevel="0" collapsed="false">
      <c r="A49" s="47" t="s">
        <v>244</v>
      </c>
      <c r="B49" s="48" t="n">
        <v>45669</v>
      </c>
      <c r="C49" s="47" t="s">
        <v>159</v>
      </c>
      <c r="D49" s="47" t="s">
        <v>245</v>
      </c>
      <c r="E49" s="47" t="s">
        <v>101</v>
      </c>
      <c r="F49" s="47" t="s">
        <v>161</v>
      </c>
      <c r="G49" s="49" t="n">
        <v>209608.95</v>
      </c>
      <c r="H49" s="50" t="n">
        <v>0.05</v>
      </c>
      <c r="I49" s="47" t="s">
        <v>162</v>
      </c>
      <c r="J49" s="48" t="n">
        <v>45669</v>
      </c>
      <c r="K49" s="51" t="str">
        <f aca="false">"Q"&amp;ROUNDUP(MONTH(B49)/3,0)</f>
        <v>Q1</v>
      </c>
      <c r="L49" s="52" t="n">
        <f aca="false">ROUND(G49*H49,2)</f>
        <v>10480.45</v>
      </c>
      <c r="M49" s="52" t="n">
        <f aca="false">IF(AND(C49="Sales",F49="Standard-rated 5%"),L49,0)</f>
        <v>10480.45</v>
      </c>
      <c r="N49" s="52" t="n">
        <f aca="false">IF(F49="Reverse charge (imported services)",L49,0)</f>
        <v>0</v>
      </c>
      <c r="O49" s="52" t="n">
        <f aca="false">IF(C49&lt;&gt;"Purchase",0,IF(OR(I49="N",F49="Blocked input (entertainment)"),0,L49))</f>
        <v>0</v>
      </c>
      <c r="P49" s="52" t="n">
        <f aca="false">IF(C49&lt;&gt;"Purchase",0,L49-O49)</f>
        <v>0</v>
      </c>
      <c r="Q49" s="53" t="n">
        <f aca="false">J49-B49</f>
        <v>0</v>
      </c>
      <c r="R49" s="51" t="str">
        <f aca="false">IF(I49="N","Invalid / missing TRN",IF(F49="Blocked input (entertainment)","Blocked input",IF(Q49&gt;30,"Late posting (&gt;30d)","")))</f>
        <v/>
      </c>
    </row>
    <row r="50" customFormat="false" ht="15" hidden="false" customHeight="false" outlineLevel="0" collapsed="false">
      <c r="A50" s="47" t="s">
        <v>246</v>
      </c>
      <c r="B50" s="48" t="n">
        <v>45669</v>
      </c>
      <c r="C50" s="47" t="s">
        <v>159</v>
      </c>
      <c r="D50" s="47" t="s">
        <v>247</v>
      </c>
      <c r="E50" s="47" t="s">
        <v>101</v>
      </c>
      <c r="F50" s="47" t="s">
        <v>161</v>
      </c>
      <c r="G50" s="49" t="n">
        <v>38099.57</v>
      </c>
      <c r="H50" s="50" t="n">
        <v>0.05</v>
      </c>
      <c r="I50" s="47" t="s">
        <v>162</v>
      </c>
      <c r="J50" s="48" t="n">
        <v>45669</v>
      </c>
      <c r="K50" s="51" t="str">
        <f aca="false">"Q"&amp;ROUNDUP(MONTH(B50)/3,0)</f>
        <v>Q1</v>
      </c>
      <c r="L50" s="52" t="n">
        <f aca="false">ROUND(G50*H50,2)</f>
        <v>1904.98</v>
      </c>
      <c r="M50" s="52" t="n">
        <f aca="false">IF(AND(C50="Sales",F50="Standard-rated 5%"),L50,0)</f>
        <v>1904.98</v>
      </c>
      <c r="N50" s="52" t="n">
        <f aca="false">IF(F50="Reverse charge (imported services)",L50,0)</f>
        <v>0</v>
      </c>
      <c r="O50" s="52" t="n">
        <f aca="false">IF(C50&lt;&gt;"Purchase",0,IF(OR(I50="N",F50="Blocked input (entertainment)"),0,L50))</f>
        <v>0</v>
      </c>
      <c r="P50" s="52" t="n">
        <f aca="false">IF(C50&lt;&gt;"Purchase",0,L50-O50)</f>
        <v>0</v>
      </c>
      <c r="Q50" s="53" t="n">
        <f aca="false">J50-B50</f>
        <v>0</v>
      </c>
      <c r="R50" s="51" t="str">
        <f aca="false">IF(I50="N","Invalid / missing TRN",IF(F50="Blocked input (entertainment)","Blocked input",IF(Q50&gt;30,"Late posting (&gt;30d)","")))</f>
        <v/>
      </c>
    </row>
    <row r="51" customFormat="false" ht="15" hidden="false" customHeight="false" outlineLevel="0" collapsed="false">
      <c r="A51" s="47" t="s">
        <v>248</v>
      </c>
      <c r="B51" s="48" t="n">
        <v>45669</v>
      </c>
      <c r="C51" s="47" t="s">
        <v>159</v>
      </c>
      <c r="D51" s="47" t="s">
        <v>249</v>
      </c>
      <c r="E51" s="47" t="s">
        <v>102</v>
      </c>
      <c r="F51" s="47" t="s">
        <v>161</v>
      </c>
      <c r="G51" s="49" t="n">
        <v>28443.38</v>
      </c>
      <c r="H51" s="50" t="n">
        <v>0.05</v>
      </c>
      <c r="I51" s="47" t="s">
        <v>162</v>
      </c>
      <c r="J51" s="48" t="n">
        <v>45669</v>
      </c>
      <c r="K51" s="51" t="str">
        <f aca="false">"Q"&amp;ROUNDUP(MONTH(B51)/3,0)</f>
        <v>Q1</v>
      </c>
      <c r="L51" s="52" t="n">
        <f aca="false">ROUND(G51*H51,2)</f>
        <v>1422.17</v>
      </c>
      <c r="M51" s="52" t="n">
        <f aca="false">IF(AND(C51="Sales",F51="Standard-rated 5%"),L51,0)</f>
        <v>1422.17</v>
      </c>
      <c r="N51" s="52" t="n">
        <f aca="false">IF(F51="Reverse charge (imported services)",L51,0)</f>
        <v>0</v>
      </c>
      <c r="O51" s="52" t="n">
        <f aca="false">IF(C51&lt;&gt;"Purchase",0,IF(OR(I51="N",F51="Blocked input (entertainment)"),0,L51))</f>
        <v>0</v>
      </c>
      <c r="P51" s="52" t="n">
        <f aca="false">IF(C51&lt;&gt;"Purchase",0,L51-O51)</f>
        <v>0</v>
      </c>
      <c r="Q51" s="53" t="n">
        <f aca="false">J51-B51</f>
        <v>0</v>
      </c>
      <c r="R51" s="51" t="str">
        <f aca="false">IF(I51="N","Invalid / missing TRN",IF(F51="Blocked input (entertainment)","Blocked input",IF(Q51&gt;30,"Late posting (&gt;30d)","")))</f>
        <v/>
      </c>
    </row>
    <row r="52" customFormat="false" ht="15" hidden="false" customHeight="false" outlineLevel="0" collapsed="false">
      <c r="A52" s="47" t="s">
        <v>250</v>
      </c>
      <c r="B52" s="48" t="n">
        <v>45670</v>
      </c>
      <c r="C52" s="47" t="s">
        <v>166</v>
      </c>
      <c r="D52" s="47" t="s">
        <v>251</v>
      </c>
      <c r="E52" s="47" t="s">
        <v>102</v>
      </c>
      <c r="F52" s="47" t="s">
        <v>161</v>
      </c>
      <c r="G52" s="49" t="n">
        <v>30858.98</v>
      </c>
      <c r="H52" s="50" t="n">
        <v>0.05</v>
      </c>
      <c r="I52" s="47" t="s">
        <v>162</v>
      </c>
      <c r="J52" s="48" t="n">
        <v>45670</v>
      </c>
      <c r="K52" s="51" t="str">
        <f aca="false">"Q"&amp;ROUNDUP(MONTH(B52)/3,0)</f>
        <v>Q1</v>
      </c>
      <c r="L52" s="52" t="n">
        <f aca="false">ROUND(G52*H52,2)</f>
        <v>1542.95</v>
      </c>
      <c r="M52" s="52" t="n">
        <f aca="false">IF(AND(C52="Sales",F52="Standard-rated 5%"),L52,0)</f>
        <v>0</v>
      </c>
      <c r="N52" s="52" t="n">
        <f aca="false">IF(F52="Reverse charge (imported services)",L52,0)</f>
        <v>0</v>
      </c>
      <c r="O52" s="52" t="n">
        <f aca="false">IF(C52&lt;&gt;"Purchase",0,IF(OR(I52="N",F52="Blocked input (entertainment)"),0,L52))</f>
        <v>1542.95</v>
      </c>
      <c r="P52" s="52" t="n">
        <f aca="false">IF(C52&lt;&gt;"Purchase",0,L52-O52)</f>
        <v>0</v>
      </c>
      <c r="Q52" s="53" t="n">
        <f aca="false">J52-B52</f>
        <v>0</v>
      </c>
      <c r="R52" s="51" t="str">
        <f aca="false">IF(I52="N","Invalid / missing TRN",IF(F52="Blocked input (entertainment)","Blocked input",IF(Q52&gt;30,"Late posting (&gt;30d)","")))</f>
        <v/>
      </c>
    </row>
    <row r="53" customFormat="false" ht="15" hidden="false" customHeight="false" outlineLevel="0" collapsed="false">
      <c r="A53" s="47" t="s">
        <v>252</v>
      </c>
      <c r="B53" s="48" t="n">
        <v>45670</v>
      </c>
      <c r="C53" s="47" t="s">
        <v>166</v>
      </c>
      <c r="D53" s="47" t="s">
        <v>253</v>
      </c>
      <c r="E53" s="47" t="s">
        <v>100</v>
      </c>
      <c r="F53" s="47" t="s">
        <v>161</v>
      </c>
      <c r="G53" s="49" t="n">
        <v>39280.67</v>
      </c>
      <c r="H53" s="50" t="n">
        <v>0.05</v>
      </c>
      <c r="I53" s="47" t="s">
        <v>162</v>
      </c>
      <c r="J53" s="48" t="n">
        <v>45670</v>
      </c>
      <c r="K53" s="51" t="str">
        <f aca="false">"Q"&amp;ROUNDUP(MONTH(B53)/3,0)</f>
        <v>Q1</v>
      </c>
      <c r="L53" s="52" t="n">
        <f aca="false">ROUND(G53*H53,2)</f>
        <v>1964.03</v>
      </c>
      <c r="M53" s="52" t="n">
        <f aca="false">IF(AND(C53="Sales",F53="Standard-rated 5%"),L53,0)</f>
        <v>0</v>
      </c>
      <c r="N53" s="52" t="n">
        <f aca="false">IF(F53="Reverse charge (imported services)",L53,0)</f>
        <v>0</v>
      </c>
      <c r="O53" s="52" t="n">
        <f aca="false">IF(C53&lt;&gt;"Purchase",0,IF(OR(I53="N",F53="Blocked input (entertainment)"),0,L53))</f>
        <v>1964.03</v>
      </c>
      <c r="P53" s="52" t="n">
        <f aca="false">IF(C53&lt;&gt;"Purchase",0,L53-O53)</f>
        <v>0</v>
      </c>
      <c r="Q53" s="53" t="n">
        <f aca="false">J53-B53</f>
        <v>0</v>
      </c>
      <c r="R53" s="51" t="str">
        <f aca="false">IF(I53="N","Invalid / missing TRN",IF(F53="Blocked input (entertainment)","Blocked input",IF(Q53&gt;30,"Late posting (&gt;30d)","")))</f>
        <v/>
      </c>
    </row>
    <row r="54" customFormat="false" ht="15" hidden="false" customHeight="false" outlineLevel="0" collapsed="false">
      <c r="A54" s="47" t="s">
        <v>254</v>
      </c>
      <c r="B54" s="48" t="n">
        <v>45670</v>
      </c>
      <c r="C54" s="47" t="s">
        <v>166</v>
      </c>
      <c r="D54" s="47" t="s">
        <v>255</v>
      </c>
      <c r="E54" s="47" t="s">
        <v>103</v>
      </c>
      <c r="F54" s="47" t="s">
        <v>161</v>
      </c>
      <c r="G54" s="49" t="n">
        <v>28887.86</v>
      </c>
      <c r="H54" s="50" t="n">
        <v>0.05</v>
      </c>
      <c r="I54" s="47" t="s">
        <v>162</v>
      </c>
      <c r="J54" s="48" t="n">
        <v>45670</v>
      </c>
      <c r="K54" s="51" t="str">
        <f aca="false">"Q"&amp;ROUNDUP(MONTH(B54)/3,0)</f>
        <v>Q1</v>
      </c>
      <c r="L54" s="52" t="n">
        <f aca="false">ROUND(G54*H54,2)</f>
        <v>1444.39</v>
      </c>
      <c r="M54" s="52" t="n">
        <f aca="false">IF(AND(C54="Sales",F54="Standard-rated 5%"),L54,0)</f>
        <v>0</v>
      </c>
      <c r="N54" s="52" t="n">
        <f aca="false">IF(F54="Reverse charge (imported services)",L54,0)</f>
        <v>0</v>
      </c>
      <c r="O54" s="52" t="n">
        <f aca="false">IF(C54&lt;&gt;"Purchase",0,IF(OR(I54="N",F54="Blocked input (entertainment)"),0,L54))</f>
        <v>1444.39</v>
      </c>
      <c r="P54" s="52" t="n">
        <f aca="false">IF(C54&lt;&gt;"Purchase",0,L54-O54)</f>
        <v>0</v>
      </c>
      <c r="Q54" s="53" t="n">
        <f aca="false">J54-B54</f>
        <v>0</v>
      </c>
      <c r="R54" s="51" t="str">
        <f aca="false">IF(I54="N","Invalid / missing TRN",IF(F54="Blocked input (entertainment)","Blocked input",IF(Q54&gt;30,"Late posting (&gt;30d)","")))</f>
        <v/>
      </c>
    </row>
    <row r="55" customFormat="false" ht="15" hidden="false" customHeight="false" outlineLevel="0" collapsed="false">
      <c r="A55" s="47" t="s">
        <v>256</v>
      </c>
      <c r="B55" s="48" t="n">
        <v>45670</v>
      </c>
      <c r="C55" s="47" t="s">
        <v>166</v>
      </c>
      <c r="D55" s="47" t="s">
        <v>257</v>
      </c>
      <c r="E55" s="47" t="s">
        <v>100</v>
      </c>
      <c r="F55" s="47" t="s">
        <v>161</v>
      </c>
      <c r="G55" s="49" t="n">
        <v>2893.54</v>
      </c>
      <c r="H55" s="50" t="n">
        <v>0.05</v>
      </c>
      <c r="I55" s="47" t="s">
        <v>162</v>
      </c>
      <c r="J55" s="48" t="n">
        <v>45670</v>
      </c>
      <c r="K55" s="51" t="str">
        <f aca="false">"Q"&amp;ROUNDUP(MONTH(B55)/3,0)</f>
        <v>Q1</v>
      </c>
      <c r="L55" s="52" t="n">
        <f aca="false">ROUND(G55*H55,2)</f>
        <v>144.68</v>
      </c>
      <c r="M55" s="52" t="n">
        <f aca="false">IF(AND(C55="Sales",F55="Standard-rated 5%"),L55,0)</f>
        <v>0</v>
      </c>
      <c r="N55" s="52" t="n">
        <f aca="false">IF(F55="Reverse charge (imported services)",L55,0)</f>
        <v>0</v>
      </c>
      <c r="O55" s="52" t="n">
        <f aca="false">IF(C55&lt;&gt;"Purchase",0,IF(OR(I55="N",F55="Blocked input (entertainment)"),0,L55))</f>
        <v>144.68</v>
      </c>
      <c r="P55" s="52" t="n">
        <f aca="false">IF(C55&lt;&gt;"Purchase",0,L55-O55)</f>
        <v>0</v>
      </c>
      <c r="Q55" s="53" t="n">
        <f aca="false">J55-B55</f>
        <v>0</v>
      </c>
      <c r="R55" s="51" t="str">
        <f aca="false">IF(I55="N","Invalid / missing TRN",IF(F55="Blocked input (entertainment)","Blocked input",IF(Q55&gt;30,"Late posting (&gt;30d)","")))</f>
        <v/>
      </c>
    </row>
    <row r="56" customFormat="false" ht="15" hidden="false" customHeight="false" outlineLevel="0" collapsed="false">
      <c r="A56" s="47" t="s">
        <v>258</v>
      </c>
      <c r="B56" s="48" t="n">
        <v>45670</v>
      </c>
      <c r="C56" s="47" t="s">
        <v>166</v>
      </c>
      <c r="D56" s="47" t="s">
        <v>172</v>
      </c>
      <c r="E56" s="47" t="s">
        <v>100</v>
      </c>
      <c r="F56" s="47" t="s">
        <v>161</v>
      </c>
      <c r="G56" s="49" t="n">
        <v>24947.49</v>
      </c>
      <c r="H56" s="50" t="n">
        <v>0.05</v>
      </c>
      <c r="I56" s="47" t="s">
        <v>162</v>
      </c>
      <c r="J56" s="48" t="n">
        <v>45670</v>
      </c>
      <c r="K56" s="51" t="str">
        <f aca="false">"Q"&amp;ROUNDUP(MONTH(B56)/3,0)</f>
        <v>Q1</v>
      </c>
      <c r="L56" s="52" t="n">
        <f aca="false">ROUND(G56*H56,2)</f>
        <v>1247.37</v>
      </c>
      <c r="M56" s="52" t="n">
        <f aca="false">IF(AND(C56="Sales",F56="Standard-rated 5%"),L56,0)</f>
        <v>0</v>
      </c>
      <c r="N56" s="52" t="n">
        <f aca="false">IF(F56="Reverse charge (imported services)",L56,0)</f>
        <v>0</v>
      </c>
      <c r="O56" s="52" t="n">
        <f aca="false">IF(C56&lt;&gt;"Purchase",0,IF(OR(I56="N",F56="Blocked input (entertainment)"),0,L56))</f>
        <v>1247.37</v>
      </c>
      <c r="P56" s="52" t="n">
        <f aca="false">IF(C56&lt;&gt;"Purchase",0,L56-O56)</f>
        <v>0</v>
      </c>
      <c r="Q56" s="53" t="n">
        <f aca="false">J56-B56</f>
        <v>0</v>
      </c>
      <c r="R56" s="51" t="str">
        <f aca="false">IF(I56="N","Invalid / missing TRN",IF(F56="Blocked input (entertainment)","Blocked input",IF(Q56&gt;30,"Late posting (&gt;30d)","")))</f>
        <v/>
      </c>
    </row>
    <row r="57" customFormat="false" ht="15" hidden="false" customHeight="false" outlineLevel="0" collapsed="false">
      <c r="A57" s="47" t="s">
        <v>259</v>
      </c>
      <c r="B57" s="48" t="n">
        <v>45670</v>
      </c>
      <c r="C57" s="47" t="s">
        <v>159</v>
      </c>
      <c r="D57" s="47" t="s">
        <v>260</v>
      </c>
      <c r="E57" s="47" t="s">
        <v>101</v>
      </c>
      <c r="F57" s="47" t="s">
        <v>161</v>
      </c>
      <c r="G57" s="49" t="n">
        <v>33020.38</v>
      </c>
      <c r="H57" s="50" t="n">
        <v>0.05</v>
      </c>
      <c r="I57" s="47" t="s">
        <v>162</v>
      </c>
      <c r="J57" s="48" t="n">
        <v>45670</v>
      </c>
      <c r="K57" s="51" t="str">
        <f aca="false">"Q"&amp;ROUNDUP(MONTH(B57)/3,0)</f>
        <v>Q1</v>
      </c>
      <c r="L57" s="52" t="n">
        <f aca="false">ROUND(G57*H57,2)</f>
        <v>1651.02</v>
      </c>
      <c r="M57" s="52" t="n">
        <f aca="false">IF(AND(C57="Sales",F57="Standard-rated 5%"),L57,0)</f>
        <v>1651.02</v>
      </c>
      <c r="N57" s="52" t="n">
        <f aca="false">IF(F57="Reverse charge (imported services)",L57,0)</f>
        <v>0</v>
      </c>
      <c r="O57" s="52" t="n">
        <f aca="false">IF(C57&lt;&gt;"Purchase",0,IF(OR(I57="N",F57="Blocked input (entertainment)"),0,L57))</f>
        <v>0</v>
      </c>
      <c r="P57" s="52" t="n">
        <f aca="false">IF(C57&lt;&gt;"Purchase",0,L57-O57)</f>
        <v>0</v>
      </c>
      <c r="Q57" s="53" t="n">
        <f aca="false">J57-B57</f>
        <v>0</v>
      </c>
      <c r="R57" s="51" t="str">
        <f aca="false">IF(I57="N","Invalid / missing TRN",IF(F57="Blocked input (entertainment)","Blocked input",IF(Q57&gt;30,"Late posting (&gt;30d)","")))</f>
        <v/>
      </c>
    </row>
    <row r="58" customFormat="false" ht="15" hidden="false" customHeight="false" outlineLevel="0" collapsed="false">
      <c r="A58" s="47" t="s">
        <v>261</v>
      </c>
      <c r="B58" s="48" t="n">
        <v>45670</v>
      </c>
      <c r="C58" s="47" t="s">
        <v>159</v>
      </c>
      <c r="D58" s="47" t="s">
        <v>262</v>
      </c>
      <c r="E58" s="47" t="s">
        <v>105</v>
      </c>
      <c r="F58" s="47" t="s">
        <v>161</v>
      </c>
      <c r="G58" s="49" t="n">
        <v>57877.93</v>
      </c>
      <c r="H58" s="50" t="n">
        <v>0.05</v>
      </c>
      <c r="I58" s="47" t="s">
        <v>162</v>
      </c>
      <c r="J58" s="48" t="n">
        <v>45670</v>
      </c>
      <c r="K58" s="51" t="str">
        <f aca="false">"Q"&amp;ROUNDUP(MONTH(B58)/3,0)</f>
        <v>Q1</v>
      </c>
      <c r="L58" s="52" t="n">
        <f aca="false">ROUND(G58*H58,2)</f>
        <v>2893.9</v>
      </c>
      <c r="M58" s="52" t="n">
        <f aca="false">IF(AND(C58="Sales",F58="Standard-rated 5%"),L58,0)</f>
        <v>2893.9</v>
      </c>
      <c r="N58" s="52" t="n">
        <f aca="false">IF(F58="Reverse charge (imported services)",L58,0)</f>
        <v>0</v>
      </c>
      <c r="O58" s="52" t="n">
        <f aca="false">IF(C58&lt;&gt;"Purchase",0,IF(OR(I58="N",F58="Blocked input (entertainment)"),0,L58))</f>
        <v>0</v>
      </c>
      <c r="P58" s="52" t="n">
        <f aca="false">IF(C58&lt;&gt;"Purchase",0,L58-O58)</f>
        <v>0</v>
      </c>
      <c r="Q58" s="53" t="n">
        <f aca="false">J58-B58</f>
        <v>0</v>
      </c>
      <c r="R58" s="51" t="str">
        <f aca="false">IF(I58="N","Invalid / missing TRN",IF(F58="Blocked input (entertainment)","Blocked input",IF(Q58&gt;30,"Late posting (&gt;30d)","")))</f>
        <v/>
      </c>
    </row>
    <row r="59" customFormat="false" ht="15" hidden="false" customHeight="false" outlineLevel="0" collapsed="false">
      <c r="A59" s="47" t="s">
        <v>263</v>
      </c>
      <c r="B59" s="48" t="n">
        <v>45671</v>
      </c>
      <c r="C59" s="47" t="s">
        <v>166</v>
      </c>
      <c r="D59" s="47" t="s">
        <v>264</v>
      </c>
      <c r="E59" s="47" t="s">
        <v>102</v>
      </c>
      <c r="F59" s="47" t="s">
        <v>161</v>
      </c>
      <c r="G59" s="49" t="n">
        <v>13220.29</v>
      </c>
      <c r="H59" s="50" t="n">
        <v>0.05</v>
      </c>
      <c r="I59" s="47" t="s">
        <v>162</v>
      </c>
      <c r="J59" s="48" t="n">
        <v>45673</v>
      </c>
      <c r="K59" s="51" t="str">
        <f aca="false">"Q"&amp;ROUNDUP(MONTH(B59)/3,0)</f>
        <v>Q1</v>
      </c>
      <c r="L59" s="52" t="n">
        <f aca="false">ROUND(G59*H59,2)</f>
        <v>661.01</v>
      </c>
      <c r="M59" s="52" t="n">
        <f aca="false">IF(AND(C59="Sales",F59="Standard-rated 5%"),L59,0)</f>
        <v>0</v>
      </c>
      <c r="N59" s="52" t="n">
        <f aca="false">IF(F59="Reverse charge (imported services)",L59,0)</f>
        <v>0</v>
      </c>
      <c r="O59" s="52" t="n">
        <f aca="false">IF(C59&lt;&gt;"Purchase",0,IF(OR(I59="N",F59="Blocked input (entertainment)"),0,L59))</f>
        <v>661.01</v>
      </c>
      <c r="P59" s="52" t="n">
        <f aca="false">IF(C59&lt;&gt;"Purchase",0,L59-O59)</f>
        <v>0</v>
      </c>
      <c r="Q59" s="53" t="n">
        <f aca="false">J59-B59</f>
        <v>2</v>
      </c>
      <c r="R59" s="51" t="str">
        <f aca="false">IF(I59="N","Invalid / missing TRN",IF(F59="Blocked input (entertainment)","Blocked input",IF(Q59&gt;30,"Late posting (&gt;30d)","")))</f>
        <v/>
      </c>
    </row>
    <row r="60" customFormat="false" ht="15" hidden="false" customHeight="false" outlineLevel="0" collapsed="false">
      <c r="A60" s="47" t="s">
        <v>265</v>
      </c>
      <c r="B60" s="48" t="n">
        <v>45671</v>
      </c>
      <c r="C60" s="47" t="s">
        <v>166</v>
      </c>
      <c r="D60" s="47" t="s">
        <v>253</v>
      </c>
      <c r="E60" s="47" t="s">
        <v>101</v>
      </c>
      <c r="F60" s="47" t="s">
        <v>161</v>
      </c>
      <c r="G60" s="49" t="n">
        <v>85158.35</v>
      </c>
      <c r="H60" s="50" t="n">
        <v>0.05</v>
      </c>
      <c r="I60" s="47" t="s">
        <v>162</v>
      </c>
      <c r="J60" s="48" t="n">
        <v>45671</v>
      </c>
      <c r="K60" s="51" t="str">
        <f aca="false">"Q"&amp;ROUNDUP(MONTH(B60)/3,0)</f>
        <v>Q1</v>
      </c>
      <c r="L60" s="52" t="n">
        <f aca="false">ROUND(G60*H60,2)</f>
        <v>4257.92</v>
      </c>
      <c r="M60" s="52" t="n">
        <f aca="false">IF(AND(C60="Sales",F60="Standard-rated 5%"),L60,0)</f>
        <v>0</v>
      </c>
      <c r="N60" s="52" t="n">
        <f aca="false">IF(F60="Reverse charge (imported services)",L60,0)</f>
        <v>0</v>
      </c>
      <c r="O60" s="52" t="n">
        <f aca="false">IF(C60&lt;&gt;"Purchase",0,IF(OR(I60="N",F60="Blocked input (entertainment)"),0,L60))</f>
        <v>4257.92</v>
      </c>
      <c r="P60" s="52" t="n">
        <f aca="false">IF(C60&lt;&gt;"Purchase",0,L60-O60)</f>
        <v>0</v>
      </c>
      <c r="Q60" s="53" t="n">
        <f aca="false">J60-B60</f>
        <v>0</v>
      </c>
      <c r="R60" s="51" t="str">
        <f aca="false">IF(I60="N","Invalid / missing TRN",IF(F60="Blocked input (entertainment)","Blocked input",IF(Q60&gt;30,"Late posting (&gt;30d)","")))</f>
        <v/>
      </c>
    </row>
    <row r="61" customFormat="false" ht="15" hidden="false" customHeight="false" outlineLevel="0" collapsed="false">
      <c r="A61" s="47" t="s">
        <v>266</v>
      </c>
      <c r="B61" s="48" t="n">
        <v>45671</v>
      </c>
      <c r="C61" s="47" t="s">
        <v>166</v>
      </c>
      <c r="D61" s="47" t="s">
        <v>267</v>
      </c>
      <c r="E61" s="47" t="s">
        <v>101</v>
      </c>
      <c r="F61" s="47" t="s">
        <v>268</v>
      </c>
      <c r="G61" s="49" t="n">
        <v>25971.57</v>
      </c>
      <c r="H61" s="50" t="n">
        <v>0</v>
      </c>
      <c r="I61" s="47" t="s">
        <v>162</v>
      </c>
      <c r="J61" s="48" t="n">
        <v>45711</v>
      </c>
      <c r="K61" s="51" t="str">
        <f aca="false">"Q"&amp;ROUNDUP(MONTH(B61)/3,0)</f>
        <v>Q1</v>
      </c>
      <c r="L61" s="52" t="n">
        <f aca="false">ROUND(G61*H61,2)</f>
        <v>0</v>
      </c>
      <c r="M61" s="52" t="n">
        <f aca="false">IF(AND(C61="Sales",F61="Standard-rated 5%"),L61,0)</f>
        <v>0</v>
      </c>
      <c r="N61" s="52" t="n">
        <f aca="false">IF(F61="Reverse charge (imported services)",L61,0)</f>
        <v>0</v>
      </c>
      <c r="O61" s="52" t="n">
        <f aca="false">IF(C61&lt;&gt;"Purchase",0,IF(OR(I61="N",F61="Blocked input (entertainment)"),0,L61))</f>
        <v>0</v>
      </c>
      <c r="P61" s="52" t="n">
        <f aca="false">IF(C61&lt;&gt;"Purchase",0,L61-O61)</f>
        <v>0</v>
      </c>
      <c r="Q61" s="53" t="n">
        <f aca="false">J61-B61</f>
        <v>40</v>
      </c>
      <c r="R61" s="51" t="str">
        <f aca="false">IF(I61="N","Invalid / missing TRN",IF(F61="Blocked input (entertainment)","Blocked input",IF(Q61&gt;30,"Late posting (&gt;30d)","")))</f>
        <v>Late posting (&gt;30d)</v>
      </c>
    </row>
    <row r="62" customFormat="false" ht="15" hidden="false" customHeight="false" outlineLevel="0" collapsed="false">
      <c r="A62" s="47" t="s">
        <v>269</v>
      </c>
      <c r="B62" s="48" t="n">
        <v>45671</v>
      </c>
      <c r="C62" s="47" t="s">
        <v>159</v>
      </c>
      <c r="D62" s="47" t="s">
        <v>216</v>
      </c>
      <c r="E62" s="47" t="s">
        <v>100</v>
      </c>
      <c r="F62" s="47" t="s">
        <v>161</v>
      </c>
      <c r="G62" s="49" t="n">
        <v>61960.95</v>
      </c>
      <c r="H62" s="50" t="n">
        <v>0.05</v>
      </c>
      <c r="I62" s="47" t="s">
        <v>162</v>
      </c>
      <c r="J62" s="48" t="n">
        <v>45671</v>
      </c>
      <c r="K62" s="51" t="str">
        <f aca="false">"Q"&amp;ROUNDUP(MONTH(B62)/3,0)</f>
        <v>Q1</v>
      </c>
      <c r="L62" s="52" t="n">
        <f aca="false">ROUND(G62*H62,2)</f>
        <v>3098.05</v>
      </c>
      <c r="M62" s="52" t="n">
        <f aca="false">IF(AND(C62="Sales",F62="Standard-rated 5%"),L62,0)</f>
        <v>3098.05</v>
      </c>
      <c r="N62" s="52" t="n">
        <f aca="false">IF(F62="Reverse charge (imported services)",L62,0)</f>
        <v>0</v>
      </c>
      <c r="O62" s="52" t="n">
        <f aca="false">IF(C62&lt;&gt;"Purchase",0,IF(OR(I62="N",F62="Blocked input (entertainment)"),0,L62))</f>
        <v>0</v>
      </c>
      <c r="P62" s="52" t="n">
        <f aca="false">IF(C62&lt;&gt;"Purchase",0,L62-O62)</f>
        <v>0</v>
      </c>
      <c r="Q62" s="53" t="n">
        <f aca="false">J62-B62</f>
        <v>0</v>
      </c>
      <c r="R62" s="51" t="str">
        <f aca="false">IF(I62="N","Invalid / missing TRN",IF(F62="Blocked input (entertainment)","Blocked input",IF(Q62&gt;30,"Late posting (&gt;30d)","")))</f>
        <v/>
      </c>
    </row>
    <row r="63" customFormat="false" ht="15" hidden="false" customHeight="false" outlineLevel="0" collapsed="false">
      <c r="A63" s="47" t="s">
        <v>270</v>
      </c>
      <c r="B63" s="48" t="n">
        <v>45672</v>
      </c>
      <c r="C63" s="47" t="s">
        <v>166</v>
      </c>
      <c r="D63" s="47" t="s">
        <v>206</v>
      </c>
      <c r="E63" s="47" t="s">
        <v>102</v>
      </c>
      <c r="F63" s="47" t="s">
        <v>161</v>
      </c>
      <c r="G63" s="49" t="n">
        <v>49100.89</v>
      </c>
      <c r="H63" s="50" t="n">
        <v>0.05</v>
      </c>
      <c r="I63" s="47" t="s">
        <v>162</v>
      </c>
      <c r="J63" s="48" t="n">
        <v>45712</v>
      </c>
      <c r="K63" s="51" t="str">
        <f aca="false">"Q"&amp;ROUNDUP(MONTH(B63)/3,0)</f>
        <v>Q1</v>
      </c>
      <c r="L63" s="52" t="n">
        <f aca="false">ROUND(G63*H63,2)</f>
        <v>2455.04</v>
      </c>
      <c r="M63" s="52" t="n">
        <f aca="false">IF(AND(C63="Sales",F63="Standard-rated 5%"),L63,0)</f>
        <v>0</v>
      </c>
      <c r="N63" s="52" t="n">
        <f aca="false">IF(F63="Reverse charge (imported services)",L63,0)</f>
        <v>0</v>
      </c>
      <c r="O63" s="52" t="n">
        <f aca="false">IF(C63&lt;&gt;"Purchase",0,IF(OR(I63="N",F63="Blocked input (entertainment)"),0,L63))</f>
        <v>2455.04</v>
      </c>
      <c r="P63" s="52" t="n">
        <f aca="false">IF(C63&lt;&gt;"Purchase",0,L63-O63)</f>
        <v>0</v>
      </c>
      <c r="Q63" s="53" t="n">
        <f aca="false">J63-B63</f>
        <v>40</v>
      </c>
      <c r="R63" s="51" t="str">
        <f aca="false">IF(I63="N","Invalid / missing TRN",IF(F63="Blocked input (entertainment)","Blocked input",IF(Q63&gt;30,"Late posting (&gt;30d)","")))</f>
        <v>Late posting (&gt;30d)</v>
      </c>
    </row>
    <row r="64" customFormat="false" ht="15" hidden="false" customHeight="false" outlineLevel="0" collapsed="false">
      <c r="A64" s="47" t="s">
        <v>271</v>
      </c>
      <c r="B64" s="48" t="n">
        <v>45672</v>
      </c>
      <c r="C64" s="47" t="s">
        <v>166</v>
      </c>
      <c r="D64" s="47" t="s">
        <v>272</v>
      </c>
      <c r="E64" s="47" t="s">
        <v>101</v>
      </c>
      <c r="F64" s="47" t="s">
        <v>161</v>
      </c>
      <c r="G64" s="49" t="n">
        <v>11351.81</v>
      </c>
      <c r="H64" s="50" t="n">
        <v>0.05</v>
      </c>
      <c r="I64" s="47" t="s">
        <v>162</v>
      </c>
      <c r="J64" s="48" t="n">
        <v>45672</v>
      </c>
      <c r="K64" s="51" t="str">
        <f aca="false">"Q"&amp;ROUNDUP(MONTH(B64)/3,0)</f>
        <v>Q1</v>
      </c>
      <c r="L64" s="52" t="n">
        <f aca="false">ROUND(G64*H64,2)</f>
        <v>567.59</v>
      </c>
      <c r="M64" s="52" t="n">
        <f aca="false">IF(AND(C64="Sales",F64="Standard-rated 5%"),L64,0)</f>
        <v>0</v>
      </c>
      <c r="N64" s="52" t="n">
        <f aca="false">IF(F64="Reverse charge (imported services)",L64,0)</f>
        <v>0</v>
      </c>
      <c r="O64" s="52" t="n">
        <f aca="false">IF(C64&lt;&gt;"Purchase",0,IF(OR(I64="N",F64="Blocked input (entertainment)"),0,L64))</f>
        <v>567.59</v>
      </c>
      <c r="P64" s="52" t="n">
        <f aca="false">IF(C64&lt;&gt;"Purchase",0,L64-O64)</f>
        <v>0</v>
      </c>
      <c r="Q64" s="53" t="n">
        <f aca="false">J64-B64</f>
        <v>0</v>
      </c>
      <c r="R64" s="51" t="str">
        <f aca="false">IF(I64="N","Invalid / missing TRN",IF(F64="Blocked input (entertainment)","Blocked input",IF(Q64&gt;30,"Late posting (&gt;30d)","")))</f>
        <v/>
      </c>
    </row>
    <row r="65" customFormat="false" ht="15" hidden="false" customHeight="false" outlineLevel="0" collapsed="false">
      <c r="A65" s="47" t="s">
        <v>273</v>
      </c>
      <c r="B65" s="48" t="n">
        <v>45672</v>
      </c>
      <c r="C65" s="47" t="s">
        <v>166</v>
      </c>
      <c r="D65" s="47" t="s">
        <v>274</v>
      </c>
      <c r="E65" s="47" t="s">
        <v>100</v>
      </c>
      <c r="F65" s="47" t="s">
        <v>173</v>
      </c>
      <c r="G65" s="49" t="n">
        <v>108447.42</v>
      </c>
      <c r="H65" s="50" t="n">
        <v>0.05</v>
      </c>
      <c r="I65" s="47" t="s">
        <v>162</v>
      </c>
      <c r="J65" s="48" t="n">
        <v>45673</v>
      </c>
      <c r="K65" s="51" t="str">
        <f aca="false">"Q"&amp;ROUNDUP(MONTH(B65)/3,0)</f>
        <v>Q1</v>
      </c>
      <c r="L65" s="52" t="n">
        <f aca="false">ROUND(G65*H65,2)</f>
        <v>5422.37</v>
      </c>
      <c r="M65" s="52" t="n">
        <f aca="false">IF(AND(C65="Sales",F65="Standard-rated 5%"),L65,0)</f>
        <v>0</v>
      </c>
      <c r="N65" s="52" t="n">
        <f aca="false">IF(F65="Reverse charge (imported services)",L65,0)</f>
        <v>5422.37</v>
      </c>
      <c r="O65" s="52" t="n">
        <f aca="false">IF(C65&lt;&gt;"Purchase",0,IF(OR(I65="N",F65="Blocked input (entertainment)"),0,L65))</f>
        <v>5422.37</v>
      </c>
      <c r="P65" s="52" t="n">
        <f aca="false">IF(C65&lt;&gt;"Purchase",0,L65-O65)</f>
        <v>0</v>
      </c>
      <c r="Q65" s="53" t="n">
        <f aca="false">J65-B65</f>
        <v>1</v>
      </c>
      <c r="R65" s="51" t="str">
        <f aca="false">IF(I65="N","Invalid / missing TRN",IF(F65="Blocked input (entertainment)","Blocked input",IF(Q65&gt;30,"Late posting (&gt;30d)","")))</f>
        <v/>
      </c>
    </row>
    <row r="66" customFormat="false" ht="15" hidden="false" customHeight="false" outlineLevel="0" collapsed="false">
      <c r="A66" s="47" t="s">
        <v>275</v>
      </c>
      <c r="B66" s="48" t="n">
        <v>45673</v>
      </c>
      <c r="C66" s="47" t="s">
        <v>166</v>
      </c>
      <c r="D66" s="47" t="s">
        <v>251</v>
      </c>
      <c r="E66" s="47" t="s">
        <v>103</v>
      </c>
      <c r="F66" s="47" t="s">
        <v>173</v>
      </c>
      <c r="G66" s="49" t="n">
        <v>26865.48</v>
      </c>
      <c r="H66" s="50" t="n">
        <v>0.05</v>
      </c>
      <c r="I66" s="47" t="s">
        <v>162</v>
      </c>
      <c r="J66" s="48" t="n">
        <v>45673</v>
      </c>
      <c r="K66" s="51" t="str">
        <f aca="false">"Q"&amp;ROUNDUP(MONTH(B66)/3,0)</f>
        <v>Q1</v>
      </c>
      <c r="L66" s="52" t="n">
        <f aca="false">ROUND(G66*H66,2)</f>
        <v>1343.27</v>
      </c>
      <c r="M66" s="52" t="n">
        <f aca="false">IF(AND(C66="Sales",F66="Standard-rated 5%"),L66,0)</f>
        <v>0</v>
      </c>
      <c r="N66" s="52" t="n">
        <f aca="false">IF(F66="Reverse charge (imported services)",L66,0)</f>
        <v>1343.27</v>
      </c>
      <c r="O66" s="52" t="n">
        <f aca="false">IF(C66&lt;&gt;"Purchase",0,IF(OR(I66="N",F66="Blocked input (entertainment)"),0,L66))</f>
        <v>1343.27</v>
      </c>
      <c r="P66" s="52" t="n">
        <f aca="false">IF(C66&lt;&gt;"Purchase",0,L66-O66)</f>
        <v>0</v>
      </c>
      <c r="Q66" s="53" t="n">
        <f aca="false">J66-B66</f>
        <v>0</v>
      </c>
      <c r="R66" s="51" t="str">
        <f aca="false">IF(I66="N","Invalid / missing TRN",IF(F66="Blocked input (entertainment)","Blocked input",IF(Q66&gt;30,"Late posting (&gt;30d)","")))</f>
        <v/>
      </c>
    </row>
    <row r="67" customFormat="false" ht="15" hidden="false" customHeight="false" outlineLevel="0" collapsed="false">
      <c r="A67" s="47" t="s">
        <v>276</v>
      </c>
      <c r="B67" s="48" t="n">
        <v>45673</v>
      </c>
      <c r="C67" s="47" t="s">
        <v>159</v>
      </c>
      <c r="D67" s="47" t="s">
        <v>277</v>
      </c>
      <c r="E67" s="47" t="s">
        <v>101</v>
      </c>
      <c r="F67" s="47" t="s">
        <v>278</v>
      </c>
      <c r="G67" s="49" t="n">
        <v>19320.74</v>
      </c>
      <c r="H67" s="50" t="n">
        <v>0</v>
      </c>
      <c r="I67" s="47" t="s">
        <v>162</v>
      </c>
      <c r="J67" s="48" t="n">
        <v>45673</v>
      </c>
      <c r="K67" s="51" t="str">
        <f aca="false">"Q"&amp;ROUNDUP(MONTH(B67)/3,0)</f>
        <v>Q1</v>
      </c>
      <c r="L67" s="52" t="n">
        <f aca="false">ROUND(G67*H67,2)</f>
        <v>0</v>
      </c>
      <c r="M67" s="52" t="n">
        <f aca="false">IF(AND(C67="Sales",F67="Standard-rated 5%"),L67,0)</f>
        <v>0</v>
      </c>
      <c r="N67" s="52" t="n">
        <f aca="false">IF(F67="Reverse charge (imported services)",L67,0)</f>
        <v>0</v>
      </c>
      <c r="O67" s="52" t="n">
        <f aca="false">IF(C67&lt;&gt;"Purchase",0,IF(OR(I67="N",F67="Blocked input (entertainment)"),0,L67))</f>
        <v>0</v>
      </c>
      <c r="P67" s="52" t="n">
        <f aca="false">IF(C67&lt;&gt;"Purchase",0,L67-O67)</f>
        <v>0</v>
      </c>
      <c r="Q67" s="53" t="n">
        <f aca="false">J67-B67</f>
        <v>0</v>
      </c>
      <c r="R67" s="51" t="str">
        <f aca="false">IF(I67="N","Invalid / missing TRN",IF(F67="Blocked input (entertainment)","Blocked input",IF(Q67&gt;30,"Late posting (&gt;30d)","")))</f>
        <v/>
      </c>
    </row>
    <row r="68" customFormat="false" ht="15" hidden="false" customHeight="false" outlineLevel="0" collapsed="false">
      <c r="A68" s="47" t="s">
        <v>279</v>
      </c>
      <c r="B68" s="48" t="n">
        <v>45674</v>
      </c>
      <c r="C68" s="47" t="s">
        <v>166</v>
      </c>
      <c r="D68" s="47" t="s">
        <v>280</v>
      </c>
      <c r="E68" s="47" t="s">
        <v>100</v>
      </c>
      <c r="F68" s="47" t="s">
        <v>161</v>
      </c>
      <c r="G68" s="49" t="n">
        <v>31931.64</v>
      </c>
      <c r="H68" s="50" t="n">
        <v>0.05</v>
      </c>
      <c r="I68" s="47" t="s">
        <v>162</v>
      </c>
      <c r="J68" s="48" t="n">
        <v>45674</v>
      </c>
      <c r="K68" s="51" t="str">
        <f aca="false">"Q"&amp;ROUNDUP(MONTH(B68)/3,0)</f>
        <v>Q1</v>
      </c>
      <c r="L68" s="52" t="n">
        <f aca="false">ROUND(G68*H68,2)</f>
        <v>1596.58</v>
      </c>
      <c r="M68" s="52" t="n">
        <f aca="false">IF(AND(C68="Sales",F68="Standard-rated 5%"),L68,0)</f>
        <v>0</v>
      </c>
      <c r="N68" s="52" t="n">
        <f aca="false">IF(F68="Reverse charge (imported services)",L68,0)</f>
        <v>0</v>
      </c>
      <c r="O68" s="52" t="n">
        <f aca="false">IF(C68&lt;&gt;"Purchase",0,IF(OR(I68="N",F68="Blocked input (entertainment)"),0,L68))</f>
        <v>1596.58</v>
      </c>
      <c r="P68" s="52" t="n">
        <f aca="false">IF(C68&lt;&gt;"Purchase",0,L68-O68)</f>
        <v>0</v>
      </c>
      <c r="Q68" s="53" t="n">
        <f aca="false">J68-B68</f>
        <v>0</v>
      </c>
      <c r="R68" s="51" t="str">
        <f aca="false">IF(I68="N","Invalid / missing TRN",IF(F68="Blocked input (entertainment)","Blocked input",IF(Q68&gt;30,"Late posting (&gt;30d)","")))</f>
        <v/>
      </c>
    </row>
    <row r="69" customFormat="false" ht="15" hidden="false" customHeight="false" outlineLevel="0" collapsed="false">
      <c r="A69" s="47" t="s">
        <v>281</v>
      </c>
      <c r="B69" s="48" t="n">
        <v>45674</v>
      </c>
      <c r="C69" s="47" t="s">
        <v>166</v>
      </c>
      <c r="D69" s="47" t="s">
        <v>272</v>
      </c>
      <c r="E69" s="47" t="s">
        <v>101</v>
      </c>
      <c r="F69" s="47" t="s">
        <v>161</v>
      </c>
      <c r="G69" s="49" t="n">
        <v>16500.76</v>
      </c>
      <c r="H69" s="50" t="n">
        <v>0.05</v>
      </c>
      <c r="I69" s="47" t="s">
        <v>162</v>
      </c>
      <c r="J69" s="48" t="n">
        <v>45674</v>
      </c>
      <c r="K69" s="51" t="str">
        <f aca="false">"Q"&amp;ROUNDUP(MONTH(B69)/3,0)</f>
        <v>Q1</v>
      </c>
      <c r="L69" s="52" t="n">
        <f aca="false">ROUND(G69*H69,2)</f>
        <v>825.04</v>
      </c>
      <c r="M69" s="52" t="n">
        <f aca="false">IF(AND(C69="Sales",F69="Standard-rated 5%"),L69,0)</f>
        <v>0</v>
      </c>
      <c r="N69" s="52" t="n">
        <f aca="false">IF(F69="Reverse charge (imported services)",L69,0)</f>
        <v>0</v>
      </c>
      <c r="O69" s="52" t="n">
        <f aca="false">IF(C69&lt;&gt;"Purchase",0,IF(OR(I69="N",F69="Blocked input (entertainment)"),0,L69))</f>
        <v>825.04</v>
      </c>
      <c r="P69" s="52" t="n">
        <f aca="false">IF(C69&lt;&gt;"Purchase",0,L69-O69)</f>
        <v>0</v>
      </c>
      <c r="Q69" s="53" t="n">
        <f aca="false">J69-B69</f>
        <v>0</v>
      </c>
      <c r="R69" s="51" t="str">
        <f aca="false">IF(I69="N","Invalid / missing TRN",IF(F69="Blocked input (entertainment)","Blocked input",IF(Q69&gt;30,"Late posting (&gt;30d)","")))</f>
        <v/>
      </c>
    </row>
    <row r="70" customFormat="false" ht="15" hidden="false" customHeight="false" outlineLevel="0" collapsed="false">
      <c r="A70" s="47" t="s">
        <v>282</v>
      </c>
      <c r="B70" s="48" t="n">
        <v>45674</v>
      </c>
      <c r="C70" s="47" t="s">
        <v>159</v>
      </c>
      <c r="D70" s="47" t="s">
        <v>283</v>
      </c>
      <c r="E70" s="47" t="s">
        <v>100</v>
      </c>
      <c r="F70" s="47" t="s">
        <v>161</v>
      </c>
      <c r="G70" s="49" t="n">
        <v>42759</v>
      </c>
      <c r="H70" s="50" t="n">
        <v>0.05</v>
      </c>
      <c r="I70" s="47" t="s">
        <v>162</v>
      </c>
      <c r="J70" s="48" t="n">
        <v>45674</v>
      </c>
      <c r="K70" s="51" t="str">
        <f aca="false">"Q"&amp;ROUNDUP(MONTH(B70)/3,0)</f>
        <v>Q1</v>
      </c>
      <c r="L70" s="52" t="n">
        <f aca="false">ROUND(G70*H70,2)</f>
        <v>2137.95</v>
      </c>
      <c r="M70" s="52" t="n">
        <f aca="false">IF(AND(C70="Sales",F70="Standard-rated 5%"),L70,0)</f>
        <v>2137.95</v>
      </c>
      <c r="N70" s="52" t="n">
        <f aca="false">IF(F70="Reverse charge (imported services)",L70,0)</f>
        <v>0</v>
      </c>
      <c r="O70" s="52" t="n">
        <f aca="false">IF(C70&lt;&gt;"Purchase",0,IF(OR(I70="N",F70="Blocked input (entertainment)"),0,L70))</f>
        <v>0</v>
      </c>
      <c r="P70" s="52" t="n">
        <f aca="false">IF(C70&lt;&gt;"Purchase",0,L70-O70)</f>
        <v>0</v>
      </c>
      <c r="Q70" s="53" t="n">
        <f aca="false">J70-B70</f>
        <v>0</v>
      </c>
      <c r="R70" s="51" t="str">
        <f aca="false">IF(I70="N","Invalid / missing TRN",IF(F70="Blocked input (entertainment)","Blocked input",IF(Q70&gt;30,"Late posting (&gt;30d)","")))</f>
        <v/>
      </c>
    </row>
    <row r="71" customFormat="false" ht="15" hidden="false" customHeight="false" outlineLevel="0" collapsed="false">
      <c r="A71" s="47" t="s">
        <v>284</v>
      </c>
      <c r="B71" s="48" t="n">
        <v>45675</v>
      </c>
      <c r="C71" s="47" t="s">
        <v>166</v>
      </c>
      <c r="D71" s="47" t="s">
        <v>285</v>
      </c>
      <c r="E71" s="47" t="s">
        <v>100</v>
      </c>
      <c r="F71" s="47" t="s">
        <v>161</v>
      </c>
      <c r="G71" s="49" t="n">
        <v>31161.87</v>
      </c>
      <c r="H71" s="50" t="n">
        <v>0.05</v>
      </c>
      <c r="I71" s="47" t="s">
        <v>162</v>
      </c>
      <c r="J71" s="48" t="n">
        <v>45677</v>
      </c>
      <c r="K71" s="51" t="str">
        <f aca="false">"Q"&amp;ROUNDUP(MONTH(B71)/3,0)</f>
        <v>Q1</v>
      </c>
      <c r="L71" s="52" t="n">
        <f aca="false">ROUND(G71*H71,2)</f>
        <v>1558.09</v>
      </c>
      <c r="M71" s="52" t="n">
        <f aca="false">IF(AND(C71="Sales",F71="Standard-rated 5%"),L71,0)</f>
        <v>0</v>
      </c>
      <c r="N71" s="52" t="n">
        <f aca="false">IF(F71="Reverse charge (imported services)",L71,0)</f>
        <v>0</v>
      </c>
      <c r="O71" s="52" t="n">
        <f aca="false">IF(C71&lt;&gt;"Purchase",0,IF(OR(I71="N",F71="Blocked input (entertainment)"),0,L71))</f>
        <v>1558.09</v>
      </c>
      <c r="P71" s="52" t="n">
        <f aca="false">IF(C71&lt;&gt;"Purchase",0,L71-O71)</f>
        <v>0</v>
      </c>
      <c r="Q71" s="53" t="n">
        <f aca="false">J71-B71</f>
        <v>2</v>
      </c>
      <c r="R71" s="51" t="str">
        <f aca="false">IF(I71="N","Invalid / missing TRN",IF(F71="Blocked input (entertainment)","Blocked input",IF(Q71&gt;30,"Late posting (&gt;30d)","")))</f>
        <v/>
      </c>
    </row>
    <row r="72" customFormat="false" ht="15" hidden="false" customHeight="false" outlineLevel="0" collapsed="false">
      <c r="A72" s="47" t="s">
        <v>286</v>
      </c>
      <c r="B72" s="48" t="n">
        <v>45675</v>
      </c>
      <c r="C72" s="47" t="s">
        <v>166</v>
      </c>
      <c r="D72" s="47" t="s">
        <v>192</v>
      </c>
      <c r="E72" s="47" t="s">
        <v>101</v>
      </c>
      <c r="F72" s="47" t="s">
        <v>161</v>
      </c>
      <c r="G72" s="49" t="n">
        <v>71999.2</v>
      </c>
      <c r="H72" s="50" t="n">
        <v>0.05</v>
      </c>
      <c r="I72" s="47" t="s">
        <v>162</v>
      </c>
      <c r="J72" s="48" t="n">
        <v>45675</v>
      </c>
      <c r="K72" s="51" t="str">
        <f aca="false">"Q"&amp;ROUNDUP(MONTH(B72)/3,0)</f>
        <v>Q1</v>
      </c>
      <c r="L72" s="52" t="n">
        <f aca="false">ROUND(G72*H72,2)</f>
        <v>3599.96</v>
      </c>
      <c r="M72" s="52" t="n">
        <f aca="false">IF(AND(C72="Sales",F72="Standard-rated 5%"),L72,0)</f>
        <v>0</v>
      </c>
      <c r="N72" s="52" t="n">
        <f aca="false">IF(F72="Reverse charge (imported services)",L72,0)</f>
        <v>0</v>
      </c>
      <c r="O72" s="52" t="n">
        <f aca="false">IF(C72&lt;&gt;"Purchase",0,IF(OR(I72="N",F72="Blocked input (entertainment)"),0,L72))</f>
        <v>3599.96</v>
      </c>
      <c r="P72" s="52" t="n">
        <f aca="false">IF(C72&lt;&gt;"Purchase",0,L72-O72)</f>
        <v>0</v>
      </c>
      <c r="Q72" s="53" t="n">
        <f aca="false">J72-B72</f>
        <v>0</v>
      </c>
      <c r="R72" s="51" t="str">
        <f aca="false">IF(I72="N","Invalid / missing TRN",IF(F72="Blocked input (entertainment)","Blocked input",IF(Q72&gt;30,"Late posting (&gt;30d)","")))</f>
        <v/>
      </c>
    </row>
    <row r="73" customFormat="false" ht="15" hidden="false" customHeight="false" outlineLevel="0" collapsed="false">
      <c r="A73" s="47" t="s">
        <v>287</v>
      </c>
      <c r="B73" s="48" t="n">
        <v>45675</v>
      </c>
      <c r="C73" s="47" t="s">
        <v>166</v>
      </c>
      <c r="D73" s="47" t="s">
        <v>288</v>
      </c>
      <c r="E73" s="47" t="s">
        <v>101</v>
      </c>
      <c r="F73" s="47" t="s">
        <v>173</v>
      </c>
      <c r="G73" s="49" t="n">
        <v>17888.89</v>
      </c>
      <c r="H73" s="50" t="n">
        <v>0.05</v>
      </c>
      <c r="I73" s="47" t="s">
        <v>162</v>
      </c>
      <c r="J73" s="48" t="n">
        <v>45675</v>
      </c>
      <c r="K73" s="51" t="str">
        <f aca="false">"Q"&amp;ROUNDUP(MONTH(B73)/3,0)</f>
        <v>Q1</v>
      </c>
      <c r="L73" s="52" t="n">
        <f aca="false">ROUND(G73*H73,2)</f>
        <v>894.44</v>
      </c>
      <c r="M73" s="52" t="n">
        <f aca="false">IF(AND(C73="Sales",F73="Standard-rated 5%"),L73,0)</f>
        <v>0</v>
      </c>
      <c r="N73" s="52" t="n">
        <f aca="false">IF(F73="Reverse charge (imported services)",L73,0)</f>
        <v>894.44</v>
      </c>
      <c r="O73" s="52" t="n">
        <f aca="false">IF(C73&lt;&gt;"Purchase",0,IF(OR(I73="N",F73="Blocked input (entertainment)"),0,L73))</f>
        <v>894.44</v>
      </c>
      <c r="P73" s="52" t="n">
        <f aca="false">IF(C73&lt;&gt;"Purchase",0,L73-O73)</f>
        <v>0</v>
      </c>
      <c r="Q73" s="53" t="n">
        <f aca="false">J73-B73</f>
        <v>0</v>
      </c>
      <c r="R73" s="51" t="str">
        <f aca="false">IF(I73="N","Invalid / missing TRN",IF(F73="Blocked input (entertainment)","Blocked input",IF(Q73&gt;30,"Late posting (&gt;30d)","")))</f>
        <v/>
      </c>
    </row>
    <row r="74" customFormat="false" ht="15" hidden="false" customHeight="false" outlineLevel="0" collapsed="false">
      <c r="A74" s="47" t="s">
        <v>289</v>
      </c>
      <c r="B74" s="48" t="n">
        <v>45675</v>
      </c>
      <c r="C74" s="47" t="s">
        <v>159</v>
      </c>
      <c r="D74" s="47" t="s">
        <v>290</v>
      </c>
      <c r="E74" s="47" t="s">
        <v>100</v>
      </c>
      <c r="F74" s="47" t="s">
        <v>161</v>
      </c>
      <c r="G74" s="49" t="n">
        <v>23267.46</v>
      </c>
      <c r="H74" s="50" t="n">
        <v>0.05</v>
      </c>
      <c r="I74" s="47" t="s">
        <v>162</v>
      </c>
      <c r="J74" s="48" t="n">
        <v>45675</v>
      </c>
      <c r="K74" s="51" t="str">
        <f aca="false">"Q"&amp;ROUNDUP(MONTH(B74)/3,0)</f>
        <v>Q1</v>
      </c>
      <c r="L74" s="52" t="n">
        <f aca="false">ROUND(G74*H74,2)</f>
        <v>1163.37</v>
      </c>
      <c r="M74" s="52" t="n">
        <f aca="false">IF(AND(C74="Sales",F74="Standard-rated 5%"),L74,0)</f>
        <v>1163.37</v>
      </c>
      <c r="N74" s="52" t="n">
        <f aca="false">IF(F74="Reverse charge (imported services)",L74,0)</f>
        <v>0</v>
      </c>
      <c r="O74" s="52" t="n">
        <f aca="false">IF(C74&lt;&gt;"Purchase",0,IF(OR(I74="N",F74="Blocked input (entertainment)"),0,L74))</f>
        <v>0</v>
      </c>
      <c r="P74" s="52" t="n">
        <f aca="false">IF(C74&lt;&gt;"Purchase",0,L74-O74)</f>
        <v>0</v>
      </c>
      <c r="Q74" s="53" t="n">
        <f aca="false">J74-B74</f>
        <v>0</v>
      </c>
      <c r="R74" s="51" t="str">
        <f aca="false">IF(I74="N","Invalid / missing TRN",IF(F74="Blocked input (entertainment)","Blocked input",IF(Q74&gt;30,"Late posting (&gt;30d)","")))</f>
        <v/>
      </c>
    </row>
    <row r="75" customFormat="false" ht="15" hidden="false" customHeight="false" outlineLevel="0" collapsed="false">
      <c r="A75" s="47" t="s">
        <v>291</v>
      </c>
      <c r="B75" s="48" t="n">
        <v>45676</v>
      </c>
      <c r="C75" s="47" t="s">
        <v>166</v>
      </c>
      <c r="D75" s="47" t="s">
        <v>192</v>
      </c>
      <c r="E75" s="47" t="s">
        <v>100</v>
      </c>
      <c r="F75" s="47" t="s">
        <v>161</v>
      </c>
      <c r="G75" s="49" t="n">
        <v>18444.04</v>
      </c>
      <c r="H75" s="50" t="n">
        <v>0.05</v>
      </c>
      <c r="I75" s="47" t="s">
        <v>162</v>
      </c>
      <c r="J75" s="48" t="n">
        <v>45676</v>
      </c>
      <c r="K75" s="51" t="str">
        <f aca="false">"Q"&amp;ROUNDUP(MONTH(B75)/3,0)</f>
        <v>Q1</v>
      </c>
      <c r="L75" s="52" t="n">
        <f aca="false">ROUND(G75*H75,2)</f>
        <v>922.2</v>
      </c>
      <c r="M75" s="52" t="n">
        <f aca="false">IF(AND(C75="Sales",F75="Standard-rated 5%"),L75,0)</f>
        <v>0</v>
      </c>
      <c r="N75" s="52" t="n">
        <f aca="false">IF(F75="Reverse charge (imported services)",L75,0)</f>
        <v>0</v>
      </c>
      <c r="O75" s="52" t="n">
        <f aca="false">IF(C75&lt;&gt;"Purchase",0,IF(OR(I75="N",F75="Blocked input (entertainment)"),0,L75))</f>
        <v>922.2</v>
      </c>
      <c r="P75" s="52" t="n">
        <f aca="false">IF(C75&lt;&gt;"Purchase",0,L75-O75)</f>
        <v>0</v>
      </c>
      <c r="Q75" s="53" t="n">
        <f aca="false">J75-B75</f>
        <v>0</v>
      </c>
      <c r="R75" s="51" t="str">
        <f aca="false">IF(I75="N","Invalid / missing TRN",IF(F75="Blocked input (entertainment)","Blocked input",IF(Q75&gt;30,"Late posting (&gt;30d)","")))</f>
        <v/>
      </c>
    </row>
    <row r="76" customFormat="false" ht="15" hidden="false" customHeight="false" outlineLevel="0" collapsed="false">
      <c r="A76" s="47" t="s">
        <v>292</v>
      </c>
      <c r="B76" s="48" t="n">
        <v>45676</v>
      </c>
      <c r="C76" s="47" t="s">
        <v>159</v>
      </c>
      <c r="D76" s="47" t="s">
        <v>293</v>
      </c>
      <c r="E76" s="47" t="s">
        <v>100</v>
      </c>
      <c r="F76" s="47" t="s">
        <v>161</v>
      </c>
      <c r="G76" s="49" t="n">
        <v>30290.8</v>
      </c>
      <c r="H76" s="50" t="n">
        <v>0.05</v>
      </c>
      <c r="I76" s="47" t="s">
        <v>162</v>
      </c>
      <c r="J76" s="48" t="n">
        <v>45676</v>
      </c>
      <c r="K76" s="51" t="str">
        <f aca="false">"Q"&amp;ROUNDUP(MONTH(B76)/3,0)</f>
        <v>Q1</v>
      </c>
      <c r="L76" s="52" t="n">
        <f aca="false">ROUND(G76*H76,2)</f>
        <v>1514.54</v>
      </c>
      <c r="M76" s="52" t="n">
        <f aca="false">IF(AND(C76="Sales",F76="Standard-rated 5%"),L76,0)</f>
        <v>1514.54</v>
      </c>
      <c r="N76" s="52" t="n">
        <f aca="false">IF(F76="Reverse charge (imported services)",L76,0)</f>
        <v>0</v>
      </c>
      <c r="O76" s="52" t="n">
        <f aca="false">IF(C76&lt;&gt;"Purchase",0,IF(OR(I76="N",F76="Blocked input (entertainment)"),0,L76))</f>
        <v>0</v>
      </c>
      <c r="P76" s="52" t="n">
        <f aca="false">IF(C76&lt;&gt;"Purchase",0,L76-O76)</f>
        <v>0</v>
      </c>
      <c r="Q76" s="53" t="n">
        <f aca="false">J76-B76</f>
        <v>0</v>
      </c>
      <c r="R76" s="51" t="str">
        <f aca="false">IF(I76="N","Invalid / missing TRN",IF(F76="Blocked input (entertainment)","Blocked input",IF(Q76&gt;30,"Late posting (&gt;30d)","")))</f>
        <v/>
      </c>
    </row>
    <row r="77" customFormat="false" ht="15" hidden="false" customHeight="false" outlineLevel="0" collapsed="false">
      <c r="A77" s="47" t="s">
        <v>294</v>
      </c>
      <c r="B77" s="48" t="n">
        <v>45677</v>
      </c>
      <c r="C77" s="47" t="s">
        <v>166</v>
      </c>
      <c r="D77" s="47" t="s">
        <v>295</v>
      </c>
      <c r="E77" s="47" t="s">
        <v>102</v>
      </c>
      <c r="F77" s="47" t="s">
        <v>161</v>
      </c>
      <c r="G77" s="49" t="n">
        <v>12708.72</v>
      </c>
      <c r="H77" s="50" t="n">
        <v>0.05</v>
      </c>
      <c r="I77" s="47" t="s">
        <v>162</v>
      </c>
      <c r="J77" s="48" t="n">
        <v>45678</v>
      </c>
      <c r="K77" s="51" t="str">
        <f aca="false">"Q"&amp;ROUNDUP(MONTH(B77)/3,0)</f>
        <v>Q1</v>
      </c>
      <c r="L77" s="52" t="n">
        <f aca="false">ROUND(G77*H77,2)</f>
        <v>635.44</v>
      </c>
      <c r="M77" s="52" t="n">
        <f aca="false">IF(AND(C77="Sales",F77="Standard-rated 5%"),L77,0)</f>
        <v>0</v>
      </c>
      <c r="N77" s="52" t="n">
        <f aca="false">IF(F77="Reverse charge (imported services)",L77,0)</f>
        <v>0</v>
      </c>
      <c r="O77" s="52" t="n">
        <f aca="false">IF(C77&lt;&gt;"Purchase",0,IF(OR(I77="N",F77="Blocked input (entertainment)"),0,L77))</f>
        <v>635.44</v>
      </c>
      <c r="P77" s="52" t="n">
        <f aca="false">IF(C77&lt;&gt;"Purchase",0,L77-O77)</f>
        <v>0</v>
      </c>
      <c r="Q77" s="53" t="n">
        <f aca="false">J77-B77</f>
        <v>1</v>
      </c>
      <c r="R77" s="51" t="str">
        <f aca="false">IF(I77="N","Invalid / missing TRN",IF(F77="Blocked input (entertainment)","Blocked input",IF(Q77&gt;30,"Late posting (&gt;30d)","")))</f>
        <v/>
      </c>
    </row>
    <row r="78" customFormat="false" ht="15" hidden="false" customHeight="false" outlineLevel="0" collapsed="false">
      <c r="A78" s="47" t="s">
        <v>296</v>
      </c>
      <c r="B78" s="48" t="n">
        <v>45677</v>
      </c>
      <c r="C78" s="47" t="s">
        <v>166</v>
      </c>
      <c r="D78" s="47" t="s">
        <v>297</v>
      </c>
      <c r="E78" s="47" t="s">
        <v>102</v>
      </c>
      <c r="F78" s="47" t="s">
        <v>161</v>
      </c>
      <c r="G78" s="49" t="n">
        <v>13856.74</v>
      </c>
      <c r="H78" s="50" t="n">
        <v>0.05</v>
      </c>
      <c r="I78" s="47" t="s">
        <v>162</v>
      </c>
      <c r="J78" s="48" t="n">
        <v>45677</v>
      </c>
      <c r="K78" s="51" t="str">
        <f aca="false">"Q"&amp;ROUNDUP(MONTH(B78)/3,0)</f>
        <v>Q1</v>
      </c>
      <c r="L78" s="52" t="n">
        <f aca="false">ROUND(G78*H78,2)</f>
        <v>692.84</v>
      </c>
      <c r="M78" s="52" t="n">
        <f aca="false">IF(AND(C78="Sales",F78="Standard-rated 5%"),L78,0)</f>
        <v>0</v>
      </c>
      <c r="N78" s="52" t="n">
        <f aca="false">IF(F78="Reverse charge (imported services)",L78,0)</f>
        <v>0</v>
      </c>
      <c r="O78" s="52" t="n">
        <f aca="false">IF(C78&lt;&gt;"Purchase",0,IF(OR(I78="N",F78="Blocked input (entertainment)"),0,L78))</f>
        <v>692.84</v>
      </c>
      <c r="P78" s="52" t="n">
        <f aca="false">IF(C78&lt;&gt;"Purchase",0,L78-O78)</f>
        <v>0</v>
      </c>
      <c r="Q78" s="53" t="n">
        <f aca="false">J78-B78</f>
        <v>0</v>
      </c>
      <c r="R78" s="51" t="str">
        <f aca="false">IF(I78="N","Invalid / missing TRN",IF(F78="Blocked input (entertainment)","Blocked input",IF(Q78&gt;30,"Late posting (&gt;30d)","")))</f>
        <v/>
      </c>
    </row>
    <row r="79" customFormat="false" ht="15" hidden="false" customHeight="false" outlineLevel="0" collapsed="false">
      <c r="A79" s="47" t="s">
        <v>298</v>
      </c>
      <c r="B79" s="48" t="n">
        <v>45677</v>
      </c>
      <c r="C79" s="47" t="s">
        <v>159</v>
      </c>
      <c r="D79" s="47" t="s">
        <v>225</v>
      </c>
      <c r="E79" s="47" t="s">
        <v>100</v>
      </c>
      <c r="F79" s="47" t="s">
        <v>161</v>
      </c>
      <c r="G79" s="49" t="n">
        <v>45788.56</v>
      </c>
      <c r="H79" s="50" t="n">
        <v>0.05</v>
      </c>
      <c r="I79" s="47" t="s">
        <v>162</v>
      </c>
      <c r="J79" s="48" t="n">
        <v>45677</v>
      </c>
      <c r="K79" s="51" t="str">
        <f aca="false">"Q"&amp;ROUNDUP(MONTH(B79)/3,0)</f>
        <v>Q1</v>
      </c>
      <c r="L79" s="52" t="n">
        <f aca="false">ROUND(G79*H79,2)</f>
        <v>2289.43</v>
      </c>
      <c r="M79" s="52" t="n">
        <f aca="false">IF(AND(C79="Sales",F79="Standard-rated 5%"),L79,0)</f>
        <v>2289.43</v>
      </c>
      <c r="N79" s="52" t="n">
        <f aca="false">IF(F79="Reverse charge (imported services)",L79,0)</f>
        <v>0</v>
      </c>
      <c r="O79" s="52" t="n">
        <f aca="false">IF(C79&lt;&gt;"Purchase",0,IF(OR(I79="N",F79="Blocked input (entertainment)"),0,L79))</f>
        <v>0</v>
      </c>
      <c r="P79" s="52" t="n">
        <f aca="false">IF(C79&lt;&gt;"Purchase",0,L79-O79)</f>
        <v>0</v>
      </c>
      <c r="Q79" s="53" t="n">
        <f aca="false">J79-B79</f>
        <v>0</v>
      </c>
      <c r="R79" s="51" t="str">
        <f aca="false">IF(I79="N","Invalid / missing TRN",IF(F79="Blocked input (entertainment)","Blocked input",IF(Q79&gt;30,"Late posting (&gt;30d)","")))</f>
        <v/>
      </c>
    </row>
    <row r="80" customFormat="false" ht="15" hidden="false" customHeight="false" outlineLevel="0" collapsed="false">
      <c r="A80" s="47" t="s">
        <v>299</v>
      </c>
      <c r="B80" s="48" t="n">
        <v>45677</v>
      </c>
      <c r="C80" s="47" t="s">
        <v>159</v>
      </c>
      <c r="D80" s="47" t="s">
        <v>300</v>
      </c>
      <c r="E80" s="47" t="s">
        <v>100</v>
      </c>
      <c r="F80" s="47" t="s">
        <v>301</v>
      </c>
      <c r="G80" s="49" t="n">
        <v>19635.43</v>
      </c>
      <c r="H80" s="50" t="n">
        <v>0</v>
      </c>
      <c r="I80" s="47" t="s">
        <v>162</v>
      </c>
      <c r="J80" s="48" t="n">
        <v>45677</v>
      </c>
      <c r="K80" s="51" t="str">
        <f aca="false">"Q"&amp;ROUNDUP(MONTH(B80)/3,0)</f>
        <v>Q1</v>
      </c>
      <c r="L80" s="52" t="n">
        <f aca="false">ROUND(G80*H80,2)</f>
        <v>0</v>
      </c>
      <c r="M80" s="52" t="n">
        <f aca="false">IF(AND(C80="Sales",F80="Standard-rated 5%"),L80,0)</f>
        <v>0</v>
      </c>
      <c r="N80" s="52" t="n">
        <f aca="false">IF(F80="Reverse charge (imported services)",L80,0)</f>
        <v>0</v>
      </c>
      <c r="O80" s="52" t="n">
        <f aca="false">IF(C80&lt;&gt;"Purchase",0,IF(OR(I80="N",F80="Blocked input (entertainment)"),0,L80))</f>
        <v>0</v>
      </c>
      <c r="P80" s="52" t="n">
        <f aca="false">IF(C80&lt;&gt;"Purchase",0,L80-O80)</f>
        <v>0</v>
      </c>
      <c r="Q80" s="53" t="n">
        <f aca="false">J80-B80</f>
        <v>0</v>
      </c>
      <c r="R80" s="51" t="str">
        <f aca="false">IF(I80="N","Invalid / missing TRN",IF(F80="Blocked input (entertainment)","Blocked input",IF(Q80&gt;30,"Late posting (&gt;30d)","")))</f>
        <v/>
      </c>
    </row>
    <row r="81" customFormat="false" ht="15" hidden="false" customHeight="false" outlineLevel="0" collapsed="false">
      <c r="A81" s="47" t="s">
        <v>302</v>
      </c>
      <c r="B81" s="48" t="n">
        <v>45678</v>
      </c>
      <c r="C81" s="47" t="s">
        <v>166</v>
      </c>
      <c r="D81" s="47" t="s">
        <v>172</v>
      </c>
      <c r="E81" s="47" t="s">
        <v>103</v>
      </c>
      <c r="F81" s="47" t="s">
        <v>161</v>
      </c>
      <c r="G81" s="49" t="n">
        <v>97261.32</v>
      </c>
      <c r="H81" s="50" t="n">
        <v>0.05</v>
      </c>
      <c r="I81" s="47" t="s">
        <v>162</v>
      </c>
      <c r="J81" s="48" t="n">
        <v>45678</v>
      </c>
      <c r="K81" s="51" t="str">
        <f aca="false">"Q"&amp;ROUNDUP(MONTH(B81)/3,0)</f>
        <v>Q1</v>
      </c>
      <c r="L81" s="52" t="n">
        <f aca="false">ROUND(G81*H81,2)</f>
        <v>4863.07</v>
      </c>
      <c r="M81" s="52" t="n">
        <f aca="false">IF(AND(C81="Sales",F81="Standard-rated 5%"),L81,0)</f>
        <v>0</v>
      </c>
      <c r="N81" s="52" t="n">
        <f aca="false">IF(F81="Reverse charge (imported services)",L81,0)</f>
        <v>0</v>
      </c>
      <c r="O81" s="52" t="n">
        <f aca="false">IF(C81&lt;&gt;"Purchase",0,IF(OR(I81="N",F81="Blocked input (entertainment)"),0,L81))</f>
        <v>4863.07</v>
      </c>
      <c r="P81" s="52" t="n">
        <f aca="false">IF(C81&lt;&gt;"Purchase",0,L81-O81)</f>
        <v>0</v>
      </c>
      <c r="Q81" s="53" t="n">
        <f aca="false">J81-B81</f>
        <v>0</v>
      </c>
      <c r="R81" s="51" t="str">
        <f aca="false">IF(I81="N","Invalid / missing TRN",IF(F81="Blocked input (entertainment)","Blocked input",IF(Q81&gt;30,"Late posting (&gt;30d)","")))</f>
        <v/>
      </c>
    </row>
    <row r="82" customFormat="false" ht="15" hidden="false" customHeight="false" outlineLevel="0" collapsed="false">
      <c r="A82" s="47" t="s">
        <v>303</v>
      </c>
      <c r="B82" s="48" t="n">
        <v>45678</v>
      </c>
      <c r="C82" s="47" t="s">
        <v>166</v>
      </c>
      <c r="D82" s="47" t="s">
        <v>304</v>
      </c>
      <c r="E82" s="47" t="s">
        <v>100</v>
      </c>
      <c r="F82" s="47" t="s">
        <v>161</v>
      </c>
      <c r="G82" s="49" t="n">
        <v>6658.03</v>
      </c>
      <c r="H82" s="50" t="n">
        <v>0.05</v>
      </c>
      <c r="I82" s="47" t="s">
        <v>162</v>
      </c>
      <c r="J82" s="48" t="n">
        <v>45679</v>
      </c>
      <c r="K82" s="51" t="str">
        <f aca="false">"Q"&amp;ROUNDUP(MONTH(B82)/3,0)</f>
        <v>Q1</v>
      </c>
      <c r="L82" s="52" t="n">
        <f aca="false">ROUND(G82*H82,2)</f>
        <v>332.9</v>
      </c>
      <c r="M82" s="52" t="n">
        <f aca="false">IF(AND(C82="Sales",F82="Standard-rated 5%"),L82,0)</f>
        <v>0</v>
      </c>
      <c r="N82" s="52" t="n">
        <f aca="false">IF(F82="Reverse charge (imported services)",L82,0)</f>
        <v>0</v>
      </c>
      <c r="O82" s="52" t="n">
        <f aca="false">IF(C82&lt;&gt;"Purchase",0,IF(OR(I82="N",F82="Blocked input (entertainment)"),0,L82))</f>
        <v>332.9</v>
      </c>
      <c r="P82" s="52" t="n">
        <f aca="false">IF(C82&lt;&gt;"Purchase",0,L82-O82)</f>
        <v>0</v>
      </c>
      <c r="Q82" s="53" t="n">
        <f aca="false">J82-B82</f>
        <v>1</v>
      </c>
      <c r="R82" s="51" t="str">
        <f aca="false">IF(I82="N","Invalid / missing TRN",IF(F82="Blocked input (entertainment)","Blocked input",IF(Q82&gt;30,"Late posting (&gt;30d)","")))</f>
        <v/>
      </c>
    </row>
    <row r="83" customFormat="false" ht="15" hidden="false" customHeight="false" outlineLevel="0" collapsed="false">
      <c r="A83" s="47" t="s">
        <v>305</v>
      </c>
      <c r="B83" s="48" t="n">
        <v>45678</v>
      </c>
      <c r="C83" s="47" t="s">
        <v>166</v>
      </c>
      <c r="D83" s="47" t="s">
        <v>251</v>
      </c>
      <c r="E83" s="47" t="s">
        <v>100</v>
      </c>
      <c r="F83" s="47" t="s">
        <v>161</v>
      </c>
      <c r="G83" s="49" t="n">
        <v>43534.17</v>
      </c>
      <c r="H83" s="50" t="n">
        <v>0.05</v>
      </c>
      <c r="I83" s="47" t="s">
        <v>162</v>
      </c>
      <c r="J83" s="48" t="n">
        <v>45678</v>
      </c>
      <c r="K83" s="51" t="str">
        <f aca="false">"Q"&amp;ROUNDUP(MONTH(B83)/3,0)</f>
        <v>Q1</v>
      </c>
      <c r="L83" s="52" t="n">
        <f aca="false">ROUND(G83*H83,2)</f>
        <v>2176.71</v>
      </c>
      <c r="M83" s="52" t="n">
        <f aca="false">IF(AND(C83="Sales",F83="Standard-rated 5%"),L83,0)</f>
        <v>0</v>
      </c>
      <c r="N83" s="52" t="n">
        <f aca="false">IF(F83="Reverse charge (imported services)",L83,0)</f>
        <v>0</v>
      </c>
      <c r="O83" s="52" t="n">
        <f aca="false">IF(C83&lt;&gt;"Purchase",0,IF(OR(I83="N",F83="Blocked input (entertainment)"),0,L83))</f>
        <v>2176.71</v>
      </c>
      <c r="P83" s="52" t="n">
        <f aca="false">IF(C83&lt;&gt;"Purchase",0,L83-O83)</f>
        <v>0</v>
      </c>
      <c r="Q83" s="53" t="n">
        <f aca="false">J83-B83</f>
        <v>0</v>
      </c>
      <c r="R83" s="51" t="str">
        <f aca="false">IF(I83="N","Invalid / missing TRN",IF(F83="Blocked input (entertainment)","Blocked input",IF(Q83&gt;30,"Late posting (&gt;30d)","")))</f>
        <v/>
      </c>
    </row>
    <row r="84" customFormat="false" ht="15" hidden="false" customHeight="false" outlineLevel="0" collapsed="false">
      <c r="A84" s="47" t="s">
        <v>306</v>
      </c>
      <c r="B84" s="48" t="n">
        <v>45678</v>
      </c>
      <c r="C84" s="47" t="s">
        <v>166</v>
      </c>
      <c r="D84" s="47" t="s">
        <v>297</v>
      </c>
      <c r="E84" s="47" t="s">
        <v>101</v>
      </c>
      <c r="F84" s="47" t="s">
        <v>161</v>
      </c>
      <c r="G84" s="49" t="n">
        <v>36789.12</v>
      </c>
      <c r="H84" s="50" t="n">
        <v>0.05</v>
      </c>
      <c r="I84" s="47" t="s">
        <v>162</v>
      </c>
      <c r="J84" s="48" t="n">
        <v>45678</v>
      </c>
      <c r="K84" s="51" t="str">
        <f aca="false">"Q"&amp;ROUNDUP(MONTH(B84)/3,0)</f>
        <v>Q1</v>
      </c>
      <c r="L84" s="52" t="n">
        <f aca="false">ROUND(G84*H84,2)</f>
        <v>1839.46</v>
      </c>
      <c r="M84" s="52" t="n">
        <f aca="false">IF(AND(C84="Sales",F84="Standard-rated 5%"),L84,0)</f>
        <v>0</v>
      </c>
      <c r="N84" s="52" t="n">
        <f aca="false">IF(F84="Reverse charge (imported services)",L84,0)</f>
        <v>0</v>
      </c>
      <c r="O84" s="52" t="n">
        <f aca="false">IF(C84&lt;&gt;"Purchase",0,IF(OR(I84="N",F84="Blocked input (entertainment)"),0,L84))</f>
        <v>1839.46</v>
      </c>
      <c r="P84" s="52" t="n">
        <f aca="false">IF(C84&lt;&gt;"Purchase",0,L84-O84)</f>
        <v>0</v>
      </c>
      <c r="Q84" s="53" t="n">
        <f aca="false">J84-B84</f>
        <v>0</v>
      </c>
      <c r="R84" s="51" t="str">
        <f aca="false">IF(I84="N","Invalid / missing TRN",IF(F84="Blocked input (entertainment)","Blocked input",IF(Q84&gt;30,"Late posting (&gt;30d)","")))</f>
        <v/>
      </c>
    </row>
    <row r="85" customFormat="false" ht="15" hidden="false" customHeight="false" outlineLevel="0" collapsed="false">
      <c r="A85" s="47" t="s">
        <v>307</v>
      </c>
      <c r="B85" s="48" t="n">
        <v>45678</v>
      </c>
      <c r="C85" s="47" t="s">
        <v>159</v>
      </c>
      <c r="D85" s="47" t="s">
        <v>179</v>
      </c>
      <c r="E85" s="47" t="s">
        <v>100</v>
      </c>
      <c r="F85" s="47" t="s">
        <v>161</v>
      </c>
      <c r="G85" s="49" t="n">
        <v>18973.79</v>
      </c>
      <c r="H85" s="50" t="n">
        <v>0.05</v>
      </c>
      <c r="I85" s="47" t="s">
        <v>162</v>
      </c>
      <c r="J85" s="48" t="n">
        <v>45678</v>
      </c>
      <c r="K85" s="51" t="str">
        <f aca="false">"Q"&amp;ROUNDUP(MONTH(B85)/3,0)</f>
        <v>Q1</v>
      </c>
      <c r="L85" s="52" t="n">
        <f aca="false">ROUND(G85*H85,2)</f>
        <v>948.69</v>
      </c>
      <c r="M85" s="52" t="n">
        <f aca="false">IF(AND(C85="Sales",F85="Standard-rated 5%"),L85,0)</f>
        <v>948.69</v>
      </c>
      <c r="N85" s="52" t="n">
        <f aca="false">IF(F85="Reverse charge (imported services)",L85,0)</f>
        <v>0</v>
      </c>
      <c r="O85" s="52" t="n">
        <f aca="false">IF(C85&lt;&gt;"Purchase",0,IF(OR(I85="N",F85="Blocked input (entertainment)"),0,L85))</f>
        <v>0</v>
      </c>
      <c r="P85" s="52" t="n">
        <f aca="false">IF(C85&lt;&gt;"Purchase",0,L85-O85)</f>
        <v>0</v>
      </c>
      <c r="Q85" s="53" t="n">
        <f aca="false">J85-B85</f>
        <v>0</v>
      </c>
      <c r="R85" s="51" t="str">
        <f aca="false">IF(I85="N","Invalid / missing TRN",IF(F85="Blocked input (entertainment)","Blocked input",IF(Q85&gt;30,"Late posting (&gt;30d)","")))</f>
        <v/>
      </c>
    </row>
    <row r="86" customFormat="false" ht="15" hidden="false" customHeight="false" outlineLevel="0" collapsed="false">
      <c r="A86" s="47" t="s">
        <v>308</v>
      </c>
      <c r="B86" s="48" t="n">
        <v>45678</v>
      </c>
      <c r="C86" s="47" t="s">
        <v>159</v>
      </c>
      <c r="D86" s="47" t="s">
        <v>160</v>
      </c>
      <c r="E86" s="47" t="s">
        <v>100</v>
      </c>
      <c r="F86" s="47" t="s">
        <v>161</v>
      </c>
      <c r="G86" s="49" t="n">
        <v>26795.32</v>
      </c>
      <c r="H86" s="50" t="n">
        <v>0.05</v>
      </c>
      <c r="I86" s="47" t="s">
        <v>162</v>
      </c>
      <c r="J86" s="48" t="n">
        <v>45678</v>
      </c>
      <c r="K86" s="51" t="str">
        <f aca="false">"Q"&amp;ROUNDUP(MONTH(B86)/3,0)</f>
        <v>Q1</v>
      </c>
      <c r="L86" s="52" t="n">
        <f aca="false">ROUND(G86*H86,2)</f>
        <v>1339.77</v>
      </c>
      <c r="M86" s="52" t="n">
        <f aca="false">IF(AND(C86="Sales",F86="Standard-rated 5%"),L86,0)</f>
        <v>1339.77</v>
      </c>
      <c r="N86" s="52" t="n">
        <f aca="false">IF(F86="Reverse charge (imported services)",L86,0)</f>
        <v>0</v>
      </c>
      <c r="O86" s="52" t="n">
        <f aca="false">IF(C86&lt;&gt;"Purchase",0,IF(OR(I86="N",F86="Blocked input (entertainment)"),0,L86))</f>
        <v>0</v>
      </c>
      <c r="P86" s="52" t="n">
        <f aca="false">IF(C86&lt;&gt;"Purchase",0,L86-O86)</f>
        <v>0</v>
      </c>
      <c r="Q86" s="53" t="n">
        <f aca="false">J86-B86</f>
        <v>0</v>
      </c>
      <c r="R86" s="51" t="str">
        <f aca="false">IF(I86="N","Invalid / missing TRN",IF(F86="Blocked input (entertainment)","Blocked input",IF(Q86&gt;30,"Late posting (&gt;30d)","")))</f>
        <v/>
      </c>
    </row>
    <row r="87" customFormat="false" ht="15" hidden="false" customHeight="false" outlineLevel="0" collapsed="false">
      <c r="A87" s="47" t="s">
        <v>309</v>
      </c>
      <c r="B87" s="48" t="n">
        <v>45679</v>
      </c>
      <c r="C87" s="47" t="s">
        <v>166</v>
      </c>
      <c r="D87" s="47" t="s">
        <v>285</v>
      </c>
      <c r="E87" s="47" t="s">
        <v>101</v>
      </c>
      <c r="F87" s="47" t="s">
        <v>161</v>
      </c>
      <c r="G87" s="49" t="n">
        <v>37022.26</v>
      </c>
      <c r="H87" s="50" t="n">
        <v>0.05</v>
      </c>
      <c r="I87" s="47" t="s">
        <v>162</v>
      </c>
      <c r="J87" s="48" t="n">
        <v>45679</v>
      </c>
      <c r="K87" s="51" t="str">
        <f aca="false">"Q"&amp;ROUNDUP(MONTH(B87)/3,0)</f>
        <v>Q1</v>
      </c>
      <c r="L87" s="52" t="n">
        <f aca="false">ROUND(G87*H87,2)</f>
        <v>1851.11</v>
      </c>
      <c r="M87" s="52" t="n">
        <f aca="false">IF(AND(C87="Sales",F87="Standard-rated 5%"),L87,0)</f>
        <v>0</v>
      </c>
      <c r="N87" s="52" t="n">
        <f aca="false">IF(F87="Reverse charge (imported services)",L87,0)</f>
        <v>0</v>
      </c>
      <c r="O87" s="52" t="n">
        <f aca="false">IF(C87&lt;&gt;"Purchase",0,IF(OR(I87="N",F87="Blocked input (entertainment)"),0,L87))</f>
        <v>1851.11</v>
      </c>
      <c r="P87" s="52" t="n">
        <f aca="false">IF(C87&lt;&gt;"Purchase",0,L87-O87)</f>
        <v>0</v>
      </c>
      <c r="Q87" s="53" t="n">
        <f aca="false">J87-B87</f>
        <v>0</v>
      </c>
      <c r="R87" s="51" t="str">
        <f aca="false">IF(I87="N","Invalid / missing TRN",IF(F87="Blocked input (entertainment)","Blocked input",IF(Q87&gt;30,"Late posting (&gt;30d)","")))</f>
        <v/>
      </c>
    </row>
    <row r="88" customFormat="false" ht="15" hidden="false" customHeight="false" outlineLevel="0" collapsed="false">
      <c r="A88" s="47" t="s">
        <v>310</v>
      </c>
      <c r="B88" s="48" t="n">
        <v>45679</v>
      </c>
      <c r="C88" s="47" t="s">
        <v>166</v>
      </c>
      <c r="D88" s="47" t="s">
        <v>227</v>
      </c>
      <c r="E88" s="47" t="s">
        <v>100</v>
      </c>
      <c r="F88" s="47" t="s">
        <v>161</v>
      </c>
      <c r="G88" s="49" t="n">
        <v>69462.13</v>
      </c>
      <c r="H88" s="50" t="n">
        <v>0.05</v>
      </c>
      <c r="I88" s="47" t="s">
        <v>162</v>
      </c>
      <c r="J88" s="48" t="n">
        <v>45679</v>
      </c>
      <c r="K88" s="51" t="str">
        <f aca="false">"Q"&amp;ROUNDUP(MONTH(B88)/3,0)</f>
        <v>Q1</v>
      </c>
      <c r="L88" s="52" t="n">
        <f aca="false">ROUND(G88*H88,2)</f>
        <v>3473.11</v>
      </c>
      <c r="M88" s="52" t="n">
        <f aca="false">IF(AND(C88="Sales",F88="Standard-rated 5%"),L88,0)</f>
        <v>0</v>
      </c>
      <c r="N88" s="52" t="n">
        <f aca="false">IF(F88="Reverse charge (imported services)",L88,0)</f>
        <v>0</v>
      </c>
      <c r="O88" s="52" t="n">
        <f aca="false">IF(C88&lt;&gt;"Purchase",0,IF(OR(I88="N",F88="Blocked input (entertainment)"),0,L88))</f>
        <v>3473.11</v>
      </c>
      <c r="P88" s="52" t="n">
        <f aca="false">IF(C88&lt;&gt;"Purchase",0,L88-O88)</f>
        <v>0</v>
      </c>
      <c r="Q88" s="53" t="n">
        <f aca="false">J88-B88</f>
        <v>0</v>
      </c>
      <c r="R88" s="51" t="str">
        <f aca="false">IF(I88="N","Invalid / missing TRN",IF(F88="Blocked input (entertainment)","Blocked input",IF(Q88&gt;30,"Late posting (&gt;30d)","")))</f>
        <v/>
      </c>
    </row>
    <row r="89" customFormat="false" ht="15" hidden="false" customHeight="false" outlineLevel="0" collapsed="false">
      <c r="A89" s="47" t="s">
        <v>311</v>
      </c>
      <c r="B89" s="48" t="n">
        <v>45679</v>
      </c>
      <c r="C89" s="47" t="s">
        <v>166</v>
      </c>
      <c r="D89" s="47" t="s">
        <v>312</v>
      </c>
      <c r="E89" s="47" t="s">
        <v>103</v>
      </c>
      <c r="F89" s="47" t="s">
        <v>161</v>
      </c>
      <c r="G89" s="49" t="n">
        <v>45452.53</v>
      </c>
      <c r="H89" s="50" t="n">
        <v>0.05</v>
      </c>
      <c r="I89" s="47" t="s">
        <v>162</v>
      </c>
      <c r="J89" s="48" t="n">
        <v>45679</v>
      </c>
      <c r="K89" s="51" t="str">
        <f aca="false">"Q"&amp;ROUNDUP(MONTH(B89)/3,0)</f>
        <v>Q1</v>
      </c>
      <c r="L89" s="52" t="n">
        <f aca="false">ROUND(G89*H89,2)</f>
        <v>2272.63</v>
      </c>
      <c r="M89" s="52" t="n">
        <f aca="false">IF(AND(C89="Sales",F89="Standard-rated 5%"),L89,0)</f>
        <v>0</v>
      </c>
      <c r="N89" s="52" t="n">
        <f aca="false">IF(F89="Reverse charge (imported services)",L89,0)</f>
        <v>0</v>
      </c>
      <c r="O89" s="52" t="n">
        <f aca="false">IF(C89&lt;&gt;"Purchase",0,IF(OR(I89="N",F89="Blocked input (entertainment)"),0,L89))</f>
        <v>2272.63</v>
      </c>
      <c r="P89" s="52" t="n">
        <f aca="false">IF(C89&lt;&gt;"Purchase",0,L89-O89)</f>
        <v>0</v>
      </c>
      <c r="Q89" s="53" t="n">
        <f aca="false">J89-B89</f>
        <v>0</v>
      </c>
      <c r="R89" s="51" t="str">
        <f aca="false">IF(I89="N","Invalid / missing TRN",IF(F89="Blocked input (entertainment)","Blocked input",IF(Q89&gt;30,"Late posting (&gt;30d)","")))</f>
        <v/>
      </c>
    </row>
    <row r="90" customFormat="false" ht="15" hidden="false" customHeight="false" outlineLevel="0" collapsed="false">
      <c r="A90" s="47" t="s">
        <v>313</v>
      </c>
      <c r="B90" s="48" t="n">
        <v>45679</v>
      </c>
      <c r="C90" s="47" t="s">
        <v>166</v>
      </c>
      <c r="D90" s="47" t="s">
        <v>192</v>
      </c>
      <c r="E90" s="47" t="s">
        <v>100</v>
      </c>
      <c r="F90" s="47" t="s">
        <v>161</v>
      </c>
      <c r="G90" s="49" t="n">
        <v>20475.82</v>
      </c>
      <c r="H90" s="50" t="n">
        <v>0.05</v>
      </c>
      <c r="I90" s="47" t="s">
        <v>162</v>
      </c>
      <c r="J90" s="48" t="n">
        <v>45679</v>
      </c>
      <c r="K90" s="51" t="str">
        <f aca="false">"Q"&amp;ROUNDUP(MONTH(B90)/3,0)</f>
        <v>Q1</v>
      </c>
      <c r="L90" s="52" t="n">
        <f aca="false">ROUND(G90*H90,2)</f>
        <v>1023.79</v>
      </c>
      <c r="M90" s="52" t="n">
        <f aca="false">IF(AND(C90="Sales",F90="Standard-rated 5%"),L90,0)</f>
        <v>0</v>
      </c>
      <c r="N90" s="52" t="n">
        <f aca="false">IF(F90="Reverse charge (imported services)",L90,0)</f>
        <v>0</v>
      </c>
      <c r="O90" s="52" t="n">
        <f aca="false">IF(C90&lt;&gt;"Purchase",0,IF(OR(I90="N",F90="Blocked input (entertainment)"),0,L90))</f>
        <v>1023.79</v>
      </c>
      <c r="P90" s="52" t="n">
        <f aca="false">IF(C90&lt;&gt;"Purchase",0,L90-O90)</f>
        <v>0</v>
      </c>
      <c r="Q90" s="53" t="n">
        <f aca="false">J90-B90</f>
        <v>0</v>
      </c>
      <c r="R90" s="51" t="str">
        <f aca="false">IF(I90="N","Invalid / missing TRN",IF(F90="Blocked input (entertainment)","Blocked input",IF(Q90&gt;30,"Late posting (&gt;30d)","")))</f>
        <v/>
      </c>
    </row>
    <row r="91" customFormat="false" ht="15" hidden="false" customHeight="false" outlineLevel="0" collapsed="false">
      <c r="A91" s="47" t="s">
        <v>314</v>
      </c>
      <c r="B91" s="48" t="n">
        <v>45679</v>
      </c>
      <c r="C91" s="47" t="s">
        <v>166</v>
      </c>
      <c r="D91" s="47" t="s">
        <v>315</v>
      </c>
      <c r="E91" s="47" t="s">
        <v>101</v>
      </c>
      <c r="F91" s="47" t="s">
        <v>161</v>
      </c>
      <c r="G91" s="49" t="n">
        <v>40651.4</v>
      </c>
      <c r="H91" s="50" t="n">
        <v>0.05</v>
      </c>
      <c r="I91" s="47" t="s">
        <v>162</v>
      </c>
      <c r="J91" s="48" t="n">
        <v>45679</v>
      </c>
      <c r="K91" s="51" t="str">
        <f aca="false">"Q"&amp;ROUNDUP(MONTH(B91)/3,0)</f>
        <v>Q1</v>
      </c>
      <c r="L91" s="52" t="n">
        <f aca="false">ROUND(G91*H91,2)</f>
        <v>2032.57</v>
      </c>
      <c r="M91" s="52" t="n">
        <f aca="false">IF(AND(C91="Sales",F91="Standard-rated 5%"),L91,0)</f>
        <v>0</v>
      </c>
      <c r="N91" s="52" t="n">
        <f aca="false">IF(F91="Reverse charge (imported services)",L91,0)</f>
        <v>0</v>
      </c>
      <c r="O91" s="52" t="n">
        <f aca="false">IF(C91&lt;&gt;"Purchase",0,IF(OR(I91="N",F91="Blocked input (entertainment)"),0,L91))</f>
        <v>2032.57</v>
      </c>
      <c r="P91" s="52" t="n">
        <f aca="false">IF(C91&lt;&gt;"Purchase",0,L91-O91)</f>
        <v>0</v>
      </c>
      <c r="Q91" s="53" t="n">
        <f aca="false">J91-B91</f>
        <v>0</v>
      </c>
      <c r="R91" s="51" t="str">
        <f aca="false">IF(I91="N","Invalid / missing TRN",IF(F91="Blocked input (entertainment)","Blocked input",IF(Q91&gt;30,"Late posting (&gt;30d)","")))</f>
        <v/>
      </c>
    </row>
    <row r="92" customFormat="false" ht="15" hidden="false" customHeight="false" outlineLevel="0" collapsed="false">
      <c r="A92" s="47" t="s">
        <v>316</v>
      </c>
      <c r="B92" s="48" t="n">
        <v>45679</v>
      </c>
      <c r="C92" s="47" t="s">
        <v>159</v>
      </c>
      <c r="D92" s="47" t="s">
        <v>317</v>
      </c>
      <c r="E92" s="47" t="s">
        <v>101</v>
      </c>
      <c r="F92" s="47" t="s">
        <v>278</v>
      </c>
      <c r="G92" s="49" t="n">
        <v>10535.83</v>
      </c>
      <c r="H92" s="50" t="n">
        <v>0</v>
      </c>
      <c r="I92" s="47" t="s">
        <v>162</v>
      </c>
      <c r="J92" s="48" t="n">
        <v>45679</v>
      </c>
      <c r="K92" s="51" t="str">
        <f aca="false">"Q"&amp;ROUNDUP(MONTH(B92)/3,0)</f>
        <v>Q1</v>
      </c>
      <c r="L92" s="52" t="n">
        <f aca="false">ROUND(G92*H92,2)</f>
        <v>0</v>
      </c>
      <c r="M92" s="52" t="n">
        <f aca="false">IF(AND(C92="Sales",F92="Standard-rated 5%"),L92,0)</f>
        <v>0</v>
      </c>
      <c r="N92" s="52" t="n">
        <f aca="false">IF(F92="Reverse charge (imported services)",L92,0)</f>
        <v>0</v>
      </c>
      <c r="O92" s="52" t="n">
        <f aca="false">IF(C92&lt;&gt;"Purchase",0,IF(OR(I92="N",F92="Blocked input (entertainment)"),0,L92))</f>
        <v>0</v>
      </c>
      <c r="P92" s="52" t="n">
        <f aca="false">IF(C92&lt;&gt;"Purchase",0,L92-O92)</f>
        <v>0</v>
      </c>
      <c r="Q92" s="53" t="n">
        <f aca="false">J92-B92</f>
        <v>0</v>
      </c>
      <c r="R92" s="51" t="str">
        <f aca="false">IF(I92="N","Invalid / missing TRN",IF(F92="Blocked input (entertainment)","Blocked input",IF(Q92&gt;30,"Late posting (&gt;30d)","")))</f>
        <v/>
      </c>
    </row>
    <row r="93" customFormat="false" ht="15" hidden="false" customHeight="false" outlineLevel="0" collapsed="false">
      <c r="A93" s="47" t="s">
        <v>318</v>
      </c>
      <c r="B93" s="48" t="n">
        <v>45680</v>
      </c>
      <c r="C93" s="47" t="s">
        <v>159</v>
      </c>
      <c r="D93" s="47" t="s">
        <v>290</v>
      </c>
      <c r="E93" s="47" t="s">
        <v>100</v>
      </c>
      <c r="F93" s="47" t="s">
        <v>301</v>
      </c>
      <c r="G93" s="49" t="n">
        <v>125191.99</v>
      </c>
      <c r="H93" s="50" t="n">
        <v>0</v>
      </c>
      <c r="I93" s="47" t="s">
        <v>162</v>
      </c>
      <c r="J93" s="48" t="n">
        <v>45680</v>
      </c>
      <c r="K93" s="51" t="str">
        <f aca="false">"Q"&amp;ROUNDUP(MONTH(B93)/3,0)</f>
        <v>Q1</v>
      </c>
      <c r="L93" s="52" t="n">
        <f aca="false">ROUND(G93*H93,2)</f>
        <v>0</v>
      </c>
      <c r="M93" s="52" t="n">
        <f aca="false">IF(AND(C93="Sales",F93="Standard-rated 5%"),L93,0)</f>
        <v>0</v>
      </c>
      <c r="N93" s="52" t="n">
        <f aca="false">IF(F93="Reverse charge (imported services)",L93,0)</f>
        <v>0</v>
      </c>
      <c r="O93" s="52" t="n">
        <f aca="false">IF(C93&lt;&gt;"Purchase",0,IF(OR(I93="N",F93="Blocked input (entertainment)"),0,L93))</f>
        <v>0</v>
      </c>
      <c r="P93" s="52" t="n">
        <f aca="false">IF(C93&lt;&gt;"Purchase",0,L93-O93)</f>
        <v>0</v>
      </c>
      <c r="Q93" s="53" t="n">
        <f aca="false">J93-B93</f>
        <v>0</v>
      </c>
      <c r="R93" s="51" t="str">
        <f aca="false">IF(I93="N","Invalid / missing TRN",IF(F93="Blocked input (entertainment)","Blocked input",IF(Q93&gt;30,"Late posting (&gt;30d)","")))</f>
        <v/>
      </c>
    </row>
    <row r="94" customFormat="false" ht="15" hidden="false" customHeight="false" outlineLevel="0" collapsed="false">
      <c r="A94" s="47" t="s">
        <v>319</v>
      </c>
      <c r="B94" s="48" t="n">
        <v>45680</v>
      </c>
      <c r="C94" s="47" t="s">
        <v>159</v>
      </c>
      <c r="D94" s="47" t="s">
        <v>320</v>
      </c>
      <c r="E94" s="47" t="s">
        <v>101</v>
      </c>
      <c r="F94" s="47" t="s">
        <v>161</v>
      </c>
      <c r="G94" s="49" t="n">
        <v>52816.08</v>
      </c>
      <c r="H94" s="50" t="n">
        <v>0.05</v>
      </c>
      <c r="I94" s="47" t="s">
        <v>162</v>
      </c>
      <c r="J94" s="48" t="n">
        <v>45680</v>
      </c>
      <c r="K94" s="51" t="str">
        <f aca="false">"Q"&amp;ROUNDUP(MONTH(B94)/3,0)</f>
        <v>Q1</v>
      </c>
      <c r="L94" s="52" t="n">
        <f aca="false">ROUND(G94*H94,2)</f>
        <v>2640.8</v>
      </c>
      <c r="M94" s="52" t="n">
        <f aca="false">IF(AND(C94="Sales",F94="Standard-rated 5%"),L94,0)</f>
        <v>2640.8</v>
      </c>
      <c r="N94" s="52" t="n">
        <f aca="false">IF(F94="Reverse charge (imported services)",L94,0)</f>
        <v>0</v>
      </c>
      <c r="O94" s="52" t="n">
        <f aca="false">IF(C94&lt;&gt;"Purchase",0,IF(OR(I94="N",F94="Blocked input (entertainment)"),0,L94))</f>
        <v>0</v>
      </c>
      <c r="P94" s="52" t="n">
        <f aca="false">IF(C94&lt;&gt;"Purchase",0,L94-O94)</f>
        <v>0</v>
      </c>
      <c r="Q94" s="53" t="n">
        <f aca="false">J94-B94</f>
        <v>0</v>
      </c>
      <c r="R94" s="51" t="str">
        <f aca="false">IF(I94="N","Invalid / missing TRN",IF(F94="Blocked input (entertainment)","Blocked input",IF(Q94&gt;30,"Late posting (&gt;30d)","")))</f>
        <v/>
      </c>
    </row>
    <row r="95" customFormat="false" ht="15" hidden="false" customHeight="false" outlineLevel="0" collapsed="false">
      <c r="A95" s="47" t="s">
        <v>321</v>
      </c>
      <c r="B95" s="48" t="n">
        <v>45680</v>
      </c>
      <c r="C95" s="47" t="s">
        <v>159</v>
      </c>
      <c r="D95" s="47" t="s">
        <v>322</v>
      </c>
      <c r="E95" s="47" t="s">
        <v>102</v>
      </c>
      <c r="F95" s="47" t="s">
        <v>161</v>
      </c>
      <c r="G95" s="49" t="n">
        <v>9753</v>
      </c>
      <c r="H95" s="50" t="n">
        <v>0.05</v>
      </c>
      <c r="I95" s="47" t="s">
        <v>162</v>
      </c>
      <c r="J95" s="48" t="n">
        <v>45680</v>
      </c>
      <c r="K95" s="51" t="str">
        <f aca="false">"Q"&amp;ROUNDUP(MONTH(B95)/3,0)</f>
        <v>Q1</v>
      </c>
      <c r="L95" s="52" t="n">
        <f aca="false">ROUND(G95*H95,2)</f>
        <v>487.65</v>
      </c>
      <c r="M95" s="52" t="n">
        <f aca="false">IF(AND(C95="Sales",F95="Standard-rated 5%"),L95,0)</f>
        <v>487.65</v>
      </c>
      <c r="N95" s="52" t="n">
        <f aca="false">IF(F95="Reverse charge (imported services)",L95,0)</f>
        <v>0</v>
      </c>
      <c r="O95" s="52" t="n">
        <f aca="false">IF(C95&lt;&gt;"Purchase",0,IF(OR(I95="N",F95="Blocked input (entertainment)"),0,L95))</f>
        <v>0</v>
      </c>
      <c r="P95" s="52" t="n">
        <f aca="false">IF(C95&lt;&gt;"Purchase",0,L95-O95)</f>
        <v>0</v>
      </c>
      <c r="Q95" s="53" t="n">
        <f aca="false">J95-B95</f>
        <v>0</v>
      </c>
      <c r="R95" s="51" t="str">
        <f aca="false">IF(I95="N","Invalid / missing TRN",IF(F95="Blocked input (entertainment)","Blocked input",IF(Q95&gt;30,"Late posting (&gt;30d)","")))</f>
        <v/>
      </c>
    </row>
    <row r="96" customFormat="false" ht="15" hidden="false" customHeight="false" outlineLevel="0" collapsed="false">
      <c r="A96" s="47" t="s">
        <v>323</v>
      </c>
      <c r="B96" s="48" t="n">
        <v>45681</v>
      </c>
      <c r="C96" s="47" t="s">
        <v>166</v>
      </c>
      <c r="D96" s="47" t="s">
        <v>324</v>
      </c>
      <c r="E96" s="47" t="s">
        <v>101</v>
      </c>
      <c r="F96" s="47" t="s">
        <v>161</v>
      </c>
      <c r="G96" s="49" t="n">
        <v>14096.25</v>
      </c>
      <c r="H96" s="50" t="n">
        <v>0.05</v>
      </c>
      <c r="I96" s="47" t="s">
        <v>162</v>
      </c>
      <c r="J96" s="48" t="n">
        <v>45681</v>
      </c>
      <c r="K96" s="51" t="str">
        <f aca="false">"Q"&amp;ROUNDUP(MONTH(B96)/3,0)</f>
        <v>Q1</v>
      </c>
      <c r="L96" s="52" t="n">
        <f aca="false">ROUND(G96*H96,2)</f>
        <v>704.81</v>
      </c>
      <c r="M96" s="52" t="n">
        <f aca="false">IF(AND(C96="Sales",F96="Standard-rated 5%"),L96,0)</f>
        <v>0</v>
      </c>
      <c r="N96" s="52" t="n">
        <f aca="false">IF(F96="Reverse charge (imported services)",L96,0)</f>
        <v>0</v>
      </c>
      <c r="O96" s="52" t="n">
        <f aca="false">IF(C96&lt;&gt;"Purchase",0,IF(OR(I96="N",F96="Blocked input (entertainment)"),0,L96))</f>
        <v>704.81</v>
      </c>
      <c r="P96" s="52" t="n">
        <f aca="false">IF(C96&lt;&gt;"Purchase",0,L96-O96)</f>
        <v>0</v>
      </c>
      <c r="Q96" s="53" t="n">
        <f aca="false">J96-B96</f>
        <v>0</v>
      </c>
      <c r="R96" s="51" t="str">
        <f aca="false">IF(I96="N","Invalid / missing TRN",IF(F96="Blocked input (entertainment)","Blocked input",IF(Q96&gt;30,"Late posting (&gt;30d)","")))</f>
        <v/>
      </c>
    </row>
    <row r="97" customFormat="false" ht="15" hidden="false" customHeight="false" outlineLevel="0" collapsed="false">
      <c r="A97" s="47" t="s">
        <v>325</v>
      </c>
      <c r="B97" s="48" t="n">
        <v>45681</v>
      </c>
      <c r="C97" s="47" t="s">
        <v>166</v>
      </c>
      <c r="D97" s="47" t="s">
        <v>326</v>
      </c>
      <c r="E97" s="47" t="s">
        <v>100</v>
      </c>
      <c r="F97" s="47" t="s">
        <v>161</v>
      </c>
      <c r="G97" s="49" t="n">
        <v>47255.18</v>
      </c>
      <c r="H97" s="50" t="n">
        <v>0.05</v>
      </c>
      <c r="I97" s="47" t="s">
        <v>162</v>
      </c>
      <c r="J97" s="48" t="n">
        <v>45681</v>
      </c>
      <c r="K97" s="51" t="str">
        <f aca="false">"Q"&amp;ROUNDUP(MONTH(B97)/3,0)</f>
        <v>Q1</v>
      </c>
      <c r="L97" s="52" t="n">
        <f aca="false">ROUND(G97*H97,2)</f>
        <v>2362.76</v>
      </c>
      <c r="M97" s="52" t="n">
        <f aca="false">IF(AND(C97="Sales",F97="Standard-rated 5%"),L97,0)</f>
        <v>0</v>
      </c>
      <c r="N97" s="52" t="n">
        <f aca="false">IF(F97="Reverse charge (imported services)",L97,0)</f>
        <v>0</v>
      </c>
      <c r="O97" s="52" t="n">
        <f aca="false">IF(C97&lt;&gt;"Purchase",0,IF(OR(I97="N",F97="Blocked input (entertainment)"),0,L97))</f>
        <v>2362.76</v>
      </c>
      <c r="P97" s="52" t="n">
        <f aca="false">IF(C97&lt;&gt;"Purchase",0,L97-O97)</f>
        <v>0</v>
      </c>
      <c r="Q97" s="53" t="n">
        <f aca="false">J97-B97</f>
        <v>0</v>
      </c>
      <c r="R97" s="51" t="str">
        <f aca="false">IF(I97="N","Invalid / missing TRN",IF(F97="Blocked input (entertainment)","Blocked input",IF(Q97&gt;30,"Late posting (&gt;30d)","")))</f>
        <v/>
      </c>
    </row>
    <row r="98" customFormat="false" ht="15" hidden="false" customHeight="false" outlineLevel="0" collapsed="false">
      <c r="A98" s="47" t="s">
        <v>327</v>
      </c>
      <c r="B98" s="48" t="n">
        <v>45681</v>
      </c>
      <c r="C98" s="47" t="s">
        <v>159</v>
      </c>
      <c r="D98" s="47" t="s">
        <v>213</v>
      </c>
      <c r="E98" s="47" t="s">
        <v>101</v>
      </c>
      <c r="F98" s="47" t="s">
        <v>161</v>
      </c>
      <c r="G98" s="49" t="n">
        <v>58867.63</v>
      </c>
      <c r="H98" s="50" t="n">
        <v>0.05</v>
      </c>
      <c r="I98" s="47" t="s">
        <v>162</v>
      </c>
      <c r="J98" s="48" t="n">
        <v>45681</v>
      </c>
      <c r="K98" s="51" t="str">
        <f aca="false">"Q"&amp;ROUNDUP(MONTH(B98)/3,0)</f>
        <v>Q1</v>
      </c>
      <c r="L98" s="52" t="n">
        <f aca="false">ROUND(G98*H98,2)</f>
        <v>2943.38</v>
      </c>
      <c r="M98" s="52" t="n">
        <f aca="false">IF(AND(C98="Sales",F98="Standard-rated 5%"),L98,0)</f>
        <v>2943.38</v>
      </c>
      <c r="N98" s="52" t="n">
        <f aca="false">IF(F98="Reverse charge (imported services)",L98,0)</f>
        <v>0</v>
      </c>
      <c r="O98" s="52" t="n">
        <f aca="false">IF(C98&lt;&gt;"Purchase",0,IF(OR(I98="N",F98="Blocked input (entertainment)"),0,L98))</f>
        <v>0</v>
      </c>
      <c r="P98" s="52" t="n">
        <f aca="false">IF(C98&lt;&gt;"Purchase",0,L98-O98)</f>
        <v>0</v>
      </c>
      <c r="Q98" s="53" t="n">
        <f aca="false">J98-B98</f>
        <v>0</v>
      </c>
      <c r="R98" s="51" t="str">
        <f aca="false">IF(I98="N","Invalid / missing TRN",IF(F98="Blocked input (entertainment)","Blocked input",IF(Q98&gt;30,"Late posting (&gt;30d)","")))</f>
        <v/>
      </c>
    </row>
    <row r="99" customFormat="false" ht="15" hidden="false" customHeight="false" outlineLevel="0" collapsed="false">
      <c r="A99" s="47" t="s">
        <v>328</v>
      </c>
      <c r="B99" s="48" t="n">
        <v>45681</v>
      </c>
      <c r="C99" s="47" t="s">
        <v>159</v>
      </c>
      <c r="D99" s="47" t="s">
        <v>235</v>
      </c>
      <c r="E99" s="47" t="s">
        <v>100</v>
      </c>
      <c r="F99" s="47" t="s">
        <v>161</v>
      </c>
      <c r="G99" s="49" t="n">
        <v>24720.65</v>
      </c>
      <c r="H99" s="50" t="n">
        <v>0.05</v>
      </c>
      <c r="I99" s="47" t="s">
        <v>162</v>
      </c>
      <c r="J99" s="48" t="n">
        <v>45681</v>
      </c>
      <c r="K99" s="51" t="str">
        <f aca="false">"Q"&amp;ROUNDUP(MONTH(B99)/3,0)</f>
        <v>Q1</v>
      </c>
      <c r="L99" s="52" t="n">
        <f aca="false">ROUND(G99*H99,2)</f>
        <v>1236.03</v>
      </c>
      <c r="M99" s="52" t="n">
        <f aca="false">IF(AND(C99="Sales",F99="Standard-rated 5%"),L99,0)</f>
        <v>1236.03</v>
      </c>
      <c r="N99" s="52" t="n">
        <f aca="false">IF(F99="Reverse charge (imported services)",L99,0)</f>
        <v>0</v>
      </c>
      <c r="O99" s="52" t="n">
        <f aca="false">IF(C99&lt;&gt;"Purchase",0,IF(OR(I99="N",F99="Blocked input (entertainment)"),0,L99))</f>
        <v>0</v>
      </c>
      <c r="P99" s="52" t="n">
        <f aca="false">IF(C99&lt;&gt;"Purchase",0,L99-O99)</f>
        <v>0</v>
      </c>
      <c r="Q99" s="53" t="n">
        <f aca="false">J99-B99</f>
        <v>0</v>
      </c>
      <c r="R99" s="51" t="str">
        <f aca="false">IF(I99="N","Invalid / missing TRN",IF(F99="Blocked input (entertainment)","Blocked input",IF(Q99&gt;30,"Late posting (&gt;30d)","")))</f>
        <v/>
      </c>
    </row>
    <row r="100" customFormat="false" ht="15" hidden="false" customHeight="false" outlineLevel="0" collapsed="false">
      <c r="A100" s="47" t="s">
        <v>329</v>
      </c>
      <c r="B100" s="48" t="n">
        <v>45682</v>
      </c>
      <c r="C100" s="47" t="s">
        <v>159</v>
      </c>
      <c r="D100" s="47" t="s">
        <v>330</v>
      </c>
      <c r="E100" s="47" t="s">
        <v>101</v>
      </c>
      <c r="F100" s="47" t="s">
        <v>161</v>
      </c>
      <c r="G100" s="49" t="n">
        <v>134609.7</v>
      </c>
      <c r="H100" s="50" t="n">
        <v>0.05</v>
      </c>
      <c r="I100" s="47" t="s">
        <v>162</v>
      </c>
      <c r="J100" s="48" t="n">
        <v>45682</v>
      </c>
      <c r="K100" s="51" t="str">
        <f aca="false">"Q"&amp;ROUNDUP(MONTH(B100)/3,0)</f>
        <v>Q1</v>
      </c>
      <c r="L100" s="52" t="n">
        <f aca="false">ROUND(G100*H100,2)</f>
        <v>6730.49</v>
      </c>
      <c r="M100" s="52" t="n">
        <f aca="false">IF(AND(C100="Sales",F100="Standard-rated 5%"),L100,0)</f>
        <v>6730.49</v>
      </c>
      <c r="N100" s="52" t="n">
        <f aca="false">IF(F100="Reverse charge (imported services)",L100,0)</f>
        <v>0</v>
      </c>
      <c r="O100" s="52" t="n">
        <f aca="false">IF(C100&lt;&gt;"Purchase",0,IF(OR(I100="N",F100="Blocked input (entertainment)"),0,L100))</f>
        <v>0</v>
      </c>
      <c r="P100" s="52" t="n">
        <f aca="false">IF(C100&lt;&gt;"Purchase",0,L100-O100)</f>
        <v>0</v>
      </c>
      <c r="Q100" s="53" t="n">
        <f aca="false">J100-B100</f>
        <v>0</v>
      </c>
      <c r="R100" s="51" t="str">
        <f aca="false">IF(I100="N","Invalid / missing TRN",IF(F100="Blocked input (entertainment)","Blocked input",IF(Q100&gt;30,"Late posting (&gt;30d)","")))</f>
        <v/>
      </c>
    </row>
    <row r="101" customFormat="false" ht="15" hidden="false" customHeight="false" outlineLevel="0" collapsed="false">
      <c r="A101" s="47" t="s">
        <v>331</v>
      </c>
      <c r="B101" s="48" t="n">
        <v>45683</v>
      </c>
      <c r="C101" s="47" t="s">
        <v>166</v>
      </c>
      <c r="D101" s="47" t="s">
        <v>221</v>
      </c>
      <c r="E101" s="47" t="s">
        <v>101</v>
      </c>
      <c r="F101" s="47" t="s">
        <v>161</v>
      </c>
      <c r="G101" s="49" t="n">
        <v>13128.88</v>
      </c>
      <c r="H101" s="50" t="n">
        <v>0.05</v>
      </c>
      <c r="I101" s="47" t="s">
        <v>162</v>
      </c>
      <c r="J101" s="48" t="n">
        <v>45683</v>
      </c>
      <c r="K101" s="51" t="str">
        <f aca="false">"Q"&amp;ROUNDUP(MONTH(B101)/3,0)</f>
        <v>Q1</v>
      </c>
      <c r="L101" s="52" t="n">
        <f aca="false">ROUND(G101*H101,2)</f>
        <v>656.44</v>
      </c>
      <c r="M101" s="52" t="n">
        <f aca="false">IF(AND(C101="Sales",F101="Standard-rated 5%"),L101,0)</f>
        <v>0</v>
      </c>
      <c r="N101" s="52" t="n">
        <f aca="false">IF(F101="Reverse charge (imported services)",L101,0)</f>
        <v>0</v>
      </c>
      <c r="O101" s="52" t="n">
        <f aca="false">IF(C101&lt;&gt;"Purchase",0,IF(OR(I101="N",F101="Blocked input (entertainment)"),0,L101))</f>
        <v>656.44</v>
      </c>
      <c r="P101" s="52" t="n">
        <f aca="false">IF(C101&lt;&gt;"Purchase",0,L101-O101)</f>
        <v>0</v>
      </c>
      <c r="Q101" s="53" t="n">
        <f aca="false">J101-B101</f>
        <v>0</v>
      </c>
      <c r="R101" s="51" t="str">
        <f aca="false">IF(I101="N","Invalid / missing TRN",IF(F101="Blocked input (entertainment)","Blocked input",IF(Q101&gt;30,"Late posting (&gt;30d)","")))</f>
        <v/>
      </c>
    </row>
    <row r="102" customFormat="false" ht="15" hidden="false" customHeight="false" outlineLevel="0" collapsed="false">
      <c r="A102" s="47" t="s">
        <v>332</v>
      </c>
      <c r="B102" s="48" t="n">
        <v>45683</v>
      </c>
      <c r="C102" s="47" t="s">
        <v>159</v>
      </c>
      <c r="D102" s="47" t="s">
        <v>333</v>
      </c>
      <c r="E102" s="47" t="s">
        <v>102</v>
      </c>
      <c r="F102" s="47" t="s">
        <v>301</v>
      </c>
      <c r="G102" s="49" t="n">
        <v>15582.88</v>
      </c>
      <c r="H102" s="50" t="n">
        <v>0</v>
      </c>
      <c r="I102" s="47" t="s">
        <v>162</v>
      </c>
      <c r="J102" s="48" t="n">
        <v>45683</v>
      </c>
      <c r="K102" s="51" t="str">
        <f aca="false">"Q"&amp;ROUNDUP(MONTH(B102)/3,0)</f>
        <v>Q1</v>
      </c>
      <c r="L102" s="52" t="n">
        <f aca="false">ROUND(G102*H102,2)</f>
        <v>0</v>
      </c>
      <c r="M102" s="52" t="n">
        <f aca="false">IF(AND(C102="Sales",F102="Standard-rated 5%"),L102,0)</f>
        <v>0</v>
      </c>
      <c r="N102" s="52" t="n">
        <f aca="false">IF(F102="Reverse charge (imported services)",L102,0)</f>
        <v>0</v>
      </c>
      <c r="O102" s="52" t="n">
        <f aca="false">IF(C102&lt;&gt;"Purchase",0,IF(OR(I102="N",F102="Blocked input (entertainment)"),0,L102))</f>
        <v>0</v>
      </c>
      <c r="P102" s="52" t="n">
        <f aca="false">IF(C102&lt;&gt;"Purchase",0,L102-O102)</f>
        <v>0</v>
      </c>
      <c r="Q102" s="53" t="n">
        <f aca="false">J102-B102</f>
        <v>0</v>
      </c>
      <c r="R102" s="51" t="str">
        <f aca="false">IF(I102="N","Invalid / missing TRN",IF(F102="Blocked input (entertainment)","Blocked input",IF(Q102&gt;30,"Late posting (&gt;30d)","")))</f>
        <v/>
      </c>
    </row>
    <row r="103" customFormat="false" ht="15" hidden="false" customHeight="false" outlineLevel="0" collapsed="false">
      <c r="A103" s="47" t="s">
        <v>334</v>
      </c>
      <c r="B103" s="48" t="n">
        <v>45684</v>
      </c>
      <c r="C103" s="47" t="s">
        <v>166</v>
      </c>
      <c r="D103" s="47" t="s">
        <v>335</v>
      </c>
      <c r="E103" s="47" t="s">
        <v>100</v>
      </c>
      <c r="F103" s="47" t="s">
        <v>161</v>
      </c>
      <c r="G103" s="49" t="n">
        <v>20742.76</v>
      </c>
      <c r="H103" s="50" t="n">
        <v>0.05</v>
      </c>
      <c r="I103" s="47" t="s">
        <v>162</v>
      </c>
      <c r="J103" s="48" t="n">
        <v>45685</v>
      </c>
      <c r="K103" s="51" t="str">
        <f aca="false">"Q"&amp;ROUNDUP(MONTH(B103)/3,0)</f>
        <v>Q1</v>
      </c>
      <c r="L103" s="52" t="n">
        <f aca="false">ROUND(G103*H103,2)</f>
        <v>1037.14</v>
      </c>
      <c r="M103" s="52" t="n">
        <f aca="false">IF(AND(C103="Sales",F103="Standard-rated 5%"),L103,0)</f>
        <v>0</v>
      </c>
      <c r="N103" s="52" t="n">
        <f aca="false">IF(F103="Reverse charge (imported services)",L103,0)</f>
        <v>0</v>
      </c>
      <c r="O103" s="52" t="n">
        <f aca="false">IF(C103&lt;&gt;"Purchase",0,IF(OR(I103="N",F103="Blocked input (entertainment)"),0,L103))</f>
        <v>1037.14</v>
      </c>
      <c r="P103" s="52" t="n">
        <f aca="false">IF(C103&lt;&gt;"Purchase",0,L103-O103)</f>
        <v>0</v>
      </c>
      <c r="Q103" s="53" t="n">
        <f aca="false">J103-B103</f>
        <v>1</v>
      </c>
      <c r="R103" s="51" t="str">
        <f aca="false">IF(I103="N","Invalid / missing TRN",IF(F103="Blocked input (entertainment)","Blocked input",IF(Q103&gt;30,"Late posting (&gt;30d)","")))</f>
        <v/>
      </c>
    </row>
    <row r="104" customFormat="false" ht="15" hidden="false" customHeight="false" outlineLevel="0" collapsed="false">
      <c r="A104" s="47" t="s">
        <v>336</v>
      </c>
      <c r="B104" s="48" t="n">
        <v>45684</v>
      </c>
      <c r="C104" s="47" t="s">
        <v>166</v>
      </c>
      <c r="D104" s="47" t="s">
        <v>326</v>
      </c>
      <c r="E104" s="47" t="s">
        <v>100</v>
      </c>
      <c r="F104" s="47" t="s">
        <v>337</v>
      </c>
      <c r="G104" s="49" t="n">
        <v>16959.7</v>
      </c>
      <c r="H104" s="50" t="n">
        <v>0</v>
      </c>
      <c r="I104" s="47" t="s">
        <v>162</v>
      </c>
      <c r="J104" s="48" t="n">
        <v>45686</v>
      </c>
      <c r="K104" s="51" t="str">
        <f aca="false">"Q"&amp;ROUNDUP(MONTH(B104)/3,0)</f>
        <v>Q1</v>
      </c>
      <c r="L104" s="52" t="n">
        <f aca="false">ROUND(G104*H104,2)</f>
        <v>0</v>
      </c>
      <c r="M104" s="52" t="n">
        <f aca="false">IF(AND(C104="Sales",F104="Standard-rated 5%"),L104,0)</f>
        <v>0</v>
      </c>
      <c r="N104" s="52" t="n">
        <f aca="false">IF(F104="Reverse charge (imported services)",L104,0)</f>
        <v>0</v>
      </c>
      <c r="O104" s="52" t="n">
        <f aca="false">IF(C104&lt;&gt;"Purchase",0,IF(OR(I104="N",F104="Blocked input (entertainment)"),0,L104))</f>
        <v>0</v>
      </c>
      <c r="P104" s="52" t="n">
        <f aca="false">IF(C104&lt;&gt;"Purchase",0,L104-O104)</f>
        <v>0</v>
      </c>
      <c r="Q104" s="53" t="n">
        <f aca="false">J104-B104</f>
        <v>2</v>
      </c>
      <c r="R104" s="51" t="str">
        <f aca="false">IF(I104="N","Invalid / missing TRN",IF(F104="Blocked input (entertainment)","Blocked input",IF(Q104&gt;30,"Late posting (&gt;30d)","")))</f>
        <v/>
      </c>
    </row>
    <row r="105" customFormat="false" ht="15" hidden="false" customHeight="false" outlineLevel="0" collapsed="false">
      <c r="A105" s="47" t="s">
        <v>338</v>
      </c>
      <c r="B105" s="48" t="n">
        <v>45684</v>
      </c>
      <c r="C105" s="47" t="s">
        <v>159</v>
      </c>
      <c r="D105" s="47" t="s">
        <v>339</v>
      </c>
      <c r="E105" s="47" t="s">
        <v>102</v>
      </c>
      <c r="F105" s="47" t="s">
        <v>161</v>
      </c>
      <c r="G105" s="49" t="n">
        <v>33507.54</v>
      </c>
      <c r="H105" s="50" t="n">
        <v>0.05</v>
      </c>
      <c r="I105" s="47" t="s">
        <v>162</v>
      </c>
      <c r="J105" s="48" t="n">
        <v>45684</v>
      </c>
      <c r="K105" s="51" t="str">
        <f aca="false">"Q"&amp;ROUNDUP(MONTH(B105)/3,0)</f>
        <v>Q1</v>
      </c>
      <c r="L105" s="52" t="n">
        <f aca="false">ROUND(G105*H105,2)</f>
        <v>1675.38</v>
      </c>
      <c r="M105" s="52" t="n">
        <f aca="false">IF(AND(C105="Sales",F105="Standard-rated 5%"),L105,0)</f>
        <v>1675.38</v>
      </c>
      <c r="N105" s="52" t="n">
        <f aca="false">IF(F105="Reverse charge (imported services)",L105,0)</f>
        <v>0</v>
      </c>
      <c r="O105" s="52" t="n">
        <f aca="false">IF(C105&lt;&gt;"Purchase",0,IF(OR(I105="N",F105="Blocked input (entertainment)"),0,L105))</f>
        <v>0</v>
      </c>
      <c r="P105" s="52" t="n">
        <f aca="false">IF(C105&lt;&gt;"Purchase",0,L105-O105)</f>
        <v>0</v>
      </c>
      <c r="Q105" s="53" t="n">
        <f aca="false">J105-B105</f>
        <v>0</v>
      </c>
      <c r="R105" s="51" t="str">
        <f aca="false">IF(I105="N","Invalid / missing TRN",IF(F105="Blocked input (entertainment)","Blocked input",IF(Q105&gt;30,"Late posting (&gt;30d)","")))</f>
        <v/>
      </c>
    </row>
    <row r="106" customFormat="false" ht="15" hidden="false" customHeight="false" outlineLevel="0" collapsed="false">
      <c r="A106" s="47" t="s">
        <v>340</v>
      </c>
      <c r="B106" s="48" t="n">
        <v>45685</v>
      </c>
      <c r="C106" s="47" t="s">
        <v>166</v>
      </c>
      <c r="D106" s="47" t="s">
        <v>184</v>
      </c>
      <c r="E106" s="47" t="s">
        <v>100</v>
      </c>
      <c r="F106" s="47" t="s">
        <v>161</v>
      </c>
      <c r="G106" s="49" t="n">
        <v>5855.26</v>
      </c>
      <c r="H106" s="50" t="n">
        <v>0.05</v>
      </c>
      <c r="I106" s="47" t="s">
        <v>162</v>
      </c>
      <c r="J106" s="48" t="n">
        <v>45685</v>
      </c>
      <c r="K106" s="51" t="str">
        <f aca="false">"Q"&amp;ROUNDUP(MONTH(B106)/3,0)</f>
        <v>Q1</v>
      </c>
      <c r="L106" s="52" t="n">
        <f aca="false">ROUND(G106*H106,2)</f>
        <v>292.76</v>
      </c>
      <c r="M106" s="52" t="n">
        <f aca="false">IF(AND(C106="Sales",F106="Standard-rated 5%"),L106,0)</f>
        <v>0</v>
      </c>
      <c r="N106" s="52" t="n">
        <f aca="false">IF(F106="Reverse charge (imported services)",L106,0)</f>
        <v>0</v>
      </c>
      <c r="O106" s="52" t="n">
        <f aca="false">IF(C106&lt;&gt;"Purchase",0,IF(OR(I106="N",F106="Blocked input (entertainment)"),0,L106))</f>
        <v>292.76</v>
      </c>
      <c r="P106" s="52" t="n">
        <f aca="false">IF(C106&lt;&gt;"Purchase",0,L106-O106)</f>
        <v>0</v>
      </c>
      <c r="Q106" s="53" t="n">
        <f aca="false">J106-B106</f>
        <v>0</v>
      </c>
      <c r="R106" s="51" t="str">
        <f aca="false">IF(I106="N","Invalid / missing TRN",IF(F106="Blocked input (entertainment)","Blocked input",IF(Q106&gt;30,"Late posting (&gt;30d)","")))</f>
        <v/>
      </c>
    </row>
    <row r="107" customFormat="false" ht="15" hidden="false" customHeight="false" outlineLevel="0" collapsed="false">
      <c r="A107" s="47" t="s">
        <v>341</v>
      </c>
      <c r="B107" s="48" t="n">
        <v>45685</v>
      </c>
      <c r="C107" s="47" t="s">
        <v>159</v>
      </c>
      <c r="D107" s="47" t="s">
        <v>237</v>
      </c>
      <c r="E107" s="47" t="s">
        <v>102</v>
      </c>
      <c r="F107" s="47" t="s">
        <v>161</v>
      </c>
      <c r="G107" s="49" t="n">
        <v>100902.02</v>
      </c>
      <c r="H107" s="50" t="n">
        <v>0.05</v>
      </c>
      <c r="I107" s="47" t="s">
        <v>162</v>
      </c>
      <c r="J107" s="48" t="n">
        <v>45685</v>
      </c>
      <c r="K107" s="51" t="str">
        <f aca="false">"Q"&amp;ROUNDUP(MONTH(B107)/3,0)</f>
        <v>Q1</v>
      </c>
      <c r="L107" s="52" t="n">
        <f aca="false">ROUND(G107*H107,2)</f>
        <v>5045.1</v>
      </c>
      <c r="M107" s="52" t="n">
        <f aca="false">IF(AND(C107="Sales",F107="Standard-rated 5%"),L107,0)</f>
        <v>5045.1</v>
      </c>
      <c r="N107" s="52" t="n">
        <f aca="false">IF(F107="Reverse charge (imported services)",L107,0)</f>
        <v>0</v>
      </c>
      <c r="O107" s="52" t="n">
        <f aca="false">IF(C107&lt;&gt;"Purchase",0,IF(OR(I107="N",F107="Blocked input (entertainment)"),0,L107))</f>
        <v>0</v>
      </c>
      <c r="P107" s="52" t="n">
        <f aca="false">IF(C107&lt;&gt;"Purchase",0,L107-O107)</f>
        <v>0</v>
      </c>
      <c r="Q107" s="53" t="n">
        <f aca="false">J107-B107</f>
        <v>0</v>
      </c>
      <c r="R107" s="51" t="str">
        <f aca="false">IF(I107="N","Invalid / missing TRN",IF(F107="Blocked input (entertainment)","Blocked input",IF(Q107&gt;30,"Late posting (&gt;30d)","")))</f>
        <v/>
      </c>
    </row>
    <row r="108" customFormat="false" ht="15" hidden="false" customHeight="false" outlineLevel="0" collapsed="false">
      <c r="A108" s="47" t="s">
        <v>342</v>
      </c>
      <c r="B108" s="48" t="n">
        <v>45685</v>
      </c>
      <c r="C108" s="47" t="s">
        <v>159</v>
      </c>
      <c r="D108" s="47" t="s">
        <v>343</v>
      </c>
      <c r="E108" s="47" t="s">
        <v>102</v>
      </c>
      <c r="F108" s="47" t="s">
        <v>161</v>
      </c>
      <c r="G108" s="49" t="n">
        <v>20497.55</v>
      </c>
      <c r="H108" s="50" t="n">
        <v>0.05</v>
      </c>
      <c r="I108" s="47" t="s">
        <v>162</v>
      </c>
      <c r="J108" s="48" t="n">
        <v>45685</v>
      </c>
      <c r="K108" s="51" t="str">
        <f aca="false">"Q"&amp;ROUNDUP(MONTH(B108)/3,0)</f>
        <v>Q1</v>
      </c>
      <c r="L108" s="52" t="n">
        <f aca="false">ROUND(G108*H108,2)</f>
        <v>1024.88</v>
      </c>
      <c r="M108" s="52" t="n">
        <f aca="false">IF(AND(C108="Sales",F108="Standard-rated 5%"),L108,0)</f>
        <v>1024.88</v>
      </c>
      <c r="N108" s="52" t="n">
        <f aca="false">IF(F108="Reverse charge (imported services)",L108,0)</f>
        <v>0</v>
      </c>
      <c r="O108" s="52" t="n">
        <f aca="false">IF(C108&lt;&gt;"Purchase",0,IF(OR(I108="N",F108="Blocked input (entertainment)"),0,L108))</f>
        <v>0</v>
      </c>
      <c r="P108" s="52" t="n">
        <f aca="false">IF(C108&lt;&gt;"Purchase",0,L108-O108)</f>
        <v>0</v>
      </c>
      <c r="Q108" s="53" t="n">
        <f aca="false">J108-B108</f>
        <v>0</v>
      </c>
      <c r="R108" s="51" t="str">
        <f aca="false">IF(I108="N","Invalid / missing TRN",IF(F108="Blocked input (entertainment)","Blocked input",IF(Q108&gt;30,"Late posting (&gt;30d)","")))</f>
        <v/>
      </c>
    </row>
    <row r="109" customFormat="false" ht="15" hidden="false" customHeight="false" outlineLevel="0" collapsed="false">
      <c r="A109" s="47" t="s">
        <v>344</v>
      </c>
      <c r="B109" s="48" t="n">
        <v>45685</v>
      </c>
      <c r="C109" s="47" t="s">
        <v>159</v>
      </c>
      <c r="D109" s="47" t="s">
        <v>345</v>
      </c>
      <c r="E109" s="47" t="s">
        <v>101</v>
      </c>
      <c r="F109" s="47" t="s">
        <v>161</v>
      </c>
      <c r="G109" s="49" t="n">
        <v>10338.31</v>
      </c>
      <c r="H109" s="50" t="n">
        <v>0.05</v>
      </c>
      <c r="I109" s="47" t="s">
        <v>162</v>
      </c>
      <c r="J109" s="48" t="n">
        <v>45690</v>
      </c>
      <c r="K109" s="51" t="str">
        <f aca="false">"Q"&amp;ROUNDUP(MONTH(B109)/3,0)</f>
        <v>Q1</v>
      </c>
      <c r="L109" s="52" t="n">
        <f aca="false">ROUND(G109*H109,2)</f>
        <v>516.92</v>
      </c>
      <c r="M109" s="52" t="n">
        <f aca="false">IF(AND(C109="Sales",F109="Standard-rated 5%"),L109,0)</f>
        <v>516.92</v>
      </c>
      <c r="N109" s="52" t="n">
        <f aca="false">IF(F109="Reverse charge (imported services)",L109,0)</f>
        <v>0</v>
      </c>
      <c r="O109" s="52" t="n">
        <f aca="false">IF(C109&lt;&gt;"Purchase",0,IF(OR(I109="N",F109="Blocked input (entertainment)"),0,L109))</f>
        <v>0</v>
      </c>
      <c r="P109" s="52" t="n">
        <f aca="false">IF(C109&lt;&gt;"Purchase",0,L109-O109)</f>
        <v>0</v>
      </c>
      <c r="Q109" s="53" t="n">
        <f aca="false">J109-B109</f>
        <v>5</v>
      </c>
      <c r="R109" s="51" t="str">
        <f aca="false">IF(I109="N","Invalid / missing TRN",IF(F109="Blocked input (entertainment)","Blocked input",IF(Q109&gt;30,"Late posting (&gt;30d)","")))</f>
        <v/>
      </c>
    </row>
    <row r="110" customFormat="false" ht="15" hidden="false" customHeight="false" outlineLevel="0" collapsed="false">
      <c r="A110" s="47" t="s">
        <v>346</v>
      </c>
      <c r="B110" s="48" t="n">
        <v>45685</v>
      </c>
      <c r="C110" s="47" t="s">
        <v>159</v>
      </c>
      <c r="D110" s="47" t="s">
        <v>216</v>
      </c>
      <c r="E110" s="47" t="s">
        <v>100</v>
      </c>
      <c r="F110" s="47" t="s">
        <v>161</v>
      </c>
      <c r="G110" s="49" t="n">
        <v>26290.83</v>
      </c>
      <c r="H110" s="50" t="n">
        <v>0.05</v>
      </c>
      <c r="I110" s="47" t="s">
        <v>162</v>
      </c>
      <c r="J110" s="48" t="n">
        <v>45685</v>
      </c>
      <c r="K110" s="51" t="str">
        <f aca="false">"Q"&amp;ROUNDUP(MONTH(B110)/3,0)</f>
        <v>Q1</v>
      </c>
      <c r="L110" s="52" t="n">
        <f aca="false">ROUND(G110*H110,2)</f>
        <v>1314.54</v>
      </c>
      <c r="M110" s="52" t="n">
        <f aca="false">IF(AND(C110="Sales",F110="Standard-rated 5%"),L110,0)</f>
        <v>1314.54</v>
      </c>
      <c r="N110" s="52" t="n">
        <f aca="false">IF(F110="Reverse charge (imported services)",L110,0)</f>
        <v>0</v>
      </c>
      <c r="O110" s="52" t="n">
        <f aca="false">IF(C110&lt;&gt;"Purchase",0,IF(OR(I110="N",F110="Blocked input (entertainment)"),0,L110))</f>
        <v>0</v>
      </c>
      <c r="P110" s="52" t="n">
        <f aca="false">IF(C110&lt;&gt;"Purchase",0,L110-O110)</f>
        <v>0</v>
      </c>
      <c r="Q110" s="53" t="n">
        <f aca="false">J110-B110</f>
        <v>0</v>
      </c>
      <c r="R110" s="51" t="str">
        <f aca="false">IF(I110="N","Invalid / missing TRN",IF(F110="Blocked input (entertainment)","Blocked input",IF(Q110&gt;30,"Late posting (&gt;30d)","")))</f>
        <v/>
      </c>
    </row>
    <row r="111" customFormat="false" ht="15" hidden="false" customHeight="false" outlineLevel="0" collapsed="false">
      <c r="A111" s="47" t="s">
        <v>347</v>
      </c>
      <c r="B111" s="48" t="n">
        <v>45686</v>
      </c>
      <c r="C111" s="47" t="s">
        <v>166</v>
      </c>
      <c r="D111" s="47" t="s">
        <v>348</v>
      </c>
      <c r="E111" s="47" t="s">
        <v>100</v>
      </c>
      <c r="F111" s="47" t="s">
        <v>349</v>
      </c>
      <c r="G111" s="49" t="n">
        <v>13736.09</v>
      </c>
      <c r="H111" s="50" t="n">
        <v>0.05</v>
      </c>
      <c r="I111" s="47" t="s">
        <v>350</v>
      </c>
      <c r="J111" s="48" t="n">
        <v>45686</v>
      </c>
      <c r="K111" s="51" t="str">
        <f aca="false">"Q"&amp;ROUNDUP(MONTH(B111)/3,0)</f>
        <v>Q1</v>
      </c>
      <c r="L111" s="52" t="n">
        <f aca="false">ROUND(G111*H111,2)</f>
        <v>686.8</v>
      </c>
      <c r="M111" s="52" t="n">
        <f aca="false">IF(AND(C111="Sales",F111="Standard-rated 5%"),L111,0)</f>
        <v>0</v>
      </c>
      <c r="N111" s="52" t="n">
        <f aca="false">IF(F111="Reverse charge (imported services)",L111,0)</f>
        <v>0</v>
      </c>
      <c r="O111" s="52" t="n">
        <f aca="false">IF(C111&lt;&gt;"Purchase",0,IF(OR(I111="N",F111="Blocked input (entertainment)"),0,L111))</f>
        <v>0</v>
      </c>
      <c r="P111" s="52" t="n">
        <f aca="false">IF(C111&lt;&gt;"Purchase",0,L111-O111)</f>
        <v>686.8</v>
      </c>
      <c r="Q111" s="53" t="n">
        <f aca="false">J111-B111</f>
        <v>0</v>
      </c>
      <c r="R111" s="51" t="str">
        <f aca="false">IF(I111="N","Invalid / missing TRN",IF(F111="Blocked input (entertainment)","Blocked input",IF(Q111&gt;30,"Late posting (&gt;30d)","")))</f>
        <v>Invalid / missing TRN</v>
      </c>
    </row>
    <row r="112" customFormat="false" ht="15" hidden="false" customHeight="false" outlineLevel="0" collapsed="false">
      <c r="A112" s="47" t="s">
        <v>351</v>
      </c>
      <c r="B112" s="48" t="n">
        <v>45686</v>
      </c>
      <c r="C112" s="47" t="s">
        <v>166</v>
      </c>
      <c r="D112" s="47" t="s">
        <v>352</v>
      </c>
      <c r="E112" s="47" t="s">
        <v>105</v>
      </c>
      <c r="F112" s="47" t="s">
        <v>161</v>
      </c>
      <c r="G112" s="49" t="n">
        <v>18046.75</v>
      </c>
      <c r="H112" s="50" t="n">
        <v>0.05</v>
      </c>
      <c r="I112" s="47" t="s">
        <v>162</v>
      </c>
      <c r="J112" s="48" t="n">
        <v>45686</v>
      </c>
      <c r="K112" s="51" t="str">
        <f aca="false">"Q"&amp;ROUNDUP(MONTH(B112)/3,0)</f>
        <v>Q1</v>
      </c>
      <c r="L112" s="52" t="n">
        <f aca="false">ROUND(G112*H112,2)</f>
        <v>902.34</v>
      </c>
      <c r="M112" s="52" t="n">
        <f aca="false">IF(AND(C112="Sales",F112="Standard-rated 5%"),L112,0)</f>
        <v>0</v>
      </c>
      <c r="N112" s="52" t="n">
        <f aca="false">IF(F112="Reverse charge (imported services)",L112,0)</f>
        <v>0</v>
      </c>
      <c r="O112" s="52" t="n">
        <f aca="false">IF(C112&lt;&gt;"Purchase",0,IF(OR(I112="N",F112="Blocked input (entertainment)"),0,L112))</f>
        <v>902.34</v>
      </c>
      <c r="P112" s="52" t="n">
        <f aca="false">IF(C112&lt;&gt;"Purchase",0,L112-O112)</f>
        <v>0</v>
      </c>
      <c r="Q112" s="53" t="n">
        <f aca="false">J112-B112</f>
        <v>0</v>
      </c>
      <c r="R112" s="51" t="str">
        <f aca="false">IF(I112="N","Invalid / missing TRN",IF(F112="Blocked input (entertainment)","Blocked input",IF(Q112&gt;30,"Late posting (&gt;30d)","")))</f>
        <v/>
      </c>
    </row>
    <row r="113" customFormat="false" ht="15" hidden="false" customHeight="false" outlineLevel="0" collapsed="false">
      <c r="A113" s="47" t="s">
        <v>353</v>
      </c>
      <c r="B113" s="48" t="n">
        <v>45688</v>
      </c>
      <c r="C113" s="47" t="s">
        <v>166</v>
      </c>
      <c r="D113" s="47" t="s">
        <v>181</v>
      </c>
      <c r="E113" s="47" t="s">
        <v>101</v>
      </c>
      <c r="F113" s="47" t="s">
        <v>161</v>
      </c>
      <c r="G113" s="49" t="n">
        <v>15065.94</v>
      </c>
      <c r="H113" s="50" t="n">
        <v>0.05</v>
      </c>
      <c r="I113" s="47" t="s">
        <v>162</v>
      </c>
      <c r="J113" s="48" t="n">
        <v>45688</v>
      </c>
      <c r="K113" s="51" t="str">
        <f aca="false">"Q"&amp;ROUNDUP(MONTH(B113)/3,0)</f>
        <v>Q1</v>
      </c>
      <c r="L113" s="52" t="n">
        <f aca="false">ROUND(G113*H113,2)</f>
        <v>753.3</v>
      </c>
      <c r="M113" s="52" t="n">
        <f aca="false">IF(AND(C113="Sales",F113="Standard-rated 5%"),L113,0)</f>
        <v>0</v>
      </c>
      <c r="N113" s="52" t="n">
        <f aca="false">IF(F113="Reverse charge (imported services)",L113,0)</f>
        <v>0</v>
      </c>
      <c r="O113" s="52" t="n">
        <f aca="false">IF(C113&lt;&gt;"Purchase",0,IF(OR(I113="N",F113="Blocked input (entertainment)"),0,L113))</f>
        <v>753.3</v>
      </c>
      <c r="P113" s="52" t="n">
        <f aca="false">IF(C113&lt;&gt;"Purchase",0,L113-O113)</f>
        <v>0</v>
      </c>
      <c r="Q113" s="53" t="n">
        <f aca="false">J113-B113</f>
        <v>0</v>
      </c>
      <c r="R113" s="51" t="str">
        <f aca="false">IF(I113="N","Invalid / missing TRN",IF(F113="Blocked input (entertainment)","Blocked input",IF(Q113&gt;30,"Late posting (&gt;30d)","")))</f>
        <v/>
      </c>
    </row>
    <row r="114" customFormat="false" ht="15" hidden="false" customHeight="false" outlineLevel="0" collapsed="false">
      <c r="A114" s="47" t="s">
        <v>354</v>
      </c>
      <c r="B114" s="48" t="n">
        <v>45688</v>
      </c>
      <c r="C114" s="47" t="s">
        <v>159</v>
      </c>
      <c r="D114" s="47" t="s">
        <v>355</v>
      </c>
      <c r="E114" s="47" t="s">
        <v>100</v>
      </c>
      <c r="F114" s="47" t="s">
        <v>301</v>
      </c>
      <c r="G114" s="49" t="n">
        <v>31387.18</v>
      </c>
      <c r="H114" s="50" t="n">
        <v>0</v>
      </c>
      <c r="I114" s="47" t="s">
        <v>162</v>
      </c>
      <c r="J114" s="48" t="n">
        <v>45688</v>
      </c>
      <c r="K114" s="51" t="str">
        <f aca="false">"Q"&amp;ROUNDUP(MONTH(B114)/3,0)</f>
        <v>Q1</v>
      </c>
      <c r="L114" s="52" t="n">
        <f aca="false">ROUND(G114*H114,2)</f>
        <v>0</v>
      </c>
      <c r="M114" s="52" t="n">
        <f aca="false">IF(AND(C114="Sales",F114="Standard-rated 5%"),L114,0)</f>
        <v>0</v>
      </c>
      <c r="N114" s="52" t="n">
        <f aca="false">IF(F114="Reverse charge (imported services)",L114,0)</f>
        <v>0</v>
      </c>
      <c r="O114" s="52" t="n">
        <f aca="false">IF(C114&lt;&gt;"Purchase",0,IF(OR(I114="N",F114="Blocked input (entertainment)"),0,L114))</f>
        <v>0</v>
      </c>
      <c r="P114" s="52" t="n">
        <f aca="false">IF(C114&lt;&gt;"Purchase",0,L114-O114)</f>
        <v>0</v>
      </c>
      <c r="Q114" s="53" t="n">
        <f aca="false">J114-B114</f>
        <v>0</v>
      </c>
      <c r="R114" s="51" t="str">
        <f aca="false">IF(I114="N","Invalid / missing TRN",IF(F114="Blocked input (entertainment)","Blocked input",IF(Q114&gt;30,"Late posting (&gt;30d)","")))</f>
        <v/>
      </c>
    </row>
    <row r="115" customFormat="false" ht="15" hidden="false" customHeight="false" outlineLevel="0" collapsed="false">
      <c r="A115" s="47" t="s">
        <v>356</v>
      </c>
      <c r="B115" s="48" t="n">
        <v>45688</v>
      </c>
      <c r="C115" s="47" t="s">
        <v>159</v>
      </c>
      <c r="D115" s="47" t="s">
        <v>213</v>
      </c>
      <c r="E115" s="47" t="s">
        <v>105</v>
      </c>
      <c r="F115" s="47" t="s">
        <v>161</v>
      </c>
      <c r="G115" s="49" t="n">
        <v>24277.12</v>
      </c>
      <c r="H115" s="50" t="n">
        <v>0.05</v>
      </c>
      <c r="I115" s="47" t="s">
        <v>162</v>
      </c>
      <c r="J115" s="48" t="n">
        <v>45688</v>
      </c>
      <c r="K115" s="51" t="str">
        <f aca="false">"Q"&amp;ROUNDUP(MONTH(B115)/3,0)</f>
        <v>Q1</v>
      </c>
      <c r="L115" s="52" t="n">
        <f aca="false">ROUND(G115*H115,2)</f>
        <v>1213.86</v>
      </c>
      <c r="M115" s="52" t="n">
        <f aca="false">IF(AND(C115="Sales",F115="Standard-rated 5%"),L115,0)</f>
        <v>1213.86</v>
      </c>
      <c r="N115" s="52" t="n">
        <f aca="false">IF(F115="Reverse charge (imported services)",L115,0)</f>
        <v>0</v>
      </c>
      <c r="O115" s="52" t="n">
        <f aca="false">IF(C115&lt;&gt;"Purchase",0,IF(OR(I115="N",F115="Blocked input (entertainment)"),0,L115))</f>
        <v>0</v>
      </c>
      <c r="P115" s="52" t="n">
        <f aca="false">IF(C115&lt;&gt;"Purchase",0,L115-O115)</f>
        <v>0</v>
      </c>
      <c r="Q115" s="53" t="n">
        <f aca="false">J115-B115</f>
        <v>0</v>
      </c>
      <c r="R115" s="51" t="str">
        <f aca="false">IF(I115="N","Invalid / missing TRN",IF(F115="Blocked input (entertainment)","Blocked input",IF(Q115&gt;30,"Late posting (&gt;30d)","")))</f>
        <v/>
      </c>
    </row>
    <row r="116" customFormat="false" ht="15" hidden="false" customHeight="false" outlineLevel="0" collapsed="false">
      <c r="A116" s="47" t="s">
        <v>357</v>
      </c>
      <c r="B116" s="48" t="n">
        <v>45688</v>
      </c>
      <c r="C116" s="47" t="s">
        <v>159</v>
      </c>
      <c r="D116" s="47" t="s">
        <v>345</v>
      </c>
      <c r="E116" s="47" t="s">
        <v>100</v>
      </c>
      <c r="F116" s="47" t="s">
        <v>161</v>
      </c>
      <c r="G116" s="49" t="n">
        <v>67742.62</v>
      </c>
      <c r="H116" s="50" t="n">
        <v>0.05</v>
      </c>
      <c r="I116" s="47" t="s">
        <v>162</v>
      </c>
      <c r="J116" s="48" t="n">
        <v>45693</v>
      </c>
      <c r="K116" s="51" t="str">
        <f aca="false">"Q"&amp;ROUNDUP(MONTH(B116)/3,0)</f>
        <v>Q1</v>
      </c>
      <c r="L116" s="52" t="n">
        <f aca="false">ROUND(G116*H116,2)</f>
        <v>3387.13</v>
      </c>
      <c r="M116" s="52" t="n">
        <f aca="false">IF(AND(C116="Sales",F116="Standard-rated 5%"),L116,0)</f>
        <v>3387.13</v>
      </c>
      <c r="N116" s="52" t="n">
        <f aca="false">IF(F116="Reverse charge (imported services)",L116,0)</f>
        <v>0</v>
      </c>
      <c r="O116" s="52" t="n">
        <f aca="false">IF(C116&lt;&gt;"Purchase",0,IF(OR(I116="N",F116="Blocked input (entertainment)"),0,L116))</f>
        <v>0</v>
      </c>
      <c r="P116" s="52" t="n">
        <f aca="false">IF(C116&lt;&gt;"Purchase",0,L116-O116)</f>
        <v>0</v>
      </c>
      <c r="Q116" s="53" t="n">
        <f aca="false">J116-B116</f>
        <v>5</v>
      </c>
      <c r="R116" s="51" t="str">
        <f aca="false">IF(I116="N","Invalid / missing TRN",IF(F116="Blocked input (entertainment)","Blocked input",IF(Q116&gt;30,"Late posting (&gt;30d)","")))</f>
        <v/>
      </c>
    </row>
    <row r="117" customFormat="false" ht="15" hidden="false" customHeight="false" outlineLevel="0" collapsed="false">
      <c r="A117" s="47" t="s">
        <v>358</v>
      </c>
      <c r="B117" s="48" t="n">
        <v>45688</v>
      </c>
      <c r="C117" s="47" t="s">
        <v>159</v>
      </c>
      <c r="D117" s="47" t="s">
        <v>359</v>
      </c>
      <c r="E117" s="47" t="s">
        <v>101</v>
      </c>
      <c r="F117" s="47" t="s">
        <v>161</v>
      </c>
      <c r="G117" s="49" t="n">
        <v>65129.95</v>
      </c>
      <c r="H117" s="50" t="n">
        <v>0.05</v>
      </c>
      <c r="I117" s="47" t="s">
        <v>162</v>
      </c>
      <c r="J117" s="48" t="n">
        <v>45688</v>
      </c>
      <c r="K117" s="51" t="str">
        <f aca="false">"Q"&amp;ROUNDUP(MONTH(B117)/3,0)</f>
        <v>Q1</v>
      </c>
      <c r="L117" s="52" t="n">
        <f aca="false">ROUND(G117*H117,2)</f>
        <v>3256.5</v>
      </c>
      <c r="M117" s="52" t="n">
        <f aca="false">IF(AND(C117="Sales",F117="Standard-rated 5%"),L117,0)</f>
        <v>3256.5</v>
      </c>
      <c r="N117" s="52" t="n">
        <f aca="false">IF(F117="Reverse charge (imported services)",L117,0)</f>
        <v>0</v>
      </c>
      <c r="O117" s="52" t="n">
        <f aca="false">IF(C117&lt;&gt;"Purchase",0,IF(OR(I117="N",F117="Blocked input (entertainment)"),0,L117))</f>
        <v>0</v>
      </c>
      <c r="P117" s="52" t="n">
        <f aca="false">IF(C117&lt;&gt;"Purchase",0,L117-O117)</f>
        <v>0</v>
      </c>
      <c r="Q117" s="53" t="n">
        <f aca="false">J117-B117</f>
        <v>0</v>
      </c>
      <c r="R117" s="51" t="str">
        <f aca="false">IF(I117="N","Invalid / missing TRN",IF(F117="Blocked input (entertainment)","Blocked input",IF(Q117&gt;30,"Late posting (&gt;30d)","")))</f>
        <v/>
      </c>
    </row>
    <row r="118" customFormat="false" ht="15" hidden="false" customHeight="false" outlineLevel="0" collapsed="false">
      <c r="A118" s="47" t="s">
        <v>360</v>
      </c>
      <c r="B118" s="48" t="n">
        <v>45688</v>
      </c>
      <c r="C118" s="47" t="s">
        <v>159</v>
      </c>
      <c r="D118" s="47" t="s">
        <v>361</v>
      </c>
      <c r="E118" s="47" t="s">
        <v>100</v>
      </c>
      <c r="F118" s="47" t="s">
        <v>161</v>
      </c>
      <c r="G118" s="49" t="n">
        <v>100936.97</v>
      </c>
      <c r="H118" s="50" t="n">
        <v>0.05</v>
      </c>
      <c r="I118" s="47" t="s">
        <v>162</v>
      </c>
      <c r="J118" s="48" t="n">
        <v>45688</v>
      </c>
      <c r="K118" s="51" t="str">
        <f aca="false">"Q"&amp;ROUNDUP(MONTH(B118)/3,0)</f>
        <v>Q1</v>
      </c>
      <c r="L118" s="52" t="n">
        <f aca="false">ROUND(G118*H118,2)</f>
        <v>5046.85</v>
      </c>
      <c r="M118" s="52" t="n">
        <f aca="false">IF(AND(C118="Sales",F118="Standard-rated 5%"),L118,0)</f>
        <v>5046.85</v>
      </c>
      <c r="N118" s="52" t="n">
        <f aca="false">IF(F118="Reverse charge (imported services)",L118,0)</f>
        <v>0</v>
      </c>
      <c r="O118" s="52" t="n">
        <f aca="false">IF(C118&lt;&gt;"Purchase",0,IF(OR(I118="N",F118="Blocked input (entertainment)"),0,L118))</f>
        <v>0</v>
      </c>
      <c r="P118" s="52" t="n">
        <f aca="false">IF(C118&lt;&gt;"Purchase",0,L118-O118)</f>
        <v>0</v>
      </c>
      <c r="Q118" s="53" t="n">
        <f aca="false">J118-B118</f>
        <v>0</v>
      </c>
      <c r="R118" s="51" t="str">
        <f aca="false">IF(I118="N","Invalid / missing TRN",IF(F118="Blocked input (entertainment)","Blocked input",IF(Q118&gt;30,"Late posting (&gt;30d)","")))</f>
        <v/>
      </c>
    </row>
    <row r="119" customFormat="false" ht="15" hidden="false" customHeight="false" outlineLevel="0" collapsed="false">
      <c r="A119" s="47" t="s">
        <v>362</v>
      </c>
      <c r="B119" s="48" t="n">
        <v>45689</v>
      </c>
      <c r="C119" s="47" t="s">
        <v>166</v>
      </c>
      <c r="D119" s="47" t="s">
        <v>231</v>
      </c>
      <c r="E119" s="47" t="s">
        <v>105</v>
      </c>
      <c r="F119" s="47" t="s">
        <v>161</v>
      </c>
      <c r="G119" s="49" t="n">
        <v>332098.83</v>
      </c>
      <c r="H119" s="50" t="n">
        <v>0.05</v>
      </c>
      <c r="I119" s="47" t="s">
        <v>162</v>
      </c>
      <c r="J119" s="48" t="n">
        <v>45689</v>
      </c>
      <c r="K119" s="51" t="str">
        <f aca="false">"Q"&amp;ROUNDUP(MONTH(B119)/3,0)</f>
        <v>Q1</v>
      </c>
      <c r="L119" s="52" t="n">
        <f aca="false">ROUND(G119*H119,2)</f>
        <v>16604.94</v>
      </c>
      <c r="M119" s="52" t="n">
        <f aca="false">IF(AND(C119="Sales",F119="Standard-rated 5%"),L119,0)</f>
        <v>0</v>
      </c>
      <c r="N119" s="52" t="n">
        <f aca="false">IF(F119="Reverse charge (imported services)",L119,0)</f>
        <v>0</v>
      </c>
      <c r="O119" s="52" t="n">
        <f aca="false">IF(C119&lt;&gt;"Purchase",0,IF(OR(I119="N",F119="Blocked input (entertainment)"),0,L119))</f>
        <v>16604.94</v>
      </c>
      <c r="P119" s="52" t="n">
        <f aca="false">IF(C119&lt;&gt;"Purchase",0,L119-O119)</f>
        <v>0</v>
      </c>
      <c r="Q119" s="53" t="n">
        <f aca="false">J119-B119</f>
        <v>0</v>
      </c>
      <c r="R119" s="51" t="str">
        <f aca="false">IF(I119="N","Invalid / missing TRN",IF(F119="Blocked input (entertainment)","Blocked input",IF(Q119&gt;30,"Late posting (&gt;30d)","")))</f>
        <v/>
      </c>
    </row>
    <row r="120" customFormat="false" ht="15" hidden="false" customHeight="false" outlineLevel="0" collapsed="false">
      <c r="A120" s="47" t="s">
        <v>363</v>
      </c>
      <c r="B120" s="48" t="n">
        <v>45689</v>
      </c>
      <c r="C120" s="47" t="s">
        <v>159</v>
      </c>
      <c r="D120" s="47" t="s">
        <v>364</v>
      </c>
      <c r="E120" s="47" t="s">
        <v>102</v>
      </c>
      <c r="F120" s="47" t="s">
        <v>161</v>
      </c>
      <c r="G120" s="49" t="n">
        <v>16444.65</v>
      </c>
      <c r="H120" s="50" t="n">
        <v>0.05</v>
      </c>
      <c r="I120" s="47" t="s">
        <v>162</v>
      </c>
      <c r="J120" s="48" t="n">
        <v>45689</v>
      </c>
      <c r="K120" s="51" t="str">
        <f aca="false">"Q"&amp;ROUNDUP(MONTH(B120)/3,0)</f>
        <v>Q1</v>
      </c>
      <c r="L120" s="52" t="n">
        <f aca="false">ROUND(G120*H120,2)</f>
        <v>822.23</v>
      </c>
      <c r="M120" s="52" t="n">
        <f aca="false">IF(AND(C120="Sales",F120="Standard-rated 5%"),L120,0)</f>
        <v>822.23</v>
      </c>
      <c r="N120" s="52" t="n">
        <f aca="false">IF(F120="Reverse charge (imported services)",L120,0)</f>
        <v>0</v>
      </c>
      <c r="O120" s="52" t="n">
        <f aca="false">IF(C120&lt;&gt;"Purchase",0,IF(OR(I120="N",F120="Blocked input (entertainment)"),0,L120))</f>
        <v>0</v>
      </c>
      <c r="P120" s="52" t="n">
        <f aca="false">IF(C120&lt;&gt;"Purchase",0,L120-O120)</f>
        <v>0</v>
      </c>
      <c r="Q120" s="53" t="n">
        <f aca="false">J120-B120</f>
        <v>0</v>
      </c>
      <c r="R120" s="51" t="str">
        <f aca="false">IF(I120="N","Invalid / missing TRN",IF(F120="Blocked input (entertainment)","Blocked input",IF(Q120&gt;30,"Late posting (&gt;30d)","")))</f>
        <v/>
      </c>
    </row>
    <row r="121" customFormat="false" ht="15" hidden="false" customHeight="false" outlineLevel="0" collapsed="false">
      <c r="A121" s="47" t="s">
        <v>365</v>
      </c>
      <c r="B121" s="48" t="n">
        <v>45689</v>
      </c>
      <c r="C121" s="47" t="s">
        <v>159</v>
      </c>
      <c r="D121" s="47" t="s">
        <v>177</v>
      </c>
      <c r="E121" s="47" t="s">
        <v>100</v>
      </c>
      <c r="F121" s="47" t="s">
        <v>161</v>
      </c>
      <c r="G121" s="49" t="n">
        <v>6014.3</v>
      </c>
      <c r="H121" s="50" t="n">
        <v>0.05</v>
      </c>
      <c r="I121" s="47" t="s">
        <v>162</v>
      </c>
      <c r="J121" s="48" t="n">
        <v>45689</v>
      </c>
      <c r="K121" s="51" t="str">
        <f aca="false">"Q"&amp;ROUNDUP(MONTH(B121)/3,0)</f>
        <v>Q1</v>
      </c>
      <c r="L121" s="52" t="n">
        <f aca="false">ROUND(G121*H121,2)</f>
        <v>300.72</v>
      </c>
      <c r="M121" s="52" t="n">
        <f aca="false">IF(AND(C121="Sales",F121="Standard-rated 5%"),L121,0)</f>
        <v>300.72</v>
      </c>
      <c r="N121" s="52" t="n">
        <f aca="false">IF(F121="Reverse charge (imported services)",L121,0)</f>
        <v>0</v>
      </c>
      <c r="O121" s="52" t="n">
        <f aca="false">IF(C121&lt;&gt;"Purchase",0,IF(OR(I121="N",F121="Blocked input (entertainment)"),0,L121))</f>
        <v>0</v>
      </c>
      <c r="P121" s="52" t="n">
        <f aca="false">IF(C121&lt;&gt;"Purchase",0,L121-O121)</f>
        <v>0</v>
      </c>
      <c r="Q121" s="53" t="n">
        <f aca="false">J121-B121</f>
        <v>0</v>
      </c>
      <c r="R121" s="51" t="str">
        <f aca="false">IF(I121="N","Invalid / missing TRN",IF(F121="Blocked input (entertainment)","Blocked input",IF(Q121&gt;30,"Late posting (&gt;30d)","")))</f>
        <v/>
      </c>
    </row>
    <row r="122" customFormat="false" ht="15" hidden="false" customHeight="false" outlineLevel="0" collapsed="false">
      <c r="A122" s="47" t="s">
        <v>366</v>
      </c>
      <c r="B122" s="48" t="n">
        <v>45690</v>
      </c>
      <c r="C122" s="47" t="s">
        <v>166</v>
      </c>
      <c r="D122" s="47" t="s">
        <v>172</v>
      </c>
      <c r="E122" s="47" t="s">
        <v>104</v>
      </c>
      <c r="F122" s="47" t="s">
        <v>161</v>
      </c>
      <c r="G122" s="49" t="n">
        <v>17661.28</v>
      </c>
      <c r="H122" s="50" t="n">
        <v>0.05</v>
      </c>
      <c r="I122" s="47" t="s">
        <v>162</v>
      </c>
      <c r="J122" s="48" t="n">
        <v>45690</v>
      </c>
      <c r="K122" s="51" t="str">
        <f aca="false">"Q"&amp;ROUNDUP(MONTH(B122)/3,0)</f>
        <v>Q1</v>
      </c>
      <c r="L122" s="52" t="n">
        <f aca="false">ROUND(G122*H122,2)</f>
        <v>883.06</v>
      </c>
      <c r="M122" s="52" t="n">
        <f aca="false">IF(AND(C122="Sales",F122="Standard-rated 5%"),L122,0)</f>
        <v>0</v>
      </c>
      <c r="N122" s="52" t="n">
        <f aca="false">IF(F122="Reverse charge (imported services)",L122,0)</f>
        <v>0</v>
      </c>
      <c r="O122" s="52" t="n">
        <f aca="false">IF(C122&lt;&gt;"Purchase",0,IF(OR(I122="N",F122="Blocked input (entertainment)"),0,L122))</f>
        <v>883.06</v>
      </c>
      <c r="P122" s="52" t="n">
        <f aca="false">IF(C122&lt;&gt;"Purchase",0,L122-O122)</f>
        <v>0</v>
      </c>
      <c r="Q122" s="53" t="n">
        <f aca="false">J122-B122</f>
        <v>0</v>
      </c>
      <c r="R122" s="51" t="str">
        <f aca="false">IF(I122="N","Invalid / missing TRN",IF(F122="Blocked input (entertainment)","Blocked input",IF(Q122&gt;30,"Late posting (&gt;30d)","")))</f>
        <v/>
      </c>
    </row>
    <row r="123" customFormat="false" ht="15" hidden="false" customHeight="false" outlineLevel="0" collapsed="false">
      <c r="A123" s="47" t="s">
        <v>367</v>
      </c>
      <c r="B123" s="48" t="n">
        <v>45690</v>
      </c>
      <c r="C123" s="47" t="s">
        <v>166</v>
      </c>
      <c r="D123" s="47" t="s">
        <v>257</v>
      </c>
      <c r="E123" s="47" t="s">
        <v>100</v>
      </c>
      <c r="F123" s="47" t="s">
        <v>161</v>
      </c>
      <c r="G123" s="49" t="n">
        <v>14815.93</v>
      </c>
      <c r="H123" s="50" t="n">
        <v>0.05</v>
      </c>
      <c r="I123" s="47" t="s">
        <v>162</v>
      </c>
      <c r="J123" s="48" t="n">
        <v>45690</v>
      </c>
      <c r="K123" s="51" t="str">
        <f aca="false">"Q"&amp;ROUNDUP(MONTH(B123)/3,0)</f>
        <v>Q1</v>
      </c>
      <c r="L123" s="52" t="n">
        <f aca="false">ROUND(G123*H123,2)</f>
        <v>740.8</v>
      </c>
      <c r="M123" s="52" t="n">
        <f aca="false">IF(AND(C123="Sales",F123="Standard-rated 5%"),L123,0)</f>
        <v>0</v>
      </c>
      <c r="N123" s="52" t="n">
        <f aca="false">IF(F123="Reverse charge (imported services)",L123,0)</f>
        <v>0</v>
      </c>
      <c r="O123" s="52" t="n">
        <f aca="false">IF(C123&lt;&gt;"Purchase",0,IF(OR(I123="N",F123="Blocked input (entertainment)"),0,L123))</f>
        <v>740.8</v>
      </c>
      <c r="P123" s="52" t="n">
        <f aca="false">IF(C123&lt;&gt;"Purchase",0,L123-O123)</f>
        <v>0</v>
      </c>
      <c r="Q123" s="53" t="n">
        <f aca="false">J123-B123</f>
        <v>0</v>
      </c>
      <c r="R123" s="51" t="str">
        <f aca="false">IF(I123="N","Invalid / missing TRN",IF(F123="Blocked input (entertainment)","Blocked input",IF(Q123&gt;30,"Late posting (&gt;30d)","")))</f>
        <v/>
      </c>
    </row>
    <row r="124" customFormat="false" ht="15" hidden="false" customHeight="false" outlineLevel="0" collapsed="false">
      <c r="A124" s="47" t="s">
        <v>368</v>
      </c>
      <c r="B124" s="48" t="n">
        <v>45690</v>
      </c>
      <c r="C124" s="47" t="s">
        <v>159</v>
      </c>
      <c r="D124" s="47" t="s">
        <v>290</v>
      </c>
      <c r="E124" s="47" t="s">
        <v>101</v>
      </c>
      <c r="F124" s="47" t="s">
        <v>161</v>
      </c>
      <c r="G124" s="49" t="n">
        <v>17586.11</v>
      </c>
      <c r="H124" s="50" t="n">
        <v>0.05</v>
      </c>
      <c r="I124" s="47" t="s">
        <v>162</v>
      </c>
      <c r="J124" s="48" t="n">
        <v>45690</v>
      </c>
      <c r="K124" s="51" t="str">
        <f aca="false">"Q"&amp;ROUNDUP(MONTH(B124)/3,0)</f>
        <v>Q1</v>
      </c>
      <c r="L124" s="52" t="n">
        <f aca="false">ROUND(G124*H124,2)</f>
        <v>879.31</v>
      </c>
      <c r="M124" s="52" t="n">
        <f aca="false">IF(AND(C124="Sales",F124="Standard-rated 5%"),L124,0)</f>
        <v>879.31</v>
      </c>
      <c r="N124" s="52" t="n">
        <f aca="false">IF(F124="Reverse charge (imported services)",L124,0)</f>
        <v>0</v>
      </c>
      <c r="O124" s="52" t="n">
        <f aca="false">IF(C124&lt;&gt;"Purchase",0,IF(OR(I124="N",F124="Blocked input (entertainment)"),0,L124))</f>
        <v>0</v>
      </c>
      <c r="P124" s="52" t="n">
        <f aca="false">IF(C124&lt;&gt;"Purchase",0,L124-O124)</f>
        <v>0</v>
      </c>
      <c r="Q124" s="53" t="n">
        <f aca="false">J124-B124</f>
        <v>0</v>
      </c>
      <c r="R124" s="51" t="str">
        <f aca="false">IF(I124="N","Invalid / missing TRN",IF(F124="Blocked input (entertainment)","Blocked input",IF(Q124&gt;30,"Late posting (&gt;30d)","")))</f>
        <v/>
      </c>
    </row>
    <row r="125" customFormat="false" ht="15" hidden="false" customHeight="false" outlineLevel="0" collapsed="false">
      <c r="A125" s="47" t="s">
        <v>369</v>
      </c>
      <c r="B125" s="48" t="n">
        <v>45690</v>
      </c>
      <c r="C125" s="47" t="s">
        <v>159</v>
      </c>
      <c r="D125" s="47" t="s">
        <v>343</v>
      </c>
      <c r="E125" s="47" t="s">
        <v>100</v>
      </c>
      <c r="F125" s="47" t="s">
        <v>161</v>
      </c>
      <c r="G125" s="49" t="n">
        <v>27668.78</v>
      </c>
      <c r="H125" s="50" t="n">
        <v>0.05</v>
      </c>
      <c r="I125" s="47" t="s">
        <v>162</v>
      </c>
      <c r="J125" s="48" t="n">
        <v>45690</v>
      </c>
      <c r="K125" s="51" t="str">
        <f aca="false">"Q"&amp;ROUNDUP(MONTH(B125)/3,0)</f>
        <v>Q1</v>
      </c>
      <c r="L125" s="52" t="n">
        <f aca="false">ROUND(G125*H125,2)</f>
        <v>1383.44</v>
      </c>
      <c r="M125" s="52" t="n">
        <f aca="false">IF(AND(C125="Sales",F125="Standard-rated 5%"),L125,0)</f>
        <v>1383.44</v>
      </c>
      <c r="N125" s="52" t="n">
        <f aca="false">IF(F125="Reverse charge (imported services)",L125,0)</f>
        <v>0</v>
      </c>
      <c r="O125" s="52" t="n">
        <f aca="false">IF(C125&lt;&gt;"Purchase",0,IF(OR(I125="N",F125="Blocked input (entertainment)"),0,L125))</f>
        <v>0</v>
      </c>
      <c r="P125" s="52" t="n">
        <f aca="false">IF(C125&lt;&gt;"Purchase",0,L125-O125)</f>
        <v>0</v>
      </c>
      <c r="Q125" s="53" t="n">
        <f aca="false">J125-B125</f>
        <v>0</v>
      </c>
      <c r="R125" s="51" t="str">
        <f aca="false">IF(I125="N","Invalid / missing TRN",IF(F125="Blocked input (entertainment)","Blocked input",IF(Q125&gt;30,"Late posting (&gt;30d)","")))</f>
        <v/>
      </c>
    </row>
    <row r="126" customFormat="false" ht="15" hidden="false" customHeight="false" outlineLevel="0" collapsed="false">
      <c r="A126" s="47" t="s">
        <v>370</v>
      </c>
      <c r="B126" s="48" t="n">
        <v>45691</v>
      </c>
      <c r="C126" s="47" t="s">
        <v>166</v>
      </c>
      <c r="D126" s="47" t="s">
        <v>295</v>
      </c>
      <c r="E126" s="47" t="s">
        <v>104</v>
      </c>
      <c r="F126" s="47" t="s">
        <v>161</v>
      </c>
      <c r="G126" s="49" t="n">
        <v>35714.18</v>
      </c>
      <c r="H126" s="50" t="n">
        <v>0.05</v>
      </c>
      <c r="I126" s="47" t="s">
        <v>162</v>
      </c>
      <c r="J126" s="48" t="n">
        <v>45691</v>
      </c>
      <c r="K126" s="51" t="str">
        <f aca="false">"Q"&amp;ROUNDUP(MONTH(B126)/3,0)</f>
        <v>Q1</v>
      </c>
      <c r="L126" s="52" t="n">
        <f aca="false">ROUND(G126*H126,2)</f>
        <v>1785.71</v>
      </c>
      <c r="M126" s="52" t="n">
        <f aca="false">IF(AND(C126="Sales",F126="Standard-rated 5%"),L126,0)</f>
        <v>0</v>
      </c>
      <c r="N126" s="52" t="n">
        <f aca="false">IF(F126="Reverse charge (imported services)",L126,0)</f>
        <v>0</v>
      </c>
      <c r="O126" s="52" t="n">
        <f aca="false">IF(C126&lt;&gt;"Purchase",0,IF(OR(I126="N",F126="Blocked input (entertainment)"),0,L126))</f>
        <v>1785.71</v>
      </c>
      <c r="P126" s="52" t="n">
        <f aca="false">IF(C126&lt;&gt;"Purchase",0,L126-O126)</f>
        <v>0</v>
      </c>
      <c r="Q126" s="53" t="n">
        <f aca="false">J126-B126</f>
        <v>0</v>
      </c>
      <c r="R126" s="51" t="str">
        <f aca="false">IF(I126="N","Invalid / missing TRN",IF(F126="Blocked input (entertainment)","Blocked input",IF(Q126&gt;30,"Late posting (&gt;30d)","")))</f>
        <v/>
      </c>
    </row>
    <row r="127" customFormat="false" ht="15" hidden="false" customHeight="false" outlineLevel="0" collapsed="false">
      <c r="A127" s="47" t="s">
        <v>371</v>
      </c>
      <c r="B127" s="48" t="n">
        <v>45691</v>
      </c>
      <c r="C127" s="47" t="s">
        <v>166</v>
      </c>
      <c r="D127" s="47" t="s">
        <v>190</v>
      </c>
      <c r="E127" s="47" t="s">
        <v>101</v>
      </c>
      <c r="F127" s="47" t="s">
        <v>268</v>
      </c>
      <c r="G127" s="49" t="n">
        <v>41398.36</v>
      </c>
      <c r="H127" s="50" t="n">
        <v>0</v>
      </c>
      <c r="I127" s="47" t="s">
        <v>162</v>
      </c>
      <c r="J127" s="48" t="n">
        <v>45731</v>
      </c>
      <c r="K127" s="51" t="str">
        <f aca="false">"Q"&amp;ROUNDUP(MONTH(B127)/3,0)</f>
        <v>Q1</v>
      </c>
      <c r="L127" s="52" t="n">
        <f aca="false">ROUND(G127*H127,2)</f>
        <v>0</v>
      </c>
      <c r="M127" s="52" t="n">
        <f aca="false">IF(AND(C127="Sales",F127="Standard-rated 5%"),L127,0)</f>
        <v>0</v>
      </c>
      <c r="N127" s="52" t="n">
        <f aca="false">IF(F127="Reverse charge (imported services)",L127,0)</f>
        <v>0</v>
      </c>
      <c r="O127" s="52" t="n">
        <f aca="false">IF(C127&lt;&gt;"Purchase",0,IF(OR(I127="N",F127="Blocked input (entertainment)"),0,L127))</f>
        <v>0</v>
      </c>
      <c r="P127" s="52" t="n">
        <f aca="false">IF(C127&lt;&gt;"Purchase",0,L127-O127)</f>
        <v>0</v>
      </c>
      <c r="Q127" s="53" t="n">
        <f aca="false">J127-B127</f>
        <v>40</v>
      </c>
      <c r="R127" s="51" t="str">
        <f aca="false">IF(I127="N","Invalid / missing TRN",IF(F127="Blocked input (entertainment)","Blocked input",IF(Q127&gt;30,"Late posting (&gt;30d)","")))</f>
        <v>Late posting (&gt;30d)</v>
      </c>
    </row>
    <row r="128" customFormat="false" ht="15" hidden="false" customHeight="false" outlineLevel="0" collapsed="false">
      <c r="A128" s="47" t="s">
        <v>372</v>
      </c>
      <c r="B128" s="48" t="n">
        <v>45691</v>
      </c>
      <c r="C128" s="47" t="s">
        <v>159</v>
      </c>
      <c r="D128" s="47" t="s">
        <v>373</v>
      </c>
      <c r="E128" s="47" t="s">
        <v>100</v>
      </c>
      <c r="F128" s="47" t="s">
        <v>161</v>
      </c>
      <c r="G128" s="49" t="n">
        <v>17901.77</v>
      </c>
      <c r="H128" s="50" t="n">
        <v>0.05</v>
      </c>
      <c r="I128" s="47" t="s">
        <v>162</v>
      </c>
      <c r="J128" s="48" t="n">
        <v>45693</v>
      </c>
      <c r="K128" s="51" t="str">
        <f aca="false">"Q"&amp;ROUNDUP(MONTH(B128)/3,0)</f>
        <v>Q1</v>
      </c>
      <c r="L128" s="52" t="n">
        <f aca="false">ROUND(G128*H128,2)</f>
        <v>895.09</v>
      </c>
      <c r="M128" s="52" t="n">
        <f aca="false">IF(AND(C128="Sales",F128="Standard-rated 5%"),L128,0)</f>
        <v>895.09</v>
      </c>
      <c r="N128" s="52" t="n">
        <f aca="false">IF(F128="Reverse charge (imported services)",L128,0)</f>
        <v>0</v>
      </c>
      <c r="O128" s="52" t="n">
        <f aca="false">IF(C128&lt;&gt;"Purchase",0,IF(OR(I128="N",F128="Blocked input (entertainment)"),0,L128))</f>
        <v>0</v>
      </c>
      <c r="P128" s="52" t="n">
        <f aca="false">IF(C128&lt;&gt;"Purchase",0,L128-O128)</f>
        <v>0</v>
      </c>
      <c r="Q128" s="53" t="n">
        <f aca="false">J128-B128</f>
        <v>2</v>
      </c>
      <c r="R128" s="51" t="str">
        <f aca="false">IF(I128="N","Invalid / missing TRN",IF(F128="Blocked input (entertainment)","Blocked input",IF(Q128&gt;30,"Late posting (&gt;30d)","")))</f>
        <v/>
      </c>
    </row>
    <row r="129" customFormat="false" ht="15" hidden="false" customHeight="false" outlineLevel="0" collapsed="false">
      <c r="A129" s="47" t="s">
        <v>374</v>
      </c>
      <c r="B129" s="48" t="n">
        <v>45691</v>
      </c>
      <c r="C129" s="47" t="s">
        <v>159</v>
      </c>
      <c r="D129" s="47" t="s">
        <v>330</v>
      </c>
      <c r="E129" s="47" t="s">
        <v>106</v>
      </c>
      <c r="F129" s="47" t="s">
        <v>161</v>
      </c>
      <c r="G129" s="49" t="n">
        <v>84904.7</v>
      </c>
      <c r="H129" s="50" t="n">
        <v>0.05</v>
      </c>
      <c r="I129" s="47" t="s">
        <v>162</v>
      </c>
      <c r="J129" s="48" t="n">
        <v>45691</v>
      </c>
      <c r="K129" s="51" t="str">
        <f aca="false">"Q"&amp;ROUNDUP(MONTH(B129)/3,0)</f>
        <v>Q1</v>
      </c>
      <c r="L129" s="52" t="n">
        <f aca="false">ROUND(G129*H129,2)</f>
        <v>4245.24</v>
      </c>
      <c r="M129" s="52" t="n">
        <f aca="false">IF(AND(C129="Sales",F129="Standard-rated 5%"),L129,0)</f>
        <v>4245.24</v>
      </c>
      <c r="N129" s="52" t="n">
        <f aca="false">IF(F129="Reverse charge (imported services)",L129,0)</f>
        <v>0</v>
      </c>
      <c r="O129" s="52" t="n">
        <f aca="false">IF(C129&lt;&gt;"Purchase",0,IF(OR(I129="N",F129="Blocked input (entertainment)"),0,L129))</f>
        <v>0</v>
      </c>
      <c r="P129" s="52" t="n">
        <f aca="false">IF(C129&lt;&gt;"Purchase",0,L129-O129)</f>
        <v>0</v>
      </c>
      <c r="Q129" s="53" t="n">
        <f aca="false">J129-B129</f>
        <v>0</v>
      </c>
      <c r="R129" s="51" t="str">
        <f aca="false">IF(I129="N","Invalid / missing TRN",IF(F129="Blocked input (entertainment)","Blocked input",IF(Q129&gt;30,"Late posting (&gt;30d)","")))</f>
        <v/>
      </c>
    </row>
    <row r="130" customFormat="false" ht="15" hidden="false" customHeight="false" outlineLevel="0" collapsed="false">
      <c r="A130" s="47" t="s">
        <v>375</v>
      </c>
      <c r="B130" s="48" t="n">
        <v>45691</v>
      </c>
      <c r="C130" s="47" t="s">
        <v>159</v>
      </c>
      <c r="D130" s="47" t="s">
        <v>376</v>
      </c>
      <c r="E130" s="47" t="s">
        <v>100</v>
      </c>
      <c r="F130" s="47" t="s">
        <v>301</v>
      </c>
      <c r="G130" s="49" t="n">
        <v>20111.04</v>
      </c>
      <c r="H130" s="50" t="n">
        <v>0</v>
      </c>
      <c r="I130" s="47" t="s">
        <v>162</v>
      </c>
      <c r="J130" s="48" t="n">
        <v>45691</v>
      </c>
      <c r="K130" s="51" t="str">
        <f aca="false">"Q"&amp;ROUNDUP(MONTH(B130)/3,0)</f>
        <v>Q1</v>
      </c>
      <c r="L130" s="52" t="n">
        <f aca="false">ROUND(G130*H130,2)</f>
        <v>0</v>
      </c>
      <c r="M130" s="52" t="n">
        <f aca="false">IF(AND(C130="Sales",F130="Standard-rated 5%"),L130,0)</f>
        <v>0</v>
      </c>
      <c r="N130" s="52" t="n">
        <f aca="false">IF(F130="Reverse charge (imported services)",L130,0)</f>
        <v>0</v>
      </c>
      <c r="O130" s="52" t="n">
        <f aca="false">IF(C130&lt;&gt;"Purchase",0,IF(OR(I130="N",F130="Blocked input (entertainment)"),0,L130))</f>
        <v>0</v>
      </c>
      <c r="P130" s="52" t="n">
        <f aca="false">IF(C130&lt;&gt;"Purchase",0,L130-O130)</f>
        <v>0</v>
      </c>
      <c r="Q130" s="53" t="n">
        <f aca="false">J130-B130</f>
        <v>0</v>
      </c>
      <c r="R130" s="51" t="str">
        <f aca="false">IF(I130="N","Invalid / missing TRN",IF(F130="Blocked input (entertainment)","Blocked input",IF(Q130&gt;30,"Late posting (&gt;30d)","")))</f>
        <v/>
      </c>
    </row>
    <row r="131" customFormat="false" ht="15" hidden="false" customHeight="false" outlineLevel="0" collapsed="false">
      <c r="A131" s="47" t="s">
        <v>377</v>
      </c>
      <c r="B131" s="48" t="n">
        <v>45693</v>
      </c>
      <c r="C131" s="47" t="s">
        <v>159</v>
      </c>
      <c r="D131" s="47" t="s">
        <v>343</v>
      </c>
      <c r="E131" s="47" t="s">
        <v>102</v>
      </c>
      <c r="F131" s="47" t="s">
        <v>161</v>
      </c>
      <c r="G131" s="49" t="n">
        <v>46834.23</v>
      </c>
      <c r="H131" s="50" t="n">
        <v>0.05</v>
      </c>
      <c r="I131" s="47" t="s">
        <v>162</v>
      </c>
      <c r="J131" s="48" t="n">
        <v>45693</v>
      </c>
      <c r="K131" s="51" t="str">
        <f aca="false">"Q"&amp;ROUNDUP(MONTH(B131)/3,0)</f>
        <v>Q1</v>
      </c>
      <c r="L131" s="52" t="n">
        <f aca="false">ROUND(G131*H131,2)</f>
        <v>2341.71</v>
      </c>
      <c r="M131" s="52" t="n">
        <f aca="false">IF(AND(C131="Sales",F131="Standard-rated 5%"),L131,0)</f>
        <v>2341.71</v>
      </c>
      <c r="N131" s="52" t="n">
        <f aca="false">IF(F131="Reverse charge (imported services)",L131,0)</f>
        <v>0</v>
      </c>
      <c r="O131" s="52" t="n">
        <f aca="false">IF(C131&lt;&gt;"Purchase",0,IF(OR(I131="N",F131="Blocked input (entertainment)"),0,L131))</f>
        <v>0</v>
      </c>
      <c r="P131" s="52" t="n">
        <f aca="false">IF(C131&lt;&gt;"Purchase",0,L131-O131)</f>
        <v>0</v>
      </c>
      <c r="Q131" s="53" t="n">
        <f aca="false">J131-B131</f>
        <v>0</v>
      </c>
      <c r="R131" s="51" t="str">
        <f aca="false">IF(I131="N","Invalid / missing TRN",IF(F131="Blocked input (entertainment)","Blocked input",IF(Q131&gt;30,"Late posting (&gt;30d)","")))</f>
        <v/>
      </c>
    </row>
    <row r="132" customFormat="false" ht="15" hidden="false" customHeight="false" outlineLevel="0" collapsed="false">
      <c r="A132" s="47" t="s">
        <v>378</v>
      </c>
      <c r="B132" s="48" t="n">
        <v>45693</v>
      </c>
      <c r="C132" s="47" t="s">
        <v>159</v>
      </c>
      <c r="D132" s="47" t="s">
        <v>241</v>
      </c>
      <c r="E132" s="47" t="s">
        <v>100</v>
      </c>
      <c r="F132" s="47" t="s">
        <v>161</v>
      </c>
      <c r="G132" s="49" t="n">
        <v>41383.27</v>
      </c>
      <c r="H132" s="50" t="n">
        <v>0.05</v>
      </c>
      <c r="I132" s="47" t="s">
        <v>162</v>
      </c>
      <c r="J132" s="48" t="n">
        <v>45693</v>
      </c>
      <c r="K132" s="51" t="str">
        <f aca="false">"Q"&amp;ROUNDUP(MONTH(B132)/3,0)</f>
        <v>Q1</v>
      </c>
      <c r="L132" s="52" t="n">
        <f aca="false">ROUND(G132*H132,2)</f>
        <v>2069.16</v>
      </c>
      <c r="M132" s="52" t="n">
        <f aca="false">IF(AND(C132="Sales",F132="Standard-rated 5%"),L132,0)</f>
        <v>2069.16</v>
      </c>
      <c r="N132" s="52" t="n">
        <f aca="false">IF(F132="Reverse charge (imported services)",L132,0)</f>
        <v>0</v>
      </c>
      <c r="O132" s="52" t="n">
        <f aca="false">IF(C132&lt;&gt;"Purchase",0,IF(OR(I132="N",F132="Blocked input (entertainment)"),0,L132))</f>
        <v>0</v>
      </c>
      <c r="P132" s="52" t="n">
        <f aca="false">IF(C132&lt;&gt;"Purchase",0,L132-O132)</f>
        <v>0</v>
      </c>
      <c r="Q132" s="53" t="n">
        <f aca="false">J132-B132</f>
        <v>0</v>
      </c>
      <c r="R132" s="51" t="str">
        <f aca="false">IF(I132="N","Invalid / missing TRN",IF(F132="Blocked input (entertainment)","Blocked input",IF(Q132&gt;30,"Late posting (&gt;30d)","")))</f>
        <v/>
      </c>
    </row>
    <row r="133" customFormat="false" ht="15" hidden="false" customHeight="false" outlineLevel="0" collapsed="false">
      <c r="A133" s="47" t="s">
        <v>379</v>
      </c>
      <c r="B133" s="48" t="n">
        <v>45693</v>
      </c>
      <c r="C133" s="47" t="s">
        <v>159</v>
      </c>
      <c r="D133" s="47" t="s">
        <v>164</v>
      </c>
      <c r="E133" s="47" t="s">
        <v>102</v>
      </c>
      <c r="F133" s="47" t="s">
        <v>161</v>
      </c>
      <c r="G133" s="49" t="n">
        <v>5521.46</v>
      </c>
      <c r="H133" s="50" t="n">
        <v>0.05</v>
      </c>
      <c r="I133" s="47" t="s">
        <v>162</v>
      </c>
      <c r="J133" s="48" t="n">
        <v>45693</v>
      </c>
      <c r="K133" s="51" t="str">
        <f aca="false">"Q"&amp;ROUNDUP(MONTH(B133)/3,0)</f>
        <v>Q1</v>
      </c>
      <c r="L133" s="52" t="n">
        <f aca="false">ROUND(G133*H133,2)</f>
        <v>276.07</v>
      </c>
      <c r="M133" s="52" t="n">
        <f aca="false">IF(AND(C133="Sales",F133="Standard-rated 5%"),L133,0)</f>
        <v>276.07</v>
      </c>
      <c r="N133" s="52" t="n">
        <f aca="false">IF(F133="Reverse charge (imported services)",L133,0)</f>
        <v>0</v>
      </c>
      <c r="O133" s="52" t="n">
        <f aca="false">IF(C133&lt;&gt;"Purchase",0,IF(OR(I133="N",F133="Blocked input (entertainment)"),0,L133))</f>
        <v>0</v>
      </c>
      <c r="P133" s="52" t="n">
        <f aca="false">IF(C133&lt;&gt;"Purchase",0,L133-O133)</f>
        <v>0</v>
      </c>
      <c r="Q133" s="53" t="n">
        <f aca="false">J133-B133</f>
        <v>0</v>
      </c>
      <c r="R133" s="51" t="str">
        <f aca="false">IF(I133="N","Invalid / missing TRN",IF(F133="Blocked input (entertainment)","Blocked input",IF(Q133&gt;30,"Late posting (&gt;30d)","")))</f>
        <v/>
      </c>
    </row>
    <row r="134" customFormat="false" ht="15" hidden="false" customHeight="false" outlineLevel="0" collapsed="false">
      <c r="A134" s="47" t="s">
        <v>380</v>
      </c>
      <c r="B134" s="48" t="n">
        <v>45694</v>
      </c>
      <c r="C134" s="47" t="s">
        <v>166</v>
      </c>
      <c r="D134" s="47" t="s">
        <v>181</v>
      </c>
      <c r="E134" s="47" t="s">
        <v>101</v>
      </c>
      <c r="F134" s="47" t="s">
        <v>161</v>
      </c>
      <c r="G134" s="49" t="n">
        <v>36189</v>
      </c>
      <c r="H134" s="50" t="n">
        <v>0.05</v>
      </c>
      <c r="I134" s="47" t="s">
        <v>162</v>
      </c>
      <c r="J134" s="48" t="n">
        <v>45694</v>
      </c>
      <c r="K134" s="51" t="str">
        <f aca="false">"Q"&amp;ROUNDUP(MONTH(B134)/3,0)</f>
        <v>Q1</v>
      </c>
      <c r="L134" s="52" t="n">
        <f aca="false">ROUND(G134*H134,2)</f>
        <v>1809.45</v>
      </c>
      <c r="M134" s="52" t="n">
        <f aca="false">IF(AND(C134="Sales",F134="Standard-rated 5%"),L134,0)</f>
        <v>0</v>
      </c>
      <c r="N134" s="52" t="n">
        <f aca="false">IF(F134="Reverse charge (imported services)",L134,0)</f>
        <v>0</v>
      </c>
      <c r="O134" s="52" t="n">
        <f aca="false">IF(C134&lt;&gt;"Purchase",0,IF(OR(I134="N",F134="Blocked input (entertainment)"),0,L134))</f>
        <v>1809.45</v>
      </c>
      <c r="P134" s="52" t="n">
        <f aca="false">IF(C134&lt;&gt;"Purchase",0,L134-O134)</f>
        <v>0</v>
      </c>
      <c r="Q134" s="53" t="n">
        <f aca="false">J134-B134</f>
        <v>0</v>
      </c>
      <c r="R134" s="51" t="str">
        <f aca="false">IF(I134="N","Invalid / missing TRN",IF(F134="Blocked input (entertainment)","Blocked input",IF(Q134&gt;30,"Late posting (&gt;30d)","")))</f>
        <v/>
      </c>
    </row>
    <row r="135" customFormat="false" ht="15" hidden="false" customHeight="false" outlineLevel="0" collapsed="false">
      <c r="A135" s="47" t="s">
        <v>381</v>
      </c>
      <c r="B135" s="48" t="n">
        <v>45694</v>
      </c>
      <c r="C135" s="47" t="s">
        <v>166</v>
      </c>
      <c r="D135" s="47" t="s">
        <v>221</v>
      </c>
      <c r="E135" s="47" t="s">
        <v>104</v>
      </c>
      <c r="F135" s="47" t="s">
        <v>161</v>
      </c>
      <c r="G135" s="49" t="n">
        <v>6059.73</v>
      </c>
      <c r="H135" s="50" t="n">
        <v>0.05</v>
      </c>
      <c r="I135" s="47" t="s">
        <v>162</v>
      </c>
      <c r="J135" s="48" t="n">
        <v>45694</v>
      </c>
      <c r="K135" s="51" t="str">
        <f aca="false">"Q"&amp;ROUNDUP(MONTH(B135)/3,0)</f>
        <v>Q1</v>
      </c>
      <c r="L135" s="52" t="n">
        <f aca="false">ROUND(G135*H135,2)</f>
        <v>302.99</v>
      </c>
      <c r="M135" s="52" t="n">
        <f aca="false">IF(AND(C135="Sales",F135="Standard-rated 5%"),L135,0)</f>
        <v>0</v>
      </c>
      <c r="N135" s="52" t="n">
        <f aca="false">IF(F135="Reverse charge (imported services)",L135,0)</f>
        <v>0</v>
      </c>
      <c r="O135" s="52" t="n">
        <f aca="false">IF(C135&lt;&gt;"Purchase",0,IF(OR(I135="N",F135="Blocked input (entertainment)"),0,L135))</f>
        <v>302.99</v>
      </c>
      <c r="P135" s="52" t="n">
        <f aca="false">IF(C135&lt;&gt;"Purchase",0,L135-O135)</f>
        <v>0</v>
      </c>
      <c r="Q135" s="53" t="n">
        <f aca="false">J135-B135</f>
        <v>0</v>
      </c>
      <c r="R135" s="51" t="str">
        <f aca="false">IF(I135="N","Invalid / missing TRN",IF(F135="Blocked input (entertainment)","Blocked input",IF(Q135&gt;30,"Late posting (&gt;30d)","")))</f>
        <v/>
      </c>
    </row>
    <row r="136" customFormat="false" ht="15" hidden="false" customHeight="false" outlineLevel="0" collapsed="false">
      <c r="A136" s="47" t="s">
        <v>382</v>
      </c>
      <c r="B136" s="48" t="n">
        <v>45694</v>
      </c>
      <c r="C136" s="47" t="s">
        <v>159</v>
      </c>
      <c r="D136" s="47" t="s">
        <v>383</v>
      </c>
      <c r="E136" s="47" t="s">
        <v>101</v>
      </c>
      <c r="F136" s="47" t="s">
        <v>301</v>
      </c>
      <c r="G136" s="49" t="n">
        <v>5291.12</v>
      </c>
      <c r="H136" s="50" t="n">
        <v>0</v>
      </c>
      <c r="I136" s="47" t="s">
        <v>162</v>
      </c>
      <c r="J136" s="48" t="n">
        <v>45695</v>
      </c>
      <c r="K136" s="51" t="str">
        <f aca="false">"Q"&amp;ROUNDUP(MONTH(B136)/3,0)</f>
        <v>Q1</v>
      </c>
      <c r="L136" s="52" t="n">
        <f aca="false">ROUND(G136*H136,2)</f>
        <v>0</v>
      </c>
      <c r="M136" s="52" t="n">
        <f aca="false">IF(AND(C136="Sales",F136="Standard-rated 5%"),L136,0)</f>
        <v>0</v>
      </c>
      <c r="N136" s="52" t="n">
        <f aca="false">IF(F136="Reverse charge (imported services)",L136,0)</f>
        <v>0</v>
      </c>
      <c r="O136" s="52" t="n">
        <f aca="false">IF(C136&lt;&gt;"Purchase",0,IF(OR(I136="N",F136="Blocked input (entertainment)"),0,L136))</f>
        <v>0</v>
      </c>
      <c r="P136" s="52" t="n">
        <f aca="false">IF(C136&lt;&gt;"Purchase",0,L136-O136)</f>
        <v>0</v>
      </c>
      <c r="Q136" s="53" t="n">
        <f aca="false">J136-B136</f>
        <v>1</v>
      </c>
      <c r="R136" s="51" t="str">
        <f aca="false">IF(I136="N","Invalid / missing TRN",IF(F136="Blocked input (entertainment)","Blocked input",IF(Q136&gt;30,"Late posting (&gt;30d)","")))</f>
        <v/>
      </c>
    </row>
    <row r="137" customFormat="false" ht="15" hidden="false" customHeight="false" outlineLevel="0" collapsed="false">
      <c r="A137" s="47" t="s">
        <v>384</v>
      </c>
      <c r="B137" s="48" t="n">
        <v>45694</v>
      </c>
      <c r="C137" s="47" t="s">
        <v>159</v>
      </c>
      <c r="D137" s="47" t="s">
        <v>359</v>
      </c>
      <c r="E137" s="47" t="s">
        <v>102</v>
      </c>
      <c r="F137" s="47" t="s">
        <v>161</v>
      </c>
      <c r="G137" s="49" t="n">
        <v>56831.51</v>
      </c>
      <c r="H137" s="50" t="n">
        <v>0.05</v>
      </c>
      <c r="I137" s="47" t="s">
        <v>162</v>
      </c>
      <c r="J137" s="48" t="n">
        <v>45694</v>
      </c>
      <c r="K137" s="51" t="str">
        <f aca="false">"Q"&amp;ROUNDUP(MONTH(B137)/3,0)</f>
        <v>Q1</v>
      </c>
      <c r="L137" s="52" t="n">
        <f aca="false">ROUND(G137*H137,2)</f>
        <v>2841.58</v>
      </c>
      <c r="M137" s="52" t="n">
        <f aca="false">IF(AND(C137="Sales",F137="Standard-rated 5%"),L137,0)</f>
        <v>2841.58</v>
      </c>
      <c r="N137" s="52" t="n">
        <f aca="false">IF(F137="Reverse charge (imported services)",L137,0)</f>
        <v>0</v>
      </c>
      <c r="O137" s="52" t="n">
        <f aca="false">IF(C137&lt;&gt;"Purchase",0,IF(OR(I137="N",F137="Blocked input (entertainment)"),0,L137))</f>
        <v>0</v>
      </c>
      <c r="P137" s="52" t="n">
        <f aca="false">IF(C137&lt;&gt;"Purchase",0,L137-O137)</f>
        <v>0</v>
      </c>
      <c r="Q137" s="53" t="n">
        <f aca="false">J137-B137</f>
        <v>0</v>
      </c>
      <c r="R137" s="51" t="str">
        <f aca="false">IF(I137="N","Invalid / missing TRN",IF(F137="Blocked input (entertainment)","Blocked input",IF(Q137&gt;30,"Late posting (&gt;30d)","")))</f>
        <v/>
      </c>
    </row>
    <row r="138" customFormat="false" ht="15" hidden="false" customHeight="false" outlineLevel="0" collapsed="false">
      <c r="A138" s="47" t="s">
        <v>385</v>
      </c>
      <c r="B138" s="48" t="n">
        <v>45694</v>
      </c>
      <c r="C138" s="47" t="s">
        <v>159</v>
      </c>
      <c r="D138" s="47" t="s">
        <v>359</v>
      </c>
      <c r="E138" s="47" t="s">
        <v>102</v>
      </c>
      <c r="F138" s="47" t="s">
        <v>278</v>
      </c>
      <c r="G138" s="49" t="n">
        <v>36275.6</v>
      </c>
      <c r="H138" s="50" t="n">
        <v>0</v>
      </c>
      <c r="I138" s="47" t="s">
        <v>162</v>
      </c>
      <c r="J138" s="48" t="n">
        <v>45694</v>
      </c>
      <c r="K138" s="51" t="str">
        <f aca="false">"Q"&amp;ROUNDUP(MONTH(B138)/3,0)</f>
        <v>Q1</v>
      </c>
      <c r="L138" s="52" t="n">
        <f aca="false">ROUND(G138*H138,2)</f>
        <v>0</v>
      </c>
      <c r="M138" s="52" t="n">
        <f aca="false">IF(AND(C138="Sales",F138="Standard-rated 5%"),L138,0)</f>
        <v>0</v>
      </c>
      <c r="N138" s="52" t="n">
        <f aca="false">IF(F138="Reverse charge (imported services)",L138,0)</f>
        <v>0</v>
      </c>
      <c r="O138" s="52" t="n">
        <f aca="false">IF(C138&lt;&gt;"Purchase",0,IF(OR(I138="N",F138="Blocked input (entertainment)"),0,L138))</f>
        <v>0</v>
      </c>
      <c r="P138" s="52" t="n">
        <f aca="false">IF(C138&lt;&gt;"Purchase",0,L138-O138)</f>
        <v>0</v>
      </c>
      <c r="Q138" s="53" t="n">
        <f aca="false">J138-B138</f>
        <v>0</v>
      </c>
      <c r="R138" s="51" t="str">
        <f aca="false">IF(I138="N","Invalid / missing TRN",IF(F138="Blocked input (entertainment)","Blocked input",IF(Q138&gt;30,"Late posting (&gt;30d)","")))</f>
        <v/>
      </c>
    </row>
    <row r="139" customFormat="false" ht="15" hidden="false" customHeight="false" outlineLevel="0" collapsed="false">
      <c r="A139" s="47" t="s">
        <v>386</v>
      </c>
      <c r="B139" s="48" t="n">
        <v>45694</v>
      </c>
      <c r="C139" s="47" t="s">
        <v>159</v>
      </c>
      <c r="D139" s="47" t="s">
        <v>175</v>
      </c>
      <c r="E139" s="47" t="s">
        <v>100</v>
      </c>
      <c r="F139" s="47" t="s">
        <v>278</v>
      </c>
      <c r="G139" s="49" t="n">
        <v>93228.92</v>
      </c>
      <c r="H139" s="50" t="n">
        <v>0</v>
      </c>
      <c r="I139" s="47" t="s">
        <v>162</v>
      </c>
      <c r="J139" s="48" t="n">
        <v>45694</v>
      </c>
      <c r="K139" s="51" t="str">
        <f aca="false">"Q"&amp;ROUNDUP(MONTH(B139)/3,0)</f>
        <v>Q1</v>
      </c>
      <c r="L139" s="52" t="n">
        <f aca="false">ROUND(G139*H139,2)</f>
        <v>0</v>
      </c>
      <c r="M139" s="52" t="n">
        <f aca="false">IF(AND(C139="Sales",F139="Standard-rated 5%"),L139,0)</f>
        <v>0</v>
      </c>
      <c r="N139" s="52" t="n">
        <f aca="false">IF(F139="Reverse charge (imported services)",L139,0)</f>
        <v>0</v>
      </c>
      <c r="O139" s="52" t="n">
        <f aca="false">IF(C139&lt;&gt;"Purchase",0,IF(OR(I139="N",F139="Blocked input (entertainment)"),0,L139))</f>
        <v>0</v>
      </c>
      <c r="P139" s="52" t="n">
        <f aca="false">IF(C139&lt;&gt;"Purchase",0,L139-O139)</f>
        <v>0</v>
      </c>
      <c r="Q139" s="53" t="n">
        <f aca="false">J139-B139</f>
        <v>0</v>
      </c>
      <c r="R139" s="51" t="str">
        <f aca="false">IF(I139="N","Invalid / missing TRN",IF(F139="Blocked input (entertainment)","Blocked input",IF(Q139&gt;30,"Late posting (&gt;30d)","")))</f>
        <v/>
      </c>
    </row>
    <row r="140" customFormat="false" ht="15" hidden="false" customHeight="false" outlineLevel="0" collapsed="false">
      <c r="A140" s="47" t="s">
        <v>387</v>
      </c>
      <c r="B140" s="48" t="n">
        <v>45695</v>
      </c>
      <c r="C140" s="47" t="s">
        <v>166</v>
      </c>
      <c r="D140" s="47" t="s">
        <v>304</v>
      </c>
      <c r="E140" s="47" t="s">
        <v>101</v>
      </c>
      <c r="F140" s="47" t="s">
        <v>161</v>
      </c>
      <c r="G140" s="49" t="n">
        <v>12590.72</v>
      </c>
      <c r="H140" s="50" t="n">
        <v>0.05</v>
      </c>
      <c r="I140" s="47" t="s">
        <v>162</v>
      </c>
      <c r="J140" s="48" t="n">
        <v>45695</v>
      </c>
      <c r="K140" s="51" t="str">
        <f aca="false">"Q"&amp;ROUNDUP(MONTH(B140)/3,0)</f>
        <v>Q1</v>
      </c>
      <c r="L140" s="52" t="n">
        <f aca="false">ROUND(G140*H140,2)</f>
        <v>629.54</v>
      </c>
      <c r="M140" s="52" t="n">
        <f aca="false">IF(AND(C140="Sales",F140="Standard-rated 5%"),L140,0)</f>
        <v>0</v>
      </c>
      <c r="N140" s="52" t="n">
        <f aca="false">IF(F140="Reverse charge (imported services)",L140,0)</f>
        <v>0</v>
      </c>
      <c r="O140" s="52" t="n">
        <f aca="false">IF(C140&lt;&gt;"Purchase",0,IF(OR(I140="N",F140="Blocked input (entertainment)"),0,L140))</f>
        <v>629.54</v>
      </c>
      <c r="P140" s="52" t="n">
        <f aca="false">IF(C140&lt;&gt;"Purchase",0,L140-O140)</f>
        <v>0</v>
      </c>
      <c r="Q140" s="53" t="n">
        <f aca="false">J140-B140</f>
        <v>0</v>
      </c>
      <c r="R140" s="51" t="str">
        <f aca="false">IF(I140="N","Invalid / missing TRN",IF(F140="Blocked input (entertainment)","Blocked input",IF(Q140&gt;30,"Late posting (&gt;30d)","")))</f>
        <v/>
      </c>
    </row>
    <row r="141" customFormat="false" ht="15" hidden="false" customHeight="false" outlineLevel="0" collapsed="false">
      <c r="A141" s="47" t="s">
        <v>388</v>
      </c>
      <c r="B141" s="48" t="n">
        <v>45695</v>
      </c>
      <c r="C141" s="47" t="s">
        <v>159</v>
      </c>
      <c r="D141" s="47" t="s">
        <v>235</v>
      </c>
      <c r="E141" s="47" t="s">
        <v>100</v>
      </c>
      <c r="F141" s="47" t="s">
        <v>161</v>
      </c>
      <c r="G141" s="49" t="n">
        <v>33559.31</v>
      </c>
      <c r="H141" s="50" t="n">
        <v>0.05</v>
      </c>
      <c r="I141" s="47" t="s">
        <v>162</v>
      </c>
      <c r="J141" s="48" t="n">
        <v>45695</v>
      </c>
      <c r="K141" s="51" t="str">
        <f aca="false">"Q"&amp;ROUNDUP(MONTH(B141)/3,0)</f>
        <v>Q1</v>
      </c>
      <c r="L141" s="52" t="n">
        <f aca="false">ROUND(G141*H141,2)</f>
        <v>1677.97</v>
      </c>
      <c r="M141" s="52" t="n">
        <f aca="false">IF(AND(C141="Sales",F141="Standard-rated 5%"),L141,0)</f>
        <v>1677.97</v>
      </c>
      <c r="N141" s="52" t="n">
        <f aca="false">IF(F141="Reverse charge (imported services)",L141,0)</f>
        <v>0</v>
      </c>
      <c r="O141" s="52" t="n">
        <f aca="false">IF(C141&lt;&gt;"Purchase",0,IF(OR(I141="N",F141="Blocked input (entertainment)"),0,L141))</f>
        <v>0</v>
      </c>
      <c r="P141" s="52" t="n">
        <f aca="false">IF(C141&lt;&gt;"Purchase",0,L141-O141)</f>
        <v>0</v>
      </c>
      <c r="Q141" s="53" t="n">
        <f aca="false">J141-B141</f>
        <v>0</v>
      </c>
      <c r="R141" s="51" t="str">
        <f aca="false">IF(I141="N","Invalid / missing TRN",IF(F141="Blocked input (entertainment)","Blocked input",IF(Q141&gt;30,"Late posting (&gt;30d)","")))</f>
        <v/>
      </c>
    </row>
    <row r="142" customFormat="false" ht="15" hidden="false" customHeight="false" outlineLevel="0" collapsed="false">
      <c r="A142" s="47" t="s">
        <v>389</v>
      </c>
      <c r="B142" s="48" t="n">
        <v>45696</v>
      </c>
      <c r="C142" s="47" t="s">
        <v>166</v>
      </c>
      <c r="D142" s="47" t="s">
        <v>390</v>
      </c>
      <c r="E142" s="47" t="s">
        <v>103</v>
      </c>
      <c r="F142" s="47" t="s">
        <v>161</v>
      </c>
      <c r="G142" s="49" t="n">
        <v>9150.1</v>
      </c>
      <c r="H142" s="50" t="n">
        <v>0.05</v>
      </c>
      <c r="I142" s="47" t="s">
        <v>162</v>
      </c>
      <c r="J142" s="48" t="n">
        <v>45696</v>
      </c>
      <c r="K142" s="51" t="str">
        <f aca="false">"Q"&amp;ROUNDUP(MONTH(B142)/3,0)</f>
        <v>Q1</v>
      </c>
      <c r="L142" s="52" t="n">
        <f aca="false">ROUND(G142*H142,2)</f>
        <v>457.51</v>
      </c>
      <c r="M142" s="52" t="n">
        <f aca="false">IF(AND(C142="Sales",F142="Standard-rated 5%"),L142,0)</f>
        <v>0</v>
      </c>
      <c r="N142" s="52" t="n">
        <f aca="false">IF(F142="Reverse charge (imported services)",L142,0)</f>
        <v>0</v>
      </c>
      <c r="O142" s="52" t="n">
        <f aca="false">IF(C142&lt;&gt;"Purchase",0,IF(OR(I142="N",F142="Blocked input (entertainment)"),0,L142))</f>
        <v>457.51</v>
      </c>
      <c r="P142" s="52" t="n">
        <f aca="false">IF(C142&lt;&gt;"Purchase",0,L142-O142)</f>
        <v>0</v>
      </c>
      <c r="Q142" s="53" t="n">
        <f aca="false">J142-B142</f>
        <v>0</v>
      </c>
      <c r="R142" s="51" t="str">
        <f aca="false">IF(I142="N","Invalid / missing TRN",IF(F142="Blocked input (entertainment)","Blocked input",IF(Q142&gt;30,"Late posting (&gt;30d)","")))</f>
        <v/>
      </c>
    </row>
    <row r="143" customFormat="false" ht="15" hidden="false" customHeight="false" outlineLevel="0" collapsed="false">
      <c r="A143" s="47" t="s">
        <v>391</v>
      </c>
      <c r="B143" s="48" t="n">
        <v>45696</v>
      </c>
      <c r="C143" s="47" t="s">
        <v>166</v>
      </c>
      <c r="D143" s="47" t="s">
        <v>194</v>
      </c>
      <c r="E143" s="47" t="s">
        <v>100</v>
      </c>
      <c r="F143" s="47" t="s">
        <v>392</v>
      </c>
      <c r="G143" s="49" t="n">
        <v>193474.91</v>
      </c>
      <c r="H143" s="50" t="n">
        <v>0.05</v>
      </c>
      <c r="I143" s="47" t="s">
        <v>162</v>
      </c>
      <c r="J143" s="48" t="n">
        <v>45696</v>
      </c>
      <c r="K143" s="51" t="str">
        <f aca="false">"Q"&amp;ROUNDUP(MONTH(B143)/3,0)</f>
        <v>Q1</v>
      </c>
      <c r="L143" s="52" t="n">
        <f aca="false">ROUND(G143*H143,2)</f>
        <v>9673.75</v>
      </c>
      <c r="M143" s="52" t="n">
        <f aca="false">IF(AND(C143="Sales",F143="Standard-rated 5%"),L143,0)</f>
        <v>0</v>
      </c>
      <c r="N143" s="52" t="n">
        <f aca="false">IF(F143="Reverse charge (imported services)",L143,0)</f>
        <v>0</v>
      </c>
      <c r="O143" s="52" t="n">
        <f aca="false">IF(C143&lt;&gt;"Purchase",0,IF(OR(I143="N",F143="Blocked input (entertainment)"),0,L143))</f>
        <v>9673.75</v>
      </c>
      <c r="P143" s="52" t="n">
        <f aca="false">IF(C143&lt;&gt;"Purchase",0,L143-O143)</f>
        <v>0</v>
      </c>
      <c r="Q143" s="53" t="n">
        <f aca="false">J143-B143</f>
        <v>0</v>
      </c>
      <c r="R143" s="51" t="str">
        <f aca="false">IF(I143="N","Invalid / missing TRN",IF(F143="Blocked input (entertainment)","Blocked input",IF(Q143&gt;30,"Late posting (&gt;30d)","")))</f>
        <v/>
      </c>
    </row>
    <row r="144" customFormat="false" ht="15" hidden="false" customHeight="false" outlineLevel="0" collapsed="false">
      <c r="A144" s="47" t="s">
        <v>393</v>
      </c>
      <c r="B144" s="48" t="n">
        <v>45696</v>
      </c>
      <c r="C144" s="47" t="s">
        <v>166</v>
      </c>
      <c r="D144" s="47" t="s">
        <v>253</v>
      </c>
      <c r="E144" s="47" t="s">
        <v>102</v>
      </c>
      <c r="F144" s="47" t="s">
        <v>161</v>
      </c>
      <c r="G144" s="49" t="n">
        <v>20798.77</v>
      </c>
      <c r="H144" s="50" t="n">
        <v>0.05</v>
      </c>
      <c r="I144" s="47" t="s">
        <v>162</v>
      </c>
      <c r="J144" s="48" t="n">
        <v>45696</v>
      </c>
      <c r="K144" s="51" t="str">
        <f aca="false">"Q"&amp;ROUNDUP(MONTH(B144)/3,0)</f>
        <v>Q1</v>
      </c>
      <c r="L144" s="52" t="n">
        <f aca="false">ROUND(G144*H144,2)</f>
        <v>1039.94</v>
      </c>
      <c r="M144" s="52" t="n">
        <f aca="false">IF(AND(C144="Sales",F144="Standard-rated 5%"),L144,0)</f>
        <v>0</v>
      </c>
      <c r="N144" s="52" t="n">
        <f aca="false">IF(F144="Reverse charge (imported services)",L144,0)</f>
        <v>0</v>
      </c>
      <c r="O144" s="52" t="n">
        <f aca="false">IF(C144&lt;&gt;"Purchase",0,IF(OR(I144="N",F144="Blocked input (entertainment)"),0,L144))</f>
        <v>1039.94</v>
      </c>
      <c r="P144" s="52" t="n">
        <f aca="false">IF(C144&lt;&gt;"Purchase",0,L144-O144)</f>
        <v>0</v>
      </c>
      <c r="Q144" s="53" t="n">
        <f aca="false">J144-B144</f>
        <v>0</v>
      </c>
      <c r="R144" s="51" t="str">
        <f aca="false">IF(I144="N","Invalid / missing TRN",IF(F144="Blocked input (entertainment)","Blocked input",IF(Q144&gt;30,"Late posting (&gt;30d)","")))</f>
        <v/>
      </c>
    </row>
    <row r="145" customFormat="false" ht="15" hidden="false" customHeight="false" outlineLevel="0" collapsed="false">
      <c r="A145" s="47" t="s">
        <v>394</v>
      </c>
      <c r="B145" s="48" t="n">
        <v>45696</v>
      </c>
      <c r="C145" s="47" t="s">
        <v>159</v>
      </c>
      <c r="D145" s="47" t="s">
        <v>186</v>
      </c>
      <c r="E145" s="47" t="s">
        <v>100</v>
      </c>
      <c r="F145" s="47" t="s">
        <v>278</v>
      </c>
      <c r="G145" s="49" t="n">
        <v>14659.95</v>
      </c>
      <c r="H145" s="50" t="n">
        <v>0</v>
      </c>
      <c r="I145" s="47" t="s">
        <v>162</v>
      </c>
      <c r="J145" s="48" t="n">
        <v>45696</v>
      </c>
      <c r="K145" s="51" t="str">
        <f aca="false">"Q"&amp;ROUNDUP(MONTH(B145)/3,0)</f>
        <v>Q1</v>
      </c>
      <c r="L145" s="52" t="n">
        <f aca="false">ROUND(G145*H145,2)</f>
        <v>0</v>
      </c>
      <c r="M145" s="52" t="n">
        <f aca="false">IF(AND(C145="Sales",F145="Standard-rated 5%"),L145,0)</f>
        <v>0</v>
      </c>
      <c r="N145" s="52" t="n">
        <f aca="false">IF(F145="Reverse charge (imported services)",L145,0)</f>
        <v>0</v>
      </c>
      <c r="O145" s="52" t="n">
        <f aca="false">IF(C145&lt;&gt;"Purchase",0,IF(OR(I145="N",F145="Blocked input (entertainment)"),0,L145))</f>
        <v>0</v>
      </c>
      <c r="P145" s="52" t="n">
        <f aca="false">IF(C145&lt;&gt;"Purchase",0,L145-O145)</f>
        <v>0</v>
      </c>
      <c r="Q145" s="53" t="n">
        <f aca="false">J145-B145</f>
        <v>0</v>
      </c>
      <c r="R145" s="51" t="str">
        <f aca="false">IF(I145="N","Invalid / missing TRN",IF(F145="Blocked input (entertainment)","Blocked input",IF(Q145&gt;30,"Late posting (&gt;30d)","")))</f>
        <v/>
      </c>
    </row>
    <row r="146" customFormat="false" ht="15" hidden="false" customHeight="false" outlineLevel="0" collapsed="false">
      <c r="A146" s="47" t="s">
        <v>395</v>
      </c>
      <c r="B146" s="48" t="n">
        <v>45697</v>
      </c>
      <c r="C146" s="47" t="s">
        <v>166</v>
      </c>
      <c r="D146" s="47" t="s">
        <v>229</v>
      </c>
      <c r="E146" s="47" t="s">
        <v>100</v>
      </c>
      <c r="F146" s="47" t="s">
        <v>173</v>
      </c>
      <c r="G146" s="49" t="n">
        <v>16396.22</v>
      </c>
      <c r="H146" s="50" t="n">
        <v>0.05</v>
      </c>
      <c r="I146" s="47" t="s">
        <v>162</v>
      </c>
      <c r="J146" s="48" t="n">
        <v>45697</v>
      </c>
      <c r="K146" s="51" t="str">
        <f aca="false">"Q"&amp;ROUNDUP(MONTH(B146)/3,0)</f>
        <v>Q1</v>
      </c>
      <c r="L146" s="52" t="n">
        <f aca="false">ROUND(G146*H146,2)</f>
        <v>819.81</v>
      </c>
      <c r="M146" s="52" t="n">
        <f aca="false">IF(AND(C146="Sales",F146="Standard-rated 5%"),L146,0)</f>
        <v>0</v>
      </c>
      <c r="N146" s="52" t="n">
        <f aca="false">IF(F146="Reverse charge (imported services)",L146,0)</f>
        <v>819.81</v>
      </c>
      <c r="O146" s="52" t="n">
        <f aca="false">IF(C146&lt;&gt;"Purchase",0,IF(OR(I146="N",F146="Blocked input (entertainment)"),0,L146))</f>
        <v>819.81</v>
      </c>
      <c r="P146" s="52" t="n">
        <f aca="false">IF(C146&lt;&gt;"Purchase",0,L146-O146)</f>
        <v>0</v>
      </c>
      <c r="Q146" s="53" t="n">
        <f aca="false">J146-B146</f>
        <v>0</v>
      </c>
      <c r="R146" s="51" t="str">
        <f aca="false">IF(I146="N","Invalid / missing TRN",IF(F146="Blocked input (entertainment)","Blocked input",IF(Q146&gt;30,"Late posting (&gt;30d)","")))</f>
        <v/>
      </c>
    </row>
    <row r="147" customFormat="false" ht="15" hidden="false" customHeight="false" outlineLevel="0" collapsed="false">
      <c r="A147" s="47" t="s">
        <v>396</v>
      </c>
      <c r="B147" s="48" t="n">
        <v>45697</v>
      </c>
      <c r="C147" s="47" t="s">
        <v>166</v>
      </c>
      <c r="D147" s="47" t="s">
        <v>233</v>
      </c>
      <c r="E147" s="47" t="s">
        <v>100</v>
      </c>
      <c r="F147" s="47" t="s">
        <v>161</v>
      </c>
      <c r="G147" s="49" t="n">
        <v>17538.45</v>
      </c>
      <c r="H147" s="50" t="n">
        <v>0.05</v>
      </c>
      <c r="I147" s="47" t="s">
        <v>162</v>
      </c>
      <c r="J147" s="48" t="n">
        <v>45697</v>
      </c>
      <c r="K147" s="51" t="str">
        <f aca="false">"Q"&amp;ROUNDUP(MONTH(B147)/3,0)</f>
        <v>Q1</v>
      </c>
      <c r="L147" s="52" t="n">
        <f aca="false">ROUND(G147*H147,2)</f>
        <v>876.92</v>
      </c>
      <c r="M147" s="52" t="n">
        <f aca="false">IF(AND(C147="Sales",F147="Standard-rated 5%"),L147,0)</f>
        <v>0</v>
      </c>
      <c r="N147" s="52" t="n">
        <f aca="false">IF(F147="Reverse charge (imported services)",L147,0)</f>
        <v>0</v>
      </c>
      <c r="O147" s="52" t="n">
        <f aca="false">IF(C147&lt;&gt;"Purchase",0,IF(OR(I147="N",F147="Blocked input (entertainment)"),0,L147))</f>
        <v>876.92</v>
      </c>
      <c r="P147" s="52" t="n">
        <f aca="false">IF(C147&lt;&gt;"Purchase",0,L147-O147)</f>
        <v>0</v>
      </c>
      <c r="Q147" s="53" t="n">
        <f aca="false">J147-B147</f>
        <v>0</v>
      </c>
      <c r="R147" s="51" t="str">
        <f aca="false">IF(I147="N","Invalid / missing TRN",IF(F147="Blocked input (entertainment)","Blocked input",IF(Q147&gt;30,"Late posting (&gt;30d)","")))</f>
        <v/>
      </c>
    </row>
    <row r="148" customFormat="false" ht="15" hidden="false" customHeight="false" outlineLevel="0" collapsed="false">
      <c r="A148" s="47" t="s">
        <v>397</v>
      </c>
      <c r="B148" s="48" t="n">
        <v>45697</v>
      </c>
      <c r="C148" s="47" t="s">
        <v>166</v>
      </c>
      <c r="D148" s="47" t="s">
        <v>295</v>
      </c>
      <c r="E148" s="47" t="s">
        <v>102</v>
      </c>
      <c r="F148" s="47" t="s">
        <v>161</v>
      </c>
      <c r="G148" s="49" t="n">
        <v>16549.26</v>
      </c>
      <c r="H148" s="50" t="n">
        <v>0.05</v>
      </c>
      <c r="I148" s="47" t="s">
        <v>162</v>
      </c>
      <c r="J148" s="48" t="n">
        <v>45697</v>
      </c>
      <c r="K148" s="51" t="str">
        <f aca="false">"Q"&amp;ROUNDUP(MONTH(B148)/3,0)</f>
        <v>Q1</v>
      </c>
      <c r="L148" s="52" t="n">
        <f aca="false">ROUND(G148*H148,2)</f>
        <v>827.46</v>
      </c>
      <c r="M148" s="52" t="n">
        <f aca="false">IF(AND(C148="Sales",F148="Standard-rated 5%"),L148,0)</f>
        <v>0</v>
      </c>
      <c r="N148" s="52" t="n">
        <f aca="false">IF(F148="Reverse charge (imported services)",L148,0)</f>
        <v>0</v>
      </c>
      <c r="O148" s="52" t="n">
        <f aca="false">IF(C148&lt;&gt;"Purchase",0,IF(OR(I148="N",F148="Blocked input (entertainment)"),0,L148))</f>
        <v>827.46</v>
      </c>
      <c r="P148" s="52" t="n">
        <f aca="false">IF(C148&lt;&gt;"Purchase",0,L148-O148)</f>
        <v>0</v>
      </c>
      <c r="Q148" s="53" t="n">
        <f aca="false">J148-B148</f>
        <v>0</v>
      </c>
      <c r="R148" s="51" t="str">
        <f aca="false">IF(I148="N","Invalid / missing TRN",IF(F148="Blocked input (entertainment)","Blocked input",IF(Q148&gt;30,"Late posting (&gt;30d)","")))</f>
        <v/>
      </c>
    </row>
    <row r="149" customFormat="false" ht="15" hidden="false" customHeight="false" outlineLevel="0" collapsed="false">
      <c r="A149" s="47" t="s">
        <v>398</v>
      </c>
      <c r="B149" s="48" t="n">
        <v>45697</v>
      </c>
      <c r="C149" s="47" t="s">
        <v>159</v>
      </c>
      <c r="D149" s="47" t="s">
        <v>243</v>
      </c>
      <c r="E149" s="47" t="s">
        <v>102</v>
      </c>
      <c r="F149" s="47" t="s">
        <v>161</v>
      </c>
      <c r="G149" s="49" t="n">
        <v>17248.23</v>
      </c>
      <c r="H149" s="50" t="n">
        <v>0.05</v>
      </c>
      <c r="I149" s="47" t="s">
        <v>162</v>
      </c>
      <c r="J149" s="48" t="n">
        <v>45698</v>
      </c>
      <c r="K149" s="51" t="str">
        <f aca="false">"Q"&amp;ROUNDUP(MONTH(B149)/3,0)</f>
        <v>Q1</v>
      </c>
      <c r="L149" s="52" t="n">
        <f aca="false">ROUND(G149*H149,2)</f>
        <v>862.41</v>
      </c>
      <c r="M149" s="52" t="n">
        <f aca="false">IF(AND(C149="Sales",F149="Standard-rated 5%"),L149,0)</f>
        <v>862.41</v>
      </c>
      <c r="N149" s="52" t="n">
        <f aca="false">IF(F149="Reverse charge (imported services)",L149,0)</f>
        <v>0</v>
      </c>
      <c r="O149" s="52" t="n">
        <f aca="false">IF(C149&lt;&gt;"Purchase",0,IF(OR(I149="N",F149="Blocked input (entertainment)"),0,L149))</f>
        <v>0</v>
      </c>
      <c r="P149" s="52" t="n">
        <f aca="false">IF(C149&lt;&gt;"Purchase",0,L149-O149)</f>
        <v>0</v>
      </c>
      <c r="Q149" s="53" t="n">
        <f aca="false">J149-B149</f>
        <v>1</v>
      </c>
      <c r="R149" s="51" t="str">
        <f aca="false">IF(I149="N","Invalid / missing TRN",IF(F149="Blocked input (entertainment)","Blocked input",IF(Q149&gt;30,"Late posting (&gt;30d)","")))</f>
        <v/>
      </c>
    </row>
    <row r="150" customFormat="false" ht="15" hidden="false" customHeight="false" outlineLevel="0" collapsed="false">
      <c r="A150" s="47" t="s">
        <v>399</v>
      </c>
      <c r="B150" s="48" t="n">
        <v>45698</v>
      </c>
      <c r="C150" s="47" t="s">
        <v>159</v>
      </c>
      <c r="D150" s="47" t="s">
        <v>330</v>
      </c>
      <c r="E150" s="47" t="s">
        <v>100</v>
      </c>
      <c r="F150" s="47" t="s">
        <v>161</v>
      </c>
      <c r="G150" s="49" t="n">
        <v>7872.96</v>
      </c>
      <c r="H150" s="50" t="n">
        <v>0.05</v>
      </c>
      <c r="I150" s="47" t="s">
        <v>162</v>
      </c>
      <c r="J150" s="48" t="n">
        <v>45738</v>
      </c>
      <c r="K150" s="51" t="str">
        <f aca="false">"Q"&amp;ROUNDUP(MONTH(B150)/3,0)</f>
        <v>Q1</v>
      </c>
      <c r="L150" s="52" t="n">
        <f aca="false">ROUND(G150*H150,2)</f>
        <v>393.65</v>
      </c>
      <c r="M150" s="52" t="n">
        <f aca="false">IF(AND(C150="Sales",F150="Standard-rated 5%"),L150,0)</f>
        <v>393.65</v>
      </c>
      <c r="N150" s="52" t="n">
        <f aca="false">IF(F150="Reverse charge (imported services)",L150,0)</f>
        <v>0</v>
      </c>
      <c r="O150" s="52" t="n">
        <f aca="false">IF(C150&lt;&gt;"Purchase",0,IF(OR(I150="N",F150="Blocked input (entertainment)"),0,L150))</f>
        <v>0</v>
      </c>
      <c r="P150" s="52" t="n">
        <f aca="false">IF(C150&lt;&gt;"Purchase",0,L150-O150)</f>
        <v>0</v>
      </c>
      <c r="Q150" s="53" t="n">
        <f aca="false">J150-B150</f>
        <v>40</v>
      </c>
      <c r="R150" s="51" t="str">
        <f aca="false">IF(I150="N","Invalid / missing TRN",IF(F150="Blocked input (entertainment)","Blocked input",IF(Q150&gt;30,"Late posting (&gt;30d)","")))</f>
        <v>Late posting (&gt;30d)</v>
      </c>
    </row>
    <row r="151" customFormat="false" ht="15" hidden="false" customHeight="false" outlineLevel="0" collapsed="false">
      <c r="A151" s="47" t="s">
        <v>400</v>
      </c>
      <c r="B151" s="48" t="n">
        <v>45698</v>
      </c>
      <c r="C151" s="47" t="s">
        <v>159</v>
      </c>
      <c r="D151" s="47" t="s">
        <v>401</v>
      </c>
      <c r="E151" s="47" t="s">
        <v>102</v>
      </c>
      <c r="F151" s="47" t="s">
        <v>161</v>
      </c>
      <c r="G151" s="49" t="n">
        <v>38205.37</v>
      </c>
      <c r="H151" s="50" t="n">
        <v>0.05</v>
      </c>
      <c r="I151" s="47" t="s">
        <v>162</v>
      </c>
      <c r="J151" s="48" t="n">
        <v>45698</v>
      </c>
      <c r="K151" s="51" t="str">
        <f aca="false">"Q"&amp;ROUNDUP(MONTH(B151)/3,0)</f>
        <v>Q1</v>
      </c>
      <c r="L151" s="52" t="n">
        <f aca="false">ROUND(G151*H151,2)</f>
        <v>1910.27</v>
      </c>
      <c r="M151" s="52" t="n">
        <f aca="false">IF(AND(C151="Sales",F151="Standard-rated 5%"),L151,0)</f>
        <v>1910.27</v>
      </c>
      <c r="N151" s="52" t="n">
        <f aca="false">IF(F151="Reverse charge (imported services)",L151,0)</f>
        <v>0</v>
      </c>
      <c r="O151" s="52" t="n">
        <f aca="false">IF(C151&lt;&gt;"Purchase",0,IF(OR(I151="N",F151="Blocked input (entertainment)"),0,L151))</f>
        <v>0</v>
      </c>
      <c r="P151" s="52" t="n">
        <f aca="false">IF(C151&lt;&gt;"Purchase",0,L151-O151)</f>
        <v>0</v>
      </c>
      <c r="Q151" s="53" t="n">
        <f aca="false">J151-B151</f>
        <v>0</v>
      </c>
      <c r="R151" s="51" t="str">
        <f aca="false">IF(I151="N","Invalid / missing TRN",IF(F151="Blocked input (entertainment)","Blocked input",IF(Q151&gt;30,"Late posting (&gt;30d)","")))</f>
        <v/>
      </c>
    </row>
    <row r="152" customFormat="false" ht="15" hidden="false" customHeight="false" outlineLevel="0" collapsed="false">
      <c r="A152" s="47" t="s">
        <v>402</v>
      </c>
      <c r="B152" s="48" t="n">
        <v>45699</v>
      </c>
      <c r="C152" s="47" t="s">
        <v>166</v>
      </c>
      <c r="D152" s="47" t="s">
        <v>257</v>
      </c>
      <c r="E152" s="47" t="s">
        <v>101</v>
      </c>
      <c r="F152" s="47" t="s">
        <v>161</v>
      </c>
      <c r="G152" s="49" t="n">
        <v>25773.75</v>
      </c>
      <c r="H152" s="50" t="n">
        <v>0.05</v>
      </c>
      <c r="I152" s="47" t="s">
        <v>162</v>
      </c>
      <c r="J152" s="48" t="n">
        <v>45701</v>
      </c>
      <c r="K152" s="51" t="str">
        <f aca="false">"Q"&amp;ROUNDUP(MONTH(B152)/3,0)</f>
        <v>Q1</v>
      </c>
      <c r="L152" s="52" t="n">
        <f aca="false">ROUND(G152*H152,2)</f>
        <v>1288.69</v>
      </c>
      <c r="M152" s="52" t="n">
        <f aca="false">IF(AND(C152="Sales",F152="Standard-rated 5%"),L152,0)</f>
        <v>0</v>
      </c>
      <c r="N152" s="52" t="n">
        <f aca="false">IF(F152="Reverse charge (imported services)",L152,0)</f>
        <v>0</v>
      </c>
      <c r="O152" s="52" t="n">
        <f aca="false">IF(C152&lt;&gt;"Purchase",0,IF(OR(I152="N",F152="Blocked input (entertainment)"),0,L152))</f>
        <v>1288.69</v>
      </c>
      <c r="P152" s="52" t="n">
        <f aca="false">IF(C152&lt;&gt;"Purchase",0,L152-O152)</f>
        <v>0</v>
      </c>
      <c r="Q152" s="53" t="n">
        <f aca="false">J152-B152</f>
        <v>2</v>
      </c>
      <c r="R152" s="51" t="str">
        <f aca="false">IF(I152="N","Invalid / missing TRN",IF(F152="Blocked input (entertainment)","Blocked input",IF(Q152&gt;30,"Late posting (&gt;30d)","")))</f>
        <v/>
      </c>
    </row>
    <row r="153" customFormat="false" ht="15" hidden="false" customHeight="false" outlineLevel="0" collapsed="false">
      <c r="A153" s="47" t="s">
        <v>403</v>
      </c>
      <c r="B153" s="48" t="n">
        <v>45699</v>
      </c>
      <c r="C153" s="47" t="s">
        <v>159</v>
      </c>
      <c r="D153" s="47" t="s">
        <v>300</v>
      </c>
      <c r="E153" s="47" t="s">
        <v>102</v>
      </c>
      <c r="F153" s="47" t="s">
        <v>161</v>
      </c>
      <c r="G153" s="49" t="n">
        <v>202991.82</v>
      </c>
      <c r="H153" s="50" t="n">
        <v>0.05</v>
      </c>
      <c r="I153" s="47" t="s">
        <v>162</v>
      </c>
      <c r="J153" s="48" t="n">
        <v>45699</v>
      </c>
      <c r="K153" s="51" t="str">
        <f aca="false">"Q"&amp;ROUNDUP(MONTH(B153)/3,0)</f>
        <v>Q1</v>
      </c>
      <c r="L153" s="52" t="n">
        <f aca="false">ROUND(G153*H153,2)</f>
        <v>10149.59</v>
      </c>
      <c r="M153" s="52" t="n">
        <f aca="false">IF(AND(C153="Sales",F153="Standard-rated 5%"),L153,0)</f>
        <v>10149.59</v>
      </c>
      <c r="N153" s="52" t="n">
        <f aca="false">IF(F153="Reverse charge (imported services)",L153,0)</f>
        <v>0</v>
      </c>
      <c r="O153" s="52" t="n">
        <f aca="false">IF(C153&lt;&gt;"Purchase",0,IF(OR(I153="N",F153="Blocked input (entertainment)"),0,L153))</f>
        <v>0</v>
      </c>
      <c r="P153" s="52" t="n">
        <f aca="false">IF(C153&lt;&gt;"Purchase",0,L153-O153)</f>
        <v>0</v>
      </c>
      <c r="Q153" s="53" t="n">
        <f aca="false">J153-B153</f>
        <v>0</v>
      </c>
      <c r="R153" s="51" t="str">
        <f aca="false">IF(I153="N","Invalid / missing TRN",IF(F153="Blocked input (entertainment)","Blocked input",IF(Q153&gt;30,"Late posting (&gt;30d)","")))</f>
        <v/>
      </c>
    </row>
    <row r="154" customFormat="false" ht="15" hidden="false" customHeight="false" outlineLevel="0" collapsed="false">
      <c r="A154" s="47" t="s">
        <v>404</v>
      </c>
      <c r="B154" s="48" t="n">
        <v>45699</v>
      </c>
      <c r="C154" s="47" t="s">
        <v>159</v>
      </c>
      <c r="D154" s="47" t="s">
        <v>405</v>
      </c>
      <c r="E154" s="47" t="s">
        <v>102</v>
      </c>
      <c r="F154" s="47" t="s">
        <v>161</v>
      </c>
      <c r="G154" s="49" t="n">
        <v>6978.75</v>
      </c>
      <c r="H154" s="50" t="n">
        <v>0.05</v>
      </c>
      <c r="I154" s="47" t="s">
        <v>162</v>
      </c>
      <c r="J154" s="48" t="n">
        <v>45699</v>
      </c>
      <c r="K154" s="51" t="str">
        <f aca="false">"Q"&amp;ROUNDUP(MONTH(B154)/3,0)</f>
        <v>Q1</v>
      </c>
      <c r="L154" s="52" t="n">
        <f aca="false">ROUND(G154*H154,2)</f>
        <v>348.94</v>
      </c>
      <c r="M154" s="52" t="n">
        <f aca="false">IF(AND(C154="Sales",F154="Standard-rated 5%"),L154,0)</f>
        <v>348.94</v>
      </c>
      <c r="N154" s="52" t="n">
        <f aca="false">IF(F154="Reverse charge (imported services)",L154,0)</f>
        <v>0</v>
      </c>
      <c r="O154" s="52" t="n">
        <f aca="false">IF(C154&lt;&gt;"Purchase",0,IF(OR(I154="N",F154="Blocked input (entertainment)"),0,L154))</f>
        <v>0</v>
      </c>
      <c r="P154" s="52" t="n">
        <f aca="false">IF(C154&lt;&gt;"Purchase",0,L154-O154)</f>
        <v>0</v>
      </c>
      <c r="Q154" s="53" t="n">
        <f aca="false">J154-B154</f>
        <v>0</v>
      </c>
      <c r="R154" s="51" t="str">
        <f aca="false">IF(I154="N","Invalid / missing TRN",IF(F154="Blocked input (entertainment)","Blocked input",IF(Q154&gt;30,"Late posting (&gt;30d)","")))</f>
        <v/>
      </c>
    </row>
    <row r="155" customFormat="false" ht="15" hidden="false" customHeight="false" outlineLevel="0" collapsed="false">
      <c r="A155" s="47" t="s">
        <v>406</v>
      </c>
      <c r="B155" s="48" t="n">
        <v>45699</v>
      </c>
      <c r="C155" s="47" t="s">
        <v>159</v>
      </c>
      <c r="D155" s="47" t="s">
        <v>364</v>
      </c>
      <c r="E155" s="47" t="s">
        <v>100</v>
      </c>
      <c r="F155" s="47" t="s">
        <v>161</v>
      </c>
      <c r="G155" s="49" t="n">
        <v>15968.62</v>
      </c>
      <c r="H155" s="50" t="n">
        <v>0.05</v>
      </c>
      <c r="I155" s="47" t="s">
        <v>162</v>
      </c>
      <c r="J155" s="48" t="n">
        <v>45699</v>
      </c>
      <c r="K155" s="51" t="str">
        <f aca="false">"Q"&amp;ROUNDUP(MONTH(B155)/3,0)</f>
        <v>Q1</v>
      </c>
      <c r="L155" s="52" t="n">
        <f aca="false">ROUND(G155*H155,2)</f>
        <v>798.43</v>
      </c>
      <c r="M155" s="52" t="n">
        <f aca="false">IF(AND(C155="Sales",F155="Standard-rated 5%"),L155,0)</f>
        <v>798.43</v>
      </c>
      <c r="N155" s="52" t="n">
        <f aca="false">IF(F155="Reverse charge (imported services)",L155,0)</f>
        <v>0</v>
      </c>
      <c r="O155" s="52" t="n">
        <f aca="false">IF(C155&lt;&gt;"Purchase",0,IF(OR(I155="N",F155="Blocked input (entertainment)"),0,L155))</f>
        <v>0</v>
      </c>
      <c r="P155" s="52" t="n">
        <f aca="false">IF(C155&lt;&gt;"Purchase",0,L155-O155)</f>
        <v>0</v>
      </c>
      <c r="Q155" s="53" t="n">
        <f aca="false">J155-B155</f>
        <v>0</v>
      </c>
      <c r="R155" s="51" t="str">
        <f aca="false">IF(I155="N","Invalid / missing TRN",IF(F155="Blocked input (entertainment)","Blocked input",IF(Q155&gt;30,"Late posting (&gt;30d)","")))</f>
        <v/>
      </c>
    </row>
    <row r="156" customFormat="false" ht="15" hidden="false" customHeight="false" outlineLevel="0" collapsed="false">
      <c r="A156" s="47" t="s">
        <v>407</v>
      </c>
      <c r="B156" s="48" t="n">
        <v>45700</v>
      </c>
      <c r="C156" s="47" t="s">
        <v>166</v>
      </c>
      <c r="D156" s="47" t="s">
        <v>408</v>
      </c>
      <c r="E156" s="47" t="s">
        <v>100</v>
      </c>
      <c r="F156" s="47" t="s">
        <v>268</v>
      </c>
      <c r="G156" s="49" t="n">
        <v>16789.64</v>
      </c>
      <c r="H156" s="50" t="n">
        <v>0</v>
      </c>
      <c r="I156" s="47" t="s">
        <v>162</v>
      </c>
      <c r="J156" s="48" t="n">
        <v>45700</v>
      </c>
      <c r="K156" s="51" t="str">
        <f aca="false">"Q"&amp;ROUNDUP(MONTH(B156)/3,0)</f>
        <v>Q1</v>
      </c>
      <c r="L156" s="52" t="n">
        <f aca="false">ROUND(G156*H156,2)</f>
        <v>0</v>
      </c>
      <c r="M156" s="52" t="n">
        <f aca="false">IF(AND(C156="Sales",F156="Standard-rated 5%"),L156,0)</f>
        <v>0</v>
      </c>
      <c r="N156" s="52" t="n">
        <f aca="false">IF(F156="Reverse charge (imported services)",L156,0)</f>
        <v>0</v>
      </c>
      <c r="O156" s="52" t="n">
        <f aca="false">IF(C156&lt;&gt;"Purchase",0,IF(OR(I156="N",F156="Blocked input (entertainment)"),0,L156))</f>
        <v>0</v>
      </c>
      <c r="P156" s="52" t="n">
        <f aca="false">IF(C156&lt;&gt;"Purchase",0,L156-O156)</f>
        <v>0</v>
      </c>
      <c r="Q156" s="53" t="n">
        <f aca="false">J156-B156</f>
        <v>0</v>
      </c>
      <c r="R156" s="51" t="str">
        <f aca="false">IF(I156="N","Invalid / missing TRN",IF(F156="Blocked input (entertainment)","Blocked input",IF(Q156&gt;30,"Late posting (&gt;30d)","")))</f>
        <v/>
      </c>
    </row>
    <row r="157" customFormat="false" ht="15" hidden="false" customHeight="false" outlineLevel="0" collapsed="false">
      <c r="A157" s="47" t="s">
        <v>409</v>
      </c>
      <c r="B157" s="48" t="n">
        <v>45700</v>
      </c>
      <c r="C157" s="47" t="s">
        <v>166</v>
      </c>
      <c r="D157" s="47" t="s">
        <v>390</v>
      </c>
      <c r="E157" s="47" t="s">
        <v>100</v>
      </c>
      <c r="F157" s="47" t="s">
        <v>161</v>
      </c>
      <c r="G157" s="49" t="n">
        <v>24150.63</v>
      </c>
      <c r="H157" s="50" t="n">
        <v>0.05</v>
      </c>
      <c r="I157" s="47" t="s">
        <v>162</v>
      </c>
      <c r="J157" s="48" t="n">
        <v>45702</v>
      </c>
      <c r="K157" s="51" t="str">
        <f aca="false">"Q"&amp;ROUNDUP(MONTH(B157)/3,0)</f>
        <v>Q1</v>
      </c>
      <c r="L157" s="52" t="n">
        <f aca="false">ROUND(G157*H157,2)</f>
        <v>1207.53</v>
      </c>
      <c r="M157" s="52" t="n">
        <f aca="false">IF(AND(C157="Sales",F157="Standard-rated 5%"),L157,0)</f>
        <v>0</v>
      </c>
      <c r="N157" s="52" t="n">
        <f aca="false">IF(F157="Reverse charge (imported services)",L157,0)</f>
        <v>0</v>
      </c>
      <c r="O157" s="52" t="n">
        <f aca="false">IF(C157&lt;&gt;"Purchase",0,IF(OR(I157="N",F157="Blocked input (entertainment)"),0,L157))</f>
        <v>1207.53</v>
      </c>
      <c r="P157" s="52" t="n">
        <f aca="false">IF(C157&lt;&gt;"Purchase",0,L157-O157)</f>
        <v>0</v>
      </c>
      <c r="Q157" s="53" t="n">
        <f aca="false">J157-B157</f>
        <v>2</v>
      </c>
      <c r="R157" s="51" t="str">
        <f aca="false">IF(I157="N","Invalid / missing TRN",IF(F157="Blocked input (entertainment)","Blocked input",IF(Q157&gt;30,"Late posting (&gt;30d)","")))</f>
        <v/>
      </c>
    </row>
    <row r="158" customFormat="false" ht="15" hidden="false" customHeight="false" outlineLevel="0" collapsed="false">
      <c r="A158" s="47" t="s">
        <v>410</v>
      </c>
      <c r="B158" s="48" t="n">
        <v>45700</v>
      </c>
      <c r="C158" s="47" t="s">
        <v>166</v>
      </c>
      <c r="D158" s="47" t="s">
        <v>411</v>
      </c>
      <c r="E158" s="47" t="s">
        <v>100</v>
      </c>
      <c r="F158" s="47" t="s">
        <v>161</v>
      </c>
      <c r="G158" s="49" t="n">
        <v>95206.37</v>
      </c>
      <c r="H158" s="50" t="n">
        <v>0.05</v>
      </c>
      <c r="I158" s="47" t="s">
        <v>162</v>
      </c>
      <c r="J158" s="48" t="n">
        <v>45700</v>
      </c>
      <c r="K158" s="51" t="str">
        <f aca="false">"Q"&amp;ROUNDUP(MONTH(B158)/3,0)</f>
        <v>Q1</v>
      </c>
      <c r="L158" s="52" t="n">
        <f aca="false">ROUND(G158*H158,2)</f>
        <v>4760.32</v>
      </c>
      <c r="M158" s="52" t="n">
        <f aca="false">IF(AND(C158="Sales",F158="Standard-rated 5%"),L158,0)</f>
        <v>0</v>
      </c>
      <c r="N158" s="52" t="n">
        <f aca="false">IF(F158="Reverse charge (imported services)",L158,0)</f>
        <v>0</v>
      </c>
      <c r="O158" s="52" t="n">
        <f aca="false">IF(C158&lt;&gt;"Purchase",0,IF(OR(I158="N",F158="Blocked input (entertainment)"),0,L158))</f>
        <v>4760.32</v>
      </c>
      <c r="P158" s="52" t="n">
        <f aca="false">IF(C158&lt;&gt;"Purchase",0,L158-O158)</f>
        <v>0</v>
      </c>
      <c r="Q158" s="53" t="n">
        <f aca="false">J158-B158</f>
        <v>0</v>
      </c>
      <c r="R158" s="51" t="str">
        <f aca="false">IF(I158="N","Invalid / missing TRN",IF(F158="Blocked input (entertainment)","Blocked input",IF(Q158&gt;30,"Late posting (&gt;30d)","")))</f>
        <v/>
      </c>
    </row>
    <row r="159" customFormat="false" ht="15" hidden="false" customHeight="false" outlineLevel="0" collapsed="false">
      <c r="A159" s="47" t="s">
        <v>412</v>
      </c>
      <c r="B159" s="48" t="n">
        <v>45700</v>
      </c>
      <c r="C159" s="47" t="s">
        <v>166</v>
      </c>
      <c r="D159" s="47" t="s">
        <v>190</v>
      </c>
      <c r="E159" s="47" t="s">
        <v>101</v>
      </c>
      <c r="F159" s="47" t="s">
        <v>161</v>
      </c>
      <c r="G159" s="49" t="n">
        <v>46559.94</v>
      </c>
      <c r="H159" s="50" t="n">
        <v>0.05</v>
      </c>
      <c r="I159" s="47" t="s">
        <v>162</v>
      </c>
      <c r="J159" s="48" t="n">
        <v>45701</v>
      </c>
      <c r="K159" s="51" t="str">
        <f aca="false">"Q"&amp;ROUNDUP(MONTH(B159)/3,0)</f>
        <v>Q1</v>
      </c>
      <c r="L159" s="52" t="n">
        <f aca="false">ROUND(G159*H159,2)</f>
        <v>2328</v>
      </c>
      <c r="M159" s="52" t="n">
        <f aca="false">IF(AND(C159="Sales",F159="Standard-rated 5%"),L159,0)</f>
        <v>0</v>
      </c>
      <c r="N159" s="52" t="n">
        <f aca="false">IF(F159="Reverse charge (imported services)",L159,0)</f>
        <v>0</v>
      </c>
      <c r="O159" s="52" t="n">
        <f aca="false">IF(C159&lt;&gt;"Purchase",0,IF(OR(I159="N",F159="Blocked input (entertainment)"),0,L159))</f>
        <v>2328</v>
      </c>
      <c r="P159" s="52" t="n">
        <f aca="false">IF(C159&lt;&gt;"Purchase",0,L159-O159)</f>
        <v>0</v>
      </c>
      <c r="Q159" s="53" t="n">
        <f aca="false">J159-B159</f>
        <v>1</v>
      </c>
      <c r="R159" s="51" t="str">
        <f aca="false">IF(I159="N","Invalid / missing TRN",IF(F159="Blocked input (entertainment)","Blocked input",IF(Q159&gt;30,"Late posting (&gt;30d)","")))</f>
        <v/>
      </c>
    </row>
    <row r="160" customFormat="false" ht="15" hidden="false" customHeight="false" outlineLevel="0" collapsed="false">
      <c r="A160" s="47" t="s">
        <v>413</v>
      </c>
      <c r="B160" s="48" t="n">
        <v>45700</v>
      </c>
      <c r="C160" s="47" t="s">
        <v>166</v>
      </c>
      <c r="D160" s="47" t="s">
        <v>295</v>
      </c>
      <c r="E160" s="47" t="s">
        <v>102</v>
      </c>
      <c r="F160" s="47" t="s">
        <v>173</v>
      </c>
      <c r="G160" s="49" t="n">
        <v>49265.86</v>
      </c>
      <c r="H160" s="50" t="n">
        <v>0.05</v>
      </c>
      <c r="I160" s="47" t="s">
        <v>162</v>
      </c>
      <c r="J160" s="48" t="n">
        <v>45700</v>
      </c>
      <c r="K160" s="51" t="str">
        <f aca="false">"Q"&amp;ROUNDUP(MONTH(B160)/3,0)</f>
        <v>Q1</v>
      </c>
      <c r="L160" s="52" t="n">
        <f aca="false">ROUND(G160*H160,2)</f>
        <v>2463.29</v>
      </c>
      <c r="M160" s="52" t="n">
        <f aca="false">IF(AND(C160="Sales",F160="Standard-rated 5%"),L160,0)</f>
        <v>0</v>
      </c>
      <c r="N160" s="52" t="n">
        <f aca="false">IF(F160="Reverse charge (imported services)",L160,0)</f>
        <v>2463.29</v>
      </c>
      <c r="O160" s="52" t="n">
        <f aca="false">IF(C160&lt;&gt;"Purchase",0,IF(OR(I160="N",F160="Blocked input (entertainment)"),0,L160))</f>
        <v>2463.29</v>
      </c>
      <c r="P160" s="52" t="n">
        <f aca="false">IF(C160&lt;&gt;"Purchase",0,L160-O160)</f>
        <v>0</v>
      </c>
      <c r="Q160" s="53" t="n">
        <f aca="false">J160-B160</f>
        <v>0</v>
      </c>
      <c r="R160" s="51" t="str">
        <f aca="false">IF(I160="N","Invalid / missing TRN",IF(F160="Blocked input (entertainment)","Blocked input",IF(Q160&gt;30,"Late posting (&gt;30d)","")))</f>
        <v/>
      </c>
    </row>
    <row r="161" customFormat="false" ht="15" hidden="false" customHeight="false" outlineLevel="0" collapsed="false">
      <c r="A161" s="47" t="s">
        <v>414</v>
      </c>
      <c r="B161" s="48" t="n">
        <v>45700</v>
      </c>
      <c r="C161" s="47" t="s">
        <v>159</v>
      </c>
      <c r="D161" s="47" t="s">
        <v>415</v>
      </c>
      <c r="E161" s="47" t="s">
        <v>101</v>
      </c>
      <c r="F161" s="47" t="s">
        <v>161</v>
      </c>
      <c r="G161" s="49" t="n">
        <v>50443.73</v>
      </c>
      <c r="H161" s="50" t="n">
        <v>0.05</v>
      </c>
      <c r="I161" s="47" t="s">
        <v>162</v>
      </c>
      <c r="J161" s="48" t="n">
        <v>45700</v>
      </c>
      <c r="K161" s="51" t="str">
        <f aca="false">"Q"&amp;ROUNDUP(MONTH(B161)/3,0)</f>
        <v>Q1</v>
      </c>
      <c r="L161" s="52" t="n">
        <f aca="false">ROUND(G161*H161,2)</f>
        <v>2522.19</v>
      </c>
      <c r="M161" s="52" t="n">
        <f aca="false">IF(AND(C161="Sales",F161="Standard-rated 5%"),L161,0)</f>
        <v>2522.19</v>
      </c>
      <c r="N161" s="52" t="n">
        <f aca="false">IF(F161="Reverse charge (imported services)",L161,0)</f>
        <v>0</v>
      </c>
      <c r="O161" s="52" t="n">
        <f aca="false">IF(C161&lt;&gt;"Purchase",0,IF(OR(I161="N",F161="Blocked input (entertainment)"),0,L161))</f>
        <v>0</v>
      </c>
      <c r="P161" s="52" t="n">
        <f aca="false">IF(C161&lt;&gt;"Purchase",0,L161-O161)</f>
        <v>0</v>
      </c>
      <c r="Q161" s="53" t="n">
        <f aca="false">J161-B161</f>
        <v>0</v>
      </c>
      <c r="R161" s="51" t="str">
        <f aca="false">IF(I161="N","Invalid / missing TRN",IF(F161="Blocked input (entertainment)","Blocked input",IF(Q161&gt;30,"Late posting (&gt;30d)","")))</f>
        <v/>
      </c>
    </row>
    <row r="162" customFormat="false" ht="15" hidden="false" customHeight="false" outlineLevel="0" collapsed="false">
      <c r="A162" s="47" t="s">
        <v>416</v>
      </c>
      <c r="B162" s="48" t="n">
        <v>45700</v>
      </c>
      <c r="C162" s="47" t="s">
        <v>159</v>
      </c>
      <c r="D162" s="47" t="s">
        <v>249</v>
      </c>
      <c r="E162" s="47" t="s">
        <v>103</v>
      </c>
      <c r="F162" s="47" t="s">
        <v>161</v>
      </c>
      <c r="G162" s="49" t="n">
        <v>58726.26</v>
      </c>
      <c r="H162" s="50" t="n">
        <v>0.05</v>
      </c>
      <c r="I162" s="47" t="s">
        <v>162</v>
      </c>
      <c r="J162" s="48" t="n">
        <v>45700</v>
      </c>
      <c r="K162" s="51" t="str">
        <f aca="false">"Q"&amp;ROUNDUP(MONTH(B162)/3,0)</f>
        <v>Q1</v>
      </c>
      <c r="L162" s="52" t="n">
        <f aca="false">ROUND(G162*H162,2)</f>
        <v>2936.31</v>
      </c>
      <c r="M162" s="52" t="n">
        <f aca="false">IF(AND(C162="Sales",F162="Standard-rated 5%"),L162,0)</f>
        <v>2936.31</v>
      </c>
      <c r="N162" s="52" t="n">
        <f aca="false">IF(F162="Reverse charge (imported services)",L162,0)</f>
        <v>0</v>
      </c>
      <c r="O162" s="52" t="n">
        <f aca="false">IF(C162&lt;&gt;"Purchase",0,IF(OR(I162="N",F162="Blocked input (entertainment)"),0,L162))</f>
        <v>0</v>
      </c>
      <c r="P162" s="52" t="n">
        <f aca="false">IF(C162&lt;&gt;"Purchase",0,L162-O162)</f>
        <v>0</v>
      </c>
      <c r="Q162" s="53" t="n">
        <f aca="false">J162-B162</f>
        <v>0</v>
      </c>
      <c r="R162" s="51" t="str">
        <f aca="false">IF(I162="N","Invalid / missing TRN",IF(F162="Blocked input (entertainment)","Blocked input",IF(Q162&gt;30,"Late posting (&gt;30d)","")))</f>
        <v/>
      </c>
    </row>
    <row r="163" customFormat="false" ht="15" hidden="false" customHeight="false" outlineLevel="0" collapsed="false">
      <c r="A163" s="47" t="s">
        <v>417</v>
      </c>
      <c r="B163" s="48" t="n">
        <v>45701</v>
      </c>
      <c r="C163" s="47" t="s">
        <v>166</v>
      </c>
      <c r="D163" s="47" t="s">
        <v>297</v>
      </c>
      <c r="E163" s="47" t="s">
        <v>100</v>
      </c>
      <c r="F163" s="47" t="s">
        <v>161</v>
      </c>
      <c r="G163" s="49" t="n">
        <v>23460.59</v>
      </c>
      <c r="H163" s="50" t="n">
        <v>0.05</v>
      </c>
      <c r="I163" s="47" t="s">
        <v>162</v>
      </c>
      <c r="J163" s="48" t="n">
        <v>45703</v>
      </c>
      <c r="K163" s="51" t="str">
        <f aca="false">"Q"&amp;ROUNDUP(MONTH(B163)/3,0)</f>
        <v>Q1</v>
      </c>
      <c r="L163" s="52" t="n">
        <f aca="false">ROUND(G163*H163,2)</f>
        <v>1173.03</v>
      </c>
      <c r="M163" s="52" t="n">
        <f aca="false">IF(AND(C163="Sales",F163="Standard-rated 5%"),L163,0)</f>
        <v>0</v>
      </c>
      <c r="N163" s="52" t="n">
        <f aca="false">IF(F163="Reverse charge (imported services)",L163,0)</f>
        <v>0</v>
      </c>
      <c r="O163" s="52" t="n">
        <f aca="false">IF(C163&lt;&gt;"Purchase",0,IF(OR(I163="N",F163="Blocked input (entertainment)"),0,L163))</f>
        <v>1173.03</v>
      </c>
      <c r="P163" s="52" t="n">
        <f aca="false">IF(C163&lt;&gt;"Purchase",0,L163-O163)</f>
        <v>0</v>
      </c>
      <c r="Q163" s="53" t="n">
        <f aca="false">J163-B163</f>
        <v>2</v>
      </c>
      <c r="R163" s="51" t="str">
        <f aca="false">IF(I163="N","Invalid / missing TRN",IF(F163="Blocked input (entertainment)","Blocked input",IF(Q163&gt;30,"Late posting (&gt;30d)","")))</f>
        <v/>
      </c>
    </row>
    <row r="164" customFormat="false" ht="15" hidden="false" customHeight="false" outlineLevel="0" collapsed="false">
      <c r="A164" s="47" t="s">
        <v>418</v>
      </c>
      <c r="B164" s="48" t="n">
        <v>45701</v>
      </c>
      <c r="C164" s="47" t="s">
        <v>159</v>
      </c>
      <c r="D164" s="47" t="s">
        <v>330</v>
      </c>
      <c r="E164" s="47" t="s">
        <v>102</v>
      </c>
      <c r="F164" s="47" t="s">
        <v>161</v>
      </c>
      <c r="G164" s="49" t="n">
        <v>159258.02</v>
      </c>
      <c r="H164" s="50" t="n">
        <v>0.05</v>
      </c>
      <c r="I164" s="47" t="s">
        <v>162</v>
      </c>
      <c r="J164" s="48" t="n">
        <v>45701</v>
      </c>
      <c r="K164" s="51" t="str">
        <f aca="false">"Q"&amp;ROUNDUP(MONTH(B164)/3,0)</f>
        <v>Q1</v>
      </c>
      <c r="L164" s="52" t="n">
        <f aca="false">ROUND(G164*H164,2)</f>
        <v>7962.9</v>
      </c>
      <c r="M164" s="52" t="n">
        <f aca="false">IF(AND(C164="Sales",F164="Standard-rated 5%"),L164,0)</f>
        <v>7962.9</v>
      </c>
      <c r="N164" s="52" t="n">
        <f aca="false">IF(F164="Reverse charge (imported services)",L164,0)</f>
        <v>0</v>
      </c>
      <c r="O164" s="52" t="n">
        <f aca="false">IF(C164&lt;&gt;"Purchase",0,IF(OR(I164="N",F164="Blocked input (entertainment)"),0,L164))</f>
        <v>0</v>
      </c>
      <c r="P164" s="52" t="n">
        <f aca="false">IF(C164&lt;&gt;"Purchase",0,L164-O164)</f>
        <v>0</v>
      </c>
      <c r="Q164" s="53" t="n">
        <f aca="false">J164-B164</f>
        <v>0</v>
      </c>
      <c r="R164" s="51" t="str">
        <f aca="false">IF(I164="N","Invalid / missing TRN",IF(F164="Blocked input (entertainment)","Blocked input",IF(Q164&gt;30,"Late posting (&gt;30d)","")))</f>
        <v/>
      </c>
    </row>
    <row r="165" customFormat="false" ht="15" hidden="false" customHeight="false" outlineLevel="0" collapsed="false">
      <c r="A165" s="47" t="s">
        <v>419</v>
      </c>
      <c r="B165" s="48" t="n">
        <v>45702</v>
      </c>
      <c r="C165" s="47" t="s">
        <v>166</v>
      </c>
      <c r="D165" s="47" t="s">
        <v>194</v>
      </c>
      <c r="E165" s="47" t="s">
        <v>101</v>
      </c>
      <c r="F165" s="47" t="s">
        <v>161</v>
      </c>
      <c r="G165" s="49" t="n">
        <v>40857.43</v>
      </c>
      <c r="H165" s="50" t="n">
        <v>0.05</v>
      </c>
      <c r="I165" s="47" t="s">
        <v>162</v>
      </c>
      <c r="J165" s="48" t="n">
        <v>45702</v>
      </c>
      <c r="K165" s="51" t="str">
        <f aca="false">"Q"&amp;ROUNDUP(MONTH(B165)/3,0)</f>
        <v>Q1</v>
      </c>
      <c r="L165" s="52" t="n">
        <f aca="false">ROUND(G165*H165,2)</f>
        <v>2042.87</v>
      </c>
      <c r="M165" s="52" t="n">
        <f aca="false">IF(AND(C165="Sales",F165="Standard-rated 5%"),L165,0)</f>
        <v>0</v>
      </c>
      <c r="N165" s="52" t="n">
        <f aca="false">IF(F165="Reverse charge (imported services)",L165,0)</f>
        <v>0</v>
      </c>
      <c r="O165" s="52" t="n">
        <f aca="false">IF(C165&lt;&gt;"Purchase",0,IF(OR(I165="N",F165="Blocked input (entertainment)"),0,L165))</f>
        <v>2042.87</v>
      </c>
      <c r="P165" s="52" t="n">
        <f aca="false">IF(C165&lt;&gt;"Purchase",0,L165-O165)</f>
        <v>0</v>
      </c>
      <c r="Q165" s="53" t="n">
        <f aca="false">J165-B165</f>
        <v>0</v>
      </c>
      <c r="R165" s="51" t="str">
        <f aca="false">IF(I165="N","Invalid / missing TRN",IF(F165="Blocked input (entertainment)","Blocked input",IF(Q165&gt;30,"Late posting (&gt;30d)","")))</f>
        <v/>
      </c>
    </row>
    <row r="166" customFormat="false" ht="15" hidden="false" customHeight="false" outlineLevel="0" collapsed="false">
      <c r="A166" s="47" t="s">
        <v>420</v>
      </c>
      <c r="B166" s="48" t="n">
        <v>45703</v>
      </c>
      <c r="C166" s="47" t="s">
        <v>159</v>
      </c>
      <c r="D166" s="47" t="s">
        <v>186</v>
      </c>
      <c r="E166" s="47" t="s">
        <v>100</v>
      </c>
      <c r="F166" s="47" t="s">
        <v>161</v>
      </c>
      <c r="G166" s="49" t="n">
        <v>30374.04</v>
      </c>
      <c r="H166" s="50" t="n">
        <v>0.05</v>
      </c>
      <c r="I166" s="47" t="s">
        <v>162</v>
      </c>
      <c r="J166" s="48" t="n">
        <v>45703</v>
      </c>
      <c r="K166" s="51" t="str">
        <f aca="false">"Q"&amp;ROUNDUP(MONTH(B166)/3,0)</f>
        <v>Q1</v>
      </c>
      <c r="L166" s="52" t="n">
        <f aca="false">ROUND(G166*H166,2)</f>
        <v>1518.7</v>
      </c>
      <c r="M166" s="52" t="n">
        <f aca="false">IF(AND(C166="Sales",F166="Standard-rated 5%"),L166,0)</f>
        <v>1518.7</v>
      </c>
      <c r="N166" s="52" t="n">
        <f aca="false">IF(F166="Reverse charge (imported services)",L166,0)</f>
        <v>0</v>
      </c>
      <c r="O166" s="52" t="n">
        <f aca="false">IF(C166&lt;&gt;"Purchase",0,IF(OR(I166="N",F166="Blocked input (entertainment)"),0,L166))</f>
        <v>0</v>
      </c>
      <c r="P166" s="52" t="n">
        <f aca="false">IF(C166&lt;&gt;"Purchase",0,L166-O166)</f>
        <v>0</v>
      </c>
      <c r="Q166" s="53" t="n">
        <f aca="false">J166-B166</f>
        <v>0</v>
      </c>
      <c r="R166" s="51" t="str">
        <f aca="false">IF(I166="N","Invalid / missing TRN",IF(F166="Blocked input (entertainment)","Blocked input",IF(Q166&gt;30,"Late posting (&gt;30d)","")))</f>
        <v/>
      </c>
    </row>
    <row r="167" customFormat="false" ht="15" hidden="false" customHeight="false" outlineLevel="0" collapsed="false">
      <c r="A167" s="47" t="s">
        <v>421</v>
      </c>
      <c r="B167" s="48" t="n">
        <v>45703</v>
      </c>
      <c r="C167" s="47" t="s">
        <v>159</v>
      </c>
      <c r="D167" s="47" t="s">
        <v>247</v>
      </c>
      <c r="E167" s="47" t="s">
        <v>100</v>
      </c>
      <c r="F167" s="47" t="s">
        <v>161</v>
      </c>
      <c r="G167" s="49" t="n">
        <v>35312.82</v>
      </c>
      <c r="H167" s="50" t="n">
        <v>0.05</v>
      </c>
      <c r="I167" s="47" t="s">
        <v>162</v>
      </c>
      <c r="J167" s="48" t="n">
        <v>45708</v>
      </c>
      <c r="K167" s="51" t="str">
        <f aca="false">"Q"&amp;ROUNDUP(MONTH(B167)/3,0)</f>
        <v>Q1</v>
      </c>
      <c r="L167" s="52" t="n">
        <f aca="false">ROUND(G167*H167,2)</f>
        <v>1765.64</v>
      </c>
      <c r="M167" s="52" t="n">
        <f aca="false">IF(AND(C167="Sales",F167="Standard-rated 5%"),L167,0)</f>
        <v>1765.64</v>
      </c>
      <c r="N167" s="52" t="n">
        <f aca="false">IF(F167="Reverse charge (imported services)",L167,0)</f>
        <v>0</v>
      </c>
      <c r="O167" s="52" t="n">
        <f aca="false">IF(C167&lt;&gt;"Purchase",0,IF(OR(I167="N",F167="Blocked input (entertainment)"),0,L167))</f>
        <v>0</v>
      </c>
      <c r="P167" s="52" t="n">
        <f aca="false">IF(C167&lt;&gt;"Purchase",0,L167-O167)</f>
        <v>0</v>
      </c>
      <c r="Q167" s="53" t="n">
        <f aca="false">J167-B167</f>
        <v>5</v>
      </c>
      <c r="R167" s="51" t="str">
        <f aca="false">IF(I167="N","Invalid / missing TRN",IF(F167="Blocked input (entertainment)","Blocked input",IF(Q167&gt;30,"Late posting (&gt;30d)","")))</f>
        <v/>
      </c>
    </row>
    <row r="168" customFormat="false" ht="15" hidden="false" customHeight="false" outlineLevel="0" collapsed="false">
      <c r="A168" s="47" t="s">
        <v>422</v>
      </c>
      <c r="B168" s="48" t="n">
        <v>45703</v>
      </c>
      <c r="C168" s="47" t="s">
        <v>159</v>
      </c>
      <c r="D168" s="47" t="s">
        <v>423</v>
      </c>
      <c r="E168" s="47" t="s">
        <v>104</v>
      </c>
      <c r="F168" s="47" t="s">
        <v>161</v>
      </c>
      <c r="G168" s="49" t="n">
        <v>18789.33</v>
      </c>
      <c r="H168" s="50" t="n">
        <v>0.05</v>
      </c>
      <c r="I168" s="47" t="s">
        <v>162</v>
      </c>
      <c r="J168" s="48" t="n">
        <v>45708</v>
      </c>
      <c r="K168" s="51" t="str">
        <f aca="false">"Q"&amp;ROUNDUP(MONTH(B168)/3,0)</f>
        <v>Q1</v>
      </c>
      <c r="L168" s="52" t="n">
        <f aca="false">ROUND(G168*H168,2)</f>
        <v>939.47</v>
      </c>
      <c r="M168" s="52" t="n">
        <f aca="false">IF(AND(C168="Sales",F168="Standard-rated 5%"),L168,0)</f>
        <v>939.47</v>
      </c>
      <c r="N168" s="52" t="n">
        <f aca="false">IF(F168="Reverse charge (imported services)",L168,0)</f>
        <v>0</v>
      </c>
      <c r="O168" s="52" t="n">
        <f aca="false">IF(C168&lt;&gt;"Purchase",0,IF(OR(I168="N",F168="Blocked input (entertainment)"),0,L168))</f>
        <v>0</v>
      </c>
      <c r="P168" s="52" t="n">
        <f aca="false">IF(C168&lt;&gt;"Purchase",0,L168-O168)</f>
        <v>0</v>
      </c>
      <c r="Q168" s="53" t="n">
        <f aca="false">J168-B168</f>
        <v>5</v>
      </c>
      <c r="R168" s="51" t="str">
        <f aca="false">IF(I168="N","Invalid / missing TRN",IF(F168="Blocked input (entertainment)","Blocked input",IF(Q168&gt;30,"Late posting (&gt;30d)","")))</f>
        <v/>
      </c>
    </row>
    <row r="169" customFormat="false" ht="15" hidden="false" customHeight="false" outlineLevel="0" collapsed="false">
      <c r="A169" s="47" t="s">
        <v>424</v>
      </c>
      <c r="B169" s="48" t="n">
        <v>45704</v>
      </c>
      <c r="C169" s="47" t="s">
        <v>166</v>
      </c>
      <c r="D169" s="47" t="s">
        <v>267</v>
      </c>
      <c r="E169" s="47" t="s">
        <v>100</v>
      </c>
      <c r="F169" s="47" t="s">
        <v>161</v>
      </c>
      <c r="G169" s="49" t="n">
        <v>45726.36</v>
      </c>
      <c r="H169" s="50" t="n">
        <v>0.05</v>
      </c>
      <c r="I169" s="47" t="s">
        <v>162</v>
      </c>
      <c r="J169" s="48" t="n">
        <v>45704</v>
      </c>
      <c r="K169" s="51" t="str">
        <f aca="false">"Q"&amp;ROUNDUP(MONTH(B169)/3,0)</f>
        <v>Q1</v>
      </c>
      <c r="L169" s="52" t="n">
        <f aca="false">ROUND(G169*H169,2)</f>
        <v>2286.32</v>
      </c>
      <c r="M169" s="52" t="n">
        <f aca="false">IF(AND(C169="Sales",F169="Standard-rated 5%"),L169,0)</f>
        <v>0</v>
      </c>
      <c r="N169" s="52" t="n">
        <f aca="false">IF(F169="Reverse charge (imported services)",L169,0)</f>
        <v>0</v>
      </c>
      <c r="O169" s="52" t="n">
        <f aca="false">IF(C169&lt;&gt;"Purchase",0,IF(OR(I169="N",F169="Blocked input (entertainment)"),0,L169))</f>
        <v>2286.32</v>
      </c>
      <c r="P169" s="52" t="n">
        <f aca="false">IF(C169&lt;&gt;"Purchase",0,L169-O169)</f>
        <v>0</v>
      </c>
      <c r="Q169" s="53" t="n">
        <f aca="false">J169-B169</f>
        <v>0</v>
      </c>
      <c r="R169" s="51" t="str">
        <f aca="false">IF(I169="N","Invalid / missing TRN",IF(F169="Blocked input (entertainment)","Blocked input",IF(Q169&gt;30,"Late posting (&gt;30d)","")))</f>
        <v/>
      </c>
    </row>
    <row r="170" customFormat="false" ht="15" hidden="false" customHeight="false" outlineLevel="0" collapsed="false">
      <c r="A170" s="47" t="s">
        <v>425</v>
      </c>
      <c r="B170" s="48" t="n">
        <v>45704</v>
      </c>
      <c r="C170" s="47" t="s">
        <v>159</v>
      </c>
      <c r="D170" s="47" t="s">
        <v>245</v>
      </c>
      <c r="E170" s="47" t="s">
        <v>102</v>
      </c>
      <c r="F170" s="47" t="s">
        <v>278</v>
      </c>
      <c r="G170" s="49" t="n">
        <v>40460.45</v>
      </c>
      <c r="H170" s="50" t="n">
        <v>0</v>
      </c>
      <c r="I170" s="47" t="s">
        <v>162</v>
      </c>
      <c r="J170" s="48" t="n">
        <v>45704</v>
      </c>
      <c r="K170" s="51" t="str">
        <f aca="false">"Q"&amp;ROUNDUP(MONTH(B170)/3,0)</f>
        <v>Q1</v>
      </c>
      <c r="L170" s="52" t="n">
        <f aca="false">ROUND(G170*H170,2)</f>
        <v>0</v>
      </c>
      <c r="M170" s="52" t="n">
        <f aca="false">IF(AND(C170="Sales",F170="Standard-rated 5%"),L170,0)</f>
        <v>0</v>
      </c>
      <c r="N170" s="52" t="n">
        <f aca="false">IF(F170="Reverse charge (imported services)",L170,0)</f>
        <v>0</v>
      </c>
      <c r="O170" s="52" t="n">
        <f aca="false">IF(C170&lt;&gt;"Purchase",0,IF(OR(I170="N",F170="Blocked input (entertainment)"),0,L170))</f>
        <v>0</v>
      </c>
      <c r="P170" s="52" t="n">
        <f aca="false">IF(C170&lt;&gt;"Purchase",0,L170-O170)</f>
        <v>0</v>
      </c>
      <c r="Q170" s="53" t="n">
        <f aca="false">J170-B170</f>
        <v>0</v>
      </c>
      <c r="R170" s="51" t="str">
        <f aca="false">IF(I170="N","Invalid / missing TRN",IF(F170="Blocked input (entertainment)","Blocked input",IF(Q170&gt;30,"Late posting (&gt;30d)","")))</f>
        <v/>
      </c>
    </row>
    <row r="171" customFormat="false" ht="15" hidden="false" customHeight="false" outlineLevel="0" collapsed="false">
      <c r="A171" s="47" t="s">
        <v>426</v>
      </c>
      <c r="B171" s="48" t="n">
        <v>45705</v>
      </c>
      <c r="C171" s="47" t="s">
        <v>166</v>
      </c>
      <c r="D171" s="47" t="s">
        <v>264</v>
      </c>
      <c r="E171" s="47" t="s">
        <v>101</v>
      </c>
      <c r="F171" s="47" t="s">
        <v>161</v>
      </c>
      <c r="G171" s="49" t="n">
        <v>31498.46</v>
      </c>
      <c r="H171" s="50" t="n">
        <v>0.05</v>
      </c>
      <c r="I171" s="47" t="s">
        <v>162</v>
      </c>
      <c r="J171" s="48" t="n">
        <v>45707</v>
      </c>
      <c r="K171" s="51" t="str">
        <f aca="false">"Q"&amp;ROUNDUP(MONTH(B171)/3,0)</f>
        <v>Q1</v>
      </c>
      <c r="L171" s="52" t="n">
        <f aca="false">ROUND(G171*H171,2)</f>
        <v>1574.92</v>
      </c>
      <c r="M171" s="52" t="n">
        <f aca="false">IF(AND(C171="Sales",F171="Standard-rated 5%"),L171,0)</f>
        <v>0</v>
      </c>
      <c r="N171" s="52" t="n">
        <f aca="false">IF(F171="Reverse charge (imported services)",L171,0)</f>
        <v>0</v>
      </c>
      <c r="O171" s="52" t="n">
        <f aca="false">IF(C171&lt;&gt;"Purchase",0,IF(OR(I171="N",F171="Blocked input (entertainment)"),0,L171))</f>
        <v>1574.92</v>
      </c>
      <c r="P171" s="52" t="n">
        <f aca="false">IF(C171&lt;&gt;"Purchase",0,L171-O171)</f>
        <v>0</v>
      </c>
      <c r="Q171" s="53" t="n">
        <f aca="false">J171-B171</f>
        <v>2</v>
      </c>
      <c r="R171" s="51" t="str">
        <f aca="false">IF(I171="N","Invalid / missing TRN",IF(F171="Blocked input (entertainment)","Blocked input",IF(Q171&gt;30,"Late posting (&gt;30d)","")))</f>
        <v/>
      </c>
    </row>
    <row r="172" customFormat="false" ht="15" hidden="false" customHeight="false" outlineLevel="0" collapsed="false">
      <c r="A172" s="47" t="s">
        <v>427</v>
      </c>
      <c r="B172" s="48" t="n">
        <v>45705</v>
      </c>
      <c r="C172" s="47" t="s">
        <v>159</v>
      </c>
      <c r="D172" s="47" t="s">
        <v>428</v>
      </c>
      <c r="E172" s="47" t="s">
        <v>100</v>
      </c>
      <c r="F172" s="47" t="s">
        <v>161</v>
      </c>
      <c r="G172" s="49" t="n">
        <v>50182.07</v>
      </c>
      <c r="H172" s="50" t="n">
        <v>0.05</v>
      </c>
      <c r="I172" s="47" t="s">
        <v>162</v>
      </c>
      <c r="J172" s="48" t="n">
        <v>45705</v>
      </c>
      <c r="K172" s="51" t="str">
        <f aca="false">"Q"&amp;ROUNDUP(MONTH(B172)/3,0)</f>
        <v>Q1</v>
      </c>
      <c r="L172" s="52" t="n">
        <f aca="false">ROUND(G172*H172,2)</f>
        <v>2509.1</v>
      </c>
      <c r="M172" s="52" t="n">
        <f aca="false">IF(AND(C172="Sales",F172="Standard-rated 5%"),L172,0)</f>
        <v>2509.1</v>
      </c>
      <c r="N172" s="52" t="n">
        <f aca="false">IF(F172="Reverse charge (imported services)",L172,0)</f>
        <v>0</v>
      </c>
      <c r="O172" s="52" t="n">
        <f aca="false">IF(C172&lt;&gt;"Purchase",0,IF(OR(I172="N",F172="Blocked input (entertainment)"),0,L172))</f>
        <v>0</v>
      </c>
      <c r="P172" s="52" t="n">
        <f aca="false">IF(C172&lt;&gt;"Purchase",0,L172-O172)</f>
        <v>0</v>
      </c>
      <c r="Q172" s="53" t="n">
        <f aca="false">J172-B172</f>
        <v>0</v>
      </c>
      <c r="R172" s="51" t="str">
        <f aca="false">IF(I172="N","Invalid / missing TRN",IF(F172="Blocked input (entertainment)","Blocked input",IF(Q172&gt;30,"Late posting (&gt;30d)","")))</f>
        <v/>
      </c>
    </row>
    <row r="173" customFormat="false" ht="15" hidden="false" customHeight="false" outlineLevel="0" collapsed="false">
      <c r="A173" s="47" t="s">
        <v>429</v>
      </c>
      <c r="B173" s="48" t="n">
        <v>45705</v>
      </c>
      <c r="C173" s="47" t="s">
        <v>159</v>
      </c>
      <c r="D173" s="47" t="s">
        <v>405</v>
      </c>
      <c r="E173" s="47" t="s">
        <v>100</v>
      </c>
      <c r="F173" s="47" t="s">
        <v>161</v>
      </c>
      <c r="G173" s="49" t="n">
        <v>103813.33</v>
      </c>
      <c r="H173" s="50" t="n">
        <v>0.05</v>
      </c>
      <c r="I173" s="47" t="s">
        <v>162</v>
      </c>
      <c r="J173" s="48" t="n">
        <v>45705</v>
      </c>
      <c r="K173" s="51" t="str">
        <f aca="false">"Q"&amp;ROUNDUP(MONTH(B173)/3,0)</f>
        <v>Q1</v>
      </c>
      <c r="L173" s="52" t="n">
        <f aca="false">ROUND(G173*H173,2)</f>
        <v>5190.67</v>
      </c>
      <c r="M173" s="52" t="n">
        <f aca="false">IF(AND(C173="Sales",F173="Standard-rated 5%"),L173,0)</f>
        <v>5190.67</v>
      </c>
      <c r="N173" s="52" t="n">
        <f aca="false">IF(F173="Reverse charge (imported services)",L173,0)</f>
        <v>0</v>
      </c>
      <c r="O173" s="52" t="n">
        <f aca="false">IF(C173&lt;&gt;"Purchase",0,IF(OR(I173="N",F173="Blocked input (entertainment)"),0,L173))</f>
        <v>0</v>
      </c>
      <c r="P173" s="52" t="n">
        <f aca="false">IF(C173&lt;&gt;"Purchase",0,L173-O173)</f>
        <v>0</v>
      </c>
      <c r="Q173" s="53" t="n">
        <f aca="false">J173-B173</f>
        <v>0</v>
      </c>
      <c r="R173" s="51" t="str">
        <f aca="false">IF(I173="N","Invalid / missing TRN",IF(F173="Blocked input (entertainment)","Blocked input",IF(Q173&gt;30,"Late posting (&gt;30d)","")))</f>
        <v/>
      </c>
    </row>
    <row r="174" customFormat="false" ht="15" hidden="false" customHeight="false" outlineLevel="0" collapsed="false">
      <c r="A174" s="47" t="s">
        <v>430</v>
      </c>
      <c r="B174" s="48" t="n">
        <v>45705</v>
      </c>
      <c r="C174" s="47" t="s">
        <v>159</v>
      </c>
      <c r="D174" s="47" t="s">
        <v>431</v>
      </c>
      <c r="E174" s="47" t="s">
        <v>101</v>
      </c>
      <c r="F174" s="47" t="s">
        <v>161</v>
      </c>
      <c r="G174" s="49" t="n">
        <v>33258.55</v>
      </c>
      <c r="H174" s="50" t="n">
        <v>0.05</v>
      </c>
      <c r="I174" s="47" t="s">
        <v>162</v>
      </c>
      <c r="J174" s="48" t="n">
        <v>45706</v>
      </c>
      <c r="K174" s="51" t="str">
        <f aca="false">"Q"&amp;ROUNDUP(MONTH(B174)/3,0)</f>
        <v>Q1</v>
      </c>
      <c r="L174" s="52" t="n">
        <f aca="false">ROUND(G174*H174,2)</f>
        <v>1662.93</v>
      </c>
      <c r="M174" s="52" t="n">
        <f aca="false">IF(AND(C174="Sales",F174="Standard-rated 5%"),L174,0)</f>
        <v>1662.93</v>
      </c>
      <c r="N174" s="52" t="n">
        <f aca="false">IF(F174="Reverse charge (imported services)",L174,0)</f>
        <v>0</v>
      </c>
      <c r="O174" s="52" t="n">
        <f aca="false">IF(C174&lt;&gt;"Purchase",0,IF(OR(I174="N",F174="Blocked input (entertainment)"),0,L174))</f>
        <v>0</v>
      </c>
      <c r="P174" s="52" t="n">
        <f aca="false">IF(C174&lt;&gt;"Purchase",0,L174-O174)</f>
        <v>0</v>
      </c>
      <c r="Q174" s="53" t="n">
        <f aca="false">J174-B174</f>
        <v>1</v>
      </c>
      <c r="R174" s="51" t="str">
        <f aca="false">IF(I174="N","Invalid / missing TRN",IF(F174="Blocked input (entertainment)","Blocked input",IF(Q174&gt;30,"Late posting (&gt;30d)","")))</f>
        <v/>
      </c>
    </row>
    <row r="175" customFormat="false" ht="15" hidden="false" customHeight="false" outlineLevel="0" collapsed="false">
      <c r="A175" s="47" t="s">
        <v>432</v>
      </c>
      <c r="B175" s="48" t="n">
        <v>45705</v>
      </c>
      <c r="C175" s="47" t="s">
        <v>159</v>
      </c>
      <c r="D175" s="47" t="s">
        <v>433</v>
      </c>
      <c r="E175" s="47" t="s">
        <v>103</v>
      </c>
      <c r="F175" s="47" t="s">
        <v>161</v>
      </c>
      <c r="G175" s="49" t="n">
        <v>27672.23</v>
      </c>
      <c r="H175" s="50" t="n">
        <v>0.05</v>
      </c>
      <c r="I175" s="47" t="s">
        <v>162</v>
      </c>
      <c r="J175" s="48" t="n">
        <v>45705</v>
      </c>
      <c r="K175" s="51" t="str">
        <f aca="false">"Q"&amp;ROUNDUP(MONTH(B175)/3,0)</f>
        <v>Q1</v>
      </c>
      <c r="L175" s="52" t="n">
        <f aca="false">ROUND(G175*H175,2)</f>
        <v>1383.61</v>
      </c>
      <c r="M175" s="52" t="n">
        <f aca="false">IF(AND(C175="Sales",F175="Standard-rated 5%"),L175,0)</f>
        <v>1383.61</v>
      </c>
      <c r="N175" s="52" t="n">
        <f aca="false">IF(F175="Reverse charge (imported services)",L175,0)</f>
        <v>0</v>
      </c>
      <c r="O175" s="52" t="n">
        <f aca="false">IF(C175&lt;&gt;"Purchase",0,IF(OR(I175="N",F175="Blocked input (entertainment)"),0,L175))</f>
        <v>0</v>
      </c>
      <c r="P175" s="52" t="n">
        <f aca="false">IF(C175&lt;&gt;"Purchase",0,L175-O175)</f>
        <v>0</v>
      </c>
      <c r="Q175" s="53" t="n">
        <f aca="false">J175-B175</f>
        <v>0</v>
      </c>
      <c r="R175" s="51" t="str">
        <f aca="false">IF(I175="N","Invalid / missing TRN",IF(F175="Blocked input (entertainment)","Blocked input",IF(Q175&gt;30,"Late posting (&gt;30d)","")))</f>
        <v/>
      </c>
    </row>
    <row r="176" customFormat="false" ht="15" hidden="false" customHeight="false" outlineLevel="0" collapsed="false">
      <c r="A176" s="47" t="s">
        <v>434</v>
      </c>
      <c r="B176" s="48" t="n">
        <v>45706</v>
      </c>
      <c r="C176" s="47" t="s">
        <v>166</v>
      </c>
      <c r="D176" s="47" t="s">
        <v>435</v>
      </c>
      <c r="E176" s="47" t="s">
        <v>101</v>
      </c>
      <c r="F176" s="47" t="s">
        <v>161</v>
      </c>
      <c r="G176" s="49" t="n">
        <v>107421.89</v>
      </c>
      <c r="H176" s="50" t="n">
        <v>0.05</v>
      </c>
      <c r="I176" s="47" t="s">
        <v>162</v>
      </c>
      <c r="J176" s="48" t="n">
        <v>45706</v>
      </c>
      <c r="K176" s="51" t="str">
        <f aca="false">"Q"&amp;ROUNDUP(MONTH(B176)/3,0)</f>
        <v>Q1</v>
      </c>
      <c r="L176" s="52" t="n">
        <f aca="false">ROUND(G176*H176,2)</f>
        <v>5371.09</v>
      </c>
      <c r="M176" s="52" t="n">
        <f aca="false">IF(AND(C176="Sales",F176="Standard-rated 5%"),L176,0)</f>
        <v>0</v>
      </c>
      <c r="N176" s="52" t="n">
        <f aca="false">IF(F176="Reverse charge (imported services)",L176,0)</f>
        <v>0</v>
      </c>
      <c r="O176" s="52" t="n">
        <f aca="false">IF(C176&lt;&gt;"Purchase",0,IF(OR(I176="N",F176="Blocked input (entertainment)"),0,L176))</f>
        <v>5371.09</v>
      </c>
      <c r="P176" s="52" t="n">
        <f aca="false">IF(C176&lt;&gt;"Purchase",0,L176-O176)</f>
        <v>0</v>
      </c>
      <c r="Q176" s="53" t="n">
        <f aca="false">J176-B176</f>
        <v>0</v>
      </c>
      <c r="R176" s="51" t="str">
        <f aca="false">IF(I176="N","Invalid / missing TRN",IF(F176="Blocked input (entertainment)","Blocked input",IF(Q176&gt;30,"Late posting (&gt;30d)","")))</f>
        <v/>
      </c>
    </row>
    <row r="177" customFormat="false" ht="15" hidden="false" customHeight="false" outlineLevel="0" collapsed="false">
      <c r="A177" s="47" t="s">
        <v>436</v>
      </c>
      <c r="B177" s="48" t="n">
        <v>45706</v>
      </c>
      <c r="C177" s="47" t="s">
        <v>159</v>
      </c>
      <c r="D177" s="47" t="s">
        <v>204</v>
      </c>
      <c r="E177" s="47" t="s">
        <v>100</v>
      </c>
      <c r="F177" s="47" t="s">
        <v>161</v>
      </c>
      <c r="G177" s="49" t="n">
        <v>30448.08</v>
      </c>
      <c r="H177" s="50" t="n">
        <v>0.05</v>
      </c>
      <c r="I177" s="47" t="s">
        <v>162</v>
      </c>
      <c r="J177" s="48" t="n">
        <v>45706</v>
      </c>
      <c r="K177" s="51" t="str">
        <f aca="false">"Q"&amp;ROUNDUP(MONTH(B177)/3,0)</f>
        <v>Q1</v>
      </c>
      <c r="L177" s="52" t="n">
        <f aca="false">ROUND(G177*H177,2)</f>
        <v>1522.4</v>
      </c>
      <c r="M177" s="52" t="n">
        <f aca="false">IF(AND(C177="Sales",F177="Standard-rated 5%"),L177,0)</f>
        <v>1522.4</v>
      </c>
      <c r="N177" s="52" t="n">
        <f aca="false">IF(F177="Reverse charge (imported services)",L177,0)</f>
        <v>0</v>
      </c>
      <c r="O177" s="52" t="n">
        <f aca="false">IF(C177&lt;&gt;"Purchase",0,IF(OR(I177="N",F177="Blocked input (entertainment)"),0,L177))</f>
        <v>0</v>
      </c>
      <c r="P177" s="52" t="n">
        <f aca="false">IF(C177&lt;&gt;"Purchase",0,L177-O177)</f>
        <v>0</v>
      </c>
      <c r="Q177" s="53" t="n">
        <f aca="false">J177-B177</f>
        <v>0</v>
      </c>
      <c r="R177" s="51" t="str">
        <f aca="false">IF(I177="N","Invalid / missing TRN",IF(F177="Blocked input (entertainment)","Blocked input",IF(Q177&gt;30,"Late posting (&gt;30d)","")))</f>
        <v/>
      </c>
    </row>
    <row r="178" customFormat="false" ht="15" hidden="false" customHeight="false" outlineLevel="0" collapsed="false">
      <c r="A178" s="47" t="s">
        <v>437</v>
      </c>
      <c r="B178" s="48" t="n">
        <v>45706</v>
      </c>
      <c r="C178" s="47" t="s">
        <v>159</v>
      </c>
      <c r="D178" s="47" t="s">
        <v>186</v>
      </c>
      <c r="E178" s="47" t="s">
        <v>101</v>
      </c>
      <c r="F178" s="47" t="s">
        <v>214</v>
      </c>
      <c r="G178" s="49" t="n">
        <v>9225.8</v>
      </c>
      <c r="H178" s="50" t="n">
        <v>0</v>
      </c>
      <c r="I178" s="47" t="s">
        <v>162</v>
      </c>
      <c r="J178" s="48" t="n">
        <v>45706</v>
      </c>
      <c r="K178" s="51" t="str">
        <f aca="false">"Q"&amp;ROUNDUP(MONTH(B178)/3,0)</f>
        <v>Q1</v>
      </c>
      <c r="L178" s="52" t="n">
        <f aca="false">ROUND(G178*H178,2)</f>
        <v>0</v>
      </c>
      <c r="M178" s="52" t="n">
        <f aca="false">IF(AND(C178="Sales",F178="Standard-rated 5%"),L178,0)</f>
        <v>0</v>
      </c>
      <c r="N178" s="52" t="n">
        <f aca="false">IF(F178="Reverse charge (imported services)",L178,0)</f>
        <v>0</v>
      </c>
      <c r="O178" s="52" t="n">
        <f aca="false">IF(C178&lt;&gt;"Purchase",0,IF(OR(I178="N",F178="Blocked input (entertainment)"),0,L178))</f>
        <v>0</v>
      </c>
      <c r="P178" s="52" t="n">
        <f aca="false">IF(C178&lt;&gt;"Purchase",0,L178-O178)</f>
        <v>0</v>
      </c>
      <c r="Q178" s="53" t="n">
        <f aca="false">J178-B178</f>
        <v>0</v>
      </c>
      <c r="R178" s="51" t="str">
        <f aca="false">IF(I178="N","Invalid / missing TRN",IF(F178="Blocked input (entertainment)","Blocked input",IF(Q178&gt;30,"Late posting (&gt;30d)","")))</f>
        <v/>
      </c>
    </row>
    <row r="179" customFormat="false" ht="15" hidden="false" customHeight="false" outlineLevel="0" collapsed="false">
      <c r="A179" s="47" t="s">
        <v>438</v>
      </c>
      <c r="B179" s="48" t="n">
        <v>45706</v>
      </c>
      <c r="C179" s="47" t="s">
        <v>159</v>
      </c>
      <c r="D179" s="47" t="s">
        <v>439</v>
      </c>
      <c r="E179" s="47" t="s">
        <v>104</v>
      </c>
      <c r="F179" s="47" t="s">
        <v>161</v>
      </c>
      <c r="G179" s="49" t="n">
        <v>29027.8</v>
      </c>
      <c r="H179" s="50" t="n">
        <v>0.05</v>
      </c>
      <c r="I179" s="47" t="s">
        <v>162</v>
      </c>
      <c r="J179" s="48" t="n">
        <v>45706</v>
      </c>
      <c r="K179" s="51" t="str">
        <f aca="false">"Q"&amp;ROUNDUP(MONTH(B179)/3,0)</f>
        <v>Q1</v>
      </c>
      <c r="L179" s="52" t="n">
        <f aca="false">ROUND(G179*H179,2)</f>
        <v>1451.39</v>
      </c>
      <c r="M179" s="52" t="n">
        <f aca="false">IF(AND(C179="Sales",F179="Standard-rated 5%"),L179,0)</f>
        <v>1451.39</v>
      </c>
      <c r="N179" s="52" t="n">
        <f aca="false">IF(F179="Reverse charge (imported services)",L179,0)</f>
        <v>0</v>
      </c>
      <c r="O179" s="52" t="n">
        <f aca="false">IF(C179&lt;&gt;"Purchase",0,IF(OR(I179="N",F179="Blocked input (entertainment)"),0,L179))</f>
        <v>0</v>
      </c>
      <c r="P179" s="52" t="n">
        <f aca="false">IF(C179&lt;&gt;"Purchase",0,L179-O179)</f>
        <v>0</v>
      </c>
      <c r="Q179" s="53" t="n">
        <f aca="false">J179-B179</f>
        <v>0</v>
      </c>
      <c r="R179" s="51" t="str">
        <f aca="false">IF(I179="N","Invalid / missing TRN",IF(F179="Blocked input (entertainment)","Blocked input",IF(Q179&gt;30,"Late posting (&gt;30d)","")))</f>
        <v/>
      </c>
    </row>
    <row r="180" customFormat="false" ht="15" hidden="false" customHeight="false" outlineLevel="0" collapsed="false">
      <c r="A180" s="47" t="s">
        <v>440</v>
      </c>
      <c r="B180" s="48" t="n">
        <v>45706</v>
      </c>
      <c r="C180" s="47" t="s">
        <v>159</v>
      </c>
      <c r="D180" s="47" t="s">
        <v>300</v>
      </c>
      <c r="E180" s="47" t="s">
        <v>100</v>
      </c>
      <c r="F180" s="47" t="s">
        <v>278</v>
      </c>
      <c r="G180" s="49" t="n">
        <v>195665.02</v>
      </c>
      <c r="H180" s="50" t="n">
        <v>0</v>
      </c>
      <c r="I180" s="47" t="s">
        <v>162</v>
      </c>
      <c r="J180" s="48" t="n">
        <v>45706</v>
      </c>
      <c r="K180" s="51" t="str">
        <f aca="false">"Q"&amp;ROUNDUP(MONTH(B180)/3,0)</f>
        <v>Q1</v>
      </c>
      <c r="L180" s="52" t="n">
        <f aca="false">ROUND(G180*H180,2)</f>
        <v>0</v>
      </c>
      <c r="M180" s="52" t="n">
        <f aca="false">IF(AND(C180="Sales",F180="Standard-rated 5%"),L180,0)</f>
        <v>0</v>
      </c>
      <c r="N180" s="52" t="n">
        <f aca="false">IF(F180="Reverse charge (imported services)",L180,0)</f>
        <v>0</v>
      </c>
      <c r="O180" s="52" t="n">
        <f aca="false">IF(C180&lt;&gt;"Purchase",0,IF(OR(I180="N",F180="Blocked input (entertainment)"),0,L180))</f>
        <v>0</v>
      </c>
      <c r="P180" s="52" t="n">
        <f aca="false">IF(C180&lt;&gt;"Purchase",0,L180-O180)</f>
        <v>0</v>
      </c>
      <c r="Q180" s="53" t="n">
        <f aca="false">J180-B180</f>
        <v>0</v>
      </c>
      <c r="R180" s="51" t="str">
        <f aca="false">IF(I180="N","Invalid / missing TRN",IF(F180="Blocked input (entertainment)","Blocked input",IF(Q180&gt;30,"Late posting (&gt;30d)","")))</f>
        <v/>
      </c>
    </row>
    <row r="181" customFormat="false" ht="15" hidden="false" customHeight="false" outlineLevel="0" collapsed="false">
      <c r="A181" s="47" t="s">
        <v>441</v>
      </c>
      <c r="B181" s="48" t="n">
        <v>45707</v>
      </c>
      <c r="C181" s="47" t="s">
        <v>159</v>
      </c>
      <c r="D181" s="47" t="s">
        <v>213</v>
      </c>
      <c r="E181" s="47" t="s">
        <v>100</v>
      </c>
      <c r="F181" s="47" t="s">
        <v>161</v>
      </c>
      <c r="G181" s="49" t="n">
        <v>40474.45</v>
      </c>
      <c r="H181" s="50" t="n">
        <v>0.05</v>
      </c>
      <c r="I181" s="47" t="s">
        <v>162</v>
      </c>
      <c r="J181" s="48" t="n">
        <v>45707</v>
      </c>
      <c r="K181" s="51" t="str">
        <f aca="false">"Q"&amp;ROUNDUP(MONTH(B181)/3,0)</f>
        <v>Q1</v>
      </c>
      <c r="L181" s="52" t="n">
        <f aca="false">ROUND(G181*H181,2)</f>
        <v>2023.72</v>
      </c>
      <c r="M181" s="52" t="n">
        <f aca="false">IF(AND(C181="Sales",F181="Standard-rated 5%"),L181,0)</f>
        <v>2023.72</v>
      </c>
      <c r="N181" s="52" t="n">
        <f aca="false">IF(F181="Reverse charge (imported services)",L181,0)</f>
        <v>0</v>
      </c>
      <c r="O181" s="52" t="n">
        <f aca="false">IF(C181&lt;&gt;"Purchase",0,IF(OR(I181="N",F181="Blocked input (entertainment)"),0,L181))</f>
        <v>0</v>
      </c>
      <c r="P181" s="52" t="n">
        <f aca="false">IF(C181&lt;&gt;"Purchase",0,L181-O181)</f>
        <v>0</v>
      </c>
      <c r="Q181" s="53" t="n">
        <f aca="false">J181-B181</f>
        <v>0</v>
      </c>
      <c r="R181" s="51" t="str">
        <f aca="false">IF(I181="N","Invalid / missing TRN",IF(F181="Blocked input (entertainment)","Blocked input",IF(Q181&gt;30,"Late posting (&gt;30d)","")))</f>
        <v/>
      </c>
    </row>
    <row r="182" customFormat="false" ht="15" hidden="false" customHeight="false" outlineLevel="0" collapsed="false">
      <c r="A182" s="47" t="s">
        <v>442</v>
      </c>
      <c r="B182" s="48" t="n">
        <v>45708</v>
      </c>
      <c r="C182" s="47" t="s">
        <v>166</v>
      </c>
      <c r="D182" s="47" t="s">
        <v>192</v>
      </c>
      <c r="E182" s="47" t="s">
        <v>100</v>
      </c>
      <c r="F182" s="47" t="s">
        <v>161</v>
      </c>
      <c r="G182" s="49" t="n">
        <v>31590.85</v>
      </c>
      <c r="H182" s="50" t="n">
        <v>0.05</v>
      </c>
      <c r="I182" s="47" t="s">
        <v>162</v>
      </c>
      <c r="J182" s="48" t="n">
        <v>45708</v>
      </c>
      <c r="K182" s="51" t="str">
        <f aca="false">"Q"&amp;ROUNDUP(MONTH(B182)/3,0)</f>
        <v>Q1</v>
      </c>
      <c r="L182" s="52" t="n">
        <f aca="false">ROUND(G182*H182,2)</f>
        <v>1579.54</v>
      </c>
      <c r="M182" s="52" t="n">
        <f aca="false">IF(AND(C182="Sales",F182="Standard-rated 5%"),L182,0)</f>
        <v>0</v>
      </c>
      <c r="N182" s="52" t="n">
        <f aca="false">IF(F182="Reverse charge (imported services)",L182,0)</f>
        <v>0</v>
      </c>
      <c r="O182" s="52" t="n">
        <f aca="false">IF(C182&lt;&gt;"Purchase",0,IF(OR(I182="N",F182="Blocked input (entertainment)"),0,L182))</f>
        <v>1579.54</v>
      </c>
      <c r="P182" s="52" t="n">
        <f aca="false">IF(C182&lt;&gt;"Purchase",0,L182-O182)</f>
        <v>0</v>
      </c>
      <c r="Q182" s="53" t="n">
        <f aca="false">J182-B182</f>
        <v>0</v>
      </c>
      <c r="R182" s="51" t="str">
        <f aca="false">IF(I182="N","Invalid / missing TRN",IF(F182="Blocked input (entertainment)","Blocked input",IF(Q182&gt;30,"Late posting (&gt;30d)","")))</f>
        <v/>
      </c>
    </row>
    <row r="183" customFormat="false" ht="15" hidden="false" customHeight="false" outlineLevel="0" collapsed="false">
      <c r="A183" s="47" t="s">
        <v>443</v>
      </c>
      <c r="B183" s="48" t="n">
        <v>45708</v>
      </c>
      <c r="C183" s="47" t="s">
        <v>166</v>
      </c>
      <c r="D183" s="47" t="s">
        <v>274</v>
      </c>
      <c r="E183" s="47" t="s">
        <v>100</v>
      </c>
      <c r="F183" s="47" t="s">
        <v>161</v>
      </c>
      <c r="G183" s="49" t="n">
        <v>49987.1</v>
      </c>
      <c r="H183" s="50" t="n">
        <v>0.05</v>
      </c>
      <c r="I183" s="47" t="s">
        <v>162</v>
      </c>
      <c r="J183" s="48" t="n">
        <v>45708</v>
      </c>
      <c r="K183" s="51" t="str">
        <f aca="false">"Q"&amp;ROUNDUP(MONTH(B183)/3,0)</f>
        <v>Q1</v>
      </c>
      <c r="L183" s="52" t="n">
        <f aca="false">ROUND(G183*H183,2)</f>
        <v>2499.36</v>
      </c>
      <c r="M183" s="52" t="n">
        <f aca="false">IF(AND(C183="Sales",F183="Standard-rated 5%"),L183,0)</f>
        <v>0</v>
      </c>
      <c r="N183" s="52" t="n">
        <f aca="false">IF(F183="Reverse charge (imported services)",L183,0)</f>
        <v>0</v>
      </c>
      <c r="O183" s="52" t="n">
        <f aca="false">IF(C183&lt;&gt;"Purchase",0,IF(OR(I183="N",F183="Blocked input (entertainment)"),0,L183))</f>
        <v>2499.36</v>
      </c>
      <c r="P183" s="52" t="n">
        <f aca="false">IF(C183&lt;&gt;"Purchase",0,L183-O183)</f>
        <v>0</v>
      </c>
      <c r="Q183" s="53" t="n">
        <f aca="false">J183-B183</f>
        <v>0</v>
      </c>
      <c r="R183" s="51" t="str">
        <f aca="false">IF(I183="N","Invalid / missing TRN",IF(F183="Blocked input (entertainment)","Blocked input",IF(Q183&gt;30,"Late posting (&gt;30d)","")))</f>
        <v/>
      </c>
    </row>
    <row r="184" customFormat="false" ht="15" hidden="false" customHeight="false" outlineLevel="0" collapsed="false">
      <c r="A184" s="47" t="s">
        <v>444</v>
      </c>
      <c r="B184" s="48" t="n">
        <v>45708</v>
      </c>
      <c r="C184" s="47" t="s">
        <v>159</v>
      </c>
      <c r="D184" s="47" t="s">
        <v>260</v>
      </c>
      <c r="E184" s="47" t="s">
        <v>101</v>
      </c>
      <c r="F184" s="47" t="s">
        <v>161</v>
      </c>
      <c r="G184" s="49" t="n">
        <v>28195.64</v>
      </c>
      <c r="H184" s="50" t="n">
        <v>0.05</v>
      </c>
      <c r="I184" s="47" t="s">
        <v>162</v>
      </c>
      <c r="J184" s="48" t="n">
        <v>45708</v>
      </c>
      <c r="K184" s="51" t="str">
        <f aca="false">"Q"&amp;ROUNDUP(MONTH(B184)/3,0)</f>
        <v>Q1</v>
      </c>
      <c r="L184" s="52" t="n">
        <f aca="false">ROUND(G184*H184,2)</f>
        <v>1409.78</v>
      </c>
      <c r="M184" s="52" t="n">
        <f aca="false">IF(AND(C184="Sales",F184="Standard-rated 5%"),L184,0)</f>
        <v>1409.78</v>
      </c>
      <c r="N184" s="52" t="n">
        <f aca="false">IF(F184="Reverse charge (imported services)",L184,0)</f>
        <v>0</v>
      </c>
      <c r="O184" s="52" t="n">
        <f aca="false">IF(C184&lt;&gt;"Purchase",0,IF(OR(I184="N",F184="Blocked input (entertainment)"),0,L184))</f>
        <v>0</v>
      </c>
      <c r="P184" s="52" t="n">
        <f aca="false">IF(C184&lt;&gt;"Purchase",0,L184-O184)</f>
        <v>0</v>
      </c>
      <c r="Q184" s="53" t="n">
        <f aca="false">J184-B184</f>
        <v>0</v>
      </c>
      <c r="R184" s="51" t="str">
        <f aca="false">IF(I184="N","Invalid / missing TRN",IF(F184="Blocked input (entertainment)","Blocked input",IF(Q184&gt;30,"Late posting (&gt;30d)","")))</f>
        <v/>
      </c>
    </row>
    <row r="185" customFormat="false" ht="15" hidden="false" customHeight="false" outlineLevel="0" collapsed="false">
      <c r="A185" s="47" t="s">
        <v>445</v>
      </c>
      <c r="B185" s="48" t="n">
        <v>45709</v>
      </c>
      <c r="C185" s="47" t="s">
        <v>159</v>
      </c>
      <c r="D185" s="47" t="s">
        <v>290</v>
      </c>
      <c r="E185" s="47" t="s">
        <v>104</v>
      </c>
      <c r="F185" s="47" t="s">
        <v>161</v>
      </c>
      <c r="G185" s="49" t="n">
        <v>259671.29</v>
      </c>
      <c r="H185" s="50" t="n">
        <v>0.05</v>
      </c>
      <c r="I185" s="47" t="s">
        <v>162</v>
      </c>
      <c r="J185" s="48" t="n">
        <v>45710</v>
      </c>
      <c r="K185" s="51" t="str">
        <f aca="false">"Q"&amp;ROUNDUP(MONTH(B185)/3,0)</f>
        <v>Q1</v>
      </c>
      <c r="L185" s="52" t="n">
        <f aca="false">ROUND(G185*H185,2)</f>
        <v>12983.56</v>
      </c>
      <c r="M185" s="52" t="n">
        <f aca="false">IF(AND(C185="Sales",F185="Standard-rated 5%"),L185,0)</f>
        <v>12983.56</v>
      </c>
      <c r="N185" s="52" t="n">
        <f aca="false">IF(F185="Reverse charge (imported services)",L185,0)</f>
        <v>0</v>
      </c>
      <c r="O185" s="52" t="n">
        <f aca="false">IF(C185&lt;&gt;"Purchase",0,IF(OR(I185="N",F185="Blocked input (entertainment)"),0,L185))</f>
        <v>0</v>
      </c>
      <c r="P185" s="52" t="n">
        <f aca="false">IF(C185&lt;&gt;"Purchase",0,L185-O185)</f>
        <v>0</v>
      </c>
      <c r="Q185" s="53" t="n">
        <f aca="false">J185-B185</f>
        <v>1</v>
      </c>
      <c r="R185" s="51" t="str">
        <f aca="false">IF(I185="N","Invalid / missing TRN",IF(F185="Blocked input (entertainment)","Blocked input",IF(Q185&gt;30,"Late posting (&gt;30d)","")))</f>
        <v/>
      </c>
    </row>
    <row r="186" customFormat="false" ht="15" hidden="false" customHeight="false" outlineLevel="0" collapsed="false">
      <c r="A186" s="47" t="s">
        <v>446</v>
      </c>
      <c r="B186" s="48" t="n">
        <v>45710</v>
      </c>
      <c r="C186" s="47" t="s">
        <v>166</v>
      </c>
      <c r="D186" s="47" t="s">
        <v>447</v>
      </c>
      <c r="E186" s="47" t="s">
        <v>100</v>
      </c>
      <c r="F186" s="47" t="s">
        <v>170</v>
      </c>
      <c r="G186" s="49" t="n">
        <v>50529.1</v>
      </c>
      <c r="H186" s="50" t="n">
        <v>0.05</v>
      </c>
      <c r="I186" s="47" t="s">
        <v>162</v>
      </c>
      <c r="J186" s="48" t="n">
        <v>45710</v>
      </c>
      <c r="K186" s="51" t="str">
        <f aca="false">"Q"&amp;ROUNDUP(MONTH(B186)/3,0)</f>
        <v>Q1</v>
      </c>
      <c r="L186" s="52" t="n">
        <f aca="false">ROUND(G186*H186,2)</f>
        <v>2526.46</v>
      </c>
      <c r="M186" s="52" t="n">
        <f aca="false">IF(AND(C186="Sales",F186="Standard-rated 5%"),L186,0)</f>
        <v>0</v>
      </c>
      <c r="N186" s="52" t="n">
        <f aca="false">IF(F186="Reverse charge (imported services)",L186,0)</f>
        <v>0</v>
      </c>
      <c r="O186" s="52" t="n">
        <f aca="false">IF(C186&lt;&gt;"Purchase",0,IF(OR(I186="N",F186="Blocked input (entertainment)"),0,L186))</f>
        <v>0</v>
      </c>
      <c r="P186" s="52" t="n">
        <f aca="false">IF(C186&lt;&gt;"Purchase",0,L186-O186)</f>
        <v>2526.46</v>
      </c>
      <c r="Q186" s="53" t="n">
        <f aca="false">J186-B186</f>
        <v>0</v>
      </c>
      <c r="R186" s="51" t="str">
        <f aca="false">IF(I186="N","Invalid / missing TRN",IF(F186="Blocked input (entertainment)","Blocked input",IF(Q186&gt;30,"Late posting (&gt;30d)","")))</f>
        <v>Blocked input</v>
      </c>
    </row>
    <row r="187" customFormat="false" ht="15" hidden="false" customHeight="false" outlineLevel="0" collapsed="false">
      <c r="A187" s="47" t="s">
        <v>448</v>
      </c>
      <c r="B187" s="48" t="n">
        <v>45710</v>
      </c>
      <c r="C187" s="47" t="s">
        <v>166</v>
      </c>
      <c r="D187" s="47" t="s">
        <v>352</v>
      </c>
      <c r="E187" s="47" t="s">
        <v>101</v>
      </c>
      <c r="F187" s="47" t="s">
        <v>161</v>
      </c>
      <c r="G187" s="49" t="n">
        <v>3617.81</v>
      </c>
      <c r="H187" s="50" t="n">
        <v>0.05</v>
      </c>
      <c r="I187" s="47" t="s">
        <v>162</v>
      </c>
      <c r="J187" s="48" t="n">
        <v>45710</v>
      </c>
      <c r="K187" s="51" t="str">
        <f aca="false">"Q"&amp;ROUNDUP(MONTH(B187)/3,0)</f>
        <v>Q1</v>
      </c>
      <c r="L187" s="52" t="n">
        <f aca="false">ROUND(G187*H187,2)</f>
        <v>180.89</v>
      </c>
      <c r="M187" s="52" t="n">
        <f aca="false">IF(AND(C187="Sales",F187="Standard-rated 5%"),L187,0)</f>
        <v>0</v>
      </c>
      <c r="N187" s="52" t="n">
        <f aca="false">IF(F187="Reverse charge (imported services)",L187,0)</f>
        <v>0</v>
      </c>
      <c r="O187" s="52" t="n">
        <f aca="false">IF(C187&lt;&gt;"Purchase",0,IF(OR(I187="N",F187="Blocked input (entertainment)"),0,L187))</f>
        <v>180.89</v>
      </c>
      <c r="P187" s="52" t="n">
        <f aca="false">IF(C187&lt;&gt;"Purchase",0,L187-O187)</f>
        <v>0</v>
      </c>
      <c r="Q187" s="53" t="n">
        <f aca="false">J187-B187</f>
        <v>0</v>
      </c>
      <c r="R187" s="51" t="str">
        <f aca="false">IF(I187="N","Invalid / missing TRN",IF(F187="Blocked input (entertainment)","Blocked input",IF(Q187&gt;30,"Late posting (&gt;30d)","")))</f>
        <v/>
      </c>
    </row>
    <row r="188" customFormat="false" ht="15" hidden="false" customHeight="false" outlineLevel="0" collapsed="false">
      <c r="A188" s="47" t="s">
        <v>449</v>
      </c>
      <c r="B188" s="48" t="n">
        <v>45710</v>
      </c>
      <c r="C188" s="47" t="s">
        <v>159</v>
      </c>
      <c r="D188" s="47" t="s">
        <v>376</v>
      </c>
      <c r="E188" s="47" t="s">
        <v>103</v>
      </c>
      <c r="F188" s="47" t="s">
        <v>278</v>
      </c>
      <c r="G188" s="49" t="n">
        <v>77651.57</v>
      </c>
      <c r="H188" s="50" t="n">
        <v>0</v>
      </c>
      <c r="I188" s="47" t="s">
        <v>162</v>
      </c>
      <c r="J188" s="48" t="n">
        <v>45710</v>
      </c>
      <c r="K188" s="51" t="str">
        <f aca="false">"Q"&amp;ROUNDUP(MONTH(B188)/3,0)</f>
        <v>Q1</v>
      </c>
      <c r="L188" s="52" t="n">
        <f aca="false">ROUND(G188*H188,2)</f>
        <v>0</v>
      </c>
      <c r="M188" s="52" t="n">
        <f aca="false">IF(AND(C188="Sales",F188="Standard-rated 5%"),L188,0)</f>
        <v>0</v>
      </c>
      <c r="N188" s="52" t="n">
        <f aca="false">IF(F188="Reverse charge (imported services)",L188,0)</f>
        <v>0</v>
      </c>
      <c r="O188" s="52" t="n">
        <f aca="false">IF(C188&lt;&gt;"Purchase",0,IF(OR(I188="N",F188="Blocked input (entertainment)"),0,L188))</f>
        <v>0</v>
      </c>
      <c r="P188" s="52" t="n">
        <f aca="false">IF(C188&lt;&gt;"Purchase",0,L188-O188)</f>
        <v>0</v>
      </c>
      <c r="Q188" s="53" t="n">
        <f aca="false">J188-B188</f>
        <v>0</v>
      </c>
      <c r="R188" s="51" t="str">
        <f aca="false">IF(I188="N","Invalid / missing TRN",IF(F188="Blocked input (entertainment)","Blocked input",IF(Q188&gt;30,"Late posting (&gt;30d)","")))</f>
        <v/>
      </c>
    </row>
    <row r="189" customFormat="false" ht="15" hidden="false" customHeight="false" outlineLevel="0" collapsed="false">
      <c r="A189" s="47" t="s">
        <v>450</v>
      </c>
      <c r="B189" s="48" t="n">
        <v>45711</v>
      </c>
      <c r="C189" s="47" t="s">
        <v>166</v>
      </c>
      <c r="D189" s="47" t="s">
        <v>315</v>
      </c>
      <c r="E189" s="47" t="s">
        <v>102</v>
      </c>
      <c r="F189" s="47" t="s">
        <v>161</v>
      </c>
      <c r="G189" s="49" t="n">
        <v>24344.41</v>
      </c>
      <c r="H189" s="50" t="n">
        <v>0.05</v>
      </c>
      <c r="I189" s="47" t="s">
        <v>162</v>
      </c>
      <c r="J189" s="48" t="n">
        <v>45711</v>
      </c>
      <c r="K189" s="51" t="str">
        <f aca="false">"Q"&amp;ROUNDUP(MONTH(B189)/3,0)</f>
        <v>Q1</v>
      </c>
      <c r="L189" s="52" t="n">
        <f aca="false">ROUND(G189*H189,2)</f>
        <v>1217.22</v>
      </c>
      <c r="M189" s="52" t="n">
        <f aca="false">IF(AND(C189="Sales",F189="Standard-rated 5%"),L189,0)</f>
        <v>0</v>
      </c>
      <c r="N189" s="52" t="n">
        <f aca="false">IF(F189="Reverse charge (imported services)",L189,0)</f>
        <v>0</v>
      </c>
      <c r="O189" s="52" t="n">
        <f aca="false">IF(C189&lt;&gt;"Purchase",0,IF(OR(I189="N",F189="Blocked input (entertainment)"),0,L189))</f>
        <v>1217.22</v>
      </c>
      <c r="P189" s="52" t="n">
        <f aca="false">IF(C189&lt;&gt;"Purchase",0,L189-O189)</f>
        <v>0</v>
      </c>
      <c r="Q189" s="53" t="n">
        <f aca="false">J189-B189</f>
        <v>0</v>
      </c>
      <c r="R189" s="51" t="str">
        <f aca="false">IF(I189="N","Invalid / missing TRN",IF(F189="Blocked input (entertainment)","Blocked input",IF(Q189&gt;30,"Late posting (&gt;30d)","")))</f>
        <v/>
      </c>
    </row>
    <row r="190" customFormat="false" ht="15" hidden="false" customHeight="false" outlineLevel="0" collapsed="false">
      <c r="A190" s="47" t="s">
        <v>451</v>
      </c>
      <c r="B190" s="48" t="n">
        <v>45711</v>
      </c>
      <c r="C190" s="47" t="s">
        <v>166</v>
      </c>
      <c r="D190" s="47" t="s">
        <v>452</v>
      </c>
      <c r="E190" s="47" t="s">
        <v>100</v>
      </c>
      <c r="F190" s="47" t="s">
        <v>173</v>
      </c>
      <c r="G190" s="49" t="n">
        <v>39655.86</v>
      </c>
      <c r="H190" s="50" t="n">
        <v>0.05</v>
      </c>
      <c r="I190" s="47" t="s">
        <v>162</v>
      </c>
      <c r="J190" s="48" t="n">
        <v>45711</v>
      </c>
      <c r="K190" s="51" t="str">
        <f aca="false">"Q"&amp;ROUNDUP(MONTH(B190)/3,0)</f>
        <v>Q1</v>
      </c>
      <c r="L190" s="52" t="n">
        <f aca="false">ROUND(G190*H190,2)</f>
        <v>1982.79</v>
      </c>
      <c r="M190" s="52" t="n">
        <f aca="false">IF(AND(C190="Sales",F190="Standard-rated 5%"),L190,0)</f>
        <v>0</v>
      </c>
      <c r="N190" s="52" t="n">
        <f aca="false">IF(F190="Reverse charge (imported services)",L190,0)</f>
        <v>1982.79</v>
      </c>
      <c r="O190" s="52" t="n">
        <f aca="false">IF(C190&lt;&gt;"Purchase",0,IF(OR(I190="N",F190="Blocked input (entertainment)"),0,L190))</f>
        <v>1982.79</v>
      </c>
      <c r="P190" s="52" t="n">
        <f aca="false">IF(C190&lt;&gt;"Purchase",0,L190-O190)</f>
        <v>0</v>
      </c>
      <c r="Q190" s="53" t="n">
        <f aca="false">J190-B190</f>
        <v>0</v>
      </c>
      <c r="R190" s="51" t="str">
        <f aca="false">IF(I190="N","Invalid / missing TRN",IF(F190="Blocked input (entertainment)","Blocked input",IF(Q190&gt;30,"Late posting (&gt;30d)","")))</f>
        <v/>
      </c>
    </row>
    <row r="191" customFormat="false" ht="15" hidden="false" customHeight="false" outlineLevel="0" collapsed="false">
      <c r="A191" s="47" t="s">
        <v>453</v>
      </c>
      <c r="B191" s="48" t="n">
        <v>45711</v>
      </c>
      <c r="C191" s="47" t="s">
        <v>166</v>
      </c>
      <c r="D191" s="47" t="s">
        <v>167</v>
      </c>
      <c r="E191" s="47" t="s">
        <v>102</v>
      </c>
      <c r="F191" s="47" t="s">
        <v>161</v>
      </c>
      <c r="G191" s="49" t="n">
        <v>36846.69</v>
      </c>
      <c r="H191" s="50" t="n">
        <v>0.05</v>
      </c>
      <c r="I191" s="47" t="s">
        <v>162</v>
      </c>
      <c r="J191" s="48" t="n">
        <v>45711</v>
      </c>
      <c r="K191" s="51" t="str">
        <f aca="false">"Q"&amp;ROUNDUP(MONTH(B191)/3,0)</f>
        <v>Q1</v>
      </c>
      <c r="L191" s="52" t="n">
        <f aca="false">ROUND(G191*H191,2)</f>
        <v>1842.33</v>
      </c>
      <c r="M191" s="52" t="n">
        <f aca="false">IF(AND(C191="Sales",F191="Standard-rated 5%"),L191,0)</f>
        <v>0</v>
      </c>
      <c r="N191" s="52" t="n">
        <f aca="false">IF(F191="Reverse charge (imported services)",L191,0)</f>
        <v>0</v>
      </c>
      <c r="O191" s="52" t="n">
        <f aca="false">IF(C191&lt;&gt;"Purchase",0,IF(OR(I191="N",F191="Blocked input (entertainment)"),0,L191))</f>
        <v>1842.33</v>
      </c>
      <c r="P191" s="52" t="n">
        <f aca="false">IF(C191&lt;&gt;"Purchase",0,L191-O191)</f>
        <v>0</v>
      </c>
      <c r="Q191" s="53" t="n">
        <f aca="false">J191-B191</f>
        <v>0</v>
      </c>
      <c r="R191" s="51" t="str">
        <f aca="false">IF(I191="N","Invalid / missing TRN",IF(F191="Blocked input (entertainment)","Blocked input",IF(Q191&gt;30,"Late posting (&gt;30d)","")))</f>
        <v/>
      </c>
    </row>
    <row r="192" customFormat="false" ht="15" hidden="false" customHeight="false" outlineLevel="0" collapsed="false">
      <c r="A192" s="47" t="s">
        <v>454</v>
      </c>
      <c r="B192" s="48" t="n">
        <v>45711</v>
      </c>
      <c r="C192" s="47" t="s">
        <v>159</v>
      </c>
      <c r="D192" s="47" t="s">
        <v>186</v>
      </c>
      <c r="E192" s="47" t="s">
        <v>100</v>
      </c>
      <c r="F192" s="47" t="s">
        <v>161</v>
      </c>
      <c r="G192" s="49" t="n">
        <v>67599.15</v>
      </c>
      <c r="H192" s="50" t="n">
        <v>0.05</v>
      </c>
      <c r="I192" s="47" t="s">
        <v>162</v>
      </c>
      <c r="J192" s="48" t="n">
        <v>45711</v>
      </c>
      <c r="K192" s="51" t="str">
        <f aca="false">"Q"&amp;ROUNDUP(MONTH(B192)/3,0)</f>
        <v>Q1</v>
      </c>
      <c r="L192" s="52" t="n">
        <f aca="false">ROUND(G192*H192,2)</f>
        <v>3379.96</v>
      </c>
      <c r="M192" s="52" t="n">
        <f aca="false">IF(AND(C192="Sales",F192="Standard-rated 5%"),L192,0)</f>
        <v>3379.96</v>
      </c>
      <c r="N192" s="52" t="n">
        <f aca="false">IF(F192="Reverse charge (imported services)",L192,0)</f>
        <v>0</v>
      </c>
      <c r="O192" s="52" t="n">
        <f aca="false">IF(C192&lt;&gt;"Purchase",0,IF(OR(I192="N",F192="Blocked input (entertainment)"),0,L192))</f>
        <v>0</v>
      </c>
      <c r="P192" s="52" t="n">
        <f aca="false">IF(C192&lt;&gt;"Purchase",0,L192-O192)</f>
        <v>0</v>
      </c>
      <c r="Q192" s="53" t="n">
        <f aca="false">J192-B192</f>
        <v>0</v>
      </c>
      <c r="R192" s="51" t="str">
        <f aca="false">IF(I192="N","Invalid / missing TRN",IF(F192="Blocked input (entertainment)","Blocked input",IF(Q192&gt;30,"Late posting (&gt;30d)","")))</f>
        <v/>
      </c>
    </row>
    <row r="193" customFormat="false" ht="15" hidden="false" customHeight="false" outlineLevel="0" collapsed="false">
      <c r="A193" s="47" t="s">
        <v>455</v>
      </c>
      <c r="B193" s="48" t="n">
        <v>45711</v>
      </c>
      <c r="C193" s="47" t="s">
        <v>159</v>
      </c>
      <c r="D193" s="47" t="s">
        <v>216</v>
      </c>
      <c r="E193" s="47" t="s">
        <v>100</v>
      </c>
      <c r="F193" s="47" t="s">
        <v>278</v>
      </c>
      <c r="G193" s="49" t="n">
        <v>19308.86</v>
      </c>
      <c r="H193" s="50" t="n">
        <v>0</v>
      </c>
      <c r="I193" s="47" t="s">
        <v>162</v>
      </c>
      <c r="J193" s="48" t="n">
        <v>45711</v>
      </c>
      <c r="K193" s="51" t="str">
        <f aca="false">"Q"&amp;ROUNDUP(MONTH(B193)/3,0)</f>
        <v>Q1</v>
      </c>
      <c r="L193" s="52" t="n">
        <f aca="false">ROUND(G193*H193,2)</f>
        <v>0</v>
      </c>
      <c r="M193" s="52" t="n">
        <f aca="false">IF(AND(C193="Sales",F193="Standard-rated 5%"),L193,0)</f>
        <v>0</v>
      </c>
      <c r="N193" s="52" t="n">
        <f aca="false">IF(F193="Reverse charge (imported services)",L193,0)</f>
        <v>0</v>
      </c>
      <c r="O193" s="52" t="n">
        <f aca="false">IF(C193&lt;&gt;"Purchase",0,IF(OR(I193="N",F193="Blocked input (entertainment)"),0,L193))</f>
        <v>0</v>
      </c>
      <c r="P193" s="52" t="n">
        <f aca="false">IF(C193&lt;&gt;"Purchase",0,L193-O193)</f>
        <v>0</v>
      </c>
      <c r="Q193" s="53" t="n">
        <f aca="false">J193-B193</f>
        <v>0</v>
      </c>
      <c r="R193" s="51" t="str">
        <f aca="false">IF(I193="N","Invalid / missing TRN",IF(F193="Blocked input (entertainment)","Blocked input",IF(Q193&gt;30,"Late posting (&gt;30d)","")))</f>
        <v/>
      </c>
    </row>
    <row r="194" customFormat="false" ht="15" hidden="false" customHeight="false" outlineLevel="0" collapsed="false">
      <c r="A194" s="47" t="s">
        <v>456</v>
      </c>
      <c r="B194" s="48" t="n">
        <v>45712</v>
      </c>
      <c r="C194" s="47" t="s">
        <v>166</v>
      </c>
      <c r="D194" s="47" t="s">
        <v>194</v>
      </c>
      <c r="E194" s="47" t="s">
        <v>101</v>
      </c>
      <c r="F194" s="47" t="s">
        <v>161</v>
      </c>
      <c r="G194" s="49" t="n">
        <v>19639.89</v>
      </c>
      <c r="H194" s="50" t="n">
        <v>0.05</v>
      </c>
      <c r="I194" s="47" t="s">
        <v>162</v>
      </c>
      <c r="J194" s="48" t="n">
        <v>45712</v>
      </c>
      <c r="K194" s="51" t="str">
        <f aca="false">"Q"&amp;ROUNDUP(MONTH(B194)/3,0)</f>
        <v>Q1</v>
      </c>
      <c r="L194" s="52" t="n">
        <f aca="false">ROUND(G194*H194,2)</f>
        <v>981.99</v>
      </c>
      <c r="M194" s="52" t="n">
        <f aca="false">IF(AND(C194="Sales",F194="Standard-rated 5%"),L194,0)</f>
        <v>0</v>
      </c>
      <c r="N194" s="52" t="n">
        <f aca="false">IF(F194="Reverse charge (imported services)",L194,0)</f>
        <v>0</v>
      </c>
      <c r="O194" s="52" t="n">
        <f aca="false">IF(C194&lt;&gt;"Purchase",0,IF(OR(I194="N",F194="Blocked input (entertainment)"),0,L194))</f>
        <v>981.99</v>
      </c>
      <c r="P194" s="52" t="n">
        <f aca="false">IF(C194&lt;&gt;"Purchase",0,L194-O194)</f>
        <v>0</v>
      </c>
      <c r="Q194" s="53" t="n">
        <f aca="false">J194-B194</f>
        <v>0</v>
      </c>
      <c r="R194" s="51" t="str">
        <f aca="false">IF(I194="N","Invalid / missing TRN",IF(F194="Blocked input (entertainment)","Blocked input",IF(Q194&gt;30,"Late posting (&gt;30d)","")))</f>
        <v/>
      </c>
    </row>
    <row r="195" customFormat="false" ht="15" hidden="false" customHeight="false" outlineLevel="0" collapsed="false">
      <c r="A195" s="47" t="s">
        <v>457</v>
      </c>
      <c r="B195" s="48" t="n">
        <v>45712</v>
      </c>
      <c r="C195" s="47" t="s">
        <v>166</v>
      </c>
      <c r="D195" s="47" t="s">
        <v>458</v>
      </c>
      <c r="E195" s="47" t="s">
        <v>100</v>
      </c>
      <c r="F195" s="47" t="s">
        <v>161</v>
      </c>
      <c r="G195" s="49" t="n">
        <v>20176.87</v>
      </c>
      <c r="H195" s="50" t="n">
        <v>0.05</v>
      </c>
      <c r="I195" s="47" t="s">
        <v>162</v>
      </c>
      <c r="J195" s="48" t="n">
        <v>45712</v>
      </c>
      <c r="K195" s="51" t="str">
        <f aca="false">"Q"&amp;ROUNDUP(MONTH(B195)/3,0)</f>
        <v>Q1</v>
      </c>
      <c r="L195" s="52" t="n">
        <f aca="false">ROUND(G195*H195,2)</f>
        <v>1008.84</v>
      </c>
      <c r="M195" s="52" t="n">
        <f aca="false">IF(AND(C195="Sales",F195="Standard-rated 5%"),L195,0)</f>
        <v>0</v>
      </c>
      <c r="N195" s="52" t="n">
        <f aca="false">IF(F195="Reverse charge (imported services)",L195,0)</f>
        <v>0</v>
      </c>
      <c r="O195" s="52" t="n">
        <f aca="false">IF(C195&lt;&gt;"Purchase",0,IF(OR(I195="N",F195="Blocked input (entertainment)"),0,L195))</f>
        <v>1008.84</v>
      </c>
      <c r="P195" s="52" t="n">
        <f aca="false">IF(C195&lt;&gt;"Purchase",0,L195-O195)</f>
        <v>0</v>
      </c>
      <c r="Q195" s="53" t="n">
        <f aca="false">J195-B195</f>
        <v>0</v>
      </c>
      <c r="R195" s="51" t="str">
        <f aca="false">IF(I195="N","Invalid / missing TRN",IF(F195="Blocked input (entertainment)","Blocked input",IF(Q195&gt;30,"Late posting (&gt;30d)","")))</f>
        <v/>
      </c>
    </row>
    <row r="196" customFormat="false" ht="15" hidden="false" customHeight="false" outlineLevel="0" collapsed="false">
      <c r="A196" s="47" t="s">
        <v>459</v>
      </c>
      <c r="B196" s="48" t="n">
        <v>45712</v>
      </c>
      <c r="C196" s="47" t="s">
        <v>166</v>
      </c>
      <c r="D196" s="47" t="s">
        <v>460</v>
      </c>
      <c r="E196" s="47" t="s">
        <v>101</v>
      </c>
      <c r="F196" s="47" t="s">
        <v>161</v>
      </c>
      <c r="G196" s="49" t="n">
        <v>15431.66</v>
      </c>
      <c r="H196" s="50" t="n">
        <v>0.05</v>
      </c>
      <c r="I196" s="47" t="s">
        <v>162</v>
      </c>
      <c r="J196" s="48" t="n">
        <v>45712</v>
      </c>
      <c r="K196" s="51" t="str">
        <f aca="false">"Q"&amp;ROUNDUP(MONTH(B196)/3,0)</f>
        <v>Q1</v>
      </c>
      <c r="L196" s="52" t="n">
        <f aca="false">ROUND(G196*H196,2)</f>
        <v>771.58</v>
      </c>
      <c r="M196" s="52" t="n">
        <f aca="false">IF(AND(C196="Sales",F196="Standard-rated 5%"),L196,0)</f>
        <v>0</v>
      </c>
      <c r="N196" s="52" t="n">
        <f aca="false">IF(F196="Reverse charge (imported services)",L196,0)</f>
        <v>0</v>
      </c>
      <c r="O196" s="52" t="n">
        <f aca="false">IF(C196&lt;&gt;"Purchase",0,IF(OR(I196="N",F196="Blocked input (entertainment)"),0,L196))</f>
        <v>771.58</v>
      </c>
      <c r="P196" s="52" t="n">
        <f aca="false">IF(C196&lt;&gt;"Purchase",0,L196-O196)</f>
        <v>0</v>
      </c>
      <c r="Q196" s="53" t="n">
        <f aca="false">J196-B196</f>
        <v>0</v>
      </c>
      <c r="R196" s="51" t="str">
        <f aca="false">IF(I196="N","Invalid / missing TRN",IF(F196="Blocked input (entertainment)","Blocked input",IF(Q196&gt;30,"Late posting (&gt;30d)","")))</f>
        <v/>
      </c>
    </row>
    <row r="197" customFormat="false" ht="15" hidden="false" customHeight="false" outlineLevel="0" collapsed="false">
      <c r="A197" s="47" t="s">
        <v>461</v>
      </c>
      <c r="B197" s="48" t="n">
        <v>45712</v>
      </c>
      <c r="C197" s="47" t="s">
        <v>166</v>
      </c>
      <c r="D197" s="47" t="s">
        <v>462</v>
      </c>
      <c r="E197" s="47" t="s">
        <v>100</v>
      </c>
      <c r="F197" s="47" t="s">
        <v>161</v>
      </c>
      <c r="G197" s="49" t="n">
        <v>7230.72</v>
      </c>
      <c r="H197" s="50" t="n">
        <v>0.05</v>
      </c>
      <c r="I197" s="47" t="s">
        <v>162</v>
      </c>
      <c r="J197" s="48" t="n">
        <v>45712</v>
      </c>
      <c r="K197" s="51" t="str">
        <f aca="false">"Q"&amp;ROUNDUP(MONTH(B197)/3,0)</f>
        <v>Q1</v>
      </c>
      <c r="L197" s="52" t="n">
        <f aca="false">ROUND(G197*H197,2)</f>
        <v>361.54</v>
      </c>
      <c r="M197" s="52" t="n">
        <f aca="false">IF(AND(C197="Sales",F197="Standard-rated 5%"),L197,0)</f>
        <v>0</v>
      </c>
      <c r="N197" s="52" t="n">
        <f aca="false">IF(F197="Reverse charge (imported services)",L197,0)</f>
        <v>0</v>
      </c>
      <c r="O197" s="52" t="n">
        <f aca="false">IF(C197&lt;&gt;"Purchase",0,IF(OR(I197="N",F197="Blocked input (entertainment)"),0,L197))</f>
        <v>361.54</v>
      </c>
      <c r="P197" s="52" t="n">
        <f aca="false">IF(C197&lt;&gt;"Purchase",0,L197-O197)</f>
        <v>0</v>
      </c>
      <c r="Q197" s="53" t="n">
        <f aca="false">J197-B197</f>
        <v>0</v>
      </c>
      <c r="R197" s="51" t="str">
        <f aca="false">IF(I197="N","Invalid / missing TRN",IF(F197="Blocked input (entertainment)","Blocked input",IF(Q197&gt;30,"Late posting (&gt;30d)","")))</f>
        <v/>
      </c>
    </row>
    <row r="198" customFormat="false" ht="15" hidden="false" customHeight="false" outlineLevel="0" collapsed="false">
      <c r="A198" s="47" t="s">
        <v>463</v>
      </c>
      <c r="B198" s="48" t="n">
        <v>45712</v>
      </c>
      <c r="C198" s="47" t="s">
        <v>159</v>
      </c>
      <c r="D198" s="47" t="s">
        <v>383</v>
      </c>
      <c r="E198" s="47" t="s">
        <v>101</v>
      </c>
      <c r="F198" s="47" t="s">
        <v>161</v>
      </c>
      <c r="G198" s="49" t="n">
        <v>71166.31</v>
      </c>
      <c r="H198" s="50" t="n">
        <v>0.05</v>
      </c>
      <c r="I198" s="47" t="s">
        <v>162</v>
      </c>
      <c r="J198" s="48" t="n">
        <v>45712</v>
      </c>
      <c r="K198" s="51" t="str">
        <f aca="false">"Q"&amp;ROUNDUP(MONTH(B198)/3,0)</f>
        <v>Q1</v>
      </c>
      <c r="L198" s="52" t="n">
        <f aca="false">ROUND(G198*H198,2)</f>
        <v>3558.32</v>
      </c>
      <c r="M198" s="52" t="n">
        <f aca="false">IF(AND(C198="Sales",F198="Standard-rated 5%"),L198,0)</f>
        <v>3558.32</v>
      </c>
      <c r="N198" s="52" t="n">
        <f aca="false">IF(F198="Reverse charge (imported services)",L198,0)</f>
        <v>0</v>
      </c>
      <c r="O198" s="52" t="n">
        <f aca="false">IF(C198&lt;&gt;"Purchase",0,IF(OR(I198="N",F198="Blocked input (entertainment)"),0,L198))</f>
        <v>0</v>
      </c>
      <c r="P198" s="52" t="n">
        <f aca="false">IF(C198&lt;&gt;"Purchase",0,L198-O198)</f>
        <v>0</v>
      </c>
      <c r="Q198" s="53" t="n">
        <f aca="false">J198-B198</f>
        <v>0</v>
      </c>
      <c r="R198" s="51" t="str">
        <f aca="false">IF(I198="N","Invalid / missing TRN",IF(F198="Blocked input (entertainment)","Blocked input",IF(Q198&gt;30,"Late posting (&gt;30d)","")))</f>
        <v/>
      </c>
    </row>
    <row r="199" customFormat="false" ht="15" hidden="false" customHeight="false" outlineLevel="0" collapsed="false">
      <c r="A199" s="47" t="s">
        <v>464</v>
      </c>
      <c r="B199" s="48" t="n">
        <v>45713</v>
      </c>
      <c r="C199" s="47" t="s">
        <v>166</v>
      </c>
      <c r="D199" s="47" t="s">
        <v>326</v>
      </c>
      <c r="E199" s="47" t="s">
        <v>100</v>
      </c>
      <c r="F199" s="47" t="s">
        <v>170</v>
      </c>
      <c r="G199" s="49" t="n">
        <v>13947.46</v>
      </c>
      <c r="H199" s="50" t="n">
        <v>0.05</v>
      </c>
      <c r="I199" s="47" t="s">
        <v>162</v>
      </c>
      <c r="J199" s="48" t="n">
        <v>45713</v>
      </c>
      <c r="K199" s="51" t="str">
        <f aca="false">"Q"&amp;ROUNDUP(MONTH(B199)/3,0)</f>
        <v>Q1</v>
      </c>
      <c r="L199" s="52" t="n">
        <f aca="false">ROUND(G199*H199,2)</f>
        <v>697.37</v>
      </c>
      <c r="M199" s="52" t="n">
        <f aca="false">IF(AND(C199="Sales",F199="Standard-rated 5%"),L199,0)</f>
        <v>0</v>
      </c>
      <c r="N199" s="52" t="n">
        <f aca="false">IF(F199="Reverse charge (imported services)",L199,0)</f>
        <v>0</v>
      </c>
      <c r="O199" s="52" t="n">
        <f aca="false">IF(C199&lt;&gt;"Purchase",0,IF(OR(I199="N",F199="Blocked input (entertainment)"),0,L199))</f>
        <v>0</v>
      </c>
      <c r="P199" s="52" t="n">
        <f aca="false">IF(C199&lt;&gt;"Purchase",0,L199-O199)</f>
        <v>697.37</v>
      </c>
      <c r="Q199" s="53" t="n">
        <f aca="false">J199-B199</f>
        <v>0</v>
      </c>
      <c r="R199" s="51" t="str">
        <f aca="false">IF(I199="N","Invalid / missing TRN",IF(F199="Blocked input (entertainment)","Blocked input",IF(Q199&gt;30,"Late posting (&gt;30d)","")))</f>
        <v>Blocked input</v>
      </c>
    </row>
    <row r="200" customFormat="false" ht="15" hidden="false" customHeight="false" outlineLevel="0" collapsed="false">
      <c r="A200" s="47" t="s">
        <v>465</v>
      </c>
      <c r="B200" s="48" t="n">
        <v>45713</v>
      </c>
      <c r="C200" s="47" t="s">
        <v>166</v>
      </c>
      <c r="D200" s="47" t="s">
        <v>466</v>
      </c>
      <c r="E200" s="47" t="s">
        <v>100</v>
      </c>
      <c r="F200" s="47" t="s">
        <v>170</v>
      </c>
      <c r="G200" s="49" t="n">
        <v>48431.35</v>
      </c>
      <c r="H200" s="50" t="n">
        <v>0.05</v>
      </c>
      <c r="I200" s="47" t="s">
        <v>162</v>
      </c>
      <c r="J200" s="48" t="n">
        <v>45713</v>
      </c>
      <c r="K200" s="51" t="str">
        <f aca="false">"Q"&amp;ROUNDUP(MONTH(B200)/3,0)</f>
        <v>Q1</v>
      </c>
      <c r="L200" s="52" t="n">
        <f aca="false">ROUND(G200*H200,2)</f>
        <v>2421.57</v>
      </c>
      <c r="M200" s="52" t="n">
        <f aca="false">IF(AND(C200="Sales",F200="Standard-rated 5%"),L200,0)</f>
        <v>0</v>
      </c>
      <c r="N200" s="52" t="n">
        <f aca="false">IF(F200="Reverse charge (imported services)",L200,0)</f>
        <v>0</v>
      </c>
      <c r="O200" s="52" t="n">
        <f aca="false">IF(C200&lt;&gt;"Purchase",0,IF(OR(I200="N",F200="Blocked input (entertainment)"),0,L200))</f>
        <v>0</v>
      </c>
      <c r="P200" s="52" t="n">
        <f aca="false">IF(C200&lt;&gt;"Purchase",0,L200-O200)</f>
        <v>2421.57</v>
      </c>
      <c r="Q200" s="53" t="n">
        <f aca="false">J200-B200</f>
        <v>0</v>
      </c>
      <c r="R200" s="51" t="str">
        <f aca="false">IF(I200="N","Invalid / missing TRN",IF(F200="Blocked input (entertainment)","Blocked input",IF(Q200&gt;30,"Late posting (&gt;30d)","")))</f>
        <v>Blocked input</v>
      </c>
    </row>
    <row r="201" customFormat="false" ht="15" hidden="false" customHeight="false" outlineLevel="0" collapsed="false">
      <c r="A201" s="47" t="s">
        <v>467</v>
      </c>
      <c r="B201" s="48" t="n">
        <v>45713</v>
      </c>
      <c r="C201" s="47" t="s">
        <v>159</v>
      </c>
      <c r="D201" s="47" t="s">
        <v>322</v>
      </c>
      <c r="E201" s="47" t="s">
        <v>100</v>
      </c>
      <c r="F201" s="47" t="s">
        <v>278</v>
      </c>
      <c r="G201" s="49" t="n">
        <v>42371.19</v>
      </c>
      <c r="H201" s="50" t="n">
        <v>0</v>
      </c>
      <c r="I201" s="47" t="s">
        <v>162</v>
      </c>
      <c r="J201" s="48" t="n">
        <v>45713</v>
      </c>
      <c r="K201" s="51" t="str">
        <f aca="false">"Q"&amp;ROUNDUP(MONTH(B201)/3,0)</f>
        <v>Q1</v>
      </c>
      <c r="L201" s="52" t="n">
        <f aca="false">ROUND(G201*H201,2)</f>
        <v>0</v>
      </c>
      <c r="M201" s="52" t="n">
        <f aca="false">IF(AND(C201="Sales",F201="Standard-rated 5%"),L201,0)</f>
        <v>0</v>
      </c>
      <c r="N201" s="52" t="n">
        <f aca="false">IF(F201="Reverse charge (imported services)",L201,0)</f>
        <v>0</v>
      </c>
      <c r="O201" s="52" t="n">
        <f aca="false">IF(C201&lt;&gt;"Purchase",0,IF(OR(I201="N",F201="Blocked input (entertainment)"),0,L201))</f>
        <v>0</v>
      </c>
      <c r="P201" s="52" t="n">
        <f aca="false">IF(C201&lt;&gt;"Purchase",0,L201-O201)</f>
        <v>0</v>
      </c>
      <c r="Q201" s="53" t="n">
        <f aca="false">J201-B201</f>
        <v>0</v>
      </c>
      <c r="R201" s="51" t="str">
        <f aca="false">IF(I201="N","Invalid / missing TRN",IF(F201="Blocked input (entertainment)","Blocked input",IF(Q201&gt;30,"Late posting (&gt;30d)","")))</f>
        <v/>
      </c>
    </row>
    <row r="202" customFormat="false" ht="15" hidden="false" customHeight="false" outlineLevel="0" collapsed="false">
      <c r="A202" s="47" t="s">
        <v>468</v>
      </c>
      <c r="B202" s="48" t="n">
        <v>45713</v>
      </c>
      <c r="C202" s="47" t="s">
        <v>159</v>
      </c>
      <c r="D202" s="47" t="s">
        <v>317</v>
      </c>
      <c r="E202" s="47" t="s">
        <v>105</v>
      </c>
      <c r="F202" s="47" t="s">
        <v>161</v>
      </c>
      <c r="G202" s="49" t="n">
        <v>28647.73</v>
      </c>
      <c r="H202" s="50" t="n">
        <v>0.05</v>
      </c>
      <c r="I202" s="47" t="s">
        <v>162</v>
      </c>
      <c r="J202" s="48" t="n">
        <v>45713</v>
      </c>
      <c r="K202" s="51" t="str">
        <f aca="false">"Q"&amp;ROUNDUP(MONTH(B202)/3,0)</f>
        <v>Q1</v>
      </c>
      <c r="L202" s="52" t="n">
        <f aca="false">ROUND(G202*H202,2)</f>
        <v>1432.39</v>
      </c>
      <c r="M202" s="52" t="n">
        <f aca="false">IF(AND(C202="Sales",F202="Standard-rated 5%"),L202,0)</f>
        <v>1432.39</v>
      </c>
      <c r="N202" s="52" t="n">
        <f aca="false">IF(F202="Reverse charge (imported services)",L202,0)</f>
        <v>0</v>
      </c>
      <c r="O202" s="52" t="n">
        <f aca="false">IF(C202&lt;&gt;"Purchase",0,IF(OR(I202="N",F202="Blocked input (entertainment)"),0,L202))</f>
        <v>0</v>
      </c>
      <c r="P202" s="52" t="n">
        <f aca="false">IF(C202&lt;&gt;"Purchase",0,L202-O202)</f>
        <v>0</v>
      </c>
      <c r="Q202" s="53" t="n">
        <f aca="false">J202-B202</f>
        <v>0</v>
      </c>
      <c r="R202" s="51" t="str">
        <f aca="false">IF(I202="N","Invalid / missing TRN",IF(F202="Blocked input (entertainment)","Blocked input",IF(Q202&gt;30,"Late posting (&gt;30d)","")))</f>
        <v/>
      </c>
    </row>
    <row r="203" customFormat="false" ht="15" hidden="false" customHeight="false" outlineLevel="0" collapsed="false">
      <c r="A203" s="47" t="s">
        <v>469</v>
      </c>
      <c r="B203" s="48" t="n">
        <v>45714</v>
      </c>
      <c r="C203" s="47" t="s">
        <v>166</v>
      </c>
      <c r="D203" s="47" t="s">
        <v>196</v>
      </c>
      <c r="E203" s="47" t="s">
        <v>101</v>
      </c>
      <c r="F203" s="47" t="s">
        <v>161</v>
      </c>
      <c r="G203" s="49" t="n">
        <v>23482.6</v>
      </c>
      <c r="H203" s="50" t="n">
        <v>0.05</v>
      </c>
      <c r="I203" s="47" t="s">
        <v>162</v>
      </c>
      <c r="J203" s="48" t="n">
        <v>45714</v>
      </c>
      <c r="K203" s="51" t="str">
        <f aca="false">"Q"&amp;ROUNDUP(MONTH(B203)/3,0)</f>
        <v>Q1</v>
      </c>
      <c r="L203" s="52" t="n">
        <f aca="false">ROUND(G203*H203,2)</f>
        <v>1174.13</v>
      </c>
      <c r="M203" s="52" t="n">
        <f aca="false">IF(AND(C203="Sales",F203="Standard-rated 5%"),L203,0)</f>
        <v>0</v>
      </c>
      <c r="N203" s="52" t="n">
        <f aca="false">IF(F203="Reverse charge (imported services)",L203,0)</f>
        <v>0</v>
      </c>
      <c r="O203" s="52" t="n">
        <f aca="false">IF(C203&lt;&gt;"Purchase",0,IF(OR(I203="N",F203="Blocked input (entertainment)"),0,L203))</f>
        <v>1174.13</v>
      </c>
      <c r="P203" s="52" t="n">
        <f aca="false">IF(C203&lt;&gt;"Purchase",0,L203-O203)</f>
        <v>0</v>
      </c>
      <c r="Q203" s="53" t="n">
        <f aca="false">J203-B203</f>
        <v>0</v>
      </c>
      <c r="R203" s="51" t="str">
        <f aca="false">IF(I203="N","Invalid / missing TRN",IF(F203="Blocked input (entertainment)","Blocked input",IF(Q203&gt;30,"Late posting (&gt;30d)","")))</f>
        <v/>
      </c>
    </row>
    <row r="204" customFormat="false" ht="15" hidden="false" customHeight="false" outlineLevel="0" collapsed="false">
      <c r="A204" s="47" t="s">
        <v>470</v>
      </c>
      <c r="B204" s="48" t="n">
        <v>45714</v>
      </c>
      <c r="C204" s="47" t="s">
        <v>159</v>
      </c>
      <c r="D204" s="47" t="s">
        <v>277</v>
      </c>
      <c r="E204" s="47" t="s">
        <v>100</v>
      </c>
      <c r="F204" s="47" t="s">
        <v>161</v>
      </c>
      <c r="G204" s="49" t="n">
        <v>55488.03</v>
      </c>
      <c r="H204" s="50" t="n">
        <v>0.05</v>
      </c>
      <c r="I204" s="47" t="s">
        <v>162</v>
      </c>
      <c r="J204" s="48" t="n">
        <v>45714</v>
      </c>
      <c r="K204" s="51" t="str">
        <f aca="false">"Q"&amp;ROUNDUP(MONTH(B204)/3,0)</f>
        <v>Q1</v>
      </c>
      <c r="L204" s="52" t="n">
        <f aca="false">ROUND(G204*H204,2)</f>
        <v>2774.4</v>
      </c>
      <c r="M204" s="52" t="n">
        <f aca="false">IF(AND(C204="Sales",F204="Standard-rated 5%"),L204,0)</f>
        <v>2774.4</v>
      </c>
      <c r="N204" s="52" t="n">
        <f aca="false">IF(F204="Reverse charge (imported services)",L204,0)</f>
        <v>0</v>
      </c>
      <c r="O204" s="52" t="n">
        <f aca="false">IF(C204&lt;&gt;"Purchase",0,IF(OR(I204="N",F204="Blocked input (entertainment)"),0,L204))</f>
        <v>0</v>
      </c>
      <c r="P204" s="52" t="n">
        <f aca="false">IF(C204&lt;&gt;"Purchase",0,L204-O204)</f>
        <v>0</v>
      </c>
      <c r="Q204" s="53" t="n">
        <f aca="false">J204-B204</f>
        <v>0</v>
      </c>
      <c r="R204" s="51" t="str">
        <f aca="false">IF(I204="N","Invalid / missing TRN",IF(F204="Blocked input (entertainment)","Blocked input",IF(Q204&gt;30,"Late posting (&gt;30d)","")))</f>
        <v/>
      </c>
    </row>
    <row r="205" customFormat="false" ht="15" hidden="false" customHeight="false" outlineLevel="0" collapsed="false">
      <c r="A205" s="47" t="s">
        <v>471</v>
      </c>
      <c r="B205" s="48" t="n">
        <v>45714</v>
      </c>
      <c r="C205" s="47" t="s">
        <v>159</v>
      </c>
      <c r="D205" s="47" t="s">
        <v>241</v>
      </c>
      <c r="E205" s="47" t="s">
        <v>100</v>
      </c>
      <c r="F205" s="47" t="s">
        <v>161</v>
      </c>
      <c r="G205" s="49" t="n">
        <v>5437</v>
      </c>
      <c r="H205" s="50" t="n">
        <v>0.05</v>
      </c>
      <c r="I205" s="47" t="s">
        <v>162</v>
      </c>
      <c r="J205" s="48" t="n">
        <v>45714</v>
      </c>
      <c r="K205" s="51" t="str">
        <f aca="false">"Q"&amp;ROUNDUP(MONTH(B205)/3,0)</f>
        <v>Q1</v>
      </c>
      <c r="L205" s="52" t="n">
        <f aca="false">ROUND(G205*H205,2)</f>
        <v>271.85</v>
      </c>
      <c r="M205" s="52" t="n">
        <f aca="false">IF(AND(C205="Sales",F205="Standard-rated 5%"),L205,0)</f>
        <v>271.85</v>
      </c>
      <c r="N205" s="52" t="n">
        <f aca="false">IF(F205="Reverse charge (imported services)",L205,0)</f>
        <v>0</v>
      </c>
      <c r="O205" s="52" t="n">
        <f aca="false">IF(C205&lt;&gt;"Purchase",0,IF(OR(I205="N",F205="Blocked input (entertainment)"),0,L205))</f>
        <v>0</v>
      </c>
      <c r="P205" s="52" t="n">
        <f aca="false">IF(C205&lt;&gt;"Purchase",0,L205-O205)</f>
        <v>0</v>
      </c>
      <c r="Q205" s="53" t="n">
        <f aca="false">J205-B205</f>
        <v>0</v>
      </c>
      <c r="R205" s="51" t="str">
        <f aca="false">IF(I205="N","Invalid / missing TRN",IF(F205="Blocked input (entertainment)","Blocked input",IF(Q205&gt;30,"Late posting (&gt;30d)","")))</f>
        <v/>
      </c>
    </row>
    <row r="206" customFormat="false" ht="15" hidden="false" customHeight="false" outlineLevel="0" collapsed="false">
      <c r="A206" s="47" t="s">
        <v>472</v>
      </c>
      <c r="B206" s="48" t="n">
        <v>45715</v>
      </c>
      <c r="C206" s="47" t="s">
        <v>166</v>
      </c>
      <c r="D206" s="47" t="s">
        <v>188</v>
      </c>
      <c r="E206" s="47" t="s">
        <v>100</v>
      </c>
      <c r="F206" s="47" t="s">
        <v>161</v>
      </c>
      <c r="G206" s="49" t="n">
        <v>154963.63</v>
      </c>
      <c r="H206" s="50" t="n">
        <v>0.05</v>
      </c>
      <c r="I206" s="47" t="s">
        <v>162</v>
      </c>
      <c r="J206" s="48" t="n">
        <v>45715</v>
      </c>
      <c r="K206" s="51" t="str">
        <f aca="false">"Q"&amp;ROUNDUP(MONTH(B206)/3,0)</f>
        <v>Q1</v>
      </c>
      <c r="L206" s="52" t="n">
        <f aca="false">ROUND(G206*H206,2)</f>
        <v>7748.18</v>
      </c>
      <c r="M206" s="52" t="n">
        <f aca="false">IF(AND(C206="Sales",F206="Standard-rated 5%"),L206,0)</f>
        <v>0</v>
      </c>
      <c r="N206" s="52" t="n">
        <f aca="false">IF(F206="Reverse charge (imported services)",L206,0)</f>
        <v>0</v>
      </c>
      <c r="O206" s="52" t="n">
        <f aca="false">IF(C206&lt;&gt;"Purchase",0,IF(OR(I206="N",F206="Blocked input (entertainment)"),0,L206))</f>
        <v>7748.18</v>
      </c>
      <c r="P206" s="52" t="n">
        <f aca="false">IF(C206&lt;&gt;"Purchase",0,L206-O206)</f>
        <v>0</v>
      </c>
      <c r="Q206" s="53" t="n">
        <f aca="false">J206-B206</f>
        <v>0</v>
      </c>
      <c r="R206" s="51" t="str">
        <f aca="false">IF(I206="N","Invalid / missing TRN",IF(F206="Blocked input (entertainment)","Blocked input",IF(Q206&gt;30,"Late posting (&gt;30d)","")))</f>
        <v/>
      </c>
    </row>
    <row r="207" customFormat="false" ht="15" hidden="false" customHeight="false" outlineLevel="0" collapsed="false">
      <c r="A207" s="47" t="s">
        <v>473</v>
      </c>
      <c r="B207" s="48" t="n">
        <v>45715</v>
      </c>
      <c r="C207" s="47" t="s">
        <v>159</v>
      </c>
      <c r="D207" s="47" t="s">
        <v>322</v>
      </c>
      <c r="E207" s="47" t="s">
        <v>100</v>
      </c>
      <c r="F207" s="47" t="s">
        <v>161</v>
      </c>
      <c r="G207" s="49" t="n">
        <v>77417.35</v>
      </c>
      <c r="H207" s="50" t="n">
        <v>0.05</v>
      </c>
      <c r="I207" s="47" t="s">
        <v>162</v>
      </c>
      <c r="J207" s="48" t="n">
        <v>45715</v>
      </c>
      <c r="K207" s="51" t="str">
        <f aca="false">"Q"&amp;ROUNDUP(MONTH(B207)/3,0)</f>
        <v>Q1</v>
      </c>
      <c r="L207" s="52" t="n">
        <f aca="false">ROUND(G207*H207,2)</f>
        <v>3870.87</v>
      </c>
      <c r="M207" s="52" t="n">
        <f aca="false">IF(AND(C207="Sales",F207="Standard-rated 5%"),L207,0)</f>
        <v>3870.87</v>
      </c>
      <c r="N207" s="52" t="n">
        <f aca="false">IF(F207="Reverse charge (imported services)",L207,0)</f>
        <v>0</v>
      </c>
      <c r="O207" s="52" t="n">
        <f aca="false">IF(C207&lt;&gt;"Purchase",0,IF(OR(I207="N",F207="Blocked input (entertainment)"),0,L207))</f>
        <v>0</v>
      </c>
      <c r="P207" s="52" t="n">
        <f aca="false">IF(C207&lt;&gt;"Purchase",0,L207-O207)</f>
        <v>0</v>
      </c>
      <c r="Q207" s="53" t="n">
        <f aca="false">J207-B207</f>
        <v>0</v>
      </c>
      <c r="R207" s="51" t="str">
        <f aca="false">IF(I207="N","Invalid / missing TRN",IF(F207="Blocked input (entertainment)","Blocked input",IF(Q207&gt;30,"Late posting (&gt;30d)","")))</f>
        <v/>
      </c>
    </row>
    <row r="208" customFormat="false" ht="15" hidden="false" customHeight="false" outlineLevel="0" collapsed="false">
      <c r="A208" s="47" t="s">
        <v>474</v>
      </c>
      <c r="B208" s="48" t="n">
        <v>45715</v>
      </c>
      <c r="C208" s="47" t="s">
        <v>159</v>
      </c>
      <c r="D208" s="47" t="s">
        <v>333</v>
      </c>
      <c r="E208" s="47" t="s">
        <v>100</v>
      </c>
      <c r="F208" s="47" t="s">
        <v>161</v>
      </c>
      <c r="G208" s="49" t="n">
        <v>176076.67</v>
      </c>
      <c r="H208" s="50" t="n">
        <v>0.05</v>
      </c>
      <c r="I208" s="47" t="s">
        <v>162</v>
      </c>
      <c r="J208" s="48" t="n">
        <v>45715</v>
      </c>
      <c r="K208" s="51" t="str">
        <f aca="false">"Q"&amp;ROUNDUP(MONTH(B208)/3,0)</f>
        <v>Q1</v>
      </c>
      <c r="L208" s="52" t="n">
        <f aca="false">ROUND(G208*H208,2)</f>
        <v>8803.83</v>
      </c>
      <c r="M208" s="52" t="n">
        <f aca="false">IF(AND(C208="Sales",F208="Standard-rated 5%"),L208,0)</f>
        <v>8803.83</v>
      </c>
      <c r="N208" s="52" t="n">
        <f aca="false">IF(F208="Reverse charge (imported services)",L208,0)</f>
        <v>0</v>
      </c>
      <c r="O208" s="52" t="n">
        <f aca="false">IF(C208&lt;&gt;"Purchase",0,IF(OR(I208="N",F208="Blocked input (entertainment)"),0,L208))</f>
        <v>0</v>
      </c>
      <c r="P208" s="52" t="n">
        <f aca="false">IF(C208&lt;&gt;"Purchase",0,L208-O208)</f>
        <v>0</v>
      </c>
      <c r="Q208" s="53" t="n">
        <f aca="false">J208-B208</f>
        <v>0</v>
      </c>
      <c r="R208" s="51" t="str">
        <f aca="false">IF(I208="N","Invalid / missing TRN",IF(F208="Blocked input (entertainment)","Blocked input",IF(Q208&gt;30,"Late posting (&gt;30d)","")))</f>
        <v/>
      </c>
    </row>
    <row r="209" customFormat="false" ht="15" hidden="false" customHeight="false" outlineLevel="0" collapsed="false">
      <c r="A209" s="47" t="s">
        <v>475</v>
      </c>
      <c r="B209" s="48" t="n">
        <v>45716</v>
      </c>
      <c r="C209" s="47" t="s">
        <v>166</v>
      </c>
      <c r="D209" s="47" t="s">
        <v>257</v>
      </c>
      <c r="E209" s="47" t="s">
        <v>102</v>
      </c>
      <c r="F209" s="47" t="s">
        <v>392</v>
      </c>
      <c r="G209" s="49" t="n">
        <v>269271.12</v>
      </c>
      <c r="H209" s="50" t="n">
        <v>0.05</v>
      </c>
      <c r="I209" s="47" t="s">
        <v>162</v>
      </c>
      <c r="J209" s="48" t="n">
        <v>45716</v>
      </c>
      <c r="K209" s="51" t="str">
        <f aca="false">"Q"&amp;ROUNDUP(MONTH(B209)/3,0)</f>
        <v>Q1</v>
      </c>
      <c r="L209" s="52" t="n">
        <f aca="false">ROUND(G209*H209,2)</f>
        <v>13463.56</v>
      </c>
      <c r="M209" s="52" t="n">
        <f aca="false">IF(AND(C209="Sales",F209="Standard-rated 5%"),L209,0)</f>
        <v>0</v>
      </c>
      <c r="N209" s="52" t="n">
        <f aca="false">IF(F209="Reverse charge (imported services)",L209,0)</f>
        <v>0</v>
      </c>
      <c r="O209" s="52" t="n">
        <f aca="false">IF(C209&lt;&gt;"Purchase",0,IF(OR(I209="N",F209="Blocked input (entertainment)"),0,L209))</f>
        <v>13463.56</v>
      </c>
      <c r="P209" s="52" t="n">
        <f aca="false">IF(C209&lt;&gt;"Purchase",0,L209-O209)</f>
        <v>0</v>
      </c>
      <c r="Q209" s="53" t="n">
        <f aca="false">J209-B209</f>
        <v>0</v>
      </c>
      <c r="R209" s="51" t="str">
        <f aca="false">IF(I209="N","Invalid / missing TRN",IF(F209="Blocked input (entertainment)","Blocked input",IF(Q209&gt;30,"Late posting (&gt;30d)","")))</f>
        <v/>
      </c>
    </row>
    <row r="210" customFormat="false" ht="15" hidden="false" customHeight="false" outlineLevel="0" collapsed="false">
      <c r="A210" s="47" t="s">
        <v>476</v>
      </c>
      <c r="B210" s="48" t="n">
        <v>45716</v>
      </c>
      <c r="C210" s="47" t="s">
        <v>166</v>
      </c>
      <c r="D210" s="47" t="s">
        <v>411</v>
      </c>
      <c r="E210" s="47" t="s">
        <v>104</v>
      </c>
      <c r="F210" s="47" t="s">
        <v>161</v>
      </c>
      <c r="G210" s="49" t="n">
        <v>12818.51</v>
      </c>
      <c r="H210" s="50" t="n">
        <v>0.05</v>
      </c>
      <c r="I210" s="47" t="s">
        <v>162</v>
      </c>
      <c r="J210" s="48" t="n">
        <v>45716</v>
      </c>
      <c r="K210" s="51" t="str">
        <f aca="false">"Q"&amp;ROUNDUP(MONTH(B210)/3,0)</f>
        <v>Q1</v>
      </c>
      <c r="L210" s="52" t="n">
        <f aca="false">ROUND(G210*H210,2)</f>
        <v>640.93</v>
      </c>
      <c r="M210" s="52" t="n">
        <f aca="false">IF(AND(C210="Sales",F210="Standard-rated 5%"),L210,0)</f>
        <v>0</v>
      </c>
      <c r="N210" s="52" t="n">
        <f aca="false">IF(F210="Reverse charge (imported services)",L210,0)</f>
        <v>0</v>
      </c>
      <c r="O210" s="52" t="n">
        <f aca="false">IF(C210&lt;&gt;"Purchase",0,IF(OR(I210="N",F210="Blocked input (entertainment)"),0,L210))</f>
        <v>640.93</v>
      </c>
      <c r="P210" s="52" t="n">
        <f aca="false">IF(C210&lt;&gt;"Purchase",0,L210-O210)</f>
        <v>0</v>
      </c>
      <c r="Q210" s="53" t="n">
        <f aca="false">J210-B210</f>
        <v>0</v>
      </c>
      <c r="R210" s="51" t="str">
        <f aca="false">IF(I210="N","Invalid / missing TRN",IF(F210="Blocked input (entertainment)","Blocked input",IF(Q210&gt;30,"Late posting (&gt;30d)","")))</f>
        <v/>
      </c>
    </row>
    <row r="211" customFormat="false" ht="15" hidden="false" customHeight="false" outlineLevel="0" collapsed="false">
      <c r="A211" s="47" t="s">
        <v>477</v>
      </c>
      <c r="B211" s="48" t="n">
        <v>45716</v>
      </c>
      <c r="C211" s="47" t="s">
        <v>166</v>
      </c>
      <c r="D211" s="47" t="s">
        <v>196</v>
      </c>
      <c r="E211" s="47" t="s">
        <v>105</v>
      </c>
      <c r="F211" s="47" t="s">
        <v>161</v>
      </c>
      <c r="G211" s="49" t="n">
        <v>15641.3</v>
      </c>
      <c r="H211" s="50" t="n">
        <v>0.05</v>
      </c>
      <c r="I211" s="47" t="s">
        <v>162</v>
      </c>
      <c r="J211" s="48" t="n">
        <v>45716</v>
      </c>
      <c r="K211" s="51" t="str">
        <f aca="false">"Q"&amp;ROUNDUP(MONTH(B211)/3,0)</f>
        <v>Q1</v>
      </c>
      <c r="L211" s="52" t="n">
        <f aca="false">ROUND(G211*H211,2)</f>
        <v>782.07</v>
      </c>
      <c r="M211" s="52" t="n">
        <f aca="false">IF(AND(C211="Sales",F211="Standard-rated 5%"),L211,0)</f>
        <v>0</v>
      </c>
      <c r="N211" s="52" t="n">
        <f aca="false">IF(F211="Reverse charge (imported services)",L211,0)</f>
        <v>0</v>
      </c>
      <c r="O211" s="52" t="n">
        <f aca="false">IF(C211&lt;&gt;"Purchase",0,IF(OR(I211="N",F211="Blocked input (entertainment)"),0,L211))</f>
        <v>782.07</v>
      </c>
      <c r="P211" s="52" t="n">
        <f aca="false">IF(C211&lt;&gt;"Purchase",0,L211-O211)</f>
        <v>0</v>
      </c>
      <c r="Q211" s="53" t="n">
        <f aca="false">J211-B211</f>
        <v>0</v>
      </c>
      <c r="R211" s="51" t="str">
        <f aca="false">IF(I211="N","Invalid / missing TRN",IF(F211="Blocked input (entertainment)","Blocked input",IF(Q211&gt;30,"Late posting (&gt;30d)","")))</f>
        <v/>
      </c>
    </row>
    <row r="212" customFormat="false" ht="15" hidden="false" customHeight="false" outlineLevel="0" collapsed="false">
      <c r="A212" s="47" t="s">
        <v>478</v>
      </c>
      <c r="B212" s="48" t="n">
        <v>45716</v>
      </c>
      <c r="C212" s="47" t="s">
        <v>159</v>
      </c>
      <c r="D212" s="47" t="s">
        <v>423</v>
      </c>
      <c r="E212" s="47" t="s">
        <v>105</v>
      </c>
      <c r="F212" s="47" t="s">
        <v>161</v>
      </c>
      <c r="G212" s="49" t="n">
        <v>14332.36</v>
      </c>
      <c r="H212" s="50" t="n">
        <v>0.05</v>
      </c>
      <c r="I212" s="47" t="s">
        <v>162</v>
      </c>
      <c r="J212" s="48" t="n">
        <v>45718</v>
      </c>
      <c r="K212" s="51" t="str">
        <f aca="false">"Q"&amp;ROUNDUP(MONTH(B212)/3,0)</f>
        <v>Q1</v>
      </c>
      <c r="L212" s="52" t="n">
        <f aca="false">ROUND(G212*H212,2)</f>
        <v>716.62</v>
      </c>
      <c r="M212" s="52" t="n">
        <f aca="false">IF(AND(C212="Sales",F212="Standard-rated 5%"),L212,0)</f>
        <v>716.62</v>
      </c>
      <c r="N212" s="52" t="n">
        <f aca="false">IF(F212="Reverse charge (imported services)",L212,0)</f>
        <v>0</v>
      </c>
      <c r="O212" s="52" t="n">
        <f aca="false">IF(C212&lt;&gt;"Purchase",0,IF(OR(I212="N",F212="Blocked input (entertainment)"),0,L212))</f>
        <v>0</v>
      </c>
      <c r="P212" s="52" t="n">
        <f aca="false">IF(C212&lt;&gt;"Purchase",0,L212-O212)</f>
        <v>0</v>
      </c>
      <c r="Q212" s="53" t="n">
        <f aca="false">J212-B212</f>
        <v>2</v>
      </c>
      <c r="R212" s="51" t="str">
        <f aca="false">IF(I212="N","Invalid / missing TRN",IF(F212="Blocked input (entertainment)","Blocked input",IF(Q212&gt;30,"Late posting (&gt;30d)","")))</f>
        <v/>
      </c>
    </row>
    <row r="213" customFormat="false" ht="15" hidden="false" customHeight="false" outlineLevel="0" collapsed="false">
      <c r="A213" s="47" t="s">
        <v>479</v>
      </c>
      <c r="B213" s="48" t="n">
        <v>45716</v>
      </c>
      <c r="C213" s="47" t="s">
        <v>159</v>
      </c>
      <c r="D213" s="47" t="s">
        <v>428</v>
      </c>
      <c r="E213" s="47" t="s">
        <v>100</v>
      </c>
      <c r="F213" s="47" t="s">
        <v>161</v>
      </c>
      <c r="G213" s="49" t="n">
        <v>10946.03</v>
      </c>
      <c r="H213" s="50" t="n">
        <v>0.05</v>
      </c>
      <c r="I213" s="47" t="s">
        <v>162</v>
      </c>
      <c r="J213" s="48" t="n">
        <v>45716</v>
      </c>
      <c r="K213" s="51" t="str">
        <f aca="false">"Q"&amp;ROUNDUP(MONTH(B213)/3,0)</f>
        <v>Q1</v>
      </c>
      <c r="L213" s="52" t="n">
        <f aca="false">ROUND(G213*H213,2)</f>
        <v>547.3</v>
      </c>
      <c r="M213" s="52" t="n">
        <f aca="false">IF(AND(C213="Sales",F213="Standard-rated 5%"),L213,0)</f>
        <v>547.3</v>
      </c>
      <c r="N213" s="52" t="n">
        <f aca="false">IF(F213="Reverse charge (imported services)",L213,0)</f>
        <v>0</v>
      </c>
      <c r="O213" s="52" t="n">
        <f aca="false">IF(C213&lt;&gt;"Purchase",0,IF(OR(I213="N",F213="Blocked input (entertainment)"),0,L213))</f>
        <v>0</v>
      </c>
      <c r="P213" s="52" t="n">
        <f aca="false">IF(C213&lt;&gt;"Purchase",0,L213-O213)</f>
        <v>0</v>
      </c>
      <c r="Q213" s="53" t="n">
        <f aca="false">J213-B213</f>
        <v>0</v>
      </c>
      <c r="R213" s="51" t="str">
        <f aca="false">IF(I213="N","Invalid / missing TRN",IF(F213="Blocked input (entertainment)","Blocked input",IF(Q213&gt;30,"Late posting (&gt;30d)","")))</f>
        <v/>
      </c>
    </row>
    <row r="214" customFormat="false" ht="15" hidden="false" customHeight="false" outlineLevel="0" collapsed="false">
      <c r="A214" s="47" t="s">
        <v>480</v>
      </c>
      <c r="B214" s="48" t="n">
        <v>45717</v>
      </c>
      <c r="C214" s="47" t="s">
        <v>166</v>
      </c>
      <c r="D214" s="47" t="s">
        <v>326</v>
      </c>
      <c r="E214" s="47" t="s">
        <v>100</v>
      </c>
      <c r="F214" s="47" t="s">
        <v>161</v>
      </c>
      <c r="G214" s="49" t="n">
        <v>25411.72</v>
      </c>
      <c r="H214" s="50" t="n">
        <v>0.05</v>
      </c>
      <c r="I214" s="47" t="s">
        <v>162</v>
      </c>
      <c r="J214" s="48" t="n">
        <v>45722</v>
      </c>
      <c r="K214" s="51" t="str">
        <f aca="false">"Q"&amp;ROUNDUP(MONTH(B214)/3,0)</f>
        <v>Q1</v>
      </c>
      <c r="L214" s="52" t="n">
        <f aca="false">ROUND(G214*H214,2)</f>
        <v>1270.59</v>
      </c>
      <c r="M214" s="52" t="n">
        <f aca="false">IF(AND(C214="Sales",F214="Standard-rated 5%"),L214,0)</f>
        <v>0</v>
      </c>
      <c r="N214" s="52" t="n">
        <f aca="false">IF(F214="Reverse charge (imported services)",L214,0)</f>
        <v>0</v>
      </c>
      <c r="O214" s="52" t="n">
        <f aca="false">IF(C214&lt;&gt;"Purchase",0,IF(OR(I214="N",F214="Blocked input (entertainment)"),0,L214))</f>
        <v>1270.59</v>
      </c>
      <c r="P214" s="52" t="n">
        <f aca="false">IF(C214&lt;&gt;"Purchase",0,L214-O214)</f>
        <v>0</v>
      </c>
      <c r="Q214" s="53" t="n">
        <f aca="false">J214-B214</f>
        <v>5</v>
      </c>
      <c r="R214" s="51" t="str">
        <f aca="false">IF(I214="N","Invalid / missing TRN",IF(F214="Blocked input (entertainment)","Blocked input",IF(Q214&gt;30,"Late posting (&gt;30d)","")))</f>
        <v/>
      </c>
    </row>
    <row r="215" customFormat="false" ht="15" hidden="false" customHeight="false" outlineLevel="0" collapsed="false">
      <c r="A215" s="47" t="s">
        <v>481</v>
      </c>
      <c r="B215" s="48" t="n">
        <v>45717</v>
      </c>
      <c r="C215" s="47" t="s">
        <v>159</v>
      </c>
      <c r="D215" s="47" t="s">
        <v>290</v>
      </c>
      <c r="E215" s="47" t="s">
        <v>100</v>
      </c>
      <c r="F215" s="47" t="s">
        <v>161</v>
      </c>
      <c r="G215" s="49" t="n">
        <v>122890.78</v>
      </c>
      <c r="H215" s="50" t="n">
        <v>0.05</v>
      </c>
      <c r="I215" s="47" t="s">
        <v>162</v>
      </c>
      <c r="J215" s="48" t="n">
        <v>45757</v>
      </c>
      <c r="K215" s="51" t="str">
        <f aca="false">"Q"&amp;ROUNDUP(MONTH(B215)/3,0)</f>
        <v>Q1</v>
      </c>
      <c r="L215" s="52" t="n">
        <f aca="false">ROUND(G215*H215,2)</f>
        <v>6144.54</v>
      </c>
      <c r="M215" s="52" t="n">
        <f aca="false">IF(AND(C215="Sales",F215="Standard-rated 5%"),L215,0)</f>
        <v>6144.54</v>
      </c>
      <c r="N215" s="52" t="n">
        <f aca="false">IF(F215="Reverse charge (imported services)",L215,0)</f>
        <v>0</v>
      </c>
      <c r="O215" s="52" t="n">
        <f aca="false">IF(C215&lt;&gt;"Purchase",0,IF(OR(I215="N",F215="Blocked input (entertainment)"),0,L215))</f>
        <v>0</v>
      </c>
      <c r="P215" s="52" t="n">
        <f aca="false">IF(C215&lt;&gt;"Purchase",0,L215-O215)</f>
        <v>0</v>
      </c>
      <c r="Q215" s="53" t="n">
        <f aca="false">J215-B215</f>
        <v>40</v>
      </c>
      <c r="R215" s="51" t="str">
        <f aca="false">IF(I215="N","Invalid / missing TRN",IF(F215="Blocked input (entertainment)","Blocked input",IF(Q215&gt;30,"Late posting (&gt;30d)","")))</f>
        <v>Late posting (&gt;30d)</v>
      </c>
    </row>
    <row r="216" customFormat="false" ht="15" hidden="false" customHeight="false" outlineLevel="0" collapsed="false">
      <c r="A216" s="47" t="s">
        <v>482</v>
      </c>
      <c r="B216" s="48" t="n">
        <v>45717</v>
      </c>
      <c r="C216" s="47" t="s">
        <v>159</v>
      </c>
      <c r="D216" s="47" t="s">
        <v>175</v>
      </c>
      <c r="E216" s="47" t="s">
        <v>100</v>
      </c>
      <c r="F216" s="47" t="s">
        <v>161</v>
      </c>
      <c r="G216" s="49" t="n">
        <v>44495.83</v>
      </c>
      <c r="H216" s="50" t="n">
        <v>0.05</v>
      </c>
      <c r="I216" s="47" t="s">
        <v>162</v>
      </c>
      <c r="J216" s="48" t="n">
        <v>45717</v>
      </c>
      <c r="K216" s="51" t="str">
        <f aca="false">"Q"&amp;ROUNDUP(MONTH(B216)/3,0)</f>
        <v>Q1</v>
      </c>
      <c r="L216" s="52" t="n">
        <f aca="false">ROUND(G216*H216,2)</f>
        <v>2224.79</v>
      </c>
      <c r="M216" s="52" t="n">
        <f aca="false">IF(AND(C216="Sales",F216="Standard-rated 5%"),L216,0)</f>
        <v>2224.79</v>
      </c>
      <c r="N216" s="52" t="n">
        <f aca="false">IF(F216="Reverse charge (imported services)",L216,0)</f>
        <v>0</v>
      </c>
      <c r="O216" s="52" t="n">
        <f aca="false">IF(C216&lt;&gt;"Purchase",0,IF(OR(I216="N",F216="Blocked input (entertainment)"),0,L216))</f>
        <v>0</v>
      </c>
      <c r="P216" s="52" t="n">
        <f aca="false">IF(C216&lt;&gt;"Purchase",0,L216-O216)</f>
        <v>0</v>
      </c>
      <c r="Q216" s="53" t="n">
        <f aca="false">J216-B216</f>
        <v>0</v>
      </c>
      <c r="R216" s="51" t="str">
        <f aca="false">IF(I216="N","Invalid / missing TRN",IF(F216="Blocked input (entertainment)","Blocked input",IF(Q216&gt;30,"Late posting (&gt;30d)","")))</f>
        <v/>
      </c>
    </row>
    <row r="217" customFormat="false" ht="15" hidden="false" customHeight="false" outlineLevel="0" collapsed="false">
      <c r="A217" s="47" t="s">
        <v>483</v>
      </c>
      <c r="B217" s="48" t="n">
        <v>45718</v>
      </c>
      <c r="C217" s="47" t="s">
        <v>166</v>
      </c>
      <c r="D217" s="47" t="s">
        <v>264</v>
      </c>
      <c r="E217" s="47" t="s">
        <v>100</v>
      </c>
      <c r="F217" s="47" t="s">
        <v>392</v>
      </c>
      <c r="G217" s="49" t="n">
        <v>60390.74</v>
      </c>
      <c r="H217" s="50" t="n">
        <v>0.05</v>
      </c>
      <c r="I217" s="47" t="s">
        <v>162</v>
      </c>
      <c r="J217" s="48" t="n">
        <v>45718</v>
      </c>
      <c r="K217" s="51" t="str">
        <f aca="false">"Q"&amp;ROUNDUP(MONTH(B217)/3,0)</f>
        <v>Q1</v>
      </c>
      <c r="L217" s="52" t="n">
        <f aca="false">ROUND(G217*H217,2)</f>
        <v>3019.54</v>
      </c>
      <c r="M217" s="52" t="n">
        <f aca="false">IF(AND(C217="Sales",F217="Standard-rated 5%"),L217,0)</f>
        <v>0</v>
      </c>
      <c r="N217" s="52" t="n">
        <f aca="false">IF(F217="Reverse charge (imported services)",L217,0)</f>
        <v>0</v>
      </c>
      <c r="O217" s="52" t="n">
        <f aca="false">IF(C217&lt;&gt;"Purchase",0,IF(OR(I217="N",F217="Blocked input (entertainment)"),0,L217))</f>
        <v>3019.54</v>
      </c>
      <c r="P217" s="52" t="n">
        <f aca="false">IF(C217&lt;&gt;"Purchase",0,L217-O217)</f>
        <v>0</v>
      </c>
      <c r="Q217" s="53" t="n">
        <f aca="false">J217-B217</f>
        <v>0</v>
      </c>
      <c r="R217" s="51" t="str">
        <f aca="false">IF(I217="N","Invalid / missing TRN",IF(F217="Blocked input (entertainment)","Blocked input",IF(Q217&gt;30,"Late posting (&gt;30d)","")))</f>
        <v/>
      </c>
    </row>
    <row r="218" customFormat="false" ht="15" hidden="false" customHeight="false" outlineLevel="0" collapsed="false">
      <c r="A218" s="47" t="s">
        <v>484</v>
      </c>
      <c r="B218" s="48" t="n">
        <v>45718</v>
      </c>
      <c r="C218" s="47" t="s">
        <v>159</v>
      </c>
      <c r="D218" s="47" t="s">
        <v>160</v>
      </c>
      <c r="E218" s="47" t="s">
        <v>101</v>
      </c>
      <c r="F218" s="47" t="s">
        <v>161</v>
      </c>
      <c r="G218" s="49" t="n">
        <v>218017.39</v>
      </c>
      <c r="H218" s="50" t="n">
        <v>0.05</v>
      </c>
      <c r="I218" s="47" t="s">
        <v>162</v>
      </c>
      <c r="J218" s="48" t="n">
        <v>45718</v>
      </c>
      <c r="K218" s="51" t="str">
        <f aca="false">"Q"&amp;ROUNDUP(MONTH(B218)/3,0)</f>
        <v>Q1</v>
      </c>
      <c r="L218" s="52" t="n">
        <f aca="false">ROUND(G218*H218,2)</f>
        <v>10900.87</v>
      </c>
      <c r="M218" s="52" t="n">
        <f aca="false">IF(AND(C218="Sales",F218="Standard-rated 5%"),L218,0)</f>
        <v>10900.87</v>
      </c>
      <c r="N218" s="52" t="n">
        <f aca="false">IF(F218="Reverse charge (imported services)",L218,0)</f>
        <v>0</v>
      </c>
      <c r="O218" s="52" t="n">
        <f aca="false">IF(C218&lt;&gt;"Purchase",0,IF(OR(I218="N",F218="Blocked input (entertainment)"),0,L218))</f>
        <v>0</v>
      </c>
      <c r="P218" s="52" t="n">
        <f aca="false">IF(C218&lt;&gt;"Purchase",0,L218-O218)</f>
        <v>0</v>
      </c>
      <c r="Q218" s="53" t="n">
        <f aca="false">J218-B218</f>
        <v>0</v>
      </c>
      <c r="R218" s="51" t="str">
        <f aca="false">IF(I218="N","Invalid / missing TRN",IF(F218="Blocked input (entertainment)","Blocked input",IF(Q218&gt;30,"Late posting (&gt;30d)","")))</f>
        <v/>
      </c>
    </row>
    <row r="219" customFormat="false" ht="15" hidden="false" customHeight="false" outlineLevel="0" collapsed="false">
      <c r="A219" s="47" t="s">
        <v>485</v>
      </c>
      <c r="B219" s="48" t="n">
        <v>45719</v>
      </c>
      <c r="C219" s="47" t="s">
        <v>166</v>
      </c>
      <c r="D219" s="47" t="s">
        <v>324</v>
      </c>
      <c r="E219" s="47" t="s">
        <v>104</v>
      </c>
      <c r="F219" s="47" t="s">
        <v>161</v>
      </c>
      <c r="G219" s="49" t="n">
        <v>9640.13</v>
      </c>
      <c r="H219" s="50" t="n">
        <v>0.05</v>
      </c>
      <c r="I219" s="47" t="s">
        <v>162</v>
      </c>
      <c r="J219" s="48" t="n">
        <v>45719</v>
      </c>
      <c r="K219" s="51" t="str">
        <f aca="false">"Q"&amp;ROUNDUP(MONTH(B219)/3,0)</f>
        <v>Q1</v>
      </c>
      <c r="L219" s="52" t="n">
        <f aca="false">ROUND(G219*H219,2)</f>
        <v>482.01</v>
      </c>
      <c r="M219" s="52" t="n">
        <f aca="false">IF(AND(C219="Sales",F219="Standard-rated 5%"),L219,0)</f>
        <v>0</v>
      </c>
      <c r="N219" s="52" t="n">
        <f aca="false">IF(F219="Reverse charge (imported services)",L219,0)</f>
        <v>0</v>
      </c>
      <c r="O219" s="52" t="n">
        <f aca="false">IF(C219&lt;&gt;"Purchase",0,IF(OR(I219="N",F219="Blocked input (entertainment)"),0,L219))</f>
        <v>482.01</v>
      </c>
      <c r="P219" s="52" t="n">
        <f aca="false">IF(C219&lt;&gt;"Purchase",0,L219-O219)</f>
        <v>0</v>
      </c>
      <c r="Q219" s="53" t="n">
        <f aca="false">J219-B219</f>
        <v>0</v>
      </c>
      <c r="R219" s="51" t="str">
        <f aca="false">IF(I219="N","Invalid / missing TRN",IF(F219="Blocked input (entertainment)","Blocked input",IF(Q219&gt;30,"Late posting (&gt;30d)","")))</f>
        <v/>
      </c>
    </row>
    <row r="220" customFormat="false" ht="15" hidden="false" customHeight="false" outlineLevel="0" collapsed="false">
      <c r="A220" s="47" t="s">
        <v>486</v>
      </c>
      <c r="B220" s="48" t="n">
        <v>45721</v>
      </c>
      <c r="C220" s="47" t="s">
        <v>166</v>
      </c>
      <c r="D220" s="47" t="s">
        <v>196</v>
      </c>
      <c r="E220" s="47" t="s">
        <v>101</v>
      </c>
      <c r="F220" s="47" t="s">
        <v>161</v>
      </c>
      <c r="G220" s="49" t="n">
        <v>71792.53</v>
      </c>
      <c r="H220" s="50" t="n">
        <v>0.05</v>
      </c>
      <c r="I220" s="47" t="s">
        <v>162</v>
      </c>
      <c r="J220" s="48" t="n">
        <v>45721</v>
      </c>
      <c r="K220" s="51" t="str">
        <f aca="false">"Q"&amp;ROUNDUP(MONTH(B220)/3,0)</f>
        <v>Q1</v>
      </c>
      <c r="L220" s="52" t="n">
        <f aca="false">ROUND(G220*H220,2)</f>
        <v>3589.63</v>
      </c>
      <c r="M220" s="52" t="n">
        <f aca="false">IF(AND(C220="Sales",F220="Standard-rated 5%"),L220,0)</f>
        <v>0</v>
      </c>
      <c r="N220" s="52" t="n">
        <f aca="false">IF(F220="Reverse charge (imported services)",L220,0)</f>
        <v>0</v>
      </c>
      <c r="O220" s="52" t="n">
        <f aca="false">IF(C220&lt;&gt;"Purchase",0,IF(OR(I220="N",F220="Blocked input (entertainment)"),0,L220))</f>
        <v>3589.63</v>
      </c>
      <c r="P220" s="52" t="n">
        <f aca="false">IF(C220&lt;&gt;"Purchase",0,L220-O220)</f>
        <v>0</v>
      </c>
      <c r="Q220" s="53" t="n">
        <f aca="false">J220-B220</f>
        <v>0</v>
      </c>
      <c r="R220" s="51" t="str">
        <f aca="false">IF(I220="N","Invalid / missing TRN",IF(F220="Blocked input (entertainment)","Blocked input",IF(Q220&gt;30,"Late posting (&gt;30d)","")))</f>
        <v/>
      </c>
    </row>
    <row r="221" customFormat="false" ht="15" hidden="false" customHeight="false" outlineLevel="0" collapsed="false">
      <c r="A221" s="47" t="s">
        <v>487</v>
      </c>
      <c r="B221" s="48" t="n">
        <v>45721</v>
      </c>
      <c r="C221" s="47" t="s">
        <v>166</v>
      </c>
      <c r="D221" s="47" t="s">
        <v>172</v>
      </c>
      <c r="E221" s="47" t="s">
        <v>102</v>
      </c>
      <c r="F221" s="47" t="s">
        <v>161</v>
      </c>
      <c r="G221" s="49" t="n">
        <v>18089.8</v>
      </c>
      <c r="H221" s="50" t="n">
        <v>0.05</v>
      </c>
      <c r="I221" s="47" t="s">
        <v>162</v>
      </c>
      <c r="J221" s="48" t="n">
        <v>45721</v>
      </c>
      <c r="K221" s="51" t="str">
        <f aca="false">"Q"&amp;ROUNDUP(MONTH(B221)/3,0)</f>
        <v>Q1</v>
      </c>
      <c r="L221" s="52" t="n">
        <f aca="false">ROUND(G221*H221,2)</f>
        <v>904.49</v>
      </c>
      <c r="M221" s="52" t="n">
        <f aca="false">IF(AND(C221="Sales",F221="Standard-rated 5%"),L221,0)</f>
        <v>0</v>
      </c>
      <c r="N221" s="52" t="n">
        <f aca="false">IF(F221="Reverse charge (imported services)",L221,0)</f>
        <v>0</v>
      </c>
      <c r="O221" s="52" t="n">
        <f aca="false">IF(C221&lt;&gt;"Purchase",0,IF(OR(I221="N",F221="Blocked input (entertainment)"),0,L221))</f>
        <v>904.49</v>
      </c>
      <c r="P221" s="52" t="n">
        <f aca="false">IF(C221&lt;&gt;"Purchase",0,L221-O221)</f>
        <v>0</v>
      </c>
      <c r="Q221" s="53" t="n">
        <f aca="false">J221-B221</f>
        <v>0</v>
      </c>
      <c r="R221" s="51" t="str">
        <f aca="false">IF(I221="N","Invalid / missing TRN",IF(F221="Blocked input (entertainment)","Blocked input",IF(Q221&gt;30,"Late posting (&gt;30d)","")))</f>
        <v/>
      </c>
    </row>
    <row r="222" customFormat="false" ht="15" hidden="false" customHeight="false" outlineLevel="0" collapsed="false">
      <c r="A222" s="47" t="s">
        <v>488</v>
      </c>
      <c r="B222" s="48" t="n">
        <v>45721</v>
      </c>
      <c r="C222" s="47" t="s">
        <v>166</v>
      </c>
      <c r="D222" s="47" t="s">
        <v>190</v>
      </c>
      <c r="E222" s="47" t="s">
        <v>100</v>
      </c>
      <c r="F222" s="47" t="s">
        <v>161</v>
      </c>
      <c r="G222" s="49" t="n">
        <v>69289.53</v>
      </c>
      <c r="H222" s="50" t="n">
        <v>0.05</v>
      </c>
      <c r="I222" s="47" t="s">
        <v>162</v>
      </c>
      <c r="J222" s="48" t="n">
        <v>45721</v>
      </c>
      <c r="K222" s="51" t="str">
        <f aca="false">"Q"&amp;ROUNDUP(MONTH(B222)/3,0)</f>
        <v>Q1</v>
      </c>
      <c r="L222" s="52" t="n">
        <f aca="false">ROUND(G222*H222,2)</f>
        <v>3464.48</v>
      </c>
      <c r="M222" s="52" t="n">
        <f aca="false">IF(AND(C222="Sales",F222="Standard-rated 5%"),L222,0)</f>
        <v>0</v>
      </c>
      <c r="N222" s="52" t="n">
        <f aca="false">IF(F222="Reverse charge (imported services)",L222,0)</f>
        <v>0</v>
      </c>
      <c r="O222" s="52" t="n">
        <f aca="false">IF(C222&lt;&gt;"Purchase",0,IF(OR(I222="N",F222="Blocked input (entertainment)"),0,L222))</f>
        <v>3464.48</v>
      </c>
      <c r="P222" s="52" t="n">
        <f aca="false">IF(C222&lt;&gt;"Purchase",0,L222-O222)</f>
        <v>0</v>
      </c>
      <c r="Q222" s="53" t="n">
        <f aca="false">J222-B222</f>
        <v>0</v>
      </c>
      <c r="R222" s="51" t="str">
        <f aca="false">IF(I222="N","Invalid / missing TRN",IF(F222="Blocked input (entertainment)","Blocked input",IF(Q222&gt;30,"Late posting (&gt;30d)","")))</f>
        <v/>
      </c>
    </row>
    <row r="223" customFormat="false" ht="15" hidden="false" customHeight="false" outlineLevel="0" collapsed="false">
      <c r="A223" s="47" t="s">
        <v>489</v>
      </c>
      <c r="B223" s="48" t="n">
        <v>45721</v>
      </c>
      <c r="C223" s="47" t="s">
        <v>159</v>
      </c>
      <c r="D223" s="47" t="s">
        <v>490</v>
      </c>
      <c r="E223" s="47" t="s">
        <v>100</v>
      </c>
      <c r="F223" s="47" t="s">
        <v>161</v>
      </c>
      <c r="G223" s="49" t="n">
        <v>32891.55</v>
      </c>
      <c r="H223" s="50" t="n">
        <v>0.05</v>
      </c>
      <c r="I223" s="47" t="s">
        <v>162</v>
      </c>
      <c r="J223" s="48" t="n">
        <v>45721</v>
      </c>
      <c r="K223" s="51" t="str">
        <f aca="false">"Q"&amp;ROUNDUP(MONTH(B223)/3,0)</f>
        <v>Q1</v>
      </c>
      <c r="L223" s="52" t="n">
        <f aca="false">ROUND(G223*H223,2)</f>
        <v>1644.58</v>
      </c>
      <c r="M223" s="52" t="n">
        <f aca="false">IF(AND(C223="Sales",F223="Standard-rated 5%"),L223,0)</f>
        <v>1644.58</v>
      </c>
      <c r="N223" s="52" t="n">
        <f aca="false">IF(F223="Reverse charge (imported services)",L223,0)</f>
        <v>0</v>
      </c>
      <c r="O223" s="52" t="n">
        <f aca="false">IF(C223&lt;&gt;"Purchase",0,IF(OR(I223="N",F223="Blocked input (entertainment)"),0,L223))</f>
        <v>0</v>
      </c>
      <c r="P223" s="52" t="n">
        <f aca="false">IF(C223&lt;&gt;"Purchase",0,L223-O223)</f>
        <v>0</v>
      </c>
      <c r="Q223" s="53" t="n">
        <f aca="false">J223-B223</f>
        <v>0</v>
      </c>
      <c r="R223" s="51" t="str">
        <f aca="false">IF(I223="N","Invalid / missing TRN",IF(F223="Blocked input (entertainment)","Blocked input",IF(Q223&gt;30,"Late posting (&gt;30d)","")))</f>
        <v/>
      </c>
    </row>
    <row r="224" customFormat="false" ht="15" hidden="false" customHeight="false" outlineLevel="0" collapsed="false">
      <c r="A224" s="47" t="s">
        <v>491</v>
      </c>
      <c r="B224" s="48" t="n">
        <v>45721</v>
      </c>
      <c r="C224" s="47" t="s">
        <v>159</v>
      </c>
      <c r="D224" s="47" t="s">
        <v>160</v>
      </c>
      <c r="E224" s="47" t="s">
        <v>101</v>
      </c>
      <c r="F224" s="47" t="s">
        <v>278</v>
      </c>
      <c r="G224" s="49" t="n">
        <v>56426.93</v>
      </c>
      <c r="H224" s="50" t="n">
        <v>0</v>
      </c>
      <c r="I224" s="47" t="s">
        <v>162</v>
      </c>
      <c r="J224" s="48" t="n">
        <v>45722</v>
      </c>
      <c r="K224" s="51" t="str">
        <f aca="false">"Q"&amp;ROUNDUP(MONTH(B224)/3,0)</f>
        <v>Q1</v>
      </c>
      <c r="L224" s="52" t="n">
        <f aca="false">ROUND(G224*H224,2)</f>
        <v>0</v>
      </c>
      <c r="M224" s="52" t="n">
        <f aca="false">IF(AND(C224="Sales",F224="Standard-rated 5%"),L224,0)</f>
        <v>0</v>
      </c>
      <c r="N224" s="52" t="n">
        <f aca="false">IF(F224="Reverse charge (imported services)",L224,0)</f>
        <v>0</v>
      </c>
      <c r="O224" s="52" t="n">
        <f aca="false">IF(C224&lt;&gt;"Purchase",0,IF(OR(I224="N",F224="Blocked input (entertainment)"),0,L224))</f>
        <v>0</v>
      </c>
      <c r="P224" s="52" t="n">
        <f aca="false">IF(C224&lt;&gt;"Purchase",0,L224-O224)</f>
        <v>0</v>
      </c>
      <c r="Q224" s="53" t="n">
        <f aca="false">J224-B224</f>
        <v>1</v>
      </c>
      <c r="R224" s="51" t="str">
        <f aca="false">IF(I224="N","Invalid / missing TRN",IF(F224="Blocked input (entertainment)","Blocked input",IF(Q224&gt;30,"Late posting (&gt;30d)","")))</f>
        <v/>
      </c>
    </row>
    <row r="225" customFormat="false" ht="15" hidden="false" customHeight="false" outlineLevel="0" collapsed="false">
      <c r="A225" s="47" t="s">
        <v>492</v>
      </c>
      <c r="B225" s="48" t="n">
        <v>45722</v>
      </c>
      <c r="C225" s="47" t="s">
        <v>166</v>
      </c>
      <c r="D225" s="47" t="s">
        <v>196</v>
      </c>
      <c r="E225" s="47" t="s">
        <v>102</v>
      </c>
      <c r="F225" s="47" t="s">
        <v>161</v>
      </c>
      <c r="G225" s="49" t="n">
        <v>7506.02</v>
      </c>
      <c r="H225" s="50" t="n">
        <v>0.05</v>
      </c>
      <c r="I225" s="47" t="s">
        <v>162</v>
      </c>
      <c r="J225" s="48" t="n">
        <v>45722</v>
      </c>
      <c r="K225" s="51" t="str">
        <f aca="false">"Q"&amp;ROUNDUP(MONTH(B225)/3,0)</f>
        <v>Q1</v>
      </c>
      <c r="L225" s="52" t="n">
        <f aca="false">ROUND(G225*H225,2)</f>
        <v>375.3</v>
      </c>
      <c r="M225" s="52" t="n">
        <f aca="false">IF(AND(C225="Sales",F225="Standard-rated 5%"),L225,0)</f>
        <v>0</v>
      </c>
      <c r="N225" s="52" t="n">
        <f aca="false">IF(F225="Reverse charge (imported services)",L225,0)</f>
        <v>0</v>
      </c>
      <c r="O225" s="52" t="n">
        <f aca="false">IF(C225&lt;&gt;"Purchase",0,IF(OR(I225="N",F225="Blocked input (entertainment)"),0,L225))</f>
        <v>375.3</v>
      </c>
      <c r="P225" s="52" t="n">
        <f aca="false">IF(C225&lt;&gt;"Purchase",0,L225-O225)</f>
        <v>0</v>
      </c>
      <c r="Q225" s="53" t="n">
        <f aca="false">J225-B225</f>
        <v>0</v>
      </c>
      <c r="R225" s="51" t="str">
        <f aca="false">IF(I225="N","Invalid / missing TRN",IF(F225="Blocked input (entertainment)","Blocked input",IF(Q225&gt;30,"Late posting (&gt;30d)","")))</f>
        <v/>
      </c>
    </row>
    <row r="226" customFormat="false" ht="15" hidden="false" customHeight="false" outlineLevel="0" collapsed="false">
      <c r="A226" s="47" t="s">
        <v>493</v>
      </c>
      <c r="B226" s="48" t="n">
        <v>45722</v>
      </c>
      <c r="C226" s="47" t="s">
        <v>166</v>
      </c>
      <c r="D226" s="47" t="s">
        <v>253</v>
      </c>
      <c r="E226" s="47" t="s">
        <v>100</v>
      </c>
      <c r="F226" s="47" t="s">
        <v>161</v>
      </c>
      <c r="G226" s="49" t="n">
        <v>27291.82</v>
      </c>
      <c r="H226" s="50" t="n">
        <v>0.05</v>
      </c>
      <c r="I226" s="47" t="s">
        <v>162</v>
      </c>
      <c r="J226" s="48" t="n">
        <v>45722</v>
      </c>
      <c r="K226" s="51" t="str">
        <f aca="false">"Q"&amp;ROUNDUP(MONTH(B226)/3,0)</f>
        <v>Q1</v>
      </c>
      <c r="L226" s="52" t="n">
        <f aca="false">ROUND(G226*H226,2)</f>
        <v>1364.59</v>
      </c>
      <c r="M226" s="52" t="n">
        <f aca="false">IF(AND(C226="Sales",F226="Standard-rated 5%"),L226,0)</f>
        <v>0</v>
      </c>
      <c r="N226" s="52" t="n">
        <f aca="false">IF(F226="Reverse charge (imported services)",L226,0)</f>
        <v>0</v>
      </c>
      <c r="O226" s="52" t="n">
        <f aca="false">IF(C226&lt;&gt;"Purchase",0,IF(OR(I226="N",F226="Blocked input (entertainment)"),0,L226))</f>
        <v>1364.59</v>
      </c>
      <c r="P226" s="52" t="n">
        <f aca="false">IF(C226&lt;&gt;"Purchase",0,L226-O226)</f>
        <v>0</v>
      </c>
      <c r="Q226" s="53" t="n">
        <f aca="false">J226-B226</f>
        <v>0</v>
      </c>
      <c r="R226" s="51" t="str">
        <f aca="false">IF(I226="N","Invalid / missing TRN",IF(F226="Blocked input (entertainment)","Blocked input",IF(Q226&gt;30,"Late posting (&gt;30d)","")))</f>
        <v/>
      </c>
    </row>
    <row r="227" customFormat="false" ht="15" hidden="false" customHeight="false" outlineLevel="0" collapsed="false">
      <c r="A227" s="47" t="s">
        <v>494</v>
      </c>
      <c r="B227" s="48" t="n">
        <v>45722</v>
      </c>
      <c r="C227" s="47" t="s">
        <v>166</v>
      </c>
      <c r="D227" s="47" t="s">
        <v>257</v>
      </c>
      <c r="E227" s="47" t="s">
        <v>101</v>
      </c>
      <c r="F227" s="47" t="s">
        <v>161</v>
      </c>
      <c r="G227" s="49" t="n">
        <v>7306.75</v>
      </c>
      <c r="H227" s="50" t="n">
        <v>0.05</v>
      </c>
      <c r="I227" s="47" t="s">
        <v>162</v>
      </c>
      <c r="J227" s="48" t="n">
        <v>45722</v>
      </c>
      <c r="K227" s="51" t="str">
        <f aca="false">"Q"&amp;ROUNDUP(MONTH(B227)/3,0)</f>
        <v>Q1</v>
      </c>
      <c r="L227" s="52" t="n">
        <f aca="false">ROUND(G227*H227,2)</f>
        <v>365.34</v>
      </c>
      <c r="M227" s="52" t="n">
        <f aca="false">IF(AND(C227="Sales",F227="Standard-rated 5%"),L227,0)</f>
        <v>0</v>
      </c>
      <c r="N227" s="52" t="n">
        <f aca="false">IF(F227="Reverse charge (imported services)",L227,0)</f>
        <v>0</v>
      </c>
      <c r="O227" s="52" t="n">
        <f aca="false">IF(C227&lt;&gt;"Purchase",0,IF(OR(I227="N",F227="Blocked input (entertainment)"),0,L227))</f>
        <v>365.34</v>
      </c>
      <c r="P227" s="52" t="n">
        <f aca="false">IF(C227&lt;&gt;"Purchase",0,L227-O227)</f>
        <v>0</v>
      </c>
      <c r="Q227" s="53" t="n">
        <f aca="false">J227-B227</f>
        <v>0</v>
      </c>
      <c r="R227" s="51" t="str">
        <f aca="false">IF(I227="N","Invalid / missing TRN",IF(F227="Blocked input (entertainment)","Blocked input",IF(Q227&gt;30,"Late posting (&gt;30d)","")))</f>
        <v/>
      </c>
    </row>
    <row r="228" customFormat="false" ht="15" hidden="false" customHeight="false" outlineLevel="0" collapsed="false">
      <c r="A228" s="47" t="s">
        <v>495</v>
      </c>
      <c r="B228" s="48" t="n">
        <v>45722</v>
      </c>
      <c r="C228" s="47" t="s">
        <v>159</v>
      </c>
      <c r="D228" s="47" t="s">
        <v>383</v>
      </c>
      <c r="E228" s="47" t="s">
        <v>101</v>
      </c>
      <c r="F228" s="47" t="s">
        <v>161</v>
      </c>
      <c r="G228" s="49" t="n">
        <v>27518.55</v>
      </c>
      <c r="H228" s="50" t="n">
        <v>0.05</v>
      </c>
      <c r="I228" s="47" t="s">
        <v>162</v>
      </c>
      <c r="J228" s="48" t="n">
        <v>45722</v>
      </c>
      <c r="K228" s="51" t="str">
        <f aca="false">"Q"&amp;ROUNDUP(MONTH(B228)/3,0)</f>
        <v>Q1</v>
      </c>
      <c r="L228" s="52" t="n">
        <f aca="false">ROUND(G228*H228,2)</f>
        <v>1375.93</v>
      </c>
      <c r="M228" s="52" t="n">
        <f aca="false">IF(AND(C228="Sales",F228="Standard-rated 5%"),L228,0)</f>
        <v>1375.93</v>
      </c>
      <c r="N228" s="52" t="n">
        <f aca="false">IF(F228="Reverse charge (imported services)",L228,0)</f>
        <v>0</v>
      </c>
      <c r="O228" s="52" t="n">
        <f aca="false">IF(C228&lt;&gt;"Purchase",0,IF(OR(I228="N",F228="Blocked input (entertainment)"),0,L228))</f>
        <v>0</v>
      </c>
      <c r="P228" s="52" t="n">
        <f aca="false">IF(C228&lt;&gt;"Purchase",0,L228-O228)</f>
        <v>0</v>
      </c>
      <c r="Q228" s="53" t="n">
        <f aca="false">J228-B228</f>
        <v>0</v>
      </c>
      <c r="R228" s="51" t="str">
        <f aca="false">IF(I228="N","Invalid / missing TRN",IF(F228="Blocked input (entertainment)","Blocked input",IF(Q228&gt;30,"Late posting (&gt;30d)","")))</f>
        <v/>
      </c>
    </row>
    <row r="229" customFormat="false" ht="15" hidden="false" customHeight="false" outlineLevel="0" collapsed="false">
      <c r="A229" s="47" t="s">
        <v>496</v>
      </c>
      <c r="B229" s="48" t="n">
        <v>45723</v>
      </c>
      <c r="C229" s="47" t="s">
        <v>166</v>
      </c>
      <c r="D229" s="47" t="s">
        <v>221</v>
      </c>
      <c r="E229" s="47" t="s">
        <v>102</v>
      </c>
      <c r="F229" s="47" t="s">
        <v>161</v>
      </c>
      <c r="G229" s="49" t="n">
        <v>156982.51</v>
      </c>
      <c r="H229" s="50" t="n">
        <v>0.05</v>
      </c>
      <c r="I229" s="47" t="s">
        <v>162</v>
      </c>
      <c r="J229" s="48" t="n">
        <v>45724</v>
      </c>
      <c r="K229" s="51" t="str">
        <f aca="false">"Q"&amp;ROUNDUP(MONTH(B229)/3,0)</f>
        <v>Q1</v>
      </c>
      <c r="L229" s="52" t="n">
        <f aca="false">ROUND(G229*H229,2)</f>
        <v>7849.13</v>
      </c>
      <c r="M229" s="52" t="n">
        <f aca="false">IF(AND(C229="Sales",F229="Standard-rated 5%"),L229,0)</f>
        <v>0</v>
      </c>
      <c r="N229" s="52" t="n">
        <f aca="false">IF(F229="Reverse charge (imported services)",L229,0)</f>
        <v>0</v>
      </c>
      <c r="O229" s="52" t="n">
        <f aca="false">IF(C229&lt;&gt;"Purchase",0,IF(OR(I229="N",F229="Blocked input (entertainment)"),0,L229))</f>
        <v>7849.13</v>
      </c>
      <c r="P229" s="52" t="n">
        <f aca="false">IF(C229&lt;&gt;"Purchase",0,L229-O229)</f>
        <v>0</v>
      </c>
      <c r="Q229" s="53" t="n">
        <f aca="false">J229-B229</f>
        <v>1</v>
      </c>
      <c r="R229" s="51" t="str">
        <f aca="false">IF(I229="N","Invalid / missing TRN",IF(F229="Blocked input (entertainment)","Blocked input",IF(Q229&gt;30,"Late posting (&gt;30d)","")))</f>
        <v/>
      </c>
    </row>
    <row r="230" customFormat="false" ht="15" hidden="false" customHeight="false" outlineLevel="0" collapsed="false">
      <c r="A230" s="47" t="s">
        <v>497</v>
      </c>
      <c r="B230" s="48" t="n">
        <v>45723</v>
      </c>
      <c r="C230" s="47" t="s">
        <v>166</v>
      </c>
      <c r="D230" s="47" t="s">
        <v>458</v>
      </c>
      <c r="E230" s="47" t="s">
        <v>101</v>
      </c>
      <c r="F230" s="47" t="s">
        <v>161</v>
      </c>
      <c r="G230" s="49" t="n">
        <v>695498.8</v>
      </c>
      <c r="H230" s="50" t="n">
        <v>0.05</v>
      </c>
      <c r="I230" s="47" t="s">
        <v>162</v>
      </c>
      <c r="J230" s="48" t="n">
        <v>45723</v>
      </c>
      <c r="K230" s="51" t="str">
        <f aca="false">"Q"&amp;ROUNDUP(MONTH(B230)/3,0)</f>
        <v>Q1</v>
      </c>
      <c r="L230" s="52" t="n">
        <f aca="false">ROUND(G230*H230,2)</f>
        <v>34774.94</v>
      </c>
      <c r="M230" s="52" t="n">
        <f aca="false">IF(AND(C230="Sales",F230="Standard-rated 5%"),L230,0)</f>
        <v>0</v>
      </c>
      <c r="N230" s="52" t="n">
        <f aca="false">IF(F230="Reverse charge (imported services)",L230,0)</f>
        <v>0</v>
      </c>
      <c r="O230" s="52" t="n">
        <f aca="false">IF(C230&lt;&gt;"Purchase",0,IF(OR(I230="N",F230="Blocked input (entertainment)"),0,L230))</f>
        <v>34774.94</v>
      </c>
      <c r="P230" s="52" t="n">
        <f aca="false">IF(C230&lt;&gt;"Purchase",0,L230-O230)</f>
        <v>0</v>
      </c>
      <c r="Q230" s="53" t="n">
        <f aca="false">J230-B230</f>
        <v>0</v>
      </c>
      <c r="R230" s="51" t="str">
        <f aca="false">IF(I230="N","Invalid / missing TRN",IF(F230="Blocked input (entertainment)","Blocked input",IF(Q230&gt;30,"Late posting (&gt;30d)","")))</f>
        <v/>
      </c>
    </row>
    <row r="231" customFormat="false" ht="15" hidden="false" customHeight="false" outlineLevel="0" collapsed="false">
      <c r="A231" s="47" t="s">
        <v>498</v>
      </c>
      <c r="B231" s="48" t="n">
        <v>45723</v>
      </c>
      <c r="C231" s="47" t="s">
        <v>166</v>
      </c>
      <c r="D231" s="47" t="s">
        <v>466</v>
      </c>
      <c r="E231" s="47" t="s">
        <v>100</v>
      </c>
      <c r="F231" s="47" t="s">
        <v>161</v>
      </c>
      <c r="G231" s="49" t="n">
        <v>4310.23</v>
      </c>
      <c r="H231" s="50" t="n">
        <v>0.05</v>
      </c>
      <c r="I231" s="47" t="s">
        <v>162</v>
      </c>
      <c r="J231" s="48" t="n">
        <v>45728</v>
      </c>
      <c r="K231" s="51" t="str">
        <f aca="false">"Q"&amp;ROUNDUP(MONTH(B231)/3,0)</f>
        <v>Q1</v>
      </c>
      <c r="L231" s="52" t="n">
        <f aca="false">ROUND(G231*H231,2)</f>
        <v>215.51</v>
      </c>
      <c r="M231" s="52" t="n">
        <f aca="false">IF(AND(C231="Sales",F231="Standard-rated 5%"),L231,0)</f>
        <v>0</v>
      </c>
      <c r="N231" s="52" t="n">
        <f aca="false">IF(F231="Reverse charge (imported services)",L231,0)</f>
        <v>0</v>
      </c>
      <c r="O231" s="52" t="n">
        <f aca="false">IF(C231&lt;&gt;"Purchase",0,IF(OR(I231="N",F231="Blocked input (entertainment)"),0,L231))</f>
        <v>215.51</v>
      </c>
      <c r="P231" s="52" t="n">
        <f aca="false">IF(C231&lt;&gt;"Purchase",0,L231-O231)</f>
        <v>0</v>
      </c>
      <c r="Q231" s="53" t="n">
        <f aca="false">J231-B231</f>
        <v>5</v>
      </c>
      <c r="R231" s="51" t="str">
        <f aca="false">IF(I231="N","Invalid / missing TRN",IF(F231="Blocked input (entertainment)","Blocked input",IF(Q231&gt;30,"Late posting (&gt;30d)","")))</f>
        <v/>
      </c>
    </row>
    <row r="232" customFormat="false" ht="15" hidden="false" customHeight="false" outlineLevel="0" collapsed="false">
      <c r="A232" s="47" t="s">
        <v>499</v>
      </c>
      <c r="B232" s="48" t="n">
        <v>45724</v>
      </c>
      <c r="C232" s="47" t="s">
        <v>166</v>
      </c>
      <c r="D232" s="47" t="s">
        <v>280</v>
      </c>
      <c r="E232" s="47" t="s">
        <v>102</v>
      </c>
      <c r="F232" s="47" t="s">
        <v>161</v>
      </c>
      <c r="G232" s="49" t="n">
        <v>34712.35</v>
      </c>
      <c r="H232" s="50" t="n">
        <v>0.05</v>
      </c>
      <c r="I232" s="47" t="s">
        <v>162</v>
      </c>
      <c r="J232" s="48" t="n">
        <v>45724</v>
      </c>
      <c r="K232" s="51" t="str">
        <f aca="false">"Q"&amp;ROUNDUP(MONTH(B232)/3,0)</f>
        <v>Q1</v>
      </c>
      <c r="L232" s="52" t="n">
        <f aca="false">ROUND(G232*H232,2)</f>
        <v>1735.62</v>
      </c>
      <c r="M232" s="52" t="n">
        <f aca="false">IF(AND(C232="Sales",F232="Standard-rated 5%"),L232,0)</f>
        <v>0</v>
      </c>
      <c r="N232" s="52" t="n">
        <f aca="false">IF(F232="Reverse charge (imported services)",L232,0)</f>
        <v>0</v>
      </c>
      <c r="O232" s="52" t="n">
        <f aca="false">IF(C232&lt;&gt;"Purchase",0,IF(OR(I232="N",F232="Blocked input (entertainment)"),0,L232))</f>
        <v>1735.62</v>
      </c>
      <c r="P232" s="52" t="n">
        <f aca="false">IF(C232&lt;&gt;"Purchase",0,L232-O232)</f>
        <v>0</v>
      </c>
      <c r="Q232" s="53" t="n">
        <f aca="false">J232-B232</f>
        <v>0</v>
      </c>
      <c r="R232" s="51" t="str">
        <f aca="false">IF(I232="N","Invalid / missing TRN",IF(F232="Blocked input (entertainment)","Blocked input",IF(Q232&gt;30,"Late posting (&gt;30d)","")))</f>
        <v/>
      </c>
    </row>
    <row r="233" customFormat="false" ht="15" hidden="false" customHeight="false" outlineLevel="0" collapsed="false">
      <c r="A233" s="47" t="s">
        <v>500</v>
      </c>
      <c r="B233" s="48" t="n">
        <v>45724</v>
      </c>
      <c r="C233" s="47" t="s">
        <v>166</v>
      </c>
      <c r="D233" s="47" t="s">
        <v>229</v>
      </c>
      <c r="E233" s="47" t="s">
        <v>102</v>
      </c>
      <c r="F233" s="47" t="s">
        <v>173</v>
      </c>
      <c r="G233" s="49" t="n">
        <v>65395.02</v>
      </c>
      <c r="H233" s="50" t="n">
        <v>0.05</v>
      </c>
      <c r="I233" s="47" t="s">
        <v>162</v>
      </c>
      <c r="J233" s="48" t="n">
        <v>45724</v>
      </c>
      <c r="K233" s="51" t="str">
        <f aca="false">"Q"&amp;ROUNDUP(MONTH(B233)/3,0)</f>
        <v>Q1</v>
      </c>
      <c r="L233" s="52" t="n">
        <f aca="false">ROUND(G233*H233,2)</f>
        <v>3269.75</v>
      </c>
      <c r="M233" s="52" t="n">
        <f aca="false">IF(AND(C233="Sales",F233="Standard-rated 5%"),L233,0)</f>
        <v>0</v>
      </c>
      <c r="N233" s="52" t="n">
        <f aca="false">IF(F233="Reverse charge (imported services)",L233,0)</f>
        <v>3269.75</v>
      </c>
      <c r="O233" s="52" t="n">
        <f aca="false">IF(C233&lt;&gt;"Purchase",0,IF(OR(I233="N",F233="Blocked input (entertainment)"),0,L233))</f>
        <v>3269.75</v>
      </c>
      <c r="P233" s="52" t="n">
        <f aca="false">IF(C233&lt;&gt;"Purchase",0,L233-O233)</f>
        <v>0</v>
      </c>
      <c r="Q233" s="53" t="n">
        <f aca="false">J233-B233</f>
        <v>0</v>
      </c>
      <c r="R233" s="51" t="str">
        <f aca="false">IF(I233="N","Invalid / missing TRN",IF(F233="Blocked input (entertainment)","Blocked input",IF(Q233&gt;30,"Late posting (&gt;30d)","")))</f>
        <v/>
      </c>
    </row>
    <row r="234" customFormat="false" ht="15" hidden="false" customHeight="false" outlineLevel="0" collapsed="false">
      <c r="A234" s="47" t="s">
        <v>501</v>
      </c>
      <c r="B234" s="48" t="n">
        <v>45724</v>
      </c>
      <c r="C234" s="47" t="s">
        <v>166</v>
      </c>
      <c r="D234" s="47" t="s">
        <v>295</v>
      </c>
      <c r="E234" s="47" t="s">
        <v>104</v>
      </c>
      <c r="F234" s="47" t="s">
        <v>161</v>
      </c>
      <c r="G234" s="49" t="n">
        <v>42683.12</v>
      </c>
      <c r="H234" s="50" t="n">
        <v>0.05</v>
      </c>
      <c r="I234" s="47" t="s">
        <v>162</v>
      </c>
      <c r="J234" s="48" t="n">
        <v>45724</v>
      </c>
      <c r="K234" s="51" t="str">
        <f aca="false">"Q"&amp;ROUNDUP(MONTH(B234)/3,0)</f>
        <v>Q1</v>
      </c>
      <c r="L234" s="52" t="n">
        <f aca="false">ROUND(G234*H234,2)</f>
        <v>2134.16</v>
      </c>
      <c r="M234" s="52" t="n">
        <f aca="false">IF(AND(C234="Sales",F234="Standard-rated 5%"),L234,0)</f>
        <v>0</v>
      </c>
      <c r="N234" s="52" t="n">
        <f aca="false">IF(F234="Reverse charge (imported services)",L234,0)</f>
        <v>0</v>
      </c>
      <c r="O234" s="52" t="n">
        <f aca="false">IF(C234&lt;&gt;"Purchase",0,IF(OR(I234="N",F234="Blocked input (entertainment)"),0,L234))</f>
        <v>2134.16</v>
      </c>
      <c r="P234" s="52" t="n">
        <f aca="false">IF(C234&lt;&gt;"Purchase",0,L234-O234)</f>
        <v>0</v>
      </c>
      <c r="Q234" s="53" t="n">
        <f aca="false">J234-B234</f>
        <v>0</v>
      </c>
      <c r="R234" s="51" t="str">
        <f aca="false">IF(I234="N","Invalid / missing TRN",IF(F234="Blocked input (entertainment)","Blocked input",IF(Q234&gt;30,"Late posting (&gt;30d)","")))</f>
        <v/>
      </c>
    </row>
    <row r="235" customFormat="false" ht="15" hidden="false" customHeight="false" outlineLevel="0" collapsed="false">
      <c r="A235" s="47" t="s">
        <v>502</v>
      </c>
      <c r="B235" s="48" t="n">
        <v>45724</v>
      </c>
      <c r="C235" s="47" t="s">
        <v>166</v>
      </c>
      <c r="D235" s="47" t="s">
        <v>411</v>
      </c>
      <c r="E235" s="47" t="s">
        <v>100</v>
      </c>
      <c r="F235" s="47" t="s">
        <v>161</v>
      </c>
      <c r="G235" s="49" t="n">
        <v>25423.77</v>
      </c>
      <c r="H235" s="50" t="n">
        <v>0.05</v>
      </c>
      <c r="I235" s="47" t="s">
        <v>162</v>
      </c>
      <c r="J235" s="48" t="n">
        <v>45724</v>
      </c>
      <c r="K235" s="51" t="str">
        <f aca="false">"Q"&amp;ROUNDUP(MONTH(B235)/3,0)</f>
        <v>Q1</v>
      </c>
      <c r="L235" s="52" t="n">
        <f aca="false">ROUND(G235*H235,2)</f>
        <v>1271.19</v>
      </c>
      <c r="M235" s="52" t="n">
        <f aca="false">IF(AND(C235="Sales",F235="Standard-rated 5%"),L235,0)</f>
        <v>0</v>
      </c>
      <c r="N235" s="52" t="n">
        <f aca="false">IF(F235="Reverse charge (imported services)",L235,0)</f>
        <v>0</v>
      </c>
      <c r="O235" s="52" t="n">
        <f aca="false">IF(C235&lt;&gt;"Purchase",0,IF(OR(I235="N",F235="Blocked input (entertainment)"),0,L235))</f>
        <v>1271.19</v>
      </c>
      <c r="P235" s="52" t="n">
        <f aca="false">IF(C235&lt;&gt;"Purchase",0,L235-O235)</f>
        <v>0</v>
      </c>
      <c r="Q235" s="53" t="n">
        <f aca="false">J235-B235</f>
        <v>0</v>
      </c>
      <c r="R235" s="51" t="str">
        <f aca="false">IF(I235="N","Invalid / missing TRN",IF(F235="Blocked input (entertainment)","Blocked input",IF(Q235&gt;30,"Late posting (&gt;30d)","")))</f>
        <v/>
      </c>
    </row>
    <row r="236" customFormat="false" ht="15" hidden="false" customHeight="false" outlineLevel="0" collapsed="false">
      <c r="A236" s="47" t="s">
        <v>503</v>
      </c>
      <c r="B236" s="48" t="n">
        <v>45724</v>
      </c>
      <c r="C236" s="47" t="s">
        <v>159</v>
      </c>
      <c r="D236" s="47" t="s">
        <v>179</v>
      </c>
      <c r="E236" s="47" t="s">
        <v>101</v>
      </c>
      <c r="F236" s="47" t="s">
        <v>161</v>
      </c>
      <c r="G236" s="49" t="n">
        <v>32905.51</v>
      </c>
      <c r="H236" s="50" t="n">
        <v>0.05</v>
      </c>
      <c r="I236" s="47" t="s">
        <v>162</v>
      </c>
      <c r="J236" s="48" t="n">
        <v>45724</v>
      </c>
      <c r="K236" s="51" t="str">
        <f aca="false">"Q"&amp;ROUNDUP(MONTH(B236)/3,0)</f>
        <v>Q1</v>
      </c>
      <c r="L236" s="52" t="n">
        <f aca="false">ROUND(G236*H236,2)</f>
        <v>1645.28</v>
      </c>
      <c r="M236" s="52" t="n">
        <f aca="false">IF(AND(C236="Sales",F236="Standard-rated 5%"),L236,0)</f>
        <v>1645.28</v>
      </c>
      <c r="N236" s="52" t="n">
        <f aca="false">IF(F236="Reverse charge (imported services)",L236,0)</f>
        <v>0</v>
      </c>
      <c r="O236" s="52" t="n">
        <f aca="false">IF(C236&lt;&gt;"Purchase",0,IF(OR(I236="N",F236="Blocked input (entertainment)"),0,L236))</f>
        <v>0</v>
      </c>
      <c r="P236" s="52" t="n">
        <f aca="false">IF(C236&lt;&gt;"Purchase",0,L236-O236)</f>
        <v>0</v>
      </c>
      <c r="Q236" s="53" t="n">
        <f aca="false">J236-B236</f>
        <v>0</v>
      </c>
      <c r="R236" s="51" t="str">
        <f aca="false">IF(I236="N","Invalid / missing TRN",IF(F236="Blocked input (entertainment)","Blocked input",IF(Q236&gt;30,"Late posting (&gt;30d)","")))</f>
        <v/>
      </c>
    </row>
    <row r="237" customFormat="false" ht="15" hidden="false" customHeight="false" outlineLevel="0" collapsed="false">
      <c r="A237" s="47" t="s">
        <v>504</v>
      </c>
      <c r="B237" s="48" t="n">
        <v>45724</v>
      </c>
      <c r="C237" s="47" t="s">
        <v>159</v>
      </c>
      <c r="D237" s="47" t="s">
        <v>505</v>
      </c>
      <c r="E237" s="47" t="s">
        <v>101</v>
      </c>
      <c r="F237" s="47" t="s">
        <v>161</v>
      </c>
      <c r="G237" s="49" t="n">
        <v>20792.57</v>
      </c>
      <c r="H237" s="50" t="n">
        <v>0.05</v>
      </c>
      <c r="I237" s="47" t="s">
        <v>162</v>
      </c>
      <c r="J237" s="48" t="n">
        <v>45726</v>
      </c>
      <c r="K237" s="51" t="str">
        <f aca="false">"Q"&amp;ROUNDUP(MONTH(B237)/3,0)</f>
        <v>Q1</v>
      </c>
      <c r="L237" s="52" t="n">
        <f aca="false">ROUND(G237*H237,2)</f>
        <v>1039.63</v>
      </c>
      <c r="M237" s="52" t="n">
        <f aca="false">IF(AND(C237="Sales",F237="Standard-rated 5%"),L237,0)</f>
        <v>1039.63</v>
      </c>
      <c r="N237" s="52" t="n">
        <f aca="false">IF(F237="Reverse charge (imported services)",L237,0)</f>
        <v>0</v>
      </c>
      <c r="O237" s="52" t="n">
        <f aca="false">IF(C237&lt;&gt;"Purchase",0,IF(OR(I237="N",F237="Blocked input (entertainment)"),0,L237))</f>
        <v>0</v>
      </c>
      <c r="P237" s="52" t="n">
        <f aca="false">IF(C237&lt;&gt;"Purchase",0,L237-O237)</f>
        <v>0</v>
      </c>
      <c r="Q237" s="53" t="n">
        <f aca="false">J237-B237</f>
        <v>2</v>
      </c>
      <c r="R237" s="51" t="str">
        <f aca="false">IF(I237="N","Invalid / missing TRN",IF(F237="Blocked input (entertainment)","Blocked input",IF(Q237&gt;30,"Late posting (&gt;30d)","")))</f>
        <v/>
      </c>
    </row>
    <row r="238" customFormat="false" ht="15" hidden="false" customHeight="false" outlineLevel="0" collapsed="false">
      <c r="A238" s="47" t="s">
        <v>506</v>
      </c>
      <c r="B238" s="48" t="n">
        <v>45725</v>
      </c>
      <c r="C238" s="47" t="s">
        <v>166</v>
      </c>
      <c r="D238" s="47" t="s">
        <v>312</v>
      </c>
      <c r="E238" s="47" t="s">
        <v>100</v>
      </c>
      <c r="F238" s="47" t="s">
        <v>161</v>
      </c>
      <c r="G238" s="49" t="n">
        <v>7466.94</v>
      </c>
      <c r="H238" s="50" t="n">
        <v>0.05</v>
      </c>
      <c r="I238" s="47" t="s">
        <v>162</v>
      </c>
      <c r="J238" s="48" t="n">
        <v>45725</v>
      </c>
      <c r="K238" s="51" t="str">
        <f aca="false">"Q"&amp;ROUNDUP(MONTH(B238)/3,0)</f>
        <v>Q1</v>
      </c>
      <c r="L238" s="52" t="n">
        <f aca="false">ROUND(G238*H238,2)</f>
        <v>373.35</v>
      </c>
      <c r="M238" s="52" t="n">
        <f aca="false">IF(AND(C238="Sales",F238="Standard-rated 5%"),L238,0)</f>
        <v>0</v>
      </c>
      <c r="N238" s="52" t="n">
        <f aca="false">IF(F238="Reverse charge (imported services)",L238,0)</f>
        <v>0</v>
      </c>
      <c r="O238" s="52" t="n">
        <f aca="false">IF(C238&lt;&gt;"Purchase",0,IF(OR(I238="N",F238="Blocked input (entertainment)"),0,L238))</f>
        <v>373.35</v>
      </c>
      <c r="P238" s="52" t="n">
        <f aca="false">IF(C238&lt;&gt;"Purchase",0,L238-O238)</f>
        <v>0</v>
      </c>
      <c r="Q238" s="53" t="n">
        <f aca="false">J238-B238</f>
        <v>0</v>
      </c>
      <c r="R238" s="51" t="str">
        <f aca="false">IF(I238="N","Invalid / missing TRN",IF(F238="Blocked input (entertainment)","Blocked input",IF(Q238&gt;30,"Late posting (&gt;30d)","")))</f>
        <v/>
      </c>
    </row>
    <row r="239" customFormat="false" ht="15" hidden="false" customHeight="false" outlineLevel="0" collapsed="false">
      <c r="A239" s="47" t="s">
        <v>507</v>
      </c>
      <c r="B239" s="48" t="n">
        <v>45725</v>
      </c>
      <c r="C239" s="47" t="s">
        <v>159</v>
      </c>
      <c r="D239" s="47" t="s">
        <v>355</v>
      </c>
      <c r="E239" s="47" t="s">
        <v>100</v>
      </c>
      <c r="F239" s="47" t="s">
        <v>161</v>
      </c>
      <c r="G239" s="49" t="n">
        <v>46005.7</v>
      </c>
      <c r="H239" s="50" t="n">
        <v>0.05</v>
      </c>
      <c r="I239" s="47" t="s">
        <v>162</v>
      </c>
      <c r="J239" s="48" t="n">
        <v>45725</v>
      </c>
      <c r="K239" s="51" t="str">
        <f aca="false">"Q"&amp;ROUNDUP(MONTH(B239)/3,0)</f>
        <v>Q1</v>
      </c>
      <c r="L239" s="52" t="n">
        <f aca="false">ROUND(G239*H239,2)</f>
        <v>2300.29</v>
      </c>
      <c r="M239" s="52" t="n">
        <f aca="false">IF(AND(C239="Sales",F239="Standard-rated 5%"),L239,0)</f>
        <v>2300.29</v>
      </c>
      <c r="N239" s="52" t="n">
        <f aca="false">IF(F239="Reverse charge (imported services)",L239,0)</f>
        <v>0</v>
      </c>
      <c r="O239" s="52" t="n">
        <f aca="false">IF(C239&lt;&gt;"Purchase",0,IF(OR(I239="N",F239="Blocked input (entertainment)"),0,L239))</f>
        <v>0</v>
      </c>
      <c r="P239" s="52" t="n">
        <f aca="false">IF(C239&lt;&gt;"Purchase",0,L239-O239)</f>
        <v>0</v>
      </c>
      <c r="Q239" s="53" t="n">
        <f aca="false">J239-B239</f>
        <v>0</v>
      </c>
      <c r="R239" s="51" t="str">
        <f aca="false">IF(I239="N","Invalid / missing TRN",IF(F239="Blocked input (entertainment)","Blocked input",IF(Q239&gt;30,"Late posting (&gt;30d)","")))</f>
        <v/>
      </c>
    </row>
    <row r="240" customFormat="false" ht="15" hidden="false" customHeight="false" outlineLevel="0" collapsed="false">
      <c r="A240" s="47" t="s">
        <v>508</v>
      </c>
      <c r="B240" s="48" t="n">
        <v>45725</v>
      </c>
      <c r="C240" s="47" t="s">
        <v>159</v>
      </c>
      <c r="D240" s="47" t="s">
        <v>401</v>
      </c>
      <c r="E240" s="47" t="s">
        <v>102</v>
      </c>
      <c r="F240" s="47" t="s">
        <v>161</v>
      </c>
      <c r="G240" s="49" t="n">
        <v>57042.01</v>
      </c>
      <c r="H240" s="50" t="n">
        <v>0.05</v>
      </c>
      <c r="I240" s="47" t="s">
        <v>162</v>
      </c>
      <c r="J240" s="48" t="n">
        <v>45725</v>
      </c>
      <c r="K240" s="51" t="str">
        <f aca="false">"Q"&amp;ROUNDUP(MONTH(B240)/3,0)</f>
        <v>Q1</v>
      </c>
      <c r="L240" s="52" t="n">
        <f aca="false">ROUND(G240*H240,2)</f>
        <v>2852.1</v>
      </c>
      <c r="M240" s="52" t="n">
        <f aca="false">IF(AND(C240="Sales",F240="Standard-rated 5%"),L240,0)</f>
        <v>2852.1</v>
      </c>
      <c r="N240" s="52" t="n">
        <f aca="false">IF(F240="Reverse charge (imported services)",L240,0)</f>
        <v>0</v>
      </c>
      <c r="O240" s="52" t="n">
        <f aca="false">IF(C240&lt;&gt;"Purchase",0,IF(OR(I240="N",F240="Blocked input (entertainment)"),0,L240))</f>
        <v>0</v>
      </c>
      <c r="P240" s="52" t="n">
        <f aca="false">IF(C240&lt;&gt;"Purchase",0,L240-O240)</f>
        <v>0</v>
      </c>
      <c r="Q240" s="53" t="n">
        <f aca="false">J240-B240</f>
        <v>0</v>
      </c>
      <c r="R240" s="51" t="str">
        <f aca="false">IF(I240="N","Invalid / missing TRN",IF(F240="Blocked input (entertainment)","Blocked input",IF(Q240&gt;30,"Late posting (&gt;30d)","")))</f>
        <v/>
      </c>
    </row>
    <row r="241" customFormat="false" ht="15" hidden="false" customHeight="false" outlineLevel="0" collapsed="false">
      <c r="A241" s="47" t="s">
        <v>509</v>
      </c>
      <c r="B241" s="48" t="n">
        <v>45726</v>
      </c>
      <c r="C241" s="47" t="s">
        <v>166</v>
      </c>
      <c r="D241" s="47" t="s">
        <v>335</v>
      </c>
      <c r="E241" s="47" t="s">
        <v>100</v>
      </c>
      <c r="F241" s="47" t="s">
        <v>161</v>
      </c>
      <c r="G241" s="49" t="n">
        <v>25072.68</v>
      </c>
      <c r="H241" s="50" t="n">
        <v>0.05</v>
      </c>
      <c r="I241" s="47" t="s">
        <v>162</v>
      </c>
      <c r="J241" s="48" t="n">
        <v>45726</v>
      </c>
      <c r="K241" s="51" t="str">
        <f aca="false">"Q"&amp;ROUNDUP(MONTH(B241)/3,0)</f>
        <v>Q1</v>
      </c>
      <c r="L241" s="52" t="n">
        <f aca="false">ROUND(G241*H241,2)</f>
        <v>1253.63</v>
      </c>
      <c r="M241" s="52" t="n">
        <f aca="false">IF(AND(C241="Sales",F241="Standard-rated 5%"),L241,0)</f>
        <v>0</v>
      </c>
      <c r="N241" s="52" t="n">
        <f aca="false">IF(F241="Reverse charge (imported services)",L241,0)</f>
        <v>0</v>
      </c>
      <c r="O241" s="52" t="n">
        <f aca="false">IF(C241&lt;&gt;"Purchase",0,IF(OR(I241="N",F241="Blocked input (entertainment)"),0,L241))</f>
        <v>1253.63</v>
      </c>
      <c r="P241" s="52" t="n">
        <f aca="false">IF(C241&lt;&gt;"Purchase",0,L241-O241)</f>
        <v>0</v>
      </c>
      <c r="Q241" s="53" t="n">
        <f aca="false">J241-B241</f>
        <v>0</v>
      </c>
      <c r="R241" s="51" t="str">
        <f aca="false">IF(I241="N","Invalid / missing TRN",IF(F241="Blocked input (entertainment)","Blocked input",IF(Q241&gt;30,"Late posting (&gt;30d)","")))</f>
        <v/>
      </c>
    </row>
    <row r="242" customFormat="false" ht="15" hidden="false" customHeight="false" outlineLevel="0" collapsed="false">
      <c r="A242" s="47" t="s">
        <v>510</v>
      </c>
      <c r="B242" s="48" t="n">
        <v>45726</v>
      </c>
      <c r="C242" s="47" t="s">
        <v>166</v>
      </c>
      <c r="D242" s="47" t="s">
        <v>408</v>
      </c>
      <c r="E242" s="47" t="s">
        <v>102</v>
      </c>
      <c r="F242" s="47" t="s">
        <v>161</v>
      </c>
      <c r="G242" s="49" t="n">
        <v>146966.76</v>
      </c>
      <c r="H242" s="50" t="n">
        <v>0.05</v>
      </c>
      <c r="I242" s="47" t="s">
        <v>162</v>
      </c>
      <c r="J242" s="48" t="n">
        <v>45726</v>
      </c>
      <c r="K242" s="51" t="str">
        <f aca="false">"Q"&amp;ROUNDUP(MONTH(B242)/3,0)</f>
        <v>Q1</v>
      </c>
      <c r="L242" s="52" t="n">
        <f aca="false">ROUND(G242*H242,2)</f>
        <v>7348.34</v>
      </c>
      <c r="M242" s="52" t="n">
        <f aca="false">IF(AND(C242="Sales",F242="Standard-rated 5%"),L242,0)</f>
        <v>0</v>
      </c>
      <c r="N242" s="52" t="n">
        <f aca="false">IF(F242="Reverse charge (imported services)",L242,0)</f>
        <v>0</v>
      </c>
      <c r="O242" s="52" t="n">
        <f aca="false">IF(C242&lt;&gt;"Purchase",0,IF(OR(I242="N",F242="Blocked input (entertainment)"),0,L242))</f>
        <v>7348.34</v>
      </c>
      <c r="P242" s="52" t="n">
        <f aca="false">IF(C242&lt;&gt;"Purchase",0,L242-O242)</f>
        <v>0</v>
      </c>
      <c r="Q242" s="53" t="n">
        <f aca="false">J242-B242</f>
        <v>0</v>
      </c>
      <c r="R242" s="51" t="str">
        <f aca="false">IF(I242="N","Invalid / missing TRN",IF(F242="Blocked input (entertainment)","Blocked input",IF(Q242&gt;30,"Late posting (&gt;30d)","")))</f>
        <v/>
      </c>
    </row>
    <row r="243" customFormat="false" ht="15" hidden="false" customHeight="false" outlineLevel="0" collapsed="false">
      <c r="A243" s="47" t="s">
        <v>511</v>
      </c>
      <c r="B243" s="48" t="n">
        <v>45726</v>
      </c>
      <c r="C243" s="47" t="s">
        <v>159</v>
      </c>
      <c r="D243" s="47" t="s">
        <v>355</v>
      </c>
      <c r="E243" s="47" t="s">
        <v>103</v>
      </c>
      <c r="F243" s="47" t="s">
        <v>161</v>
      </c>
      <c r="G243" s="49" t="n">
        <v>56698</v>
      </c>
      <c r="H243" s="50" t="n">
        <v>0.05</v>
      </c>
      <c r="I243" s="47" t="s">
        <v>162</v>
      </c>
      <c r="J243" s="48" t="n">
        <v>45766</v>
      </c>
      <c r="K243" s="51" t="str">
        <f aca="false">"Q"&amp;ROUNDUP(MONTH(B243)/3,0)</f>
        <v>Q1</v>
      </c>
      <c r="L243" s="52" t="n">
        <f aca="false">ROUND(G243*H243,2)</f>
        <v>2834.9</v>
      </c>
      <c r="M243" s="52" t="n">
        <f aca="false">IF(AND(C243="Sales",F243="Standard-rated 5%"),L243,0)</f>
        <v>2834.9</v>
      </c>
      <c r="N243" s="52" t="n">
        <f aca="false">IF(F243="Reverse charge (imported services)",L243,0)</f>
        <v>0</v>
      </c>
      <c r="O243" s="52" t="n">
        <f aca="false">IF(C243&lt;&gt;"Purchase",0,IF(OR(I243="N",F243="Blocked input (entertainment)"),0,L243))</f>
        <v>0</v>
      </c>
      <c r="P243" s="52" t="n">
        <f aca="false">IF(C243&lt;&gt;"Purchase",0,L243-O243)</f>
        <v>0</v>
      </c>
      <c r="Q243" s="53" t="n">
        <f aca="false">J243-B243</f>
        <v>40</v>
      </c>
      <c r="R243" s="51" t="str">
        <f aca="false">IF(I243="N","Invalid / missing TRN",IF(F243="Blocked input (entertainment)","Blocked input",IF(Q243&gt;30,"Late posting (&gt;30d)","")))</f>
        <v>Late posting (&gt;30d)</v>
      </c>
    </row>
    <row r="244" customFormat="false" ht="15" hidden="false" customHeight="false" outlineLevel="0" collapsed="false">
      <c r="A244" s="47" t="s">
        <v>512</v>
      </c>
      <c r="B244" s="48" t="n">
        <v>45726</v>
      </c>
      <c r="C244" s="47" t="s">
        <v>159</v>
      </c>
      <c r="D244" s="47" t="s">
        <v>235</v>
      </c>
      <c r="E244" s="47" t="s">
        <v>100</v>
      </c>
      <c r="F244" s="47" t="s">
        <v>278</v>
      </c>
      <c r="G244" s="49" t="n">
        <v>78348.38</v>
      </c>
      <c r="H244" s="50" t="n">
        <v>0</v>
      </c>
      <c r="I244" s="47" t="s">
        <v>162</v>
      </c>
      <c r="J244" s="48" t="n">
        <v>45726</v>
      </c>
      <c r="K244" s="51" t="str">
        <f aca="false">"Q"&amp;ROUNDUP(MONTH(B244)/3,0)</f>
        <v>Q1</v>
      </c>
      <c r="L244" s="52" t="n">
        <f aca="false">ROUND(G244*H244,2)</f>
        <v>0</v>
      </c>
      <c r="M244" s="52" t="n">
        <f aca="false">IF(AND(C244="Sales",F244="Standard-rated 5%"),L244,0)</f>
        <v>0</v>
      </c>
      <c r="N244" s="52" t="n">
        <f aca="false">IF(F244="Reverse charge (imported services)",L244,0)</f>
        <v>0</v>
      </c>
      <c r="O244" s="52" t="n">
        <f aca="false">IF(C244&lt;&gt;"Purchase",0,IF(OR(I244="N",F244="Blocked input (entertainment)"),0,L244))</f>
        <v>0</v>
      </c>
      <c r="P244" s="52" t="n">
        <f aca="false">IF(C244&lt;&gt;"Purchase",0,L244-O244)</f>
        <v>0</v>
      </c>
      <c r="Q244" s="53" t="n">
        <f aca="false">J244-B244</f>
        <v>0</v>
      </c>
      <c r="R244" s="51" t="str">
        <f aca="false">IF(I244="N","Invalid / missing TRN",IF(F244="Blocked input (entertainment)","Blocked input",IF(Q244&gt;30,"Late posting (&gt;30d)","")))</f>
        <v/>
      </c>
    </row>
    <row r="245" customFormat="false" ht="15" hidden="false" customHeight="false" outlineLevel="0" collapsed="false">
      <c r="A245" s="47" t="s">
        <v>513</v>
      </c>
      <c r="B245" s="48" t="n">
        <v>45727</v>
      </c>
      <c r="C245" s="47" t="s">
        <v>166</v>
      </c>
      <c r="D245" s="47" t="s">
        <v>514</v>
      </c>
      <c r="E245" s="47" t="s">
        <v>104</v>
      </c>
      <c r="F245" s="47" t="s">
        <v>161</v>
      </c>
      <c r="G245" s="49" t="n">
        <v>47675.54</v>
      </c>
      <c r="H245" s="50" t="n">
        <v>0.05</v>
      </c>
      <c r="I245" s="47" t="s">
        <v>162</v>
      </c>
      <c r="J245" s="48" t="n">
        <v>45727</v>
      </c>
      <c r="K245" s="51" t="str">
        <f aca="false">"Q"&amp;ROUNDUP(MONTH(B245)/3,0)</f>
        <v>Q1</v>
      </c>
      <c r="L245" s="52" t="n">
        <f aca="false">ROUND(G245*H245,2)</f>
        <v>2383.78</v>
      </c>
      <c r="M245" s="52" t="n">
        <f aca="false">IF(AND(C245="Sales",F245="Standard-rated 5%"),L245,0)</f>
        <v>0</v>
      </c>
      <c r="N245" s="52" t="n">
        <f aca="false">IF(F245="Reverse charge (imported services)",L245,0)</f>
        <v>0</v>
      </c>
      <c r="O245" s="52" t="n">
        <f aca="false">IF(C245&lt;&gt;"Purchase",0,IF(OR(I245="N",F245="Blocked input (entertainment)"),0,L245))</f>
        <v>2383.78</v>
      </c>
      <c r="P245" s="52" t="n">
        <f aca="false">IF(C245&lt;&gt;"Purchase",0,L245-O245)</f>
        <v>0</v>
      </c>
      <c r="Q245" s="53" t="n">
        <f aca="false">J245-B245</f>
        <v>0</v>
      </c>
      <c r="R245" s="51" t="str">
        <f aca="false">IF(I245="N","Invalid / missing TRN",IF(F245="Blocked input (entertainment)","Blocked input",IF(Q245&gt;30,"Late posting (&gt;30d)","")))</f>
        <v/>
      </c>
    </row>
    <row r="246" customFormat="false" ht="15" hidden="false" customHeight="false" outlineLevel="0" collapsed="false">
      <c r="A246" s="47" t="s">
        <v>515</v>
      </c>
      <c r="B246" s="48" t="n">
        <v>45727</v>
      </c>
      <c r="C246" s="47" t="s">
        <v>159</v>
      </c>
      <c r="D246" s="47" t="s">
        <v>364</v>
      </c>
      <c r="E246" s="47" t="s">
        <v>102</v>
      </c>
      <c r="F246" s="47" t="s">
        <v>161</v>
      </c>
      <c r="G246" s="49" t="n">
        <v>30181.51</v>
      </c>
      <c r="H246" s="50" t="n">
        <v>0.05</v>
      </c>
      <c r="I246" s="47" t="s">
        <v>162</v>
      </c>
      <c r="J246" s="48" t="n">
        <v>45727</v>
      </c>
      <c r="K246" s="51" t="str">
        <f aca="false">"Q"&amp;ROUNDUP(MONTH(B246)/3,0)</f>
        <v>Q1</v>
      </c>
      <c r="L246" s="52" t="n">
        <f aca="false">ROUND(G246*H246,2)</f>
        <v>1509.08</v>
      </c>
      <c r="M246" s="52" t="n">
        <f aca="false">IF(AND(C246="Sales",F246="Standard-rated 5%"),L246,0)</f>
        <v>1509.08</v>
      </c>
      <c r="N246" s="52" t="n">
        <f aca="false">IF(F246="Reverse charge (imported services)",L246,0)</f>
        <v>0</v>
      </c>
      <c r="O246" s="52" t="n">
        <f aca="false">IF(C246&lt;&gt;"Purchase",0,IF(OR(I246="N",F246="Blocked input (entertainment)"),0,L246))</f>
        <v>0</v>
      </c>
      <c r="P246" s="52" t="n">
        <f aca="false">IF(C246&lt;&gt;"Purchase",0,L246-O246)</f>
        <v>0</v>
      </c>
      <c r="Q246" s="53" t="n">
        <f aca="false">J246-B246</f>
        <v>0</v>
      </c>
      <c r="R246" s="51" t="str">
        <f aca="false">IF(I246="N","Invalid / missing TRN",IF(F246="Blocked input (entertainment)","Blocked input",IF(Q246&gt;30,"Late posting (&gt;30d)","")))</f>
        <v/>
      </c>
    </row>
    <row r="247" customFormat="false" ht="15" hidden="false" customHeight="false" outlineLevel="0" collapsed="false">
      <c r="A247" s="47" t="s">
        <v>516</v>
      </c>
      <c r="B247" s="48" t="n">
        <v>45727</v>
      </c>
      <c r="C247" s="47" t="s">
        <v>159</v>
      </c>
      <c r="D247" s="47" t="s">
        <v>415</v>
      </c>
      <c r="E247" s="47" t="s">
        <v>100</v>
      </c>
      <c r="F247" s="47" t="s">
        <v>278</v>
      </c>
      <c r="G247" s="49" t="n">
        <v>38847.08</v>
      </c>
      <c r="H247" s="50" t="n">
        <v>0</v>
      </c>
      <c r="I247" s="47" t="s">
        <v>162</v>
      </c>
      <c r="J247" s="48" t="n">
        <v>45727</v>
      </c>
      <c r="K247" s="51" t="str">
        <f aca="false">"Q"&amp;ROUNDUP(MONTH(B247)/3,0)</f>
        <v>Q1</v>
      </c>
      <c r="L247" s="52" t="n">
        <f aca="false">ROUND(G247*H247,2)</f>
        <v>0</v>
      </c>
      <c r="M247" s="52" t="n">
        <f aca="false">IF(AND(C247="Sales",F247="Standard-rated 5%"),L247,0)</f>
        <v>0</v>
      </c>
      <c r="N247" s="52" t="n">
        <f aca="false">IF(F247="Reverse charge (imported services)",L247,0)</f>
        <v>0</v>
      </c>
      <c r="O247" s="52" t="n">
        <f aca="false">IF(C247&lt;&gt;"Purchase",0,IF(OR(I247="N",F247="Blocked input (entertainment)"),0,L247))</f>
        <v>0</v>
      </c>
      <c r="P247" s="52" t="n">
        <f aca="false">IF(C247&lt;&gt;"Purchase",0,L247-O247)</f>
        <v>0</v>
      </c>
      <c r="Q247" s="53" t="n">
        <f aca="false">J247-B247</f>
        <v>0</v>
      </c>
      <c r="R247" s="51" t="str">
        <f aca="false">IF(I247="N","Invalid / missing TRN",IF(F247="Blocked input (entertainment)","Blocked input",IF(Q247&gt;30,"Late posting (&gt;30d)","")))</f>
        <v/>
      </c>
    </row>
    <row r="248" customFormat="false" ht="15" hidden="false" customHeight="false" outlineLevel="0" collapsed="false">
      <c r="A248" s="47" t="s">
        <v>517</v>
      </c>
      <c r="B248" s="48" t="n">
        <v>45727</v>
      </c>
      <c r="C248" s="47" t="s">
        <v>159</v>
      </c>
      <c r="D248" s="47" t="s">
        <v>330</v>
      </c>
      <c r="E248" s="47" t="s">
        <v>101</v>
      </c>
      <c r="F248" s="47" t="s">
        <v>161</v>
      </c>
      <c r="G248" s="49" t="n">
        <v>46097.69</v>
      </c>
      <c r="H248" s="50" t="n">
        <v>0.05</v>
      </c>
      <c r="I248" s="47" t="s">
        <v>162</v>
      </c>
      <c r="J248" s="48" t="n">
        <v>45727</v>
      </c>
      <c r="K248" s="51" t="str">
        <f aca="false">"Q"&amp;ROUNDUP(MONTH(B248)/3,0)</f>
        <v>Q1</v>
      </c>
      <c r="L248" s="52" t="n">
        <f aca="false">ROUND(G248*H248,2)</f>
        <v>2304.88</v>
      </c>
      <c r="M248" s="52" t="n">
        <f aca="false">IF(AND(C248="Sales",F248="Standard-rated 5%"),L248,0)</f>
        <v>2304.88</v>
      </c>
      <c r="N248" s="52" t="n">
        <f aca="false">IF(F248="Reverse charge (imported services)",L248,0)</f>
        <v>0</v>
      </c>
      <c r="O248" s="52" t="n">
        <f aca="false">IF(C248&lt;&gt;"Purchase",0,IF(OR(I248="N",F248="Blocked input (entertainment)"),0,L248))</f>
        <v>0</v>
      </c>
      <c r="P248" s="52" t="n">
        <f aca="false">IF(C248&lt;&gt;"Purchase",0,L248-O248)</f>
        <v>0</v>
      </c>
      <c r="Q248" s="53" t="n">
        <f aca="false">J248-B248</f>
        <v>0</v>
      </c>
      <c r="R248" s="51" t="str">
        <f aca="false">IF(I248="N","Invalid / missing TRN",IF(F248="Blocked input (entertainment)","Blocked input",IF(Q248&gt;30,"Late posting (&gt;30d)","")))</f>
        <v/>
      </c>
    </row>
    <row r="249" customFormat="false" ht="15" hidden="false" customHeight="false" outlineLevel="0" collapsed="false">
      <c r="A249" s="47" t="s">
        <v>518</v>
      </c>
      <c r="B249" s="48" t="n">
        <v>45727</v>
      </c>
      <c r="C249" s="47" t="s">
        <v>159</v>
      </c>
      <c r="D249" s="47" t="s">
        <v>186</v>
      </c>
      <c r="E249" s="47" t="s">
        <v>100</v>
      </c>
      <c r="F249" s="47" t="s">
        <v>161</v>
      </c>
      <c r="G249" s="49" t="n">
        <v>63424.91</v>
      </c>
      <c r="H249" s="50" t="n">
        <v>0.05</v>
      </c>
      <c r="I249" s="47" t="s">
        <v>162</v>
      </c>
      <c r="J249" s="48" t="n">
        <v>45727</v>
      </c>
      <c r="K249" s="51" t="str">
        <f aca="false">"Q"&amp;ROUNDUP(MONTH(B249)/3,0)</f>
        <v>Q1</v>
      </c>
      <c r="L249" s="52" t="n">
        <f aca="false">ROUND(G249*H249,2)</f>
        <v>3171.25</v>
      </c>
      <c r="M249" s="52" t="n">
        <f aca="false">IF(AND(C249="Sales",F249="Standard-rated 5%"),L249,0)</f>
        <v>3171.25</v>
      </c>
      <c r="N249" s="52" t="n">
        <f aca="false">IF(F249="Reverse charge (imported services)",L249,0)</f>
        <v>0</v>
      </c>
      <c r="O249" s="52" t="n">
        <f aca="false">IF(C249&lt;&gt;"Purchase",0,IF(OR(I249="N",F249="Blocked input (entertainment)"),0,L249))</f>
        <v>0</v>
      </c>
      <c r="P249" s="52" t="n">
        <f aca="false">IF(C249&lt;&gt;"Purchase",0,L249-O249)</f>
        <v>0</v>
      </c>
      <c r="Q249" s="53" t="n">
        <f aca="false">J249-B249</f>
        <v>0</v>
      </c>
      <c r="R249" s="51" t="str">
        <f aca="false">IF(I249="N","Invalid / missing TRN",IF(F249="Blocked input (entertainment)","Blocked input",IF(Q249&gt;30,"Late posting (&gt;30d)","")))</f>
        <v/>
      </c>
    </row>
    <row r="250" customFormat="false" ht="15" hidden="false" customHeight="false" outlineLevel="0" collapsed="false">
      <c r="A250" s="47" t="s">
        <v>519</v>
      </c>
      <c r="B250" s="48" t="n">
        <v>45728</v>
      </c>
      <c r="C250" s="47" t="s">
        <v>159</v>
      </c>
      <c r="D250" s="47" t="s">
        <v>283</v>
      </c>
      <c r="E250" s="47" t="s">
        <v>101</v>
      </c>
      <c r="F250" s="47" t="s">
        <v>161</v>
      </c>
      <c r="G250" s="49" t="n">
        <v>15665.03</v>
      </c>
      <c r="H250" s="50" t="n">
        <v>0.05</v>
      </c>
      <c r="I250" s="47" t="s">
        <v>162</v>
      </c>
      <c r="J250" s="48" t="n">
        <v>45728</v>
      </c>
      <c r="K250" s="51" t="str">
        <f aca="false">"Q"&amp;ROUNDUP(MONTH(B250)/3,0)</f>
        <v>Q1</v>
      </c>
      <c r="L250" s="52" t="n">
        <f aca="false">ROUND(G250*H250,2)</f>
        <v>783.25</v>
      </c>
      <c r="M250" s="52" t="n">
        <f aca="false">IF(AND(C250="Sales",F250="Standard-rated 5%"),L250,0)</f>
        <v>783.25</v>
      </c>
      <c r="N250" s="52" t="n">
        <f aca="false">IF(F250="Reverse charge (imported services)",L250,0)</f>
        <v>0</v>
      </c>
      <c r="O250" s="52" t="n">
        <f aca="false">IF(C250&lt;&gt;"Purchase",0,IF(OR(I250="N",F250="Blocked input (entertainment)"),0,L250))</f>
        <v>0</v>
      </c>
      <c r="P250" s="52" t="n">
        <f aca="false">IF(C250&lt;&gt;"Purchase",0,L250-O250)</f>
        <v>0</v>
      </c>
      <c r="Q250" s="53" t="n">
        <f aca="false">J250-B250</f>
        <v>0</v>
      </c>
      <c r="R250" s="51" t="str">
        <f aca="false">IF(I250="N","Invalid / missing TRN",IF(F250="Blocked input (entertainment)","Blocked input",IF(Q250&gt;30,"Late posting (&gt;30d)","")))</f>
        <v/>
      </c>
    </row>
    <row r="251" customFormat="false" ht="15" hidden="false" customHeight="false" outlineLevel="0" collapsed="false">
      <c r="A251" s="47" t="s">
        <v>520</v>
      </c>
      <c r="B251" s="48" t="n">
        <v>45729</v>
      </c>
      <c r="C251" s="47" t="s">
        <v>166</v>
      </c>
      <c r="D251" s="47" t="s">
        <v>210</v>
      </c>
      <c r="E251" s="47" t="s">
        <v>103</v>
      </c>
      <c r="F251" s="47" t="s">
        <v>161</v>
      </c>
      <c r="G251" s="49" t="n">
        <v>18351.15</v>
      </c>
      <c r="H251" s="50" t="n">
        <v>0.05</v>
      </c>
      <c r="I251" s="47" t="s">
        <v>162</v>
      </c>
      <c r="J251" s="48" t="n">
        <v>45729</v>
      </c>
      <c r="K251" s="51" t="str">
        <f aca="false">"Q"&amp;ROUNDUP(MONTH(B251)/3,0)</f>
        <v>Q1</v>
      </c>
      <c r="L251" s="52" t="n">
        <f aca="false">ROUND(G251*H251,2)</f>
        <v>917.56</v>
      </c>
      <c r="M251" s="52" t="n">
        <f aca="false">IF(AND(C251="Sales",F251="Standard-rated 5%"),L251,0)</f>
        <v>0</v>
      </c>
      <c r="N251" s="52" t="n">
        <f aca="false">IF(F251="Reverse charge (imported services)",L251,0)</f>
        <v>0</v>
      </c>
      <c r="O251" s="52" t="n">
        <f aca="false">IF(C251&lt;&gt;"Purchase",0,IF(OR(I251="N",F251="Blocked input (entertainment)"),0,L251))</f>
        <v>917.56</v>
      </c>
      <c r="P251" s="52" t="n">
        <f aca="false">IF(C251&lt;&gt;"Purchase",0,L251-O251)</f>
        <v>0</v>
      </c>
      <c r="Q251" s="53" t="n">
        <f aca="false">J251-B251</f>
        <v>0</v>
      </c>
      <c r="R251" s="51" t="str">
        <f aca="false">IF(I251="N","Invalid / missing TRN",IF(F251="Blocked input (entertainment)","Blocked input",IF(Q251&gt;30,"Late posting (&gt;30d)","")))</f>
        <v/>
      </c>
    </row>
    <row r="252" customFormat="false" ht="15" hidden="false" customHeight="false" outlineLevel="0" collapsed="false">
      <c r="A252" s="47" t="s">
        <v>521</v>
      </c>
      <c r="B252" s="48" t="n">
        <v>45729</v>
      </c>
      <c r="C252" s="47" t="s">
        <v>166</v>
      </c>
      <c r="D252" s="47" t="s">
        <v>452</v>
      </c>
      <c r="E252" s="47" t="s">
        <v>102</v>
      </c>
      <c r="F252" s="47" t="s">
        <v>161</v>
      </c>
      <c r="G252" s="49" t="n">
        <v>50464.37</v>
      </c>
      <c r="H252" s="50" t="n">
        <v>0.05</v>
      </c>
      <c r="I252" s="47" t="s">
        <v>162</v>
      </c>
      <c r="J252" s="48" t="n">
        <v>45729</v>
      </c>
      <c r="K252" s="51" t="str">
        <f aca="false">"Q"&amp;ROUNDUP(MONTH(B252)/3,0)</f>
        <v>Q1</v>
      </c>
      <c r="L252" s="52" t="n">
        <f aca="false">ROUND(G252*H252,2)</f>
        <v>2523.22</v>
      </c>
      <c r="M252" s="52" t="n">
        <f aca="false">IF(AND(C252="Sales",F252="Standard-rated 5%"),L252,0)</f>
        <v>0</v>
      </c>
      <c r="N252" s="52" t="n">
        <f aca="false">IF(F252="Reverse charge (imported services)",L252,0)</f>
        <v>0</v>
      </c>
      <c r="O252" s="52" t="n">
        <f aca="false">IF(C252&lt;&gt;"Purchase",0,IF(OR(I252="N",F252="Blocked input (entertainment)"),0,L252))</f>
        <v>2523.22</v>
      </c>
      <c r="P252" s="52" t="n">
        <f aca="false">IF(C252&lt;&gt;"Purchase",0,L252-O252)</f>
        <v>0</v>
      </c>
      <c r="Q252" s="53" t="n">
        <f aca="false">J252-B252</f>
        <v>0</v>
      </c>
      <c r="R252" s="51" t="str">
        <f aca="false">IF(I252="N","Invalid / missing TRN",IF(F252="Blocked input (entertainment)","Blocked input",IF(Q252&gt;30,"Late posting (&gt;30d)","")))</f>
        <v/>
      </c>
    </row>
    <row r="253" customFormat="false" ht="15" hidden="false" customHeight="false" outlineLevel="0" collapsed="false">
      <c r="A253" s="47" t="s">
        <v>522</v>
      </c>
      <c r="B253" s="48" t="n">
        <v>45729</v>
      </c>
      <c r="C253" s="47" t="s">
        <v>166</v>
      </c>
      <c r="D253" s="47" t="s">
        <v>304</v>
      </c>
      <c r="E253" s="47" t="s">
        <v>104</v>
      </c>
      <c r="F253" s="47" t="s">
        <v>161</v>
      </c>
      <c r="G253" s="49" t="n">
        <v>16851.86</v>
      </c>
      <c r="H253" s="50" t="n">
        <v>0.05</v>
      </c>
      <c r="I253" s="47" t="s">
        <v>162</v>
      </c>
      <c r="J253" s="48" t="n">
        <v>45729</v>
      </c>
      <c r="K253" s="51" t="str">
        <f aca="false">"Q"&amp;ROUNDUP(MONTH(B253)/3,0)</f>
        <v>Q1</v>
      </c>
      <c r="L253" s="52" t="n">
        <f aca="false">ROUND(G253*H253,2)</f>
        <v>842.59</v>
      </c>
      <c r="M253" s="52" t="n">
        <f aca="false">IF(AND(C253="Sales",F253="Standard-rated 5%"),L253,0)</f>
        <v>0</v>
      </c>
      <c r="N253" s="52" t="n">
        <f aca="false">IF(F253="Reverse charge (imported services)",L253,0)</f>
        <v>0</v>
      </c>
      <c r="O253" s="52" t="n">
        <f aca="false">IF(C253&lt;&gt;"Purchase",0,IF(OR(I253="N",F253="Blocked input (entertainment)"),0,L253))</f>
        <v>842.59</v>
      </c>
      <c r="P253" s="52" t="n">
        <f aca="false">IF(C253&lt;&gt;"Purchase",0,L253-O253)</f>
        <v>0</v>
      </c>
      <c r="Q253" s="53" t="n">
        <f aca="false">J253-B253</f>
        <v>0</v>
      </c>
      <c r="R253" s="51" t="str">
        <f aca="false">IF(I253="N","Invalid / missing TRN",IF(F253="Blocked input (entertainment)","Blocked input",IF(Q253&gt;30,"Late posting (&gt;30d)","")))</f>
        <v/>
      </c>
    </row>
    <row r="254" customFormat="false" ht="15" hidden="false" customHeight="false" outlineLevel="0" collapsed="false">
      <c r="A254" s="47" t="s">
        <v>523</v>
      </c>
      <c r="B254" s="48" t="n">
        <v>45729</v>
      </c>
      <c r="C254" s="47" t="s">
        <v>166</v>
      </c>
      <c r="D254" s="47" t="s">
        <v>208</v>
      </c>
      <c r="E254" s="47" t="s">
        <v>100</v>
      </c>
      <c r="F254" s="47" t="s">
        <v>161</v>
      </c>
      <c r="G254" s="49" t="n">
        <v>9322.81</v>
      </c>
      <c r="H254" s="50" t="n">
        <v>0.05</v>
      </c>
      <c r="I254" s="47" t="s">
        <v>162</v>
      </c>
      <c r="J254" s="48" t="n">
        <v>45729</v>
      </c>
      <c r="K254" s="51" t="str">
        <f aca="false">"Q"&amp;ROUNDUP(MONTH(B254)/3,0)</f>
        <v>Q1</v>
      </c>
      <c r="L254" s="52" t="n">
        <f aca="false">ROUND(G254*H254,2)</f>
        <v>466.14</v>
      </c>
      <c r="M254" s="52" t="n">
        <f aca="false">IF(AND(C254="Sales",F254="Standard-rated 5%"),L254,0)</f>
        <v>0</v>
      </c>
      <c r="N254" s="52" t="n">
        <f aca="false">IF(F254="Reverse charge (imported services)",L254,0)</f>
        <v>0</v>
      </c>
      <c r="O254" s="52" t="n">
        <f aca="false">IF(C254&lt;&gt;"Purchase",0,IF(OR(I254="N",F254="Blocked input (entertainment)"),0,L254))</f>
        <v>466.14</v>
      </c>
      <c r="P254" s="52" t="n">
        <f aca="false">IF(C254&lt;&gt;"Purchase",0,L254-O254)</f>
        <v>0</v>
      </c>
      <c r="Q254" s="53" t="n">
        <f aca="false">J254-B254</f>
        <v>0</v>
      </c>
      <c r="R254" s="51" t="str">
        <f aca="false">IF(I254="N","Invalid / missing TRN",IF(F254="Blocked input (entertainment)","Blocked input",IF(Q254&gt;30,"Late posting (&gt;30d)","")))</f>
        <v/>
      </c>
    </row>
    <row r="255" customFormat="false" ht="15" hidden="false" customHeight="false" outlineLevel="0" collapsed="false">
      <c r="A255" s="47" t="s">
        <v>524</v>
      </c>
      <c r="B255" s="48" t="n">
        <v>45729</v>
      </c>
      <c r="C255" s="47" t="s">
        <v>159</v>
      </c>
      <c r="D255" s="47" t="s">
        <v>373</v>
      </c>
      <c r="E255" s="47" t="s">
        <v>104</v>
      </c>
      <c r="F255" s="47" t="s">
        <v>161</v>
      </c>
      <c r="G255" s="49" t="n">
        <v>46539.68</v>
      </c>
      <c r="H255" s="50" t="n">
        <v>0.05</v>
      </c>
      <c r="I255" s="47" t="s">
        <v>162</v>
      </c>
      <c r="J255" s="48" t="n">
        <v>45729</v>
      </c>
      <c r="K255" s="51" t="str">
        <f aca="false">"Q"&amp;ROUNDUP(MONTH(B255)/3,0)</f>
        <v>Q1</v>
      </c>
      <c r="L255" s="52" t="n">
        <f aca="false">ROUND(G255*H255,2)</f>
        <v>2326.98</v>
      </c>
      <c r="M255" s="52" t="n">
        <f aca="false">IF(AND(C255="Sales",F255="Standard-rated 5%"),L255,0)</f>
        <v>2326.98</v>
      </c>
      <c r="N255" s="52" t="n">
        <f aca="false">IF(F255="Reverse charge (imported services)",L255,0)</f>
        <v>0</v>
      </c>
      <c r="O255" s="52" t="n">
        <f aca="false">IF(C255&lt;&gt;"Purchase",0,IF(OR(I255="N",F255="Blocked input (entertainment)"),0,L255))</f>
        <v>0</v>
      </c>
      <c r="P255" s="52" t="n">
        <f aca="false">IF(C255&lt;&gt;"Purchase",0,L255-O255)</f>
        <v>0</v>
      </c>
      <c r="Q255" s="53" t="n">
        <f aca="false">J255-B255</f>
        <v>0</v>
      </c>
      <c r="R255" s="51" t="str">
        <f aca="false">IF(I255="N","Invalid / missing TRN",IF(F255="Blocked input (entertainment)","Blocked input",IF(Q255&gt;30,"Late posting (&gt;30d)","")))</f>
        <v/>
      </c>
    </row>
    <row r="256" customFormat="false" ht="15" hidden="false" customHeight="false" outlineLevel="0" collapsed="false">
      <c r="A256" s="47" t="s">
        <v>525</v>
      </c>
      <c r="B256" s="48" t="n">
        <v>45730</v>
      </c>
      <c r="C256" s="47" t="s">
        <v>166</v>
      </c>
      <c r="D256" s="47" t="s">
        <v>335</v>
      </c>
      <c r="E256" s="47" t="s">
        <v>101</v>
      </c>
      <c r="F256" s="47" t="s">
        <v>161</v>
      </c>
      <c r="G256" s="49" t="n">
        <v>10008.86</v>
      </c>
      <c r="H256" s="50" t="n">
        <v>0.05</v>
      </c>
      <c r="I256" s="47" t="s">
        <v>162</v>
      </c>
      <c r="J256" s="48" t="n">
        <v>45730</v>
      </c>
      <c r="K256" s="51" t="str">
        <f aca="false">"Q"&amp;ROUNDUP(MONTH(B256)/3,0)</f>
        <v>Q1</v>
      </c>
      <c r="L256" s="52" t="n">
        <f aca="false">ROUND(G256*H256,2)</f>
        <v>500.44</v>
      </c>
      <c r="M256" s="52" t="n">
        <f aca="false">IF(AND(C256="Sales",F256="Standard-rated 5%"),L256,0)</f>
        <v>0</v>
      </c>
      <c r="N256" s="52" t="n">
        <f aca="false">IF(F256="Reverse charge (imported services)",L256,0)</f>
        <v>0</v>
      </c>
      <c r="O256" s="52" t="n">
        <f aca="false">IF(C256&lt;&gt;"Purchase",0,IF(OR(I256="N",F256="Blocked input (entertainment)"),0,L256))</f>
        <v>500.44</v>
      </c>
      <c r="P256" s="52" t="n">
        <f aca="false">IF(C256&lt;&gt;"Purchase",0,L256-O256)</f>
        <v>0</v>
      </c>
      <c r="Q256" s="53" t="n">
        <f aca="false">J256-B256</f>
        <v>0</v>
      </c>
      <c r="R256" s="51" t="str">
        <f aca="false">IF(I256="N","Invalid / missing TRN",IF(F256="Blocked input (entertainment)","Blocked input",IF(Q256&gt;30,"Late posting (&gt;30d)","")))</f>
        <v/>
      </c>
    </row>
    <row r="257" customFormat="false" ht="15" hidden="false" customHeight="false" outlineLevel="0" collapsed="false">
      <c r="A257" s="47" t="s">
        <v>526</v>
      </c>
      <c r="B257" s="48" t="n">
        <v>45730</v>
      </c>
      <c r="C257" s="47" t="s">
        <v>166</v>
      </c>
      <c r="D257" s="47" t="s">
        <v>458</v>
      </c>
      <c r="E257" s="47" t="s">
        <v>100</v>
      </c>
      <c r="F257" s="47" t="s">
        <v>337</v>
      </c>
      <c r="G257" s="49" t="n">
        <v>42141.2</v>
      </c>
      <c r="H257" s="50" t="n">
        <v>0</v>
      </c>
      <c r="I257" s="47" t="s">
        <v>162</v>
      </c>
      <c r="J257" s="48" t="n">
        <v>45730</v>
      </c>
      <c r="K257" s="51" t="str">
        <f aca="false">"Q"&amp;ROUNDUP(MONTH(B257)/3,0)</f>
        <v>Q1</v>
      </c>
      <c r="L257" s="52" t="n">
        <f aca="false">ROUND(G257*H257,2)</f>
        <v>0</v>
      </c>
      <c r="M257" s="52" t="n">
        <f aca="false">IF(AND(C257="Sales",F257="Standard-rated 5%"),L257,0)</f>
        <v>0</v>
      </c>
      <c r="N257" s="52" t="n">
        <f aca="false">IF(F257="Reverse charge (imported services)",L257,0)</f>
        <v>0</v>
      </c>
      <c r="O257" s="52" t="n">
        <f aca="false">IF(C257&lt;&gt;"Purchase",0,IF(OR(I257="N",F257="Blocked input (entertainment)"),0,L257))</f>
        <v>0</v>
      </c>
      <c r="P257" s="52" t="n">
        <f aca="false">IF(C257&lt;&gt;"Purchase",0,L257-O257)</f>
        <v>0</v>
      </c>
      <c r="Q257" s="53" t="n">
        <f aca="false">J257-B257</f>
        <v>0</v>
      </c>
      <c r="R257" s="51" t="str">
        <f aca="false">IF(I257="N","Invalid / missing TRN",IF(F257="Blocked input (entertainment)","Blocked input",IF(Q257&gt;30,"Late posting (&gt;30d)","")))</f>
        <v/>
      </c>
    </row>
    <row r="258" customFormat="false" ht="15" hidden="false" customHeight="false" outlineLevel="0" collapsed="false">
      <c r="A258" s="47" t="s">
        <v>527</v>
      </c>
      <c r="B258" s="48" t="n">
        <v>45730</v>
      </c>
      <c r="C258" s="47" t="s">
        <v>166</v>
      </c>
      <c r="D258" s="47" t="s">
        <v>528</v>
      </c>
      <c r="E258" s="47" t="s">
        <v>101</v>
      </c>
      <c r="F258" s="47" t="s">
        <v>161</v>
      </c>
      <c r="G258" s="49" t="n">
        <v>34684.88</v>
      </c>
      <c r="H258" s="50" t="n">
        <v>0.05</v>
      </c>
      <c r="I258" s="47" t="s">
        <v>162</v>
      </c>
      <c r="J258" s="48" t="n">
        <v>45730</v>
      </c>
      <c r="K258" s="51" t="str">
        <f aca="false">"Q"&amp;ROUNDUP(MONTH(B258)/3,0)</f>
        <v>Q1</v>
      </c>
      <c r="L258" s="52" t="n">
        <f aca="false">ROUND(G258*H258,2)</f>
        <v>1734.24</v>
      </c>
      <c r="M258" s="52" t="n">
        <f aca="false">IF(AND(C258="Sales",F258="Standard-rated 5%"),L258,0)</f>
        <v>0</v>
      </c>
      <c r="N258" s="52" t="n">
        <f aca="false">IF(F258="Reverse charge (imported services)",L258,0)</f>
        <v>0</v>
      </c>
      <c r="O258" s="52" t="n">
        <f aca="false">IF(C258&lt;&gt;"Purchase",0,IF(OR(I258="N",F258="Blocked input (entertainment)"),0,L258))</f>
        <v>1734.24</v>
      </c>
      <c r="P258" s="52" t="n">
        <f aca="false">IF(C258&lt;&gt;"Purchase",0,L258-O258)</f>
        <v>0</v>
      </c>
      <c r="Q258" s="53" t="n">
        <f aca="false">J258-B258</f>
        <v>0</v>
      </c>
      <c r="R258" s="51" t="str">
        <f aca="false">IF(I258="N","Invalid / missing TRN",IF(F258="Blocked input (entertainment)","Blocked input",IF(Q258&gt;30,"Late posting (&gt;30d)","")))</f>
        <v/>
      </c>
    </row>
    <row r="259" customFormat="false" ht="15" hidden="false" customHeight="false" outlineLevel="0" collapsed="false">
      <c r="A259" s="47" t="s">
        <v>529</v>
      </c>
      <c r="B259" s="48" t="n">
        <v>45730</v>
      </c>
      <c r="C259" s="47" t="s">
        <v>166</v>
      </c>
      <c r="D259" s="47" t="s">
        <v>514</v>
      </c>
      <c r="E259" s="47" t="s">
        <v>100</v>
      </c>
      <c r="F259" s="47" t="s">
        <v>161</v>
      </c>
      <c r="G259" s="49" t="n">
        <v>61205.63</v>
      </c>
      <c r="H259" s="50" t="n">
        <v>0.05</v>
      </c>
      <c r="I259" s="47" t="s">
        <v>162</v>
      </c>
      <c r="J259" s="48" t="n">
        <v>45730</v>
      </c>
      <c r="K259" s="51" t="str">
        <f aca="false">"Q"&amp;ROUNDUP(MONTH(B259)/3,0)</f>
        <v>Q1</v>
      </c>
      <c r="L259" s="52" t="n">
        <f aca="false">ROUND(G259*H259,2)</f>
        <v>3060.28</v>
      </c>
      <c r="M259" s="52" t="n">
        <f aca="false">IF(AND(C259="Sales",F259="Standard-rated 5%"),L259,0)</f>
        <v>0</v>
      </c>
      <c r="N259" s="52" t="n">
        <f aca="false">IF(F259="Reverse charge (imported services)",L259,0)</f>
        <v>0</v>
      </c>
      <c r="O259" s="52" t="n">
        <f aca="false">IF(C259&lt;&gt;"Purchase",0,IF(OR(I259="N",F259="Blocked input (entertainment)"),0,L259))</f>
        <v>3060.28</v>
      </c>
      <c r="P259" s="52" t="n">
        <f aca="false">IF(C259&lt;&gt;"Purchase",0,L259-O259)</f>
        <v>0</v>
      </c>
      <c r="Q259" s="53" t="n">
        <f aca="false">J259-B259</f>
        <v>0</v>
      </c>
      <c r="R259" s="51" t="str">
        <f aca="false">IF(I259="N","Invalid / missing TRN",IF(F259="Blocked input (entertainment)","Blocked input",IF(Q259&gt;30,"Late posting (&gt;30d)","")))</f>
        <v/>
      </c>
    </row>
    <row r="260" customFormat="false" ht="15" hidden="false" customHeight="false" outlineLevel="0" collapsed="false">
      <c r="A260" s="47" t="s">
        <v>530</v>
      </c>
      <c r="B260" s="48" t="n">
        <v>45730</v>
      </c>
      <c r="C260" s="47" t="s">
        <v>159</v>
      </c>
      <c r="D260" s="47" t="s">
        <v>160</v>
      </c>
      <c r="E260" s="47" t="s">
        <v>102</v>
      </c>
      <c r="F260" s="47" t="s">
        <v>161</v>
      </c>
      <c r="G260" s="49" t="n">
        <v>58392.79</v>
      </c>
      <c r="H260" s="50" t="n">
        <v>0.05</v>
      </c>
      <c r="I260" s="47" t="s">
        <v>162</v>
      </c>
      <c r="J260" s="48" t="n">
        <v>45730</v>
      </c>
      <c r="K260" s="51" t="str">
        <f aca="false">"Q"&amp;ROUNDUP(MONTH(B260)/3,0)</f>
        <v>Q1</v>
      </c>
      <c r="L260" s="52" t="n">
        <f aca="false">ROUND(G260*H260,2)</f>
        <v>2919.64</v>
      </c>
      <c r="M260" s="52" t="n">
        <f aca="false">IF(AND(C260="Sales",F260="Standard-rated 5%"),L260,0)</f>
        <v>2919.64</v>
      </c>
      <c r="N260" s="52" t="n">
        <f aca="false">IF(F260="Reverse charge (imported services)",L260,0)</f>
        <v>0</v>
      </c>
      <c r="O260" s="52" t="n">
        <f aca="false">IF(C260&lt;&gt;"Purchase",0,IF(OR(I260="N",F260="Blocked input (entertainment)"),0,L260))</f>
        <v>0</v>
      </c>
      <c r="P260" s="52" t="n">
        <f aca="false">IF(C260&lt;&gt;"Purchase",0,L260-O260)</f>
        <v>0</v>
      </c>
      <c r="Q260" s="53" t="n">
        <f aca="false">J260-B260</f>
        <v>0</v>
      </c>
      <c r="R260" s="51" t="str">
        <f aca="false">IF(I260="N","Invalid / missing TRN",IF(F260="Blocked input (entertainment)","Blocked input",IF(Q260&gt;30,"Late posting (&gt;30d)","")))</f>
        <v/>
      </c>
    </row>
    <row r="261" customFormat="false" ht="15" hidden="false" customHeight="false" outlineLevel="0" collapsed="false">
      <c r="A261" s="47" t="s">
        <v>531</v>
      </c>
      <c r="B261" s="48" t="n">
        <v>45730</v>
      </c>
      <c r="C261" s="47" t="s">
        <v>159</v>
      </c>
      <c r="D261" s="47" t="s">
        <v>532</v>
      </c>
      <c r="E261" s="47" t="s">
        <v>103</v>
      </c>
      <c r="F261" s="47" t="s">
        <v>214</v>
      </c>
      <c r="G261" s="49" t="n">
        <v>56341.21</v>
      </c>
      <c r="H261" s="50" t="n">
        <v>0</v>
      </c>
      <c r="I261" s="47" t="s">
        <v>162</v>
      </c>
      <c r="J261" s="48" t="n">
        <v>45730</v>
      </c>
      <c r="K261" s="51" t="str">
        <f aca="false">"Q"&amp;ROUNDUP(MONTH(B261)/3,0)</f>
        <v>Q1</v>
      </c>
      <c r="L261" s="52" t="n">
        <f aca="false">ROUND(G261*H261,2)</f>
        <v>0</v>
      </c>
      <c r="M261" s="52" t="n">
        <f aca="false">IF(AND(C261="Sales",F261="Standard-rated 5%"),L261,0)</f>
        <v>0</v>
      </c>
      <c r="N261" s="52" t="n">
        <f aca="false">IF(F261="Reverse charge (imported services)",L261,0)</f>
        <v>0</v>
      </c>
      <c r="O261" s="52" t="n">
        <f aca="false">IF(C261&lt;&gt;"Purchase",0,IF(OR(I261="N",F261="Blocked input (entertainment)"),0,L261))</f>
        <v>0</v>
      </c>
      <c r="P261" s="52" t="n">
        <f aca="false">IF(C261&lt;&gt;"Purchase",0,L261-O261)</f>
        <v>0</v>
      </c>
      <c r="Q261" s="53" t="n">
        <f aca="false">J261-B261</f>
        <v>0</v>
      </c>
      <c r="R261" s="51" t="str">
        <f aca="false">IF(I261="N","Invalid / missing TRN",IF(F261="Blocked input (entertainment)","Blocked input",IF(Q261&gt;30,"Late posting (&gt;30d)","")))</f>
        <v/>
      </c>
    </row>
    <row r="262" customFormat="false" ht="15" hidden="false" customHeight="false" outlineLevel="0" collapsed="false">
      <c r="A262" s="47" t="s">
        <v>533</v>
      </c>
      <c r="B262" s="48" t="n">
        <v>45730</v>
      </c>
      <c r="C262" s="47" t="s">
        <v>159</v>
      </c>
      <c r="D262" s="47" t="s">
        <v>534</v>
      </c>
      <c r="E262" s="47" t="s">
        <v>101</v>
      </c>
      <c r="F262" s="47" t="s">
        <v>161</v>
      </c>
      <c r="G262" s="49" t="n">
        <v>18179.66</v>
      </c>
      <c r="H262" s="50" t="n">
        <v>0.05</v>
      </c>
      <c r="I262" s="47" t="s">
        <v>162</v>
      </c>
      <c r="J262" s="48" t="n">
        <v>45730</v>
      </c>
      <c r="K262" s="51" t="str">
        <f aca="false">"Q"&amp;ROUNDUP(MONTH(B262)/3,0)</f>
        <v>Q1</v>
      </c>
      <c r="L262" s="52" t="n">
        <f aca="false">ROUND(G262*H262,2)</f>
        <v>908.98</v>
      </c>
      <c r="M262" s="52" t="n">
        <f aca="false">IF(AND(C262="Sales",F262="Standard-rated 5%"),L262,0)</f>
        <v>908.98</v>
      </c>
      <c r="N262" s="52" t="n">
        <f aca="false">IF(F262="Reverse charge (imported services)",L262,0)</f>
        <v>0</v>
      </c>
      <c r="O262" s="52" t="n">
        <f aca="false">IF(C262&lt;&gt;"Purchase",0,IF(OR(I262="N",F262="Blocked input (entertainment)"),0,L262))</f>
        <v>0</v>
      </c>
      <c r="P262" s="52" t="n">
        <f aca="false">IF(C262&lt;&gt;"Purchase",0,L262-O262)</f>
        <v>0</v>
      </c>
      <c r="Q262" s="53" t="n">
        <f aca="false">J262-B262</f>
        <v>0</v>
      </c>
      <c r="R262" s="51" t="str">
        <f aca="false">IF(I262="N","Invalid / missing TRN",IF(F262="Blocked input (entertainment)","Blocked input",IF(Q262&gt;30,"Late posting (&gt;30d)","")))</f>
        <v/>
      </c>
    </row>
    <row r="263" customFormat="false" ht="15" hidden="false" customHeight="false" outlineLevel="0" collapsed="false">
      <c r="A263" s="47" t="s">
        <v>535</v>
      </c>
      <c r="B263" s="48" t="n">
        <v>45731</v>
      </c>
      <c r="C263" s="47" t="s">
        <v>166</v>
      </c>
      <c r="D263" s="47" t="s">
        <v>466</v>
      </c>
      <c r="E263" s="47" t="s">
        <v>100</v>
      </c>
      <c r="F263" s="47" t="s">
        <v>268</v>
      </c>
      <c r="G263" s="49" t="n">
        <v>9738.38</v>
      </c>
      <c r="H263" s="50" t="n">
        <v>0</v>
      </c>
      <c r="I263" s="47" t="s">
        <v>162</v>
      </c>
      <c r="J263" s="48" t="n">
        <v>45731</v>
      </c>
      <c r="K263" s="51" t="str">
        <f aca="false">"Q"&amp;ROUNDUP(MONTH(B263)/3,0)</f>
        <v>Q1</v>
      </c>
      <c r="L263" s="52" t="n">
        <f aca="false">ROUND(G263*H263,2)</f>
        <v>0</v>
      </c>
      <c r="M263" s="52" t="n">
        <f aca="false">IF(AND(C263="Sales",F263="Standard-rated 5%"),L263,0)</f>
        <v>0</v>
      </c>
      <c r="N263" s="52" t="n">
        <f aca="false">IF(F263="Reverse charge (imported services)",L263,0)</f>
        <v>0</v>
      </c>
      <c r="O263" s="52" t="n">
        <f aca="false">IF(C263&lt;&gt;"Purchase",0,IF(OR(I263="N",F263="Blocked input (entertainment)"),0,L263))</f>
        <v>0</v>
      </c>
      <c r="P263" s="52" t="n">
        <f aca="false">IF(C263&lt;&gt;"Purchase",0,L263-O263)</f>
        <v>0</v>
      </c>
      <c r="Q263" s="53" t="n">
        <f aca="false">J263-B263</f>
        <v>0</v>
      </c>
      <c r="R263" s="51" t="str">
        <f aca="false">IF(I263="N","Invalid / missing TRN",IF(F263="Blocked input (entertainment)","Blocked input",IF(Q263&gt;30,"Late posting (&gt;30d)","")))</f>
        <v/>
      </c>
    </row>
    <row r="264" customFormat="false" ht="15" hidden="false" customHeight="false" outlineLevel="0" collapsed="false">
      <c r="A264" s="47" t="s">
        <v>536</v>
      </c>
      <c r="B264" s="48" t="n">
        <v>45731</v>
      </c>
      <c r="C264" s="47" t="s">
        <v>159</v>
      </c>
      <c r="D264" s="47" t="s">
        <v>164</v>
      </c>
      <c r="E264" s="47" t="s">
        <v>102</v>
      </c>
      <c r="F264" s="47" t="s">
        <v>161</v>
      </c>
      <c r="G264" s="49" t="n">
        <v>103228.44</v>
      </c>
      <c r="H264" s="50" t="n">
        <v>0.05</v>
      </c>
      <c r="I264" s="47" t="s">
        <v>162</v>
      </c>
      <c r="J264" s="48" t="n">
        <v>45731</v>
      </c>
      <c r="K264" s="51" t="str">
        <f aca="false">"Q"&amp;ROUNDUP(MONTH(B264)/3,0)</f>
        <v>Q1</v>
      </c>
      <c r="L264" s="52" t="n">
        <f aca="false">ROUND(G264*H264,2)</f>
        <v>5161.42</v>
      </c>
      <c r="M264" s="52" t="n">
        <f aca="false">IF(AND(C264="Sales",F264="Standard-rated 5%"),L264,0)</f>
        <v>5161.42</v>
      </c>
      <c r="N264" s="52" t="n">
        <f aca="false">IF(F264="Reverse charge (imported services)",L264,0)</f>
        <v>0</v>
      </c>
      <c r="O264" s="52" t="n">
        <f aca="false">IF(C264&lt;&gt;"Purchase",0,IF(OR(I264="N",F264="Blocked input (entertainment)"),0,L264))</f>
        <v>0</v>
      </c>
      <c r="P264" s="52" t="n">
        <f aca="false">IF(C264&lt;&gt;"Purchase",0,L264-O264)</f>
        <v>0</v>
      </c>
      <c r="Q264" s="53" t="n">
        <f aca="false">J264-B264</f>
        <v>0</v>
      </c>
      <c r="R264" s="51" t="str">
        <f aca="false">IF(I264="N","Invalid / missing TRN",IF(F264="Blocked input (entertainment)","Blocked input",IF(Q264&gt;30,"Late posting (&gt;30d)","")))</f>
        <v/>
      </c>
    </row>
    <row r="265" customFormat="false" ht="15" hidden="false" customHeight="false" outlineLevel="0" collapsed="false">
      <c r="A265" s="47" t="s">
        <v>537</v>
      </c>
      <c r="B265" s="48" t="n">
        <v>45731</v>
      </c>
      <c r="C265" s="47" t="s">
        <v>159</v>
      </c>
      <c r="D265" s="47" t="s">
        <v>490</v>
      </c>
      <c r="E265" s="47" t="s">
        <v>102</v>
      </c>
      <c r="F265" s="47" t="s">
        <v>278</v>
      </c>
      <c r="G265" s="49" t="n">
        <v>32562.4</v>
      </c>
      <c r="H265" s="50" t="n">
        <v>0</v>
      </c>
      <c r="I265" s="47" t="s">
        <v>162</v>
      </c>
      <c r="J265" s="48" t="n">
        <v>45731</v>
      </c>
      <c r="K265" s="51" t="str">
        <f aca="false">"Q"&amp;ROUNDUP(MONTH(B265)/3,0)</f>
        <v>Q1</v>
      </c>
      <c r="L265" s="52" t="n">
        <f aca="false">ROUND(G265*H265,2)</f>
        <v>0</v>
      </c>
      <c r="M265" s="52" t="n">
        <f aca="false">IF(AND(C265="Sales",F265="Standard-rated 5%"),L265,0)</f>
        <v>0</v>
      </c>
      <c r="N265" s="52" t="n">
        <f aca="false">IF(F265="Reverse charge (imported services)",L265,0)</f>
        <v>0</v>
      </c>
      <c r="O265" s="52" t="n">
        <f aca="false">IF(C265&lt;&gt;"Purchase",0,IF(OR(I265="N",F265="Blocked input (entertainment)"),0,L265))</f>
        <v>0</v>
      </c>
      <c r="P265" s="52" t="n">
        <f aca="false">IF(C265&lt;&gt;"Purchase",0,L265-O265)</f>
        <v>0</v>
      </c>
      <c r="Q265" s="53" t="n">
        <f aca="false">J265-B265</f>
        <v>0</v>
      </c>
      <c r="R265" s="51" t="str">
        <f aca="false">IF(I265="N","Invalid / missing TRN",IF(F265="Blocked input (entertainment)","Blocked input",IF(Q265&gt;30,"Late posting (&gt;30d)","")))</f>
        <v/>
      </c>
    </row>
    <row r="266" customFormat="false" ht="15" hidden="false" customHeight="false" outlineLevel="0" collapsed="false">
      <c r="A266" s="47" t="s">
        <v>538</v>
      </c>
      <c r="B266" s="48" t="n">
        <v>45732</v>
      </c>
      <c r="C266" s="47" t="s">
        <v>166</v>
      </c>
      <c r="D266" s="47" t="s">
        <v>210</v>
      </c>
      <c r="E266" s="47" t="s">
        <v>102</v>
      </c>
      <c r="F266" s="47" t="s">
        <v>392</v>
      </c>
      <c r="G266" s="49" t="n">
        <v>32512.29</v>
      </c>
      <c r="H266" s="50" t="n">
        <v>0.05</v>
      </c>
      <c r="I266" s="47" t="s">
        <v>162</v>
      </c>
      <c r="J266" s="48" t="n">
        <v>45732</v>
      </c>
      <c r="K266" s="51" t="str">
        <f aca="false">"Q"&amp;ROUNDUP(MONTH(B266)/3,0)</f>
        <v>Q1</v>
      </c>
      <c r="L266" s="52" t="n">
        <f aca="false">ROUND(G266*H266,2)</f>
        <v>1625.61</v>
      </c>
      <c r="M266" s="52" t="n">
        <f aca="false">IF(AND(C266="Sales",F266="Standard-rated 5%"),L266,0)</f>
        <v>0</v>
      </c>
      <c r="N266" s="52" t="n">
        <f aca="false">IF(F266="Reverse charge (imported services)",L266,0)</f>
        <v>0</v>
      </c>
      <c r="O266" s="52" t="n">
        <f aca="false">IF(C266&lt;&gt;"Purchase",0,IF(OR(I266="N",F266="Blocked input (entertainment)"),0,L266))</f>
        <v>1625.61</v>
      </c>
      <c r="P266" s="52" t="n">
        <f aca="false">IF(C266&lt;&gt;"Purchase",0,L266-O266)</f>
        <v>0</v>
      </c>
      <c r="Q266" s="53" t="n">
        <f aca="false">J266-B266</f>
        <v>0</v>
      </c>
      <c r="R266" s="51" t="str">
        <f aca="false">IF(I266="N","Invalid / missing TRN",IF(F266="Blocked input (entertainment)","Blocked input",IF(Q266&gt;30,"Late posting (&gt;30d)","")))</f>
        <v/>
      </c>
    </row>
    <row r="267" customFormat="false" ht="15" hidden="false" customHeight="false" outlineLevel="0" collapsed="false">
      <c r="A267" s="47" t="s">
        <v>539</v>
      </c>
      <c r="B267" s="48" t="n">
        <v>45732</v>
      </c>
      <c r="C267" s="47" t="s">
        <v>166</v>
      </c>
      <c r="D267" s="47" t="s">
        <v>255</v>
      </c>
      <c r="E267" s="47" t="s">
        <v>100</v>
      </c>
      <c r="F267" s="47" t="s">
        <v>170</v>
      </c>
      <c r="G267" s="49" t="n">
        <v>3245.74</v>
      </c>
      <c r="H267" s="50" t="n">
        <v>0.05</v>
      </c>
      <c r="I267" s="47" t="s">
        <v>162</v>
      </c>
      <c r="J267" s="48" t="n">
        <v>45732</v>
      </c>
      <c r="K267" s="51" t="str">
        <f aca="false">"Q"&amp;ROUNDUP(MONTH(B267)/3,0)</f>
        <v>Q1</v>
      </c>
      <c r="L267" s="52" t="n">
        <f aca="false">ROUND(G267*H267,2)</f>
        <v>162.29</v>
      </c>
      <c r="M267" s="52" t="n">
        <f aca="false">IF(AND(C267="Sales",F267="Standard-rated 5%"),L267,0)</f>
        <v>0</v>
      </c>
      <c r="N267" s="52" t="n">
        <f aca="false">IF(F267="Reverse charge (imported services)",L267,0)</f>
        <v>0</v>
      </c>
      <c r="O267" s="52" t="n">
        <f aca="false">IF(C267&lt;&gt;"Purchase",0,IF(OR(I267="N",F267="Blocked input (entertainment)"),0,L267))</f>
        <v>0</v>
      </c>
      <c r="P267" s="52" t="n">
        <f aca="false">IF(C267&lt;&gt;"Purchase",0,L267-O267)</f>
        <v>162.29</v>
      </c>
      <c r="Q267" s="53" t="n">
        <f aca="false">J267-B267</f>
        <v>0</v>
      </c>
      <c r="R267" s="51" t="str">
        <f aca="false">IF(I267="N","Invalid / missing TRN",IF(F267="Blocked input (entertainment)","Blocked input",IF(Q267&gt;30,"Late posting (&gt;30d)","")))</f>
        <v>Blocked input</v>
      </c>
    </row>
    <row r="268" customFormat="false" ht="15" hidden="false" customHeight="false" outlineLevel="0" collapsed="false">
      <c r="A268" s="47" t="s">
        <v>540</v>
      </c>
      <c r="B268" s="48" t="n">
        <v>45732</v>
      </c>
      <c r="C268" s="47" t="s">
        <v>159</v>
      </c>
      <c r="D268" s="47" t="s">
        <v>290</v>
      </c>
      <c r="E268" s="47" t="s">
        <v>101</v>
      </c>
      <c r="F268" s="47" t="s">
        <v>161</v>
      </c>
      <c r="G268" s="49" t="n">
        <v>75704.02</v>
      </c>
      <c r="H268" s="50" t="n">
        <v>0.05</v>
      </c>
      <c r="I268" s="47" t="s">
        <v>162</v>
      </c>
      <c r="J268" s="48" t="n">
        <v>45732</v>
      </c>
      <c r="K268" s="51" t="str">
        <f aca="false">"Q"&amp;ROUNDUP(MONTH(B268)/3,0)</f>
        <v>Q1</v>
      </c>
      <c r="L268" s="52" t="n">
        <f aca="false">ROUND(G268*H268,2)</f>
        <v>3785.2</v>
      </c>
      <c r="M268" s="52" t="n">
        <f aca="false">IF(AND(C268="Sales",F268="Standard-rated 5%"),L268,0)</f>
        <v>3785.2</v>
      </c>
      <c r="N268" s="52" t="n">
        <f aca="false">IF(F268="Reverse charge (imported services)",L268,0)</f>
        <v>0</v>
      </c>
      <c r="O268" s="52" t="n">
        <f aca="false">IF(C268&lt;&gt;"Purchase",0,IF(OR(I268="N",F268="Blocked input (entertainment)"),0,L268))</f>
        <v>0</v>
      </c>
      <c r="P268" s="52" t="n">
        <f aca="false">IF(C268&lt;&gt;"Purchase",0,L268-O268)</f>
        <v>0</v>
      </c>
      <c r="Q268" s="53" t="n">
        <f aca="false">J268-B268</f>
        <v>0</v>
      </c>
      <c r="R268" s="51" t="str">
        <f aca="false">IF(I268="N","Invalid / missing TRN",IF(F268="Blocked input (entertainment)","Blocked input",IF(Q268&gt;30,"Late posting (&gt;30d)","")))</f>
        <v/>
      </c>
    </row>
    <row r="269" customFormat="false" ht="15" hidden="false" customHeight="false" outlineLevel="0" collapsed="false">
      <c r="A269" s="47" t="s">
        <v>541</v>
      </c>
      <c r="B269" s="48" t="n">
        <v>45732</v>
      </c>
      <c r="C269" s="47" t="s">
        <v>159</v>
      </c>
      <c r="D269" s="47" t="s">
        <v>532</v>
      </c>
      <c r="E269" s="47" t="s">
        <v>100</v>
      </c>
      <c r="F269" s="47" t="s">
        <v>161</v>
      </c>
      <c r="G269" s="49" t="n">
        <v>47983.51</v>
      </c>
      <c r="H269" s="50" t="n">
        <v>0.05</v>
      </c>
      <c r="I269" s="47" t="s">
        <v>162</v>
      </c>
      <c r="J269" s="48" t="n">
        <v>45732</v>
      </c>
      <c r="K269" s="51" t="str">
        <f aca="false">"Q"&amp;ROUNDUP(MONTH(B269)/3,0)</f>
        <v>Q1</v>
      </c>
      <c r="L269" s="52" t="n">
        <f aca="false">ROUND(G269*H269,2)</f>
        <v>2399.18</v>
      </c>
      <c r="M269" s="52" t="n">
        <f aca="false">IF(AND(C269="Sales",F269="Standard-rated 5%"),L269,0)</f>
        <v>2399.18</v>
      </c>
      <c r="N269" s="52" t="n">
        <f aca="false">IF(F269="Reverse charge (imported services)",L269,0)</f>
        <v>0</v>
      </c>
      <c r="O269" s="52" t="n">
        <f aca="false">IF(C269&lt;&gt;"Purchase",0,IF(OR(I269="N",F269="Blocked input (entertainment)"),0,L269))</f>
        <v>0</v>
      </c>
      <c r="P269" s="52" t="n">
        <f aca="false">IF(C269&lt;&gt;"Purchase",0,L269-O269)</f>
        <v>0</v>
      </c>
      <c r="Q269" s="53" t="n">
        <f aca="false">J269-B269</f>
        <v>0</v>
      </c>
      <c r="R269" s="51" t="str">
        <f aca="false">IF(I269="N","Invalid / missing TRN",IF(F269="Blocked input (entertainment)","Blocked input",IF(Q269&gt;30,"Late posting (&gt;30d)","")))</f>
        <v/>
      </c>
    </row>
    <row r="270" customFormat="false" ht="15" hidden="false" customHeight="false" outlineLevel="0" collapsed="false">
      <c r="A270" s="47" t="s">
        <v>542</v>
      </c>
      <c r="B270" s="48" t="n">
        <v>45733</v>
      </c>
      <c r="C270" s="47" t="s">
        <v>166</v>
      </c>
      <c r="D270" s="47" t="s">
        <v>229</v>
      </c>
      <c r="E270" s="47" t="s">
        <v>100</v>
      </c>
      <c r="F270" s="47" t="s">
        <v>161</v>
      </c>
      <c r="G270" s="49" t="n">
        <v>20639.8</v>
      </c>
      <c r="H270" s="50" t="n">
        <v>0.05</v>
      </c>
      <c r="I270" s="47" t="s">
        <v>162</v>
      </c>
      <c r="J270" s="48" t="n">
        <v>45733</v>
      </c>
      <c r="K270" s="51" t="str">
        <f aca="false">"Q"&amp;ROUNDUP(MONTH(B270)/3,0)</f>
        <v>Q1</v>
      </c>
      <c r="L270" s="52" t="n">
        <f aca="false">ROUND(G270*H270,2)</f>
        <v>1031.99</v>
      </c>
      <c r="M270" s="52" t="n">
        <f aca="false">IF(AND(C270="Sales",F270="Standard-rated 5%"),L270,0)</f>
        <v>0</v>
      </c>
      <c r="N270" s="52" t="n">
        <f aca="false">IF(F270="Reverse charge (imported services)",L270,0)</f>
        <v>0</v>
      </c>
      <c r="O270" s="52" t="n">
        <f aca="false">IF(C270&lt;&gt;"Purchase",0,IF(OR(I270="N",F270="Blocked input (entertainment)"),0,L270))</f>
        <v>1031.99</v>
      </c>
      <c r="P270" s="52" t="n">
        <f aca="false">IF(C270&lt;&gt;"Purchase",0,L270-O270)</f>
        <v>0</v>
      </c>
      <c r="Q270" s="53" t="n">
        <f aca="false">J270-B270</f>
        <v>0</v>
      </c>
      <c r="R270" s="51" t="str">
        <f aca="false">IF(I270="N","Invalid / missing TRN",IF(F270="Blocked input (entertainment)","Blocked input",IF(Q270&gt;30,"Late posting (&gt;30d)","")))</f>
        <v/>
      </c>
    </row>
    <row r="271" customFormat="false" ht="15" hidden="false" customHeight="false" outlineLevel="0" collapsed="false">
      <c r="A271" s="47" t="s">
        <v>543</v>
      </c>
      <c r="B271" s="48" t="n">
        <v>45733</v>
      </c>
      <c r="C271" s="47" t="s">
        <v>166</v>
      </c>
      <c r="D271" s="47" t="s">
        <v>172</v>
      </c>
      <c r="E271" s="47" t="s">
        <v>100</v>
      </c>
      <c r="F271" s="47" t="s">
        <v>161</v>
      </c>
      <c r="G271" s="49" t="n">
        <v>24909.15</v>
      </c>
      <c r="H271" s="50" t="n">
        <v>0.05</v>
      </c>
      <c r="I271" s="47" t="s">
        <v>162</v>
      </c>
      <c r="J271" s="48" t="n">
        <v>45733</v>
      </c>
      <c r="K271" s="51" t="str">
        <f aca="false">"Q"&amp;ROUNDUP(MONTH(B271)/3,0)</f>
        <v>Q1</v>
      </c>
      <c r="L271" s="52" t="n">
        <f aca="false">ROUND(G271*H271,2)</f>
        <v>1245.46</v>
      </c>
      <c r="M271" s="52" t="n">
        <f aca="false">IF(AND(C271="Sales",F271="Standard-rated 5%"),L271,0)</f>
        <v>0</v>
      </c>
      <c r="N271" s="52" t="n">
        <f aca="false">IF(F271="Reverse charge (imported services)",L271,0)</f>
        <v>0</v>
      </c>
      <c r="O271" s="52" t="n">
        <f aca="false">IF(C271&lt;&gt;"Purchase",0,IF(OR(I271="N",F271="Blocked input (entertainment)"),0,L271))</f>
        <v>1245.46</v>
      </c>
      <c r="P271" s="52" t="n">
        <f aca="false">IF(C271&lt;&gt;"Purchase",0,L271-O271)</f>
        <v>0</v>
      </c>
      <c r="Q271" s="53" t="n">
        <f aca="false">J271-B271</f>
        <v>0</v>
      </c>
      <c r="R271" s="51" t="str">
        <f aca="false">IF(I271="N","Invalid / missing TRN",IF(F271="Blocked input (entertainment)","Blocked input",IF(Q271&gt;30,"Late posting (&gt;30d)","")))</f>
        <v/>
      </c>
    </row>
    <row r="272" customFormat="false" ht="15" hidden="false" customHeight="false" outlineLevel="0" collapsed="false">
      <c r="A272" s="47" t="s">
        <v>544</v>
      </c>
      <c r="B272" s="48" t="n">
        <v>45733</v>
      </c>
      <c r="C272" s="47" t="s">
        <v>159</v>
      </c>
      <c r="D272" s="47" t="s">
        <v>290</v>
      </c>
      <c r="E272" s="47" t="s">
        <v>101</v>
      </c>
      <c r="F272" s="47" t="s">
        <v>161</v>
      </c>
      <c r="G272" s="49" t="n">
        <v>8606.81</v>
      </c>
      <c r="H272" s="50" t="n">
        <v>0.05</v>
      </c>
      <c r="I272" s="47" t="s">
        <v>162</v>
      </c>
      <c r="J272" s="48" t="n">
        <v>45733</v>
      </c>
      <c r="K272" s="51" t="str">
        <f aca="false">"Q"&amp;ROUNDUP(MONTH(B272)/3,0)</f>
        <v>Q1</v>
      </c>
      <c r="L272" s="52" t="n">
        <f aca="false">ROUND(G272*H272,2)</f>
        <v>430.34</v>
      </c>
      <c r="M272" s="52" t="n">
        <f aca="false">IF(AND(C272="Sales",F272="Standard-rated 5%"),L272,0)</f>
        <v>430.34</v>
      </c>
      <c r="N272" s="52" t="n">
        <f aca="false">IF(F272="Reverse charge (imported services)",L272,0)</f>
        <v>0</v>
      </c>
      <c r="O272" s="52" t="n">
        <f aca="false">IF(C272&lt;&gt;"Purchase",0,IF(OR(I272="N",F272="Blocked input (entertainment)"),0,L272))</f>
        <v>0</v>
      </c>
      <c r="P272" s="52" t="n">
        <f aca="false">IF(C272&lt;&gt;"Purchase",0,L272-O272)</f>
        <v>0</v>
      </c>
      <c r="Q272" s="53" t="n">
        <f aca="false">J272-B272</f>
        <v>0</v>
      </c>
      <c r="R272" s="51" t="str">
        <f aca="false">IF(I272="N","Invalid / missing TRN",IF(F272="Blocked input (entertainment)","Blocked input",IF(Q272&gt;30,"Late posting (&gt;30d)","")))</f>
        <v/>
      </c>
    </row>
    <row r="273" customFormat="false" ht="15" hidden="false" customHeight="false" outlineLevel="0" collapsed="false">
      <c r="A273" s="47" t="s">
        <v>545</v>
      </c>
      <c r="B273" s="48" t="n">
        <v>45733</v>
      </c>
      <c r="C273" s="47" t="s">
        <v>159</v>
      </c>
      <c r="D273" s="47" t="s">
        <v>415</v>
      </c>
      <c r="E273" s="47" t="s">
        <v>100</v>
      </c>
      <c r="F273" s="47" t="s">
        <v>301</v>
      </c>
      <c r="G273" s="49" t="n">
        <v>94588.94</v>
      </c>
      <c r="H273" s="50" t="n">
        <v>0</v>
      </c>
      <c r="I273" s="47" t="s">
        <v>162</v>
      </c>
      <c r="J273" s="48" t="n">
        <v>45733</v>
      </c>
      <c r="K273" s="51" t="str">
        <f aca="false">"Q"&amp;ROUNDUP(MONTH(B273)/3,0)</f>
        <v>Q1</v>
      </c>
      <c r="L273" s="52" t="n">
        <f aca="false">ROUND(G273*H273,2)</f>
        <v>0</v>
      </c>
      <c r="M273" s="52" t="n">
        <f aca="false">IF(AND(C273="Sales",F273="Standard-rated 5%"),L273,0)</f>
        <v>0</v>
      </c>
      <c r="N273" s="52" t="n">
        <f aca="false">IF(F273="Reverse charge (imported services)",L273,0)</f>
        <v>0</v>
      </c>
      <c r="O273" s="52" t="n">
        <f aca="false">IF(C273&lt;&gt;"Purchase",0,IF(OR(I273="N",F273="Blocked input (entertainment)"),0,L273))</f>
        <v>0</v>
      </c>
      <c r="P273" s="52" t="n">
        <f aca="false">IF(C273&lt;&gt;"Purchase",0,L273-O273)</f>
        <v>0</v>
      </c>
      <c r="Q273" s="53" t="n">
        <f aca="false">J273-B273</f>
        <v>0</v>
      </c>
      <c r="R273" s="51" t="str">
        <f aca="false">IF(I273="N","Invalid / missing TRN",IF(F273="Blocked input (entertainment)","Blocked input",IF(Q273&gt;30,"Late posting (&gt;30d)","")))</f>
        <v/>
      </c>
    </row>
    <row r="274" customFormat="false" ht="15" hidden="false" customHeight="false" outlineLevel="0" collapsed="false">
      <c r="A274" s="47" t="s">
        <v>546</v>
      </c>
      <c r="B274" s="48" t="n">
        <v>45734</v>
      </c>
      <c r="C274" s="47" t="s">
        <v>166</v>
      </c>
      <c r="D274" s="47" t="s">
        <v>285</v>
      </c>
      <c r="E274" s="47" t="s">
        <v>100</v>
      </c>
      <c r="F274" s="47" t="s">
        <v>161</v>
      </c>
      <c r="G274" s="49" t="n">
        <v>27766.36</v>
      </c>
      <c r="H274" s="50" t="n">
        <v>0.05</v>
      </c>
      <c r="I274" s="47" t="s">
        <v>162</v>
      </c>
      <c r="J274" s="48" t="n">
        <v>45734</v>
      </c>
      <c r="K274" s="51" t="str">
        <f aca="false">"Q"&amp;ROUNDUP(MONTH(B274)/3,0)</f>
        <v>Q1</v>
      </c>
      <c r="L274" s="52" t="n">
        <f aca="false">ROUND(G274*H274,2)</f>
        <v>1388.32</v>
      </c>
      <c r="M274" s="52" t="n">
        <f aca="false">IF(AND(C274="Sales",F274="Standard-rated 5%"),L274,0)</f>
        <v>0</v>
      </c>
      <c r="N274" s="52" t="n">
        <f aca="false">IF(F274="Reverse charge (imported services)",L274,0)</f>
        <v>0</v>
      </c>
      <c r="O274" s="52" t="n">
        <f aca="false">IF(C274&lt;&gt;"Purchase",0,IF(OR(I274="N",F274="Blocked input (entertainment)"),0,L274))</f>
        <v>1388.32</v>
      </c>
      <c r="P274" s="52" t="n">
        <f aca="false">IF(C274&lt;&gt;"Purchase",0,L274-O274)</f>
        <v>0</v>
      </c>
      <c r="Q274" s="53" t="n">
        <f aca="false">J274-B274</f>
        <v>0</v>
      </c>
      <c r="R274" s="51" t="str">
        <f aca="false">IF(I274="N","Invalid / missing TRN",IF(F274="Blocked input (entertainment)","Blocked input",IF(Q274&gt;30,"Late posting (&gt;30d)","")))</f>
        <v/>
      </c>
    </row>
    <row r="275" customFormat="false" ht="15" hidden="false" customHeight="false" outlineLevel="0" collapsed="false">
      <c r="A275" s="47" t="s">
        <v>547</v>
      </c>
      <c r="B275" s="48" t="n">
        <v>45734</v>
      </c>
      <c r="C275" s="47" t="s">
        <v>166</v>
      </c>
      <c r="D275" s="47" t="s">
        <v>253</v>
      </c>
      <c r="E275" s="47" t="s">
        <v>100</v>
      </c>
      <c r="F275" s="47" t="s">
        <v>161</v>
      </c>
      <c r="G275" s="49" t="n">
        <v>34374.15</v>
      </c>
      <c r="H275" s="50" t="n">
        <v>0.05</v>
      </c>
      <c r="I275" s="47" t="s">
        <v>162</v>
      </c>
      <c r="J275" s="48" t="n">
        <v>45736</v>
      </c>
      <c r="K275" s="51" t="str">
        <f aca="false">"Q"&amp;ROUNDUP(MONTH(B275)/3,0)</f>
        <v>Q1</v>
      </c>
      <c r="L275" s="52" t="n">
        <f aca="false">ROUND(G275*H275,2)</f>
        <v>1718.71</v>
      </c>
      <c r="M275" s="52" t="n">
        <f aca="false">IF(AND(C275="Sales",F275="Standard-rated 5%"),L275,0)</f>
        <v>0</v>
      </c>
      <c r="N275" s="52" t="n">
        <f aca="false">IF(F275="Reverse charge (imported services)",L275,0)</f>
        <v>0</v>
      </c>
      <c r="O275" s="52" t="n">
        <f aca="false">IF(C275&lt;&gt;"Purchase",0,IF(OR(I275="N",F275="Blocked input (entertainment)"),0,L275))</f>
        <v>1718.71</v>
      </c>
      <c r="P275" s="52" t="n">
        <f aca="false">IF(C275&lt;&gt;"Purchase",0,L275-O275)</f>
        <v>0</v>
      </c>
      <c r="Q275" s="53" t="n">
        <f aca="false">J275-B275</f>
        <v>2</v>
      </c>
      <c r="R275" s="51" t="str">
        <f aca="false">IF(I275="N","Invalid / missing TRN",IF(F275="Blocked input (entertainment)","Blocked input",IF(Q275&gt;30,"Late posting (&gt;30d)","")))</f>
        <v/>
      </c>
    </row>
    <row r="276" customFormat="false" ht="15" hidden="false" customHeight="false" outlineLevel="0" collapsed="false">
      <c r="A276" s="47" t="s">
        <v>548</v>
      </c>
      <c r="B276" s="48" t="n">
        <v>45734</v>
      </c>
      <c r="C276" s="47" t="s">
        <v>166</v>
      </c>
      <c r="D276" s="47" t="s">
        <v>549</v>
      </c>
      <c r="E276" s="47" t="s">
        <v>104</v>
      </c>
      <c r="F276" s="47" t="s">
        <v>161</v>
      </c>
      <c r="G276" s="49" t="n">
        <v>26526.19</v>
      </c>
      <c r="H276" s="50" t="n">
        <v>0.05</v>
      </c>
      <c r="I276" s="47" t="s">
        <v>162</v>
      </c>
      <c r="J276" s="48" t="n">
        <v>45734</v>
      </c>
      <c r="K276" s="51" t="str">
        <f aca="false">"Q"&amp;ROUNDUP(MONTH(B276)/3,0)</f>
        <v>Q1</v>
      </c>
      <c r="L276" s="52" t="n">
        <f aca="false">ROUND(G276*H276,2)</f>
        <v>1326.31</v>
      </c>
      <c r="M276" s="52" t="n">
        <f aca="false">IF(AND(C276="Sales",F276="Standard-rated 5%"),L276,0)</f>
        <v>0</v>
      </c>
      <c r="N276" s="52" t="n">
        <f aca="false">IF(F276="Reverse charge (imported services)",L276,0)</f>
        <v>0</v>
      </c>
      <c r="O276" s="52" t="n">
        <f aca="false">IF(C276&lt;&gt;"Purchase",0,IF(OR(I276="N",F276="Blocked input (entertainment)"),0,L276))</f>
        <v>1326.31</v>
      </c>
      <c r="P276" s="52" t="n">
        <f aca="false">IF(C276&lt;&gt;"Purchase",0,L276-O276)</f>
        <v>0</v>
      </c>
      <c r="Q276" s="53" t="n">
        <f aca="false">J276-B276</f>
        <v>0</v>
      </c>
      <c r="R276" s="51" t="str">
        <f aca="false">IF(I276="N","Invalid / missing TRN",IF(F276="Blocked input (entertainment)","Blocked input",IF(Q276&gt;30,"Late posting (&gt;30d)","")))</f>
        <v/>
      </c>
    </row>
    <row r="277" customFormat="false" ht="15" hidden="false" customHeight="false" outlineLevel="0" collapsed="false">
      <c r="A277" s="47" t="s">
        <v>550</v>
      </c>
      <c r="B277" s="48" t="n">
        <v>45734</v>
      </c>
      <c r="C277" s="47" t="s">
        <v>159</v>
      </c>
      <c r="D277" s="47" t="s">
        <v>490</v>
      </c>
      <c r="E277" s="47" t="s">
        <v>102</v>
      </c>
      <c r="F277" s="47" t="s">
        <v>278</v>
      </c>
      <c r="G277" s="49" t="n">
        <v>100538.77</v>
      </c>
      <c r="H277" s="50" t="n">
        <v>0</v>
      </c>
      <c r="I277" s="47" t="s">
        <v>162</v>
      </c>
      <c r="J277" s="48" t="n">
        <v>45734</v>
      </c>
      <c r="K277" s="51" t="str">
        <f aca="false">"Q"&amp;ROUNDUP(MONTH(B277)/3,0)</f>
        <v>Q1</v>
      </c>
      <c r="L277" s="52" t="n">
        <f aca="false">ROUND(G277*H277,2)</f>
        <v>0</v>
      </c>
      <c r="M277" s="52" t="n">
        <f aca="false">IF(AND(C277="Sales",F277="Standard-rated 5%"),L277,0)</f>
        <v>0</v>
      </c>
      <c r="N277" s="52" t="n">
        <f aca="false">IF(F277="Reverse charge (imported services)",L277,0)</f>
        <v>0</v>
      </c>
      <c r="O277" s="52" t="n">
        <f aca="false">IF(C277&lt;&gt;"Purchase",0,IF(OR(I277="N",F277="Blocked input (entertainment)"),0,L277))</f>
        <v>0</v>
      </c>
      <c r="P277" s="52" t="n">
        <f aca="false">IF(C277&lt;&gt;"Purchase",0,L277-O277)</f>
        <v>0</v>
      </c>
      <c r="Q277" s="53" t="n">
        <f aca="false">J277-B277</f>
        <v>0</v>
      </c>
      <c r="R277" s="51" t="str">
        <f aca="false">IF(I277="N","Invalid / missing TRN",IF(F277="Blocked input (entertainment)","Blocked input",IF(Q277&gt;30,"Late posting (&gt;30d)","")))</f>
        <v/>
      </c>
    </row>
    <row r="278" customFormat="false" ht="15" hidden="false" customHeight="false" outlineLevel="0" collapsed="false">
      <c r="A278" s="47" t="s">
        <v>551</v>
      </c>
      <c r="B278" s="48" t="n">
        <v>45734</v>
      </c>
      <c r="C278" s="47" t="s">
        <v>159</v>
      </c>
      <c r="D278" s="47" t="s">
        <v>216</v>
      </c>
      <c r="E278" s="47" t="s">
        <v>101</v>
      </c>
      <c r="F278" s="47" t="s">
        <v>161</v>
      </c>
      <c r="G278" s="49" t="n">
        <v>62787.63</v>
      </c>
      <c r="H278" s="50" t="n">
        <v>0.05</v>
      </c>
      <c r="I278" s="47" t="s">
        <v>162</v>
      </c>
      <c r="J278" s="48" t="n">
        <v>45734</v>
      </c>
      <c r="K278" s="51" t="str">
        <f aca="false">"Q"&amp;ROUNDUP(MONTH(B278)/3,0)</f>
        <v>Q1</v>
      </c>
      <c r="L278" s="52" t="n">
        <f aca="false">ROUND(G278*H278,2)</f>
        <v>3139.38</v>
      </c>
      <c r="M278" s="52" t="n">
        <f aca="false">IF(AND(C278="Sales",F278="Standard-rated 5%"),L278,0)</f>
        <v>3139.38</v>
      </c>
      <c r="N278" s="52" t="n">
        <f aca="false">IF(F278="Reverse charge (imported services)",L278,0)</f>
        <v>0</v>
      </c>
      <c r="O278" s="52" t="n">
        <f aca="false">IF(C278&lt;&gt;"Purchase",0,IF(OR(I278="N",F278="Blocked input (entertainment)"),0,L278))</f>
        <v>0</v>
      </c>
      <c r="P278" s="52" t="n">
        <f aca="false">IF(C278&lt;&gt;"Purchase",0,L278-O278)</f>
        <v>0</v>
      </c>
      <c r="Q278" s="53" t="n">
        <f aca="false">J278-B278</f>
        <v>0</v>
      </c>
      <c r="R278" s="51" t="str">
        <f aca="false">IF(I278="N","Invalid / missing TRN",IF(F278="Blocked input (entertainment)","Blocked input",IF(Q278&gt;30,"Late posting (&gt;30d)","")))</f>
        <v/>
      </c>
    </row>
    <row r="279" customFormat="false" ht="15" hidden="false" customHeight="false" outlineLevel="0" collapsed="false">
      <c r="A279" s="47" t="s">
        <v>552</v>
      </c>
      <c r="B279" s="48" t="n">
        <v>45734</v>
      </c>
      <c r="C279" s="47" t="s">
        <v>159</v>
      </c>
      <c r="D279" s="47" t="s">
        <v>179</v>
      </c>
      <c r="E279" s="47" t="s">
        <v>100</v>
      </c>
      <c r="F279" s="47" t="s">
        <v>161</v>
      </c>
      <c r="G279" s="49" t="n">
        <v>40742.9</v>
      </c>
      <c r="H279" s="50" t="n">
        <v>0.05</v>
      </c>
      <c r="I279" s="47" t="s">
        <v>162</v>
      </c>
      <c r="J279" s="48" t="n">
        <v>45734</v>
      </c>
      <c r="K279" s="51" t="str">
        <f aca="false">"Q"&amp;ROUNDUP(MONTH(B279)/3,0)</f>
        <v>Q1</v>
      </c>
      <c r="L279" s="52" t="n">
        <f aca="false">ROUND(G279*H279,2)</f>
        <v>2037.15</v>
      </c>
      <c r="M279" s="52" t="n">
        <f aca="false">IF(AND(C279="Sales",F279="Standard-rated 5%"),L279,0)</f>
        <v>2037.15</v>
      </c>
      <c r="N279" s="52" t="n">
        <f aca="false">IF(F279="Reverse charge (imported services)",L279,0)</f>
        <v>0</v>
      </c>
      <c r="O279" s="52" t="n">
        <f aca="false">IF(C279&lt;&gt;"Purchase",0,IF(OR(I279="N",F279="Blocked input (entertainment)"),0,L279))</f>
        <v>0</v>
      </c>
      <c r="P279" s="52" t="n">
        <f aca="false">IF(C279&lt;&gt;"Purchase",0,L279-O279)</f>
        <v>0</v>
      </c>
      <c r="Q279" s="53" t="n">
        <f aca="false">J279-B279</f>
        <v>0</v>
      </c>
      <c r="R279" s="51" t="str">
        <f aca="false">IF(I279="N","Invalid / missing TRN",IF(F279="Blocked input (entertainment)","Blocked input",IF(Q279&gt;30,"Late posting (&gt;30d)","")))</f>
        <v/>
      </c>
    </row>
    <row r="280" customFormat="false" ht="15" hidden="false" customHeight="false" outlineLevel="0" collapsed="false">
      <c r="A280" s="47" t="s">
        <v>553</v>
      </c>
      <c r="B280" s="48" t="n">
        <v>45735</v>
      </c>
      <c r="C280" s="47" t="s">
        <v>166</v>
      </c>
      <c r="D280" s="47" t="s">
        <v>190</v>
      </c>
      <c r="E280" s="47" t="s">
        <v>100</v>
      </c>
      <c r="F280" s="47" t="s">
        <v>173</v>
      </c>
      <c r="G280" s="49" t="n">
        <v>13236.72</v>
      </c>
      <c r="H280" s="50" t="n">
        <v>0.05</v>
      </c>
      <c r="I280" s="47" t="s">
        <v>162</v>
      </c>
      <c r="J280" s="48" t="n">
        <v>45735</v>
      </c>
      <c r="K280" s="51" t="str">
        <f aca="false">"Q"&amp;ROUNDUP(MONTH(B280)/3,0)</f>
        <v>Q1</v>
      </c>
      <c r="L280" s="52" t="n">
        <f aca="false">ROUND(G280*H280,2)</f>
        <v>661.84</v>
      </c>
      <c r="M280" s="52" t="n">
        <f aca="false">IF(AND(C280="Sales",F280="Standard-rated 5%"),L280,0)</f>
        <v>0</v>
      </c>
      <c r="N280" s="52" t="n">
        <f aca="false">IF(F280="Reverse charge (imported services)",L280,0)</f>
        <v>661.84</v>
      </c>
      <c r="O280" s="52" t="n">
        <f aca="false">IF(C280&lt;&gt;"Purchase",0,IF(OR(I280="N",F280="Blocked input (entertainment)"),0,L280))</f>
        <v>661.84</v>
      </c>
      <c r="P280" s="52" t="n">
        <f aca="false">IF(C280&lt;&gt;"Purchase",0,L280-O280)</f>
        <v>0</v>
      </c>
      <c r="Q280" s="53" t="n">
        <f aca="false">J280-B280</f>
        <v>0</v>
      </c>
      <c r="R280" s="51" t="str">
        <f aca="false">IF(I280="N","Invalid / missing TRN",IF(F280="Blocked input (entertainment)","Blocked input",IF(Q280&gt;30,"Late posting (&gt;30d)","")))</f>
        <v/>
      </c>
    </row>
    <row r="281" customFormat="false" ht="15" hidden="false" customHeight="false" outlineLevel="0" collapsed="false">
      <c r="A281" s="47" t="s">
        <v>554</v>
      </c>
      <c r="B281" s="48" t="n">
        <v>45735</v>
      </c>
      <c r="C281" s="47" t="s">
        <v>166</v>
      </c>
      <c r="D281" s="47" t="s">
        <v>555</v>
      </c>
      <c r="E281" s="47" t="s">
        <v>100</v>
      </c>
      <c r="F281" s="47" t="s">
        <v>161</v>
      </c>
      <c r="G281" s="49" t="n">
        <v>39907.07</v>
      </c>
      <c r="H281" s="50" t="n">
        <v>0.05</v>
      </c>
      <c r="I281" s="47" t="s">
        <v>162</v>
      </c>
      <c r="J281" s="48" t="n">
        <v>45775</v>
      </c>
      <c r="K281" s="51" t="str">
        <f aca="false">"Q"&amp;ROUNDUP(MONTH(B281)/3,0)</f>
        <v>Q1</v>
      </c>
      <c r="L281" s="52" t="n">
        <f aca="false">ROUND(G281*H281,2)</f>
        <v>1995.35</v>
      </c>
      <c r="M281" s="52" t="n">
        <f aca="false">IF(AND(C281="Sales",F281="Standard-rated 5%"),L281,0)</f>
        <v>0</v>
      </c>
      <c r="N281" s="52" t="n">
        <f aca="false">IF(F281="Reverse charge (imported services)",L281,0)</f>
        <v>0</v>
      </c>
      <c r="O281" s="52" t="n">
        <f aca="false">IF(C281&lt;&gt;"Purchase",0,IF(OR(I281="N",F281="Blocked input (entertainment)"),0,L281))</f>
        <v>1995.35</v>
      </c>
      <c r="P281" s="52" t="n">
        <f aca="false">IF(C281&lt;&gt;"Purchase",0,L281-O281)</f>
        <v>0</v>
      </c>
      <c r="Q281" s="53" t="n">
        <f aca="false">J281-B281</f>
        <v>40</v>
      </c>
      <c r="R281" s="51" t="str">
        <f aca="false">IF(I281="N","Invalid / missing TRN",IF(F281="Blocked input (entertainment)","Blocked input",IF(Q281&gt;30,"Late posting (&gt;30d)","")))</f>
        <v>Late posting (&gt;30d)</v>
      </c>
    </row>
    <row r="282" customFormat="false" ht="15" hidden="false" customHeight="false" outlineLevel="0" collapsed="false">
      <c r="A282" s="47" t="s">
        <v>556</v>
      </c>
      <c r="B282" s="48" t="n">
        <v>45735</v>
      </c>
      <c r="C282" s="47" t="s">
        <v>166</v>
      </c>
      <c r="D282" s="47" t="s">
        <v>557</v>
      </c>
      <c r="E282" s="47" t="s">
        <v>100</v>
      </c>
      <c r="F282" s="47" t="s">
        <v>161</v>
      </c>
      <c r="G282" s="49" t="n">
        <v>29915.05</v>
      </c>
      <c r="H282" s="50" t="n">
        <v>0.05</v>
      </c>
      <c r="I282" s="47" t="s">
        <v>162</v>
      </c>
      <c r="J282" s="48" t="n">
        <v>45735</v>
      </c>
      <c r="K282" s="51" t="str">
        <f aca="false">"Q"&amp;ROUNDUP(MONTH(B282)/3,0)</f>
        <v>Q1</v>
      </c>
      <c r="L282" s="52" t="n">
        <f aca="false">ROUND(G282*H282,2)</f>
        <v>1495.75</v>
      </c>
      <c r="M282" s="52" t="n">
        <f aca="false">IF(AND(C282="Sales",F282="Standard-rated 5%"),L282,0)</f>
        <v>0</v>
      </c>
      <c r="N282" s="52" t="n">
        <f aca="false">IF(F282="Reverse charge (imported services)",L282,0)</f>
        <v>0</v>
      </c>
      <c r="O282" s="52" t="n">
        <f aca="false">IF(C282&lt;&gt;"Purchase",0,IF(OR(I282="N",F282="Blocked input (entertainment)"),0,L282))</f>
        <v>1495.75</v>
      </c>
      <c r="P282" s="52" t="n">
        <f aca="false">IF(C282&lt;&gt;"Purchase",0,L282-O282)</f>
        <v>0</v>
      </c>
      <c r="Q282" s="53" t="n">
        <f aca="false">J282-B282</f>
        <v>0</v>
      </c>
      <c r="R282" s="51" t="str">
        <f aca="false">IF(I282="N","Invalid / missing TRN",IF(F282="Blocked input (entertainment)","Blocked input",IF(Q282&gt;30,"Late posting (&gt;30d)","")))</f>
        <v/>
      </c>
    </row>
    <row r="283" customFormat="false" ht="15" hidden="false" customHeight="false" outlineLevel="0" collapsed="false">
      <c r="A283" s="47" t="s">
        <v>558</v>
      </c>
      <c r="B283" s="48" t="n">
        <v>45735</v>
      </c>
      <c r="C283" s="47" t="s">
        <v>159</v>
      </c>
      <c r="D283" s="47" t="s">
        <v>383</v>
      </c>
      <c r="E283" s="47" t="s">
        <v>101</v>
      </c>
      <c r="F283" s="47" t="s">
        <v>161</v>
      </c>
      <c r="G283" s="49" t="n">
        <v>77730.12</v>
      </c>
      <c r="H283" s="50" t="n">
        <v>0.05</v>
      </c>
      <c r="I283" s="47" t="s">
        <v>162</v>
      </c>
      <c r="J283" s="48" t="n">
        <v>45735</v>
      </c>
      <c r="K283" s="51" t="str">
        <f aca="false">"Q"&amp;ROUNDUP(MONTH(B283)/3,0)</f>
        <v>Q1</v>
      </c>
      <c r="L283" s="52" t="n">
        <f aca="false">ROUND(G283*H283,2)</f>
        <v>3886.51</v>
      </c>
      <c r="M283" s="52" t="n">
        <f aca="false">IF(AND(C283="Sales",F283="Standard-rated 5%"),L283,0)</f>
        <v>3886.51</v>
      </c>
      <c r="N283" s="52" t="n">
        <f aca="false">IF(F283="Reverse charge (imported services)",L283,0)</f>
        <v>0</v>
      </c>
      <c r="O283" s="52" t="n">
        <f aca="false">IF(C283&lt;&gt;"Purchase",0,IF(OR(I283="N",F283="Blocked input (entertainment)"),0,L283))</f>
        <v>0</v>
      </c>
      <c r="P283" s="52" t="n">
        <f aca="false">IF(C283&lt;&gt;"Purchase",0,L283-O283)</f>
        <v>0</v>
      </c>
      <c r="Q283" s="53" t="n">
        <f aca="false">J283-B283</f>
        <v>0</v>
      </c>
      <c r="R283" s="51" t="str">
        <f aca="false">IF(I283="N","Invalid / missing TRN",IF(F283="Blocked input (entertainment)","Blocked input",IF(Q283&gt;30,"Late posting (&gt;30d)","")))</f>
        <v/>
      </c>
    </row>
    <row r="284" customFormat="false" ht="15" hidden="false" customHeight="false" outlineLevel="0" collapsed="false">
      <c r="A284" s="47" t="s">
        <v>559</v>
      </c>
      <c r="B284" s="48" t="n">
        <v>45735</v>
      </c>
      <c r="C284" s="47" t="s">
        <v>159</v>
      </c>
      <c r="D284" s="47" t="s">
        <v>439</v>
      </c>
      <c r="E284" s="47" t="s">
        <v>105</v>
      </c>
      <c r="F284" s="47" t="s">
        <v>161</v>
      </c>
      <c r="G284" s="49" t="n">
        <v>88646.05</v>
      </c>
      <c r="H284" s="50" t="n">
        <v>0.05</v>
      </c>
      <c r="I284" s="47" t="s">
        <v>162</v>
      </c>
      <c r="J284" s="48" t="n">
        <v>45735</v>
      </c>
      <c r="K284" s="51" t="str">
        <f aca="false">"Q"&amp;ROUNDUP(MONTH(B284)/3,0)</f>
        <v>Q1</v>
      </c>
      <c r="L284" s="52" t="n">
        <f aca="false">ROUND(G284*H284,2)</f>
        <v>4432.3</v>
      </c>
      <c r="M284" s="52" t="n">
        <f aca="false">IF(AND(C284="Sales",F284="Standard-rated 5%"),L284,0)</f>
        <v>4432.3</v>
      </c>
      <c r="N284" s="52" t="n">
        <f aca="false">IF(F284="Reverse charge (imported services)",L284,0)</f>
        <v>0</v>
      </c>
      <c r="O284" s="52" t="n">
        <f aca="false">IF(C284&lt;&gt;"Purchase",0,IF(OR(I284="N",F284="Blocked input (entertainment)"),0,L284))</f>
        <v>0</v>
      </c>
      <c r="P284" s="52" t="n">
        <f aca="false">IF(C284&lt;&gt;"Purchase",0,L284-O284)</f>
        <v>0</v>
      </c>
      <c r="Q284" s="53" t="n">
        <f aca="false">J284-B284</f>
        <v>0</v>
      </c>
      <c r="R284" s="51" t="str">
        <f aca="false">IF(I284="N","Invalid / missing TRN",IF(F284="Blocked input (entertainment)","Blocked input",IF(Q284&gt;30,"Late posting (&gt;30d)","")))</f>
        <v/>
      </c>
    </row>
    <row r="285" customFormat="false" ht="15" hidden="false" customHeight="false" outlineLevel="0" collapsed="false">
      <c r="A285" s="47" t="s">
        <v>560</v>
      </c>
      <c r="B285" s="48" t="n">
        <v>45736</v>
      </c>
      <c r="C285" s="47" t="s">
        <v>159</v>
      </c>
      <c r="D285" s="47" t="s">
        <v>249</v>
      </c>
      <c r="E285" s="47" t="s">
        <v>102</v>
      </c>
      <c r="F285" s="47" t="s">
        <v>214</v>
      </c>
      <c r="G285" s="49" t="n">
        <v>21265.82</v>
      </c>
      <c r="H285" s="50" t="n">
        <v>0</v>
      </c>
      <c r="I285" s="47" t="s">
        <v>162</v>
      </c>
      <c r="J285" s="48" t="n">
        <v>45736</v>
      </c>
      <c r="K285" s="51" t="str">
        <f aca="false">"Q"&amp;ROUNDUP(MONTH(B285)/3,0)</f>
        <v>Q1</v>
      </c>
      <c r="L285" s="52" t="n">
        <f aca="false">ROUND(G285*H285,2)</f>
        <v>0</v>
      </c>
      <c r="M285" s="52" t="n">
        <f aca="false">IF(AND(C285="Sales",F285="Standard-rated 5%"),L285,0)</f>
        <v>0</v>
      </c>
      <c r="N285" s="52" t="n">
        <f aca="false">IF(F285="Reverse charge (imported services)",L285,0)</f>
        <v>0</v>
      </c>
      <c r="O285" s="52" t="n">
        <f aca="false">IF(C285&lt;&gt;"Purchase",0,IF(OR(I285="N",F285="Blocked input (entertainment)"),0,L285))</f>
        <v>0</v>
      </c>
      <c r="P285" s="52" t="n">
        <f aca="false">IF(C285&lt;&gt;"Purchase",0,L285-O285)</f>
        <v>0</v>
      </c>
      <c r="Q285" s="53" t="n">
        <f aca="false">J285-B285</f>
        <v>0</v>
      </c>
      <c r="R285" s="51" t="str">
        <f aca="false">IF(I285="N","Invalid / missing TRN",IF(F285="Blocked input (entertainment)","Blocked input",IF(Q285&gt;30,"Late posting (&gt;30d)","")))</f>
        <v/>
      </c>
    </row>
    <row r="286" customFormat="false" ht="15" hidden="false" customHeight="false" outlineLevel="0" collapsed="false">
      <c r="A286" s="47" t="s">
        <v>561</v>
      </c>
      <c r="B286" s="48" t="n">
        <v>45736</v>
      </c>
      <c r="C286" s="47" t="s">
        <v>159</v>
      </c>
      <c r="D286" s="47" t="s">
        <v>235</v>
      </c>
      <c r="E286" s="47" t="s">
        <v>100</v>
      </c>
      <c r="F286" s="47" t="s">
        <v>161</v>
      </c>
      <c r="G286" s="49" t="n">
        <v>39699.24</v>
      </c>
      <c r="H286" s="50" t="n">
        <v>0.05</v>
      </c>
      <c r="I286" s="47" t="s">
        <v>162</v>
      </c>
      <c r="J286" s="48" t="n">
        <v>45736</v>
      </c>
      <c r="K286" s="51" t="str">
        <f aca="false">"Q"&amp;ROUNDUP(MONTH(B286)/3,0)</f>
        <v>Q1</v>
      </c>
      <c r="L286" s="52" t="n">
        <f aca="false">ROUND(G286*H286,2)</f>
        <v>1984.96</v>
      </c>
      <c r="M286" s="52" t="n">
        <f aca="false">IF(AND(C286="Sales",F286="Standard-rated 5%"),L286,0)</f>
        <v>1984.96</v>
      </c>
      <c r="N286" s="52" t="n">
        <f aca="false">IF(F286="Reverse charge (imported services)",L286,0)</f>
        <v>0</v>
      </c>
      <c r="O286" s="52" t="n">
        <f aca="false">IF(C286&lt;&gt;"Purchase",0,IF(OR(I286="N",F286="Blocked input (entertainment)"),0,L286))</f>
        <v>0</v>
      </c>
      <c r="P286" s="52" t="n">
        <f aca="false">IF(C286&lt;&gt;"Purchase",0,L286-O286)</f>
        <v>0</v>
      </c>
      <c r="Q286" s="53" t="n">
        <f aca="false">J286-B286</f>
        <v>0</v>
      </c>
      <c r="R286" s="51" t="str">
        <f aca="false">IF(I286="N","Invalid / missing TRN",IF(F286="Blocked input (entertainment)","Blocked input",IF(Q286&gt;30,"Late posting (&gt;30d)","")))</f>
        <v/>
      </c>
    </row>
    <row r="287" customFormat="false" ht="15" hidden="false" customHeight="false" outlineLevel="0" collapsed="false">
      <c r="A287" s="47" t="s">
        <v>562</v>
      </c>
      <c r="B287" s="48" t="n">
        <v>45736</v>
      </c>
      <c r="C287" s="47" t="s">
        <v>159</v>
      </c>
      <c r="D287" s="47" t="s">
        <v>320</v>
      </c>
      <c r="E287" s="47" t="s">
        <v>100</v>
      </c>
      <c r="F287" s="47" t="s">
        <v>161</v>
      </c>
      <c r="G287" s="49" t="n">
        <v>30939.94</v>
      </c>
      <c r="H287" s="50" t="n">
        <v>0.05</v>
      </c>
      <c r="I287" s="47" t="s">
        <v>162</v>
      </c>
      <c r="J287" s="48" t="n">
        <v>45736</v>
      </c>
      <c r="K287" s="51" t="str">
        <f aca="false">"Q"&amp;ROUNDUP(MONTH(B287)/3,0)</f>
        <v>Q1</v>
      </c>
      <c r="L287" s="52" t="n">
        <f aca="false">ROUND(G287*H287,2)</f>
        <v>1547</v>
      </c>
      <c r="M287" s="52" t="n">
        <f aca="false">IF(AND(C287="Sales",F287="Standard-rated 5%"),L287,0)</f>
        <v>1547</v>
      </c>
      <c r="N287" s="52" t="n">
        <f aca="false">IF(F287="Reverse charge (imported services)",L287,0)</f>
        <v>0</v>
      </c>
      <c r="O287" s="52" t="n">
        <f aca="false">IF(C287&lt;&gt;"Purchase",0,IF(OR(I287="N",F287="Blocked input (entertainment)"),0,L287))</f>
        <v>0</v>
      </c>
      <c r="P287" s="52" t="n">
        <f aca="false">IF(C287&lt;&gt;"Purchase",0,L287-O287)</f>
        <v>0</v>
      </c>
      <c r="Q287" s="53" t="n">
        <f aca="false">J287-B287</f>
        <v>0</v>
      </c>
      <c r="R287" s="51" t="str">
        <f aca="false">IF(I287="N","Invalid / missing TRN",IF(F287="Blocked input (entertainment)","Blocked input",IF(Q287&gt;30,"Late posting (&gt;30d)","")))</f>
        <v/>
      </c>
    </row>
    <row r="288" customFormat="false" ht="15" hidden="false" customHeight="false" outlineLevel="0" collapsed="false">
      <c r="A288" s="47" t="s">
        <v>563</v>
      </c>
      <c r="B288" s="48" t="n">
        <v>45737</v>
      </c>
      <c r="C288" s="47" t="s">
        <v>166</v>
      </c>
      <c r="D288" s="47" t="s">
        <v>206</v>
      </c>
      <c r="E288" s="47" t="s">
        <v>100</v>
      </c>
      <c r="F288" s="47" t="s">
        <v>161</v>
      </c>
      <c r="G288" s="49" t="n">
        <v>54756.38</v>
      </c>
      <c r="H288" s="50" t="n">
        <v>0.05</v>
      </c>
      <c r="I288" s="47" t="s">
        <v>162</v>
      </c>
      <c r="J288" s="48" t="n">
        <v>45737</v>
      </c>
      <c r="K288" s="51" t="str">
        <f aca="false">"Q"&amp;ROUNDUP(MONTH(B288)/3,0)</f>
        <v>Q1</v>
      </c>
      <c r="L288" s="52" t="n">
        <f aca="false">ROUND(G288*H288,2)</f>
        <v>2737.82</v>
      </c>
      <c r="M288" s="52" t="n">
        <f aca="false">IF(AND(C288="Sales",F288="Standard-rated 5%"),L288,0)</f>
        <v>0</v>
      </c>
      <c r="N288" s="52" t="n">
        <f aca="false">IF(F288="Reverse charge (imported services)",L288,0)</f>
        <v>0</v>
      </c>
      <c r="O288" s="52" t="n">
        <f aca="false">IF(C288&lt;&gt;"Purchase",0,IF(OR(I288="N",F288="Blocked input (entertainment)"),0,L288))</f>
        <v>2737.82</v>
      </c>
      <c r="P288" s="52" t="n">
        <f aca="false">IF(C288&lt;&gt;"Purchase",0,L288-O288)</f>
        <v>0</v>
      </c>
      <c r="Q288" s="53" t="n">
        <f aca="false">J288-B288</f>
        <v>0</v>
      </c>
      <c r="R288" s="51" t="str">
        <f aca="false">IF(I288="N","Invalid / missing TRN",IF(F288="Blocked input (entertainment)","Blocked input",IF(Q288&gt;30,"Late posting (&gt;30d)","")))</f>
        <v/>
      </c>
    </row>
    <row r="289" customFormat="false" ht="15" hidden="false" customHeight="false" outlineLevel="0" collapsed="false">
      <c r="A289" s="47" t="s">
        <v>564</v>
      </c>
      <c r="B289" s="48" t="n">
        <v>45737</v>
      </c>
      <c r="C289" s="47" t="s">
        <v>159</v>
      </c>
      <c r="D289" s="47" t="s">
        <v>330</v>
      </c>
      <c r="E289" s="47" t="s">
        <v>100</v>
      </c>
      <c r="F289" s="47" t="s">
        <v>161</v>
      </c>
      <c r="G289" s="49" t="n">
        <v>28688.37</v>
      </c>
      <c r="H289" s="50" t="n">
        <v>0.05</v>
      </c>
      <c r="I289" s="47" t="s">
        <v>162</v>
      </c>
      <c r="J289" s="48" t="n">
        <v>45737</v>
      </c>
      <c r="K289" s="51" t="str">
        <f aca="false">"Q"&amp;ROUNDUP(MONTH(B289)/3,0)</f>
        <v>Q1</v>
      </c>
      <c r="L289" s="52" t="n">
        <f aca="false">ROUND(G289*H289,2)</f>
        <v>1434.42</v>
      </c>
      <c r="M289" s="52" t="n">
        <f aca="false">IF(AND(C289="Sales",F289="Standard-rated 5%"),L289,0)</f>
        <v>1434.42</v>
      </c>
      <c r="N289" s="52" t="n">
        <f aca="false">IF(F289="Reverse charge (imported services)",L289,0)</f>
        <v>0</v>
      </c>
      <c r="O289" s="52" t="n">
        <f aca="false">IF(C289&lt;&gt;"Purchase",0,IF(OR(I289="N",F289="Blocked input (entertainment)"),0,L289))</f>
        <v>0</v>
      </c>
      <c r="P289" s="52" t="n">
        <f aca="false">IF(C289&lt;&gt;"Purchase",0,L289-O289)</f>
        <v>0</v>
      </c>
      <c r="Q289" s="53" t="n">
        <f aca="false">J289-B289</f>
        <v>0</v>
      </c>
      <c r="R289" s="51" t="str">
        <f aca="false">IF(I289="N","Invalid / missing TRN",IF(F289="Blocked input (entertainment)","Blocked input",IF(Q289&gt;30,"Late posting (&gt;30d)","")))</f>
        <v/>
      </c>
    </row>
    <row r="290" customFormat="false" ht="15" hidden="false" customHeight="false" outlineLevel="0" collapsed="false">
      <c r="A290" s="47" t="s">
        <v>565</v>
      </c>
      <c r="B290" s="48" t="n">
        <v>45737</v>
      </c>
      <c r="C290" s="47" t="s">
        <v>159</v>
      </c>
      <c r="D290" s="47" t="s">
        <v>415</v>
      </c>
      <c r="E290" s="47" t="s">
        <v>100</v>
      </c>
      <c r="F290" s="47" t="s">
        <v>161</v>
      </c>
      <c r="G290" s="49" t="n">
        <v>35178.93</v>
      </c>
      <c r="H290" s="50" t="n">
        <v>0.05</v>
      </c>
      <c r="I290" s="47" t="s">
        <v>162</v>
      </c>
      <c r="J290" s="48" t="n">
        <v>45737</v>
      </c>
      <c r="K290" s="51" t="str">
        <f aca="false">"Q"&amp;ROUNDUP(MONTH(B290)/3,0)</f>
        <v>Q1</v>
      </c>
      <c r="L290" s="52" t="n">
        <f aca="false">ROUND(G290*H290,2)</f>
        <v>1758.95</v>
      </c>
      <c r="M290" s="52" t="n">
        <f aca="false">IF(AND(C290="Sales",F290="Standard-rated 5%"),L290,0)</f>
        <v>1758.95</v>
      </c>
      <c r="N290" s="52" t="n">
        <f aca="false">IF(F290="Reverse charge (imported services)",L290,0)</f>
        <v>0</v>
      </c>
      <c r="O290" s="52" t="n">
        <f aca="false">IF(C290&lt;&gt;"Purchase",0,IF(OR(I290="N",F290="Blocked input (entertainment)"),0,L290))</f>
        <v>0</v>
      </c>
      <c r="P290" s="52" t="n">
        <f aca="false">IF(C290&lt;&gt;"Purchase",0,L290-O290)</f>
        <v>0</v>
      </c>
      <c r="Q290" s="53" t="n">
        <f aca="false">J290-B290</f>
        <v>0</v>
      </c>
      <c r="R290" s="51" t="str">
        <f aca="false">IF(I290="N","Invalid / missing TRN",IF(F290="Blocked input (entertainment)","Blocked input",IF(Q290&gt;30,"Late posting (&gt;30d)","")))</f>
        <v/>
      </c>
    </row>
    <row r="291" customFormat="false" ht="15" hidden="false" customHeight="false" outlineLevel="0" collapsed="false">
      <c r="A291" s="47" t="s">
        <v>566</v>
      </c>
      <c r="B291" s="48" t="n">
        <v>45737</v>
      </c>
      <c r="C291" s="47" t="s">
        <v>159</v>
      </c>
      <c r="D291" s="47" t="s">
        <v>567</v>
      </c>
      <c r="E291" s="47" t="s">
        <v>105</v>
      </c>
      <c r="F291" s="47" t="s">
        <v>161</v>
      </c>
      <c r="G291" s="49" t="n">
        <v>47597.45</v>
      </c>
      <c r="H291" s="50" t="n">
        <v>0.05</v>
      </c>
      <c r="I291" s="47" t="s">
        <v>162</v>
      </c>
      <c r="J291" s="48" t="n">
        <v>45737</v>
      </c>
      <c r="K291" s="51" t="str">
        <f aca="false">"Q"&amp;ROUNDUP(MONTH(B291)/3,0)</f>
        <v>Q1</v>
      </c>
      <c r="L291" s="52" t="n">
        <f aca="false">ROUND(G291*H291,2)</f>
        <v>2379.87</v>
      </c>
      <c r="M291" s="52" t="n">
        <f aca="false">IF(AND(C291="Sales",F291="Standard-rated 5%"),L291,0)</f>
        <v>2379.87</v>
      </c>
      <c r="N291" s="52" t="n">
        <f aca="false">IF(F291="Reverse charge (imported services)",L291,0)</f>
        <v>0</v>
      </c>
      <c r="O291" s="52" t="n">
        <f aca="false">IF(C291&lt;&gt;"Purchase",0,IF(OR(I291="N",F291="Blocked input (entertainment)"),0,L291))</f>
        <v>0</v>
      </c>
      <c r="P291" s="52" t="n">
        <f aca="false">IF(C291&lt;&gt;"Purchase",0,L291-O291)</f>
        <v>0</v>
      </c>
      <c r="Q291" s="53" t="n">
        <f aca="false">J291-B291</f>
        <v>0</v>
      </c>
      <c r="R291" s="51" t="str">
        <f aca="false">IF(I291="N","Invalid / missing TRN",IF(F291="Blocked input (entertainment)","Blocked input",IF(Q291&gt;30,"Late posting (&gt;30d)","")))</f>
        <v/>
      </c>
    </row>
    <row r="292" customFormat="false" ht="15" hidden="false" customHeight="false" outlineLevel="0" collapsed="false">
      <c r="A292" s="47" t="s">
        <v>568</v>
      </c>
      <c r="B292" s="48" t="n">
        <v>45738</v>
      </c>
      <c r="C292" s="47" t="s">
        <v>166</v>
      </c>
      <c r="D292" s="47" t="s">
        <v>231</v>
      </c>
      <c r="E292" s="47" t="s">
        <v>102</v>
      </c>
      <c r="F292" s="47" t="s">
        <v>392</v>
      </c>
      <c r="G292" s="49" t="n">
        <v>329108.53</v>
      </c>
      <c r="H292" s="50" t="n">
        <v>0.05</v>
      </c>
      <c r="I292" s="47" t="s">
        <v>162</v>
      </c>
      <c r="J292" s="48" t="n">
        <v>45738</v>
      </c>
      <c r="K292" s="51" t="str">
        <f aca="false">"Q"&amp;ROUNDUP(MONTH(B292)/3,0)</f>
        <v>Q1</v>
      </c>
      <c r="L292" s="52" t="n">
        <f aca="false">ROUND(G292*H292,2)</f>
        <v>16455.43</v>
      </c>
      <c r="M292" s="52" t="n">
        <f aca="false">IF(AND(C292="Sales",F292="Standard-rated 5%"),L292,0)</f>
        <v>0</v>
      </c>
      <c r="N292" s="52" t="n">
        <f aca="false">IF(F292="Reverse charge (imported services)",L292,0)</f>
        <v>0</v>
      </c>
      <c r="O292" s="52" t="n">
        <f aca="false">IF(C292&lt;&gt;"Purchase",0,IF(OR(I292="N",F292="Blocked input (entertainment)"),0,L292))</f>
        <v>16455.43</v>
      </c>
      <c r="P292" s="52" t="n">
        <f aca="false">IF(C292&lt;&gt;"Purchase",0,L292-O292)</f>
        <v>0</v>
      </c>
      <c r="Q292" s="53" t="n">
        <f aca="false">J292-B292</f>
        <v>0</v>
      </c>
      <c r="R292" s="51" t="str">
        <f aca="false">IF(I292="N","Invalid / missing TRN",IF(F292="Blocked input (entertainment)","Blocked input",IF(Q292&gt;30,"Late posting (&gt;30d)","")))</f>
        <v/>
      </c>
    </row>
    <row r="293" customFormat="false" ht="15" hidden="false" customHeight="false" outlineLevel="0" collapsed="false">
      <c r="A293" s="47" t="s">
        <v>569</v>
      </c>
      <c r="B293" s="48" t="n">
        <v>45738</v>
      </c>
      <c r="C293" s="47" t="s">
        <v>166</v>
      </c>
      <c r="D293" s="47" t="s">
        <v>570</v>
      </c>
      <c r="E293" s="47" t="s">
        <v>102</v>
      </c>
      <c r="F293" s="47" t="s">
        <v>392</v>
      </c>
      <c r="G293" s="49" t="n">
        <v>137490.32</v>
      </c>
      <c r="H293" s="50" t="n">
        <v>0.05</v>
      </c>
      <c r="I293" s="47" t="s">
        <v>162</v>
      </c>
      <c r="J293" s="48" t="n">
        <v>45738</v>
      </c>
      <c r="K293" s="51" t="str">
        <f aca="false">"Q"&amp;ROUNDUP(MONTH(B293)/3,0)</f>
        <v>Q1</v>
      </c>
      <c r="L293" s="52" t="n">
        <f aca="false">ROUND(G293*H293,2)</f>
        <v>6874.52</v>
      </c>
      <c r="M293" s="52" t="n">
        <f aca="false">IF(AND(C293="Sales",F293="Standard-rated 5%"),L293,0)</f>
        <v>0</v>
      </c>
      <c r="N293" s="52" t="n">
        <f aca="false">IF(F293="Reverse charge (imported services)",L293,0)</f>
        <v>0</v>
      </c>
      <c r="O293" s="52" t="n">
        <f aca="false">IF(C293&lt;&gt;"Purchase",0,IF(OR(I293="N",F293="Blocked input (entertainment)"),0,L293))</f>
        <v>6874.52</v>
      </c>
      <c r="P293" s="52" t="n">
        <f aca="false">IF(C293&lt;&gt;"Purchase",0,L293-O293)</f>
        <v>0</v>
      </c>
      <c r="Q293" s="53" t="n">
        <f aca="false">J293-B293</f>
        <v>0</v>
      </c>
      <c r="R293" s="51" t="str">
        <f aca="false">IF(I293="N","Invalid / missing TRN",IF(F293="Blocked input (entertainment)","Blocked input",IF(Q293&gt;30,"Late posting (&gt;30d)","")))</f>
        <v/>
      </c>
    </row>
    <row r="294" customFormat="false" ht="15" hidden="false" customHeight="false" outlineLevel="0" collapsed="false">
      <c r="A294" s="47" t="s">
        <v>571</v>
      </c>
      <c r="B294" s="48" t="n">
        <v>45739</v>
      </c>
      <c r="C294" s="47" t="s">
        <v>166</v>
      </c>
      <c r="D294" s="47" t="s">
        <v>201</v>
      </c>
      <c r="E294" s="47" t="s">
        <v>100</v>
      </c>
      <c r="F294" s="47" t="s">
        <v>161</v>
      </c>
      <c r="G294" s="49" t="n">
        <v>14003.93</v>
      </c>
      <c r="H294" s="50" t="n">
        <v>0.05</v>
      </c>
      <c r="I294" s="47" t="s">
        <v>162</v>
      </c>
      <c r="J294" s="48" t="n">
        <v>45744</v>
      </c>
      <c r="K294" s="51" t="str">
        <f aca="false">"Q"&amp;ROUNDUP(MONTH(B294)/3,0)</f>
        <v>Q1</v>
      </c>
      <c r="L294" s="52" t="n">
        <f aca="false">ROUND(G294*H294,2)</f>
        <v>700.2</v>
      </c>
      <c r="M294" s="52" t="n">
        <f aca="false">IF(AND(C294="Sales",F294="Standard-rated 5%"),L294,0)</f>
        <v>0</v>
      </c>
      <c r="N294" s="52" t="n">
        <f aca="false">IF(F294="Reverse charge (imported services)",L294,0)</f>
        <v>0</v>
      </c>
      <c r="O294" s="52" t="n">
        <f aca="false">IF(C294&lt;&gt;"Purchase",0,IF(OR(I294="N",F294="Blocked input (entertainment)"),0,L294))</f>
        <v>700.2</v>
      </c>
      <c r="P294" s="52" t="n">
        <f aca="false">IF(C294&lt;&gt;"Purchase",0,L294-O294)</f>
        <v>0</v>
      </c>
      <c r="Q294" s="53" t="n">
        <f aca="false">J294-B294</f>
        <v>5</v>
      </c>
      <c r="R294" s="51" t="str">
        <f aca="false">IF(I294="N","Invalid / missing TRN",IF(F294="Blocked input (entertainment)","Blocked input",IF(Q294&gt;30,"Late posting (&gt;30d)","")))</f>
        <v/>
      </c>
    </row>
    <row r="295" customFormat="false" ht="15" hidden="false" customHeight="false" outlineLevel="0" collapsed="false">
      <c r="A295" s="47" t="s">
        <v>572</v>
      </c>
      <c r="B295" s="48" t="n">
        <v>45739</v>
      </c>
      <c r="C295" s="47" t="s">
        <v>166</v>
      </c>
      <c r="D295" s="47" t="s">
        <v>274</v>
      </c>
      <c r="E295" s="47" t="s">
        <v>100</v>
      </c>
      <c r="F295" s="47" t="s">
        <v>268</v>
      </c>
      <c r="G295" s="49" t="n">
        <v>11107.65</v>
      </c>
      <c r="H295" s="50" t="n">
        <v>0</v>
      </c>
      <c r="I295" s="47" t="s">
        <v>162</v>
      </c>
      <c r="J295" s="48" t="n">
        <v>45739</v>
      </c>
      <c r="K295" s="51" t="str">
        <f aca="false">"Q"&amp;ROUNDUP(MONTH(B295)/3,0)</f>
        <v>Q1</v>
      </c>
      <c r="L295" s="52" t="n">
        <f aca="false">ROUND(G295*H295,2)</f>
        <v>0</v>
      </c>
      <c r="M295" s="52" t="n">
        <f aca="false">IF(AND(C295="Sales",F295="Standard-rated 5%"),L295,0)</f>
        <v>0</v>
      </c>
      <c r="N295" s="52" t="n">
        <f aca="false">IF(F295="Reverse charge (imported services)",L295,0)</f>
        <v>0</v>
      </c>
      <c r="O295" s="52" t="n">
        <f aca="false">IF(C295&lt;&gt;"Purchase",0,IF(OR(I295="N",F295="Blocked input (entertainment)"),0,L295))</f>
        <v>0</v>
      </c>
      <c r="P295" s="52" t="n">
        <f aca="false">IF(C295&lt;&gt;"Purchase",0,L295-O295)</f>
        <v>0</v>
      </c>
      <c r="Q295" s="53" t="n">
        <f aca="false">J295-B295</f>
        <v>0</v>
      </c>
      <c r="R295" s="51" t="str">
        <f aca="false">IF(I295="N","Invalid / missing TRN",IF(F295="Blocked input (entertainment)","Blocked input",IF(Q295&gt;30,"Late posting (&gt;30d)","")))</f>
        <v/>
      </c>
    </row>
    <row r="296" customFormat="false" ht="15" hidden="false" customHeight="false" outlineLevel="0" collapsed="false">
      <c r="A296" s="47" t="s">
        <v>573</v>
      </c>
      <c r="B296" s="48" t="n">
        <v>45739</v>
      </c>
      <c r="C296" s="47" t="s">
        <v>166</v>
      </c>
      <c r="D296" s="47" t="s">
        <v>460</v>
      </c>
      <c r="E296" s="47" t="s">
        <v>100</v>
      </c>
      <c r="F296" s="47" t="s">
        <v>161</v>
      </c>
      <c r="G296" s="49" t="n">
        <v>54571.83</v>
      </c>
      <c r="H296" s="50" t="n">
        <v>0.05</v>
      </c>
      <c r="I296" s="47" t="s">
        <v>162</v>
      </c>
      <c r="J296" s="48" t="n">
        <v>45739</v>
      </c>
      <c r="K296" s="51" t="str">
        <f aca="false">"Q"&amp;ROUNDUP(MONTH(B296)/3,0)</f>
        <v>Q1</v>
      </c>
      <c r="L296" s="52" t="n">
        <f aca="false">ROUND(G296*H296,2)</f>
        <v>2728.59</v>
      </c>
      <c r="M296" s="52" t="n">
        <f aca="false">IF(AND(C296="Sales",F296="Standard-rated 5%"),L296,0)</f>
        <v>0</v>
      </c>
      <c r="N296" s="52" t="n">
        <f aca="false">IF(F296="Reverse charge (imported services)",L296,0)</f>
        <v>0</v>
      </c>
      <c r="O296" s="52" t="n">
        <f aca="false">IF(C296&lt;&gt;"Purchase",0,IF(OR(I296="N",F296="Blocked input (entertainment)"),0,L296))</f>
        <v>2728.59</v>
      </c>
      <c r="P296" s="52" t="n">
        <f aca="false">IF(C296&lt;&gt;"Purchase",0,L296-O296)</f>
        <v>0</v>
      </c>
      <c r="Q296" s="53" t="n">
        <f aca="false">J296-B296</f>
        <v>0</v>
      </c>
      <c r="R296" s="51" t="str">
        <f aca="false">IF(I296="N","Invalid / missing TRN",IF(F296="Blocked input (entertainment)","Blocked input",IF(Q296&gt;30,"Late posting (&gt;30d)","")))</f>
        <v/>
      </c>
    </row>
    <row r="297" customFormat="false" ht="15" hidden="false" customHeight="false" outlineLevel="0" collapsed="false">
      <c r="A297" s="47" t="s">
        <v>574</v>
      </c>
      <c r="B297" s="48" t="n">
        <v>45739</v>
      </c>
      <c r="C297" s="47" t="s">
        <v>166</v>
      </c>
      <c r="D297" s="47" t="s">
        <v>447</v>
      </c>
      <c r="E297" s="47" t="s">
        <v>102</v>
      </c>
      <c r="F297" s="47" t="s">
        <v>392</v>
      </c>
      <c r="G297" s="49" t="n">
        <v>198101.62</v>
      </c>
      <c r="H297" s="50" t="n">
        <v>0.05</v>
      </c>
      <c r="I297" s="47" t="s">
        <v>162</v>
      </c>
      <c r="J297" s="48" t="n">
        <v>45739</v>
      </c>
      <c r="K297" s="51" t="str">
        <f aca="false">"Q"&amp;ROUNDUP(MONTH(B297)/3,0)</f>
        <v>Q1</v>
      </c>
      <c r="L297" s="52" t="n">
        <f aca="false">ROUND(G297*H297,2)</f>
        <v>9905.08</v>
      </c>
      <c r="M297" s="52" t="n">
        <f aca="false">IF(AND(C297="Sales",F297="Standard-rated 5%"),L297,0)</f>
        <v>0</v>
      </c>
      <c r="N297" s="52" t="n">
        <f aca="false">IF(F297="Reverse charge (imported services)",L297,0)</f>
        <v>0</v>
      </c>
      <c r="O297" s="52" t="n">
        <f aca="false">IF(C297&lt;&gt;"Purchase",0,IF(OR(I297="N",F297="Blocked input (entertainment)"),0,L297))</f>
        <v>9905.08</v>
      </c>
      <c r="P297" s="52" t="n">
        <f aca="false">IF(C297&lt;&gt;"Purchase",0,L297-O297)</f>
        <v>0</v>
      </c>
      <c r="Q297" s="53" t="n">
        <f aca="false">J297-B297</f>
        <v>0</v>
      </c>
      <c r="R297" s="51" t="str">
        <f aca="false">IF(I297="N","Invalid / missing TRN",IF(F297="Blocked input (entertainment)","Blocked input",IF(Q297&gt;30,"Late posting (&gt;30d)","")))</f>
        <v/>
      </c>
    </row>
    <row r="298" customFormat="false" ht="15" hidden="false" customHeight="false" outlineLevel="0" collapsed="false">
      <c r="A298" s="47" t="s">
        <v>575</v>
      </c>
      <c r="B298" s="48" t="n">
        <v>45739</v>
      </c>
      <c r="C298" s="47" t="s">
        <v>159</v>
      </c>
      <c r="D298" s="47" t="s">
        <v>330</v>
      </c>
      <c r="E298" s="47" t="s">
        <v>101</v>
      </c>
      <c r="F298" s="47" t="s">
        <v>161</v>
      </c>
      <c r="G298" s="49" t="n">
        <v>23536.51</v>
      </c>
      <c r="H298" s="50" t="n">
        <v>0.05</v>
      </c>
      <c r="I298" s="47" t="s">
        <v>162</v>
      </c>
      <c r="J298" s="48" t="n">
        <v>45739</v>
      </c>
      <c r="K298" s="51" t="str">
        <f aca="false">"Q"&amp;ROUNDUP(MONTH(B298)/3,0)</f>
        <v>Q1</v>
      </c>
      <c r="L298" s="52" t="n">
        <f aca="false">ROUND(G298*H298,2)</f>
        <v>1176.83</v>
      </c>
      <c r="M298" s="52" t="n">
        <f aca="false">IF(AND(C298="Sales",F298="Standard-rated 5%"),L298,0)</f>
        <v>1176.83</v>
      </c>
      <c r="N298" s="52" t="n">
        <f aca="false">IF(F298="Reverse charge (imported services)",L298,0)</f>
        <v>0</v>
      </c>
      <c r="O298" s="52" t="n">
        <f aca="false">IF(C298&lt;&gt;"Purchase",0,IF(OR(I298="N",F298="Blocked input (entertainment)"),0,L298))</f>
        <v>0</v>
      </c>
      <c r="P298" s="52" t="n">
        <f aca="false">IF(C298&lt;&gt;"Purchase",0,L298-O298)</f>
        <v>0</v>
      </c>
      <c r="Q298" s="53" t="n">
        <f aca="false">J298-B298</f>
        <v>0</v>
      </c>
      <c r="R298" s="51" t="str">
        <f aca="false">IF(I298="N","Invalid / missing TRN",IF(F298="Blocked input (entertainment)","Blocked input",IF(Q298&gt;30,"Late posting (&gt;30d)","")))</f>
        <v/>
      </c>
    </row>
    <row r="299" customFormat="false" ht="15" hidden="false" customHeight="false" outlineLevel="0" collapsed="false">
      <c r="A299" s="47" t="s">
        <v>576</v>
      </c>
      <c r="B299" s="48" t="n">
        <v>45740</v>
      </c>
      <c r="C299" s="47" t="s">
        <v>166</v>
      </c>
      <c r="D299" s="47" t="s">
        <v>577</v>
      </c>
      <c r="E299" s="47" t="s">
        <v>101</v>
      </c>
      <c r="F299" s="47" t="s">
        <v>161</v>
      </c>
      <c r="G299" s="49" t="n">
        <v>41535.45</v>
      </c>
      <c r="H299" s="50" t="n">
        <v>0.05</v>
      </c>
      <c r="I299" s="47" t="s">
        <v>162</v>
      </c>
      <c r="J299" s="48" t="n">
        <v>45740</v>
      </c>
      <c r="K299" s="51" t="str">
        <f aca="false">"Q"&amp;ROUNDUP(MONTH(B299)/3,0)</f>
        <v>Q1</v>
      </c>
      <c r="L299" s="52" t="n">
        <f aca="false">ROUND(G299*H299,2)</f>
        <v>2076.77</v>
      </c>
      <c r="M299" s="52" t="n">
        <f aca="false">IF(AND(C299="Sales",F299="Standard-rated 5%"),L299,0)</f>
        <v>0</v>
      </c>
      <c r="N299" s="52" t="n">
        <f aca="false">IF(F299="Reverse charge (imported services)",L299,0)</f>
        <v>0</v>
      </c>
      <c r="O299" s="52" t="n">
        <f aca="false">IF(C299&lt;&gt;"Purchase",0,IF(OR(I299="N",F299="Blocked input (entertainment)"),0,L299))</f>
        <v>2076.77</v>
      </c>
      <c r="P299" s="52" t="n">
        <f aca="false">IF(C299&lt;&gt;"Purchase",0,L299-O299)</f>
        <v>0</v>
      </c>
      <c r="Q299" s="53" t="n">
        <f aca="false">J299-B299</f>
        <v>0</v>
      </c>
      <c r="R299" s="51" t="str">
        <f aca="false">IF(I299="N","Invalid / missing TRN",IF(F299="Blocked input (entertainment)","Blocked input",IF(Q299&gt;30,"Late posting (&gt;30d)","")))</f>
        <v/>
      </c>
    </row>
    <row r="300" customFormat="false" ht="15" hidden="false" customHeight="false" outlineLevel="0" collapsed="false">
      <c r="A300" s="47" t="s">
        <v>578</v>
      </c>
      <c r="B300" s="48" t="n">
        <v>45740</v>
      </c>
      <c r="C300" s="47" t="s">
        <v>159</v>
      </c>
      <c r="D300" s="47" t="s">
        <v>579</v>
      </c>
      <c r="E300" s="47" t="s">
        <v>104</v>
      </c>
      <c r="F300" s="47" t="s">
        <v>161</v>
      </c>
      <c r="G300" s="49" t="n">
        <v>27233.06</v>
      </c>
      <c r="H300" s="50" t="n">
        <v>0.05</v>
      </c>
      <c r="I300" s="47" t="s">
        <v>162</v>
      </c>
      <c r="J300" s="48" t="n">
        <v>45740</v>
      </c>
      <c r="K300" s="51" t="str">
        <f aca="false">"Q"&amp;ROUNDUP(MONTH(B300)/3,0)</f>
        <v>Q1</v>
      </c>
      <c r="L300" s="52" t="n">
        <f aca="false">ROUND(G300*H300,2)</f>
        <v>1361.65</v>
      </c>
      <c r="M300" s="52" t="n">
        <f aca="false">IF(AND(C300="Sales",F300="Standard-rated 5%"),L300,0)</f>
        <v>1361.65</v>
      </c>
      <c r="N300" s="52" t="n">
        <f aca="false">IF(F300="Reverse charge (imported services)",L300,0)</f>
        <v>0</v>
      </c>
      <c r="O300" s="52" t="n">
        <f aca="false">IF(C300&lt;&gt;"Purchase",0,IF(OR(I300="N",F300="Blocked input (entertainment)"),0,L300))</f>
        <v>0</v>
      </c>
      <c r="P300" s="52" t="n">
        <f aca="false">IF(C300&lt;&gt;"Purchase",0,L300-O300)</f>
        <v>0</v>
      </c>
      <c r="Q300" s="53" t="n">
        <f aca="false">J300-B300</f>
        <v>0</v>
      </c>
      <c r="R300" s="51" t="str">
        <f aca="false">IF(I300="N","Invalid / missing TRN",IF(F300="Blocked input (entertainment)","Blocked input",IF(Q300&gt;30,"Late posting (&gt;30d)","")))</f>
        <v/>
      </c>
    </row>
    <row r="301" customFormat="false" ht="15" hidden="false" customHeight="false" outlineLevel="0" collapsed="false">
      <c r="A301" s="47" t="s">
        <v>580</v>
      </c>
      <c r="B301" s="48" t="n">
        <v>45740</v>
      </c>
      <c r="C301" s="47" t="s">
        <v>159</v>
      </c>
      <c r="D301" s="47" t="s">
        <v>581</v>
      </c>
      <c r="E301" s="47" t="s">
        <v>101</v>
      </c>
      <c r="F301" s="47" t="s">
        <v>161</v>
      </c>
      <c r="G301" s="49" t="n">
        <v>61347.81</v>
      </c>
      <c r="H301" s="50" t="n">
        <v>0.05</v>
      </c>
      <c r="I301" s="47" t="s">
        <v>162</v>
      </c>
      <c r="J301" s="48" t="n">
        <v>45740</v>
      </c>
      <c r="K301" s="51" t="str">
        <f aca="false">"Q"&amp;ROUNDUP(MONTH(B301)/3,0)</f>
        <v>Q1</v>
      </c>
      <c r="L301" s="52" t="n">
        <f aca="false">ROUND(G301*H301,2)</f>
        <v>3067.39</v>
      </c>
      <c r="M301" s="52" t="n">
        <f aca="false">IF(AND(C301="Sales",F301="Standard-rated 5%"),L301,0)</f>
        <v>3067.39</v>
      </c>
      <c r="N301" s="52" t="n">
        <f aca="false">IF(F301="Reverse charge (imported services)",L301,0)</f>
        <v>0</v>
      </c>
      <c r="O301" s="52" t="n">
        <f aca="false">IF(C301&lt;&gt;"Purchase",0,IF(OR(I301="N",F301="Blocked input (entertainment)"),0,L301))</f>
        <v>0</v>
      </c>
      <c r="P301" s="52" t="n">
        <f aca="false">IF(C301&lt;&gt;"Purchase",0,L301-O301)</f>
        <v>0</v>
      </c>
      <c r="Q301" s="53" t="n">
        <f aca="false">J301-B301</f>
        <v>0</v>
      </c>
      <c r="R301" s="51" t="str">
        <f aca="false">IF(I301="N","Invalid / missing TRN",IF(F301="Blocked input (entertainment)","Blocked input",IF(Q301&gt;30,"Late posting (&gt;30d)","")))</f>
        <v/>
      </c>
    </row>
    <row r="302" customFormat="false" ht="15" hidden="false" customHeight="false" outlineLevel="0" collapsed="false">
      <c r="A302" s="47" t="s">
        <v>582</v>
      </c>
      <c r="B302" s="48" t="n">
        <v>45740</v>
      </c>
      <c r="C302" s="47" t="s">
        <v>159</v>
      </c>
      <c r="D302" s="47" t="s">
        <v>583</v>
      </c>
      <c r="E302" s="47" t="s">
        <v>100</v>
      </c>
      <c r="F302" s="47" t="s">
        <v>161</v>
      </c>
      <c r="G302" s="49" t="n">
        <v>36627.64</v>
      </c>
      <c r="H302" s="50" t="n">
        <v>0.05</v>
      </c>
      <c r="I302" s="47" t="s">
        <v>162</v>
      </c>
      <c r="J302" s="48" t="n">
        <v>45740</v>
      </c>
      <c r="K302" s="51" t="str">
        <f aca="false">"Q"&amp;ROUNDUP(MONTH(B302)/3,0)</f>
        <v>Q1</v>
      </c>
      <c r="L302" s="52" t="n">
        <f aca="false">ROUND(G302*H302,2)</f>
        <v>1831.38</v>
      </c>
      <c r="M302" s="52" t="n">
        <f aca="false">IF(AND(C302="Sales",F302="Standard-rated 5%"),L302,0)</f>
        <v>1831.38</v>
      </c>
      <c r="N302" s="52" t="n">
        <f aca="false">IF(F302="Reverse charge (imported services)",L302,0)</f>
        <v>0</v>
      </c>
      <c r="O302" s="52" t="n">
        <f aca="false">IF(C302&lt;&gt;"Purchase",0,IF(OR(I302="N",F302="Blocked input (entertainment)"),0,L302))</f>
        <v>0</v>
      </c>
      <c r="P302" s="52" t="n">
        <f aca="false">IF(C302&lt;&gt;"Purchase",0,L302-O302)</f>
        <v>0</v>
      </c>
      <c r="Q302" s="53" t="n">
        <f aca="false">J302-B302</f>
        <v>0</v>
      </c>
      <c r="R302" s="51" t="str">
        <f aca="false">IF(I302="N","Invalid / missing TRN",IF(F302="Blocked input (entertainment)","Blocked input",IF(Q302&gt;30,"Late posting (&gt;30d)","")))</f>
        <v/>
      </c>
    </row>
    <row r="303" customFormat="false" ht="15" hidden="false" customHeight="false" outlineLevel="0" collapsed="false">
      <c r="A303" s="47" t="s">
        <v>584</v>
      </c>
      <c r="B303" s="48" t="n">
        <v>45740</v>
      </c>
      <c r="C303" s="47" t="s">
        <v>159</v>
      </c>
      <c r="D303" s="47" t="s">
        <v>283</v>
      </c>
      <c r="E303" s="47" t="s">
        <v>100</v>
      </c>
      <c r="F303" s="47" t="s">
        <v>161</v>
      </c>
      <c r="G303" s="49" t="n">
        <v>36927.83</v>
      </c>
      <c r="H303" s="50" t="n">
        <v>0.05</v>
      </c>
      <c r="I303" s="47" t="s">
        <v>162</v>
      </c>
      <c r="J303" s="48" t="n">
        <v>45740</v>
      </c>
      <c r="K303" s="51" t="str">
        <f aca="false">"Q"&amp;ROUNDUP(MONTH(B303)/3,0)</f>
        <v>Q1</v>
      </c>
      <c r="L303" s="52" t="n">
        <f aca="false">ROUND(G303*H303,2)</f>
        <v>1846.39</v>
      </c>
      <c r="M303" s="52" t="n">
        <f aca="false">IF(AND(C303="Sales",F303="Standard-rated 5%"),L303,0)</f>
        <v>1846.39</v>
      </c>
      <c r="N303" s="52" t="n">
        <f aca="false">IF(F303="Reverse charge (imported services)",L303,0)</f>
        <v>0</v>
      </c>
      <c r="O303" s="52" t="n">
        <f aca="false">IF(C303&lt;&gt;"Purchase",0,IF(OR(I303="N",F303="Blocked input (entertainment)"),0,L303))</f>
        <v>0</v>
      </c>
      <c r="P303" s="52" t="n">
        <f aca="false">IF(C303&lt;&gt;"Purchase",0,L303-O303)</f>
        <v>0</v>
      </c>
      <c r="Q303" s="53" t="n">
        <f aca="false">J303-B303</f>
        <v>0</v>
      </c>
      <c r="R303" s="51" t="str">
        <f aca="false">IF(I303="N","Invalid / missing TRN",IF(F303="Blocked input (entertainment)","Blocked input",IF(Q303&gt;30,"Late posting (&gt;30d)","")))</f>
        <v/>
      </c>
    </row>
    <row r="304" customFormat="false" ht="15" hidden="false" customHeight="false" outlineLevel="0" collapsed="false">
      <c r="A304" s="47" t="s">
        <v>585</v>
      </c>
      <c r="B304" s="48" t="n">
        <v>45740</v>
      </c>
      <c r="C304" s="47" t="s">
        <v>159</v>
      </c>
      <c r="D304" s="47" t="s">
        <v>583</v>
      </c>
      <c r="E304" s="47" t="s">
        <v>101</v>
      </c>
      <c r="F304" s="47" t="s">
        <v>278</v>
      </c>
      <c r="G304" s="49" t="n">
        <v>4257.71</v>
      </c>
      <c r="H304" s="50" t="n">
        <v>0</v>
      </c>
      <c r="I304" s="47" t="s">
        <v>162</v>
      </c>
      <c r="J304" s="48" t="n">
        <v>45740</v>
      </c>
      <c r="K304" s="51" t="str">
        <f aca="false">"Q"&amp;ROUNDUP(MONTH(B304)/3,0)</f>
        <v>Q1</v>
      </c>
      <c r="L304" s="52" t="n">
        <f aca="false">ROUND(G304*H304,2)</f>
        <v>0</v>
      </c>
      <c r="M304" s="52" t="n">
        <f aca="false">IF(AND(C304="Sales",F304="Standard-rated 5%"),L304,0)</f>
        <v>0</v>
      </c>
      <c r="N304" s="52" t="n">
        <f aca="false">IF(F304="Reverse charge (imported services)",L304,0)</f>
        <v>0</v>
      </c>
      <c r="O304" s="52" t="n">
        <f aca="false">IF(C304&lt;&gt;"Purchase",0,IF(OR(I304="N",F304="Blocked input (entertainment)"),0,L304))</f>
        <v>0</v>
      </c>
      <c r="P304" s="52" t="n">
        <f aca="false">IF(C304&lt;&gt;"Purchase",0,L304-O304)</f>
        <v>0</v>
      </c>
      <c r="Q304" s="53" t="n">
        <f aca="false">J304-B304</f>
        <v>0</v>
      </c>
      <c r="R304" s="51" t="str">
        <f aca="false">IF(I304="N","Invalid / missing TRN",IF(F304="Blocked input (entertainment)","Blocked input",IF(Q304&gt;30,"Late posting (&gt;30d)","")))</f>
        <v/>
      </c>
    </row>
    <row r="305" customFormat="false" ht="15" hidden="false" customHeight="false" outlineLevel="0" collapsed="false">
      <c r="A305" s="47" t="s">
        <v>586</v>
      </c>
      <c r="B305" s="48" t="n">
        <v>45740</v>
      </c>
      <c r="C305" s="47" t="s">
        <v>159</v>
      </c>
      <c r="D305" s="47" t="s">
        <v>359</v>
      </c>
      <c r="E305" s="47" t="s">
        <v>100</v>
      </c>
      <c r="F305" s="47" t="s">
        <v>161</v>
      </c>
      <c r="G305" s="49" t="n">
        <v>160132.34</v>
      </c>
      <c r="H305" s="50" t="n">
        <v>0.05</v>
      </c>
      <c r="I305" s="47" t="s">
        <v>162</v>
      </c>
      <c r="J305" s="48" t="n">
        <v>45740</v>
      </c>
      <c r="K305" s="51" t="str">
        <f aca="false">"Q"&amp;ROUNDUP(MONTH(B305)/3,0)</f>
        <v>Q1</v>
      </c>
      <c r="L305" s="52" t="n">
        <f aca="false">ROUND(G305*H305,2)</f>
        <v>8006.62</v>
      </c>
      <c r="M305" s="52" t="n">
        <f aca="false">IF(AND(C305="Sales",F305="Standard-rated 5%"),L305,0)</f>
        <v>8006.62</v>
      </c>
      <c r="N305" s="52" t="n">
        <f aca="false">IF(F305="Reverse charge (imported services)",L305,0)</f>
        <v>0</v>
      </c>
      <c r="O305" s="52" t="n">
        <f aca="false">IF(C305&lt;&gt;"Purchase",0,IF(OR(I305="N",F305="Blocked input (entertainment)"),0,L305))</f>
        <v>0</v>
      </c>
      <c r="P305" s="52" t="n">
        <f aca="false">IF(C305&lt;&gt;"Purchase",0,L305-O305)</f>
        <v>0</v>
      </c>
      <c r="Q305" s="53" t="n">
        <f aca="false">J305-B305</f>
        <v>0</v>
      </c>
      <c r="R305" s="51" t="str">
        <f aca="false">IF(I305="N","Invalid / missing TRN",IF(F305="Blocked input (entertainment)","Blocked input",IF(Q305&gt;30,"Late posting (&gt;30d)","")))</f>
        <v/>
      </c>
    </row>
    <row r="306" customFormat="false" ht="15" hidden="false" customHeight="false" outlineLevel="0" collapsed="false">
      <c r="A306" s="47" t="s">
        <v>587</v>
      </c>
      <c r="B306" s="48" t="n">
        <v>45740</v>
      </c>
      <c r="C306" s="47" t="s">
        <v>159</v>
      </c>
      <c r="D306" s="47" t="s">
        <v>300</v>
      </c>
      <c r="E306" s="47" t="s">
        <v>102</v>
      </c>
      <c r="F306" s="47" t="s">
        <v>161</v>
      </c>
      <c r="G306" s="49" t="n">
        <v>21042.42</v>
      </c>
      <c r="H306" s="50" t="n">
        <v>0.05</v>
      </c>
      <c r="I306" s="47" t="s">
        <v>162</v>
      </c>
      <c r="J306" s="48" t="n">
        <v>45740</v>
      </c>
      <c r="K306" s="51" t="str">
        <f aca="false">"Q"&amp;ROUNDUP(MONTH(B306)/3,0)</f>
        <v>Q1</v>
      </c>
      <c r="L306" s="52" t="n">
        <f aca="false">ROUND(G306*H306,2)</f>
        <v>1052.12</v>
      </c>
      <c r="M306" s="52" t="n">
        <f aca="false">IF(AND(C306="Sales",F306="Standard-rated 5%"),L306,0)</f>
        <v>1052.12</v>
      </c>
      <c r="N306" s="52" t="n">
        <f aca="false">IF(F306="Reverse charge (imported services)",L306,0)</f>
        <v>0</v>
      </c>
      <c r="O306" s="52" t="n">
        <f aca="false">IF(C306&lt;&gt;"Purchase",0,IF(OR(I306="N",F306="Blocked input (entertainment)"),0,L306))</f>
        <v>0</v>
      </c>
      <c r="P306" s="52" t="n">
        <f aca="false">IF(C306&lt;&gt;"Purchase",0,L306-O306)</f>
        <v>0</v>
      </c>
      <c r="Q306" s="53" t="n">
        <f aca="false">J306-B306</f>
        <v>0</v>
      </c>
      <c r="R306" s="51" t="str">
        <f aca="false">IF(I306="N","Invalid / missing TRN",IF(F306="Blocked input (entertainment)","Blocked input",IF(Q306&gt;30,"Late posting (&gt;30d)","")))</f>
        <v/>
      </c>
    </row>
    <row r="307" customFormat="false" ht="15" hidden="false" customHeight="false" outlineLevel="0" collapsed="false">
      <c r="A307" s="47" t="s">
        <v>588</v>
      </c>
      <c r="B307" s="48" t="n">
        <v>45741</v>
      </c>
      <c r="C307" s="47" t="s">
        <v>166</v>
      </c>
      <c r="D307" s="47" t="s">
        <v>447</v>
      </c>
      <c r="E307" s="47" t="s">
        <v>100</v>
      </c>
      <c r="F307" s="47" t="s">
        <v>161</v>
      </c>
      <c r="G307" s="49" t="n">
        <v>75070.58</v>
      </c>
      <c r="H307" s="50" t="n">
        <v>0.05</v>
      </c>
      <c r="I307" s="47" t="s">
        <v>162</v>
      </c>
      <c r="J307" s="48" t="n">
        <v>45741</v>
      </c>
      <c r="K307" s="51" t="str">
        <f aca="false">"Q"&amp;ROUNDUP(MONTH(B307)/3,0)</f>
        <v>Q1</v>
      </c>
      <c r="L307" s="52" t="n">
        <f aca="false">ROUND(G307*H307,2)</f>
        <v>3753.53</v>
      </c>
      <c r="M307" s="52" t="n">
        <f aca="false">IF(AND(C307="Sales",F307="Standard-rated 5%"),L307,0)</f>
        <v>0</v>
      </c>
      <c r="N307" s="52" t="n">
        <f aca="false">IF(F307="Reverse charge (imported services)",L307,0)</f>
        <v>0</v>
      </c>
      <c r="O307" s="52" t="n">
        <f aca="false">IF(C307&lt;&gt;"Purchase",0,IF(OR(I307="N",F307="Blocked input (entertainment)"),0,L307))</f>
        <v>3753.53</v>
      </c>
      <c r="P307" s="52" t="n">
        <f aca="false">IF(C307&lt;&gt;"Purchase",0,L307-O307)</f>
        <v>0</v>
      </c>
      <c r="Q307" s="53" t="n">
        <f aca="false">J307-B307</f>
        <v>0</v>
      </c>
      <c r="R307" s="51" t="str">
        <f aca="false">IF(I307="N","Invalid / missing TRN",IF(F307="Blocked input (entertainment)","Blocked input",IF(Q307&gt;30,"Late posting (&gt;30d)","")))</f>
        <v/>
      </c>
    </row>
    <row r="308" customFormat="false" ht="15" hidden="false" customHeight="false" outlineLevel="0" collapsed="false">
      <c r="A308" s="47" t="s">
        <v>589</v>
      </c>
      <c r="B308" s="48" t="n">
        <v>45741</v>
      </c>
      <c r="C308" s="47" t="s">
        <v>159</v>
      </c>
      <c r="D308" s="47" t="s">
        <v>330</v>
      </c>
      <c r="E308" s="47" t="s">
        <v>101</v>
      </c>
      <c r="F308" s="47" t="s">
        <v>161</v>
      </c>
      <c r="G308" s="49" t="n">
        <v>80703.27</v>
      </c>
      <c r="H308" s="50" t="n">
        <v>0.05</v>
      </c>
      <c r="I308" s="47" t="s">
        <v>162</v>
      </c>
      <c r="J308" s="48" t="n">
        <v>45746</v>
      </c>
      <c r="K308" s="51" t="str">
        <f aca="false">"Q"&amp;ROUNDUP(MONTH(B308)/3,0)</f>
        <v>Q1</v>
      </c>
      <c r="L308" s="52" t="n">
        <f aca="false">ROUND(G308*H308,2)</f>
        <v>4035.16</v>
      </c>
      <c r="M308" s="52" t="n">
        <f aca="false">IF(AND(C308="Sales",F308="Standard-rated 5%"),L308,0)</f>
        <v>4035.16</v>
      </c>
      <c r="N308" s="52" t="n">
        <f aca="false">IF(F308="Reverse charge (imported services)",L308,0)</f>
        <v>0</v>
      </c>
      <c r="O308" s="52" t="n">
        <f aca="false">IF(C308&lt;&gt;"Purchase",0,IF(OR(I308="N",F308="Blocked input (entertainment)"),0,L308))</f>
        <v>0</v>
      </c>
      <c r="P308" s="52" t="n">
        <f aca="false">IF(C308&lt;&gt;"Purchase",0,L308-O308)</f>
        <v>0</v>
      </c>
      <c r="Q308" s="53" t="n">
        <f aca="false">J308-B308</f>
        <v>5</v>
      </c>
      <c r="R308" s="51" t="str">
        <f aca="false">IF(I308="N","Invalid / missing TRN",IF(F308="Blocked input (entertainment)","Blocked input",IF(Q308&gt;30,"Late posting (&gt;30d)","")))</f>
        <v/>
      </c>
    </row>
    <row r="309" customFormat="false" ht="15" hidden="false" customHeight="false" outlineLevel="0" collapsed="false">
      <c r="A309" s="47" t="s">
        <v>590</v>
      </c>
      <c r="B309" s="48" t="n">
        <v>45741</v>
      </c>
      <c r="C309" s="47" t="s">
        <v>159</v>
      </c>
      <c r="D309" s="47" t="s">
        <v>225</v>
      </c>
      <c r="E309" s="47" t="s">
        <v>100</v>
      </c>
      <c r="F309" s="47" t="s">
        <v>278</v>
      </c>
      <c r="G309" s="49" t="n">
        <v>32170.25</v>
      </c>
      <c r="H309" s="50" t="n">
        <v>0</v>
      </c>
      <c r="I309" s="47" t="s">
        <v>162</v>
      </c>
      <c r="J309" s="48" t="n">
        <v>45741</v>
      </c>
      <c r="K309" s="51" t="str">
        <f aca="false">"Q"&amp;ROUNDUP(MONTH(B309)/3,0)</f>
        <v>Q1</v>
      </c>
      <c r="L309" s="52" t="n">
        <f aca="false">ROUND(G309*H309,2)</f>
        <v>0</v>
      </c>
      <c r="M309" s="52" t="n">
        <f aca="false">IF(AND(C309="Sales",F309="Standard-rated 5%"),L309,0)</f>
        <v>0</v>
      </c>
      <c r="N309" s="52" t="n">
        <f aca="false">IF(F309="Reverse charge (imported services)",L309,0)</f>
        <v>0</v>
      </c>
      <c r="O309" s="52" t="n">
        <f aca="false">IF(C309&lt;&gt;"Purchase",0,IF(OR(I309="N",F309="Blocked input (entertainment)"),0,L309))</f>
        <v>0</v>
      </c>
      <c r="P309" s="52" t="n">
        <f aca="false">IF(C309&lt;&gt;"Purchase",0,L309-O309)</f>
        <v>0</v>
      </c>
      <c r="Q309" s="53" t="n">
        <f aca="false">J309-B309</f>
        <v>0</v>
      </c>
      <c r="R309" s="51" t="str">
        <f aca="false">IF(I309="N","Invalid / missing TRN",IF(F309="Blocked input (entertainment)","Blocked input",IF(Q309&gt;30,"Late posting (&gt;30d)","")))</f>
        <v/>
      </c>
    </row>
    <row r="310" customFormat="false" ht="15" hidden="false" customHeight="false" outlineLevel="0" collapsed="false">
      <c r="A310" s="47" t="s">
        <v>591</v>
      </c>
      <c r="B310" s="48" t="n">
        <v>45741</v>
      </c>
      <c r="C310" s="47" t="s">
        <v>159</v>
      </c>
      <c r="D310" s="47" t="s">
        <v>237</v>
      </c>
      <c r="E310" s="47" t="s">
        <v>101</v>
      </c>
      <c r="F310" s="47" t="s">
        <v>161</v>
      </c>
      <c r="G310" s="49" t="n">
        <v>63225.89</v>
      </c>
      <c r="H310" s="50" t="n">
        <v>0.05</v>
      </c>
      <c r="I310" s="47" t="s">
        <v>162</v>
      </c>
      <c r="J310" s="48" t="n">
        <v>45746</v>
      </c>
      <c r="K310" s="51" t="str">
        <f aca="false">"Q"&amp;ROUNDUP(MONTH(B310)/3,0)</f>
        <v>Q1</v>
      </c>
      <c r="L310" s="52" t="n">
        <f aca="false">ROUND(G310*H310,2)</f>
        <v>3161.29</v>
      </c>
      <c r="M310" s="52" t="n">
        <f aca="false">IF(AND(C310="Sales",F310="Standard-rated 5%"),L310,0)</f>
        <v>3161.29</v>
      </c>
      <c r="N310" s="52" t="n">
        <f aca="false">IF(F310="Reverse charge (imported services)",L310,0)</f>
        <v>0</v>
      </c>
      <c r="O310" s="52" t="n">
        <f aca="false">IF(C310&lt;&gt;"Purchase",0,IF(OR(I310="N",F310="Blocked input (entertainment)"),0,L310))</f>
        <v>0</v>
      </c>
      <c r="P310" s="52" t="n">
        <f aca="false">IF(C310&lt;&gt;"Purchase",0,L310-O310)</f>
        <v>0</v>
      </c>
      <c r="Q310" s="53" t="n">
        <f aca="false">J310-B310</f>
        <v>5</v>
      </c>
      <c r="R310" s="51" t="str">
        <f aca="false">IF(I310="N","Invalid / missing TRN",IF(F310="Blocked input (entertainment)","Blocked input",IF(Q310&gt;30,"Late posting (&gt;30d)","")))</f>
        <v/>
      </c>
    </row>
    <row r="311" customFormat="false" ht="15" hidden="false" customHeight="false" outlineLevel="0" collapsed="false">
      <c r="A311" s="47" t="s">
        <v>592</v>
      </c>
      <c r="B311" s="48" t="n">
        <v>45742</v>
      </c>
      <c r="C311" s="47" t="s">
        <v>166</v>
      </c>
      <c r="D311" s="47" t="s">
        <v>462</v>
      </c>
      <c r="E311" s="47" t="s">
        <v>100</v>
      </c>
      <c r="F311" s="47" t="s">
        <v>161</v>
      </c>
      <c r="G311" s="49" t="n">
        <v>39154.42</v>
      </c>
      <c r="H311" s="50" t="n">
        <v>0.05</v>
      </c>
      <c r="I311" s="47" t="s">
        <v>162</v>
      </c>
      <c r="J311" s="48" t="n">
        <v>45742</v>
      </c>
      <c r="K311" s="51" t="str">
        <f aca="false">"Q"&amp;ROUNDUP(MONTH(B311)/3,0)</f>
        <v>Q1</v>
      </c>
      <c r="L311" s="52" t="n">
        <f aca="false">ROUND(G311*H311,2)</f>
        <v>1957.72</v>
      </c>
      <c r="M311" s="52" t="n">
        <f aca="false">IF(AND(C311="Sales",F311="Standard-rated 5%"),L311,0)</f>
        <v>0</v>
      </c>
      <c r="N311" s="52" t="n">
        <f aca="false">IF(F311="Reverse charge (imported services)",L311,0)</f>
        <v>0</v>
      </c>
      <c r="O311" s="52" t="n">
        <f aca="false">IF(C311&lt;&gt;"Purchase",0,IF(OR(I311="N",F311="Blocked input (entertainment)"),0,L311))</f>
        <v>1957.72</v>
      </c>
      <c r="P311" s="52" t="n">
        <f aca="false">IF(C311&lt;&gt;"Purchase",0,L311-O311)</f>
        <v>0</v>
      </c>
      <c r="Q311" s="53" t="n">
        <f aca="false">J311-B311</f>
        <v>0</v>
      </c>
      <c r="R311" s="51" t="str">
        <f aca="false">IF(I311="N","Invalid / missing TRN",IF(F311="Blocked input (entertainment)","Blocked input",IF(Q311&gt;30,"Late posting (&gt;30d)","")))</f>
        <v/>
      </c>
    </row>
    <row r="312" customFormat="false" ht="15" hidden="false" customHeight="false" outlineLevel="0" collapsed="false">
      <c r="A312" s="47" t="s">
        <v>593</v>
      </c>
      <c r="B312" s="48" t="n">
        <v>45742</v>
      </c>
      <c r="C312" s="47" t="s">
        <v>159</v>
      </c>
      <c r="D312" s="47" t="s">
        <v>532</v>
      </c>
      <c r="E312" s="47" t="s">
        <v>100</v>
      </c>
      <c r="F312" s="47" t="s">
        <v>161</v>
      </c>
      <c r="G312" s="49" t="n">
        <v>32904.94</v>
      </c>
      <c r="H312" s="50" t="n">
        <v>0.05</v>
      </c>
      <c r="I312" s="47" t="s">
        <v>162</v>
      </c>
      <c r="J312" s="48" t="n">
        <v>45742</v>
      </c>
      <c r="K312" s="51" t="str">
        <f aca="false">"Q"&amp;ROUNDUP(MONTH(B312)/3,0)</f>
        <v>Q1</v>
      </c>
      <c r="L312" s="52" t="n">
        <f aca="false">ROUND(G312*H312,2)</f>
        <v>1645.25</v>
      </c>
      <c r="M312" s="52" t="n">
        <f aca="false">IF(AND(C312="Sales",F312="Standard-rated 5%"),L312,0)</f>
        <v>1645.25</v>
      </c>
      <c r="N312" s="52" t="n">
        <f aca="false">IF(F312="Reverse charge (imported services)",L312,0)</f>
        <v>0</v>
      </c>
      <c r="O312" s="52" t="n">
        <f aca="false">IF(C312&lt;&gt;"Purchase",0,IF(OR(I312="N",F312="Blocked input (entertainment)"),0,L312))</f>
        <v>0</v>
      </c>
      <c r="P312" s="52" t="n">
        <f aca="false">IF(C312&lt;&gt;"Purchase",0,L312-O312)</f>
        <v>0</v>
      </c>
      <c r="Q312" s="53" t="n">
        <f aca="false">J312-B312</f>
        <v>0</v>
      </c>
      <c r="R312" s="51" t="str">
        <f aca="false">IF(I312="N","Invalid / missing TRN",IF(F312="Blocked input (entertainment)","Blocked input",IF(Q312&gt;30,"Late posting (&gt;30d)","")))</f>
        <v/>
      </c>
    </row>
    <row r="313" customFormat="false" ht="15" hidden="false" customHeight="false" outlineLevel="0" collapsed="false">
      <c r="A313" s="47" t="s">
        <v>594</v>
      </c>
      <c r="B313" s="48" t="n">
        <v>45742</v>
      </c>
      <c r="C313" s="47" t="s">
        <v>159</v>
      </c>
      <c r="D313" s="47" t="s">
        <v>247</v>
      </c>
      <c r="E313" s="47" t="s">
        <v>102</v>
      </c>
      <c r="F313" s="47" t="s">
        <v>161</v>
      </c>
      <c r="G313" s="49" t="n">
        <v>16878.93</v>
      </c>
      <c r="H313" s="50" t="n">
        <v>0.05</v>
      </c>
      <c r="I313" s="47" t="s">
        <v>162</v>
      </c>
      <c r="J313" s="48" t="n">
        <v>45742</v>
      </c>
      <c r="K313" s="51" t="str">
        <f aca="false">"Q"&amp;ROUNDUP(MONTH(B313)/3,0)</f>
        <v>Q1</v>
      </c>
      <c r="L313" s="52" t="n">
        <f aca="false">ROUND(G313*H313,2)</f>
        <v>843.95</v>
      </c>
      <c r="M313" s="52" t="n">
        <f aca="false">IF(AND(C313="Sales",F313="Standard-rated 5%"),L313,0)</f>
        <v>843.95</v>
      </c>
      <c r="N313" s="52" t="n">
        <f aca="false">IF(F313="Reverse charge (imported services)",L313,0)</f>
        <v>0</v>
      </c>
      <c r="O313" s="52" t="n">
        <f aca="false">IF(C313&lt;&gt;"Purchase",0,IF(OR(I313="N",F313="Blocked input (entertainment)"),0,L313))</f>
        <v>0</v>
      </c>
      <c r="P313" s="52" t="n">
        <f aca="false">IF(C313&lt;&gt;"Purchase",0,L313-O313)</f>
        <v>0</v>
      </c>
      <c r="Q313" s="53" t="n">
        <f aca="false">J313-B313</f>
        <v>0</v>
      </c>
      <c r="R313" s="51" t="str">
        <f aca="false">IF(I313="N","Invalid / missing TRN",IF(F313="Blocked input (entertainment)","Blocked input",IF(Q313&gt;30,"Late posting (&gt;30d)","")))</f>
        <v/>
      </c>
    </row>
    <row r="314" customFormat="false" ht="15" hidden="false" customHeight="false" outlineLevel="0" collapsed="false">
      <c r="A314" s="47" t="s">
        <v>595</v>
      </c>
      <c r="B314" s="48" t="n">
        <v>45744</v>
      </c>
      <c r="C314" s="47" t="s">
        <v>166</v>
      </c>
      <c r="D314" s="47" t="s">
        <v>194</v>
      </c>
      <c r="E314" s="47" t="s">
        <v>100</v>
      </c>
      <c r="F314" s="47" t="s">
        <v>161</v>
      </c>
      <c r="G314" s="49" t="n">
        <v>39659.45</v>
      </c>
      <c r="H314" s="50" t="n">
        <v>0.05</v>
      </c>
      <c r="I314" s="47" t="s">
        <v>162</v>
      </c>
      <c r="J314" s="48" t="n">
        <v>45744</v>
      </c>
      <c r="K314" s="51" t="str">
        <f aca="false">"Q"&amp;ROUNDUP(MONTH(B314)/3,0)</f>
        <v>Q1</v>
      </c>
      <c r="L314" s="52" t="n">
        <f aca="false">ROUND(G314*H314,2)</f>
        <v>1982.97</v>
      </c>
      <c r="M314" s="52" t="n">
        <f aca="false">IF(AND(C314="Sales",F314="Standard-rated 5%"),L314,0)</f>
        <v>0</v>
      </c>
      <c r="N314" s="52" t="n">
        <f aca="false">IF(F314="Reverse charge (imported services)",L314,0)</f>
        <v>0</v>
      </c>
      <c r="O314" s="52" t="n">
        <f aca="false">IF(C314&lt;&gt;"Purchase",0,IF(OR(I314="N",F314="Blocked input (entertainment)"),0,L314))</f>
        <v>1982.97</v>
      </c>
      <c r="P314" s="52" t="n">
        <f aca="false">IF(C314&lt;&gt;"Purchase",0,L314-O314)</f>
        <v>0</v>
      </c>
      <c r="Q314" s="53" t="n">
        <f aca="false">J314-B314</f>
        <v>0</v>
      </c>
      <c r="R314" s="51" t="str">
        <f aca="false">IF(I314="N","Invalid / missing TRN",IF(F314="Blocked input (entertainment)","Blocked input",IF(Q314&gt;30,"Late posting (&gt;30d)","")))</f>
        <v/>
      </c>
    </row>
    <row r="315" customFormat="false" ht="15" hidden="false" customHeight="false" outlineLevel="0" collapsed="false">
      <c r="A315" s="47" t="s">
        <v>596</v>
      </c>
      <c r="B315" s="48" t="n">
        <v>45744</v>
      </c>
      <c r="C315" s="47" t="s">
        <v>166</v>
      </c>
      <c r="D315" s="47" t="s">
        <v>253</v>
      </c>
      <c r="E315" s="47" t="s">
        <v>100</v>
      </c>
      <c r="F315" s="47" t="s">
        <v>161</v>
      </c>
      <c r="G315" s="49" t="n">
        <v>14696.87</v>
      </c>
      <c r="H315" s="50" t="n">
        <v>0.05</v>
      </c>
      <c r="I315" s="47" t="s">
        <v>162</v>
      </c>
      <c r="J315" s="48" t="n">
        <v>45744</v>
      </c>
      <c r="K315" s="51" t="str">
        <f aca="false">"Q"&amp;ROUNDUP(MONTH(B315)/3,0)</f>
        <v>Q1</v>
      </c>
      <c r="L315" s="52" t="n">
        <f aca="false">ROUND(G315*H315,2)</f>
        <v>734.84</v>
      </c>
      <c r="M315" s="52" t="n">
        <f aca="false">IF(AND(C315="Sales",F315="Standard-rated 5%"),L315,0)</f>
        <v>0</v>
      </c>
      <c r="N315" s="52" t="n">
        <f aca="false">IF(F315="Reverse charge (imported services)",L315,0)</f>
        <v>0</v>
      </c>
      <c r="O315" s="52" t="n">
        <f aca="false">IF(C315&lt;&gt;"Purchase",0,IF(OR(I315="N",F315="Blocked input (entertainment)"),0,L315))</f>
        <v>734.84</v>
      </c>
      <c r="P315" s="52" t="n">
        <f aca="false">IF(C315&lt;&gt;"Purchase",0,L315-O315)</f>
        <v>0</v>
      </c>
      <c r="Q315" s="53" t="n">
        <f aca="false">J315-B315</f>
        <v>0</v>
      </c>
      <c r="R315" s="51" t="str">
        <f aca="false">IF(I315="N","Invalid / missing TRN",IF(F315="Blocked input (entertainment)","Blocked input",IF(Q315&gt;30,"Late posting (&gt;30d)","")))</f>
        <v/>
      </c>
    </row>
    <row r="316" customFormat="false" ht="15" hidden="false" customHeight="false" outlineLevel="0" collapsed="false">
      <c r="A316" s="47" t="s">
        <v>597</v>
      </c>
      <c r="B316" s="48" t="n">
        <v>45744</v>
      </c>
      <c r="C316" s="47" t="s">
        <v>166</v>
      </c>
      <c r="D316" s="47" t="s">
        <v>192</v>
      </c>
      <c r="E316" s="47" t="s">
        <v>100</v>
      </c>
      <c r="F316" s="47" t="s">
        <v>161</v>
      </c>
      <c r="G316" s="49" t="n">
        <v>41104.55</v>
      </c>
      <c r="H316" s="50" t="n">
        <v>0.05</v>
      </c>
      <c r="I316" s="47" t="s">
        <v>162</v>
      </c>
      <c r="J316" s="48" t="n">
        <v>45744</v>
      </c>
      <c r="K316" s="51" t="str">
        <f aca="false">"Q"&amp;ROUNDUP(MONTH(B316)/3,0)</f>
        <v>Q1</v>
      </c>
      <c r="L316" s="52" t="n">
        <f aca="false">ROUND(G316*H316,2)</f>
        <v>2055.23</v>
      </c>
      <c r="M316" s="52" t="n">
        <f aca="false">IF(AND(C316="Sales",F316="Standard-rated 5%"),L316,0)</f>
        <v>0</v>
      </c>
      <c r="N316" s="52" t="n">
        <f aca="false">IF(F316="Reverse charge (imported services)",L316,0)</f>
        <v>0</v>
      </c>
      <c r="O316" s="52" t="n">
        <f aca="false">IF(C316&lt;&gt;"Purchase",0,IF(OR(I316="N",F316="Blocked input (entertainment)"),0,L316))</f>
        <v>2055.23</v>
      </c>
      <c r="P316" s="52" t="n">
        <f aca="false">IF(C316&lt;&gt;"Purchase",0,L316-O316)</f>
        <v>0</v>
      </c>
      <c r="Q316" s="53" t="n">
        <f aca="false">J316-B316</f>
        <v>0</v>
      </c>
      <c r="R316" s="51" t="str">
        <f aca="false">IF(I316="N","Invalid / missing TRN",IF(F316="Blocked input (entertainment)","Blocked input",IF(Q316&gt;30,"Late posting (&gt;30d)","")))</f>
        <v/>
      </c>
    </row>
    <row r="317" customFormat="false" ht="15" hidden="false" customHeight="false" outlineLevel="0" collapsed="false">
      <c r="A317" s="47" t="s">
        <v>598</v>
      </c>
      <c r="B317" s="48" t="n">
        <v>45745</v>
      </c>
      <c r="C317" s="47" t="s">
        <v>166</v>
      </c>
      <c r="D317" s="47" t="s">
        <v>267</v>
      </c>
      <c r="E317" s="47" t="s">
        <v>102</v>
      </c>
      <c r="F317" s="47" t="s">
        <v>161</v>
      </c>
      <c r="G317" s="49" t="n">
        <v>30319.5</v>
      </c>
      <c r="H317" s="50" t="n">
        <v>0.05</v>
      </c>
      <c r="I317" s="47" t="s">
        <v>162</v>
      </c>
      <c r="J317" s="48" t="n">
        <v>45745</v>
      </c>
      <c r="K317" s="51" t="str">
        <f aca="false">"Q"&amp;ROUNDUP(MONTH(B317)/3,0)</f>
        <v>Q1</v>
      </c>
      <c r="L317" s="52" t="n">
        <f aca="false">ROUND(G317*H317,2)</f>
        <v>1515.98</v>
      </c>
      <c r="M317" s="52" t="n">
        <f aca="false">IF(AND(C317="Sales",F317="Standard-rated 5%"),L317,0)</f>
        <v>0</v>
      </c>
      <c r="N317" s="52" t="n">
        <f aca="false">IF(F317="Reverse charge (imported services)",L317,0)</f>
        <v>0</v>
      </c>
      <c r="O317" s="52" t="n">
        <f aca="false">IF(C317&lt;&gt;"Purchase",0,IF(OR(I317="N",F317="Blocked input (entertainment)"),0,L317))</f>
        <v>1515.98</v>
      </c>
      <c r="P317" s="52" t="n">
        <f aca="false">IF(C317&lt;&gt;"Purchase",0,L317-O317)</f>
        <v>0</v>
      </c>
      <c r="Q317" s="53" t="n">
        <f aca="false">J317-B317</f>
        <v>0</v>
      </c>
      <c r="R317" s="51" t="str">
        <f aca="false">IF(I317="N","Invalid / missing TRN",IF(F317="Blocked input (entertainment)","Blocked input",IF(Q317&gt;30,"Late posting (&gt;30d)","")))</f>
        <v/>
      </c>
    </row>
    <row r="318" customFormat="false" ht="15" hidden="false" customHeight="false" outlineLevel="0" collapsed="false">
      <c r="A318" s="47" t="s">
        <v>599</v>
      </c>
      <c r="B318" s="48" t="n">
        <v>45745</v>
      </c>
      <c r="C318" s="47" t="s">
        <v>166</v>
      </c>
      <c r="D318" s="47" t="s">
        <v>280</v>
      </c>
      <c r="E318" s="47" t="s">
        <v>100</v>
      </c>
      <c r="F318" s="47" t="s">
        <v>161</v>
      </c>
      <c r="G318" s="49" t="n">
        <v>12907.55</v>
      </c>
      <c r="H318" s="50" t="n">
        <v>0.05</v>
      </c>
      <c r="I318" s="47" t="s">
        <v>162</v>
      </c>
      <c r="J318" s="48" t="n">
        <v>45745</v>
      </c>
      <c r="K318" s="51" t="str">
        <f aca="false">"Q"&amp;ROUNDUP(MONTH(B318)/3,0)</f>
        <v>Q1</v>
      </c>
      <c r="L318" s="52" t="n">
        <f aca="false">ROUND(G318*H318,2)</f>
        <v>645.38</v>
      </c>
      <c r="M318" s="52" t="n">
        <f aca="false">IF(AND(C318="Sales",F318="Standard-rated 5%"),L318,0)</f>
        <v>0</v>
      </c>
      <c r="N318" s="52" t="n">
        <f aca="false">IF(F318="Reverse charge (imported services)",L318,0)</f>
        <v>0</v>
      </c>
      <c r="O318" s="52" t="n">
        <f aca="false">IF(C318&lt;&gt;"Purchase",0,IF(OR(I318="N",F318="Blocked input (entertainment)"),0,L318))</f>
        <v>645.38</v>
      </c>
      <c r="P318" s="52" t="n">
        <f aca="false">IF(C318&lt;&gt;"Purchase",0,L318-O318)</f>
        <v>0</v>
      </c>
      <c r="Q318" s="53" t="n">
        <f aca="false">J318-B318</f>
        <v>0</v>
      </c>
      <c r="R318" s="51" t="str">
        <f aca="false">IF(I318="N","Invalid / missing TRN",IF(F318="Blocked input (entertainment)","Blocked input",IF(Q318&gt;30,"Late posting (&gt;30d)","")))</f>
        <v/>
      </c>
    </row>
    <row r="319" customFormat="false" ht="15" hidden="false" customHeight="false" outlineLevel="0" collapsed="false">
      <c r="A319" s="47" t="s">
        <v>600</v>
      </c>
      <c r="B319" s="48" t="n">
        <v>45745</v>
      </c>
      <c r="C319" s="47" t="s">
        <v>166</v>
      </c>
      <c r="D319" s="47" t="s">
        <v>460</v>
      </c>
      <c r="E319" s="47" t="s">
        <v>103</v>
      </c>
      <c r="F319" s="47" t="s">
        <v>161</v>
      </c>
      <c r="G319" s="49" t="n">
        <v>6230.76</v>
      </c>
      <c r="H319" s="50" t="n">
        <v>0.05</v>
      </c>
      <c r="I319" s="47" t="s">
        <v>162</v>
      </c>
      <c r="J319" s="48" t="n">
        <v>45745</v>
      </c>
      <c r="K319" s="51" t="str">
        <f aca="false">"Q"&amp;ROUNDUP(MONTH(B319)/3,0)</f>
        <v>Q1</v>
      </c>
      <c r="L319" s="52" t="n">
        <f aca="false">ROUND(G319*H319,2)</f>
        <v>311.54</v>
      </c>
      <c r="M319" s="52" t="n">
        <f aca="false">IF(AND(C319="Sales",F319="Standard-rated 5%"),L319,0)</f>
        <v>0</v>
      </c>
      <c r="N319" s="52" t="n">
        <f aca="false">IF(F319="Reverse charge (imported services)",L319,0)</f>
        <v>0</v>
      </c>
      <c r="O319" s="52" t="n">
        <f aca="false">IF(C319&lt;&gt;"Purchase",0,IF(OR(I319="N",F319="Blocked input (entertainment)"),0,L319))</f>
        <v>311.54</v>
      </c>
      <c r="P319" s="52" t="n">
        <f aca="false">IF(C319&lt;&gt;"Purchase",0,L319-O319)</f>
        <v>0</v>
      </c>
      <c r="Q319" s="53" t="n">
        <f aca="false">J319-B319</f>
        <v>0</v>
      </c>
      <c r="R319" s="51" t="str">
        <f aca="false">IF(I319="N","Invalid / missing TRN",IF(F319="Blocked input (entertainment)","Blocked input",IF(Q319&gt;30,"Late posting (&gt;30d)","")))</f>
        <v/>
      </c>
    </row>
    <row r="320" customFormat="false" ht="15" hidden="false" customHeight="false" outlineLevel="0" collapsed="false">
      <c r="A320" s="47" t="s">
        <v>601</v>
      </c>
      <c r="B320" s="48" t="n">
        <v>45745</v>
      </c>
      <c r="C320" s="47" t="s">
        <v>166</v>
      </c>
      <c r="D320" s="47" t="s">
        <v>460</v>
      </c>
      <c r="E320" s="47" t="s">
        <v>101</v>
      </c>
      <c r="F320" s="47" t="s">
        <v>161</v>
      </c>
      <c r="G320" s="49" t="n">
        <v>27826.19</v>
      </c>
      <c r="H320" s="50" t="n">
        <v>0.05</v>
      </c>
      <c r="I320" s="47" t="s">
        <v>162</v>
      </c>
      <c r="J320" s="48" t="n">
        <v>45745</v>
      </c>
      <c r="K320" s="51" t="str">
        <f aca="false">"Q"&amp;ROUNDUP(MONTH(B320)/3,0)</f>
        <v>Q1</v>
      </c>
      <c r="L320" s="52" t="n">
        <f aca="false">ROUND(G320*H320,2)</f>
        <v>1391.31</v>
      </c>
      <c r="M320" s="52" t="n">
        <f aca="false">IF(AND(C320="Sales",F320="Standard-rated 5%"),L320,0)</f>
        <v>0</v>
      </c>
      <c r="N320" s="52" t="n">
        <f aca="false">IF(F320="Reverse charge (imported services)",L320,0)</f>
        <v>0</v>
      </c>
      <c r="O320" s="52" t="n">
        <f aca="false">IF(C320&lt;&gt;"Purchase",0,IF(OR(I320="N",F320="Blocked input (entertainment)"),0,L320))</f>
        <v>1391.31</v>
      </c>
      <c r="P320" s="52" t="n">
        <f aca="false">IF(C320&lt;&gt;"Purchase",0,L320-O320)</f>
        <v>0</v>
      </c>
      <c r="Q320" s="53" t="n">
        <f aca="false">J320-B320</f>
        <v>0</v>
      </c>
      <c r="R320" s="51" t="str">
        <f aca="false">IF(I320="N","Invalid / missing TRN",IF(F320="Blocked input (entertainment)","Blocked input",IF(Q320&gt;30,"Late posting (&gt;30d)","")))</f>
        <v/>
      </c>
    </row>
    <row r="321" customFormat="false" ht="15" hidden="false" customHeight="false" outlineLevel="0" collapsed="false">
      <c r="A321" s="47" t="s">
        <v>602</v>
      </c>
      <c r="B321" s="48" t="n">
        <v>45745</v>
      </c>
      <c r="C321" s="47" t="s">
        <v>166</v>
      </c>
      <c r="D321" s="47" t="s">
        <v>206</v>
      </c>
      <c r="E321" s="47" t="s">
        <v>101</v>
      </c>
      <c r="F321" s="47" t="s">
        <v>161</v>
      </c>
      <c r="G321" s="49" t="n">
        <v>48759.37</v>
      </c>
      <c r="H321" s="50" t="n">
        <v>0.05</v>
      </c>
      <c r="I321" s="47" t="s">
        <v>162</v>
      </c>
      <c r="J321" s="48" t="n">
        <v>45745</v>
      </c>
      <c r="K321" s="51" t="str">
        <f aca="false">"Q"&amp;ROUNDUP(MONTH(B321)/3,0)</f>
        <v>Q1</v>
      </c>
      <c r="L321" s="52" t="n">
        <f aca="false">ROUND(G321*H321,2)</f>
        <v>2437.97</v>
      </c>
      <c r="M321" s="52" t="n">
        <f aca="false">IF(AND(C321="Sales",F321="Standard-rated 5%"),L321,0)</f>
        <v>0</v>
      </c>
      <c r="N321" s="52" t="n">
        <f aca="false">IF(F321="Reverse charge (imported services)",L321,0)</f>
        <v>0</v>
      </c>
      <c r="O321" s="52" t="n">
        <f aca="false">IF(C321&lt;&gt;"Purchase",0,IF(OR(I321="N",F321="Blocked input (entertainment)"),0,L321))</f>
        <v>2437.97</v>
      </c>
      <c r="P321" s="52" t="n">
        <f aca="false">IF(C321&lt;&gt;"Purchase",0,L321-O321)</f>
        <v>0</v>
      </c>
      <c r="Q321" s="53" t="n">
        <f aca="false">J321-B321</f>
        <v>0</v>
      </c>
      <c r="R321" s="51" t="str">
        <f aca="false">IF(I321="N","Invalid / missing TRN",IF(F321="Blocked input (entertainment)","Blocked input",IF(Q321&gt;30,"Late posting (&gt;30d)","")))</f>
        <v/>
      </c>
    </row>
    <row r="322" customFormat="false" ht="15" hidden="false" customHeight="false" outlineLevel="0" collapsed="false">
      <c r="A322" s="47" t="s">
        <v>603</v>
      </c>
      <c r="B322" s="48" t="n">
        <v>45745</v>
      </c>
      <c r="C322" s="47" t="s">
        <v>166</v>
      </c>
      <c r="D322" s="47" t="s">
        <v>264</v>
      </c>
      <c r="E322" s="47" t="s">
        <v>102</v>
      </c>
      <c r="F322" s="47" t="s">
        <v>268</v>
      </c>
      <c r="G322" s="49" t="n">
        <v>151356.28</v>
      </c>
      <c r="H322" s="50" t="n">
        <v>0</v>
      </c>
      <c r="I322" s="47" t="s">
        <v>162</v>
      </c>
      <c r="J322" s="48" t="n">
        <v>45745</v>
      </c>
      <c r="K322" s="51" t="str">
        <f aca="false">"Q"&amp;ROUNDUP(MONTH(B322)/3,0)</f>
        <v>Q1</v>
      </c>
      <c r="L322" s="52" t="n">
        <f aca="false">ROUND(G322*H322,2)</f>
        <v>0</v>
      </c>
      <c r="M322" s="52" t="n">
        <f aca="false">IF(AND(C322="Sales",F322="Standard-rated 5%"),L322,0)</f>
        <v>0</v>
      </c>
      <c r="N322" s="52" t="n">
        <f aca="false">IF(F322="Reverse charge (imported services)",L322,0)</f>
        <v>0</v>
      </c>
      <c r="O322" s="52" t="n">
        <f aca="false">IF(C322&lt;&gt;"Purchase",0,IF(OR(I322="N",F322="Blocked input (entertainment)"),0,L322))</f>
        <v>0</v>
      </c>
      <c r="P322" s="52" t="n">
        <f aca="false">IF(C322&lt;&gt;"Purchase",0,L322-O322)</f>
        <v>0</v>
      </c>
      <c r="Q322" s="53" t="n">
        <f aca="false">J322-B322</f>
        <v>0</v>
      </c>
      <c r="R322" s="51" t="str">
        <f aca="false">IF(I322="N","Invalid / missing TRN",IF(F322="Blocked input (entertainment)","Blocked input",IF(Q322&gt;30,"Late posting (&gt;30d)","")))</f>
        <v/>
      </c>
    </row>
    <row r="323" customFormat="false" ht="15" hidden="false" customHeight="false" outlineLevel="0" collapsed="false">
      <c r="A323" s="47" t="s">
        <v>604</v>
      </c>
      <c r="B323" s="48" t="n">
        <v>45745</v>
      </c>
      <c r="C323" s="47" t="s">
        <v>166</v>
      </c>
      <c r="D323" s="47" t="s">
        <v>194</v>
      </c>
      <c r="E323" s="47" t="s">
        <v>104</v>
      </c>
      <c r="F323" s="47" t="s">
        <v>161</v>
      </c>
      <c r="G323" s="49" t="n">
        <v>99874.55</v>
      </c>
      <c r="H323" s="50" t="n">
        <v>0.05</v>
      </c>
      <c r="I323" s="47" t="s">
        <v>162</v>
      </c>
      <c r="J323" s="48" t="n">
        <v>45745</v>
      </c>
      <c r="K323" s="51" t="str">
        <f aca="false">"Q"&amp;ROUNDUP(MONTH(B323)/3,0)</f>
        <v>Q1</v>
      </c>
      <c r="L323" s="52" t="n">
        <f aca="false">ROUND(G323*H323,2)</f>
        <v>4993.73</v>
      </c>
      <c r="M323" s="52" t="n">
        <f aca="false">IF(AND(C323="Sales",F323="Standard-rated 5%"),L323,0)</f>
        <v>0</v>
      </c>
      <c r="N323" s="52" t="n">
        <f aca="false">IF(F323="Reverse charge (imported services)",L323,0)</f>
        <v>0</v>
      </c>
      <c r="O323" s="52" t="n">
        <f aca="false">IF(C323&lt;&gt;"Purchase",0,IF(OR(I323="N",F323="Blocked input (entertainment)"),0,L323))</f>
        <v>4993.73</v>
      </c>
      <c r="P323" s="52" t="n">
        <f aca="false">IF(C323&lt;&gt;"Purchase",0,L323-O323)</f>
        <v>0</v>
      </c>
      <c r="Q323" s="53" t="n">
        <f aca="false">J323-B323</f>
        <v>0</v>
      </c>
      <c r="R323" s="51" t="str">
        <f aca="false">IF(I323="N","Invalid / missing TRN",IF(F323="Blocked input (entertainment)","Blocked input",IF(Q323&gt;30,"Late posting (&gt;30d)","")))</f>
        <v/>
      </c>
    </row>
    <row r="324" customFormat="false" ht="15" hidden="false" customHeight="false" outlineLevel="0" collapsed="false">
      <c r="A324" s="47" t="s">
        <v>605</v>
      </c>
      <c r="B324" s="48" t="n">
        <v>45745</v>
      </c>
      <c r="C324" s="47" t="s">
        <v>159</v>
      </c>
      <c r="D324" s="47" t="s">
        <v>235</v>
      </c>
      <c r="E324" s="47" t="s">
        <v>102</v>
      </c>
      <c r="F324" s="47" t="s">
        <v>161</v>
      </c>
      <c r="G324" s="49" t="n">
        <v>34318.54</v>
      </c>
      <c r="H324" s="50" t="n">
        <v>0.05</v>
      </c>
      <c r="I324" s="47" t="s">
        <v>162</v>
      </c>
      <c r="J324" s="48" t="n">
        <v>45745</v>
      </c>
      <c r="K324" s="51" t="str">
        <f aca="false">"Q"&amp;ROUNDUP(MONTH(B324)/3,0)</f>
        <v>Q1</v>
      </c>
      <c r="L324" s="52" t="n">
        <f aca="false">ROUND(G324*H324,2)</f>
        <v>1715.93</v>
      </c>
      <c r="M324" s="52" t="n">
        <f aca="false">IF(AND(C324="Sales",F324="Standard-rated 5%"),L324,0)</f>
        <v>1715.93</v>
      </c>
      <c r="N324" s="52" t="n">
        <f aca="false">IF(F324="Reverse charge (imported services)",L324,0)</f>
        <v>0</v>
      </c>
      <c r="O324" s="52" t="n">
        <f aca="false">IF(C324&lt;&gt;"Purchase",0,IF(OR(I324="N",F324="Blocked input (entertainment)"),0,L324))</f>
        <v>0</v>
      </c>
      <c r="P324" s="52" t="n">
        <f aca="false">IF(C324&lt;&gt;"Purchase",0,L324-O324)</f>
        <v>0</v>
      </c>
      <c r="Q324" s="53" t="n">
        <f aca="false">J324-B324</f>
        <v>0</v>
      </c>
      <c r="R324" s="51" t="str">
        <f aca="false">IF(I324="N","Invalid / missing TRN",IF(F324="Blocked input (entertainment)","Blocked input",IF(Q324&gt;30,"Late posting (&gt;30d)","")))</f>
        <v/>
      </c>
    </row>
    <row r="325" customFormat="false" ht="15" hidden="false" customHeight="false" outlineLevel="0" collapsed="false">
      <c r="A325" s="47" t="s">
        <v>606</v>
      </c>
      <c r="B325" s="48" t="n">
        <v>45745</v>
      </c>
      <c r="C325" s="47" t="s">
        <v>159</v>
      </c>
      <c r="D325" s="47" t="s">
        <v>249</v>
      </c>
      <c r="E325" s="47" t="s">
        <v>100</v>
      </c>
      <c r="F325" s="47" t="s">
        <v>161</v>
      </c>
      <c r="G325" s="49" t="n">
        <v>8121.68</v>
      </c>
      <c r="H325" s="50" t="n">
        <v>0.05</v>
      </c>
      <c r="I325" s="47" t="s">
        <v>162</v>
      </c>
      <c r="J325" s="48" t="n">
        <v>45745</v>
      </c>
      <c r="K325" s="51" t="str">
        <f aca="false">"Q"&amp;ROUNDUP(MONTH(B325)/3,0)</f>
        <v>Q1</v>
      </c>
      <c r="L325" s="52" t="n">
        <f aca="false">ROUND(G325*H325,2)</f>
        <v>406.08</v>
      </c>
      <c r="M325" s="52" t="n">
        <f aca="false">IF(AND(C325="Sales",F325="Standard-rated 5%"),L325,0)</f>
        <v>406.08</v>
      </c>
      <c r="N325" s="52" t="n">
        <f aca="false">IF(F325="Reverse charge (imported services)",L325,0)</f>
        <v>0</v>
      </c>
      <c r="O325" s="52" t="n">
        <f aca="false">IF(C325&lt;&gt;"Purchase",0,IF(OR(I325="N",F325="Blocked input (entertainment)"),0,L325))</f>
        <v>0</v>
      </c>
      <c r="P325" s="52" t="n">
        <f aca="false">IF(C325&lt;&gt;"Purchase",0,L325-O325)</f>
        <v>0</v>
      </c>
      <c r="Q325" s="53" t="n">
        <f aca="false">J325-B325</f>
        <v>0</v>
      </c>
      <c r="R325" s="51" t="str">
        <f aca="false">IF(I325="N","Invalid / missing TRN",IF(F325="Blocked input (entertainment)","Blocked input",IF(Q325&gt;30,"Late posting (&gt;30d)","")))</f>
        <v/>
      </c>
    </row>
    <row r="326" customFormat="false" ht="15" hidden="false" customHeight="false" outlineLevel="0" collapsed="false">
      <c r="A326" s="47" t="s">
        <v>607</v>
      </c>
      <c r="B326" s="48" t="n">
        <v>45745</v>
      </c>
      <c r="C326" s="47" t="s">
        <v>159</v>
      </c>
      <c r="D326" s="47" t="s">
        <v>243</v>
      </c>
      <c r="E326" s="47" t="s">
        <v>100</v>
      </c>
      <c r="F326" s="47" t="s">
        <v>161</v>
      </c>
      <c r="G326" s="49" t="n">
        <v>129554.34</v>
      </c>
      <c r="H326" s="50" t="n">
        <v>0.05</v>
      </c>
      <c r="I326" s="47" t="s">
        <v>162</v>
      </c>
      <c r="J326" s="48" t="n">
        <v>45745</v>
      </c>
      <c r="K326" s="51" t="str">
        <f aca="false">"Q"&amp;ROUNDUP(MONTH(B326)/3,0)</f>
        <v>Q1</v>
      </c>
      <c r="L326" s="52" t="n">
        <f aca="false">ROUND(G326*H326,2)</f>
        <v>6477.72</v>
      </c>
      <c r="M326" s="52" t="n">
        <f aca="false">IF(AND(C326="Sales",F326="Standard-rated 5%"),L326,0)</f>
        <v>6477.72</v>
      </c>
      <c r="N326" s="52" t="n">
        <f aca="false">IF(F326="Reverse charge (imported services)",L326,0)</f>
        <v>0</v>
      </c>
      <c r="O326" s="52" t="n">
        <f aca="false">IF(C326&lt;&gt;"Purchase",0,IF(OR(I326="N",F326="Blocked input (entertainment)"),0,L326))</f>
        <v>0</v>
      </c>
      <c r="P326" s="52" t="n">
        <f aca="false">IF(C326&lt;&gt;"Purchase",0,L326-O326)</f>
        <v>0</v>
      </c>
      <c r="Q326" s="53" t="n">
        <f aca="false">J326-B326</f>
        <v>0</v>
      </c>
      <c r="R326" s="51" t="str">
        <f aca="false">IF(I326="N","Invalid / missing TRN",IF(F326="Blocked input (entertainment)","Blocked input",IF(Q326&gt;30,"Late posting (&gt;30d)","")))</f>
        <v/>
      </c>
    </row>
    <row r="327" customFormat="false" ht="15" hidden="false" customHeight="false" outlineLevel="0" collapsed="false">
      <c r="A327" s="47" t="s">
        <v>608</v>
      </c>
      <c r="B327" s="48" t="n">
        <v>45745</v>
      </c>
      <c r="C327" s="47" t="s">
        <v>159</v>
      </c>
      <c r="D327" s="47" t="s">
        <v>213</v>
      </c>
      <c r="E327" s="47" t="s">
        <v>100</v>
      </c>
      <c r="F327" s="47" t="s">
        <v>161</v>
      </c>
      <c r="G327" s="49" t="n">
        <v>109571.65</v>
      </c>
      <c r="H327" s="50" t="n">
        <v>0.05</v>
      </c>
      <c r="I327" s="47" t="s">
        <v>162</v>
      </c>
      <c r="J327" s="48" t="n">
        <v>45745</v>
      </c>
      <c r="K327" s="51" t="str">
        <f aca="false">"Q"&amp;ROUNDUP(MONTH(B327)/3,0)</f>
        <v>Q1</v>
      </c>
      <c r="L327" s="52" t="n">
        <f aca="false">ROUND(G327*H327,2)</f>
        <v>5478.58</v>
      </c>
      <c r="M327" s="52" t="n">
        <f aca="false">IF(AND(C327="Sales",F327="Standard-rated 5%"),L327,0)</f>
        <v>5478.58</v>
      </c>
      <c r="N327" s="52" t="n">
        <f aca="false">IF(F327="Reverse charge (imported services)",L327,0)</f>
        <v>0</v>
      </c>
      <c r="O327" s="52" t="n">
        <f aca="false">IF(C327&lt;&gt;"Purchase",0,IF(OR(I327="N",F327="Blocked input (entertainment)"),0,L327))</f>
        <v>0</v>
      </c>
      <c r="P327" s="52" t="n">
        <f aca="false">IF(C327&lt;&gt;"Purchase",0,L327-O327)</f>
        <v>0</v>
      </c>
      <c r="Q327" s="53" t="n">
        <f aca="false">J327-B327</f>
        <v>0</v>
      </c>
      <c r="R327" s="51" t="str">
        <f aca="false">IF(I327="N","Invalid / missing TRN",IF(F327="Blocked input (entertainment)","Blocked input",IF(Q327&gt;30,"Late posting (&gt;30d)","")))</f>
        <v/>
      </c>
    </row>
    <row r="328" customFormat="false" ht="15" hidden="false" customHeight="false" outlineLevel="0" collapsed="false">
      <c r="A328" s="47" t="s">
        <v>609</v>
      </c>
      <c r="B328" s="48" t="n">
        <v>45746</v>
      </c>
      <c r="C328" s="47" t="s">
        <v>166</v>
      </c>
      <c r="D328" s="47" t="s">
        <v>447</v>
      </c>
      <c r="E328" s="47" t="s">
        <v>100</v>
      </c>
      <c r="F328" s="47" t="s">
        <v>161</v>
      </c>
      <c r="G328" s="49" t="n">
        <v>34470.63</v>
      </c>
      <c r="H328" s="50" t="n">
        <v>0.05</v>
      </c>
      <c r="I328" s="47" t="s">
        <v>162</v>
      </c>
      <c r="J328" s="48" t="n">
        <v>45746</v>
      </c>
      <c r="K328" s="51" t="str">
        <f aca="false">"Q"&amp;ROUNDUP(MONTH(B328)/3,0)</f>
        <v>Q1</v>
      </c>
      <c r="L328" s="52" t="n">
        <f aca="false">ROUND(G328*H328,2)</f>
        <v>1723.53</v>
      </c>
      <c r="M328" s="52" t="n">
        <f aca="false">IF(AND(C328="Sales",F328="Standard-rated 5%"),L328,0)</f>
        <v>0</v>
      </c>
      <c r="N328" s="52" t="n">
        <f aca="false">IF(F328="Reverse charge (imported services)",L328,0)</f>
        <v>0</v>
      </c>
      <c r="O328" s="52" t="n">
        <f aca="false">IF(C328&lt;&gt;"Purchase",0,IF(OR(I328="N",F328="Blocked input (entertainment)"),0,L328))</f>
        <v>1723.53</v>
      </c>
      <c r="P328" s="52" t="n">
        <f aca="false">IF(C328&lt;&gt;"Purchase",0,L328-O328)</f>
        <v>0</v>
      </c>
      <c r="Q328" s="53" t="n">
        <f aca="false">J328-B328</f>
        <v>0</v>
      </c>
      <c r="R328" s="51" t="str">
        <f aca="false">IF(I328="N","Invalid / missing TRN",IF(F328="Blocked input (entertainment)","Blocked input",IF(Q328&gt;30,"Late posting (&gt;30d)","")))</f>
        <v/>
      </c>
    </row>
    <row r="329" customFormat="false" ht="15" hidden="false" customHeight="false" outlineLevel="0" collapsed="false">
      <c r="A329" s="47" t="s">
        <v>610</v>
      </c>
      <c r="B329" s="48" t="n">
        <v>45747</v>
      </c>
      <c r="C329" s="47" t="s">
        <v>166</v>
      </c>
      <c r="D329" s="47" t="s">
        <v>194</v>
      </c>
      <c r="E329" s="47" t="s">
        <v>105</v>
      </c>
      <c r="F329" s="47" t="s">
        <v>161</v>
      </c>
      <c r="G329" s="49" t="n">
        <v>77570.98</v>
      </c>
      <c r="H329" s="50" t="n">
        <v>0.05</v>
      </c>
      <c r="I329" s="47" t="s">
        <v>162</v>
      </c>
      <c r="J329" s="48" t="n">
        <v>45747</v>
      </c>
      <c r="K329" s="51" t="str">
        <f aca="false">"Q"&amp;ROUNDUP(MONTH(B329)/3,0)</f>
        <v>Q1</v>
      </c>
      <c r="L329" s="52" t="n">
        <f aca="false">ROUND(G329*H329,2)</f>
        <v>3878.55</v>
      </c>
      <c r="M329" s="52" t="n">
        <f aca="false">IF(AND(C329="Sales",F329="Standard-rated 5%"),L329,0)</f>
        <v>0</v>
      </c>
      <c r="N329" s="52" t="n">
        <f aca="false">IF(F329="Reverse charge (imported services)",L329,0)</f>
        <v>0</v>
      </c>
      <c r="O329" s="52" t="n">
        <f aca="false">IF(C329&lt;&gt;"Purchase",0,IF(OR(I329="N",F329="Blocked input (entertainment)"),0,L329))</f>
        <v>3878.55</v>
      </c>
      <c r="P329" s="52" t="n">
        <f aca="false">IF(C329&lt;&gt;"Purchase",0,L329-O329)</f>
        <v>0</v>
      </c>
      <c r="Q329" s="53" t="n">
        <f aca="false">J329-B329</f>
        <v>0</v>
      </c>
      <c r="R329" s="51" t="str">
        <f aca="false">IF(I329="N","Invalid / missing TRN",IF(F329="Blocked input (entertainment)","Blocked input",IF(Q329&gt;30,"Late posting (&gt;30d)","")))</f>
        <v/>
      </c>
    </row>
    <row r="330" customFormat="false" ht="15" hidden="false" customHeight="false" outlineLevel="0" collapsed="false">
      <c r="A330" s="47" t="s">
        <v>611</v>
      </c>
      <c r="B330" s="48" t="n">
        <v>45747</v>
      </c>
      <c r="C330" s="47" t="s">
        <v>166</v>
      </c>
      <c r="D330" s="47" t="s">
        <v>272</v>
      </c>
      <c r="E330" s="47" t="s">
        <v>102</v>
      </c>
      <c r="F330" s="47" t="s">
        <v>161</v>
      </c>
      <c r="G330" s="49" t="n">
        <v>29043.15</v>
      </c>
      <c r="H330" s="50" t="n">
        <v>0.05</v>
      </c>
      <c r="I330" s="47" t="s">
        <v>162</v>
      </c>
      <c r="J330" s="48" t="n">
        <v>45749</v>
      </c>
      <c r="K330" s="51" t="str">
        <f aca="false">"Q"&amp;ROUNDUP(MONTH(B330)/3,0)</f>
        <v>Q1</v>
      </c>
      <c r="L330" s="52" t="n">
        <f aca="false">ROUND(G330*H330,2)</f>
        <v>1452.16</v>
      </c>
      <c r="M330" s="52" t="n">
        <f aca="false">IF(AND(C330="Sales",F330="Standard-rated 5%"),L330,0)</f>
        <v>0</v>
      </c>
      <c r="N330" s="52" t="n">
        <f aca="false">IF(F330="Reverse charge (imported services)",L330,0)</f>
        <v>0</v>
      </c>
      <c r="O330" s="52" t="n">
        <f aca="false">IF(C330&lt;&gt;"Purchase",0,IF(OR(I330="N",F330="Blocked input (entertainment)"),0,L330))</f>
        <v>1452.16</v>
      </c>
      <c r="P330" s="52" t="n">
        <f aca="false">IF(C330&lt;&gt;"Purchase",0,L330-O330)</f>
        <v>0</v>
      </c>
      <c r="Q330" s="53" t="n">
        <f aca="false">J330-B330</f>
        <v>2</v>
      </c>
      <c r="R330" s="51" t="str">
        <f aca="false">IF(I330="N","Invalid / missing TRN",IF(F330="Blocked input (entertainment)","Blocked input",IF(Q330&gt;30,"Late posting (&gt;30d)","")))</f>
        <v/>
      </c>
    </row>
    <row r="331" customFormat="false" ht="15" hidden="false" customHeight="false" outlineLevel="0" collapsed="false">
      <c r="A331" s="47" t="s">
        <v>612</v>
      </c>
      <c r="B331" s="48" t="n">
        <v>45747</v>
      </c>
      <c r="C331" s="47" t="s">
        <v>166</v>
      </c>
      <c r="D331" s="47" t="s">
        <v>253</v>
      </c>
      <c r="E331" s="47" t="s">
        <v>100</v>
      </c>
      <c r="F331" s="47" t="s">
        <v>161</v>
      </c>
      <c r="G331" s="49" t="n">
        <v>20092.54</v>
      </c>
      <c r="H331" s="50" t="n">
        <v>0.05</v>
      </c>
      <c r="I331" s="47" t="s">
        <v>162</v>
      </c>
      <c r="J331" s="48" t="n">
        <v>45748</v>
      </c>
      <c r="K331" s="51" t="str">
        <f aca="false">"Q"&amp;ROUNDUP(MONTH(B331)/3,0)</f>
        <v>Q1</v>
      </c>
      <c r="L331" s="52" t="n">
        <f aca="false">ROUND(G331*H331,2)</f>
        <v>1004.63</v>
      </c>
      <c r="M331" s="52" t="n">
        <f aca="false">IF(AND(C331="Sales",F331="Standard-rated 5%"),L331,0)</f>
        <v>0</v>
      </c>
      <c r="N331" s="52" t="n">
        <f aca="false">IF(F331="Reverse charge (imported services)",L331,0)</f>
        <v>0</v>
      </c>
      <c r="O331" s="52" t="n">
        <f aca="false">IF(C331&lt;&gt;"Purchase",0,IF(OR(I331="N",F331="Blocked input (entertainment)"),0,L331))</f>
        <v>1004.63</v>
      </c>
      <c r="P331" s="52" t="n">
        <f aca="false">IF(C331&lt;&gt;"Purchase",0,L331-O331)</f>
        <v>0</v>
      </c>
      <c r="Q331" s="53" t="n">
        <f aca="false">J331-B331</f>
        <v>1</v>
      </c>
      <c r="R331" s="51" t="str">
        <f aca="false">IF(I331="N","Invalid / missing TRN",IF(F331="Blocked input (entertainment)","Blocked input",IF(Q331&gt;30,"Late posting (&gt;30d)","")))</f>
        <v/>
      </c>
    </row>
    <row r="332" customFormat="false" ht="15" hidden="false" customHeight="false" outlineLevel="0" collapsed="false">
      <c r="A332" s="47" t="s">
        <v>613</v>
      </c>
      <c r="B332" s="48" t="n">
        <v>45747</v>
      </c>
      <c r="C332" s="47" t="s">
        <v>159</v>
      </c>
      <c r="D332" s="47" t="s">
        <v>290</v>
      </c>
      <c r="E332" s="47" t="s">
        <v>100</v>
      </c>
      <c r="F332" s="47" t="s">
        <v>161</v>
      </c>
      <c r="G332" s="49" t="n">
        <v>109344.82</v>
      </c>
      <c r="H332" s="50" t="n">
        <v>0.05</v>
      </c>
      <c r="I332" s="47" t="s">
        <v>162</v>
      </c>
      <c r="J332" s="48" t="n">
        <v>45747</v>
      </c>
      <c r="K332" s="51" t="str">
        <f aca="false">"Q"&amp;ROUNDUP(MONTH(B332)/3,0)</f>
        <v>Q1</v>
      </c>
      <c r="L332" s="52" t="n">
        <f aca="false">ROUND(G332*H332,2)</f>
        <v>5467.24</v>
      </c>
      <c r="M332" s="52" t="n">
        <f aca="false">IF(AND(C332="Sales",F332="Standard-rated 5%"),L332,0)</f>
        <v>5467.24</v>
      </c>
      <c r="N332" s="52" t="n">
        <f aca="false">IF(F332="Reverse charge (imported services)",L332,0)</f>
        <v>0</v>
      </c>
      <c r="O332" s="52" t="n">
        <f aca="false">IF(C332&lt;&gt;"Purchase",0,IF(OR(I332="N",F332="Blocked input (entertainment)"),0,L332))</f>
        <v>0</v>
      </c>
      <c r="P332" s="52" t="n">
        <f aca="false">IF(C332&lt;&gt;"Purchase",0,L332-O332)</f>
        <v>0</v>
      </c>
      <c r="Q332" s="53" t="n">
        <f aca="false">J332-B332</f>
        <v>0</v>
      </c>
      <c r="R332" s="51" t="str">
        <f aca="false">IF(I332="N","Invalid / missing TRN",IF(F332="Blocked input (entertainment)","Blocked input",IF(Q332&gt;30,"Late posting (&gt;30d)","")))</f>
        <v/>
      </c>
    </row>
    <row r="333" customFormat="false" ht="15" hidden="false" customHeight="false" outlineLevel="0" collapsed="false">
      <c r="A333" s="47" t="s">
        <v>614</v>
      </c>
      <c r="B333" s="48" t="n">
        <v>45747</v>
      </c>
      <c r="C333" s="47" t="s">
        <v>159</v>
      </c>
      <c r="D333" s="47" t="s">
        <v>534</v>
      </c>
      <c r="E333" s="47" t="s">
        <v>101</v>
      </c>
      <c r="F333" s="47" t="s">
        <v>161</v>
      </c>
      <c r="G333" s="49" t="n">
        <v>102948.18</v>
      </c>
      <c r="H333" s="50" t="n">
        <v>0.05</v>
      </c>
      <c r="I333" s="47" t="s">
        <v>162</v>
      </c>
      <c r="J333" s="48" t="n">
        <v>45747</v>
      </c>
      <c r="K333" s="51" t="str">
        <f aca="false">"Q"&amp;ROUNDUP(MONTH(B333)/3,0)</f>
        <v>Q1</v>
      </c>
      <c r="L333" s="52" t="n">
        <f aca="false">ROUND(G333*H333,2)</f>
        <v>5147.41</v>
      </c>
      <c r="M333" s="52" t="n">
        <f aca="false">IF(AND(C333="Sales",F333="Standard-rated 5%"),L333,0)</f>
        <v>5147.41</v>
      </c>
      <c r="N333" s="52" t="n">
        <f aca="false">IF(F333="Reverse charge (imported services)",L333,0)</f>
        <v>0</v>
      </c>
      <c r="O333" s="52" t="n">
        <f aca="false">IF(C333&lt;&gt;"Purchase",0,IF(OR(I333="N",F333="Blocked input (entertainment)"),0,L333))</f>
        <v>0</v>
      </c>
      <c r="P333" s="52" t="n">
        <f aca="false">IF(C333&lt;&gt;"Purchase",0,L333-O333)</f>
        <v>0</v>
      </c>
      <c r="Q333" s="53" t="n">
        <f aca="false">J333-B333</f>
        <v>0</v>
      </c>
      <c r="R333" s="51" t="str">
        <f aca="false">IF(I333="N","Invalid / missing TRN",IF(F333="Blocked input (entertainment)","Blocked input",IF(Q333&gt;30,"Late posting (&gt;30d)","")))</f>
        <v/>
      </c>
    </row>
    <row r="334" customFormat="false" ht="15" hidden="false" customHeight="false" outlineLevel="0" collapsed="false">
      <c r="A334" s="47" t="s">
        <v>615</v>
      </c>
      <c r="B334" s="48" t="n">
        <v>45747</v>
      </c>
      <c r="C334" s="47" t="s">
        <v>159</v>
      </c>
      <c r="D334" s="47" t="s">
        <v>213</v>
      </c>
      <c r="E334" s="47" t="s">
        <v>101</v>
      </c>
      <c r="F334" s="47" t="s">
        <v>161</v>
      </c>
      <c r="G334" s="49" t="n">
        <v>23119.88</v>
      </c>
      <c r="H334" s="50" t="n">
        <v>0.05</v>
      </c>
      <c r="I334" s="47" t="s">
        <v>162</v>
      </c>
      <c r="J334" s="48" t="n">
        <v>45752</v>
      </c>
      <c r="K334" s="51" t="str">
        <f aca="false">"Q"&amp;ROUNDUP(MONTH(B334)/3,0)</f>
        <v>Q1</v>
      </c>
      <c r="L334" s="52" t="n">
        <f aca="false">ROUND(G334*H334,2)</f>
        <v>1155.99</v>
      </c>
      <c r="M334" s="52" t="n">
        <f aca="false">IF(AND(C334="Sales",F334="Standard-rated 5%"),L334,0)</f>
        <v>1155.99</v>
      </c>
      <c r="N334" s="52" t="n">
        <f aca="false">IF(F334="Reverse charge (imported services)",L334,0)</f>
        <v>0</v>
      </c>
      <c r="O334" s="52" t="n">
        <f aca="false">IF(C334&lt;&gt;"Purchase",0,IF(OR(I334="N",F334="Blocked input (entertainment)"),0,L334))</f>
        <v>0</v>
      </c>
      <c r="P334" s="52" t="n">
        <f aca="false">IF(C334&lt;&gt;"Purchase",0,L334-O334)</f>
        <v>0</v>
      </c>
      <c r="Q334" s="53" t="n">
        <f aca="false">J334-B334</f>
        <v>5</v>
      </c>
      <c r="R334" s="51" t="str">
        <f aca="false">IF(I334="N","Invalid / missing TRN",IF(F334="Blocked input (entertainment)","Blocked input",IF(Q334&gt;30,"Late posting (&gt;30d)","")))</f>
        <v/>
      </c>
    </row>
    <row r="335" customFormat="false" ht="15" hidden="false" customHeight="false" outlineLevel="0" collapsed="false">
      <c r="A335" s="47" t="s">
        <v>616</v>
      </c>
      <c r="B335" s="48" t="n">
        <v>45747</v>
      </c>
      <c r="C335" s="47" t="s">
        <v>159</v>
      </c>
      <c r="D335" s="47" t="s">
        <v>160</v>
      </c>
      <c r="E335" s="47" t="s">
        <v>101</v>
      </c>
      <c r="F335" s="47" t="s">
        <v>161</v>
      </c>
      <c r="G335" s="49" t="n">
        <v>36958.99</v>
      </c>
      <c r="H335" s="50" t="n">
        <v>0.05</v>
      </c>
      <c r="I335" s="47" t="s">
        <v>162</v>
      </c>
      <c r="J335" s="48" t="n">
        <v>45747</v>
      </c>
      <c r="K335" s="51" t="str">
        <f aca="false">"Q"&amp;ROUNDUP(MONTH(B335)/3,0)</f>
        <v>Q1</v>
      </c>
      <c r="L335" s="52" t="n">
        <f aca="false">ROUND(G335*H335,2)</f>
        <v>1847.95</v>
      </c>
      <c r="M335" s="52" t="n">
        <f aca="false">IF(AND(C335="Sales",F335="Standard-rated 5%"),L335,0)</f>
        <v>1847.95</v>
      </c>
      <c r="N335" s="52" t="n">
        <f aca="false">IF(F335="Reverse charge (imported services)",L335,0)</f>
        <v>0</v>
      </c>
      <c r="O335" s="52" t="n">
        <f aca="false">IF(C335&lt;&gt;"Purchase",0,IF(OR(I335="N",F335="Blocked input (entertainment)"),0,L335))</f>
        <v>0</v>
      </c>
      <c r="P335" s="52" t="n">
        <f aca="false">IF(C335&lt;&gt;"Purchase",0,L335-O335)</f>
        <v>0</v>
      </c>
      <c r="Q335" s="53" t="n">
        <f aca="false">J335-B335</f>
        <v>0</v>
      </c>
      <c r="R335" s="51" t="str">
        <f aca="false">IF(I335="N","Invalid / missing TRN",IF(F335="Blocked input (entertainment)","Blocked input",IF(Q335&gt;30,"Late posting (&gt;30d)","")))</f>
        <v/>
      </c>
    </row>
    <row r="336" customFormat="false" ht="15" hidden="false" customHeight="false" outlineLevel="0" collapsed="false">
      <c r="A336" s="47" t="s">
        <v>617</v>
      </c>
      <c r="B336" s="48" t="n">
        <v>45747</v>
      </c>
      <c r="C336" s="47" t="s">
        <v>159</v>
      </c>
      <c r="D336" s="47" t="s">
        <v>383</v>
      </c>
      <c r="E336" s="47" t="s">
        <v>102</v>
      </c>
      <c r="F336" s="47" t="s">
        <v>161</v>
      </c>
      <c r="G336" s="49" t="n">
        <v>10725.09</v>
      </c>
      <c r="H336" s="50" t="n">
        <v>0.05</v>
      </c>
      <c r="I336" s="47" t="s">
        <v>162</v>
      </c>
      <c r="J336" s="48" t="n">
        <v>45747</v>
      </c>
      <c r="K336" s="51" t="str">
        <f aca="false">"Q"&amp;ROUNDUP(MONTH(B336)/3,0)</f>
        <v>Q1</v>
      </c>
      <c r="L336" s="52" t="n">
        <f aca="false">ROUND(G336*H336,2)</f>
        <v>536.25</v>
      </c>
      <c r="M336" s="52" t="n">
        <f aca="false">IF(AND(C336="Sales",F336="Standard-rated 5%"),L336,0)</f>
        <v>536.25</v>
      </c>
      <c r="N336" s="52" t="n">
        <f aca="false">IF(F336="Reverse charge (imported services)",L336,0)</f>
        <v>0</v>
      </c>
      <c r="O336" s="52" t="n">
        <f aca="false">IF(C336&lt;&gt;"Purchase",0,IF(OR(I336="N",F336="Blocked input (entertainment)"),0,L336))</f>
        <v>0</v>
      </c>
      <c r="P336" s="52" t="n">
        <f aca="false">IF(C336&lt;&gt;"Purchase",0,L336-O336)</f>
        <v>0</v>
      </c>
      <c r="Q336" s="53" t="n">
        <f aca="false">J336-B336</f>
        <v>0</v>
      </c>
      <c r="R336" s="51" t="str">
        <f aca="false">IF(I336="N","Invalid / missing TRN",IF(F336="Blocked input (entertainment)","Blocked input",IF(Q336&gt;30,"Late posting (&gt;30d)","")))</f>
        <v/>
      </c>
    </row>
    <row r="337" customFormat="false" ht="15" hidden="false" customHeight="false" outlineLevel="0" collapsed="false">
      <c r="A337" s="47" t="s">
        <v>618</v>
      </c>
      <c r="B337" s="48" t="n">
        <v>45748</v>
      </c>
      <c r="C337" s="47" t="s">
        <v>159</v>
      </c>
      <c r="D337" s="47" t="s">
        <v>177</v>
      </c>
      <c r="E337" s="47" t="s">
        <v>100</v>
      </c>
      <c r="F337" s="47" t="s">
        <v>161</v>
      </c>
      <c r="G337" s="49" t="n">
        <v>25487.44</v>
      </c>
      <c r="H337" s="50" t="n">
        <v>0.05</v>
      </c>
      <c r="I337" s="47" t="s">
        <v>162</v>
      </c>
      <c r="J337" s="48" t="n">
        <v>45748</v>
      </c>
      <c r="K337" s="51" t="str">
        <f aca="false">"Q"&amp;ROUNDUP(MONTH(B337)/3,0)</f>
        <v>Q2</v>
      </c>
      <c r="L337" s="52" t="n">
        <f aca="false">ROUND(G337*H337,2)</f>
        <v>1274.37</v>
      </c>
      <c r="M337" s="52" t="n">
        <f aca="false">IF(AND(C337="Sales",F337="Standard-rated 5%"),L337,0)</f>
        <v>1274.37</v>
      </c>
      <c r="N337" s="52" t="n">
        <f aca="false">IF(F337="Reverse charge (imported services)",L337,0)</f>
        <v>0</v>
      </c>
      <c r="O337" s="52" t="n">
        <f aca="false">IF(C337&lt;&gt;"Purchase",0,IF(OR(I337="N",F337="Blocked input (entertainment)"),0,L337))</f>
        <v>0</v>
      </c>
      <c r="P337" s="52" t="n">
        <f aca="false">IF(C337&lt;&gt;"Purchase",0,L337-O337)</f>
        <v>0</v>
      </c>
      <c r="Q337" s="53" t="n">
        <f aca="false">J337-B337</f>
        <v>0</v>
      </c>
      <c r="R337" s="51" t="str">
        <f aca="false">IF(I337="N","Invalid / missing TRN",IF(F337="Blocked input (entertainment)","Blocked input",IF(Q337&gt;30,"Late posting (&gt;30d)","")))</f>
        <v/>
      </c>
    </row>
    <row r="338" customFormat="false" ht="15" hidden="false" customHeight="false" outlineLevel="0" collapsed="false">
      <c r="A338" s="47" t="s">
        <v>619</v>
      </c>
      <c r="B338" s="48" t="n">
        <v>45748</v>
      </c>
      <c r="C338" s="47" t="s">
        <v>159</v>
      </c>
      <c r="D338" s="47" t="s">
        <v>490</v>
      </c>
      <c r="E338" s="47" t="s">
        <v>101</v>
      </c>
      <c r="F338" s="47" t="s">
        <v>161</v>
      </c>
      <c r="G338" s="49" t="n">
        <v>20751.8</v>
      </c>
      <c r="H338" s="50" t="n">
        <v>0.05</v>
      </c>
      <c r="I338" s="47" t="s">
        <v>162</v>
      </c>
      <c r="J338" s="48" t="n">
        <v>45748</v>
      </c>
      <c r="K338" s="51" t="str">
        <f aca="false">"Q"&amp;ROUNDUP(MONTH(B338)/3,0)</f>
        <v>Q2</v>
      </c>
      <c r="L338" s="52" t="n">
        <f aca="false">ROUND(G338*H338,2)</f>
        <v>1037.59</v>
      </c>
      <c r="M338" s="52" t="n">
        <f aca="false">IF(AND(C338="Sales",F338="Standard-rated 5%"),L338,0)</f>
        <v>1037.59</v>
      </c>
      <c r="N338" s="52" t="n">
        <f aca="false">IF(F338="Reverse charge (imported services)",L338,0)</f>
        <v>0</v>
      </c>
      <c r="O338" s="52" t="n">
        <f aca="false">IF(C338&lt;&gt;"Purchase",0,IF(OR(I338="N",F338="Blocked input (entertainment)"),0,L338))</f>
        <v>0</v>
      </c>
      <c r="P338" s="52" t="n">
        <f aca="false">IF(C338&lt;&gt;"Purchase",0,L338-O338)</f>
        <v>0</v>
      </c>
      <c r="Q338" s="53" t="n">
        <f aca="false">J338-B338</f>
        <v>0</v>
      </c>
      <c r="R338" s="51" t="str">
        <f aca="false">IF(I338="N","Invalid / missing TRN",IF(F338="Blocked input (entertainment)","Blocked input",IF(Q338&gt;30,"Late posting (&gt;30d)","")))</f>
        <v/>
      </c>
    </row>
    <row r="339" customFormat="false" ht="15" hidden="false" customHeight="false" outlineLevel="0" collapsed="false">
      <c r="A339" s="47" t="s">
        <v>620</v>
      </c>
      <c r="B339" s="48" t="n">
        <v>45748</v>
      </c>
      <c r="C339" s="47" t="s">
        <v>159</v>
      </c>
      <c r="D339" s="47" t="s">
        <v>621</v>
      </c>
      <c r="E339" s="47" t="s">
        <v>101</v>
      </c>
      <c r="F339" s="47" t="s">
        <v>161</v>
      </c>
      <c r="G339" s="49" t="n">
        <v>54161.73</v>
      </c>
      <c r="H339" s="50" t="n">
        <v>0.05</v>
      </c>
      <c r="I339" s="47" t="s">
        <v>162</v>
      </c>
      <c r="J339" s="48" t="n">
        <v>45748</v>
      </c>
      <c r="K339" s="51" t="str">
        <f aca="false">"Q"&amp;ROUNDUP(MONTH(B339)/3,0)</f>
        <v>Q2</v>
      </c>
      <c r="L339" s="52" t="n">
        <f aca="false">ROUND(G339*H339,2)</f>
        <v>2708.09</v>
      </c>
      <c r="M339" s="52" t="n">
        <f aca="false">IF(AND(C339="Sales",F339="Standard-rated 5%"),L339,0)</f>
        <v>2708.09</v>
      </c>
      <c r="N339" s="52" t="n">
        <f aca="false">IF(F339="Reverse charge (imported services)",L339,0)</f>
        <v>0</v>
      </c>
      <c r="O339" s="52" t="n">
        <f aca="false">IF(C339&lt;&gt;"Purchase",0,IF(OR(I339="N",F339="Blocked input (entertainment)"),0,L339))</f>
        <v>0</v>
      </c>
      <c r="P339" s="52" t="n">
        <f aca="false">IF(C339&lt;&gt;"Purchase",0,L339-O339)</f>
        <v>0</v>
      </c>
      <c r="Q339" s="53" t="n">
        <f aca="false">J339-B339</f>
        <v>0</v>
      </c>
      <c r="R339" s="51" t="str">
        <f aca="false">IF(I339="N","Invalid / missing TRN",IF(F339="Blocked input (entertainment)","Blocked input",IF(Q339&gt;30,"Late posting (&gt;30d)","")))</f>
        <v/>
      </c>
    </row>
    <row r="340" customFormat="false" ht="15" hidden="false" customHeight="false" outlineLevel="0" collapsed="false">
      <c r="A340" s="47" t="s">
        <v>622</v>
      </c>
      <c r="B340" s="48" t="n">
        <v>45748</v>
      </c>
      <c r="C340" s="47" t="s">
        <v>159</v>
      </c>
      <c r="D340" s="47" t="s">
        <v>213</v>
      </c>
      <c r="E340" s="47" t="s">
        <v>104</v>
      </c>
      <c r="F340" s="47" t="s">
        <v>161</v>
      </c>
      <c r="G340" s="49" t="n">
        <v>187047.16</v>
      </c>
      <c r="H340" s="50" t="n">
        <v>0.05</v>
      </c>
      <c r="I340" s="47" t="s">
        <v>162</v>
      </c>
      <c r="J340" s="48" t="n">
        <v>45748</v>
      </c>
      <c r="K340" s="51" t="str">
        <f aca="false">"Q"&amp;ROUNDUP(MONTH(B340)/3,0)</f>
        <v>Q2</v>
      </c>
      <c r="L340" s="52" t="n">
        <f aca="false">ROUND(G340*H340,2)</f>
        <v>9352.36</v>
      </c>
      <c r="M340" s="52" t="n">
        <f aca="false">IF(AND(C340="Sales",F340="Standard-rated 5%"),L340,0)</f>
        <v>9352.36</v>
      </c>
      <c r="N340" s="52" t="n">
        <f aca="false">IF(F340="Reverse charge (imported services)",L340,0)</f>
        <v>0</v>
      </c>
      <c r="O340" s="52" t="n">
        <f aca="false">IF(C340&lt;&gt;"Purchase",0,IF(OR(I340="N",F340="Blocked input (entertainment)"),0,L340))</f>
        <v>0</v>
      </c>
      <c r="P340" s="52" t="n">
        <f aca="false">IF(C340&lt;&gt;"Purchase",0,L340-O340)</f>
        <v>0</v>
      </c>
      <c r="Q340" s="53" t="n">
        <f aca="false">J340-B340</f>
        <v>0</v>
      </c>
      <c r="R340" s="51" t="str">
        <f aca="false">IF(I340="N","Invalid / missing TRN",IF(F340="Blocked input (entertainment)","Blocked input",IF(Q340&gt;30,"Late posting (&gt;30d)","")))</f>
        <v/>
      </c>
    </row>
    <row r="341" customFormat="false" ht="15" hidden="false" customHeight="false" outlineLevel="0" collapsed="false">
      <c r="A341" s="47" t="s">
        <v>623</v>
      </c>
      <c r="B341" s="48" t="n">
        <v>45748</v>
      </c>
      <c r="C341" s="47" t="s">
        <v>159</v>
      </c>
      <c r="D341" s="47" t="s">
        <v>581</v>
      </c>
      <c r="E341" s="47" t="s">
        <v>101</v>
      </c>
      <c r="F341" s="47" t="s">
        <v>161</v>
      </c>
      <c r="G341" s="49" t="n">
        <v>46463.92</v>
      </c>
      <c r="H341" s="50" t="n">
        <v>0.05</v>
      </c>
      <c r="I341" s="47" t="s">
        <v>162</v>
      </c>
      <c r="J341" s="48" t="n">
        <v>45748</v>
      </c>
      <c r="K341" s="51" t="str">
        <f aca="false">"Q"&amp;ROUNDUP(MONTH(B341)/3,0)</f>
        <v>Q2</v>
      </c>
      <c r="L341" s="52" t="n">
        <f aca="false">ROUND(G341*H341,2)</f>
        <v>2323.2</v>
      </c>
      <c r="M341" s="52" t="n">
        <f aca="false">IF(AND(C341="Sales",F341="Standard-rated 5%"),L341,0)</f>
        <v>2323.2</v>
      </c>
      <c r="N341" s="52" t="n">
        <f aca="false">IF(F341="Reverse charge (imported services)",L341,0)</f>
        <v>0</v>
      </c>
      <c r="O341" s="52" t="n">
        <f aca="false">IF(C341&lt;&gt;"Purchase",0,IF(OR(I341="N",F341="Blocked input (entertainment)"),0,L341))</f>
        <v>0</v>
      </c>
      <c r="P341" s="52" t="n">
        <f aca="false">IF(C341&lt;&gt;"Purchase",0,L341-O341)</f>
        <v>0</v>
      </c>
      <c r="Q341" s="53" t="n">
        <f aca="false">J341-B341</f>
        <v>0</v>
      </c>
      <c r="R341" s="51" t="str">
        <f aca="false">IF(I341="N","Invalid / missing TRN",IF(F341="Blocked input (entertainment)","Blocked input",IF(Q341&gt;30,"Late posting (&gt;30d)","")))</f>
        <v/>
      </c>
    </row>
    <row r="342" customFormat="false" ht="15" hidden="false" customHeight="false" outlineLevel="0" collapsed="false">
      <c r="A342" s="47" t="s">
        <v>624</v>
      </c>
      <c r="B342" s="48" t="n">
        <v>45749</v>
      </c>
      <c r="C342" s="47" t="s">
        <v>166</v>
      </c>
      <c r="D342" s="47" t="s">
        <v>231</v>
      </c>
      <c r="E342" s="47" t="s">
        <v>100</v>
      </c>
      <c r="F342" s="47" t="s">
        <v>170</v>
      </c>
      <c r="G342" s="49" t="n">
        <v>28424.79</v>
      </c>
      <c r="H342" s="50" t="n">
        <v>0.05</v>
      </c>
      <c r="I342" s="47" t="s">
        <v>162</v>
      </c>
      <c r="J342" s="48" t="n">
        <v>45749</v>
      </c>
      <c r="K342" s="51" t="str">
        <f aca="false">"Q"&amp;ROUNDUP(MONTH(B342)/3,0)</f>
        <v>Q2</v>
      </c>
      <c r="L342" s="52" t="n">
        <f aca="false">ROUND(G342*H342,2)</f>
        <v>1421.24</v>
      </c>
      <c r="M342" s="52" t="n">
        <f aca="false">IF(AND(C342="Sales",F342="Standard-rated 5%"),L342,0)</f>
        <v>0</v>
      </c>
      <c r="N342" s="52" t="n">
        <f aca="false">IF(F342="Reverse charge (imported services)",L342,0)</f>
        <v>0</v>
      </c>
      <c r="O342" s="52" t="n">
        <f aca="false">IF(C342&lt;&gt;"Purchase",0,IF(OR(I342="N",F342="Blocked input (entertainment)"),0,L342))</f>
        <v>0</v>
      </c>
      <c r="P342" s="52" t="n">
        <f aca="false">IF(C342&lt;&gt;"Purchase",0,L342-O342)</f>
        <v>1421.24</v>
      </c>
      <c r="Q342" s="53" t="n">
        <f aca="false">J342-B342</f>
        <v>0</v>
      </c>
      <c r="R342" s="51" t="str">
        <f aca="false">IF(I342="N","Invalid / missing TRN",IF(F342="Blocked input (entertainment)","Blocked input",IF(Q342&gt;30,"Late posting (&gt;30d)","")))</f>
        <v>Blocked input</v>
      </c>
    </row>
    <row r="343" customFormat="false" ht="15" hidden="false" customHeight="false" outlineLevel="0" collapsed="false">
      <c r="A343" s="47" t="s">
        <v>625</v>
      </c>
      <c r="B343" s="48" t="n">
        <v>45749</v>
      </c>
      <c r="C343" s="47" t="s">
        <v>166</v>
      </c>
      <c r="D343" s="47" t="s">
        <v>348</v>
      </c>
      <c r="E343" s="47" t="s">
        <v>100</v>
      </c>
      <c r="F343" s="47" t="s">
        <v>337</v>
      </c>
      <c r="G343" s="49" t="n">
        <v>35493.59</v>
      </c>
      <c r="H343" s="50" t="n">
        <v>0</v>
      </c>
      <c r="I343" s="47" t="s">
        <v>162</v>
      </c>
      <c r="J343" s="48" t="n">
        <v>45749</v>
      </c>
      <c r="K343" s="51" t="str">
        <f aca="false">"Q"&amp;ROUNDUP(MONTH(B343)/3,0)</f>
        <v>Q2</v>
      </c>
      <c r="L343" s="52" t="n">
        <f aca="false">ROUND(G343*H343,2)</f>
        <v>0</v>
      </c>
      <c r="M343" s="52" t="n">
        <f aca="false">IF(AND(C343="Sales",F343="Standard-rated 5%"),L343,0)</f>
        <v>0</v>
      </c>
      <c r="N343" s="52" t="n">
        <f aca="false">IF(F343="Reverse charge (imported services)",L343,0)</f>
        <v>0</v>
      </c>
      <c r="O343" s="52" t="n">
        <f aca="false">IF(C343&lt;&gt;"Purchase",0,IF(OR(I343="N",F343="Blocked input (entertainment)"),0,L343))</f>
        <v>0</v>
      </c>
      <c r="P343" s="52" t="n">
        <f aca="false">IF(C343&lt;&gt;"Purchase",0,L343-O343)</f>
        <v>0</v>
      </c>
      <c r="Q343" s="53" t="n">
        <f aca="false">J343-B343</f>
        <v>0</v>
      </c>
      <c r="R343" s="51" t="str">
        <f aca="false">IF(I343="N","Invalid / missing TRN",IF(F343="Blocked input (entertainment)","Blocked input",IF(Q343&gt;30,"Late posting (&gt;30d)","")))</f>
        <v/>
      </c>
    </row>
    <row r="344" customFormat="false" ht="15" hidden="false" customHeight="false" outlineLevel="0" collapsed="false">
      <c r="A344" s="47" t="s">
        <v>626</v>
      </c>
      <c r="B344" s="48" t="n">
        <v>45749</v>
      </c>
      <c r="C344" s="47" t="s">
        <v>159</v>
      </c>
      <c r="D344" s="47" t="s">
        <v>627</v>
      </c>
      <c r="E344" s="47" t="s">
        <v>100</v>
      </c>
      <c r="F344" s="47" t="s">
        <v>161</v>
      </c>
      <c r="G344" s="49" t="n">
        <v>40175.82</v>
      </c>
      <c r="H344" s="50" t="n">
        <v>0.05</v>
      </c>
      <c r="I344" s="47" t="s">
        <v>162</v>
      </c>
      <c r="J344" s="48" t="n">
        <v>45749</v>
      </c>
      <c r="K344" s="51" t="str">
        <f aca="false">"Q"&amp;ROUNDUP(MONTH(B344)/3,0)</f>
        <v>Q2</v>
      </c>
      <c r="L344" s="52" t="n">
        <f aca="false">ROUND(G344*H344,2)</f>
        <v>2008.79</v>
      </c>
      <c r="M344" s="52" t="n">
        <f aca="false">IF(AND(C344="Sales",F344="Standard-rated 5%"),L344,0)</f>
        <v>2008.79</v>
      </c>
      <c r="N344" s="52" t="n">
        <f aca="false">IF(F344="Reverse charge (imported services)",L344,0)</f>
        <v>0</v>
      </c>
      <c r="O344" s="52" t="n">
        <f aca="false">IF(C344&lt;&gt;"Purchase",0,IF(OR(I344="N",F344="Blocked input (entertainment)"),0,L344))</f>
        <v>0</v>
      </c>
      <c r="P344" s="52" t="n">
        <f aca="false">IF(C344&lt;&gt;"Purchase",0,L344-O344)</f>
        <v>0</v>
      </c>
      <c r="Q344" s="53" t="n">
        <f aca="false">J344-B344</f>
        <v>0</v>
      </c>
      <c r="R344" s="51" t="str">
        <f aca="false">IF(I344="N","Invalid / missing TRN",IF(F344="Blocked input (entertainment)","Blocked input",IF(Q344&gt;30,"Late posting (&gt;30d)","")))</f>
        <v/>
      </c>
    </row>
    <row r="345" customFormat="false" ht="15" hidden="false" customHeight="false" outlineLevel="0" collapsed="false">
      <c r="A345" s="47" t="s">
        <v>628</v>
      </c>
      <c r="B345" s="48" t="n">
        <v>45750</v>
      </c>
      <c r="C345" s="47" t="s">
        <v>166</v>
      </c>
      <c r="D345" s="47" t="s">
        <v>206</v>
      </c>
      <c r="E345" s="47" t="s">
        <v>101</v>
      </c>
      <c r="F345" s="47" t="s">
        <v>161</v>
      </c>
      <c r="G345" s="49" t="n">
        <v>66265.19</v>
      </c>
      <c r="H345" s="50" t="n">
        <v>0.05</v>
      </c>
      <c r="I345" s="47" t="s">
        <v>162</v>
      </c>
      <c r="J345" s="48" t="n">
        <v>45790</v>
      </c>
      <c r="K345" s="51" t="str">
        <f aca="false">"Q"&amp;ROUNDUP(MONTH(B345)/3,0)</f>
        <v>Q2</v>
      </c>
      <c r="L345" s="52" t="n">
        <f aca="false">ROUND(G345*H345,2)</f>
        <v>3313.26</v>
      </c>
      <c r="M345" s="52" t="n">
        <f aca="false">IF(AND(C345="Sales",F345="Standard-rated 5%"),L345,0)</f>
        <v>0</v>
      </c>
      <c r="N345" s="52" t="n">
        <f aca="false">IF(F345="Reverse charge (imported services)",L345,0)</f>
        <v>0</v>
      </c>
      <c r="O345" s="52" t="n">
        <f aca="false">IF(C345&lt;&gt;"Purchase",0,IF(OR(I345="N",F345="Blocked input (entertainment)"),0,L345))</f>
        <v>3313.26</v>
      </c>
      <c r="P345" s="52" t="n">
        <f aca="false">IF(C345&lt;&gt;"Purchase",0,L345-O345)</f>
        <v>0</v>
      </c>
      <c r="Q345" s="53" t="n">
        <f aca="false">J345-B345</f>
        <v>40</v>
      </c>
      <c r="R345" s="51" t="str">
        <f aca="false">IF(I345="N","Invalid / missing TRN",IF(F345="Blocked input (entertainment)","Blocked input",IF(Q345&gt;30,"Late posting (&gt;30d)","")))</f>
        <v>Late posting (&gt;30d)</v>
      </c>
    </row>
    <row r="346" customFormat="false" ht="15" hidden="false" customHeight="false" outlineLevel="0" collapsed="false">
      <c r="A346" s="47" t="s">
        <v>629</v>
      </c>
      <c r="B346" s="48" t="n">
        <v>45750</v>
      </c>
      <c r="C346" s="47" t="s">
        <v>159</v>
      </c>
      <c r="D346" s="47" t="s">
        <v>423</v>
      </c>
      <c r="E346" s="47" t="s">
        <v>101</v>
      </c>
      <c r="F346" s="47" t="s">
        <v>278</v>
      </c>
      <c r="G346" s="49" t="n">
        <v>21073.21</v>
      </c>
      <c r="H346" s="50" t="n">
        <v>0</v>
      </c>
      <c r="I346" s="47" t="s">
        <v>162</v>
      </c>
      <c r="J346" s="48" t="n">
        <v>45750</v>
      </c>
      <c r="K346" s="51" t="str">
        <f aca="false">"Q"&amp;ROUNDUP(MONTH(B346)/3,0)</f>
        <v>Q2</v>
      </c>
      <c r="L346" s="52" t="n">
        <f aca="false">ROUND(G346*H346,2)</f>
        <v>0</v>
      </c>
      <c r="M346" s="52" t="n">
        <f aca="false">IF(AND(C346="Sales",F346="Standard-rated 5%"),L346,0)</f>
        <v>0</v>
      </c>
      <c r="N346" s="52" t="n">
        <f aca="false">IF(F346="Reverse charge (imported services)",L346,0)</f>
        <v>0</v>
      </c>
      <c r="O346" s="52" t="n">
        <f aca="false">IF(C346&lt;&gt;"Purchase",0,IF(OR(I346="N",F346="Blocked input (entertainment)"),0,L346))</f>
        <v>0</v>
      </c>
      <c r="P346" s="52" t="n">
        <f aca="false">IF(C346&lt;&gt;"Purchase",0,L346-O346)</f>
        <v>0</v>
      </c>
      <c r="Q346" s="53" t="n">
        <f aca="false">J346-B346</f>
        <v>0</v>
      </c>
      <c r="R346" s="51" t="str">
        <f aca="false">IF(I346="N","Invalid / missing TRN",IF(F346="Blocked input (entertainment)","Blocked input",IF(Q346&gt;30,"Late posting (&gt;30d)","")))</f>
        <v/>
      </c>
    </row>
    <row r="347" customFormat="false" ht="15" hidden="false" customHeight="false" outlineLevel="0" collapsed="false">
      <c r="A347" s="47" t="s">
        <v>630</v>
      </c>
      <c r="B347" s="48" t="n">
        <v>45751</v>
      </c>
      <c r="C347" s="47" t="s">
        <v>166</v>
      </c>
      <c r="D347" s="47" t="s">
        <v>528</v>
      </c>
      <c r="E347" s="47" t="s">
        <v>102</v>
      </c>
      <c r="F347" s="47" t="s">
        <v>161</v>
      </c>
      <c r="G347" s="49" t="n">
        <v>40938.87</v>
      </c>
      <c r="H347" s="50" t="n">
        <v>0.05</v>
      </c>
      <c r="I347" s="47" t="s">
        <v>162</v>
      </c>
      <c r="J347" s="48" t="n">
        <v>45751</v>
      </c>
      <c r="K347" s="51" t="str">
        <f aca="false">"Q"&amp;ROUNDUP(MONTH(B347)/3,0)</f>
        <v>Q2</v>
      </c>
      <c r="L347" s="52" t="n">
        <f aca="false">ROUND(G347*H347,2)</f>
        <v>2046.94</v>
      </c>
      <c r="M347" s="52" t="n">
        <f aca="false">IF(AND(C347="Sales",F347="Standard-rated 5%"),L347,0)</f>
        <v>0</v>
      </c>
      <c r="N347" s="52" t="n">
        <f aca="false">IF(F347="Reverse charge (imported services)",L347,0)</f>
        <v>0</v>
      </c>
      <c r="O347" s="52" t="n">
        <f aca="false">IF(C347&lt;&gt;"Purchase",0,IF(OR(I347="N",F347="Blocked input (entertainment)"),0,L347))</f>
        <v>2046.94</v>
      </c>
      <c r="P347" s="52" t="n">
        <f aca="false">IF(C347&lt;&gt;"Purchase",0,L347-O347)</f>
        <v>0</v>
      </c>
      <c r="Q347" s="53" t="n">
        <f aca="false">J347-B347</f>
        <v>0</v>
      </c>
      <c r="R347" s="51" t="str">
        <f aca="false">IF(I347="N","Invalid / missing TRN",IF(F347="Blocked input (entertainment)","Blocked input",IF(Q347&gt;30,"Late posting (&gt;30d)","")))</f>
        <v/>
      </c>
    </row>
    <row r="348" customFormat="false" ht="15" hidden="false" customHeight="false" outlineLevel="0" collapsed="false">
      <c r="A348" s="47" t="s">
        <v>631</v>
      </c>
      <c r="B348" s="48" t="n">
        <v>45751</v>
      </c>
      <c r="C348" s="47" t="s">
        <v>159</v>
      </c>
      <c r="D348" s="47" t="s">
        <v>376</v>
      </c>
      <c r="E348" s="47" t="s">
        <v>101</v>
      </c>
      <c r="F348" s="47" t="s">
        <v>161</v>
      </c>
      <c r="G348" s="49" t="n">
        <v>25390.5</v>
      </c>
      <c r="H348" s="50" t="n">
        <v>0.05</v>
      </c>
      <c r="I348" s="47" t="s">
        <v>162</v>
      </c>
      <c r="J348" s="48" t="n">
        <v>45751</v>
      </c>
      <c r="K348" s="51" t="str">
        <f aca="false">"Q"&amp;ROUNDUP(MONTH(B348)/3,0)</f>
        <v>Q2</v>
      </c>
      <c r="L348" s="52" t="n">
        <f aca="false">ROUND(G348*H348,2)</f>
        <v>1269.53</v>
      </c>
      <c r="M348" s="52" t="n">
        <f aca="false">IF(AND(C348="Sales",F348="Standard-rated 5%"),L348,0)</f>
        <v>1269.53</v>
      </c>
      <c r="N348" s="52" t="n">
        <f aca="false">IF(F348="Reverse charge (imported services)",L348,0)</f>
        <v>0</v>
      </c>
      <c r="O348" s="52" t="n">
        <f aca="false">IF(C348&lt;&gt;"Purchase",0,IF(OR(I348="N",F348="Blocked input (entertainment)"),0,L348))</f>
        <v>0</v>
      </c>
      <c r="P348" s="52" t="n">
        <f aca="false">IF(C348&lt;&gt;"Purchase",0,L348-O348)</f>
        <v>0</v>
      </c>
      <c r="Q348" s="53" t="n">
        <f aca="false">J348-B348</f>
        <v>0</v>
      </c>
      <c r="R348" s="51" t="str">
        <f aca="false">IF(I348="N","Invalid / missing TRN",IF(F348="Blocked input (entertainment)","Blocked input",IF(Q348&gt;30,"Late posting (&gt;30d)","")))</f>
        <v/>
      </c>
    </row>
    <row r="349" customFormat="false" ht="15" hidden="false" customHeight="false" outlineLevel="0" collapsed="false">
      <c r="A349" s="47" t="s">
        <v>632</v>
      </c>
      <c r="B349" s="48" t="n">
        <v>45751</v>
      </c>
      <c r="C349" s="47" t="s">
        <v>159</v>
      </c>
      <c r="D349" s="47" t="s">
        <v>339</v>
      </c>
      <c r="E349" s="47" t="s">
        <v>100</v>
      </c>
      <c r="F349" s="47" t="s">
        <v>278</v>
      </c>
      <c r="G349" s="49" t="n">
        <v>14065.8</v>
      </c>
      <c r="H349" s="50" t="n">
        <v>0</v>
      </c>
      <c r="I349" s="47" t="s">
        <v>162</v>
      </c>
      <c r="J349" s="48" t="n">
        <v>45791</v>
      </c>
      <c r="K349" s="51" t="str">
        <f aca="false">"Q"&amp;ROUNDUP(MONTH(B349)/3,0)</f>
        <v>Q2</v>
      </c>
      <c r="L349" s="52" t="n">
        <f aca="false">ROUND(G349*H349,2)</f>
        <v>0</v>
      </c>
      <c r="M349" s="52" t="n">
        <f aca="false">IF(AND(C349="Sales",F349="Standard-rated 5%"),L349,0)</f>
        <v>0</v>
      </c>
      <c r="N349" s="52" t="n">
        <f aca="false">IF(F349="Reverse charge (imported services)",L349,0)</f>
        <v>0</v>
      </c>
      <c r="O349" s="52" t="n">
        <f aca="false">IF(C349&lt;&gt;"Purchase",0,IF(OR(I349="N",F349="Blocked input (entertainment)"),0,L349))</f>
        <v>0</v>
      </c>
      <c r="P349" s="52" t="n">
        <f aca="false">IF(C349&lt;&gt;"Purchase",0,L349-O349)</f>
        <v>0</v>
      </c>
      <c r="Q349" s="53" t="n">
        <f aca="false">J349-B349</f>
        <v>40</v>
      </c>
      <c r="R349" s="51" t="str">
        <f aca="false">IF(I349="N","Invalid / missing TRN",IF(F349="Blocked input (entertainment)","Blocked input",IF(Q349&gt;30,"Late posting (&gt;30d)","")))</f>
        <v>Late posting (&gt;30d)</v>
      </c>
    </row>
    <row r="350" customFormat="false" ht="15" hidden="false" customHeight="false" outlineLevel="0" collapsed="false">
      <c r="A350" s="47" t="s">
        <v>633</v>
      </c>
      <c r="B350" s="48" t="n">
        <v>45751</v>
      </c>
      <c r="C350" s="47" t="s">
        <v>159</v>
      </c>
      <c r="D350" s="47" t="s">
        <v>621</v>
      </c>
      <c r="E350" s="47" t="s">
        <v>102</v>
      </c>
      <c r="F350" s="47" t="s">
        <v>161</v>
      </c>
      <c r="G350" s="49" t="n">
        <v>25057.22</v>
      </c>
      <c r="H350" s="50" t="n">
        <v>0.05</v>
      </c>
      <c r="I350" s="47" t="s">
        <v>162</v>
      </c>
      <c r="J350" s="48" t="n">
        <v>45751</v>
      </c>
      <c r="K350" s="51" t="str">
        <f aca="false">"Q"&amp;ROUNDUP(MONTH(B350)/3,0)</f>
        <v>Q2</v>
      </c>
      <c r="L350" s="52" t="n">
        <f aca="false">ROUND(G350*H350,2)</f>
        <v>1252.86</v>
      </c>
      <c r="M350" s="52" t="n">
        <f aca="false">IF(AND(C350="Sales",F350="Standard-rated 5%"),L350,0)</f>
        <v>1252.86</v>
      </c>
      <c r="N350" s="52" t="n">
        <f aca="false">IF(F350="Reverse charge (imported services)",L350,0)</f>
        <v>0</v>
      </c>
      <c r="O350" s="52" t="n">
        <f aca="false">IF(C350&lt;&gt;"Purchase",0,IF(OR(I350="N",F350="Blocked input (entertainment)"),0,L350))</f>
        <v>0</v>
      </c>
      <c r="P350" s="52" t="n">
        <f aca="false">IF(C350&lt;&gt;"Purchase",0,L350-O350)</f>
        <v>0</v>
      </c>
      <c r="Q350" s="53" t="n">
        <f aca="false">J350-B350</f>
        <v>0</v>
      </c>
      <c r="R350" s="51" t="str">
        <f aca="false">IF(I350="N","Invalid / missing TRN",IF(F350="Blocked input (entertainment)","Blocked input",IF(Q350&gt;30,"Late posting (&gt;30d)","")))</f>
        <v/>
      </c>
    </row>
    <row r="351" customFormat="false" ht="15" hidden="false" customHeight="false" outlineLevel="0" collapsed="false">
      <c r="A351" s="47" t="s">
        <v>634</v>
      </c>
      <c r="B351" s="48" t="n">
        <v>45752</v>
      </c>
      <c r="C351" s="47" t="s">
        <v>166</v>
      </c>
      <c r="D351" s="47" t="s">
        <v>221</v>
      </c>
      <c r="E351" s="47" t="s">
        <v>102</v>
      </c>
      <c r="F351" s="47" t="s">
        <v>161</v>
      </c>
      <c r="G351" s="49" t="n">
        <v>20726.57</v>
      </c>
      <c r="H351" s="50" t="n">
        <v>0.05</v>
      </c>
      <c r="I351" s="47" t="s">
        <v>162</v>
      </c>
      <c r="J351" s="48" t="n">
        <v>45752</v>
      </c>
      <c r="K351" s="51" t="str">
        <f aca="false">"Q"&amp;ROUNDUP(MONTH(B351)/3,0)</f>
        <v>Q2</v>
      </c>
      <c r="L351" s="52" t="n">
        <f aca="false">ROUND(G351*H351,2)</f>
        <v>1036.33</v>
      </c>
      <c r="M351" s="52" t="n">
        <f aca="false">IF(AND(C351="Sales",F351="Standard-rated 5%"),L351,0)</f>
        <v>0</v>
      </c>
      <c r="N351" s="52" t="n">
        <f aca="false">IF(F351="Reverse charge (imported services)",L351,0)</f>
        <v>0</v>
      </c>
      <c r="O351" s="52" t="n">
        <f aca="false">IF(C351&lt;&gt;"Purchase",0,IF(OR(I351="N",F351="Blocked input (entertainment)"),0,L351))</f>
        <v>1036.33</v>
      </c>
      <c r="P351" s="52" t="n">
        <f aca="false">IF(C351&lt;&gt;"Purchase",0,L351-O351)</f>
        <v>0</v>
      </c>
      <c r="Q351" s="53" t="n">
        <f aca="false">J351-B351</f>
        <v>0</v>
      </c>
      <c r="R351" s="51" t="str">
        <f aca="false">IF(I351="N","Invalid / missing TRN",IF(F351="Blocked input (entertainment)","Blocked input",IF(Q351&gt;30,"Late posting (&gt;30d)","")))</f>
        <v/>
      </c>
    </row>
    <row r="352" customFormat="false" ht="15" hidden="false" customHeight="false" outlineLevel="0" collapsed="false">
      <c r="A352" s="47" t="s">
        <v>635</v>
      </c>
      <c r="B352" s="48" t="n">
        <v>45752</v>
      </c>
      <c r="C352" s="47" t="s">
        <v>166</v>
      </c>
      <c r="D352" s="47" t="s">
        <v>264</v>
      </c>
      <c r="E352" s="47" t="s">
        <v>101</v>
      </c>
      <c r="F352" s="47" t="s">
        <v>161</v>
      </c>
      <c r="G352" s="49" t="n">
        <v>21651.65</v>
      </c>
      <c r="H352" s="50" t="n">
        <v>0.05</v>
      </c>
      <c r="I352" s="47" t="s">
        <v>162</v>
      </c>
      <c r="J352" s="48" t="n">
        <v>45752</v>
      </c>
      <c r="K352" s="51" t="str">
        <f aca="false">"Q"&amp;ROUNDUP(MONTH(B352)/3,0)</f>
        <v>Q2</v>
      </c>
      <c r="L352" s="52" t="n">
        <f aca="false">ROUND(G352*H352,2)</f>
        <v>1082.58</v>
      </c>
      <c r="M352" s="52" t="n">
        <f aca="false">IF(AND(C352="Sales",F352="Standard-rated 5%"),L352,0)</f>
        <v>0</v>
      </c>
      <c r="N352" s="52" t="n">
        <f aca="false">IF(F352="Reverse charge (imported services)",L352,0)</f>
        <v>0</v>
      </c>
      <c r="O352" s="52" t="n">
        <f aca="false">IF(C352&lt;&gt;"Purchase",0,IF(OR(I352="N",F352="Blocked input (entertainment)"),0,L352))</f>
        <v>1082.58</v>
      </c>
      <c r="P352" s="52" t="n">
        <f aca="false">IF(C352&lt;&gt;"Purchase",0,L352-O352)</f>
        <v>0</v>
      </c>
      <c r="Q352" s="53" t="n">
        <f aca="false">J352-B352</f>
        <v>0</v>
      </c>
      <c r="R352" s="51" t="str">
        <f aca="false">IF(I352="N","Invalid / missing TRN",IF(F352="Blocked input (entertainment)","Blocked input",IF(Q352&gt;30,"Late posting (&gt;30d)","")))</f>
        <v/>
      </c>
    </row>
    <row r="353" customFormat="false" ht="15" hidden="false" customHeight="false" outlineLevel="0" collapsed="false">
      <c r="A353" s="47" t="s">
        <v>636</v>
      </c>
      <c r="B353" s="48" t="n">
        <v>45752</v>
      </c>
      <c r="C353" s="47" t="s">
        <v>159</v>
      </c>
      <c r="D353" s="47" t="s">
        <v>247</v>
      </c>
      <c r="E353" s="47" t="s">
        <v>100</v>
      </c>
      <c r="F353" s="47" t="s">
        <v>161</v>
      </c>
      <c r="G353" s="49" t="n">
        <v>32241.23</v>
      </c>
      <c r="H353" s="50" t="n">
        <v>0.05</v>
      </c>
      <c r="I353" s="47" t="s">
        <v>162</v>
      </c>
      <c r="J353" s="48" t="n">
        <v>45752</v>
      </c>
      <c r="K353" s="51" t="str">
        <f aca="false">"Q"&amp;ROUNDUP(MONTH(B353)/3,0)</f>
        <v>Q2</v>
      </c>
      <c r="L353" s="52" t="n">
        <f aca="false">ROUND(G353*H353,2)</f>
        <v>1612.06</v>
      </c>
      <c r="M353" s="52" t="n">
        <f aca="false">IF(AND(C353="Sales",F353="Standard-rated 5%"),L353,0)</f>
        <v>1612.06</v>
      </c>
      <c r="N353" s="52" t="n">
        <f aca="false">IF(F353="Reverse charge (imported services)",L353,0)</f>
        <v>0</v>
      </c>
      <c r="O353" s="52" t="n">
        <f aca="false">IF(C353&lt;&gt;"Purchase",0,IF(OR(I353="N",F353="Blocked input (entertainment)"),0,L353))</f>
        <v>0</v>
      </c>
      <c r="P353" s="52" t="n">
        <f aca="false">IF(C353&lt;&gt;"Purchase",0,L353-O353)</f>
        <v>0</v>
      </c>
      <c r="Q353" s="53" t="n">
        <f aca="false">J353-B353</f>
        <v>0</v>
      </c>
      <c r="R353" s="51" t="str">
        <f aca="false">IF(I353="N","Invalid / missing TRN",IF(F353="Blocked input (entertainment)","Blocked input",IF(Q353&gt;30,"Late posting (&gt;30d)","")))</f>
        <v/>
      </c>
    </row>
    <row r="354" customFormat="false" ht="15" hidden="false" customHeight="false" outlineLevel="0" collapsed="false">
      <c r="A354" s="47" t="s">
        <v>637</v>
      </c>
      <c r="B354" s="48" t="n">
        <v>45752</v>
      </c>
      <c r="C354" s="47" t="s">
        <v>159</v>
      </c>
      <c r="D354" s="47" t="s">
        <v>223</v>
      </c>
      <c r="E354" s="47" t="s">
        <v>104</v>
      </c>
      <c r="F354" s="47" t="s">
        <v>161</v>
      </c>
      <c r="G354" s="49" t="n">
        <v>73285.66</v>
      </c>
      <c r="H354" s="50" t="n">
        <v>0.05</v>
      </c>
      <c r="I354" s="47" t="s">
        <v>162</v>
      </c>
      <c r="J354" s="48" t="n">
        <v>45752</v>
      </c>
      <c r="K354" s="51" t="str">
        <f aca="false">"Q"&amp;ROUNDUP(MONTH(B354)/3,0)</f>
        <v>Q2</v>
      </c>
      <c r="L354" s="52" t="n">
        <f aca="false">ROUND(G354*H354,2)</f>
        <v>3664.28</v>
      </c>
      <c r="M354" s="52" t="n">
        <f aca="false">IF(AND(C354="Sales",F354="Standard-rated 5%"),L354,0)</f>
        <v>3664.28</v>
      </c>
      <c r="N354" s="52" t="n">
        <f aca="false">IF(F354="Reverse charge (imported services)",L354,0)</f>
        <v>0</v>
      </c>
      <c r="O354" s="52" t="n">
        <f aca="false">IF(C354&lt;&gt;"Purchase",0,IF(OR(I354="N",F354="Blocked input (entertainment)"),0,L354))</f>
        <v>0</v>
      </c>
      <c r="P354" s="52" t="n">
        <f aca="false">IF(C354&lt;&gt;"Purchase",0,L354-O354)</f>
        <v>0</v>
      </c>
      <c r="Q354" s="53" t="n">
        <f aca="false">J354-B354</f>
        <v>0</v>
      </c>
      <c r="R354" s="51" t="str">
        <f aca="false">IF(I354="N","Invalid / missing TRN",IF(F354="Blocked input (entertainment)","Blocked input",IF(Q354&gt;30,"Late posting (&gt;30d)","")))</f>
        <v/>
      </c>
    </row>
    <row r="355" customFormat="false" ht="15" hidden="false" customHeight="false" outlineLevel="0" collapsed="false">
      <c r="A355" s="47" t="s">
        <v>638</v>
      </c>
      <c r="B355" s="48" t="n">
        <v>45753</v>
      </c>
      <c r="C355" s="47" t="s">
        <v>159</v>
      </c>
      <c r="D355" s="47" t="s">
        <v>241</v>
      </c>
      <c r="E355" s="47" t="s">
        <v>101</v>
      </c>
      <c r="F355" s="47" t="s">
        <v>161</v>
      </c>
      <c r="G355" s="49" t="n">
        <v>22653.95</v>
      </c>
      <c r="H355" s="50" t="n">
        <v>0.05</v>
      </c>
      <c r="I355" s="47" t="s">
        <v>162</v>
      </c>
      <c r="J355" s="48" t="n">
        <v>45753</v>
      </c>
      <c r="K355" s="51" t="str">
        <f aca="false">"Q"&amp;ROUNDUP(MONTH(B355)/3,0)</f>
        <v>Q2</v>
      </c>
      <c r="L355" s="52" t="n">
        <f aca="false">ROUND(G355*H355,2)</f>
        <v>1132.7</v>
      </c>
      <c r="M355" s="52" t="n">
        <f aca="false">IF(AND(C355="Sales",F355="Standard-rated 5%"),L355,0)</f>
        <v>1132.7</v>
      </c>
      <c r="N355" s="52" t="n">
        <f aca="false">IF(F355="Reverse charge (imported services)",L355,0)</f>
        <v>0</v>
      </c>
      <c r="O355" s="52" t="n">
        <f aca="false">IF(C355&lt;&gt;"Purchase",0,IF(OR(I355="N",F355="Blocked input (entertainment)"),0,L355))</f>
        <v>0</v>
      </c>
      <c r="P355" s="52" t="n">
        <f aca="false">IF(C355&lt;&gt;"Purchase",0,L355-O355)</f>
        <v>0</v>
      </c>
      <c r="Q355" s="53" t="n">
        <f aca="false">J355-B355</f>
        <v>0</v>
      </c>
      <c r="R355" s="51" t="str">
        <f aca="false">IF(I355="N","Invalid / missing TRN",IF(F355="Blocked input (entertainment)","Blocked input",IF(Q355&gt;30,"Late posting (&gt;30d)","")))</f>
        <v/>
      </c>
    </row>
    <row r="356" customFormat="false" ht="15" hidden="false" customHeight="false" outlineLevel="0" collapsed="false">
      <c r="A356" s="47" t="s">
        <v>639</v>
      </c>
      <c r="B356" s="48" t="n">
        <v>45754</v>
      </c>
      <c r="C356" s="47" t="s">
        <v>166</v>
      </c>
      <c r="D356" s="47" t="s">
        <v>233</v>
      </c>
      <c r="E356" s="47" t="s">
        <v>104</v>
      </c>
      <c r="F356" s="47" t="s">
        <v>161</v>
      </c>
      <c r="G356" s="49" t="n">
        <v>8433.5</v>
      </c>
      <c r="H356" s="50" t="n">
        <v>0.05</v>
      </c>
      <c r="I356" s="47" t="s">
        <v>162</v>
      </c>
      <c r="J356" s="48" t="n">
        <v>45754</v>
      </c>
      <c r="K356" s="51" t="str">
        <f aca="false">"Q"&amp;ROUNDUP(MONTH(B356)/3,0)</f>
        <v>Q2</v>
      </c>
      <c r="L356" s="52" t="n">
        <f aca="false">ROUND(G356*H356,2)</f>
        <v>421.68</v>
      </c>
      <c r="M356" s="52" t="n">
        <f aca="false">IF(AND(C356="Sales",F356="Standard-rated 5%"),L356,0)</f>
        <v>0</v>
      </c>
      <c r="N356" s="52" t="n">
        <f aca="false">IF(F356="Reverse charge (imported services)",L356,0)</f>
        <v>0</v>
      </c>
      <c r="O356" s="52" t="n">
        <f aca="false">IF(C356&lt;&gt;"Purchase",0,IF(OR(I356="N",F356="Blocked input (entertainment)"),0,L356))</f>
        <v>421.68</v>
      </c>
      <c r="P356" s="52" t="n">
        <f aca="false">IF(C356&lt;&gt;"Purchase",0,L356-O356)</f>
        <v>0</v>
      </c>
      <c r="Q356" s="53" t="n">
        <f aca="false">J356-B356</f>
        <v>0</v>
      </c>
      <c r="R356" s="51" t="str">
        <f aca="false">IF(I356="N","Invalid / missing TRN",IF(F356="Blocked input (entertainment)","Blocked input",IF(Q356&gt;30,"Late posting (&gt;30d)","")))</f>
        <v/>
      </c>
    </row>
    <row r="357" customFormat="false" ht="15" hidden="false" customHeight="false" outlineLevel="0" collapsed="false">
      <c r="A357" s="47" t="s">
        <v>640</v>
      </c>
      <c r="B357" s="48" t="n">
        <v>45754</v>
      </c>
      <c r="C357" s="47" t="s">
        <v>166</v>
      </c>
      <c r="D357" s="47" t="s">
        <v>194</v>
      </c>
      <c r="E357" s="47" t="s">
        <v>100</v>
      </c>
      <c r="F357" s="47" t="s">
        <v>161</v>
      </c>
      <c r="G357" s="49" t="n">
        <v>17204.41</v>
      </c>
      <c r="H357" s="50" t="n">
        <v>0.05</v>
      </c>
      <c r="I357" s="47" t="s">
        <v>162</v>
      </c>
      <c r="J357" s="48" t="n">
        <v>45754</v>
      </c>
      <c r="K357" s="51" t="str">
        <f aca="false">"Q"&amp;ROUNDUP(MONTH(B357)/3,0)</f>
        <v>Q2</v>
      </c>
      <c r="L357" s="52" t="n">
        <f aca="false">ROUND(G357*H357,2)</f>
        <v>860.22</v>
      </c>
      <c r="M357" s="52" t="n">
        <f aca="false">IF(AND(C357="Sales",F357="Standard-rated 5%"),L357,0)</f>
        <v>0</v>
      </c>
      <c r="N357" s="52" t="n">
        <f aca="false">IF(F357="Reverse charge (imported services)",L357,0)</f>
        <v>0</v>
      </c>
      <c r="O357" s="52" t="n">
        <f aca="false">IF(C357&lt;&gt;"Purchase",0,IF(OR(I357="N",F357="Blocked input (entertainment)"),0,L357))</f>
        <v>860.22</v>
      </c>
      <c r="P357" s="52" t="n">
        <f aca="false">IF(C357&lt;&gt;"Purchase",0,L357-O357)</f>
        <v>0</v>
      </c>
      <c r="Q357" s="53" t="n">
        <f aca="false">J357-B357</f>
        <v>0</v>
      </c>
      <c r="R357" s="51" t="str">
        <f aca="false">IF(I357="N","Invalid / missing TRN",IF(F357="Blocked input (entertainment)","Blocked input",IF(Q357&gt;30,"Late posting (&gt;30d)","")))</f>
        <v/>
      </c>
    </row>
    <row r="358" customFormat="false" ht="15" hidden="false" customHeight="false" outlineLevel="0" collapsed="false">
      <c r="A358" s="47" t="s">
        <v>641</v>
      </c>
      <c r="B358" s="48" t="n">
        <v>45754</v>
      </c>
      <c r="C358" s="47" t="s">
        <v>159</v>
      </c>
      <c r="D358" s="47" t="s">
        <v>300</v>
      </c>
      <c r="E358" s="47" t="s">
        <v>104</v>
      </c>
      <c r="F358" s="47" t="s">
        <v>278</v>
      </c>
      <c r="G358" s="49" t="n">
        <v>22866.98</v>
      </c>
      <c r="H358" s="50" t="n">
        <v>0</v>
      </c>
      <c r="I358" s="47" t="s">
        <v>162</v>
      </c>
      <c r="J358" s="48" t="n">
        <v>45754</v>
      </c>
      <c r="K358" s="51" t="str">
        <f aca="false">"Q"&amp;ROUNDUP(MONTH(B358)/3,0)</f>
        <v>Q2</v>
      </c>
      <c r="L358" s="52" t="n">
        <f aca="false">ROUND(G358*H358,2)</f>
        <v>0</v>
      </c>
      <c r="M358" s="52" t="n">
        <f aca="false">IF(AND(C358="Sales",F358="Standard-rated 5%"),L358,0)</f>
        <v>0</v>
      </c>
      <c r="N358" s="52" t="n">
        <f aca="false">IF(F358="Reverse charge (imported services)",L358,0)</f>
        <v>0</v>
      </c>
      <c r="O358" s="52" t="n">
        <f aca="false">IF(C358&lt;&gt;"Purchase",0,IF(OR(I358="N",F358="Blocked input (entertainment)"),0,L358))</f>
        <v>0</v>
      </c>
      <c r="P358" s="52" t="n">
        <f aca="false">IF(C358&lt;&gt;"Purchase",0,L358-O358)</f>
        <v>0</v>
      </c>
      <c r="Q358" s="53" t="n">
        <f aca="false">J358-B358</f>
        <v>0</v>
      </c>
      <c r="R358" s="51" t="str">
        <f aca="false">IF(I358="N","Invalid / missing TRN",IF(F358="Blocked input (entertainment)","Blocked input",IF(Q358&gt;30,"Late posting (&gt;30d)","")))</f>
        <v/>
      </c>
    </row>
    <row r="359" customFormat="false" ht="15" hidden="false" customHeight="false" outlineLevel="0" collapsed="false">
      <c r="A359" s="47" t="s">
        <v>642</v>
      </c>
      <c r="B359" s="48" t="n">
        <v>45755</v>
      </c>
      <c r="C359" s="47" t="s">
        <v>166</v>
      </c>
      <c r="D359" s="47" t="s">
        <v>643</v>
      </c>
      <c r="E359" s="47" t="s">
        <v>100</v>
      </c>
      <c r="F359" s="47" t="s">
        <v>268</v>
      </c>
      <c r="G359" s="49" t="n">
        <v>26752.58</v>
      </c>
      <c r="H359" s="50" t="n">
        <v>0</v>
      </c>
      <c r="I359" s="47" t="s">
        <v>162</v>
      </c>
      <c r="J359" s="48" t="n">
        <v>45755</v>
      </c>
      <c r="K359" s="51" t="str">
        <f aca="false">"Q"&amp;ROUNDUP(MONTH(B359)/3,0)</f>
        <v>Q2</v>
      </c>
      <c r="L359" s="52" t="n">
        <f aca="false">ROUND(G359*H359,2)</f>
        <v>0</v>
      </c>
      <c r="M359" s="52" t="n">
        <f aca="false">IF(AND(C359="Sales",F359="Standard-rated 5%"),L359,0)</f>
        <v>0</v>
      </c>
      <c r="N359" s="52" t="n">
        <f aca="false">IF(F359="Reverse charge (imported services)",L359,0)</f>
        <v>0</v>
      </c>
      <c r="O359" s="52" t="n">
        <f aca="false">IF(C359&lt;&gt;"Purchase",0,IF(OR(I359="N",F359="Blocked input (entertainment)"),0,L359))</f>
        <v>0</v>
      </c>
      <c r="P359" s="52" t="n">
        <f aca="false">IF(C359&lt;&gt;"Purchase",0,L359-O359)</f>
        <v>0</v>
      </c>
      <c r="Q359" s="53" t="n">
        <f aca="false">J359-B359</f>
        <v>0</v>
      </c>
      <c r="R359" s="51" t="str">
        <f aca="false">IF(I359="N","Invalid / missing TRN",IF(F359="Blocked input (entertainment)","Blocked input",IF(Q359&gt;30,"Late posting (&gt;30d)","")))</f>
        <v/>
      </c>
    </row>
    <row r="360" customFormat="false" ht="15" hidden="false" customHeight="false" outlineLevel="0" collapsed="false">
      <c r="A360" s="47" t="s">
        <v>644</v>
      </c>
      <c r="B360" s="48" t="n">
        <v>45755</v>
      </c>
      <c r="C360" s="47" t="s">
        <v>166</v>
      </c>
      <c r="D360" s="47" t="s">
        <v>408</v>
      </c>
      <c r="E360" s="47" t="s">
        <v>102</v>
      </c>
      <c r="F360" s="47" t="s">
        <v>161</v>
      </c>
      <c r="G360" s="49" t="n">
        <v>19609.42</v>
      </c>
      <c r="H360" s="50" t="n">
        <v>0.05</v>
      </c>
      <c r="I360" s="47" t="s">
        <v>162</v>
      </c>
      <c r="J360" s="48" t="n">
        <v>45755</v>
      </c>
      <c r="K360" s="51" t="str">
        <f aca="false">"Q"&amp;ROUNDUP(MONTH(B360)/3,0)</f>
        <v>Q2</v>
      </c>
      <c r="L360" s="52" t="n">
        <f aca="false">ROUND(G360*H360,2)</f>
        <v>980.47</v>
      </c>
      <c r="M360" s="52" t="n">
        <f aca="false">IF(AND(C360="Sales",F360="Standard-rated 5%"),L360,0)</f>
        <v>0</v>
      </c>
      <c r="N360" s="52" t="n">
        <f aca="false">IF(F360="Reverse charge (imported services)",L360,0)</f>
        <v>0</v>
      </c>
      <c r="O360" s="52" t="n">
        <f aca="false">IF(C360&lt;&gt;"Purchase",0,IF(OR(I360="N",F360="Blocked input (entertainment)"),0,L360))</f>
        <v>980.47</v>
      </c>
      <c r="P360" s="52" t="n">
        <f aca="false">IF(C360&lt;&gt;"Purchase",0,L360-O360)</f>
        <v>0</v>
      </c>
      <c r="Q360" s="53" t="n">
        <f aca="false">J360-B360</f>
        <v>0</v>
      </c>
      <c r="R360" s="51" t="str">
        <f aca="false">IF(I360="N","Invalid / missing TRN",IF(F360="Blocked input (entertainment)","Blocked input",IF(Q360&gt;30,"Late posting (&gt;30d)","")))</f>
        <v/>
      </c>
    </row>
    <row r="361" customFormat="false" ht="15" hidden="false" customHeight="false" outlineLevel="0" collapsed="false">
      <c r="A361" s="47" t="s">
        <v>645</v>
      </c>
      <c r="B361" s="48" t="n">
        <v>45755</v>
      </c>
      <c r="C361" s="47" t="s">
        <v>166</v>
      </c>
      <c r="D361" s="47" t="s">
        <v>557</v>
      </c>
      <c r="E361" s="47" t="s">
        <v>100</v>
      </c>
      <c r="F361" s="47" t="s">
        <v>173</v>
      </c>
      <c r="G361" s="49" t="n">
        <v>98915.28</v>
      </c>
      <c r="H361" s="50" t="n">
        <v>0.05</v>
      </c>
      <c r="I361" s="47" t="s">
        <v>162</v>
      </c>
      <c r="J361" s="48" t="n">
        <v>45760</v>
      </c>
      <c r="K361" s="51" t="str">
        <f aca="false">"Q"&amp;ROUNDUP(MONTH(B361)/3,0)</f>
        <v>Q2</v>
      </c>
      <c r="L361" s="52" t="n">
        <f aca="false">ROUND(G361*H361,2)</f>
        <v>4945.76</v>
      </c>
      <c r="M361" s="52" t="n">
        <f aca="false">IF(AND(C361="Sales",F361="Standard-rated 5%"),L361,0)</f>
        <v>0</v>
      </c>
      <c r="N361" s="52" t="n">
        <f aca="false">IF(F361="Reverse charge (imported services)",L361,0)</f>
        <v>4945.76</v>
      </c>
      <c r="O361" s="52" t="n">
        <f aca="false">IF(C361&lt;&gt;"Purchase",0,IF(OR(I361="N",F361="Blocked input (entertainment)"),0,L361))</f>
        <v>4945.76</v>
      </c>
      <c r="P361" s="52" t="n">
        <f aca="false">IF(C361&lt;&gt;"Purchase",0,L361-O361)</f>
        <v>0</v>
      </c>
      <c r="Q361" s="53" t="n">
        <f aca="false">J361-B361</f>
        <v>5</v>
      </c>
      <c r="R361" s="51" t="str">
        <f aca="false">IF(I361="N","Invalid / missing TRN",IF(F361="Blocked input (entertainment)","Blocked input",IF(Q361&gt;30,"Late posting (&gt;30d)","")))</f>
        <v/>
      </c>
    </row>
    <row r="362" customFormat="false" ht="15" hidden="false" customHeight="false" outlineLevel="0" collapsed="false">
      <c r="A362" s="47" t="s">
        <v>646</v>
      </c>
      <c r="B362" s="48" t="n">
        <v>45755</v>
      </c>
      <c r="C362" s="47" t="s">
        <v>159</v>
      </c>
      <c r="D362" s="47" t="s">
        <v>239</v>
      </c>
      <c r="E362" s="47" t="s">
        <v>100</v>
      </c>
      <c r="F362" s="47" t="s">
        <v>161</v>
      </c>
      <c r="G362" s="49" t="n">
        <v>74705.48</v>
      </c>
      <c r="H362" s="50" t="n">
        <v>0.05</v>
      </c>
      <c r="I362" s="47" t="s">
        <v>162</v>
      </c>
      <c r="J362" s="48" t="n">
        <v>45755</v>
      </c>
      <c r="K362" s="51" t="str">
        <f aca="false">"Q"&amp;ROUNDUP(MONTH(B362)/3,0)</f>
        <v>Q2</v>
      </c>
      <c r="L362" s="52" t="n">
        <f aca="false">ROUND(G362*H362,2)</f>
        <v>3735.27</v>
      </c>
      <c r="M362" s="52" t="n">
        <f aca="false">IF(AND(C362="Sales",F362="Standard-rated 5%"),L362,0)</f>
        <v>3735.27</v>
      </c>
      <c r="N362" s="52" t="n">
        <f aca="false">IF(F362="Reverse charge (imported services)",L362,0)</f>
        <v>0</v>
      </c>
      <c r="O362" s="52" t="n">
        <f aca="false">IF(C362&lt;&gt;"Purchase",0,IF(OR(I362="N",F362="Blocked input (entertainment)"),0,L362))</f>
        <v>0</v>
      </c>
      <c r="P362" s="52" t="n">
        <f aca="false">IF(C362&lt;&gt;"Purchase",0,L362-O362)</f>
        <v>0</v>
      </c>
      <c r="Q362" s="53" t="n">
        <f aca="false">J362-B362</f>
        <v>0</v>
      </c>
      <c r="R362" s="51" t="str">
        <f aca="false">IF(I362="N","Invalid / missing TRN",IF(F362="Blocked input (entertainment)","Blocked input",IF(Q362&gt;30,"Late posting (&gt;30d)","")))</f>
        <v/>
      </c>
    </row>
    <row r="363" customFormat="false" ht="15" hidden="false" customHeight="false" outlineLevel="0" collapsed="false">
      <c r="A363" s="47" t="s">
        <v>647</v>
      </c>
      <c r="B363" s="48" t="n">
        <v>45755</v>
      </c>
      <c r="C363" s="47" t="s">
        <v>159</v>
      </c>
      <c r="D363" s="47" t="s">
        <v>239</v>
      </c>
      <c r="E363" s="47" t="s">
        <v>102</v>
      </c>
      <c r="F363" s="47" t="s">
        <v>161</v>
      </c>
      <c r="G363" s="49" t="n">
        <v>63928.75</v>
      </c>
      <c r="H363" s="50" t="n">
        <v>0.05</v>
      </c>
      <c r="I363" s="47" t="s">
        <v>162</v>
      </c>
      <c r="J363" s="48" t="n">
        <v>45755</v>
      </c>
      <c r="K363" s="51" t="str">
        <f aca="false">"Q"&amp;ROUNDUP(MONTH(B363)/3,0)</f>
        <v>Q2</v>
      </c>
      <c r="L363" s="52" t="n">
        <f aca="false">ROUND(G363*H363,2)</f>
        <v>3196.44</v>
      </c>
      <c r="M363" s="52" t="n">
        <f aca="false">IF(AND(C363="Sales",F363="Standard-rated 5%"),L363,0)</f>
        <v>3196.44</v>
      </c>
      <c r="N363" s="52" t="n">
        <f aca="false">IF(F363="Reverse charge (imported services)",L363,0)</f>
        <v>0</v>
      </c>
      <c r="O363" s="52" t="n">
        <f aca="false">IF(C363&lt;&gt;"Purchase",0,IF(OR(I363="N",F363="Blocked input (entertainment)"),0,L363))</f>
        <v>0</v>
      </c>
      <c r="P363" s="52" t="n">
        <f aca="false">IF(C363&lt;&gt;"Purchase",0,L363-O363)</f>
        <v>0</v>
      </c>
      <c r="Q363" s="53" t="n">
        <f aca="false">J363-B363</f>
        <v>0</v>
      </c>
      <c r="R363" s="51" t="str">
        <f aca="false">IF(I363="N","Invalid / missing TRN",IF(F363="Blocked input (entertainment)","Blocked input",IF(Q363&gt;30,"Late posting (&gt;30d)","")))</f>
        <v/>
      </c>
    </row>
    <row r="364" customFormat="false" ht="15" hidden="false" customHeight="false" outlineLevel="0" collapsed="false">
      <c r="A364" s="47" t="s">
        <v>648</v>
      </c>
      <c r="B364" s="48" t="n">
        <v>45756</v>
      </c>
      <c r="C364" s="47" t="s">
        <v>166</v>
      </c>
      <c r="D364" s="47" t="s">
        <v>649</v>
      </c>
      <c r="E364" s="47" t="s">
        <v>101</v>
      </c>
      <c r="F364" s="47" t="s">
        <v>161</v>
      </c>
      <c r="G364" s="49" t="n">
        <v>58702.16</v>
      </c>
      <c r="H364" s="50" t="n">
        <v>0.05</v>
      </c>
      <c r="I364" s="47" t="s">
        <v>162</v>
      </c>
      <c r="J364" s="48" t="n">
        <v>45756</v>
      </c>
      <c r="K364" s="51" t="str">
        <f aca="false">"Q"&amp;ROUNDUP(MONTH(B364)/3,0)</f>
        <v>Q2</v>
      </c>
      <c r="L364" s="52" t="n">
        <f aca="false">ROUND(G364*H364,2)</f>
        <v>2935.11</v>
      </c>
      <c r="M364" s="52" t="n">
        <f aca="false">IF(AND(C364="Sales",F364="Standard-rated 5%"),L364,0)</f>
        <v>0</v>
      </c>
      <c r="N364" s="52" t="n">
        <f aca="false">IF(F364="Reverse charge (imported services)",L364,0)</f>
        <v>0</v>
      </c>
      <c r="O364" s="52" t="n">
        <f aca="false">IF(C364&lt;&gt;"Purchase",0,IF(OR(I364="N",F364="Blocked input (entertainment)"),0,L364))</f>
        <v>2935.11</v>
      </c>
      <c r="P364" s="52" t="n">
        <f aca="false">IF(C364&lt;&gt;"Purchase",0,L364-O364)</f>
        <v>0</v>
      </c>
      <c r="Q364" s="53" t="n">
        <f aca="false">J364-B364</f>
        <v>0</v>
      </c>
      <c r="R364" s="51" t="str">
        <f aca="false">IF(I364="N","Invalid / missing TRN",IF(F364="Blocked input (entertainment)","Blocked input",IF(Q364&gt;30,"Late posting (&gt;30d)","")))</f>
        <v/>
      </c>
    </row>
    <row r="365" customFormat="false" ht="15" hidden="false" customHeight="false" outlineLevel="0" collapsed="false">
      <c r="A365" s="47" t="s">
        <v>650</v>
      </c>
      <c r="B365" s="48" t="n">
        <v>45756</v>
      </c>
      <c r="C365" s="47" t="s">
        <v>159</v>
      </c>
      <c r="D365" s="47" t="s">
        <v>333</v>
      </c>
      <c r="E365" s="47" t="s">
        <v>100</v>
      </c>
      <c r="F365" s="47" t="s">
        <v>278</v>
      </c>
      <c r="G365" s="49" t="n">
        <v>37913.3</v>
      </c>
      <c r="H365" s="50" t="n">
        <v>0</v>
      </c>
      <c r="I365" s="47" t="s">
        <v>162</v>
      </c>
      <c r="J365" s="48" t="n">
        <v>45756</v>
      </c>
      <c r="K365" s="51" t="str">
        <f aca="false">"Q"&amp;ROUNDUP(MONTH(B365)/3,0)</f>
        <v>Q2</v>
      </c>
      <c r="L365" s="52" t="n">
        <f aca="false">ROUND(G365*H365,2)</f>
        <v>0</v>
      </c>
      <c r="M365" s="52" t="n">
        <f aca="false">IF(AND(C365="Sales",F365="Standard-rated 5%"),L365,0)</f>
        <v>0</v>
      </c>
      <c r="N365" s="52" t="n">
        <f aca="false">IF(F365="Reverse charge (imported services)",L365,0)</f>
        <v>0</v>
      </c>
      <c r="O365" s="52" t="n">
        <f aca="false">IF(C365&lt;&gt;"Purchase",0,IF(OR(I365="N",F365="Blocked input (entertainment)"),0,L365))</f>
        <v>0</v>
      </c>
      <c r="P365" s="52" t="n">
        <f aca="false">IF(C365&lt;&gt;"Purchase",0,L365-O365)</f>
        <v>0</v>
      </c>
      <c r="Q365" s="53" t="n">
        <f aca="false">J365-B365</f>
        <v>0</v>
      </c>
      <c r="R365" s="51" t="str">
        <f aca="false">IF(I365="N","Invalid / missing TRN",IF(F365="Blocked input (entertainment)","Blocked input",IF(Q365&gt;30,"Late posting (&gt;30d)","")))</f>
        <v/>
      </c>
    </row>
    <row r="366" customFormat="false" ht="15" hidden="false" customHeight="false" outlineLevel="0" collapsed="false">
      <c r="A366" s="47" t="s">
        <v>651</v>
      </c>
      <c r="B366" s="48" t="n">
        <v>45756</v>
      </c>
      <c r="C366" s="47" t="s">
        <v>159</v>
      </c>
      <c r="D366" s="47" t="s">
        <v>300</v>
      </c>
      <c r="E366" s="47" t="s">
        <v>102</v>
      </c>
      <c r="F366" s="47" t="s">
        <v>161</v>
      </c>
      <c r="G366" s="49" t="n">
        <v>32821.64</v>
      </c>
      <c r="H366" s="50" t="n">
        <v>0.05</v>
      </c>
      <c r="I366" s="47" t="s">
        <v>162</v>
      </c>
      <c r="J366" s="48" t="n">
        <v>45761</v>
      </c>
      <c r="K366" s="51" t="str">
        <f aca="false">"Q"&amp;ROUNDUP(MONTH(B366)/3,0)</f>
        <v>Q2</v>
      </c>
      <c r="L366" s="52" t="n">
        <f aca="false">ROUND(G366*H366,2)</f>
        <v>1641.08</v>
      </c>
      <c r="M366" s="52" t="n">
        <f aca="false">IF(AND(C366="Sales",F366="Standard-rated 5%"),L366,0)</f>
        <v>1641.08</v>
      </c>
      <c r="N366" s="52" t="n">
        <f aca="false">IF(F366="Reverse charge (imported services)",L366,0)</f>
        <v>0</v>
      </c>
      <c r="O366" s="52" t="n">
        <f aca="false">IF(C366&lt;&gt;"Purchase",0,IF(OR(I366="N",F366="Blocked input (entertainment)"),0,L366))</f>
        <v>0</v>
      </c>
      <c r="P366" s="52" t="n">
        <f aca="false">IF(C366&lt;&gt;"Purchase",0,L366-O366)</f>
        <v>0</v>
      </c>
      <c r="Q366" s="53" t="n">
        <f aca="false">J366-B366</f>
        <v>5</v>
      </c>
      <c r="R366" s="51" t="str">
        <f aca="false">IF(I366="N","Invalid / missing TRN",IF(F366="Blocked input (entertainment)","Blocked input",IF(Q366&gt;30,"Late posting (&gt;30d)","")))</f>
        <v/>
      </c>
    </row>
    <row r="367" customFormat="false" ht="15" hidden="false" customHeight="false" outlineLevel="0" collapsed="false">
      <c r="A367" s="47" t="s">
        <v>652</v>
      </c>
      <c r="B367" s="48" t="n">
        <v>45757</v>
      </c>
      <c r="C367" s="47" t="s">
        <v>166</v>
      </c>
      <c r="D367" s="47" t="s">
        <v>348</v>
      </c>
      <c r="E367" s="47" t="s">
        <v>101</v>
      </c>
      <c r="F367" s="47" t="s">
        <v>161</v>
      </c>
      <c r="G367" s="49" t="n">
        <v>23755.07</v>
      </c>
      <c r="H367" s="50" t="n">
        <v>0.05</v>
      </c>
      <c r="I367" s="47" t="s">
        <v>162</v>
      </c>
      <c r="J367" s="48" t="n">
        <v>45757</v>
      </c>
      <c r="K367" s="51" t="str">
        <f aca="false">"Q"&amp;ROUNDUP(MONTH(B367)/3,0)</f>
        <v>Q2</v>
      </c>
      <c r="L367" s="52" t="n">
        <f aca="false">ROUND(G367*H367,2)</f>
        <v>1187.75</v>
      </c>
      <c r="M367" s="52" t="n">
        <f aca="false">IF(AND(C367="Sales",F367="Standard-rated 5%"),L367,0)</f>
        <v>0</v>
      </c>
      <c r="N367" s="52" t="n">
        <f aca="false">IF(F367="Reverse charge (imported services)",L367,0)</f>
        <v>0</v>
      </c>
      <c r="O367" s="52" t="n">
        <f aca="false">IF(C367&lt;&gt;"Purchase",0,IF(OR(I367="N",F367="Blocked input (entertainment)"),0,L367))</f>
        <v>1187.75</v>
      </c>
      <c r="P367" s="52" t="n">
        <f aca="false">IF(C367&lt;&gt;"Purchase",0,L367-O367)</f>
        <v>0</v>
      </c>
      <c r="Q367" s="53" t="n">
        <f aca="false">J367-B367</f>
        <v>0</v>
      </c>
      <c r="R367" s="51" t="str">
        <f aca="false">IF(I367="N","Invalid / missing TRN",IF(F367="Blocked input (entertainment)","Blocked input",IF(Q367&gt;30,"Late posting (&gt;30d)","")))</f>
        <v/>
      </c>
    </row>
    <row r="368" customFormat="false" ht="15" hidden="false" customHeight="false" outlineLevel="0" collapsed="false">
      <c r="A368" s="47" t="s">
        <v>653</v>
      </c>
      <c r="B368" s="48" t="n">
        <v>45757</v>
      </c>
      <c r="C368" s="47" t="s">
        <v>159</v>
      </c>
      <c r="D368" s="47" t="s">
        <v>239</v>
      </c>
      <c r="E368" s="47" t="s">
        <v>101</v>
      </c>
      <c r="F368" s="47" t="s">
        <v>161</v>
      </c>
      <c r="G368" s="49" t="n">
        <v>51691.84</v>
      </c>
      <c r="H368" s="50" t="n">
        <v>0.05</v>
      </c>
      <c r="I368" s="47" t="s">
        <v>162</v>
      </c>
      <c r="J368" s="48" t="n">
        <v>45757</v>
      </c>
      <c r="K368" s="51" t="str">
        <f aca="false">"Q"&amp;ROUNDUP(MONTH(B368)/3,0)</f>
        <v>Q2</v>
      </c>
      <c r="L368" s="52" t="n">
        <f aca="false">ROUND(G368*H368,2)</f>
        <v>2584.59</v>
      </c>
      <c r="M368" s="52" t="n">
        <f aca="false">IF(AND(C368="Sales",F368="Standard-rated 5%"),L368,0)</f>
        <v>2584.59</v>
      </c>
      <c r="N368" s="52" t="n">
        <f aca="false">IF(F368="Reverse charge (imported services)",L368,0)</f>
        <v>0</v>
      </c>
      <c r="O368" s="52" t="n">
        <f aca="false">IF(C368&lt;&gt;"Purchase",0,IF(OR(I368="N",F368="Blocked input (entertainment)"),0,L368))</f>
        <v>0</v>
      </c>
      <c r="P368" s="52" t="n">
        <f aca="false">IF(C368&lt;&gt;"Purchase",0,L368-O368)</f>
        <v>0</v>
      </c>
      <c r="Q368" s="53" t="n">
        <f aca="false">J368-B368</f>
        <v>0</v>
      </c>
      <c r="R368" s="51" t="str">
        <f aca="false">IF(I368="N","Invalid / missing TRN",IF(F368="Blocked input (entertainment)","Blocked input",IF(Q368&gt;30,"Late posting (&gt;30d)","")))</f>
        <v/>
      </c>
    </row>
    <row r="369" customFormat="false" ht="15" hidden="false" customHeight="false" outlineLevel="0" collapsed="false">
      <c r="A369" s="47" t="s">
        <v>654</v>
      </c>
      <c r="B369" s="48" t="n">
        <v>45757</v>
      </c>
      <c r="C369" s="47" t="s">
        <v>159</v>
      </c>
      <c r="D369" s="47" t="s">
        <v>204</v>
      </c>
      <c r="E369" s="47" t="s">
        <v>100</v>
      </c>
      <c r="F369" s="47" t="s">
        <v>161</v>
      </c>
      <c r="G369" s="49" t="n">
        <v>76267.29</v>
      </c>
      <c r="H369" s="50" t="n">
        <v>0.05</v>
      </c>
      <c r="I369" s="47" t="s">
        <v>162</v>
      </c>
      <c r="J369" s="48" t="n">
        <v>45757</v>
      </c>
      <c r="K369" s="51" t="str">
        <f aca="false">"Q"&amp;ROUNDUP(MONTH(B369)/3,0)</f>
        <v>Q2</v>
      </c>
      <c r="L369" s="52" t="n">
        <f aca="false">ROUND(G369*H369,2)</f>
        <v>3813.36</v>
      </c>
      <c r="M369" s="52" t="n">
        <f aca="false">IF(AND(C369="Sales",F369="Standard-rated 5%"),L369,0)</f>
        <v>3813.36</v>
      </c>
      <c r="N369" s="52" t="n">
        <f aca="false">IF(F369="Reverse charge (imported services)",L369,0)</f>
        <v>0</v>
      </c>
      <c r="O369" s="52" t="n">
        <f aca="false">IF(C369&lt;&gt;"Purchase",0,IF(OR(I369="N",F369="Blocked input (entertainment)"),0,L369))</f>
        <v>0</v>
      </c>
      <c r="P369" s="52" t="n">
        <f aca="false">IF(C369&lt;&gt;"Purchase",0,L369-O369)</f>
        <v>0</v>
      </c>
      <c r="Q369" s="53" t="n">
        <f aca="false">J369-B369</f>
        <v>0</v>
      </c>
      <c r="R369" s="51" t="str">
        <f aca="false">IF(I369="N","Invalid / missing TRN",IF(F369="Blocked input (entertainment)","Blocked input",IF(Q369&gt;30,"Late posting (&gt;30d)","")))</f>
        <v/>
      </c>
    </row>
    <row r="370" customFormat="false" ht="15" hidden="false" customHeight="false" outlineLevel="0" collapsed="false">
      <c r="A370" s="47" t="s">
        <v>655</v>
      </c>
      <c r="B370" s="48" t="n">
        <v>45757</v>
      </c>
      <c r="C370" s="47" t="s">
        <v>159</v>
      </c>
      <c r="D370" s="47" t="s">
        <v>179</v>
      </c>
      <c r="E370" s="47" t="s">
        <v>100</v>
      </c>
      <c r="F370" s="47" t="s">
        <v>161</v>
      </c>
      <c r="G370" s="49" t="n">
        <v>52045.56</v>
      </c>
      <c r="H370" s="50" t="n">
        <v>0.05</v>
      </c>
      <c r="I370" s="47" t="s">
        <v>162</v>
      </c>
      <c r="J370" s="48" t="n">
        <v>45757</v>
      </c>
      <c r="K370" s="51" t="str">
        <f aca="false">"Q"&amp;ROUNDUP(MONTH(B370)/3,0)</f>
        <v>Q2</v>
      </c>
      <c r="L370" s="52" t="n">
        <f aca="false">ROUND(G370*H370,2)</f>
        <v>2602.28</v>
      </c>
      <c r="M370" s="52" t="n">
        <f aca="false">IF(AND(C370="Sales",F370="Standard-rated 5%"),L370,0)</f>
        <v>2602.28</v>
      </c>
      <c r="N370" s="52" t="n">
        <f aca="false">IF(F370="Reverse charge (imported services)",L370,0)</f>
        <v>0</v>
      </c>
      <c r="O370" s="52" t="n">
        <f aca="false">IF(C370&lt;&gt;"Purchase",0,IF(OR(I370="N",F370="Blocked input (entertainment)"),0,L370))</f>
        <v>0</v>
      </c>
      <c r="P370" s="52" t="n">
        <f aca="false">IF(C370&lt;&gt;"Purchase",0,L370-O370)</f>
        <v>0</v>
      </c>
      <c r="Q370" s="53" t="n">
        <f aca="false">J370-B370</f>
        <v>0</v>
      </c>
      <c r="R370" s="51" t="str">
        <f aca="false">IF(I370="N","Invalid / missing TRN",IF(F370="Blocked input (entertainment)","Blocked input",IF(Q370&gt;30,"Late posting (&gt;30d)","")))</f>
        <v/>
      </c>
    </row>
    <row r="371" customFormat="false" ht="15" hidden="false" customHeight="false" outlineLevel="0" collapsed="false">
      <c r="A371" s="47" t="s">
        <v>656</v>
      </c>
      <c r="B371" s="48" t="n">
        <v>45758</v>
      </c>
      <c r="C371" s="47" t="s">
        <v>159</v>
      </c>
      <c r="D371" s="47" t="s">
        <v>583</v>
      </c>
      <c r="E371" s="47" t="s">
        <v>100</v>
      </c>
      <c r="F371" s="47" t="s">
        <v>161</v>
      </c>
      <c r="G371" s="49" t="n">
        <v>37774.9</v>
      </c>
      <c r="H371" s="50" t="n">
        <v>0.05</v>
      </c>
      <c r="I371" s="47" t="s">
        <v>162</v>
      </c>
      <c r="J371" s="48" t="n">
        <v>45760</v>
      </c>
      <c r="K371" s="51" t="str">
        <f aca="false">"Q"&amp;ROUNDUP(MONTH(B371)/3,0)</f>
        <v>Q2</v>
      </c>
      <c r="L371" s="52" t="n">
        <f aca="false">ROUND(G371*H371,2)</f>
        <v>1888.75</v>
      </c>
      <c r="M371" s="52" t="n">
        <f aca="false">IF(AND(C371="Sales",F371="Standard-rated 5%"),L371,0)</f>
        <v>1888.75</v>
      </c>
      <c r="N371" s="52" t="n">
        <f aca="false">IF(F371="Reverse charge (imported services)",L371,0)</f>
        <v>0</v>
      </c>
      <c r="O371" s="52" t="n">
        <f aca="false">IF(C371&lt;&gt;"Purchase",0,IF(OR(I371="N",F371="Blocked input (entertainment)"),0,L371))</f>
        <v>0</v>
      </c>
      <c r="P371" s="52" t="n">
        <f aca="false">IF(C371&lt;&gt;"Purchase",0,L371-O371)</f>
        <v>0</v>
      </c>
      <c r="Q371" s="53" t="n">
        <f aca="false">J371-B371</f>
        <v>2</v>
      </c>
      <c r="R371" s="51" t="str">
        <f aca="false">IF(I371="N","Invalid / missing TRN",IF(F371="Blocked input (entertainment)","Blocked input",IF(Q371&gt;30,"Late posting (&gt;30d)","")))</f>
        <v/>
      </c>
    </row>
    <row r="372" customFormat="false" ht="15" hidden="false" customHeight="false" outlineLevel="0" collapsed="false">
      <c r="A372" s="47" t="s">
        <v>657</v>
      </c>
      <c r="B372" s="48" t="n">
        <v>45758</v>
      </c>
      <c r="C372" s="47" t="s">
        <v>159</v>
      </c>
      <c r="D372" s="47" t="s">
        <v>216</v>
      </c>
      <c r="E372" s="47" t="s">
        <v>100</v>
      </c>
      <c r="F372" s="47" t="s">
        <v>161</v>
      </c>
      <c r="G372" s="49" t="n">
        <v>43504.58</v>
      </c>
      <c r="H372" s="50" t="n">
        <v>0.05</v>
      </c>
      <c r="I372" s="47" t="s">
        <v>162</v>
      </c>
      <c r="J372" s="48" t="n">
        <v>45759</v>
      </c>
      <c r="K372" s="51" t="str">
        <f aca="false">"Q"&amp;ROUNDUP(MONTH(B372)/3,0)</f>
        <v>Q2</v>
      </c>
      <c r="L372" s="52" t="n">
        <f aca="false">ROUND(G372*H372,2)</f>
        <v>2175.23</v>
      </c>
      <c r="M372" s="52" t="n">
        <f aca="false">IF(AND(C372="Sales",F372="Standard-rated 5%"),L372,0)</f>
        <v>2175.23</v>
      </c>
      <c r="N372" s="52" t="n">
        <f aca="false">IF(F372="Reverse charge (imported services)",L372,0)</f>
        <v>0</v>
      </c>
      <c r="O372" s="52" t="n">
        <f aca="false">IF(C372&lt;&gt;"Purchase",0,IF(OR(I372="N",F372="Blocked input (entertainment)"),0,L372))</f>
        <v>0</v>
      </c>
      <c r="P372" s="52" t="n">
        <f aca="false">IF(C372&lt;&gt;"Purchase",0,L372-O372)</f>
        <v>0</v>
      </c>
      <c r="Q372" s="53" t="n">
        <f aca="false">J372-B372</f>
        <v>1</v>
      </c>
      <c r="R372" s="51" t="str">
        <f aca="false">IF(I372="N","Invalid / missing TRN",IF(F372="Blocked input (entertainment)","Blocked input",IF(Q372&gt;30,"Late posting (&gt;30d)","")))</f>
        <v/>
      </c>
    </row>
    <row r="373" customFormat="false" ht="15" hidden="false" customHeight="false" outlineLevel="0" collapsed="false">
      <c r="A373" s="47" t="s">
        <v>658</v>
      </c>
      <c r="B373" s="48" t="n">
        <v>45758</v>
      </c>
      <c r="C373" s="47" t="s">
        <v>159</v>
      </c>
      <c r="D373" s="47" t="s">
        <v>583</v>
      </c>
      <c r="E373" s="47" t="s">
        <v>101</v>
      </c>
      <c r="F373" s="47" t="s">
        <v>161</v>
      </c>
      <c r="G373" s="49" t="n">
        <v>93928.05</v>
      </c>
      <c r="H373" s="50" t="n">
        <v>0.05</v>
      </c>
      <c r="I373" s="47" t="s">
        <v>162</v>
      </c>
      <c r="J373" s="48" t="n">
        <v>45758</v>
      </c>
      <c r="K373" s="51" t="str">
        <f aca="false">"Q"&amp;ROUNDUP(MONTH(B373)/3,0)</f>
        <v>Q2</v>
      </c>
      <c r="L373" s="52" t="n">
        <f aca="false">ROUND(G373*H373,2)</f>
        <v>4696.4</v>
      </c>
      <c r="M373" s="52" t="n">
        <f aca="false">IF(AND(C373="Sales",F373="Standard-rated 5%"),L373,0)</f>
        <v>4696.4</v>
      </c>
      <c r="N373" s="52" t="n">
        <f aca="false">IF(F373="Reverse charge (imported services)",L373,0)</f>
        <v>0</v>
      </c>
      <c r="O373" s="52" t="n">
        <f aca="false">IF(C373&lt;&gt;"Purchase",0,IF(OR(I373="N",F373="Blocked input (entertainment)"),0,L373))</f>
        <v>0</v>
      </c>
      <c r="P373" s="52" t="n">
        <f aca="false">IF(C373&lt;&gt;"Purchase",0,L373-O373)</f>
        <v>0</v>
      </c>
      <c r="Q373" s="53" t="n">
        <f aca="false">J373-B373</f>
        <v>0</v>
      </c>
      <c r="R373" s="51" t="str">
        <f aca="false">IF(I373="N","Invalid / missing TRN",IF(F373="Blocked input (entertainment)","Blocked input",IF(Q373&gt;30,"Late posting (&gt;30d)","")))</f>
        <v/>
      </c>
    </row>
    <row r="374" customFormat="false" ht="15" hidden="false" customHeight="false" outlineLevel="0" collapsed="false">
      <c r="A374" s="47" t="s">
        <v>659</v>
      </c>
      <c r="B374" s="48" t="n">
        <v>45759</v>
      </c>
      <c r="C374" s="47" t="s">
        <v>166</v>
      </c>
      <c r="D374" s="47" t="s">
        <v>326</v>
      </c>
      <c r="E374" s="47" t="s">
        <v>105</v>
      </c>
      <c r="F374" s="47" t="s">
        <v>337</v>
      </c>
      <c r="G374" s="49" t="n">
        <v>15438.86</v>
      </c>
      <c r="H374" s="50" t="n">
        <v>0</v>
      </c>
      <c r="I374" s="47" t="s">
        <v>162</v>
      </c>
      <c r="J374" s="48" t="n">
        <v>45759</v>
      </c>
      <c r="K374" s="51" t="str">
        <f aca="false">"Q"&amp;ROUNDUP(MONTH(B374)/3,0)</f>
        <v>Q2</v>
      </c>
      <c r="L374" s="52" t="n">
        <f aca="false">ROUND(G374*H374,2)</f>
        <v>0</v>
      </c>
      <c r="M374" s="52" t="n">
        <f aca="false">IF(AND(C374="Sales",F374="Standard-rated 5%"),L374,0)</f>
        <v>0</v>
      </c>
      <c r="N374" s="52" t="n">
        <f aca="false">IF(F374="Reverse charge (imported services)",L374,0)</f>
        <v>0</v>
      </c>
      <c r="O374" s="52" t="n">
        <f aca="false">IF(C374&lt;&gt;"Purchase",0,IF(OR(I374="N",F374="Blocked input (entertainment)"),0,L374))</f>
        <v>0</v>
      </c>
      <c r="P374" s="52" t="n">
        <f aca="false">IF(C374&lt;&gt;"Purchase",0,L374-O374)</f>
        <v>0</v>
      </c>
      <c r="Q374" s="53" t="n">
        <f aca="false">J374-B374</f>
        <v>0</v>
      </c>
      <c r="R374" s="51" t="str">
        <f aca="false">IF(I374="N","Invalid / missing TRN",IF(F374="Blocked input (entertainment)","Blocked input",IF(Q374&gt;30,"Late posting (&gt;30d)","")))</f>
        <v/>
      </c>
    </row>
    <row r="375" customFormat="false" ht="15" hidden="false" customHeight="false" outlineLevel="0" collapsed="false">
      <c r="A375" s="47" t="s">
        <v>660</v>
      </c>
      <c r="B375" s="48" t="n">
        <v>45759</v>
      </c>
      <c r="C375" s="47" t="s">
        <v>166</v>
      </c>
      <c r="D375" s="47" t="s">
        <v>514</v>
      </c>
      <c r="E375" s="47" t="s">
        <v>104</v>
      </c>
      <c r="F375" s="47" t="s">
        <v>170</v>
      </c>
      <c r="G375" s="49" t="n">
        <v>33148.6</v>
      </c>
      <c r="H375" s="50" t="n">
        <v>0.05</v>
      </c>
      <c r="I375" s="47" t="s">
        <v>162</v>
      </c>
      <c r="J375" s="48" t="n">
        <v>45759</v>
      </c>
      <c r="K375" s="51" t="str">
        <f aca="false">"Q"&amp;ROUNDUP(MONTH(B375)/3,0)</f>
        <v>Q2</v>
      </c>
      <c r="L375" s="52" t="n">
        <f aca="false">ROUND(G375*H375,2)</f>
        <v>1657.43</v>
      </c>
      <c r="M375" s="52" t="n">
        <f aca="false">IF(AND(C375="Sales",F375="Standard-rated 5%"),L375,0)</f>
        <v>0</v>
      </c>
      <c r="N375" s="52" t="n">
        <f aca="false">IF(F375="Reverse charge (imported services)",L375,0)</f>
        <v>0</v>
      </c>
      <c r="O375" s="52" t="n">
        <f aca="false">IF(C375&lt;&gt;"Purchase",0,IF(OR(I375="N",F375="Blocked input (entertainment)"),0,L375))</f>
        <v>0</v>
      </c>
      <c r="P375" s="52" t="n">
        <f aca="false">IF(C375&lt;&gt;"Purchase",0,L375-O375)</f>
        <v>1657.43</v>
      </c>
      <c r="Q375" s="53" t="n">
        <f aca="false">J375-B375</f>
        <v>0</v>
      </c>
      <c r="R375" s="51" t="str">
        <f aca="false">IF(I375="N","Invalid / missing TRN",IF(F375="Blocked input (entertainment)","Blocked input",IF(Q375&gt;30,"Late posting (&gt;30d)","")))</f>
        <v>Blocked input</v>
      </c>
    </row>
    <row r="376" customFormat="false" ht="15" hidden="false" customHeight="false" outlineLevel="0" collapsed="false">
      <c r="A376" s="47" t="s">
        <v>661</v>
      </c>
      <c r="B376" s="48" t="n">
        <v>45759</v>
      </c>
      <c r="C376" s="47" t="s">
        <v>159</v>
      </c>
      <c r="D376" s="47" t="s">
        <v>361</v>
      </c>
      <c r="E376" s="47" t="s">
        <v>101</v>
      </c>
      <c r="F376" s="47" t="s">
        <v>161</v>
      </c>
      <c r="G376" s="49" t="n">
        <v>61802.4</v>
      </c>
      <c r="H376" s="50" t="n">
        <v>0.05</v>
      </c>
      <c r="I376" s="47" t="s">
        <v>162</v>
      </c>
      <c r="J376" s="48" t="n">
        <v>45759</v>
      </c>
      <c r="K376" s="51" t="str">
        <f aca="false">"Q"&amp;ROUNDUP(MONTH(B376)/3,0)</f>
        <v>Q2</v>
      </c>
      <c r="L376" s="52" t="n">
        <f aca="false">ROUND(G376*H376,2)</f>
        <v>3090.12</v>
      </c>
      <c r="M376" s="52" t="n">
        <f aca="false">IF(AND(C376="Sales",F376="Standard-rated 5%"),L376,0)</f>
        <v>3090.12</v>
      </c>
      <c r="N376" s="52" t="n">
        <f aca="false">IF(F376="Reverse charge (imported services)",L376,0)</f>
        <v>0</v>
      </c>
      <c r="O376" s="52" t="n">
        <f aca="false">IF(C376&lt;&gt;"Purchase",0,IF(OR(I376="N",F376="Blocked input (entertainment)"),0,L376))</f>
        <v>0</v>
      </c>
      <c r="P376" s="52" t="n">
        <f aca="false">IF(C376&lt;&gt;"Purchase",0,L376-O376)</f>
        <v>0</v>
      </c>
      <c r="Q376" s="53" t="n">
        <f aca="false">J376-B376</f>
        <v>0</v>
      </c>
      <c r="R376" s="51" t="str">
        <f aca="false">IF(I376="N","Invalid / missing TRN",IF(F376="Blocked input (entertainment)","Blocked input",IF(Q376&gt;30,"Late posting (&gt;30d)","")))</f>
        <v/>
      </c>
    </row>
    <row r="377" customFormat="false" ht="15" hidden="false" customHeight="false" outlineLevel="0" collapsed="false">
      <c r="A377" s="47" t="s">
        <v>662</v>
      </c>
      <c r="B377" s="48" t="n">
        <v>45759</v>
      </c>
      <c r="C377" s="47" t="s">
        <v>159</v>
      </c>
      <c r="D377" s="47" t="s">
        <v>300</v>
      </c>
      <c r="E377" s="47" t="s">
        <v>100</v>
      </c>
      <c r="F377" s="47" t="s">
        <v>161</v>
      </c>
      <c r="G377" s="49" t="n">
        <v>7486.62</v>
      </c>
      <c r="H377" s="50" t="n">
        <v>0.05</v>
      </c>
      <c r="I377" s="47" t="s">
        <v>162</v>
      </c>
      <c r="J377" s="48" t="n">
        <v>45759</v>
      </c>
      <c r="K377" s="51" t="str">
        <f aca="false">"Q"&amp;ROUNDUP(MONTH(B377)/3,0)</f>
        <v>Q2</v>
      </c>
      <c r="L377" s="52" t="n">
        <f aca="false">ROUND(G377*H377,2)</f>
        <v>374.33</v>
      </c>
      <c r="M377" s="52" t="n">
        <f aca="false">IF(AND(C377="Sales",F377="Standard-rated 5%"),L377,0)</f>
        <v>374.33</v>
      </c>
      <c r="N377" s="52" t="n">
        <f aca="false">IF(F377="Reverse charge (imported services)",L377,0)</f>
        <v>0</v>
      </c>
      <c r="O377" s="52" t="n">
        <f aca="false">IF(C377&lt;&gt;"Purchase",0,IF(OR(I377="N",F377="Blocked input (entertainment)"),0,L377))</f>
        <v>0</v>
      </c>
      <c r="P377" s="52" t="n">
        <f aca="false">IF(C377&lt;&gt;"Purchase",0,L377-O377)</f>
        <v>0</v>
      </c>
      <c r="Q377" s="53" t="n">
        <f aca="false">J377-B377</f>
        <v>0</v>
      </c>
      <c r="R377" s="51" t="str">
        <f aca="false">IF(I377="N","Invalid / missing TRN",IF(F377="Blocked input (entertainment)","Blocked input",IF(Q377&gt;30,"Late posting (&gt;30d)","")))</f>
        <v/>
      </c>
    </row>
    <row r="378" customFormat="false" ht="15" hidden="false" customHeight="false" outlineLevel="0" collapsed="false">
      <c r="A378" s="47" t="s">
        <v>663</v>
      </c>
      <c r="B378" s="48" t="n">
        <v>45759</v>
      </c>
      <c r="C378" s="47" t="s">
        <v>159</v>
      </c>
      <c r="D378" s="47" t="s">
        <v>160</v>
      </c>
      <c r="E378" s="47" t="s">
        <v>101</v>
      </c>
      <c r="F378" s="47" t="s">
        <v>161</v>
      </c>
      <c r="G378" s="49" t="n">
        <v>49068.43</v>
      </c>
      <c r="H378" s="50" t="n">
        <v>0.05</v>
      </c>
      <c r="I378" s="47" t="s">
        <v>162</v>
      </c>
      <c r="J378" s="48" t="n">
        <v>45759</v>
      </c>
      <c r="K378" s="51" t="str">
        <f aca="false">"Q"&amp;ROUNDUP(MONTH(B378)/3,0)</f>
        <v>Q2</v>
      </c>
      <c r="L378" s="52" t="n">
        <f aca="false">ROUND(G378*H378,2)</f>
        <v>2453.42</v>
      </c>
      <c r="M378" s="52" t="n">
        <f aca="false">IF(AND(C378="Sales",F378="Standard-rated 5%"),L378,0)</f>
        <v>2453.42</v>
      </c>
      <c r="N378" s="52" t="n">
        <f aca="false">IF(F378="Reverse charge (imported services)",L378,0)</f>
        <v>0</v>
      </c>
      <c r="O378" s="52" t="n">
        <f aca="false">IF(C378&lt;&gt;"Purchase",0,IF(OR(I378="N",F378="Blocked input (entertainment)"),0,L378))</f>
        <v>0</v>
      </c>
      <c r="P378" s="52" t="n">
        <f aca="false">IF(C378&lt;&gt;"Purchase",0,L378-O378)</f>
        <v>0</v>
      </c>
      <c r="Q378" s="53" t="n">
        <f aca="false">J378-B378</f>
        <v>0</v>
      </c>
      <c r="R378" s="51" t="str">
        <f aca="false">IF(I378="N","Invalid / missing TRN",IF(F378="Blocked input (entertainment)","Blocked input",IF(Q378&gt;30,"Late posting (&gt;30d)","")))</f>
        <v/>
      </c>
    </row>
    <row r="379" customFormat="false" ht="15" hidden="false" customHeight="false" outlineLevel="0" collapsed="false">
      <c r="A379" s="47" t="s">
        <v>664</v>
      </c>
      <c r="B379" s="48" t="n">
        <v>45760</v>
      </c>
      <c r="C379" s="47" t="s">
        <v>159</v>
      </c>
      <c r="D379" s="47" t="s">
        <v>415</v>
      </c>
      <c r="E379" s="47" t="s">
        <v>100</v>
      </c>
      <c r="F379" s="47" t="s">
        <v>161</v>
      </c>
      <c r="G379" s="49" t="n">
        <v>93211.47</v>
      </c>
      <c r="H379" s="50" t="n">
        <v>0.05</v>
      </c>
      <c r="I379" s="47" t="s">
        <v>162</v>
      </c>
      <c r="J379" s="48" t="n">
        <v>45760</v>
      </c>
      <c r="K379" s="51" t="str">
        <f aca="false">"Q"&amp;ROUNDUP(MONTH(B379)/3,0)</f>
        <v>Q2</v>
      </c>
      <c r="L379" s="52" t="n">
        <f aca="false">ROUND(G379*H379,2)</f>
        <v>4660.57</v>
      </c>
      <c r="M379" s="52" t="n">
        <f aca="false">IF(AND(C379="Sales",F379="Standard-rated 5%"),L379,0)</f>
        <v>4660.57</v>
      </c>
      <c r="N379" s="52" t="n">
        <f aca="false">IF(F379="Reverse charge (imported services)",L379,0)</f>
        <v>0</v>
      </c>
      <c r="O379" s="52" t="n">
        <f aca="false">IF(C379&lt;&gt;"Purchase",0,IF(OR(I379="N",F379="Blocked input (entertainment)"),0,L379))</f>
        <v>0</v>
      </c>
      <c r="P379" s="52" t="n">
        <f aca="false">IF(C379&lt;&gt;"Purchase",0,L379-O379)</f>
        <v>0</v>
      </c>
      <c r="Q379" s="53" t="n">
        <f aca="false">J379-B379</f>
        <v>0</v>
      </c>
      <c r="R379" s="51" t="str">
        <f aca="false">IF(I379="N","Invalid / missing TRN",IF(F379="Blocked input (entertainment)","Blocked input",IF(Q379&gt;30,"Late posting (&gt;30d)","")))</f>
        <v/>
      </c>
    </row>
    <row r="380" customFormat="false" ht="15" hidden="false" customHeight="false" outlineLevel="0" collapsed="false">
      <c r="A380" s="47" t="s">
        <v>665</v>
      </c>
      <c r="B380" s="48" t="n">
        <v>45760</v>
      </c>
      <c r="C380" s="47" t="s">
        <v>159</v>
      </c>
      <c r="D380" s="47" t="s">
        <v>237</v>
      </c>
      <c r="E380" s="47" t="s">
        <v>101</v>
      </c>
      <c r="F380" s="47" t="s">
        <v>161</v>
      </c>
      <c r="G380" s="49" t="n">
        <v>108767.23</v>
      </c>
      <c r="H380" s="50" t="n">
        <v>0.05</v>
      </c>
      <c r="I380" s="47" t="s">
        <v>162</v>
      </c>
      <c r="J380" s="48" t="n">
        <v>45760</v>
      </c>
      <c r="K380" s="51" t="str">
        <f aca="false">"Q"&amp;ROUNDUP(MONTH(B380)/3,0)</f>
        <v>Q2</v>
      </c>
      <c r="L380" s="52" t="n">
        <f aca="false">ROUND(G380*H380,2)</f>
        <v>5438.36</v>
      </c>
      <c r="M380" s="52" t="n">
        <f aca="false">IF(AND(C380="Sales",F380="Standard-rated 5%"),L380,0)</f>
        <v>5438.36</v>
      </c>
      <c r="N380" s="52" t="n">
        <f aca="false">IF(F380="Reverse charge (imported services)",L380,0)</f>
        <v>0</v>
      </c>
      <c r="O380" s="52" t="n">
        <f aca="false">IF(C380&lt;&gt;"Purchase",0,IF(OR(I380="N",F380="Blocked input (entertainment)"),0,L380))</f>
        <v>0</v>
      </c>
      <c r="P380" s="52" t="n">
        <f aca="false">IF(C380&lt;&gt;"Purchase",0,L380-O380)</f>
        <v>0</v>
      </c>
      <c r="Q380" s="53" t="n">
        <f aca="false">J380-B380</f>
        <v>0</v>
      </c>
      <c r="R380" s="51" t="str">
        <f aca="false">IF(I380="N","Invalid / missing TRN",IF(F380="Blocked input (entertainment)","Blocked input",IF(Q380&gt;30,"Late posting (&gt;30d)","")))</f>
        <v/>
      </c>
    </row>
    <row r="381" customFormat="false" ht="15" hidden="false" customHeight="false" outlineLevel="0" collapsed="false">
      <c r="A381" s="47" t="s">
        <v>666</v>
      </c>
      <c r="B381" s="48" t="n">
        <v>45760</v>
      </c>
      <c r="C381" s="47" t="s">
        <v>159</v>
      </c>
      <c r="D381" s="47" t="s">
        <v>204</v>
      </c>
      <c r="E381" s="47" t="s">
        <v>101</v>
      </c>
      <c r="F381" s="47" t="s">
        <v>161</v>
      </c>
      <c r="G381" s="49" t="n">
        <v>84075.52</v>
      </c>
      <c r="H381" s="50" t="n">
        <v>0.05</v>
      </c>
      <c r="I381" s="47" t="s">
        <v>162</v>
      </c>
      <c r="J381" s="48" t="n">
        <v>45760</v>
      </c>
      <c r="K381" s="51" t="str">
        <f aca="false">"Q"&amp;ROUNDUP(MONTH(B381)/3,0)</f>
        <v>Q2</v>
      </c>
      <c r="L381" s="52" t="n">
        <f aca="false">ROUND(G381*H381,2)</f>
        <v>4203.78</v>
      </c>
      <c r="M381" s="52" t="n">
        <f aca="false">IF(AND(C381="Sales",F381="Standard-rated 5%"),L381,0)</f>
        <v>4203.78</v>
      </c>
      <c r="N381" s="52" t="n">
        <f aca="false">IF(F381="Reverse charge (imported services)",L381,0)</f>
        <v>0</v>
      </c>
      <c r="O381" s="52" t="n">
        <f aca="false">IF(C381&lt;&gt;"Purchase",0,IF(OR(I381="N",F381="Blocked input (entertainment)"),0,L381))</f>
        <v>0</v>
      </c>
      <c r="P381" s="52" t="n">
        <f aca="false">IF(C381&lt;&gt;"Purchase",0,L381-O381)</f>
        <v>0</v>
      </c>
      <c r="Q381" s="53" t="n">
        <f aca="false">J381-B381</f>
        <v>0</v>
      </c>
      <c r="R381" s="51" t="str">
        <f aca="false">IF(I381="N","Invalid / missing TRN",IF(F381="Blocked input (entertainment)","Blocked input",IF(Q381&gt;30,"Late posting (&gt;30d)","")))</f>
        <v/>
      </c>
    </row>
    <row r="382" customFormat="false" ht="15" hidden="false" customHeight="false" outlineLevel="0" collapsed="false">
      <c r="A382" s="47" t="s">
        <v>667</v>
      </c>
      <c r="B382" s="48" t="n">
        <v>45761</v>
      </c>
      <c r="C382" s="47" t="s">
        <v>166</v>
      </c>
      <c r="D382" s="47" t="s">
        <v>466</v>
      </c>
      <c r="E382" s="47" t="s">
        <v>105</v>
      </c>
      <c r="F382" s="47" t="s">
        <v>161</v>
      </c>
      <c r="G382" s="49" t="n">
        <v>34427.82</v>
      </c>
      <c r="H382" s="50" t="n">
        <v>0.05</v>
      </c>
      <c r="I382" s="47" t="s">
        <v>162</v>
      </c>
      <c r="J382" s="48" t="n">
        <v>45761</v>
      </c>
      <c r="K382" s="51" t="str">
        <f aca="false">"Q"&amp;ROUNDUP(MONTH(B382)/3,0)</f>
        <v>Q2</v>
      </c>
      <c r="L382" s="52" t="n">
        <f aca="false">ROUND(G382*H382,2)</f>
        <v>1721.39</v>
      </c>
      <c r="M382" s="52" t="n">
        <f aca="false">IF(AND(C382="Sales",F382="Standard-rated 5%"),L382,0)</f>
        <v>0</v>
      </c>
      <c r="N382" s="52" t="n">
        <f aca="false">IF(F382="Reverse charge (imported services)",L382,0)</f>
        <v>0</v>
      </c>
      <c r="O382" s="52" t="n">
        <f aca="false">IF(C382&lt;&gt;"Purchase",0,IF(OR(I382="N",F382="Blocked input (entertainment)"),0,L382))</f>
        <v>1721.39</v>
      </c>
      <c r="P382" s="52" t="n">
        <f aca="false">IF(C382&lt;&gt;"Purchase",0,L382-O382)</f>
        <v>0</v>
      </c>
      <c r="Q382" s="53" t="n">
        <f aca="false">J382-B382</f>
        <v>0</v>
      </c>
      <c r="R382" s="51" t="str">
        <f aca="false">IF(I382="N","Invalid / missing TRN",IF(F382="Blocked input (entertainment)","Blocked input",IF(Q382&gt;30,"Late posting (&gt;30d)","")))</f>
        <v/>
      </c>
    </row>
    <row r="383" customFormat="false" ht="15" hidden="false" customHeight="false" outlineLevel="0" collapsed="false">
      <c r="A383" s="47" t="s">
        <v>668</v>
      </c>
      <c r="B383" s="48" t="n">
        <v>45761</v>
      </c>
      <c r="C383" s="47" t="s">
        <v>159</v>
      </c>
      <c r="D383" s="47" t="s">
        <v>235</v>
      </c>
      <c r="E383" s="47" t="s">
        <v>100</v>
      </c>
      <c r="F383" s="47" t="s">
        <v>161</v>
      </c>
      <c r="G383" s="49" t="n">
        <v>35332.13</v>
      </c>
      <c r="H383" s="50" t="n">
        <v>0.05</v>
      </c>
      <c r="I383" s="47" t="s">
        <v>162</v>
      </c>
      <c r="J383" s="48" t="n">
        <v>45761</v>
      </c>
      <c r="K383" s="51" t="str">
        <f aca="false">"Q"&amp;ROUNDUP(MONTH(B383)/3,0)</f>
        <v>Q2</v>
      </c>
      <c r="L383" s="52" t="n">
        <f aca="false">ROUND(G383*H383,2)</f>
        <v>1766.61</v>
      </c>
      <c r="M383" s="52" t="n">
        <f aca="false">IF(AND(C383="Sales",F383="Standard-rated 5%"),L383,0)</f>
        <v>1766.61</v>
      </c>
      <c r="N383" s="52" t="n">
        <f aca="false">IF(F383="Reverse charge (imported services)",L383,0)</f>
        <v>0</v>
      </c>
      <c r="O383" s="52" t="n">
        <f aca="false">IF(C383&lt;&gt;"Purchase",0,IF(OR(I383="N",F383="Blocked input (entertainment)"),0,L383))</f>
        <v>0</v>
      </c>
      <c r="P383" s="52" t="n">
        <f aca="false">IF(C383&lt;&gt;"Purchase",0,L383-O383)</f>
        <v>0</v>
      </c>
      <c r="Q383" s="53" t="n">
        <f aca="false">J383-B383</f>
        <v>0</v>
      </c>
      <c r="R383" s="51" t="str">
        <f aca="false">IF(I383="N","Invalid / missing TRN",IF(F383="Blocked input (entertainment)","Blocked input",IF(Q383&gt;30,"Late posting (&gt;30d)","")))</f>
        <v/>
      </c>
    </row>
    <row r="384" customFormat="false" ht="15" hidden="false" customHeight="false" outlineLevel="0" collapsed="false">
      <c r="A384" s="47" t="s">
        <v>669</v>
      </c>
      <c r="B384" s="48" t="n">
        <v>45761</v>
      </c>
      <c r="C384" s="47" t="s">
        <v>159</v>
      </c>
      <c r="D384" s="47" t="s">
        <v>216</v>
      </c>
      <c r="E384" s="47" t="s">
        <v>102</v>
      </c>
      <c r="F384" s="47" t="s">
        <v>161</v>
      </c>
      <c r="G384" s="49" t="n">
        <v>26747.98</v>
      </c>
      <c r="H384" s="50" t="n">
        <v>0.05</v>
      </c>
      <c r="I384" s="47" t="s">
        <v>162</v>
      </c>
      <c r="J384" s="48" t="n">
        <v>45761</v>
      </c>
      <c r="K384" s="51" t="str">
        <f aca="false">"Q"&amp;ROUNDUP(MONTH(B384)/3,0)</f>
        <v>Q2</v>
      </c>
      <c r="L384" s="52" t="n">
        <f aca="false">ROUND(G384*H384,2)</f>
        <v>1337.4</v>
      </c>
      <c r="M384" s="52" t="n">
        <f aca="false">IF(AND(C384="Sales",F384="Standard-rated 5%"),L384,0)</f>
        <v>1337.4</v>
      </c>
      <c r="N384" s="52" t="n">
        <f aca="false">IF(F384="Reverse charge (imported services)",L384,0)</f>
        <v>0</v>
      </c>
      <c r="O384" s="52" t="n">
        <f aca="false">IF(C384&lt;&gt;"Purchase",0,IF(OR(I384="N",F384="Blocked input (entertainment)"),0,L384))</f>
        <v>0</v>
      </c>
      <c r="P384" s="52" t="n">
        <f aca="false">IF(C384&lt;&gt;"Purchase",0,L384-O384)</f>
        <v>0</v>
      </c>
      <c r="Q384" s="53" t="n">
        <f aca="false">J384-B384</f>
        <v>0</v>
      </c>
      <c r="R384" s="51" t="str">
        <f aca="false">IF(I384="N","Invalid / missing TRN",IF(F384="Blocked input (entertainment)","Blocked input",IF(Q384&gt;30,"Late posting (&gt;30d)","")))</f>
        <v/>
      </c>
    </row>
    <row r="385" customFormat="false" ht="15" hidden="false" customHeight="false" outlineLevel="0" collapsed="false">
      <c r="A385" s="47" t="s">
        <v>670</v>
      </c>
      <c r="B385" s="48" t="n">
        <v>45761</v>
      </c>
      <c r="C385" s="47" t="s">
        <v>159</v>
      </c>
      <c r="D385" s="47" t="s">
        <v>249</v>
      </c>
      <c r="E385" s="47" t="s">
        <v>100</v>
      </c>
      <c r="F385" s="47" t="s">
        <v>161</v>
      </c>
      <c r="G385" s="49" t="n">
        <v>44299.79</v>
      </c>
      <c r="H385" s="50" t="n">
        <v>0.05</v>
      </c>
      <c r="I385" s="47" t="s">
        <v>162</v>
      </c>
      <c r="J385" s="48" t="n">
        <v>45761</v>
      </c>
      <c r="K385" s="51" t="str">
        <f aca="false">"Q"&amp;ROUNDUP(MONTH(B385)/3,0)</f>
        <v>Q2</v>
      </c>
      <c r="L385" s="52" t="n">
        <f aca="false">ROUND(G385*H385,2)</f>
        <v>2214.99</v>
      </c>
      <c r="M385" s="52" t="n">
        <f aca="false">IF(AND(C385="Sales",F385="Standard-rated 5%"),L385,0)</f>
        <v>2214.99</v>
      </c>
      <c r="N385" s="52" t="n">
        <f aca="false">IF(F385="Reverse charge (imported services)",L385,0)</f>
        <v>0</v>
      </c>
      <c r="O385" s="52" t="n">
        <f aca="false">IF(C385&lt;&gt;"Purchase",0,IF(OR(I385="N",F385="Blocked input (entertainment)"),0,L385))</f>
        <v>0</v>
      </c>
      <c r="P385" s="52" t="n">
        <f aca="false">IF(C385&lt;&gt;"Purchase",0,L385-O385)</f>
        <v>0</v>
      </c>
      <c r="Q385" s="53" t="n">
        <f aca="false">J385-B385</f>
        <v>0</v>
      </c>
      <c r="R385" s="51" t="str">
        <f aca="false">IF(I385="N","Invalid / missing TRN",IF(F385="Blocked input (entertainment)","Blocked input",IF(Q385&gt;30,"Late posting (&gt;30d)","")))</f>
        <v/>
      </c>
    </row>
    <row r="386" customFormat="false" ht="15" hidden="false" customHeight="false" outlineLevel="0" collapsed="false">
      <c r="A386" s="47" t="s">
        <v>671</v>
      </c>
      <c r="B386" s="48" t="n">
        <v>45762</v>
      </c>
      <c r="C386" s="47" t="s">
        <v>166</v>
      </c>
      <c r="D386" s="47" t="s">
        <v>196</v>
      </c>
      <c r="E386" s="47" t="s">
        <v>101</v>
      </c>
      <c r="F386" s="47" t="s">
        <v>161</v>
      </c>
      <c r="G386" s="49" t="n">
        <v>61900.08</v>
      </c>
      <c r="H386" s="50" t="n">
        <v>0.05</v>
      </c>
      <c r="I386" s="47" t="s">
        <v>162</v>
      </c>
      <c r="J386" s="48" t="n">
        <v>45762</v>
      </c>
      <c r="K386" s="51" t="str">
        <f aca="false">"Q"&amp;ROUNDUP(MONTH(B386)/3,0)</f>
        <v>Q2</v>
      </c>
      <c r="L386" s="52" t="n">
        <f aca="false">ROUND(G386*H386,2)</f>
        <v>3095</v>
      </c>
      <c r="M386" s="52" t="n">
        <f aca="false">IF(AND(C386="Sales",F386="Standard-rated 5%"),L386,0)</f>
        <v>0</v>
      </c>
      <c r="N386" s="52" t="n">
        <f aca="false">IF(F386="Reverse charge (imported services)",L386,0)</f>
        <v>0</v>
      </c>
      <c r="O386" s="52" t="n">
        <f aca="false">IF(C386&lt;&gt;"Purchase",0,IF(OR(I386="N",F386="Blocked input (entertainment)"),0,L386))</f>
        <v>3095</v>
      </c>
      <c r="P386" s="52" t="n">
        <f aca="false">IF(C386&lt;&gt;"Purchase",0,L386-O386)</f>
        <v>0</v>
      </c>
      <c r="Q386" s="53" t="n">
        <f aca="false">J386-B386</f>
        <v>0</v>
      </c>
      <c r="R386" s="51" t="str">
        <f aca="false">IF(I386="N","Invalid / missing TRN",IF(F386="Blocked input (entertainment)","Blocked input",IF(Q386&gt;30,"Late posting (&gt;30d)","")))</f>
        <v/>
      </c>
    </row>
    <row r="387" customFormat="false" ht="15" hidden="false" customHeight="false" outlineLevel="0" collapsed="false">
      <c r="A387" s="47" t="s">
        <v>672</v>
      </c>
      <c r="B387" s="48" t="n">
        <v>45762</v>
      </c>
      <c r="C387" s="47" t="s">
        <v>166</v>
      </c>
      <c r="D387" s="47" t="s">
        <v>452</v>
      </c>
      <c r="E387" s="47" t="s">
        <v>105</v>
      </c>
      <c r="F387" s="47" t="s">
        <v>161</v>
      </c>
      <c r="G387" s="49" t="n">
        <v>11721.56</v>
      </c>
      <c r="H387" s="50" t="n">
        <v>0.05</v>
      </c>
      <c r="I387" s="47" t="s">
        <v>162</v>
      </c>
      <c r="J387" s="48" t="n">
        <v>45762</v>
      </c>
      <c r="K387" s="51" t="str">
        <f aca="false">"Q"&amp;ROUNDUP(MONTH(B387)/3,0)</f>
        <v>Q2</v>
      </c>
      <c r="L387" s="52" t="n">
        <f aca="false">ROUND(G387*H387,2)</f>
        <v>586.08</v>
      </c>
      <c r="M387" s="52" t="n">
        <f aca="false">IF(AND(C387="Sales",F387="Standard-rated 5%"),L387,0)</f>
        <v>0</v>
      </c>
      <c r="N387" s="52" t="n">
        <f aca="false">IF(F387="Reverse charge (imported services)",L387,0)</f>
        <v>0</v>
      </c>
      <c r="O387" s="52" t="n">
        <f aca="false">IF(C387&lt;&gt;"Purchase",0,IF(OR(I387="N",F387="Blocked input (entertainment)"),0,L387))</f>
        <v>586.08</v>
      </c>
      <c r="P387" s="52" t="n">
        <f aca="false">IF(C387&lt;&gt;"Purchase",0,L387-O387)</f>
        <v>0</v>
      </c>
      <c r="Q387" s="53" t="n">
        <f aca="false">J387-B387</f>
        <v>0</v>
      </c>
      <c r="R387" s="51" t="str">
        <f aca="false">IF(I387="N","Invalid / missing TRN",IF(F387="Blocked input (entertainment)","Blocked input",IF(Q387&gt;30,"Late posting (&gt;30d)","")))</f>
        <v/>
      </c>
    </row>
    <row r="388" customFormat="false" ht="15" hidden="false" customHeight="false" outlineLevel="0" collapsed="false">
      <c r="A388" s="47" t="s">
        <v>673</v>
      </c>
      <c r="B388" s="48" t="n">
        <v>45762</v>
      </c>
      <c r="C388" s="47" t="s">
        <v>166</v>
      </c>
      <c r="D388" s="47" t="s">
        <v>172</v>
      </c>
      <c r="E388" s="47" t="s">
        <v>100</v>
      </c>
      <c r="F388" s="47" t="s">
        <v>161</v>
      </c>
      <c r="G388" s="49" t="n">
        <v>36855.18</v>
      </c>
      <c r="H388" s="50" t="n">
        <v>0.05</v>
      </c>
      <c r="I388" s="47" t="s">
        <v>162</v>
      </c>
      <c r="J388" s="48" t="n">
        <v>45762</v>
      </c>
      <c r="K388" s="51" t="str">
        <f aca="false">"Q"&amp;ROUNDUP(MONTH(B388)/3,0)</f>
        <v>Q2</v>
      </c>
      <c r="L388" s="52" t="n">
        <f aca="false">ROUND(G388*H388,2)</f>
        <v>1842.76</v>
      </c>
      <c r="M388" s="52" t="n">
        <f aca="false">IF(AND(C388="Sales",F388="Standard-rated 5%"),L388,0)</f>
        <v>0</v>
      </c>
      <c r="N388" s="52" t="n">
        <f aca="false">IF(F388="Reverse charge (imported services)",L388,0)</f>
        <v>0</v>
      </c>
      <c r="O388" s="52" t="n">
        <f aca="false">IF(C388&lt;&gt;"Purchase",0,IF(OR(I388="N",F388="Blocked input (entertainment)"),0,L388))</f>
        <v>1842.76</v>
      </c>
      <c r="P388" s="52" t="n">
        <f aca="false">IF(C388&lt;&gt;"Purchase",0,L388-O388)</f>
        <v>0</v>
      </c>
      <c r="Q388" s="53" t="n">
        <f aca="false">J388-B388</f>
        <v>0</v>
      </c>
      <c r="R388" s="51" t="str">
        <f aca="false">IF(I388="N","Invalid / missing TRN",IF(F388="Blocked input (entertainment)","Blocked input",IF(Q388&gt;30,"Late posting (&gt;30d)","")))</f>
        <v/>
      </c>
    </row>
    <row r="389" customFormat="false" ht="15" hidden="false" customHeight="false" outlineLevel="0" collapsed="false">
      <c r="A389" s="47" t="s">
        <v>674</v>
      </c>
      <c r="B389" s="48" t="n">
        <v>45763</v>
      </c>
      <c r="C389" s="47" t="s">
        <v>166</v>
      </c>
      <c r="D389" s="47" t="s">
        <v>190</v>
      </c>
      <c r="E389" s="47" t="s">
        <v>101</v>
      </c>
      <c r="F389" s="47" t="s">
        <v>161</v>
      </c>
      <c r="G389" s="49" t="n">
        <v>64237.6</v>
      </c>
      <c r="H389" s="50" t="n">
        <v>0.05</v>
      </c>
      <c r="I389" s="47" t="s">
        <v>162</v>
      </c>
      <c r="J389" s="48" t="n">
        <v>45763</v>
      </c>
      <c r="K389" s="51" t="str">
        <f aca="false">"Q"&amp;ROUNDUP(MONTH(B389)/3,0)</f>
        <v>Q2</v>
      </c>
      <c r="L389" s="52" t="n">
        <f aca="false">ROUND(G389*H389,2)</f>
        <v>3211.88</v>
      </c>
      <c r="M389" s="52" t="n">
        <f aca="false">IF(AND(C389="Sales",F389="Standard-rated 5%"),L389,0)</f>
        <v>0</v>
      </c>
      <c r="N389" s="52" t="n">
        <f aca="false">IF(F389="Reverse charge (imported services)",L389,0)</f>
        <v>0</v>
      </c>
      <c r="O389" s="52" t="n">
        <f aca="false">IF(C389&lt;&gt;"Purchase",0,IF(OR(I389="N",F389="Blocked input (entertainment)"),0,L389))</f>
        <v>3211.88</v>
      </c>
      <c r="P389" s="52" t="n">
        <f aca="false">IF(C389&lt;&gt;"Purchase",0,L389-O389)</f>
        <v>0</v>
      </c>
      <c r="Q389" s="53" t="n">
        <f aca="false">J389-B389</f>
        <v>0</v>
      </c>
      <c r="R389" s="51" t="str">
        <f aca="false">IF(I389="N","Invalid / missing TRN",IF(F389="Blocked input (entertainment)","Blocked input",IF(Q389&gt;30,"Late posting (&gt;30d)","")))</f>
        <v/>
      </c>
    </row>
    <row r="390" customFormat="false" ht="15" hidden="false" customHeight="false" outlineLevel="0" collapsed="false">
      <c r="A390" s="47" t="s">
        <v>675</v>
      </c>
      <c r="B390" s="48" t="n">
        <v>45763</v>
      </c>
      <c r="C390" s="47" t="s">
        <v>166</v>
      </c>
      <c r="D390" s="47" t="s">
        <v>460</v>
      </c>
      <c r="E390" s="47" t="s">
        <v>101</v>
      </c>
      <c r="F390" s="47" t="s">
        <v>161</v>
      </c>
      <c r="G390" s="49" t="n">
        <v>21639.33</v>
      </c>
      <c r="H390" s="50" t="n">
        <v>0.05</v>
      </c>
      <c r="I390" s="47" t="s">
        <v>162</v>
      </c>
      <c r="J390" s="48" t="n">
        <v>45763</v>
      </c>
      <c r="K390" s="51" t="str">
        <f aca="false">"Q"&amp;ROUNDUP(MONTH(B390)/3,0)</f>
        <v>Q2</v>
      </c>
      <c r="L390" s="52" t="n">
        <f aca="false">ROUND(G390*H390,2)</f>
        <v>1081.97</v>
      </c>
      <c r="M390" s="52" t="n">
        <f aca="false">IF(AND(C390="Sales",F390="Standard-rated 5%"),L390,0)</f>
        <v>0</v>
      </c>
      <c r="N390" s="52" t="n">
        <f aca="false">IF(F390="Reverse charge (imported services)",L390,0)</f>
        <v>0</v>
      </c>
      <c r="O390" s="52" t="n">
        <f aca="false">IF(C390&lt;&gt;"Purchase",0,IF(OR(I390="N",F390="Blocked input (entertainment)"),0,L390))</f>
        <v>1081.97</v>
      </c>
      <c r="P390" s="52" t="n">
        <f aca="false">IF(C390&lt;&gt;"Purchase",0,L390-O390)</f>
        <v>0</v>
      </c>
      <c r="Q390" s="53" t="n">
        <f aca="false">J390-B390</f>
        <v>0</v>
      </c>
      <c r="R390" s="51" t="str">
        <f aca="false">IF(I390="N","Invalid / missing TRN",IF(F390="Blocked input (entertainment)","Blocked input",IF(Q390&gt;30,"Late posting (&gt;30d)","")))</f>
        <v/>
      </c>
    </row>
    <row r="391" customFormat="false" ht="15" hidden="false" customHeight="false" outlineLevel="0" collapsed="false">
      <c r="A391" s="47" t="s">
        <v>676</v>
      </c>
      <c r="B391" s="48" t="n">
        <v>45763</v>
      </c>
      <c r="C391" s="47" t="s">
        <v>159</v>
      </c>
      <c r="D391" s="47" t="s">
        <v>439</v>
      </c>
      <c r="E391" s="47" t="s">
        <v>100</v>
      </c>
      <c r="F391" s="47" t="s">
        <v>161</v>
      </c>
      <c r="G391" s="49" t="n">
        <v>50607.51</v>
      </c>
      <c r="H391" s="50" t="n">
        <v>0.05</v>
      </c>
      <c r="I391" s="47" t="s">
        <v>162</v>
      </c>
      <c r="J391" s="48" t="n">
        <v>45764</v>
      </c>
      <c r="K391" s="51" t="str">
        <f aca="false">"Q"&amp;ROUNDUP(MONTH(B391)/3,0)</f>
        <v>Q2</v>
      </c>
      <c r="L391" s="52" t="n">
        <f aca="false">ROUND(G391*H391,2)</f>
        <v>2530.38</v>
      </c>
      <c r="M391" s="52" t="n">
        <f aca="false">IF(AND(C391="Sales",F391="Standard-rated 5%"),L391,0)</f>
        <v>2530.38</v>
      </c>
      <c r="N391" s="52" t="n">
        <f aca="false">IF(F391="Reverse charge (imported services)",L391,0)</f>
        <v>0</v>
      </c>
      <c r="O391" s="52" t="n">
        <f aca="false">IF(C391&lt;&gt;"Purchase",0,IF(OR(I391="N",F391="Blocked input (entertainment)"),0,L391))</f>
        <v>0</v>
      </c>
      <c r="P391" s="52" t="n">
        <f aca="false">IF(C391&lt;&gt;"Purchase",0,L391-O391)</f>
        <v>0</v>
      </c>
      <c r="Q391" s="53" t="n">
        <f aca="false">J391-B391</f>
        <v>1</v>
      </c>
      <c r="R391" s="51" t="str">
        <f aca="false">IF(I391="N","Invalid / missing TRN",IF(F391="Blocked input (entertainment)","Blocked input",IF(Q391&gt;30,"Late posting (&gt;30d)","")))</f>
        <v/>
      </c>
    </row>
    <row r="392" customFormat="false" ht="15" hidden="false" customHeight="false" outlineLevel="0" collapsed="false">
      <c r="A392" s="47" t="s">
        <v>677</v>
      </c>
      <c r="B392" s="48" t="n">
        <v>45763</v>
      </c>
      <c r="C392" s="47" t="s">
        <v>159</v>
      </c>
      <c r="D392" s="47" t="s">
        <v>415</v>
      </c>
      <c r="E392" s="47" t="s">
        <v>101</v>
      </c>
      <c r="F392" s="47" t="s">
        <v>161</v>
      </c>
      <c r="G392" s="49" t="n">
        <v>124139.6</v>
      </c>
      <c r="H392" s="50" t="n">
        <v>0.05</v>
      </c>
      <c r="I392" s="47" t="s">
        <v>162</v>
      </c>
      <c r="J392" s="48" t="n">
        <v>45763</v>
      </c>
      <c r="K392" s="51" t="str">
        <f aca="false">"Q"&amp;ROUNDUP(MONTH(B392)/3,0)</f>
        <v>Q2</v>
      </c>
      <c r="L392" s="52" t="n">
        <f aca="false">ROUND(G392*H392,2)</f>
        <v>6206.98</v>
      </c>
      <c r="M392" s="52" t="n">
        <f aca="false">IF(AND(C392="Sales",F392="Standard-rated 5%"),L392,0)</f>
        <v>6206.98</v>
      </c>
      <c r="N392" s="52" t="n">
        <f aca="false">IF(F392="Reverse charge (imported services)",L392,0)</f>
        <v>0</v>
      </c>
      <c r="O392" s="52" t="n">
        <f aca="false">IF(C392&lt;&gt;"Purchase",0,IF(OR(I392="N",F392="Blocked input (entertainment)"),0,L392))</f>
        <v>0</v>
      </c>
      <c r="P392" s="52" t="n">
        <f aca="false">IF(C392&lt;&gt;"Purchase",0,L392-O392)</f>
        <v>0</v>
      </c>
      <c r="Q392" s="53" t="n">
        <f aca="false">J392-B392</f>
        <v>0</v>
      </c>
      <c r="R392" s="51" t="str">
        <f aca="false">IF(I392="N","Invalid / missing TRN",IF(F392="Blocked input (entertainment)","Blocked input",IF(Q392&gt;30,"Late posting (&gt;30d)","")))</f>
        <v/>
      </c>
    </row>
    <row r="393" customFormat="false" ht="15" hidden="false" customHeight="false" outlineLevel="0" collapsed="false">
      <c r="A393" s="47" t="s">
        <v>678</v>
      </c>
      <c r="B393" s="48" t="n">
        <v>45764</v>
      </c>
      <c r="C393" s="47" t="s">
        <v>166</v>
      </c>
      <c r="D393" s="47" t="s">
        <v>208</v>
      </c>
      <c r="E393" s="47" t="s">
        <v>102</v>
      </c>
      <c r="F393" s="47" t="s">
        <v>161</v>
      </c>
      <c r="G393" s="49" t="n">
        <v>35317.26</v>
      </c>
      <c r="H393" s="50" t="n">
        <v>0.05</v>
      </c>
      <c r="I393" s="47" t="s">
        <v>162</v>
      </c>
      <c r="J393" s="48" t="n">
        <v>45764</v>
      </c>
      <c r="K393" s="51" t="str">
        <f aca="false">"Q"&amp;ROUNDUP(MONTH(B393)/3,0)</f>
        <v>Q2</v>
      </c>
      <c r="L393" s="52" t="n">
        <f aca="false">ROUND(G393*H393,2)</f>
        <v>1765.86</v>
      </c>
      <c r="M393" s="52" t="n">
        <f aca="false">IF(AND(C393="Sales",F393="Standard-rated 5%"),L393,0)</f>
        <v>0</v>
      </c>
      <c r="N393" s="52" t="n">
        <f aca="false">IF(F393="Reverse charge (imported services)",L393,0)</f>
        <v>0</v>
      </c>
      <c r="O393" s="52" t="n">
        <f aca="false">IF(C393&lt;&gt;"Purchase",0,IF(OR(I393="N",F393="Blocked input (entertainment)"),0,L393))</f>
        <v>1765.86</v>
      </c>
      <c r="P393" s="52" t="n">
        <f aca="false">IF(C393&lt;&gt;"Purchase",0,L393-O393)</f>
        <v>0</v>
      </c>
      <c r="Q393" s="53" t="n">
        <f aca="false">J393-B393</f>
        <v>0</v>
      </c>
      <c r="R393" s="51" t="str">
        <f aca="false">IF(I393="N","Invalid / missing TRN",IF(F393="Blocked input (entertainment)","Blocked input",IF(Q393&gt;30,"Late posting (&gt;30d)","")))</f>
        <v/>
      </c>
    </row>
    <row r="394" customFormat="false" ht="15" hidden="false" customHeight="false" outlineLevel="0" collapsed="false">
      <c r="A394" s="47" t="s">
        <v>679</v>
      </c>
      <c r="B394" s="48" t="n">
        <v>45764</v>
      </c>
      <c r="C394" s="47" t="s">
        <v>166</v>
      </c>
      <c r="D394" s="47" t="s">
        <v>555</v>
      </c>
      <c r="E394" s="47" t="s">
        <v>101</v>
      </c>
      <c r="F394" s="47" t="s">
        <v>349</v>
      </c>
      <c r="G394" s="49" t="n">
        <v>178654.67</v>
      </c>
      <c r="H394" s="50" t="n">
        <v>0.05</v>
      </c>
      <c r="I394" s="47" t="s">
        <v>350</v>
      </c>
      <c r="J394" s="48" t="n">
        <v>45764</v>
      </c>
      <c r="K394" s="51" t="str">
        <f aca="false">"Q"&amp;ROUNDUP(MONTH(B394)/3,0)</f>
        <v>Q2</v>
      </c>
      <c r="L394" s="52" t="n">
        <f aca="false">ROUND(G394*H394,2)</f>
        <v>8932.73</v>
      </c>
      <c r="M394" s="52" t="n">
        <f aca="false">IF(AND(C394="Sales",F394="Standard-rated 5%"),L394,0)</f>
        <v>0</v>
      </c>
      <c r="N394" s="52" t="n">
        <f aca="false">IF(F394="Reverse charge (imported services)",L394,0)</f>
        <v>0</v>
      </c>
      <c r="O394" s="52" t="n">
        <f aca="false">IF(C394&lt;&gt;"Purchase",0,IF(OR(I394="N",F394="Blocked input (entertainment)"),0,L394))</f>
        <v>0</v>
      </c>
      <c r="P394" s="52" t="n">
        <f aca="false">IF(C394&lt;&gt;"Purchase",0,L394-O394)</f>
        <v>8932.73</v>
      </c>
      <c r="Q394" s="53" t="n">
        <f aca="false">J394-B394</f>
        <v>0</v>
      </c>
      <c r="R394" s="51" t="str">
        <f aca="false">IF(I394="N","Invalid / missing TRN",IF(F394="Blocked input (entertainment)","Blocked input",IF(Q394&gt;30,"Late posting (&gt;30d)","")))</f>
        <v>Invalid / missing TRN</v>
      </c>
    </row>
    <row r="395" customFormat="false" ht="15" hidden="false" customHeight="false" outlineLevel="0" collapsed="false">
      <c r="A395" s="47" t="s">
        <v>680</v>
      </c>
      <c r="B395" s="48" t="n">
        <v>45764</v>
      </c>
      <c r="C395" s="47" t="s">
        <v>159</v>
      </c>
      <c r="D395" s="47" t="s">
        <v>567</v>
      </c>
      <c r="E395" s="47" t="s">
        <v>100</v>
      </c>
      <c r="F395" s="47" t="s">
        <v>161</v>
      </c>
      <c r="G395" s="49" t="n">
        <v>82393.27</v>
      </c>
      <c r="H395" s="50" t="n">
        <v>0.05</v>
      </c>
      <c r="I395" s="47" t="s">
        <v>162</v>
      </c>
      <c r="J395" s="48" t="n">
        <v>45769</v>
      </c>
      <c r="K395" s="51" t="str">
        <f aca="false">"Q"&amp;ROUNDUP(MONTH(B395)/3,0)</f>
        <v>Q2</v>
      </c>
      <c r="L395" s="52" t="n">
        <f aca="false">ROUND(G395*H395,2)</f>
        <v>4119.66</v>
      </c>
      <c r="M395" s="52" t="n">
        <f aca="false">IF(AND(C395="Sales",F395="Standard-rated 5%"),L395,0)</f>
        <v>4119.66</v>
      </c>
      <c r="N395" s="52" t="n">
        <f aca="false">IF(F395="Reverse charge (imported services)",L395,0)</f>
        <v>0</v>
      </c>
      <c r="O395" s="52" t="n">
        <f aca="false">IF(C395&lt;&gt;"Purchase",0,IF(OR(I395="N",F395="Blocked input (entertainment)"),0,L395))</f>
        <v>0</v>
      </c>
      <c r="P395" s="52" t="n">
        <f aca="false">IF(C395&lt;&gt;"Purchase",0,L395-O395)</f>
        <v>0</v>
      </c>
      <c r="Q395" s="53" t="n">
        <f aca="false">J395-B395</f>
        <v>5</v>
      </c>
      <c r="R395" s="51" t="str">
        <f aca="false">IF(I395="N","Invalid / missing TRN",IF(F395="Blocked input (entertainment)","Blocked input",IF(Q395&gt;30,"Late posting (&gt;30d)","")))</f>
        <v/>
      </c>
    </row>
    <row r="396" customFormat="false" ht="15" hidden="false" customHeight="false" outlineLevel="0" collapsed="false">
      <c r="A396" s="47" t="s">
        <v>681</v>
      </c>
      <c r="B396" s="48" t="n">
        <v>45764</v>
      </c>
      <c r="C396" s="47" t="s">
        <v>159</v>
      </c>
      <c r="D396" s="47" t="s">
        <v>579</v>
      </c>
      <c r="E396" s="47" t="s">
        <v>101</v>
      </c>
      <c r="F396" s="47" t="s">
        <v>161</v>
      </c>
      <c r="G396" s="49" t="n">
        <v>35576.48</v>
      </c>
      <c r="H396" s="50" t="n">
        <v>0.05</v>
      </c>
      <c r="I396" s="47" t="s">
        <v>162</v>
      </c>
      <c r="J396" s="48" t="n">
        <v>45769</v>
      </c>
      <c r="K396" s="51" t="str">
        <f aca="false">"Q"&amp;ROUNDUP(MONTH(B396)/3,0)</f>
        <v>Q2</v>
      </c>
      <c r="L396" s="52" t="n">
        <f aca="false">ROUND(G396*H396,2)</f>
        <v>1778.82</v>
      </c>
      <c r="M396" s="52" t="n">
        <f aca="false">IF(AND(C396="Sales",F396="Standard-rated 5%"),L396,0)</f>
        <v>1778.82</v>
      </c>
      <c r="N396" s="52" t="n">
        <f aca="false">IF(F396="Reverse charge (imported services)",L396,0)</f>
        <v>0</v>
      </c>
      <c r="O396" s="52" t="n">
        <f aca="false">IF(C396&lt;&gt;"Purchase",0,IF(OR(I396="N",F396="Blocked input (entertainment)"),0,L396))</f>
        <v>0</v>
      </c>
      <c r="P396" s="52" t="n">
        <f aca="false">IF(C396&lt;&gt;"Purchase",0,L396-O396)</f>
        <v>0</v>
      </c>
      <c r="Q396" s="53" t="n">
        <f aca="false">J396-B396</f>
        <v>5</v>
      </c>
      <c r="R396" s="51" t="str">
        <f aca="false">IF(I396="N","Invalid / missing TRN",IF(F396="Blocked input (entertainment)","Blocked input",IF(Q396&gt;30,"Late posting (&gt;30d)","")))</f>
        <v/>
      </c>
    </row>
    <row r="397" customFormat="false" ht="15" hidden="false" customHeight="false" outlineLevel="0" collapsed="false">
      <c r="A397" s="47" t="s">
        <v>682</v>
      </c>
      <c r="B397" s="48" t="n">
        <v>45765</v>
      </c>
      <c r="C397" s="47" t="s">
        <v>159</v>
      </c>
      <c r="D397" s="47" t="s">
        <v>283</v>
      </c>
      <c r="E397" s="47" t="s">
        <v>100</v>
      </c>
      <c r="F397" s="47" t="s">
        <v>161</v>
      </c>
      <c r="G397" s="49" t="n">
        <v>46985.65</v>
      </c>
      <c r="H397" s="50" t="n">
        <v>0.05</v>
      </c>
      <c r="I397" s="47" t="s">
        <v>162</v>
      </c>
      <c r="J397" s="48" t="n">
        <v>45765</v>
      </c>
      <c r="K397" s="51" t="str">
        <f aca="false">"Q"&amp;ROUNDUP(MONTH(B397)/3,0)</f>
        <v>Q2</v>
      </c>
      <c r="L397" s="52" t="n">
        <f aca="false">ROUND(G397*H397,2)</f>
        <v>2349.28</v>
      </c>
      <c r="M397" s="52" t="n">
        <f aca="false">IF(AND(C397="Sales",F397="Standard-rated 5%"),L397,0)</f>
        <v>2349.28</v>
      </c>
      <c r="N397" s="52" t="n">
        <f aca="false">IF(F397="Reverse charge (imported services)",L397,0)</f>
        <v>0</v>
      </c>
      <c r="O397" s="52" t="n">
        <f aca="false">IF(C397&lt;&gt;"Purchase",0,IF(OR(I397="N",F397="Blocked input (entertainment)"),0,L397))</f>
        <v>0</v>
      </c>
      <c r="P397" s="52" t="n">
        <f aca="false">IF(C397&lt;&gt;"Purchase",0,L397-O397)</f>
        <v>0</v>
      </c>
      <c r="Q397" s="53" t="n">
        <f aca="false">J397-B397</f>
        <v>0</v>
      </c>
      <c r="R397" s="51" t="str">
        <f aca="false">IF(I397="N","Invalid / missing TRN",IF(F397="Blocked input (entertainment)","Blocked input",IF(Q397&gt;30,"Late posting (&gt;30d)","")))</f>
        <v/>
      </c>
    </row>
    <row r="398" customFormat="false" ht="15" hidden="false" customHeight="false" outlineLevel="0" collapsed="false">
      <c r="A398" s="47" t="s">
        <v>683</v>
      </c>
      <c r="B398" s="48" t="n">
        <v>45765</v>
      </c>
      <c r="C398" s="47" t="s">
        <v>159</v>
      </c>
      <c r="D398" s="47" t="s">
        <v>317</v>
      </c>
      <c r="E398" s="47" t="s">
        <v>100</v>
      </c>
      <c r="F398" s="47" t="s">
        <v>161</v>
      </c>
      <c r="G398" s="49" t="n">
        <v>96601.33</v>
      </c>
      <c r="H398" s="50" t="n">
        <v>0.05</v>
      </c>
      <c r="I398" s="47" t="s">
        <v>162</v>
      </c>
      <c r="J398" s="48" t="n">
        <v>45765</v>
      </c>
      <c r="K398" s="51" t="str">
        <f aca="false">"Q"&amp;ROUNDUP(MONTH(B398)/3,0)</f>
        <v>Q2</v>
      </c>
      <c r="L398" s="52" t="n">
        <f aca="false">ROUND(G398*H398,2)</f>
        <v>4830.07</v>
      </c>
      <c r="M398" s="52" t="n">
        <f aca="false">IF(AND(C398="Sales",F398="Standard-rated 5%"),L398,0)</f>
        <v>4830.07</v>
      </c>
      <c r="N398" s="52" t="n">
        <f aca="false">IF(F398="Reverse charge (imported services)",L398,0)</f>
        <v>0</v>
      </c>
      <c r="O398" s="52" t="n">
        <f aca="false">IF(C398&lt;&gt;"Purchase",0,IF(OR(I398="N",F398="Blocked input (entertainment)"),0,L398))</f>
        <v>0</v>
      </c>
      <c r="P398" s="52" t="n">
        <f aca="false">IF(C398&lt;&gt;"Purchase",0,L398-O398)</f>
        <v>0</v>
      </c>
      <c r="Q398" s="53" t="n">
        <f aca="false">J398-B398</f>
        <v>0</v>
      </c>
      <c r="R398" s="51" t="str">
        <f aca="false">IF(I398="N","Invalid / missing TRN",IF(F398="Blocked input (entertainment)","Blocked input",IF(Q398&gt;30,"Late posting (&gt;30d)","")))</f>
        <v/>
      </c>
    </row>
    <row r="399" customFormat="false" ht="15" hidden="false" customHeight="false" outlineLevel="0" collapsed="false">
      <c r="A399" s="47" t="s">
        <v>684</v>
      </c>
      <c r="B399" s="48" t="n">
        <v>45766</v>
      </c>
      <c r="C399" s="47" t="s">
        <v>166</v>
      </c>
      <c r="D399" s="47" t="s">
        <v>227</v>
      </c>
      <c r="E399" s="47" t="s">
        <v>101</v>
      </c>
      <c r="F399" s="47" t="s">
        <v>161</v>
      </c>
      <c r="G399" s="49" t="n">
        <v>38614.2</v>
      </c>
      <c r="H399" s="50" t="n">
        <v>0.05</v>
      </c>
      <c r="I399" s="47" t="s">
        <v>162</v>
      </c>
      <c r="J399" s="48" t="n">
        <v>45767</v>
      </c>
      <c r="K399" s="51" t="str">
        <f aca="false">"Q"&amp;ROUNDUP(MONTH(B399)/3,0)</f>
        <v>Q2</v>
      </c>
      <c r="L399" s="52" t="n">
        <f aca="false">ROUND(G399*H399,2)</f>
        <v>1930.71</v>
      </c>
      <c r="M399" s="52" t="n">
        <f aca="false">IF(AND(C399="Sales",F399="Standard-rated 5%"),L399,0)</f>
        <v>0</v>
      </c>
      <c r="N399" s="52" t="n">
        <f aca="false">IF(F399="Reverse charge (imported services)",L399,0)</f>
        <v>0</v>
      </c>
      <c r="O399" s="52" t="n">
        <f aca="false">IF(C399&lt;&gt;"Purchase",0,IF(OR(I399="N",F399="Blocked input (entertainment)"),0,L399))</f>
        <v>1930.71</v>
      </c>
      <c r="P399" s="52" t="n">
        <f aca="false">IF(C399&lt;&gt;"Purchase",0,L399-O399)</f>
        <v>0</v>
      </c>
      <c r="Q399" s="53" t="n">
        <f aca="false">J399-B399</f>
        <v>1</v>
      </c>
      <c r="R399" s="51" t="str">
        <f aca="false">IF(I399="N","Invalid / missing TRN",IF(F399="Blocked input (entertainment)","Blocked input",IF(Q399&gt;30,"Late posting (&gt;30d)","")))</f>
        <v/>
      </c>
    </row>
    <row r="400" customFormat="false" ht="15" hidden="false" customHeight="false" outlineLevel="0" collapsed="false">
      <c r="A400" s="47" t="s">
        <v>685</v>
      </c>
      <c r="B400" s="48" t="n">
        <v>45766</v>
      </c>
      <c r="C400" s="47" t="s">
        <v>166</v>
      </c>
      <c r="D400" s="47" t="s">
        <v>206</v>
      </c>
      <c r="E400" s="47" t="s">
        <v>100</v>
      </c>
      <c r="F400" s="47" t="s">
        <v>161</v>
      </c>
      <c r="G400" s="49" t="n">
        <v>9118.79</v>
      </c>
      <c r="H400" s="50" t="n">
        <v>0.05</v>
      </c>
      <c r="I400" s="47" t="s">
        <v>162</v>
      </c>
      <c r="J400" s="48" t="n">
        <v>45766</v>
      </c>
      <c r="K400" s="51" t="str">
        <f aca="false">"Q"&amp;ROUNDUP(MONTH(B400)/3,0)</f>
        <v>Q2</v>
      </c>
      <c r="L400" s="52" t="n">
        <f aca="false">ROUND(G400*H400,2)</f>
        <v>455.94</v>
      </c>
      <c r="M400" s="52" t="n">
        <f aca="false">IF(AND(C400="Sales",F400="Standard-rated 5%"),L400,0)</f>
        <v>0</v>
      </c>
      <c r="N400" s="52" t="n">
        <f aca="false">IF(F400="Reverse charge (imported services)",L400,0)</f>
        <v>0</v>
      </c>
      <c r="O400" s="52" t="n">
        <f aca="false">IF(C400&lt;&gt;"Purchase",0,IF(OR(I400="N",F400="Blocked input (entertainment)"),0,L400))</f>
        <v>455.94</v>
      </c>
      <c r="P400" s="52" t="n">
        <f aca="false">IF(C400&lt;&gt;"Purchase",0,L400-O400)</f>
        <v>0</v>
      </c>
      <c r="Q400" s="53" t="n">
        <f aca="false">J400-B400</f>
        <v>0</v>
      </c>
      <c r="R400" s="51" t="str">
        <f aca="false">IF(I400="N","Invalid / missing TRN",IF(F400="Blocked input (entertainment)","Blocked input",IF(Q400&gt;30,"Late posting (&gt;30d)","")))</f>
        <v/>
      </c>
    </row>
    <row r="401" customFormat="false" ht="15" hidden="false" customHeight="false" outlineLevel="0" collapsed="false">
      <c r="A401" s="47" t="s">
        <v>686</v>
      </c>
      <c r="B401" s="48" t="n">
        <v>45766</v>
      </c>
      <c r="C401" s="47" t="s">
        <v>166</v>
      </c>
      <c r="D401" s="47" t="s">
        <v>555</v>
      </c>
      <c r="E401" s="47" t="s">
        <v>101</v>
      </c>
      <c r="F401" s="47" t="s">
        <v>161</v>
      </c>
      <c r="G401" s="49" t="n">
        <v>21904.51</v>
      </c>
      <c r="H401" s="50" t="n">
        <v>0.05</v>
      </c>
      <c r="I401" s="47" t="s">
        <v>162</v>
      </c>
      <c r="J401" s="48" t="n">
        <v>45766</v>
      </c>
      <c r="K401" s="51" t="str">
        <f aca="false">"Q"&amp;ROUNDUP(MONTH(B401)/3,0)</f>
        <v>Q2</v>
      </c>
      <c r="L401" s="52" t="n">
        <f aca="false">ROUND(G401*H401,2)</f>
        <v>1095.23</v>
      </c>
      <c r="M401" s="52" t="n">
        <f aca="false">IF(AND(C401="Sales",F401="Standard-rated 5%"),L401,0)</f>
        <v>0</v>
      </c>
      <c r="N401" s="52" t="n">
        <f aca="false">IF(F401="Reverse charge (imported services)",L401,0)</f>
        <v>0</v>
      </c>
      <c r="O401" s="52" t="n">
        <f aca="false">IF(C401&lt;&gt;"Purchase",0,IF(OR(I401="N",F401="Blocked input (entertainment)"),0,L401))</f>
        <v>1095.23</v>
      </c>
      <c r="P401" s="52" t="n">
        <f aca="false">IF(C401&lt;&gt;"Purchase",0,L401-O401)</f>
        <v>0</v>
      </c>
      <c r="Q401" s="53" t="n">
        <f aca="false">J401-B401</f>
        <v>0</v>
      </c>
      <c r="R401" s="51" t="str">
        <f aca="false">IF(I401="N","Invalid / missing TRN",IF(F401="Blocked input (entertainment)","Blocked input",IF(Q401&gt;30,"Late posting (&gt;30d)","")))</f>
        <v/>
      </c>
    </row>
    <row r="402" customFormat="false" ht="15" hidden="false" customHeight="false" outlineLevel="0" collapsed="false">
      <c r="A402" s="47" t="s">
        <v>687</v>
      </c>
      <c r="B402" s="48" t="n">
        <v>45766</v>
      </c>
      <c r="C402" s="47" t="s">
        <v>166</v>
      </c>
      <c r="D402" s="47" t="s">
        <v>549</v>
      </c>
      <c r="E402" s="47" t="s">
        <v>100</v>
      </c>
      <c r="F402" s="47" t="s">
        <v>161</v>
      </c>
      <c r="G402" s="49" t="n">
        <v>5583.4</v>
      </c>
      <c r="H402" s="50" t="n">
        <v>0.05</v>
      </c>
      <c r="I402" s="47" t="s">
        <v>162</v>
      </c>
      <c r="J402" s="48" t="n">
        <v>45806</v>
      </c>
      <c r="K402" s="51" t="str">
        <f aca="false">"Q"&amp;ROUNDUP(MONTH(B402)/3,0)</f>
        <v>Q2</v>
      </c>
      <c r="L402" s="52" t="n">
        <f aca="false">ROUND(G402*H402,2)</f>
        <v>279.17</v>
      </c>
      <c r="M402" s="52" t="n">
        <f aca="false">IF(AND(C402="Sales",F402="Standard-rated 5%"),L402,0)</f>
        <v>0</v>
      </c>
      <c r="N402" s="52" t="n">
        <f aca="false">IF(F402="Reverse charge (imported services)",L402,0)</f>
        <v>0</v>
      </c>
      <c r="O402" s="52" t="n">
        <f aca="false">IF(C402&lt;&gt;"Purchase",0,IF(OR(I402="N",F402="Blocked input (entertainment)"),0,L402))</f>
        <v>279.17</v>
      </c>
      <c r="P402" s="52" t="n">
        <f aca="false">IF(C402&lt;&gt;"Purchase",0,L402-O402)</f>
        <v>0</v>
      </c>
      <c r="Q402" s="53" t="n">
        <f aca="false">J402-B402</f>
        <v>40</v>
      </c>
      <c r="R402" s="51" t="str">
        <f aca="false">IF(I402="N","Invalid / missing TRN",IF(F402="Blocked input (entertainment)","Blocked input",IF(Q402&gt;30,"Late posting (&gt;30d)","")))</f>
        <v>Late posting (&gt;30d)</v>
      </c>
    </row>
    <row r="403" customFormat="false" ht="15" hidden="false" customHeight="false" outlineLevel="0" collapsed="false">
      <c r="A403" s="47" t="s">
        <v>688</v>
      </c>
      <c r="B403" s="48" t="n">
        <v>45766</v>
      </c>
      <c r="C403" s="47" t="s">
        <v>166</v>
      </c>
      <c r="D403" s="47" t="s">
        <v>447</v>
      </c>
      <c r="E403" s="47" t="s">
        <v>101</v>
      </c>
      <c r="F403" s="47" t="s">
        <v>161</v>
      </c>
      <c r="G403" s="49" t="n">
        <v>51746.2</v>
      </c>
      <c r="H403" s="50" t="n">
        <v>0.05</v>
      </c>
      <c r="I403" s="47" t="s">
        <v>162</v>
      </c>
      <c r="J403" s="48" t="n">
        <v>45766</v>
      </c>
      <c r="K403" s="51" t="str">
        <f aca="false">"Q"&amp;ROUNDUP(MONTH(B403)/3,0)</f>
        <v>Q2</v>
      </c>
      <c r="L403" s="52" t="n">
        <f aca="false">ROUND(G403*H403,2)</f>
        <v>2587.31</v>
      </c>
      <c r="M403" s="52" t="n">
        <f aca="false">IF(AND(C403="Sales",F403="Standard-rated 5%"),L403,0)</f>
        <v>0</v>
      </c>
      <c r="N403" s="52" t="n">
        <f aca="false">IF(F403="Reverse charge (imported services)",L403,0)</f>
        <v>0</v>
      </c>
      <c r="O403" s="52" t="n">
        <f aca="false">IF(C403&lt;&gt;"Purchase",0,IF(OR(I403="N",F403="Blocked input (entertainment)"),0,L403))</f>
        <v>2587.31</v>
      </c>
      <c r="P403" s="52" t="n">
        <f aca="false">IF(C403&lt;&gt;"Purchase",0,L403-O403)</f>
        <v>0</v>
      </c>
      <c r="Q403" s="53" t="n">
        <f aca="false">J403-B403</f>
        <v>0</v>
      </c>
      <c r="R403" s="51" t="str">
        <f aca="false">IF(I403="N","Invalid / missing TRN",IF(F403="Blocked input (entertainment)","Blocked input",IF(Q403&gt;30,"Late posting (&gt;30d)","")))</f>
        <v/>
      </c>
    </row>
    <row r="404" customFormat="false" ht="15" hidden="false" customHeight="false" outlineLevel="0" collapsed="false">
      <c r="A404" s="47" t="s">
        <v>689</v>
      </c>
      <c r="B404" s="48" t="n">
        <v>45766</v>
      </c>
      <c r="C404" s="47" t="s">
        <v>166</v>
      </c>
      <c r="D404" s="47" t="s">
        <v>460</v>
      </c>
      <c r="E404" s="47" t="s">
        <v>102</v>
      </c>
      <c r="F404" s="47" t="s">
        <v>161</v>
      </c>
      <c r="G404" s="49" t="n">
        <v>12957.88</v>
      </c>
      <c r="H404" s="50" t="n">
        <v>0.05</v>
      </c>
      <c r="I404" s="47" t="s">
        <v>162</v>
      </c>
      <c r="J404" s="48" t="n">
        <v>45766</v>
      </c>
      <c r="K404" s="51" t="str">
        <f aca="false">"Q"&amp;ROUNDUP(MONTH(B404)/3,0)</f>
        <v>Q2</v>
      </c>
      <c r="L404" s="52" t="n">
        <f aca="false">ROUND(G404*H404,2)</f>
        <v>647.89</v>
      </c>
      <c r="M404" s="52" t="n">
        <f aca="false">IF(AND(C404="Sales",F404="Standard-rated 5%"),L404,0)</f>
        <v>0</v>
      </c>
      <c r="N404" s="52" t="n">
        <f aca="false">IF(F404="Reverse charge (imported services)",L404,0)</f>
        <v>0</v>
      </c>
      <c r="O404" s="52" t="n">
        <f aca="false">IF(C404&lt;&gt;"Purchase",0,IF(OR(I404="N",F404="Blocked input (entertainment)"),0,L404))</f>
        <v>647.89</v>
      </c>
      <c r="P404" s="52" t="n">
        <f aca="false">IF(C404&lt;&gt;"Purchase",0,L404-O404)</f>
        <v>0</v>
      </c>
      <c r="Q404" s="53" t="n">
        <f aca="false">J404-B404</f>
        <v>0</v>
      </c>
      <c r="R404" s="51" t="str">
        <f aca="false">IF(I404="N","Invalid / missing TRN",IF(F404="Blocked input (entertainment)","Blocked input",IF(Q404&gt;30,"Late posting (&gt;30d)","")))</f>
        <v/>
      </c>
    </row>
    <row r="405" customFormat="false" ht="15" hidden="false" customHeight="false" outlineLevel="0" collapsed="false">
      <c r="A405" s="47" t="s">
        <v>690</v>
      </c>
      <c r="B405" s="48" t="n">
        <v>45766</v>
      </c>
      <c r="C405" s="47" t="s">
        <v>159</v>
      </c>
      <c r="D405" s="47" t="s">
        <v>249</v>
      </c>
      <c r="E405" s="47" t="s">
        <v>102</v>
      </c>
      <c r="F405" s="47" t="s">
        <v>161</v>
      </c>
      <c r="G405" s="49" t="n">
        <v>20431.25</v>
      </c>
      <c r="H405" s="50" t="n">
        <v>0.05</v>
      </c>
      <c r="I405" s="47" t="s">
        <v>162</v>
      </c>
      <c r="J405" s="48" t="n">
        <v>45766</v>
      </c>
      <c r="K405" s="51" t="str">
        <f aca="false">"Q"&amp;ROUNDUP(MONTH(B405)/3,0)</f>
        <v>Q2</v>
      </c>
      <c r="L405" s="52" t="n">
        <f aca="false">ROUND(G405*H405,2)</f>
        <v>1021.56</v>
      </c>
      <c r="M405" s="52" t="n">
        <f aca="false">IF(AND(C405="Sales",F405="Standard-rated 5%"),L405,0)</f>
        <v>1021.56</v>
      </c>
      <c r="N405" s="52" t="n">
        <f aca="false">IF(F405="Reverse charge (imported services)",L405,0)</f>
        <v>0</v>
      </c>
      <c r="O405" s="52" t="n">
        <f aca="false">IF(C405&lt;&gt;"Purchase",0,IF(OR(I405="N",F405="Blocked input (entertainment)"),0,L405))</f>
        <v>0</v>
      </c>
      <c r="P405" s="52" t="n">
        <f aca="false">IF(C405&lt;&gt;"Purchase",0,L405-O405)</f>
        <v>0</v>
      </c>
      <c r="Q405" s="53" t="n">
        <f aca="false">J405-B405</f>
        <v>0</v>
      </c>
      <c r="R405" s="51" t="str">
        <f aca="false">IF(I405="N","Invalid / missing TRN",IF(F405="Blocked input (entertainment)","Blocked input",IF(Q405&gt;30,"Late posting (&gt;30d)","")))</f>
        <v/>
      </c>
    </row>
    <row r="406" customFormat="false" ht="15" hidden="false" customHeight="false" outlineLevel="0" collapsed="false">
      <c r="A406" s="47" t="s">
        <v>691</v>
      </c>
      <c r="B406" s="48" t="n">
        <v>45768</v>
      </c>
      <c r="C406" s="47" t="s">
        <v>166</v>
      </c>
      <c r="D406" s="47" t="s">
        <v>315</v>
      </c>
      <c r="E406" s="47" t="s">
        <v>100</v>
      </c>
      <c r="F406" s="47" t="s">
        <v>161</v>
      </c>
      <c r="G406" s="49" t="n">
        <v>49888.14</v>
      </c>
      <c r="H406" s="50" t="n">
        <v>0.05</v>
      </c>
      <c r="I406" s="47" t="s">
        <v>162</v>
      </c>
      <c r="J406" s="48" t="n">
        <v>45768</v>
      </c>
      <c r="K406" s="51" t="str">
        <f aca="false">"Q"&amp;ROUNDUP(MONTH(B406)/3,0)</f>
        <v>Q2</v>
      </c>
      <c r="L406" s="52" t="n">
        <f aca="false">ROUND(G406*H406,2)</f>
        <v>2494.41</v>
      </c>
      <c r="M406" s="52" t="n">
        <f aca="false">IF(AND(C406="Sales",F406="Standard-rated 5%"),L406,0)</f>
        <v>0</v>
      </c>
      <c r="N406" s="52" t="n">
        <f aca="false">IF(F406="Reverse charge (imported services)",L406,0)</f>
        <v>0</v>
      </c>
      <c r="O406" s="52" t="n">
        <f aca="false">IF(C406&lt;&gt;"Purchase",0,IF(OR(I406="N",F406="Blocked input (entertainment)"),0,L406))</f>
        <v>2494.41</v>
      </c>
      <c r="P406" s="52" t="n">
        <f aca="false">IF(C406&lt;&gt;"Purchase",0,L406-O406)</f>
        <v>0</v>
      </c>
      <c r="Q406" s="53" t="n">
        <f aca="false">J406-B406</f>
        <v>0</v>
      </c>
      <c r="R406" s="51" t="str">
        <f aca="false">IF(I406="N","Invalid / missing TRN",IF(F406="Blocked input (entertainment)","Blocked input",IF(Q406&gt;30,"Late posting (&gt;30d)","")))</f>
        <v/>
      </c>
    </row>
    <row r="407" customFormat="false" ht="15" hidden="false" customHeight="false" outlineLevel="0" collapsed="false">
      <c r="A407" s="47" t="s">
        <v>692</v>
      </c>
      <c r="B407" s="48" t="n">
        <v>45768</v>
      </c>
      <c r="C407" s="47" t="s">
        <v>166</v>
      </c>
      <c r="D407" s="47" t="s">
        <v>221</v>
      </c>
      <c r="E407" s="47" t="s">
        <v>100</v>
      </c>
      <c r="F407" s="47" t="s">
        <v>268</v>
      </c>
      <c r="G407" s="49" t="n">
        <v>82735.53</v>
      </c>
      <c r="H407" s="50" t="n">
        <v>0</v>
      </c>
      <c r="I407" s="47" t="s">
        <v>162</v>
      </c>
      <c r="J407" s="48" t="n">
        <v>45768</v>
      </c>
      <c r="K407" s="51" t="str">
        <f aca="false">"Q"&amp;ROUNDUP(MONTH(B407)/3,0)</f>
        <v>Q2</v>
      </c>
      <c r="L407" s="52" t="n">
        <f aca="false">ROUND(G407*H407,2)</f>
        <v>0</v>
      </c>
      <c r="M407" s="52" t="n">
        <f aca="false">IF(AND(C407="Sales",F407="Standard-rated 5%"),L407,0)</f>
        <v>0</v>
      </c>
      <c r="N407" s="52" t="n">
        <f aca="false">IF(F407="Reverse charge (imported services)",L407,0)</f>
        <v>0</v>
      </c>
      <c r="O407" s="52" t="n">
        <f aca="false">IF(C407&lt;&gt;"Purchase",0,IF(OR(I407="N",F407="Blocked input (entertainment)"),0,L407))</f>
        <v>0</v>
      </c>
      <c r="P407" s="52" t="n">
        <f aca="false">IF(C407&lt;&gt;"Purchase",0,L407-O407)</f>
        <v>0</v>
      </c>
      <c r="Q407" s="53" t="n">
        <f aca="false">J407-B407</f>
        <v>0</v>
      </c>
      <c r="R407" s="51" t="str">
        <f aca="false">IF(I407="N","Invalid / missing TRN",IF(F407="Blocked input (entertainment)","Blocked input",IF(Q407&gt;30,"Late posting (&gt;30d)","")))</f>
        <v/>
      </c>
    </row>
    <row r="408" customFormat="false" ht="15" hidden="false" customHeight="false" outlineLevel="0" collapsed="false">
      <c r="A408" s="47" t="s">
        <v>693</v>
      </c>
      <c r="B408" s="48" t="n">
        <v>45769</v>
      </c>
      <c r="C408" s="47" t="s">
        <v>166</v>
      </c>
      <c r="D408" s="47" t="s">
        <v>221</v>
      </c>
      <c r="E408" s="47" t="s">
        <v>102</v>
      </c>
      <c r="F408" s="47" t="s">
        <v>161</v>
      </c>
      <c r="G408" s="49" t="n">
        <v>39562.97</v>
      </c>
      <c r="H408" s="50" t="n">
        <v>0.05</v>
      </c>
      <c r="I408" s="47" t="s">
        <v>162</v>
      </c>
      <c r="J408" s="48" t="n">
        <v>45769</v>
      </c>
      <c r="K408" s="51" t="str">
        <f aca="false">"Q"&amp;ROUNDUP(MONTH(B408)/3,0)</f>
        <v>Q2</v>
      </c>
      <c r="L408" s="52" t="n">
        <f aca="false">ROUND(G408*H408,2)</f>
        <v>1978.15</v>
      </c>
      <c r="M408" s="52" t="n">
        <f aca="false">IF(AND(C408="Sales",F408="Standard-rated 5%"),L408,0)</f>
        <v>0</v>
      </c>
      <c r="N408" s="52" t="n">
        <f aca="false">IF(F408="Reverse charge (imported services)",L408,0)</f>
        <v>0</v>
      </c>
      <c r="O408" s="52" t="n">
        <f aca="false">IF(C408&lt;&gt;"Purchase",0,IF(OR(I408="N",F408="Blocked input (entertainment)"),0,L408))</f>
        <v>1978.15</v>
      </c>
      <c r="P408" s="52" t="n">
        <f aca="false">IF(C408&lt;&gt;"Purchase",0,L408-O408)</f>
        <v>0</v>
      </c>
      <c r="Q408" s="53" t="n">
        <f aca="false">J408-B408</f>
        <v>0</v>
      </c>
      <c r="R408" s="51" t="str">
        <f aca="false">IF(I408="N","Invalid / missing TRN",IF(F408="Blocked input (entertainment)","Blocked input",IF(Q408&gt;30,"Late posting (&gt;30d)","")))</f>
        <v/>
      </c>
    </row>
    <row r="409" customFormat="false" ht="15" hidden="false" customHeight="false" outlineLevel="0" collapsed="false">
      <c r="A409" s="47" t="s">
        <v>694</v>
      </c>
      <c r="B409" s="48" t="n">
        <v>45769</v>
      </c>
      <c r="C409" s="47" t="s">
        <v>166</v>
      </c>
      <c r="D409" s="47" t="s">
        <v>194</v>
      </c>
      <c r="E409" s="47" t="s">
        <v>102</v>
      </c>
      <c r="F409" s="47" t="s">
        <v>161</v>
      </c>
      <c r="G409" s="49" t="n">
        <v>10227.52</v>
      </c>
      <c r="H409" s="50" t="n">
        <v>0.05</v>
      </c>
      <c r="I409" s="47" t="s">
        <v>162</v>
      </c>
      <c r="J409" s="48" t="n">
        <v>45769</v>
      </c>
      <c r="K409" s="51" t="str">
        <f aca="false">"Q"&amp;ROUNDUP(MONTH(B409)/3,0)</f>
        <v>Q2</v>
      </c>
      <c r="L409" s="52" t="n">
        <f aca="false">ROUND(G409*H409,2)</f>
        <v>511.38</v>
      </c>
      <c r="M409" s="52" t="n">
        <f aca="false">IF(AND(C409="Sales",F409="Standard-rated 5%"),L409,0)</f>
        <v>0</v>
      </c>
      <c r="N409" s="52" t="n">
        <f aca="false">IF(F409="Reverse charge (imported services)",L409,0)</f>
        <v>0</v>
      </c>
      <c r="O409" s="52" t="n">
        <f aca="false">IF(C409&lt;&gt;"Purchase",0,IF(OR(I409="N",F409="Blocked input (entertainment)"),0,L409))</f>
        <v>511.38</v>
      </c>
      <c r="P409" s="52" t="n">
        <f aca="false">IF(C409&lt;&gt;"Purchase",0,L409-O409)</f>
        <v>0</v>
      </c>
      <c r="Q409" s="53" t="n">
        <f aca="false">J409-B409</f>
        <v>0</v>
      </c>
      <c r="R409" s="51" t="str">
        <f aca="false">IF(I409="N","Invalid / missing TRN",IF(F409="Blocked input (entertainment)","Blocked input",IF(Q409&gt;30,"Late posting (&gt;30d)","")))</f>
        <v/>
      </c>
    </row>
    <row r="410" customFormat="false" ht="15" hidden="false" customHeight="false" outlineLevel="0" collapsed="false">
      <c r="A410" s="47" t="s">
        <v>695</v>
      </c>
      <c r="B410" s="48" t="n">
        <v>45769</v>
      </c>
      <c r="C410" s="47" t="s">
        <v>166</v>
      </c>
      <c r="D410" s="47" t="s">
        <v>462</v>
      </c>
      <c r="E410" s="47" t="s">
        <v>102</v>
      </c>
      <c r="F410" s="47" t="s">
        <v>161</v>
      </c>
      <c r="G410" s="49" t="n">
        <v>127038.48</v>
      </c>
      <c r="H410" s="50" t="n">
        <v>0.05</v>
      </c>
      <c r="I410" s="47" t="s">
        <v>162</v>
      </c>
      <c r="J410" s="48" t="n">
        <v>45769</v>
      </c>
      <c r="K410" s="51" t="str">
        <f aca="false">"Q"&amp;ROUNDUP(MONTH(B410)/3,0)</f>
        <v>Q2</v>
      </c>
      <c r="L410" s="52" t="n">
        <f aca="false">ROUND(G410*H410,2)</f>
        <v>6351.92</v>
      </c>
      <c r="M410" s="52" t="n">
        <f aca="false">IF(AND(C410="Sales",F410="Standard-rated 5%"),L410,0)</f>
        <v>0</v>
      </c>
      <c r="N410" s="52" t="n">
        <f aca="false">IF(F410="Reverse charge (imported services)",L410,0)</f>
        <v>0</v>
      </c>
      <c r="O410" s="52" t="n">
        <f aca="false">IF(C410&lt;&gt;"Purchase",0,IF(OR(I410="N",F410="Blocked input (entertainment)"),0,L410))</f>
        <v>6351.92</v>
      </c>
      <c r="P410" s="52" t="n">
        <f aca="false">IF(C410&lt;&gt;"Purchase",0,L410-O410)</f>
        <v>0</v>
      </c>
      <c r="Q410" s="53" t="n">
        <f aca="false">J410-B410</f>
        <v>0</v>
      </c>
      <c r="R410" s="51" t="str">
        <f aca="false">IF(I410="N","Invalid / missing TRN",IF(F410="Blocked input (entertainment)","Blocked input",IF(Q410&gt;30,"Late posting (&gt;30d)","")))</f>
        <v/>
      </c>
    </row>
    <row r="411" customFormat="false" ht="15" hidden="false" customHeight="false" outlineLevel="0" collapsed="false">
      <c r="A411" s="47" t="s">
        <v>696</v>
      </c>
      <c r="B411" s="48" t="n">
        <v>45769</v>
      </c>
      <c r="C411" s="47" t="s">
        <v>166</v>
      </c>
      <c r="D411" s="47" t="s">
        <v>514</v>
      </c>
      <c r="E411" s="47" t="s">
        <v>100</v>
      </c>
      <c r="F411" s="47" t="s">
        <v>161</v>
      </c>
      <c r="G411" s="49" t="n">
        <v>24049.63</v>
      </c>
      <c r="H411" s="50" t="n">
        <v>0.05</v>
      </c>
      <c r="I411" s="47" t="s">
        <v>162</v>
      </c>
      <c r="J411" s="48" t="n">
        <v>45769</v>
      </c>
      <c r="K411" s="51" t="str">
        <f aca="false">"Q"&amp;ROUNDUP(MONTH(B411)/3,0)</f>
        <v>Q2</v>
      </c>
      <c r="L411" s="52" t="n">
        <f aca="false">ROUND(G411*H411,2)</f>
        <v>1202.48</v>
      </c>
      <c r="M411" s="52" t="n">
        <f aca="false">IF(AND(C411="Sales",F411="Standard-rated 5%"),L411,0)</f>
        <v>0</v>
      </c>
      <c r="N411" s="52" t="n">
        <f aca="false">IF(F411="Reverse charge (imported services)",L411,0)</f>
        <v>0</v>
      </c>
      <c r="O411" s="52" t="n">
        <f aca="false">IF(C411&lt;&gt;"Purchase",0,IF(OR(I411="N",F411="Blocked input (entertainment)"),0,L411))</f>
        <v>1202.48</v>
      </c>
      <c r="P411" s="52" t="n">
        <f aca="false">IF(C411&lt;&gt;"Purchase",0,L411-O411)</f>
        <v>0</v>
      </c>
      <c r="Q411" s="53" t="n">
        <f aca="false">J411-B411</f>
        <v>0</v>
      </c>
      <c r="R411" s="51" t="str">
        <f aca="false">IF(I411="N","Invalid / missing TRN",IF(F411="Blocked input (entertainment)","Blocked input",IF(Q411&gt;30,"Late posting (&gt;30d)","")))</f>
        <v/>
      </c>
    </row>
    <row r="412" customFormat="false" ht="15" hidden="false" customHeight="false" outlineLevel="0" collapsed="false">
      <c r="A412" s="47" t="s">
        <v>697</v>
      </c>
      <c r="B412" s="48" t="n">
        <v>45769</v>
      </c>
      <c r="C412" s="47" t="s">
        <v>159</v>
      </c>
      <c r="D412" s="47" t="s">
        <v>237</v>
      </c>
      <c r="E412" s="47" t="s">
        <v>101</v>
      </c>
      <c r="F412" s="47" t="s">
        <v>161</v>
      </c>
      <c r="G412" s="49" t="n">
        <v>42187.68</v>
      </c>
      <c r="H412" s="50" t="n">
        <v>0.05</v>
      </c>
      <c r="I412" s="47" t="s">
        <v>162</v>
      </c>
      <c r="J412" s="48" t="n">
        <v>45769</v>
      </c>
      <c r="K412" s="51" t="str">
        <f aca="false">"Q"&amp;ROUNDUP(MONTH(B412)/3,0)</f>
        <v>Q2</v>
      </c>
      <c r="L412" s="52" t="n">
        <f aca="false">ROUND(G412*H412,2)</f>
        <v>2109.38</v>
      </c>
      <c r="M412" s="52" t="n">
        <f aca="false">IF(AND(C412="Sales",F412="Standard-rated 5%"),L412,0)</f>
        <v>2109.38</v>
      </c>
      <c r="N412" s="52" t="n">
        <f aca="false">IF(F412="Reverse charge (imported services)",L412,0)</f>
        <v>0</v>
      </c>
      <c r="O412" s="52" t="n">
        <f aca="false">IF(C412&lt;&gt;"Purchase",0,IF(OR(I412="N",F412="Blocked input (entertainment)"),0,L412))</f>
        <v>0</v>
      </c>
      <c r="P412" s="52" t="n">
        <f aca="false">IF(C412&lt;&gt;"Purchase",0,L412-O412)</f>
        <v>0</v>
      </c>
      <c r="Q412" s="53" t="n">
        <f aca="false">J412-B412</f>
        <v>0</v>
      </c>
      <c r="R412" s="51" t="str">
        <f aca="false">IF(I412="N","Invalid / missing TRN",IF(F412="Blocked input (entertainment)","Blocked input",IF(Q412&gt;30,"Late posting (&gt;30d)","")))</f>
        <v/>
      </c>
    </row>
    <row r="413" customFormat="false" ht="15" hidden="false" customHeight="false" outlineLevel="0" collapsed="false">
      <c r="A413" s="47" t="s">
        <v>698</v>
      </c>
      <c r="B413" s="48" t="n">
        <v>45769</v>
      </c>
      <c r="C413" s="47" t="s">
        <v>159</v>
      </c>
      <c r="D413" s="47" t="s">
        <v>283</v>
      </c>
      <c r="E413" s="47" t="s">
        <v>100</v>
      </c>
      <c r="F413" s="47" t="s">
        <v>161</v>
      </c>
      <c r="G413" s="49" t="n">
        <v>69369.06</v>
      </c>
      <c r="H413" s="50" t="n">
        <v>0.05</v>
      </c>
      <c r="I413" s="47" t="s">
        <v>162</v>
      </c>
      <c r="J413" s="48" t="n">
        <v>45769</v>
      </c>
      <c r="K413" s="51" t="str">
        <f aca="false">"Q"&amp;ROUNDUP(MONTH(B413)/3,0)</f>
        <v>Q2</v>
      </c>
      <c r="L413" s="52" t="n">
        <f aca="false">ROUND(G413*H413,2)</f>
        <v>3468.45</v>
      </c>
      <c r="M413" s="52" t="n">
        <f aca="false">IF(AND(C413="Sales",F413="Standard-rated 5%"),L413,0)</f>
        <v>3468.45</v>
      </c>
      <c r="N413" s="52" t="n">
        <f aca="false">IF(F413="Reverse charge (imported services)",L413,0)</f>
        <v>0</v>
      </c>
      <c r="O413" s="52" t="n">
        <f aca="false">IF(C413&lt;&gt;"Purchase",0,IF(OR(I413="N",F413="Blocked input (entertainment)"),0,L413))</f>
        <v>0</v>
      </c>
      <c r="P413" s="52" t="n">
        <f aca="false">IF(C413&lt;&gt;"Purchase",0,L413-O413)</f>
        <v>0</v>
      </c>
      <c r="Q413" s="53" t="n">
        <f aca="false">J413-B413</f>
        <v>0</v>
      </c>
      <c r="R413" s="51" t="str">
        <f aca="false">IF(I413="N","Invalid / missing TRN",IF(F413="Blocked input (entertainment)","Blocked input",IF(Q413&gt;30,"Late posting (&gt;30d)","")))</f>
        <v/>
      </c>
    </row>
    <row r="414" customFormat="false" ht="15" hidden="false" customHeight="false" outlineLevel="0" collapsed="false">
      <c r="A414" s="47" t="s">
        <v>699</v>
      </c>
      <c r="B414" s="48" t="n">
        <v>45769</v>
      </c>
      <c r="C414" s="47" t="s">
        <v>159</v>
      </c>
      <c r="D414" s="47" t="s">
        <v>179</v>
      </c>
      <c r="E414" s="47" t="s">
        <v>100</v>
      </c>
      <c r="F414" s="47" t="s">
        <v>161</v>
      </c>
      <c r="G414" s="49" t="n">
        <v>34458.06</v>
      </c>
      <c r="H414" s="50" t="n">
        <v>0.05</v>
      </c>
      <c r="I414" s="47" t="s">
        <v>162</v>
      </c>
      <c r="J414" s="48" t="n">
        <v>45769</v>
      </c>
      <c r="K414" s="51" t="str">
        <f aca="false">"Q"&amp;ROUNDUP(MONTH(B414)/3,0)</f>
        <v>Q2</v>
      </c>
      <c r="L414" s="52" t="n">
        <f aca="false">ROUND(G414*H414,2)</f>
        <v>1722.9</v>
      </c>
      <c r="M414" s="52" t="n">
        <f aca="false">IF(AND(C414="Sales",F414="Standard-rated 5%"),L414,0)</f>
        <v>1722.9</v>
      </c>
      <c r="N414" s="52" t="n">
        <f aca="false">IF(F414="Reverse charge (imported services)",L414,0)</f>
        <v>0</v>
      </c>
      <c r="O414" s="52" t="n">
        <f aca="false">IF(C414&lt;&gt;"Purchase",0,IF(OR(I414="N",F414="Blocked input (entertainment)"),0,L414))</f>
        <v>0</v>
      </c>
      <c r="P414" s="52" t="n">
        <f aca="false">IF(C414&lt;&gt;"Purchase",0,L414-O414)</f>
        <v>0</v>
      </c>
      <c r="Q414" s="53" t="n">
        <f aca="false">J414-B414</f>
        <v>0</v>
      </c>
      <c r="R414" s="51" t="str">
        <f aca="false">IF(I414="N","Invalid / missing TRN",IF(F414="Blocked input (entertainment)","Blocked input",IF(Q414&gt;30,"Late posting (&gt;30d)","")))</f>
        <v/>
      </c>
    </row>
    <row r="415" customFormat="false" ht="15" hidden="false" customHeight="false" outlineLevel="0" collapsed="false">
      <c r="A415" s="47" t="s">
        <v>700</v>
      </c>
      <c r="B415" s="48" t="n">
        <v>45770</v>
      </c>
      <c r="C415" s="47" t="s">
        <v>166</v>
      </c>
      <c r="D415" s="47" t="s">
        <v>390</v>
      </c>
      <c r="E415" s="47" t="s">
        <v>100</v>
      </c>
      <c r="F415" s="47" t="s">
        <v>173</v>
      </c>
      <c r="G415" s="49" t="n">
        <v>24137.98</v>
      </c>
      <c r="H415" s="50" t="n">
        <v>0.05</v>
      </c>
      <c r="I415" s="47" t="s">
        <v>162</v>
      </c>
      <c r="J415" s="48" t="n">
        <v>45770</v>
      </c>
      <c r="K415" s="51" t="str">
        <f aca="false">"Q"&amp;ROUNDUP(MONTH(B415)/3,0)</f>
        <v>Q2</v>
      </c>
      <c r="L415" s="52" t="n">
        <f aca="false">ROUND(G415*H415,2)</f>
        <v>1206.9</v>
      </c>
      <c r="M415" s="52" t="n">
        <f aca="false">IF(AND(C415="Sales",F415="Standard-rated 5%"),L415,0)</f>
        <v>0</v>
      </c>
      <c r="N415" s="52" t="n">
        <f aca="false">IF(F415="Reverse charge (imported services)",L415,0)</f>
        <v>1206.9</v>
      </c>
      <c r="O415" s="52" t="n">
        <f aca="false">IF(C415&lt;&gt;"Purchase",0,IF(OR(I415="N",F415="Blocked input (entertainment)"),0,L415))</f>
        <v>1206.9</v>
      </c>
      <c r="P415" s="52" t="n">
        <f aca="false">IF(C415&lt;&gt;"Purchase",0,L415-O415)</f>
        <v>0</v>
      </c>
      <c r="Q415" s="53" t="n">
        <f aca="false">J415-B415</f>
        <v>0</v>
      </c>
      <c r="R415" s="51" t="str">
        <f aca="false">IF(I415="N","Invalid / missing TRN",IF(F415="Blocked input (entertainment)","Blocked input",IF(Q415&gt;30,"Late posting (&gt;30d)","")))</f>
        <v/>
      </c>
    </row>
    <row r="416" customFormat="false" ht="15" hidden="false" customHeight="false" outlineLevel="0" collapsed="false">
      <c r="A416" s="47" t="s">
        <v>701</v>
      </c>
      <c r="B416" s="48" t="n">
        <v>45770</v>
      </c>
      <c r="C416" s="47" t="s">
        <v>159</v>
      </c>
      <c r="D416" s="47" t="s">
        <v>245</v>
      </c>
      <c r="E416" s="47" t="s">
        <v>100</v>
      </c>
      <c r="F416" s="47" t="s">
        <v>161</v>
      </c>
      <c r="G416" s="49" t="n">
        <v>38824.84</v>
      </c>
      <c r="H416" s="50" t="n">
        <v>0.05</v>
      </c>
      <c r="I416" s="47" t="s">
        <v>162</v>
      </c>
      <c r="J416" s="48" t="n">
        <v>45775</v>
      </c>
      <c r="K416" s="51" t="str">
        <f aca="false">"Q"&amp;ROUNDUP(MONTH(B416)/3,0)</f>
        <v>Q2</v>
      </c>
      <c r="L416" s="52" t="n">
        <f aca="false">ROUND(G416*H416,2)</f>
        <v>1941.24</v>
      </c>
      <c r="M416" s="52" t="n">
        <f aca="false">IF(AND(C416="Sales",F416="Standard-rated 5%"),L416,0)</f>
        <v>1941.24</v>
      </c>
      <c r="N416" s="52" t="n">
        <f aca="false">IF(F416="Reverse charge (imported services)",L416,0)</f>
        <v>0</v>
      </c>
      <c r="O416" s="52" t="n">
        <f aca="false">IF(C416&lt;&gt;"Purchase",0,IF(OR(I416="N",F416="Blocked input (entertainment)"),0,L416))</f>
        <v>0</v>
      </c>
      <c r="P416" s="52" t="n">
        <f aca="false">IF(C416&lt;&gt;"Purchase",0,L416-O416)</f>
        <v>0</v>
      </c>
      <c r="Q416" s="53" t="n">
        <f aca="false">J416-B416</f>
        <v>5</v>
      </c>
      <c r="R416" s="51" t="str">
        <f aca="false">IF(I416="N","Invalid / missing TRN",IF(F416="Blocked input (entertainment)","Blocked input",IF(Q416&gt;30,"Late posting (&gt;30d)","")))</f>
        <v/>
      </c>
    </row>
    <row r="417" customFormat="false" ht="15" hidden="false" customHeight="false" outlineLevel="0" collapsed="false">
      <c r="A417" s="47" t="s">
        <v>702</v>
      </c>
      <c r="B417" s="48" t="n">
        <v>45770</v>
      </c>
      <c r="C417" s="47" t="s">
        <v>159</v>
      </c>
      <c r="D417" s="47" t="s">
        <v>583</v>
      </c>
      <c r="E417" s="47" t="s">
        <v>100</v>
      </c>
      <c r="F417" s="47" t="s">
        <v>161</v>
      </c>
      <c r="G417" s="49" t="n">
        <v>88617.89</v>
      </c>
      <c r="H417" s="50" t="n">
        <v>0.05</v>
      </c>
      <c r="I417" s="47" t="s">
        <v>162</v>
      </c>
      <c r="J417" s="48" t="n">
        <v>45770</v>
      </c>
      <c r="K417" s="51" t="str">
        <f aca="false">"Q"&amp;ROUNDUP(MONTH(B417)/3,0)</f>
        <v>Q2</v>
      </c>
      <c r="L417" s="52" t="n">
        <f aca="false">ROUND(G417*H417,2)</f>
        <v>4430.89</v>
      </c>
      <c r="M417" s="52" t="n">
        <f aca="false">IF(AND(C417="Sales",F417="Standard-rated 5%"),L417,0)</f>
        <v>4430.89</v>
      </c>
      <c r="N417" s="52" t="n">
        <f aca="false">IF(F417="Reverse charge (imported services)",L417,0)</f>
        <v>0</v>
      </c>
      <c r="O417" s="52" t="n">
        <f aca="false">IF(C417&lt;&gt;"Purchase",0,IF(OR(I417="N",F417="Blocked input (entertainment)"),0,L417))</f>
        <v>0</v>
      </c>
      <c r="P417" s="52" t="n">
        <f aca="false">IF(C417&lt;&gt;"Purchase",0,L417-O417)</f>
        <v>0</v>
      </c>
      <c r="Q417" s="53" t="n">
        <f aca="false">J417-B417</f>
        <v>0</v>
      </c>
      <c r="R417" s="51" t="str">
        <f aca="false">IF(I417="N","Invalid / missing TRN",IF(F417="Blocked input (entertainment)","Blocked input",IF(Q417&gt;30,"Late posting (&gt;30d)","")))</f>
        <v/>
      </c>
    </row>
    <row r="418" customFormat="false" ht="15" hidden="false" customHeight="false" outlineLevel="0" collapsed="false">
      <c r="A418" s="47" t="s">
        <v>703</v>
      </c>
      <c r="B418" s="48" t="n">
        <v>45770</v>
      </c>
      <c r="C418" s="47" t="s">
        <v>159</v>
      </c>
      <c r="D418" s="47" t="s">
        <v>534</v>
      </c>
      <c r="E418" s="47" t="s">
        <v>100</v>
      </c>
      <c r="F418" s="47" t="s">
        <v>161</v>
      </c>
      <c r="G418" s="49" t="n">
        <v>98398.93</v>
      </c>
      <c r="H418" s="50" t="n">
        <v>0.05</v>
      </c>
      <c r="I418" s="47" t="s">
        <v>162</v>
      </c>
      <c r="J418" s="48" t="n">
        <v>45770</v>
      </c>
      <c r="K418" s="51" t="str">
        <f aca="false">"Q"&amp;ROUNDUP(MONTH(B418)/3,0)</f>
        <v>Q2</v>
      </c>
      <c r="L418" s="52" t="n">
        <f aca="false">ROUND(G418*H418,2)</f>
        <v>4919.95</v>
      </c>
      <c r="M418" s="52" t="n">
        <f aca="false">IF(AND(C418="Sales",F418="Standard-rated 5%"),L418,0)</f>
        <v>4919.95</v>
      </c>
      <c r="N418" s="52" t="n">
        <f aca="false">IF(F418="Reverse charge (imported services)",L418,0)</f>
        <v>0</v>
      </c>
      <c r="O418" s="52" t="n">
        <f aca="false">IF(C418&lt;&gt;"Purchase",0,IF(OR(I418="N",F418="Blocked input (entertainment)"),0,L418))</f>
        <v>0</v>
      </c>
      <c r="P418" s="52" t="n">
        <f aca="false">IF(C418&lt;&gt;"Purchase",0,L418-O418)</f>
        <v>0</v>
      </c>
      <c r="Q418" s="53" t="n">
        <f aca="false">J418-B418</f>
        <v>0</v>
      </c>
      <c r="R418" s="51" t="str">
        <f aca="false">IF(I418="N","Invalid / missing TRN",IF(F418="Blocked input (entertainment)","Blocked input",IF(Q418&gt;30,"Late posting (&gt;30d)","")))</f>
        <v/>
      </c>
    </row>
    <row r="419" customFormat="false" ht="15" hidden="false" customHeight="false" outlineLevel="0" collapsed="false">
      <c r="A419" s="47" t="s">
        <v>704</v>
      </c>
      <c r="B419" s="48" t="n">
        <v>45771</v>
      </c>
      <c r="C419" s="47" t="s">
        <v>166</v>
      </c>
      <c r="D419" s="47" t="s">
        <v>272</v>
      </c>
      <c r="E419" s="47" t="s">
        <v>100</v>
      </c>
      <c r="F419" s="47" t="s">
        <v>161</v>
      </c>
      <c r="G419" s="49" t="n">
        <v>8235.59</v>
      </c>
      <c r="H419" s="50" t="n">
        <v>0.05</v>
      </c>
      <c r="I419" s="47" t="s">
        <v>162</v>
      </c>
      <c r="J419" s="48" t="n">
        <v>45771</v>
      </c>
      <c r="K419" s="51" t="str">
        <f aca="false">"Q"&amp;ROUNDUP(MONTH(B419)/3,0)</f>
        <v>Q2</v>
      </c>
      <c r="L419" s="52" t="n">
        <f aca="false">ROUND(G419*H419,2)</f>
        <v>411.78</v>
      </c>
      <c r="M419" s="52" t="n">
        <f aca="false">IF(AND(C419="Sales",F419="Standard-rated 5%"),L419,0)</f>
        <v>0</v>
      </c>
      <c r="N419" s="52" t="n">
        <f aca="false">IF(F419="Reverse charge (imported services)",L419,0)</f>
        <v>0</v>
      </c>
      <c r="O419" s="52" t="n">
        <f aca="false">IF(C419&lt;&gt;"Purchase",0,IF(OR(I419="N",F419="Blocked input (entertainment)"),0,L419))</f>
        <v>411.78</v>
      </c>
      <c r="P419" s="52" t="n">
        <f aca="false">IF(C419&lt;&gt;"Purchase",0,L419-O419)</f>
        <v>0</v>
      </c>
      <c r="Q419" s="53" t="n">
        <f aca="false">J419-B419</f>
        <v>0</v>
      </c>
      <c r="R419" s="51" t="str">
        <f aca="false">IF(I419="N","Invalid / missing TRN",IF(F419="Blocked input (entertainment)","Blocked input",IF(Q419&gt;30,"Late posting (&gt;30d)","")))</f>
        <v/>
      </c>
    </row>
    <row r="420" customFormat="false" ht="15" hidden="false" customHeight="false" outlineLevel="0" collapsed="false">
      <c r="A420" s="47" t="s">
        <v>705</v>
      </c>
      <c r="B420" s="48" t="n">
        <v>45771</v>
      </c>
      <c r="C420" s="47" t="s">
        <v>166</v>
      </c>
      <c r="D420" s="47" t="s">
        <v>255</v>
      </c>
      <c r="E420" s="47" t="s">
        <v>101</v>
      </c>
      <c r="F420" s="47" t="s">
        <v>173</v>
      </c>
      <c r="G420" s="49" t="n">
        <v>28798.63</v>
      </c>
      <c r="H420" s="50" t="n">
        <v>0.05</v>
      </c>
      <c r="I420" s="47" t="s">
        <v>162</v>
      </c>
      <c r="J420" s="48" t="n">
        <v>45771</v>
      </c>
      <c r="K420" s="51" t="str">
        <f aca="false">"Q"&amp;ROUNDUP(MONTH(B420)/3,0)</f>
        <v>Q2</v>
      </c>
      <c r="L420" s="52" t="n">
        <f aca="false">ROUND(G420*H420,2)</f>
        <v>1439.93</v>
      </c>
      <c r="M420" s="52" t="n">
        <f aca="false">IF(AND(C420="Sales",F420="Standard-rated 5%"),L420,0)</f>
        <v>0</v>
      </c>
      <c r="N420" s="52" t="n">
        <f aca="false">IF(F420="Reverse charge (imported services)",L420,0)</f>
        <v>1439.93</v>
      </c>
      <c r="O420" s="52" t="n">
        <f aca="false">IF(C420&lt;&gt;"Purchase",0,IF(OR(I420="N",F420="Blocked input (entertainment)"),0,L420))</f>
        <v>1439.93</v>
      </c>
      <c r="P420" s="52" t="n">
        <f aca="false">IF(C420&lt;&gt;"Purchase",0,L420-O420)</f>
        <v>0</v>
      </c>
      <c r="Q420" s="53" t="n">
        <f aca="false">J420-B420</f>
        <v>0</v>
      </c>
      <c r="R420" s="51" t="str">
        <f aca="false">IF(I420="N","Invalid / missing TRN",IF(F420="Blocked input (entertainment)","Blocked input",IF(Q420&gt;30,"Late posting (&gt;30d)","")))</f>
        <v/>
      </c>
    </row>
    <row r="421" customFormat="false" ht="15" hidden="false" customHeight="false" outlineLevel="0" collapsed="false">
      <c r="A421" s="47" t="s">
        <v>706</v>
      </c>
      <c r="B421" s="48" t="n">
        <v>45771</v>
      </c>
      <c r="C421" s="47" t="s">
        <v>159</v>
      </c>
      <c r="D421" s="47" t="s">
        <v>364</v>
      </c>
      <c r="E421" s="47" t="s">
        <v>100</v>
      </c>
      <c r="F421" s="47" t="s">
        <v>161</v>
      </c>
      <c r="G421" s="49" t="n">
        <v>13904.47</v>
      </c>
      <c r="H421" s="50" t="n">
        <v>0.05</v>
      </c>
      <c r="I421" s="47" t="s">
        <v>162</v>
      </c>
      <c r="J421" s="48" t="n">
        <v>45771</v>
      </c>
      <c r="K421" s="51" t="str">
        <f aca="false">"Q"&amp;ROUNDUP(MONTH(B421)/3,0)</f>
        <v>Q2</v>
      </c>
      <c r="L421" s="52" t="n">
        <f aca="false">ROUND(G421*H421,2)</f>
        <v>695.22</v>
      </c>
      <c r="M421" s="52" t="n">
        <f aca="false">IF(AND(C421="Sales",F421="Standard-rated 5%"),L421,0)</f>
        <v>695.22</v>
      </c>
      <c r="N421" s="52" t="n">
        <f aca="false">IF(F421="Reverse charge (imported services)",L421,0)</f>
        <v>0</v>
      </c>
      <c r="O421" s="52" t="n">
        <f aca="false">IF(C421&lt;&gt;"Purchase",0,IF(OR(I421="N",F421="Blocked input (entertainment)"),0,L421))</f>
        <v>0</v>
      </c>
      <c r="P421" s="52" t="n">
        <f aca="false">IF(C421&lt;&gt;"Purchase",0,L421-O421)</f>
        <v>0</v>
      </c>
      <c r="Q421" s="53" t="n">
        <f aca="false">J421-B421</f>
        <v>0</v>
      </c>
      <c r="R421" s="51" t="str">
        <f aca="false">IF(I421="N","Invalid / missing TRN",IF(F421="Blocked input (entertainment)","Blocked input",IF(Q421&gt;30,"Late posting (&gt;30d)","")))</f>
        <v/>
      </c>
    </row>
    <row r="422" customFormat="false" ht="15" hidden="false" customHeight="false" outlineLevel="0" collapsed="false">
      <c r="A422" s="47" t="s">
        <v>707</v>
      </c>
      <c r="B422" s="48" t="n">
        <v>45772</v>
      </c>
      <c r="C422" s="47" t="s">
        <v>166</v>
      </c>
      <c r="D422" s="47" t="s">
        <v>201</v>
      </c>
      <c r="E422" s="47" t="s">
        <v>106</v>
      </c>
      <c r="F422" s="47" t="s">
        <v>161</v>
      </c>
      <c r="G422" s="49" t="n">
        <v>17010.95</v>
      </c>
      <c r="H422" s="50" t="n">
        <v>0.05</v>
      </c>
      <c r="I422" s="47" t="s">
        <v>162</v>
      </c>
      <c r="J422" s="48" t="n">
        <v>45772</v>
      </c>
      <c r="K422" s="51" t="str">
        <f aca="false">"Q"&amp;ROUNDUP(MONTH(B422)/3,0)</f>
        <v>Q2</v>
      </c>
      <c r="L422" s="52" t="n">
        <f aca="false">ROUND(G422*H422,2)</f>
        <v>850.55</v>
      </c>
      <c r="M422" s="52" t="n">
        <f aca="false">IF(AND(C422="Sales",F422="Standard-rated 5%"),L422,0)</f>
        <v>0</v>
      </c>
      <c r="N422" s="52" t="n">
        <f aca="false">IF(F422="Reverse charge (imported services)",L422,0)</f>
        <v>0</v>
      </c>
      <c r="O422" s="52" t="n">
        <f aca="false">IF(C422&lt;&gt;"Purchase",0,IF(OR(I422="N",F422="Blocked input (entertainment)"),0,L422))</f>
        <v>850.55</v>
      </c>
      <c r="P422" s="52" t="n">
        <f aca="false">IF(C422&lt;&gt;"Purchase",0,L422-O422)</f>
        <v>0</v>
      </c>
      <c r="Q422" s="53" t="n">
        <f aca="false">J422-B422</f>
        <v>0</v>
      </c>
      <c r="R422" s="51" t="str">
        <f aca="false">IF(I422="N","Invalid / missing TRN",IF(F422="Blocked input (entertainment)","Blocked input",IF(Q422&gt;30,"Late posting (&gt;30d)","")))</f>
        <v/>
      </c>
    </row>
    <row r="423" customFormat="false" ht="15" hidden="false" customHeight="false" outlineLevel="0" collapsed="false">
      <c r="A423" s="47" t="s">
        <v>708</v>
      </c>
      <c r="B423" s="48" t="n">
        <v>45772</v>
      </c>
      <c r="C423" s="47" t="s">
        <v>166</v>
      </c>
      <c r="D423" s="47" t="s">
        <v>466</v>
      </c>
      <c r="E423" s="47" t="s">
        <v>100</v>
      </c>
      <c r="F423" s="47" t="s">
        <v>161</v>
      </c>
      <c r="G423" s="49" t="n">
        <v>60228.75</v>
      </c>
      <c r="H423" s="50" t="n">
        <v>0.05</v>
      </c>
      <c r="I423" s="47" t="s">
        <v>162</v>
      </c>
      <c r="J423" s="48" t="n">
        <v>45772</v>
      </c>
      <c r="K423" s="51" t="str">
        <f aca="false">"Q"&amp;ROUNDUP(MONTH(B423)/3,0)</f>
        <v>Q2</v>
      </c>
      <c r="L423" s="52" t="n">
        <f aca="false">ROUND(G423*H423,2)</f>
        <v>3011.44</v>
      </c>
      <c r="M423" s="52" t="n">
        <f aca="false">IF(AND(C423="Sales",F423="Standard-rated 5%"),L423,0)</f>
        <v>0</v>
      </c>
      <c r="N423" s="52" t="n">
        <f aca="false">IF(F423="Reverse charge (imported services)",L423,0)</f>
        <v>0</v>
      </c>
      <c r="O423" s="52" t="n">
        <f aca="false">IF(C423&lt;&gt;"Purchase",0,IF(OR(I423="N",F423="Blocked input (entertainment)"),0,L423))</f>
        <v>3011.44</v>
      </c>
      <c r="P423" s="52" t="n">
        <f aca="false">IF(C423&lt;&gt;"Purchase",0,L423-O423)</f>
        <v>0</v>
      </c>
      <c r="Q423" s="53" t="n">
        <f aca="false">J423-B423</f>
        <v>0</v>
      </c>
      <c r="R423" s="51" t="str">
        <f aca="false">IF(I423="N","Invalid / missing TRN",IF(F423="Blocked input (entertainment)","Blocked input",IF(Q423&gt;30,"Late posting (&gt;30d)","")))</f>
        <v/>
      </c>
    </row>
    <row r="424" customFormat="false" ht="15" hidden="false" customHeight="false" outlineLevel="0" collapsed="false">
      <c r="A424" s="47" t="s">
        <v>709</v>
      </c>
      <c r="B424" s="48" t="n">
        <v>45772</v>
      </c>
      <c r="C424" s="47" t="s">
        <v>166</v>
      </c>
      <c r="D424" s="47" t="s">
        <v>233</v>
      </c>
      <c r="E424" s="47" t="s">
        <v>105</v>
      </c>
      <c r="F424" s="47" t="s">
        <v>161</v>
      </c>
      <c r="G424" s="49" t="n">
        <v>36121.98</v>
      </c>
      <c r="H424" s="50" t="n">
        <v>0.05</v>
      </c>
      <c r="I424" s="47" t="s">
        <v>162</v>
      </c>
      <c r="J424" s="48" t="n">
        <v>45772</v>
      </c>
      <c r="K424" s="51" t="str">
        <f aca="false">"Q"&amp;ROUNDUP(MONTH(B424)/3,0)</f>
        <v>Q2</v>
      </c>
      <c r="L424" s="52" t="n">
        <f aca="false">ROUND(G424*H424,2)</f>
        <v>1806.1</v>
      </c>
      <c r="M424" s="52" t="n">
        <f aca="false">IF(AND(C424="Sales",F424="Standard-rated 5%"),L424,0)</f>
        <v>0</v>
      </c>
      <c r="N424" s="52" t="n">
        <f aca="false">IF(F424="Reverse charge (imported services)",L424,0)</f>
        <v>0</v>
      </c>
      <c r="O424" s="52" t="n">
        <f aca="false">IF(C424&lt;&gt;"Purchase",0,IF(OR(I424="N",F424="Blocked input (entertainment)"),0,L424))</f>
        <v>1806.1</v>
      </c>
      <c r="P424" s="52" t="n">
        <f aca="false">IF(C424&lt;&gt;"Purchase",0,L424-O424)</f>
        <v>0</v>
      </c>
      <c r="Q424" s="53" t="n">
        <f aca="false">J424-B424</f>
        <v>0</v>
      </c>
      <c r="R424" s="51" t="str">
        <f aca="false">IF(I424="N","Invalid / missing TRN",IF(F424="Blocked input (entertainment)","Blocked input",IF(Q424&gt;30,"Late posting (&gt;30d)","")))</f>
        <v/>
      </c>
    </row>
    <row r="425" customFormat="false" ht="15" hidden="false" customHeight="false" outlineLevel="0" collapsed="false">
      <c r="A425" s="47" t="s">
        <v>710</v>
      </c>
      <c r="B425" s="48" t="n">
        <v>45772</v>
      </c>
      <c r="C425" s="47" t="s">
        <v>159</v>
      </c>
      <c r="D425" s="47" t="s">
        <v>277</v>
      </c>
      <c r="E425" s="47" t="s">
        <v>100</v>
      </c>
      <c r="F425" s="47" t="s">
        <v>161</v>
      </c>
      <c r="G425" s="49" t="n">
        <v>85646.85</v>
      </c>
      <c r="H425" s="50" t="n">
        <v>0.05</v>
      </c>
      <c r="I425" s="47" t="s">
        <v>162</v>
      </c>
      <c r="J425" s="48" t="n">
        <v>45772</v>
      </c>
      <c r="K425" s="51" t="str">
        <f aca="false">"Q"&amp;ROUNDUP(MONTH(B425)/3,0)</f>
        <v>Q2</v>
      </c>
      <c r="L425" s="52" t="n">
        <f aca="false">ROUND(G425*H425,2)</f>
        <v>4282.34</v>
      </c>
      <c r="M425" s="52" t="n">
        <f aca="false">IF(AND(C425="Sales",F425="Standard-rated 5%"),L425,0)</f>
        <v>4282.34</v>
      </c>
      <c r="N425" s="52" t="n">
        <f aca="false">IF(F425="Reverse charge (imported services)",L425,0)</f>
        <v>0</v>
      </c>
      <c r="O425" s="52" t="n">
        <f aca="false">IF(C425&lt;&gt;"Purchase",0,IF(OR(I425="N",F425="Blocked input (entertainment)"),0,L425))</f>
        <v>0</v>
      </c>
      <c r="P425" s="52" t="n">
        <f aca="false">IF(C425&lt;&gt;"Purchase",0,L425-O425)</f>
        <v>0</v>
      </c>
      <c r="Q425" s="53" t="n">
        <f aca="false">J425-B425</f>
        <v>0</v>
      </c>
      <c r="R425" s="51" t="str">
        <f aca="false">IF(I425="N","Invalid / missing TRN",IF(F425="Blocked input (entertainment)","Blocked input",IF(Q425&gt;30,"Late posting (&gt;30d)","")))</f>
        <v/>
      </c>
    </row>
    <row r="426" customFormat="false" ht="15" hidden="false" customHeight="false" outlineLevel="0" collapsed="false">
      <c r="A426" s="47" t="s">
        <v>711</v>
      </c>
      <c r="B426" s="48" t="n">
        <v>45773</v>
      </c>
      <c r="C426" s="47" t="s">
        <v>159</v>
      </c>
      <c r="D426" s="47" t="s">
        <v>320</v>
      </c>
      <c r="E426" s="47" t="s">
        <v>105</v>
      </c>
      <c r="F426" s="47" t="s">
        <v>161</v>
      </c>
      <c r="G426" s="49" t="n">
        <v>201344.95</v>
      </c>
      <c r="H426" s="50" t="n">
        <v>0.05</v>
      </c>
      <c r="I426" s="47" t="s">
        <v>162</v>
      </c>
      <c r="J426" s="48" t="n">
        <v>45778</v>
      </c>
      <c r="K426" s="51" t="str">
        <f aca="false">"Q"&amp;ROUNDUP(MONTH(B426)/3,0)</f>
        <v>Q2</v>
      </c>
      <c r="L426" s="52" t="n">
        <f aca="false">ROUND(G426*H426,2)</f>
        <v>10067.25</v>
      </c>
      <c r="M426" s="52" t="n">
        <f aca="false">IF(AND(C426="Sales",F426="Standard-rated 5%"),L426,0)</f>
        <v>10067.25</v>
      </c>
      <c r="N426" s="52" t="n">
        <f aca="false">IF(F426="Reverse charge (imported services)",L426,0)</f>
        <v>0</v>
      </c>
      <c r="O426" s="52" t="n">
        <f aca="false">IF(C426&lt;&gt;"Purchase",0,IF(OR(I426="N",F426="Blocked input (entertainment)"),0,L426))</f>
        <v>0</v>
      </c>
      <c r="P426" s="52" t="n">
        <f aca="false">IF(C426&lt;&gt;"Purchase",0,L426-O426)</f>
        <v>0</v>
      </c>
      <c r="Q426" s="53" t="n">
        <f aca="false">J426-B426</f>
        <v>5</v>
      </c>
      <c r="R426" s="51" t="str">
        <f aca="false">IF(I426="N","Invalid / missing TRN",IF(F426="Blocked input (entertainment)","Blocked input",IF(Q426&gt;30,"Late posting (&gt;30d)","")))</f>
        <v/>
      </c>
    </row>
    <row r="427" customFormat="false" ht="15" hidden="false" customHeight="false" outlineLevel="0" collapsed="false">
      <c r="A427" s="47" t="s">
        <v>712</v>
      </c>
      <c r="B427" s="48" t="n">
        <v>45774</v>
      </c>
      <c r="C427" s="47" t="s">
        <v>166</v>
      </c>
      <c r="D427" s="47" t="s">
        <v>231</v>
      </c>
      <c r="E427" s="47" t="s">
        <v>100</v>
      </c>
      <c r="F427" s="47" t="s">
        <v>337</v>
      </c>
      <c r="G427" s="49" t="n">
        <v>39431.79</v>
      </c>
      <c r="H427" s="50" t="n">
        <v>0</v>
      </c>
      <c r="I427" s="47" t="s">
        <v>162</v>
      </c>
      <c r="J427" s="48" t="n">
        <v>45774</v>
      </c>
      <c r="K427" s="51" t="str">
        <f aca="false">"Q"&amp;ROUNDUP(MONTH(B427)/3,0)</f>
        <v>Q2</v>
      </c>
      <c r="L427" s="52" t="n">
        <f aca="false">ROUND(G427*H427,2)</f>
        <v>0</v>
      </c>
      <c r="M427" s="52" t="n">
        <f aca="false">IF(AND(C427="Sales",F427="Standard-rated 5%"),L427,0)</f>
        <v>0</v>
      </c>
      <c r="N427" s="52" t="n">
        <f aca="false">IF(F427="Reverse charge (imported services)",L427,0)</f>
        <v>0</v>
      </c>
      <c r="O427" s="52" t="n">
        <f aca="false">IF(C427&lt;&gt;"Purchase",0,IF(OR(I427="N",F427="Blocked input (entertainment)"),0,L427))</f>
        <v>0</v>
      </c>
      <c r="P427" s="52" t="n">
        <f aca="false">IF(C427&lt;&gt;"Purchase",0,L427-O427)</f>
        <v>0</v>
      </c>
      <c r="Q427" s="53" t="n">
        <f aca="false">J427-B427</f>
        <v>0</v>
      </c>
      <c r="R427" s="51" t="str">
        <f aca="false">IF(I427="N","Invalid / missing TRN",IF(F427="Blocked input (entertainment)","Blocked input",IF(Q427&gt;30,"Late posting (&gt;30d)","")))</f>
        <v/>
      </c>
    </row>
    <row r="428" customFormat="false" ht="15" hidden="false" customHeight="false" outlineLevel="0" collapsed="false">
      <c r="A428" s="47" t="s">
        <v>713</v>
      </c>
      <c r="B428" s="48" t="n">
        <v>45774</v>
      </c>
      <c r="C428" s="47" t="s">
        <v>159</v>
      </c>
      <c r="D428" s="47" t="s">
        <v>333</v>
      </c>
      <c r="E428" s="47" t="s">
        <v>100</v>
      </c>
      <c r="F428" s="47" t="s">
        <v>278</v>
      </c>
      <c r="G428" s="49" t="n">
        <v>358457.32</v>
      </c>
      <c r="H428" s="50" t="n">
        <v>0</v>
      </c>
      <c r="I428" s="47" t="s">
        <v>162</v>
      </c>
      <c r="J428" s="48" t="n">
        <v>45774</v>
      </c>
      <c r="K428" s="51" t="str">
        <f aca="false">"Q"&amp;ROUNDUP(MONTH(B428)/3,0)</f>
        <v>Q2</v>
      </c>
      <c r="L428" s="52" t="n">
        <f aca="false">ROUND(G428*H428,2)</f>
        <v>0</v>
      </c>
      <c r="M428" s="52" t="n">
        <f aca="false">IF(AND(C428="Sales",F428="Standard-rated 5%"),L428,0)</f>
        <v>0</v>
      </c>
      <c r="N428" s="52" t="n">
        <f aca="false">IF(F428="Reverse charge (imported services)",L428,0)</f>
        <v>0</v>
      </c>
      <c r="O428" s="52" t="n">
        <f aca="false">IF(C428&lt;&gt;"Purchase",0,IF(OR(I428="N",F428="Blocked input (entertainment)"),0,L428))</f>
        <v>0</v>
      </c>
      <c r="P428" s="52" t="n">
        <f aca="false">IF(C428&lt;&gt;"Purchase",0,L428-O428)</f>
        <v>0</v>
      </c>
      <c r="Q428" s="53" t="n">
        <f aca="false">J428-B428</f>
        <v>0</v>
      </c>
      <c r="R428" s="51" t="str">
        <f aca="false">IF(I428="N","Invalid / missing TRN",IF(F428="Blocked input (entertainment)","Blocked input",IF(Q428&gt;30,"Late posting (&gt;30d)","")))</f>
        <v/>
      </c>
    </row>
    <row r="429" customFormat="false" ht="15" hidden="false" customHeight="false" outlineLevel="0" collapsed="false">
      <c r="A429" s="47" t="s">
        <v>714</v>
      </c>
      <c r="B429" s="48" t="n">
        <v>45774</v>
      </c>
      <c r="C429" s="47" t="s">
        <v>159</v>
      </c>
      <c r="D429" s="47" t="s">
        <v>330</v>
      </c>
      <c r="E429" s="47" t="s">
        <v>102</v>
      </c>
      <c r="F429" s="47" t="s">
        <v>161</v>
      </c>
      <c r="G429" s="49" t="n">
        <v>37765.35</v>
      </c>
      <c r="H429" s="50" t="n">
        <v>0.05</v>
      </c>
      <c r="I429" s="47" t="s">
        <v>162</v>
      </c>
      <c r="J429" s="48" t="n">
        <v>45774</v>
      </c>
      <c r="K429" s="51" t="str">
        <f aca="false">"Q"&amp;ROUNDUP(MONTH(B429)/3,0)</f>
        <v>Q2</v>
      </c>
      <c r="L429" s="52" t="n">
        <f aca="false">ROUND(G429*H429,2)</f>
        <v>1888.27</v>
      </c>
      <c r="M429" s="52" t="n">
        <f aca="false">IF(AND(C429="Sales",F429="Standard-rated 5%"),L429,0)</f>
        <v>1888.27</v>
      </c>
      <c r="N429" s="52" t="n">
        <f aca="false">IF(F429="Reverse charge (imported services)",L429,0)</f>
        <v>0</v>
      </c>
      <c r="O429" s="52" t="n">
        <f aca="false">IF(C429&lt;&gt;"Purchase",0,IF(OR(I429="N",F429="Blocked input (entertainment)"),0,L429))</f>
        <v>0</v>
      </c>
      <c r="P429" s="52" t="n">
        <f aca="false">IF(C429&lt;&gt;"Purchase",0,L429-O429)</f>
        <v>0</v>
      </c>
      <c r="Q429" s="53" t="n">
        <f aca="false">J429-B429</f>
        <v>0</v>
      </c>
      <c r="R429" s="51" t="str">
        <f aca="false">IF(I429="N","Invalid / missing TRN",IF(F429="Blocked input (entertainment)","Blocked input",IF(Q429&gt;30,"Late posting (&gt;30d)","")))</f>
        <v/>
      </c>
    </row>
    <row r="430" customFormat="false" ht="15" hidden="false" customHeight="false" outlineLevel="0" collapsed="false">
      <c r="A430" s="47" t="s">
        <v>715</v>
      </c>
      <c r="B430" s="48" t="n">
        <v>45775</v>
      </c>
      <c r="C430" s="47" t="s">
        <v>166</v>
      </c>
      <c r="D430" s="47" t="s">
        <v>190</v>
      </c>
      <c r="E430" s="47" t="s">
        <v>100</v>
      </c>
      <c r="F430" s="47" t="s">
        <v>161</v>
      </c>
      <c r="G430" s="49" t="n">
        <v>45126.65</v>
      </c>
      <c r="H430" s="50" t="n">
        <v>0.05</v>
      </c>
      <c r="I430" s="47" t="s">
        <v>162</v>
      </c>
      <c r="J430" s="48" t="n">
        <v>45775</v>
      </c>
      <c r="K430" s="51" t="str">
        <f aca="false">"Q"&amp;ROUNDUP(MONTH(B430)/3,0)</f>
        <v>Q2</v>
      </c>
      <c r="L430" s="52" t="n">
        <f aca="false">ROUND(G430*H430,2)</f>
        <v>2256.33</v>
      </c>
      <c r="M430" s="52" t="n">
        <f aca="false">IF(AND(C430="Sales",F430="Standard-rated 5%"),L430,0)</f>
        <v>0</v>
      </c>
      <c r="N430" s="52" t="n">
        <f aca="false">IF(F430="Reverse charge (imported services)",L430,0)</f>
        <v>0</v>
      </c>
      <c r="O430" s="52" t="n">
        <f aca="false">IF(C430&lt;&gt;"Purchase",0,IF(OR(I430="N",F430="Blocked input (entertainment)"),0,L430))</f>
        <v>2256.33</v>
      </c>
      <c r="P430" s="52" t="n">
        <f aca="false">IF(C430&lt;&gt;"Purchase",0,L430-O430)</f>
        <v>0</v>
      </c>
      <c r="Q430" s="53" t="n">
        <f aca="false">J430-B430</f>
        <v>0</v>
      </c>
      <c r="R430" s="51" t="str">
        <f aca="false">IF(I430="N","Invalid / missing TRN",IF(F430="Blocked input (entertainment)","Blocked input",IF(Q430&gt;30,"Late posting (&gt;30d)","")))</f>
        <v/>
      </c>
    </row>
    <row r="431" customFormat="false" ht="15" hidden="false" customHeight="false" outlineLevel="0" collapsed="false">
      <c r="A431" s="47" t="s">
        <v>716</v>
      </c>
      <c r="B431" s="48" t="n">
        <v>45775</v>
      </c>
      <c r="C431" s="47" t="s">
        <v>166</v>
      </c>
      <c r="D431" s="47" t="s">
        <v>570</v>
      </c>
      <c r="E431" s="47" t="s">
        <v>100</v>
      </c>
      <c r="F431" s="47" t="s">
        <v>161</v>
      </c>
      <c r="G431" s="49" t="n">
        <v>51656.43</v>
      </c>
      <c r="H431" s="50" t="n">
        <v>0.05</v>
      </c>
      <c r="I431" s="47" t="s">
        <v>162</v>
      </c>
      <c r="J431" s="48" t="n">
        <v>45775</v>
      </c>
      <c r="K431" s="51" t="str">
        <f aca="false">"Q"&amp;ROUNDUP(MONTH(B431)/3,0)</f>
        <v>Q2</v>
      </c>
      <c r="L431" s="52" t="n">
        <f aca="false">ROUND(G431*H431,2)</f>
        <v>2582.82</v>
      </c>
      <c r="M431" s="52" t="n">
        <f aca="false">IF(AND(C431="Sales",F431="Standard-rated 5%"),L431,0)</f>
        <v>0</v>
      </c>
      <c r="N431" s="52" t="n">
        <f aca="false">IF(F431="Reverse charge (imported services)",L431,0)</f>
        <v>0</v>
      </c>
      <c r="O431" s="52" t="n">
        <f aca="false">IF(C431&lt;&gt;"Purchase",0,IF(OR(I431="N",F431="Blocked input (entertainment)"),0,L431))</f>
        <v>2582.82</v>
      </c>
      <c r="P431" s="52" t="n">
        <f aca="false">IF(C431&lt;&gt;"Purchase",0,L431-O431)</f>
        <v>0</v>
      </c>
      <c r="Q431" s="53" t="n">
        <f aca="false">J431-B431</f>
        <v>0</v>
      </c>
      <c r="R431" s="51" t="str">
        <f aca="false">IF(I431="N","Invalid / missing TRN",IF(F431="Blocked input (entertainment)","Blocked input",IF(Q431&gt;30,"Late posting (&gt;30d)","")))</f>
        <v/>
      </c>
    </row>
    <row r="432" customFormat="false" ht="15" hidden="false" customHeight="false" outlineLevel="0" collapsed="false">
      <c r="A432" s="47" t="s">
        <v>717</v>
      </c>
      <c r="B432" s="48" t="n">
        <v>45775</v>
      </c>
      <c r="C432" s="47" t="s">
        <v>166</v>
      </c>
      <c r="D432" s="47" t="s">
        <v>167</v>
      </c>
      <c r="E432" s="47" t="s">
        <v>100</v>
      </c>
      <c r="F432" s="47" t="s">
        <v>392</v>
      </c>
      <c r="G432" s="49" t="n">
        <v>359804.81</v>
      </c>
      <c r="H432" s="50" t="n">
        <v>0.05</v>
      </c>
      <c r="I432" s="47" t="s">
        <v>162</v>
      </c>
      <c r="J432" s="48" t="n">
        <v>45776</v>
      </c>
      <c r="K432" s="51" t="str">
        <f aca="false">"Q"&amp;ROUNDUP(MONTH(B432)/3,0)</f>
        <v>Q2</v>
      </c>
      <c r="L432" s="52" t="n">
        <f aca="false">ROUND(G432*H432,2)</f>
        <v>17990.24</v>
      </c>
      <c r="M432" s="52" t="n">
        <f aca="false">IF(AND(C432="Sales",F432="Standard-rated 5%"),L432,0)</f>
        <v>0</v>
      </c>
      <c r="N432" s="52" t="n">
        <f aca="false">IF(F432="Reverse charge (imported services)",L432,0)</f>
        <v>0</v>
      </c>
      <c r="O432" s="52" t="n">
        <f aca="false">IF(C432&lt;&gt;"Purchase",0,IF(OR(I432="N",F432="Blocked input (entertainment)"),0,L432))</f>
        <v>17990.24</v>
      </c>
      <c r="P432" s="52" t="n">
        <f aca="false">IF(C432&lt;&gt;"Purchase",0,L432-O432)</f>
        <v>0</v>
      </c>
      <c r="Q432" s="53" t="n">
        <f aca="false">J432-B432</f>
        <v>1</v>
      </c>
      <c r="R432" s="51" t="str">
        <f aca="false">IF(I432="N","Invalid / missing TRN",IF(F432="Blocked input (entertainment)","Blocked input",IF(Q432&gt;30,"Late posting (&gt;30d)","")))</f>
        <v/>
      </c>
    </row>
    <row r="433" customFormat="false" ht="15" hidden="false" customHeight="false" outlineLevel="0" collapsed="false">
      <c r="A433" s="47" t="s">
        <v>718</v>
      </c>
      <c r="B433" s="48" t="n">
        <v>45775</v>
      </c>
      <c r="C433" s="47" t="s">
        <v>159</v>
      </c>
      <c r="D433" s="47" t="s">
        <v>345</v>
      </c>
      <c r="E433" s="47" t="s">
        <v>100</v>
      </c>
      <c r="F433" s="47" t="s">
        <v>161</v>
      </c>
      <c r="G433" s="49" t="n">
        <v>29310.59</v>
      </c>
      <c r="H433" s="50" t="n">
        <v>0.05</v>
      </c>
      <c r="I433" s="47" t="s">
        <v>162</v>
      </c>
      <c r="J433" s="48" t="n">
        <v>45775</v>
      </c>
      <c r="K433" s="51" t="str">
        <f aca="false">"Q"&amp;ROUNDUP(MONTH(B433)/3,0)</f>
        <v>Q2</v>
      </c>
      <c r="L433" s="52" t="n">
        <f aca="false">ROUND(G433*H433,2)</f>
        <v>1465.53</v>
      </c>
      <c r="M433" s="52" t="n">
        <f aca="false">IF(AND(C433="Sales",F433="Standard-rated 5%"),L433,0)</f>
        <v>1465.53</v>
      </c>
      <c r="N433" s="52" t="n">
        <f aca="false">IF(F433="Reverse charge (imported services)",L433,0)</f>
        <v>0</v>
      </c>
      <c r="O433" s="52" t="n">
        <f aca="false">IF(C433&lt;&gt;"Purchase",0,IF(OR(I433="N",F433="Blocked input (entertainment)"),0,L433))</f>
        <v>0</v>
      </c>
      <c r="P433" s="52" t="n">
        <f aca="false">IF(C433&lt;&gt;"Purchase",0,L433-O433)</f>
        <v>0</v>
      </c>
      <c r="Q433" s="53" t="n">
        <f aca="false">J433-B433</f>
        <v>0</v>
      </c>
      <c r="R433" s="51" t="str">
        <f aca="false">IF(I433="N","Invalid / missing TRN",IF(F433="Blocked input (entertainment)","Blocked input",IF(Q433&gt;30,"Late posting (&gt;30d)","")))</f>
        <v/>
      </c>
    </row>
    <row r="434" customFormat="false" ht="15" hidden="false" customHeight="false" outlineLevel="0" collapsed="false">
      <c r="A434" s="47" t="s">
        <v>719</v>
      </c>
      <c r="B434" s="48" t="n">
        <v>45775</v>
      </c>
      <c r="C434" s="47" t="s">
        <v>159</v>
      </c>
      <c r="D434" s="47" t="s">
        <v>225</v>
      </c>
      <c r="E434" s="47" t="s">
        <v>105</v>
      </c>
      <c r="F434" s="47" t="s">
        <v>161</v>
      </c>
      <c r="G434" s="49" t="n">
        <v>48925.02</v>
      </c>
      <c r="H434" s="50" t="n">
        <v>0.05</v>
      </c>
      <c r="I434" s="47" t="s">
        <v>162</v>
      </c>
      <c r="J434" s="48" t="n">
        <v>45775</v>
      </c>
      <c r="K434" s="51" t="str">
        <f aca="false">"Q"&amp;ROUNDUP(MONTH(B434)/3,0)</f>
        <v>Q2</v>
      </c>
      <c r="L434" s="52" t="n">
        <f aca="false">ROUND(G434*H434,2)</f>
        <v>2446.25</v>
      </c>
      <c r="M434" s="52" t="n">
        <f aca="false">IF(AND(C434="Sales",F434="Standard-rated 5%"),L434,0)</f>
        <v>2446.25</v>
      </c>
      <c r="N434" s="52" t="n">
        <f aca="false">IF(F434="Reverse charge (imported services)",L434,0)</f>
        <v>0</v>
      </c>
      <c r="O434" s="52" t="n">
        <f aca="false">IF(C434&lt;&gt;"Purchase",0,IF(OR(I434="N",F434="Blocked input (entertainment)"),0,L434))</f>
        <v>0</v>
      </c>
      <c r="P434" s="52" t="n">
        <f aca="false">IF(C434&lt;&gt;"Purchase",0,L434-O434)</f>
        <v>0</v>
      </c>
      <c r="Q434" s="53" t="n">
        <f aca="false">J434-B434</f>
        <v>0</v>
      </c>
      <c r="R434" s="51" t="str">
        <f aca="false">IF(I434="N","Invalid / missing TRN",IF(F434="Blocked input (entertainment)","Blocked input",IF(Q434&gt;30,"Late posting (&gt;30d)","")))</f>
        <v/>
      </c>
    </row>
    <row r="435" customFormat="false" ht="15" hidden="false" customHeight="false" outlineLevel="0" collapsed="false">
      <c r="A435" s="47" t="s">
        <v>720</v>
      </c>
      <c r="B435" s="48" t="n">
        <v>45775</v>
      </c>
      <c r="C435" s="47" t="s">
        <v>159</v>
      </c>
      <c r="D435" s="47" t="s">
        <v>283</v>
      </c>
      <c r="E435" s="47" t="s">
        <v>100</v>
      </c>
      <c r="F435" s="47" t="s">
        <v>278</v>
      </c>
      <c r="G435" s="49" t="n">
        <v>58244.55</v>
      </c>
      <c r="H435" s="50" t="n">
        <v>0</v>
      </c>
      <c r="I435" s="47" t="s">
        <v>162</v>
      </c>
      <c r="J435" s="48" t="n">
        <v>45775</v>
      </c>
      <c r="K435" s="51" t="str">
        <f aca="false">"Q"&amp;ROUNDUP(MONTH(B435)/3,0)</f>
        <v>Q2</v>
      </c>
      <c r="L435" s="52" t="n">
        <f aca="false">ROUND(G435*H435,2)</f>
        <v>0</v>
      </c>
      <c r="M435" s="52" t="n">
        <f aca="false">IF(AND(C435="Sales",F435="Standard-rated 5%"),L435,0)</f>
        <v>0</v>
      </c>
      <c r="N435" s="52" t="n">
        <f aca="false">IF(F435="Reverse charge (imported services)",L435,0)</f>
        <v>0</v>
      </c>
      <c r="O435" s="52" t="n">
        <f aca="false">IF(C435&lt;&gt;"Purchase",0,IF(OR(I435="N",F435="Blocked input (entertainment)"),0,L435))</f>
        <v>0</v>
      </c>
      <c r="P435" s="52" t="n">
        <f aca="false">IF(C435&lt;&gt;"Purchase",0,L435-O435)</f>
        <v>0</v>
      </c>
      <c r="Q435" s="53" t="n">
        <f aca="false">J435-B435</f>
        <v>0</v>
      </c>
      <c r="R435" s="51" t="str">
        <f aca="false">IF(I435="N","Invalid / missing TRN",IF(F435="Blocked input (entertainment)","Blocked input",IF(Q435&gt;30,"Late posting (&gt;30d)","")))</f>
        <v/>
      </c>
    </row>
    <row r="436" customFormat="false" ht="15" hidden="false" customHeight="false" outlineLevel="0" collapsed="false">
      <c r="A436" s="47" t="s">
        <v>721</v>
      </c>
      <c r="B436" s="48" t="n">
        <v>45776</v>
      </c>
      <c r="C436" s="47" t="s">
        <v>166</v>
      </c>
      <c r="D436" s="47" t="s">
        <v>221</v>
      </c>
      <c r="E436" s="47" t="s">
        <v>100</v>
      </c>
      <c r="F436" s="47" t="s">
        <v>161</v>
      </c>
      <c r="G436" s="49" t="n">
        <v>16645.95</v>
      </c>
      <c r="H436" s="50" t="n">
        <v>0.05</v>
      </c>
      <c r="I436" s="47" t="s">
        <v>162</v>
      </c>
      <c r="J436" s="48" t="n">
        <v>45776</v>
      </c>
      <c r="K436" s="51" t="str">
        <f aca="false">"Q"&amp;ROUNDUP(MONTH(B436)/3,0)</f>
        <v>Q2</v>
      </c>
      <c r="L436" s="52" t="n">
        <f aca="false">ROUND(G436*H436,2)</f>
        <v>832.3</v>
      </c>
      <c r="M436" s="52" t="n">
        <f aca="false">IF(AND(C436="Sales",F436="Standard-rated 5%"),L436,0)</f>
        <v>0</v>
      </c>
      <c r="N436" s="52" t="n">
        <f aca="false">IF(F436="Reverse charge (imported services)",L436,0)</f>
        <v>0</v>
      </c>
      <c r="O436" s="52" t="n">
        <f aca="false">IF(C436&lt;&gt;"Purchase",0,IF(OR(I436="N",F436="Blocked input (entertainment)"),0,L436))</f>
        <v>832.3</v>
      </c>
      <c r="P436" s="52" t="n">
        <f aca="false">IF(C436&lt;&gt;"Purchase",0,L436-O436)</f>
        <v>0</v>
      </c>
      <c r="Q436" s="53" t="n">
        <f aca="false">J436-B436</f>
        <v>0</v>
      </c>
      <c r="R436" s="51" t="str">
        <f aca="false">IF(I436="N","Invalid / missing TRN",IF(F436="Blocked input (entertainment)","Blocked input",IF(Q436&gt;30,"Late posting (&gt;30d)","")))</f>
        <v/>
      </c>
    </row>
    <row r="437" customFormat="false" ht="15" hidden="false" customHeight="false" outlineLevel="0" collapsed="false">
      <c r="A437" s="47" t="s">
        <v>722</v>
      </c>
      <c r="B437" s="48" t="n">
        <v>45776</v>
      </c>
      <c r="C437" s="47" t="s">
        <v>159</v>
      </c>
      <c r="D437" s="47" t="s">
        <v>300</v>
      </c>
      <c r="E437" s="47" t="s">
        <v>105</v>
      </c>
      <c r="F437" s="47" t="s">
        <v>161</v>
      </c>
      <c r="G437" s="49" t="n">
        <v>31201.36</v>
      </c>
      <c r="H437" s="50" t="n">
        <v>0.05</v>
      </c>
      <c r="I437" s="47" t="s">
        <v>162</v>
      </c>
      <c r="J437" s="48" t="n">
        <v>45776</v>
      </c>
      <c r="K437" s="51" t="str">
        <f aca="false">"Q"&amp;ROUNDUP(MONTH(B437)/3,0)</f>
        <v>Q2</v>
      </c>
      <c r="L437" s="52" t="n">
        <f aca="false">ROUND(G437*H437,2)</f>
        <v>1560.07</v>
      </c>
      <c r="M437" s="52" t="n">
        <f aca="false">IF(AND(C437="Sales",F437="Standard-rated 5%"),L437,0)</f>
        <v>1560.07</v>
      </c>
      <c r="N437" s="52" t="n">
        <f aca="false">IF(F437="Reverse charge (imported services)",L437,0)</f>
        <v>0</v>
      </c>
      <c r="O437" s="52" t="n">
        <f aca="false">IF(C437&lt;&gt;"Purchase",0,IF(OR(I437="N",F437="Blocked input (entertainment)"),0,L437))</f>
        <v>0</v>
      </c>
      <c r="P437" s="52" t="n">
        <f aca="false">IF(C437&lt;&gt;"Purchase",0,L437-O437)</f>
        <v>0</v>
      </c>
      <c r="Q437" s="53" t="n">
        <f aca="false">J437-B437</f>
        <v>0</v>
      </c>
      <c r="R437" s="51" t="str">
        <f aca="false">IF(I437="N","Invalid / missing TRN",IF(F437="Blocked input (entertainment)","Blocked input",IF(Q437&gt;30,"Late posting (&gt;30d)","")))</f>
        <v/>
      </c>
    </row>
    <row r="438" customFormat="false" ht="15" hidden="false" customHeight="false" outlineLevel="0" collapsed="false">
      <c r="A438" s="47" t="s">
        <v>723</v>
      </c>
      <c r="B438" s="48" t="n">
        <v>45776</v>
      </c>
      <c r="C438" s="47" t="s">
        <v>159</v>
      </c>
      <c r="D438" s="47" t="s">
        <v>428</v>
      </c>
      <c r="E438" s="47" t="s">
        <v>103</v>
      </c>
      <c r="F438" s="47" t="s">
        <v>278</v>
      </c>
      <c r="G438" s="49" t="n">
        <v>53679.29</v>
      </c>
      <c r="H438" s="50" t="n">
        <v>0</v>
      </c>
      <c r="I438" s="47" t="s">
        <v>162</v>
      </c>
      <c r="J438" s="48" t="n">
        <v>45776</v>
      </c>
      <c r="K438" s="51" t="str">
        <f aca="false">"Q"&amp;ROUNDUP(MONTH(B438)/3,0)</f>
        <v>Q2</v>
      </c>
      <c r="L438" s="52" t="n">
        <f aca="false">ROUND(G438*H438,2)</f>
        <v>0</v>
      </c>
      <c r="M438" s="52" t="n">
        <f aca="false">IF(AND(C438="Sales",F438="Standard-rated 5%"),L438,0)</f>
        <v>0</v>
      </c>
      <c r="N438" s="52" t="n">
        <f aca="false">IF(F438="Reverse charge (imported services)",L438,0)</f>
        <v>0</v>
      </c>
      <c r="O438" s="52" t="n">
        <f aca="false">IF(C438&lt;&gt;"Purchase",0,IF(OR(I438="N",F438="Blocked input (entertainment)"),0,L438))</f>
        <v>0</v>
      </c>
      <c r="P438" s="52" t="n">
        <f aca="false">IF(C438&lt;&gt;"Purchase",0,L438-O438)</f>
        <v>0</v>
      </c>
      <c r="Q438" s="53" t="n">
        <f aca="false">J438-B438</f>
        <v>0</v>
      </c>
      <c r="R438" s="51" t="str">
        <f aca="false">IF(I438="N","Invalid / missing TRN",IF(F438="Blocked input (entertainment)","Blocked input",IF(Q438&gt;30,"Late posting (&gt;30d)","")))</f>
        <v/>
      </c>
    </row>
    <row r="439" customFormat="false" ht="15" hidden="false" customHeight="false" outlineLevel="0" collapsed="false">
      <c r="A439" s="47" t="s">
        <v>724</v>
      </c>
      <c r="B439" s="48" t="n">
        <v>45776</v>
      </c>
      <c r="C439" s="47" t="s">
        <v>159</v>
      </c>
      <c r="D439" s="47" t="s">
        <v>225</v>
      </c>
      <c r="E439" s="47" t="s">
        <v>101</v>
      </c>
      <c r="F439" s="47" t="s">
        <v>161</v>
      </c>
      <c r="G439" s="49" t="n">
        <v>87965.51</v>
      </c>
      <c r="H439" s="50" t="n">
        <v>0.05</v>
      </c>
      <c r="I439" s="47" t="s">
        <v>162</v>
      </c>
      <c r="J439" s="48" t="n">
        <v>45776</v>
      </c>
      <c r="K439" s="51" t="str">
        <f aca="false">"Q"&amp;ROUNDUP(MONTH(B439)/3,0)</f>
        <v>Q2</v>
      </c>
      <c r="L439" s="52" t="n">
        <f aca="false">ROUND(G439*H439,2)</f>
        <v>4398.28</v>
      </c>
      <c r="M439" s="52" t="n">
        <f aca="false">IF(AND(C439="Sales",F439="Standard-rated 5%"),L439,0)</f>
        <v>4398.28</v>
      </c>
      <c r="N439" s="52" t="n">
        <f aca="false">IF(F439="Reverse charge (imported services)",L439,0)</f>
        <v>0</v>
      </c>
      <c r="O439" s="52" t="n">
        <f aca="false">IF(C439&lt;&gt;"Purchase",0,IF(OR(I439="N",F439="Blocked input (entertainment)"),0,L439))</f>
        <v>0</v>
      </c>
      <c r="P439" s="52" t="n">
        <f aca="false">IF(C439&lt;&gt;"Purchase",0,L439-O439)</f>
        <v>0</v>
      </c>
      <c r="Q439" s="53" t="n">
        <f aca="false">J439-B439</f>
        <v>0</v>
      </c>
      <c r="R439" s="51" t="str">
        <f aca="false">IF(I439="N","Invalid / missing TRN",IF(F439="Blocked input (entertainment)","Blocked input",IF(Q439&gt;30,"Late posting (&gt;30d)","")))</f>
        <v/>
      </c>
    </row>
    <row r="440" customFormat="false" ht="15" hidden="false" customHeight="false" outlineLevel="0" collapsed="false">
      <c r="A440" s="47" t="s">
        <v>725</v>
      </c>
      <c r="B440" s="48" t="n">
        <v>45776</v>
      </c>
      <c r="C440" s="47" t="s">
        <v>159</v>
      </c>
      <c r="D440" s="47" t="s">
        <v>262</v>
      </c>
      <c r="E440" s="47" t="s">
        <v>102</v>
      </c>
      <c r="F440" s="47" t="s">
        <v>278</v>
      </c>
      <c r="G440" s="49" t="n">
        <v>74968.67</v>
      </c>
      <c r="H440" s="50" t="n">
        <v>0</v>
      </c>
      <c r="I440" s="47" t="s">
        <v>162</v>
      </c>
      <c r="J440" s="48" t="n">
        <v>45776</v>
      </c>
      <c r="K440" s="51" t="str">
        <f aca="false">"Q"&amp;ROUNDUP(MONTH(B440)/3,0)</f>
        <v>Q2</v>
      </c>
      <c r="L440" s="52" t="n">
        <f aca="false">ROUND(G440*H440,2)</f>
        <v>0</v>
      </c>
      <c r="M440" s="52" t="n">
        <f aca="false">IF(AND(C440="Sales",F440="Standard-rated 5%"),L440,0)</f>
        <v>0</v>
      </c>
      <c r="N440" s="52" t="n">
        <f aca="false">IF(F440="Reverse charge (imported services)",L440,0)</f>
        <v>0</v>
      </c>
      <c r="O440" s="52" t="n">
        <f aca="false">IF(C440&lt;&gt;"Purchase",0,IF(OR(I440="N",F440="Blocked input (entertainment)"),0,L440))</f>
        <v>0</v>
      </c>
      <c r="P440" s="52" t="n">
        <f aca="false">IF(C440&lt;&gt;"Purchase",0,L440-O440)</f>
        <v>0</v>
      </c>
      <c r="Q440" s="53" t="n">
        <f aca="false">J440-B440</f>
        <v>0</v>
      </c>
      <c r="R440" s="51" t="str">
        <f aca="false">IF(I440="N","Invalid / missing TRN",IF(F440="Blocked input (entertainment)","Blocked input",IF(Q440&gt;30,"Late posting (&gt;30d)","")))</f>
        <v/>
      </c>
    </row>
    <row r="441" customFormat="false" ht="15" hidden="false" customHeight="false" outlineLevel="0" collapsed="false">
      <c r="A441" s="47" t="s">
        <v>726</v>
      </c>
      <c r="B441" s="48" t="n">
        <v>45776</v>
      </c>
      <c r="C441" s="47" t="s">
        <v>159</v>
      </c>
      <c r="D441" s="47" t="s">
        <v>247</v>
      </c>
      <c r="E441" s="47" t="s">
        <v>100</v>
      </c>
      <c r="F441" s="47" t="s">
        <v>161</v>
      </c>
      <c r="G441" s="49" t="n">
        <v>13555.11</v>
      </c>
      <c r="H441" s="50" t="n">
        <v>0.05</v>
      </c>
      <c r="I441" s="47" t="s">
        <v>162</v>
      </c>
      <c r="J441" s="48" t="n">
        <v>45776</v>
      </c>
      <c r="K441" s="51" t="str">
        <f aca="false">"Q"&amp;ROUNDUP(MONTH(B441)/3,0)</f>
        <v>Q2</v>
      </c>
      <c r="L441" s="52" t="n">
        <f aca="false">ROUND(G441*H441,2)</f>
        <v>677.76</v>
      </c>
      <c r="M441" s="52" t="n">
        <f aca="false">IF(AND(C441="Sales",F441="Standard-rated 5%"),L441,0)</f>
        <v>677.76</v>
      </c>
      <c r="N441" s="52" t="n">
        <f aca="false">IF(F441="Reverse charge (imported services)",L441,0)</f>
        <v>0</v>
      </c>
      <c r="O441" s="52" t="n">
        <f aca="false">IF(C441&lt;&gt;"Purchase",0,IF(OR(I441="N",F441="Blocked input (entertainment)"),0,L441))</f>
        <v>0</v>
      </c>
      <c r="P441" s="52" t="n">
        <f aca="false">IF(C441&lt;&gt;"Purchase",0,L441-O441)</f>
        <v>0</v>
      </c>
      <c r="Q441" s="53" t="n">
        <f aca="false">J441-B441</f>
        <v>0</v>
      </c>
      <c r="R441" s="51" t="str">
        <f aca="false">IF(I441="N","Invalid / missing TRN",IF(F441="Blocked input (entertainment)","Blocked input",IF(Q441&gt;30,"Late posting (&gt;30d)","")))</f>
        <v/>
      </c>
    </row>
    <row r="442" customFormat="false" ht="15" hidden="false" customHeight="false" outlineLevel="0" collapsed="false">
      <c r="A442" s="47" t="s">
        <v>727</v>
      </c>
      <c r="B442" s="48" t="n">
        <v>45777</v>
      </c>
      <c r="C442" s="47" t="s">
        <v>166</v>
      </c>
      <c r="D442" s="47" t="s">
        <v>206</v>
      </c>
      <c r="E442" s="47" t="s">
        <v>101</v>
      </c>
      <c r="F442" s="47" t="s">
        <v>161</v>
      </c>
      <c r="G442" s="49" t="n">
        <v>30203.49</v>
      </c>
      <c r="H442" s="50" t="n">
        <v>0.05</v>
      </c>
      <c r="I442" s="47" t="s">
        <v>162</v>
      </c>
      <c r="J442" s="48" t="n">
        <v>45777</v>
      </c>
      <c r="K442" s="51" t="str">
        <f aca="false">"Q"&amp;ROUNDUP(MONTH(B442)/3,0)</f>
        <v>Q2</v>
      </c>
      <c r="L442" s="52" t="n">
        <f aca="false">ROUND(G442*H442,2)</f>
        <v>1510.17</v>
      </c>
      <c r="M442" s="52" t="n">
        <f aca="false">IF(AND(C442="Sales",F442="Standard-rated 5%"),L442,0)</f>
        <v>0</v>
      </c>
      <c r="N442" s="52" t="n">
        <f aca="false">IF(F442="Reverse charge (imported services)",L442,0)</f>
        <v>0</v>
      </c>
      <c r="O442" s="52" t="n">
        <f aca="false">IF(C442&lt;&gt;"Purchase",0,IF(OR(I442="N",F442="Blocked input (entertainment)"),0,L442))</f>
        <v>1510.17</v>
      </c>
      <c r="P442" s="52" t="n">
        <f aca="false">IF(C442&lt;&gt;"Purchase",0,L442-O442)</f>
        <v>0</v>
      </c>
      <c r="Q442" s="53" t="n">
        <f aca="false">J442-B442</f>
        <v>0</v>
      </c>
      <c r="R442" s="51" t="str">
        <f aca="false">IF(I442="N","Invalid / missing TRN",IF(F442="Blocked input (entertainment)","Blocked input",IF(Q442&gt;30,"Late posting (&gt;30d)","")))</f>
        <v/>
      </c>
    </row>
    <row r="443" customFormat="false" ht="15" hidden="false" customHeight="false" outlineLevel="0" collapsed="false">
      <c r="A443" s="47" t="s">
        <v>728</v>
      </c>
      <c r="B443" s="48" t="n">
        <v>45777</v>
      </c>
      <c r="C443" s="47" t="s">
        <v>159</v>
      </c>
      <c r="D443" s="47" t="s">
        <v>290</v>
      </c>
      <c r="E443" s="47" t="s">
        <v>102</v>
      </c>
      <c r="F443" s="47" t="s">
        <v>161</v>
      </c>
      <c r="G443" s="49" t="n">
        <v>43308.57</v>
      </c>
      <c r="H443" s="50" t="n">
        <v>0.05</v>
      </c>
      <c r="I443" s="47" t="s">
        <v>162</v>
      </c>
      <c r="J443" s="48" t="n">
        <v>45777</v>
      </c>
      <c r="K443" s="51" t="str">
        <f aca="false">"Q"&amp;ROUNDUP(MONTH(B443)/3,0)</f>
        <v>Q2</v>
      </c>
      <c r="L443" s="52" t="n">
        <f aca="false">ROUND(G443*H443,2)</f>
        <v>2165.43</v>
      </c>
      <c r="M443" s="52" t="n">
        <f aca="false">IF(AND(C443="Sales",F443="Standard-rated 5%"),L443,0)</f>
        <v>2165.43</v>
      </c>
      <c r="N443" s="52" t="n">
        <f aca="false">IF(F443="Reverse charge (imported services)",L443,0)</f>
        <v>0</v>
      </c>
      <c r="O443" s="52" t="n">
        <f aca="false">IF(C443&lt;&gt;"Purchase",0,IF(OR(I443="N",F443="Blocked input (entertainment)"),0,L443))</f>
        <v>0</v>
      </c>
      <c r="P443" s="52" t="n">
        <f aca="false">IF(C443&lt;&gt;"Purchase",0,L443-O443)</f>
        <v>0</v>
      </c>
      <c r="Q443" s="53" t="n">
        <f aca="false">J443-B443</f>
        <v>0</v>
      </c>
      <c r="R443" s="51" t="str">
        <f aca="false">IF(I443="N","Invalid / missing TRN",IF(F443="Blocked input (entertainment)","Blocked input",IF(Q443&gt;30,"Late posting (&gt;30d)","")))</f>
        <v/>
      </c>
    </row>
    <row r="444" customFormat="false" ht="15" hidden="false" customHeight="false" outlineLevel="0" collapsed="false">
      <c r="A444" s="47" t="s">
        <v>729</v>
      </c>
      <c r="B444" s="48" t="n">
        <v>45777</v>
      </c>
      <c r="C444" s="47" t="s">
        <v>159</v>
      </c>
      <c r="D444" s="47" t="s">
        <v>175</v>
      </c>
      <c r="E444" s="47" t="s">
        <v>101</v>
      </c>
      <c r="F444" s="47" t="s">
        <v>278</v>
      </c>
      <c r="G444" s="49" t="n">
        <v>7074.46</v>
      </c>
      <c r="H444" s="50" t="n">
        <v>0</v>
      </c>
      <c r="I444" s="47" t="s">
        <v>162</v>
      </c>
      <c r="J444" s="48" t="n">
        <v>45777</v>
      </c>
      <c r="K444" s="51" t="str">
        <f aca="false">"Q"&amp;ROUNDUP(MONTH(B444)/3,0)</f>
        <v>Q2</v>
      </c>
      <c r="L444" s="52" t="n">
        <f aca="false">ROUND(G444*H444,2)</f>
        <v>0</v>
      </c>
      <c r="M444" s="52" t="n">
        <f aca="false">IF(AND(C444="Sales",F444="Standard-rated 5%"),L444,0)</f>
        <v>0</v>
      </c>
      <c r="N444" s="52" t="n">
        <f aca="false">IF(F444="Reverse charge (imported services)",L444,0)</f>
        <v>0</v>
      </c>
      <c r="O444" s="52" t="n">
        <f aca="false">IF(C444&lt;&gt;"Purchase",0,IF(OR(I444="N",F444="Blocked input (entertainment)"),0,L444))</f>
        <v>0</v>
      </c>
      <c r="P444" s="52" t="n">
        <f aca="false">IF(C444&lt;&gt;"Purchase",0,L444-O444)</f>
        <v>0</v>
      </c>
      <c r="Q444" s="53" t="n">
        <f aca="false">J444-B444</f>
        <v>0</v>
      </c>
      <c r="R444" s="51" t="str">
        <f aca="false">IF(I444="N","Invalid / missing TRN",IF(F444="Blocked input (entertainment)","Blocked input",IF(Q444&gt;30,"Late posting (&gt;30d)","")))</f>
        <v/>
      </c>
    </row>
    <row r="445" customFormat="false" ht="15" hidden="false" customHeight="false" outlineLevel="0" collapsed="false">
      <c r="A445" s="47" t="s">
        <v>730</v>
      </c>
      <c r="B445" s="48" t="n">
        <v>45778</v>
      </c>
      <c r="C445" s="47" t="s">
        <v>166</v>
      </c>
      <c r="D445" s="47" t="s">
        <v>460</v>
      </c>
      <c r="E445" s="47" t="s">
        <v>100</v>
      </c>
      <c r="F445" s="47" t="s">
        <v>161</v>
      </c>
      <c r="G445" s="49" t="n">
        <v>28072.51</v>
      </c>
      <c r="H445" s="50" t="n">
        <v>0.05</v>
      </c>
      <c r="I445" s="47" t="s">
        <v>162</v>
      </c>
      <c r="J445" s="48" t="n">
        <v>45780</v>
      </c>
      <c r="K445" s="51" t="str">
        <f aca="false">"Q"&amp;ROUNDUP(MONTH(B445)/3,0)</f>
        <v>Q2</v>
      </c>
      <c r="L445" s="52" t="n">
        <f aca="false">ROUND(G445*H445,2)</f>
        <v>1403.63</v>
      </c>
      <c r="M445" s="52" t="n">
        <f aca="false">IF(AND(C445="Sales",F445="Standard-rated 5%"),L445,0)</f>
        <v>0</v>
      </c>
      <c r="N445" s="52" t="n">
        <f aca="false">IF(F445="Reverse charge (imported services)",L445,0)</f>
        <v>0</v>
      </c>
      <c r="O445" s="52" t="n">
        <f aca="false">IF(C445&lt;&gt;"Purchase",0,IF(OR(I445="N",F445="Blocked input (entertainment)"),0,L445))</f>
        <v>1403.63</v>
      </c>
      <c r="P445" s="52" t="n">
        <f aca="false">IF(C445&lt;&gt;"Purchase",0,L445-O445)</f>
        <v>0</v>
      </c>
      <c r="Q445" s="53" t="n">
        <f aca="false">J445-B445</f>
        <v>2</v>
      </c>
      <c r="R445" s="51" t="str">
        <f aca="false">IF(I445="N","Invalid / missing TRN",IF(F445="Blocked input (entertainment)","Blocked input",IF(Q445&gt;30,"Late posting (&gt;30d)","")))</f>
        <v/>
      </c>
    </row>
    <row r="446" customFormat="false" ht="15" hidden="false" customHeight="false" outlineLevel="0" collapsed="false">
      <c r="A446" s="47" t="s">
        <v>731</v>
      </c>
      <c r="B446" s="48" t="n">
        <v>45778</v>
      </c>
      <c r="C446" s="47" t="s">
        <v>166</v>
      </c>
      <c r="D446" s="47" t="s">
        <v>435</v>
      </c>
      <c r="E446" s="47" t="s">
        <v>101</v>
      </c>
      <c r="F446" s="47" t="s">
        <v>268</v>
      </c>
      <c r="G446" s="49" t="n">
        <v>11954.67</v>
      </c>
      <c r="H446" s="50" t="n">
        <v>0</v>
      </c>
      <c r="I446" s="47" t="s">
        <v>162</v>
      </c>
      <c r="J446" s="48" t="n">
        <v>45778</v>
      </c>
      <c r="K446" s="51" t="str">
        <f aca="false">"Q"&amp;ROUNDUP(MONTH(B446)/3,0)</f>
        <v>Q2</v>
      </c>
      <c r="L446" s="52" t="n">
        <f aca="false">ROUND(G446*H446,2)</f>
        <v>0</v>
      </c>
      <c r="M446" s="52" t="n">
        <f aca="false">IF(AND(C446="Sales",F446="Standard-rated 5%"),L446,0)</f>
        <v>0</v>
      </c>
      <c r="N446" s="52" t="n">
        <f aca="false">IF(F446="Reverse charge (imported services)",L446,0)</f>
        <v>0</v>
      </c>
      <c r="O446" s="52" t="n">
        <f aca="false">IF(C446&lt;&gt;"Purchase",0,IF(OR(I446="N",F446="Blocked input (entertainment)"),0,L446))</f>
        <v>0</v>
      </c>
      <c r="P446" s="52" t="n">
        <f aca="false">IF(C446&lt;&gt;"Purchase",0,L446-O446)</f>
        <v>0</v>
      </c>
      <c r="Q446" s="53" t="n">
        <f aca="false">J446-B446</f>
        <v>0</v>
      </c>
      <c r="R446" s="51" t="str">
        <f aca="false">IF(I446="N","Invalid / missing TRN",IF(F446="Blocked input (entertainment)","Blocked input",IF(Q446&gt;30,"Late posting (&gt;30d)","")))</f>
        <v/>
      </c>
    </row>
    <row r="447" customFormat="false" ht="15" hidden="false" customHeight="false" outlineLevel="0" collapsed="false">
      <c r="A447" s="47" t="s">
        <v>732</v>
      </c>
      <c r="B447" s="48" t="n">
        <v>45778</v>
      </c>
      <c r="C447" s="47" t="s">
        <v>166</v>
      </c>
      <c r="D447" s="47" t="s">
        <v>227</v>
      </c>
      <c r="E447" s="47" t="s">
        <v>100</v>
      </c>
      <c r="F447" s="47" t="s">
        <v>161</v>
      </c>
      <c r="G447" s="49" t="n">
        <v>97945.74</v>
      </c>
      <c r="H447" s="50" t="n">
        <v>0.05</v>
      </c>
      <c r="I447" s="47" t="s">
        <v>162</v>
      </c>
      <c r="J447" s="48" t="n">
        <v>45778</v>
      </c>
      <c r="K447" s="51" t="str">
        <f aca="false">"Q"&amp;ROUNDUP(MONTH(B447)/3,0)</f>
        <v>Q2</v>
      </c>
      <c r="L447" s="52" t="n">
        <f aca="false">ROUND(G447*H447,2)</f>
        <v>4897.29</v>
      </c>
      <c r="M447" s="52" t="n">
        <f aca="false">IF(AND(C447="Sales",F447="Standard-rated 5%"),L447,0)</f>
        <v>0</v>
      </c>
      <c r="N447" s="52" t="n">
        <f aca="false">IF(F447="Reverse charge (imported services)",L447,0)</f>
        <v>0</v>
      </c>
      <c r="O447" s="52" t="n">
        <f aca="false">IF(C447&lt;&gt;"Purchase",0,IF(OR(I447="N",F447="Blocked input (entertainment)"),0,L447))</f>
        <v>4897.29</v>
      </c>
      <c r="P447" s="52" t="n">
        <f aca="false">IF(C447&lt;&gt;"Purchase",0,L447-O447)</f>
        <v>0</v>
      </c>
      <c r="Q447" s="53" t="n">
        <f aca="false">J447-B447</f>
        <v>0</v>
      </c>
      <c r="R447" s="51" t="str">
        <f aca="false">IF(I447="N","Invalid / missing TRN",IF(F447="Blocked input (entertainment)","Blocked input",IF(Q447&gt;30,"Late posting (&gt;30d)","")))</f>
        <v/>
      </c>
    </row>
    <row r="448" customFormat="false" ht="15" hidden="false" customHeight="false" outlineLevel="0" collapsed="false">
      <c r="A448" s="47" t="s">
        <v>733</v>
      </c>
      <c r="B448" s="48" t="n">
        <v>45778</v>
      </c>
      <c r="C448" s="47" t="s">
        <v>166</v>
      </c>
      <c r="D448" s="47" t="s">
        <v>181</v>
      </c>
      <c r="E448" s="47" t="s">
        <v>100</v>
      </c>
      <c r="F448" s="47" t="s">
        <v>161</v>
      </c>
      <c r="G448" s="49" t="n">
        <v>95953.83</v>
      </c>
      <c r="H448" s="50" t="n">
        <v>0.05</v>
      </c>
      <c r="I448" s="47" t="s">
        <v>162</v>
      </c>
      <c r="J448" s="48" t="n">
        <v>45778</v>
      </c>
      <c r="K448" s="51" t="str">
        <f aca="false">"Q"&amp;ROUNDUP(MONTH(B448)/3,0)</f>
        <v>Q2</v>
      </c>
      <c r="L448" s="52" t="n">
        <f aca="false">ROUND(G448*H448,2)</f>
        <v>4797.69</v>
      </c>
      <c r="M448" s="52" t="n">
        <f aca="false">IF(AND(C448="Sales",F448="Standard-rated 5%"),L448,0)</f>
        <v>0</v>
      </c>
      <c r="N448" s="52" t="n">
        <f aca="false">IF(F448="Reverse charge (imported services)",L448,0)</f>
        <v>0</v>
      </c>
      <c r="O448" s="52" t="n">
        <f aca="false">IF(C448&lt;&gt;"Purchase",0,IF(OR(I448="N",F448="Blocked input (entertainment)"),0,L448))</f>
        <v>4797.69</v>
      </c>
      <c r="P448" s="52" t="n">
        <f aca="false">IF(C448&lt;&gt;"Purchase",0,L448-O448)</f>
        <v>0</v>
      </c>
      <c r="Q448" s="53" t="n">
        <f aca="false">J448-B448</f>
        <v>0</v>
      </c>
      <c r="R448" s="51" t="str">
        <f aca="false">IF(I448="N","Invalid / missing TRN",IF(F448="Blocked input (entertainment)","Blocked input",IF(Q448&gt;30,"Late posting (&gt;30d)","")))</f>
        <v/>
      </c>
    </row>
    <row r="449" customFormat="false" ht="15" hidden="false" customHeight="false" outlineLevel="0" collapsed="false">
      <c r="A449" s="47" t="s">
        <v>734</v>
      </c>
      <c r="B449" s="48" t="n">
        <v>45778</v>
      </c>
      <c r="C449" s="47" t="s">
        <v>159</v>
      </c>
      <c r="D449" s="47" t="s">
        <v>345</v>
      </c>
      <c r="E449" s="47" t="s">
        <v>100</v>
      </c>
      <c r="F449" s="47" t="s">
        <v>301</v>
      </c>
      <c r="G449" s="49" t="n">
        <v>24068.54</v>
      </c>
      <c r="H449" s="50" t="n">
        <v>0</v>
      </c>
      <c r="I449" s="47" t="s">
        <v>162</v>
      </c>
      <c r="J449" s="48" t="n">
        <v>45778</v>
      </c>
      <c r="K449" s="51" t="str">
        <f aca="false">"Q"&amp;ROUNDUP(MONTH(B449)/3,0)</f>
        <v>Q2</v>
      </c>
      <c r="L449" s="52" t="n">
        <f aca="false">ROUND(G449*H449,2)</f>
        <v>0</v>
      </c>
      <c r="M449" s="52" t="n">
        <f aca="false">IF(AND(C449="Sales",F449="Standard-rated 5%"),L449,0)</f>
        <v>0</v>
      </c>
      <c r="N449" s="52" t="n">
        <f aca="false">IF(F449="Reverse charge (imported services)",L449,0)</f>
        <v>0</v>
      </c>
      <c r="O449" s="52" t="n">
        <f aca="false">IF(C449&lt;&gt;"Purchase",0,IF(OR(I449="N",F449="Blocked input (entertainment)"),0,L449))</f>
        <v>0</v>
      </c>
      <c r="P449" s="52" t="n">
        <f aca="false">IF(C449&lt;&gt;"Purchase",0,L449-O449)</f>
        <v>0</v>
      </c>
      <c r="Q449" s="53" t="n">
        <f aca="false">J449-B449</f>
        <v>0</v>
      </c>
      <c r="R449" s="51" t="str">
        <f aca="false">IF(I449="N","Invalid / missing TRN",IF(F449="Blocked input (entertainment)","Blocked input",IF(Q449&gt;30,"Late posting (&gt;30d)","")))</f>
        <v/>
      </c>
    </row>
    <row r="450" customFormat="false" ht="15" hidden="false" customHeight="false" outlineLevel="0" collapsed="false">
      <c r="A450" s="47" t="s">
        <v>735</v>
      </c>
      <c r="B450" s="48" t="n">
        <v>45778</v>
      </c>
      <c r="C450" s="47" t="s">
        <v>159</v>
      </c>
      <c r="D450" s="47" t="s">
        <v>245</v>
      </c>
      <c r="E450" s="47" t="s">
        <v>100</v>
      </c>
      <c r="F450" s="47" t="s">
        <v>278</v>
      </c>
      <c r="G450" s="49" t="n">
        <v>101886.66</v>
      </c>
      <c r="H450" s="50" t="n">
        <v>0</v>
      </c>
      <c r="I450" s="47" t="s">
        <v>162</v>
      </c>
      <c r="J450" s="48" t="n">
        <v>45778</v>
      </c>
      <c r="K450" s="51" t="str">
        <f aca="false">"Q"&amp;ROUNDUP(MONTH(B450)/3,0)</f>
        <v>Q2</v>
      </c>
      <c r="L450" s="52" t="n">
        <f aca="false">ROUND(G450*H450,2)</f>
        <v>0</v>
      </c>
      <c r="M450" s="52" t="n">
        <f aca="false">IF(AND(C450="Sales",F450="Standard-rated 5%"),L450,0)</f>
        <v>0</v>
      </c>
      <c r="N450" s="52" t="n">
        <f aca="false">IF(F450="Reverse charge (imported services)",L450,0)</f>
        <v>0</v>
      </c>
      <c r="O450" s="52" t="n">
        <f aca="false">IF(C450&lt;&gt;"Purchase",0,IF(OR(I450="N",F450="Blocked input (entertainment)"),0,L450))</f>
        <v>0</v>
      </c>
      <c r="P450" s="52" t="n">
        <f aca="false">IF(C450&lt;&gt;"Purchase",0,L450-O450)</f>
        <v>0</v>
      </c>
      <c r="Q450" s="53" t="n">
        <f aca="false">J450-B450</f>
        <v>0</v>
      </c>
      <c r="R450" s="51" t="str">
        <f aca="false">IF(I450="N","Invalid / missing TRN",IF(F450="Blocked input (entertainment)","Blocked input",IF(Q450&gt;30,"Late posting (&gt;30d)","")))</f>
        <v/>
      </c>
    </row>
    <row r="451" customFormat="false" ht="15" hidden="false" customHeight="false" outlineLevel="0" collapsed="false">
      <c r="A451" s="47" t="s">
        <v>736</v>
      </c>
      <c r="B451" s="48" t="n">
        <v>45779</v>
      </c>
      <c r="C451" s="47" t="s">
        <v>166</v>
      </c>
      <c r="D451" s="47" t="s">
        <v>264</v>
      </c>
      <c r="E451" s="47" t="s">
        <v>100</v>
      </c>
      <c r="F451" s="47" t="s">
        <v>161</v>
      </c>
      <c r="G451" s="49" t="n">
        <v>39309.53</v>
      </c>
      <c r="H451" s="50" t="n">
        <v>0.05</v>
      </c>
      <c r="I451" s="47" t="s">
        <v>162</v>
      </c>
      <c r="J451" s="48" t="n">
        <v>45779</v>
      </c>
      <c r="K451" s="51" t="str">
        <f aca="false">"Q"&amp;ROUNDUP(MONTH(B451)/3,0)</f>
        <v>Q2</v>
      </c>
      <c r="L451" s="52" t="n">
        <f aca="false">ROUND(G451*H451,2)</f>
        <v>1965.48</v>
      </c>
      <c r="M451" s="52" t="n">
        <f aca="false">IF(AND(C451="Sales",F451="Standard-rated 5%"),L451,0)</f>
        <v>0</v>
      </c>
      <c r="N451" s="52" t="n">
        <f aca="false">IF(F451="Reverse charge (imported services)",L451,0)</f>
        <v>0</v>
      </c>
      <c r="O451" s="52" t="n">
        <f aca="false">IF(C451&lt;&gt;"Purchase",0,IF(OR(I451="N",F451="Blocked input (entertainment)"),0,L451))</f>
        <v>1965.48</v>
      </c>
      <c r="P451" s="52" t="n">
        <f aca="false">IF(C451&lt;&gt;"Purchase",0,L451-O451)</f>
        <v>0</v>
      </c>
      <c r="Q451" s="53" t="n">
        <f aca="false">J451-B451</f>
        <v>0</v>
      </c>
      <c r="R451" s="51" t="str">
        <f aca="false">IF(I451="N","Invalid / missing TRN",IF(F451="Blocked input (entertainment)","Blocked input",IF(Q451&gt;30,"Late posting (&gt;30d)","")))</f>
        <v/>
      </c>
    </row>
    <row r="452" customFormat="false" ht="15" hidden="false" customHeight="false" outlineLevel="0" collapsed="false">
      <c r="A452" s="47" t="s">
        <v>737</v>
      </c>
      <c r="B452" s="48" t="n">
        <v>45779</v>
      </c>
      <c r="C452" s="47" t="s">
        <v>159</v>
      </c>
      <c r="D452" s="47" t="s">
        <v>277</v>
      </c>
      <c r="E452" s="47" t="s">
        <v>101</v>
      </c>
      <c r="F452" s="47" t="s">
        <v>278</v>
      </c>
      <c r="G452" s="49" t="n">
        <v>50541.32</v>
      </c>
      <c r="H452" s="50" t="n">
        <v>0</v>
      </c>
      <c r="I452" s="47" t="s">
        <v>162</v>
      </c>
      <c r="J452" s="48" t="n">
        <v>45779</v>
      </c>
      <c r="K452" s="51" t="str">
        <f aca="false">"Q"&amp;ROUNDUP(MONTH(B452)/3,0)</f>
        <v>Q2</v>
      </c>
      <c r="L452" s="52" t="n">
        <f aca="false">ROUND(G452*H452,2)</f>
        <v>0</v>
      </c>
      <c r="M452" s="52" t="n">
        <f aca="false">IF(AND(C452="Sales",F452="Standard-rated 5%"),L452,0)</f>
        <v>0</v>
      </c>
      <c r="N452" s="52" t="n">
        <f aca="false">IF(F452="Reverse charge (imported services)",L452,0)</f>
        <v>0</v>
      </c>
      <c r="O452" s="52" t="n">
        <f aca="false">IF(C452&lt;&gt;"Purchase",0,IF(OR(I452="N",F452="Blocked input (entertainment)"),0,L452))</f>
        <v>0</v>
      </c>
      <c r="P452" s="52" t="n">
        <f aca="false">IF(C452&lt;&gt;"Purchase",0,L452-O452)</f>
        <v>0</v>
      </c>
      <c r="Q452" s="53" t="n">
        <f aca="false">J452-B452</f>
        <v>0</v>
      </c>
      <c r="R452" s="51" t="str">
        <f aca="false">IF(I452="N","Invalid / missing TRN",IF(F452="Blocked input (entertainment)","Blocked input",IF(Q452&gt;30,"Late posting (&gt;30d)","")))</f>
        <v/>
      </c>
    </row>
    <row r="453" customFormat="false" ht="15" hidden="false" customHeight="false" outlineLevel="0" collapsed="false">
      <c r="A453" s="47" t="s">
        <v>738</v>
      </c>
      <c r="B453" s="48" t="n">
        <v>45779</v>
      </c>
      <c r="C453" s="47" t="s">
        <v>159</v>
      </c>
      <c r="D453" s="47" t="s">
        <v>223</v>
      </c>
      <c r="E453" s="47" t="s">
        <v>105</v>
      </c>
      <c r="F453" s="47" t="s">
        <v>161</v>
      </c>
      <c r="G453" s="49" t="n">
        <v>32463.25</v>
      </c>
      <c r="H453" s="50" t="n">
        <v>0.05</v>
      </c>
      <c r="I453" s="47" t="s">
        <v>162</v>
      </c>
      <c r="J453" s="48" t="n">
        <v>45779</v>
      </c>
      <c r="K453" s="51" t="str">
        <f aca="false">"Q"&amp;ROUNDUP(MONTH(B453)/3,0)</f>
        <v>Q2</v>
      </c>
      <c r="L453" s="52" t="n">
        <f aca="false">ROUND(G453*H453,2)</f>
        <v>1623.16</v>
      </c>
      <c r="M453" s="52" t="n">
        <f aca="false">IF(AND(C453="Sales",F453="Standard-rated 5%"),L453,0)</f>
        <v>1623.16</v>
      </c>
      <c r="N453" s="52" t="n">
        <f aca="false">IF(F453="Reverse charge (imported services)",L453,0)</f>
        <v>0</v>
      </c>
      <c r="O453" s="52" t="n">
        <f aca="false">IF(C453&lt;&gt;"Purchase",0,IF(OR(I453="N",F453="Blocked input (entertainment)"),0,L453))</f>
        <v>0</v>
      </c>
      <c r="P453" s="52" t="n">
        <f aca="false">IF(C453&lt;&gt;"Purchase",0,L453-O453)</f>
        <v>0</v>
      </c>
      <c r="Q453" s="53" t="n">
        <f aca="false">J453-B453</f>
        <v>0</v>
      </c>
      <c r="R453" s="51" t="str">
        <f aca="false">IF(I453="N","Invalid / missing TRN",IF(F453="Blocked input (entertainment)","Blocked input",IF(Q453&gt;30,"Late posting (&gt;30d)","")))</f>
        <v/>
      </c>
    </row>
    <row r="454" customFormat="false" ht="15" hidden="false" customHeight="false" outlineLevel="0" collapsed="false">
      <c r="A454" s="47" t="s">
        <v>739</v>
      </c>
      <c r="B454" s="48" t="n">
        <v>45780</v>
      </c>
      <c r="C454" s="47" t="s">
        <v>166</v>
      </c>
      <c r="D454" s="47" t="s">
        <v>549</v>
      </c>
      <c r="E454" s="47" t="s">
        <v>102</v>
      </c>
      <c r="F454" s="47" t="s">
        <v>161</v>
      </c>
      <c r="G454" s="49" t="n">
        <v>58198.65</v>
      </c>
      <c r="H454" s="50" t="n">
        <v>0.05</v>
      </c>
      <c r="I454" s="47" t="s">
        <v>162</v>
      </c>
      <c r="J454" s="48" t="n">
        <v>45780</v>
      </c>
      <c r="K454" s="51" t="str">
        <f aca="false">"Q"&amp;ROUNDUP(MONTH(B454)/3,0)</f>
        <v>Q2</v>
      </c>
      <c r="L454" s="52" t="n">
        <f aca="false">ROUND(G454*H454,2)</f>
        <v>2909.93</v>
      </c>
      <c r="M454" s="52" t="n">
        <f aca="false">IF(AND(C454="Sales",F454="Standard-rated 5%"),L454,0)</f>
        <v>0</v>
      </c>
      <c r="N454" s="52" t="n">
        <f aca="false">IF(F454="Reverse charge (imported services)",L454,0)</f>
        <v>0</v>
      </c>
      <c r="O454" s="52" t="n">
        <f aca="false">IF(C454&lt;&gt;"Purchase",0,IF(OR(I454="N",F454="Blocked input (entertainment)"),0,L454))</f>
        <v>2909.93</v>
      </c>
      <c r="P454" s="52" t="n">
        <f aca="false">IF(C454&lt;&gt;"Purchase",0,L454-O454)</f>
        <v>0</v>
      </c>
      <c r="Q454" s="53" t="n">
        <f aca="false">J454-B454</f>
        <v>0</v>
      </c>
      <c r="R454" s="51" t="str">
        <f aca="false">IF(I454="N","Invalid / missing TRN",IF(F454="Blocked input (entertainment)","Blocked input",IF(Q454&gt;30,"Late posting (&gt;30d)","")))</f>
        <v/>
      </c>
    </row>
    <row r="455" customFormat="false" ht="15" hidden="false" customHeight="false" outlineLevel="0" collapsed="false">
      <c r="A455" s="47" t="s">
        <v>740</v>
      </c>
      <c r="B455" s="48" t="n">
        <v>45780</v>
      </c>
      <c r="C455" s="47" t="s">
        <v>166</v>
      </c>
      <c r="D455" s="47" t="s">
        <v>229</v>
      </c>
      <c r="E455" s="47" t="s">
        <v>101</v>
      </c>
      <c r="F455" s="47" t="s">
        <v>337</v>
      </c>
      <c r="G455" s="49" t="n">
        <v>18818.47</v>
      </c>
      <c r="H455" s="50" t="n">
        <v>0</v>
      </c>
      <c r="I455" s="47" t="s">
        <v>162</v>
      </c>
      <c r="J455" s="48" t="n">
        <v>45780</v>
      </c>
      <c r="K455" s="51" t="str">
        <f aca="false">"Q"&amp;ROUNDUP(MONTH(B455)/3,0)</f>
        <v>Q2</v>
      </c>
      <c r="L455" s="52" t="n">
        <f aca="false">ROUND(G455*H455,2)</f>
        <v>0</v>
      </c>
      <c r="M455" s="52" t="n">
        <f aca="false">IF(AND(C455="Sales",F455="Standard-rated 5%"),L455,0)</f>
        <v>0</v>
      </c>
      <c r="N455" s="52" t="n">
        <f aca="false">IF(F455="Reverse charge (imported services)",L455,0)</f>
        <v>0</v>
      </c>
      <c r="O455" s="52" t="n">
        <f aca="false">IF(C455&lt;&gt;"Purchase",0,IF(OR(I455="N",F455="Blocked input (entertainment)"),0,L455))</f>
        <v>0</v>
      </c>
      <c r="P455" s="52" t="n">
        <f aca="false">IF(C455&lt;&gt;"Purchase",0,L455-O455)</f>
        <v>0</v>
      </c>
      <c r="Q455" s="53" t="n">
        <f aca="false">J455-B455</f>
        <v>0</v>
      </c>
      <c r="R455" s="51" t="str">
        <f aca="false">IF(I455="N","Invalid / missing TRN",IF(F455="Blocked input (entertainment)","Blocked input",IF(Q455&gt;30,"Late posting (&gt;30d)","")))</f>
        <v/>
      </c>
    </row>
    <row r="456" customFormat="false" ht="15" hidden="false" customHeight="false" outlineLevel="0" collapsed="false">
      <c r="A456" s="47" t="s">
        <v>741</v>
      </c>
      <c r="B456" s="48" t="n">
        <v>45780</v>
      </c>
      <c r="C456" s="47" t="s">
        <v>159</v>
      </c>
      <c r="D456" s="47" t="s">
        <v>343</v>
      </c>
      <c r="E456" s="47" t="s">
        <v>103</v>
      </c>
      <c r="F456" s="47" t="s">
        <v>278</v>
      </c>
      <c r="G456" s="49" t="n">
        <v>58599.21</v>
      </c>
      <c r="H456" s="50" t="n">
        <v>0</v>
      </c>
      <c r="I456" s="47" t="s">
        <v>162</v>
      </c>
      <c r="J456" s="48" t="n">
        <v>45780</v>
      </c>
      <c r="K456" s="51" t="str">
        <f aca="false">"Q"&amp;ROUNDUP(MONTH(B456)/3,0)</f>
        <v>Q2</v>
      </c>
      <c r="L456" s="52" t="n">
        <f aca="false">ROUND(G456*H456,2)</f>
        <v>0</v>
      </c>
      <c r="M456" s="52" t="n">
        <f aca="false">IF(AND(C456="Sales",F456="Standard-rated 5%"),L456,0)</f>
        <v>0</v>
      </c>
      <c r="N456" s="52" t="n">
        <f aca="false">IF(F456="Reverse charge (imported services)",L456,0)</f>
        <v>0</v>
      </c>
      <c r="O456" s="52" t="n">
        <f aca="false">IF(C456&lt;&gt;"Purchase",0,IF(OR(I456="N",F456="Blocked input (entertainment)"),0,L456))</f>
        <v>0</v>
      </c>
      <c r="P456" s="52" t="n">
        <f aca="false">IF(C456&lt;&gt;"Purchase",0,L456-O456)</f>
        <v>0</v>
      </c>
      <c r="Q456" s="53" t="n">
        <f aca="false">J456-B456</f>
        <v>0</v>
      </c>
      <c r="R456" s="51" t="str">
        <f aca="false">IF(I456="N","Invalid / missing TRN",IF(F456="Blocked input (entertainment)","Blocked input",IF(Q456&gt;30,"Late posting (&gt;30d)","")))</f>
        <v/>
      </c>
    </row>
    <row r="457" customFormat="false" ht="15" hidden="false" customHeight="false" outlineLevel="0" collapsed="false">
      <c r="A457" s="47" t="s">
        <v>742</v>
      </c>
      <c r="B457" s="48" t="n">
        <v>45781</v>
      </c>
      <c r="C457" s="47" t="s">
        <v>166</v>
      </c>
      <c r="D457" s="47" t="s">
        <v>233</v>
      </c>
      <c r="E457" s="47" t="s">
        <v>100</v>
      </c>
      <c r="F457" s="47" t="s">
        <v>161</v>
      </c>
      <c r="G457" s="49" t="n">
        <v>92285.78</v>
      </c>
      <c r="H457" s="50" t="n">
        <v>0.05</v>
      </c>
      <c r="I457" s="47" t="s">
        <v>162</v>
      </c>
      <c r="J457" s="48" t="n">
        <v>45781</v>
      </c>
      <c r="K457" s="51" t="str">
        <f aca="false">"Q"&amp;ROUNDUP(MONTH(B457)/3,0)</f>
        <v>Q2</v>
      </c>
      <c r="L457" s="52" t="n">
        <f aca="false">ROUND(G457*H457,2)</f>
        <v>4614.29</v>
      </c>
      <c r="M457" s="52" t="n">
        <f aca="false">IF(AND(C457="Sales",F457="Standard-rated 5%"),L457,0)</f>
        <v>0</v>
      </c>
      <c r="N457" s="52" t="n">
        <f aca="false">IF(F457="Reverse charge (imported services)",L457,0)</f>
        <v>0</v>
      </c>
      <c r="O457" s="52" t="n">
        <f aca="false">IF(C457&lt;&gt;"Purchase",0,IF(OR(I457="N",F457="Blocked input (entertainment)"),0,L457))</f>
        <v>4614.29</v>
      </c>
      <c r="P457" s="52" t="n">
        <f aca="false">IF(C457&lt;&gt;"Purchase",0,L457-O457)</f>
        <v>0</v>
      </c>
      <c r="Q457" s="53" t="n">
        <f aca="false">J457-B457</f>
        <v>0</v>
      </c>
      <c r="R457" s="51" t="str">
        <f aca="false">IF(I457="N","Invalid / missing TRN",IF(F457="Blocked input (entertainment)","Blocked input",IF(Q457&gt;30,"Late posting (&gt;30d)","")))</f>
        <v/>
      </c>
    </row>
    <row r="458" customFormat="false" ht="15" hidden="false" customHeight="false" outlineLevel="0" collapsed="false">
      <c r="A458" s="47" t="s">
        <v>743</v>
      </c>
      <c r="B458" s="48" t="n">
        <v>45781</v>
      </c>
      <c r="C458" s="47" t="s">
        <v>166</v>
      </c>
      <c r="D458" s="47" t="s">
        <v>208</v>
      </c>
      <c r="E458" s="47" t="s">
        <v>101</v>
      </c>
      <c r="F458" s="47" t="s">
        <v>161</v>
      </c>
      <c r="G458" s="49" t="n">
        <v>51412.15</v>
      </c>
      <c r="H458" s="50" t="n">
        <v>0.05</v>
      </c>
      <c r="I458" s="47" t="s">
        <v>162</v>
      </c>
      <c r="J458" s="48" t="n">
        <v>45783</v>
      </c>
      <c r="K458" s="51" t="str">
        <f aca="false">"Q"&amp;ROUNDUP(MONTH(B458)/3,0)</f>
        <v>Q2</v>
      </c>
      <c r="L458" s="52" t="n">
        <f aca="false">ROUND(G458*H458,2)</f>
        <v>2570.61</v>
      </c>
      <c r="M458" s="52" t="n">
        <f aca="false">IF(AND(C458="Sales",F458="Standard-rated 5%"),L458,0)</f>
        <v>0</v>
      </c>
      <c r="N458" s="52" t="n">
        <f aca="false">IF(F458="Reverse charge (imported services)",L458,0)</f>
        <v>0</v>
      </c>
      <c r="O458" s="52" t="n">
        <f aca="false">IF(C458&lt;&gt;"Purchase",0,IF(OR(I458="N",F458="Blocked input (entertainment)"),0,L458))</f>
        <v>2570.61</v>
      </c>
      <c r="P458" s="52" t="n">
        <f aca="false">IF(C458&lt;&gt;"Purchase",0,L458-O458)</f>
        <v>0</v>
      </c>
      <c r="Q458" s="53" t="n">
        <f aca="false">J458-B458</f>
        <v>2</v>
      </c>
      <c r="R458" s="51" t="str">
        <f aca="false">IF(I458="N","Invalid / missing TRN",IF(F458="Blocked input (entertainment)","Blocked input",IF(Q458&gt;30,"Late posting (&gt;30d)","")))</f>
        <v/>
      </c>
    </row>
    <row r="459" customFormat="false" ht="15" hidden="false" customHeight="false" outlineLevel="0" collapsed="false">
      <c r="A459" s="47" t="s">
        <v>744</v>
      </c>
      <c r="B459" s="48" t="n">
        <v>45781</v>
      </c>
      <c r="C459" s="47" t="s">
        <v>159</v>
      </c>
      <c r="D459" s="47" t="s">
        <v>383</v>
      </c>
      <c r="E459" s="47" t="s">
        <v>102</v>
      </c>
      <c r="F459" s="47" t="s">
        <v>161</v>
      </c>
      <c r="G459" s="49" t="n">
        <v>97071.86</v>
      </c>
      <c r="H459" s="50" t="n">
        <v>0.05</v>
      </c>
      <c r="I459" s="47" t="s">
        <v>162</v>
      </c>
      <c r="J459" s="48" t="n">
        <v>45781</v>
      </c>
      <c r="K459" s="51" t="str">
        <f aca="false">"Q"&amp;ROUNDUP(MONTH(B459)/3,0)</f>
        <v>Q2</v>
      </c>
      <c r="L459" s="52" t="n">
        <f aca="false">ROUND(G459*H459,2)</f>
        <v>4853.59</v>
      </c>
      <c r="M459" s="52" t="n">
        <f aca="false">IF(AND(C459="Sales",F459="Standard-rated 5%"),L459,0)</f>
        <v>4853.59</v>
      </c>
      <c r="N459" s="52" t="n">
        <f aca="false">IF(F459="Reverse charge (imported services)",L459,0)</f>
        <v>0</v>
      </c>
      <c r="O459" s="52" t="n">
        <f aca="false">IF(C459&lt;&gt;"Purchase",0,IF(OR(I459="N",F459="Blocked input (entertainment)"),0,L459))</f>
        <v>0</v>
      </c>
      <c r="P459" s="52" t="n">
        <f aca="false">IF(C459&lt;&gt;"Purchase",0,L459-O459)</f>
        <v>0</v>
      </c>
      <c r="Q459" s="53" t="n">
        <f aca="false">J459-B459</f>
        <v>0</v>
      </c>
      <c r="R459" s="51" t="str">
        <f aca="false">IF(I459="N","Invalid / missing TRN",IF(F459="Blocked input (entertainment)","Blocked input",IF(Q459&gt;30,"Late posting (&gt;30d)","")))</f>
        <v/>
      </c>
    </row>
    <row r="460" customFormat="false" ht="15" hidden="false" customHeight="false" outlineLevel="0" collapsed="false">
      <c r="A460" s="47" t="s">
        <v>745</v>
      </c>
      <c r="B460" s="48" t="n">
        <v>45782</v>
      </c>
      <c r="C460" s="47" t="s">
        <v>166</v>
      </c>
      <c r="D460" s="47" t="s">
        <v>555</v>
      </c>
      <c r="E460" s="47" t="s">
        <v>100</v>
      </c>
      <c r="F460" s="47" t="s">
        <v>161</v>
      </c>
      <c r="G460" s="49" t="n">
        <v>154222.87</v>
      </c>
      <c r="H460" s="50" t="n">
        <v>0.05</v>
      </c>
      <c r="I460" s="47" t="s">
        <v>162</v>
      </c>
      <c r="J460" s="48" t="n">
        <v>45782</v>
      </c>
      <c r="K460" s="51" t="str">
        <f aca="false">"Q"&amp;ROUNDUP(MONTH(B460)/3,0)</f>
        <v>Q2</v>
      </c>
      <c r="L460" s="52" t="n">
        <f aca="false">ROUND(G460*H460,2)</f>
        <v>7711.14</v>
      </c>
      <c r="M460" s="52" t="n">
        <f aca="false">IF(AND(C460="Sales",F460="Standard-rated 5%"),L460,0)</f>
        <v>0</v>
      </c>
      <c r="N460" s="52" t="n">
        <f aca="false">IF(F460="Reverse charge (imported services)",L460,0)</f>
        <v>0</v>
      </c>
      <c r="O460" s="52" t="n">
        <f aca="false">IF(C460&lt;&gt;"Purchase",0,IF(OR(I460="N",F460="Blocked input (entertainment)"),0,L460))</f>
        <v>7711.14</v>
      </c>
      <c r="P460" s="52" t="n">
        <f aca="false">IF(C460&lt;&gt;"Purchase",0,L460-O460)</f>
        <v>0</v>
      </c>
      <c r="Q460" s="53" t="n">
        <f aca="false">J460-B460</f>
        <v>0</v>
      </c>
      <c r="R460" s="51" t="str">
        <f aca="false">IF(I460="N","Invalid / missing TRN",IF(F460="Blocked input (entertainment)","Blocked input",IF(Q460&gt;30,"Late posting (&gt;30d)","")))</f>
        <v/>
      </c>
    </row>
    <row r="461" customFormat="false" ht="15" hidden="false" customHeight="false" outlineLevel="0" collapsed="false">
      <c r="A461" s="47" t="s">
        <v>746</v>
      </c>
      <c r="B461" s="48" t="n">
        <v>45782</v>
      </c>
      <c r="C461" s="47" t="s">
        <v>166</v>
      </c>
      <c r="D461" s="47" t="s">
        <v>229</v>
      </c>
      <c r="E461" s="47" t="s">
        <v>100</v>
      </c>
      <c r="F461" s="47" t="s">
        <v>161</v>
      </c>
      <c r="G461" s="49" t="n">
        <v>29853.08</v>
      </c>
      <c r="H461" s="50" t="n">
        <v>0.05</v>
      </c>
      <c r="I461" s="47" t="s">
        <v>162</v>
      </c>
      <c r="J461" s="48" t="n">
        <v>45782</v>
      </c>
      <c r="K461" s="51" t="str">
        <f aca="false">"Q"&amp;ROUNDUP(MONTH(B461)/3,0)</f>
        <v>Q2</v>
      </c>
      <c r="L461" s="52" t="n">
        <f aca="false">ROUND(G461*H461,2)</f>
        <v>1492.65</v>
      </c>
      <c r="M461" s="52" t="n">
        <f aca="false">IF(AND(C461="Sales",F461="Standard-rated 5%"),L461,0)</f>
        <v>0</v>
      </c>
      <c r="N461" s="52" t="n">
        <f aca="false">IF(F461="Reverse charge (imported services)",L461,0)</f>
        <v>0</v>
      </c>
      <c r="O461" s="52" t="n">
        <f aca="false">IF(C461&lt;&gt;"Purchase",0,IF(OR(I461="N",F461="Blocked input (entertainment)"),0,L461))</f>
        <v>1492.65</v>
      </c>
      <c r="P461" s="52" t="n">
        <f aca="false">IF(C461&lt;&gt;"Purchase",0,L461-O461)</f>
        <v>0</v>
      </c>
      <c r="Q461" s="53" t="n">
        <f aca="false">J461-B461</f>
        <v>0</v>
      </c>
      <c r="R461" s="51" t="str">
        <f aca="false">IF(I461="N","Invalid / missing TRN",IF(F461="Blocked input (entertainment)","Blocked input",IF(Q461&gt;30,"Late posting (&gt;30d)","")))</f>
        <v/>
      </c>
    </row>
    <row r="462" customFormat="false" ht="15" hidden="false" customHeight="false" outlineLevel="0" collapsed="false">
      <c r="A462" s="47" t="s">
        <v>747</v>
      </c>
      <c r="B462" s="48" t="n">
        <v>45782</v>
      </c>
      <c r="C462" s="47" t="s">
        <v>159</v>
      </c>
      <c r="D462" s="47" t="s">
        <v>186</v>
      </c>
      <c r="E462" s="47" t="s">
        <v>102</v>
      </c>
      <c r="F462" s="47" t="s">
        <v>278</v>
      </c>
      <c r="G462" s="49" t="n">
        <v>48111.72</v>
      </c>
      <c r="H462" s="50" t="n">
        <v>0</v>
      </c>
      <c r="I462" s="47" t="s">
        <v>162</v>
      </c>
      <c r="J462" s="48" t="n">
        <v>45782</v>
      </c>
      <c r="K462" s="51" t="str">
        <f aca="false">"Q"&amp;ROUNDUP(MONTH(B462)/3,0)</f>
        <v>Q2</v>
      </c>
      <c r="L462" s="52" t="n">
        <f aca="false">ROUND(G462*H462,2)</f>
        <v>0</v>
      </c>
      <c r="M462" s="52" t="n">
        <f aca="false">IF(AND(C462="Sales",F462="Standard-rated 5%"),L462,0)</f>
        <v>0</v>
      </c>
      <c r="N462" s="52" t="n">
        <f aca="false">IF(F462="Reverse charge (imported services)",L462,0)</f>
        <v>0</v>
      </c>
      <c r="O462" s="52" t="n">
        <f aca="false">IF(C462&lt;&gt;"Purchase",0,IF(OR(I462="N",F462="Blocked input (entertainment)"),0,L462))</f>
        <v>0</v>
      </c>
      <c r="P462" s="52" t="n">
        <f aca="false">IF(C462&lt;&gt;"Purchase",0,L462-O462)</f>
        <v>0</v>
      </c>
      <c r="Q462" s="53" t="n">
        <f aca="false">J462-B462</f>
        <v>0</v>
      </c>
      <c r="R462" s="51" t="str">
        <f aca="false">IF(I462="N","Invalid / missing TRN",IF(F462="Blocked input (entertainment)","Blocked input",IF(Q462&gt;30,"Late posting (&gt;30d)","")))</f>
        <v/>
      </c>
    </row>
    <row r="463" customFormat="false" ht="15" hidden="false" customHeight="false" outlineLevel="0" collapsed="false">
      <c r="A463" s="47" t="s">
        <v>748</v>
      </c>
      <c r="B463" s="48" t="n">
        <v>45782</v>
      </c>
      <c r="C463" s="47" t="s">
        <v>159</v>
      </c>
      <c r="D463" s="47" t="s">
        <v>216</v>
      </c>
      <c r="E463" s="47" t="s">
        <v>105</v>
      </c>
      <c r="F463" s="47" t="s">
        <v>161</v>
      </c>
      <c r="G463" s="49" t="n">
        <v>11908</v>
      </c>
      <c r="H463" s="50" t="n">
        <v>0.05</v>
      </c>
      <c r="I463" s="47" t="s">
        <v>162</v>
      </c>
      <c r="J463" s="48" t="n">
        <v>45782</v>
      </c>
      <c r="K463" s="51" t="str">
        <f aca="false">"Q"&amp;ROUNDUP(MONTH(B463)/3,0)</f>
        <v>Q2</v>
      </c>
      <c r="L463" s="52" t="n">
        <f aca="false">ROUND(G463*H463,2)</f>
        <v>595.4</v>
      </c>
      <c r="M463" s="52" t="n">
        <f aca="false">IF(AND(C463="Sales",F463="Standard-rated 5%"),L463,0)</f>
        <v>595.4</v>
      </c>
      <c r="N463" s="52" t="n">
        <f aca="false">IF(F463="Reverse charge (imported services)",L463,0)</f>
        <v>0</v>
      </c>
      <c r="O463" s="52" t="n">
        <f aca="false">IF(C463&lt;&gt;"Purchase",0,IF(OR(I463="N",F463="Blocked input (entertainment)"),0,L463))</f>
        <v>0</v>
      </c>
      <c r="P463" s="52" t="n">
        <f aca="false">IF(C463&lt;&gt;"Purchase",0,L463-O463)</f>
        <v>0</v>
      </c>
      <c r="Q463" s="53" t="n">
        <f aca="false">J463-B463</f>
        <v>0</v>
      </c>
      <c r="R463" s="51" t="str">
        <f aca="false">IF(I463="N","Invalid / missing TRN",IF(F463="Blocked input (entertainment)","Blocked input",IF(Q463&gt;30,"Late posting (&gt;30d)","")))</f>
        <v/>
      </c>
    </row>
    <row r="464" customFormat="false" ht="15" hidden="false" customHeight="false" outlineLevel="0" collapsed="false">
      <c r="A464" s="47" t="s">
        <v>749</v>
      </c>
      <c r="B464" s="48" t="n">
        <v>45783</v>
      </c>
      <c r="C464" s="47" t="s">
        <v>166</v>
      </c>
      <c r="D464" s="47" t="s">
        <v>206</v>
      </c>
      <c r="E464" s="47" t="s">
        <v>100</v>
      </c>
      <c r="F464" s="47" t="s">
        <v>268</v>
      </c>
      <c r="G464" s="49" t="n">
        <v>10544.47</v>
      </c>
      <c r="H464" s="50" t="n">
        <v>0</v>
      </c>
      <c r="I464" s="47" t="s">
        <v>162</v>
      </c>
      <c r="J464" s="48" t="n">
        <v>45783</v>
      </c>
      <c r="K464" s="51" t="str">
        <f aca="false">"Q"&amp;ROUNDUP(MONTH(B464)/3,0)</f>
        <v>Q2</v>
      </c>
      <c r="L464" s="52" t="n">
        <f aca="false">ROUND(G464*H464,2)</f>
        <v>0</v>
      </c>
      <c r="M464" s="52" t="n">
        <f aca="false">IF(AND(C464="Sales",F464="Standard-rated 5%"),L464,0)</f>
        <v>0</v>
      </c>
      <c r="N464" s="52" t="n">
        <f aca="false">IF(F464="Reverse charge (imported services)",L464,0)</f>
        <v>0</v>
      </c>
      <c r="O464" s="52" t="n">
        <f aca="false">IF(C464&lt;&gt;"Purchase",0,IF(OR(I464="N",F464="Blocked input (entertainment)"),0,L464))</f>
        <v>0</v>
      </c>
      <c r="P464" s="52" t="n">
        <f aca="false">IF(C464&lt;&gt;"Purchase",0,L464-O464)</f>
        <v>0</v>
      </c>
      <c r="Q464" s="53" t="n">
        <f aca="false">J464-B464</f>
        <v>0</v>
      </c>
      <c r="R464" s="51" t="str">
        <f aca="false">IF(I464="N","Invalid / missing TRN",IF(F464="Blocked input (entertainment)","Blocked input",IF(Q464&gt;30,"Late posting (&gt;30d)","")))</f>
        <v/>
      </c>
    </row>
    <row r="465" customFormat="false" ht="15" hidden="false" customHeight="false" outlineLevel="0" collapsed="false">
      <c r="A465" s="47" t="s">
        <v>750</v>
      </c>
      <c r="B465" s="48" t="n">
        <v>45783</v>
      </c>
      <c r="C465" s="47" t="s">
        <v>159</v>
      </c>
      <c r="D465" s="47" t="s">
        <v>320</v>
      </c>
      <c r="E465" s="47" t="s">
        <v>102</v>
      </c>
      <c r="F465" s="47" t="s">
        <v>161</v>
      </c>
      <c r="G465" s="49" t="n">
        <v>63826.78</v>
      </c>
      <c r="H465" s="50" t="n">
        <v>0.05</v>
      </c>
      <c r="I465" s="47" t="s">
        <v>162</v>
      </c>
      <c r="J465" s="48" t="n">
        <v>45784</v>
      </c>
      <c r="K465" s="51" t="str">
        <f aca="false">"Q"&amp;ROUNDUP(MONTH(B465)/3,0)</f>
        <v>Q2</v>
      </c>
      <c r="L465" s="52" t="n">
        <f aca="false">ROUND(G465*H465,2)</f>
        <v>3191.34</v>
      </c>
      <c r="M465" s="52" t="n">
        <f aca="false">IF(AND(C465="Sales",F465="Standard-rated 5%"),L465,0)</f>
        <v>3191.34</v>
      </c>
      <c r="N465" s="52" t="n">
        <f aca="false">IF(F465="Reverse charge (imported services)",L465,0)</f>
        <v>0</v>
      </c>
      <c r="O465" s="52" t="n">
        <f aca="false">IF(C465&lt;&gt;"Purchase",0,IF(OR(I465="N",F465="Blocked input (entertainment)"),0,L465))</f>
        <v>0</v>
      </c>
      <c r="P465" s="52" t="n">
        <f aca="false">IF(C465&lt;&gt;"Purchase",0,L465-O465)</f>
        <v>0</v>
      </c>
      <c r="Q465" s="53" t="n">
        <f aca="false">J465-B465</f>
        <v>1</v>
      </c>
      <c r="R465" s="51" t="str">
        <f aca="false">IF(I465="N","Invalid / missing TRN",IF(F465="Blocked input (entertainment)","Blocked input",IF(Q465&gt;30,"Late posting (&gt;30d)","")))</f>
        <v/>
      </c>
    </row>
    <row r="466" customFormat="false" ht="15" hidden="false" customHeight="false" outlineLevel="0" collapsed="false">
      <c r="A466" s="47" t="s">
        <v>751</v>
      </c>
      <c r="B466" s="48" t="n">
        <v>45783</v>
      </c>
      <c r="C466" s="47" t="s">
        <v>159</v>
      </c>
      <c r="D466" s="47" t="s">
        <v>164</v>
      </c>
      <c r="E466" s="47" t="s">
        <v>101</v>
      </c>
      <c r="F466" s="47" t="s">
        <v>161</v>
      </c>
      <c r="G466" s="49" t="n">
        <v>33728.36</v>
      </c>
      <c r="H466" s="50" t="n">
        <v>0.05</v>
      </c>
      <c r="I466" s="47" t="s">
        <v>162</v>
      </c>
      <c r="J466" s="48" t="n">
        <v>45783</v>
      </c>
      <c r="K466" s="51" t="str">
        <f aca="false">"Q"&amp;ROUNDUP(MONTH(B466)/3,0)</f>
        <v>Q2</v>
      </c>
      <c r="L466" s="52" t="n">
        <f aca="false">ROUND(G466*H466,2)</f>
        <v>1686.42</v>
      </c>
      <c r="M466" s="52" t="n">
        <f aca="false">IF(AND(C466="Sales",F466="Standard-rated 5%"),L466,0)</f>
        <v>1686.42</v>
      </c>
      <c r="N466" s="52" t="n">
        <f aca="false">IF(F466="Reverse charge (imported services)",L466,0)</f>
        <v>0</v>
      </c>
      <c r="O466" s="52" t="n">
        <f aca="false">IF(C466&lt;&gt;"Purchase",0,IF(OR(I466="N",F466="Blocked input (entertainment)"),0,L466))</f>
        <v>0</v>
      </c>
      <c r="P466" s="52" t="n">
        <f aca="false">IF(C466&lt;&gt;"Purchase",0,L466-O466)</f>
        <v>0</v>
      </c>
      <c r="Q466" s="53" t="n">
        <f aca="false">J466-B466</f>
        <v>0</v>
      </c>
      <c r="R466" s="51" t="str">
        <f aca="false">IF(I466="N","Invalid / missing TRN",IF(F466="Blocked input (entertainment)","Blocked input",IF(Q466&gt;30,"Late posting (&gt;30d)","")))</f>
        <v/>
      </c>
    </row>
    <row r="467" customFormat="false" ht="15" hidden="false" customHeight="false" outlineLevel="0" collapsed="false">
      <c r="A467" s="47" t="s">
        <v>752</v>
      </c>
      <c r="B467" s="48" t="n">
        <v>45784</v>
      </c>
      <c r="C467" s="47" t="s">
        <v>166</v>
      </c>
      <c r="D467" s="47" t="s">
        <v>577</v>
      </c>
      <c r="E467" s="47" t="s">
        <v>104</v>
      </c>
      <c r="F467" s="47" t="s">
        <v>337</v>
      </c>
      <c r="G467" s="49" t="n">
        <v>14542.41</v>
      </c>
      <c r="H467" s="50" t="n">
        <v>0</v>
      </c>
      <c r="I467" s="47" t="s">
        <v>162</v>
      </c>
      <c r="J467" s="48" t="n">
        <v>45784</v>
      </c>
      <c r="K467" s="51" t="str">
        <f aca="false">"Q"&amp;ROUNDUP(MONTH(B467)/3,0)</f>
        <v>Q2</v>
      </c>
      <c r="L467" s="52" t="n">
        <f aca="false">ROUND(G467*H467,2)</f>
        <v>0</v>
      </c>
      <c r="M467" s="52" t="n">
        <f aca="false">IF(AND(C467="Sales",F467="Standard-rated 5%"),L467,0)</f>
        <v>0</v>
      </c>
      <c r="N467" s="52" t="n">
        <f aca="false">IF(F467="Reverse charge (imported services)",L467,0)</f>
        <v>0</v>
      </c>
      <c r="O467" s="52" t="n">
        <f aca="false">IF(C467&lt;&gt;"Purchase",0,IF(OR(I467="N",F467="Blocked input (entertainment)"),0,L467))</f>
        <v>0</v>
      </c>
      <c r="P467" s="52" t="n">
        <f aca="false">IF(C467&lt;&gt;"Purchase",0,L467-O467)</f>
        <v>0</v>
      </c>
      <c r="Q467" s="53" t="n">
        <f aca="false">J467-B467</f>
        <v>0</v>
      </c>
      <c r="R467" s="51" t="str">
        <f aca="false">IF(I467="N","Invalid / missing TRN",IF(F467="Blocked input (entertainment)","Blocked input",IF(Q467&gt;30,"Late posting (&gt;30d)","")))</f>
        <v/>
      </c>
    </row>
    <row r="468" customFormat="false" ht="15" hidden="false" customHeight="false" outlineLevel="0" collapsed="false">
      <c r="A468" s="47" t="s">
        <v>753</v>
      </c>
      <c r="B468" s="48" t="n">
        <v>45785</v>
      </c>
      <c r="C468" s="47" t="s">
        <v>166</v>
      </c>
      <c r="D468" s="47" t="s">
        <v>452</v>
      </c>
      <c r="E468" s="47" t="s">
        <v>100</v>
      </c>
      <c r="F468" s="47" t="s">
        <v>161</v>
      </c>
      <c r="G468" s="49" t="n">
        <v>15499.71</v>
      </c>
      <c r="H468" s="50" t="n">
        <v>0.05</v>
      </c>
      <c r="I468" s="47" t="s">
        <v>162</v>
      </c>
      <c r="J468" s="48" t="n">
        <v>45785</v>
      </c>
      <c r="K468" s="51" t="str">
        <f aca="false">"Q"&amp;ROUNDUP(MONTH(B468)/3,0)</f>
        <v>Q2</v>
      </c>
      <c r="L468" s="52" t="n">
        <f aca="false">ROUND(G468*H468,2)</f>
        <v>774.99</v>
      </c>
      <c r="M468" s="52" t="n">
        <f aca="false">IF(AND(C468="Sales",F468="Standard-rated 5%"),L468,0)</f>
        <v>0</v>
      </c>
      <c r="N468" s="52" t="n">
        <f aca="false">IF(F468="Reverse charge (imported services)",L468,0)</f>
        <v>0</v>
      </c>
      <c r="O468" s="52" t="n">
        <f aca="false">IF(C468&lt;&gt;"Purchase",0,IF(OR(I468="N",F468="Blocked input (entertainment)"),0,L468))</f>
        <v>774.99</v>
      </c>
      <c r="P468" s="52" t="n">
        <f aca="false">IF(C468&lt;&gt;"Purchase",0,L468-O468)</f>
        <v>0</v>
      </c>
      <c r="Q468" s="53" t="n">
        <f aca="false">J468-B468</f>
        <v>0</v>
      </c>
      <c r="R468" s="51" t="str">
        <f aca="false">IF(I468="N","Invalid / missing TRN",IF(F468="Blocked input (entertainment)","Blocked input",IF(Q468&gt;30,"Late posting (&gt;30d)","")))</f>
        <v/>
      </c>
    </row>
    <row r="469" customFormat="false" ht="15" hidden="false" customHeight="false" outlineLevel="0" collapsed="false">
      <c r="A469" s="47" t="s">
        <v>754</v>
      </c>
      <c r="B469" s="48" t="n">
        <v>45785</v>
      </c>
      <c r="C469" s="47" t="s">
        <v>166</v>
      </c>
      <c r="D469" s="47" t="s">
        <v>184</v>
      </c>
      <c r="E469" s="47" t="s">
        <v>100</v>
      </c>
      <c r="F469" s="47" t="s">
        <v>161</v>
      </c>
      <c r="G469" s="49" t="n">
        <v>10817.25</v>
      </c>
      <c r="H469" s="50" t="n">
        <v>0.05</v>
      </c>
      <c r="I469" s="47" t="s">
        <v>162</v>
      </c>
      <c r="J469" s="48" t="n">
        <v>45785</v>
      </c>
      <c r="K469" s="51" t="str">
        <f aca="false">"Q"&amp;ROUNDUP(MONTH(B469)/3,0)</f>
        <v>Q2</v>
      </c>
      <c r="L469" s="52" t="n">
        <f aca="false">ROUND(G469*H469,2)</f>
        <v>540.86</v>
      </c>
      <c r="M469" s="52" t="n">
        <f aca="false">IF(AND(C469="Sales",F469="Standard-rated 5%"),L469,0)</f>
        <v>0</v>
      </c>
      <c r="N469" s="52" t="n">
        <f aca="false">IF(F469="Reverse charge (imported services)",L469,0)</f>
        <v>0</v>
      </c>
      <c r="O469" s="52" t="n">
        <f aca="false">IF(C469&lt;&gt;"Purchase",0,IF(OR(I469="N",F469="Blocked input (entertainment)"),0,L469))</f>
        <v>540.86</v>
      </c>
      <c r="P469" s="52" t="n">
        <f aca="false">IF(C469&lt;&gt;"Purchase",0,L469-O469)</f>
        <v>0</v>
      </c>
      <c r="Q469" s="53" t="n">
        <f aca="false">J469-B469</f>
        <v>0</v>
      </c>
      <c r="R469" s="51" t="str">
        <f aca="false">IF(I469="N","Invalid / missing TRN",IF(F469="Blocked input (entertainment)","Blocked input",IF(Q469&gt;30,"Late posting (&gt;30d)","")))</f>
        <v/>
      </c>
    </row>
    <row r="470" customFormat="false" ht="15" hidden="false" customHeight="false" outlineLevel="0" collapsed="false">
      <c r="A470" s="47" t="s">
        <v>755</v>
      </c>
      <c r="B470" s="48" t="n">
        <v>45785</v>
      </c>
      <c r="C470" s="47" t="s">
        <v>159</v>
      </c>
      <c r="D470" s="47" t="s">
        <v>532</v>
      </c>
      <c r="E470" s="47" t="s">
        <v>101</v>
      </c>
      <c r="F470" s="47" t="s">
        <v>161</v>
      </c>
      <c r="G470" s="49" t="n">
        <v>88083.51</v>
      </c>
      <c r="H470" s="50" t="n">
        <v>0.05</v>
      </c>
      <c r="I470" s="47" t="s">
        <v>162</v>
      </c>
      <c r="J470" s="48" t="n">
        <v>45785</v>
      </c>
      <c r="K470" s="51" t="str">
        <f aca="false">"Q"&amp;ROUNDUP(MONTH(B470)/3,0)</f>
        <v>Q2</v>
      </c>
      <c r="L470" s="52" t="n">
        <f aca="false">ROUND(G470*H470,2)</f>
        <v>4404.18</v>
      </c>
      <c r="M470" s="52" t="n">
        <f aca="false">IF(AND(C470="Sales",F470="Standard-rated 5%"),L470,0)</f>
        <v>4404.18</v>
      </c>
      <c r="N470" s="52" t="n">
        <f aca="false">IF(F470="Reverse charge (imported services)",L470,0)</f>
        <v>0</v>
      </c>
      <c r="O470" s="52" t="n">
        <f aca="false">IF(C470&lt;&gt;"Purchase",0,IF(OR(I470="N",F470="Blocked input (entertainment)"),0,L470))</f>
        <v>0</v>
      </c>
      <c r="P470" s="52" t="n">
        <f aca="false">IF(C470&lt;&gt;"Purchase",0,L470-O470)</f>
        <v>0</v>
      </c>
      <c r="Q470" s="53" t="n">
        <f aca="false">J470-B470</f>
        <v>0</v>
      </c>
      <c r="R470" s="51" t="str">
        <f aca="false">IF(I470="N","Invalid / missing TRN",IF(F470="Blocked input (entertainment)","Blocked input",IF(Q470&gt;30,"Late posting (&gt;30d)","")))</f>
        <v/>
      </c>
    </row>
    <row r="471" customFormat="false" ht="15" hidden="false" customHeight="false" outlineLevel="0" collapsed="false">
      <c r="A471" s="47" t="s">
        <v>756</v>
      </c>
      <c r="B471" s="48" t="n">
        <v>45786</v>
      </c>
      <c r="C471" s="47" t="s">
        <v>166</v>
      </c>
      <c r="D471" s="47" t="s">
        <v>514</v>
      </c>
      <c r="E471" s="47" t="s">
        <v>100</v>
      </c>
      <c r="F471" s="47" t="s">
        <v>161</v>
      </c>
      <c r="G471" s="49" t="n">
        <v>19422.07</v>
      </c>
      <c r="H471" s="50" t="n">
        <v>0.05</v>
      </c>
      <c r="I471" s="47" t="s">
        <v>162</v>
      </c>
      <c r="J471" s="48" t="n">
        <v>45786</v>
      </c>
      <c r="K471" s="51" t="str">
        <f aca="false">"Q"&amp;ROUNDUP(MONTH(B471)/3,0)</f>
        <v>Q2</v>
      </c>
      <c r="L471" s="52" t="n">
        <f aca="false">ROUND(G471*H471,2)</f>
        <v>971.1</v>
      </c>
      <c r="M471" s="52" t="n">
        <f aca="false">IF(AND(C471="Sales",F471="Standard-rated 5%"),L471,0)</f>
        <v>0</v>
      </c>
      <c r="N471" s="52" t="n">
        <f aca="false">IF(F471="Reverse charge (imported services)",L471,0)</f>
        <v>0</v>
      </c>
      <c r="O471" s="52" t="n">
        <f aca="false">IF(C471&lt;&gt;"Purchase",0,IF(OR(I471="N",F471="Blocked input (entertainment)"),0,L471))</f>
        <v>971.1</v>
      </c>
      <c r="P471" s="52" t="n">
        <f aca="false">IF(C471&lt;&gt;"Purchase",0,L471-O471)</f>
        <v>0</v>
      </c>
      <c r="Q471" s="53" t="n">
        <f aca="false">J471-B471</f>
        <v>0</v>
      </c>
      <c r="R471" s="51" t="str">
        <f aca="false">IF(I471="N","Invalid / missing TRN",IF(F471="Blocked input (entertainment)","Blocked input",IF(Q471&gt;30,"Late posting (&gt;30d)","")))</f>
        <v/>
      </c>
    </row>
    <row r="472" customFormat="false" ht="15" hidden="false" customHeight="false" outlineLevel="0" collapsed="false">
      <c r="A472" s="47" t="s">
        <v>757</v>
      </c>
      <c r="B472" s="48" t="n">
        <v>45786</v>
      </c>
      <c r="C472" s="47" t="s">
        <v>159</v>
      </c>
      <c r="D472" s="47" t="s">
        <v>405</v>
      </c>
      <c r="E472" s="47" t="s">
        <v>102</v>
      </c>
      <c r="F472" s="47" t="s">
        <v>161</v>
      </c>
      <c r="G472" s="49" t="n">
        <v>6446.39</v>
      </c>
      <c r="H472" s="50" t="n">
        <v>0.05</v>
      </c>
      <c r="I472" s="47" t="s">
        <v>162</v>
      </c>
      <c r="J472" s="48" t="n">
        <v>45788</v>
      </c>
      <c r="K472" s="51" t="str">
        <f aca="false">"Q"&amp;ROUNDUP(MONTH(B472)/3,0)</f>
        <v>Q2</v>
      </c>
      <c r="L472" s="52" t="n">
        <f aca="false">ROUND(G472*H472,2)</f>
        <v>322.32</v>
      </c>
      <c r="M472" s="52" t="n">
        <f aca="false">IF(AND(C472="Sales",F472="Standard-rated 5%"),L472,0)</f>
        <v>322.32</v>
      </c>
      <c r="N472" s="52" t="n">
        <f aca="false">IF(F472="Reverse charge (imported services)",L472,0)</f>
        <v>0</v>
      </c>
      <c r="O472" s="52" t="n">
        <f aca="false">IF(C472&lt;&gt;"Purchase",0,IF(OR(I472="N",F472="Blocked input (entertainment)"),0,L472))</f>
        <v>0</v>
      </c>
      <c r="P472" s="52" t="n">
        <f aca="false">IF(C472&lt;&gt;"Purchase",0,L472-O472)</f>
        <v>0</v>
      </c>
      <c r="Q472" s="53" t="n">
        <f aca="false">J472-B472</f>
        <v>2</v>
      </c>
      <c r="R472" s="51" t="str">
        <f aca="false">IF(I472="N","Invalid / missing TRN",IF(F472="Blocked input (entertainment)","Blocked input",IF(Q472&gt;30,"Late posting (&gt;30d)","")))</f>
        <v/>
      </c>
    </row>
    <row r="473" customFormat="false" ht="15" hidden="false" customHeight="false" outlineLevel="0" collapsed="false">
      <c r="A473" s="47" t="s">
        <v>758</v>
      </c>
      <c r="B473" s="48" t="n">
        <v>45787</v>
      </c>
      <c r="C473" s="47" t="s">
        <v>159</v>
      </c>
      <c r="D473" s="47" t="s">
        <v>300</v>
      </c>
      <c r="E473" s="47" t="s">
        <v>100</v>
      </c>
      <c r="F473" s="47" t="s">
        <v>161</v>
      </c>
      <c r="G473" s="49" t="n">
        <v>37214.52</v>
      </c>
      <c r="H473" s="50" t="n">
        <v>0.05</v>
      </c>
      <c r="I473" s="47" t="s">
        <v>162</v>
      </c>
      <c r="J473" s="48" t="n">
        <v>45787</v>
      </c>
      <c r="K473" s="51" t="str">
        <f aca="false">"Q"&amp;ROUNDUP(MONTH(B473)/3,0)</f>
        <v>Q2</v>
      </c>
      <c r="L473" s="52" t="n">
        <f aca="false">ROUND(G473*H473,2)</f>
        <v>1860.73</v>
      </c>
      <c r="M473" s="52" t="n">
        <f aca="false">IF(AND(C473="Sales",F473="Standard-rated 5%"),L473,0)</f>
        <v>1860.73</v>
      </c>
      <c r="N473" s="52" t="n">
        <f aca="false">IF(F473="Reverse charge (imported services)",L473,0)</f>
        <v>0</v>
      </c>
      <c r="O473" s="52" t="n">
        <f aca="false">IF(C473&lt;&gt;"Purchase",0,IF(OR(I473="N",F473="Blocked input (entertainment)"),0,L473))</f>
        <v>0</v>
      </c>
      <c r="P473" s="52" t="n">
        <f aca="false">IF(C473&lt;&gt;"Purchase",0,L473-O473)</f>
        <v>0</v>
      </c>
      <c r="Q473" s="53" t="n">
        <f aca="false">J473-B473</f>
        <v>0</v>
      </c>
      <c r="R473" s="51" t="str">
        <f aca="false">IF(I473="N","Invalid / missing TRN",IF(F473="Blocked input (entertainment)","Blocked input",IF(Q473&gt;30,"Late posting (&gt;30d)","")))</f>
        <v/>
      </c>
    </row>
    <row r="474" customFormat="false" ht="15" hidden="false" customHeight="false" outlineLevel="0" collapsed="false">
      <c r="A474" s="47" t="s">
        <v>759</v>
      </c>
      <c r="B474" s="48" t="n">
        <v>45788</v>
      </c>
      <c r="C474" s="47" t="s">
        <v>166</v>
      </c>
      <c r="D474" s="47" t="s">
        <v>643</v>
      </c>
      <c r="E474" s="47" t="s">
        <v>101</v>
      </c>
      <c r="F474" s="47" t="s">
        <v>392</v>
      </c>
      <c r="G474" s="49" t="n">
        <v>190859.52</v>
      </c>
      <c r="H474" s="50" t="n">
        <v>0.05</v>
      </c>
      <c r="I474" s="47" t="s">
        <v>162</v>
      </c>
      <c r="J474" s="48" t="n">
        <v>45788</v>
      </c>
      <c r="K474" s="51" t="str">
        <f aca="false">"Q"&amp;ROUNDUP(MONTH(B474)/3,0)</f>
        <v>Q2</v>
      </c>
      <c r="L474" s="52" t="n">
        <f aca="false">ROUND(G474*H474,2)</f>
        <v>9542.98</v>
      </c>
      <c r="M474" s="52" t="n">
        <f aca="false">IF(AND(C474="Sales",F474="Standard-rated 5%"),L474,0)</f>
        <v>0</v>
      </c>
      <c r="N474" s="52" t="n">
        <f aca="false">IF(F474="Reverse charge (imported services)",L474,0)</f>
        <v>0</v>
      </c>
      <c r="O474" s="52" t="n">
        <f aca="false">IF(C474&lt;&gt;"Purchase",0,IF(OR(I474="N",F474="Blocked input (entertainment)"),0,L474))</f>
        <v>9542.98</v>
      </c>
      <c r="P474" s="52" t="n">
        <f aca="false">IF(C474&lt;&gt;"Purchase",0,L474-O474)</f>
        <v>0</v>
      </c>
      <c r="Q474" s="53" t="n">
        <f aca="false">J474-B474</f>
        <v>0</v>
      </c>
      <c r="R474" s="51" t="str">
        <f aca="false">IF(I474="N","Invalid / missing TRN",IF(F474="Blocked input (entertainment)","Blocked input",IF(Q474&gt;30,"Late posting (&gt;30d)","")))</f>
        <v/>
      </c>
    </row>
    <row r="475" customFormat="false" ht="15" hidden="false" customHeight="false" outlineLevel="0" collapsed="false">
      <c r="A475" s="47" t="s">
        <v>760</v>
      </c>
      <c r="B475" s="48" t="n">
        <v>45788</v>
      </c>
      <c r="C475" s="47" t="s">
        <v>166</v>
      </c>
      <c r="D475" s="47" t="s">
        <v>557</v>
      </c>
      <c r="E475" s="47" t="s">
        <v>101</v>
      </c>
      <c r="F475" s="47" t="s">
        <v>161</v>
      </c>
      <c r="G475" s="49" t="n">
        <v>23621.86</v>
      </c>
      <c r="H475" s="50" t="n">
        <v>0.05</v>
      </c>
      <c r="I475" s="47" t="s">
        <v>162</v>
      </c>
      <c r="J475" s="48" t="n">
        <v>45793</v>
      </c>
      <c r="K475" s="51" t="str">
        <f aca="false">"Q"&amp;ROUNDUP(MONTH(B475)/3,0)</f>
        <v>Q2</v>
      </c>
      <c r="L475" s="52" t="n">
        <f aca="false">ROUND(G475*H475,2)</f>
        <v>1181.09</v>
      </c>
      <c r="M475" s="52" t="n">
        <f aca="false">IF(AND(C475="Sales",F475="Standard-rated 5%"),L475,0)</f>
        <v>0</v>
      </c>
      <c r="N475" s="52" t="n">
        <f aca="false">IF(F475="Reverse charge (imported services)",L475,0)</f>
        <v>0</v>
      </c>
      <c r="O475" s="52" t="n">
        <f aca="false">IF(C475&lt;&gt;"Purchase",0,IF(OR(I475="N",F475="Blocked input (entertainment)"),0,L475))</f>
        <v>1181.09</v>
      </c>
      <c r="P475" s="52" t="n">
        <f aca="false">IF(C475&lt;&gt;"Purchase",0,L475-O475)</f>
        <v>0</v>
      </c>
      <c r="Q475" s="53" t="n">
        <f aca="false">J475-B475</f>
        <v>5</v>
      </c>
      <c r="R475" s="51" t="str">
        <f aca="false">IF(I475="N","Invalid / missing TRN",IF(F475="Blocked input (entertainment)","Blocked input",IF(Q475&gt;30,"Late posting (&gt;30d)","")))</f>
        <v/>
      </c>
    </row>
    <row r="476" customFormat="false" ht="15" hidden="false" customHeight="false" outlineLevel="0" collapsed="false">
      <c r="A476" s="47" t="s">
        <v>761</v>
      </c>
      <c r="B476" s="48" t="n">
        <v>45788</v>
      </c>
      <c r="C476" s="47" t="s">
        <v>166</v>
      </c>
      <c r="D476" s="47" t="s">
        <v>190</v>
      </c>
      <c r="E476" s="47" t="s">
        <v>102</v>
      </c>
      <c r="F476" s="47" t="s">
        <v>161</v>
      </c>
      <c r="G476" s="49" t="n">
        <v>87239.57</v>
      </c>
      <c r="H476" s="50" t="n">
        <v>0.05</v>
      </c>
      <c r="I476" s="47" t="s">
        <v>162</v>
      </c>
      <c r="J476" s="48" t="n">
        <v>45788</v>
      </c>
      <c r="K476" s="51" t="str">
        <f aca="false">"Q"&amp;ROUNDUP(MONTH(B476)/3,0)</f>
        <v>Q2</v>
      </c>
      <c r="L476" s="52" t="n">
        <f aca="false">ROUND(G476*H476,2)</f>
        <v>4361.98</v>
      </c>
      <c r="M476" s="52" t="n">
        <f aca="false">IF(AND(C476="Sales",F476="Standard-rated 5%"),L476,0)</f>
        <v>0</v>
      </c>
      <c r="N476" s="52" t="n">
        <f aca="false">IF(F476="Reverse charge (imported services)",L476,0)</f>
        <v>0</v>
      </c>
      <c r="O476" s="52" t="n">
        <f aca="false">IF(C476&lt;&gt;"Purchase",0,IF(OR(I476="N",F476="Blocked input (entertainment)"),0,L476))</f>
        <v>4361.98</v>
      </c>
      <c r="P476" s="52" t="n">
        <f aca="false">IF(C476&lt;&gt;"Purchase",0,L476-O476)</f>
        <v>0</v>
      </c>
      <c r="Q476" s="53" t="n">
        <f aca="false">J476-B476</f>
        <v>0</v>
      </c>
      <c r="R476" s="51" t="str">
        <f aca="false">IF(I476="N","Invalid / missing TRN",IF(F476="Blocked input (entertainment)","Blocked input",IF(Q476&gt;30,"Late posting (&gt;30d)","")))</f>
        <v/>
      </c>
    </row>
    <row r="477" customFormat="false" ht="15" hidden="false" customHeight="false" outlineLevel="0" collapsed="false">
      <c r="A477" s="47" t="s">
        <v>762</v>
      </c>
      <c r="B477" s="48" t="n">
        <v>45788</v>
      </c>
      <c r="C477" s="47" t="s">
        <v>166</v>
      </c>
      <c r="D477" s="47" t="s">
        <v>267</v>
      </c>
      <c r="E477" s="47" t="s">
        <v>100</v>
      </c>
      <c r="F477" s="47" t="s">
        <v>161</v>
      </c>
      <c r="G477" s="49" t="n">
        <v>89941.99</v>
      </c>
      <c r="H477" s="50" t="n">
        <v>0.05</v>
      </c>
      <c r="I477" s="47" t="s">
        <v>162</v>
      </c>
      <c r="J477" s="48" t="n">
        <v>45788</v>
      </c>
      <c r="K477" s="51" t="str">
        <f aca="false">"Q"&amp;ROUNDUP(MONTH(B477)/3,0)</f>
        <v>Q2</v>
      </c>
      <c r="L477" s="52" t="n">
        <f aca="false">ROUND(G477*H477,2)</f>
        <v>4497.1</v>
      </c>
      <c r="M477" s="52" t="n">
        <f aca="false">IF(AND(C477="Sales",F477="Standard-rated 5%"),L477,0)</f>
        <v>0</v>
      </c>
      <c r="N477" s="52" t="n">
        <f aca="false">IF(F477="Reverse charge (imported services)",L477,0)</f>
        <v>0</v>
      </c>
      <c r="O477" s="52" t="n">
        <f aca="false">IF(C477&lt;&gt;"Purchase",0,IF(OR(I477="N",F477="Blocked input (entertainment)"),0,L477))</f>
        <v>4497.1</v>
      </c>
      <c r="P477" s="52" t="n">
        <f aca="false">IF(C477&lt;&gt;"Purchase",0,L477-O477)</f>
        <v>0</v>
      </c>
      <c r="Q477" s="53" t="n">
        <f aca="false">J477-B477</f>
        <v>0</v>
      </c>
      <c r="R477" s="51" t="str">
        <f aca="false">IF(I477="N","Invalid / missing TRN",IF(F477="Blocked input (entertainment)","Blocked input",IF(Q477&gt;30,"Late posting (&gt;30d)","")))</f>
        <v/>
      </c>
    </row>
    <row r="478" customFormat="false" ht="15" hidden="false" customHeight="false" outlineLevel="0" collapsed="false">
      <c r="A478" s="47" t="s">
        <v>763</v>
      </c>
      <c r="B478" s="48" t="n">
        <v>45788</v>
      </c>
      <c r="C478" s="47" t="s">
        <v>159</v>
      </c>
      <c r="D478" s="47" t="s">
        <v>293</v>
      </c>
      <c r="E478" s="47" t="s">
        <v>100</v>
      </c>
      <c r="F478" s="47" t="s">
        <v>161</v>
      </c>
      <c r="G478" s="49" t="n">
        <v>16067.71</v>
      </c>
      <c r="H478" s="50" t="n">
        <v>0.05</v>
      </c>
      <c r="I478" s="47" t="s">
        <v>162</v>
      </c>
      <c r="J478" s="48" t="n">
        <v>45788</v>
      </c>
      <c r="K478" s="51" t="str">
        <f aca="false">"Q"&amp;ROUNDUP(MONTH(B478)/3,0)</f>
        <v>Q2</v>
      </c>
      <c r="L478" s="52" t="n">
        <f aca="false">ROUND(G478*H478,2)</f>
        <v>803.39</v>
      </c>
      <c r="M478" s="52" t="n">
        <f aca="false">IF(AND(C478="Sales",F478="Standard-rated 5%"),L478,0)</f>
        <v>803.39</v>
      </c>
      <c r="N478" s="52" t="n">
        <f aca="false">IF(F478="Reverse charge (imported services)",L478,0)</f>
        <v>0</v>
      </c>
      <c r="O478" s="52" t="n">
        <f aca="false">IF(C478&lt;&gt;"Purchase",0,IF(OR(I478="N",F478="Blocked input (entertainment)"),0,L478))</f>
        <v>0</v>
      </c>
      <c r="P478" s="52" t="n">
        <f aca="false">IF(C478&lt;&gt;"Purchase",0,L478-O478)</f>
        <v>0</v>
      </c>
      <c r="Q478" s="53" t="n">
        <f aca="false">J478-B478</f>
        <v>0</v>
      </c>
      <c r="R478" s="51" t="str">
        <f aca="false">IF(I478="N","Invalid / missing TRN",IF(F478="Blocked input (entertainment)","Blocked input",IF(Q478&gt;30,"Late posting (&gt;30d)","")))</f>
        <v/>
      </c>
    </row>
    <row r="479" customFormat="false" ht="15" hidden="false" customHeight="false" outlineLevel="0" collapsed="false">
      <c r="A479" s="47" t="s">
        <v>764</v>
      </c>
      <c r="B479" s="48" t="n">
        <v>45789</v>
      </c>
      <c r="C479" s="47" t="s">
        <v>166</v>
      </c>
      <c r="D479" s="47" t="s">
        <v>208</v>
      </c>
      <c r="E479" s="47" t="s">
        <v>100</v>
      </c>
      <c r="F479" s="47" t="s">
        <v>268</v>
      </c>
      <c r="G479" s="49" t="n">
        <v>13521.36</v>
      </c>
      <c r="H479" s="50" t="n">
        <v>0</v>
      </c>
      <c r="I479" s="47" t="s">
        <v>162</v>
      </c>
      <c r="J479" s="48" t="n">
        <v>45789</v>
      </c>
      <c r="K479" s="51" t="str">
        <f aca="false">"Q"&amp;ROUNDUP(MONTH(B479)/3,0)</f>
        <v>Q2</v>
      </c>
      <c r="L479" s="52" t="n">
        <f aca="false">ROUND(G479*H479,2)</f>
        <v>0</v>
      </c>
      <c r="M479" s="52" t="n">
        <f aca="false">IF(AND(C479="Sales",F479="Standard-rated 5%"),L479,0)</f>
        <v>0</v>
      </c>
      <c r="N479" s="52" t="n">
        <f aca="false">IF(F479="Reverse charge (imported services)",L479,0)</f>
        <v>0</v>
      </c>
      <c r="O479" s="52" t="n">
        <f aca="false">IF(C479&lt;&gt;"Purchase",0,IF(OR(I479="N",F479="Blocked input (entertainment)"),0,L479))</f>
        <v>0</v>
      </c>
      <c r="P479" s="52" t="n">
        <f aca="false">IF(C479&lt;&gt;"Purchase",0,L479-O479)</f>
        <v>0</v>
      </c>
      <c r="Q479" s="53" t="n">
        <f aca="false">J479-B479</f>
        <v>0</v>
      </c>
      <c r="R479" s="51" t="str">
        <f aca="false">IF(I479="N","Invalid / missing TRN",IF(F479="Blocked input (entertainment)","Blocked input",IF(Q479&gt;30,"Late posting (&gt;30d)","")))</f>
        <v/>
      </c>
    </row>
    <row r="480" customFormat="false" ht="15" hidden="false" customHeight="false" outlineLevel="0" collapsed="false">
      <c r="A480" s="47" t="s">
        <v>765</v>
      </c>
      <c r="B480" s="48" t="n">
        <v>45789</v>
      </c>
      <c r="C480" s="47" t="s">
        <v>159</v>
      </c>
      <c r="D480" s="47" t="s">
        <v>179</v>
      </c>
      <c r="E480" s="47" t="s">
        <v>100</v>
      </c>
      <c r="F480" s="47" t="s">
        <v>161</v>
      </c>
      <c r="G480" s="49" t="n">
        <v>29549.48</v>
      </c>
      <c r="H480" s="50" t="n">
        <v>0.05</v>
      </c>
      <c r="I480" s="47" t="s">
        <v>162</v>
      </c>
      <c r="J480" s="48" t="n">
        <v>45789</v>
      </c>
      <c r="K480" s="51" t="str">
        <f aca="false">"Q"&amp;ROUNDUP(MONTH(B480)/3,0)</f>
        <v>Q2</v>
      </c>
      <c r="L480" s="52" t="n">
        <f aca="false">ROUND(G480*H480,2)</f>
        <v>1477.47</v>
      </c>
      <c r="M480" s="52" t="n">
        <f aca="false">IF(AND(C480="Sales",F480="Standard-rated 5%"),L480,0)</f>
        <v>1477.47</v>
      </c>
      <c r="N480" s="52" t="n">
        <f aca="false">IF(F480="Reverse charge (imported services)",L480,0)</f>
        <v>0</v>
      </c>
      <c r="O480" s="52" t="n">
        <f aca="false">IF(C480&lt;&gt;"Purchase",0,IF(OR(I480="N",F480="Blocked input (entertainment)"),0,L480))</f>
        <v>0</v>
      </c>
      <c r="P480" s="52" t="n">
        <f aca="false">IF(C480&lt;&gt;"Purchase",0,L480-O480)</f>
        <v>0</v>
      </c>
      <c r="Q480" s="53" t="n">
        <f aca="false">J480-B480</f>
        <v>0</v>
      </c>
      <c r="R480" s="51" t="str">
        <f aca="false">IF(I480="N","Invalid / missing TRN",IF(F480="Blocked input (entertainment)","Blocked input",IF(Q480&gt;30,"Late posting (&gt;30d)","")))</f>
        <v/>
      </c>
    </row>
    <row r="481" customFormat="false" ht="15" hidden="false" customHeight="false" outlineLevel="0" collapsed="false">
      <c r="A481" s="47" t="s">
        <v>766</v>
      </c>
      <c r="B481" s="48" t="n">
        <v>45790</v>
      </c>
      <c r="C481" s="47" t="s">
        <v>166</v>
      </c>
      <c r="D481" s="47" t="s">
        <v>194</v>
      </c>
      <c r="E481" s="47" t="s">
        <v>100</v>
      </c>
      <c r="F481" s="47" t="s">
        <v>161</v>
      </c>
      <c r="G481" s="49" t="n">
        <v>33189.2</v>
      </c>
      <c r="H481" s="50" t="n">
        <v>0.05</v>
      </c>
      <c r="I481" s="47" t="s">
        <v>162</v>
      </c>
      <c r="J481" s="48" t="n">
        <v>45790</v>
      </c>
      <c r="K481" s="51" t="str">
        <f aca="false">"Q"&amp;ROUNDUP(MONTH(B481)/3,0)</f>
        <v>Q2</v>
      </c>
      <c r="L481" s="52" t="n">
        <f aca="false">ROUND(G481*H481,2)</f>
        <v>1659.46</v>
      </c>
      <c r="M481" s="52" t="n">
        <f aca="false">IF(AND(C481="Sales",F481="Standard-rated 5%"),L481,0)</f>
        <v>0</v>
      </c>
      <c r="N481" s="52" t="n">
        <f aca="false">IF(F481="Reverse charge (imported services)",L481,0)</f>
        <v>0</v>
      </c>
      <c r="O481" s="52" t="n">
        <f aca="false">IF(C481&lt;&gt;"Purchase",0,IF(OR(I481="N",F481="Blocked input (entertainment)"),0,L481))</f>
        <v>1659.46</v>
      </c>
      <c r="P481" s="52" t="n">
        <f aca="false">IF(C481&lt;&gt;"Purchase",0,L481-O481)</f>
        <v>0</v>
      </c>
      <c r="Q481" s="53" t="n">
        <f aca="false">J481-B481</f>
        <v>0</v>
      </c>
      <c r="R481" s="51" t="str">
        <f aca="false">IF(I481="N","Invalid / missing TRN",IF(F481="Blocked input (entertainment)","Blocked input",IF(Q481&gt;30,"Late posting (&gt;30d)","")))</f>
        <v/>
      </c>
    </row>
    <row r="482" customFormat="false" ht="15" hidden="false" customHeight="false" outlineLevel="0" collapsed="false">
      <c r="A482" s="47" t="s">
        <v>767</v>
      </c>
      <c r="B482" s="48" t="n">
        <v>45790</v>
      </c>
      <c r="C482" s="47" t="s">
        <v>166</v>
      </c>
      <c r="D482" s="47" t="s">
        <v>188</v>
      </c>
      <c r="E482" s="47" t="s">
        <v>102</v>
      </c>
      <c r="F482" s="47" t="s">
        <v>161</v>
      </c>
      <c r="G482" s="49" t="n">
        <v>13949.95</v>
      </c>
      <c r="H482" s="50" t="n">
        <v>0.05</v>
      </c>
      <c r="I482" s="47" t="s">
        <v>162</v>
      </c>
      <c r="J482" s="48" t="n">
        <v>45791</v>
      </c>
      <c r="K482" s="51" t="str">
        <f aca="false">"Q"&amp;ROUNDUP(MONTH(B482)/3,0)</f>
        <v>Q2</v>
      </c>
      <c r="L482" s="52" t="n">
        <f aca="false">ROUND(G482*H482,2)</f>
        <v>697.5</v>
      </c>
      <c r="M482" s="52" t="n">
        <f aca="false">IF(AND(C482="Sales",F482="Standard-rated 5%"),L482,0)</f>
        <v>0</v>
      </c>
      <c r="N482" s="52" t="n">
        <f aca="false">IF(F482="Reverse charge (imported services)",L482,0)</f>
        <v>0</v>
      </c>
      <c r="O482" s="52" t="n">
        <f aca="false">IF(C482&lt;&gt;"Purchase",0,IF(OR(I482="N",F482="Blocked input (entertainment)"),0,L482))</f>
        <v>697.5</v>
      </c>
      <c r="P482" s="52" t="n">
        <f aca="false">IF(C482&lt;&gt;"Purchase",0,L482-O482)</f>
        <v>0</v>
      </c>
      <c r="Q482" s="53" t="n">
        <f aca="false">J482-B482</f>
        <v>1</v>
      </c>
      <c r="R482" s="51" t="str">
        <f aca="false">IF(I482="N","Invalid / missing TRN",IF(F482="Blocked input (entertainment)","Blocked input",IF(Q482&gt;30,"Late posting (&gt;30d)","")))</f>
        <v/>
      </c>
    </row>
    <row r="483" customFormat="false" ht="15" hidden="false" customHeight="false" outlineLevel="0" collapsed="false">
      <c r="A483" s="47" t="s">
        <v>768</v>
      </c>
      <c r="B483" s="48" t="n">
        <v>45790</v>
      </c>
      <c r="C483" s="47" t="s">
        <v>166</v>
      </c>
      <c r="D483" s="47" t="s">
        <v>201</v>
      </c>
      <c r="E483" s="47" t="s">
        <v>100</v>
      </c>
      <c r="F483" s="47" t="s">
        <v>161</v>
      </c>
      <c r="G483" s="49" t="n">
        <v>51179.43</v>
      </c>
      <c r="H483" s="50" t="n">
        <v>0.05</v>
      </c>
      <c r="I483" s="47" t="s">
        <v>162</v>
      </c>
      <c r="J483" s="48" t="n">
        <v>45790</v>
      </c>
      <c r="K483" s="51" t="str">
        <f aca="false">"Q"&amp;ROUNDUP(MONTH(B483)/3,0)</f>
        <v>Q2</v>
      </c>
      <c r="L483" s="52" t="n">
        <f aca="false">ROUND(G483*H483,2)</f>
        <v>2558.97</v>
      </c>
      <c r="M483" s="52" t="n">
        <f aca="false">IF(AND(C483="Sales",F483="Standard-rated 5%"),L483,0)</f>
        <v>0</v>
      </c>
      <c r="N483" s="52" t="n">
        <f aca="false">IF(F483="Reverse charge (imported services)",L483,0)</f>
        <v>0</v>
      </c>
      <c r="O483" s="52" t="n">
        <f aca="false">IF(C483&lt;&gt;"Purchase",0,IF(OR(I483="N",F483="Blocked input (entertainment)"),0,L483))</f>
        <v>2558.97</v>
      </c>
      <c r="P483" s="52" t="n">
        <f aca="false">IF(C483&lt;&gt;"Purchase",0,L483-O483)</f>
        <v>0</v>
      </c>
      <c r="Q483" s="53" t="n">
        <f aca="false">J483-B483</f>
        <v>0</v>
      </c>
      <c r="R483" s="51" t="str">
        <f aca="false">IF(I483="N","Invalid / missing TRN",IF(F483="Blocked input (entertainment)","Blocked input",IF(Q483&gt;30,"Late posting (&gt;30d)","")))</f>
        <v/>
      </c>
    </row>
    <row r="484" customFormat="false" ht="15" hidden="false" customHeight="false" outlineLevel="0" collapsed="false">
      <c r="A484" s="47" t="s">
        <v>769</v>
      </c>
      <c r="B484" s="48" t="n">
        <v>45790</v>
      </c>
      <c r="C484" s="47" t="s">
        <v>166</v>
      </c>
      <c r="D484" s="47" t="s">
        <v>181</v>
      </c>
      <c r="E484" s="47" t="s">
        <v>100</v>
      </c>
      <c r="F484" s="47" t="s">
        <v>392</v>
      </c>
      <c r="G484" s="49" t="n">
        <v>323770.38</v>
      </c>
      <c r="H484" s="50" t="n">
        <v>0.05</v>
      </c>
      <c r="I484" s="47" t="s">
        <v>162</v>
      </c>
      <c r="J484" s="48" t="n">
        <v>45790</v>
      </c>
      <c r="K484" s="51" t="str">
        <f aca="false">"Q"&amp;ROUNDUP(MONTH(B484)/3,0)</f>
        <v>Q2</v>
      </c>
      <c r="L484" s="52" t="n">
        <f aca="false">ROUND(G484*H484,2)</f>
        <v>16188.52</v>
      </c>
      <c r="M484" s="52" t="n">
        <f aca="false">IF(AND(C484="Sales",F484="Standard-rated 5%"),L484,0)</f>
        <v>0</v>
      </c>
      <c r="N484" s="52" t="n">
        <f aca="false">IF(F484="Reverse charge (imported services)",L484,0)</f>
        <v>0</v>
      </c>
      <c r="O484" s="52" t="n">
        <f aca="false">IF(C484&lt;&gt;"Purchase",0,IF(OR(I484="N",F484="Blocked input (entertainment)"),0,L484))</f>
        <v>16188.52</v>
      </c>
      <c r="P484" s="52" t="n">
        <f aca="false">IF(C484&lt;&gt;"Purchase",0,L484-O484)</f>
        <v>0</v>
      </c>
      <c r="Q484" s="53" t="n">
        <f aca="false">J484-B484</f>
        <v>0</v>
      </c>
      <c r="R484" s="51" t="str">
        <f aca="false">IF(I484="N","Invalid / missing TRN",IF(F484="Blocked input (entertainment)","Blocked input",IF(Q484&gt;30,"Late posting (&gt;30d)","")))</f>
        <v/>
      </c>
    </row>
    <row r="485" customFormat="false" ht="15" hidden="false" customHeight="false" outlineLevel="0" collapsed="false">
      <c r="A485" s="47" t="s">
        <v>770</v>
      </c>
      <c r="B485" s="48" t="n">
        <v>45790</v>
      </c>
      <c r="C485" s="47" t="s">
        <v>166</v>
      </c>
      <c r="D485" s="47" t="s">
        <v>297</v>
      </c>
      <c r="E485" s="47" t="s">
        <v>103</v>
      </c>
      <c r="F485" s="47" t="s">
        <v>161</v>
      </c>
      <c r="G485" s="49" t="n">
        <v>46103.69</v>
      </c>
      <c r="H485" s="50" t="n">
        <v>0.05</v>
      </c>
      <c r="I485" s="47" t="s">
        <v>162</v>
      </c>
      <c r="J485" s="48" t="n">
        <v>45790</v>
      </c>
      <c r="K485" s="51" t="str">
        <f aca="false">"Q"&amp;ROUNDUP(MONTH(B485)/3,0)</f>
        <v>Q2</v>
      </c>
      <c r="L485" s="52" t="n">
        <f aca="false">ROUND(G485*H485,2)</f>
        <v>2305.18</v>
      </c>
      <c r="M485" s="52" t="n">
        <f aca="false">IF(AND(C485="Sales",F485="Standard-rated 5%"),L485,0)</f>
        <v>0</v>
      </c>
      <c r="N485" s="52" t="n">
        <f aca="false">IF(F485="Reverse charge (imported services)",L485,0)</f>
        <v>0</v>
      </c>
      <c r="O485" s="52" t="n">
        <f aca="false">IF(C485&lt;&gt;"Purchase",0,IF(OR(I485="N",F485="Blocked input (entertainment)"),0,L485))</f>
        <v>2305.18</v>
      </c>
      <c r="P485" s="52" t="n">
        <f aca="false">IF(C485&lt;&gt;"Purchase",0,L485-O485)</f>
        <v>0</v>
      </c>
      <c r="Q485" s="53" t="n">
        <f aca="false">J485-B485</f>
        <v>0</v>
      </c>
      <c r="R485" s="51" t="str">
        <f aca="false">IF(I485="N","Invalid / missing TRN",IF(F485="Blocked input (entertainment)","Blocked input",IF(Q485&gt;30,"Late posting (&gt;30d)","")))</f>
        <v/>
      </c>
    </row>
    <row r="486" customFormat="false" ht="15" hidden="false" customHeight="false" outlineLevel="0" collapsed="false">
      <c r="A486" s="47" t="s">
        <v>771</v>
      </c>
      <c r="B486" s="48" t="n">
        <v>45790</v>
      </c>
      <c r="C486" s="47" t="s">
        <v>159</v>
      </c>
      <c r="D486" s="47" t="s">
        <v>223</v>
      </c>
      <c r="E486" s="47" t="s">
        <v>104</v>
      </c>
      <c r="F486" s="47" t="s">
        <v>161</v>
      </c>
      <c r="G486" s="49" t="n">
        <v>110812.67</v>
      </c>
      <c r="H486" s="50" t="n">
        <v>0.05</v>
      </c>
      <c r="I486" s="47" t="s">
        <v>162</v>
      </c>
      <c r="J486" s="48" t="n">
        <v>45790</v>
      </c>
      <c r="K486" s="51" t="str">
        <f aca="false">"Q"&amp;ROUNDUP(MONTH(B486)/3,0)</f>
        <v>Q2</v>
      </c>
      <c r="L486" s="52" t="n">
        <f aca="false">ROUND(G486*H486,2)</f>
        <v>5540.63</v>
      </c>
      <c r="M486" s="52" t="n">
        <f aca="false">IF(AND(C486="Sales",F486="Standard-rated 5%"),L486,0)</f>
        <v>5540.63</v>
      </c>
      <c r="N486" s="52" t="n">
        <f aca="false">IF(F486="Reverse charge (imported services)",L486,0)</f>
        <v>0</v>
      </c>
      <c r="O486" s="52" t="n">
        <f aca="false">IF(C486&lt;&gt;"Purchase",0,IF(OR(I486="N",F486="Blocked input (entertainment)"),0,L486))</f>
        <v>0</v>
      </c>
      <c r="P486" s="52" t="n">
        <f aca="false">IF(C486&lt;&gt;"Purchase",0,L486-O486)</f>
        <v>0</v>
      </c>
      <c r="Q486" s="53" t="n">
        <f aca="false">J486-B486</f>
        <v>0</v>
      </c>
      <c r="R486" s="51" t="str">
        <f aca="false">IF(I486="N","Invalid / missing TRN",IF(F486="Blocked input (entertainment)","Blocked input",IF(Q486&gt;30,"Late posting (&gt;30d)","")))</f>
        <v/>
      </c>
    </row>
    <row r="487" customFormat="false" ht="15" hidden="false" customHeight="false" outlineLevel="0" collapsed="false">
      <c r="A487" s="47" t="s">
        <v>772</v>
      </c>
      <c r="B487" s="48" t="n">
        <v>45790</v>
      </c>
      <c r="C487" s="47" t="s">
        <v>159</v>
      </c>
      <c r="D487" s="47" t="s">
        <v>249</v>
      </c>
      <c r="E487" s="47" t="s">
        <v>100</v>
      </c>
      <c r="F487" s="47" t="s">
        <v>161</v>
      </c>
      <c r="G487" s="49" t="n">
        <v>14372.36</v>
      </c>
      <c r="H487" s="50" t="n">
        <v>0.05</v>
      </c>
      <c r="I487" s="47" t="s">
        <v>162</v>
      </c>
      <c r="J487" s="48" t="n">
        <v>45790</v>
      </c>
      <c r="K487" s="51" t="str">
        <f aca="false">"Q"&amp;ROUNDUP(MONTH(B487)/3,0)</f>
        <v>Q2</v>
      </c>
      <c r="L487" s="52" t="n">
        <f aca="false">ROUND(G487*H487,2)</f>
        <v>718.62</v>
      </c>
      <c r="M487" s="52" t="n">
        <f aca="false">IF(AND(C487="Sales",F487="Standard-rated 5%"),L487,0)</f>
        <v>718.62</v>
      </c>
      <c r="N487" s="52" t="n">
        <f aca="false">IF(F487="Reverse charge (imported services)",L487,0)</f>
        <v>0</v>
      </c>
      <c r="O487" s="52" t="n">
        <f aca="false">IF(C487&lt;&gt;"Purchase",0,IF(OR(I487="N",F487="Blocked input (entertainment)"),0,L487))</f>
        <v>0</v>
      </c>
      <c r="P487" s="52" t="n">
        <f aca="false">IF(C487&lt;&gt;"Purchase",0,L487-O487)</f>
        <v>0</v>
      </c>
      <c r="Q487" s="53" t="n">
        <f aca="false">J487-B487</f>
        <v>0</v>
      </c>
      <c r="R487" s="51" t="str">
        <f aca="false">IF(I487="N","Invalid / missing TRN",IF(F487="Blocked input (entertainment)","Blocked input",IF(Q487&gt;30,"Late posting (&gt;30d)","")))</f>
        <v/>
      </c>
    </row>
    <row r="488" customFormat="false" ht="15" hidden="false" customHeight="false" outlineLevel="0" collapsed="false">
      <c r="A488" s="47" t="s">
        <v>773</v>
      </c>
      <c r="B488" s="48" t="n">
        <v>45790</v>
      </c>
      <c r="C488" s="47" t="s">
        <v>159</v>
      </c>
      <c r="D488" s="47" t="s">
        <v>290</v>
      </c>
      <c r="E488" s="47" t="s">
        <v>100</v>
      </c>
      <c r="F488" s="47" t="s">
        <v>214</v>
      </c>
      <c r="G488" s="49" t="n">
        <v>132121.88</v>
      </c>
      <c r="H488" s="50" t="n">
        <v>0</v>
      </c>
      <c r="I488" s="47" t="s">
        <v>162</v>
      </c>
      <c r="J488" s="48" t="n">
        <v>45790</v>
      </c>
      <c r="K488" s="51" t="str">
        <f aca="false">"Q"&amp;ROUNDUP(MONTH(B488)/3,0)</f>
        <v>Q2</v>
      </c>
      <c r="L488" s="52" t="n">
        <f aca="false">ROUND(G488*H488,2)</f>
        <v>0</v>
      </c>
      <c r="M488" s="52" t="n">
        <f aca="false">IF(AND(C488="Sales",F488="Standard-rated 5%"),L488,0)</f>
        <v>0</v>
      </c>
      <c r="N488" s="52" t="n">
        <f aca="false">IF(F488="Reverse charge (imported services)",L488,0)</f>
        <v>0</v>
      </c>
      <c r="O488" s="52" t="n">
        <f aca="false">IF(C488&lt;&gt;"Purchase",0,IF(OR(I488="N",F488="Blocked input (entertainment)"),0,L488))</f>
        <v>0</v>
      </c>
      <c r="P488" s="52" t="n">
        <f aca="false">IF(C488&lt;&gt;"Purchase",0,L488-O488)</f>
        <v>0</v>
      </c>
      <c r="Q488" s="53" t="n">
        <f aca="false">J488-B488</f>
        <v>0</v>
      </c>
      <c r="R488" s="51" t="str">
        <f aca="false">IF(I488="N","Invalid / missing TRN",IF(F488="Blocked input (entertainment)","Blocked input",IF(Q488&gt;30,"Late posting (&gt;30d)","")))</f>
        <v/>
      </c>
    </row>
    <row r="489" customFormat="false" ht="15" hidden="false" customHeight="false" outlineLevel="0" collapsed="false">
      <c r="A489" s="47" t="s">
        <v>774</v>
      </c>
      <c r="B489" s="48" t="n">
        <v>45790</v>
      </c>
      <c r="C489" s="47" t="s">
        <v>159</v>
      </c>
      <c r="D489" s="47" t="s">
        <v>177</v>
      </c>
      <c r="E489" s="47" t="s">
        <v>100</v>
      </c>
      <c r="F489" s="47" t="s">
        <v>161</v>
      </c>
      <c r="G489" s="49" t="n">
        <v>16793.88</v>
      </c>
      <c r="H489" s="50" t="n">
        <v>0.05</v>
      </c>
      <c r="I489" s="47" t="s">
        <v>162</v>
      </c>
      <c r="J489" s="48" t="n">
        <v>45790</v>
      </c>
      <c r="K489" s="51" t="str">
        <f aca="false">"Q"&amp;ROUNDUP(MONTH(B489)/3,0)</f>
        <v>Q2</v>
      </c>
      <c r="L489" s="52" t="n">
        <f aca="false">ROUND(G489*H489,2)</f>
        <v>839.69</v>
      </c>
      <c r="M489" s="52" t="n">
        <f aca="false">IF(AND(C489="Sales",F489="Standard-rated 5%"),L489,0)</f>
        <v>839.69</v>
      </c>
      <c r="N489" s="52" t="n">
        <f aca="false">IF(F489="Reverse charge (imported services)",L489,0)</f>
        <v>0</v>
      </c>
      <c r="O489" s="52" t="n">
        <f aca="false">IF(C489&lt;&gt;"Purchase",0,IF(OR(I489="N",F489="Blocked input (entertainment)"),0,L489))</f>
        <v>0</v>
      </c>
      <c r="P489" s="52" t="n">
        <f aca="false">IF(C489&lt;&gt;"Purchase",0,L489-O489)</f>
        <v>0</v>
      </c>
      <c r="Q489" s="53" t="n">
        <f aca="false">J489-B489</f>
        <v>0</v>
      </c>
      <c r="R489" s="51" t="str">
        <f aca="false">IF(I489="N","Invalid / missing TRN",IF(F489="Blocked input (entertainment)","Blocked input",IF(Q489&gt;30,"Late posting (&gt;30d)","")))</f>
        <v/>
      </c>
    </row>
    <row r="490" customFormat="false" ht="15" hidden="false" customHeight="false" outlineLevel="0" collapsed="false">
      <c r="A490" s="47" t="s">
        <v>775</v>
      </c>
      <c r="B490" s="48" t="n">
        <v>45791</v>
      </c>
      <c r="C490" s="47" t="s">
        <v>166</v>
      </c>
      <c r="D490" s="47" t="s">
        <v>257</v>
      </c>
      <c r="E490" s="47" t="s">
        <v>101</v>
      </c>
      <c r="F490" s="47" t="s">
        <v>161</v>
      </c>
      <c r="G490" s="49" t="n">
        <v>134205.95</v>
      </c>
      <c r="H490" s="50" t="n">
        <v>0.05</v>
      </c>
      <c r="I490" s="47" t="s">
        <v>162</v>
      </c>
      <c r="J490" s="48" t="n">
        <v>45791</v>
      </c>
      <c r="K490" s="51" t="str">
        <f aca="false">"Q"&amp;ROUNDUP(MONTH(B490)/3,0)</f>
        <v>Q2</v>
      </c>
      <c r="L490" s="52" t="n">
        <f aca="false">ROUND(G490*H490,2)</f>
        <v>6710.3</v>
      </c>
      <c r="M490" s="52" t="n">
        <f aca="false">IF(AND(C490="Sales",F490="Standard-rated 5%"),L490,0)</f>
        <v>0</v>
      </c>
      <c r="N490" s="52" t="n">
        <f aca="false">IF(F490="Reverse charge (imported services)",L490,0)</f>
        <v>0</v>
      </c>
      <c r="O490" s="52" t="n">
        <f aca="false">IF(C490&lt;&gt;"Purchase",0,IF(OR(I490="N",F490="Blocked input (entertainment)"),0,L490))</f>
        <v>6710.3</v>
      </c>
      <c r="P490" s="52" t="n">
        <f aca="false">IF(C490&lt;&gt;"Purchase",0,L490-O490)</f>
        <v>0</v>
      </c>
      <c r="Q490" s="53" t="n">
        <f aca="false">J490-B490</f>
        <v>0</v>
      </c>
      <c r="R490" s="51" t="str">
        <f aca="false">IF(I490="N","Invalid / missing TRN",IF(F490="Blocked input (entertainment)","Blocked input",IF(Q490&gt;30,"Late posting (&gt;30d)","")))</f>
        <v/>
      </c>
    </row>
    <row r="491" customFormat="false" ht="15" hidden="false" customHeight="false" outlineLevel="0" collapsed="false">
      <c r="A491" s="47" t="s">
        <v>776</v>
      </c>
      <c r="B491" s="48" t="n">
        <v>45791</v>
      </c>
      <c r="C491" s="47" t="s">
        <v>166</v>
      </c>
      <c r="D491" s="47" t="s">
        <v>257</v>
      </c>
      <c r="E491" s="47" t="s">
        <v>100</v>
      </c>
      <c r="F491" s="47" t="s">
        <v>161</v>
      </c>
      <c r="G491" s="49" t="n">
        <v>39303.11</v>
      </c>
      <c r="H491" s="50" t="n">
        <v>0.05</v>
      </c>
      <c r="I491" s="47" t="s">
        <v>162</v>
      </c>
      <c r="J491" s="48" t="n">
        <v>45791</v>
      </c>
      <c r="K491" s="51" t="str">
        <f aca="false">"Q"&amp;ROUNDUP(MONTH(B491)/3,0)</f>
        <v>Q2</v>
      </c>
      <c r="L491" s="52" t="n">
        <f aca="false">ROUND(G491*H491,2)</f>
        <v>1965.16</v>
      </c>
      <c r="M491" s="52" t="n">
        <f aca="false">IF(AND(C491="Sales",F491="Standard-rated 5%"),L491,0)</f>
        <v>0</v>
      </c>
      <c r="N491" s="52" t="n">
        <f aca="false">IF(F491="Reverse charge (imported services)",L491,0)</f>
        <v>0</v>
      </c>
      <c r="O491" s="52" t="n">
        <f aca="false">IF(C491&lt;&gt;"Purchase",0,IF(OR(I491="N",F491="Blocked input (entertainment)"),0,L491))</f>
        <v>1965.16</v>
      </c>
      <c r="P491" s="52" t="n">
        <f aca="false">IF(C491&lt;&gt;"Purchase",0,L491-O491)</f>
        <v>0</v>
      </c>
      <c r="Q491" s="53" t="n">
        <f aca="false">J491-B491</f>
        <v>0</v>
      </c>
      <c r="R491" s="51" t="str">
        <f aca="false">IF(I491="N","Invalid / missing TRN",IF(F491="Blocked input (entertainment)","Blocked input",IF(Q491&gt;30,"Late posting (&gt;30d)","")))</f>
        <v/>
      </c>
    </row>
    <row r="492" customFormat="false" ht="15" hidden="false" customHeight="false" outlineLevel="0" collapsed="false">
      <c r="A492" s="47" t="s">
        <v>777</v>
      </c>
      <c r="B492" s="48" t="n">
        <v>45791</v>
      </c>
      <c r="C492" s="47" t="s">
        <v>166</v>
      </c>
      <c r="D492" s="47" t="s">
        <v>466</v>
      </c>
      <c r="E492" s="47" t="s">
        <v>104</v>
      </c>
      <c r="F492" s="47" t="s">
        <v>268</v>
      </c>
      <c r="G492" s="49" t="n">
        <v>44982.39</v>
      </c>
      <c r="H492" s="50" t="n">
        <v>0</v>
      </c>
      <c r="I492" s="47" t="s">
        <v>162</v>
      </c>
      <c r="J492" s="48" t="n">
        <v>45791</v>
      </c>
      <c r="K492" s="51" t="str">
        <f aca="false">"Q"&amp;ROUNDUP(MONTH(B492)/3,0)</f>
        <v>Q2</v>
      </c>
      <c r="L492" s="52" t="n">
        <f aca="false">ROUND(G492*H492,2)</f>
        <v>0</v>
      </c>
      <c r="M492" s="52" t="n">
        <f aca="false">IF(AND(C492="Sales",F492="Standard-rated 5%"),L492,0)</f>
        <v>0</v>
      </c>
      <c r="N492" s="52" t="n">
        <f aca="false">IF(F492="Reverse charge (imported services)",L492,0)</f>
        <v>0</v>
      </c>
      <c r="O492" s="52" t="n">
        <f aca="false">IF(C492&lt;&gt;"Purchase",0,IF(OR(I492="N",F492="Blocked input (entertainment)"),0,L492))</f>
        <v>0</v>
      </c>
      <c r="P492" s="52" t="n">
        <f aca="false">IF(C492&lt;&gt;"Purchase",0,L492-O492)</f>
        <v>0</v>
      </c>
      <c r="Q492" s="53" t="n">
        <f aca="false">J492-B492</f>
        <v>0</v>
      </c>
      <c r="R492" s="51" t="str">
        <f aca="false">IF(I492="N","Invalid / missing TRN",IF(F492="Blocked input (entertainment)","Blocked input",IF(Q492&gt;30,"Late posting (&gt;30d)","")))</f>
        <v/>
      </c>
    </row>
    <row r="493" customFormat="false" ht="15" hidden="false" customHeight="false" outlineLevel="0" collapsed="false">
      <c r="A493" s="47" t="s">
        <v>778</v>
      </c>
      <c r="B493" s="48" t="n">
        <v>45791</v>
      </c>
      <c r="C493" s="47" t="s">
        <v>166</v>
      </c>
      <c r="D493" s="47" t="s">
        <v>208</v>
      </c>
      <c r="E493" s="47" t="s">
        <v>100</v>
      </c>
      <c r="F493" s="47" t="s">
        <v>337</v>
      </c>
      <c r="G493" s="49" t="n">
        <v>49581.76</v>
      </c>
      <c r="H493" s="50" t="n">
        <v>0</v>
      </c>
      <c r="I493" s="47" t="s">
        <v>162</v>
      </c>
      <c r="J493" s="48" t="n">
        <v>45791</v>
      </c>
      <c r="K493" s="51" t="str">
        <f aca="false">"Q"&amp;ROUNDUP(MONTH(B493)/3,0)</f>
        <v>Q2</v>
      </c>
      <c r="L493" s="52" t="n">
        <f aca="false">ROUND(G493*H493,2)</f>
        <v>0</v>
      </c>
      <c r="M493" s="52" t="n">
        <f aca="false">IF(AND(C493="Sales",F493="Standard-rated 5%"),L493,0)</f>
        <v>0</v>
      </c>
      <c r="N493" s="52" t="n">
        <f aca="false">IF(F493="Reverse charge (imported services)",L493,0)</f>
        <v>0</v>
      </c>
      <c r="O493" s="52" t="n">
        <f aca="false">IF(C493&lt;&gt;"Purchase",0,IF(OR(I493="N",F493="Blocked input (entertainment)"),0,L493))</f>
        <v>0</v>
      </c>
      <c r="P493" s="52" t="n">
        <f aca="false">IF(C493&lt;&gt;"Purchase",0,L493-O493)</f>
        <v>0</v>
      </c>
      <c r="Q493" s="53" t="n">
        <f aca="false">J493-B493</f>
        <v>0</v>
      </c>
      <c r="R493" s="51" t="str">
        <f aca="false">IF(I493="N","Invalid / missing TRN",IF(F493="Blocked input (entertainment)","Blocked input",IF(Q493&gt;30,"Late posting (&gt;30d)","")))</f>
        <v/>
      </c>
    </row>
    <row r="494" customFormat="false" ht="15" hidden="false" customHeight="false" outlineLevel="0" collapsed="false">
      <c r="A494" s="47" t="s">
        <v>779</v>
      </c>
      <c r="B494" s="48" t="n">
        <v>45791</v>
      </c>
      <c r="C494" s="47" t="s">
        <v>166</v>
      </c>
      <c r="D494" s="47" t="s">
        <v>570</v>
      </c>
      <c r="E494" s="47" t="s">
        <v>103</v>
      </c>
      <c r="F494" s="47" t="s">
        <v>268</v>
      </c>
      <c r="G494" s="49" t="n">
        <v>9102.3</v>
      </c>
      <c r="H494" s="50" t="n">
        <v>0</v>
      </c>
      <c r="I494" s="47" t="s">
        <v>162</v>
      </c>
      <c r="J494" s="48" t="n">
        <v>45791</v>
      </c>
      <c r="K494" s="51" t="str">
        <f aca="false">"Q"&amp;ROUNDUP(MONTH(B494)/3,0)</f>
        <v>Q2</v>
      </c>
      <c r="L494" s="52" t="n">
        <f aca="false">ROUND(G494*H494,2)</f>
        <v>0</v>
      </c>
      <c r="M494" s="52" t="n">
        <f aca="false">IF(AND(C494="Sales",F494="Standard-rated 5%"),L494,0)</f>
        <v>0</v>
      </c>
      <c r="N494" s="52" t="n">
        <f aca="false">IF(F494="Reverse charge (imported services)",L494,0)</f>
        <v>0</v>
      </c>
      <c r="O494" s="52" t="n">
        <f aca="false">IF(C494&lt;&gt;"Purchase",0,IF(OR(I494="N",F494="Blocked input (entertainment)"),0,L494))</f>
        <v>0</v>
      </c>
      <c r="P494" s="52" t="n">
        <f aca="false">IF(C494&lt;&gt;"Purchase",0,L494-O494)</f>
        <v>0</v>
      </c>
      <c r="Q494" s="53" t="n">
        <f aca="false">J494-B494</f>
        <v>0</v>
      </c>
      <c r="R494" s="51" t="str">
        <f aca="false">IF(I494="N","Invalid / missing TRN",IF(F494="Blocked input (entertainment)","Blocked input",IF(Q494&gt;30,"Late posting (&gt;30d)","")))</f>
        <v/>
      </c>
    </row>
    <row r="495" customFormat="false" ht="15" hidden="false" customHeight="false" outlineLevel="0" collapsed="false">
      <c r="A495" s="47" t="s">
        <v>780</v>
      </c>
      <c r="B495" s="48" t="n">
        <v>45791</v>
      </c>
      <c r="C495" s="47" t="s">
        <v>159</v>
      </c>
      <c r="D495" s="47" t="s">
        <v>320</v>
      </c>
      <c r="E495" s="47" t="s">
        <v>100</v>
      </c>
      <c r="F495" s="47" t="s">
        <v>278</v>
      </c>
      <c r="G495" s="49" t="n">
        <v>118415.17</v>
      </c>
      <c r="H495" s="50" t="n">
        <v>0</v>
      </c>
      <c r="I495" s="47" t="s">
        <v>162</v>
      </c>
      <c r="J495" s="48" t="n">
        <v>45791</v>
      </c>
      <c r="K495" s="51" t="str">
        <f aca="false">"Q"&amp;ROUNDUP(MONTH(B495)/3,0)</f>
        <v>Q2</v>
      </c>
      <c r="L495" s="52" t="n">
        <f aca="false">ROUND(G495*H495,2)</f>
        <v>0</v>
      </c>
      <c r="M495" s="52" t="n">
        <f aca="false">IF(AND(C495="Sales",F495="Standard-rated 5%"),L495,0)</f>
        <v>0</v>
      </c>
      <c r="N495" s="52" t="n">
        <f aca="false">IF(F495="Reverse charge (imported services)",L495,0)</f>
        <v>0</v>
      </c>
      <c r="O495" s="52" t="n">
        <f aca="false">IF(C495&lt;&gt;"Purchase",0,IF(OR(I495="N",F495="Blocked input (entertainment)"),0,L495))</f>
        <v>0</v>
      </c>
      <c r="P495" s="52" t="n">
        <f aca="false">IF(C495&lt;&gt;"Purchase",0,L495-O495)</f>
        <v>0</v>
      </c>
      <c r="Q495" s="53" t="n">
        <f aca="false">J495-B495</f>
        <v>0</v>
      </c>
      <c r="R495" s="51" t="str">
        <f aca="false">IF(I495="N","Invalid / missing TRN",IF(F495="Blocked input (entertainment)","Blocked input",IF(Q495&gt;30,"Late posting (&gt;30d)","")))</f>
        <v/>
      </c>
    </row>
    <row r="496" customFormat="false" ht="15" hidden="false" customHeight="false" outlineLevel="0" collapsed="false">
      <c r="A496" s="47" t="s">
        <v>781</v>
      </c>
      <c r="B496" s="48" t="n">
        <v>45791</v>
      </c>
      <c r="C496" s="47" t="s">
        <v>159</v>
      </c>
      <c r="D496" s="47" t="s">
        <v>361</v>
      </c>
      <c r="E496" s="47" t="s">
        <v>100</v>
      </c>
      <c r="F496" s="47" t="s">
        <v>278</v>
      </c>
      <c r="G496" s="49" t="n">
        <v>46619.61</v>
      </c>
      <c r="H496" s="50" t="n">
        <v>0</v>
      </c>
      <c r="I496" s="47" t="s">
        <v>162</v>
      </c>
      <c r="J496" s="48" t="n">
        <v>45791</v>
      </c>
      <c r="K496" s="51" t="str">
        <f aca="false">"Q"&amp;ROUNDUP(MONTH(B496)/3,0)</f>
        <v>Q2</v>
      </c>
      <c r="L496" s="52" t="n">
        <f aca="false">ROUND(G496*H496,2)</f>
        <v>0</v>
      </c>
      <c r="M496" s="52" t="n">
        <f aca="false">IF(AND(C496="Sales",F496="Standard-rated 5%"),L496,0)</f>
        <v>0</v>
      </c>
      <c r="N496" s="52" t="n">
        <f aca="false">IF(F496="Reverse charge (imported services)",L496,0)</f>
        <v>0</v>
      </c>
      <c r="O496" s="52" t="n">
        <f aca="false">IF(C496&lt;&gt;"Purchase",0,IF(OR(I496="N",F496="Blocked input (entertainment)"),0,L496))</f>
        <v>0</v>
      </c>
      <c r="P496" s="52" t="n">
        <f aca="false">IF(C496&lt;&gt;"Purchase",0,L496-O496)</f>
        <v>0</v>
      </c>
      <c r="Q496" s="53" t="n">
        <f aca="false">J496-B496</f>
        <v>0</v>
      </c>
      <c r="R496" s="51" t="str">
        <f aca="false">IF(I496="N","Invalid / missing TRN",IF(F496="Blocked input (entertainment)","Blocked input",IF(Q496&gt;30,"Late posting (&gt;30d)","")))</f>
        <v/>
      </c>
    </row>
    <row r="497" customFormat="false" ht="15" hidden="false" customHeight="false" outlineLevel="0" collapsed="false">
      <c r="A497" s="47" t="s">
        <v>782</v>
      </c>
      <c r="B497" s="48" t="n">
        <v>45791</v>
      </c>
      <c r="C497" s="47" t="s">
        <v>159</v>
      </c>
      <c r="D497" s="47" t="s">
        <v>627</v>
      </c>
      <c r="E497" s="47" t="s">
        <v>100</v>
      </c>
      <c r="F497" s="47" t="s">
        <v>301</v>
      </c>
      <c r="G497" s="49" t="n">
        <v>23206</v>
      </c>
      <c r="H497" s="50" t="n">
        <v>0</v>
      </c>
      <c r="I497" s="47" t="s">
        <v>162</v>
      </c>
      <c r="J497" s="48" t="n">
        <v>45791</v>
      </c>
      <c r="K497" s="51" t="str">
        <f aca="false">"Q"&amp;ROUNDUP(MONTH(B497)/3,0)</f>
        <v>Q2</v>
      </c>
      <c r="L497" s="52" t="n">
        <f aca="false">ROUND(G497*H497,2)</f>
        <v>0</v>
      </c>
      <c r="M497" s="52" t="n">
        <f aca="false">IF(AND(C497="Sales",F497="Standard-rated 5%"),L497,0)</f>
        <v>0</v>
      </c>
      <c r="N497" s="52" t="n">
        <f aca="false">IF(F497="Reverse charge (imported services)",L497,0)</f>
        <v>0</v>
      </c>
      <c r="O497" s="52" t="n">
        <f aca="false">IF(C497&lt;&gt;"Purchase",0,IF(OR(I497="N",F497="Blocked input (entertainment)"),0,L497))</f>
        <v>0</v>
      </c>
      <c r="P497" s="52" t="n">
        <f aca="false">IF(C497&lt;&gt;"Purchase",0,L497-O497)</f>
        <v>0</v>
      </c>
      <c r="Q497" s="53" t="n">
        <f aca="false">J497-B497</f>
        <v>0</v>
      </c>
      <c r="R497" s="51" t="str">
        <f aca="false">IF(I497="N","Invalid / missing TRN",IF(F497="Blocked input (entertainment)","Blocked input",IF(Q497&gt;30,"Late posting (&gt;30d)","")))</f>
        <v/>
      </c>
    </row>
    <row r="498" customFormat="false" ht="15" hidden="false" customHeight="false" outlineLevel="0" collapsed="false">
      <c r="A498" s="47" t="s">
        <v>783</v>
      </c>
      <c r="B498" s="48" t="n">
        <v>45791</v>
      </c>
      <c r="C498" s="47" t="s">
        <v>159</v>
      </c>
      <c r="D498" s="47" t="s">
        <v>784</v>
      </c>
      <c r="E498" s="47" t="s">
        <v>102</v>
      </c>
      <c r="F498" s="47" t="s">
        <v>161</v>
      </c>
      <c r="G498" s="49" t="n">
        <v>23711.96</v>
      </c>
      <c r="H498" s="50" t="n">
        <v>0.05</v>
      </c>
      <c r="I498" s="47" t="s">
        <v>162</v>
      </c>
      <c r="J498" s="48" t="n">
        <v>45791</v>
      </c>
      <c r="K498" s="51" t="str">
        <f aca="false">"Q"&amp;ROUNDUP(MONTH(B498)/3,0)</f>
        <v>Q2</v>
      </c>
      <c r="L498" s="52" t="n">
        <f aca="false">ROUND(G498*H498,2)</f>
        <v>1185.6</v>
      </c>
      <c r="M498" s="52" t="n">
        <f aca="false">IF(AND(C498="Sales",F498="Standard-rated 5%"),L498,0)</f>
        <v>1185.6</v>
      </c>
      <c r="N498" s="52" t="n">
        <f aca="false">IF(F498="Reverse charge (imported services)",L498,0)</f>
        <v>0</v>
      </c>
      <c r="O498" s="52" t="n">
        <f aca="false">IF(C498&lt;&gt;"Purchase",0,IF(OR(I498="N",F498="Blocked input (entertainment)"),0,L498))</f>
        <v>0</v>
      </c>
      <c r="P498" s="52" t="n">
        <f aca="false">IF(C498&lt;&gt;"Purchase",0,L498-O498)</f>
        <v>0</v>
      </c>
      <c r="Q498" s="53" t="n">
        <f aca="false">J498-B498</f>
        <v>0</v>
      </c>
      <c r="R498" s="51" t="str">
        <f aca="false">IF(I498="N","Invalid / missing TRN",IF(F498="Blocked input (entertainment)","Blocked input",IF(Q498&gt;30,"Late posting (&gt;30d)","")))</f>
        <v/>
      </c>
    </row>
    <row r="499" customFormat="false" ht="15" hidden="false" customHeight="false" outlineLevel="0" collapsed="false">
      <c r="A499" s="47" t="s">
        <v>785</v>
      </c>
      <c r="B499" s="48" t="n">
        <v>45792</v>
      </c>
      <c r="C499" s="47" t="s">
        <v>166</v>
      </c>
      <c r="D499" s="47" t="s">
        <v>514</v>
      </c>
      <c r="E499" s="47" t="s">
        <v>102</v>
      </c>
      <c r="F499" s="47" t="s">
        <v>337</v>
      </c>
      <c r="G499" s="49" t="n">
        <v>49387.7</v>
      </c>
      <c r="H499" s="50" t="n">
        <v>0</v>
      </c>
      <c r="I499" s="47" t="s">
        <v>162</v>
      </c>
      <c r="J499" s="48" t="n">
        <v>45792</v>
      </c>
      <c r="K499" s="51" t="str">
        <f aca="false">"Q"&amp;ROUNDUP(MONTH(B499)/3,0)</f>
        <v>Q2</v>
      </c>
      <c r="L499" s="52" t="n">
        <f aca="false">ROUND(G499*H499,2)</f>
        <v>0</v>
      </c>
      <c r="M499" s="52" t="n">
        <f aca="false">IF(AND(C499="Sales",F499="Standard-rated 5%"),L499,0)</f>
        <v>0</v>
      </c>
      <c r="N499" s="52" t="n">
        <f aca="false">IF(F499="Reverse charge (imported services)",L499,0)</f>
        <v>0</v>
      </c>
      <c r="O499" s="52" t="n">
        <f aca="false">IF(C499&lt;&gt;"Purchase",0,IF(OR(I499="N",F499="Blocked input (entertainment)"),0,L499))</f>
        <v>0</v>
      </c>
      <c r="P499" s="52" t="n">
        <f aca="false">IF(C499&lt;&gt;"Purchase",0,L499-O499)</f>
        <v>0</v>
      </c>
      <c r="Q499" s="53" t="n">
        <f aca="false">J499-B499</f>
        <v>0</v>
      </c>
      <c r="R499" s="51" t="str">
        <f aca="false">IF(I499="N","Invalid / missing TRN",IF(F499="Blocked input (entertainment)","Blocked input",IF(Q499&gt;30,"Late posting (&gt;30d)","")))</f>
        <v/>
      </c>
    </row>
    <row r="500" customFormat="false" ht="15" hidden="false" customHeight="false" outlineLevel="0" collapsed="false">
      <c r="A500" s="47" t="s">
        <v>786</v>
      </c>
      <c r="B500" s="48" t="n">
        <v>45792</v>
      </c>
      <c r="C500" s="47" t="s">
        <v>166</v>
      </c>
      <c r="D500" s="47" t="s">
        <v>304</v>
      </c>
      <c r="E500" s="47" t="s">
        <v>100</v>
      </c>
      <c r="F500" s="47" t="s">
        <v>268</v>
      </c>
      <c r="G500" s="49" t="n">
        <v>38103.19</v>
      </c>
      <c r="H500" s="50" t="n">
        <v>0</v>
      </c>
      <c r="I500" s="47" t="s">
        <v>162</v>
      </c>
      <c r="J500" s="48" t="n">
        <v>45792</v>
      </c>
      <c r="K500" s="51" t="str">
        <f aca="false">"Q"&amp;ROUNDUP(MONTH(B500)/3,0)</f>
        <v>Q2</v>
      </c>
      <c r="L500" s="52" t="n">
        <f aca="false">ROUND(G500*H500,2)</f>
        <v>0</v>
      </c>
      <c r="M500" s="52" t="n">
        <f aca="false">IF(AND(C500="Sales",F500="Standard-rated 5%"),L500,0)</f>
        <v>0</v>
      </c>
      <c r="N500" s="52" t="n">
        <f aca="false">IF(F500="Reverse charge (imported services)",L500,0)</f>
        <v>0</v>
      </c>
      <c r="O500" s="52" t="n">
        <f aca="false">IF(C500&lt;&gt;"Purchase",0,IF(OR(I500="N",F500="Blocked input (entertainment)"),0,L500))</f>
        <v>0</v>
      </c>
      <c r="P500" s="52" t="n">
        <f aca="false">IF(C500&lt;&gt;"Purchase",0,L500-O500)</f>
        <v>0</v>
      </c>
      <c r="Q500" s="53" t="n">
        <f aca="false">J500-B500</f>
        <v>0</v>
      </c>
      <c r="R500" s="51" t="str">
        <f aca="false">IF(I500="N","Invalid / missing TRN",IF(F500="Blocked input (entertainment)","Blocked input",IF(Q500&gt;30,"Late posting (&gt;30d)","")))</f>
        <v/>
      </c>
    </row>
    <row r="501" customFormat="false" ht="15" hidden="false" customHeight="false" outlineLevel="0" collapsed="false">
      <c r="A501" s="47" t="s">
        <v>787</v>
      </c>
      <c r="B501" s="48" t="n">
        <v>45792</v>
      </c>
      <c r="C501" s="47" t="s">
        <v>159</v>
      </c>
      <c r="D501" s="47" t="s">
        <v>532</v>
      </c>
      <c r="E501" s="47" t="s">
        <v>101</v>
      </c>
      <c r="F501" s="47" t="s">
        <v>161</v>
      </c>
      <c r="G501" s="49" t="n">
        <v>16365.55</v>
      </c>
      <c r="H501" s="50" t="n">
        <v>0.05</v>
      </c>
      <c r="I501" s="47" t="s">
        <v>162</v>
      </c>
      <c r="J501" s="48" t="n">
        <v>45792</v>
      </c>
      <c r="K501" s="51" t="str">
        <f aca="false">"Q"&amp;ROUNDUP(MONTH(B501)/3,0)</f>
        <v>Q2</v>
      </c>
      <c r="L501" s="52" t="n">
        <f aca="false">ROUND(G501*H501,2)</f>
        <v>818.28</v>
      </c>
      <c r="M501" s="52" t="n">
        <f aca="false">IF(AND(C501="Sales",F501="Standard-rated 5%"),L501,0)</f>
        <v>818.28</v>
      </c>
      <c r="N501" s="52" t="n">
        <f aca="false">IF(F501="Reverse charge (imported services)",L501,0)</f>
        <v>0</v>
      </c>
      <c r="O501" s="52" t="n">
        <f aca="false">IF(C501&lt;&gt;"Purchase",0,IF(OR(I501="N",F501="Blocked input (entertainment)"),0,L501))</f>
        <v>0</v>
      </c>
      <c r="P501" s="52" t="n">
        <f aca="false">IF(C501&lt;&gt;"Purchase",0,L501-O501)</f>
        <v>0</v>
      </c>
      <c r="Q501" s="53" t="n">
        <f aca="false">J501-B501</f>
        <v>0</v>
      </c>
      <c r="R501" s="51" t="str">
        <f aca="false">IF(I501="N","Invalid / missing TRN",IF(F501="Blocked input (entertainment)","Blocked input",IF(Q501&gt;30,"Late posting (&gt;30d)","")))</f>
        <v/>
      </c>
    </row>
    <row r="502" customFormat="false" ht="15" hidden="false" customHeight="false" outlineLevel="0" collapsed="false">
      <c r="A502" s="47" t="s">
        <v>788</v>
      </c>
      <c r="B502" s="48" t="n">
        <v>45792</v>
      </c>
      <c r="C502" s="47" t="s">
        <v>159</v>
      </c>
      <c r="D502" s="47" t="s">
        <v>490</v>
      </c>
      <c r="E502" s="47" t="s">
        <v>100</v>
      </c>
      <c r="F502" s="47" t="s">
        <v>161</v>
      </c>
      <c r="G502" s="49" t="n">
        <v>40800.14</v>
      </c>
      <c r="H502" s="50" t="n">
        <v>0.05</v>
      </c>
      <c r="I502" s="47" t="s">
        <v>162</v>
      </c>
      <c r="J502" s="48" t="n">
        <v>45792</v>
      </c>
      <c r="K502" s="51" t="str">
        <f aca="false">"Q"&amp;ROUNDUP(MONTH(B502)/3,0)</f>
        <v>Q2</v>
      </c>
      <c r="L502" s="52" t="n">
        <f aca="false">ROUND(G502*H502,2)</f>
        <v>2040.01</v>
      </c>
      <c r="M502" s="52" t="n">
        <f aca="false">IF(AND(C502="Sales",F502="Standard-rated 5%"),L502,0)</f>
        <v>2040.01</v>
      </c>
      <c r="N502" s="52" t="n">
        <f aca="false">IF(F502="Reverse charge (imported services)",L502,0)</f>
        <v>0</v>
      </c>
      <c r="O502" s="52" t="n">
        <f aca="false">IF(C502&lt;&gt;"Purchase",0,IF(OR(I502="N",F502="Blocked input (entertainment)"),0,L502))</f>
        <v>0</v>
      </c>
      <c r="P502" s="52" t="n">
        <f aca="false">IF(C502&lt;&gt;"Purchase",0,L502-O502)</f>
        <v>0</v>
      </c>
      <c r="Q502" s="53" t="n">
        <f aca="false">J502-B502</f>
        <v>0</v>
      </c>
      <c r="R502" s="51" t="str">
        <f aca="false">IF(I502="N","Invalid / missing TRN",IF(F502="Blocked input (entertainment)","Blocked input",IF(Q502&gt;30,"Late posting (&gt;30d)","")))</f>
        <v/>
      </c>
    </row>
    <row r="503" customFormat="false" ht="15" hidden="false" customHeight="false" outlineLevel="0" collapsed="false">
      <c r="A503" s="47" t="s">
        <v>789</v>
      </c>
      <c r="B503" s="48" t="n">
        <v>45792</v>
      </c>
      <c r="C503" s="47" t="s">
        <v>159</v>
      </c>
      <c r="D503" s="47" t="s">
        <v>223</v>
      </c>
      <c r="E503" s="47" t="s">
        <v>100</v>
      </c>
      <c r="F503" s="47" t="s">
        <v>278</v>
      </c>
      <c r="G503" s="49" t="n">
        <v>90915.19</v>
      </c>
      <c r="H503" s="50" t="n">
        <v>0</v>
      </c>
      <c r="I503" s="47" t="s">
        <v>162</v>
      </c>
      <c r="J503" s="48" t="n">
        <v>45792</v>
      </c>
      <c r="K503" s="51" t="str">
        <f aca="false">"Q"&amp;ROUNDUP(MONTH(B503)/3,0)</f>
        <v>Q2</v>
      </c>
      <c r="L503" s="52" t="n">
        <f aca="false">ROUND(G503*H503,2)</f>
        <v>0</v>
      </c>
      <c r="M503" s="52" t="n">
        <f aca="false">IF(AND(C503="Sales",F503="Standard-rated 5%"),L503,0)</f>
        <v>0</v>
      </c>
      <c r="N503" s="52" t="n">
        <f aca="false">IF(F503="Reverse charge (imported services)",L503,0)</f>
        <v>0</v>
      </c>
      <c r="O503" s="52" t="n">
        <f aca="false">IF(C503&lt;&gt;"Purchase",0,IF(OR(I503="N",F503="Blocked input (entertainment)"),0,L503))</f>
        <v>0</v>
      </c>
      <c r="P503" s="52" t="n">
        <f aca="false">IF(C503&lt;&gt;"Purchase",0,L503-O503)</f>
        <v>0</v>
      </c>
      <c r="Q503" s="53" t="n">
        <f aca="false">J503-B503</f>
        <v>0</v>
      </c>
      <c r="R503" s="51" t="str">
        <f aca="false">IF(I503="N","Invalid / missing TRN",IF(F503="Blocked input (entertainment)","Blocked input",IF(Q503&gt;30,"Late posting (&gt;30d)","")))</f>
        <v/>
      </c>
    </row>
    <row r="504" customFormat="false" ht="15" hidden="false" customHeight="false" outlineLevel="0" collapsed="false">
      <c r="A504" s="47" t="s">
        <v>790</v>
      </c>
      <c r="B504" s="48" t="n">
        <v>45793</v>
      </c>
      <c r="C504" s="47" t="s">
        <v>166</v>
      </c>
      <c r="D504" s="47" t="s">
        <v>184</v>
      </c>
      <c r="E504" s="47" t="s">
        <v>101</v>
      </c>
      <c r="F504" s="47" t="s">
        <v>173</v>
      </c>
      <c r="G504" s="49" t="n">
        <v>36132.24</v>
      </c>
      <c r="H504" s="50" t="n">
        <v>0.05</v>
      </c>
      <c r="I504" s="47" t="s">
        <v>162</v>
      </c>
      <c r="J504" s="48" t="n">
        <v>45793</v>
      </c>
      <c r="K504" s="51" t="str">
        <f aca="false">"Q"&amp;ROUNDUP(MONTH(B504)/3,0)</f>
        <v>Q2</v>
      </c>
      <c r="L504" s="52" t="n">
        <f aca="false">ROUND(G504*H504,2)</f>
        <v>1806.61</v>
      </c>
      <c r="M504" s="52" t="n">
        <f aca="false">IF(AND(C504="Sales",F504="Standard-rated 5%"),L504,0)</f>
        <v>0</v>
      </c>
      <c r="N504" s="52" t="n">
        <f aca="false">IF(F504="Reverse charge (imported services)",L504,0)</f>
        <v>1806.61</v>
      </c>
      <c r="O504" s="52" t="n">
        <f aca="false">IF(C504&lt;&gt;"Purchase",0,IF(OR(I504="N",F504="Blocked input (entertainment)"),0,L504))</f>
        <v>1806.61</v>
      </c>
      <c r="P504" s="52" t="n">
        <f aca="false">IF(C504&lt;&gt;"Purchase",0,L504-O504)</f>
        <v>0</v>
      </c>
      <c r="Q504" s="53" t="n">
        <f aca="false">J504-B504</f>
        <v>0</v>
      </c>
      <c r="R504" s="51" t="str">
        <f aca="false">IF(I504="N","Invalid / missing TRN",IF(F504="Blocked input (entertainment)","Blocked input",IF(Q504&gt;30,"Late posting (&gt;30d)","")))</f>
        <v/>
      </c>
    </row>
    <row r="505" customFormat="false" ht="15" hidden="false" customHeight="false" outlineLevel="0" collapsed="false">
      <c r="A505" s="47" t="s">
        <v>791</v>
      </c>
      <c r="B505" s="48" t="n">
        <v>45793</v>
      </c>
      <c r="C505" s="47" t="s">
        <v>166</v>
      </c>
      <c r="D505" s="47" t="s">
        <v>194</v>
      </c>
      <c r="E505" s="47" t="s">
        <v>101</v>
      </c>
      <c r="F505" s="47" t="s">
        <v>161</v>
      </c>
      <c r="G505" s="49" t="n">
        <v>43314.74</v>
      </c>
      <c r="H505" s="50" t="n">
        <v>0.05</v>
      </c>
      <c r="I505" s="47" t="s">
        <v>162</v>
      </c>
      <c r="J505" s="48" t="n">
        <v>45793</v>
      </c>
      <c r="K505" s="51" t="str">
        <f aca="false">"Q"&amp;ROUNDUP(MONTH(B505)/3,0)</f>
        <v>Q2</v>
      </c>
      <c r="L505" s="52" t="n">
        <f aca="false">ROUND(G505*H505,2)</f>
        <v>2165.74</v>
      </c>
      <c r="M505" s="52" t="n">
        <f aca="false">IF(AND(C505="Sales",F505="Standard-rated 5%"),L505,0)</f>
        <v>0</v>
      </c>
      <c r="N505" s="52" t="n">
        <f aca="false">IF(F505="Reverse charge (imported services)",L505,0)</f>
        <v>0</v>
      </c>
      <c r="O505" s="52" t="n">
        <f aca="false">IF(C505&lt;&gt;"Purchase",0,IF(OR(I505="N",F505="Blocked input (entertainment)"),0,L505))</f>
        <v>2165.74</v>
      </c>
      <c r="P505" s="52" t="n">
        <f aca="false">IF(C505&lt;&gt;"Purchase",0,L505-O505)</f>
        <v>0</v>
      </c>
      <c r="Q505" s="53" t="n">
        <f aca="false">J505-B505</f>
        <v>0</v>
      </c>
      <c r="R505" s="51" t="str">
        <f aca="false">IF(I505="N","Invalid / missing TRN",IF(F505="Blocked input (entertainment)","Blocked input",IF(Q505&gt;30,"Late posting (&gt;30d)","")))</f>
        <v/>
      </c>
    </row>
    <row r="506" customFormat="false" ht="15" hidden="false" customHeight="false" outlineLevel="0" collapsed="false">
      <c r="A506" s="47" t="s">
        <v>792</v>
      </c>
      <c r="B506" s="48" t="n">
        <v>45794</v>
      </c>
      <c r="C506" s="47" t="s">
        <v>166</v>
      </c>
      <c r="D506" s="47" t="s">
        <v>528</v>
      </c>
      <c r="E506" s="47" t="s">
        <v>101</v>
      </c>
      <c r="F506" s="47" t="s">
        <v>161</v>
      </c>
      <c r="G506" s="49" t="n">
        <v>23146.25</v>
      </c>
      <c r="H506" s="50" t="n">
        <v>0.05</v>
      </c>
      <c r="I506" s="47" t="s">
        <v>162</v>
      </c>
      <c r="J506" s="48" t="n">
        <v>45794</v>
      </c>
      <c r="K506" s="51" t="str">
        <f aca="false">"Q"&amp;ROUNDUP(MONTH(B506)/3,0)</f>
        <v>Q2</v>
      </c>
      <c r="L506" s="52" t="n">
        <f aca="false">ROUND(G506*H506,2)</f>
        <v>1157.31</v>
      </c>
      <c r="M506" s="52" t="n">
        <f aca="false">IF(AND(C506="Sales",F506="Standard-rated 5%"),L506,0)</f>
        <v>0</v>
      </c>
      <c r="N506" s="52" t="n">
        <f aca="false">IF(F506="Reverse charge (imported services)",L506,0)</f>
        <v>0</v>
      </c>
      <c r="O506" s="52" t="n">
        <f aca="false">IF(C506&lt;&gt;"Purchase",0,IF(OR(I506="N",F506="Blocked input (entertainment)"),0,L506))</f>
        <v>1157.31</v>
      </c>
      <c r="P506" s="52" t="n">
        <f aca="false">IF(C506&lt;&gt;"Purchase",0,L506-O506)</f>
        <v>0</v>
      </c>
      <c r="Q506" s="53" t="n">
        <f aca="false">J506-B506</f>
        <v>0</v>
      </c>
      <c r="R506" s="51" t="str">
        <f aca="false">IF(I506="N","Invalid / missing TRN",IF(F506="Blocked input (entertainment)","Blocked input",IF(Q506&gt;30,"Late posting (&gt;30d)","")))</f>
        <v/>
      </c>
    </row>
    <row r="507" customFormat="false" ht="15" hidden="false" customHeight="false" outlineLevel="0" collapsed="false">
      <c r="A507" s="47" t="s">
        <v>793</v>
      </c>
      <c r="B507" s="48" t="n">
        <v>45795</v>
      </c>
      <c r="C507" s="47" t="s">
        <v>166</v>
      </c>
      <c r="D507" s="47" t="s">
        <v>570</v>
      </c>
      <c r="E507" s="47" t="s">
        <v>101</v>
      </c>
      <c r="F507" s="47" t="s">
        <v>161</v>
      </c>
      <c r="G507" s="49" t="n">
        <v>19187.68</v>
      </c>
      <c r="H507" s="50" t="n">
        <v>0.05</v>
      </c>
      <c r="I507" s="47" t="s">
        <v>162</v>
      </c>
      <c r="J507" s="48" t="n">
        <v>45795</v>
      </c>
      <c r="K507" s="51" t="str">
        <f aca="false">"Q"&amp;ROUNDUP(MONTH(B507)/3,0)</f>
        <v>Q2</v>
      </c>
      <c r="L507" s="52" t="n">
        <f aca="false">ROUND(G507*H507,2)</f>
        <v>959.38</v>
      </c>
      <c r="M507" s="52" t="n">
        <f aca="false">IF(AND(C507="Sales",F507="Standard-rated 5%"),L507,0)</f>
        <v>0</v>
      </c>
      <c r="N507" s="52" t="n">
        <f aca="false">IF(F507="Reverse charge (imported services)",L507,0)</f>
        <v>0</v>
      </c>
      <c r="O507" s="52" t="n">
        <f aca="false">IF(C507&lt;&gt;"Purchase",0,IF(OR(I507="N",F507="Blocked input (entertainment)"),0,L507))</f>
        <v>959.38</v>
      </c>
      <c r="P507" s="52" t="n">
        <f aca="false">IF(C507&lt;&gt;"Purchase",0,L507-O507)</f>
        <v>0</v>
      </c>
      <c r="Q507" s="53" t="n">
        <f aca="false">J507-B507</f>
        <v>0</v>
      </c>
      <c r="R507" s="51" t="str">
        <f aca="false">IF(I507="N","Invalid / missing TRN",IF(F507="Blocked input (entertainment)","Blocked input",IF(Q507&gt;30,"Late posting (&gt;30d)","")))</f>
        <v/>
      </c>
    </row>
    <row r="508" customFormat="false" ht="15" hidden="false" customHeight="false" outlineLevel="0" collapsed="false">
      <c r="A508" s="47" t="s">
        <v>794</v>
      </c>
      <c r="B508" s="48" t="n">
        <v>45795</v>
      </c>
      <c r="C508" s="47" t="s">
        <v>166</v>
      </c>
      <c r="D508" s="47" t="s">
        <v>229</v>
      </c>
      <c r="E508" s="47" t="s">
        <v>101</v>
      </c>
      <c r="F508" s="47" t="s">
        <v>173</v>
      </c>
      <c r="G508" s="49" t="n">
        <v>35196.43</v>
      </c>
      <c r="H508" s="50" t="n">
        <v>0.05</v>
      </c>
      <c r="I508" s="47" t="s">
        <v>162</v>
      </c>
      <c r="J508" s="48" t="n">
        <v>45795</v>
      </c>
      <c r="K508" s="51" t="str">
        <f aca="false">"Q"&amp;ROUNDUP(MONTH(B508)/3,0)</f>
        <v>Q2</v>
      </c>
      <c r="L508" s="52" t="n">
        <f aca="false">ROUND(G508*H508,2)</f>
        <v>1759.82</v>
      </c>
      <c r="M508" s="52" t="n">
        <f aca="false">IF(AND(C508="Sales",F508="Standard-rated 5%"),L508,0)</f>
        <v>0</v>
      </c>
      <c r="N508" s="52" t="n">
        <f aca="false">IF(F508="Reverse charge (imported services)",L508,0)</f>
        <v>1759.82</v>
      </c>
      <c r="O508" s="52" t="n">
        <f aca="false">IF(C508&lt;&gt;"Purchase",0,IF(OR(I508="N",F508="Blocked input (entertainment)"),0,L508))</f>
        <v>1759.82</v>
      </c>
      <c r="P508" s="52" t="n">
        <f aca="false">IF(C508&lt;&gt;"Purchase",0,L508-O508)</f>
        <v>0</v>
      </c>
      <c r="Q508" s="53" t="n">
        <f aca="false">J508-B508</f>
        <v>0</v>
      </c>
      <c r="R508" s="51" t="str">
        <f aca="false">IF(I508="N","Invalid / missing TRN",IF(F508="Blocked input (entertainment)","Blocked input",IF(Q508&gt;30,"Late posting (&gt;30d)","")))</f>
        <v/>
      </c>
    </row>
    <row r="509" customFormat="false" ht="15" hidden="false" customHeight="false" outlineLevel="0" collapsed="false">
      <c r="A509" s="47" t="s">
        <v>795</v>
      </c>
      <c r="B509" s="48" t="n">
        <v>45796</v>
      </c>
      <c r="C509" s="47" t="s">
        <v>166</v>
      </c>
      <c r="D509" s="47" t="s">
        <v>233</v>
      </c>
      <c r="E509" s="47" t="s">
        <v>100</v>
      </c>
      <c r="F509" s="47" t="s">
        <v>161</v>
      </c>
      <c r="G509" s="49" t="n">
        <v>34340.63</v>
      </c>
      <c r="H509" s="50" t="n">
        <v>0.05</v>
      </c>
      <c r="I509" s="47" t="s">
        <v>162</v>
      </c>
      <c r="J509" s="48" t="n">
        <v>45796</v>
      </c>
      <c r="K509" s="51" t="str">
        <f aca="false">"Q"&amp;ROUNDUP(MONTH(B509)/3,0)</f>
        <v>Q2</v>
      </c>
      <c r="L509" s="52" t="n">
        <f aca="false">ROUND(G509*H509,2)</f>
        <v>1717.03</v>
      </c>
      <c r="M509" s="52" t="n">
        <f aca="false">IF(AND(C509="Sales",F509="Standard-rated 5%"),L509,0)</f>
        <v>0</v>
      </c>
      <c r="N509" s="52" t="n">
        <f aca="false">IF(F509="Reverse charge (imported services)",L509,0)</f>
        <v>0</v>
      </c>
      <c r="O509" s="52" t="n">
        <f aca="false">IF(C509&lt;&gt;"Purchase",0,IF(OR(I509="N",F509="Blocked input (entertainment)"),0,L509))</f>
        <v>1717.03</v>
      </c>
      <c r="P509" s="52" t="n">
        <f aca="false">IF(C509&lt;&gt;"Purchase",0,L509-O509)</f>
        <v>0</v>
      </c>
      <c r="Q509" s="53" t="n">
        <f aca="false">J509-B509</f>
        <v>0</v>
      </c>
      <c r="R509" s="51" t="str">
        <f aca="false">IF(I509="N","Invalid / missing TRN",IF(F509="Blocked input (entertainment)","Blocked input",IF(Q509&gt;30,"Late posting (&gt;30d)","")))</f>
        <v/>
      </c>
    </row>
    <row r="510" customFormat="false" ht="15" hidden="false" customHeight="false" outlineLevel="0" collapsed="false">
      <c r="A510" s="47" t="s">
        <v>796</v>
      </c>
      <c r="B510" s="48" t="n">
        <v>45796</v>
      </c>
      <c r="C510" s="47" t="s">
        <v>166</v>
      </c>
      <c r="D510" s="47" t="s">
        <v>577</v>
      </c>
      <c r="E510" s="47" t="s">
        <v>101</v>
      </c>
      <c r="F510" s="47" t="s">
        <v>161</v>
      </c>
      <c r="G510" s="49" t="n">
        <v>118317.65</v>
      </c>
      <c r="H510" s="50" t="n">
        <v>0.05</v>
      </c>
      <c r="I510" s="47" t="s">
        <v>162</v>
      </c>
      <c r="J510" s="48" t="n">
        <v>45796</v>
      </c>
      <c r="K510" s="51" t="str">
        <f aca="false">"Q"&amp;ROUNDUP(MONTH(B510)/3,0)</f>
        <v>Q2</v>
      </c>
      <c r="L510" s="52" t="n">
        <f aca="false">ROUND(G510*H510,2)</f>
        <v>5915.88</v>
      </c>
      <c r="M510" s="52" t="n">
        <f aca="false">IF(AND(C510="Sales",F510="Standard-rated 5%"),L510,0)</f>
        <v>0</v>
      </c>
      <c r="N510" s="52" t="n">
        <f aca="false">IF(F510="Reverse charge (imported services)",L510,0)</f>
        <v>0</v>
      </c>
      <c r="O510" s="52" t="n">
        <f aca="false">IF(C510&lt;&gt;"Purchase",0,IF(OR(I510="N",F510="Blocked input (entertainment)"),0,L510))</f>
        <v>5915.88</v>
      </c>
      <c r="P510" s="52" t="n">
        <f aca="false">IF(C510&lt;&gt;"Purchase",0,L510-O510)</f>
        <v>0</v>
      </c>
      <c r="Q510" s="53" t="n">
        <f aca="false">J510-B510</f>
        <v>0</v>
      </c>
      <c r="R510" s="51" t="str">
        <f aca="false">IF(I510="N","Invalid / missing TRN",IF(F510="Blocked input (entertainment)","Blocked input",IF(Q510&gt;30,"Late posting (&gt;30d)","")))</f>
        <v/>
      </c>
    </row>
    <row r="511" customFormat="false" ht="15" hidden="false" customHeight="false" outlineLevel="0" collapsed="false">
      <c r="A511" s="47" t="s">
        <v>797</v>
      </c>
      <c r="B511" s="48" t="n">
        <v>45796</v>
      </c>
      <c r="C511" s="47" t="s">
        <v>159</v>
      </c>
      <c r="D511" s="47" t="s">
        <v>283</v>
      </c>
      <c r="E511" s="47" t="s">
        <v>100</v>
      </c>
      <c r="F511" s="47" t="s">
        <v>278</v>
      </c>
      <c r="G511" s="49" t="n">
        <v>202324.12</v>
      </c>
      <c r="H511" s="50" t="n">
        <v>0</v>
      </c>
      <c r="I511" s="47" t="s">
        <v>162</v>
      </c>
      <c r="J511" s="48" t="n">
        <v>45796</v>
      </c>
      <c r="K511" s="51" t="str">
        <f aca="false">"Q"&amp;ROUNDUP(MONTH(B511)/3,0)</f>
        <v>Q2</v>
      </c>
      <c r="L511" s="52" t="n">
        <f aca="false">ROUND(G511*H511,2)</f>
        <v>0</v>
      </c>
      <c r="M511" s="52" t="n">
        <f aca="false">IF(AND(C511="Sales",F511="Standard-rated 5%"),L511,0)</f>
        <v>0</v>
      </c>
      <c r="N511" s="52" t="n">
        <f aca="false">IF(F511="Reverse charge (imported services)",L511,0)</f>
        <v>0</v>
      </c>
      <c r="O511" s="52" t="n">
        <f aca="false">IF(C511&lt;&gt;"Purchase",0,IF(OR(I511="N",F511="Blocked input (entertainment)"),0,L511))</f>
        <v>0</v>
      </c>
      <c r="P511" s="52" t="n">
        <f aca="false">IF(C511&lt;&gt;"Purchase",0,L511-O511)</f>
        <v>0</v>
      </c>
      <c r="Q511" s="53" t="n">
        <f aca="false">J511-B511</f>
        <v>0</v>
      </c>
      <c r="R511" s="51" t="str">
        <f aca="false">IF(I511="N","Invalid / missing TRN",IF(F511="Blocked input (entertainment)","Blocked input",IF(Q511&gt;30,"Late posting (&gt;30d)","")))</f>
        <v/>
      </c>
    </row>
    <row r="512" customFormat="false" ht="15" hidden="false" customHeight="false" outlineLevel="0" collapsed="false">
      <c r="A512" s="47" t="s">
        <v>798</v>
      </c>
      <c r="B512" s="48" t="n">
        <v>45796</v>
      </c>
      <c r="C512" s="47" t="s">
        <v>159</v>
      </c>
      <c r="D512" s="47" t="s">
        <v>364</v>
      </c>
      <c r="E512" s="47" t="s">
        <v>100</v>
      </c>
      <c r="F512" s="47" t="s">
        <v>278</v>
      </c>
      <c r="G512" s="49" t="n">
        <v>85307.94</v>
      </c>
      <c r="H512" s="50" t="n">
        <v>0</v>
      </c>
      <c r="I512" s="47" t="s">
        <v>162</v>
      </c>
      <c r="J512" s="48" t="n">
        <v>45796</v>
      </c>
      <c r="K512" s="51" t="str">
        <f aca="false">"Q"&amp;ROUNDUP(MONTH(B512)/3,0)</f>
        <v>Q2</v>
      </c>
      <c r="L512" s="52" t="n">
        <f aca="false">ROUND(G512*H512,2)</f>
        <v>0</v>
      </c>
      <c r="M512" s="52" t="n">
        <f aca="false">IF(AND(C512="Sales",F512="Standard-rated 5%"),L512,0)</f>
        <v>0</v>
      </c>
      <c r="N512" s="52" t="n">
        <f aca="false">IF(F512="Reverse charge (imported services)",L512,0)</f>
        <v>0</v>
      </c>
      <c r="O512" s="52" t="n">
        <f aca="false">IF(C512&lt;&gt;"Purchase",0,IF(OR(I512="N",F512="Blocked input (entertainment)"),0,L512))</f>
        <v>0</v>
      </c>
      <c r="P512" s="52" t="n">
        <f aca="false">IF(C512&lt;&gt;"Purchase",0,L512-O512)</f>
        <v>0</v>
      </c>
      <c r="Q512" s="53" t="n">
        <f aca="false">J512-B512</f>
        <v>0</v>
      </c>
      <c r="R512" s="51" t="str">
        <f aca="false">IF(I512="N","Invalid / missing TRN",IF(F512="Blocked input (entertainment)","Blocked input",IF(Q512&gt;30,"Late posting (&gt;30d)","")))</f>
        <v/>
      </c>
    </row>
    <row r="513" customFormat="false" ht="15" hidden="false" customHeight="false" outlineLevel="0" collapsed="false">
      <c r="A513" s="47" t="s">
        <v>799</v>
      </c>
      <c r="B513" s="48" t="n">
        <v>45797</v>
      </c>
      <c r="C513" s="47" t="s">
        <v>166</v>
      </c>
      <c r="D513" s="47" t="s">
        <v>184</v>
      </c>
      <c r="E513" s="47" t="s">
        <v>100</v>
      </c>
      <c r="F513" s="47" t="s">
        <v>161</v>
      </c>
      <c r="G513" s="49" t="n">
        <v>5982.38</v>
      </c>
      <c r="H513" s="50" t="n">
        <v>0.05</v>
      </c>
      <c r="I513" s="47" t="s">
        <v>162</v>
      </c>
      <c r="J513" s="48" t="n">
        <v>45799</v>
      </c>
      <c r="K513" s="51" t="str">
        <f aca="false">"Q"&amp;ROUNDUP(MONTH(B513)/3,0)</f>
        <v>Q2</v>
      </c>
      <c r="L513" s="52" t="n">
        <f aca="false">ROUND(G513*H513,2)</f>
        <v>299.12</v>
      </c>
      <c r="M513" s="52" t="n">
        <f aca="false">IF(AND(C513="Sales",F513="Standard-rated 5%"),L513,0)</f>
        <v>0</v>
      </c>
      <c r="N513" s="52" t="n">
        <f aca="false">IF(F513="Reverse charge (imported services)",L513,0)</f>
        <v>0</v>
      </c>
      <c r="O513" s="52" t="n">
        <f aca="false">IF(C513&lt;&gt;"Purchase",0,IF(OR(I513="N",F513="Blocked input (entertainment)"),0,L513))</f>
        <v>299.12</v>
      </c>
      <c r="P513" s="52" t="n">
        <f aca="false">IF(C513&lt;&gt;"Purchase",0,L513-O513)</f>
        <v>0</v>
      </c>
      <c r="Q513" s="53" t="n">
        <f aca="false">J513-B513</f>
        <v>2</v>
      </c>
      <c r="R513" s="51" t="str">
        <f aca="false">IF(I513="N","Invalid / missing TRN",IF(F513="Blocked input (entertainment)","Blocked input",IF(Q513&gt;30,"Late posting (&gt;30d)","")))</f>
        <v/>
      </c>
    </row>
    <row r="514" customFormat="false" ht="15" hidden="false" customHeight="false" outlineLevel="0" collapsed="false">
      <c r="A514" s="47" t="s">
        <v>800</v>
      </c>
      <c r="B514" s="48" t="n">
        <v>45797</v>
      </c>
      <c r="C514" s="47" t="s">
        <v>159</v>
      </c>
      <c r="D514" s="47" t="s">
        <v>431</v>
      </c>
      <c r="E514" s="47" t="s">
        <v>101</v>
      </c>
      <c r="F514" s="47" t="s">
        <v>161</v>
      </c>
      <c r="G514" s="49" t="n">
        <v>79015.58</v>
      </c>
      <c r="H514" s="50" t="n">
        <v>0.05</v>
      </c>
      <c r="I514" s="47" t="s">
        <v>162</v>
      </c>
      <c r="J514" s="48" t="n">
        <v>45797</v>
      </c>
      <c r="K514" s="51" t="str">
        <f aca="false">"Q"&amp;ROUNDUP(MONTH(B514)/3,0)</f>
        <v>Q2</v>
      </c>
      <c r="L514" s="52" t="n">
        <f aca="false">ROUND(G514*H514,2)</f>
        <v>3950.78</v>
      </c>
      <c r="M514" s="52" t="n">
        <f aca="false">IF(AND(C514="Sales",F514="Standard-rated 5%"),L514,0)</f>
        <v>3950.78</v>
      </c>
      <c r="N514" s="52" t="n">
        <f aca="false">IF(F514="Reverse charge (imported services)",L514,0)</f>
        <v>0</v>
      </c>
      <c r="O514" s="52" t="n">
        <f aca="false">IF(C514&lt;&gt;"Purchase",0,IF(OR(I514="N",F514="Blocked input (entertainment)"),0,L514))</f>
        <v>0</v>
      </c>
      <c r="P514" s="52" t="n">
        <f aca="false">IF(C514&lt;&gt;"Purchase",0,L514-O514)</f>
        <v>0</v>
      </c>
      <c r="Q514" s="53" t="n">
        <f aca="false">J514-B514</f>
        <v>0</v>
      </c>
      <c r="R514" s="51" t="str">
        <f aca="false">IF(I514="N","Invalid / missing TRN",IF(F514="Blocked input (entertainment)","Blocked input",IF(Q514&gt;30,"Late posting (&gt;30d)","")))</f>
        <v/>
      </c>
    </row>
    <row r="515" customFormat="false" ht="15" hidden="false" customHeight="false" outlineLevel="0" collapsed="false">
      <c r="A515" s="47" t="s">
        <v>801</v>
      </c>
      <c r="B515" s="48" t="n">
        <v>45797</v>
      </c>
      <c r="C515" s="47" t="s">
        <v>159</v>
      </c>
      <c r="D515" s="47" t="s">
        <v>186</v>
      </c>
      <c r="E515" s="47" t="s">
        <v>101</v>
      </c>
      <c r="F515" s="47" t="s">
        <v>161</v>
      </c>
      <c r="G515" s="49" t="n">
        <v>295680.23</v>
      </c>
      <c r="H515" s="50" t="n">
        <v>0.05</v>
      </c>
      <c r="I515" s="47" t="s">
        <v>162</v>
      </c>
      <c r="J515" s="48" t="n">
        <v>45797</v>
      </c>
      <c r="K515" s="51" t="str">
        <f aca="false">"Q"&amp;ROUNDUP(MONTH(B515)/3,0)</f>
        <v>Q2</v>
      </c>
      <c r="L515" s="52" t="n">
        <f aca="false">ROUND(G515*H515,2)</f>
        <v>14784.01</v>
      </c>
      <c r="M515" s="52" t="n">
        <f aca="false">IF(AND(C515="Sales",F515="Standard-rated 5%"),L515,0)</f>
        <v>14784.01</v>
      </c>
      <c r="N515" s="52" t="n">
        <f aca="false">IF(F515="Reverse charge (imported services)",L515,0)</f>
        <v>0</v>
      </c>
      <c r="O515" s="52" t="n">
        <f aca="false">IF(C515&lt;&gt;"Purchase",0,IF(OR(I515="N",F515="Blocked input (entertainment)"),0,L515))</f>
        <v>0</v>
      </c>
      <c r="P515" s="52" t="n">
        <f aca="false">IF(C515&lt;&gt;"Purchase",0,L515-O515)</f>
        <v>0</v>
      </c>
      <c r="Q515" s="53" t="n">
        <f aca="false">J515-B515</f>
        <v>0</v>
      </c>
      <c r="R515" s="51" t="str">
        <f aca="false">IF(I515="N","Invalid / missing TRN",IF(F515="Blocked input (entertainment)","Blocked input",IF(Q515&gt;30,"Late posting (&gt;30d)","")))</f>
        <v/>
      </c>
    </row>
    <row r="516" customFormat="false" ht="15" hidden="false" customHeight="false" outlineLevel="0" collapsed="false">
      <c r="A516" s="47" t="s">
        <v>802</v>
      </c>
      <c r="B516" s="48" t="n">
        <v>45798</v>
      </c>
      <c r="C516" s="47" t="s">
        <v>166</v>
      </c>
      <c r="D516" s="47" t="s">
        <v>460</v>
      </c>
      <c r="E516" s="47" t="s">
        <v>100</v>
      </c>
      <c r="F516" s="47" t="s">
        <v>161</v>
      </c>
      <c r="G516" s="49" t="n">
        <v>246184.72</v>
      </c>
      <c r="H516" s="50" t="n">
        <v>0.05</v>
      </c>
      <c r="I516" s="47" t="s">
        <v>162</v>
      </c>
      <c r="J516" s="48" t="n">
        <v>45798</v>
      </c>
      <c r="K516" s="51" t="str">
        <f aca="false">"Q"&amp;ROUNDUP(MONTH(B516)/3,0)</f>
        <v>Q2</v>
      </c>
      <c r="L516" s="52" t="n">
        <f aca="false">ROUND(G516*H516,2)</f>
        <v>12309.24</v>
      </c>
      <c r="M516" s="52" t="n">
        <f aca="false">IF(AND(C516="Sales",F516="Standard-rated 5%"),L516,0)</f>
        <v>0</v>
      </c>
      <c r="N516" s="52" t="n">
        <f aca="false">IF(F516="Reverse charge (imported services)",L516,0)</f>
        <v>0</v>
      </c>
      <c r="O516" s="52" t="n">
        <f aca="false">IF(C516&lt;&gt;"Purchase",0,IF(OR(I516="N",F516="Blocked input (entertainment)"),0,L516))</f>
        <v>12309.24</v>
      </c>
      <c r="P516" s="52" t="n">
        <f aca="false">IF(C516&lt;&gt;"Purchase",0,L516-O516)</f>
        <v>0</v>
      </c>
      <c r="Q516" s="53" t="n">
        <f aca="false">J516-B516</f>
        <v>0</v>
      </c>
      <c r="R516" s="51" t="str">
        <f aca="false">IF(I516="N","Invalid / missing TRN",IF(F516="Blocked input (entertainment)","Blocked input",IF(Q516&gt;30,"Late posting (&gt;30d)","")))</f>
        <v/>
      </c>
    </row>
    <row r="517" customFormat="false" ht="15" hidden="false" customHeight="false" outlineLevel="0" collapsed="false">
      <c r="A517" s="47" t="s">
        <v>803</v>
      </c>
      <c r="B517" s="48" t="n">
        <v>45798</v>
      </c>
      <c r="C517" s="47" t="s">
        <v>166</v>
      </c>
      <c r="D517" s="47" t="s">
        <v>557</v>
      </c>
      <c r="E517" s="47" t="s">
        <v>105</v>
      </c>
      <c r="F517" s="47" t="s">
        <v>268</v>
      </c>
      <c r="G517" s="49" t="n">
        <v>15886.78</v>
      </c>
      <c r="H517" s="50" t="n">
        <v>0</v>
      </c>
      <c r="I517" s="47" t="s">
        <v>162</v>
      </c>
      <c r="J517" s="48" t="n">
        <v>45798</v>
      </c>
      <c r="K517" s="51" t="str">
        <f aca="false">"Q"&amp;ROUNDUP(MONTH(B517)/3,0)</f>
        <v>Q2</v>
      </c>
      <c r="L517" s="52" t="n">
        <f aca="false">ROUND(G517*H517,2)</f>
        <v>0</v>
      </c>
      <c r="M517" s="52" t="n">
        <f aca="false">IF(AND(C517="Sales",F517="Standard-rated 5%"),L517,0)</f>
        <v>0</v>
      </c>
      <c r="N517" s="52" t="n">
        <f aca="false">IF(F517="Reverse charge (imported services)",L517,0)</f>
        <v>0</v>
      </c>
      <c r="O517" s="52" t="n">
        <f aca="false">IF(C517&lt;&gt;"Purchase",0,IF(OR(I517="N",F517="Blocked input (entertainment)"),0,L517))</f>
        <v>0</v>
      </c>
      <c r="P517" s="52" t="n">
        <f aca="false">IF(C517&lt;&gt;"Purchase",0,L517-O517)</f>
        <v>0</v>
      </c>
      <c r="Q517" s="53" t="n">
        <f aca="false">J517-B517</f>
        <v>0</v>
      </c>
      <c r="R517" s="51" t="str">
        <f aca="false">IF(I517="N","Invalid / missing TRN",IF(F517="Blocked input (entertainment)","Blocked input",IF(Q517&gt;30,"Late posting (&gt;30d)","")))</f>
        <v/>
      </c>
    </row>
    <row r="518" customFormat="false" ht="15" hidden="false" customHeight="false" outlineLevel="0" collapsed="false">
      <c r="A518" s="47" t="s">
        <v>804</v>
      </c>
      <c r="B518" s="48" t="n">
        <v>45798</v>
      </c>
      <c r="C518" s="47" t="s">
        <v>159</v>
      </c>
      <c r="D518" s="47" t="s">
        <v>345</v>
      </c>
      <c r="E518" s="47" t="s">
        <v>104</v>
      </c>
      <c r="F518" s="47" t="s">
        <v>161</v>
      </c>
      <c r="G518" s="49" t="n">
        <v>28953.6</v>
      </c>
      <c r="H518" s="50" t="n">
        <v>0.05</v>
      </c>
      <c r="I518" s="47" t="s">
        <v>162</v>
      </c>
      <c r="J518" s="48" t="n">
        <v>45798</v>
      </c>
      <c r="K518" s="51" t="str">
        <f aca="false">"Q"&amp;ROUNDUP(MONTH(B518)/3,0)</f>
        <v>Q2</v>
      </c>
      <c r="L518" s="52" t="n">
        <f aca="false">ROUND(G518*H518,2)</f>
        <v>1447.68</v>
      </c>
      <c r="M518" s="52" t="n">
        <f aca="false">IF(AND(C518="Sales",F518="Standard-rated 5%"),L518,0)</f>
        <v>1447.68</v>
      </c>
      <c r="N518" s="52" t="n">
        <f aca="false">IF(F518="Reverse charge (imported services)",L518,0)</f>
        <v>0</v>
      </c>
      <c r="O518" s="52" t="n">
        <f aca="false">IF(C518&lt;&gt;"Purchase",0,IF(OR(I518="N",F518="Blocked input (entertainment)"),0,L518))</f>
        <v>0</v>
      </c>
      <c r="P518" s="52" t="n">
        <f aca="false">IF(C518&lt;&gt;"Purchase",0,L518-O518)</f>
        <v>0</v>
      </c>
      <c r="Q518" s="53" t="n">
        <f aca="false">J518-B518</f>
        <v>0</v>
      </c>
      <c r="R518" s="51" t="str">
        <f aca="false">IF(I518="N","Invalid / missing TRN",IF(F518="Blocked input (entertainment)","Blocked input",IF(Q518&gt;30,"Late posting (&gt;30d)","")))</f>
        <v/>
      </c>
    </row>
    <row r="519" customFormat="false" ht="15" hidden="false" customHeight="false" outlineLevel="0" collapsed="false">
      <c r="A519" s="47" t="s">
        <v>805</v>
      </c>
      <c r="B519" s="48" t="n">
        <v>45798</v>
      </c>
      <c r="C519" s="47" t="s">
        <v>159</v>
      </c>
      <c r="D519" s="47" t="s">
        <v>583</v>
      </c>
      <c r="E519" s="47" t="s">
        <v>101</v>
      </c>
      <c r="F519" s="47" t="s">
        <v>161</v>
      </c>
      <c r="G519" s="49" t="n">
        <v>55836.87</v>
      </c>
      <c r="H519" s="50" t="n">
        <v>0.05</v>
      </c>
      <c r="I519" s="47" t="s">
        <v>162</v>
      </c>
      <c r="J519" s="48" t="n">
        <v>45798</v>
      </c>
      <c r="K519" s="51" t="str">
        <f aca="false">"Q"&amp;ROUNDUP(MONTH(B519)/3,0)</f>
        <v>Q2</v>
      </c>
      <c r="L519" s="52" t="n">
        <f aca="false">ROUND(G519*H519,2)</f>
        <v>2791.84</v>
      </c>
      <c r="M519" s="52" t="n">
        <f aca="false">IF(AND(C519="Sales",F519="Standard-rated 5%"),L519,0)</f>
        <v>2791.84</v>
      </c>
      <c r="N519" s="52" t="n">
        <f aca="false">IF(F519="Reverse charge (imported services)",L519,0)</f>
        <v>0</v>
      </c>
      <c r="O519" s="52" t="n">
        <f aca="false">IF(C519&lt;&gt;"Purchase",0,IF(OR(I519="N",F519="Blocked input (entertainment)"),0,L519))</f>
        <v>0</v>
      </c>
      <c r="P519" s="52" t="n">
        <f aca="false">IF(C519&lt;&gt;"Purchase",0,L519-O519)</f>
        <v>0</v>
      </c>
      <c r="Q519" s="53" t="n">
        <f aca="false">J519-B519</f>
        <v>0</v>
      </c>
      <c r="R519" s="51" t="str">
        <f aca="false">IF(I519="N","Invalid / missing TRN",IF(F519="Blocked input (entertainment)","Blocked input",IF(Q519&gt;30,"Late posting (&gt;30d)","")))</f>
        <v/>
      </c>
    </row>
    <row r="520" customFormat="false" ht="15" hidden="false" customHeight="false" outlineLevel="0" collapsed="false">
      <c r="A520" s="47" t="s">
        <v>806</v>
      </c>
      <c r="B520" s="48" t="n">
        <v>45798</v>
      </c>
      <c r="C520" s="47" t="s">
        <v>159</v>
      </c>
      <c r="D520" s="47" t="s">
        <v>235</v>
      </c>
      <c r="E520" s="47" t="s">
        <v>105</v>
      </c>
      <c r="F520" s="47" t="s">
        <v>278</v>
      </c>
      <c r="G520" s="49" t="n">
        <v>255892.4</v>
      </c>
      <c r="H520" s="50" t="n">
        <v>0</v>
      </c>
      <c r="I520" s="47" t="s">
        <v>162</v>
      </c>
      <c r="J520" s="48" t="n">
        <v>45798</v>
      </c>
      <c r="K520" s="51" t="str">
        <f aca="false">"Q"&amp;ROUNDUP(MONTH(B520)/3,0)</f>
        <v>Q2</v>
      </c>
      <c r="L520" s="52" t="n">
        <f aca="false">ROUND(G520*H520,2)</f>
        <v>0</v>
      </c>
      <c r="M520" s="52" t="n">
        <f aca="false">IF(AND(C520="Sales",F520="Standard-rated 5%"),L520,0)</f>
        <v>0</v>
      </c>
      <c r="N520" s="52" t="n">
        <f aca="false">IF(F520="Reverse charge (imported services)",L520,0)</f>
        <v>0</v>
      </c>
      <c r="O520" s="52" t="n">
        <f aca="false">IF(C520&lt;&gt;"Purchase",0,IF(OR(I520="N",F520="Blocked input (entertainment)"),0,L520))</f>
        <v>0</v>
      </c>
      <c r="P520" s="52" t="n">
        <f aca="false">IF(C520&lt;&gt;"Purchase",0,L520-O520)</f>
        <v>0</v>
      </c>
      <c r="Q520" s="53" t="n">
        <f aca="false">J520-B520</f>
        <v>0</v>
      </c>
      <c r="R520" s="51" t="str">
        <f aca="false">IF(I520="N","Invalid / missing TRN",IF(F520="Blocked input (entertainment)","Blocked input",IF(Q520&gt;30,"Late posting (&gt;30d)","")))</f>
        <v/>
      </c>
    </row>
    <row r="521" customFormat="false" ht="15" hidden="false" customHeight="false" outlineLevel="0" collapsed="false">
      <c r="A521" s="47" t="s">
        <v>807</v>
      </c>
      <c r="B521" s="48" t="n">
        <v>45799</v>
      </c>
      <c r="C521" s="47" t="s">
        <v>166</v>
      </c>
      <c r="D521" s="47" t="s">
        <v>218</v>
      </c>
      <c r="E521" s="47" t="s">
        <v>100</v>
      </c>
      <c r="F521" s="47" t="s">
        <v>161</v>
      </c>
      <c r="G521" s="49" t="n">
        <v>5960.41</v>
      </c>
      <c r="H521" s="50" t="n">
        <v>0.05</v>
      </c>
      <c r="I521" s="47" t="s">
        <v>162</v>
      </c>
      <c r="J521" s="48" t="n">
        <v>45799</v>
      </c>
      <c r="K521" s="51" t="str">
        <f aca="false">"Q"&amp;ROUNDUP(MONTH(B521)/3,0)</f>
        <v>Q2</v>
      </c>
      <c r="L521" s="52" t="n">
        <f aca="false">ROUND(G521*H521,2)</f>
        <v>298.02</v>
      </c>
      <c r="M521" s="52" t="n">
        <f aca="false">IF(AND(C521="Sales",F521="Standard-rated 5%"),L521,0)</f>
        <v>0</v>
      </c>
      <c r="N521" s="52" t="n">
        <f aca="false">IF(F521="Reverse charge (imported services)",L521,0)</f>
        <v>0</v>
      </c>
      <c r="O521" s="52" t="n">
        <f aca="false">IF(C521&lt;&gt;"Purchase",0,IF(OR(I521="N",F521="Blocked input (entertainment)"),0,L521))</f>
        <v>298.02</v>
      </c>
      <c r="P521" s="52" t="n">
        <f aca="false">IF(C521&lt;&gt;"Purchase",0,L521-O521)</f>
        <v>0</v>
      </c>
      <c r="Q521" s="53" t="n">
        <f aca="false">J521-B521</f>
        <v>0</v>
      </c>
      <c r="R521" s="51" t="str">
        <f aca="false">IF(I521="N","Invalid / missing TRN",IF(F521="Blocked input (entertainment)","Blocked input",IF(Q521&gt;30,"Late posting (&gt;30d)","")))</f>
        <v/>
      </c>
    </row>
    <row r="522" customFormat="false" ht="15" hidden="false" customHeight="false" outlineLevel="0" collapsed="false">
      <c r="A522" s="47" t="s">
        <v>808</v>
      </c>
      <c r="B522" s="48" t="n">
        <v>45799</v>
      </c>
      <c r="C522" s="47" t="s">
        <v>166</v>
      </c>
      <c r="D522" s="47" t="s">
        <v>206</v>
      </c>
      <c r="E522" s="47" t="s">
        <v>100</v>
      </c>
      <c r="F522" s="47" t="s">
        <v>161</v>
      </c>
      <c r="G522" s="49" t="n">
        <v>38369.45</v>
      </c>
      <c r="H522" s="50" t="n">
        <v>0.05</v>
      </c>
      <c r="I522" s="47" t="s">
        <v>162</v>
      </c>
      <c r="J522" s="48" t="n">
        <v>45799</v>
      </c>
      <c r="K522" s="51" t="str">
        <f aca="false">"Q"&amp;ROUNDUP(MONTH(B522)/3,0)</f>
        <v>Q2</v>
      </c>
      <c r="L522" s="52" t="n">
        <f aca="false">ROUND(G522*H522,2)</f>
        <v>1918.47</v>
      </c>
      <c r="M522" s="52" t="n">
        <f aca="false">IF(AND(C522="Sales",F522="Standard-rated 5%"),L522,0)</f>
        <v>0</v>
      </c>
      <c r="N522" s="52" t="n">
        <f aca="false">IF(F522="Reverse charge (imported services)",L522,0)</f>
        <v>0</v>
      </c>
      <c r="O522" s="52" t="n">
        <f aca="false">IF(C522&lt;&gt;"Purchase",0,IF(OR(I522="N",F522="Blocked input (entertainment)"),0,L522))</f>
        <v>1918.47</v>
      </c>
      <c r="P522" s="52" t="n">
        <f aca="false">IF(C522&lt;&gt;"Purchase",0,L522-O522)</f>
        <v>0</v>
      </c>
      <c r="Q522" s="53" t="n">
        <f aca="false">J522-B522</f>
        <v>0</v>
      </c>
      <c r="R522" s="51" t="str">
        <f aca="false">IF(I522="N","Invalid / missing TRN",IF(F522="Blocked input (entertainment)","Blocked input",IF(Q522&gt;30,"Late posting (&gt;30d)","")))</f>
        <v/>
      </c>
    </row>
    <row r="523" customFormat="false" ht="15" hidden="false" customHeight="false" outlineLevel="0" collapsed="false">
      <c r="A523" s="47" t="s">
        <v>809</v>
      </c>
      <c r="B523" s="48" t="n">
        <v>45799</v>
      </c>
      <c r="C523" s="47" t="s">
        <v>159</v>
      </c>
      <c r="D523" s="47" t="s">
        <v>213</v>
      </c>
      <c r="E523" s="47" t="s">
        <v>100</v>
      </c>
      <c r="F523" s="47" t="s">
        <v>161</v>
      </c>
      <c r="G523" s="49" t="n">
        <v>29936.03</v>
      </c>
      <c r="H523" s="50" t="n">
        <v>0.05</v>
      </c>
      <c r="I523" s="47" t="s">
        <v>162</v>
      </c>
      <c r="J523" s="48" t="n">
        <v>45800</v>
      </c>
      <c r="K523" s="51" t="str">
        <f aca="false">"Q"&amp;ROUNDUP(MONTH(B523)/3,0)</f>
        <v>Q2</v>
      </c>
      <c r="L523" s="52" t="n">
        <f aca="false">ROUND(G523*H523,2)</f>
        <v>1496.8</v>
      </c>
      <c r="M523" s="52" t="n">
        <f aca="false">IF(AND(C523="Sales",F523="Standard-rated 5%"),L523,0)</f>
        <v>1496.8</v>
      </c>
      <c r="N523" s="52" t="n">
        <f aca="false">IF(F523="Reverse charge (imported services)",L523,0)</f>
        <v>0</v>
      </c>
      <c r="O523" s="52" t="n">
        <f aca="false">IF(C523&lt;&gt;"Purchase",0,IF(OR(I523="N",F523="Blocked input (entertainment)"),0,L523))</f>
        <v>0</v>
      </c>
      <c r="P523" s="52" t="n">
        <f aca="false">IF(C523&lt;&gt;"Purchase",0,L523-O523)</f>
        <v>0</v>
      </c>
      <c r="Q523" s="53" t="n">
        <f aca="false">J523-B523</f>
        <v>1</v>
      </c>
      <c r="R523" s="51" t="str">
        <f aca="false">IF(I523="N","Invalid / missing TRN",IF(F523="Blocked input (entertainment)","Blocked input",IF(Q523&gt;30,"Late posting (&gt;30d)","")))</f>
        <v/>
      </c>
    </row>
    <row r="524" customFormat="false" ht="15" hidden="false" customHeight="false" outlineLevel="0" collapsed="false">
      <c r="A524" s="47" t="s">
        <v>810</v>
      </c>
      <c r="B524" s="48" t="n">
        <v>45800</v>
      </c>
      <c r="C524" s="47" t="s">
        <v>166</v>
      </c>
      <c r="D524" s="47" t="s">
        <v>285</v>
      </c>
      <c r="E524" s="47" t="s">
        <v>100</v>
      </c>
      <c r="F524" s="47" t="s">
        <v>161</v>
      </c>
      <c r="G524" s="49" t="n">
        <v>31068.51</v>
      </c>
      <c r="H524" s="50" t="n">
        <v>0.05</v>
      </c>
      <c r="I524" s="47" t="s">
        <v>162</v>
      </c>
      <c r="J524" s="48" t="n">
        <v>45800</v>
      </c>
      <c r="K524" s="51" t="str">
        <f aca="false">"Q"&amp;ROUNDUP(MONTH(B524)/3,0)</f>
        <v>Q2</v>
      </c>
      <c r="L524" s="52" t="n">
        <f aca="false">ROUND(G524*H524,2)</f>
        <v>1553.43</v>
      </c>
      <c r="M524" s="52" t="n">
        <f aca="false">IF(AND(C524="Sales",F524="Standard-rated 5%"),L524,0)</f>
        <v>0</v>
      </c>
      <c r="N524" s="52" t="n">
        <f aca="false">IF(F524="Reverse charge (imported services)",L524,0)</f>
        <v>0</v>
      </c>
      <c r="O524" s="52" t="n">
        <f aca="false">IF(C524&lt;&gt;"Purchase",0,IF(OR(I524="N",F524="Blocked input (entertainment)"),0,L524))</f>
        <v>1553.43</v>
      </c>
      <c r="P524" s="52" t="n">
        <f aca="false">IF(C524&lt;&gt;"Purchase",0,L524-O524)</f>
        <v>0</v>
      </c>
      <c r="Q524" s="53" t="n">
        <f aca="false">J524-B524</f>
        <v>0</v>
      </c>
      <c r="R524" s="51" t="str">
        <f aca="false">IF(I524="N","Invalid / missing TRN",IF(F524="Blocked input (entertainment)","Blocked input",IF(Q524&gt;30,"Late posting (&gt;30d)","")))</f>
        <v/>
      </c>
    </row>
    <row r="525" customFormat="false" ht="15" hidden="false" customHeight="false" outlineLevel="0" collapsed="false">
      <c r="A525" s="47" t="s">
        <v>811</v>
      </c>
      <c r="B525" s="48" t="n">
        <v>45800</v>
      </c>
      <c r="C525" s="47" t="s">
        <v>166</v>
      </c>
      <c r="D525" s="47" t="s">
        <v>408</v>
      </c>
      <c r="E525" s="47" t="s">
        <v>102</v>
      </c>
      <c r="F525" s="47" t="s">
        <v>161</v>
      </c>
      <c r="G525" s="49" t="n">
        <v>70510.55</v>
      </c>
      <c r="H525" s="50" t="n">
        <v>0.05</v>
      </c>
      <c r="I525" s="47" t="s">
        <v>162</v>
      </c>
      <c r="J525" s="48" t="n">
        <v>45800</v>
      </c>
      <c r="K525" s="51" t="str">
        <f aca="false">"Q"&amp;ROUNDUP(MONTH(B525)/3,0)</f>
        <v>Q2</v>
      </c>
      <c r="L525" s="52" t="n">
        <f aca="false">ROUND(G525*H525,2)</f>
        <v>3525.53</v>
      </c>
      <c r="M525" s="52" t="n">
        <f aca="false">IF(AND(C525="Sales",F525="Standard-rated 5%"),L525,0)</f>
        <v>0</v>
      </c>
      <c r="N525" s="52" t="n">
        <f aca="false">IF(F525="Reverse charge (imported services)",L525,0)</f>
        <v>0</v>
      </c>
      <c r="O525" s="52" t="n">
        <f aca="false">IF(C525&lt;&gt;"Purchase",0,IF(OR(I525="N",F525="Blocked input (entertainment)"),0,L525))</f>
        <v>3525.53</v>
      </c>
      <c r="P525" s="52" t="n">
        <f aca="false">IF(C525&lt;&gt;"Purchase",0,L525-O525)</f>
        <v>0</v>
      </c>
      <c r="Q525" s="53" t="n">
        <f aca="false">J525-B525</f>
        <v>0</v>
      </c>
      <c r="R525" s="51" t="str">
        <f aca="false">IF(I525="N","Invalid / missing TRN",IF(F525="Blocked input (entertainment)","Blocked input",IF(Q525&gt;30,"Late posting (&gt;30d)","")))</f>
        <v/>
      </c>
    </row>
    <row r="526" customFormat="false" ht="15" hidden="false" customHeight="false" outlineLevel="0" collapsed="false">
      <c r="A526" s="47" t="s">
        <v>812</v>
      </c>
      <c r="B526" s="48" t="n">
        <v>45800</v>
      </c>
      <c r="C526" s="47" t="s">
        <v>166</v>
      </c>
      <c r="D526" s="47" t="s">
        <v>218</v>
      </c>
      <c r="E526" s="47" t="s">
        <v>100</v>
      </c>
      <c r="F526" s="47" t="s">
        <v>161</v>
      </c>
      <c r="G526" s="49" t="n">
        <v>24110.42</v>
      </c>
      <c r="H526" s="50" t="n">
        <v>0.05</v>
      </c>
      <c r="I526" s="47" t="s">
        <v>162</v>
      </c>
      <c r="J526" s="48" t="n">
        <v>45800</v>
      </c>
      <c r="K526" s="51" t="str">
        <f aca="false">"Q"&amp;ROUNDUP(MONTH(B526)/3,0)</f>
        <v>Q2</v>
      </c>
      <c r="L526" s="52" t="n">
        <f aca="false">ROUND(G526*H526,2)</f>
        <v>1205.52</v>
      </c>
      <c r="M526" s="52" t="n">
        <f aca="false">IF(AND(C526="Sales",F526="Standard-rated 5%"),L526,0)</f>
        <v>0</v>
      </c>
      <c r="N526" s="52" t="n">
        <f aca="false">IF(F526="Reverse charge (imported services)",L526,0)</f>
        <v>0</v>
      </c>
      <c r="O526" s="52" t="n">
        <f aca="false">IF(C526&lt;&gt;"Purchase",0,IF(OR(I526="N",F526="Blocked input (entertainment)"),0,L526))</f>
        <v>1205.52</v>
      </c>
      <c r="P526" s="52" t="n">
        <f aca="false">IF(C526&lt;&gt;"Purchase",0,L526-O526)</f>
        <v>0</v>
      </c>
      <c r="Q526" s="53" t="n">
        <f aca="false">J526-B526</f>
        <v>0</v>
      </c>
      <c r="R526" s="51" t="str">
        <f aca="false">IF(I526="N","Invalid / missing TRN",IF(F526="Blocked input (entertainment)","Blocked input",IF(Q526&gt;30,"Late posting (&gt;30d)","")))</f>
        <v/>
      </c>
    </row>
    <row r="527" customFormat="false" ht="15" hidden="false" customHeight="false" outlineLevel="0" collapsed="false">
      <c r="A527" s="47" t="s">
        <v>813</v>
      </c>
      <c r="B527" s="48" t="n">
        <v>45800</v>
      </c>
      <c r="C527" s="47" t="s">
        <v>166</v>
      </c>
      <c r="D527" s="47" t="s">
        <v>167</v>
      </c>
      <c r="E527" s="47" t="s">
        <v>104</v>
      </c>
      <c r="F527" s="47" t="s">
        <v>173</v>
      </c>
      <c r="G527" s="49" t="n">
        <v>45057.6</v>
      </c>
      <c r="H527" s="50" t="n">
        <v>0.05</v>
      </c>
      <c r="I527" s="47" t="s">
        <v>162</v>
      </c>
      <c r="J527" s="48" t="n">
        <v>45800</v>
      </c>
      <c r="K527" s="51" t="str">
        <f aca="false">"Q"&amp;ROUNDUP(MONTH(B527)/3,0)</f>
        <v>Q2</v>
      </c>
      <c r="L527" s="52" t="n">
        <f aca="false">ROUND(G527*H527,2)</f>
        <v>2252.88</v>
      </c>
      <c r="M527" s="52" t="n">
        <f aca="false">IF(AND(C527="Sales",F527="Standard-rated 5%"),L527,0)</f>
        <v>0</v>
      </c>
      <c r="N527" s="52" t="n">
        <f aca="false">IF(F527="Reverse charge (imported services)",L527,0)</f>
        <v>2252.88</v>
      </c>
      <c r="O527" s="52" t="n">
        <f aca="false">IF(C527&lt;&gt;"Purchase",0,IF(OR(I527="N",F527="Blocked input (entertainment)"),0,L527))</f>
        <v>2252.88</v>
      </c>
      <c r="P527" s="52" t="n">
        <f aca="false">IF(C527&lt;&gt;"Purchase",0,L527-O527)</f>
        <v>0</v>
      </c>
      <c r="Q527" s="53" t="n">
        <f aca="false">J527-B527</f>
        <v>0</v>
      </c>
      <c r="R527" s="51" t="str">
        <f aca="false">IF(I527="N","Invalid / missing TRN",IF(F527="Blocked input (entertainment)","Blocked input",IF(Q527&gt;30,"Late posting (&gt;30d)","")))</f>
        <v/>
      </c>
    </row>
    <row r="528" customFormat="false" ht="15" hidden="false" customHeight="false" outlineLevel="0" collapsed="false">
      <c r="A528" s="47" t="s">
        <v>814</v>
      </c>
      <c r="B528" s="48" t="n">
        <v>45800</v>
      </c>
      <c r="C528" s="47" t="s">
        <v>166</v>
      </c>
      <c r="D528" s="47" t="s">
        <v>272</v>
      </c>
      <c r="E528" s="47" t="s">
        <v>105</v>
      </c>
      <c r="F528" s="47" t="s">
        <v>161</v>
      </c>
      <c r="G528" s="49" t="n">
        <v>14085.26</v>
      </c>
      <c r="H528" s="50" t="n">
        <v>0.05</v>
      </c>
      <c r="I528" s="47" t="s">
        <v>162</v>
      </c>
      <c r="J528" s="48" t="n">
        <v>45800</v>
      </c>
      <c r="K528" s="51" t="str">
        <f aca="false">"Q"&amp;ROUNDUP(MONTH(B528)/3,0)</f>
        <v>Q2</v>
      </c>
      <c r="L528" s="52" t="n">
        <f aca="false">ROUND(G528*H528,2)</f>
        <v>704.26</v>
      </c>
      <c r="M528" s="52" t="n">
        <f aca="false">IF(AND(C528="Sales",F528="Standard-rated 5%"),L528,0)</f>
        <v>0</v>
      </c>
      <c r="N528" s="52" t="n">
        <f aca="false">IF(F528="Reverse charge (imported services)",L528,0)</f>
        <v>0</v>
      </c>
      <c r="O528" s="52" t="n">
        <f aca="false">IF(C528&lt;&gt;"Purchase",0,IF(OR(I528="N",F528="Blocked input (entertainment)"),0,L528))</f>
        <v>704.26</v>
      </c>
      <c r="P528" s="52" t="n">
        <f aca="false">IF(C528&lt;&gt;"Purchase",0,L528-O528)</f>
        <v>0</v>
      </c>
      <c r="Q528" s="53" t="n">
        <f aca="false">J528-B528</f>
        <v>0</v>
      </c>
      <c r="R528" s="51" t="str">
        <f aca="false">IF(I528="N","Invalid / missing TRN",IF(F528="Blocked input (entertainment)","Blocked input",IF(Q528&gt;30,"Late posting (&gt;30d)","")))</f>
        <v/>
      </c>
    </row>
    <row r="529" customFormat="false" ht="15" hidden="false" customHeight="false" outlineLevel="0" collapsed="false">
      <c r="A529" s="47" t="s">
        <v>815</v>
      </c>
      <c r="B529" s="48" t="n">
        <v>45800</v>
      </c>
      <c r="C529" s="47" t="s">
        <v>159</v>
      </c>
      <c r="D529" s="47" t="s">
        <v>373</v>
      </c>
      <c r="E529" s="47" t="s">
        <v>103</v>
      </c>
      <c r="F529" s="47" t="s">
        <v>161</v>
      </c>
      <c r="G529" s="49" t="n">
        <v>72232.44</v>
      </c>
      <c r="H529" s="50" t="n">
        <v>0.05</v>
      </c>
      <c r="I529" s="47" t="s">
        <v>162</v>
      </c>
      <c r="J529" s="48" t="n">
        <v>45805</v>
      </c>
      <c r="K529" s="51" t="str">
        <f aca="false">"Q"&amp;ROUNDUP(MONTH(B529)/3,0)</f>
        <v>Q2</v>
      </c>
      <c r="L529" s="52" t="n">
        <f aca="false">ROUND(G529*H529,2)</f>
        <v>3611.62</v>
      </c>
      <c r="M529" s="52" t="n">
        <f aca="false">IF(AND(C529="Sales",F529="Standard-rated 5%"),L529,0)</f>
        <v>3611.62</v>
      </c>
      <c r="N529" s="52" t="n">
        <f aca="false">IF(F529="Reverse charge (imported services)",L529,0)</f>
        <v>0</v>
      </c>
      <c r="O529" s="52" t="n">
        <f aca="false">IF(C529&lt;&gt;"Purchase",0,IF(OR(I529="N",F529="Blocked input (entertainment)"),0,L529))</f>
        <v>0</v>
      </c>
      <c r="P529" s="52" t="n">
        <f aca="false">IF(C529&lt;&gt;"Purchase",0,L529-O529)</f>
        <v>0</v>
      </c>
      <c r="Q529" s="53" t="n">
        <f aca="false">J529-B529</f>
        <v>5</v>
      </c>
      <c r="R529" s="51" t="str">
        <f aca="false">IF(I529="N","Invalid / missing TRN",IF(F529="Blocked input (entertainment)","Blocked input",IF(Q529&gt;30,"Late posting (&gt;30d)","")))</f>
        <v/>
      </c>
    </row>
    <row r="530" customFormat="false" ht="15" hidden="false" customHeight="false" outlineLevel="0" collapsed="false">
      <c r="A530" s="47" t="s">
        <v>816</v>
      </c>
      <c r="B530" s="48" t="n">
        <v>45801</v>
      </c>
      <c r="C530" s="47" t="s">
        <v>166</v>
      </c>
      <c r="D530" s="47" t="s">
        <v>199</v>
      </c>
      <c r="E530" s="47" t="s">
        <v>103</v>
      </c>
      <c r="F530" s="47" t="s">
        <v>161</v>
      </c>
      <c r="G530" s="49" t="n">
        <v>29175.41</v>
      </c>
      <c r="H530" s="50" t="n">
        <v>0.05</v>
      </c>
      <c r="I530" s="47" t="s">
        <v>162</v>
      </c>
      <c r="J530" s="48" t="n">
        <v>45801</v>
      </c>
      <c r="K530" s="51" t="str">
        <f aca="false">"Q"&amp;ROUNDUP(MONTH(B530)/3,0)</f>
        <v>Q2</v>
      </c>
      <c r="L530" s="52" t="n">
        <f aca="false">ROUND(G530*H530,2)</f>
        <v>1458.77</v>
      </c>
      <c r="M530" s="52" t="n">
        <f aca="false">IF(AND(C530="Sales",F530="Standard-rated 5%"),L530,0)</f>
        <v>0</v>
      </c>
      <c r="N530" s="52" t="n">
        <f aca="false">IF(F530="Reverse charge (imported services)",L530,0)</f>
        <v>0</v>
      </c>
      <c r="O530" s="52" t="n">
        <f aca="false">IF(C530&lt;&gt;"Purchase",0,IF(OR(I530="N",F530="Blocked input (entertainment)"),0,L530))</f>
        <v>1458.77</v>
      </c>
      <c r="P530" s="52" t="n">
        <f aca="false">IF(C530&lt;&gt;"Purchase",0,L530-O530)</f>
        <v>0</v>
      </c>
      <c r="Q530" s="53" t="n">
        <f aca="false">J530-B530</f>
        <v>0</v>
      </c>
      <c r="R530" s="51" t="str">
        <f aca="false">IF(I530="N","Invalid / missing TRN",IF(F530="Blocked input (entertainment)","Blocked input",IF(Q530&gt;30,"Late posting (&gt;30d)","")))</f>
        <v/>
      </c>
    </row>
    <row r="531" customFormat="false" ht="15" hidden="false" customHeight="false" outlineLevel="0" collapsed="false">
      <c r="A531" s="47" t="s">
        <v>817</v>
      </c>
      <c r="B531" s="48" t="n">
        <v>45801</v>
      </c>
      <c r="C531" s="47" t="s">
        <v>166</v>
      </c>
      <c r="D531" s="47" t="s">
        <v>227</v>
      </c>
      <c r="E531" s="47" t="s">
        <v>102</v>
      </c>
      <c r="F531" s="47" t="s">
        <v>161</v>
      </c>
      <c r="G531" s="49" t="n">
        <v>23065.75</v>
      </c>
      <c r="H531" s="50" t="n">
        <v>0.05</v>
      </c>
      <c r="I531" s="47" t="s">
        <v>162</v>
      </c>
      <c r="J531" s="48" t="n">
        <v>45801</v>
      </c>
      <c r="K531" s="51" t="str">
        <f aca="false">"Q"&amp;ROUNDUP(MONTH(B531)/3,0)</f>
        <v>Q2</v>
      </c>
      <c r="L531" s="52" t="n">
        <f aca="false">ROUND(G531*H531,2)</f>
        <v>1153.29</v>
      </c>
      <c r="M531" s="52" t="n">
        <f aca="false">IF(AND(C531="Sales",F531="Standard-rated 5%"),L531,0)</f>
        <v>0</v>
      </c>
      <c r="N531" s="52" t="n">
        <f aca="false">IF(F531="Reverse charge (imported services)",L531,0)</f>
        <v>0</v>
      </c>
      <c r="O531" s="52" t="n">
        <f aca="false">IF(C531&lt;&gt;"Purchase",0,IF(OR(I531="N",F531="Blocked input (entertainment)"),0,L531))</f>
        <v>1153.29</v>
      </c>
      <c r="P531" s="52" t="n">
        <f aca="false">IF(C531&lt;&gt;"Purchase",0,L531-O531)</f>
        <v>0</v>
      </c>
      <c r="Q531" s="53" t="n">
        <f aca="false">J531-B531</f>
        <v>0</v>
      </c>
      <c r="R531" s="51" t="str">
        <f aca="false">IF(I531="N","Invalid / missing TRN",IF(F531="Blocked input (entertainment)","Blocked input",IF(Q531&gt;30,"Late posting (&gt;30d)","")))</f>
        <v/>
      </c>
    </row>
    <row r="532" customFormat="false" ht="15" hidden="false" customHeight="false" outlineLevel="0" collapsed="false">
      <c r="A532" s="47" t="s">
        <v>818</v>
      </c>
      <c r="B532" s="48" t="n">
        <v>45801</v>
      </c>
      <c r="C532" s="47" t="s">
        <v>166</v>
      </c>
      <c r="D532" s="47" t="s">
        <v>649</v>
      </c>
      <c r="E532" s="47" t="s">
        <v>100</v>
      </c>
      <c r="F532" s="47" t="s">
        <v>161</v>
      </c>
      <c r="G532" s="49" t="n">
        <v>12246.26</v>
      </c>
      <c r="H532" s="50" t="n">
        <v>0.05</v>
      </c>
      <c r="I532" s="47" t="s">
        <v>162</v>
      </c>
      <c r="J532" s="48" t="n">
        <v>45801</v>
      </c>
      <c r="K532" s="51" t="str">
        <f aca="false">"Q"&amp;ROUNDUP(MONTH(B532)/3,0)</f>
        <v>Q2</v>
      </c>
      <c r="L532" s="52" t="n">
        <f aca="false">ROUND(G532*H532,2)</f>
        <v>612.31</v>
      </c>
      <c r="M532" s="52" t="n">
        <f aca="false">IF(AND(C532="Sales",F532="Standard-rated 5%"),L532,0)</f>
        <v>0</v>
      </c>
      <c r="N532" s="52" t="n">
        <f aca="false">IF(F532="Reverse charge (imported services)",L532,0)</f>
        <v>0</v>
      </c>
      <c r="O532" s="52" t="n">
        <f aca="false">IF(C532&lt;&gt;"Purchase",0,IF(OR(I532="N",F532="Blocked input (entertainment)"),0,L532))</f>
        <v>612.31</v>
      </c>
      <c r="P532" s="52" t="n">
        <f aca="false">IF(C532&lt;&gt;"Purchase",0,L532-O532)</f>
        <v>0</v>
      </c>
      <c r="Q532" s="53" t="n">
        <f aca="false">J532-B532</f>
        <v>0</v>
      </c>
      <c r="R532" s="51" t="str">
        <f aca="false">IF(I532="N","Invalid / missing TRN",IF(F532="Blocked input (entertainment)","Blocked input",IF(Q532&gt;30,"Late posting (&gt;30d)","")))</f>
        <v/>
      </c>
    </row>
    <row r="533" customFormat="false" ht="15" hidden="false" customHeight="false" outlineLevel="0" collapsed="false">
      <c r="A533" s="47" t="s">
        <v>819</v>
      </c>
      <c r="B533" s="48" t="n">
        <v>45801</v>
      </c>
      <c r="C533" s="47" t="s">
        <v>166</v>
      </c>
      <c r="D533" s="47" t="s">
        <v>206</v>
      </c>
      <c r="E533" s="47" t="s">
        <v>100</v>
      </c>
      <c r="F533" s="47" t="s">
        <v>161</v>
      </c>
      <c r="G533" s="49" t="n">
        <v>30105.14</v>
      </c>
      <c r="H533" s="50" t="n">
        <v>0.05</v>
      </c>
      <c r="I533" s="47" t="s">
        <v>162</v>
      </c>
      <c r="J533" s="48" t="n">
        <v>45801</v>
      </c>
      <c r="K533" s="51" t="str">
        <f aca="false">"Q"&amp;ROUNDUP(MONTH(B533)/3,0)</f>
        <v>Q2</v>
      </c>
      <c r="L533" s="52" t="n">
        <f aca="false">ROUND(G533*H533,2)</f>
        <v>1505.26</v>
      </c>
      <c r="M533" s="52" t="n">
        <f aca="false">IF(AND(C533="Sales",F533="Standard-rated 5%"),L533,0)</f>
        <v>0</v>
      </c>
      <c r="N533" s="52" t="n">
        <f aca="false">IF(F533="Reverse charge (imported services)",L533,0)</f>
        <v>0</v>
      </c>
      <c r="O533" s="52" t="n">
        <f aca="false">IF(C533&lt;&gt;"Purchase",0,IF(OR(I533="N",F533="Blocked input (entertainment)"),0,L533))</f>
        <v>1505.26</v>
      </c>
      <c r="P533" s="52" t="n">
        <f aca="false">IF(C533&lt;&gt;"Purchase",0,L533-O533)</f>
        <v>0</v>
      </c>
      <c r="Q533" s="53" t="n">
        <f aca="false">J533-B533</f>
        <v>0</v>
      </c>
      <c r="R533" s="51" t="str">
        <f aca="false">IF(I533="N","Invalid / missing TRN",IF(F533="Blocked input (entertainment)","Blocked input",IF(Q533&gt;30,"Late posting (&gt;30d)","")))</f>
        <v/>
      </c>
    </row>
    <row r="534" customFormat="false" ht="15" hidden="false" customHeight="false" outlineLevel="0" collapsed="false">
      <c r="A534" s="47" t="s">
        <v>820</v>
      </c>
      <c r="B534" s="48" t="n">
        <v>45802</v>
      </c>
      <c r="C534" s="47" t="s">
        <v>166</v>
      </c>
      <c r="D534" s="47" t="s">
        <v>208</v>
      </c>
      <c r="E534" s="47" t="s">
        <v>100</v>
      </c>
      <c r="F534" s="47" t="s">
        <v>161</v>
      </c>
      <c r="G534" s="49" t="n">
        <v>14011.71</v>
      </c>
      <c r="H534" s="50" t="n">
        <v>0.05</v>
      </c>
      <c r="I534" s="47" t="s">
        <v>162</v>
      </c>
      <c r="J534" s="48" t="n">
        <v>45807</v>
      </c>
      <c r="K534" s="51" t="str">
        <f aca="false">"Q"&amp;ROUNDUP(MONTH(B534)/3,0)</f>
        <v>Q2</v>
      </c>
      <c r="L534" s="52" t="n">
        <f aca="false">ROUND(G534*H534,2)</f>
        <v>700.59</v>
      </c>
      <c r="M534" s="52" t="n">
        <f aca="false">IF(AND(C534="Sales",F534="Standard-rated 5%"),L534,0)</f>
        <v>0</v>
      </c>
      <c r="N534" s="52" t="n">
        <f aca="false">IF(F534="Reverse charge (imported services)",L534,0)</f>
        <v>0</v>
      </c>
      <c r="O534" s="52" t="n">
        <f aca="false">IF(C534&lt;&gt;"Purchase",0,IF(OR(I534="N",F534="Blocked input (entertainment)"),0,L534))</f>
        <v>700.59</v>
      </c>
      <c r="P534" s="52" t="n">
        <f aca="false">IF(C534&lt;&gt;"Purchase",0,L534-O534)</f>
        <v>0</v>
      </c>
      <c r="Q534" s="53" t="n">
        <f aca="false">J534-B534</f>
        <v>5</v>
      </c>
      <c r="R534" s="51" t="str">
        <f aca="false">IF(I534="N","Invalid / missing TRN",IF(F534="Blocked input (entertainment)","Blocked input",IF(Q534&gt;30,"Late posting (&gt;30d)","")))</f>
        <v/>
      </c>
    </row>
    <row r="535" customFormat="false" ht="15" hidden="false" customHeight="false" outlineLevel="0" collapsed="false">
      <c r="A535" s="47" t="s">
        <v>821</v>
      </c>
      <c r="B535" s="48" t="n">
        <v>45802</v>
      </c>
      <c r="C535" s="47" t="s">
        <v>166</v>
      </c>
      <c r="D535" s="47" t="s">
        <v>188</v>
      </c>
      <c r="E535" s="47" t="s">
        <v>100</v>
      </c>
      <c r="F535" s="47" t="s">
        <v>161</v>
      </c>
      <c r="G535" s="49" t="n">
        <v>17010.9</v>
      </c>
      <c r="H535" s="50" t="n">
        <v>0.05</v>
      </c>
      <c r="I535" s="47" t="s">
        <v>162</v>
      </c>
      <c r="J535" s="48" t="n">
        <v>45802</v>
      </c>
      <c r="K535" s="51" t="str">
        <f aca="false">"Q"&amp;ROUNDUP(MONTH(B535)/3,0)</f>
        <v>Q2</v>
      </c>
      <c r="L535" s="52" t="n">
        <f aca="false">ROUND(G535*H535,2)</f>
        <v>850.55</v>
      </c>
      <c r="M535" s="52" t="n">
        <f aca="false">IF(AND(C535="Sales",F535="Standard-rated 5%"),L535,0)</f>
        <v>0</v>
      </c>
      <c r="N535" s="52" t="n">
        <f aca="false">IF(F535="Reverse charge (imported services)",L535,0)</f>
        <v>0</v>
      </c>
      <c r="O535" s="52" t="n">
        <f aca="false">IF(C535&lt;&gt;"Purchase",0,IF(OR(I535="N",F535="Blocked input (entertainment)"),0,L535))</f>
        <v>850.55</v>
      </c>
      <c r="P535" s="52" t="n">
        <f aca="false">IF(C535&lt;&gt;"Purchase",0,L535-O535)</f>
        <v>0</v>
      </c>
      <c r="Q535" s="53" t="n">
        <f aca="false">J535-B535</f>
        <v>0</v>
      </c>
      <c r="R535" s="51" t="str">
        <f aca="false">IF(I535="N","Invalid / missing TRN",IF(F535="Blocked input (entertainment)","Blocked input",IF(Q535&gt;30,"Late posting (&gt;30d)","")))</f>
        <v/>
      </c>
    </row>
    <row r="536" customFormat="false" ht="15" hidden="false" customHeight="false" outlineLevel="0" collapsed="false">
      <c r="A536" s="47" t="s">
        <v>822</v>
      </c>
      <c r="B536" s="48" t="n">
        <v>45802</v>
      </c>
      <c r="C536" s="47" t="s">
        <v>166</v>
      </c>
      <c r="D536" s="47" t="s">
        <v>172</v>
      </c>
      <c r="E536" s="47" t="s">
        <v>102</v>
      </c>
      <c r="F536" s="47" t="s">
        <v>161</v>
      </c>
      <c r="G536" s="49" t="n">
        <v>51535.38</v>
      </c>
      <c r="H536" s="50" t="n">
        <v>0.05</v>
      </c>
      <c r="I536" s="47" t="s">
        <v>162</v>
      </c>
      <c r="J536" s="48" t="n">
        <v>45802</v>
      </c>
      <c r="K536" s="51" t="str">
        <f aca="false">"Q"&amp;ROUNDUP(MONTH(B536)/3,0)</f>
        <v>Q2</v>
      </c>
      <c r="L536" s="52" t="n">
        <f aca="false">ROUND(G536*H536,2)</f>
        <v>2576.77</v>
      </c>
      <c r="M536" s="52" t="n">
        <f aca="false">IF(AND(C536="Sales",F536="Standard-rated 5%"),L536,0)</f>
        <v>0</v>
      </c>
      <c r="N536" s="52" t="n">
        <f aca="false">IF(F536="Reverse charge (imported services)",L536,0)</f>
        <v>0</v>
      </c>
      <c r="O536" s="52" t="n">
        <f aca="false">IF(C536&lt;&gt;"Purchase",0,IF(OR(I536="N",F536="Blocked input (entertainment)"),0,L536))</f>
        <v>2576.77</v>
      </c>
      <c r="P536" s="52" t="n">
        <f aca="false">IF(C536&lt;&gt;"Purchase",0,L536-O536)</f>
        <v>0</v>
      </c>
      <c r="Q536" s="53" t="n">
        <f aca="false">J536-B536</f>
        <v>0</v>
      </c>
      <c r="R536" s="51" t="str">
        <f aca="false">IF(I536="N","Invalid / missing TRN",IF(F536="Blocked input (entertainment)","Blocked input",IF(Q536&gt;30,"Late posting (&gt;30d)","")))</f>
        <v/>
      </c>
    </row>
    <row r="537" customFormat="false" ht="15" hidden="false" customHeight="false" outlineLevel="0" collapsed="false">
      <c r="A537" s="47" t="s">
        <v>823</v>
      </c>
      <c r="B537" s="48" t="n">
        <v>45802</v>
      </c>
      <c r="C537" s="47" t="s">
        <v>166</v>
      </c>
      <c r="D537" s="47" t="s">
        <v>528</v>
      </c>
      <c r="E537" s="47" t="s">
        <v>100</v>
      </c>
      <c r="F537" s="47" t="s">
        <v>161</v>
      </c>
      <c r="G537" s="49" t="n">
        <v>47405.28</v>
      </c>
      <c r="H537" s="50" t="n">
        <v>0.05</v>
      </c>
      <c r="I537" s="47" t="s">
        <v>162</v>
      </c>
      <c r="J537" s="48" t="n">
        <v>45802</v>
      </c>
      <c r="K537" s="51" t="str">
        <f aca="false">"Q"&amp;ROUNDUP(MONTH(B537)/3,0)</f>
        <v>Q2</v>
      </c>
      <c r="L537" s="52" t="n">
        <f aca="false">ROUND(G537*H537,2)</f>
        <v>2370.26</v>
      </c>
      <c r="M537" s="52" t="n">
        <f aca="false">IF(AND(C537="Sales",F537="Standard-rated 5%"),L537,0)</f>
        <v>0</v>
      </c>
      <c r="N537" s="52" t="n">
        <f aca="false">IF(F537="Reverse charge (imported services)",L537,0)</f>
        <v>0</v>
      </c>
      <c r="O537" s="52" t="n">
        <f aca="false">IF(C537&lt;&gt;"Purchase",0,IF(OR(I537="N",F537="Blocked input (entertainment)"),0,L537))</f>
        <v>2370.26</v>
      </c>
      <c r="P537" s="52" t="n">
        <f aca="false">IF(C537&lt;&gt;"Purchase",0,L537-O537)</f>
        <v>0</v>
      </c>
      <c r="Q537" s="53" t="n">
        <f aca="false">J537-B537</f>
        <v>0</v>
      </c>
      <c r="R537" s="51" t="str">
        <f aca="false">IF(I537="N","Invalid / missing TRN",IF(F537="Blocked input (entertainment)","Blocked input",IF(Q537&gt;30,"Late posting (&gt;30d)","")))</f>
        <v/>
      </c>
    </row>
    <row r="538" customFormat="false" ht="15" hidden="false" customHeight="false" outlineLevel="0" collapsed="false">
      <c r="A538" s="47" t="s">
        <v>824</v>
      </c>
      <c r="B538" s="48" t="n">
        <v>45802</v>
      </c>
      <c r="C538" s="47" t="s">
        <v>166</v>
      </c>
      <c r="D538" s="47" t="s">
        <v>285</v>
      </c>
      <c r="E538" s="47" t="s">
        <v>101</v>
      </c>
      <c r="F538" s="47" t="s">
        <v>161</v>
      </c>
      <c r="G538" s="49" t="n">
        <v>6169.68</v>
      </c>
      <c r="H538" s="50" t="n">
        <v>0.05</v>
      </c>
      <c r="I538" s="47" t="s">
        <v>162</v>
      </c>
      <c r="J538" s="48" t="n">
        <v>45842</v>
      </c>
      <c r="K538" s="51" t="str">
        <f aca="false">"Q"&amp;ROUNDUP(MONTH(B538)/3,0)</f>
        <v>Q2</v>
      </c>
      <c r="L538" s="52" t="n">
        <f aca="false">ROUND(G538*H538,2)</f>
        <v>308.48</v>
      </c>
      <c r="M538" s="52" t="n">
        <f aca="false">IF(AND(C538="Sales",F538="Standard-rated 5%"),L538,0)</f>
        <v>0</v>
      </c>
      <c r="N538" s="52" t="n">
        <f aca="false">IF(F538="Reverse charge (imported services)",L538,0)</f>
        <v>0</v>
      </c>
      <c r="O538" s="52" t="n">
        <f aca="false">IF(C538&lt;&gt;"Purchase",0,IF(OR(I538="N",F538="Blocked input (entertainment)"),0,L538))</f>
        <v>308.48</v>
      </c>
      <c r="P538" s="52" t="n">
        <f aca="false">IF(C538&lt;&gt;"Purchase",0,L538-O538)</f>
        <v>0</v>
      </c>
      <c r="Q538" s="53" t="n">
        <f aca="false">J538-B538</f>
        <v>40</v>
      </c>
      <c r="R538" s="51" t="str">
        <f aca="false">IF(I538="N","Invalid / missing TRN",IF(F538="Blocked input (entertainment)","Blocked input",IF(Q538&gt;30,"Late posting (&gt;30d)","")))</f>
        <v>Late posting (&gt;30d)</v>
      </c>
    </row>
    <row r="539" customFormat="false" ht="15" hidden="false" customHeight="false" outlineLevel="0" collapsed="false">
      <c r="A539" s="47" t="s">
        <v>825</v>
      </c>
      <c r="B539" s="48" t="n">
        <v>45802</v>
      </c>
      <c r="C539" s="47" t="s">
        <v>166</v>
      </c>
      <c r="D539" s="47" t="s">
        <v>312</v>
      </c>
      <c r="E539" s="47" t="s">
        <v>100</v>
      </c>
      <c r="F539" s="47" t="s">
        <v>161</v>
      </c>
      <c r="G539" s="49" t="n">
        <v>16225.65</v>
      </c>
      <c r="H539" s="50" t="n">
        <v>0.05</v>
      </c>
      <c r="I539" s="47" t="s">
        <v>162</v>
      </c>
      <c r="J539" s="48" t="n">
        <v>45842</v>
      </c>
      <c r="K539" s="51" t="str">
        <f aca="false">"Q"&amp;ROUNDUP(MONTH(B539)/3,0)</f>
        <v>Q2</v>
      </c>
      <c r="L539" s="52" t="n">
        <f aca="false">ROUND(G539*H539,2)</f>
        <v>811.28</v>
      </c>
      <c r="M539" s="52" t="n">
        <f aca="false">IF(AND(C539="Sales",F539="Standard-rated 5%"),L539,0)</f>
        <v>0</v>
      </c>
      <c r="N539" s="52" t="n">
        <f aca="false">IF(F539="Reverse charge (imported services)",L539,0)</f>
        <v>0</v>
      </c>
      <c r="O539" s="52" t="n">
        <f aca="false">IF(C539&lt;&gt;"Purchase",0,IF(OR(I539="N",F539="Blocked input (entertainment)"),0,L539))</f>
        <v>811.28</v>
      </c>
      <c r="P539" s="52" t="n">
        <f aca="false">IF(C539&lt;&gt;"Purchase",0,L539-O539)</f>
        <v>0</v>
      </c>
      <c r="Q539" s="53" t="n">
        <f aca="false">J539-B539</f>
        <v>40</v>
      </c>
      <c r="R539" s="51" t="str">
        <f aca="false">IF(I539="N","Invalid / missing TRN",IF(F539="Blocked input (entertainment)","Blocked input",IF(Q539&gt;30,"Late posting (&gt;30d)","")))</f>
        <v>Late posting (&gt;30d)</v>
      </c>
    </row>
    <row r="540" customFormat="false" ht="15" hidden="false" customHeight="false" outlineLevel="0" collapsed="false">
      <c r="A540" s="47" t="s">
        <v>826</v>
      </c>
      <c r="B540" s="48" t="n">
        <v>45802</v>
      </c>
      <c r="C540" s="47" t="s">
        <v>159</v>
      </c>
      <c r="D540" s="47" t="s">
        <v>401</v>
      </c>
      <c r="E540" s="47" t="s">
        <v>100</v>
      </c>
      <c r="F540" s="47" t="s">
        <v>161</v>
      </c>
      <c r="G540" s="49" t="n">
        <v>234200.96</v>
      </c>
      <c r="H540" s="50" t="n">
        <v>0.05</v>
      </c>
      <c r="I540" s="47" t="s">
        <v>162</v>
      </c>
      <c r="J540" s="48" t="n">
        <v>45807</v>
      </c>
      <c r="K540" s="51" t="str">
        <f aca="false">"Q"&amp;ROUNDUP(MONTH(B540)/3,0)</f>
        <v>Q2</v>
      </c>
      <c r="L540" s="52" t="n">
        <f aca="false">ROUND(G540*H540,2)</f>
        <v>11710.05</v>
      </c>
      <c r="M540" s="52" t="n">
        <f aca="false">IF(AND(C540="Sales",F540="Standard-rated 5%"),L540,0)</f>
        <v>11710.05</v>
      </c>
      <c r="N540" s="52" t="n">
        <f aca="false">IF(F540="Reverse charge (imported services)",L540,0)</f>
        <v>0</v>
      </c>
      <c r="O540" s="52" t="n">
        <f aca="false">IF(C540&lt;&gt;"Purchase",0,IF(OR(I540="N",F540="Blocked input (entertainment)"),0,L540))</f>
        <v>0</v>
      </c>
      <c r="P540" s="52" t="n">
        <f aca="false">IF(C540&lt;&gt;"Purchase",0,L540-O540)</f>
        <v>0</v>
      </c>
      <c r="Q540" s="53" t="n">
        <f aca="false">J540-B540</f>
        <v>5</v>
      </c>
      <c r="R540" s="51" t="str">
        <f aca="false">IF(I540="N","Invalid / missing TRN",IF(F540="Blocked input (entertainment)","Blocked input",IF(Q540&gt;30,"Late posting (&gt;30d)","")))</f>
        <v/>
      </c>
    </row>
    <row r="541" customFormat="false" ht="15" hidden="false" customHeight="false" outlineLevel="0" collapsed="false">
      <c r="A541" s="47" t="s">
        <v>827</v>
      </c>
      <c r="B541" s="48" t="n">
        <v>45803</v>
      </c>
      <c r="C541" s="47" t="s">
        <v>166</v>
      </c>
      <c r="D541" s="47" t="s">
        <v>462</v>
      </c>
      <c r="E541" s="47" t="s">
        <v>100</v>
      </c>
      <c r="F541" s="47" t="s">
        <v>161</v>
      </c>
      <c r="G541" s="49" t="n">
        <v>15184.86</v>
      </c>
      <c r="H541" s="50" t="n">
        <v>0.05</v>
      </c>
      <c r="I541" s="47" t="s">
        <v>162</v>
      </c>
      <c r="J541" s="48" t="n">
        <v>45803</v>
      </c>
      <c r="K541" s="51" t="str">
        <f aca="false">"Q"&amp;ROUNDUP(MONTH(B541)/3,0)</f>
        <v>Q2</v>
      </c>
      <c r="L541" s="52" t="n">
        <f aca="false">ROUND(G541*H541,2)</f>
        <v>759.24</v>
      </c>
      <c r="M541" s="52" t="n">
        <f aca="false">IF(AND(C541="Sales",F541="Standard-rated 5%"),L541,0)</f>
        <v>0</v>
      </c>
      <c r="N541" s="52" t="n">
        <f aca="false">IF(F541="Reverse charge (imported services)",L541,0)</f>
        <v>0</v>
      </c>
      <c r="O541" s="52" t="n">
        <f aca="false">IF(C541&lt;&gt;"Purchase",0,IF(OR(I541="N",F541="Blocked input (entertainment)"),0,L541))</f>
        <v>759.24</v>
      </c>
      <c r="P541" s="52" t="n">
        <f aca="false">IF(C541&lt;&gt;"Purchase",0,L541-O541)</f>
        <v>0</v>
      </c>
      <c r="Q541" s="53" t="n">
        <f aca="false">J541-B541</f>
        <v>0</v>
      </c>
      <c r="R541" s="51" t="str">
        <f aca="false">IF(I541="N","Invalid / missing TRN",IF(F541="Blocked input (entertainment)","Blocked input",IF(Q541&gt;30,"Late posting (&gt;30d)","")))</f>
        <v/>
      </c>
    </row>
    <row r="542" customFormat="false" ht="15" hidden="false" customHeight="false" outlineLevel="0" collapsed="false">
      <c r="A542" s="47" t="s">
        <v>828</v>
      </c>
      <c r="B542" s="48" t="n">
        <v>45803</v>
      </c>
      <c r="C542" s="47" t="s">
        <v>159</v>
      </c>
      <c r="D542" s="47" t="s">
        <v>784</v>
      </c>
      <c r="E542" s="47" t="s">
        <v>100</v>
      </c>
      <c r="F542" s="47" t="s">
        <v>161</v>
      </c>
      <c r="G542" s="49" t="n">
        <v>18837.41</v>
      </c>
      <c r="H542" s="50" t="n">
        <v>0.05</v>
      </c>
      <c r="I542" s="47" t="s">
        <v>162</v>
      </c>
      <c r="J542" s="48" t="n">
        <v>45803</v>
      </c>
      <c r="K542" s="51" t="str">
        <f aca="false">"Q"&amp;ROUNDUP(MONTH(B542)/3,0)</f>
        <v>Q2</v>
      </c>
      <c r="L542" s="52" t="n">
        <f aca="false">ROUND(G542*H542,2)</f>
        <v>941.87</v>
      </c>
      <c r="M542" s="52" t="n">
        <f aca="false">IF(AND(C542="Sales",F542="Standard-rated 5%"),L542,0)</f>
        <v>941.87</v>
      </c>
      <c r="N542" s="52" t="n">
        <f aca="false">IF(F542="Reverse charge (imported services)",L542,0)</f>
        <v>0</v>
      </c>
      <c r="O542" s="52" t="n">
        <f aca="false">IF(C542&lt;&gt;"Purchase",0,IF(OR(I542="N",F542="Blocked input (entertainment)"),0,L542))</f>
        <v>0</v>
      </c>
      <c r="P542" s="52" t="n">
        <f aca="false">IF(C542&lt;&gt;"Purchase",0,L542-O542)</f>
        <v>0</v>
      </c>
      <c r="Q542" s="53" t="n">
        <f aca="false">J542-B542</f>
        <v>0</v>
      </c>
      <c r="R542" s="51" t="str">
        <f aca="false">IF(I542="N","Invalid / missing TRN",IF(F542="Blocked input (entertainment)","Blocked input",IF(Q542&gt;30,"Late posting (&gt;30d)","")))</f>
        <v/>
      </c>
    </row>
    <row r="543" customFormat="false" ht="15" hidden="false" customHeight="false" outlineLevel="0" collapsed="false">
      <c r="A543" s="47" t="s">
        <v>829</v>
      </c>
      <c r="B543" s="48" t="n">
        <v>45804</v>
      </c>
      <c r="C543" s="47" t="s">
        <v>166</v>
      </c>
      <c r="D543" s="47" t="s">
        <v>172</v>
      </c>
      <c r="E543" s="47" t="s">
        <v>104</v>
      </c>
      <c r="F543" s="47" t="s">
        <v>161</v>
      </c>
      <c r="G543" s="49" t="n">
        <v>7737.4</v>
      </c>
      <c r="H543" s="50" t="n">
        <v>0.05</v>
      </c>
      <c r="I543" s="47" t="s">
        <v>162</v>
      </c>
      <c r="J543" s="48" t="n">
        <v>45804</v>
      </c>
      <c r="K543" s="51" t="str">
        <f aca="false">"Q"&amp;ROUNDUP(MONTH(B543)/3,0)</f>
        <v>Q2</v>
      </c>
      <c r="L543" s="52" t="n">
        <f aca="false">ROUND(G543*H543,2)</f>
        <v>386.87</v>
      </c>
      <c r="M543" s="52" t="n">
        <f aca="false">IF(AND(C543="Sales",F543="Standard-rated 5%"),L543,0)</f>
        <v>0</v>
      </c>
      <c r="N543" s="52" t="n">
        <f aca="false">IF(F543="Reverse charge (imported services)",L543,0)</f>
        <v>0</v>
      </c>
      <c r="O543" s="52" t="n">
        <f aca="false">IF(C543&lt;&gt;"Purchase",0,IF(OR(I543="N",F543="Blocked input (entertainment)"),0,L543))</f>
        <v>386.87</v>
      </c>
      <c r="P543" s="52" t="n">
        <f aca="false">IF(C543&lt;&gt;"Purchase",0,L543-O543)</f>
        <v>0</v>
      </c>
      <c r="Q543" s="53" t="n">
        <f aca="false">J543-B543</f>
        <v>0</v>
      </c>
      <c r="R543" s="51" t="str">
        <f aca="false">IF(I543="N","Invalid / missing TRN",IF(F543="Blocked input (entertainment)","Blocked input",IF(Q543&gt;30,"Late posting (&gt;30d)","")))</f>
        <v/>
      </c>
    </row>
    <row r="544" customFormat="false" ht="15" hidden="false" customHeight="false" outlineLevel="0" collapsed="false">
      <c r="A544" s="47" t="s">
        <v>830</v>
      </c>
      <c r="B544" s="48" t="n">
        <v>45804</v>
      </c>
      <c r="C544" s="47" t="s">
        <v>159</v>
      </c>
      <c r="D544" s="47" t="s">
        <v>300</v>
      </c>
      <c r="E544" s="47" t="s">
        <v>101</v>
      </c>
      <c r="F544" s="47" t="s">
        <v>278</v>
      </c>
      <c r="G544" s="49" t="n">
        <v>25325.86</v>
      </c>
      <c r="H544" s="50" t="n">
        <v>0</v>
      </c>
      <c r="I544" s="47" t="s">
        <v>162</v>
      </c>
      <c r="J544" s="48" t="n">
        <v>45804</v>
      </c>
      <c r="K544" s="51" t="str">
        <f aca="false">"Q"&amp;ROUNDUP(MONTH(B544)/3,0)</f>
        <v>Q2</v>
      </c>
      <c r="L544" s="52" t="n">
        <f aca="false">ROUND(G544*H544,2)</f>
        <v>0</v>
      </c>
      <c r="M544" s="52" t="n">
        <f aca="false">IF(AND(C544="Sales",F544="Standard-rated 5%"),L544,0)</f>
        <v>0</v>
      </c>
      <c r="N544" s="52" t="n">
        <f aca="false">IF(F544="Reverse charge (imported services)",L544,0)</f>
        <v>0</v>
      </c>
      <c r="O544" s="52" t="n">
        <f aca="false">IF(C544&lt;&gt;"Purchase",0,IF(OR(I544="N",F544="Blocked input (entertainment)"),0,L544))</f>
        <v>0</v>
      </c>
      <c r="P544" s="52" t="n">
        <f aca="false">IF(C544&lt;&gt;"Purchase",0,L544-O544)</f>
        <v>0</v>
      </c>
      <c r="Q544" s="53" t="n">
        <f aca="false">J544-B544</f>
        <v>0</v>
      </c>
      <c r="R544" s="51" t="str">
        <f aca="false">IF(I544="N","Invalid / missing TRN",IF(F544="Blocked input (entertainment)","Blocked input",IF(Q544&gt;30,"Late posting (&gt;30d)","")))</f>
        <v/>
      </c>
    </row>
    <row r="545" customFormat="false" ht="15" hidden="false" customHeight="false" outlineLevel="0" collapsed="false">
      <c r="A545" s="47" t="s">
        <v>831</v>
      </c>
      <c r="B545" s="48" t="n">
        <v>45804</v>
      </c>
      <c r="C545" s="47" t="s">
        <v>159</v>
      </c>
      <c r="D545" s="47" t="s">
        <v>405</v>
      </c>
      <c r="E545" s="47" t="s">
        <v>100</v>
      </c>
      <c r="F545" s="47" t="s">
        <v>161</v>
      </c>
      <c r="G545" s="49" t="n">
        <v>40787.36</v>
      </c>
      <c r="H545" s="50" t="n">
        <v>0.05</v>
      </c>
      <c r="I545" s="47" t="s">
        <v>162</v>
      </c>
      <c r="J545" s="48" t="n">
        <v>45804</v>
      </c>
      <c r="K545" s="51" t="str">
        <f aca="false">"Q"&amp;ROUNDUP(MONTH(B545)/3,0)</f>
        <v>Q2</v>
      </c>
      <c r="L545" s="52" t="n">
        <f aca="false">ROUND(G545*H545,2)</f>
        <v>2039.37</v>
      </c>
      <c r="M545" s="52" t="n">
        <f aca="false">IF(AND(C545="Sales",F545="Standard-rated 5%"),L545,0)</f>
        <v>2039.37</v>
      </c>
      <c r="N545" s="52" t="n">
        <f aca="false">IF(F545="Reverse charge (imported services)",L545,0)</f>
        <v>0</v>
      </c>
      <c r="O545" s="52" t="n">
        <f aca="false">IF(C545&lt;&gt;"Purchase",0,IF(OR(I545="N",F545="Blocked input (entertainment)"),0,L545))</f>
        <v>0</v>
      </c>
      <c r="P545" s="52" t="n">
        <f aca="false">IF(C545&lt;&gt;"Purchase",0,L545-O545)</f>
        <v>0</v>
      </c>
      <c r="Q545" s="53" t="n">
        <f aca="false">J545-B545</f>
        <v>0</v>
      </c>
      <c r="R545" s="51" t="str">
        <f aca="false">IF(I545="N","Invalid / missing TRN",IF(F545="Blocked input (entertainment)","Blocked input",IF(Q545&gt;30,"Late posting (&gt;30d)","")))</f>
        <v/>
      </c>
    </row>
    <row r="546" customFormat="false" ht="15" hidden="false" customHeight="false" outlineLevel="0" collapsed="false">
      <c r="A546" s="47" t="s">
        <v>832</v>
      </c>
      <c r="B546" s="48" t="n">
        <v>45804</v>
      </c>
      <c r="C546" s="47" t="s">
        <v>159</v>
      </c>
      <c r="D546" s="47" t="s">
        <v>283</v>
      </c>
      <c r="E546" s="47" t="s">
        <v>101</v>
      </c>
      <c r="F546" s="47" t="s">
        <v>161</v>
      </c>
      <c r="G546" s="49" t="n">
        <v>87346.84</v>
      </c>
      <c r="H546" s="50" t="n">
        <v>0.05</v>
      </c>
      <c r="I546" s="47" t="s">
        <v>162</v>
      </c>
      <c r="J546" s="48" t="n">
        <v>45804</v>
      </c>
      <c r="K546" s="51" t="str">
        <f aca="false">"Q"&amp;ROUNDUP(MONTH(B546)/3,0)</f>
        <v>Q2</v>
      </c>
      <c r="L546" s="52" t="n">
        <f aca="false">ROUND(G546*H546,2)</f>
        <v>4367.34</v>
      </c>
      <c r="M546" s="52" t="n">
        <f aca="false">IF(AND(C546="Sales",F546="Standard-rated 5%"),L546,0)</f>
        <v>4367.34</v>
      </c>
      <c r="N546" s="52" t="n">
        <f aca="false">IF(F546="Reverse charge (imported services)",L546,0)</f>
        <v>0</v>
      </c>
      <c r="O546" s="52" t="n">
        <f aca="false">IF(C546&lt;&gt;"Purchase",0,IF(OR(I546="N",F546="Blocked input (entertainment)"),0,L546))</f>
        <v>0</v>
      </c>
      <c r="P546" s="52" t="n">
        <f aca="false">IF(C546&lt;&gt;"Purchase",0,L546-O546)</f>
        <v>0</v>
      </c>
      <c r="Q546" s="53" t="n">
        <f aca="false">J546-B546</f>
        <v>0</v>
      </c>
      <c r="R546" s="51" t="str">
        <f aca="false">IF(I546="N","Invalid / missing TRN",IF(F546="Blocked input (entertainment)","Blocked input",IF(Q546&gt;30,"Late posting (&gt;30d)","")))</f>
        <v/>
      </c>
    </row>
    <row r="547" customFormat="false" ht="15" hidden="false" customHeight="false" outlineLevel="0" collapsed="false">
      <c r="A547" s="47" t="s">
        <v>833</v>
      </c>
      <c r="B547" s="48" t="n">
        <v>45805</v>
      </c>
      <c r="C547" s="47" t="s">
        <v>166</v>
      </c>
      <c r="D547" s="47" t="s">
        <v>285</v>
      </c>
      <c r="E547" s="47" t="s">
        <v>100</v>
      </c>
      <c r="F547" s="47" t="s">
        <v>161</v>
      </c>
      <c r="G547" s="49" t="n">
        <v>32170.95</v>
      </c>
      <c r="H547" s="50" t="n">
        <v>0.05</v>
      </c>
      <c r="I547" s="47" t="s">
        <v>162</v>
      </c>
      <c r="J547" s="48" t="n">
        <v>45805</v>
      </c>
      <c r="K547" s="51" t="str">
        <f aca="false">"Q"&amp;ROUNDUP(MONTH(B547)/3,0)</f>
        <v>Q2</v>
      </c>
      <c r="L547" s="52" t="n">
        <f aca="false">ROUND(G547*H547,2)</f>
        <v>1608.55</v>
      </c>
      <c r="M547" s="52" t="n">
        <f aca="false">IF(AND(C547="Sales",F547="Standard-rated 5%"),L547,0)</f>
        <v>0</v>
      </c>
      <c r="N547" s="52" t="n">
        <f aca="false">IF(F547="Reverse charge (imported services)",L547,0)</f>
        <v>0</v>
      </c>
      <c r="O547" s="52" t="n">
        <f aca="false">IF(C547&lt;&gt;"Purchase",0,IF(OR(I547="N",F547="Blocked input (entertainment)"),0,L547))</f>
        <v>1608.55</v>
      </c>
      <c r="P547" s="52" t="n">
        <f aca="false">IF(C547&lt;&gt;"Purchase",0,L547-O547)</f>
        <v>0</v>
      </c>
      <c r="Q547" s="53" t="n">
        <f aca="false">J547-B547</f>
        <v>0</v>
      </c>
      <c r="R547" s="51" t="str">
        <f aca="false">IF(I547="N","Invalid / missing TRN",IF(F547="Blocked input (entertainment)","Blocked input",IF(Q547&gt;30,"Late posting (&gt;30d)","")))</f>
        <v/>
      </c>
    </row>
    <row r="548" customFormat="false" ht="15" hidden="false" customHeight="false" outlineLevel="0" collapsed="false">
      <c r="A548" s="47" t="s">
        <v>834</v>
      </c>
      <c r="B548" s="48" t="n">
        <v>45805</v>
      </c>
      <c r="C548" s="47" t="s">
        <v>159</v>
      </c>
      <c r="D548" s="47" t="s">
        <v>423</v>
      </c>
      <c r="E548" s="47" t="s">
        <v>102</v>
      </c>
      <c r="F548" s="47" t="s">
        <v>161</v>
      </c>
      <c r="G548" s="49" t="n">
        <v>169863.37</v>
      </c>
      <c r="H548" s="50" t="n">
        <v>0.05</v>
      </c>
      <c r="I548" s="47" t="s">
        <v>162</v>
      </c>
      <c r="J548" s="48" t="n">
        <v>45805</v>
      </c>
      <c r="K548" s="51" t="str">
        <f aca="false">"Q"&amp;ROUNDUP(MONTH(B548)/3,0)</f>
        <v>Q2</v>
      </c>
      <c r="L548" s="52" t="n">
        <f aca="false">ROUND(G548*H548,2)</f>
        <v>8493.17</v>
      </c>
      <c r="M548" s="52" t="n">
        <f aca="false">IF(AND(C548="Sales",F548="Standard-rated 5%"),L548,0)</f>
        <v>8493.17</v>
      </c>
      <c r="N548" s="52" t="n">
        <f aca="false">IF(F548="Reverse charge (imported services)",L548,0)</f>
        <v>0</v>
      </c>
      <c r="O548" s="52" t="n">
        <f aca="false">IF(C548&lt;&gt;"Purchase",0,IF(OR(I548="N",F548="Blocked input (entertainment)"),0,L548))</f>
        <v>0</v>
      </c>
      <c r="P548" s="52" t="n">
        <f aca="false">IF(C548&lt;&gt;"Purchase",0,L548-O548)</f>
        <v>0</v>
      </c>
      <c r="Q548" s="53" t="n">
        <f aca="false">J548-B548</f>
        <v>0</v>
      </c>
      <c r="R548" s="51" t="str">
        <f aca="false">IF(I548="N","Invalid / missing TRN",IF(F548="Blocked input (entertainment)","Blocked input",IF(Q548&gt;30,"Late posting (&gt;30d)","")))</f>
        <v/>
      </c>
    </row>
    <row r="549" customFormat="false" ht="15" hidden="false" customHeight="false" outlineLevel="0" collapsed="false">
      <c r="A549" s="47" t="s">
        <v>835</v>
      </c>
      <c r="B549" s="48" t="n">
        <v>45805</v>
      </c>
      <c r="C549" s="47" t="s">
        <v>159</v>
      </c>
      <c r="D549" s="47" t="s">
        <v>423</v>
      </c>
      <c r="E549" s="47" t="s">
        <v>104</v>
      </c>
      <c r="F549" s="47" t="s">
        <v>161</v>
      </c>
      <c r="G549" s="49" t="n">
        <v>13061.62</v>
      </c>
      <c r="H549" s="50" t="n">
        <v>0.05</v>
      </c>
      <c r="I549" s="47" t="s">
        <v>162</v>
      </c>
      <c r="J549" s="48" t="n">
        <v>45805</v>
      </c>
      <c r="K549" s="51" t="str">
        <f aca="false">"Q"&amp;ROUNDUP(MONTH(B549)/3,0)</f>
        <v>Q2</v>
      </c>
      <c r="L549" s="52" t="n">
        <f aca="false">ROUND(G549*H549,2)</f>
        <v>653.08</v>
      </c>
      <c r="M549" s="52" t="n">
        <f aca="false">IF(AND(C549="Sales",F549="Standard-rated 5%"),L549,0)</f>
        <v>653.08</v>
      </c>
      <c r="N549" s="52" t="n">
        <f aca="false">IF(F549="Reverse charge (imported services)",L549,0)</f>
        <v>0</v>
      </c>
      <c r="O549" s="52" t="n">
        <f aca="false">IF(C549&lt;&gt;"Purchase",0,IF(OR(I549="N",F549="Blocked input (entertainment)"),0,L549))</f>
        <v>0</v>
      </c>
      <c r="P549" s="52" t="n">
        <f aca="false">IF(C549&lt;&gt;"Purchase",0,L549-O549)</f>
        <v>0</v>
      </c>
      <c r="Q549" s="53" t="n">
        <f aca="false">J549-B549</f>
        <v>0</v>
      </c>
      <c r="R549" s="51" t="str">
        <f aca="false">IF(I549="N","Invalid / missing TRN",IF(F549="Blocked input (entertainment)","Blocked input",IF(Q549&gt;30,"Late posting (&gt;30d)","")))</f>
        <v/>
      </c>
    </row>
    <row r="550" customFormat="false" ht="15" hidden="false" customHeight="false" outlineLevel="0" collapsed="false">
      <c r="A550" s="47" t="s">
        <v>836</v>
      </c>
      <c r="B550" s="48" t="n">
        <v>45805</v>
      </c>
      <c r="C550" s="47" t="s">
        <v>159</v>
      </c>
      <c r="D550" s="47" t="s">
        <v>320</v>
      </c>
      <c r="E550" s="47" t="s">
        <v>100</v>
      </c>
      <c r="F550" s="47" t="s">
        <v>161</v>
      </c>
      <c r="G550" s="49" t="n">
        <v>97270.03</v>
      </c>
      <c r="H550" s="50" t="n">
        <v>0.05</v>
      </c>
      <c r="I550" s="47" t="s">
        <v>162</v>
      </c>
      <c r="J550" s="48" t="n">
        <v>45805</v>
      </c>
      <c r="K550" s="51" t="str">
        <f aca="false">"Q"&amp;ROUNDUP(MONTH(B550)/3,0)</f>
        <v>Q2</v>
      </c>
      <c r="L550" s="52" t="n">
        <f aca="false">ROUND(G550*H550,2)</f>
        <v>4863.5</v>
      </c>
      <c r="M550" s="52" t="n">
        <f aca="false">IF(AND(C550="Sales",F550="Standard-rated 5%"),L550,0)</f>
        <v>4863.5</v>
      </c>
      <c r="N550" s="52" t="n">
        <f aca="false">IF(F550="Reverse charge (imported services)",L550,0)</f>
        <v>0</v>
      </c>
      <c r="O550" s="52" t="n">
        <f aca="false">IF(C550&lt;&gt;"Purchase",0,IF(OR(I550="N",F550="Blocked input (entertainment)"),0,L550))</f>
        <v>0</v>
      </c>
      <c r="P550" s="52" t="n">
        <f aca="false">IF(C550&lt;&gt;"Purchase",0,L550-O550)</f>
        <v>0</v>
      </c>
      <c r="Q550" s="53" t="n">
        <f aca="false">J550-B550</f>
        <v>0</v>
      </c>
      <c r="R550" s="51" t="str">
        <f aca="false">IF(I550="N","Invalid / missing TRN",IF(F550="Blocked input (entertainment)","Blocked input",IF(Q550&gt;30,"Late posting (&gt;30d)","")))</f>
        <v/>
      </c>
    </row>
    <row r="551" customFormat="false" ht="15" hidden="false" customHeight="false" outlineLevel="0" collapsed="false">
      <c r="A551" s="47" t="s">
        <v>837</v>
      </c>
      <c r="B551" s="48" t="n">
        <v>45806</v>
      </c>
      <c r="C551" s="47" t="s">
        <v>166</v>
      </c>
      <c r="D551" s="47" t="s">
        <v>181</v>
      </c>
      <c r="E551" s="47" t="s">
        <v>100</v>
      </c>
      <c r="F551" s="47" t="s">
        <v>161</v>
      </c>
      <c r="G551" s="49" t="n">
        <v>17952.02</v>
      </c>
      <c r="H551" s="50" t="n">
        <v>0.05</v>
      </c>
      <c r="I551" s="47" t="s">
        <v>162</v>
      </c>
      <c r="J551" s="48" t="n">
        <v>45806</v>
      </c>
      <c r="K551" s="51" t="str">
        <f aca="false">"Q"&amp;ROUNDUP(MONTH(B551)/3,0)</f>
        <v>Q2</v>
      </c>
      <c r="L551" s="52" t="n">
        <f aca="false">ROUND(G551*H551,2)</f>
        <v>897.6</v>
      </c>
      <c r="M551" s="52" t="n">
        <f aca="false">IF(AND(C551="Sales",F551="Standard-rated 5%"),L551,0)</f>
        <v>0</v>
      </c>
      <c r="N551" s="52" t="n">
        <f aca="false">IF(F551="Reverse charge (imported services)",L551,0)</f>
        <v>0</v>
      </c>
      <c r="O551" s="52" t="n">
        <f aca="false">IF(C551&lt;&gt;"Purchase",0,IF(OR(I551="N",F551="Blocked input (entertainment)"),0,L551))</f>
        <v>897.6</v>
      </c>
      <c r="P551" s="52" t="n">
        <f aca="false">IF(C551&lt;&gt;"Purchase",0,L551-O551)</f>
        <v>0</v>
      </c>
      <c r="Q551" s="53" t="n">
        <f aca="false">J551-B551</f>
        <v>0</v>
      </c>
      <c r="R551" s="51" t="str">
        <f aca="false">IF(I551="N","Invalid / missing TRN",IF(F551="Blocked input (entertainment)","Blocked input",IF(Q551&gt;30,"Late posting (&gt;30d)","")))</f>
        <v/>
      </c>
    </row>
    <row r="552" customFormat="false" ht="15" hidden="false" customHeight="false" outlineLevel="0" collapsed="false">
      <c r="A552" s="47" t="s">
        <v>838</v>
      </c>
      <c r="B552" s="48" t="n">
        <v>45806</v>
      </c>
      <c r="C552" s="47" t="s">
        <v>159</v>
      </c>
      <c r="D552" s="47" t="s">
        <v>249</v>
      </c>
      <c r="E552" s="47" t="s">
        <v>101</v>
      </c>
      <c r="F552" s="47" t="s">
        <v>301</v>
      </c>
      <c r="G552" s="49" t="n">
        <v>24431.74</v>
      </c>
      <c r="H552" s="50" t="n">
        <v>0</v>
      </c>
      <c r="I552" s="47" t="s">
        <v>162</v>
      </c>
      <c r="J552" s="48" t="n">
        <v>45806</v>
      </c>
      <c r="K552" s="51" t="str">
        <f aca="false">"Q"&amp;ROUNDUP(MONTH(B552)/3,0)</f>
        <v>Q2</v>
      </c>
      <c r="L552" s="52" t="n">
        <f aca="false">ROUND(G552*H552,2)</f>
        <v>0</v>
      </c>
      <c r="M552" s="52" t="n">
        <f aca="false">IF(AND(C552="Sales",F552="Standard-rated 5%"),L552,0)</f>
        <v>0</v>
      </c>
      <c r="N552" s="52" t="n">
        <f aca="false">IF(F552="Reverse charge (imported services)",L552,0)</f>
        <v>0</v>
      </c>
      <c r="O552" s="52" t="n">
        <f aca="false">IF(C552&lt;&gt;"Purchase",0,IF(OR(I552="N",F552="Blocked input (entertainment)"),0,L552))</f>
        <v>0</v>
      </c>
      <c r="P552" s="52" t="n">
        <f aca="false">IF(C552&lt;&gt;"Purchase",0,L552-O552)</f>
        <v>0</v>
      </c>
      <c r="Q552" s="53" t="n">
        <f aca="false">J552-B552</f>
        <v>0</v>
      </c>
      <c r="R552" s="51" t="str">
        <f aca="false">IF(I552="N","Invalid / missing TRN",IF(F552="Blocked input (entertainment)","Blocked input",IF(Q552&gt;30,"Late posting (&gt;30d)","")))</f>
        <v/>
      </c>
    </row>
    <row r="553" customFormat="false" ht="15" hidden="false" customHeight="false" outlineLevel="0" collapsed="false">
      <c r="A553" s="47" t="s">
        <v>839</v>
      </c>
      <c r="B553" s="48" t="n">
        <v>45807</v>
      </c>
      <c r="C553" s="47" t="s">
        <v>166</v>
      </c>
      <c r="D553" s="47" t="s">
        <v>184</v>
      </c>
      <c r="E553" s="47" t="s">
        <v>100</v>
      </c>
      <c r="F553" s="47" t="s">
        <v>161</v>
      </c>
      <c r="G553" s="49" t="n">
        <v>49477.26</v>
      </c>
      <c r="H553" s="50" t="n">
        <v>0.05</v>
      </c>
      <c r="I553" s="47" t="s">
        <v>162</v>
      </c>
      <c r="J553" s="48" t="n">
        <v>45807</v>
      </c>
      <c r="K553" s="51" t="str">
        <f aca="false">"Q"&amp;ROUNDUP(MONTH(B553)/3,0)</f>
        <v>Q2</v>
      </c>
      <c r="L553" s="52" t="n">
        <f aca="false">ROUND(G553*H553,2)</f>
        <v>2473.86</v>
      </c>
      <c r="M553" s="52" t="n">
        <f aca="false">IF(AND(C553="Sales",F553="Standard-rated 5%"),L553,0)</f>
        <v>0</v>
      </c>
      <c r="N553" s="52" t="n">
        <f aca="false">IF(F553="Reverse charge (imported services)",L553,0)</f>
        <v>0</v>
      </c>
      <c r="O553" s="52" t="n">
        <f aca="false">IF(C553&lt;&gt;"Purchase",0,IF(OR(I553="N",F553="Blocked input (entertainment)"),0,L553))</f>
        <v>2473.86</v>
      </c>
      <c r="P553" s="52" t="n">
        <f aca="false">IF(C553&lt;&gt;"Purchase",0,L553-O553)</f>
        <v>0</v>
      </c>
      <c r="Q553" s="53" t="n">
        <f aca="false">J553-B553</f>
        <v>0</v>
      </c>
      <c r="R553" s="51" t="str">
        <f aca="false">IF(I553="N","Invalid / missing TRN",IF(F553="Blocked input (entertainment)","Blocked input",IF(Q553&gt;30,"Late posting (&gt;30d)","")))</f>
        <v/>
      </c>
    </row>
    <row r="554" customFormat="false" ht="15" hidden="false" customHeight="false" outlineLevel="0" collapsed="false">
      <c r="A554" s="47" t="s">
        <v>840</v>
      </c>
      <c r="B554" s="48" t="n">
        <v>45807</v>
      </c>
      <c r="C554" s="47" t="s">
        <v>159</v>
      </c>
      <c r="D554" s="47" t="s">
        <v>260</v>
      </c>
      <c r="E554" s="47" t="s">
        <v>100</v>
      </c>
      <c r="F554" s="47" t="s">
        <v>161</v>
      </c>
      <c r="G554" s="49" t="n">
        <v>63332.4</v>
      </c>
      <c r="H554" s="50" t="n">
        <v>0.05</v>
      </c>
      <c r="I554" s="47" t="s">
        <v>162</v>
      </c>
      <c r="J554" s="48" t="n">
        <v>45807</v>
      </c>
      <c r="K554" s="51" t="str">
        <f aca="false">"Q"&amp;ROUNDUP(MONTH(B554)/3,0)</f>
        <v>Q2</v>
      </c>
      <c r="L554" s="52" t="n">
        <f aca="false">ROUND(G554*H554,2)</f>
        <v>3166.62</v>
      </c>
      <c r="M554" s="52" t="n">
        <f aca="false">IF(AND(C554="Sales",F554="Standard-rated 5%"),L554,0)</f>
        <v>3166.62</v>
      </c>
      <c r="N554" s="52" t="n">
        <f aca="false">IF(F554="Reverse charge (imported services)",L554,0)</f>
        <v>0</v>
      </c>
      <c r="O554" s="52" t="n">
        <f aca="false">IF(C554&lt;&gt;"Purchase",0,IF(OR(I554="N",F554="Blocked input (entertainment)"),0,L554))</f>
        <v>0</v>
      </c>
      <c r="P554" s="52" t="n">
        <f aca="false">IF(C554&lt;&gt;"Purchase",0,L554-O554)</f>
        <v>0</v>
      </c>
      <c r="Q554" s="53" t="n">
        <f aca="false">J554-B554</f>
        <v>0</v>
      </c>
      <c r="R554" s="51" t="str">
        <f aca="false">IF(I554="N","Invalid / missing TRN",IF(F554="Blocked input (entertainment)","Blocked input",IF(Q554&gt;30,"Late posting (&gt;30d)","")))</f>
        <v/>
      </c>
    </row>
    <row r="555" customFormat="false" ht="15" hidden="false" customHeight="false" outlineLevel="0" collapsed="false">
      <c r="A555" s="47" t="s">
        <v>841</v>
      </c>
      <c r="B555" s="48" t="n">
        <v>45807</v>
      </c>
      <c r="C555" s="47" t="s">
        <v>159</v>
      </c>
      <c r="D555" s="47" t="s">
        <v>204</v>
      </c>
      <c r="E555" s="47" t="s">
        <v>103</v>
      </c>
      <c r="F555" s="47" t="s">
        <v>161</v>
      </c>
      <c r="G555" s="49" t="n">
        <v>88396.32</v>
      </c>
      <c r="H555" s="50" t="n">
        <v>0.05</v>
      </c>
      <c r="I555" s="47" t="s">
        <v>162</v>
      </c>
      <c r="J555" s="48" t="n">
        <v>45807</v>
      </c>
      <c r="K555" s="51" t="str">
        <f aca="false">"Q"&amp;ROUNDUP(MONTH(B555)/3,0)</f>
        <v>Q2</v>
      </c>
      <c r="L555" s="52" t="n">
        <f aca="false">ROUND(G555*H555,2)</f>
        <v>4419.82</v>
      </c>
      <c r="M555" s="52" t="n">
        <f aca="false">IF(AND(C555="Sales",F555="Standard-rated 5%"),L555,0)</f>
        <v>4419.82</v>
      </c>
      <c r="N555" s="52" t="n">
        <f aca="false">IF(F555="Reverse charge (imported services)",L555,0)</f>
        <v>0</v>
      </c>
      <c r="O555" s="52" t="n">
        <f aca="false">IF(C555&lt;&gt;"Purchase",0,IF(OR(I555="N",F555="Blocked input (entertainment)"),0,L555))</f>
        <v>0</v>
      </c>
      <c r="P555" s="52" t="n">
        <f aca="false">IF(C555&lt;&gt;"Purchase",0,L555-O555)</f>
        <v>0</v>
      </c>
      <c r="Q555" s="53" t="n">
        <f aca="false">J555-B555</f>
        <v>0</v>
      </c>
      <c r="R555" s="51" t="str">
        <f aca="false">IF(I555="N","Invalid / missing TRN",IF(F555="Blocked input (entertainment)","Blocked input",IF(Q555&gt;30,"Late posting (&gt;30d)","")))</f>
        <v/>
      </c>
    </row>
    <row r="556" customFormat="false" ht="15" hidden="false" customHeight="false" outlineLevel="0" collapsed="false">
      <c r="A556" s="47" t="s">
        <v>842</v>
      </c>
      <c r="B556" s="48" t="n">
        <v>45808</v>
      </c>
      <c r="C556" s="47" t="s">
        <v>166</v>
      </c>
      <c r="D556" s="47" t="s">
        <v>460</v>
      </c>
      <c r="E556" s="47" t="s">
        <v>100</v>
      </c>
      <c r="F556" s="47" t="s">
        <v>161</v>
      </c>
      <c r="G556" s="49" t="n">
        <v>57634.85</v>
      </c>
      <c r="H556" s="50" t="n">
        <v>0.05</v>
      </c>
      <c r="I556" s="47" t="s">
        <v>162</v>
      </c>
      <c r="J556" s="48" t="n">
        <v>45808</v>
      </c>
      <c r="K556" s="51" t="str">
        <f aca="false">"Q"&amp;ROUNDUP(MONTH(B556)/3,0)</f>
        <v>Q2</v>
      </c>
      <c r="L556" s="52" t="n">
        <f aca="false">ROUND(G556*H556,2)</f>
        <v>2881.74</v>
      </c>
      <c r="M556" s="52" t="n">
        <f aca="false">IF(AND(C556="Sales",F556="Standard-rated 5%"),L556,0)</f>
        <v>0</v>
      </c>
      <c r="N556" s="52" t="n">
        <f aca="false">IF(F556="Reverse charge (imported services)",L556,0)</f>
        <v>0</v>
      </c>
      <c r="O556" s="52" t="n">
        <f aca="false">IF(C556&lt;&gt;"Purchase",0,IF(OR(I556="N",F556="Blocked input (entertainment)"),0,L556))</f>
        <v>2881.74</v>
      </c>
      <c r="P556" s="52" t="n">
        <f aca="false">IF(C556&lt;&gt;"Purchase",0,L556-O556)</f>
        <v>0</v>
      </c>
      <c r="Q556" s="53" t="n">
        <f aca="false">J556-B556</f>
        <v>0</v>
      </c>
      <c r="R556" s="51" t="str">
        <f aca="false">IF(I556="N","Invalid / missing TRN",IF(F556="Blocked input (entertainment)","Blocked input",IF(Q556&gt;30,"Late posting (&gt;30d)","")))</f>
        <v/>
      </c>
    </row>
    <row r="557" customFormat="false" ht="15" hidden="false" customHeight="false" outlineLevel="0" collapsed="false">
      <c r="A557" s="47" t="s">
        <v>843</v>
      </c>
      <c r="B557" s="48" t="n">
        <v>45808</v>
      </c>
      <c r="C557" s="47" t="s">
        <v>166</v>
      </c>
      <c r="D557" s="47" t="s">
        <v>172</v>
      </c>
      <c r="E557" s="47" t="s">
        <v>100</v>
      </c>
      <c r="F557" s="47" t="s">
        <v>161</v>
      </c>
      <c r="G557" s="49" t="n">
        <v>148190.2</v>
      </c>
      <c r="H557" s="50" t="n">
        <v>0.05</v>
      </c>
      <c r="I557" s="47" t="s">
        <v>162</v>
      </c>
      <c r="J557" s="48" t="n">
        <v>45808</v>
      </c>
      <c r="K557" s="51" t="str">
        <f aca="false">"Q"&amp;ROUNDUP(MONTH(B557)/3,0)</f>
        <v>Q2</v>
      </c>
      <c r="L557" s="52" t="n">
        <f aca="false">ROUND(G557*H557,2)</f>
        <v>7409.51</v>
      </c>
      <c r="M557" s="52" t="n">
        <f aca="false">IF(AND(C557="Sales",F557="Standard-rated 5%"),L557,0)</f>
        <v>0</v>
      </c>
      <c r="N557" s="52" t="n">
        <f aca="false">IF(F557="Reverse charge (imported services)",L557,0)</f>
        <v>0</v>
      </c>
      <c r="O557" s="52" t="n">
        <f aca="false">IF(C557&lt;&gt;"Purchase",0,IF(OR(I557="N",F557="Blocked input (entertainment)"),0,L557))</f>
        <v>7409.51</v>
      </c>
      <c r="P557" s="52" t="n">
        <f aca="false">IF(C557&lt;&gt;"Purchase",0,L557-O557)</f>
        <v>0</v>
      </c>
      <c r="Q557" s="53" t="n">
        <f aca="false">J557-B557</f>
        <v>0</v>
      </c>
      <c r="R557" s="51" t="str">
        <f aca="false">IF(I557="N","Invalid / missing TRN",IF(F557="Blocked input (entertainment)","Blocked input",IF(Q557&gt;30,"Late posting (&gt;30d)","")))</f>
        <v/>
      </c>
    </row>
    <row r="558" customFormat="false" ht="15" hidden="false" customHeight="false" outlineLevel="0" collapsed="false">
      <c r="A558" s="47" t="s">
        <v>844</v>
      </c>
      <c r="B558" s="48" t="n">
        <v>45808</v>
      </c>
      <c r="C558" s="47" t="s">
        <v>159</v>
      </c>
      <c r="D558" s="47" t="s">
        <v>333</v>
      </c>
      <c r="E558" s="47" t="s">
        <v>102</v>
      </c>
      <c r="F558" s="47" t="s">
        <v>161</v>
      </c>
      <c r="G558" s="49" t="n">
        <v>179761.52</v>
      </c>
      <c r="H558" s="50" t="n">
        <v>0.05</v>
      </c>
      <c r="I558" s="47" t="s">
        <v>162</v>
      </c>
      <c r="J558" s="48" t="n">
        <v>45808</v>
      </c>
      <c r="K558" s="51" t="str">
        <f aca="false">"Q"&amp;ROUNDUP(MONTH(B558)/3,0)</f>
        <v>Q2</v>
      </c>
      <c r="L558" s="52" t="n">
        <f aca="false">ROUND(G558*H558,2)</f>
        <v>8988.08</v>
      </c>
      <c r="M558" s="52" t="n">
        <f aca="false">IF(AND(C558="Sales",F558="Standard-rated 5%"),L558,0)</f>
        <v>8988.08</v>
      </c>
      <c r="N558" s="52" t="n">
        <f aca="false">IF(F558="Reverse charge (imported services)",L558,0)</f>
        <v>0</v>
      </c>
      <c r="O558" s="52" t="n">
        <f aca="false">IF(C558&lt;&gt;"Purchase",0,IF(OR(I558="N",F558="Blocked input (entertainment)"),0,L558))</f>
        <v>0</v>
      </c>
      <c r="P558" s="52" t="n">
        <f aca="false">IF(C558&lt;&gt;"Purchase",0,L558-O558)</f>
        <v>0</v>
      </c>
      <c r="Q558" s="53" t="n">
        <f aca="false">J558-B558</f>
        <v>0</v>
      </c>
      <c r="R558" s="51" t="str">
        <f aca="false">IF(I558="N","Invalid / missing TRN",IF(F558="Blocked input (entertainment)","Blocked input",IF(Q558&gt;30,"Late posting (&gt;30d)","")))</f>
        <v/>
      </c>
    </row>
    <row r="559" customFormat="false" ht="15" hidden="false" customHeight="false" outlineLevel="0" collapsed="false">
      <c r="A559" s="47" t="s">
        <v>845</v>
      </c>
      <c r="B559" s="48" t="n">
        <v>45808</v>
      </c>
      <c r="C559" s="47" t="s">
        <v>159</v>
      </c>
      <c r="D559" s="47" t="s">
        <v>583</v>
      </c>
      <c r="E559" s="47" t="s">
        <v>100</v>
      </c>
      <c r="F559" s="47" t="s">
        <v>161</v>
      </c>
      <c r="G559" s="49" t="n">
        <v>60279.61</v>
      </c>
      <c r="H559" s="50" t="n">
        <v>0.05</v>
      </c>
      <c r="I559" s="47" t="s">
        <v>162</v>
      </c>
      <c r="J559" s="48" t="n">
        <v>45808</v>
      </c>
      <c r="K559" s="51" t="str">
        <f aca="false">"Q"&amp;ROUNDUP(MONTH(B559)/3,0)</f>
        <v>Q2</v>
      </c>
      <c r="L559" s="52" t="n">
        <f aca="false">ROUND(G559*H559,2)</f>
        <v>3013.98</v>
      </c>
      <c r="M559" s="52" t="n">
        <f aca="false">IF(AND(C559="Sales",F559="Standard-rated 5%"),L559,0)</f>
        <v>3013.98</v>
      </c>
      <c r="N559" s="52" t="n">
        <f aca="false">IF(F559="Reverse charge (imported services)",L559,0)</f>
        <v>0</v>
      </c>
      <c r="O559" s="52" t="n">
        <f aca="false">IF(C559&lt;&gt;"Purchase",0,IF(OR(I559="N",F559="Blocked input (entertainment)"),0,L559))</f>
        <v>0</v>
      </c>
      <c r="P559" s="52" t="n">
        <f aca="false">IF(C559&lt;&gt;"Purchase",0,L559-O559)</f>
        <v>0</v>
      </c>
      <c r="Q559" s="53" t="n">
        <f aca="false">J559-B559</f>
        <v>0</v>
      </c>
      <c r="R559" s="51" t="str">
        <f aca="false">IF(I559="N","Invalid / missing TRN",IF(F559="Blocked input (entertainment)","Blocked input",IF(Q559&gt;30,"Late posting (&gt;30d)","")))</f>
        <v/>
      </c>
    </row>
    <row r="560" customFormat="false" ht="15" hidden="false" customHeight="false" outlineLevel="0" collapsed="false">
      <c r="A560" s="47" t="s">
        <v>846</v>
      </c>
      <c r="B560" s="48" t="n">
        <v>45808</v>
      </c>
      <c r="C560" s="47" t="s">
        <v>159</v>
      </c>
      <c r="D560" s="47" t="s">
        <v>235</v>
      </c>
      <c r="E560" s="47" t="s">
        <v>100</v>
      </c>
      <c r="F560" s="47" t="s">
        <v>161</v>
      </c>
      <c r="G560" s="49" t="n">
        <v>188891.54</v>
      </c>
      <c r="H560" s="50" t="n">
        <v>0.05</v>
      </c>
      <c r="I560" s="47" t="s">
        <v>162</v>
      </c>
      <c r="J560" s="48" t="n">
        <v>45808</v>
      </c>
      <c r="K560" s="51" t="str">
        <f aca="false">"Q"&amp;ROUNDUP(MONTH(B560)/3,0)</f>
        <v>Q2</v>
      </c>
      <c r="L560" s="52" t="n">
        <f aca="false">ROUND(G560*H560,2)</f>
        <v>9444.58</v>
      </c>
      <c r="M560" s="52" t="n">
        <f aca="false">IF(AND(C560="Sales",F560="Standard-rated 5%"),L560,0)</f>
        <v>9444.58</v>
      </c>
      <c r="N560" s="52" t="n">
        <f aca="false">IF(F560="Reverse charge (imported services)",L560,0)</f>
        <v>0</v>
      </c>
      <c r="O560" s="52" t="n">
        <f aca="false">IF(C560&lt;&gt;"Purchase",0,IF(OR(I560="N",F560="Blocked input (entertainment)"),0,L560))</f>
        <v>0</v>
      </c>
      <c r="P560" s="52" t="n">
        <f aca="false">IF(C560&lt;&gt;"Purchase",0,L560-O560)</f>
        <v>0</v>
      </c>
      <c r="Q560" s="53" t="n">
        <f aca="false">J560-B560</f>
        <v>0</v>
      </c>
      <c r="R560" s="51" t="str">
        <f aca="false">IF(I560="N","Invalid / missing TRN",IF(F560="Blocked input (entertainment)","Blocked input",IF(Q560&gt;30,"Late posting (&gt;30d)","")))</f>
        <v/>
      </c>
    </row>
    <row r="561" customFormat="false" ht="15" hidden="false" customHeight="false" outlineLevel="0" collapsed="false">
      <c r="A561" s="47" t="s">
        <v>847</v>
      </c>
      <c r="B561" s="48" t="n">
        <v>45809</v>
      </c>
      <c r="C561" s="47" t="s">
        <v>159</v>
      </c>
      <c r="D561" s="47" t="s">
        <v>534</v>
      </c>
      <c r="E561" s="47" t="s">
        <v>101</v>
      </c>
      <c r="F561" s="47" t="s">
        <v>161</v>
      </c>
      <c r="G561" s="49" t="n">
        <v>12998.66</v>
      </c>
      <c r="H561" s="50" t="n">
        <v>0.05</v>
      </c>
      <c r="I561" s="47" t="s">
        <v>162</v>
      </c>
      <c r="J561" s="48" t="n">
        <v>45814</v>
      </c>
      <c r="K561" s="51" t="str">
        <f aca="false">"Q"&amp;ROUNDUP(MONTH(B561)/3,0)</f>
        <v>Q2</v>
      </c>
      <c r="L561" s="52" t="n">
        <f aca="false">ROUND(G561*H561,2)</f>
        <v>649.93</v>
      </c>
      <c r="M561" s="52" t="n">
        <f aca="false">IF(AND(C561="Sales",F561="Standard-rated 5%"),L561,0)</f>
        <v>649.93</v>
      </c>
      <c r="N561" s="52" t="n">
        <f aca="false">IF(F561="Reverse charge (imported services)",L561,0)</f>
        <v>0</v>
      </c>
      <c r="O561" s="52" t="n">
        <f aca="false">IF(C561&lt;&gt;"Purchase",0,IF(OR(I561="N",F561="Blocked input (entertainment)"),0,L561))</f>
        <v>0</v>
      </c>
      <c r="P561" s="52" t="n">
        <f aca="false">IF(C561&lt;&gt;"Purchase",0,L561-O561)</f>
        <v>0</v>
      </c>
      <c r="Q561" s="53" t="n">
        <f aca="false">J561-B561</f>
        <v>5</v>
      </c>
      <c r="R561" s="51" t="str">
        <f aca="false">IF(I561="N","Invalid / missing TRN",IF(F561="Blocked input (entertainment)","Blocked input",IF(Q561&gt;30,"Late posting (&gt;30d)","")))</f>
        <v/>
      </c>
    </row>
    <row r="562" customFormat="false" ht="15" hidden="false" customHeight="false" outlineLevel="0" collapsed="false">
      <c r="A562" s="47" t="s">
        <v>848</v>
      </c>
      <c r="B562" s="48" t="n">
        <v>45810</v>
      </c>
      <c r="C562" s="47" t="s">
        <v>166</v>
      </c>
      <c r="D562" s="47" t="s">
        <v>184</v>
      </c>
      <c r="E562" s="47" t="s">
        <v>102</v>
      </c>
      <c r="F562" s="47" t="s">
        <v>161</v>
      </c>
      <c r="G562" s="49" t="n">
        <v>37700.78</v>
      </c>
      <c r="H562" s="50" t="n">
        <v>0.05</v>
      </c>
      <c r="I562" s="47" t="s">
        <v>162</v>
      </c>
      <c r="J562" s="48" t="n">
        <v>45810</v>
      </c>
      <c r="K562" s="51" t="str">
        <f aca="false">"Q"&amp;ROUNDUP(MONTH(B562)/3,0)</f>
        <v>Q2</v>
      </c>
      <c r="L562" s="52" t="n">
        <f aca="false">ROUND(G562*H562,2)</f>
        <v>1885.04</v>
      </c>
      <c r="M562" s="52" t="n">
        <f aca="false">IF(AND(C562="Sales",F562="Standard-rated 5%"),L562,0)</f>
        <v>0</v>
      </c>
      <c r="N562" s="52" t="n">
        <f aca="false">IF(F562="Reverse charge (imported services)",L562,0)</f>
        <v>0</v>
      </c>
      <c r="O562" s="52" t="n">
        <f aca="false">IF(C562&lt;&gt;"Purchase",0,IF(OR(I562="N",F562="Blocked input (entertainment)"),0,L562))</f>
        <v>1885.04</v>
      </c>
      <c r="P562" s="52" t="n">
        <f aca="false">IF(C562&lt;&gt;"Purchase",0,L562-O562)</f>
        <v>0</v>
      </c>
      <c r="Q562" s="53" t="n">
        <f aca="false">J562-B562</f>
        <v>0</v>
      </c>
      <c r="R562" s="51" t="str">
        <f aca="false">IF(I562="N","Invalid / missing TRN",IF(F562="Blocked input (entertainment)","Blocked input",IF(Q562&gt;30,"Late posting (&gt;30d)","")))</f>
        <v/>
      </c>
    </row>
    <row r="563" customFormat="false" ht="15" hidden="false" customHeight="false" outlineLevel="0" collapsed="false">
      <c r="A563" s="47" t="s">
        <v>849</v>
      </c>
      <c r="B563" s="48" t="n">
        <v>45811</v>
      </c>
      <c r="C563" s="47" t="s">
        <v>166</v>
      </c>
      <c r="D563" s="47" t="s">
        <v>231</v>
      </c>
      <c r="E563" s="47" t="s">
        <v>101</v>
      </c>
      <c r="F563" s="47" t="s">
        <v>161</v>
      </c>
      <c r="G563" s="49" t="n">
        <v>20131.48</v>
      </c>
      <c r="H563" s="50" t="n">
        <v>0.05</v>
      </c>
      <c r="I563" s="47" t="s">
        <v>162</v>
      </c>
      <c r="J563" s="48" t="n">
        <v>45811</v>
      </c>
      <c r="K563" s="51" t="str">
        <f aca="false">"Q"&amp;ROUNDUP(MONTH(B563)/3,0)</f>
        <v>Q2</v>
      </c>
      <c r="L563" s="52" t="n">
        <f aca="false">ROUND(G563*H563,2)</f>
        <v>1006.57</v>
      </c>
      <c r="M563" s="52" t="n">
        <f aca="false">IF(AND(C563="Sales",F563="Standard-rated 5%"),L563,0)</f>
        <v>0</v>
      </c>
      <c r="N563" s="52" t="n">
        <f aca="false">IF(F563="Reverse charge (imported services)",L563,0)</f>
        <v>0</v>
      </c>
      <c r="O563" s="52" t="n">
        <f aca="false">IF(C563&lt;&gt;"Purchase",0,IF(OR(I563="N",F563="Blocked input (entertainment)"),0,L563))</f>
        <v>1006.57</v>
      </c>
      <c r="P563" s="52" t="n">
        <f aca="false">IF(C563&lt;&gt;"Purchase",0,L563-O563)</f>
        <v>0</v>
      </c>
      <c r="Q563" s="53" t="n">
        <f aca="false">J563-B563</f>
        <v>0</v>
      </c>
      <c r="R563" s="51" t="str">
        <f aca="false">IF(I563="N","Invalid / missing TRN",IF(F563="Blocked input (entertainment)","Blocked input",IF(Q563&gt;30,"Late posting (&gt;30d)","")))</f>
        <v/>
      </c>
    </row>
    <row r="564" customFormat="false" ht="15" hidden="false" customHeight="false" outlineLevel="0" collapsed="false">
      <c r="A564" s="47" t="s">
        <v>850</v>
      </c>
      <c r="B564" s="48" t="n">
        <v>45811</v>
      </c>
      <c r="C564" s="47" t="s">
        <v>166</v>
      </c>
      <c r="D564" s="47" t="s">
        <v>528</v>
      </c>
      <c r="E564" s="47" t="s">
        <v>100</v>
      </c>
      <c r="F564" s="47" t="s">
        <v>337</v>
      </c>
      <c r="G564" s="49" t="n">
        <v>40023.07</v>
      </c>
      <c r="H564" s="50" t="n">
        <v>0</v>
      </c>
      <c r="I564" s="47" t="s">
        <v>162</v>
      </c>
      <c r="J564" s="48" t="n">
        <v>45811</v>
      </c>
      <c r="K564" s="51" t="str">
        <f aca="false">"Q"&amp;ROUNDUP(MONTH(B564)/3,0)</f>
        <v>Q2</v>
      </c>
      <c r="L564" s="52" t="n">
        <f aca="false">ROUND(G564*H564,2)</f>
        <v>0</v>
      </c>
      <c r="M564" s="52" t="n">
        <f aca="false">IF(AND(C564="Sales",F564="Standard-rated 5%"),L564,0)</f>
        <v>0</v>
      </c>
      <c r="N564" s="52" t="n">
        <f aca="false">IF(F564="Reverse charge (imported services)",L564,0)</f>
        <v>0</v>
      </c>
      <c r="O564" s="52" t="n">
        <f aca="false">IF(C564&lt;&gt;"Purchase",0,IF(OR(I564="N",F564="Blocked input (entertainment)"),0,L564))</f>
        <v>0</v>
      </c>
      <c r="P564" s="52" t="n">
        <f aca="false">IF(C564&lt;&gt;"Purchase",0,L564-O564)</f>
        <v>0</v>
      </c>
      <c r="Q564" s="53" t="n">
        <f aca="false">J564-B564</f>
        <v>0</v>
      </c>
      <c r="R564" s="51" t="str">
        <f aca="false">IF(I564="N","Invalid / missing TRN",IF(F564="Blocked input (entertainment)","Blocked input",IF(Q564&gt;30,"Late posting (&gt;30d)","")))</f>
        <v/>
      </c>
    </row>
    <row r="565" customFormat="false" ht="15" hidden="false" customHeight="false" outlineLevel="0" collapsed="false">
      <c r="A565" s="47" t="s">
        <v>851</v>
      </c>
      <c r="B565" s="48" t="n">
        <v>45811</v>
      </c>
      <c r="C565" s="47" t="s">
        <v>159</v>
      </c>
      <c r="D565" s="47" t="s">
        <v>532</v>
      </c>
      <c r="E565" s="47" t="s">
        <v>100</v>
      </c>
      <c r="F565" s="47" t="s">
        <v>301</v>
      </c>
      <c r="G565" s="49" t="n">
        <v>147587.9</v>
      </c>
      <c r="H565" s="50" t="n">
        <v>0</v>
      </c>
      <c r="I565" s="47" t="s">
        <v>162</v>
      </c>
      <c r="J565" s="48" t="n">
        <v>45811</v>
      </c>
      <c r="K565" s="51" t="str">
        <f aca="false">"Q"&amp;ROUNDUP(MONTH(B565)/3,0)</f>
        <v>Q2</v>
      </c>
      <c r="L565" s="52" t="n">
        <f aca="false">ROUND(G565*H565,2)</f>
        <v>0</v>
      </c>
      <c r="M565" s="52" t="n">
        <f aca="false">IF(AND(C565="Sales",F565="Standard-rated 5%"),L565,0)</f>
        <v>0</v>
      </c>
      <c r="N565" s="52" t="n">
        <f aca="false">IF(F565="Reverse charge (imported services)",L565,0)</f>
        <v>0</v>
      </c>
      <c r="O565" s="52" t="n">
        <f aca="false">IF(C565&lt;&gt;"Purchase",0,IF(OR(I565="N",F565="Blocked input (entertainment)"),0,L565))</f>
        <v>0</v>
      </c>
      <c r="P565" s="52" t="n">
        <f aca="false">IF(C565&lt;&gt;"Purchase",0,L565-O565)</f>
        <v>0</v>
      </c>
      <c r="Q565" s="53" t="n">
        <f aca="false">J565-B565</f>
        <v>0</v>
      </c>
      <c r="R565" s="51" t="str">
        <f aca="false">IF(I565="N","Invalid / missing TRN",IF(F565="Blocked input (entertainment)","Blocked input",IF(Q565&gt;30,"Late posting (&gt;30d)","")))</f>
        <v/>
      </c>
    </row>
    <row r="566" customFormat="false" ht="15" hidden="false" customHeight="false" outlineLevel="0" collapsed="false">
      <c r="A566" s="47" t="s">
        <v>852</v>
      </c>
      <c r="B566" s="48" t="n">
        <v>45811</v>
      </c>
      <c r="C566" s="47" t="s">
        <v>159</v>
      </c>
      <c r="D566" s="47" t="s">
        <v>784</v>
      </c>
      <c r="E566" s="47" t="s">
        <v>100</v>
      </c>
      <c r="F566" s="47" t="s">
        <v>161</v>
      </c>
      <c r="G566" s="49" t="n">
        <v>5851.66</v>
      </c>
      <c r="H566" s="50" t="n">
        <v>0.05</v>
      </c>
      <c r="I566" s="47" t="s">
        <v>162</v>
      </c>
      <c r="J566" s="48" t="n">
        <v>45811</v>
      </c>
      <c r="K566" s="51" t="str">
        <f aca="false">"Q"&amp;ROUNDUP(MONTH(B566)/3,0)</f>
        <v>Q2</v>
      </c>
      <c r="L566" s="52" t="n">
        <f aca="false">ROUND(G566*H566,2)</f>
        <v>292.58</v>
      </c>
      <c r="M566" s="52" t="n">
        <f aca="false">IF(AND(C566="Sales",F566="Standard-rated 5%"),L566,0)</f>
        <v>292.58</v>
      </c>
      <c r="N566" s="52" t="n">
        <f aca="false">IF(F566="Reverse charge (imported services)",L566,0)</f>
        <v>0</v>
      </c>
      <c r="O566" s="52" t="n">
        <f aca="false">IF(C566&lt;&gt;"Purchase",0,IF(OR(I566="N",F566="Blocked input (entertainment)"),0,L566))</f>
        <v>0</v>
      </c>
      <c r="P566" s="52" t="n">
        <f aca="false">IF(C566&lt;&gt;"Purchase",0,L566-O566)</f>
        <v>0</v>
      </c>
      <c r="Q566" s="53" t="n">
        <f aca="false">J566-B566</f>
        <v>0</v>
      </c>
      <c r="R566" s="51" t="str">
        <f aca="false">IF(I566="N","Invalid / missing TRN",IF(F566="Blocked input (entertainment)","Blocked input",IF(Q566&gt;30,"Late posting (&gt;30d)","")))</f>
        <v/>
      </c>
    </row>
    <row r="567" customFormat="false" ht="15" hidden="false" customHeight="false" outlineLevel="0" collapsed="false">
      <c r="A567" s="47" t="s">
        <v>853</v>
      </c>
      <c r="B567" s="48" t="n">
        <v>45812</v>
      </c>
      <c r="C567" s="47" t="s">
        <v>159</v>
      </c>
      <c r="D567" s="47" t="s">
        <v>160</v>
      </c>
      <c r="E567" s="47" t="s">
        <v>101</v>
      </c>
      <c r="F567" s="47" t="s">
        <v>161</v>
      </c>
      <c r="G567" s="49" t="n">
        <v>157597.73</v>
      </c>
      <c r="H567" s="50" t="n">
        <v>0.05</v>
      </c>
      <c r="I567" s="47" t="s">
        <v>162</v>
      </c>
      <c r="J567" s="48" t="n">
        <v>45812</v>
      </c>
      <c r="K567" s="51" t="str">
        <f aca="false">"Q"&amp;ROUNDUP(MONTH(B567)/3,0)</f>
        <v>Q2</v>
      </c>
      <c r="L567" s="52" t="n">
        <f aca="false">ROUND(G567*H567,2)</f>
        <v>7879.89</v>
      </c>
      <c r="M567" s="52" t="n">
        <f aca="false">IF(AND(C567="Sales",F567="Standard-rated 5%"),L567,0)</f>
        <v>7879.89</v>
      </c>
      <c r="N567" s="52" t="n">
        <f aca="false">IF(F567="Reverse charge (imported services)",L567,0)</f>
        <v>0</v>
      </c>
      <c r="O567" s="52" t="n">
        <f aca="false">IF(C567&lt;&gt;"Purchase",0,IF(OR(I567="N",F567="Blocked input (entertainment)"),0,L567))</f>
        <v>0</v>
      </c>
      <c r="P567" s="52" t="n">
        <f aca="false">IF(C567&lt;&gt;"Purchase",0,L567-O567)</f>
        <v>0</v>
      </c>
      <c r="Q567" s="53" t="n">
        <f aca="false">J567-B567</f>
        <v>0</v>
      </c>
      <c r="R567" s="51" t="str">
        <f aca="false">IF(I567="N","Invalid / missing TRN",IF(F567="Blocked input (entertainment)","Blocked input",IF(Q567&gt;30,"Late posting (&gt;30d)","")))</f>
        <v/>
      </c>
    </row>
    <row r="568" customFormat="false" ht="15" hidden="false" customHeight="false" outlineLevel="0" collapsed="false">
      <c r="A568" s="47" t="s">
        <v>854</v>
      </c>
      <c r="B568" s="48" t="n">
        <v>45812</v>
      </c>
      <c r="C568" s="47" t="s">
        <v>159</v>
      </c>
      <c r="D568" s="47" t="s">
        <v>320</v>
      </c>
      <c r="E568" s="47" t="s">
        <v>100</v>
      </c>
      <c r="F568" s="47" t="s">
        <v>301</v>
      </c>
      <c r="G568" s="49" t="n">
        <v>43151.18</v>
      </c>
      <c r="H568" s="50" t="n">
        <v>0</v>
      </c>
      <c r="I568" s="47" t="s">
        <v>162</v>
      </c>
      <c r="J568" s="48" t="n">
        <v>45812</v>
      </c>
      <c r="K568" s="51" t="str">
        <f aca="false">"Q"&amp;ROUNDUP(MONTH(B568)/3,0)</f>
        <v>Q2</v>
      </c>
      <c r="L568" s="52" t="n">
        <f aca="false">ROUND(G568*H568,2)</f>
        <v>0</v>
      </c>
      <c r="M568" s="52" t="n">
        <f aca="false">IF(AND(C568="Sales",F568="Standard-rated 5%"),L568,0)</f>
        <v>0</v>
      </c>
      <c r="N568" s="52" t="n">
        <f aca="false">IF(F568="Reverse charge (imported services)",L568,0)</f>
        <v>0</v>
      </c>
      <c r="O568" s="52" t="n">
        <f aca="false">IF(C568&lt;&gt;"Purchase",0,IF(OR(I568="N",F568="Blocked input (entertainment)"),0,L568))</f>
        <v>0</v>
      </c>
      <c r="P568" s="52" t="n">
        <f aca="false">IF(C568&lt;&gt;"Purchase",0,L568-O568)</f>
        <v>0</v>
      </c>
      <c r="Q568" s="53" t="n">
        <f aca="false">J568-B568</f>
        <v>0</v>
      </c>
      <c r="R568" s="51" t="str">
        <f aca="false">IF(I568="N","Invalid / missing TRN",IF(F568="Blocked input (entertainment)","Blocked input",IF(Q568&gt;30,"Late posting (&gt;30d)","")))</f>
        <v/>
      </c>
    </row>
    <row r="569" customFormat="false" ht="15" hidden="false" customHeight="false" outlineLevel="0" collapsed="false">
      <c r="A569" s="47" t="s">
        <v>855</v>
      </c>
      <c r="B569" s="48" t="n">
        <v>45813</v>
      </c>
      <c r="C569" s="47" t="s">
        <v>159</v>
      </c>
      <c r="D569" s="47" t="s">
        <v>330</v>
      </c>
      <c r="E569" s="47" t="s">
        <v>101</v>
      </c>
      <c r="F569" s="47" t="s">
        <v>161</v>
      </c>
      <c r="G569" s="49" t="n">
        <v>22480.46</v>
      </c>
      <c r="H569" s="50" t="n">
        <v>0.05</v>
      </c>
      <c r="I569" s="47" t="s">
        <v>162</v>
      </c>
      <c r="J569" s="48" t="n">
        <v>45813</v>
      </c>
      <c r="K569" s="51" t="str">
        <f aca="false">"Q"&amp;ROUNDUP(MONTH(B569)/3,0)</f>
        <v>Q2</v>
      </c>
      <c r="L569" s="52" t="n">
        <f aca="false">ROUND(G569*H569,2)</f>
        <v>1124.02</v>
      </c>
      <c r="M569" s="52" t="n">
        <f aca="false">IF(AND(C569="Sales",F569="Standard-rated 5%"),L569,0)</f>
        <v>1124.02</v>
      </c>
      <c r="N569" s="52" t="n">
        <f aca="false">IF(F569="Reverse charge (imported services)",L569,0)</f>
        <v>0</v>
      </c>
      <c r="O569" s="52" t="n">
        <f aca="false">IF(C569&lt;&gt;"Purchase",0,IF(OR(I569="N",F569="Blocked input (entertainment)"),0,L569))</f>
        <v>0</v>
      </c>
      <c r="P569" s="52" t="n">
        <f aca="false">IF(C569&lt;&gt;"Purchase",0,L569-O569)</f>
        <v>0</v>
      </c>
      <c r="Q569" s="53" t="n">
        <f aca="false">J569-B569</f>
        <v>0</v>
      </c>
      <c r="R569" s="51" t="str">
        <f aca="false">IF(I569="N","Invalid / missing TRN",IF(F569="Blocked input (entertainment)","Blocked input",IF(Q569&gt;30,"Late posting (&gt;30d)","")))</f>
        <v/>
      </c>
    </row>
    <row r="570" customFormat="false" ht="15" hidden="false" customHeight="false" outlineLevel="0" collapsed="false">
      <c r="A570" s="47" t="s">
        <v>856</v>
      </c>
      <c r="B570" s="48" t="n">
        <v>45813</v>
      </c>
      <c r="C570" s="47" t="s">
        <v>159</v>
      </c>
      <c r="D570" s="47" t="s">
        <v>373</v>
      </c>
      <c r="E570" s="47" t="s">
        <v>100</v>
      </c>
      <c r="F570" s="47" t="s">
        <v>161</v>
      </c>
      <c r="G570" s="49" t="n">
        <v>25504.95</v>
      </c>
      <c r="H570" s="50" t="n">
        <v>0.05</v>
      </c>
      <c r="I570" s="47" t="s">
        <v>162</v>
      </c>
      <c r="J570" s="48" t="n">
        <v>45813</v>
      </c>
      <c r="K570" s="51" t="str">
        <f aca="false">"Q"&amp;ROUNDUP(MONTH(B570)/3,0)</f>
        <v>Q2</v>
      </c>
      <c r="L570" s="52" t="n">
        <f aca="false">ROUND(G570*H570,2)</f>
        <v>1275.25</v>
      </c>
      <c r="M570" s="52" t="n">
        <f aca="false">IF(AND(C570="Sales",F570="Standard-rated 5%"),L570,0)</f>
        <v>1275.25</v>
      </c>
      <c r="N570" s="52" t="n">
        <f aca="false">IF(F570="Reverse charge (imported services)",L570,0)</f>
        <v>0</v>
      </c>
      <c r="O570" s="52" t="n">
        <f aca="false">IF(C570&lt;&gt;"Purchase",0,IF(OR(I570="N",F570="Blocked input (entertainment)"),0,L570))</f>
        <v>0</v>
      </c>
      <c r="P570" s="52" t="n">
        <f aca="false">IF(C570&lt;&gt;"Purchase",0,L570-O570)</f>
        <v>0</v>
      </c>
      <c r="Q570" s="53" t="n">
        <f aca="false">J570-B570</f>
        <v>0</v>
      </c>
      <c r="R570" s="51" t="str">
        <f aca="false">IF(I570="N","Invalid / missing TRN",IF(F570="Blocked input (entertainment)","Blocked input",IF(Q570&gt;30,"Late posting (&gt;30d)","")))</f>
        <v/>
      </c>
    </row>
    <row r="571" customFormat="false" ht="15" hidden="false" customHeight="false" outlineLevel="0" collapsed="false">
      <c r="A571" s="47" t="s">
        <v>857</v>
      </c>
      <c r="B571" s="48" t="n">
        <v>45813</v>
      </c>
      <c r="C571" s="47" t="s">
        <v>159</v>
      </c>
      <c r="D571" s="47" t="s">
        <v>376</v>
      </c>
      <c r="E571" s="47" t="s">
        <v>100</v>
      </c>
      <c r="F571" s="47" t="s">
        <v>161</v>
      </c>
      <c r="G571" s="49" t="n">
        <v>8992.1</v>
      </c>
      <c r="H571" s="50" t="n">
        <v>0.05</v>
      </c>
      <c r="I571" s="47" t="s">
        <v>162</v>
      </c>
      <c r="J571" s="48" t="n">
        <v>45813</v>
      </c>
      <c r="K571" s="51" t="str">
        <f aca="false">"Q"&amp;ROUNDUP(MONTH(B571)/3,0)</f>
        <v>Q2</v>
      </c>
      <c r="L571" s="52" t="n">
        <f aca="false">ROUND(G571*H571,2)</f>
        <v>449.61</v>
      </c>
      <c r="M571" s="52" t="n">
        <f aca="false">IF(AND(C571="Sales",F571="Standard-rated 5%"),L571,0)</f>
        <v>449.61</v>
      </c>
      <c r="N571" s="52" t="n">
        <f aca="false">IF(F571="Reverse charge (imported services)",L571,0)</f>
        <v>0</v>
      </c>
      <c r="O571" s="52" t="n">
        <f aca="false">IF(C571&lt;&gt;"Purchase",0,IF(OR(I571="N",F571="Blocked input (entertainment)"),0,L571))</f>
        <v>0</v>
      </c>
      <c r="P571" s="52" t="n">
        <f aca="false">IF(C571&lt;&gt;"Purchase",0,L571-O571)</f>
        <v>0</v>
      </c>
      <c r="Q571" s="53" t="n">
        <f aca="false">J571-B571</f>
        <v>0</v>
      </c>
      <c r="R571" s="51" t="str">
        <f aca="false">IF(I571="N","Invalid / missing TRN",IF(F571="Blocked input (entertainment)","Blocked input",IF(Q571&gt;30,"Late posting (&gt;30d)","")))</f>
        <v/>
      </c>
    </row>
    <row r="572" customFormat="false" ht="15" hidden="false" customHeight="false" outlineLevel="0" collapsed="false">
      <c r="A572" s="47" t="s">
        <v>858</v>
      </c>
      <c r="B572" s="48" t="n">
        <v>45814</v>
      </c>
      <c r="C572" s="47" t="s">
        <v>166</v>
      </c>
      <c r="D572" s="47" t="s">
        <v>528</v>
      </c>
      <c r="E572" s="47" t="s">
        <v>101</v>
      </c>
      <c r="F572" s="47" t="s">
        <v>161</v>
      </c>
      <c r="G572" s="49" t="n">
        <v>39747.71</v>
      </c>
      <c r="H572" s="50" t="n">
        <v>0.05</v>
      </c>
      <c r="I572" s="47" t="s">
        <v>162</v>
      </c>
      <c r="J572" s="48" t="n">
        <v>45814</v>
      </c>
      <c r="K572" s="51" t="str">
        <f aca="false">"Q"&amp;ROUNDUP(MONTH(B572)/3,0)</f>
        <v>Q2</v>
      </c>
      <c r="L572" s="52" t="n">
        <f aca="false">ROUND(G572*H572,2)</f>
        <v>1987.39</v>
      </c>
      <c r="M572" s="52" t="n">
        <f aca="false">IF(AND(C572="Sales",F572="Standard-rated 5%"),L572,0)</f>
        <v>0</v>
      </c>
      <c r="N572" s="52" t="n">
        <f aca="false">IF(F572="Reverse charge (imported services)",L572,0)</f>
        <v>0</v>
      </c>
      <c r="O572" s="52" t="n">
        <f aca="false">IF(C572&lt;&gt;"Purchase",0,IF(OR(I572="N",F572="Blocked input (entertainment)"),0,L572))</f>
        <v>1987.39</v>
      </c>
      <c r="P572" s="52" t="n">
        <f aca="false">IF(C572&lt;&gt;"Purchase",0,L572-O572)</f>
        <v>0</v>
      </c>
      <c r="Q572" s="53" t="n">
        <f aca="false">J572-B572</f>
        <v>0</v>
      </c>
      <c r="R572" s="51" t="str">
        <f aca="false">IF(I572="N","Invalid / missing TRN",IF(F572="Blocked input (entertainment)","Blocked input",IF(Q572&gt;30,"Late posting (&gt;30d)","")))</f>
        <v/>
      </c>
    </row>
    <row r="573" customFormat="false" ht="15" hidden="false" customHeight="false" outlineLevel="0" collapsed="false">
      <c r="A573" s="47" t="s">
        <v>859</v>
      </c>
      <c r="B573" s="48" t="n">
        <v>45814</v>
      </c>
      <c r="C573" s="47" t="s">
        <v>159</v>
      </c>
      <c r="D573" s="47" t="s">
        <v>247</v>
      </c>
      <c r="E573" s="47" t="s">
        <v>100</v>
      </c>
      <c r="F573" s="47" t="s">
        <v>161</v>
      </c>
      <c r="G573" s="49" t="n">
        <v>183042.44</v>
      </c>
      <c r="H573" s="50" t="n">
        <v>0.05</v>
      </c>
      <c r="I573" s="47" t="s">
        <v>162</v>
      </c>
      <c r="J573" s="48" t="n">
        <v>45814</v>
      </c>
      <c r="K573" s="51" t="str">
        <f aca="false">"Q"&amp;ROUNDUP(MONTH(B573)/3,0)</f>
        <v>Q2</v>
      </c>
      <c r="L573" s="52" t="n">
        <f aca="false">ROUND(G573*H573,2)</f>
        <v>9152.12</v>
      </c>
      <c r="M573" s="52" t="n">
        <f aca="false">IF(AND(C573="Sales",F573="Standard-rated 5%"),L573,0)</f>
        <v>9152.12</v>
      </c>
      <c r="N573" s="52" t="n">
        <f aca="false">IF(F573="Reverse charge (imported services)",L573,0)</f>
        <v>0</v>
      </c>
      <c r="O573" s="52" t="n">
        <f aca="false">IF(C573&lt;&gt;"Purchase",0,IF(OR(I573="N",F573="Blocked input (entertainment)"),0,L573))</f>
        <v>0</v>
      </c>
      <c r="P573" s="52" t="n">
        <f aca="false">IF(C573&lt;&gt;"Purchase",0,L573-O573)</f>
        <v>0</v>
      </c>
      <c r="Q573" s="53" t="n">
        <f aca="false">J573-B573</f>
        <v>0</v>
      </c>
      <c r="R573" s="51" t="str">
        <f aca="false">IF(I573="N","Invalid / missing TRN",IF(F573="Blocked input (entertainment)","Blocked input",IF(Q573&gt;30,"Late posting (&gt;30d)","")))</f>
        <v/>
      </c>
    </row>
    <row r="574" customFormat="false" ht="15" hidden="false" customHeight="false" outlineLevel="0" collapsed="false">
      <c r="A574" s="47" t="s">
        <v>860</v>
      </c>
      <c r="B574" s="48" t="n">
        <v>45815</v>
      </c>
      <c r="C574" s="47" t="s">
        <v>166</v>
      </c>
      <c r="D574" s="47" t="s">
        <v>435</v>
      </c>
      <c r="E574" s="47" t="s">
        <v>101</v>
      </c>
      <c r="F574" s="47" t="s">
        <v>161</v>
      </c>
      <c r="G574" s="49" t="n">
        <v>93201.57</v>
      </c>
      <c r="H574" s="50" t="n">
        <v>0.05</v>
      </c>
      <c r="I574" s="47" t="s">
        <v>162</v>
      </c>
      <c r="J574" s="48" t="n">
        <v>45815</v>
      </c>
      <c r="K574" s="51" t="str">
        <f aca="false">"Q"&amp;ROUNDUP(MONTH(B574)/3,0)</f>
        <v>Q2</v>
      </c>
      <c r="L574" s="52" t="n">
        <f aca="false">ROUND(G574*H574,2)</f>
        <v>4660.08</v>
      </c>
      <c r="M574" s="52" t="n">
        <f aca="false">IF(AND(C574="Sales",F574="Standard-rated 5%"),L574,0)</f>
        <v>0</v>
      </c>
      <c r="N574" s="52" t="n">
        <f aca="false">IF(F574="Reverse charge (imported services)",L574,0)</f>
        <v>0</v>
      </c>
      <c r="O574" s="52" t="n">
        <f aca="false">IF(C574&lt;&gt;"Purchase",0,IF(OR(I574="N",F574="Blocked input (entertainment)"),0,L574))</f>
        <v>4660.08</v>
      </c>
      <c r="P574" s="52" t="n">
        <f aca="false">IF(C574&lt;&gt;"Purchase",0,L574-O574)</f>
        <v>0</v>
      </c>
      <c r="Q574" s="53" t="n">
        <f aca="false">J574-B574</f>
        <v>0</v>
      </c>
      <c r="R574" s="51" t="str">
        <f aca="false">IF(I574="N","Invalid / missing TRN",IF(F574="Blocked input (entertainment)","Blocked input",IF(Q574&gt;30,"Late posting (&gt;30d)","")))</f>
        <v/>
      </c>
    </row>
    <row r="575" customFormat="false" ht="15" hidden="false" customHeight="false" outlineLevel="0" collapsed="false">
      <c r="A575" s="47" t="s">
        <v>861</v>
      </c>
      <c r="B575" s="48" t="n">
        <v>45815</v>
      </c>
      <c r="C575" s="47" t="s">
        <v>166</v>
      </c>
      <c r="D575" s="47" t="s">
        <v>255</v>
      </c>
      <c r="E575" s="47" t="s">
        <v>100</v>
      </c>
      <c r="F575" s="47" t="s">
        <v>161</v>
      </c>
      <c r="G575" s="49" t="n">
        <v>89756.29</v>
      </c>
      <c r="H575" s="50" t="n">
        <v>0.05</v>
      </c>
      <c r="I575" s="47" t="s">
        <v>162</v>
      </c>
      <c r="J575" s="48" t="n">
        <v>45815</v>
      </c>
      <c r="K575" s="51" t="str">
        <f aca="false">"Q"&amp;ROUNDUP(MONTH(B575)/3,0)</f>
        <v>Q2</v>
      </c>
      <c r="L575" s="52" t="n">
        <f aca="false">ROUND(G575*H575,2)</f>
        <v>4487.81</v>
      </c>
      <c r="M575" s="52" t="n">
        <f aca="false">IF(AND(C575="Sales",F575="Standard-rated 5%"),L575,0)</f>
        <v>0</v>
      </c>
      <c r="N575" s="52" t="n">
        <f aca="false">IF(F575="Reverse charge (imported services)",L575,0)</f>
        <v>0</v>
      </c>
      <c r="O575" s="52" t="n">
        <f aca="false">IF(C575&lt;&gt;"Purchase",0,IF(OR(I575="N",F575="Blocked input (entertainment)"),0,L575))</f>
        <v>4487.81</v>
      </c>
      <c r="P575" s="52" t="n">
        <f aca="false">IF(C575&lt;&gt;"Purchase",0,L575-O575)</f>
        <v>0</v>
      </c>
      <c r="Q575" s="53" t="n">
        <f aca="false">J575-B575</f>
        <v>0</v>
      </c>
      <c r="R575" s="51" t="str">
        <f aca="false">IF(I575="N","Invalid / missing TRN",IF(F575="Blocked input (entertainment)","Blocked input",IF(Q575&gt;30,"Late posting (&gt;30d)","")))</f>
        <v/>
      </c>
    </row>
    <row r="576" customFormat="false" ht="15" hidden="false" customHeight="false" outlineLevel="0" collapsed="false">
      <c r="A576" s="47" t="s">
        <v>862</v>
      </c>
      <c r="B576" s="48" t="n">
        <v>45815</v>
      </c>
      <c r="C576" s="47" t="s">
        <v>166</v>
      </c>
      <c r="D576" s="47" t="s">
        <v>190</v>
      </c>
      <c r="E576" s="47" t="s">
        <v>100</v>
      </c>
      <c r="F576" s="47" t="s">
        <v>161</v>
      </c>
      <c r="G576" s="49" t="n">
        <v>21269.92</v>
      </c>
      <c r="H576" s="50" t="n">
        <v>0.05</v>
      </c>
      <c r="I576" s="47" t="s">
        <v>162</v>
      </c>
      <c r="J576" s="48" t="n">
        <v>45815</v>
      </c>
      <c r="K576" s="51" t="str">
        <f aca="false">"Q"&amp;ROUNDUP(MONTH(B576)/3,0)</f>
        <v>Q2</v>
      </c>
      <c r="L576" s="52" t="n">
        <f aca="false">ROUND(G576*H576,2)</f>
        <v>1063.5</v>
      </c>
      <c r="M576" s="52" t="n">
        <f aca="false">IF(AND(C576="Sales",F576="Standard-rated 5%"),L576,0)</f>
        <v>0</v>
      </c>
      <c r="N576" s="52" t="n">
        <f aca="false">IF(F576="Reverse charge (imported services)",L576,0)</f>
        <v>0</v>
      </c>
      <c r="O576" s="52" t="n">
        <f aca="false">IF(C576&lt;&gt;"Purchase",0,IF(OR(I576="N",F576="Blocked input (entertainment)"),0,L576))</f>
        <v>1063.5</v>
      </c>
      <c r="P576" s="52" t="n">
        <f aca="false">IF(C576&lt;&gt;"Purchase",0,L576-O576)</f>
        <v>0</v>
      </c>
      <c r="Q576" s="53" t="n">
        <f aca="false">J576-B576</f>
        <v>0</v>
      </c>
      <c r="R576" s="51" t="str">
        <f aca="false">IF(I576="N","Invalid / missing TRN",IF(F576="Blocked input (entertainment)","Blocked input",IF(Q576&gt;30,"Late posting (&gt;30d)","")))</f>
        <v/>
      </c>
    </row>
    <row r="577" customFormat="false" ht="15" hidden="false" customHeight="false" outlineLevel="0" collapsed="false">
      <c r="A577" s="47" t="s">
        <v>863</v>
      </c>
      <c r="B577" s="48" t="n">
        <v>45815</v>
      </c>
      <c r="C577" s="47" t="s">
        <v>159</v>
      </c>
      <c r="D577" s="47" t="s">
        <v>175</v>
      </c>
      <c r="E577" s="47" t="s">
        <v>101</v>
      </c>
      <c r="F577" s="47" t="s">
        <v>161</v>
      </c>
      <c r="G577" s="49" t="n">
        <v>150591.43</v>
      </c>
      <c r="H577" s="50" t="n">
        <v>0.05</v>
      </c>
      <c r="I577" s="47" t="s">
        <v>162</v>
      </c>
      <c r="J577" s="48" t="n">
        <v>45820</v>
      </c>
      <c r="K577" s="51" t="str">
        <f aca="false">"Q"&amp;ROUNDUP(MONTH(B577)/3,0)</f>
        <v>Q2</v>
      </c>
      <c r="L577" s="52" t="n">
        <f aca="false">ROUND(G577*H577,2)</f>
        <v>7529.57</v>
      </c>
      <c r="M577" s="52" t="n">
        <f aca="false">IF(AND(C577="Sales",F577="Standard-rated 5%"),L577,0)</f>
        <v>7529.57</v>
      </c>
      <c r="N577" s="52" t="n">
        <f aca="false">IF(F577="Reverse charge (imported services)",L577,0)</f>
        <v>0</v>
      </c>
      <c r="O577" s="52" t="n">
        <f aca="false">IF(C577&lt;&gt;"Purchase",0,IF(OR(I577="N",F577="Blocked input (entertainment)"),0,L577))</f>
        <v>0</v>
      </c>
      <c r="P577" s="52" t="n">
        <f aca="false">IF(C577&lt;&gt;"Purchase",0,L577-O577)</f>
        <v>0</v>
      </c>
      <c r="Q577" s="53" t="n">
        <f aca="false">J577-B577</f>
        <v>5</v>
      </c>
      <c r="R577" s="51" t="str">
        <f aca="false">IF(I577="N","Invalid / missing TRN",IF(F577="Blocked input (entertainment)","Blocked input",IF(Q577&gt;30,"Late posting (&gt;30d)","")))</f>
        <v/>
      </c>
    </row>
    <row r="578" customFormat="false" ht="15" hidden="false" customHeight="false" outlineLevel="0" collapsed="false">
      <c r="A578" s="47" t="s">
        <v>864</v>
      </c>
      <c r="B578" s="48" t="n">
        <v>45815</v>
      </c>
      <c r="C578" s="47" t="s">
        <v>159</v>
      </c>
      <c r="D578" s="47" t="s">
        <v>373</v>
      </c>
      <c r="E578" s="47" t="s">
        <v>100</v>
      </c>
      <c r="F578" s="47" t="s">
        <v>161</v>
      </c>
      <c r="G578" s="49" t="n">
        <v>47766.01</v>
      </c>
      <c r="H578" s="50" t="n">
        <v>0.05</v>
      </c>
      <c r="I578" s="47" t="s">
        <v>162</v>
      </c>
      <c r="J578" s="48" t="n">
        <v>45815</v>
      </c>
      <c r="K578" s="51" t="str">
        <f aca="false">"Q"&amp;ROUNDUP(MONTH(B578)/3,0)</f>
        <v>Q2</v>
      </c>
      <c r="L578" s="52" t="n">
        <f aca="false">ROUND(G578*H578,2)</f>
        <v>2388.3</v>
      </c>
      <c r="M578" s="52" t="n">
        <f aca="false">IF(AND(C578="Sales",F578="Standard-rated 5%"),L578,0)</f>
        <v>2388.3</v>
      </c>
      <c r="N578" s="52" t="n">
        <f aca="false">IF(F578="Reverse charge (imported services)",L578,0)</f>
        <v>0</v>
      </c>
      <c r="O578" s="52" t="n">
        <f aca="false">IF(C578&lt;&gt;"Purchase",0,IF(OR(I578="N",F578="Blocked input (entertainment)"),0,L578))</f>
        <v>0</v>
      </c>
      <c r="P578" s="52" t="n">
        <f aca="false">IF(C578&lt;&gt;"Purchase",0,L578-O578)</f>
        <v>0</v>
      </c>
      <c r="Q578" s="53" t="n">
        <f aca="false">J578-B578</f>
        <v>0</v>
      </c>
      <c r="R578" s="51" t="str">
        <f aca="false">IF(I578="N","Invalid / missing TRN",IF(F578="Blocked input (entertainment)","Blocked input",IF(Q578&gt;30,"Late posting (&gt;30d)","")))</f>
        <v/>
      </c>
    </row>
    <row r="579" customFormat="false" ht="15" hidden="false" customHeight="false" outlineLevel="0" collapsed="false">
      <c r="A579" s="47" t="s">
        <v>865</v>
      </c>
      <c r="B579" s="48" t="n">
        <v>45815</v>
      </c>
      <c r="C579" s="47" t="s">
        <v>159</v>
      </c>
      <c r="D579" s="47" t="s">
        <v>249</v>
      </c>
      <c r="E579" s="47" t="s">
        <v>101</v>
      </c>
      <c r="F579" s="47" t="s">
        <v>301</v>
      </c>
      <c r="G579" s="49" t="n">
        <v>115891.91</v>
      </c>
      <c r="H579" s="50" t="n">
        <v>0</v>
      </c>
      <c r="I579" s="47" t="s">
        <v>162</v>
      </c>
      <c r="J579" s="48" t="n">
        <v>45815</v>
      </c>
      <c r="K579" s="51" t="str">
        <f aca="false">"Q"&amp;ROUNDUP(MONTH(B579)/3,0)</f>
        <v>Q2</v>
      </c>
      <c r="L579" s="52" t="n">
        <f aca="false">ROUND(G579*H579,2)</f>
        <v>0</v>
      </c>
      <c r="M579" s="52" t="n">
        <f aca="false">IF(AND(C579="Sales",F579="Standard-rated 5%"),L579,0)</f>
        <v>0</v>
      </c>
      <c r="N579" s="52" t="n">
        <f aca="false">IF(F579="Reverse charge (imported services)",L579,0)</f>
        <v>0</v>
      </c>
      <c r="O579" s="52" t="n">
        <f aca="false">IF(C579&lt;&gt;"Purchase",0,IF(OR(I579="N",F579="Blocked input (entertainment)"),0,L579))</f>
        <v>0</v>
      </c>
      <c r="P579" s="52" t="n">
        <f aca="false">IF(C579&lt;&gt;"Purchase",0,L579-O579)</f>
        <v>0</v>
      </c>
      <c r="Q579" s="53" t="n">
        <f aca="false">J579-B579</f>
        <v>0</v>
      </c>
      <c r="R579" s="51" t="str">
        <f aca="false">IF(I579="N","Invalid / missing TRN",IF(F579="Blocked input (entertainment)","Blocked input",IF(Q579&gt;30,"Late posting (&gt;30d)","")))</f>
        <v/>
      </c>
    </row>
    <row r="580" customFormat="false" ht="15" hidden="false" customHeight="false" outlineLevel="0" collapsed="false">
      <c r="A580" s="47" t="s">
        <v>866</v>
      </c>
      <c r="B580" s="48" t="n">
        <v>45815</v>
      </c>
      <c r="C580" s="47" t="s">
        <v>159</v>
      </c>
      <c r="D580" s="47" t="s">
        <v>160</v>
      </c>
      <c r="E580" s="47" t="s">
        <v>100</v>
      </c>
      <c r="F580" s="47" t="s">
        <v>161</v>
      </c>
      <c r="G580" s="49" t="n">
        <v>58262.03</v>
      </c>
      <c r="H580" s="50" t="n">
        <v>0.05</v>
      </c>
      <c r="I580" s="47" t="s">
        <v>162</v>
      </c>
      <c r="J580" s="48" t="n">
        <v>45815</v>
      </c>
      <c r="K580" s="51" t="str">
        <f aca="false">"Q"&amp;ROUNDUP(MONTH(B580)/3,0)</f>
        <v>Q2</v>
      </c>
      <c r="L580" s="52" t="n">
        <f aca="false">ROUND(G580*H580,2)</f>
        <v>2913.1</v>
      </c>
      <c r="M580" s="52" t="n">
        <f aca="false">IF(AND(C580="Sales",F580="Standard-rated 5%"),L580,0)</f>
        <v>2913.1</v>
      </c>
      <c r="N580" s="52" t="n">
        <f aca="false">IF(F580="Reverse charge (imported services)",L580,0)</f>
        <v>0</v>
      </c>
      <c r="O580" s="52" t="n">
        <f aca="false">IF(C580&lt;&gt;"Purchase",0,IF(OR(I580="N",F580="Blocked input (entertainment)"),0,L580))</f>
        <v>0</v>
      </c>
      <c r="P580" s="52" t="n">
        <f aca="false">IF(C580&lt;&gt;"Purchase",0,L580-O580)</f>
        <v>0</v>
      </c>
      <c r="Q580" s="53" t="n">
        <f aca="false">J580-B580</f>
        <v>0</v>
      </c>
      <c r="R580" s="51" t="str">
        <f aca="false">IF(I580="N","Invalid / missing TRN",IF(F580="Blocked input (entertainment)","Blocked input",IF(Q580&gt;30,"Late posting (&gt;30d)","")))</f>
        <v/>
      </c>
    </row>
    <row r="581" customFormat="false" ht="15" hidden="false" customHeight="false" outlineLevel="0" collapsed="false">
      <c r="A581" s="47" t="s">
        <v>867</v>
      </c>
      <c r="B581" s="48" t="n">
        <v>45815</v>
      </c>
      <c r="C581" s="47" t="s">
        <v>159</v>
      </c>
      <c r="D581" s="47" t="s">
        <v>247</v>
      </c>
      <c r="E581" s="47" t="s">
        <v>101</v>
      </c>
      <c r="F581" s="47" t="s">
        <v>161</v>
      </c>
      <c r="G581" s="49" t="n">
        <v>52938.16</v>
      </c>
      <c r="H581" s="50" t="n">
        <v>0.05</v>
      </c>
      <c r="I581" s="47" t="s">
        <v>162</v>
      </c>
      <c r="J581" s="48" t="n">
        <v>45815</v>
      </c>
      <c r="K581" s="51" t="str">
        <f aca="false">"Q"&amp;ROUNDUP(MONTH(B581)/3,0)</f>
        <v>Q2</v>
      </c>
      <c r="L581" s="52" t="n">
        <f aca="false">ROUND(G581*H581,2)</f>
        <v>2646.91</v>
      </c>
      <c r="M581" s="52" t="n">
        <f aca="false">IF(AND(C581="Sales",F581="Standard-rated 5%"),L581,0)</f>
        <v>2646.91</v>
      </c>
      <c r="N581" s="52" t="n">
        <f aca="false">IF(F581="Reverse charge (imported services)",L581,0)</f>
        <v>0</v>
      </c>
      <c r="O581" s="52" t="n">
        <f aca="false">IF(C581&lt;&gt;"Purchase",0,IF(OR(I581="N",F581="Blocked input (entertainment)"),0,L581))</f>
        <v>0</v>
      </c>
      <c r="P581" s="52" t="n">
        <f aca="false">IF(C581&lt;&gt;"Purchase",0,L581-O581)</f>
        <v>0</v>
      </c>
      <c r="Q581" s="53" t="n">
        <f aca="false">J581-B581</f>
        <v>0</v>
      </c>
      <c r="R581" s="51" t="str">
        <f aca="false">IF(I581="N","Invalid / missing TRN",IF(F581="Blocked input (entertainment)","Blocked input",IF(Q581&gt;30,"Late posting (&gt;30d)","")))</f>
        <v/>
      </c>
    </row>
    <row r="582" customFormat="false" ht="15" hidden="false" customHeight="false" outlineLevel="0" collapsed="false">
      <c r="A582" s="47" t="s">
        <v>868</v>
      </c>
      <c r="B582" s="48" t="n">
        <v>45816</v>
      </c>
      <c r="C582" s="47" t="s">
        <v>159</v>
      </c>
      <c r="D582" s="47" t="s">
        <v>241</v>
      </c>
      <c r="E582" s="47" t="s">
        <v>101</v>
      </c>
      <c r="F582" s="47" t="s">
        <v>161</v>
      </c>
      <c r="G582" s="49" t="n">
        <v>164049.47</v>
      </c>
      <c r="H582" s="50" t="n">
        <v>0.05</v>
      </c>
      <c r="I582" s="47" t="s">
        <v>162</v>
      </c>
      <c r="J582" s="48" t="n">
        <v>45816</v>
      </c>
      <c r="K582" s="51" t="str">
        <f aca="false">"Q"&amp;ROUNDUP(MONTH(B582)/3,0)</f>
        <v>Q2</v>
      </c>
      <c r="L582" s="52" t="n">
        <f aca="false">ROUND(G582*H582,2)</f>
        <v>8202.47</v>
      </c>
      <c r="M582" s="52" t="n">
        <f aca="false">IF(AND(C582="Sales",F582="Standard-rated 5%"),L582,0)</f>
        <v>8202.47</v>
      </c>
      <c r="N582" s="52" t="n">
        <f aca="false">IF(F582="Reverse charge (imported services)",L582,0)</f>
        <v>0</v>
      </c>
      <c r="O582" s="52" t="n">
        <f aca="false">IF(C582&lt;&gt;"Purchase",0,IF(OR(I582="N",F582="Blocked input (entertainment)"),0,L582))</f>
        <v>0</v>
      </c>
      <c r="P582" s="52" t="n">
        <f aca="false">IF(C582&lt;&gt;"Purchase",0,L582-O582)</f>
        <v>0</v>
      </c>
      <c r="Q582" s="53" t="n">
        <f aca="false">J582-B582</f>
        <v>0</v>
      </c>
      <c r="R582" s="51" t="str">
        <f aca="false">IF(I582="N","Invalid / missing TRN",IF(F582="Blocked input (entertainment)","Blocked input",IF(Q582&gt;30,"Late posting (&gt;30d)","")))</f>
        <v/>
      </c>
    </row>
    <row r="583" customFormat="false" ht="15" hidden="false" customHeight="false" outlineLevel="0" collapsed="false">
      <c r="A583" s="47" t="s">
        <v>869</v>
      </c>
      <c r="B583" s="48" t="n">
        <v>45816</v>
      </c>
      <c r="C583" s="47" t="s">
        <v>159</v>
      </c>
      <c r="D583" s="47" t="s">
        <v>439</v>
      </c>
      <c r="E583" s="47" t="s">
        <v>101</v>
      </c>
      <c r="F583" s="47" t="s">
        <v>161</v>
      </c>
      <c r="G583" s="49" t="n">
        <v>25095.54</v>
      </c>
      <c r="H583" s="50" t="n">
        <v>0.05</v>
      </c>
      <c r="I583" s="47" t="s">
        <v>162</v>
      </c>
      <c r="J583" s="48" t="n">
        <v>45816</v>
      </c>
      <c r="K583" s="51" t="str">
        <f aca="false">"Q"&amp;ROUNDUP(MONTH(B583)/3,0)</f>
        <v>Q2</v>
      </c>
      <c r="L583" s="52" t="n">
        <f aca="false">ROUND(G583*H583,2)</f>
        <v>1254.78</v>
      </c>
      <c r="M583" s="52" t="n">
        <f aca="false">IF(AND(C583="Sales",F583="Standard-rated 5%"),L583,0)</f>
        <v>1254.78</v>
      </c>
      <c r="N583" s="52" t="n">
        <f aca="false">IF(F583="Reverse charge (imported services)",L583,0)</f>
        <v>0</v>
      </c>
      <c r="O583" s="52" t="n">
        <f aca="false">IF(C583&lt;&gt;"Purchase",0,IF(OR(I583="N",F583="Blocked input (entertainment)"),0,L583))</f>
        <v>0</v>
      </c>
      <c r="P583" s="52" t="n">
        <f aca="false">IF(C583&lt;&gt;"Purchase",0,L583-O583)</f>
        <v>0</v>
      </c>
      <c r="Q583" s="53" t="n">
        <f aca="false">J583-B583</f>
        <v>0</v>
      </c>
      <c r="R583" s="51" t="str">
        <f aca="false">IF(I583="N","Invalid / missing TRN",IF(F583="Blocked input (entertainment)","Blocked input",IF(Q583&gt;30,"Late posting (&gt;30d)","")))</f>
        <v/>
      </c>
    </row>
    <row r="584" customFormat="false" ht="15" hidden="false" customHeight="false" outlineLevel="0" collapsed="false">
      <c r="A584" s="47" t="s">
        <v>870</v>
      </c>
      <c r="B584" s="48" t="n">
        <v>45816</v>
      </c>
      <c r="C584" s="47" t="s">
        <v>159</v>
      </c>
      <c r="D584" s="47" t="s">
        <v>581</v>
      </c>
      <c r="E584" s="47" t="s">
        <v>100</v>
      </c>
      <c r="F584" s="47" t="s">
        <v>161</v>
      </c>
      <c r="G584" s="49" t="n">
        <v>18691.34</v>
      </c>
      <c r="H584" s="50" t="n">
        <v>0.05</v>
      </c>
      <c r="I584" s="47" t="s">
        <v>162</v>
      </c>
      <c r="J584" s="48" t="n">
        <v>45816</v>
      </c>
      <c r="K584" s="51" t="str">
        <f aca="false">"Q"&amp;ROUNDUP(MONTH(B584)/3,0)</f>
        <v>Q2</v>
      </c>
      <c r="L584" s="52" t="n">
        <f aca="false">ROUND(G584*H584,2)</f>
        <v>934.57</v>
      </c>
      <c r="M584" s="52" t="n">
        <f aca="false">IF(AND(C584="Sales",F584="Standard-rated 5%"),L584,0)</f>
        <v>934.57</v>
      </c>
      <c r="N584" s="52" t="n">
        <f aca="false">IF(F584="Reverse charge (imported services)",L584,0)</f>
        <v>0</v>
      </c>
      <c r="O584" s="52" t="n">
        <f aca="false">IF(C584&lt;&gt;"Purchase",0,IF(OR(I584="N",F584="Blocked input (entertainment)"),0,L584))</f>
        <v>0</v>
      </c>
      <c r="P584" s="52" t="n">
        <f aca="false">IF(C584&lt;&gt;"Purchase",0,L584-O584)</f>
        <v>0</v>
      </c>
      <c r="Q584" s="53" t="n">
        <f aca="false">J584-B584</f>
        <v>0</v>
      </c>
      <c r="R584" s="51" t="str">
        <f aca="false">IF(I584="N","Invalid / missing TRN",IF(F584="Blocked input (entertainment)","Blocked input",IF(Q584&gt;30,"Late posting (&gt;30d)","")))</f>
        <v/>
      </c>
    </row>
    <row r="585" customFormat="false" ht="15" hidden="false" customHeight="false" outlineLevel="0" collapsed="false">
      <c r="A585" s="47" t="s">
        <v>871</v>
      </c>
      <c r="B585" s="48" t="n">
        <v>45816</v>
      </c>
      <c r="C585" s="47" t="s">
        <v>159</v>
      </c>
      <c r="D585" s="47" t="s">
        <v>243</v>
      </c>
      <c r="E585" s="47" t="s">
        <v>104</v>
      </c>
      <c r="F585" s="47" t="s">
        <v>161</v>
      </c>
      <c r="G585" s="49" t="n">
        <v>91136.63</v>
      </c>
      <c r="H585" s="50" t="n">
        <v>0.05</v>
      </c>
      <c r="I585" s="47" t="s">
        <v>162</v>
      </c>
      <c r="J585" s="48" t="n">
        <v>45856</v>
      </c>
      <c r="K585" s="51" t="str">
        <f aca="false">"Q"&amp;ROUNDUP(MONTH(B585)/3,0)</f>
        <v>Q2</v>
      </c>
      <c r="L585" s="52" t="n">
        <f aca="false">ROUND(G585*H585,2)</f>
        <v>4556.83</v>
      </c>
      <c r="M585" s="52" t="n">
        <f aca="false">IF(AND(C585="Sales",F585="Standard-rated 5%"),L585,0)</f>
        <v>4556.83</v>
      </c>
      <c r="N585" s="52" t="n">
        <f aca="false">IF(F585="Reverse charge (imported services)",L585,0)</f>
        <v>0</v>
      </c>
      <c r="O585" s="52" t="n">
        <f aca="false">IF(C585&lt;&gt;"Purchase",0,IF(OR(I585="N",F585="Blocked input (entertainment)"),0,L585))</f>
        <v>0</v>
      </c>
      <c r="P585" s="52" t="n">
        <f aca="false">IF(C585&lt;&gt;"Purchase",0,L585-O585)</f>
        <v>0</v>
      </c>
      <c r="Q585" s="53" t="n">
        <f aca="false">J585-B585</f>
        <v>40</v>
      </c>
      <c r="R585" s="51" t="str">
        <f aca="false">IF(I585="N","Invalid / missing TRN",IF(F585="Blocked input (entertainment)","Blocked input",IF(Q585&gt;30,"Late posting (&gt;30d)","")))</f>
        <v>Late posting (&gt;30d)</v>
      </c>
    </row>
    <row r="586" customFormat="false" ht="15" hidden="false" customHeight="false" outlineLevel="0" collapsed="false">
      <c r="A586" s="47" t="s">
        <v>872</v>
      </c>
      <c r="B586" s="48" t="n">
        <v>45817</v>
      </c>
      <c r="C586" s="47" t="s">
        <v>159</v>
      </c>
      <c r="D586" s="47" t="s">
        <v>223</v>
      </c>
      <c r="E586" s="47" t="s">
        <v>101</v>
      </c>
      <c r="F586" s="47" t="s">
        <v>278</v>
      </c>
      <c r="G586" s="49" t="n">
        <v>57380.26</v>
      </c>
      <c r="H586" s="50" t="n">
        <v>0</v>
      </c>
      <c r="I586" s="47" t="s">
        <v>162</v>
      </c>
      <c r="J586" s="48" t="n">
        <v>45817</v>
      </c>
      <c r="K586" s="51" t="str">
        <f aca="false">"Q"&amp;ROUNDUP(MONTH(B586)/3,0)</f>
        <v>Q2</v>
      </c>
      <c r="L586" s="52" t="n">
        <f aca="false">ROUND(G586*H586,2)</f>
        <v>0</v>
      </c>
      <c r="M586" s="52" t="n">
        <f aca="false">IF(AND(C586="Sales",F586="Standard-rated 5%"),L586,0)</f>
        <v>0</v>
      </c>
      <c r="N586" s="52" t="n">
        <f aca="false">IF(F586="Reverse charge (imported services)",L586,0)</f>
        <v>0</v>
      </c>
      <c r="O586" s="52" t="n">
        <f aca="false">IF(C586&lt;&gt;"Purchase",0,IF(OR(I586="N",F586="Blocked input (entertainment)"),0,L586))</f>
        <v>0</v>
      </c>
      <c r="P586" s="52" t="n">
        <f aca="false">IF(C586&lt;&gt;"Purchase",0,L586-O586)</f>
        <v>0</v>
      </c>
      <c r="Q586" s="53" t="n">
        <f aca="false">J586-B586</f>
        <v>0</v>
      </c>
      <c r="R586" s="51" t="str">
        <f aca="false">IF(I586="N","Invalid / missing TRN",IF(F586="Blocked input (entertainment)","Blocked input",IF(Q586&gt;30,"Late posting (&gt;30d)","")))</f>
        <v/>
      </c>
    </row>
    <row r="587" customFormat="false" ht="15" hidden="false" customHeight="false" outlineLevel="0" collapsed="false">
      <c r="A587" s="47" t="s">
        <v>873</v>
      </c>
      <c r="B587" s="48" t="n">
        <v>45817</v>
      </c>
      <c r="C587" s="47" t="s">
        <v>159</v>
      </c>
      <c r="D587" s="47" t="s">
        <v>225</v>
      </c>
      <c r="E587" s="47" t="s">
        <v>100</v>
      </c>
      <c r="F587" s="47" t="s">
        <v>161</v>
      </c>
      <c r="G587" s="49" t="n">
        <v>147747.6</v>
      </c>
      <c r="H587" s="50" t="n">
        <v>0.05</v>
      </c>
      <c r="I587" s="47" t="s">
        <v>162</v>
      </c>
      <c r="J587" s="48" t="n">
        <v>45817</v>
      </c>
      <c r="K587" s="51" t="str">
        <f aca="false">"Q"&amp;ROUNDUP(MONTH(B587)/3,0)</f>
        <v>Q2</v>
      </c>
      <c r="L587" s="52" t="n">
        <f aca="false">ROUND(G587*H587,2)</f>
        <v>7387.38</v>
      </c>
      <c r="M587" s="52" t="n">
        <f aca="false">IF(AND(C587="Sales",F587="Standard-rated 5%"),L587,0)</f>
        <v>7387.38</v>
      </c>
      <c r="N587" s="52" t="n">
        <f aca="false">IF(F587="Reverse charge (imported services)",L587,0)</f>
        <v>0</v>
      </c>
      <c r="O587" s="52" t="n">
        <f aca="false">IF(C587&lt;&gt;"Purchase",0,IF(OR(I587="N",F587="Blocked input (entertainment)"),0,L587))</f>
        <v>0</v>
      </c>
      <c r="P587" s="52" t="n">
        <f aca="false">IF(C587&lt;&gt;"Purchase",0,L587-O587)</f>
        <v>0</v>
      </c>
      <c r="Q587" s="53" t="n">
        <f aca="false">J587-B587</f>
        <v>0</v>
      </c>
      <c r="R587" s="51" t="str">
        <f aca="false">IF(I587="N","Invalid / missing TRN",IF(F587="Blocked input (entertainment)","Blocked input",IF(Q587&gt;30,"Late posting (&gt;30d)","")))</f>
        <v/>
      </c>
    </row>
    <row r="588" customFormat="false" ht="15" hidden="false" customHeight="false" outlineLevel="0" collapsed="false">
      <c r="A588" s="47" t="s">
        <v>874</v>
      </c>
      <c r="B588" s="48" t="n">
        <v>45818</v>
      </c>
      <c r="C588" s="47" t="s">
        <v>166</v>
      </c>
      <c r="D588" s="47" t="s">
        <v>274</v>
      </c>
      <c r="E588" s="47" t="s">
        <v>106</v>
      </c>
      <c r="F588" s="47" t="s">
        <v>161</v>
      </c>
      <c r="G588" s="49" t="n">
        <v>7979.84</v>
      </c>
      <c r="H588" s="50" t="n">
        <v>0.05</v>
      </c>
      <c r="I588" s="47" t="s">
        <v>162</v>
      </c>
      <c r="J588" s="48" t="n">
        <v>45820</v>
      </c>
      <c r="K588" s="51" t="str">
        <f aca="false">"Q"&amp;ROUNDUP(MONTH(B588)/3,0)</f>
        <v>Q2</v>
      </c>
      <c r="L588" s="52" t="n">
        <f aca="false">ROUND(G588*H588,2)</f>
        <v>398.99</v>
      </c>
      <c r="M588" s="52" t="n">
        <f aca="false">IF(AND(C588="Sales",F588="Standard-rated 5%"),L588,0)</f>
        <v>0</v>
      </c>
      <c r="N588" s="52" t="n">
        <f aca="false">IF(F588="Reverse charge (imported services)",L588,0)</f>
        <v>0</v>
      </c>
      <c r="O588" s="52" t="n">
        <f aca="false">IF(C588&lt;&gt;"Purchase",0,IF(OR(I588="N",F588="Blocked input (entertainment)"),0,L588))</f>
        <v>398.99</v>
      </c>
      <c r="P588" s="52" t="n">
        <f aca="false">IF(C588&lt;&gt;"Purchase",0,L588-O588)</f>
        <v>0</v>
      </c>
      <c r="Q588" s="53" t="n">
        <f aca="false">J588-B588</f>
        <v>2</v>
      </c>
      <c r="R588" s="51" t="str">
        <f aca="false">IF(I588="N","Invalid / missing TRN",IF(F588="Blocked input (entertainment)","Blocked input",IF(Q588&gt;30,"Late posting (&gt;30d)","")))</f>
        <v/>
      </c>
    </row>
    <row r="589" customFormat="false" ht="15" hidden="false" customHeight="false" outlineLevel="0" collapsed="false">
      <c r="A589" s="47" t="s">
        <v>875</v>
      </c>
      <c r="B589" s="48" t="n">
        <v>45818</v>
      </c>
      <c r="C589" s="47" t="s">
        <v>166</v>
      </c>
      <c r="D589" s="47" t="s">
        <v>514</v>
      </c>
      <c r="E589" s="47" t="s">
        <v>101</v>
      </c>
      <c r="F589" s="47" t="s">
        <v>161</v>
      </c>
      <c r="G589" s="49" t="n">
        <v>17490.84</v>
      </c>
      <c r="H589" s="50" t="n">
        <v>0.05</v>
      </c>
      <c r="I589" s="47" t="s">
        <v>162</v>
      </c>
      <c r="J589" s="48" t="n">
        <v>45819</v>
      </c>
      <c r="K589" s="51" t="str">
        <f aca="false">"Q"&amp;ROUNDUP(MONTH(B589)/3,0)</f>
        <v>Q2</v>
      </c>
      <c r="L589" s="52" t="n">
        <f aca="false">ROUND(G589*H589,2)</f>
        <v>874.54</v>
      </c>
      <c r="M589" s="52" t="n">
        <f aca="false">IF(AND(C589="Sales",F589="Standard-rated 5%"),L589,0)</f>
        <v>0</v>
      </c>
      <c r="N589" s="52" t="n">
        <f aca="false">IF(F589="Reverse charge (imported services)",L589,0)</f>
        <v>0</v>
      </c>
      <c r="O589" s="52" t="n">
        <f aca="false">IF(C589&lt;&gt;"Purchase",0,IF(OR(I589="N",F589="Blocked input (entertainment)"),0,L589))</f>
        <v>874.54</v>
      </c>
      <c r="P589" s="52" t="n">
        <f aca="false">IF(C589&lt;&gt;"Purchase",0,L589-O589)</f>
        <v>0</v>
      </c>
      <c r="Q589" s="53" t="n">
        <f aca="false">J589-B589</f>
        <v>1</v>
      </c>
      <c r="R589" s="51" t="str">
        <f aca="false">IF(I589="N","Invalid / missing TRN",IF(F589="Blocked input (entertainment)","Blocked input",IF(Q589&gt;30,"Late posting (&gt;30d)","")))</f>
        <v/>
      </c>
    </row>
    <row r="590" customFormat="false" ht="15" hidden="false" customHeight="false" outlineLevel="0" collapsed="false">
      <c r="A590" s="47" t="s">
        <v>876</v>
      </c>
      <c r="B590" s="48" t="n">
        <v>45818</v>
      </c>
      <c r="C590" s="47" t="s">
        <v>159</v>
      </c>
      <c r="D590" s="47" t="s">
        <v>290</v>
      </c>
      <c r="E590" s="47" t="s">
        <v>101</v>
      </c>
      <c r="F590" s="47" t="s">
        <v>214</v>
      </c>
      <c r="G590" s="49" t="n">
        <v>36284.28</v>
      </c>
      <c r="H590" s="50" t="n">
        <v>0</v>
      </c>
      <c r="I590" s="47" t="s">
        <v>162</v>
      </c>
      <c r="J590" s="48" t="n">
        <v>45818</v>
      </c>
      <c r="K590" s="51" t="str">
        <f aca="false">"Q"&amp;ROUNDUP(MONTH(B590)/3,0)</f>
        <v>Q2</v>
      </c>
      <c r="L590" s="52" t="n">
        <f aca="false">ROUND(G590*H590,2)</f>
        <v>0</v>
      </c>
      <c r="M590" s="52" t="n">
        <f aca="false">IF(AND(C590="Sales",F590="Standard-rated 5%"),L590,0)</f>
        <v>0</v>
      </c>
      <c r="N590" s="52" t="n">
        <f aca="false">IF(F590="Reverse charge (imported services)",L590,0)</f>
        <v>0</v>
      </c>
      <c r="O590" s="52" t="n">
        <f aca="false">IF(C590&lt;&gt;"Purchase",0,IF(OR(I590="N",F590="Blocked input (entertainment)"),0,L590))</f>
        <v>0</v>
      </c>
      <c r="P590" s="52" t="n">
        <f aca="false">IF(C590&lt;&gt;"Purchase",0,L590-O590)</f>
        <v>0</v>
      </c>
      <c r="Q590" s="53" t="n">
        <f aca="false">J590-B590</f>
        <v>0</v>
      </c>
      <c r="R590" s="51" t="str">
        <f aca="false">IF(I590="N","Invalid / missing TRN",IF(F590="Blocked input (entertainment)","Blocked input",IF(Q590&gt;30,"Late posting (&gt;30d)","")))</f>
        <v/>
      </c>
    </row>
    <row r="591" customFormat="false" ht="15" hidden="false" customHeight="false" outlineLevel="0" collapsed="false">
      <c r="A591" s="47" t="s">
        <v>877</v>
      </c>
      <c r="B591" s="48" t="n">
        <v>45818</v>
      </c>
      <c r="C591" s="47" t="s">
        <v>159</v>
      </c>
      <c r="D591" s="47" t="s">
        <v>322</v>
      </c>
      <c r="E591" s="47" t="s">
        <v>101</v>
      </c>
      <c r="F591" s="47" t="s">
        <v>161</v>
      </c>
      <c r="G591" s="49" t="n">
        <v>24293.47</v>
      </c>
      <c r="H591" s="50" t="n">
        <v>0.05</v>
      </c>
      <c r="I591" s="47" t="s">
        <v>162</v>
      </c>
      <c r="J591" s="48" t="n">
        <v>45818</v>
      </c>
      <c r="K591" s="51" t="str">
        <f aca="false">"Q"&amp;ROUNDUP(MONTH(B591)/3,0)</f>
        <v>Q2</v>
      </c>
      <c r="L591" s="52" t="n">
        <f aca="false">ROUND(G591*H591,2)</f>
        <v>1214.67</v>
      </c>
      <c r="M591" s="52" t="n">
        <f aca="false">IF(AND(C591="Sales",F591="Standard-rated 5%"),L591,0)</f>
        <v>1214.67</v>
      </c>
      <c r="N591" s="52" t="n">
        <f aca="false">IF(F591="Reverse charge (imported services)",L591,0)</f>
        <v>0</v>
      </c>
      <c r="O591" s="52" t="n">
        <f aca="false">IF(C591&lt;&gt;"Purchase",0,IF(OR(I591="N",F591="Blocked input (entertainment)"),0,L591))</f>
        <v>0</v>
      </c>
      <c r="P591" s="52" t="n">
        <f aca="false">IF(C591&lt;&gt;"Purchase",0,L591-O591)</f>
        <v>0</v>
      </c>
      <c r="Q591" s="53" t="n">
        <f aca="false">J591-B591</f>
        <v>0</v>
      </c>
      <c r="R591" s="51" t="str">
        <f aca="false">IF(I591="N","Invalid / missing TRN",IF(F591="Blocked input (entertainment)","Blocked input",IF(Q591&gt;30,"Late posting (&gt;30d)","")))</f>
        <v/>
      </c>
    </row>
    <row r="592" customFormat="false" ht="15" hidden="false" customHeight="false" outlineLevel="0" collapsed="false">
      <c r="A592" s="47" t="s">
        <v>878</v>
      </c>
      <c r="B592" s="48" t="n">
        <v>45819</v>
      </c>
      <c r="C592" s="47" t="s">
        <v>166</v>
      </c>
      <c r="D592" s="47" t="s">
        <v>231</v>
      </c>
      <c r="E592" s="47" t="s">
        <v>101</v>
      </c>
      <c r="F592" s="47" t="s">
        <v>161</v>
      </c>
      <c r="G592" s="49" t="n">
        <v>102752.35</v>
      </c>
      <c r="H592" s="50" t="n">
        <v>0.05</v>
      </c>
      <c r="I592" s="47" t="s">
        <v>162</v>
      </c>
      <c r="J592" s="48" t="n">
        <v>45819</v>
      </c>
      <c r="K592" s="51" t="str">
        <f aca="false">"Q"&amp;ROUNDUP(MONTH(B592)/3,0)</f>
        <v>Q2</v>
      </c>
      <c r="L592" s="52" t="n">
        <f aca="false">ROUND(G592*H592,2)</f>
        <v>5137.62</v>
      </c>
      <c r="M592" s="52" t="n">
        <f aca="false">IF(AND(C592="Sales",F592="Standard-rated 5%"),L592,0)</f>
        <v>0</v>
      </c>
      <c r="N592" s="52" t="n">
        <f aca="false">IF(F592="Reverse charge (imported services)",L592,0)</f>
        <v>0</v>
      </c>
      <c r="O592" s="52" t="n">
        <f aca="false">IF(C592&lt;&gt;"Purchase",0,IF(OR(I592="N",F592="Blocked input (entertainment)"),0,L592))</f>
        <v>5137.62</v>
      </c>
      <c r="P592" s="52" t="n">
        <f aca="false">IF(C592&lt;&gt;"Purchase",0,L592-O592)</f>
        <v>0</v>
      </c>
      <c r="Q592" s="53" t="n">
        <f aca="false">J592-B592</f>
        <v>0</v>
      </c>
      <c r="R592" s="51" t="str">
        <f aca="false">IF(I592="N","Invalid / missing TRN",IF(F592="Blocked input (entertainment)","Blocked input",IF(Q592&gt;30,"Late posting (&gt;30d)","")))</f>
        <v/>
      </c>
    </row>
    <row r="593" customFormat="false" ht="15" hidden="false" customHeight="false" outlineLevel="0" collapsed="false">
      <c r="A593" s="47" t="s">
        <v>879</v>
      </c>
      <c r="B593" s="48" t="n">
        <v>45819</v>
      </c>
      <c r="C593" s="47" t="s">
        <v>166</v>
      </c>
      <c r="D593" s="47" t="s">
        <v>251</v>
      </c>
      <c r="E593" s="47" t="s">
        <v>100</v>
      </c>
      <c r="F593" s="47" t="s">
        <v>161</v>
      </c>
      <c r="G593" s="49" t="n">
        <v>24115.26</v>
      </c>
      <c r="H593" s="50" t="n">
        <v>0.05</v>
      </c>
      <c r="I593" s="47" t="s">
        <v>162</v>
      </c>
      <c r="J593" s="48" t="n">
        <v>45819</v>
      </c>
      <c r="K593" s="51" t="str">
        <f aca="false">"Q"&amp;ROUNDUP(MONTH(B593)/3,0)</f>
        <v>Q2</v>
      </c>
      <c r="L593" s="52" t="n">
        <f aca="false">ROUND(G593*H593,2)</f>
        <v>1205.76</v>
      </c>
      <c r="M593" s="52" t="n">
        <f aca="false">IF(AND(C593="Sales",F593="Standard-rated 5%"),L593,0)</f>
        <v>0</v>
      </c>
      <c r="N593" s="52" t="n">
        <f aca="false">IF(F593="Reverse charge (imported services)",L593,0)</f>
        <v>0</v>
      </c>
      <c r="O593" s="52" t="n">
        <f aca="false">IF(C593&lt;&gt;"Purchase",0,IF(OR(I593="N",F593="Blocked input (entertainment)"),0,L593))</f>
        <v>1205.76</v>
      </c>
      <c r="P593" s="52" t="n">
        <f aca="false">IF(C593&lt;&gt;"Purchase",0,L593-O593)</f>
        <v>0</v>
      </c>
      <c r="Q593" s="53" t="n">
        <f aca="false">J593-B593</f>
        <v>0</v>
      </c>
      <c r="R593" s="51" t="str">
        <f aca="false">IF(I593="N","Invalid / missing TRN",IF(F593="Blocked input (entertainment)","Blocked input",IF(Q593&gt;30,"Late posting (&gt;30d)","")))</f>
        <v/>
      </c>
    </row>
    <row r="594" customFormat="false" ht="15" hidden="false" customHeight="false" outlineLevel="0" collapsed="false">
      <c r="A594" s="47" t="s">
        <v>880</v>
      </c>
      <c r="B594" s="48" t="n">
        <v>45819</v>
      </c>
      <c r="C594" s="47" t="s">
        <v>159</v>
      </c>
      <c r="D594" s="47" t="s">
        <v>355</v>
      </c>
      <c r="E594" s="47" t="s">
        <v>101</v>
      </c>
      <c r="F594" s="47" t="s">
        <v>161</v>
      </c>
      <c r="G594" s="49" t="n">
        <v>40071.36</v>
      </c>
      <c r="H594" s="50" t="n">
        <v>0.05</v>
      </c>
      <c r="I594" s="47" t="s">
        <v>162</v>
      </c>
      <c r="J594" s="48" t="n">
        <v>45821</v>
      </c>
      <c r="K594" s="51" t="str">
        <f aca="false">"Q"&amp;ROUNDUP(MONTH(B594)/3,0)</f>
        <v>Q2</v>
      </c>
      <c r="L594" s="52" t="n">
        <f aca="false">ROUND(G594*H594,2)</f>
        <v>2003.57</v>
      </c>
      <c r="M594" s="52" t="n">
        <f aca="false">IF(AND(C594="Sales",F594="Standard-rated 5%"),L594,0)</f>
        <v>2003.57</v>
      </c>
      <c r="N594" s="52" t="n">
        <f aca="false">IF(F594="Reverse charge (imported services)",L594,0)</f>
        <v>0</v>
      </c>
      <c r="O594" s="52" t="n">
        <f aca="false">IF(C594&lt;&gt;"Purchase",0,IF(OR(I594="N",F594="Blocked input (entertainment)"),0,L594))</f>
        <v>0</v>
      </c>
      <c r="P594" s="52" t="n">
        <f aca="false">IF(C594&lt;&gt;"Purchase",0,L594-O594)</f>
        <v>0</v>
      </c>
      <c r="Q594" s="53" t="n">
        <f aca="false">J594-B594</f>
        <v>2</v>
      </c>
      <c r="R594" s="51" t="str">
        <f aca="false">IF(I594="N","Invalid / missing TRN",IF(F594="Blocked input (entertainment)","Blocked input",IF(Q594&gt;30,"Late posting (&gt;30d)","")))</f>
        <v/>
      </c>
    </row>
    <row r="595" customFormat="false" ht="15" hidden="false" customHeight="false" outlineLevel="0" collapsed="false">
      <c r="A595" s="47" t="s">
        <v>881</v>
      </c>
      <c r="B595" s="48" t="n">
        <v>45820</v>
      </c>
      <c r="C595" s="47" t="s">
        <v>159</v>
      </c>
      <c r="D595" s="47" t="s">
        <v>359</v>
      </c>
      <c r="E595" s="47" t="s">
        <v>100</v>
      </c>
      <c r="F595" s="47" t="s">
        <v>278</v>
      </c>
      <c r="G595" s="49" t="n">
        <v>22681.18</v>
      </c>
      <c r="H595" s="50" t="n">
        <v>0</v>
      </c>
      <c r="I595" s="47" t="s">
        <v>162</v>
      </c>
      <c r="J595" s="48" t="n">
        <v>45820</v>
      </c>
      <c r="K595" s="51" t="str">
        <f aca="false">"Q"&amp;ROUNDUP(MONTH(B595)/3,0)</f>
        <v>Q2</v>
      </c>
      <c r="L595" s="52" t="n">
        <f aca="false">ROUND(G595*H595,2)</f>
        <v>0</v>
      </c>
      <c r="M595" s="52" t="n">
        <f aca="false">IF(AND(C595="Sales",F595="Standard-rated 5%"),L595,0)</f>
        <v>0</v>
      </c>
      <c r="N595" s="52" t="n">
        <f aca="false">IF(F595="Reverse charge (imported services)",L595,0)</f>
        <v>0</v>
      </c>
      <c r="O595" s="52" t="n">
        <f aca="false">IF(C595&lt;&gt;"Purchase",0,IF(OR(I595="N",F595="Blocked input (entertainment)"),0,L595))</f>
        <v>0</v>
      </c>
      <c r="P595" s="52" t="n">
        <f aca="false">IF(C595&lt;&gt;"Purchase",0,L595-O595)</f>
        <v>0</v>
      </c>
      <c r="Q595" s="53" t="n">
        <f aca="false">J595-B595</f>
        <v>0</v>
      </c>
      <c r="R595" s="51" t="str">
        <f aca="false">IF(I595="N","Invalid / missing TRN",IF(F595="Blocked input (entertainment)","Blocked input",IF(Q595&gt;30,"Late posting (&gt;30d)","")))</f>
        <v/>
      </c>
    </row>
    <row r="596" customFormat="false" ht="15" hidden="false" customHeight="false" outlineLevel="0" collapsed="false">
      <c r="A596" s="47" t="s">
        <v>882</v>
      </c>
      <c r="B596" s="48" t="n">
        <v>45821</v>
      </c>
      <c r="C596" s="47" t="s">
        <v>166</v>
      </c>
      <c r="D596" s="47" t="s">
        <v>462</v>
      </c>
      <c r="E596" s="47" t="s">
        <v>102</v>
      </c>
      <c r="F596" s="47" t="s">
        <v>173</v>
      </c>
      <c r="G596" s="49" t="n">
        <v>17928.47</v>
      </c>
      <c r="H596" s="50" t="n">
        <v>0.05</v>
      </c>
      <c r="I596" s="47" t="s">
        <v>162</v>
      </c>
      <c r="J596" s="48" t="n">
        <v>45821</v>
      </c>
      <c r="K596" s="51" t="str">
        <f aca="false">"Q"&amp;ROUNDUP(MONTH(B596)/3,0)</f>
        <v>Q2</v>
      </c>
      <c r="L596" s="52" t="n">
        <f aca="false">ROUND(G596*H596,2)</f>
        <v>896.42</v>
      </c>
      <c r="M596" s="52" t="n">
        <f aca="false">IF(AND(C596="Sales",F596="Standard-rated 5%"),L596,0)</f>
        <v>0</v>
      </c>
      <c r="N596" s="52" t="n">
        <f aca="false">IF(F596="Reverse charge (imported services)",L596,0)</f>
        <v>896.42</v>
      </c>
      <c r="O596" s="52" t="n">
        <f aca="false">IF(C596&lt;&gt;"Purchase",0,IF(OR(I596="N",F596="Blocked input (entertainment)"),0,L596))</f>
        <v>896.42</v>
      </c>
      <c r="P596" s="52" t="n">
        <f aca="false">IF(C596&lt;&gt;"Purchase",0,L596-O596)</f>
        <v>0</v>
      </c>
      <c r="Q596" s="53" t="n">
        <f aca="false">J596-B596</f>
        <v>0</v>
      </c>
      <c r="R596" s="51" t="str">
        <f aca="false">IF(I596="N","Invalid / missing TRN",IF(F596="Blocked input (entertainment)","Blocked input",IF(Q596&gt;30,"Late posting (&gt;30d)","")))</f>
        <v/>
      </c>
    </row>
    <row r="597" customFormat="false" ht="15" hidden="false" customHeight="false" outlineLevel="0" collapsed="false">
      <c r="A597" s="47" t="s">
        <v>883</v>
      </c>
      <c r="B597" s="48" t="n">
        <v>45821</v>
      </c>
      <c r="C597" s="47" t="s">
        <v>166</v>
      </c>
      <c r="D597" s="47" t="s">
        <v>335</v>
      </c>
      <c r="E597" s="47" t="s">
        <v>100</v>
      </c>
      <c r="F597" s="47" t="s">
        <v>161</v>
      </c>
      <c r="G597" s="49" t="n">
        <v>57802.74</v>
      </c>
      <c r="H597" s="50" t="n">
        <v>0.05</v>
      </c>
      <c r="I597" s="47" t="s">
        <v>162</v>
      </c>
      <c r="J597" s="48" t="n">
        <v>45823</v>
      </c>
      <c r="K597" s="51" t="str">
        <f aca="false">"Q"&amp;ROUNDUP(MONTH(B597)/3,0)</f>
        <v>Q2</v>
      </c>
      <c r="L597" s="52" t="n">
        <f aca="false">ROUND(G597*H597,2)</f>
        <v>2890.14</v>
      </c>
      <c r="M597" s="52" t="n">
        <f aca="false">IF(AND(C597="Sales",F597="Standard-rated 5%"),L597,0)</f>
        <v>0</v>
      </c>
      <c r="N597" s="52" t="n">
        <f aca="false">IF(F597="Reverse charge (imported services)",L597,0)</f>
        <v>0</v>
      </c>
      <c r="O597" s="52" t="n">
        <f aca="false">IF(C597&lt;&gt;"Purchase",0,IF(OR(I597="N",F597="Blocked input (entertainment)"),0,L597))</f>
        <v>2890.14</v>
      </c>
      <c r="P597" s="52" t="n">
        <f aca="false">IF(C597&lt;&gt;"Purchase",0,L597-O597)</f>
        <v>0</v>
      </c>
      <c r="Q597" s="53" t="n">
        <f aca="false">J597-B597</f>
        <v>2</v>
      </c>
      <c r="R597" s="51" t="str">
        <f aca="false">IF(I597="N","Invalid / missing TRN",IF(F597="Blocked input (entertainment)","Blocked input",IF(Q597&gt;30,"Late posting (&gt;30d)","")))</f>
        <v/>
      </c>
    </row>
    <row r="598" customFormat="false" ht="15" hidden="false" customHeight="false" outlineLevel="0" collapsed="false">
      <c r="A598" s="47" t="s">
        <v>884</v>
      </c>
      <c r="B598" s="48" t="n">
        <v>45821</v>
      </c>
      <c r="C598" s="47" t="s">
        <v>159</v>
      </c>
      <c r="D598" s="47" t="s">
        <v>300</v>
      </c>
      <c r="E598" s="47" t="s">
        <v>102</v>
      </c>
      <c r="F598" s="47" t="s">
        <v>161</v>
      </c>
      <c r="G598" s="49" t="n">
        <v>98493.39</v>
      </c>
      <c r="H598" s="50" t="n">
        <v>0.05</v>
      </c>
      <c r="I598" s="47" t="s">
        <v>162</v>
      </c>
      <c r="J598" s="48" t="n">
        <v>45821</v>
      </c>
      <c r="K598" s="51" t="str">
        <f aca="false">"Q"&amp;ROUNDUP(MONTH(B598)/3,0)</f>
        <v>Q2</v>
      </c>
      <c r="L598" s="52" t="n">
        <f aca="false">ROUND(G598*H598,2)</f>
        <v>4924.67</v>
      </c>
      <c r="M598" s="52" t="n">
        <f aca="false">IF(AND(C598="Sales",F598="Standard-rated 5%"),L598,0)</f>
        <v>4924.67</v>
      </c>
      <c r="N598" s="52" t="n">
        <f aca="false">IF(F598="Reverse charge (imported services)",L598,0)</f>
        <v>0</v>
      </c>
      <c r="O598" s="52" t="n">
        <f aca="false">IF(C598&lt;&gt;"Purchase",0,IF(OR(I598="N",F598="Blocked input (entertainment)"),0,L598))</f>
        <v>0</v>
      </c>
      <c r="P598" s="52" t="n">
        <f aca="false">IF(C598&lt;&gt;"Purchase",0,L598-O598)</f>
        <v>0</v>
      </c>
      <c r="Q598" s="53" t="n">
        <f aca="false">J598-B598</f>
        <v>0</v>
      </c>
      <c r="R598" s="51" t="str">
        <f aca="false">IF(I598="N","Invalid / missing TRN",IF(F598="Blocked input (entertainment)","Blocked input",IF(Q598&gt;30,"Late posting (&gt;30d)","")))</f>
        <v/>
      </c>
    </row>
    <row r="599" customFormat="false" ht="15" hidden="false" customHeight="false" outlineLevel="0" collapsed="false">
      <c r="A599" s="47" t="s">
        <v>885</v>
      </c>
      <c r="B599" s="48" t="n">
        <v>45822</v>
      </c>
      <c r="C599" s="47" t="s">
        <v>166</v>
      </c>
      <c r="D599" s="47" t="s">
        <v>257</v>
      </c>
      <c r="E599" s="47" t="s">
        <v>100</v>
      </c>
      <c r="F599" s="47" t="s">
        <v>161</v>
      </c>
      <c r="G599" s="49" t="n">
        <v>48684.3</v>
      </c>
      <c r="H599" s="50" t="n">
        <v>0.05</v>
      </c>
      <c r="I599" s="47" t="s">
        <v>162</v>
      </c>
      <c r="J599" s="48" t="n">
        <v>45822</v>
      </c>
      <c r="K599" s="51" t="str">
        <f aca="false">"Q"&amp;ROUNDUP(MONTH(B599)/3,0)</f>
        <v>Q2</v>
      </c>
      <c r="L599" s="52" t="n">
        <f aca="false">ROUND(G599*H599,2)</f>
        <v>2434.22</v>
      </c>
      <c r="M599" s="52" t="n">
        <f aca="false">IF(AND(C599="Sales",F599="Standard-rated 5%"),L599,0)</f>
        <v>0</v>
      </c>
      <c r="N599" s="52" t="n">
        <f aca="false">IF(F599="Reverse charge (imported services)",L599,0)</f>
        <v>0</v>
      </c>
      <c r="O599" s="52" t="n">
        <f aca="false">IF(C599&lt;&gt;"Purchase",0,IF(OR(I599="N",F599="Blocked input (entertainment)"),0,L599))</f>
        <v>2434.22</v>
      </c>
      <c r="P599" s="52" t="n">
        <f aca="false">IF(C599&lt;&gt;"Purchase",0,L599-O599)</f>
        <v>0</v>
      </c>
      <c r="Q599" s="53" t="n">
        <f aca="false">J599-B599</f>
        <v>0</v>
      </c>
      <c r="R599" s="51" t="str">
        <f aca="false">IF(I599="N","Invalid / missing TRN",IF(F599="Blocked input (entertainment)","Blocked input",IF(Q599&gt;30,"Late posting (&gt;30d)","")))</f>
        <v/>
      </c>
    </row>
    <row r="600" customFormat="false" ht="15" hidden="false" customHeight="false" outlineLevel="0" collapsed="false">
      <c r="A600" s="47" t="s">
        <v>886</v>
      </c>
      <c r="B600" s="48" t="n">
        <v>45822</v>
      </c>
      <c r="C600" s="47" t="s">
        <v>159</v>
      </c>
      <c r="D600" s="47" t="s">
        <v>343</v>
      </c>
      <c r="E600" s="47" t="s">
        <v>102</v>
      </c>
      <c r="F600" s="47" t="s">
        <v>278</v>
      </c>
      <c r="G600" s="49" t="n">
        <v>45884.21</v>
      </c>
      <c r="H600" s="50" t="n">
        <v>0</v>
      </c>
      <c r="I600" s="47" t="s">
        <v>162</v>
      </c>
      <c r="J600" s="48" t="n">
        <v>45822</v>
      </c>
      <c r="K600" s="51" t="str">
        <f aca="false">"Q"&amp;ROUNDUP(MONTH(B600)/3,0)</f>
        <v>Q2</v>
      </c>
      <c r="L600" s="52" t="n">
        <f aca="false">ROUND(G600*H600,2)</f>
        <v>0</v>
      </c>
      <c r="M600" s="52" t="n">
        <f aca="false">IF(AND(C600="Sales",F600="Standard-rated 5%"),L600,0)</f>
        <v>0</v>
      </c>
      <c r="N600" s="52" t="n">
        <f aca="false">IF(F600="Reverse charge (imported services)",L600,0)</f>
        <v>0</v>
      </c>
      <c r="O600" s="52" t="n">
        <f aca="false">IF(C600&lt;&gt;"Purchase",0,IF(OR(I600="N",F600="Blocked input (entertainment)"),0,L600))</f>
        <v>0</v>
      </c>
      <c r="P600" s="52" t="n">
        <f aca="false">IF(C600&lt;&gt;"Purchase",0,L600-O600)</f>
        <v>0</v>
      </c>
      <c r="Q600" s="53" t="n">
        <f aca="false">J600-B600</f>
        <v>0</v>
      </c>
      <c r="R600" s="51" t="str">
        <f aca="false">IF(I600="N","Invalid / missing TRN",IF(F600="Blocked input (entertainment)","Blocked input",IF(Q600&gt;30,"Late posting (&gt;30d)","")))</f>
        <v/>
      </c>
    </row>
    <row r="601" customFormat="false" ht="15" hidden="false" customHeight="false" outlineLevel="0" collapsed="false">
      <c r="A601" s="47" t="s">
        <v>887</v>
      </c>
      <c r="B601" s="48" t="n">
        <v>45823</v>
      </c>
      <c r="C601" s="47" t="s">
        <v>166</v>
      </c>
      <c r="D601" s="47" t="s">
        <v>227</v>
      </c>
      <c r="E601" s="47" t="s">
        <v>102</v>
      </c>
      <c r="F601" s="47" t="s">
        <v>161</v>
      </c>
      <c r="G601" s="49" t="n">
        <v>211969.12</v>
      </c>
      <c r="H601" s="50" t="n">
        <v>0.05</v>
      </c>
      <c r="I601" s="47" t="s">
        <v>162</v>
      </c>
      <c r="J601" s="48" t="n">
        <v>45823</v>
      </c>
      <c r="K601" s="51" t="str">
        <f aca="false">"Q"&amp;ROUNDUP(MONTH(B601)/3,0)</f>
        <v>Q2</v>
      </c>
      <c r="L601" s="52" t="n">
        <f aca="false">ROUND(G601*H601,2)</f>
        <v>10598.46</v>
      </c>
      <c r="M601" s="52" t="n">
        <f aca="false">IF(AND(C601="Sales",F601="Standard-rated 5%"),L601,0)</f>
        <v>0</v>
      </c>
      <c r="N601" s="52" t="n">
        <f aca="false">IF(F601="Reverse charge (imported services)",L601,0)</f>
        <v>0</v>
      </c>
      <c r="O601" s="52" t="n">
        <f aca="false">IF(C601&lt;&gt;"Purchase",0,IF(OR(I601="N",F601="Blocked input (entertainment)"),0,L601))</f>
        <v>10598.46</v>
      </c>
      <c r="P601" s="52" t="n">
        <f aca="false">IF(C601&lt;&gt;"Purchase",0,L601-O601)</f>
        <v>0</v>
      </c>
      <c r="Q601" s="53" t="n">
        <f aca="false">J601-B601</f>
        <v>0</v>
      </c>
      <c r="R601" s="51" t="str">
        <f aca="false">IF(I601="N","Invalid / missing TRN",IF(F601="Blocked input (entertainment)","Blocked input",IF(Q601&gt;30,"Late posting (&gt;30d)","")))</f>
        <v/>
      </c>
    </row>
    <row r="602" customFormat="false" ht="15" hidden="false" customHeight="false" outlineLevel="0" collapsed="false">
      <c r="A602" s="47" t="s">
        <v>888</v>
      </c>
      <c r="B602" s="48" t="n">
        <v>45823</v>
      </c>
      <c r="C602" s="47" t="s">
        <v>166</v>
      </c>
      <c r="D602" s="47" t="s">
        <v>227</v>
      </c>
      <c r="E602" s="47" t="s">
        <v>101</v>
      </c>
      <c r="F602" s="47" t="s">
        <v>161</v>
      </c>
      <c r="G602" s="49" t="n">
        <v>52110.84</v>
      </c>
      <c r="H602" s="50" t="n">
        <v>0.05</v>
      </c>
      <c r="I602" s="47" t="s">
        <v>162</v>
      </c>
      <c r="J602" s="48" t="n">
        <v>45823</v>
      </c>
      <c r="K602" s="51" t="str">
        <f aca="false">"Q"&amp;ROUNDUP(MONTH(B602)/3,0)</f>
        <v>Q2</v>
      </c>
      <c r="L602" s="52" t="n">
        <f aca="false">ROUND(G602*H602,2)</f>
        <v>2605.54</v>
      </c>
      <c r="M602" s="52" t="n">
        <f aca="false">IF(AND(C602="Sales",F602="Standard-rated 5%"),L602,0)</f>
        <v>0</v>
      </c>
      <c r="N602" s="52" t="n">
        <f aca="false">IF(F602="Reverse charge (imported services)",L602,0)</f>
        <v>0</v>
      </c>
      <c r="O602" s="52" t="n">
        <f aca="false">IF(C602&lt;&gt;"Purchase",0,IF(OR(I602="N",F602="Blocked input (entertainment)"),0,L602))</f>
        <v>2605.54</v>
      </c>
      <c r="P602" s="52" t="n">
        <f aca="false">IF(C602&lt;&gt;"Purchase",0,L602-O602)</f>
        <v>0</v>
      </c>
      <c r="Q602" s="53" t="n">
        <f aca="false">J602-B602</f>
        <v>0</v>
      </c>
      <c r="R602" s="51" t="str">
        <f aca="false">IF(I602="N","Invalid / missing TRN",IF(F602="Blocked input (entertainment)","Blocked input",IF(Q602&gt;30,"Late posting (&gt;30d)","")))</f>
        <v/>
      </c>
    </row>
    <row r="603" customFormat="false" ht="15" hidden="false" customHeight="false" outlineLevel="0" collapsed="false">
      <c r="A603" s="47" t="s">
        <v>889</v>
      </c>
      <c r="B603" s="48" t="n">
        <v>45823</v>
      </c>
      <c r="C603" s="47" t="s">
        <v>159</v>
      </c>
      <c r="D603" s="47" t="s">
        <v>345</v>
      </c>
      <c r="E603" s="47" t="s">
        <v>100</v>
      </c>
      <c r="F603" s="47" t="s">
        <v>161</v>
      </c>
      <c r="G603" s="49" t="n">
        <v>94953.66</v>
      </c>
      <c r="H603" s="50" t="n">
        <v>0.05</v>
      </c>
      <c r="I603" s="47" t="s">
        <v>162</v>
      </c>
      <c r="J603" s="48" t="n">
        <v>45823</v>
      </c>
      <c r="K603" s="51" t="str">
        <f aca="false">"Q"&amp;ROUNDUP(MONTH(B603)/3,0)</f>
        <v>Q2</v>
      </c>
      <c r="L603" s="52" t="n">
        <f aca="false">ROUND(G603*H603,2)</f>
        <v>4747.68</v>
      </c>
      <c r="M603" s="52" t="n">
        <f aca="false">IF(AND(C603="Sales",F603="Standard-rated 5%"),L603,0)</f>
        <v>4747.68</v>
      </c>
      <c r="N603" s="52" t="n">
        <f aca="false">IF(F603="Reverse charge (imported services)",L603,0)</f>
        <v>0</v>
      </c>
      <c r="O603" s="52" t="n">
        <f aca="false">IF(C603&lt;&gt;"Purchase",0,IF(OR(I603="N",F603="Blocked input (entertainment)"),0,L603))</f>
        <v>0</v>
      </c>
      <c r="P603" s="52" t="n">
        <f aca="false">IF(C603&lt;&gt;"Purchase",0,L603-O603)</f>
        <v>0</v>
      </c>
      <c r="Q603" s="53" t="n">
        <f aca="false">J603-B603</f>
        <v>0</v>
      </c>
      <c r="R603" s="51" t="str">
        <f aca="false">IF(I603="N","Invalid / missing TRN",IF(F603="Blocked input (entertainment)","Blocked input",IF(Q603&gt;30,"Late posting (&gt;30d)","")))</f>
        <v/>
      </c>
    </row>
    <row r="604" customFormat="false" ht="15" hidden="false" customHeight="false" outlineLevel="0" collapsed="false">
      <c r="A604" s="47" t="s">
        <v>890</v>
      </c>
      <c r="B604" s="48" t="n">
        <v>45823</v>
      </c>
      <c r="C604" s="47" t="s">
        <v>159</v>
      </c>
      <c r="D604" s="47" t="s">
        <v>401</v>
      </c>
      <c r="E604" s="47" t="s">
        <v>102</v>
      </c>
      <c r="F604" s="47" t="s">
        <v>161</v>
      </c>
      <c r="G604" s="49" t="n">
        <v>12309.21</v>
      </c>
      <c r="H604" s="50" t="n">
        <v>0.05</v>
      </c>
      <c r="I604" s="47" t="s">
        <v>162</v>
      </c>
      <c r="J604" s="48" t="n">
        <v>45823</v>
      </c>
      <c r="K604" s="51" t="str">
        <f aca="false">"Q"&amp;ROUNDUP(MONTH(B604)/3,0)</f>
        <v>Q2</v>
      </c>
      <c r="L604" s="52" t="n">
        <f aca="false">ROUND(G604*H604,2)</f>
        <v>615.46</v>
      </c>
      <c r="M604" s="52" t="n">
        <f aca="false">IF(AND(C604="Sales",F604="Standard-rated 5%"),L604,0)</f>
        <v>615.46</v>
      </c>
      <c r="N604" s="52" t="n">
        <f aca="false">IF(F604="Reverse charge (imported services)",L604,0)</f>
        <v>0</v>
      </c>
      <c r="O604" s="52" t="n">
        <f aca="false">IF(C604&lt;&gt;"Purchase",0,IF(OR(I604="N",F604="Blocked input (entertainment)"),0,L604))</f>
        <v>0</v>
      </c>
      <c r="P604" s="52" t="n">
        <f aca="false">IF(C604&lt;&gt;"Purchase",0,L604-O604)</f>
        <v>0</v>
      </c>
      <c r="Q604" s="53" t="n">
        <f aca="false">J604-B604</f>
        <v>0</v>
      </c>
      <c r="R604" s="51" t="str">
        <f aca="false">IF(I604="N","Invalid / missing TRN",IF(F604="Blocked input (entertainment)","Blocked input",IF(Q604&gt;30,"Late posting (&gt;30d)","")))</f>
        <v/>
      </c>
    </row>
    <row r="605" customFormat="false" ht="15" hidden="false" customHeight="false" outlineLevel="0" collapsed="false">
      <c r="A605" s="47" t="s">
        <v>891</v>
      </c>
      <c r="B605" s="48" t="n">
        <v>45823</v>
      </c>
      <c r="C605" s="47" t="s">
        <v>159</v>
      </c>
      <c r="D605" s="47" t="s">
        <v>505</v>
      </c>
      <c r="E605" s="47" t="s">
        <v>100</v>
      </c>
      <c r="F605" s="47" t="s">
        <v>161</v>
      </c>
      <c r="G605" s="49" t="n">
        <v>57622.47</v>
      </c>
      <c r="H605" s="50" t="n">
        <v>0.05</v>
      </c>
      <c r="I605" s="47" t="s">
        <v>162</v>
      </c>
      <c r="J605" s="48" t="n">
        <v>45823</v>
      </c>
      <c r="K605" s="51" t="str">
        <f aca="false">"Q"&amp;ROUNDUP(MONTH(B605)/3,0)</f>
        <v>Q2</v>
      </c>
      <c r="L605" s="52" t="n">
        <f aca="false">ROUND(G605*H605,2)</f>
        <v>2881.12</v>
      </c>
      <c r="M605" s="52" t="n">
        <f aca="false">IF(AND(C605="Sales",F605="Standard-rated 5%"),L605,0)</f>
        <v>2881.12</v>
      </c>
      <c r="N605" s="52" t="n">
        <f aca="false">IF(F605="Reverse charge (imported services)",L605,0)</f>
        <v>0</v>
      </c>
      <c r="O605" s="52" t="n">
        <f aca="false">IF(C605&lt;&gt;"Purchase",0,IF(OR(I605="N",F605="Blocked input (entertainment)"),0,L605))</f>
        <v>0</v>
      </c>
      <c r="P605" s="52" t="n">
        <f aca="false">IF(C605&lt;&gt;"Purchase",0,L605-O605)</f>
        <v>0</v>
      </c>
      <c r="Q605" s="53" t="n">
        <f aca="false">J605-B605</f>
        <v>0</v>
      </c>
      <c r="R605" s="51" t="str">
        <f aca="false">IF(I605="N","Invalid / missing TRN",IF(F605="Blocked input (entertainment)","Blocked input",IF(Q605&gt;30,"Late posting (&gt;30d)","")))</f>
        <v/>
      </c>
    </row>
    <row r="606" customFormat="false" ht="15" hidden="false" customHeight="false" outlineLevel="0" collapsed="false">
      <c r="A606" s="47" t="s">
        <v>892</v>
      </c>
      <c r="B606" s="48" t="n">
        <v>45823</v>
      </c>
      <c r="C606" s="47" t="s">
        <v>159</v>
      </c>
      <c r="D606" s="47" t="s">
        <v>784</v>
      </c>
      <c r="E606" s="47" t="s">
        <v>100</v>
      </c>
      <c r="F606" s="47" t="s">
        <v>278</v>
      </c>
      <c r="G606" s="49" t="n">
        <v>39576.52</v>
      </c>
      <c r="H606" s="50" t="n">
        <v>0</v>
      </c>
      <c r="I606" s="47" t="s">
        <v>162</v>
      </c>
      <c r="J606" s="48" t="n">
        <v>45823</v>
      </c>
      <c r="K606" s="51" t="str">
        <f aca="false">"Q"&amp;ROUNDUP(MONTH(B606)/3,0)</f>
        <v>Q2</v>
      </c>
      <c r="L606" s="52" t="n">
        <f aca="false">ROUND(G606*H606,2)</f>
        <v>0</v>
      </c>
      <c r="M606" s="52" t="n">
        <f aca="false">IF(AND(C606="Sales",F606="Standard-rated 5%"),L606,0)</f>
        <v>0</v>
      </c>
      <c r="N606" s="52" t="n">
        <f aca="false">IF(F606="Reverse charge (imported services)",L606,0)</f>
        <v>0</v>
      </c>
      <c r="O606" s="52" t="n">
        <f aca="false">IF(C606&lt;&gt;"Purchase",0,IF(OR(I606="N",F606="Blocked input (entertainment)"),0,L606))</f>
        <v>0</v>
      </c>
      <c r="P606" s="52" t="n">
        <f aca="false">IF(C606&lt;&gt;"Purchase",0,L606-O606)</f>
        <v>0</v>
      </c>
      <c r="Q606" s="53" t="n">
        <f aca="false">J606-B606</f>
        <v>0</v>
      </c>
      <c r="R606" s="51" t="str">
        <f aca="false">IF(I606="N","Invalid / missing TRN",IF(F606="Blocked input (entertainment)","Blocked input",IF(Q606&gt;30,"Late posting (&gt;30d)","")))</f>
        <v/>
      </c>
    </row>
    <row r="607" customFormat="false" ht="15" hidden="false" customHeight="false" outlineLevel="0" collapsed="false">
      <c r="A607" s="47" t="s">
        <v>893</v>
      </c>
      <c r="B607" s="48" t="n">
        <v>45823</v>
      </c>
      <c r="C607" s="47" t="s">
        <v>159</v>
      </c>
      <c r="D607" s="47" t="s">
        <v>433</v>
      </c>
      <c r="E607" s="47" t="s">
        <v>104</v>
      </c>
      <c r="F607" s="47" t="s">
        <v>161</v>
      </c>
      <c r="G607" s="49" t="n">
        <v>65061.03</v>
      </c>
      <c r="H607" s="50" t="n">
        <v>0.05</v>
      </c>
      <c r="I607" s="47" t="s">
        <v>162</v>
      </c>
      <c r="J607" s="48" t="n">
        <v>45823</v>
      </c>
      <c r="K607" s="51" t="str">
        <f aca="false">"Q"&amp;ROUNDUP(MONTH(B607)/3,0)</f>
        <v>Q2</v>
      </c>
      <c r="L607" s="52" t="n">
        <f aca="false">ROUND(G607*H607,2)</f>
        <v>3253.05</v>
      </c>
      <c r="M607" s="52" t="n">
        <f aca="false">IF(AND(C607="Sales",F607="Standard-rated 5%"),L607,0)</f>
        <v>3253.05</v>
      </c>
      <c r="N607" s="52" t="n">
        <f aca="false">IF(F607="Reverse charge (imported services)",L607,0)</f>
        <v>0</v>
      </c>
      <c r="O607" s="52" t="n">
        <f aca="false">IF(C607&lt;&gt;"Purchase",0,IF(OR(I607="N",F607="Blocked input (entertainment)"),0,L607))</f>
        <v>0</v>
      </c>
      <c r="P607" s="52" t="n">
        <f aca="false">IF(C607&lt;&gt;"Purchase",0,L607-O607)</f>
        <v>0</v>
      </c>
      <c r="Q607" s="53" t="n">
        <f aca="false">J607-B607</f>
        <v>0</v>
      </c>
      <c r="R607" s="51" t="str">
        <f aca="false">IF(I607="N","Invalid / missing TRN",IF(F607="Blocked input (entertainment)","Blocked input",IF(Q607&gt;30,"Late posting (&gt;30d)","")))</f>
        <v/>
      </c>
    </row>
    <row r="608" customFormat="false" ht="15" hidden="false" customHeight="false" outlineLevel="0" collapsed="false">
      <c r="A608" s="47" t="s">
        <v>894</v>
      </c>
      <c r="B608" s="48" t="n">
        <v>45824</v>
      </c>
      <c r="C608" s="47" t="s">
        <v>166</v>
      </c>
      <c r="D608" s="47" t="s">
        <v>326</v>
      </c>
      <c r="E608" s="47" t="s">
        <v>101</v>
      </c>
      <c r="F608" s="47" t="s">
        <v>161</v>
      </c>
      <c r="G608" s="49" t="n">
        <v>17713.08</v>
      </c>
      <c r="H608" s="50" t="n">
        <v>0.05</v>
      </c>
      <c r="I608" s="47" t="s">
        <v>162</v>
      </c>
      <c r="J608" s="48" t="n">
        <v>45824</v>
      </c>
      <c r="K608" s="51" t="str">
        <f aca="false">"Q"&amp;ROUNDUP(MONTH(B608)/3,0)</f>
        <v>Q2</v>
      </c>
      <c r="L608" s="52" t="n">
        <f aca="false">ROUND(G608*H608,2)</f>
        <v>885.65</v>
      </c>
      <c r="M608" s="52" t="n">
        <f aca="false">IF(AND(C608="Sales",F608="Standard-rated 5%"),L608,0)</f>
        <v>0</v>
      </c>
      <c r="N608" s="52" t="n">
        <f aca="false">IF(F608="Reverse charge (imported services)",L608,0)</f>
        <v>0</v>
      </c>
      <c r="O608" s="52" t="n">
        <f aca="false">IF(C608&lt;&gt;"Purchase",0,IF(OR(I608="N",F608="Blocked input (entertainment)"),0,L608))</f>
        <v>885.65</v>
      </c>
      <c r="P608" s="52" t="n">
        <f aca="false">IF(C608&lt;&gt;"Purchase",0,L608-O608)</f>
        <v>0</v>
      </c>
      <c r="Q608" s="53" t="n">
        <f aca="false">J608-B608</f>
        <v>0</v>
      </c>
      <c r="R608" s="51" t="str">
        <f aca="false">IF(I608="N","Invalid / missing TRN",IF(F608="Blocked input (entertainment)","Blocked input",IF(Q608&gt;30,"Late posting (&gt;30d)","")))</f>
        <v/>
      </c>
    </row>
    <row r="609" customFormat="false" ht="15" hidden="false" customHeight="false" outlineLevel="0" collapsed="false">
      <c r="A609" s="47" t="s">
        <v>895</v>
      </c>
      <c r="B609" s="48" t="n">
        <v>45825</v>
      </c>
      <c r="C609" s="47" t="s">
        <v>166</v>
      </c>
      <c r="D609" s="47" t="s">
        <v>549</v>
      </c>
      <c r="E609" s="47" t="s">
        <v>100</v>
      </c>
      <c r="F609" s="47" t="s">
        <v>161</v>
      </c>
      <c r="G609" s="49" t="n">
        <v>33212.02</v>
      </c>
      <c r="H609" s="50" t="n">
        <v>0.05</v>
      </c>
      <c r="I609" s="47" t="s">
        <v>162</v>
      </c>
      <c r="J609" s="48" t="n">
        <v>45827</v>
      </c>
      <c r="K609" s="51" t="str">
        <f aca="false">"Q"&amp;ROUNDUP(MONTH(B609)/3,0)</f>
        <v>Q2</v>
      </c>
      <c r="L609" s="52" t="n">
        <f aca="false">ROUND(G609*H609,2)</f>
        <v>1660.6</v>
      </c>
      <c r="M609" s="52" t="n">
        <f aca="false">IF(AND(C609="Sales",F609="Standard-rated 5%"),L609,0)</f>
        <v>0</v>
      </c>
      <c r="N609" s="52" t="n">
        <f aca="false">IF(F609="Reverse charge (imported services)",L609,0)</f>
        <v>0</v>
      </c>
      <c r="O609" s="52" t="n">
        <f aca="false">IF(C609&lt;&gt;"Purchase",0,IF(OR(I609="N",F609="Blocked input (entertainment)"),0,L609))</f>
        <v>1660.6</v>
      </c>
      <c r="P609" s="52" t="n">
        <f aca="false">IF(C609&lt;&gt;"Purchase",0,L609-O609)</f>
        <v>0</v>
      </c>
      <c r="Q609" s="53" t="n">
        <f aca="false">J609-B609</f>
        <v>2</v>
      </c>
      <c r="R609" s="51" t="str">
        <f aca="false">IF(I609="N","Invalid / missing TRN",IF(F609="Blocked input (entertainment)","Blocked input",IF(Q609&gt;30,"Late posting (&gt;30d)","")))</f>
        <v/>
      </c>
    </row>
    <row r="610" customFormat="false" ht="15" hidden="false" customHeight="false" outlineLevel="0" collapsed="false">
      <c r="A610" s="47" t="s">
        <v>896</v>
      </c>
      <c r="B610" s="48" t="n">
        <v>45825</v>
      </c>
      <c r="C610" s="47" t="s">
        <v>166</v>
      </c>
      <c r="D610" s="47" t="s">
        <v>295</v>
      </c>
      <c r="E610" s="47" t="s">
        <v>100</v>
      </c>
      <c r="F610" s="47" t="s">
        <v>161</v>
      </c>
      <c r="G610" s="49" t="n">
        <v>50116.48</v>
      </c>
      <c r="H610" s="50" t="n">
        <v>0.05</v>
      </c>
      <c r="I610" s="47" t="s">
        <v>162</v>
      </c>
      <c r="J610" s="48" t="n">
        <v>45825</v>
      </c>
      <c r="K610" s="51" t="str">
        <f aca="false">"Q"&amp;ROUNDUP(MONTH(B610)/3,0)</f>
        <v>Q2</v>
      </c>
      <c r="L610" s="52" t="n">
        <f aca="false">ROUND(G610*H610,2)</f>
        <v>2505.82</v>
      </c>
      <c r="M610" s="52" t="n">
        <f aca="false">IF(AND(C610="Sales",F610="Standard-rated 5%"),L610,0)</f>
        <v>0</v>
      </c>
      <c r="N610" s="52" t="n">
        <f aca="false">IF(F610="Reverse charge (imported services)",L610,0)</f>
        <v>0</v>
      </c>
      <c r="O610" s="52" t="n">
        <f aca="false">IF(C610&lt;&gt;"Purchase",0,IF(OR(I610="N",F610="Blocked input (entertainment)"),0,L610))</f>
        <v>2505.82</v>
      </c>
      <c r="P610" s="52" t="n">
        <f aca="false">IF(C610&lt;&gt;"Purchase",0,L610-O610)</f>
        <v>0</v>
      </c>
      <c r="Q610" s="53" t="n">
        <f aca="false">J610-B610</f>
        <v>0</v>
      </c>
      <c r="R610" s="51" t="str">
        <f aca="false">IF(I610="N","Invalid / missing TRN",IF(F610="Blocked input (entertainment)","Blocked input",IF(Q610&gt;30,"Late posting (&gt;30d)","")))</f>
        <v/>
      </c>
    </row>
    <row r="611" customFormat="false" ht="15" hidden="false" customHeight="false" outlineLevel="0" collapsed="false">
      <c r="A611" s="47" t="s">
        <v>897</v>
      </c>
      <c r="B611" s="48" t="n">
        <v>45825</v>
      </c>
      <c r="C611" s="47" t="s">
        <v>166</v>
      </c>
      <c r="D611" s="47" t="s">
        <v>324</v>
      </c>
      <c r="E611" s="47" t="s">
        <v>104</v>
      </c>
      <c r="F611" s="47" t="s">
        <v>161</v>
      </c>
      <c r="G611" s="49" t="n">
        <v>91035.97</v>
      </c>
      <c r="H611" s="50" t="n">
        <v>0.05</v>
      </c>
      <c r="I611" s="47" t="s">
        <v>162</v>
      </c>
      <c r="J611" s="48" t="n">
        <v>45825</v>
      </c>
      <c r="K611" s="51" t="str">
        <f aca="false">"Q"&amp;ROUNDUP(MONTH(B611)/3,0)</f>
        <v>Q2</v>
      </c>
      <c r="L611" s="52" t="n">
        <f aca="false">ROUND(G611*H611,2)</f>
        <v>4551.8</v>
      </c>
      <c r="M611" s="52" t="n">
        <f aca="false">IF(AND(C611="Sales",F611="Standard-rated 5%"),L611,0)</f>
        <v>0</v>
      </c>
      <c r="N611" s="52" t="n">
        <f aca="false">IF(F611="Reverse charge (imported services)",L611,0)</f>
        <v>0</v>
      </c>
      <c r="O611" s="52" t="n">
        <f aca="false">IF(C611&lt;&gt;"Purchase",0,IF(OR(I611="N",F611="Blocked input (entertainment)"),0,L611))</f>
        <v>4551.8</v>
      </c>
      <c r="P611" s="52" t="n">
        <f aca="false">IF(C611&lt;&gt;"Purchase",0,L611-O611)</f>
        <v>0</v>
      </c>
      <c r="Q611" s="53" t="n">
        <f aca="false">J611-B611</f>
        <v>0</v>
      </c>
      <c r="R611" s="51" t="str">
        <f aca="false">IF(I611="N","Invalid / missing TRN",IF(F611="Blocked input (entertainment)","Blocked input",IF(Q611&gt;30,"Late posting (&gt;30d)","")))</f>
        <v/>
      </c>
    </row>
    <row r="612" customFormat="false" ht="15" hidden="false" customHeight="false" outlineLevel="0" collapsed="false">
      <c r="A612" s="47" t="s">
        <v>898</v>
      </c>
      <c r="B612" s="48" t="n">
        <v>45825</v>
      </c>
      <c r="C612" s="47" t="s">
        <v>159</v>
      </c>
      <c r="D612" s="47" t="s">
        <v>383</v>
      </c>
      <c r="E612" s="47" t="s">
        <v>101</v>
      </c>
      <c r="F612" s="47" t="s">
        <v>161</v>
      </c>
      <c r="G612" s="49" t="n">
        <v>35991.18</v>
      </c>
      <c r="H612" s="50" t="n">
        <v>0.05</v>
      </c>
      <c r="I612" s="47" t="s">
        <v>162</v>
      </c>
      <c r="J612" s="48" t="n">
        <v>45825</v>
      </c>
      <c r="K612" s="51" t="str">
        <f aca="false">"Q"&amp;ROUNDUP(MONTH(B612)/3,0)</f>
        <v>Q2</v>
      </c>
      <c r="L612" s="52" t="n">
        <f aca="false">ROUND(G612*H612,2)</f>
        <v>1799.56</v>
      </c>
      <c r="M612" s="52" t="n">
        <f aca="false">IF(AND(C612="Sales",F612="Standard-rated 5%"),L612,0)</f>
        <v>1799.56</v>
      </c>
      <c r="N612" s="52" t="n">
        <f aca="false">IF(F612="Reverse charge (imported services)",L612,0)</f>
        <v>0</v>
      </c>
      <c r="O612" s="52" t="n">
        <f aca="false">IF(C612&lt;&gt;"Purchase",0,IF(OR(I612="N",F612="Blocked input (entertainment)"),0,L612))</f>
        <v>0</v>
      </c>
      <c r="P612" s="52" t="n">
        <f aca="false">IF(C612&lt;&gt;"Purchase",0,L612-O612)</f>
        <v>0</v>
      </c>
      <c r="Q612" s="53" t="n">
        <f aca="false">J612-B612</f>
        <v>0</v>
      </c>
      <c r="R612" s="51" t="str">
        <f aca="false">IF(I612="N","Invalid / missing TRN",IF(F612="Blocked input (entertainment)","Blocked input",IF(Q612&gt;30,"Late posting (&gt;30d)","")))</f>
        <v/>
      </c>
    </row>
    <row r="613" customFormat="false" ht="15" hidden="false" customHeight="false" outlineLevel="0" collapsed="false">
      <c r="A613" s="47" t="s">
        <v>899</v>
      </c>
      <c r="B613" s="48" t="n">
        <v>45825</v>
      </c>
      <c r="C613" s="47" t="s">
        <v>159</v>
      </c>
      <c r="D613" s="47" t="s">
        <v>160</v>
      </c>
      <c r="E613" s="47" t="s">
        <v>102</v>
      </c>
      <c r="F613" s="47" t="s">
        <v>278</v>
      </c>
      <c r="G613" s="49" t="n">
        <v>120877.68</v>
      </c>
      <c r="H613" s="50" t="n">
        <v>0</v>
      </c>
      <c r="I613" s="47" t="s">
        <v>162</v>
      </c>
      <c r="J613" s="48" t="n">
        <v>45830</v>
      </c>
      <c r="K613" s="51" t="str">
        <f aca="false">"Q"&amp;ROUNDUP(MONTH(B613)/3,0)</f>
        <v>Q2</v>
      </c>
      <c r="L613" s="52" t="n">
        <f aca="false">ROUND(G613*H613,2)</f>
        <v>0</v>
      </c>
      <c r="M613" s="52" t="n">
        <f aca="false">IF(AND(C613="Sales",F613="Standard-rated 5%"),L613,0)</f>
        <v>0</v>
      </c>
      <c r="N613" s="52" t="n">
        <f aca="false">IF(F613="Reverse charge (imported services)",L613,0)</f>
        <v>0</v>
      </c>
      <c r="O613" s="52" t="n">
        <f aca="false">IF(C613&lt;&gt;"Purchase",0,IF(OR(I613="N",F613="Blocked input (entertainment)"),0,L613))</f>
        <v>0</v>
      </c>
      <c r="P613" s="52" t="n">
        <f aca="false">IF(C613&lt;&gt;"Purchase",0,L613-O613)</f>
        <v>0</v>
      </c>
      <c r="Q613" s="53" t="n">
        <f aca="false">J613-B613</f>
        <v>5</v>
      </c>
      <c r="R613" s="51" t="str">
        <f aca="false">IF(I613="N","Invalid / missing TRN",IF(F613="Blocked input (entertainment)","Blocked input",IF(Q613&gt;30,"Late posting (&gt;30d)","")))</f>
        <v/>
      </c>
    </row>
    <row r="614" customFormat="false" ht="15" hidden="false" customHeight="false" outlineLevel="0" collapsed="false">
      <c r="A614" s="47" t="s">
        <v>900</v>
      </c>
      <c r="B614" s="48" t="n">
        <v>45825</v>
      </c>
      <c r="C614" s="47" t="s">
        <v>159</v>
      </c>
      <c r="D614" s="47" t="s">
        <v>415</v>
      </c>
      <c r="E614" s="47" t="s">
        <v>100</v>
      </c>
      <c r="F614" s="47" t="s">
        <v>278</v>
      </c>
      <c r="G614" s="49" t="n">
        <v>16290.26</v>
      </c>
      <c r="H614" s="50" t="n">
        <v>0</v>
      </c>
      <c r="I614" s="47" t="s">
        <v>162</v>
      </c>
      <c r="J614" s="48" t="n">
        <v>45825</v>
      </c>
      <c r="K614" s="51" t="str">
        <f aca="false">"Q"&amp;ROUNDUP(MONTH(B614)/3,0)</f>
        <v>Q2</v>
      </c>
      <c r="L614" s="52" t="n">
        <f aca="false">ROUND(G614*H614,2)</f>
        <v>0</v>
      </c>
      <c r="M614" s="52" t="n">
        <f aca="false">IF(AND(C614="Sales",F614="Standard-rated 5%"),L614,0)</f>
        <v>0</v>
      </c>
      <c r="N614" s="52" t="n">
        <f aca="false">IF(F614="Reverse charge (imported services)",L614,0)</f>
        <v>0</v>
      </c>
      <c r="O614" s="52" t="n">
        <f aca="false">IF(C614&lt;&gt;"Purchase",0,IF(OR(I614="N",F614="Blocked input (entertainment)"),0,L614))</f>
        <v>0</v>
      </c>
      <c r="P614" s="52" t="n">
        <f aca="false">IF(C614&lt;&gt;"Purchase",0,L614-O614)</f>
        <v>0</v>
      </c>
      <c r="Q614" s="53" t="n">
        <f aca="false">J614-B614</f>
        <v>0</v>
      </c>
      <c r="R614" s="51" t="str">
        <f aca="false">IF(I614="N","Invalid / missing TRN",IF(F614="Blocked input (entertainment)","Blocked input",IF(Q614&gt;30,"Late posting (&gt;30d)","")))</f>
        <v/>
      </c>
    </row>
    <row r="615" customFormat="false" ht="15" hidden="false" customHeight="false" outlineLevel="0" collapsed="false">
      <c r="A615" s="47" t="s">
        <v>901</v>
      </c>
      <c r="B615" s="48" t="n">
        <v>45825</v>
      </c>
      <c r="C615" s="47" t="s">
        <v>159</v>
      </c>
      <c r="D615" s="47" t="s">
        <v>216</v>
      </c>
      <c r="E615" s="47" t="s">
        <v>100</v>
      </c>
      <c r="F615" s="47" t="s">
        <v>161</v>
      </c>
      <c r="G615" s="49" t="n">
        <v>129169.8</v>
      </c>
      <c r="H615" s="50" t="n">
        <v>0.05</v>
      </c>
      <c r="I615" s="47" t="s">
        <v>162</v>
      </c>
      <c r="J615" s="48" t="n">
        <v>45825</v>
      </c>
      <c r="K615" s="51" t="str">
        <f aca="false">"Q"&amp;ROUNDUP(MONTH(B615)/3,0)</f>
        <v>Q2</v>
      </c>
      <c r="L615" s="52" t="n">
        <f aca="false">ROUND(G615*H615,2)</f>
        <v>6458.49</v>
      </c>
      <c r="M615" s="52" t="n">
        <f aca="false">IF(AND(C615="Sales",F615="Standard-rated 5%"),L615,0)</f>
        <v>6458.49</v>
      </c>
      <c r="N615" s="52" t="n">
        <f aca="false">IF(F615="Reverse charge (imported services)",L615,0)</f>
        <v>0</v>
      </c>
      <c r="O615" s="52" t="n">
        <f aca="false">IF(C615&lt;&gt;"Purchase",0,IF(OR(I615="N",F615="Blocked input (entertainment)"),0,L615))</f>
        <v>0</v>
      </c>
      <c r="P615" s="52" t="n">
        <f aca="false">IF(C615&lt;&gt;"Purchase",0,L615-O615)</f>
        <v>0</v>
      </c>
      <c r="Q615" s="53" t="n">
        <f aca="false">J615-B615</f>
        <v>0</v>
      </c>
      <c r="R615" s="51" t="str">
        <f aca="false">IF(I615="N","Invalid / missing TRN",IF(F615="Blocked input (entertainment)","Blocked input",IF(Q615&gt;30,"Late posting (&gt;30d)","")))</f>
        <v/>
      </c>
    </row>
    <row r="616" customFormat="false" ht="15" hidden="false" customHeight="false" outlineLevel="0" collapsed="false">
      <c r="A616" s="47" t="s">
        <v>902</v>
      </c>
      <c r="B616" s="48" t="n">
        <v>45826</v>
      </c>
      <c r="C616" s="47" t="s">
        <v>166</v>
      </c>
      <c r="D616" s="47" t="s">
        <v>196</v>
      </c>
      <c r="E616" s="47" t="s">
        <v>101</v>
      </c>
      <c r="F616" s="47" t="s">
        <v>161</v>
      </c>
      <c r="G616" s="49" t="n">
        <v>16708.74</v>
      </c>
      <c r="H616" s="50" t="n">
        <v>0.05</v>
      </c>
      <c r="I616" s="47" t="s">
        <v>162</v>
      </c>
      <c r="J616" s="48" t="n">
        <v>45826</v>
      </c>
      <c r="K616" s="51" t="str">
        <f aca="false">"Q"&amp;ROUNDUP(MONTH(B616)/3,0)</f>
        <v>Q2</v>
      </c>
      <c r="L616" s="52" t="n">
        <f aca="false">ROUND(G616*H616,2)</f>
        <v>835.44</v>
      </c>
      <c r="M616" s="52" t="n">
        <f aca="false">IF(AND(C616="Sales",F616="Standard-rated 5%"),L616,0)</f>
        <v>0</v>
      </c>
      <c r="N616" s="52" t="n">
        <f aca="false">IF(F616="Reverse charge (imported services)",L616,0)</f>
        <v>0</v>
      </c>
      <c r="O616" s="52" t="n">
        <f aca="false">IF(C616&lt;&gt;"Purchase",0,IF(OR(I616="N",F616="Blocked input (entertainment)"),0,L616))</f>
        <v>835.44</v>
      </c>
      <c r="P616" s="52" t="n">
        <f aca="false">IF(C616&lt;&gt;"Purchase",0,L616-O616)</f>
        <v>0</v>
      </c>
      <c r="Q616" s="53" t="n">
        <f aca="false">J616-B616</f>
        <v>0</v>
      </c>
      <c r="R616" s="51" t="str">
        <f aca="false">IF(I616="N","Invalid / missing TRN",IF(F616="Blocked input (entertainment)","Blocked input",IF(Q616&gt;30,"Late posting (&gt;30d)","")))</f>
        <v/>
      </c>
    </row>
    <row r="617" customFormat="false" ht="15" hidden="false" customHeight="false" outlineLevel="0" collapsed="false">
      <c r="A617" s="47" t="s">
        <v>903</v>
      </c>
      <c r="B617" s="48" t="n">
        <v>45826</v>
      </c>
      <c r="C617" s="47" t="s">
        <v>159</v>
      </c>
      <c r="D617" s="47" t="s">
        <v>621</v>
      </c>
      <c r="E617" s="47" t="s">
        <v>100</v>
      </c>
      <c r="F617" s="47" t="s">
        <v>161</v>
      </c>
      <c r="G617" s="49" t="n">
        <v>118021.24</v>
      </c>
      <c r="H617" s="50" t="n">
        <v>0.05</v>
      </c>
      <c r="I617" s="47" t="s">
        <v>162</v>
      </c>
      <c r="J617" s="48" t="n">
        <v>45826</v>
      </c>
      <c r="K617" s="51" t="str">
        <f aca="false">"Q"&amp;ROUNDUP(MONTH(B617)/3,0)</f>
        <v>Q2</v>
      </c>
      <c r="L617" s="52" t="n">
        <f aca="false">ROUND(G617*H617,2)</f>
        <v>5901.06</v>
      </c>
      <c r="M617" s="52" t="n">
        <f aca="false">IF(AND(C617="Sales",F617="Standard-rated 5%"),L617,0)</f>
        <v>5901.06</v>
      </c>
      <c r="N617" s="52" t="n">
        <f aca="false">IF(F617="Reverse charge (imported services)",L617,0)</f>
        <v>0</v>
      </c>
      <c r="O617" s="52" t="n">
        <f aca="false">IF(C617&lt;&gt;"Purchase",0,IF(OR(I617="N",F617="Blocked input (entertainment)"),0,L617))</f>
        <v>0</v>
      </c>
      <c r="P617" s="52" t="n">
        <f aca="false">IF(C617&lt;&gt;"Purchase",0,L617-O617)</f>
        <v>0</v>
      </c>
      <c r="Q617" s="53" t="n">
        <f aca="false">J617-B617</f>
        <v>0</v>
      </c>
      <c r="R617" s="51" t="str">
        <f aca="false">IF(I617="N","Invalid / missing TRN",IF(F617="Blocked input (entertainment)","Blocked input",IF(Q617&gt;30,"Late posting (&gt;30d)","")))</f>
        <v/>
      </c>
    </row>
    <row r="618" customFormat="false" ht="15" hidden="false" customHeight="false" outlineLevel="0" collapsed="false">
      <c r="A618" s="47" t="s">
        <v>904</v>
      </c>
      <c r="B618" s="48" t="n">
        <v>45826</v>
      </c>
      <c r="C618" s="47" t="s">
        <v>159</v>
      </c>
      <c r="D618" s="47" t="s">
        <v>376</v>
      </c>
      <c r="E618" s="47" t="s">
        <v>100</v>
      </c>
      <c r="F618" s="47" t="s">
        <v>161</v>
      </c>
      <c r="G618" s="49" t="n">
        <v>161990.63</v>
      </c>
      <c r="H618" s="50" t="n">
        <v>0.05</v>
      </c>
      <c r="I618" s="47" t="s">
        <v>162</v>
      </c>
      <c r="J618" s="48" t="n">
        <v>45828</v>
      </c>
      <c r="K618" s="51" t="str">
        <f aca="false">"Q"&amp;ROUNDUP(MONTH(B618)/3,0)</f>
        <v>Q2</v>
      </c>
      <c r="L618" s="52" t="n">
        <f aca="false">ROUND(G618*H618,2)</f>
        <v>8099.53</v>
      </c>
      <c r="M618" s="52" t="n">
        <f aca="false">IF(AND(C618="Sales",F618="Standard-rated 5%"),L618,0)</f>
        <v>8099.53</v>
      </c>
      <c r="N618" s="52" t="n">
        <f aca="false">IF(F618="Reverse charge (imported services)",L618,0)</f>
        <v>0</v>
      </c>
      <c r="O618" s="52" t="n">
        <f aca="false">IF(C618&lt;&gt;"Purchase",0,IF(OR(I618="N",F618="Blocked input (entertainment)"),0,L618))</f>
        <v>0</v>
      </c>
      <c r="P618" s="52" t="n">
        <f aca="false">IF(C618&lt;&gt;"Purchase",0,L618-O618)</f>
        <v>0</v>
      </c>
      <c r="Q618" s="53" t="n">
        <f aca="false">J618-B618</f>
        <v>2</v>
      </c>
      <c r="R618" s="51" t="str">
        <f aca="false">IF(I618="N","Invalid / missing TRN",IF(F618="Blocked input (entertainment)","Blocked input",IF(Q618&gt;30,"Late posting (&gt;30d)","")))</f>
        <v/>
      </c>
    </row>
    <row r="619" customFormat="false" ht="15" hidden="false" customHeight="false" outlineLevel="0" collapsed="false">
      <c r="A619" s="47" t="s">
        <v>905</v>
      </c>
      <c r="B619" s="48" t="n">
        <v>45826</v>
      </c>
      <c r="C619" s="47" t="s">
        <v>159</v>
      </c>
      <c r="D619" s="47" t="s">
        <v>293</v>
      </c>
      <c r="E619" s="47" t="s">
        <v>100</v>
      </c>
      <c r="F619" s="47" t="s">
        <v>278</v>
      </c>
      <c r="G619" s="49" t="n">
        <v>92072.44</v>
      </c>
      <c r="H619" s="50" t="n">
        <v>0</v>
      </c>
      <c r="I619" s="47" t="s">
        <v>162</v>
      </c>
      <c r="J619" s="48" t="n">
        <v>45826</v>
      </c>
      <c r="K619" s="51" t="str">
        <f aca="false">"Q"&amp;ROUNDUP(MONTH(B619)/3,0)</f>
        <v>Q2</v>
      </c>
      <c r="L619" s="52" t="n">
        <f aca="false">ROUND(G619*H619,2)</f>
        <v>0</v>
      </c>
      <c r="M619" s="52" t="n">
        <f aca="false">IF(AND(C619="Sales",F619="Standard-rated 5%"),L619,0)</f>
        <v>0</v>
      </c>
      <c r="N619" s="52" t="n">
        <f aca="false">IF(F619="Reverse charge (imported services)",L619,0)</f>
        <v>0</v>
      </c>
      <c r="O619" s="52" t="n">
        <f aca="false">IF(C619&lt;&gt;"Purchase",0,IF(OR(I619="N",F619="Blocked input (entertainment)"),0,L619))</f>
        <v>0</v>
      </c>
      <c r="P619" s="52" t="n">
        <f aca="false">IF(C619&lt;&gt;"Purchase",0,L619-O619)</f>
        <v>0</v>
      </c>
      <c r="Q619" s="53" t="n">
        <f aca="false">J619-B619</f>
        <v>0</v>
      </c>
      <c r="R619" s="51" t="str">
        <f aca="false">IF(I619="N","Invalid / missing TRN",IF(F619="Blocked input (entertainment)","Blocked input",IF(Q619&gt;30,"Late posting (&gt;30d)","")))</f>
        <v/>
      </c>
    </row>
    <row r="620" customFormat="false" ht="15" hidden="false" customHeight="false" outlineLevel="0" collapsed="false">
      <c r="A620" s="47" t="s">
        <v>906</v>
      </c>
      <c r="B620" s="48" t="n">
        <v>45827</v>
      </c>
      <c r="C620" s="47" t="s">
        <v>166</v>
      </c>
      <c r="D620" s="47" t="s">
        <v>326</v>
      </c>
      <c r="E620" s="47" t="s">
        <v>101</v>
      </c>
      <c r="F620" s="47" t="s">
        <v>161</v>
      </c>
      <c r="G620" s="49" t="n">
        <v>10193.05</v>
      </c>
      <c r="H620" s="50" t="n">
        <v>0.05</v>
      </c>
      <c r="I620" s="47" t="s">
        <v>162</v>
      </c>
      <c r="J620" s="48" t="n">
        <v>45829</v>
      </c>
      <c r="K620" s="51" t="str">
        <f aca="false">"Q"&amp;ROUNDUP(MONTH(B620)/3,0)</f>
        <v>Q2</v>
      </c>
      <c r="L620" s="52" t="n">
        <f aca="false">ROUND(G620*H620,2)</f>
        <v>509.65</v>
      </c>
      <c r="M620" s="52" t="n">
        <f aca="false">IF(AND(C620="Sales",F620="Standard-rated 5%"),L620,0)</f>
        <v>0</v>
      </c>
      <c r="N620" s="52" t="n">
        <f aca="false">IF(F620="Reverse charge (imported services)",L620,0)</f>
        <v>0</v>
      </c>
      <c r="O620" s="52" t="n">
        <f aca="false">IF(C620&lt;&gt;"Purchase",0,IF(OR(I620="N",F620="Blocked input (entertainment)"),0,L620))</f>
        <v>509.65</v>
      </c>
      <c r="P620" s="52" t="n">
        <f aca="false">IF(C620&lt;&gt;"Purchase",0,L620-O620)</f>
        <v>0</v>
      </c>
      <c r="Q620" s="53" t="n">
        <f aca="false">J620-B620</f>
        <v>2</v>
      </c>
      <c r="R620" s="51" t="str">
        <f aca="false">IF(I620="N","Invalid / missing TRN",IF(F620="Blocked input (entertainment)","Blocked input",IF(Q620&gt;30,"Late posting (&gt;30d)","")))</f>
        <v/>
      </c>
    </row>
    <row r="621" customFormat="false" ht="15" hidden="false" customHeight="false" outlineLevel="0" collapsed="false">
      <c r="A621" s="47" t="s">
        <v>907</v>
      </c>
      <c r="B621" s="48" t="n">
        <v>45828</v>
      </c>
      <c r="C621" s="47" t="s">
        <v>166</v>
      </c>
      <c r="D621" s="47" t="s">
        <v>408</v>
      </c>
      <c r="E621" s="47" t="s">
        <v>100</v>
      </c>
      <c r="F621" s="47" t="s">
        <v>268</v>
      </c>
      <c r="G621" s="49" t="n">
        <v>22751.49</v>
      </c>
      <c r="H621" s="50" t="n">
        <v>0</v>
      </c>
      <c r="I621" s="47" t="s">
        <v>162</v>
      </c>
      <c r="J621" s="48" t="n">
        <v>45828</v>
      </c>
      <c r="K621" s="51" t="str">
        <f aca="false">"Q"&amp;ROUNDUP(MONTH(B621)/3,0)</f>
        <v>Q2</v>
      </c>
      <c r="L621" s="52" t="n">
        <f aca="false">ROUND(G621*H621,2)</f>
        <v>0</v>
      </c>
      <c r="M621" s="52" t="n">
        <f aca="false">IF(AND(C621="Sales",F621="Standard-rated 5%"),L621,0)</f>
        <v>0</v>
      </c>
      <c r="N621" s="52" t="n">
        <f aca="false">IF(F621="Reverse charge (imported services)",L621,0)</f>
        <v>0</v>
      </c>
      <c r="O621" s="52" t="n">
        <f aca="false">IF(C621&lt;&gt;"Purchase",0,IF(OR(I621="N",F621="Blocked input (entertainment)"),0,L621))</f>
        <v>0</v>
      </c>
      <c r="P621" s="52" t="n">
        <f aca="false">IF(C621&lt;&gt;"Purchase",0,L621-O621)</f>
        <v>0</v>
      </c>
      <c r="Q621" s="53" t="n">
        <f aca="false">J621-B621</f>
        <v>0</v>
      </c>
      <c r="R621" s="51" t="str">
        <f aca="false">IF(I621="N","Invalid / missing TRN",IF(F621="Blocked input (entertainment)","Blocked input",IF(Q621&gt;30,"Late posting (&gt;30d)","")))</f>
        <v/>
      </c>
    </row>
    <row r="622" customFormat="false" ht="15" hidden="false" customHeight="false" outlineLevel="0" collapsed="false">
      <c r="A622" s="47" t="s">
        <v>908</v>
      </c>
      <c r="B622" s="48" t="n">
        <v>45828</v>
      </c>
      <c r="C622" s="47" t="s">
        <v>159</v>
      </c>
      <c r="D622" s="47" t="s">
        <v>283</v>
      </c>
      <c r="E622" s="47" t="s">
        <v>100</v>
      </c>
      <c r="F622" s="47" t="s">
        <v>278</v>
      </c>
      <c r="G622" s="49" t="n">
        <v>86771.82</v>
      </c>
      <c r="H622" s="50" t="n">
        <v>0</v>
      </c>
      <c r="I622" s="47" t="s">
        <v>162</v>
      </c>
      <c r="J622" s="48" t="n">
        <v>45833</v>
      </c>
      <c r="K622" s="51" t="str">
        <f aca="false">"Q"&amp;ROUNDUP(MONTH(B622)/3,0)</f>
        <v>Q2</v>
      </c>
      <c r="L622" s="52" t="n">
        <f aca="false">ROUND(G622*H622,2)</f>
        <v>0</v>
      </c>
      <c r="M622" s="52" t="n">
        <f aca="false">IF(AND(C622="Sales",F622="Standard-rated 5%"),L622,0)</f>
        <v>0</v>
      </c>
      <c r="N622" s="52" t="n">
        <f aca="false">IF(F622="Reverse charge (imported services)",L622,0)</f>
        <v>0</v>
      </c>
      <c r="O622" s="52" t="n">
        <f aca="false">IF(C622&lt;&gt;"Purchase",0,IF(OR(I622="N",F622="Blocked input (entertainment)"),0,L622))</f>
        <v>0</v>
      </c>
      <c r="P622" s="52" t="n">
        <f aca="false">IF(C622&lt;&gt;"Purchase",0,L622-O622)</f>
        <v>0</v>
      </c>
      <c r="Q622" s="53" t="n">
        <f aca="false">J622-B622</f>
        <v>5</v>
      </c>
      <c r="R622" s="51" t="str">
        <f aca="false">IF(I622="N","Invalid / missing TRN",IF(F622="Blocked input (entertainment)","Blocked input",IF(Q622&gt;30,"Late posting (&gt;30d)","")))</f>
        <v/>
      </c>
    </row>
    <row r="623" customFormat="false" ht="15" hidden="false" customHeight="false" outlineLevel="0" collapsed="false">
      <c r="A623" s="47" t="s">
        <v>909</v>
      </c>
      <c r="B623" s="48" t="n">
        <v>45829</v>
      </c>
      <c r="C623" s="47" t="s">
        <v>166</v>
      </c>
      <c r="D623" s="47" t="s">
        <v>233</v>
      </c>
      <c r="E623" s="47" t="s">
        <v>100</v>
      </c>
      <c r="F623" s="47" t="s">
        <v>170</v>
      </c>
      <c r="G623" s="49" t="n">
        <v>60353.07</v>
      </c>
      <c r="H623" s="50" t="n">
        <v>0.05</v>
      </c>
      <c r="I623" s="47" t="s">
        <v>162</v>
      </c>
      <c r="J623" s="48" t="n">
        <v>45831</v>
      </c>
      <c r="K623" s="51" t="str">
        <f aca="false">"Q"&amp;ROUNDUP(MONTH(B623)/3,0)</f>
        <v>Q2</v>
      </c>
      <c r="L623" s="52" t="n">
        <f aca="false">ROUND(G623*H623,2)</f>
        <v>3017.65</v>
      </c>
      <c r="M623" s="52" t="n">
        <f aca="false">IF(AND(C623="Sales",F623="Standard-rated 5%"),L623,0)</f>
        <v>0</v>
      </c>
      <c r="N623" s="52" t="n">
        <f aca="false">IF(F623="Reverse charge (imported services)",L623,0)</f>
        <v>0</v>
      </c>
      <c r="O623" s="52" t="n">
        <f aca="false">IF(C623&lt;&gt;"Purchase",0,IF(OR(I623="N",F623="Blocked input (entertainment)"),0,L623))</f>
        <v>0</v>
      </c>
      <c r="P623" s="52" t="n">
        <f aca="false">IF(C623&lt;&gt;"Purchase",0,L623-O623)</f>
        <v>3017.65</v>
      </c>
      <c r="Q623" s="53" t="n">
        <f aca="false">J623-B623</f>
        <v>2</v>
      </c>
      <c r="R623" s="51" t="str">
        <f aca="false">IF(I623="N","Invalid / missing TRN",IF(F623="Blocked input (entertainment)","Blocked input",IF(Q623&gt;30,"Late posting (&gt;30d)","")))</f>
        <v>Blocked input</v>
      </c>
    </row>
    <row r="624" customFormat="false" ht="15" hidden="false" customHeight="false" outlineLevel="0" collapsed="false">
      <c r="A624" s="47" t="s">
        <v>910</v>
      </c>
      <c r="B624" s="48" t="n">
        <v>45829</v>
      </c>
      <c r="C624" s="47" t="s">
        <v>159</v>
      </c>
      <c r="D624" s="47" t="s">
        <v>283</v>
      </c>
      <c r="E624" s="47" t="s">
        <v>100</v>
      </c>
      <c r="F624" s="47" t="s">
        <v>278</v>
      </c>
      <c r="G624" s="49" t="n">
        <v>27822.14</v>
      </c>
      <c r="H624" s="50" t="n">
        <v>0</v>
      </c>
      <c r="I624" s="47" t="s">
        <v>162</v>
      </c>
      <c r="J624" s="48" t="n">
        <v>45829</v>
      </c>
      <c r="K624" s="51" t="str">
        <f aca="false">"Q"&amp;ROUNDUP(MONTH(B624)/3,0)</f>
        <v>Q2</v>
      </c>
      <c r="L624" s="52" t="n">
        <f aca="false">ROUND(G624*H624,2)</f>
        <v>0</v>
      </c>
      <c r="M624" s="52" t="n">
        <f aca="false">IF(AND(C624="Sales",F624="Standard-rated 5%"),L624,0)</f>
        <v>0</v>
      </c>
      <c r="N624" s="52" t="n">
        <f aca="false">IF(F624="Reverse charge (imported services)",L624,0)</f>
        <v>0</v>
      </c>
      <c r="O624" s="52" t="n">
        <f aca="false">IF(C624&lt;&gt;"Purchase",0,IF(OR(I624="N",F624="Blocked input (entertainment)"),0,L624))</f>
        <v>0</v>
      </c>
      <c r="P624" s="52" t="n">
        <f aca="false">IF(C624&lt;&gt;"Purchase",0,L624-O624)</f>
        <v>0</v>
      </c>
      <c r="Q624" s="53" t="n">
        <f aca="false">J624-B624</f>
        <v>0</v>
      </c>
      <c r="R624" s="51" t="str">
        <f aca="false">IF(I624="N","Invalid / missing TRN",IF(F624="Blocked input (entertainment)","Blocked input",IF(Q624&gt;30,"Late posting (&gt;30d)","")))</f>
        <v/>
      </c>
    </row>
    <row r="625" customFormat="false" ht="15" hidden="false" customHeight="false" outlineLevel="0" collapsed="false">
      <c r="A625" s="47" t="s">
        <v>911</v>
      </c>
      <c r="B625" s="48" t="n">
        <v>45830</v>
      </c>
      <c r="C625" s="47" t="s">
        <v>166</v>
      </c>
      <c r="D625" s="47" t="s">
        <v>188</v>
      </c>
      <c r="E625" s="47" t="s">
        <v>100</v>
      </c>
      <c r="F625" s="47" t="s">
        <v>161</v>
      </c>
      <c r="G625" s="49" t="n">
        <v>63607.15</v>
      </c>
      <c r="H625" s="50" t="n">
        <v>0.05</v>
      </c>
      <c r="I625" s="47" t="s">
        <v>162</v>
      </c>
      <c r="J625" s="48" t="n">
        <v>45830</v>
      </c>
      <c r="K625" s="51" t="str">
        <f aca="false">"Q"&amp;ROUNDUP(MONTH(B625)/3,0)</f>
        <v>Q2</v>
      </c>
      <c r="L625" s="52" t="n">
        <f aca="false">ROUND(G625*H625,2)</f>
        <v>3180.36</v>
      </c>
      <c r="M625" s="52" t="n">
        <f aca="false">IF(AND(C625="Sales",F625="Standard-rated 5%"),L625,0)</f>
        <v>0</v>
      </c>
      <c r="N625" s="52" t="n">
        <f aca="false">IF(F625="Reverse charge (imported services)",L625,0)</f>
        <v>0</v>
      </c>
      <c r="O625" s="52" t="n">
        <f aca="false">IF(C625&lt;&gt;"Purchase",0,IF(OR(I625="N",F625="Blocked input (entertainment)"),0,L625))</f>
        <v>3180.36</v>
      </c>
      <c r="P625" s="52" t="n">
        <f aca="false">IF(C625&lt;&gt;"Purchase",0,L625-O625)</f>
        <v>0</v>
      </c>
      <c r="Q625" s="53" t="n">
        <f aca="false">J625-B625</f>
        <v>0</v>
      </c>
      <c r="R625" s="51" t="str">
        <f aca="false">IF(I625="N","Invalid / missing TRN",IF(F625="Blocked input (entertainment)","Blocked input",IF(Q625&gt;30,"Late posting (&gt;30d)","")))</f>
        <v/>
      </c>
    </row>
    <row r="626" customFormat="false" ht="15" hidden="false" customHeight="false" outlineLevel="0" collapsed="false">
      <c r="A626" s="47" t="s">
        <v>912</v>
      </c>
      <c r="B626" s="48" t="n">
        <v>45830</v>
      </c>
      <c r="C626" s="47" t="s">
        <v>159</v>
      </c>
      <c r="D626" s="47" t="s">
        <v>433</v>
      </c>
      <c r="E626" s="47" t="s">
        <v>100</v>
      </c>
      <c r="F626" s="47" t="s">
        <v>278</v>
      </c>
      <c r="G626" s="49" t="n">
        <v>187172.52</v>
      </c>
      <c r="H626" s="50" t="n">
        <v>0</v>
      </c>
      <c r="I626" s="47" t="s">
        <v>162</v>
      </c>
      <c r="J626" s="48" t="n">
        <v>45830</v>
      </c>
      <c r="K626" s="51" t="str">
        <f aca="false">"Q"&amp;ROUNDUP(MONTH(B626)/3,0)</f>
        <v>Q2</v>
      </c>
      <c r="L626" s="52" t="n">
        <f aca="false">ROUND(G626*H626,2)</f>
        <v>0</v>
      </c>
      <c r="M626" s="52" t="n">
        <f aca="false">IF(AND(C626="Sales",F626="Standard-rated 5%"),L626,0)</f>
        <v>0</v>
      </c>
      <c r="N626" s="52" t="n">
        <f aca="false">IF(F626="Reverse charge (imported services)",L626,0)</f>
        <v>0</v>
      </c>
      <c r="O626" s="52" t="n">
        <f aca="false">IF(C626&lt;&gt;"Purchase",0,IF(OR(I626="N",F626="Blocked input (entertainment)"),0,L626))</f>
        <v>0</v>
      </c>
      <c r="P626" s="52" t="n">
        <f aca="false">IF(C626&lt;&gt;"Purchase",0,L626-O626)</f>
        <v>0</v>
      </c>
      <c r="Q626" s="53" t="n">
        <f aca="false">J626-B626</f>
        <v>0</v>
      </c>
      <c r="R626" s="51" t="str">
        <f aca="false">IF(I626="N","Invalid / missing TRN",IF(F626="Blocked input (entertainment)","Blocked input",IF(Q626&gt;30,"Late posting (&gt;30d)","")))</f>
        <v/>
      </c>
    </row>
    <row r="627" customFormat="false" ht="15" hidden="false" customHeight="false" outlineLevel="0" collapsed="false">
      <c r="A627" s="47" t="s">
        <v>913</v>
      </c>
      <c r="B627" s="48" t="n">
        <v>45831</v>
      </c>
      <c r="C627" s="47" t="s">
        <v>166</v>
      </c>
      <c r="D627" s="47" t="s">
        <v>555</v>
      </c>
      <c r="E627" s="47" t="s">
        <v>101</v>
      </c>
      <c r="F627" s="47" t="s">
        <v>161</v>
      </c>
      <c r="G627" s="49" t="n">
        <v>63049.29</v>
      </c>
      <c r="H627" s="50" t="n">
        <v>0.05</v>
      </c>
      <c r="I627" s="47" t="s">
        <v>162</v>
      </c>
      <c r="J627" s="48" t="n">
        <v>45831</v>
      </c>
      <c r="K627" s="51" t="str">
        <f aca="false">"Q"&amp;ROUNDUP(MONTH(B627)/3,0)</f>
        <v>Q2</v>
      </c>
      <c r="L627" s="52" t="n">
        <f aca="false">ROUND(G627*H627,2)</f>
        <v>3152.46</v>
      </c>
      <c r="M627" s="52" t="n">
        <f aca="false">IF(AND(C627="Sales",F627="Standard-rated 5%"),L627,0)</f>
        <v>0</v>
      </c>
      <c r="N627" s="52" t="n">
        <f aca="false">IF(F627="Reverse charge (imported services)",L627,0)</f>
        <v>0</v>
      </c>
      <c r="O627" s="52" t="n">
        <f aca="false">IF(C627&lt;&gt;"Purchase",0,IF(OR(I627="N",F627="Blocked input (entertainment)"),0,L627))</f>
        <v>3152.46</v>
      </c>
      <c r="P627" s="52" t="n">
        <f aca="false">IF(C627&lt;&gt;"Purchase",0,L627-O627)</f>
        <v>0</v>
      </c>
      <c r="Q627" s="53" t="n">
        <f aca="false">J627-B627</f>
        <v>0</v>
      </c>
      <c r="R627" s="51" t="str">
        <f aca="false">IF(I627="N","Invalid / missing TRN",IF(F627="Blocked input (entertainment)","Blocked input",IF(Q627&gt;30,"Late posting (&gt;30d)","")))</f>
        <v/>
      </c>
    </row>
    <row r="628" customFormat="false" ht="15" hidden="false" customHeight="false" outlineLevel="0" collapsed="false">
      <c r="A628" s="47" t="s">
        <v>914</v>
      </c>
      <c r="B628" s="48" t="n">
        <v>45831</v>
      </c>
      <c r="C628" s="47" t="s">
        <v>166</v>
      </c>
      <c r="D628" s="47" t="s">
        <v>253</v>
      </c>
      <c r="E628" s="47" t="s">
        <v>100</v>
      </c>
      <c r="F628" s="47" t="s">
        <v>161</v>
      </c>
      <c r="G628" s="49" t="n">
        <v>24627.15</v>
      </c>
      <c r="H628" s="50" t="n">
        <v>0.05</v>
      </c>
      <c r="I628" s="47" t="s">
        <v>162</v>
      </c>
      <c r="J628" s="48" t="n">
        <v>45831</v>
      </c>
      <c r="K628" s="51" t="str">
        <f aca="false">"Q"&amp;ROUNDUP(MONTH(B628)/3,0)</f>
        <v>Q2</v>
      </c>
      <c r="L628" s="52" t="n">
        <f aca="false">ROUND(G628*H628,2)</f>
        <v>1231.36</v>
      </c>
      <c r="M628" s="52" t="n">
        <f aca="false">IF(AND(C628="Sales",F628="Standard-rated 5%"),L628,0)</f>
        <v>0</v>
      </c>
      <c r="N628" s="52" t="n">
        <f aca="false">IF(F628="Reverse charge (imported services)",L628,0)</f>
        <v>0</v>
      </c>
      <c r="O628" s="52" t="n">
        <f aca="false">IF(C628&lt;&gt;"Purchase",0,IF(OR(I628="N",F628="Blocked input (entertainment)"),0,L628))</f>
        <v>1231.36</v>
      </c>
      <c r="P628" s="52" t="n">
        <f aca="false">IF(C628&lt;&gt;"Purchase",0,L628-O628)</f>
        <v>0</v>
      </c>
      <c r="Q628" s="53" t="n">
        <f aca="false">J628-B628</f>
        <v>0</v>
      </c>
      <c r="R628" s="51" t="str">
        <f aca="false">IF(I628="N","Invalid / missing TRN",IF(F628="Blocked input (entertainment)","Blocked input",IF(Q628&gt;30,"Late posting (&gt;30d)","")))</f>
        <v/>
      </c>
    </row>
    <row r="629" customFormat="false" ht="15" hidden="false" customHeight="false" outlineLevel="0" collapsed="false">
      <c r="A629" s="47" t="s">
        <v>915</v>
      </c>
      <c r="B629" s="48" t="n">
        <v>45831</v>
      </c>
      <c r="C629" s="47" t="s">
        <v>166</v>
      </c>
      <c r="D629" s="47" t="s">
        <v>335</v>
      </c>
      <c r="E629" s="47" t="s">
        <v>100</v>
      </c>
      <c r="F629" s="47" t="s">
        <v>161</v>
      </c>
      <c r="G629" s="49" t="n">
        <v>46418.75</v>
      </c>
      <c r="H629" s="50" t="n">
        <v>0.05</v>
      </c>
      <c r="I629" s="47" t="s">
        <v>162</v>
      </c>
      <c r="J629" s="48" t="n">
        <v>45831</v>
      </c>
      <c r="K629" s="51" t="str">
        <f aca="false">"Q"&amp;ROUNDUP(MONTH(B629)/3,0)</f>
        <v>Q2</v>
      </c>
      <c r="L629" s="52" t="n">
        <f aca="false">ROUND(G629*H629,2)</f>
        <v>2320.94</v>
      </c>
      <c r="M629" s="52" t="n">
        <f aca="false">IF(AND(C629="Sales",F629="Standard-rated 5%"),L629,0)</f>
        <v>0</v>
      </c>
      <c r="N629" s="52" t="n">
        <f aca="false">IF(F629="Reverse charge (imported services)",L629,0)</f>
        <v>0</v>
      </c>
      <c r="O629" s="52" t="n">
        <f aca="false">IF(C629&lt;&gt;"Purchase",0,IF(OR(I629="N",F629="Blocked input (entertainment)"),0,L629))</f>
        <v>2320.94</v>
      </c>
      <c r="P629" s="52" t="n">
        <f aca="false">IF(C629&lt;&gt;"Purchase",0,L629-O629)</f>
        <v>0</v>
      </c>
      <c r="Q629" s="53" t="n">
        <f aca="false">J629-B629</f>
        <v>0</v>
      </c>
      <c r="R629" s="51" t="str">
        <f aca="false">IF(I629="N","Invalid / missing TRN",IF(F629="Blocked input (entertainment)","Blocked input",IF(Q629&gt;30,"Late posting (&gt;30d)","")))</f>
        <v/>
      </c>
    </row>
    <row r="630" customFormat="false" ht="15" hidden="false" customHeight="false" outlineLevel="0" collapsed="false">
      <c r="A630" s="47" t="s">
        <v>916</v>
      </c>
      <c r="B630" s="48" t="n">
        <v>45832</v>
      </c>
      <c r="C630" s="47" t="s">
        <v>166</v>
      </c>
      <c r="D630" s="47" t="s">
        <v>577</v>
      </c>
      <c r="E630" s="47" t="s">
        <v>100</v>
      </c>
      <c r="F630" s="47" t="s">
        <v>161</v>
      </c>
      <c r="G630" s="49" t="n">
        <v>7478.89</v>
      </c>
      <c r="H630" s="50" t="n">
        <v>0.05</v>
      </c>
      <c r="I630" s="47" t="s">
        <v>162</v>
      </c>
      <c r="J630" s="48" t="n">
        <v>45832</v>
      </c>
      <c r="K630" s="51" t="str">
        <f aca="false">"Q"&amp;ROUNDUP(MONTH(B630)/3,0)</f>
        <v>Q2</v>
      </c>
      <c r="L630" s="52" t="n">
        <f aca="false">ROUND(G630*H630,2)</f>
        <v>373.94</v>
      </c>
      <c r="M630" s="52" t="n">
        <f aca="false">IF(AND(C630="Sales",F630="Standard-rated 5%"),L630,0)</f>
        <v>0</v>
      </c>
      <c r="N630" s="52" t="n">
        <f aca="false">IF(F630="Reverse charge (imported services)",L630,0)</f>
        <v>0</v>
      </c>
      <c r="O630" s="52" t="n">
        <f aca="false">IF(C630&lt;&gt;"Purchase",0,IF(OR(I630="N",F630="Blocked input (entertainment)"),0,L630))</f>
        <v>373.94</v>
      </c>
      <c r="P630" s="52" t="n">
        <f aca="false">IF(C630&lt;&gt;"Purchase",0,L630-O630)</f>
        <v>0</v>
      </c>
      <c r="Q630" s="53" t="n">
        <f aca="false">J630-B630</f>
        <v>0</v>
      </c>
      <c r="R630" s="51" t="str">
        <f aca="false">IF(I630="N","Invalid / missing TRN",IF(F630="Blocked input (entertainment)","Blocked input",IF(Q630&gt;30,"Late posting (&gt;30d)","")))</f>
        <v/>
      </c>
    </row>
    <row r="631" customFormat="false" ht="15" hidden="false" customHeight="false" outlineLevel="0" collapsed="false">
      <c r="A631" s="47" t="s">
        <v>917</v>
      </c>
      <c r="B631" s="48" t="n">
        <v>45832</v>
      </c>
      <c r="C631" s="47" t="s">
        <v>166</v>
      </c>
      <c r="D631" s="47" t="s">
        <v>206</v>
      </c>
      <c r="E631" s="47" t="s">
        <v>101</v>
      </c>
      <c r="F631" s="47" t="s">
        <v>161</v>
      </c>
      <c r="G631" s="49" t="n">
        <v>18473.69</v>
      </c>
      <c r="H631" s="50" t="n">
        <v>0.05</v>
      </c>
      <c r="I631" s="47" t="s">
        <v>162</v>
      </c>
      <c r="J631" s="48" t="n">
        <v>45832</v>
      </c>
      <c r="K631" s="51" t="str">
        <f aca="false">"Q"&amp;ROUNDUP(MONTH(B631)/3,0)</f>
        <v>Q2</v>
      </c>
      <c r="L631" s="52" t="n">
        <f aca="false">ROUND(G631*H631,2)</f>
        <v>923.68</v>
      </c>
      <c r="M631" s="52" t="n">
        <f aca="false">IF(AND(C631="Sales",F631="Standard-rated 5%"),L631,0)</f>
        <v>0</v>
      </c>
      <c r="N631" s="52" t="n">
        <f aca="false">IF(F631="Reverse charge (imported services)",L631,0)</f>
        <v>0</v>
      </c>
      <c r="O631" s="52" t="n">
        <f aca="false">IF(C631&lt;&gt;"Purchase",0,IF(OR(I631="N",F631="Blocked input (entertainment)"),0,L631))</f>
        <v>923.68</v>
      </c>
      <c r="P631" s="52" t="n">
        <f aca="false">IF(C631&lt;&gt;"Purchase",0,L631-O631)</f>
        <v>0</v>
      </c>
      <c r="Q631" s="53" t="n">
        <f aca="false">J631-B631</f>
        <v>0</v>
      </c>
      <c r="R631" s="51" t="str">
        <f aca="false">IF(I631="N","Invalid / missing TRN",IF(F631="Blocked input (entertainment)","Blocked input",IF(Q631&gt;30,"Late posting (&gt;30d)","")))</f>
        <v/>
      </c>
    </row>
    <row r="632" customFormat="false" ht="15" hidden="false" customHeight="false" outlineLevel="0" collapsed="false">
      <c r="A632" s="47" t="s">
        <v>918</v>
      </c>
      <c r="B632" s="48" t="n">
        <v>45833</v>
      </c>
      <c r="C632" s="47" t="s">
        <v>159</v>
      </c>
      <c r="D632" s="47" t="s">
        <v>355</v>
      </c>
      <c r="E632" s="47" t="s">
        <v>101</v>
      </c>
      <c r="F632" s="47" t="s">
        <v>278</v>
      </c>
      <c r="G632" s="49" t="n">
        <v>24557.68</v>
      </c>
      <c r="H632" s="50" t="n">
        <v>0</v>
      </c>
      <c r="I632" s="47" t="s">
        <v>162</v>
      </c>
      <c r="J632" s="48" t="n">
        <v>45873</v>
      </c>
      <c r="K632" s="51" t="str">
        <f aca="false">"Q"&amp;ROUNDUP(MONTH(B632)/3,0)</f>
        <v>Q2</v>
      </c>
      <c r="L632" s="52" t="n">
        <f aca="false">ROUND(G632*H632,2)</f>
        <v>0</v>
      </c>
      <c r="M632" s="52" t="n">
        <f aca="false">IF(AND(C632="Sales",F632="Standard-rated 5%"),L632,0)</f>
        <v>0</v>
      </c>
      <c r="N632" s="52" t="n">
        <f aca="false">IF(F632="Reverse charge (imported services)",L632,0)</f>
        <v>0</v>
      </c>
      <c r="O632" s="52" t="n">
        <f aca="false">IF(C632&lt;&gt;"Purchase",0,IF(OR(I632="N",F632="Blocked input (entertainment)"),0,L632))</f>
        <v>0</v>
      </c>
      <c r="P632" s="52" t="n">
        <f aca="false">IF(C632&lt;&gt;"Purchase",0,L632-O632)</f>
        <v>0</v>
      </c>
      <c r="Q632" s="53" t="n">
        <f aca="false">J632-B632</f>
        <v>40</v>
      </c>
      <c r="R632" s="51" t="str">
        <f aca="false">IF(I632="N","Invalid / missing TRN",IF(F632="Blocked input (entertainment)","Blocked input",IF(Q632&gt;30,"Late posting (&gt;30d)","")))</f>
        <v>Late posting (&gt;30d)</v>
      </c>
    </row>
    <row r="633" customFormat="false" ht="15" hidden="false" customHeight="false" outlineLevel="0" collapsed="false">
      <c r="A633" s="47" t="s">
        <v>919</v>
      </c>
      <c r="B633" s="48" t="n">
        <v>45834</v>
      </c>
      <c r="C633" s="47" t="s">
        <v>166</v>
      </c>
      <c r="D633" s="47" t="s">
        <v>295</v>
      </c>
      <c r="E633" s="47" t="s">
        <v>101</v>
      </c>
      <c r="F633" s="47" t="s">
        <v>161</v>
      </c>
      <c r="G633" s="49" t="n">
        <v>39631.43</v>
      </c>
      <c r="H633" s="50" t="n">
        <v>0.05</v>
      </c>
      <c r="I633" s="47" t="s">
        <v>162</v>
      </c>
      <c r="J633" s="48" t="n">
        <v>45835</v>
      </c>
      <c r="K633" s="51" t="str">
        <f aca="false">"Q"&amp;ROUNDUP(MONTH(B633)/3,0)</f>
        <v>Q2</v>
      </c>
      <c r="L633" s="52" t="n">
        <f aca="false">ROUND(G633*H633,2)</f>
        <v>1981.57</v>
      </c>
      <c r="M633" s="52" t="n">
        <f aca="false">IF(AND(C633="Sales",F633="Standard-rated 5%"),L633,0)</f>
        <v>0</v>
      </c>
      <c r="N633" s="52" t="n">
        <f aca="false">IF(F633="Reverse charge (imported services)",L633,0)</f>
        <v>0</v>
      </c>
      <c r="O633" s="52" t="n">
        <f aca="false">IF(C633&lt;&gt;"Purchase",0,IF(OR(I633="N",F633="Blocked input (entertainment)"),0,L633))</f>
        <v>1981.57</v>
      </c>
      <c r="P633" s="52" t="n">
        <f aca="false">IF(C633&lt;&gt;"Purchase",0,L633-O633)</f>
        <v>0</v>
      </c>
      <c r="Q633" s="53" t="n">
        <f aca="false">J633-B633</f>
        <v>1</v>
      </c>
      <c r="R633" s="51" t="str">
        <f aca="false">IF(I633="N","Invalid / missing TRN",IF(F633="Blocked input (entertainment)","Blocked input",IF(Q633&gt;30,"Late posting (&gt;30d)","")))</f>
        <v/>
      </c>
    </row>
    <row r="634" customFormat="false" ht="15" hidden="false" customHeight="false" outlineLevel="0" collapsed="false">
      <c r="A634" s="47" t="s">
        <v>920</v>
      </c>
      <c r="B634" s="48" t="n">
        <v>45834</v>
      </c>
      <c r="C634" s="47" t="s">
        <v>166</v>
      </c>
      <c r="D634" s="47" t="s">
        <v>295</v>
      </c>
      <c r="E634" s="47" t="s">
        <v>101</v>
      </c>
      <c r="F634" s="47" t="s">
        <v>161</v>
      </c>
      <c r="G634" s="49" t="n">
        <v>4822.44</v>
      </c>
      <c r="H634" s="50" t="n">
        <v>0.05</v>
      </c>
      <c r="I634" s="47" t="s">
        <v>162</v>
      </c>
      <c r="J634" s="48" t="n">
        <v>45834</v>
      </c>
      <c r="K634" s="51" t="str">
        <f aca="false">"Q"&amp;ROUNDUP(MONTH(B634)/3,0)</f>
        <v>Q2</v>
      </c>
      <c r="L634" s="52" t="n">
        <f aca="false">ROUND(G634*H634,2)</f>
        <v>241.12</v>
      </c>
      <c r="M634" s="52" t="n">
        <f aca="false">IF(AND(C634="Sales",F634="Standard-rated 5%"),L634,0)</f>
        <v>0</v>
      </c>
      <c r="N634" s="52" t="n">
        <f aca="false">IF(F634="Reverse charge (imported services)",L634,0)</f>
        <v>0</v>
      </c>
      <c r="O634" s="52" t="n">
        <f aca="false">IF(C634&lt;&gt;"Purchase",0,IF(OR(I634="N",F634="Blocked input (entertainment)"),0,L634))</f>
        <v>241.12</v>
      </c>
      <c r="P634" s="52" t="n">
        <f aca="false">IF(C634&lt;&gt;"Purchase",0,L634-O634)</f>
        <v>0</v>
      </c>
      <c r="Q634" s="53" t="n">
        <f aca="false">J634-B634</f>
        <v>0</v>
      </c>
      <c r="R634" s="51" t="str">
        <f aca="false">IF(I634="N","Invalid / missing TRN",IF(F634="Blocked input (entertainment)","Blocked input",IF(Q634&gt;30,"Late posting (&gt;30d)","")))</f>
        <v/>
      </c>
    </row>
    <row r="635" customFormat="false" ht="15" hidden="false" customHeight="false" outlineLevel="0" collapsed="false">
      <c r="A635" s="47" t="s">
        <v>921</v>
      </c>
      <c r="B635" s="48" t="n">
        <v>45834</v>
      </c>
      <c r="C635" s="47" t="s">
        <v>159</v>
      </c>
      <c r="D635" s="47" t="s">
        <v>373</v>
      </c>
      <c r="E635" s="47" t="s">
        <v>100</v>
      </c>
      <c r="F635" s="47" t="s">
        <v>161</v>
      </c>
      <c r="G635" s="49" t="n">
        <v>22458.93</v>
      </c>
      <c r="H635" s="50" t="n">
        <v>0.05</v>
      </c>
      <c r="I635" s="47" t="s">
        <v>162</v>
      </c>
      <c r="J635" s="48" t="n">
        <v>45835</v>
      </c>
      <c r="K635" s="51" t="str">
        <f aca="false">"Q"&amp;ROUNDUP(MONTH(B635)/3,0)</f>
        <v>Q2</v>
      </c>
      <c r="L635" s="52" t="n">
        <f aca="false">ROUND(G635*H635,2)</f>
        <v>1122.95</v>
      </c>
      <c r="M635" s="52" t="n">
        <f aca="false">IF(AND(C635="Sales",F635="Standard-rated 5%"),L635,0)</f>
        <v>1122.95</v>
      </c>
      <c r="N635" s="52" t="n">
        <f aca="false">IF(F635="Reverse charge (imported services)",L635,0)</f>
        <v>0</v>
      </c>
      <c r="O635" s="52" t="n">
        <f aca="false">IF(C635&lt;&gt;"Purchase",0,IF(OR(I635="N",F635="Blocked input (entertainment)"),0,L635))</f>
        <v>0</v>
      </c>
      <c r="P635" s="52" t="n">
        <f aca="false">IF(C635&lt;&gt;"Purchase",0,L635-O635)</f>
        <v>0</v>
      </c>
      <c r="Q635" s="53" t="n">
        <f aca="false">J635-B635</f>
        <v>1</v>
      </c>
      <c r="R635" s="51" t="str">
        <f aca="false">IF(I635="N","Invalid / missing TRN",IF(F635="Blocked input (entertainment)","Blocked input",IF(Q635&gt;30,"Late posting (&gt;30d)","")))</f>
        <v/>
      </c>
    </row>
    <row r="636" customFormat="false" ht="15" hidden="false" customHeight="false" outlineLevel="0" collapsed="false">
      <c r="A636" s="47" t="s">
        <v>922</v>
      </c>
      <c r="B636" s="48" t="n">
        <v>45834</v>
      </c>
      <c r="C636" s="47" t="s">
        <v>159</v>
      </c>
      <c r="D636" s="47" t="s">
        <v>433</v>
      </c>
      <c r="E636" s="47" t="s">
        <v>101</v>
      </c>
      <c r="F636" s="47" t="s">
        <v>161</v>
      </c>
      <c r="G636" s="49" t="n">
        <v>68834.29</v>
      </c>
      <c r="H636" s="50" t="n">
        <v>0.05</v>
      </c>
      <c r="I636" s="47" t="s">
        <v>162</v>
      </c>
      <c r="J636" s="48" t="n">
        <v>45834</v>
      </c>
      <c r="K636" s="51" t="str">
        <f aca="false">"Q"&amp;ROUNDUP(MONTH(B636)/3,0)</f>
        <v>Q2</v>
      </c>
      <c r="L636" s="52" t="n">
        <f aca="false">ROUND(G636*H636,2)</f>
        <v>3441.71</v>
      </c>
      <c r="M636" s="52" t="n">
        <f aca="false">IF(AND(C636="Sales",F636="Standard-rated 5%"),L636,0)</f>
        <v>3441.71</v>
      </c>
      <c r="N636" s="52" t="n">
        <f aca="false">IF(F636="Reverse charge (imported services)",L636,0)</f>
        <v>0</v>
      </c>
      <c r="O636" s="52" t="n">
        <f aca="false">IF(C636&lt;&gt;"Purchase",0,IF(OR(I636="N",F636="Blocked input (entertainment)"),0,L636))</f>
        <v>0</v>
      </c>
      <c r="P636" s="52" t="n">
        <f aca="false">IF(C636&lt;&gt;"Purchase",0,L636-O636)</f>
        <v>0</v>
      </c>
      <c r="Q636" s="53" t="n">
        <f aca="false">J636-B636</f>
        <v>0</v>
      </c>
      <c r="R636" s="51" t="str">
        <f aca="false">IF(I636="N","Invalid / missing TRN",IF(F636="Blocked input (entertainment)","Blocked input",IF(Q636&gt;30,"Late posting (&gt;30d)","")))</f>
        <v/>
      </c>
    </row>
    <row r="637" customFormat="false" ht="15" hidden="false" customHeight="false" outlineLevel="0" collapsed="false">
      <c r="A637" s="47" t="s">
        <v>923</v>
      </c>
      <c r="B637" s="48" t="n">
        <v>45834</v>
      </c>
      <c r="C637" s="47" t="s">
        <v>159</v>
      </c>
      <c r="D637" s="47" t="s">
        <v>376</v>
      </c>
      <c r="E637" s="47" t="s">
        <v>104</v>
      </c>
      <c r="F637" s="47" t="s">
        <v>161</v>
      </c>
      <c r="G637" s="49" t="n">
        <v>81644.2</v>
      </c>
      <c r="H637" s="50" t="n">
        <v>0.05</v>
      </c>
      <c r="I637" s="47" t="s">
        <v>162</v>
      </c>
      <c r="J637" s="48" t="n">
        <v>45834</v>
      </c>
      <c r="K637" s="51" t="str">
        <f aca="false">"Q"&amp;ROUNDUP(MONTH(B637)/3,0)</f>
        <v>Q2</v>
      </c>
      <c r="L637" s="52" t="n">
        <f aca="false">ROUND(G637*H637,2)</f>
        <v>4082.21</v>
      </c>
      <c r="M637" s="52" t="n">
        <f aca="false">IF(AND(C637="Sales",F637="Standard-rated 5%"),L637,0)</f>
        <v>4082.21</v>
      </c>
      <c r="N637" s="52" t="n">
        <f aca="false">IF(F637="Reverse charge (imported services)",L637,0)</f>
        <v>0</v>
      </c>
      <c r="O637" s="52" t="n">
        <f aca="false">IF(C637&lt;&gt;"Purchase",0,IF(OR(I637="N",F637="Blocked input (entertainment)"),0,L637))</f>
        <v>0</v>
      </c>
      <c r="P637" s="52" t="n">
        <f aca="false">IF(C637&lt;&gt;"Purchase",0,L637-O637)</f>
        <v>0</v>
      </c>
      <c r="Q637" s="53" t="n">
        <f aca="false">J637-B637</f>
        <v>0</v>
      </c>
      <c r="R637" s="51" t="str">
        <f aca="false">IF(I637="N","Invalid / missing TRN",IF(F637="Blocked input (entertainment)","Blocked input",IF(Q637&gt;30,"Late posting (&gt;30d)","")))</f>
        <v/>
      </c>
    </row>
    <row r="638" customFormat="false" ht="15" hidden="false" customHeight="false" outlineLevel="0" collapsed="false">
      <c r="A638" s="47" t="s">
        <v>924</v>
      </c>
      <c r="B638" s="48" t="n">
        <v>45835</v>
      </c>
      <c r="C638" s="47" t="s">
        <v>159</v>
      </c>
      <c r="D638" s="47" t="s">
        <v>245</v>
      </c>
      <c r="E638" s="47" t="s">
        <v>101</v>
      </c>
      <c r="F638" s="47" t="s">
        <v>214</v>
      </c>
      <c r="G638" s="49" t="n">
        <v>16746.97</v>
      </c>
      <c r="H638" s="50" t="n">
        <v>0</v>
      </c>
      <c r="I638" s="47" t="s">
        <v>162</v>
      </c>
      <c r="J638" s="48" t="n">
        <v>45835</v>
      </c>
      <c r="K638" s="51" t="str">
        <f aca="false">"Q"&amp;ROUNDUP(MONTH(B638)/3,0)</f>
        <v>Q2</v>
      </c>
      <c r="L638" s="52" t="n">
        <f aca="false">ROUND(G638*H638,2)</f>
        <v>0</v>
      </c>
      <c r="M638" s="52" t="n">
        <f aca="false">IF(AND(C638="Sales",F638="Standard-rated 5%"),L638,0)</f>
        <v>0</v>
      </c>
      <c r="N638" s="52" t="n">
        <f aca="false">IF(F638="Reverse charge (imported services)",L638,0)</f>
        <v>0</v>
      </c>
      <c r="O638" s="52" t="n">
        <f aca="false">IF(C638&lt;&gt;"Purchase",0,IF(OR(I638="N",F638="Blocked input (entertainment)"),0,L638))</f>
        <v>0</v>
      </c>
      <c r="P638" s="52" t="n">
        <f aca="false">IF(C638&lt;&gt;"Purchase",0,L638-O638)</f>
        <v>0</v>
      </c>
      <c r="Q638" s="53" t="n">
        <f aca="false">J638-B638</f>
        <v>0</v>
      </c>
      <c r="R638" s="51" t="str">
        <f aca="false">IF(I638="N","Invalid / missing TRN",IF(F638="Blocked input (entertainment)","Blocked input",IF(Q638&gt;30,"Late posting (&gt;30d)","")))</f>
        <v/>
      </c>
    </row>
    <row r="639" customFormat="false" ht="15" hidden="false" customHeight="false" outlineLevel="0" collapsed="false">
      <c r="A639" s="47" t="s">
        <v>925</v>
      </c>
      <c r="B639" s="48" t="n">
        <v>45835</v>
      </c>
      <c r="C639" s="47" t="s">
        <v>159</v>
      </c>
      <c r="D639" s="47" t="s">
        <v>290</v>
      </c>
      <c r="E639" s="47" t="s">
        <v>100</v>
      </c>
      <c r="F639" s="47" t="s">
        <v>278</v>
      </c>
      <c r="G639" s="49" t="n">
        <v>21532.6</v>
      </c>
      <c r="H639" s="50" t="n">
        <v>0</v>
      </c>
      <c r="I639" s="47" t="s">
        <v>162</v>
      </c>
      <c r="J639" s="48" t="n">
        <v>45835</v>
      </c>
      <c r="K639" s="51" t="str">
        <f aca="false">"Q"&amp;ROUNDUP(MONTH(B639)/3,0)</f>
        <v>Q2</v>
      </c>
      <c r="L639" s="52" t="n">
        <f aca="false">ROUND(G639*H639,2)</f>
        <v>0</v>
      </c>
      <c r="M639" s="52" t="n">
        <f aca="false">IF(AND(C639="Sales",F639="Standard-rated 5%"),L639,0)</f>
        <v>0</v>
      </c>
      <c r="N639" s="52" t="n">
        <f aca="false">IF(F639="Reverse charge (imported services)",L639,0)</f>
        <v>0</v>
      </c>
      <c r="O639" s="52" t="n">
        <f aca="false">IF(C639&lt;&gt;"Purchase",0,IF(OR(I639="N",F639="Blocked input (entertainment)"),0,L639))</f>
        <v>0</v>
      </c>
      <c r="P639" s="52" t="n">
        <f aca="false">IF(C639&lt;&gt;"Purchase",0,L639-O639)</f>
        <v>0</v>
      </c>
      <c r="Q639" s="53" t="n">
        <f aca="false">J639-B639</f>
        <v>0</v>
      </c>
      <c r="R639" s="51" t="str">
        <f aca="false">IF(I639="N","Invalid / missing TRN",IF(F639="Blocked input (entertainment)","Blocked input",IF(Q639&gt;30,"Late posting (&gt;30d)","")))</f>
        <v/>
      </c>
    </row>
    <row r="640" customFormat="false" ht="15" hidden="false" customHeight="false" outlineLevel="0" collapsed="false">
      <c r="A640" s="47" t="s">
        <v>926</v>
      </c>
      <c r="B640" s="48" t="n">
        <v>45835</v>
      </c>
      <c r="C640" s="47" t="s">
        <v>159</v>
      </c>
      <c r="D640" s="47" t="s">
        <v>439</v>
      </c>
      <c r="E640" s="47" t="s">
        <v>101</v>
      </c>
      <c r="F640" s="47" t="s">
        <v>161</v>
      </c>
      <c r="G640" s="49" t="n">
        <v>26320.08</v>
      </c>
      <c r="H640" s="50" t="n">
        <v>0.05</v>
      </c>
      <c r="I640" s="47" t="s">
        <v>162</v>
      </c>
      <c r="J640" s="48" t="n">
        <v>45835</v>
      </c>
      <c r="K640" s="51" t="str">
        <f aca="false">"Q"&amp;ROUNDUP(MONTH(B640)/3,0)</f>
        <v>Q2</v>
      </c>
      <c r="L640" s="52" t="n">
        <f aca="false">ROUND(G640*H640,2)</f>
        <v>1316</v>
      </c>
      <c r="M640" s="52" t="n">
        <f aca="false">IF(AND(C640="Sales",F640="Standard-rated 5%"),L640,0)</f>
        <v>1316</v>
      </c>
      <c r="N640" s="52" t="n">
        <f aca="false">IF(F640="Reverse charge (imported services)",L640,0)</f>
        <v>0</v>
      </c>
      <c r="O640" s="52" t="n">
        <f aca="false">IF(C640&lt;&gt;"Purchase",0,IF(OR(I640="N",F640="Blocked input (entertainment)"),0,L640))</f>
        <v>0</v>
      </c>
      <c r="P640" s="52" t="n">
        <f aca="false">IF(C640&lt;&gt;"Purchase",0,L640-O640)</f>
        <v>0</v>
      </c>
      <c r="Q640" s="53" t="n">
        <f aca="false">J640-B640</f>
        <v>0</v>
      </c>
      <c r="R640" s="51" t="str">
        <f aca="false">IF(I640="N","Invalid / missing TRN",IF(F640="Blocked input (entertainment)","Blocked input",IF(Q640&gt;30,"Late posting (&gt;30d)","")))</f>
        <v/>
      </c>
    </row>
    <row r="641" customFormat="false" ht="15" hidden="false" customHeight="false" outlineLevel="0" collapsed="false">
      <c r="A641" s="47" t="s">
        <v>927</v>
      </c>
      <c r="B641" s="48" t="n">
        <v>45835</v>
      </c>
      <c r="C641" s="47" t="s">
        <v>159</v>
      </c>
      <c r="D641" s="47" t="s">
        <v>583</v>
      </c>
      <c r="E641" s="47" t="s">
        <v>102</v>
      </c>
      <c r="F641" s="47" t="s">
        <v>161</v>
      </c>
      <c r="G641" s="49" t="n">
        <v>65197.76</v>
      </c>
      <c r="H641" s="50" t="n">
        <v>0.05</v>
      </c>
      <c r="I641" s="47" t="s">
        <v>162</v>
      </c>
      <c r="J641" s="48" t="n">
        <v>45835</v>
      </c>
      <c r="K641" s="51" t="str">
        <f aca="false">"Q"&amp;ROUNDUP(MONTH(B641)/3,0)</f>
        <v>Q2</v>
      </c>
      <c r="L641" s="52" t="n">
        <f aca="false">ROUND(G641*H641,2)</f>
        <v>3259.89</v>
      </c>
      <c r="M641" s="52" t="n">
        <f aca="false">IF(AND(C641="Sales",F641="Standard-rated 5%"),L641,0)</f>
        <v>3259.89</v>
      </c>
      <c r="N641" s="52" t="n">
        <f aca="false">IF(F641="Reverse charge (imported services)",L641,0)</f>
        <v>0</v>
      </c>
      <c r="O641" s="52" t="n">
        <f aca="false">IF(C641&lt;&gt;"Purchase",0,IF(OR(I641="N",F641="Blocked input (entertainment)"),0,L641))</f>
        <v>0</v>
      </c>
      <c r="P641" s="52" t="n">
        <f aca="false">IF(C641&lt;&gt;"Purchase",0,L641-O641)</f>
        <v>0</v>
      </c>
      <c r="Q641" s="53" t="n">
        <f aca="false">J641-B641</f>
        <v>0</v>
      </c>
      <c r="R641" s="51" t="str">
        <f aca="false">IF(I641="N","Invalid / missing TRN",IF(F641="Blocked input (entertainment)","Blocked input",IF(Q641&gt;30,"Late posting (&gt;30d)","")))</f>
        <v/>
      </c>
    </row>
    <row r="642" customFormat="false" ht="15" hidden="false" customHeight="false" outlineLevel="0" collapsed="false">
      <c r="A642" s="47" t="s">
        <v>928</v>
      </c>
      <c r="B642" s="48" t="n">
        <v>45835</v>
      </c>
      <c r="C642" s="47" t="s">
        <v>159</v>
      </c>
      <c r="D642" s="47" t="s">
        <v>216</v>
      </c>
      <c r="E642" s="47" t="s">
        <v>101</v>
      </c>
      <c r="F642" s="47" t="s">
        <v>278</v>
      </c>
      <c r="G642" s="49" t="n">
        <v>53082.85</v>
      </c>
      <c r="H642" s="50" t="n">
        <v>0</v>
      </c>
      <c r="I642" s="47" t="s">
        <v>162</v>
      </c>
      <c r="J642" s="48" t="n">
        <v>45835</v>
      </c>
      <c r="K642" s="51" t="str">
        <f aca="false">"Q"&amp;ROUNDUP(MONTH(B642)/3,0)</f>
        <v>Q2</v>
      </c>
      <c r="L642" s="52" t="n">
        <f aca="false">ROUND(G642*H642,2)</f>
        <v>0</v>
      </c>
      <c r="M642" s="52" t="n">
        <f aca="false">IF(AND(C642="Sales",F642="Standard-rated 5%"),L642,0)</f>
        <v>0</v>
      </c>
      <c r="N642" s="52" t="n">
        <f aca="false">IF(F642="Reverse charge (imported services)",L642,0)</f>
        <v>0</v>
      </c>
      <c r="O642" s="52" t="n">
        <f aca="false">IF(C642&lt;&gt;"Purchase",0,IF(OR(I642="N",F642="Blocked input (entertainment)"),0,L642))</f>
        <v>0</v>
      </c>
      <c r="P642" s="52" t="n">
        <f aca="false">IF(C642&lt;&gt;"Purchase",0,L642-O642)</f>
        <v>0</v>
      </c>
      <c r="Q642" s="53" t="n">
        <f aca="false">J642-B642</f>
        <v>0</v>
      </c>
      <c r="R642" s="51" t="str">
        <f aca="false">IF(I642="N","Invalid / missing TRN",IF(F642="Blocked input (entertainment)","Blocked input",IF(Q642&gt;30,"Late posting (&gt;30d)","")))</f>
        <v/>
      </c>
    </row>
    <row r="643" customFormat="false" ht="15" hidden="false" customHeight="false" outlineLevel="0" collapsed="false">
      <c r="A643" s="47" t="s">
        <v>929</v>
      </c>
      <c r="B643" s="48" t="n">
        <v>45836</v>
      </c>
      <c r="C643" s="47" t="s">
        <v>159</v>
      </c>
      <c r="D643" s="47" t="s">
        <v>225</v>
      </c>
      <c r="E643" s="47" t="s">
        <v>104</v>
      </c>
      <c r="F643" s="47" t="s">
        <v>161</v>
      </c>
      <c r="G643" s="49" t="n">
        <v>108825.98</v>
      </c>
      <c r="H643" s="50" t="n">
        <v>0.05</v>
      </c>
      <c r="I643" s="47" t="s">
        <v>162</v>
      </c>
      <c r="J643" s="48" t="n">
        <v>45836</v>
      </c>
      <c r="K643" s="51" t="str">
        <f aca="false">"Q"&amp;ROUNDUP(MONTH(B643)/3,0)</f>
        <v>Q2</v>
      </c>
      <c r="L643" s="52" t="n">
        <f aca="false">ROUND(G643*H643,2)</f>
        <v>5441.3</v>
      </c>
      <c r="M643" s="52" t="n">
        <f aca="false">IF(AND(C643="Sales",F643="Standard-rated 5%"),L643,0)</f>
        <v>5441.3</v>
      </c>
      <c r="N643" s="52" t="n">
        <f aca="false">IF(F643="Reverse charge (imported services)",L643,0)</f>
        <v>0</v>
      </c>
      <c r="O643" s="52" t="n">
        <f aca="false">IF(C643&lt;&gt;"Purchase",0,IF(OR(I643="N",F643="Blocked input (entertainment)"),0,L643))</f>
        <v>0</v>
      </c>
      <c r="P643" s="52" t="n">
        <f aca="false">IF(C643&lt;&gt;"Purchase",0,L643-O643)</f>
        <v>0</v>
      </c>
      <c r="Q643" s="53" t="n">
        <f aca="false">J643-B643</f>
        <v>0</v>
      </c>
      <c r="R643" s="51" t="str">
        <f aca="false">IF(I643="N","Invalid / missing TRN",IF(F643="Blocked input (entertainment)","Blocked input",IF(Q643&gt;30,"Late posting (&gt;30d)","")))</f>
        <v/>
      </c>
    </row>
    <row r="644" customFormat="false" ht="15" hidden="false" customHeight="false" outlineLevel="0" collapsed="false">
      <c r="A644" s="47" t="s">
        <v>930</v>
      </c>
      <c r="B644" s="48" t="n">
        <v>45836</v>
      </c>
      <c r="C644" s="47" t="s">
        <v>159</v>
      </c>
      <c r="D644" s="47" t="s">
        <v>290</v>
      </c>
      <c r="E644" s="47" t="s">
        <v>101</v>
      </c>
      <c r="F644" s="47" t="s">
        <v>161</v>
      </c>
      <c r="G644" s="49" t="n">
        <v>60479.91</v>
      </c>
      <c r="H644" s="50" t="n">
        <v>0.05</v>
      </c>
      <c r="I644" s="47" t="s">
        <v>162</v>
      </c>
      <c r="J644" s="48" t="n">
        <v>45836</v>
      </c>
      <c r="K644" s="51" t="str">
        <f aca="false">"Q"&amp;ROUNDUP(MONTH(B644)/3,0)</f>
        <v>Q2</v>
      </c>
      <c r="L644" s="52" t="n">
        <f aca="false">ROUND(G644*H644,2)</f>
        <v>3024</v>
      </c>
      <c r="M644" s="52" t="n">
        <f aca="false">IF(AND(C644="Sales",F644="Standard-rated 5%"),L644,0)</f>
        <v>3024</v>
      </c>
      <c r="N644" s="52" t="n">
        <f aca="false">IF(F644="Reverse charge (imported services)",L644,0)</f>
        <v>0</v>
      </c>
      <c r="O644" s="52" t="n">
        <f aca="false">IF(C644&lt;&gt;"Purchase",0,IF(OR(I644="N",F644="Blocked input (entertainment)"),0,L644))</f>
        <v>0</v>
      </c>
      <c r="P644" s="52" t="n">
        <f aca="false">IF(C644&lt;&gt;"Purchase",0,L644-O644)</f>
        <v>0</v>
      </c>
      <c r="Q644" s="53" t="n">
        <f aca="false">J644-B644</f>
        <v>0</v>
      </c>
      <c r="R644" s="51" t="str">
        <f aca="false">IF(I644="N","Invalid / missing TRN",IF(F644="Blocked input (entertainment)","Blocked input",IF(Q644&gt;30,"Late posting (&gt;30d)","")))</f>
        <v/>
      </c>
    </row>
    <row r="645" customFormat="false" ht="15" hidden="false" customHeight="false" outlineLevel="0" collapsed="false">
      <c r="A645" s="47" t="s">
        <v>931</v>
      </c>
      <c r="B645" s="48" t="n">
        <v>45836</v>
      </c>
      <c r="C645" s="47" t="s">
        <v>159</v>
      </c>
      <c r="D645" s="47" t="s">
        <v>290</v>
      </c>
      <c r="E645" s="47" t="s">
        <v>101</v>
      </c>
      <c r="F645" s="47" t="s">
        <v>161</v>
      </c>
      <c r="G645" s="49" t="n">
        <v>5459.4</v>
      </c>
      <c r="H645" s="50" t="n">
        <v>0.05</v>
      </c>
      <c r="I645" s="47" t="s">
        <v>162</v>
      </c>
      <c r="J645" s="48" t="n">
        <v>45836</v>
      </c>
      <c r="K645" s="51" t="str">
        <f aca="false">"Q"&amp;ROUNDUP(MONTH(B645)/3,0)</f>
        <v>Q2</v>
      </c>
      <c r="L645" s="52" t="n">
        <f aca="false">ROUND(G645*H645,2)</f>
        <v>272.97</v>
      </c>
      <c r="M645" s="52" t="n">
        <f aca="false">IF(AND(C645="Sales",F645="Standard-rated 5%"),L645,0)</f>
        <v>272.97</v>
      </c>
      <c r="N645" s="52" t="n">
        <f aca="false">IF(F645="Reverse charge (imported services)",L645,0)</f>
        <v>0</v>
      </c>
      <c r="O645" s="52" t="n">
        <f aca="false">IF(C645&lt;&gt;"Purchase",0,IF(OR(I645="N",F645="Blocked input (entertainment)"),0,L645))</f>
        <v>0</v>
      </c>
      <c r="P645" s="52" t="n">
        <f aca="false">IF(C645&lt;&gt;"Purchase",0,L645-O645)</f>
        <v>0</v>
      </c>
      <c r="Q645" s="53" t="n">
        <f aca="false">J645-B645</f>
        <v>0</v>
      </c>
      <c r="R645" s="51" t="str">
        <f aca="false">IF(I645="N","Invalid / missing TRN",IF(F645="Blocked input (entertainment)","Blocked input",IF(Q645&gt;30,"Late posting (&gt;30d)","")))</f>
        <v/>
      </c>
    </row>
    <row r="646" customFormat="false" ht="15" hidden="false" customHeight="false" outlineLevel="0" collapsed="false">
      <c r="A646" s="47" t="s">
        <v>932</v>
      </c>
      <c r="B646" s="48" t="n">
        <v>45837</v>
      </c>
      <c r="C646" s="47" t="s">
        <v>166</v>
      </c>
      <c r="D646" s="47" t="s">
        <v>295</v>
      </c>
      <c r="E646" s="47" t="s">
        <v>100</v>
      </c>
      <c r="F646" s="47" t="s">
        <v>161</v>
      </c>
      <c r="G646" s="49" t="n">
        <v>26978.07</v>
      </c>
      <c r="H646" s="50" t="n">
        <v>0.05</v>
      </c>
      <c r="I646" s="47" t="s">
        <v>162</v>
      </c>
      <c r="J646" s="48" t="n">
        <v>45842</v>
      </c>
      <c r="K646" s="51" t="str">
        <f aca="false">"Q"&amp;ROUNDUP(MONTH(B646)/3,0)</f>
        <v>Q2</v>
      </c>
      <c r="L646" s="52" t="n">
        <f aca="false">ROUND(G646*H646,2)</f>
        <v>1348.9</v>
      </c>
      <c r="M646" s="52" t="n">
        <f aca="false">IF(AND(C646="Sales",F646="Standard-rated 5%"),L646,0)</f>
        <v>0</v>
      </c>
      <c r="N646" s="52" t="n">
        <f aca="false">IF(F646="Reverse charge (imported services)",L646,0)</f>
        <v>0</v>
      </c>
      <c r="O646" s="52" t="n">
        <f aca="false">IF(C646&lt;&gt;"Purchase",0,IF(OR(I646="N",F646="Blocked input (entertainment)"),0,L646))</f>
        <v>1348.9</v>
      </c>
      <c r="P646" s="52" t="n">
        <f aca="false">IF(C646&lt;&gt;"Purchase",0,L646-O646)</f>
        <v>0</v>
      </c>
      <c r="Q646" s="53" t="n">
        <f aca="false">J646-B646</f>
        <v>5</v>
      </c>
      <c r="R646" s="51" t="str">
        <f aca="false">IF(I646="N","Invalid / missing TRN",IF(F646="Blocked input (entertainment)","Blocked input",IF(Q646&gt;30,"Late posting (&gt;30d)","")))</f>
        <v/>
      </c>
    </row>
    <row r="647" customFormat="false" ht="15" hidden="false" customHeight="false" outlineLevel="0" collapsed="false">
      <c r="A647" s="47" t="s">
        <v>933</v>
      </c>
      <c r="B647" s="48" t="n">
        <v>45837</v>
      </c>
      <c r="C647" s="47" t="s">
        <v>166</v>
      </c>
      <c r="D647" s="47" t="s">
        <v>557</v>
      </c>
      <c r="E647" s="47" t="s">
        <v>105</v>
      </c>
      <c r="F647" s="47" t="s">
        <v>161</v>
      </c>
      <c r="G647" s="49" t="n">
        <v>21807.39</v>
      </c>
      <c r="H647" s="50" t="n">
        <v>0.05</v>
      </c>
      <c r="I647" s="47" t="s">
        <v>162</v>
      </c>
      <c r="J647" s="48" t="n">
        <v>45842</v>
      </c>
      <c r="K647" s="51" t="str">
        <f aca="false">"Q"&amp;ROUNDUP(MONTH(B647)/3,0)</f>
        <v>Q2</v>
      </c>
      <c r="L647" s="52" t="n">
        <f aca="false">ROUND(G647*H647,2)</f>
        <v>1090.37</v>
      </c>
      <c r="M647" s="52" t="n">
        <f aca="false">IF(AND(C647="Sales",F647="Standard-rated 5%"),L647,0)</f>
        <v>0</v>
      </c>
      <c r="N647" s="52" t="n">
        <f aca="false">IF(F647="Reverse charge (imported services)",L647,0)</f>
        <v>0</v>
      </c>
      <c r="O647" s="52" t="n">
        <f aca="false">IF(C647&lt;&gt;"Purchase",0,IF(OR(I647="N",F647="Blocked input (entertainment)"),0,L647))</f>
        <v>1090.37</v>
      </c>
      <c r="P647" s="52" t="n">
        <f aca="false">IF(C647&lt;&gt;"Purchase",0,L647-O647)</f>
        <v>0</v>
      </c>
      <c r="Q647" s="53" t="n">
        <f aca="false">J647-B647</f>
        <v>5</v>
      </c>
      <c r="R647" s="51" t="str">
        <f aca="false">IF(I647="N","Invalid / missing TRN",IF(F647="Blocked input (entertainment)","Blocked input",IF(Q647&gt;30,"Late posting (&gt;30d)","")))</f>
        <v/>
      </c>
    </row>
    <row r="648" customFormat="false" ht="15" hidden="false" customHeight="false" outlineLevel="0" collapsed="false">
      <c r="A648" s="47" t="s">
        <v>934</v>
      </c>
      <c r="B648" s="48" t="n">
        <v>45838</v>
      </c>
      <c r="C648" s="47" t="s">
        <v>159</v>
      </c>
      <c r="D648" s="47" t="s">
        <v>339</v>
      </c>
      <c r="E648" s="47" t="s">
        <v>100</v>
      </c>
      <c r="F648" s="47" t="s">
        <v>161</v>
      </c>
      <c r="G648" s="49" t="n">
        <v>21906.43</v>
      </c>
      <c r="H648" s="50" t="n">
        <v>0.05</v>
      </c>
      <c r="I648" s="47" t="s">
        <v>162</v>
      </c>
      <c r="J648" s="48" t="n">
        <v>45838</v>
      </c>
      <c r="K648" s="51" t="str">
        <f aca="false">"Q"&amp;ROUNDUP(MONTH(B648)/3,0)</f>
        <v>Q2</v>
      </c>
      <c r="L648" s="52" t="n">
        <f aca="false">ROUND(G648*H648,2)</f>
        <v>1095.32</v>
      </c>
      <c r="M648" s="52" t="n">
        <f aca="false">IF(AND(C648="Sales",F648="Standard-rated 5%"),L648,0)</f>
        <v>1095.32</v>
      </c>
      <c r="N648" s="52" t="n">
        <f aca="false">IF(F648="Reverse charge (imported services)",L648,0)</f>
        <v>0</v>
      </c>
      <c r="O648" s="52" t="n">
        <f aca="false">IF(C648&lt;&gt;"Purchase",0,IF(OR(I648="N",F648="Blocked input (entertainment)"),0,L648))</f>
        <v>0</v>
      </c>
      <c r="P648" s="52" t="n">
        <f aca="false">IF(C648&lt;&gt;"Purchase",0,L648-O648)</f>
        <v>0</v>
      </c>
      <c r="Q648" s="53" t="n">
        <f aca="false">J648-B648</f>
        <v>0</v>
      </c>
      <c r="R648" s="51" t="str">
        <f aca="false">IF(I648="N","Invalid / missing TRN",IF(F648="Blocked input (entertainment)","Blocked input",IF(Q648&gt;30,"Late posting (&gt;30d)","")))</f>
        <v/>
      </c>
    </row>
    <row r="649" customFormat="false" ht="15" hidden="false" customHeight="false" outlineLevel="0" collapsed="false">
      <c r="A649" s="47" t="s">
        <v>935</v>
      </c>
      <c r="B649" s="48" t="n">
        <v>45839</v>
      </c>
      <c r="C649" s="47" t="s">
        <v>166</v>
      </c>
      <c r="D649" s="47" t="s">
        <v>352</v>
      </c>
      <c r="E649" s="47" t="s">
        <v>102</v>
      </c>
      <c r="F649" s="47" t="s">
        <v>337</v>
      </c>
      <c r="G649" s="49" t="n">
        <v>13243.17</v>
      </c>
      <c r="H649" s="50" t="n">
        <v>0</v>
      </c>
      <c r="I649" s="47" t="s">
        <v>162</v>
      </c>
      <c r="J649" s="48" t="n">
        <v>45839</v>
      </c>
      <c r="K649" s="51" t="str">
        <f aca="false">"Q"&amp;ROUNDUP(MONTH(B649)/3,0)</f>
        <v>Q3</v>
      </c>
      <c r="L649" s="52" t="n">
        <f aca="false">ROUND(G649*H649,2)</f>
        <v>0</v>
      </c>
      <c r="M649" s="52" t="n">
        <f aca="false">IF(AND(C649="Sales",F649="Standard-rated 5%"),L649,0)</f>
        <v>0</v>
      </c>
      <c r="N649" s="52" t="n">
        <f aca="false">IF(F649="Reverse charge (imported services)",L649,0)</f>
        <v>0</v>
      </c>
      <c r="O649" s="52" t="n">
        <f aca="false">IF(C649&lt;&gt;"Purchase",0,IF(OR(I649="N",F649="Blocked input (entertainment)"),0,L649))</f>
        <v>0</v>
      </c>
      <c r="P649" s="52" t="n">
        <f aca="false">IF(C649&lt;&gt;"Purchase",0,L649-O649)</f>
        <v>0</v>
      </c>
      <c r="Q649" s="53" t="n">
        <f aca="false">J649-B649</f>
        <v>0</v>
      </c>
      <c r="R649" s="51" t="str">
        <f aca="false">IF(I649="N","Invalid / missing TRN",IF(F649="Blocked input (entertainment)","Blocked input",IF(Q649&gt;30,"Late posting (&gt;30d)","")))</f>
        <v/>
      </c>
    </row>
    <row r="650" customFormat="false" ht="15" hidden="false" customHeight="false" outlineLevel="0" collapsed="false">
      <c r="A650" s="47" t="s">
        <v>936</v>
      </c>
      <c r="B650" s="48" t="n">
        <v>45839</v>
      </c>
      <c r="C650" s="47" t="s">
        <v>166</v>
      </c>
      <c r="D650" s="47" t="s">
        <v>312</v>
      </c>
      <c r="E650" s="47" t="s">
        <v>100</v>
      </c>
      <c r="F650" s="47" t="s">
        <v>161</v>
      </c>
      <c r="G650" s="49" t="n">
        <v>14039.89</v>
      </c>
      <c r="H650" s="50" t="n">
        <v>0.05</v>
      </c>
      <c r="I650" s="47" t="s">
        <v>162</v>
      </c>
      <c r="J650" s="48" t="n">
        <v>45839</v>
      </c>
      <c r="K650" s="51" t="str">
        <f aca="false">"Q"&amp;ROUNDUP(MONTH(B650)/3,0)</f>
        <v>Q3</v>
      </c>
      <c r="L650" s="52" t="n">
        <f aca="false">ROUND(G650*H650,2)</f>
        <v>701.99</v>
      </c>
      <c r="M650" s="52" t="n">
        <f aca="false">IF(AND(C650="Sales",F650="Standard-rated 5%"),L650,0)</f>
        <v>0</v>
      </c>
      <c r="N650" s="52" t="n">
        <f aca="false">IF(F650="Reverse charge (imported services)",L650,0)</f>
        <v>0</v>
      </c>
      <c r="O650" s="52" t="n">
        <f aca="false">IF(C650&lt;&gt;"Purchase",0,IF(OR(I650="N",F650="Blocked input (entertainment)"),0,L650))</f>
        <v>701.99</v>
      </c>
      <c r="P650" s="52" t="n">
        <f aca="false">IF(C650&lt;&gt;"Purchase",0,L650-O650)</f>
        <v>0</v>
      </c>
      <c r="Q650" s="53" t="n">
        <f aca="false">J650-B650</f>
        <v>0</v>
      </c>
      <c r="R650" s="51" t="str">
        <f aca="false">IF(I650="N","Invalid / missing TRN",IF(F650="Blocked input (entertainment)","Blocked input",IF(Q650&gt;30,"Late posting (&gt;30d)","")))</f>
        <v/>
      </c>
    </row>
    <row r="651" customFormat="false" ht="15" hidden="false" customHeight="false" outlineLevel="0" collapsed="false">
      <c r="A651" s="47" t="s">
        <v>937</v>
      </c>
      <c r="B651" s="48" t="n">
        <v>45839</v>
      </c>
      <c r="C651" s="47" t="s">
        <v>159</v>
      </c>
      <c r="D651" s="47" t="s">
        <v>213</v>
      </c>
      <c r="E651" s="47" t="s">
        <v>100</v>
      </c>
      <c r="F651" s="47" t="s">
        <v>214</v>
      </c>
      <c r="G651" s="49" t="n">
        <v>31629.97</v>
      </c>
      <c r="H651" s="50" t="n">
        <v>0</v>
      </c>
      <c r="I651" s="47" t="s">
        <v>162</v>
      </c>
      <c r="J651" s="48" t="n">
        <v>45840</v>
      </c>
      <c r="K651" s="51" t="str">
        <f aca="false">"Q"&amp;ROUNDUP(MONTH(B651)/3,0)</f>
        <v>Q3</v>
      </c>
      <c r="L651" s="52" t="n">
        <f aca="false">ROUND(G651*H651,2)</f>
        <v>0</v>
      </c>
      <c r="M651" s="52" t="n">
        <f aca="false">IF(AND(C651="Sales",F651="Standard-rated 5%"),L651,0)</f>
        <v>0</v>
      </c>
      <c r="N651" s="52" t="n">
        <f aca="false">IF(F651="Reverse charge (imported services)",L651,0)</f>
        <v>0</v>
      </c>
      <c r="O651" s="52" t="n">
        <f aca="false">IF(C651&lt;&gt;"Purchase",0,IF(OR(I651="N",F651="Blocked input (entertainment)"),0,L651))</f>
        <v>0</v>
      </c>
      <c r="P651" s="52" t="n">
        <f aca="false">IF(C651&lt;&gt;"Purchase",0,L651-O651)</f>
        <v>0</v>
      </c>
      <c r="Q651" s="53" t="n">
        <f aca="false">J651-B651</f>
        <v>1</v>
      </c>
      <c r="R651" s="51" t="str">
        <f aca="false">IF(I651="N","Invalid / missing TRN",IF(F651="Blocked input (entertainment)","Blocked input",IF(Q651&gt;30,"Late posting (&gt;30d)","")))</f>
        <v/>
      </c>
    </row>
    <row r="652" customFormat="false" ht="15" hidden="false" customHeight="false" outlineLevel="0" collapsed="false">
      <c r="A652" s="47" t="s">
        <v>938</v>
      </c>
      <c r="B652" s="48" t="n">
        <v>45839</v>
      </c>
      <c r="C652" s="47" t="s">
        <v>159</v>
      </c>
      <c r="D652" s="47" t="s">
        <v>439</v>
      </c>
      <c r="E652" s="47" t="s">
        <v>101</v>
      </c>
      <c r="F652" s="47" t="s">
        <v>161</v>
      </c>
      <c r="G652" s="49" t="n">
        <v>35642.99</v>
      </c>
      <c r="H652" s="50" t="n">
        <v>0.05</v>
      </c>
      <c r="I652" s="47" t="s">
        <v>162</v>
      </c>
      <c r="J652" s="48" t="n">
        <v>45839</v>
      </c>
      <c r="K652" s="51" t="str">
        <f aca="false">"Q"&amp;ROUNDUP(MONTH(B652)/3,0)</f>
        <v>Q3</v>
      </c>
      <c r="L652" s="52" t="n">
        <f aca="false">ROUND(G652*H652,2)</f>
        <v>1782.15</v>
      </c>
      <c r="M652" s="52" t="n">
        <f aca="false">IF(AND(C652="Sales",F652="Standard-rated 5%"),L652,0)</f>
        <v>1782.15</v>
      </c>
      <c r="N652" s="52" t="n">
        <f aca="false">IF(F652="Reverse charge (imported services)",L652,0)</f>
        <v>0</v>
      </c>
      <c r="O652" s="52" t="n">
        <f aca="false">IF(C652&lt;&gt;"Purchase",0,IF(OR(I652="N",F652="Blocked input (entertainment)"),0,L652))</f>
        <v>0</v>
      </c>
      <c r="P652" s="52" t="n">
        <f aca="false">IF(C652&lt;&gt;"Purchase",0,L652-O652)</f>
        <v>0</v>
      </c>
      <c r="Q652" s="53" t="n">
        <f aca="false">J652-B652</f>
        <v>0</v>
      </c>
      <c r="R652" s="51" t="str">
        <f aca="false">IF(I652="N","Invalid / missing TRN",IF(F652="Blocked input (entertainment)","Blocked input",IF(Q652&gt;30,"Late posting (&gt;30d)","")))</f>
        <v/>
      </c>
    </row>
    <row r="653" customFormat="false" ht="15" hidden="false" customHeight="false" outlineLevel="0" collapsed="false">
      <c r="A653" s="47" t="s">
        <v>939</v>
      </c>
      <c r="B653" s="48" t="n">
        <v>45840</v>
      </c>
      <c r="C653" s="47" t="s">
        <v>166</v>
      </c>
      <c r="D653" s="47" t="s">
        <v>231</v>
      </c>
      <c r="E653" s="47" t="s">
        <v>101</v>
      </c>
      <c r="F653" s="47" t="s">
        <v>161</v>
      </c>
      <c r="G653" s="49" t="n">
        <v>38316.52</v>
      </c>
      <c r="H653" s="50" t="n">
        <v>0.05</v>
      </c>
      <c r="I653" s="47" t="s">
        <v>162</v>
      </c>
      <c r="J653" s="48" t="n">
        <v>45845</v>
      </c>
      <c r="K653" s="51" t="str">
        <f aca="false">"Q"&amp;ROUNDUP(MONTH(B653)/3,0)</f>
        <v>Q3</v>
      </c>
      <c r="L653" s="52" t="n">
        <f aca="false">ROUND(G653*H653,2)</f>
        <v>1915.83</v>
      </c>
      <c r="M653" s="52" t="n">
        <f aca="false">IF(AND(C653="Sales",F653="Standard-rated 5%"),L653,0)</f>
        <v>0</v>
      </c>
      <c r="N653" s="52" t="n">
        <f aca="false">IF(F653="Reverse charge (imported services)",L653,0)</f>
        <v>0</v>
      </c>
      <c r="O653" s="52" t="n">
        <f aca="false">IF(C653&lt;&gt;"Purchase",0,IF(OR(I653="N",F653="Blocked input (entertainment)"),0,L653))</f>
        <v>1915.83</v>
      </c>
      <c r="P653" s="52" t="n">
        <f aca="false">IF(C653&lt;&gt;"Purchase",0,L653-O653)</f>
        <v>0</v>
      </c>
      <c r="Q653" s="53" t="n">
        <f aca="false">J653-B653</f>
        <v>5</v>
      </c>
      <c r="R653" s="51" t="str">
        <f aca="false">IF(I653="N","Invalid / missing TRN",IF(F653="Blocked input (entertainment)","Blocked input",IF(Q653&gt;30,"Late posting (&gt;30d)","")))</f>
        <v/>
      </c>
    </row>
    <row r="654" customFormat="false" ht="15" hidden="false" customHeight="false" outlineLevel="0" collapsed="false">
      <c r="A654" s="47" t="s">
        <v>940</v>
      </c>
      <c r="B654" s="48" t="n">
        <v>45840</v>
      </c>
      <c r="C654" s="47" t="s">
        <v>159</v>
      </c>
      <c r="D654" s="47" t="s">
        <v>784</v>
      </c>
      <c r="E654" s="47" t="s">
        <v>104</v>
      </c>
      <c r="F654" s="47" t="s">
        <v>278</v>
      </c>
      <c r="G654" s="49" t="n">
        <v>11280.98</v>
      </c>
      <c r="H654" s="50" t="n">
        <v>0</v>
      </c>
      <c r="I654" s="47" t="s">
        <v>162</v>
      </c>
      <c r="J654" s="48" t="n">
        <v>45840</v>
      </c>
      <c r="K654" s="51" t="str">
        <f aca="false">"Q"&amp;ROUNDUP(MONTH(B654)/3,0)</f>
        <v>Q3</v>
      </c>
      <c r="L654" s="52" t="n">
        <f aca="false">ROUND(G654*H654,2)</f>
        <v>0</v>
      </c>
      <c r="M654" s="52" t="n">
        <f aca="false">IF(AND(C654="Sales",F654="Standard-rated 5%"),L654,0)</f>
        <v>0</v>
      </c>
      <c r="N654" s="52" t="n">
        <f aca="false">IF(F654="Reverse charge (imported services)",L654,0)</f>
        <v>0</v>
      </c>
      <c r="O654" s="52" t="n">
        <f aca="false">IF(C654&lt;&gt;"Purchase",0,IF(OR(I654="N",F654="Blocked input (entertainment)"),0,L654))</f>
        <v>0</v>
      </c>
      <c r="P654" s="52" t="n">
        <f aca="false">IF(C654&lt;&gt;"Purchase",0,L654-O654)</f>
        <v>0</v>
      </c>
      <c r="Q654" s="53" t="n">
        <f aca="false">J654-B654</f>
        <v>0</v>
      </c>
      <c r="R654" s="51" t="str">
        <f aca="false">IF(I654="N","Invalid / missing TRN",IF(F654="Blocked input (entertainment)","Blocked input",IF(Q654&gt;30,"Late posting (&gt;30d)","")))</f>
        <v/>
      </c>
    </row>
    <row r="655" customFormat="false" ht="15" hidden="false" customHeight="false" outlineLevel="0" collapsed="false">
      <c r="A655" s="47" t="s">
        <v>941</v>
      </c>
      <c r="B655" s="48" t="n">
        <v>45840</v>
      </c>
      <c r="C655" s="47" t="s">
        <v>159</v>
      </c>
      <c r="D655" s="47" t="s">
        <v>235</v>
      </c>
      <c r="E655" s="47" t="s">
        <v>105</v>
      </c>
      <c r="F655" s="47" t="s">
        <v>278</v>
      </c>
      <c r="G655" s="49" t="n">
        <v>134042.61</v>
      </c>
      <c r="H655" s="50" t="n">
        <v>0</v>
      </c>
      <c r="I655" s="47" t="s">
        <v>162</v>
      </c>
      <c r="J655" s="48" t="n">
        <v>45840</v>
      </c>
      <c r="K655" s="51" t="str">
        <f aca="false">"Q"&amp;ROUNDUP(MONTH(B655)/3,0)</f>
        <v>Q3</v>
      </c>
      <c r="L655" s="52" t="n">
        <f aca="false">ROUND(G655*H655,2)</f>
        <v>0</v>
      </c>
      <c r="M655" s="52" t="n">
        <f aca="false">IF(AND(C655="Sales",F655="Standard-rated 5%"),L655,0)</f>
        <v>0</v>
      </c>
      <c r="N655" s="52" t="n">
        <f aca="false">IF(F655="Reverse charge (imported services)",L655,0)</f>
        <v>0</v>
      </c>
      <c r="O655" s="52" t="n">
        <f aca="false">IF(C655&lt;&gt;"Purchase",0,IF(OR(I655="N",F655="Blocked input (entertainment)"),0,L655))</f>
        <v>0</v>
      </c>
      <c r="P655" s="52" t="n">
        <f aca="false">IF(C655&lt;&gt;"Purchase",0,L655-O655)</f>
        <v>0</v>
      </c>
      <c r="Q655" s="53" t="n">
        <f aca="false">J655-B655</f>
        <v>0</v>
      </c>
      <c r="R655" s="51" t="str">
        <f aca="false">IF(I655="N","Invalid / missing TRN",IF(F655="Blocked input (entertainment)","Blocked input",IF(Q655&gt;30,"Late posting (&gt;30d)","")))</f>
        <v/>
      </c>
    </row>
    <row r="656" customFormat="false" ht="15" hidden="false" customHeight="false" outlineLevel="0" collapsed="false">
      <c r="A656" s="47" t="s">
        <v>942</v>
      </c>
      <c r="B656" s="48" t="n">
        <v>45841</v>
      </c>
      <c r="C656" s="47" t="s">
        <v>166</v>
      </c>
      <c r="D656" s="47" t="s">
        <v>315</v>
      </c>
      <c r="E656" s="47" t="s">
        <v>101</v>
      </c>
      <c r="F656" s="47" t="s">
        <v>161</v>
      </c>
      <c r="G656" s="49" t="n">
        <v>26229.92</v>
      </c>
      <c r="H656" s="50" t="n">
        <v>0.05</v>
      </c>
      <c r="I656" s="47" t="s">
        <v>162</v>
      </c>
      <c r="J656" s="48" t="n">
        <v>45841</v>
      </c>
      <c r="K656" s="51" t="str">
        <f aca="false">"Q"&amp;ROUNDUP(MONTH(B656)/3,0)</f>
        <v>Q3</v>
      </c>
      <c r="L656" s="52" t="n">
        <f aca="false">ROUND(G656*H656,2)</f>
        <v>1311.5</v>
      </c>
      <c r="M656" s="52" t="n">
        <f aca="false">IF(AND(C656="Sales",F656="Standard-rated 5%"),L656,0)</f>
        <v>0</v>
      </c>
      <c r="N656" s="52" t="n">
        <f aca="false">IF(F656="Reverse charge (imported services)",L656,0)</f>
        <v>0</v>
      </c>
      <c r="O656" s="52" t="n">
        <f aca="false">IF(C656&lt;&gt;"Purchase",0,IF(OR(I656="N",F656="Blocked input (entertainment)"),0,L656))</f>
        <v>1311.5</v>
      </c>
      <c r="P656" s="52" t="n">
        <f aca="false">IF(C656&lt;&gt;"Purchase",0,L656-O656)</f>
        <v>0</v>
      </c>
      <c r="Q656" s="53" t="n">
        <f aca="false">J656-B656</f>
        <v>0</v>
      </c>
      <c r="R656" s="51" t="str">
        <f aca="false">IF(I656="N","Invalid / missing TRN",IF(F656="Blocked input (entertainment)","Blocked input",IF(Q656&gt;30,"Late posting (&gt;30d)","")))</f>
        <v/>
      </c>
    </row>
    <row r="657" customFormat="false" ht="15" hidden="false" customHeight="false" outlineLevel="0" collapsed="false">
      <c r="A657" s="47" t="s">
        <v>943</v>
      </c>
      <c r="B657" s="48" t="n">
        <v>45841</v>
      </c>
      <c r="C657" s="47" t="s">
        <v>166</v>
      </c>
      <c r="D657" s="47" t="s">
        <v>184</v>
      </c>
      <c r="E657" s="47" t="s">
        <v>101</v>
      </c>
      <c r="F657" s="47" t="s">
        <v>161</v>
      </c>
      <c r="G657" s="49" t="n">
        <v>21292.66</v>
      </c>
      <c r="H657" s="50" t="n">
        <v>0.05</v>
      </c>
      <c r="I657" s="47" t="s">
        <v>162</v>
      </c>
      <c r="J657" s="48" t="n">
        <v>45841</v>
      </c>
      <c r="K657" s="51" t="str">
        <f aca="false">"Q"&amp;ROUNDUP(MONTH(B657)/3,0)</f>
        <v>Q3</v>
      </c>
      <c r="L657" s="52" t="n">
        <f aca="false">ROUND(G657*H657,2)</f>
        <v>1064.63</v>
      </c>
      <c r="M657" s="52" t="n">
        <f aca="false">IF(AND(C657="Sales",F657="Standard-rated 5%"),L657,0)</f>
        <v>0</v>
      </c>
      <c r="N657" s="52" t="n">
        <f aca="false">IF(F657="Reverse charge (imported services)",L657,0)</f>
        <v>0</v>
      </c>
      <c r="O657" s="52" t="n">
        <f aca="false">IF(C657&lt;&gt;"Purchase",0,IF(OR(I657="N",F657="Blocked input (entertainment)"),0,L657))</f>
        <v>1064.63</v>
      </c>
      <c r="P657" s="52" t="n">
        <f aca="false">IF(C657&lt;&gt;"Purchase",0,L657-O657)</f>
        <v>0</v>
      </c>
      <c r="Q657" s="53" t="n">
        <f aca="false">J657-B657</f>
        <v>0</v>
      </c>
      <c r="R657" s="51" t="str">
        <f aca="false">IF(I657="N","Invalid / missing TRN",IF(F657="Blocked input (entertainment)","Blocked input",IF(Q657&gt;30,"Late posting (&gt;30d)","")))</f>
        <v/>
      </c>
    </row>
    <row r="658" customFormat="false" ht="15" hidden="false" customHeight="false" outlineLevel="0" collapsed="false">
      <c r="A658" s="47" t="s">
        <v>944</v>
      </c>
      <c r="B658" s="48" t="n">
        <v>45841</v>
      </c>
      <c r="C658" s="47" t="s">
        <v>159</v>
      </c>
      <c r="D658" s="47" t="s">
        <v>431</v>
      </c>
      <c r="E658" s="47" t="s">
        <v>100</v>
      </c>
      <c r="F658" s="47" t="s">
        <v>161</v>
      </c>
      <c r="G658" s="49" t="n">
        <v>95515.79</v>
      </c>
      <c r="H658" s="50" t="n">
        <v>0.05</v>
      </c>
      <c r="I658" s="47" t="s">
        <v>162</v>
      </c>
      <c r="J658" s="48" t="n">
        <v>45846</v>
      </c>
      <c r="K658" s="51" t="str">
        <f aca="false">"Q"&amp;ROUNDUP(MONTH(B658)/3,0)</f>
        <v>Q3</v>
      </c>
      <c r="L658" s="52" t="n">
        <f aca="false">ROUND(G658*H658,2)</f>
        <v>4775.79</v>
      </c>
      <c r="M658" s="52" t="n">
        <f aca="false">IF(AND(C658="Sales",F658="Standard-rated 5%"),L658,0)</f>
        <v>4775.79</v>
      </c>
      <c r="N658" s="52" t="n">
        <f aca="false">IF(F658="Reverse charge (imported services)",L658,0)</f>
        <v>0</v>
      </c>
      <c r="O658" s="52" t="n">
        <f aca="false">IF(C658&lt;&gt;"Purchase",0,IF(OR(I658="N",F658="Blocked input (entertainment)"),0,L658))</f>
        <v>0</v>
      </c>
      <c r="P658" s="52" t="n">
        <f aca="false">IF(C658&lt;&gt;"Purchase",0,L658-O658)</f>
        <v>0</v>
      </c>
      <c r="Q658" s="53" t="n">
        <f aca="false">J658-B658</f>
        <v>5</v>
      </c>
      <c r="R658" s="51" t="str">
        <f aca="false">IF(I658="N","Invalid / missing TRN",IF(F658="Blocked input (entertainment)","Blocked input",IF(Q658&gt;30,"Late posting (&gt;30d)","")))</f>
        <v/>
      </c>
    </row>
    <row r="659" customFormat="false" ht="15" hidden="false" customHeight="false" outlineLevel="0" collapsed="false">
      <c r="A659" s="47" t="s">
        <v>945</v>
      </c>
      <c r="B659" s="48" t="n">
        <v>45841</v>
      </c>
      <c r="C659" s="47" t="s">
        <v>159</v>
      </c>
      <c r="D659" s="47" t="s">
        <v>241</v>
      </c>
      <c r="E659" s="47" t="s">
        <v>100</v>
      </c>
      <c r="F659" s="47" t="s">
        <v>161</v>
      </c>
      <c r="G659" s="49" t="n">
        <v>20242.41</v>
      </c>
      <c r="H659" s="50" t="n">
        <v>0.05</v>
      </c>
      <c r="I659" s="47" t="s">
        <v>162</v>
      </c>
      <c r="J659" s="48" t="n">
        <v>45841</v>
      </c>
      <c r="K659" s="51" t="str">
        <f aca="false">"Q"&amp;ROUNDUP(MONTH(B659)/3,0)</f>
        <v>Q3</v>
      </c>
      <c r="L659" s="52" t="n">
        <f aca="false">ROUND(G659*H659,2)</f>
        <v>1012.12</v>
      </c>
      <c r="M659" s="52" t="n">
        <f aca="false">IF(AND(C659="Sales",F659="Standard-rated 5%"),L659,0)</f>
        <v>1012.12</v>
      </c>
      <c r="N659" s="52" t="n">
        <f aca="false">IF(F659="Reverse charge (imported services)",L659,0)</f>
        <v>0</v>
      </c>
      <c r="O659" s="52" t="n">
        <f aca="false">IF(C659&lt;&gt;"Purchase",0,IF(OR(I659="N",F659="Blocked input (entertainment)"),0,L659))</f>
        <v>0</v>
      </c>
      <c r="P659" s="52" t="n">
        <f aca="false">IF(C659&lt;&gt;"Purchase",0,L659-O659)</f>
        <v>0</v>
      </c>
      <c r="Q659" s="53" t="n">
        <f aca="false">J659-B659</f>
        <v>0</v>
      </c>
      <c r="R659" s="51" t="str">
        <f aca="false">IF(I659="N","Invalid / missing TRN",IF(F659="Blocked input (entertainment)","Blocked input",IF(Q659&gt;30,"Late posting (&gt;30d)","")))</f>
        <v/>
      </c>
    </row>
    <row r="660" customFormat="false" ht="15" hidden="false" customHeight="false" outlineLevel="0" collapsed="false">
      <c r="A660" s="47" t="s">
        <v>946</v>
      </c>
      <c r="B660" s="48" t="n">
        <v>45842</v>
      </c>
      <c r="C660" s="47" t="s">
        <v>166</v>
      </c>
      <c r="D660" s="47" t="s">
        <v>255</v>
      </c>
      <c r="E660" s="47" t="s">
        <v>100</v>
      </c>
      <c r="F660" s="47" t="s">
        <v>161</v>
      </c>
      <c r="G660" s="49" t="n">
        <v>8930.74</v>
      </c>
      <c r="H660" s="50" t="n">
        <v>0.05</v>
      </c>
      <c r="I660" s="47" t="s">
        <v>162</v>
      </c>
      <c r="J660" s="48" t="n">
        <v>45842</v>
      </c>
      <c r="K660" s="51" t="str">
        <f aca="false">"Q"&amp;ROUNDUP(MONTH(B660)/3,0)</f>
        <v>Q3</v>
      </c>
      <c r="L660" s="52" t="n">
        <f aca="false">ROUND(G660*H660,2)</f>
        <v>446.54</v>
      </c>
      <c r="M660" s="52" t="n">
        <f aca="false">IF(AND(C660="Sales",F660="Standard-rated 5%"),L660,0)</f>
        <v>0</v>
      </c>
      <c r="N660" s="52" t="n">
        <f aca="false">IF(F660="Reverse charge (imported services)",L660,0)</f>
        <v>0</v>
      </c>
      <c r="O660" s="52" t="n">
        <f aca="false">IF(C660&lt;&gt;"Purchase",0,IF(OR(I660="N",F660="Blocked input (entertainment)"),0,L660))</f>
        <v>446.54</v>
      </c>
      <c r="P660" s="52" t="n">
        <f aca="false">IF(C660&lt;&gt;"Purchase",0,L660-O660)</f>
        <v>0</v>
      </c>
      <c r="Q660" s="53" t="n">
        <f aca="false">J660-B660</f>
        <v>0</v>
      </c>
      <c r="R660" s="51" t="str">
        <f aca="false">IF(I660="N","Invalid / missing TRN",IF(F660="Blocked input (entertainment)","Blocked input",IF(Q660&gt;30,"Late posting (&gt;30d)","")))</f>
        <v/>
      </c>
    </row>
    <row r="661" customFormat="false" ht="15" hidden="false" customHeight="false" outlineLevel="0" collapsed="false">
      <c r="A661" s="47" t="s">
        <v>947</v>
      </c>
      <c r="B661" s="48" t="n">
        <v>45842</v>
      </c>
      <c r="C661" s="47" t="s">
        <v>166</v>
      </c>
      <c r="D661" s="47" t="s">
        <v>570</v>
      </c>
      <c r="E661" s="47" t="s">
        <v>101</v>
      </c>
      <c r="F661" s="47" t="s">
        <v>268</v>
      </c>
      <c r="G661" s="49" t="n">
        <v>23465.16</v>
      </c>
      <c r="H661" s="50" t="n">
        <v>0</v>
      </c>
      <c r="I661" s="47" t="s">
        <v>162</v>
      </c>
      <c r="J661" s="48" t="n">
        <v>45842</v>
      </c>
      <c r="K661" s="51" t="str">
        <f aca="false">"Q"&amp;ROUNDUP(MONTH(B661)/3,0)</f>
        <v>Q3</v>
      </c>
      <c r="L661" s="52" t="n">
        <f aca="false">ROUND(G661*H661,2)</f>
        <v>0</v>
      </c>
      <c r="M661" s="52" t="n">
        <f aca="false">IF(AND(C661="Sales",F661="Standard-rated 5%"),L661,0)</f>
        <v>0</v>
      </c>
      <c r="N661" s="52" t="n">
        <f aca="false">IF(F661="Reverse charge (imported services)",L661,0)</f>
        <v>0</v>
      </c>
      <c r="O661" s="52" t="n">
        <f aca="false">IF(C661&lt;&gt;"Purchase",0,IF(OR(I661="N",F661="Blocked input (entertainment)"),0,L661))</f>
        <v>0</v>
      </c>
      <c r="P661" s="52" t="n">
        <f aca="false">IF(C661&lt;&gt;"Purchase",0,L661-O661)</f>
        <v>0</v>
      </c>
      <c r="Q661" s="53" t="n">
        <f aca="false">J661-B661</f>
        <v>0</v>
      </c>
      <c r="R661" s="51" t="str">
        <f aca="false">IF(I661="N","Invalid / missing TRN",IF(F661="Blocked input (entertainment)","Blocked input",IF(Q661&gt;30,"Late posting (&gt;30d)","")))</f>
        <v/>
      </c>
    </row>
    <row r="662" customFormat="false" ht="15" hidden="false" customHeight="false" outlineLevel="0" collapsed="false">
      <c r="A662" s="47" t="s">
        <v>948</v>
      </c>
      <c r="B662" s="48" t="n">
        <v>45842</v>
      </c>
      <c r="C662" s="47" t="s">
        <v>159</v>
      </c>
      <c r="D662" s="47" t="s">
        <v>283</v>
      </c>
      <c r="E662" s="47" t="s">
        <v>102</v>
      </c>
      <c r="F662" s="47" t="s">
        <v>301</v>
      </c>
      <c r="G662" s="49" t="n">
        <v>33758.01</v>
      </c>
      <c r="H662" s="50" t="n">
        <v>0</v>
      </c>
      <c r="I662" s="47" t="s">
        <v>162</v>
      </c>
      <c r="J662" s="48" t="n">
        <v>45842</v>
      </c>
      <c r="K662" s="51" t="str">
        <f aca="false">"Q"&amp;ROUNDUP(MONTH(B662)/3,0)</f>
        <v>Q3</v>
      </c>
      <c r="L662" s="52" t="n">
        <f aca="false">ROUND(G662*H662,2)</f>
        <v>0</v>
      </c>
      <c r="M662" s="52" t="n">
        <f aca="false">IF(AND(C662="Sales",F662="Standard-rated 5%"),L662,0)</f>
        <v>0</v>
      </c>
      <c r="N662" s="52" t="n">
        <f aca="false">IF(F662="Reverse charge (imported services)",L662,0)</f>
        <v>0</v>
      </c>
      <c r="O662" s="52" t="n">
        <f aca="false">IF(C662&lt;&gt;"Purchase",0,IF(OR(I662="N",F662="Blocked input (entertainment)"),0,L662))</f>
        <v>0</v>
      </c>
      <c r="P662" s="52" t="n">
        <f aca="false">IF(C662&lt;&gt;"Purchase",0,L662-O662)</f>
        <v>0</v>
      </c>
      <c r="Q662" s="53" t="n">
        <f aca="false">J662-B662</f>
        <v>0</v>
      </c>
      <c r="R662" s="51" t="str">
        <f aca="false">IF(I662="N","Invalid / missing TRN",IF(F662="Blocked input (entertainment)","Blocked input",IF(Q662&gt;30,"Late posting (&gt;30d)","")))</f>
        <v/>
      </c>
    </row>
    <row r="663" customFormat="false" ht="15" hidden="false" customHeight="false" outlineLevel="0" collapsed="false">
      <c r="A663" s="47" t="s">
        <v>949</v>
      </c>
      <c r="B663" s="48" t="n">
        <v>45842</v>
      </c>
      <c r="C663" s="47" t="s">
        <v>159</v>
      </c>
      <c r="D663" s="47" t="s">
        <v>245</v>
      </c>
      <c r="E663" s="47" t="s">
        <v>100</v>
      </c>
      <c r="F663" s="47" t="s">
        <v>214</v>
      </c>
      <c r="G663" s="49" t="n">
        <v>60424.63</v>
      </c>
      <c r="H663" s="50" t="n">
        <v>0</v>
      </c>
      <c r="I663" s="47" t="s">
        <v>162</v>
      </c>
      <c r="J663" s="48" t="n">
        <v>45842</v>
      </c>
      <c r="K663" s="51" t="str">
        <f aca="false">"Q"&amp;ROUNDUP(MONTH(B663)/3,0)</f>
        <v>Q3</v>
      </c>
      <c r="L663" s="52" t="n">
        <f aca="false">ROUND(G663*H663,2)</f>
        <v>0</v>
      </c>
      <c r="M663" s="52" t="n">
        <f aca="false">IF(AND(C663="Sales",F663="Standard-rated 5%"),L663,0)</f>
        <v>0</v>
      </c>
      <c r="N663" s="52" t="n">
        <f aca="false">IF(F663="Reverse charge (imported services)",L663,0)</f>
        <v>0</v>
      </c>
      <c r="O663" s="52" t="n">
        <f aca="false">IF(C663&lt;&gt;"Purchase",0,IF(OR(I663="N",F663="Blocked input (entertainment)"),0,L663))</f>
        <v>0</v>
      </c>
      <c r="P663" s="52" t="n">
        <f aca="false">IF(C663&lt;&gt;"Purchase",0,L663-O663)</f>
        <v>0</v>
      </c>
      <c r="Q663" s="53" t="n">
        <f aca="false">J663-B663</f>
        <v>0</v>
      </c>
      <c r="R663" s="51" t="str">
        <f aca="false">IF(I663="N","Invalid / missing TRN",IF(F663="Blocked input (entertainment)","Blocked input",IF(Q663&gt;30,"Late posting (&gt;30d)","")))</f>
        <v/>
      </c>
    </row>
    <row r="664" customFormat="false" ht="15" hidden="false" customHeight="false" outlineLevel="0" collapsed="false">
      <c r="A664" s="47" t="s">
        <v>950</v>
      </c>
      <c r="B664" s="48" t="n">
        <v>45842</v>
      </c>
      <c r="C664" s="47" t="s">
        <v>159</v>
      </c>
      <c r="D664" s="47" t="s">
        <v>373</v>
      </c>
      <c r="E664" s="47" t="s">
        <v>101</v>
      </c>
      <c r="F664" s="47" t="s">
        <v>161</v>
      </c>
      <c r="G664" s="49" t="n">
        <v>30119.38</v>
      </c>
      <c r="H664" s="50" t="n">
        <v>0.05</v>
      </c>
      <c r="I664" s="47" t="s">
        <v>162</v>
      </c>
      <c r="J664" s="48" t="n">
        <v>45842</v>
      </c>
      <c r="K664" s="51" t="str">
        <f aca="false">"Q"&amp;ROUNDUP(MONTH(B664)/3,0)</f>
        <v>Q3</v>
      </c>
      <c r="L664" s="52" t="n">
        <f aca="false">ROUND(G664*H664,2)</f>
        <v>1505.97</v>
      </c>
      <c r="M664" s="52" t="n">
        <f aca="false">IF(AND(C664="Sales",F664="Standard-rated 5%"),L664,0)</f>
        <v>1505.97</v>
      </c>
      <c r="N664" s="52" t="n">
        <f aca="false">IF(F664="Reverse charge (imported services)",L664,0)</f>
        <v>0</v>
      </c>
      <c r="O664" s="52" t="n">
        <f aca="false">IF(C664&lt;&gt;"Purchase",0,IF(OR(I664="N",F664="Blocked input (entertainment)"),0,L664))</f>
        <v>0</v>
      </c>
      <c r="P664" s="52" t="n">
        <f aca="false">IF(C664&lt;&gt;"Purchase",0,L664-O664)</f>
        <v>0</v>
      </c>
      <c r="Q664" s="53" t="n">
        <f aca="false">J664-B664</f>
        <v>0</v>
      </c>
      <c r="R664" s="51" t="str">
        <f aca="false">IF(I664="N","Invalid / missing TRN",IF(F664="Blocked input (entertainment)","Blocked input",IF(Q664&gt;30,"Late posting (&gt;30d)","")))</f>
        <v/>
      </c>
    </row>
    <row r="665" customFormat="false" ht="15" hidden="false" customHeight="false" outlineLevel="0" collapsed="false">
      <c r="A665" s="47" t="s">
        <v>951</v>
      </c>
      <c r="B665" s="48" t="n">
        <v>45844</v>
      </c>
      <c r="C665" s="47" t="s">
        <v>166</v>
      </c>
      <c r="D665" s="47" t="s">
        <v>192</v>
      </c>
      <c r="E665" s="47" t="s">
        <v>101</v>
      </c>
      <c r="F665" s="47" t="s">
        <v>161</v>
      </c>
      <c r="G665" s="49" t="n">
        <v>73501.56</v>
      </c>
      <c r="H665" s="50" t="n">
        <v>0.05</v>
      </c>
      <c r="I665" s="47" t="s">
        <v>162</v>
      </c>
      <c r="J665" s="48" t="n">
        <v>45844</v>
      </c>
      <c r="K665" s="51" t="str">
        <f aca="false">"Q"&amp;ROUNDUP(MONTH(B665)/3,0)</f>
        <v>Q3</v>
      </c>
      <c r="L665" s="52" t="n">
        <f aca="false">ROUND(G665*H665,2)</f>
        <v>3675.08</v>
      </c>
      <c r="M665" s="52" t="n">
        <f aca="false">IF(AND(C665="Sales",F665="Standard-rated 5%"),L665,0)</f>
        <v>0</v>
      </c>
      <c r="N665" s="52" t="n">
        <f aca="false">IF(F665="Reverse charge (imported services)",L665,0)</f>
        <v>0</v>
      </c>
      <c r="O665" s="52" t="n">
        <f aca="false">IF(C665&lt;&gt;"Purchase",0,IF(OR(I665="N",F665="Blocked input (entertainment)"),0,L665))</f>
        <v>3675.08</v>
      </c>
      <c r="P665" s="52" t="n">
        <f aca="false">IF(C665&lt;&gt;"Purchase",0,L665-O665)</f>
        <v>0</v>
      </c>
      <c r="Q665" s="53" t="n">
        <f aca="false">J665-B665</f>
        <v>0</v>
      </c>
      <c r="R665" s="51" t="str">
        <f aca="false">IF(I665="N","Invalid / missing TRN",IF(F665="Blocked input (entertainment)","Blocked input",IF(Q665&gt;30,"Late posting (&gt;30d)","")))</f>
        <v/>
      </c>
    </row>
    <row r="666" customFormat="false" ht="15" hidden="false" customHeight="false" outlineLevel="0" collapsed="false">
      <c r="A666" s="47" t="s">
        <v>952</v>
      </c>
      <c r="B666" s="48" t="n">
        <v>45844</v>
      </c>
      <c r="C666" s="47" t="s">
        <v>166</v>
      </c>
      <c r="D666" s="47" t="s">
        <v>221</v>
      </c>
      <c r="E666" s="47" t="s">
        <v>100</v>
      </c>
      <c r="F666" s="47" t="s">
        <v>173</v>
      </c>
      <c r="G666" s="49" t="n">
        <v>13322.21</v>
      </c>
      <c r="H666" s="50" t="n">
        <v>0.05</v>
      </c>
      <c r="I666" s="47" t="s">
        <v>162</v>
      </c>
      <c r="J666" s="48" t="n">
        <v>45844</v>
      </c>
      <c r="K666" s="51" t="str">
        <f aca="false">"Q"&amp;ROUNDUP(MONTH(B666)/3,0)</f>
        <v>Q3</v>
      </c>
      <c r="L666" s="52" t="n">
        <f aca="false">ROUND(G666*H666,2)</f>
        <v>666.11</v>
      </c>
      <c r="M666" s="52" t="n">
        <f aca="false">IF(AND(C666="Sales",F666="Standard-rated 5%"),L666,0)</f>
        <v>0</v>
      </c>
      <c r="N666" s="52" t="n">
        <f aca="false">IF(F666="Reverse charge (imported services)",L666,0)</f>
        <v>666.11</v>
      </c>
      <c r="O666" s="52" t="n">
        <f aca="false">IF(C666&lt;&gt;"Purchase",0,IF(OR(I666="N",F666="Blocked input (entertainment)"),0,L666))</f>
        <v>666.11</v>
      </c>
      <c r="P666" s="52" t="n">
        <f aca="false">IF(C666&lt;&gt;"Purchase",0,L666-O666)</f>
        <v>0</v>
      </c>
      <c r="Q666" s="53" t="n">
        <f aca="false">J666-B666</f>
        <v>0</v>
      </c>
      <c r="R666" s="51" t="str">
        <f aca="false">IF(I666="N","Invalid / missing TRN",IF(F666="Blocked input (entertainment)","Blocked input",IF(Q666&gt;30,"Late posting (&gt;30d)","")))</f>
        <v/>
      </c>
    </row>
    <row r="667" customFormat="false" ht="15" hidden="false" customHeight="false" outlineLevel="0" collapsed="false">
      <c r="A667" s="47" t="s">
        <v>953</v>
      </c>
      <c r="B667" s="48" t="n">
        <v>45844</v>
      </c>
      <c r="C667" s="47" t="s">
        <v>159</v>
      </c>
      <c r="D667" s="47" t="s">
        <v>239</v>
      </c>
      <c r="E667" s="47" t="s">
        <v>104</v>
      </c>
      <c r="F667" s="47" t="s">
        <v>161</v>
      </c>
      <c r="G667" s="49" t="n">
        <v>15926.74</v>
      </c>
      <c r="H667" s="50" t="n">
        <v>0.05</v>
      </c>
      <c r="I667" s="47" t="s">
        <v>162</v>
      </c>
      <c r="J667" s="48" t="n">
        <v>45844</v>
      </c>
      <c r="K667" s="51" t="str">
        <f aca="false">"Q"&amp;ROUNDUP(MONTH(B667)/3,0)</f>
        <v>Q3</v>
      </c>
      <c r="L667" s="52" t="n">
        <f aca="false">ROUND(G667*H667,2)</f>
        <v>796.34</v>
      </c>
      <c r="M667" s="52" t="n">
        <f aca="false">IF(AND(C667="Sales",F667="Standard-rated 5%"),L667,0)</f>
        <v>796.34</v>
      </c>
      <c r="N667" s="52" t="n">
        <f aca="false">IF(F667="Reverse charge (imported services)",L667,0)</f>
        <v>0</v>
      </c>
      <c r="O667" s="52" t="n">
        <f aca="false">IF(C667&lt;&gt;"Purchase",0,IF(OR(I667="N",F667="Blocked input (entertainment)"),0,L667))</f>
        <v>0</v>
      </c>
      <c r="P667" s="52" t="n">
        <f aca="false">IF(C667&lt;&gt;"Purchase",0,L667-O667)</f>
        <v>0</v>
      </c>
      <c r="Q667" s="53" t="n">
        <f aca="false">J667-B667</f>
        <v>0</v>
      </c>
      <c r="R667" s="51" t="str">
        <f aca="false">IF(I667="N","Invalid / missing TRN",IF(F667="Blocked input (entertainment)","Blocked input",IF(Q667&gt;30,"Late posting (&gt;30d)","")))</f>
        <v/>
      </c>
    </row>
    <row r="668" customFormat="false" ht="15" hidden="false" customHeight="false" outlineLevel="0" collapsed="false">
      <c r="A668" s="47" t="s">
        <v>954</v>
      </c>
      <c r="B668" s="48" t="n">
        <v>45844</v>
      </c>
      <c r="C668" s="47" t="s">
        <v>159</v>
      </c>
      <c r="D668" s="47" t="s">
        <v>534</v>
      </c>
      <c r="E668" s="47" t="s">
        <v>105</v>
      </c>
      <c r="F668" s="47" t="s">
        <v>161</v>
      </c>
      <c r="G668" s="49" t="n">
        <v>27432.45</v>
      </c>
      <c r="H668" s="50" t="n">
        <v>0.05</v>
      </c>
      <c r="I668" s="47" t="s">
        <v>162</v>
      </c>
      <c r="J668" s="48" t="n">
        <v>45844</v>
      </c>
      <c r="K668" s="51" t="str">
        <f aca="false">"Q"&amp;ROUNDUP(MONTH(B668)/3,0)</f>
        <v>Q3</v>
      </c>
      <c r="L668" s="52" t="n">
        <f aca="false">ROUND(G668*H668,2)</f>
        <v>1371.62</v>
      </c>
      <c r="M668" s="52" t="n">
        <f aca="false">IF(AND(C668="Sales",F668="Standard-rated 5%"),L668,0)</f>
        <v>1371.62</v>
      </c>
      <c r="N668" s="52" t="n">
        <f aca="false">IF(F668="Reverse charge (imported services)",L668,0)</f>
        <v>0</v>
      </c>
      <c r="O668" s="52" t="n">
        <f aca="false">IF(C668&lt;&gt;"Purchase",0,IF(OR(I668="N",F668="Blocked input (entertainment)"),0,L668))</f>
        <v>0</v>
      </c>
      <c r="P668" s="52" t="n">
        <f aca="false">IF(C668&lt;&gt;"Purchase",0,L668-O668)</f>
        <v>0</v>
      </c>
      <c r="Q668" s="53" t="n">
        <f aca="false">J668-B668</f>
        <v>0</v>
      </c>
      <c r="R668" s="51" t="str">
        <f aca="false">IF(I668="N","Invalid / missing TRN",IF(F668="Blocked input (entertainment)","Blocked input",IF(Q668&gt;30,"Late posting (&gt;30d)","")))</f>
        <v/>
      </c>
    </row>
    <row r="669" customFormat="false" ht="15" hidden="false" customHeight="false" outlineLevel="0" collapsed="false">
      <c r="A669" s="47" t="s">
        <v>955</v>
      </c>
      <c r="B669" s="48" t="n">
        <v>45845</v>
      </c>
      <c r="C669" s="47" t="s">
        <v>159</v>
      </c>
      <c r="D669" s="47" t="s">
        <v>359</v>
      </c>
      <c r="E669" s="47" t="s">
        <v>102</v>
      </c>
      <c r="F669" s="47" t="s">
        <v>278</v>
      </c>
      <c r="G669" s="49" t="n">
        <v>30364.25</v>
      </c>
      <c r="H669" s="50" t="n">
        <v>0</v>
      </c>
      <c r="I669" s="47" t="s">
        <v>162</v>
      </c>
      <c r="J669" s="48" t="n">
        <v>45845</v>
      </c>
      <c r="K669" s="51" t="str">
        <f aca="false">"Q"&amp;ROUNDUP(MONTH(B669)/3,0)</f>
        <v>Q3</v>
      </c>
      <c r="L669" s="52" t="n">
        <f aca="false">ROUND(G669*H669,2)</f>
        <v>0</v>
      </c>
      <c r="M669" s="52" t="n">
        <f aca="false">IF(AND(C669="Sales",F669="Standard-rated 5%"),L669,0)</f>
        <v>0</v>
      </c>
      <c r="N669" s="52" t="n">
        <f aca="false">IF(F669="Reverse charge (imported services)",L669,0)</f>
        <v>0</v>
      </c>
      <c r="O669" s="52" t="n">
        <f aca="false">IF(C669&lt;&gt;"Purchase",0,IF(OR(I669="N",F669="Blocked input (entertainment)"),0,L669))</f>
        <v>0</v>
      </c>
      <c r="P669" s="52" t="n">
        <f aca="false">IF(C669&lt;&gt;"Purchase",0,L669-O669)</f>
        <v>0</v>
      </c>
      <c r="Q669" s="53" t="n">
        <f aca="false">J669-B669</f>
        <v>0</v>
      </c>
      <c r="R669" s="51" t="str">
        <f aca="false">IF(I669="N","Invalid / missing TRN",IF(F669="Blocked input (entertainment)","Blocked input",IF(Q669&gt;30,"Late posting (&gt;30d)","")))</f>
        <v/>
      </c>
    </row>
    <row r="670" customFormat="false" ht="15" hidden="false" customHeight="false" outlineLevel="0" collapsed="false">
      <c r="A670" s="47" t="s">
        <v>956</v>
      </c>
      <c r="B670" s="48" t="n">
        <v>45845</v>
      </c>
      <c r="C670" s="47" t="s">
        <v>159</v>
      </c>
      <c r="D670" s="47" t="s">
        <v>235</v>
      </c>
      <c r="E670" s="47" t="s">
        <v>100</v>
      </c>
      <c r="F670" s="47" t="s">
        <v>161</v>
      </c>
      <c r="G670" s="49" t="n">
        <v>54461.76</v>
      </c>
      <c r="H670" s="50" t="n">
        <v>0.05</v>
      </c>
      <c r="I670" s="47" t="s">
        <v>162</v>
      </c>
      <c r="J670" s="48" t="n">
        <v>45845</v>
      </c>
      <c r="K670" s="51" t="str">
        <f aca="false">"Q"&amp;ROUNDUP(MONTH(B670)/3,0)</f>
        <v>Q3</v>
      </c>
      <c r="L670" s="52" t="n">
        <f aca="false">ROUND(G670*H670,2)</f>
        <v>2723.09</v>
      </c>
      <c r="M670" s="52" t="n">
        <f aca="false">IF(AND(C670="Sales",F670="Standard-rated 5%"),L670,0)</f>
        <v>2723.09</v>
      </c>
      <c r="N670" s="52" t="n">
        <f aca="false">IF(F670="Reverse charge (imported services)",L670,0)</f>
        <v>0</v>
      </c>
      <c r="O670" s="52" t="n">
        <f aca="false">IF(C670&lt;&gt;"Purchase",0,IF(OR(I670="N",F670="Blocked input (entertainment)"),0,L670))</f>
        <v>0</v>
      </c>
      <c r="P670" s="52" t="n">
        <f aca="false">IF(C670&lt;&gt;"Purchase",0,L670-O670)</f>
        <v>0</v>
      </c>
      <c r="Q670" s="53" t="n">
        <f aca="false">J670-B670</f>
        <v>0</v>
      </c>
      <c r="R670" s="51" t="str">
        <f aca="false">IF(I670="N","Invalid / missing TRN",IF(F670="Blocked input (entertainment)","Blocked input",IF(Q670&gt;30,"Late posting (&gt;30d)","")))</f>
        <v/>
      </c>
    </row>
    <row r="671" customFormat="false" ht="15" hidden="false" customHeight="false" outlineLevel="0" collapsed="false">
      <c r="A671" s="47" t="s">
        <v>957</v>
      </c>
      <c r="B671" s="48" t="n">
        <v>45845</v>
      </c>
      <c r="C671" s="47" t="s">
        <v>159</v>
      </c>
      <c r="D671" s="47" t="s">
        <v>290</v>
      </c>
      <c r="E671" s="47" t="s">
        <v>103</v>
      </c>
      <c r="F671" s="47" t="s">
        <v>278</v>
      </c>
      <c r="G671" s="49" t="n">
        <v>65024.88</v>
      </c>
      <c r="H671" s="50" t="n">
        <v>0</v>
      </c>
      <c r="I671" s="47" t="s">
        <v>162</v>
      </c>
      <c r="J671" s="48" t="n">
        <v>45845</v>
      </c>
      <c r="K671" s="51" t="str">
        <f aca="false">"Q"&amp;ROUNDUP(MONTH(B671)/3,0)</f>
        <v>Q3</v>
      </c>
      <c r="L671" s="52" t="n">
        <f aca="false">ROUND(G671*H671,2)</f>
        <v>0</v>
      </c>
      <c r="M671" s="52" t="n">
        <f aca="false">IF(AND(C671="Sales",F671="Standard-rated 5%"),L671,0)</f>
        <v>0</v>
      </c>
      <c r="N671" s="52" t="n">
        <f aca="false">IF(F671="Reverse charge (imported services)",L671,0)</f>
        <v>0</v>
      </c>
      <c r="O671" s="52" t="n">
        <f aca="false">IF(C671&lt;&gt;"Purchase",0,IF(OR(I671="N",F671="Blocked input (entertainment)"),0,L671))</f>
        <v>0</v>
      </c>
      <c r="P671" s="52" t="n">
        <f aca="false">IF(C671&lt;&gt;"Purchase",0,L671-O671)</f>
        <v>0</v>
      </c>
      <c r="Q671" s="53" t="n">
        <f aca="false">J671-B671</f>
        <v>0</v>
      </c>
      <c r="R671" s="51" t="str">
        <f aca="false">IF(I671="N","Invalid / missing TRN",IF(F671="Blocked input (entertainment)","Blocked input",IF(Q671&gt;30,"Late posting (&gt;30d)","")))</f>
        <v/>
      </c>
    </row>
    <row r="672" customFormat="false" ht="15" hidden="false" customHeight="false" outlineLevel="0" collapsed="false">
      <c r="A672" s="47" t="s">
        <v>958</v>
      </c>
      <c r="B672" s="48" t="n">
        <v>45846</v>
      </c>
      <c r="C672" s="47" t="s">
        <v>166</v>
      </c>
      <c r="D672" s="47" t="s">
        <v>221</v>
      </c>
      <c r="E672" s="47" t="s">
        <v>100</v>
      </c>
      <c r="F672" s="47" t="s">
        <v>161</v>
      </c>
      <c r="G672" s="49" t="n">
        <v>5301.89</v>
      </c>
      <c r="H672" s="50" t="n">
        <v>0.05</v>
      </c>
      <c r="I672" s="47" t="s">
        <v>162</v>
      </c>
      <c r="J672" s="48" t="n">
        <v>45846</v>
      </c>
      <c r="K672" s="51" t="str">
        <f aca="false">"Q"&amp;ROUNDUP(MONTH(B672)/3,0)</f>
        <v>Q3</v>
      </c>
      <c r="L672" s="52" t="n">
        <f aca="false">ROUND(G672*H672,2)</f>
        <v>265.09</v>
      </c>
      <c r="M672" s="52" t="n">
        <f aca="false">IF(AND(C672="Sales",F672="Standard-rated 5%"),L672,0)</f>
        <v>0</v>
      </c>
      <c r="N672" s="52" t="n">
        <f aca="false">IF(F672="Reverse charge (imported services)",L672,0)</f>
        <v>0</v>
      </c>
      <c r="O672" s="52" t="n">
        <f aca="false">IF(C672&lt;&gt;"Purchase",0,IF(OR(I672="N",F672="Blocked input (entertainment)"),0,L672))</f>
        <v>265.09</v>
      </c>
      <c r="P672" s="52" t="n">
        <f aca="false">IF(C672&lt;&gt;"Purchase",0,L672-O672)</f>
        <v>0</v>
      </c>
      <c r="Q672" s="53" t="n">
        <f aca="false">J672-B672</f>
        <v>0</v>
      </c>
      <c r="R672" s="51" t="str">
        <f aca="false">IF(I672="N","Invalid / missing TRN",IF(F672="Blocked input (entertainment)","Blocked input",IF(Q672&gt;30,"Late posting (&gt;30d)","")))</f>
        <v/>
      </c>
    </row>
    <row r="673" customFormat="false" ht="15" hidden="false" customHeight="false" outlineLevel="0" collapsed="false">
      <c r="A673" s="47" t="s">
        <v>959</v>
      </c>
      <c r="B673" s="48" t="n">
        <v>45846</v>
      </c>
      <c r="C673" s="47" t="s">
        <v>166</v>
      </c>
      <c r="D673" s="47" t="s">
        <v>188</v>
      </c>
      <c r="E673" s="47" t="s">
        <v>101</v>
      </c>
      <c r="F673" s="47" t="s">
        <v>161</v>
      </c>
      <c r="G673" s="49" t="n">
        <v>37459.86</v>
      </c>
      <c r="H673" s="50" t="n">
        <v>0.05</v>
      </c>
      <c r="I673" s="47" t="s">
        <v>162</v>
      </c>
      <c r="J673" s="48" t="n">
        <v>45846</v>
      </c>
      <c r="K673" s="51" t="str">
        <f aca="false">"Q"&amp;ROUNDUP(MONTH(B673)/3,0)</f>
        <v>Q3</v>
      </c>
      <c r="L673" s="52" t="n">
        <f aca="false">ROUND(G673*H673,2)</f>
        <v>1872.99</v>
      </c>
      <c r="M673" s="52" t="n">
        <f aca="false">IF(AND(C673="Sales",F673="Standard-rated 5%"),L673,0)</f>
        <v>0</v>
      </c>
      <c r="N673" s="52" t="n">
        <f aca="false">IF(F673="Reverse charge (imported services)",L673,0)</f>
        <v>0</v>
      </c>
      <c r="O673" s="52" t="n">
        <f aca="false">IF(C673&lt;&gt;"Purchase",0,IF(OR(I673="N",F673="Blocked input (entertainment)"),0,L673))</f>
        <v>1872.99</v>
      </c>
      <c r="P673" s="52" t="n">
        <f aca="false">IF(C673&lt;&gt;"Purchase",0,L673-O673)</f>
        <v>0</v>
      </c>
      <c r="Q673" s="53" t="n">
        <f aca="false">J673-B673</f>
        <v>0</v>
      </c>
      <c r="R673" s="51" t="str">
        <f aca="false">IF(I673="N","Invalid / missing TRN",IF(F673="Blocked input (entertainment)","Blocked input",IF(Q673&gt;30,"Late posting (&gt;30d)","")))</f>
        <v/>
      </c>
    </row>
    <row r="674" customFormat="false" ht="15" hidden="false" customHeight="false" outlineLevel="0" collapsed="false">
      <c r="A674" s="47" t="s">
        <v>960</v>
      </c>
      <c r="B674" s="48" t="n">
        <v>45846</v>
      </c>
      <c r="C674" s="47" t="s">
        <v>166</v>
      </c>
      <c r="D674" s="47" t="s">
        <v>233</v>
      </c>
      <c r="E674" s="47" t="s">
        <v>102</v>
      </c>
      <c r="F674" s="47" t="s">
        <v>161</v>
      </c>
      <c r="G674" s="49" t="n">
        <v>39876.48</v>
      </c>
      <c r="H674" s="50" t="n">
        <v>0.05</v>
      </c>
      <c r="I674" s="47" t="s">
        <v>162</v>
      </c>
      <c r="J674" s="48" t="n">
        <v>45846</v>
      </c>
      <c r="K674" s="51" t="str">
        <f aca="false">"Q"&amp;ROUNDUP(MONTH(B674)/3,0)</f>
        <v>Q3</v>
      </c>
      <c r="L674" s="52" t="n">
        <f aca="false">ROUND(G674*H674,2)</f>
        <v>1993.82</v>
      </c>
      <c r="M674" s="52" t="n">
        <f aca="false">IF(AND(C674="Sales",F674="Standard-rated 5%"),L674,0)</f>
        <v>0</v>
      </c>
      <c r="N674" s="52" t="n">
        <f aca="false">IF(F674="Reverse charge (imported services)",L674,0)</f>
        <v>0</v>
      </c>
      <c r="O674" s="52" t="n">
        <f aca="false">IF(C674&lt;&gt;"Purchase",0,IF(OR(I674="N",F674="Blocked input (entertainment)"),0,L674))</f>
        <v>1993.82</v>
      </c>
      <c r="P674" s="52" t="n">
        <f aca="false">IF(C674&lt;&gt;"Purchase",0,L674-O674)</f>
        <v>0</v>
      </c>
      <c r="Q674" s="53" t="n">
        <f aca="false">J674-B674</f>
        <v>0</v>
      </c>
      <c r="R674" s="51" t="str">
        <f aca="false">IF(I674="N","Invalid / missing TRN",IF(F674="Blocked input (entertainment)","Blocked input",IF(Q674&gt;30,"Late posting (&gt;30d)","")))</f>
        <v/>
      </c>
    </row>
    <row r="675" customFormat="false" ht="15" hidden="false" customHeight="false" outlineLevel="0" collapsed="false">
      <c r="A675" s="47" t="s">
        <v>961</v>
      </c>
      <c r="B675" s="48" t="n">
        <v>45846</v>
      </c>
      <c r="C675" s="47" t="s">
        <v>159</v>
      </c>
      <c r="D675" s="47" t="s">
        <v>223</v>
      </c>
      <c r="E675" s="47" t="s">
        <v>100</v>
      </c>
      <c r="F675" s="47" t="s">
        <v>161</v>
      </c>
      <c r="G675" s="49" t="n">
        <v>91303.55</v>
      </c>
      <c r="H675" s="50" t="n">
        <v>0.05</v>
      </c>
      <c r="I675" s="47" t="s">
        <v>162</v>
      </c>
      <c r="J675" s="48" t="n">
        <v>45846</v>
      </c>
      <c r="K675" s="51" t="str">
        <f aca="false">"Q"&amp;ROUNDUP(MONTH(B675)/3,0)</f>
        <v>Q3</v>
      </c>
      <c r="L675" s="52" t="n">
        <f aca="false">ROUND(G675*H675,2)</f>
        <v>4565.18</v>
      </c>
      <c r="M675" s="52" t="n">
        <f aca="false">IF(AND(C675="Sales",F675="Standard-rated 5%"),L675,0)</f>
        <v>4565.18</v>
      </c>
      <c r="N675" s="52" t="n">
        <f aca="false">IF(F675="Reverse charge (imported services)",L675,0)</f>
        <v>0</v>
      </c>
      <c r="O675" s="52" t="n">
        <f aca="false">IF(C675&lt;&gt;"Purchase",0,IF(OR(I675="N",F675="Blocked input (entertainment)"),0,L675))</f>
        <v>0</v>
      </c>
      <c r="P675" s="52" t="n">
        <f aca="false">IF(C675&lt;&gt;"Purchase",0,L675-O675)</f>
        <v>0</v>
      </c>
      <c r="Q675" s="53" t="n">
        <f aca="false">J675-B675</f>
        <v>0</v>
      </c>
      <c r="R675" s="51" t="str">
        <f aca="false">IF(I675="N","Invalid / missing TRN",IF(F675="Blocked input (entertainment)","Blocked input",IF(Q675&gt;30,"Late posting (&gt;30d)","")))</f>
        <v/>
      </c>
    </row>
    <row r="676" customFormat="false" ht="15" hidden="false" customHeight="false" outlineLevel="0" collapsed="false">
      <c r="A676" s="47" t="s">
        <v>962</v>
      </c>
      <c r="B676" s="48" t="n">
        <v>45846</v>
      </c>
      <c r="C676" s="47" t="s">
        <v>159</v>
      </c>
      <c r="D676" s="47" t="s">
        <v>581</v>
      </c>
      <c r="E676" s="47" t="s">
        <v>103</v>
      </c>
      <c r="F676" s="47" t="s">
        <v>161</v>
      </c>
      <c r="G676" s="49" t="n">
        <v>29577.75</v>
      </c>
      <c r="H676" s="50" t="n">
        <v>0.05</v>
      </c>
      <c r="I676" s="47" t="s">
        <v>162</v>
      </c>
      <c r="J676" s="48" t="n">
        <v>45846</v>
      </c>
      <c r="K676" s="51" t="str">
        <f aca="false">"Q"&amp;ROUNDUP(MONTH(B676)/3,0)</f>
        <v>Q3</v>
      </c>
      <c r="L676" s="52" t="n">
        <f aca="false">ROUND(G676*H676,2)</f>
        <v>1478.89</v>
      </c>
      <c r="M676" s="52" t="n">
        <f aca="false">IF(AND(C676="Sales",F676="Standard-rated 5%"),L676,0)</f>
        <v>1478.89</v>
      </c>
      <c r="N676" s="52" t="n">
        <f aca="false">IF(F676="Reverse charge (imported services)",L676,0)</f>
        <v>0</v>
      </c>
      <c r="O676" s="52" t="n">
        <f aca="false">IF(C676&lt;&gt;"Purchase",0,IF(OR(I676="N",F676="Blocked input (entertainment)"),0,L676))</f>
        <v>0</v>
      </c>
      <c r="P676" s="52" t="n">
        <f aca="false">IF(C676&lt;&gt;"Purchase",0,L676-O676)</f>
        <v>0</v>
      </c>
      <c r="Q676" s="53" t="n">
        <f aca="false">J676-B676</f>
        <v>0</v>
      </c>
      <c r="R676" s="51" t="str">
        <f aca="false">IF(I676="N","Invalid / missing TRN",IF(F676="Blocked input (entertainment)","Blocked input",IF(Q676&gt;30,"Late posting (&gt;30d)","")))</f>
        <v/>
      </c>
    </row>
    <row r="677" customFormat="false" ht="15" hidden="false" customHeight="false" outlineLevel="0" collapsed="false">
      <c r="A677" s="47" t="s">
        <v>963</v>
      </c>
      <c r="B677" s="48" t="n">
        <v>45846</v>
      </c>
      <c r="C677" s="47" t="s">
        <v>159</v>
      </c>
      <c r="D677" s="47" t="s">
        <v>383</v>
      </c>
      <c r="E677" s="47" t="s">
        <v>101</v>
      </c>
      <c r="F677" s="47" t="s">
        <v>214</v>
      </c>
      <c r="G677" s="49" t="n">
        <v>14825.12</v>
      </c>
      <c r="H677" s="50" t="n">
        <v>0</v>
      </c>
      <c r="I677" s="47" t="s">
        <v>162</v>
      </c>
      <c r="J677" s="48" t="n">
        <v>45846</v>
      </c>
      <c r="K677" s="51" t="str">
        <f aca="false">"Q"&amp;ROUNDUP(MONTH(B677)/3,0)</f>
        <v>Q3</v>
      </c>
      <c r="L677" s="52" t="n">
        <f aca="false">ROUND(G677*H677,2)</f>
        <v>0</v>
      </c>
      <c r="M677" s="52" t="n">
        <f aca="false">IF(AND(C677="Sales",F677="Standard-rated 5%"),L677,0)</f>
        <v>0</v>
      </c>
      <c r="N677" s="52" t="n">
        <f aca="false">IF(F677="Reverse charge (imported services)",L677,0)</f>
        <v>0</v>
      </c>
      <c r="O677" s="52" t="n">
        <f aca="false">IF(C677&lt;&gt;"Purchase",0,IF(OR(I677="N",F677="Blocked input (entertainment)"),0,L677))</f>
        <v>0</v>
      </c>
      <c r="P677" s="52" t="n">
        <f aca="false">IF(C677&lt;&gt;"Purchase",0,L677-O677)</f>
        <v>0</v>
      </c>
      <c r="Q677" s="53" t="n">
        <f aca="false">J677-B677</f>
        <v>0</v>
      </c>
      <c r="R677" s="51" t="str">
        <f aca="false">IF(I677="N","Invalid / missing TRN",IF(F677="Blocked input (entertainment)","Blocked input",IF(Q677&gt;30,"Late posting (&gt;30d)","")))</f>
        <v/>
      </c>
    </row>
    <row r="678" customFormat="false" ht="15" hidden="false" customHeight="false" outlineLevel="0" collapsed="false">
      <c r="A678" s="47" t="s">
        <v>964</v>
      </c>
      <c r="B678" s="48" t="n">
        <v>45846</v>
      </c>
      <c r="C678" s="47" t="s">
        <v>159</v>
      </c>
      <c r="D678" s="47" t="s">
        <v>179</v>
      </c>
      <c r="E678" s="47" t="s">
        <v>101</v>
      </c>
      <c r="F678" s="47" t="s">
        <v>161</v>
      </c>
      <c r="G678" s="49" t="n">
        <v>35751.4</v>
      </c>
      <c r="H678" s="50" t="n">
        <v>0.05</v>
      </c>
      <c r="I678" s="47" t="s">
        <v>162</v>
      </c>
      <c r="J678" s="48" t="n">
        <v>45846</v>
      </c>
      <c r="K678" s="51" t="str">
        <f aca="false">"Q"&amp;ROUNDUP(MONTH(B678)/3,0)</f>
        <v>Q3</v>
      </c>
      <c r="L678" s="52" t="n">
        <f aca="false">ROUND(G678*H678,2)</f>
        <v>1787.57</v>
      </c>
      <c r="M678" s="52" t="n">
        <f aca="false">IF(AND(C678="Sales",F678="Standard-rated 5%"),L678,0)</f>
        <v>1787.57</v>
      </c>
      <c r="N678" s="52" t="n">
        <f aca="false">IF(F678="Reverse charge (imported services)",L678,0)</f>
        <v>0</v>
      </c>
      <c r="O678" s="52" t="n">
        <f aca="false">IF(C678&lt;&gt;"Purchase",0,IF(OR(I678="N",F678="Blocked input (entertainment)"),0,L678))</f>
        <v>0</v>
      </c>
      <c r="P678" s="52" t="n">
        <f aca="false">IF(C678&lt;&gt;"Purchase",0,L678-O678)</f>
        <v>0</v>
      </c>
      <c r="Q678" s="53" t="n">
        <f aca="false">J678-B678</f>
        <v>0</v>
      </c>
      <c r="R678" s="51" t="str">
        <f aca="false">IF(I678="N","Invalid / missing TRN",IF(F678="Blocked input (entertainment)","Blocked input",IF(Q678&gt;30,"Late posting (&gt;30d)","")))</f>
        <v/>
      </c>
    </row>
    <row r="679" customFormat="false" ht="15" hidden="false" customHeight="false" outlineLevel="0" collapsed="false">
      <c r="A679" s="47" t="s">
        <v>965</v>
      </c>
      <c r="B679" s="48" t="n">
        <v>45846</v>
      </c>
      <c r="C679" s="47" t="s">
        <v>159</v>
      </c>
      <c r="D679" s="47" t="s">
        <v>225</v>
      </c>
      <c r="E679" s="47" t="s">
        <v>100</v>
      </c>
      <c r="F679" s="47" t="s">
        <v>161</v>
      </c>
      <c r="G679" s="49" t="n">
        <v>93384.36</v>
      </c>
      <c r="H679" s="50" t="n">
        <v>0.05</v>
      </c>
      <c r="I679" s="47" t="s">
        <v>162</v>
      </c>
      <c r="J679" s="48" t="n">
        <v>45847</v>
      </c>
      <c r="K679" s="51" t="str">
        <f aca="false">"Q"&amp;ROUNDUP(MONTH(B679)/3,0)</f>
        <v>Q3</v>
      </c>
      <c r="L679" s="52" t="n">
        <f aca="false">ROUND(G679*H679,2)</f>
        <v>4669.22</v>
      </c>
      <c r="M679" s="52" t="n">
        <f aca="false">IF(AND(C679="Sales",F679="Standard-rated 5%"),L679,0)</f>
        <v>4669.22</v>
      </c>
      <c r="N679" s="52" t="n">
        <f aca="false">IF(F679="Reverse charge (imported services)",L679,0)</f>
        <v>0</v>
      </c>
      <c r="O679" s="52" t="n">
        <f aca="false">IF(C679&lt;&gt;"Purchase",0,IF(OR(I679="N",F679="Blocked input (entertainment)"),0,L679))</f>
        <v>0</v>
      </c>
      <c r="P679" s="52" t="n">
        <f aca="false">IF(C679&lt;&gt;"Purchase",0,L679-O679)</f>
        <v>0</v>
      </c>
      <c r="Q679" s="53" t="n">
        <f aca="false">J679-B679</f>
        <v>1</v>
      </c>
      <c r="R679" s="51" t="str">
        <f aca="false">IF(I679="N","Invalid / missing TRN",IF(F679="Blocked input (entertainment)","Blocked input",IF(Q679&gt;30,"Late posting (&gt;30d)","")))</f>
        <v/>
      </c>
    </row>
    <row r="680" customFormat="false" ht="15" hidden="false" customHeight="false" outlineLevel="0" collapsed="false">
      <c r="A680" s="47" t="s">
        <v>966</v>
      </c>
      <c r="B680" s="48" t="n">
        <v>45846</v>
      </c>
      <c r="C680" s="47" t="s">
        <v>159</v>
      </c>
      <c r="D680" s="47" t="s">
        <v>223</v>
      </c>
      <c r="E680" s="47" t="s">
        <v>100</v>
      </c>
      <c r="F680" s="47" t="s">
        <v>161</v>
      </c>
      <c r="G680" s="49" t="n">
        <v>62249.75</v>
      </c>
      <c r="H680" s="50" t="n">
        <v>0.05</v>
      </c>
      <c r="I680" s="47" t="s">
        <v>162</v>
      </c>
      <c r="J680" s="48" t="n">
        <v>45846</v>
      </c>
      <c r="K680" s="51" t="str">
        <f aca="false">"Q"&amp;ROUNDUP(MONTH(B680)/3,0)</f>
        <v>Q3</v>
      </c>
      <c r="L680" s="52" t="n">
        <f aca="false">ROUND(G680*H680,2)</f>
        <v>3112.49</v>
      </c>
      <c r="M680" s="52" t="n">
        <f aca="false">IF(AND(C680="Sales",F680="Standard-rated 5%"),L680,0)</f>
        <v>3112.49</v>
      </c>
      <c r="N680" s="52" t="n">
        <f aca="false">IF(F680="Reverse charge (imported services)",L680,0)</f>
        <v>0</v>
      </c>
      <c r="O680" s="52" t="n">
        <f aca="false">IF(C680&lt;&gt;"Purchase",0,IF(OR(I680="N",F680="Blocked input (entertainment)"),0,L680))</f>
        <v>0</v>
      </c>
      <c r="P680" s="52" t="n">
        <f aca="false">IF(C680&lt;&gt;"Purchase",0,L680-O680)</f>
        <v>0</v>
      </c>
      <c r="Q680" s="53" t="n">
        <f aca="false">J680-B680</f>
        <v>0</v>
      </c>
      <c r="R680" s="51" t="str">
        <f aca="false">IF(I680="N","Invalid / missing TRN",IF(F680="Blocked input (entertainment)","Blocked input",IF(Q680&gt;30,"Late posting (&gt;30d)","")))</f>
        <v/>
      </c>
    </row>
    <row r="681" customFormat="false" ht="15" hidden="false" customHeight="false" outlineLevel="0" collapsed="false">
      <c r="A681" s="47" t="s">
        <v>967</v>
      </c>
      <c r="B681" s="48" t="n">
        <v>45847</v>
      </c>
      <c r="C681" s="47" t="s">
        <v>159</v>
      </c>
      <c r="D681" s="47" t="s">
        <v>532</v>
      </c>
      <c r="E681" s="47" t="s">
        <v>101</v>
      </c>
      <c r="F681" s="47" t="s">
        <v>161</v>
      </c>
      <c r="G681" s="49" t="n">
        <v>20232.65</v>
      </c>
      <c r="H681" s="50" t="n">
        <v>0.05</v>
      </c>
      <c r="I681" s="47" t="s">
        <v>162</v>
      </c>
      <c r="J681" s="48" t="n">
        <v>45847</v>
      </c>
      <c r="K681" s="51" t="str">
        <f aca="false">"Q"&amp;ROUNDUP(MONTH(B681)/3,0)</f>
        <v>Q3</v>
      </c>
      <c r="L681" s="52" t="n">
        <f aca="false">ROUND(G681*H681,2)</f>
        <v>1011.63</v>
      </c>
      <c r="M681" s="52" t="n">
        <f aca="false">IF(AND(C681="Sales",F681="Standard-rated 5%"),L681,0)</f>
        <v>1011.63</v>
      </c>
      <c r="N681" s="52" t="n">
        <f aca="false">IF(F681="Reverse charge (imported services)",L681,0)</f>
        <v>0</v>
      </c>
      <c r="O681" s="52" t="n">
        <f aca="false">IF(C681&lt;&gt;"Purchase",0,IF(OR(I681="N",F681="Blocked input (entertainment)"),0,L681))</f>
        <v>0</v>
      </c>
      <c r="P681" s="52" t="n">
        <f aca="false">IF(C681&lt;&gt;"Purchase",0,L681-O681)</f>
        <v>0</v>
      </c>
      <c r="Q681" s="53" t="n">
        <f aca="false">J681-B681</f>
        <v>0</v>
      </c>
      <c r="R681" s="51" t="str">
        <f aca="false">IF(I681="N","Invalid / missing TRN",IF(F681="Blocked input (entertainment)","Blocked input",IF(Q681&gt;30,"Late posting (&gt;30d)","")))</f>
        <v/>
      </c>
    </row>
    <row r="682" customFormat="false" ht="15" hidden="false" customHeight="false" outlineLevel="0" collapsed="false">
      <c r="A682" s="47" t="s">
        <v>968</v>
      </c>
      <c r="B682" s="48" t="n">
        <v>45847</v>
      </c>
      <c r="C682" s="47" t="s">
        <v>159</v>
      </c>
      <c r="D682" s="47" t="s">
        <v>784</v>
      </c>
      <c r="E682" s="47" t="s">
        <v>101</v>
      </c>
      <c r="F682" s="47" t="s">
        <v>161</v>
      </c>
      <c r="G682" s="49" t="n">
        <v>65904.91</v>
      </c>
      <c r="H682" s="50" t="n">
        <v>0.05</v>
      </c>
      <c r="I682" s="47" t="s">
        <v>162</v>
      </c>
      <c r="J682" s="48" t="n">
        <v>45849</v>
      </c>
      <c r="K682" s="51" t="str">
        <f aca="false">"Q"&amp;ROUNDUP(MONTH(B682)/3,0)</f>
        <v>Q3</v>
      </c>
      <c r="L682" s="52" t="n">
        <f aca="false">ROUND(G682*H682,2)</f>
        <v>3295.25</v>
      </c>
      <c r="M682" s="52" t="n">
        <f aca="false">IF(AND(C682="Sales",F682="Standard-rated 5%"),L682,0)</f>
        <v>3295.25</v>
      </c>
      <c r="N682" s="52" t="n">
        <f aca="false">IF(F682="Reverse charge (imported services)",L682,0)</f>
        <v>0</v>
      </c>
      <c r="O682" s="52" t="n">
        <f aca="false">IF(C682&lt;&gt;"Purchase",0,IF(OR(I682="N",F682="Blocked input (entertainment)"),0,L682))</f>
        <v>0</v>
      </c>
      <c r="P682" s="52" t="n">
        <f aca="false">IF(C682&lt;&gt;"Purchase",0,L682-O682)</f>
        <v>0</v>
      </c>
      <c r="Q682" s="53" t="n">
        <f aca="false">J682-B682</f>
        <v>2</v>
      </c>
      <c r="R682" s="51" t="str">
        <f aca="false">IF(I682="N","Invalid / missing TRN",IF(F682="Blocked input (entertainment)","Blocked input",IF(Q682&gt;30,"Late posting (&gt;30d)","")))</f>
        <v/>
      </c>
    </row>
    <row r="683" customFormat="false" ht="15" hidden="false" customHeight="false" outlineLevel="0" collapsed="false">
      <c r="A683" s="47" t="s">
        <v>969</v>
      </c>
      <c r="B683" s="48" t="n">
        <v>45847</v>
      </c>
      <c r="C683" s="47" t="s">
        <v>159</v>
      </c>
      <c r="D683" s="47" t="s">
        <v>627</v>
      </c>
      <c r="E683" s="47" t="s">
        <v>101</v>
      </c>
      <c r="F683" s="47" t="s">
        <v>161</v>
      </c>
      <c r="G683" s="49" t="n">
        <v>79666.16</v>
      </c>
      <c r="H683" s="50" t="n">
        <v>0.05</v>
      </c>
      <c r="I683" s="47" t="s">
        <v>162</v>
      </c>
      <c r="J683" s="48" t="n">
        <v>45847</v>
      </c>
      <c r="K683" s="51" t="str">
        <f aca="false">"Q"&amp;ROUNDUP(MONTH(B683)/3,0)</f>
        <v>Q3</v>
      </c>
      <c r="L683" s="52" t="n">
        <f aca="false">ROUND(G683*H683,2)</f>
        <v>3983.31</v>
      </c>
      <c r="M683" s="52" t="n">
        <f aca="false">IF(AND(C683="Sales",F683="Standard-rated 5%"),L683,0)</f>
        <v>3983.31</v>
      </c>
      <c r="N683" s="52" t="n">
        <f aca="false">IF(F683="Reverse charge (imported services)",L683,0)</f>
        <v>0</v>
      </c>
      <c r="O683" s="52" t="n">
        <f aca="false">IF(C683&lt;&gt;"Purchase",0,IF(OR(I683="N",F683="Blocked input (entertainment)"),0,L683))</f>
        <v>0</v>
      </c>
      <c r="P683" s="52" t="n">
        <f aca="false">IF(C683&lt;&gt;"Purchase",0,L683-O683)</f>
        <v>0</v>
      </c>
      <c r="Q683" s="53" t="n">
        <f aca="false">J683-B683</f>
        <v>0</v>
      </c>
      <c r="R683" s="51" t="str">
        <f aca="false">IF(I683="N","Invalid / missing TRN",IF(F683="Blocked input (entertainment)","Blocked input",IF(Q683&gt;30,"Late posting (&gt;30d)","")))</f>
        <v/>
      </c>
    </row>
    <row r="684" customFormat="false" ht="15" hidden="false" customHeight="false" outlineLevel="0" collapsed="false">
      <c r="A684" s="47" t="s">
        <v>970</v>
      </c>
      <c r="B684" s="48" t="n">
        <v>45847</v>
      </c>
      <c r="C684" s="47" t="s">
        <v>159</v>
      </c>
      <c r="D684" s="47" t="s">
        <v>373</v>
      </c>
      <c r="E684" s="47" t="s">
        <v>101</v>
      </c>
      <c r="F684" s="47" t="s">
        <v>161</v>
      </c>
      <c r="G684" s="49" t="n">
        <v>149125.94</v>
      </c>
      <c r="H684" s="50" t="n">
        <v>0.05</v>
      </c>
      <c r="I684" s="47" t="s">
        <v>162</v>
      </c>
      <c r="J684" s="48" t="n">
        <v>45847</v>
      </c>
      <c r="K684" s="51" t="str">
        <f aca="false">"Q"&amp;ROUNDUP(MONTH(B684)/3,0)</f>
        <v>Q3</v>
      </c>
      <c r="L684" s="52" t="n">
        <f aca="false">ROUND(G684*H684,2)</f>
        <v>7456.3</v>
      </c>
      <c r="M684" s="52" t="n">
        <f aca="false">IF(AND(C684="Sales",F684="Standard-rated 5%"),L684,0)</f>
        <v>7456.3</v>
      </c>
      <c r="N684" s="52" t="n">
        <f aca="false">IF(F684="Reverse charge (imported services)",L684,0)</f>
        <v>0</v>
      </c>
      <c r="O684" s="52" t="n">
        <f aca="false">IF(C684&lt;&gt;"Purchase",0,IF(OR(I684="N",F684="Blocked input (entertainment)"),0,L684))</f>
        <v>0</v>
      </c>
      <c r="P684" s="52" t="n">
        <f aca="false">IF(C684&lt;&gt;"Purchase",0,L684-O684)</f>
        <v>0</v>
      </c>
      <c r="Q684" s="53" t="n">
        <f aca="false">J684-B684</f>
        <v>0</v>
      </c>
      <c r="R684" s="51" t="str">
        <f aca="false">IF(I684="N","Invalid / missing TRN",IF(F684="Blocked input (entertainment)","Blocked input",IF(Q684&gt;30,"Late posting (&gt;30d)","")))</f>
        <v/>
      </c>
    </row>
    <row r="685" customFormat="false" ht="15" hidden="false" customHeight="false" outlineLevel="0" collapsed="false">
      <c r="A685" s="47" t="s">
        <v>971</v>
      </c>
      <c r="B685" s="48" t="n">
        <v>45847</v>
      </c>
      <c r="C685" s="47" t="s">
        <v>159</v>
      </c>
      <c r="D685" s="47" t="s">
        <v>581</v>
      </c>
      <c r="E685" s="47" t="s">
        <v>100</v>
      </c>
      <c r="F685" s="47" t="s">
        <v>161</v>
      </c>
      <c r="G685" s="49" t="n">
        <v>49883.6</v>
      </c>
      <c r="H685" s="50" t="n">
        <v>0.05</v>
      </c>
      <c r="I685" s="47" t="s">
        <v>162</v>
      </c>
      <c r="J685" s="48" t="n">
        <v>45847</v>
      </c>
      <c r="K685" s="51" t="str">
        <f aca="false">"Q"&amp;ROUNDUP(MONTH(B685)/3,0)</f>
        <v>Q3</v>
      </c>
      <c r="L685" s="52" t="n">
        <f aca="false">ROUND(G685*H685,2)</f>
        <v>2494.18</v>
      </c>
      <c r="M685" s="52" t="n">
        <f aca="false">IF(AND(C685="Sales",F685="Standard-rated 5%"),L685,0)</f>
        <v>2494.18</v>
      </c>
      <c r="N685" s="52" t="n">
        <f aca="false">IF(F685="Reverse charge (imported services)",L685,0)</f>
        <v>0</v>
      </c>
      <c r="O685" s="52" t="n">
        <f aca="false">IF(C685&lt;&gt;"Purchase",0,IF(OR(I685="N",F685="Blocked input (entertainment)"),0,L685))</f>
        <v>0</v>
      </c>
      <c r="P685" s="52" t="n">
        <f aca="false">IF(C685&lt;&gt;"Purchase",0,L685-O685)</f>
        <v>0</v>
      </c>
      <c r="Q685" s="53" t="n">
        <f aca="false">J685-B685</f>
        <v>0</v>
      </c>
      <c r="R685" s="51" t="str">
        <f aca="false">IF(I685="N","Invalid / missing TRN",IF(F685="Blocked input (entertainment)","Blocked input",IF(Q685&gt;30,"Late posting (&gt;30d)","")))</f>
        <v/>
      </c>
    </row>
    <row r="686" customFormat="false" ht="15" hidden="false" customHeight="false" outlineLevel="0" collapsed="false">
      <c r="A686" s="47" t="s">
        <v>972</v>
      </c>
      <c r="B686" s="48" t="n">
        <v>45847</v>
      </c>
      <c r="C686" s="47" t="s">
        <v>159</v>
      </c>
      <c r="D686" s="47" t="s">
        <v>405</v>
      </c>
      <c r="E686" s="47" t="s">
        <v>100</v>
      </c>
      <c r="F686" s="47" t="s">
        <v>161</v>
      </c>
      <c r="G686" s="49" t="n">
        <v>32316.55</v>
      </c>
      <c r="H686" s="50" t="n">
        <v>0.05</v>
      </c>
      <c r="I686" s="47" t="s">
        <v>162</v>
      </c>
      <c r="J686" s="48" t="n">
        <v>45847</v>
      </c>
      <c r="K686" s="51" t="str">
        <f aca="false">"Q"&amp;ROUNDUP(MONTH(B686)/3,0)</f>
        <v>Q3</v>
      </c>
      <c r="L686" s="52" t="n">
        <f aca="false">ROUND(G686*H686,2)</f>
        <v>1615.83</v>
      </c>
      <c r="M686" s="52" t="n">
        <f aca="false">IF(AND(C686="Sales",F686="Standard-rated 5%"),L686,0)</f>
        <v>1615.83</v>
      </c>
      <c r="N686" s="52" t="n">
        <f aca="false">IF(F686="Reverse charge (imported services)",L686,0)</f>
        <v>0</v>
      </c>
      <c r="O686" s="52" t="n">
        <f aca="false">IF(C686&lt;&gt;"Purchase",0,IF(OR(I686="N",F686="Blocked input (entertainment)"),0,L686))</f>
        <v>0</v>
      </c>
      <c r="P686" s="52" t="n">
        <f aca="false">IF(C686&lt;&gt;"Purchase",0,L686-O686)</f>
        <v>0</v>
      </c>
      <c r="Q686" s="53" t="n">
        <f aca="false">J686-B686</f>
        <v>0</v>
      </c>
      <c r="R686" s="51" t="str">
        <f aca="false">IF(I686="N","Invalid / missing TRN",IF(F686="Blocked input (entertainment)","Blocked input",IF(Q686&gt;30,"Late posting (&gt;30d)","")))</f>
        <v/>
      </c>
    </row>
    <row r="687" customFormat="false" ht="15" hidden="false" customHeight="false" outlineLevel="0" collapsed="false">
      <c r="A687" s="47" t="s">
        <v>973</v>
      </c>
      <c r="B687" s="48" t="n">
        <v>45847</v>
      </c>
      <c r="C687" s="47" t="s">
        <v>159</v>
      </c>
      <c r="D687" s="47" t="s">
        <v>621</v>
      </c>
      <c r="E687" s="47" t="s">
        <v>103</v>
      </c>
      <c r="F687" s="47" t="s">
        <v>161</v>
      </c>
      <c r="G687" s="49" t="n">
        <v>22895.96</v>
      </c>
      <c r="H687" s="50" t="n">
        <v>0.05</v>
      </c>
      <c r="I687" s="47" t="s">
        <v>162</v>
      </c>
      <c r="J687" s="48" t="n">
        <v>45847</v>
      </c>
      <c r="K687" s="51" t="str">
        <f aca="false">"Q"&amp;ROUNDUP(MONTH(B687)/3,0)</f>
        <v>Q3</v>
      </c>
      <c r="L687" s="52" t="n">
        <f aca="false">ROUND(G687*H687,2)</f>
        <v>1144.8</v>
      </c>
      <c r="M687" s="52" t="n">
        <f aca="false">IF(AND(C687="Sales",F687="Standard-rated 5%"),L687,0)</f>
        <v>1144.8</v>
      </c>
      <c r="N687" s="52" t="n">
        <f aca="false">IF(F687="Reverse charge (imported services)",L687,0)</f>
        <v>0</v>
      </c>
      <c r="O687" s="52" t="n">
        <f aca="false">IF(C687&lt;&gt;"Purchase",0,IF(OR(I687="N",F687="Blocked input (entertainment)"),0,L687))</f>
        <v>0</v>
      </c>
      <c r="P687" s="52" t="n">
        <f aca="false">IF(C687&lt;&gt;"Purchase",0,L687-O687)</f>
        <v>0</v>
      </c>
      <c r="Q687" s="53" t="n">
        <f aca="false">J687-B687</f>
        <v>0</v>
      </c>
      <c r="R687" s="51" t="str">
        <f aca="false">IF(I687="N","Invalid / missing TRN",IF(F687="Blocked input (entertainment)","Blocked input",IF(Q687&gt;30,"Late posting (&gt;30d)","")))</f>
        <v/>
      </c>
    </row>
    <row r="688" customFormat="false" ht="15" hidden="false" customHeight="false" outlineLevel="0" collapsed="false">
      <c r="A688" s="47" t="s">
        <v>974</v>
      </c>
      <c r="B688" s="48" t="n">
        <v>45848</v>
      </c>
      <c r="C688" s="47" t="s">
        <v>166</v>
      </c>
      <c r="D688" s="47" t="s">
        <v>231</v>
      </c>
      <c r="E688" s="47" t="s">
        <v>100</v>
      </c>
      <c r="F688" s="47" t="s">
        <v>173</v>
      </c>
      <c r="G688" s="49" t="n">
        <v>25442.04</v>
      </c>
      <c r="H688" s="50" t="n">
        <v>0.05</v>
      </c>
      <c r="I688" s="47" t="s">
        <v>162</v>
      </c>
      <c r="J688" s="48" t="n">
        <v>45848</v>
      </c>
      <c r="K688" s="51" t="str">
        <f aca="false">"Q"&amp;ROUNDUP(MONTH(B688)/3,0)</f>
        <v>Q3</v>
      </c>
      <c r="L688" s="52" t="n">
        <f aca="false">ROUND(G688*H688,2)</f>
        <v>1272.1</v>
      </c>
      <c r="M688" s="52" t="n">
        <f aca="false">IF(AND(C688="Sales",F688="Standard-rated 5%"),L688,0)</f>
        <v>0</v>
      </c>
      <c r="N688" s="52" t="n">
        <f aca="false">IF(F688="Reverse charge (imported services)",L688,0)</f>
        <v>1272.1</v>
      </c>
      <c r="O688" s="52" t="n">
        <f aca="false">IF(C688&lt;&gt;"Purchase",0,IF(OR(I688="N",F688="Blocked input (entertainment)"),0,L688))</f>
        <v>1272.1</v>
      </c>
      <c r="P688" s="52" t="n">
        <f aca="false">IF(C688&lt;&gt;"Purchase",0,L688-O688)</f>
        <v>0</v>
      </c>
      <c r="Q688" s="53" t="n">
        <f aca="false">J688-B688</f>
        <v>0</v>
      </c>
      <c r="R688" s="51" t="str">
        <f aca="false">IF(I688="N","Invalid / missing TRN",IF(F688="Blocked input (entertainment)","Blocked input",IF(Q688&gt;30,"Late posting (&gt;30d)","")))</f>
        <v/>
      </c>
    </row>
    <row r="689" customFormat="false" ht="15" hidden="false" customHeight="false" outlineLevel="0" collapsed="false">
      <c r="A689" s="47" t="s">
        <v>975</v>
      </c>
      <c r="B689" s="48" t="n">
        <v>45848</v>
      </c>
      <c r="C689" s="47" t="s">
        <v>166</v>
      </c>
      <c r="D689" s="47" t="s">
        <v>295</v>
      </c>
      <c r="E689" s="47" t="s">
        <v>100</v>
      </c>
      <c r="F689" s="47" t="s">
        <v>161</v>
      </c>
      <c r="G689" s="49" t="n">
        <v>31032.73</v>
      </c>
      <c r="H689" s="50" t="n">
        <v>0.05</v>
      </c>
      <c r="I689" s="47" t="s">
        <v>162</v>
      </c>
      <c r="J689" s="48" t="n">
        <v>45848</v>
      </c>
      <c r="K689" s="51" t="str">
        <f aca="false">"Q"&amp;ROUNDUP(MONTH(B689)/3,0)</f>
        <v>Q3</v>
      </c>
      <c r="L689" s="52" t="n">
        <f aca="false">ROUND(G689*H689,2)</f>
        <v>1551.64</v>
      </c>
      <c r="M689" s="52" t="n">
        <f aca="false">IF(AND(C689="Sales",F689="Standard-rated 5%"),L689,0)</f>
        <v>0</v>
      </c>
      <c r="N689" s="52" t="n">
        <f aca="false">IF(F689="Reverse charge (imported services)",L689,0)</f>
        <v>0</v>
      </c>
      <c r="O689" s="52" t="n">
        <f aca="false">IF(C689&lt;&gt;"Purchase",0,IF(OR(I689="N",F689="Blocked input (entertainment)"),0,L689))</f>
        <v>1551.64</v>
      </c>
      <c r="P689" s="52" t="n">
        <f aca="false">IF(C689&lt;&gt;"Purchase",0,L689-O689)</f>
        <v>0</v>
      </c>
      <c r="Q689" s="53" t="n">
        <f aca="false">J689-B689</f>
        <v>0</v>
      </c>
      <c r="R689" s="51" t="str">
        <f aca="false">IF(I689="N","Invalid / missing TRN",IF(F689="Blocked input (entertainment)","Blocked input",IF(Q689&gt;30,"Late posting (&gt;30d)","")))</f>
        <v/>
      </c>
    </row>
    <row r="690" customFormat="false" ht="15" hidden="false" customHeight="false" outlineLevel="0" collapsed="false">
      <c r="A690" s="47" t="s">
        <v>976</v>
      </c>
      <c r="B690" s="48" t="n">
        <v>45848</v>
      </c>
      <c r="C690" s="47" t="s">
        <v>166</v>
      </c>
      <c r="D690" s="47" t="s">
        <v>253</v>
      </c>
      <c r="E690" s="47" t="s">
        <v>100</v>
      </c>
      <c r="F690" s="47" t="s">
        <v>161</v>
      </c>
      <c r="G690" s="49" t="n">
        <v>25899.48</v>
      </c>
      <c r="H690" s="50" t="n">
        <v>0.05</v>
      </c>
      <c r="I690" s="47" t="s">
        <v>162</v>
      </c>
      <c r="J690" s="48" t="n">
        <v>45848</v>
      </c>
      <c r="K690" s="51" t="str">
        <f aca="false">"Q"&amp;ROUNDUP(MONTH(B690)/3,0)</f>
        <v>Q3</v>
      </c>
      <c r="L690" s="52" t="n">
        <f aca="false">ROUND(G690*H690,2)</f>
        <v>1294.97</v>
      </c>
      <c r="M690" s="52" t="n">
        <f aca="false">IF(AND(C690="Sales",F690="Standard-rated 5%"),L690,0)</f>
        <v>0</v>
      </c>
      <c r="N690" s="52" t="n">
        <f aca="false">IF(F690="Reverse charge (imported services)",L690,0)</f>
        <v>0</v>
      </c>
      <c r="O690" s="52" t="n">
        <f aca="false">IF(C690&lt;&gt;"Purchase",0,IF(OR(I690="N",F690="Blocked input (entertainment)"),0,L690))</f>
        <v>1294.97</v>
      </c>
      <c r="P690" s="52" t="n">
        <f aca="false">IF(C690&lt;&gt;"Purchase",0,L690-O690)</f>
        <v>0</v>
      </c>
      <c r="Q690" s="53" t="n">
        <f aca="false">J690-B690</f>
        <v>0</v>
      </c>
      <c r="R690" s="51" t="str">
        <f aca="false">IF(I690="N","Invalid / missing TRN",IF(F690="Blocked input (entertainment)","Blocked input",IF(Q690&gt;30,"Late posting (&gt;30d)","")))</f>
        <v/>
      </c>
    </row>
    <row r="691" customFormat="false" ht="15" hidden="false" customHeight="false" outlineLevel="0" collapsed="false">
      <c r="A691" s="47" t="s">
        <v>977</v>
      </c>
      <c r="B691" s="48" t="n">
        <v>45848</v>
      </c>
      <c r="C691" s="47" t="s">
        <v>159</v>
      </c>
      <c r="D691" s="47" t="s">
        <v>490</v>
      </c>
      <c r="E691" s="47" t="s">
        <v>100</v>
      </c>
      <c r="F691" s="47" t="s">
        <v>278</v>
      </c>
      <c r="G691" s="49" t="n">
        <v>138589.71</v>
      </c>
      <c r="H691" s="50" t="n">
        <v>0</v>
      </c>
      <c r="I691" s="47" t="s">
        <v>162</v>
      </c>
      <c r="J691" s="48" t="n">
        <v>45848</v>
      </c>
      <c r="K691" s="51" t="str">
        <f aca="false">"Q"&amp;ROUNDUP(MONTH(B691)/3,0)</f>
        <v>Q3</v>
      </c>
      <c r="L691" s="52" t="n">
        <f aca="false">ROUND(G691*H691,2)</f>
        <v>0</v>
      </c>
      <c r="M691" s="52" t="n">
        <f aca="false">IF(AND(C691="Sales",F691="Standard-rated 5%"),L691,0)</f>
        <v>0</v>
      </c>
      <c r="N691" s="52" t="n">
        <f aca="false">IF(F691="Reverse charge (imported services)",L691,0)</f>
        <v>0</v>
      </c>
      <c r="O691" s="52" t="n">
        <f aca="false">IF(C691&lt;&gt;"Purchase",0,IF(OR(I691="N",F691="Blocked input (entertainment)"),0,L691))</f>
        <v>0</v>
      </c>
      <c r="P691" s="52" t="n">
        <f aca="false">IF(C691&lt;&gt;"Purchase",0,L691-O691)</f>
        <v>0</v>
      </c>
      <c r="Q691" s="53" t="n">
        <f aca="false">J691-B691</f>
        <v>0</v>
      </c>
      <c r="R691" s="51" t="str">
        <f aca="false">IF(I691="N","Invalid / missing TRN",IF(F691="Blocked input (entertainment)","Blocked input",IF(Q691&gt;30,"Late posting (&gt;30d)","")))</f>
        <v/>
      </c>
    </row>
    <row r="692" customFormat="false" ht="15" hidden="false" customHeight="false" outlineLevel="0" collapsed="false">
      <c r="A692" s="47" t="s">
        <v>978</v>
      </c>
      <c r="B692" s="48" t="n">
        <v>45849</v>
      </c>
      <c r="C692" s="47" t="s">
        <v>166</v>
      </c>
      <c r="D692" s="47" t="s">
        <v>264</v>
      </c>
      <c r="E692" s="47" t="s">
        <v>100</v>
      </c>
      <c r="F692" s="47" t="s">
        <v>161</v>
      </c>
      <c r="G692" s="49" t="n">
        <v>70442.01</v>
      </c>
      <c r="H692" s="50" t="n">
        <v>0.05</v>
      </c>
      <c r="I692" s="47" t="s">
        <v>162</v>
      </c>
      <c r="J692" s="48" t="n">
        <v>45849</v>
      </c>
      <c r="K692" s="51" t="str">
        <f aca="false">"Q"&amp;ROUNDUP(MONTH(B692)/3,0)</f>
        <v>Q3</v>
      </c>
      <c r="L692" s="52" t="n">
        <f aca="false">ROUND(G692*H692,2)</f>
        <v>3522.1</v>
      </c>
      <c r="M692" s="52" t="n">
        <f aca="false">IF(AND(C692="Sales",F692="Standard-rated 5%"),L692,0)</f>
        <v>0</v>
      </c>
      <c r="N692" s="52" t="n">
        <f aca="false">IF(F692="Reverse charge (imported services)",L692,0)</f>
        <v>0</v>
      </c>
      <c r="O692" s="52" t="n">
        <f aca="false">IF(C692&lt;&gt;"Purchase",0,IF(OR(I692="N",F692="Blocked input (entertainment)"),0,L692))</f>
        <v>3522.1</v>
      </c>
      <c r="P692" s="52" t="n">
        <f aca="false">IF(C692&lt;&gt;"Purchase",0,L692-O692)</f>
        <v>0</v>
      </c>
      <c r="Q692" s="53" t="n">
        <f aca="false">J692-B692</f>
        <v>0</v>
      </c>
      <c r="R692" s="51" t="str">
        <f aca="false">IF(I692="N","Invalid / missing TRN",IF(F692="Blocked input (entertainment)","Blocked input",IF(Q692&gt;30,"Late posting (&gt;30d)","")))</f>
        <v/>
      </c>
    </row>
    <row r="693" customFormat="false" ht="15" hidden="false" customHeight="false" outlineLevel="0" collapsed="false">
      <c r="A693" s="47" t="s">
        <v>979</v>
      </c>
      <c r="B693" s="48" t="n">
        <v>45850</v>
      </c>
      <c r="C693" s="47" t="s">
        <v>159</v>
      </c>
      <c r="D693" s="47" t="s">
        <v>175</v>
      </c>
      <c r="E693" s="47" t="s">
        <v>101</v>
      </c>
      <c r="F693" s="47" t="s">
        <v>161</v>
      </c>
      <c r="G693" s="49" t="n">
        <v>13146.89</v>
      </c>
      <c r="H693" s="50" t="n">
        <v>0.05</v>
      </c>
      <c r="I693" s="47" t="s">
        <v>162</v>
      </c>
      <c r="J693" s="48" t="n">
        <v>45850</v>
      </c>
      <c r="K693" s="51" t="str">
        <f aca="false">"Q"&amp;ROUNDUP(MONTH(B693)/3,0)</f>
        <v>Q3</v>
      </c>
      <c r="L693" s="52" t="n">
        <f aca="false">ROUND(G693*H693,2)</f>
        <v>657.34</v>
      </c>
      <c r="M693" s="52" t="n">
        <f aca="false">IF(AND(C693="Sales",F693="Standard-rated 5%"),L693,0)</f>
        <v>657.34</v>
      </c>
      <c r="N693" s="52" t="n">
        <f aca="false">IF(F693="Reverse charge (imported services)",L693,0)</f>
        <v>0</v>
      </c>
      <c r="O693" s="52" t="n">
        <f aca="false">IF(C693&lt;&gt;"Purchase",0,IF(OR(I693="N",F693="Blocked input (entertainment)"),0,L693))</f>
        <v>0</v>
      </c>
      <c r="P693" s="52" t="n">
        <f aca="false">IF(C693&lt;&gt;"Purchase",0,L693-O693)</f>
        <v>0</v>
      </c>
      <c r="Q693" s="53" t="n">
        <f aca="false">J693-B693</f>
        <v>0</v>
      </c>
      <c r="R693" s="51" t="str">
        <f aca="false">IF(I693="N","Invalid / missing TRN",IF(F693="Blocked input (entertainment)","Blocked input",IF(Q693&gt;30,"Late posting (&gt;30d)","")))</f>
        <v/>
      </c>
    </row>
    <row r="694" customFormat="false" ht="15" hidden="false" customHeight="false" outlineLevel="0" collapsed="false">
      <c r="A694" s="47" t="s">
        <v>980</v>
      </c>
      <c r="B694" s="48" t="n">
        <v>45851</v>
      </c>
      <c r="C694" s="47" t="s">
        <v>166</v>
      </c>
      <c r="D694" s="47" t="s">
        <v>257</v>
      </c>
      <c r="E694" s="47" t="s">
        <v>105</v>
      </c>
      <c r="F694" s="47" t="s">
        <v>161</v>
      </c>
      <c r="G694" s="49" t="n">
        <v>5332.64</v>
      </c>
      <c r="H694" s="50" t="n">
        <v>0.05</v>
      </c>
      <c r="I694" s="47" t="s">
        <v>162</v>
      </c>
      <c r="J694" s="48" t="n">
        <v>45851</v>
      </c>
      <c r="K694" s="51" t="str">
        <f aca="false">"Q"&amp;ROUNDUP(MONTH(B694)/3,0)</f>
        <v>Q3</v>
      </c>
      <c r="L694" s="52" t="n">
        <f aca="false">ROUND(G694*H694,2)</f>
        <v>266.63</v>
      </c>
      <c r="M694" s="52" t="n">
        <f aca="false">IF(AND(C694="Sales",F694="Standard-rated 5%"),L694,0)</f>
        <v>0</v>
      </c>
      <c r="N694" s="52" t="n">
        <f aca="false">IF(F694="Reverse charge (imported services)",L694,0)</f>
        <v>0</v>
      </c>
      <c r="O694" s="52" t="n">
        <f aca="false">IF(C694&lt;&gt;"Purchase",0,IF(OR(I694="N",F694="Blocked input (entertainment)"),0,L694))</f>
        <v>266.63</v>
      </c>
      <c r="P694" s="52" t="n">
        <f aca="false">IF(C694&lt;&gt;"Purchase",0,L694-O694)</f>
        <v>0</v>
      </c>
      <c r="Q694" s="53" t="n">
        <f aca="false">J694-B694</f>
        <v>0</v>
      </c>
      <c r="R694" s="51" t="str">
        <f aca="false">IF(I694="N","Invalid / missing TRN",IF(F694="Blocked input (entertainment)","Blocked input",IF(Q694&gt;30,"Late posting (&gt;30d)","")))</f>
        <v/>
      </c>
    </row>
    <row r="695" customFormat="false" ht="15" hidden="false" customHeight="false" outlineLevel="0" collapsed="false">
      <c r="A695" s="47" t="s">
        <v>981</v>
      </c>
      <c r="B695" s="48" t="n">
        <v>45851</v>
      </c>
      <c r="C695" s="47" t="s">
        <v>166</v>
      </c>
      <c r="D695" s="47" t="s">
        <v>231</v>
      </c>
      <c r="E695" s="47" t="s">
        <v>100</v>
      </c>
      <c r="F695" s="47" t="s">
        <v>392</v>
      </c>
      <c r="G695" s="49" t="n">
        <v>333234.81</v>
      </c>
      <c r="H695" s="50" t="n">
        <v>0.05</v>
      </c>
      <c r="I695" s="47" t="s">
        <v>162</v>
      </c>
      <c r="J695" s="48" t="n">
        <v>45851</v>
      </c>
      <c r="K695" s="51" t="str">
        <f aca="false">"Q"&amp;ROUNDUP(MONTH(B695)/3,0)</f>
        <v>Q3</v>
      </c>
      <c r="L695" s="52" t="n">
        <f aca="false">ROUND(G695*H695,2)</f>
        <v>16661.74</v>
      </c>
      <c r="M695" s="52" t="n">
        <f aca="false">IF(AND(C695="Sales",F695="Standard-rated 5%"),L695,0)</f>
        <v>0</v>
      </c>
      <c r="N695" s="52" t="n">
        <f aca="false">IF(F695="Reverse charge (imported services)",L695,0)</f>
        <v>0</v>
      </c>
      <c r="O695" s="52" t="n">
        <f aca="false">IF(C695&lt;&gt;"Purchase",0,IF(OR(I695="N",F695="Blocked input (entertainment)"),0,L695))</f>
        <v>16661.74</v>
      </c>
      <c r="P695" s="52" t="n">
        <f aca="false">IF(C695&lt;&gt;"Purchase",0,L695-O695)</f>
        <v>0</v>
      </c>
      <c r="Q695" s="53" t="n">
        <f aca="false">J695-B695</f>
        <v>0</v>
      </c>
      <c r="R695" s="51" t="str">
        <f aca="false">IF(I695="N","Invalid / missing TRN",IF(F695="Blocked input (entertainment)","Blocked input",IF(Q695&gt;30,"Late posting (&gt;30d)","")))</f>
        <v/>
      </c>
    </row>
    <row r="696" customFormat="false" ht="15" hidden="false" customHeight="false" outlineLevel="0" collapsed="false">
      <c r="A696" s="47" t="s">
        <v>982</v>
      </c>
      <c r="B696" s="48" t="n">
        <v>45851</v>
      </c>
      <c r="C696" s="47" t="s">
        <v>159</v>
      </c>
      <c r="D696" s="47" t="s">
        <v>627</v>
      </c>
      <c r="E696" s="47" t="s">
        <v>101</v>
      </c>
      <c r="F696" s="47" t="s">
        <v>161</v>
      </c>
      <c r="G696" s="49" t="n">
        <v>23505.87</v>
      </c>
      <c r="H696" s="50" t="n">
        <v>0.05</v>
      </c>
      <c r="I696" s="47" t="s">
        <v>162</v>
      </c>
      <c r="J696" s="48" t="n">
        <v>45852</v>
      </c>
      <c r="K696" s="51" t="str">
        <f aca="false">"Q"&amp;ROUNDUP(MONTH(B696)/3,0)</f>
        <v>Q3</v>
      </c>
      <c r="L696" s="52" t="n">
        <f aca="false">ROUND(G696*H696,2)</f>
        <v>1175.29</v>
      </c>
      <c r="M696" s="52" t="n">
        <f aca="false">IF(AND(C696="Sales",F696="Standard-rated 5%"),L696,0)</f>
        <v>1175.29</v>
      </c>
      <c r="N696" s="52" t="n">
        <f aca="false">IF(F696="Reverse charge (imported services)",L696,0)</f>
        <v>0</v>
      </c>
      <c r="O696" s="52" t="n">
        <f aca="false">IF(C696&lt;&gt;"Purchase",0,IF(OR(I696="N",F696="Blocked input (entertainment)"),0,L696))</f>
        <v>0</v>
      </c>
      <c r="P696" s="52" t="n">
        <f aca="false">IF(C696&lt;&gt;"Purchase",0,L696-O696)</f>
        <v>0</v>
      </c>
      <c r="Q696" s="53" t="n">
        <f aca="false">J696-B696</f>
        <v>1</v>
      </c>
      <c r="R696" s="51" t="str">
        <f aca="false">IF(I696="N","Invalid / missing TRN",IF(F696="Blocked input (entertainment)","Blocked input",IF(Q696&gt;30,"Late posting (&gt;30d)","")))</f>
        <v/>
      </c>
    </row>
    <row r="697" customFormat="false" ht="15" hidden="false" customHeight="false" outlineLevel="0" collapsed="false">
      <c r="A697" s="47" t="s">
        <v>983</v>
      </c>
      <c r="B697" s="48" t="n">
        <v>45852</v>
      </c>
      <c r="C697" s="47" t="s">
        <v>166</v>
      </c>
      <c r="D697" s="47" t="s">
        <v>460</v>
      </c>
      <c r="E697" s="47" t="s">
        <v>101</v>
      </c>
      <c r="F697" s="47" t="s">
        <v>161</v>
      </c>
      <c r="G697" s="49" t="n">
        <v>31969.34</v>
      </c>
      <c r="H697" s="50" t="n">
        <v>0.05</v>
      </c>
      <c r="I697" s="47" t="s">
        <v>162</v>
      </c>
      <c r="J697" s="48" t="n">
        <v>45852</v>
      </c>
      <c r="K697" s="51" t="str">
        <f aca="false">"Q"&amp;ROUNDUP(MONTH(B697)/3,0)</f>
        <v>Q3</v>
      </c>
      <c r="L697" s="52" t="n">
        <f aca="false">ROUND(G697*H697,2)</f>
        <v>1598.47</v>
      </c>
      <c r="M697" s="52" t="n">
        <f aca="false">IF(AND(C697="Sales",F697="Standard-rated 5%"),L697,0)</f>
        <v>0</v>
      </c>
      <c r="N697" s="52" t="n">
        <f aca="false">IF(F697="Reverse charge (imported services)",L697,0)</f>
        <v>0</v>
      </c>
      <c r="O697" s="52" t="n">
        <f aca="false">IF(C697&lt;&gt;"Purchase",0,IF(OR(I697="N",F697="Blocked input (entertainment)"),0,L697))</f>
        <v>1598.47</v>
      </c>
      <c r="P697" s="52" t="n">
        <f aca="false">IF(C697&lt;&gt;"Purchase",0,L697-O697)</f>
        <v>0</v>
      </c>
      <c r="Q697" s="53" t="n">
        <f aca="false">J697-B697</f>
        <v>0</v>
      </c>
      <c r="R697" s="51" t="str">
        <f aca="false">IF(I697="N","Invalid / missing TRN",IF(F697="Blocked input (entertainment)","Blocked input",IF(Q697&gt;30,"Late posting (&gt;30d)","")))</f>
        <v/>
      </c>
    </row>
    <row r="698" customFormat="false" ht="15" hidden="false" customHeight="false" outlineLevel="0" collapsed="false">
      <c r="A698" s="47" t="s">
        <v>984</v>
      </c>
      <c r="B698" s="48" t="n">
        <v>45852</v>
      </c>
      <c r="C698" s="47" t="s">
        <v>166</v>
      </c>
      <c r="D698" s="47" t="s">
        <v>201</v>
      </c>
      <c r="E698" s="47" t="s">
        <v>100</v>
      </c>
      <c r="F698" s="47" t="s">
        <v>268</v>
      </c>
      <c r="G698" s="49" t="n">
        <v>13725.89</v>
      </c>
      <c r="H698" s="50" t="n">
        <v>0</v>
      </c>
      <c r="I698" s="47" t="s">
        <v>162</v>
      </c>
      <c r="J698" s="48" t="n">
        <v>45852</v>
      </c>
      <c r="K698" s="51" t="str">
        <f aca="false">"Q"&amp;ROUNDUP(MONTH(B698)/3,0)</f>
        <v>Q3</v>
      </c>
      <c r="L698" s="52" t="n">
        <f aca="false">ROUND(G698*H698,2)</f>
        <v>0</v>
      </c>
      <c r="M698" s="52" t="n">
        <f aca="false">IF(AND(C698="Sales",F698="Standard-rated 5%"),L698,0)</f>
        <v>0</v>
      </c>
      <c r="N698" s="52" t="n">
        <f aca="false">IF(F698="Reverse charge (imported services)",L698,0)</f>
        <v>0</v>
      </c>
      <c r="O698" s="52" t="n">
        <f aca="false">IF(C698&lt;&gt;"Purchase",0,IF(OR(I698="N",F698="Blocked input (entertainment)"),0,L698))</f>
        <v>0</v>
      </c>
      <c r="P698" s="52" t="n">
        <f aca="false">IF(C698&lt;&gt;"Purchase",0,L698-O698)</f>
        <v>0</v>
      </c>
      <c r="Q698" s="53" t="n">
        <f aca="false">J698-B698</f>
        <v>0</v>
      </c>
      <c r="R698" s="51" t="str">
        <f aca="false">IF(I698="N","Invalid / missing TRN",IF(F698="Blocked input (entertainment)","Blocked input",IF(Q698&gt;30,"Late posting (&gt;30d)","")))</f>
        <v/>
      </c>
    </row>
    <row r="699" customFormat="false" ht="15" hidden="false" customHeight="false" outlineLevel="0" collapsed="false">
      <c r="A699" s="47" t="s">
        <v>985</v>
      </c>
      <c r="B699" s="48" t="n">
        <v>45852</v>
      </c>
      <c r="C699" s="47" t="s">
        <v>166</v>
      </c>
      <c r="D699" s="47" t="s">
        <v>315</v>
      </c>
      <c r="E699" s="47" t="s">
        <v>101</v>
      </c>
      <c r="F699" s="47" t="s">
        <v>392</v>
      </c>
      <c r="G699" s="49" t="n">
        <v>102076.37</v>
      </c>
      <c r="H699" s="50" t="n">
        <v>0.05</v>
      </c>
      <c r="I699" s="47" t="s">
        <v>162</v>
      </c>
      <c r="J699" s="48" t="n">
        <v>45852</v>
      </c>
      <c r="K699" s="51" t="str">
        <f aca="false">"Q"&amp;ROUNDUP(MONTH(B699)/3,0)</f>
        <v>Q3</v>
      </c>
      <c r="L699" s="52" t="n">
        <f aca="false">ROUND(G699*H699,2)</f>
        <v>5103.82</v>
      </c>
      <c r="M699" s="52" t="n">
        <f aca="false">IF(AND(C699="Sales",F699="Standard-rated 5%"),L699,0)</f>
        <v>0</v>
      </c>
      <c r="N699" s="52" t="n">
        <f aca="false">IF(F699="Reverse charge (imported services)",L699,0)</f>
        <v>0</v>
      </c>
      <c r="O699" s="52" t="n">
        <f aca="false">IF(C699&lt;&gt;"Purchase",0,IF(OR(I699="N",F699="Blocked input (entertainment)"),0,L699))</f>
        <v>5103.82</v>
      </c>
      <c r="P699" s="52" t="n">
        <f aca="false">IF(C699&lt;&gt;"Purchase",0,L699-O699)</f>
        <v>0</v>
      </c>
      <c r="Q699" s="53" t="n">
        <f aca="false">J699-B699</f>
        <v>0</v>
      </c>
      <c r="R699" s="51" t="str">
        <f aca="false">IF(I699="N","Invalid / missing TRN",IF(F699="Blocked input (entertainment)","Blocked input",IF(Q699&gt;30,"Late posting (&gt;30d)","")))</f>
        <v/>
      </c>
    </row>
    <row r="700" customFormat="false" ht="15" hidden="false" customHeight="false" outlineLevel="0" collapsed="false">
      <c r="A700" s="47" t="s">
        <v>986</v>
      </c>
      <c r="B700" s="48" t="n">
        <v>45852</v>
      </c>
      <c r="C700" s="47" t="s">
        <v>159</v>
      </c>
      <c r="D700" s="47" t="s">
        <v>627</v>
      </c>
      <c r="E700" s="47" t="s">
        <v>100</v>
      </c>
      <c r="F700" s="47" t="s">
        <v>161</v>
      </c>
      <c r="G700" s="49" t="n">
        <v>34201.67</v>
      </c>
      <c r="H700" s="50" t="n">
        <v>0.05</v>
      </c>
      <c r="I700" s="47" t="s">
        <v>162</v>
      </c>
      <c r="J700" s="48" t="n">
        <v>45852</v>
      </c>
      <c r="K700" s="51" t="str">
        <f aca="false">"Q"&amp;ROUNDUP(MONTH(B700)/3,0)</f>
        <v>Q3</v>
      </c>
      <c r="L700" s="52" t="n">
        <f aca="false">ROUND(G700*H700,2)</f>
        <v>1710.08</v>
      </c>
      <c r="M700" s="52" t="n">
        <f aca="false">IF(AND(C700="Sales",F700="Standard-rated 5%"),L700,0)</f>
        <v>1710.08</v>
      </c>
      <c r="N700" s="52" t="n">
        <f aca="false">IF(F700="Reverse charge (imported services)",L700,0)</f>
        <v>0</v>
      </c>
      <c r="O700" s="52" t="n">
        <f aca="false">IF(C700&lt;&gt;"Purchase",0,IF(OR(I700="N",F700="Blocked input (entertainment)"),0,L700))</f>
        <v>0</v>
      </c>
      <c r="P700" s="52" t="n">
        <f aca="false">IF(C700&lt;&gt;"Purchase",0,L700-O700)</f>
        <v>0</v>
      </c>
      <c r="Q700" s="53" t="n">
        <f aca="false">J700-B700</f>
        <v>0</v>
      </c>
      <c r="R700" s="51" t="str">
        <f aca="false">IF(I700="N","Invalid / missing TRN",IF(F700="Blocked input (entertainment)","Blocked input",IF(Q700&gt;30,"Late posting (&gt;30d)","")))</f>
        <v/>
      </c>
    </row>
    <row r="701" customFormat="false" ht="15" hidden="false" customHeight="false" outlineLevel="0" collapsed="false">
      <c r="A701" s="47" t="s">
        <v>987</v>
      </c>
      <c r="B701" s="48" t="n">
        <v>45852</v>
      </c>
      <c r="C701" s="47" t="s">
        <v>159</v>
      </c>
      <c r="D701" s="47" t="s">
        <v>627</v>
      </c>
      <c r="E701" s="47" t="s">
        <v>100</v>
      </c>
      <c r="F701" s="47" t="s">
        <v>161</v>
      </c>
      <c r="G701" s="49" t="n">
        <v>32637.95</v>
      </c>
      <c r="H701" s="50" t="n">
        <v>0.05</v>
      </c>
      <c r="I701" s="47" t="s">
        <v>162</v>
      </c>
      <c r="J701" s="48" t="n">
        <v>45852</v>
      </c>
      <c r="K701" s="51" t="str">
        <f aca="false">"Q"&amp;ROUNDUP(MONTH(B701)/3,0)</f>
        <v>Q3</v>
      </c>
      <c r="L701" s="52" t="n">
        <f aca="false">ROUND(G701*H701,2)</f>
        <v>1631.9</v>
      </c>
      <c r="M701" s="52" t="n">
        <f aca="false">IF(AND(C701="Sales",F701="Standard-rated 5%"),L701,0)</f>
        <v>1631.9</v>
      </c>
      <c r="N701" s="52" t="n">
        <f aca="false">IF(F701="Reverse charge (imported services)",L701,0)</f>
        <v>0</v>
      </c>
      <c r="O701" s="52" t="n">
        <f aca="false">IF(C701&lt;&gt;"Purchase",0,IF(OR(I701="N",F701="Blocked input (entertainment)"),0,L701))</f>
        <v>0</v>
      </c>
      <c r="P701" s="52" t="n">
        <f aca="false">IF(C701&lt;&gt;"Purchase",0,L701-O701)</f>
        <v>0</v>
      </c>
      <c r="Q701" s="53" t="n">
        <f aca="false">J701-B701</f>
        <v>0</v>
      </c>
      <c r="R701" s="51" t="str">
        <f aca="false">IF(I701="N","Invalid / missing TRN",IF(F701="Blocked input (entertainment)","Blocked input",IF(Q701&gt;30,"Late posting (&gt;30d)","")))</f>
        <v/>
      </c>
    </row>
    <row r="702" customFormat="false" ht="15" hidden="false" customHeight="false" outlineLevel="0" collapsed="false">
      <c r="A702" s="47" t="s">
        <v>988</v>
      </c>
      <c r="B702" s="48" t="n">
        <v>45853</v>
      </c>
      <c r="C702" s="47" t="s">
        <v>166</v>
      </c>
      <c r="D702" s="47" t="s">
        <v>208</v>
      </c>
      <c r="E702" s="47" t="s">
        <v>102</v>
      </c>
      <c r="F702" s="47" t="s">
        <v>161</v>
      </c>
      <c r="G702" s="49" t="n">
        <v>47177.96</v>
      </c>
      <c r="H702" s="50" t="n">
        <v>0.05</v>
      </c>
      <c r="I702" s="47" t="s">
        <v>162</v>
      </c>
      <c r="J702" s="48" t="n">
        <v>45854</v>
      </c>
      <c r="K702" s="51" t="str">
        <f aca="false">"Q"&amp;ROUNDUP(MONTH(B702)/3,0)</f>
        <v>Q3</v>
      </c>
      <c r="L702" s="52" t="n">
        <f aca="false">ROUND(G702*H702,2)</f>
        <v>2358.9</v>
      </c>
      <c r="M702" s="52" t="n">
        <f aca="false">IF(AND(C702="Sales",F702="Standard-rated 5%"),L702,0)</f>
        <v>0</v>
      </c>
      <c r="N702" s="52" t="n">
        <f aca="false">IF(F702="Reverse charge (imported services)",L702,0)</f>
        <v>0</v>
      </c>
      <c r="O702" s="52" t="n">
        <f aca="false">IF(C702&lt;&gt;"Purchase",0,IF(OR(I702="N",F702="Blocked input (entertainment)"),0,L702))</f>
        <v>2358.9</v>
      </c>
      <c r="P702" s="52" t="n">
        <f aca="false">IF(C702&lt;&gt;"Purchase",0,L702-O702)</f>
        <v>0</v>
      </c>
      <c r="Q702" s="53" t="n">
        <f aca="false">J702-B702</f>
        <v>1</v>
      </c>
      <c r="R702" s="51" t="str">
        <f aca="false">IF(I702="N","Invalid / missing TRN",IF(F702="Blocked input (entertainment)","Blocked input",IF(Q702&gt;30,"Late posting (&gt;30d)","")))</f>
        <v/>
      </c>
    </row>
    <row r="703" customFormat="false" ht="15" hidden="false" customHeight="false" outlineLevel="0" collapsed="false">
      <c r="A703" s="47" t="s">
        <v>989</v>
      </c>
      <c r="B703" s="48" t="n">
        <v>45853</v>
      </c>
      <c r="C703" s="47" t="s">
        <v>166</v>
      </c>
      <c r="D703" s="47" t="s">
        <v>210</v>
      </c>
      <c r="E703" s="47" t="s">
        <v>100</v>
      </c>
      <c r="F703" s="47" t="s">
        <v>161</v>
      </c>
      <c r="G703" s="49" t="n">
        <v>9947.52</v>
      </c>
      <c r="H703" s="50" t="n">
        <v>0.05</v>
      </c>
      <c r="I703" s="47" t="s">
        <v>162</v>
      </c>
      <c r="J703" s="48" t="n">
        <v>45853</v>
      </c>
      <c r="K703" s="51" t="str">
        <f aca="false">"Q"&amp;ROUNDUP(MONTH(B703)/3,0)</f>
        <v>Q3</v>
      </c>
      <c r="L703" s="52" t="n">
        <f aca="false">ROUND(G703*H703,2)</f>
        <v>497.38</v>
      </c>
      <c r="M703" s="52" t="n">
        <f aca="false">IF(AND(C703="Sales",F703="Standard-rated 5%"),L703,0)</f>
        <v>0</v>
      </c>
      <c r="N703" s="52" t="n">
        <f aca="false">IF(F703="Reverse charge (imported services)",L703,0)</f>
        <v>0</v>
      </c>
      <c r="O703" s="52" t="n">
        <f aca="false">IF(C703&lt;&gt;"Purchase",0,IF(OR(I703="N",F703="Blocked input (entertainment)"),0,L703))</f>
        <v>497.38</v>
      </c>
      <c r="P703" s="52" t="n">
        <f aca="false">IF(C703&lt;&gt;"Purchase",0,L703-O703)</f>
        <v>0</v>
      </c>
      <c r="Q703" s="53" t="n">
        <f aca="false">J703-B703</f>
        <v>0</v>
      </c>
      <c r="R703" s="51" t="str">
        <f aca="false">IF(I703="N","Invalid / missing TRN",IF(F703="Blocked input (entertainment)","Blocked input",IF(Q703&gt;30,"Late posting (&gt;30d)","")))</f>
        <v/>
      </c>
    </row>
    <row r="704" customFormat="false" ht="15" hidden="false" customHeight="false" outlineLevel="0" collapsed="false">
      <c r="A704" s="47" t="s">
        <v>990</v>
      </c>
      <c r="B704" s="48" t="n">
        <v>45853</v>
      </c>
      <c r="C704" s="47" t="s">
        <v>166</v>
      </c>
      <c r="D704" s="47" t="s">
        <v>466</v>
      </c>
      <c r="E704" s="47" t="s">
        <v>100</v>
      </c>
      <c r="F704" s="47" t="s">
        <v>161</v>
      </c>
      <c r="G704" s="49" t="n">
        <v>17937.22</v>
      </c>
      <c r="H704" s="50" t="n">
        <v>0.05</v>
      </c>
      <c r="I704" s="47" t="s">
        <v>162</v>
      </c>
      <c r="J704" s="48" t="n">
        <v>45853</v>
      </c>
      <c r="K704" s="51" t="str">
        <f aca="false">"Q"&amp;ROUNDUP(MONTH(B704)/3,0)</f>
        <v>Q3</v>
      </c>
      <c r="L704" s="52" t="n">
        <f aca="false">ROUND(G704*H704,2)</f>
        <v>896.86</v>
      </c>
      <c r="M704" s="52" t="n">
        <f aca="false">IF(AND(C704="Sales",F704="Standard-rated 5%"),L704,0)</f>
        <v>0</v>
      </c>
      <c r="N704" s="52" t="n">
        <f aca="false">IF(F704="Reverse charge (imported services)",L704,0)</f>
        <v>0</v>
      </c>
      <c r="O704" s="52" t="n">
        <f aca="false">IF(C704&lt;&gt;"Purchase",0,IF(OR(I704="N",F704="Blocked input (entertainment)"),0,L704))</f>
        <v>896.86</v>
      </c>
      <c r="P704" s="52" t="n">
        <f aca="false">IF(C704&lt;&gt;"Purchase",0,L704-O704)</f>
        <v>0</v>
      </c>
      <c r="Q704" s="53" t="n">
        <f aca="false">J704-B704</f>
        <v>0</v>
      </c>
      <c r="R704" s="51" t="str">
        <f aca="false">IF(I704="N","Invalid / missing TRN",IF(F704="Blocked input (entertainment)","Blocked input",IF(Q704&gt;30,"Late posting (&gt;30d)","")))</f>
        <v/>
      </c>
    </row>
    <row r="705" customFormat="false" ht="15" hidden="false" customHeight="false" outlineLevel="0" collapsed="false">
      <c r="A705" s="47" t="s">
        <v>991</v>
      </c>
      <c r="B705" s="48" t="n">
        <v>45854</v>
      </c>
      <c r="C705" s="47" t="s">
        <v>159</v>
      </c>
      <c r="D705" s="47" t="s">
        <v>160</v>
      </c>
      <c r="E705" s="47" t="s">
        <v>101</v>
      </c>
      <c r="F705" s="47" t="s">
        <v>161</v>
      </c>
      <c r="G705" s="49" t="n">
        <v>17068.52</v>
      </c>
      <c r="H705" s="50" t="n">
        <v>0.05</v>
      </c>
      <c r="I705" s="47" t="s">
        <v>162</v>
      </c>
      <c r="J705" s="48" t="n">
        <v>45854</v>
      </c>
      <c r="K705" s="51" t="str">
        <f aca="false">"Q"&amp;ROUNDUP(MONTH(B705)/3,0)</f>
        <v>Q3</v>
      </c>
      <c r="L705" s="52" t="n">
        <f aca="false">ROUND(G705*H705,2)</f>
        <v>853.43</v>
      </c>
      <c r="M705" s="52" t="n">
        <f aca="false">IF(AND(C705="Sales",F705="Standard-rated 5%"),L705,0)</f>
        <v>853.43</v>
      </c>
      <c r="N705" s="52" t="n">
        <f aca="false">IF(F705="Reverse charge (imported services)",L705,0)</f>
        <v>0</v>
      </c>
      <c r="O705" s="52" t="n">
        <f aca="false">IF(C705&lt;&gt;"Purchase",0,IF(OR(I705="N",F705="Blocked input (entertainment)"),0,L705))</f>
        <v>0</v>
      </c>
      <c r="P705" s="52" t="n">
        <f aca="false">IF(C705&lt;&gt;"Purchase",0,L705-O705)</f>
        <v>0</v>
      </c>
      <c r="Q705" s="53" t="n">
        <f aca="false">J705-B705</f>
        <v>0</v>
      </c>
      <c r="R705" s="51" t="str">
        <f aca="false">IF(I705="N","Invalid / missing TRN",IF(F705="Blocked input (entertainment)","Blocked input",IF(Q705&gt;30,"Late posting (&gt;30d)","")))</f>
        <v/>
      </c>
    </row>
    <row r="706" customFormat="false" ht="15" hidden="false" customHeight="false" outlineLevel="0" collapsed="false">
      <c r="A706" s="47" t="s">
        <v>992</v>
      </c>
      <c r="B706" s="48" t="n">
        <v>45855</v>
      </c>
      <c r="C706" s="47" t="s">
        <v>166</v>
      </c>
      <c r="D706" s="47" t="s">
        <v>285</v>
      </c>
      <c r="E706" s="47" t="s">
        <v>102</v>
      </c>
      <c r="F706" s="47" t="s">
        <v>161</v>
      </c>
      <c r="G706" s="49" t="n">
        <v>4806.9</v>
      </c>
      <c r="H706" s="50" t="n">
        <v>0.05</v>
      </c>
      <c r="I706" s="47" t="s">
        <v>162</v>
      </c>
      <c r="J706" s="48" t="n">
        <v>45855</v>
      </c>
      <c r="K706" s="51" t="str">
        <f aca="false">"Q"&amp;ROUNDUP(MONTH(B706)/3,0)</f>
        <v>Q3</v>
      </c>
      <c r="L706" s="52" t="n">
        <f aca="false">ROUND(G706*H706,2)</f>
        <v>240.35</v>
      </c>
      <c r="M706" s="52" t="n">
        <f aca="false">IF(AND(C706="Sales",F706="Standard-rated 5%"),L706,0)</f>
        <v>0</v>
      </c>
      <c r="N706" s="52" t="n">
        <f aca="false">IF(F706="Reverse charge (imported services)",L706,0)</f>
        <v>0</v>
      </c>
      <c r="O706" s="52" t="n">
        <f aca="false">IF(C706&lt;&gt;"Purchase",0,IF(OR(I706="N",F706="Blocked input (entertainment)"),0,L706))</f>
        <v>240.35</v>
      </c>
      <c r="P706" s="52" t="n">
        <f aca="false">IF(C706&lt;&gt;"Purchase",0,L706-O706)</f>
        <v>0</v>
      </c>
      <c r="Q706" s="53" t="n">
        <f aca="false">J706-B706</f>
        <v>0</v>
      </c>
      <c r="R706" s="51" t="str">
        <f aca="false">IF(I706="N","Invalid / missing TRN",IF(F706="Blocked input (entertainment)","Blocked input",IF(Q706&gt;30,"Late posting (&gt;30d)","")))</f>
        <v/>
      </c>
    </row>
    <row r="707" customFormat="false" ht="15" hidden="false" customHeight="false" outlineLevel="0" collapsed="false">
      <c r="A707" s="47" t="s">
        <v>993</v>
      </c>
      <c r="B707" s="48" t="n">
        <v>45855</v>
      </c>
      <c r="C707" s="47" t="s">
        <v>166</v>
      </c>
      <c r="D707" s="47" t="s">
        <v>528</v>
      </c>
      <c r="E707" s="47" t="s">
        <v>103</v>
      </c>
      <c r="F707" s="47" t="s">
        <v>161</v>
      </c>
      <c r="G707" s="49" t="n">
        <v>13249.67</v>
      </c>
      <c r="H707" s="50" t="n">
        <v>0.05</v>
      </c>
      <c r="I707" s="47" t="s">
        <v>162</v>
      </c>
      <c r="J707" s="48" t="n">
        <v>45855</v>
      </c>
      <c r="K707" s="51" t="str">
        <f aca="false">"Q"&amp;ROUNDUP(MONTH(B707)/3,0)</f>
        <v>Q3</v>
      </c>
      <c r="L707" s="52" t="n">
        <f aca="false">ROUND(G707*H707,2)</f>
        <v>662.48</v>
      </c>
      <c r="M707" s="52" t="n">
        <f aca="false">IF(AND(C707="Sales",F707="Standard-rated 5%"),L707,0)</f>
        <v>0</v>
      </c>
      <c r="N707" s="52" t="n">
        <f aca="false">IF(F707="Reverse charge (imported services)",L707,0)</f>
        <v>0</v>
      </c>
      <c r="O707" s="52" t="n">
        <f aca="false">IF(C707&lt;&gt;"Purchase",0,IF(OR(I707="N",F707="Blocked input (entertainment)"),0,L707))</f>
        <v>662.48</v>
      </c>
      <c r="P707" s="52" t="n">
        <f aca="false">IF(C707&lt;&gt;"Purchase",0,L707-O707)</f>
        <v>0</v>
      </c>
      <c r="Q707" s="53" t="n">
        <f aca="false">J707-B707</f>
        <v>0</v>
      </c>
      <c r="R707" s="51" t="str">
        <f aca="false">IF(I707="N","Invalid / missing TRN",IF(F707="Blocked input (entertainment)","Blocked input",IF(Q707&gt;30,"Late posting (&gt;30d)","")))</f>
        <v/>
      </c>
    </row>
    <row r="708" customFormat="false" ht="15" hidden="false" customHeight="false" outlineLevel="0" collapsed="false">
      <c r="A708" s="47" t="s">
        <v>994</v>
      </c>
      <c r="B708" s="48" t="n">
        <v>45855</v>
      </c>
      <c r="C708" s="47" t="s">
        <v>166</v>
      </c>
      <c r="D708" s="47" t="s">
        <v>295</v>
      </c>
      <c r="E708" s="47" t="s">
        <v>100</v>
      </c>
      <c r="F708" s="47" t="s">
        <v>161</v>
      </c>
      <c r="G708" s="49" t="n">
        <v>49846.79</v>
      </c>
      <c r="H708" s="50" t="n">
        <v>0.05</v>
      </c>
      <c r="I708" s="47" t="s">
        <v>162</v>
      </c>
      <c r="J708" s="48" t="n">
        <v>45855</v>
      </c>
      <c r="K708" s="51" t="str">
        <f aca="false">"Q"&amp;ROUNDUP(MONTH(B708)/3,0)</f>
        <v>Q3</v>
      </c>
      <c r="L708" s="52" t="n">
        <f aca="false">ROUND(G708*H708,2)</f>
        <v>2492.34</v>
      </c>
      <c r="M708" s="52" t="n">
        <f aca="false">IF(AND(C708="Sales",F708="Standard-rated 5%"),L708,0)</f>
        <v>0</v>
      </c>
      <c r="N708" s="52" t="n">
        <f aca="false">IF(F708="Reverse charge (imported services)",L708,0)</f>
        <v>0</v>
      </c>
      <c r="O708" s="52" t="n">
        <f aca="false">IF(C708&lt;&gt;"Purchase",0,IF(OR(I708="N",F708="Blocked input (entertainment)"),0,L708))</f>
        <v>2492.34</v>
      </c>
      <c r="P708" s="52" t="n">
        <f aca="false">IF(C708&lt;&gt;"Purchase",0,L708-O708)</f>
        <v>0</v>
      </c>
      <c r="Q708" s="53" t="n">
        <f aca="false">J708-B708</f>
        <v>0</v>
      </c>
      <c r="R708" s="51" t="str">
        <f aca="false">IF(I708="N","Invalid / missing TRN",IF(F708="Blocked input (entertainment)","Blocked input",IF(Q708&gt;30,"Late posting (&gt;30d)","")))</f>
        <v/>
      </c>
    </row>
    <row r="709" customFormat="false" ht="15" hidden="false" customHeight="false" outlineLevel="0" collapsed="false">
      <c r="A709" s="47" t="s">
        <v>995</v>
      </c>
      <c r="B709" s="48" t="n">
        <v>45855</v>
      </c>
      <c r="C709" s="47" t="s">
        <v>159</v>
      </c>
      <c r="D709" s="47" t="s">
        <v>401</v>
      </c>
      <c r="E709" s="47" t="s">
        <v>100</v>
      </c>
      <c r="F709" s="47" t="s">
        <v>301</v>
      </c>
      <c r="G709" s="49" t="n">
        <v>13111.93</v>
      </c>
      <c r="H709" s="50" t="n">
        <v>0</v>
      </c>
      <c r="I709" s="47" t="s">
        <v>162</v>
      </c>
      <c r="J709" s="48" t="n">
        <v>45855</v>
      </c>
      <c r="K709" s="51" t="str">
        <f aca="false">"Q"&amp;ROUNDUP(MONTH(B709)/3,0)</f>
        <v>Q3</v>
      </c>
      <c r="L709" s="52" t="n">
        <f aca="false">ROUND(G709*H709,2)</f>
        <v>0</v>
      </c>
      <c r="M709" s="52" t="n">
        <f aca="false">IF(AND(C709="Sales",F709="Standard-rated 5%"),L709,0)</f>
        <v>0</v>
      </c>
      <c r="N709" s="52" t="n">
        <f aca="false">IF(F709="Reverse charge (imported services)",L709,0)</f>
        <v>0</v>
      </c>
      <c r="O709" s="52" t="n">
        <f aca="false">IF(C709&lt;&gt;"Purchase",0,IF(OR(I709="N",F709="Blocked input (entertainment)"),0,L709))</f>
        <v>0</v>
      </c>
      <c r="P709" s="52" t="n">
        <f aca="false">IF(C709&lt;&gt;"Purchase",0,L709-O709)</f>
        <v>0</v>
      </c>
      <c r="Q709" s="53" t="n">
        <f aca="false">J709-B709</f>
        <v>0</v>
      </c>
      <c r="R709" s="51" t="str">
        <f aca="false">IF(I709="N","Invalid / missing TRN",IF(F709="Blocked input (entertainment)","Blocked input",IF(Q709&gt;30,"Late posting (&gt;30d)","")))</f>
        <v/>
      </c>
    </row>
    <row r="710" customFormat="false" ht="15" hidden="false" customHeight="false" outlineLevel="0" collapsed="false">
      <c r="A710" s="47" t="s">
        <v>996</v>
      </c>
      <c r="B710" s="48" t="n">
        <v>45855</v>
      </c>
      <c r="C710" s="47" t="s">
        <v>159</v>
      </c>
      <c r="D710" s="47" t="s">
        <v>204</v>
      </c>
      <c r="E710" s="47" t="s">
        <v>101</v>
      </c>
      <c r="F710" s="47" t="s">
        <v>278</v>
      </c>
      <c r="G710" s="49" t="n">
        <v>39320.77</v>
      </c>
      <c r="H710" s="50" t="n">
        <v>0</v>
      </c>
      <c r="I710" s="47" t="s">
        <v>162</v>
      </c>
      <c r="J710" s="48" t="n">
        <v>45855</v>
      </c>
      <c r="K710" s="51" t="str">
        <f aca="false">"Q"&amp;ROUNDUP(MONTH(B710)/3,0)</f>
        <v>Q3</v>
      </c>
      <c r="L710" s="52" t="n">
        <f aca="false">ROUND(G710*H710,2)</f>
        <v>0</v>
      </c>
      <c r="M710" s="52" t="n">
        <f aca="false">IF(AND(C710="Sales",F710="Standard-rated 5%"),L710,0)</f>
        <v>0</v>
      </c>
      <c r="N710" s="52" t="n">
        <f aca="false">IF(F710="Reverse charge (imported services)",L710,0)</f>
        <v>0</v>
      </c>
      <c r="O710" s="52" t="n">
        <f aca="false">IF(C710&lt;&gt;"Purchase",0,IF(OR(I710="N",F710="Blocked input (entertainment)"),0,L710))</f>
        <v>0</v>
      </c>
      <c r="P710" s="52" t="n">
        <f aca="false">IF(C710&lt;&gt;"Purchase",0,L710-O710)</f>
        <v>0</v>
      </c>
      <c r="Q710" s="53" t="n">
        <f aca="false">J710-B710</f>
        <v>0</v>
      </c>
      <c r="R710" s="51" t="str">
        <f aca="false">IF(I710="N","Invalid / missing TRN",IF(F710="Blocked input (entertainment)","Blocked input",IF(Q710&gt;30,"Late posting (&gt;30d)","")))</f>
        <v/>
      </c>
    </row>
    <row r="711" customFormat="false" ht="15" hidden="false" customHeight="false" outlineLevel="0" collapsed="false">
      <c r="A711" s="47" t="s">
        <v>997</v>
      </c>
      <c r="B711" s="48" t="n">
        <v>45856</v>
      </c>
      <c r="C711" s="47" t="s">
        <v>166</v>
      </c>
      <c r="D711" s="47" t="s">
        <v>253</v>
      </c>
      <c r="E711" s="47" t="s">
        <v>104</v>
      </c>
      <c r="F711" s="47" t="s">
        <v>161</v>
      </c>
      <c r="G711" s="49" t="n">
        <v>7904.1</v>
      </c>
      <c r="H711" s="50" t="n">
        <v>0.05</v>
      </c>
      <c r="I711" s="47" t="s">
        <v>162</v>
      </c>
      <c r="J711" s="48" t="n">
        <v>45858</v>
      </c>
      <c r="K711" s="51" t="str">
        <f aca="false">"Q"&amp;ROUNDUP(MONTH(B711)/3,0)</f>
        <v>Q3</v>
      </c>
      <c r="L711" s="52" t="n">
        <f aca="false">ROUND(G711*H711,2)</f>
        <v>395.21</v>
      </c>
      <c r="M711" s="52" t="n">
        <f aca="false">IF(AND(C711="Sales",F711="Standard-rated 5%"),L711,0)</f>
        <v>0</v>
      </c>
      <c r="N711" s="52" t="n">
        <f aca="false">IF(F711="Reverse charge (imported services)",L711,0)</f>
        <v>0</v>
      </c>
      <c r="O711" s="52" t="n">
        <f aca="false">IF(C711&lt;&gt;"Purchase",0,IF(OR(I711="N",F711="Blocked input (entertainment)"),0,L711))</f>
        <v>395.21</v>
      </c>
      <c r="P711" s="52" t="n">
        <f aca="false">IF(C711&lt;&gt;"Purchase",0,L711-O711)</f>
        <v>0</v>
      </c>
      <c r="Q711" s="53" t="n">
        <f aca="false">J711-B711</f>
        <v>2</v>
      </c>
      <c r="R711" s="51" t="str">
        <f aca="false">IF(I711="N","Invalid / missing TRN",IF(F711="Blocked input (entertainment)","Blocked input",IF(Q711&gt;30,"Late posting (&gt;30d)","")))</f>
        <v/>
      </c>
    </row>
    <row r="712" customFormat="false" ht="15" hidden="false" customHeight="false" outlineLevel="0" collapsed="false">
      <c r="A712" s="47" t="s">
        <v>998</v>
      </c>
      <c r="B712" s="48" t="n">
        <v>45857</v>
      </c>
      <c r="C712" s="47" t="s">
        <v>159</v>
      </c>
      <c r="D712" s="47" t="s">
        <v>235</v>
      </c>
      <c r="E712" s="47" t="s">
        <v>102</v>
      </c>
      <c r="F712" s="47" t="s">
        <v>161</v>
      </c>
      <c r="G712" s="49" t="n">
        <v>77257.44</v>
      </c>
      <c r="H712" s="50" t="n">
        <v>0.05</v>
      </c>
      <c r="I712" s="47" t="s">
        <v>162</v>
      </c>
      <c r="J712" s="48" t="n">
        <v>45859</v>
      </c>
      <c r="K712" s="51" t="str">
        <f aca="false">"Q"&amp;ROUNDUP(MONTH(B712)/3,0)</f>
        <v>Q3</v>
      </c>
      <c r="L712" s="52" t="n">
        <f aca="false">ROUND(G712*H712,2)</f>
        <v>3862.87</v>
      </c>
      <c r="M712" s="52" t="n">
        <f aca="false">IF(AND(C712="Sales",F712="Standard-rated 5%"),L712,0)</f>
        <v>3862.87</v>
      </c>
      <c r="N712" s="52" t="n">
        <f aca="false">IF(F712="Reverse charge (imported services)",L712,0)</f>
        <v>0</v>
      </c>
      <c r="O712" s="52" t="n">
        <f aca="false">IF(C712&lt;&gt;"Purchase",0,IF(OR(I712="N",F712="Blocked input (entertainment)"),0,L712))</f>
        <v>0</v>
      </c>
      <c r="P712" s="52" t="n">
        <f aca="false">IF(C712&lt;&gt;"Purchase",0,L712-O712)</f>
        <v>0</v>
      </c>
      <c r="Q712" s="53" t="n">
        <f aca="false">J712-B712</f>
        <v>2</v>
      </c>
      <c r="R712" s="51" t="str">
        <f aca="false">IF(I712="N","Invalid / missing TRN",IF(F712="Blocked input (entertainment)","Blocked input",IF(Q712&gt;30,"Late posting (&gt;30d)","")))</f>
        <v/>
      </c>
    </row>
    <row r="713" customFormat="false" ht="15" hidden="false" customHeight="false" outlineLevel="0" collapsed="false">
      <c r="A713" s="47" t="s">
        <v>999</v>
      </c>
      <c r="B713" s="48" t="n">
        <v>45857</v>
      </c>
      <c r="C713" s="47" t="s">
        <v>159</v>
      </c>
      <c r="D713" s="47" t="s">
        <v>320</v>
      </c>
      <c r="E713" s="47" t="s">
        <v>100</v>
      </c>
      <c r="F713" s="47" t="s">
        <v>278</v>
      </c>
      <c r="G713" s="49" t="n">
        <v>149453.72</v>
      </c>
      <c r="H713" s="50" t="n">
        <v>0</v>
      </c>
      <c r="I713" s="47" t="s">
        <v>162</v>
      </c>
      <c r="J713" s="48" t="n">
        <v>45857</v>
      </c>
      <c r="K713" s="51" t="str">
        <f aca="false">"Q"&amp;ROUNDUP(MONTH(B713)/3,0)</f>
        <v>Q3</v>
      </c>
      <c r="L713" s="52" t="n">
        <f aca="false">ROUND(G713*H713,2)</f>
        <v>0</v>
      </c>
      <c r="M713" s="52" t="n">
        <f aca="false">IF(AND(C713="Sales",F713="Standard-rated 5%"),L713,0)</f>
        <v>0</v>
      </c>
      <c r="N713" s="52" t="n">
        <f aca="false">IF(F713="Reverse charge (imported services)",L713,0)</f>
        <v>0</v>
      </c>
      <c r="O713" s="52" t="n">
        <f aca="false">IF(C713&lt;&gt;"Purchase",0,IF(OR(I713="N",F713="Blocked input (entertainment)"),0,L713))</f>
        <v>0</v>
      </c>
      <c r="P713" s="52" t="n">
        <f aca="false">IF(C713&lt;&gt;"Purchase",0,L713-O713)</f>
        <v>0</v>
      </c>
      <c r="Q713" s="53" t="n">
        <f aca="false">J713-B713</f>
        <v>0</v>
      </c>
      <c r="R713" s="51" t="str">
        <f aca="false">IF(I713="N","Invalid / missing TRN",IF(F713="Blocked input (entertainment)","Blocked input",IF(Q713&gt;30,"Late posting (&gt;30d)","")))</f>
        <v/>
      </c>
    </row>
    <row r="714" customFormat="false" ht="15" hidden="false" customHeight="false" outlineLevel="0" collapsed="false">
      <c r="A714" s="47" t="s">
        <v>1000</v>
      </c>
      <c r="B714" s="48" t="n">
        <v>45857</v>
      </c>
      <c r="C714" s="47" t="s">
        <v>159</v>
      </c>
      <c r="D714" s="47" t="s">
        <v>428</v>
      </c>
      <c r="E714" s="47" t="s">
        <v>104</v>
      </c>
      <c r="F714" s="47" t="s">
        <v>278</v>
      </c>
      <c r="G714" s="49" t="n">
        <v>48087.72</v>
      </c>
      <c r="H714" s="50" t="n">
        <v>0</v>
      </c>
      <c r="I714" s="47" t="s">
        <v>162</v>
      </c>
      <c r="J714" s="48" t="n">
        <v>45857</v>
      </c>
      <c r="K714" s="51" t="str">
        <f aca="false">"Q"&amp;ROUNDUP(MONTH(B714)/3,0)</f>
        <v>Q3</v>
      </c>
      <c r="L714" s="52" t="n">
        <f aca="false">ROUND(G714*H714,2)</f>
        <v>0</v>
      </c>
      <c r="M714" s="52" t="n">
        <f aca="false">IF(AND(C714="Sales",F714="Standard-rated 5%"),L714,0)</f>
        <v>0</v>
      </c>
      <c r="N714" s="52" t="n">
        <f aca="false">IF(F714="Reverse charge (imported services)",L714,0)</f>
        <v>0</v>
      </c>
      <c r="O714" s="52" t="n">
        <f aca="false">IF(C714&lt;&gt;"Purchase",0,IF(OR(I714="N",F714="Blocked input (entertainment)"),0,L714))</f>
        <v>0</v>
      </c>
      <c r="P714" s="52" t="n">
        <f aca="false">IF(C714&lt;&gt;"Purchase",0,L714-O714)</f>
        <v>0</v>
      </c>
      <c r="Q714" s="53" t="n">
        <f aca="false">J714-B714</f>
        <v>0</v>
      </c>
      <c r="R714" s="51" t="str">
        <f aca="false">IF(I714="N","Invalid / missing TRN",IF(F714="Blocked input (entertainment)","Blocked input",IF(Q714&gt;30,"Late posting (&gt;30d)","")))</f>
        <v/>
      </c>
    </row>
    <row r="715" customFormat="false" ht="15" hidden="false" customHeight="false" outlineLevel="0" collapsed="false">
      <c r="A715" s="47" t="s">
        <v>1001</v>
      </c>
      <c r="B715" s="48" t="n">
        <v>45858</v>
      </c>
      <c r="C715" s="47" t="s">
        <v>166</v>
      </c>
      <c r="D715" s="47" t="s">
        <v>324</v>
      </c>
      <c r="E715" s="47" t="s">
        <v>102</v>
      </c>
      <c r="F715" s="47" t="s">
        <v>392</v>
      </c>
      <c r="G715" s="49" t="n">
        <v>203073.94</v>
      </c>
      <c r="H715" s="50" t="n">
        <v>0.05</v>
      </c>
      <c r="I715" s="47" t="s">
        <v>162</v>
      </c>
      <c r="J715" s="48" t="n">
        <v>45858</v>
      </c>
      <c r="K715" s="51" t="str">
        <f aca="false">"Q"&amp;ROUNDUP(MONTH(B715)/3,0)</f>
        <v>Q3</v>
      </c>
      <c r="L715" s="52" t="n">
        <f aca="false">ROUND(G715*H715,2)</f>
        <v>10153.7</v>
      </c>
      <c r="M715" s="52" t="n">
        <f aca="false">IF(AND(C715="Sales",F715="Standard-rated 5%"),L715,0)</f>
        <v>0</v>
      </c>
      <c r="N715" s="52" t="n">
        <f aca="false">IF(F715="Reverse charge (imported services)",L715,0)</f>
        <v>0</v>
      </c>
      <c r="O715" s="52" t="n">
        <f aca="false">IF(C715&lt;&gt;"Purchase",0,IF(OR(I715="N",F715="Blocked input (entertainment)"),0,L715))</f>
        <v>10153.7</v>
      </c>
      <c r="P715" s="52" t="n">
        <f aca="false">IF(C715&lt;&gt;"Purchase",0,L715-O715)</f>
        <v>0</v>
      </c>
      <c r="Q715" s="53" t="n">
        <f aca="false">J715-B715</f>
        <v>0</v>
      </c>
      <c r="R715" s="51" t="str">
        <f aca="false">IF(I715="N","Invalid / missing TRN",IF(F715="Blocked input (entertainment)","Blocked input",IF(Q715&gt;30,"Late posting (&gt;30d)","")))</f>
        <v/>
      </c>
    </row>
    <row r="716" customFormat="false" ht="15" hidden="false" customHeight="false" outlineLevel="0" collapsed="false">
      <c r="A716" s="47" t="s">
        <v>1002</v>
      </c>
      <c r="B716" s="48" t="n">
        <v>45858</v>
      </c>
      <c r="C716" s="47" t="s">
        <v>166</v>
      </c>
      <c r="D716" s="47" t="s">
        <v>285</v>
      </c>
      <c r="E716" s="47" t="s">
        <v>101</v>
      </c>
      <c r="F716" s="47" t="s">
        <v>161</v>
      </c>
      <c r="G716" s="49" t="n">
        <v>37103.05</v>
      </c>
      <c r="H716" s="50" t="n">
        <v>0.05</v>
      </c>
      <c r="I716" s="47" t="s">
        <v>162</v>
      </c>
      <c r="J716" s="48" t="n">
        <v>45858</v>
      </c>
      <c r="K716" s="51" t="str">
        <f aca="false">"Q"&amp;ROUNDUP(MONTH(B716)/3,0)</f>
        <v>Q3</v>
      </c>
      <c r="L716" s="52" t="n">
        <f aca="false">ROUND(G716*H716,2)</f>
        <v>1855.15</v>
      </c>
      <c r="M716" s="52" t="n">
        <f aca="false">IF(AND(C716="Sales",F716="Standard-rated 5%"),L716,0)</f>
        <v>0</v>
      </c>
      <c r="N716" s="52" t="n">
        <f aca="false">IF(F716="Reverse charge (imported services)",L716,0)</f>
        <v>0</v>
      </c>
      <c r="O716" s="52" t="n">
        <f aca="false">IF(C716&lt;&gt;"Purchase",0,IF(OR(I716="N",F716="Blocked input (entertainment)"),0,L716))</f>
        <v>1855.15</v>
      </c>
      <c r="P716" s="52" t="n">
        <f aca="false">IF(C716&lt;&gt;"Purchase",0,L716-O716)</f>
        <v>0</v>
      </c>
      <c r="Q716" s="53" t="n">
        <f aca="false">J716-B716</f>
        <v>0</v>
      </c>
      <c r="R716" s="51" t="str">
        <f aca="false">IF(I716="N","Invalid / missing TRN",IF(F716="Blocked input (entertainment)","Blocked input",IF(Q716&gt;30,"Late posting (&gt;30d)","")))</f>
        <v/>
      </c>
    </row>
    <row r="717" customFormat="false" ht="15" hidden="false" customHeight="false" outlineLevel="0" collapsed="false">
      <c r="A717" s="47" t="s">
        <v>1003</v>
      </c>
      <c r="B717" s="48" t="n">
        <v>45858</v>
      </c>
      <c r="C717" s="47" t="s">
        <v>159</v>
      </c>
      <c r="D717" s="47" t="s">
        <v>283</v>
      </c>
      <c r="E717" s="47" t="s">
        <v>100</v>
      </c>
      <c r="F717" s="47" t="s">
        <v>161</v>
      </c>
      <c r="G717" s="49" t="n">
        <v>96942.83</v>
      </c>
      <c r="H717" s="50" t="n">
        <v>0.05</v>
      </c>
      <c r="I717" s="47" t="s">
        <v>162</v>
      </c>
      <c r="J717" s="48" t="n">
        <v>45858</v>
      </c>
      <c r="K717" s="51" t="str">
        <f aca="false">"Q"&amp;ROUNDUP(MONTH(B717)/3,0)</f>
        <v>Q3</v>
      </c>
      <c r="L717" s="52" t="n">
        <f aca="false">ROUND(G717*H717,2)</f>
        <v>4847.14</v>
      </c>
      <c r="M717" s="52" t="n">
        <f aca="false">IF(AND(C717="Sales",F717="Standard-rated 5%"),L717,0)</f>
        <v>4847.14</v>
      </c>
      <c r="N717" s="52" t="n">
        <f aca="false">IF(F717="Reverse charge (imported services)",L717,0)</f>
        <v>0</v>
      </c>
      <c r="O717" s="52" t="n">
        <f aca="false">IF(C717&lt;&gt;"Purchase",0,IF(OR(I717="N",F717="Blocked input (entertainment)"),0,L717))</f>
        <v>0</v>
      </c>
      <c r="P717" s="52" t="n">
        <f aca="false">IF(C717&lt;&gt;"Purchase",0,L717-O717)</f>
        <v>0</v>
      </c>
      <c r="Q717" s="53" t="n">
        <f aca="false">J717-B717</f>
        <v>0</v>
      </c>
      <c r="R717" s="51" t="str">
        <f aca="false">IF(I717="N","Invalid / missing TRN",IF(F717="Blocked input (entertainment)","Blocked input",IF(Q717&gt;30,"Late posting (&gt;30d)","")))</f>
        <v/>
      </c>
    </row>
    <row r="718" customFormat="false" ht="15" hidden="false" customHeight="false" outlineLevel="0" collapsed="false">
      <c r="A718" s="47" t="s">
        <v>1004</v>
      </c>
      <c r="B718" s="48" t="n">
        <v>45858</v>
      </c>
      <c r="C718" s="47" t="s">
        <v>159</v>
      </c>
      <c r="D718" s="47" t="s">
        <v>177</v>
      </c>
      <c r="E718" s="47" t="s">
        <v>100</v>
      </c>
      <c r="F718" s="47" t="s">
        <v>161</v>
      </c>
      <c r="G718" s="49" t="n">
        <v>34308.81</v>
      </c>
      <c r="H718" s="50" t="n">
        <v>0.05</v>
      </c>
      <c r="I718" s="47" t="s">
        <v>162</v>
      </c>
      <c r="J718" s="48" t="n">
        <v>45858</v>
      </c>
      <c r="K718" s="51" t="str">
        <f aca="false">"Q"&amp;ROUNDUP(MONTH(B718)/3,0)</f>
        <v>Q3</v>
      </c>
      <c r="L718" s="52" t="n">
        <f aca="false">ROUND(G718*H718,2)</f>
        <v>1715.44</v>
      </c>
      <c r="M718" s="52" t="n">
        <f aca="false">IF(AND(C718="Sales",F718="Standard-rated 5%"),L718,0)</f>
        <v>1715.44</v>
      </c>
      <c r="N718" s="52" t="n">
        <f aca="false">IF(F718="Reverse charge (imported services)",L718,0)</f>
        <v>0</v>
      </c>
      <c r="O718" s="52" t="n">
        <f aca="false">IF(C718&lt;&gt;"Purchase",0,IF(OR(I718="N",F718="Blocked input (entertainment)"),0,L718))</f>
        <v>0</v>
      </c>
      <c r="P718" s="52" t="n">
        <f aca="false">IF(C718&lt;&gt;"Purchase",0,L718-O718)</f>
        <v>0</v>
      </c>
      <c r="Q718" s="53" t="n">
        <f aca="false">J718-B718</f>
        <v>0</v>
      </c>
      <c r="R718" s="51" t="str">
        <f aca="false">IF(I718="N","Invalid / missing TRN",IF(F718="Blocked input (entertainment)","Blocked input",IF(Q718&gt;30,"Late posting (&gt;30d)","")))</f>
        <v/>
      </c>
    </row>
    <row r="719" customFormat="false" ht="15" hidden="false" customHeight="false" outlineLevel="0" collapsed="false">
      <c r="A719" s="47" t="s">
        <v>1005</v>
      </c>
      <c r="B719" s="48" t="n">
        <v>45859</v>
      </c>
      <c r="C719" s="47" t="s">
        <v>166</v>
      </c>
      <c r="D719" s="47" t="s">
        <v>643</v>
      </c>
      <c r="E719" s="47" t="s">
        <v>100</v>
      </c>
      <c r="F719" s="47" t="s">
        <v>173</v>
      </c>
      <c r="G719" s="49" t="n">
        <v>11867.91</v>
      </c>
      <c r="H719" s="50" t="n">
        <v>0.05</v>
      </c>
      <c r="I719" s="47" t="s">
        <v>162</v>
      </c>
      <c r="J719" s="48" t="n">
        <v>45864</v>
      </c>
      <c r="K719" s="51" t="str">
        <f aca="false">"Q"&amp;ROUNDUP(MONTH(B719)/3,0)</f>
        <v>Q3</v>
      </c>
      <c r="L719" s="52" t="n">
        <f aca="false">ROUND(G719*H719,2)</f>
        <v>593.4</v>
      </c>
      <c r="M719" s="52" t="n">
        <f aca="false">IF(AND(C719="Sales",F719="Standard-rated 5%"),L719,0)</f>
        <v>0</v>
      </c>
      <c r="N719" s="52" t="n">
        <f aca="false">IF(F719="Reverse charge (imported services)",L719,0)</f>
        <v>593.4</v>
      </c>
      <c r="O719" s="52" t="n">
        <f aca="false">IF(C719&lt;&gt;"Purchase",0,IF(OR(I719="N",F719="Blocked input (entertainment)"),0,L719))</f>
        <v>593.4</v>
      </c>
      <c r="P719" s="52" t="n">
        <f aca="false">IF(C719&lt;&gt;"Purchase",0,L719-O719)</f>
        <v>0</v>
      </c>
      <c r="Q719" s="53" t="n">
        <f aca="false">J719-B719</f>
        <v>5</v>
      </c>
      <c r="R719" s="51" t="str">
        <f aca="false">IF(I719="N","Invalid / missing TRN",IF(F719="Blocked input (entertainment)","Blocked input",IF(Q719&gt;30,"Late posting (&gt;30d)","")))</f>
        <v/>
      </c>
    </row>
    <row r="720" customFormat="false" ht="15" hidden="false" customHeight="false" outlineLevel="0" collapsed="false">
      <c r="A720" s="47" t="s">
        <v>1006</v>
      </c>
      <c r="B720" s="48" t="n">
        <v>45859</v>
      </c>
      <c r="C720" s="47" t="s">
        <v>159</v>
      </c>
      <c r="D720" s="47" t="s">
        <v>260</v>
      </c>
      <c r="E720" s="47" t="s">
        <v>102</v>
      </c>
      <c r="F720" s="47" t="s">
        <v>301</v>
      </c>
      <c r="G720" s="49" t="n">
        <v>41212.51</v>
      </c>
      <c r="H720" s="50" t="n">
        <v>0</v>
      </c>
      <c r="I720" s="47" t="s">
        <v>162</v>
      </c>
      <c r="J720" s="48" t="n">
        <v>45899</v>
      </c>
      <c r="K720" s="51" t="str">
        <f aca="false">"Q"&amp;ROUNDUP(MONTH(B720)/3,0)</f>
        <v>Q3</v>
      </c>
      <c r="L720" s="52" t="n">
        <f aca="false">ROUND(G720*H720,2)</f>
        <v>0</v>
      </c>
      <c r="M720" s="52" t="n">
        <f aca="false">IF(AND(C720="Sales",F720="Standard-rated 5%"),L720,0)</f>
        <v>0</v>
      </c>
      <c r="N720" s="52" t="n">
        <f aca="false">IF(F720="Reverse charge (imported services)",L720,0)</f>
        <v>0</v>
      </c>
      <c r="O720" s="52" t="n">
        <f aca="false">IF(C720&lt;&gt;"Purchase",0,IF(OR(I720="N",F720="Blocked input (entertainment)"),0,L720))</f>
        <v>0</v>
      </c>
      <c r="P720" s="52" t="n">
        <f aca="false">IF(C720&lt;&gt;"Purchase",0,L720-O720)</f>
        <v>0</v>
      </c>
      <c r="Q720" s="53" t="n">
        <f aca="false">J720-B720</f>
        <v>40</v>
      </c>
      <c r="R720" s="51" t="str">
        <f aca="false">IF(I720="N","Invalid / missing TRN",IF(F720="Blocked input (entertainment)","Blocked input",IF(Q720&gt;30,"Late posting (&gt;30d)","")))</f>
        <v>Late posting (&gt;30d)</v>
      </c>
    </row>
    <row r="721" customFormat="false" ht="15" hidden="false" customHeight="false" outlineLevel="0" collapsed="false">
      <c r="A721" s="47" t="s">
        <v>1007</v>
      </c>
      <c r="B721" s="48" t="n">
        <v>45860</v>
      </c>
      <c r="C721" s="47" t="s">
        <v>166</v>
      </c>
      <c r="D721" s="47" t="s">
        <v>570</v>
      </c>
      <c r="E721" s="47" t="s">
        <v>100</v>
      </c>
      <c r="F721" s="47" t="s">
        <v>161</v>
      </c>
      <c r="G721" s="49" t="n">
        <v>51388.83</v>
      </c>
      <c r="H721" s="50" t="n">
        <v>0.05</v>
      </c>
      <c r="I721" s="47" t="s">
        <v>162</v>
      </c>
      <c r="J721" s="48" t="n">
        <v>45860</v>
      </c>
      <c r="K721" s="51" t="str">
        <f aca="false">"Q"&amp;ROUNDUP(MONTH(B721)/3,0)</f>
        <v>Q3</v>
      </c>
      <c r="L721" s="52" t="n">
        <f aca="false">ROUND(G721*H721,2)</f>
        <v>2569.44</v>
      </c>
      <c r="M721" s="52" t="n">
        <f aca="false">IF(AND(C721="Sales",F721="Standard-rated 5%"),L721,0)</f>
        <v>0</v>
      </c>
      <c r="N721" s="52" t="n">
        <f aca="false">IF(F721="Reverse charge (imported services)",L721,0)</f>
        <v>0</v>
      </c>
      <c r="O721" s="52" t="n">
        <f aca="false">IF(C721&lt;&gt;"Purchase",0,IF(OR(I721="N",F721="Blocked input (entertainment)"),0,L721))</f>
        <v>2569.44</v>
      </c>
      <c r="P721" s="52" t="n">
        <f aca="false">IF(C721&lt;&gt;"Purchase",0,L721-O721)</f>
        <v>0</v>
      </c>
      <c r="Q721" s="53" t="n">
        <f aca="false">J721-B721</f>
        <v>0</v>
      </c>
      <c r="R721" s="51" t="str">
        <f aca="false">IF(I721="N","Invalid / missing TRN",IF(F721="Blocked input (entertainment)","Blocked input",IF(Q721&gt;30,"Late posting (&gt;30d)","")))</f>
        <v/>
      </c>
    </row>
    <row r="722" customFormat="false" ht="15" hidden="false" customHeight="false" outlineLevel="0" collapsed="false">
      <c r="A722" s="47" t="s">
        <v>1008</v>
      </c>
      <c r="B722" s="48" t="n">
        <v>45860</v>
      </c>
      <c r="C722" s="47" t="s">
        <v>159</v>
      </c>
      <c r="D722" s="47" t="s">
        <v>243</v>
      </c>
      <c r="E722" s="47" t="s">
        <v>101</v>
      </c>
      <c r="F722" s="47" t="s">
        <v>161</v>
      </c>
      <c r="G722" s="49" t="n">
        <v>39192.22</v>
      </c>
      <c r="H722" s="50" t="n">
        <v>0.05</v>
      </c>
      <c r="I722" s="47" t="s">
        <v>162</v>
      </c>
      <c r="J722" s="48" t="n">
        <v>45860</v>
      </c>
      <c r="K722" s="51" t="str">
        <f aca="false">"Q"&amp;ROUNDUP(MONTH(B722)/3,0)</f>
        <v>Q3</v>
      </c>
      <c r="L722" s="52" t="n">
        <f aca="false">ROUND(G722*H722,2)</f>
        <v>1959.61</v>
      </c>
      <c r="M722" s="52" t="n">
        <f aca="false">IF(AND(C722="Sales",F722="Standard-rated 5%"),L722,0)</f>
        <v>1959.61</v>
      </c>
      <c r="N722" s="52" t="n">
        <f aca="false">IF(F722="Reverse charge (imported services)",L722,0)</f>
        <v>0</v>
      </c>
      <c r="O722" s="52" t="n">
        <f aca="false">IF(C722&lt;&gt;"Purchase",0,IF(OR(I722="N",F722="Blocked input (entertainment)"),0,L722))</f>
        <v>0</v>
      </c>
      <c r="P722" s="52" t="n">
        <f aca="false">IF(C722&lt;&gt;"Purchase",0,L722-O722)</f>
        <v>0</v>
      </c>
      <c r="Q722" s="53" t="n">
        <f aca="false">J722-B722</f>
        <v>0</v>
      </c>
      <c r="R722" s="51" t="str">
        <f aca="false">IF(I722="N","Invalid / missing TRN",IF(F722="Blocked input (entertainment)","Blocked input",IF(Q722&gt;30,"Late posting (&gt;30d)","")))</f>
        <v/>
      </c>
    </row>
    <row r="723" customFormat="false" ht="15" hidden="false" customHeight="false" outlineLevel="0" collapsed="false">
      <c r="A723" s="47" t="s">
        <v>1009</v>
      </c>
      <c r="B723" s="48" t="n">
        <v>45861</v>
      </c>
      <c r="C723" s="47" t="s">
        <v>166</v>
      </c>
      <c r="D723" s="47" t="s">
        <v>199</v>
      </c>
      <c r="E723" s="47" t="s">
        <v>105</v>
      </c>
      <c r="F723" s="47" t="s">
        <v>161</v>
      </c>
      <c r="G723" s="49" t="n">
        <v>10891.07</v>
      </c>
      <c r="H723" s="50" t="n">
        <v>0.05</v>
      </c>
      <c r="I723" s="47" t="s">
        <v>162</v>
      </c>
      <c r="J723" s="48" t="n">
        <v>45863</v>
      </c>
      <c r="K723" s="51" t="str">
        <f aca="false">"Q"&amp;ROUNDUP(MONTH(B723)/3,0)</f>
        <v>Q3</v>
      </c>
      <c r="L723" s="52" t="n">
        <f aca="false">ROUND(G723*H723,2)</f>
        <v>544.55</v>
      </c>
      <c r="M723" s="52" t="n">
        <f aca="false">IF(AND(C723="Sales",F723="Standard-rated 5%"),L723,0)</f>
        <v>0</v>
      </c>
      <c r="N723" s="52" t="n">
        <f aca="false">IF(F723="Reverse charge (imported services)",L723,0)</f>
        <v>0</v>
      </c>
      <c r="O723" s="52" t="n">
        <f aca="false">IF(C723&lt;&gt;"Purchase",0,IF(OR(I723="N",F723="Blocked input (entertainment)"),0,L723))</f>
        <v>544.55</v>
      </c>
      <c r="P723" s="52" t="n">
        <f aca="false">IF(C723&lt;&gt;"Purchase",0,L723-O723)</f>
        <v>0</v>
      </c>
      <c r="Q723" s="53" t="n">
        <f aca="false">J723-B723</f>
        <v>2</v>
      </c>
      <c r="R723" s="51" t="str">
        <f aca="false">IF(I723="N","Invalid / missing TRN",IF(F723="Blocked input (entertainment)","Blocked input",IF(Q723&gt;30,"Late posting (&gt;30d)","")))</f>
        <v/>
      </c>
    </row>
    <row r="724" customFormat="false" ht="15" hidden="false" customHeight="false" outlineLevel="0" collapsed="false">
      <c r="A724" s="47" t="s">
        <v>1010</v>
      </c>
      <c r="B724" s="48" t="n">
        <v>45861</v>
      </c>
      <c r="C724" s="47" t="s">
        <v>159</v>
      </c>
      <c r="D724" s="47" t="s">
        <v>428</v>
      </c>
      <c r="E724" s="47" t="s">
        <v>100</v>
      </c>
      <c r="F724" s="47" t="s">
        <v>161</v>
      </c>
      <c r="G724" s="49" t="n">
        <v>69724.46</v>
      </c>
      <c r="H724" s="50" t="n">
        <v>0.05</v>
      </c>
      <c r="I724" s="47" t="s">
        <v>162</v>
      </c>
      <c r="J724" s="48" t="n">
        <v>45861</v>
      </c>
      <c r="K724" s="51" t="str">
        <f aca="false">"Q"&amp;ROUNDUP(MONTH(B724)/3,0)</f>
        <v>Q3</v>
      </c>
      <c r="L724" s="52" t="n">
        <f aca="false">ROUND(G724*H724,2)</f>
        <v>3486.22</v>
      </c>
      <c r="M724" s="52" t="n">
        <f aca="false">IF(AND(C724="Sales",F724="Standard-rated 5%"),L724,0)</f>
        <v>3486.22</v>
      </c>
      <c r="N724" s="52" t="n">
        <f aca="false">IF(F724="Reverse charge (imported services)",L724,0)</f>
        <v>0</v>
      </c>
      <c r="O724" s="52" t="n">
        <f aca="false">IF(C724&lt;&gt;"Purchase",0,IF(OR(I724="N",F724="Blocked input (entertainment)"),0,L724))</f>
        <v>0</v>
      </c>
      <c r="P724" s="52" t="n">
        <f aca="false">IF(C724&lt;&gt;"Purchase",0,L724-O724)</f>
        <v>0</v>
      </c>
      <c r="Q724" s="53" t="n">
        <f aca="false">J724-B724</f>
        <v>0</v>
      </c>
      <c r="R724" s="51" t="str">
        <f aca="false">IF(I724="N","Invalid / missing TRN",IF(F724="Blocked input (entertainment)","Blocked input",IF(Q724&gt;30,"Late posting (&gt;30d)","")))</f>
        <v/>
      </c>
    </row>
    <row r="725" customFormat="false" ht="15" hidden="false" customHeight="false" outlineLevel="0" collapsed="false">
      <c r="A725" s="47" t="s">
        <v>1011</v>
      </c>
      <c r="B725" s="48" t="n">
        <v>45861</v>
      </c>
      <c r="C725" s="47" t="s">
        <v>159</v>
      </c>
      <c r="D725" s="47" t="s">
        <v>423</v>
      </c>
      <c r="E725" s="47" t="s">
        <v>100</v>
      </c>
      <c r="F725" s="47" t="s">
        <v>161</v>
      </c>
      <c r="G725" s="49" t="n">
        <v>74301.5</v>
      </c>
      <c r="H725" s="50" t="n">
        <v>0.05</v>
      </c>
      <c r="I725" s="47" t="s">
        <v>162</v>
      </c>
      <c r="J725" s="48" t="n">
        <v>45861</v>
      </c>
      <c r="K725" s="51" t="str">
        <f aca="false">"Q"&amp;ROUNDUP(MONTH(B725)/3,0)</f>
        <v>Q3</v>
      </c>
      <c r="L725" s="52" t="n">
        <f aca="false">ROUND(G725*H725,2)</f>
        <v>3715.08</v>
      </c>
      <c r="M725" s="52" t="n">
        <f aca="false">IF(AND(C725="Sales",F725="Standard-rated 5%"),L725,0)</f>
        <v>3715.08</v>
      </c>
      <c r="N725" s="52" t="n">
        <f aca="false">IF(F725="Reverse charge (imported services)",L725,0)</f>
        <v>0</v>
      </c>
      <c r="O725" s="52" t="n">
        <f aca="false">IF(C725&lt;&gt;"Purchase",0,IF(OR(I725="N",F725="Blocked input (entertainment)"),0,L725))</f>
        <v>0</v>
      </c>
      <c r="P725" s="52" t="n">
        <f aca="false">IF(C725&lt;&gt;"Purchase",0,L725-O725)</f>
        <v>0</v>
      </c>
      <c r="Q725" s="53" t="n">
        <f aca="false">J725-B725</f>
        <v>0</v>
      </c>
      <c r="R725" s="51" t="str">
        <f aca="false">IF(I725="N","Invalid / missing TRN",IF(F725="Blocked input (entertainment)","Blocked input",IF(Q725&gt;30,"Late posting (&gt;30d)","")))</f>
        <v/>
      </c>
    </row>
    <row r="726" customFormat="false" ht="15" hidden="false" customHeight="false" outlineLevel="0" collapsed="false">
      <c r="A726" s="47" t="s">
        <v>1012</v>
      </c>
      <c r="B726" s="48" t="n">
        <v>45861</v>
      </c>
      <c r="C726" s="47" t="s">
        <v>159</v>
      </c>
      <c r="D726" s="47" t="s">
        <v>179</v>
      </c>
      <c r="E726" s="47" t="s">
        <v>100</v>
      </c>
      <c r="F726" s="47" t="s">
        <v>161</v>
      </c>
      <c r="G726" s="49" t="n">
        <v>31640.08</v>
      </c>
      <c r="H726" s="50" t="n">
        <v>0.05</v>
      </c>
      <c r="I726" s="47" t="s">
        <v>162</v>
      </c>
      <c r="J726" s="48" t="n">
        <v>45861</v>
      </c>
      <c r="K726" s="51" t="str">
        <f aca="false">"Q"&amp;ROUNDUP(MONTH(B726)/3,0)</f>
        <v>Q3</v>
      </c>
      <c r="L726" s="52" t="n">
        <f aca="false">ROUND(G726*H726,2)</f>
        <v>1582</v>
      </c>
      <c r="M726" s="52" t="n">
        <f aca="false">IF(AND(C726="Sales",F726="Standard-rated 5%"),L726,0)</f>
        <v>1582</v>
      </c>
      <c r="N726" s="52" t="n">
        <f aca="false">IF(F726="Reverse charge (imported services)",L726,0)</f>
        <v>0</v>
      </c>
      <c r="O726" s="52" t="n">
        <f aca="false">IF(C726&lt;&gt;"Purchase",0,IF(OR(I726="N",F726="Blocked input (entertainment)"),0,L726))</f>
        <v>0</v>
      </c>
      <c r="P726" s="52" t="n">
        <f aca="false">IF(C726&lt;&gt;"Purchase",0,L726-O726)</f>
        <v>0</v>
      </c>
      <c r="Q726" s="53" t="n">
        <f aca="false">J726-B726</f>
        <v>0</v>
      </c>
      <c r="R726" s="51" t="str">
        <f aca="false">IF(I726="N","Invalid / missing TRN",IF(F726="Blocked input (entertainment)","Blocked input",IF(Q726&gt;30,"Late posting (&gt;30d)","")))</f>
        <v/>
      </c>
    </row>
    <row r="727" customFormat="false" ht="15" hidden="false" customHeight="false" outlineLevel="0" collapsed="false">
      <c r="A727" s="47" t="s">
        <v>1013</v>
      </c>
      <c r="B727" s="48" t="n">
        <v>45862</v>
      </c>
      <c r="C727" s="47" t="s">
        <v>166</v>
      </c>
      <c r="D727" s="47" t="s">
        <v>348</v>
      </c>
      <c r="E727" s="47" t="s">
        <v>100</v>
      </c>
      <c r="F727" s="47" t="s">
        <v>161</v>
      </c>
      <c r="G727" s="49" t="n">
        <v>29133.63</v>
      </c>
      <c r="H727" s="50" t="n">
        <v>0.05</v>
      </c>
      <c r="I727" s="47" t="s">
        <v>162</v>
      </c>
      <c r="J727" s="48" t="n">
        <v>45862</v>
      </c>
      <c r="K727" s="51" t="str">
        <f aca="false">"Q"&amp;ROUNDUP(MONTH(B727)/3,0)</f>
        <v>Q3</v>
      </c>
      <c r="L727" s="52" t="n">
        <f aca="false">ROUND(G727*H727,2)</f>
        <v>1456.68</v>
      </c>
      <c r="M727" s="52" t="n">
        <f aca="false">IF(AND(C727="Sales",F727="Standard-rated 5%"),L727,0)</f>
        <v>0</v>
      </c>
      <c r="N727" s="52" t="n">
        <f aca="false">IF(F727="Reverse charge (imported services)",L727,0)</f>
        <v>0</v>
      </c>
      <c r="O727" s="52" t="n">
        <f aca="false">IF(C727&lt;&gt;"Purchase",0,IF(OR(I727="N",F727="Blocked input (entertainment)"),0,L727))</f>
        <v>1456.68</v>
      </c>
      <c r="P727" s="52" t="n">
        <f aca="false">IF(C727&lt;&gt;"Purchase",0,L727-O727)</f>
        <v>0</v>
      </c>
      <c r="Q727" s="53" t="n">
        <f aca="false">J727-B727</f>
        <v>0</v>
      </c>
      <c r="R727" s="51" t="str">
        <f aca="false">IF(I727="N","Invalid / missing TRN",IF(F727="Blocked input (entertainment)","Blocked input",IF(Q727&gt;30,"Late posting (&gt;30d)","")))</f>
        <v/>
      </c>
    </row>
    <row r="728" customFormat="false" ht="15" hidden="false" customHeight="false" outlineLevel="0" collapsed="false">
      <c r="A728" s="47" t="s">
        <v>1014</v>
      </c>
      <c r="B728" s="48" t="n">
        <v>45862</v>
      </c>
      <c r="C728" s="47" t="s">
        <v>159</v>
      </c>
      <c r="D728" s="47" t="s">
        <v>621</v>
      </c>
      <c r="E728" s="47" t="s">
        <v>100</v>
      </c>
      <c r="F728" s="47" t="s">
        <v>278</v>
      </c>
      <c r="G728" s="49" t="n">
        <v>85951.58</v>
      </c>
      <c r="H728" s="50" t="n">
        <v>0</v>
      </c>
      <c r="I728" s="47" t="s">
        <v>162</v>
      </c>
      <c r="J728" s="48" t="n">
        <v>45863</v>
      </c>
      <c r="K728" s="51" t="str">
        <f aca="false">"Q"&amp;ROUNDUP(MONTH(B728)/3,0)</f>
        <v>Q3</v>
      </c>
      <c r="L728" s="52" t="n">
        <f aca="false">ROUND(G728*H728,2)</f>
        <v>0</v>
      </c>
      <c r="M728" s="52" t="n">
        <f aca="false">IF(AND(C728="Sales",F728="Standard-rated 5%"),L728,0)</f>
        <v>0</v>
      </c>
      <c r="N728" s="52" t="n">
        <f aca="false">IF(F728="Reverse charge (imported services)",L728,0)</f>
        <v>0</v>
      </c>
      <c r="O728" s="52" t="n">
        <f aca="false">IF(C728&lt;&gt;"Purchase",0,IF(OR(I728="N",F728="Blocked input (entertainment)"),0,L728))</f>
        <v>0</v>
      </c>
      <c r="P728" s="52" t="n">
        <f aca="false">IF(C728&lt;&gt;"Purchase",0,L728-O728)</f>
        <v>0</v>
      </c>
      <c r="Q728" s="53" t="n">
        <f aca="false">J728-B728</f>
        <v>1</v>
      </c>
      <c r="R728" s="51" t="str">
        <f aca="false">IF(I728="N","Invalid / missing TRN",IF(F728="Blocked input (entertainment)","Blocked input",IF(Q728&gt;30,"Late posting (&gt;30d)","")))</f>
        <v/>
      </c>
    </row>
    <row r="729" customFormat="false" ht="15" hidden="false" customHeight="false" outlineLevel="0" collapsed="false">
      <c r="A729" s="47" t="s">
        <v>1015</v>
      </c>
      <c r="B729" s="48" t="n">
        <v>45862</v>
      </c>
      <c r="C729" s="47" t="s">
        <v>159</v>
      </c>
      <c r="D729" s="47" t="s">
        <v>532</v>
      </c>
      <c r="E729" s="47" t="s">
        <v>100</v>
      </c>
      <c r="F729" s="47" t="s">
        <v>161</v>
      </c>
      <c r="G729" s="49" t="n">
        <v>102987.68</v>
      </c>
      <c r="H729" s="50" t="n">
        <v>0.05</v>
      </c>
      <c r="I729" s="47" t="s">
        <v>162</v>
      </c>
      <c r="J729" s="48" t="n">
        <v>45862</v>
      </c>
      <c r="K729" s="51" t="str">
        <f aca="false">"Q"&amp;ROUNDUP(MONTH(B729)/3,0)</f>
        <v>Q3</v>
      </c>
      <c r="L729" s="52" t="n">
        <f aca="false">ROUND(G729*H729,2)</f>
        <v>5149.38</v>
      </c>
      <c r="M729" s="52" t="n">
        <f aca="false">IF(AND(C729="Sales",F729="Standard-rated 5%"),L729,0)</f>
        <v>5149.38</v>
      </c>
      <c r="N729" s="52" t="n">
        <f aca="false">IF(F729="Reverse charge (imported services)",L729,0)</f>
        <v>0</v>
      </c>
      <c r="O729" s="52" t="n">
        <f aca="false">IF(C729&lt;&gt;"Purchase",0,IF(OR(I729="N",F729="Blocked input (entertainment)"),0,L729))</f>
        <v>0</v>
      </c>
      <c r="P729" s="52" t="n">
        <f aca="false">IF(C729&lt;&gt;"Purchase",0,L729-O729)</f>
        <v>0</v>
      </c>
      <c r="Q729" s="53" t="n">
        <f aca="false">J729-B729</f>
        <v>0</v>
      </c>
      <c r="R729" s="51" t="str">
        <f aca="false">IF(I729="N","Invalid / missing TRN",IF(F729="Blocked input (entertainment)","Blocked input",IF(Q729&gt;30,"Late posting (&gt;30d)","")))</f>
        <v/>
      </c>
    </row>
    <row r="730" customFormat="false" ht="15" hidden="false" customHeight="false" outlineLevel="0" collapsed="false">
      <c r="A730" s="47" t="s">
        <v>1016</v>
      </c>
      <c r="B730" s="48" t="n">
        <v>45863</v>
      </c>
      <c r="C730" s="47" t="s">
        <v>166</v>
      </c>
      <c r="D730" s="47" t="s">
        <v>577</v>
      </c>
      <c r="E730" s="47" t="s">
        <v>100</v>
      </c>
      <c r="F730" s="47" t="s">
        <v>161</v>
      </c>
      <c r="G730" s="49" t="n">
        <v>9434.12</v>
      </c>
      <c r="H730" s="50" t="n">
        <v>0.05</v>
      </c>
      <c r="I730" s="47" t="s">
        <v>162</v>
      </c>
      <c r="J730" s="48" t="n">
        <v>45863</v>
      </c>
      <c r="K730" s="51" t="str">
        <f aca="false">"Q"&amp;ROUNDUP(MONTH(B730)/3,0)</f>
        <v>Q3</v>
      </c>
      <c r="L730" s="52" t="n">
        <f aca="false">ROUND(G730*H730,2)</f>
        <v>471.71</v>
      </c>
      <c r="M730" s="52" t="n">
        <f aca="false">IF(AND(C730="Sales",F730="Standard-rated 5%"),L730,0)</f>
        <v>0</v>
      </c>
      <c r="N730" s="52" t="n">
        <f aca="false">IF(F730="Reverse charge (imported services)",L730,0)</f>
        <v>0</v>
      </c>
      <c r="O730" s="52" t="n">
        <f aca="false">IF(C730&lt;&gt;"Purchase",0,IF(OR(I730="N",F730="Blocked input (entertainment)"),0,L730))</f>
        <v>471.71</v>
      </c>
      <c r="P730" s="52" t="n">
        <f aca="false">IF(C730&lt;&gt;"Purchase",0,L730-O730)</f>
        <v>0</v>
      </c>
      <c r="Q730" s="53" t="n">
        <f aca="false">J730-B730</f>
        <v>0</v>
      </c>
      <c r="R730" s="51" t="str">
        <f aca="false">IF(I730="N","Invalid / missing TRN",IF(F730="Blocked input (entertainment)","Blocked input",IF(Q730&gt;30,"Late posting (&gt;30d)","")))</f>
        <v/>
      </c>
    </row>
    <row r="731" customFormat="false" ht="15" hidden="false" customHeight="false" outlineLevel="0" collapsed="false">
      <c r="A731" s="47" t="s">
        <v>1017</v>
      </c>
      <c r="B731" s="48" t="n">
        <v>45863</v>
      </c>
      <c r="C731" s="47" t="s">
        <v>166</v>
      </c>
      <c r="D731" s="47" t="s">
        <v>312</v>
      </c>
      <c r="E731" s="47" t="s">
        <v>102</v>
      </c>
      <c r="F731" s="47" t="s">
        <v>161</v>
      </c>
      <c r="G731" s="49" t="n">
        <v>13331.34</v>
      </c>
      <c r="H731" s="50" t="n">
        <v>0.05</v>
      </c>
      <c r="I731" s="47" t="s">
        <v>162</v>
      </c>
      <c r="J731" s="48" t="n">
        <v>45863</v>
      </c>
      <c r="K731" s="51" t="str">
        <f aca="false">"Q"&amp;ROUNDUP(MONTH(B731)/3,0)</f>
        <v>Q3</v>
      </c>
      <c r="L731" s="52" t="n">
        <f aca="false">ROUND(G731*H731,2)</f>
        <v>666.57</v>
      </c>
      <c r="M731" s="52" t="n">
        <f aca="false">IF(AND(C731="Sales",F731="Standard-rated 5%"),L731,0)</f>
        <v>0</v>
      </c>
      <c r="N731" s="52" t="n">
        <f aca="false">IF(F731="Reverse charge (imported services)",L731,0)</f>
        <v>0</v>
      </c>
      <c r="O731" s="52" t="n">
        <f aca="false">IF(C731&lt;&gt;"Purchase",0,IF(OR(I731="N",F731="Blocked input (entertainment)"),0,L731))</f>
        <v>666.57</v>
      </c>
      <c r="P731" s="52" t="n">
        <f aca="false">IF(C731&lt;&gt;"Purchase",0,L731-O731)</f>
        <v>0</v>
      </c>
      <c r="Q731" s="53" t="n">
        <f aca="false">J731-B731</f>
        <v>0</v>
      </c>
      <c r="R731" s="51" t="str">
        <f aca="false">IF(I731="N","Invalid / missing TRN",IF(F731="Blocked input (entertainment)","Blocked input",IF(Q731&gt;30,"Late posting (&gt;30d)","")))</f>
        <v/>
      </c>
    </row>
    <row r="732" customFormat="false" ht="15" hidden="false" customHeight="false" outlineLevel="0" collapsed="false">
      <c r="A732" s="47" t="s">
        <v>1018</v>
      </c>
      <c r="B732" s="48" t="n">
        <v>45863</v>
      </c>
      <c r="C732" s="47" t="s">
        <v>166</v>
      </c>
      <c r="D732" s="47" t="s">
        <v>285</v>
      </c>
      <c r="E732" s="47" t="s">
        <v>100</v>
      </c>
      <c r="F732" s="47" t="s">
        <v>392</v>
      </c>
      <c r="G732" s="49" t="n">
        <v>674360.22</v>
      </c>
      <c r="H732" s="50" t="n">
        <v>0.05</v>
      </c>
      <c r="I732" s="47" t="s">
        <v>162</v>
      </c>
      <c r="J732" s="48" t="n">
        <v>45863</v>
      </c>
      <c r="K732" s="51" t="str">
        <f aca="false">"Q"&amp;ROUNDUP(MONTH(B732)/3,0)</f>
        <v>Q3</v>
      </c>
      <c r="L732" s="52" t="n">
        <f aca="false">ROUND(G732*H732,2)</f>
        <v>33718.01</v>
      </c>
      <c r="M732" s="52" t="n">
        <f aca="false">IF(AND(C732="Sales",F732="Standard-rated 5%"),L732,0)</f>
        <v>0</v>
      </c>
      <c r="N732" s="52" t="n">
        <f aca="false">IF(F732="Reverse charge (imported services)",L732,0)</f>
        <v>0</v>
      </c>
      <c r="O732" s="52" t="n">
        <f aca="false">IF(C732&lt;&gt;"Purchase",0,IF(OR(I732="N",F732="Blocked input (entertainment)"),0,L732))</f>
        <v>33718.01</v>
      </c>
      <c r="P732" s="52" t="n">
        <f aca="false">IF(C732&lt;&gt;"Purchase",0,L732-O732)</f>
        <v>0</v>
      </c>
      <c r="Q732" s="53" t="n">
        <f aca="false">J732-B732</f>
        <v>0</v>
      </c>
      <c r="R732" s="51" t="str">
        <f aca="false">IF(I732="N","Invalid / missing TRN",IF(F732="Blocked input (entertainment)","Blocked input",IF(Q732&gt;30,"Late posting (&gt;30d)","")))</f>
        <v/>
      </c>
    </row>
    <row r="733" customFormat="false" ht="15" hidden="false" customHeight="false" outlineLevel="0" collapsed="false">
      <c r="A733" s="47" t="s">
        <v>1019</v>
      </c>
      <c r="B733" s="48" t="n">
        <v>45863</v>
      </c>
      <c r="C733" s="47" t="s">
        <v>166</v>
      </c>
      <c r="D733" s="47" t="s">
        <v>549</v>
      </c>
      <c r="E733" s="47" t="s">
        <v>101</v>
      </c>
      <c r="F733" s="47" t="s">
        <v>161</v>
      </c>
      <c r="G733" s="49" t="n">
        <v>16508.47</v>
      </c>
      <c r="H733" s="50" t="n">
        <v>0.05</v>
      </c>
      <c r="I733" s="47" t="s">
        <v>162</v>
      </c>
      <c r="J733" s="48" t="n">
        <v>45863</v>
      </c>
      <c r="K733" s="51" t="str">
        <f aca="false">"Q"&amp;ROUNDUP(MONTH(B733)/3,0)</f>
        <v>Q3</v>
      </c>
      <c r="L733" s="52" t="n">
        <f aca="false">ROUND(G733*H733,2)</f>
        <v>825.42</v>
      </c>
      <c r="M733" s="52" t="n">
        <f aca="false">IF(AND(C733="Sales",F733="Standard-rated 5%"),L733,0)</f>
        <v>0</v>
      </c>
      <c r="N733" s="52" t="n">
        <f aca="false">IF(F733="Reverse charge (imported services)",L733,0)</f>
        <v>0</v>
      </c>
      <c r="O733" s="52" t="n">
        <f aca="false">IF(C733&lt;&gt;"Purchase",0,IF(OR(I733="N",F733="Blocked input (entertainment)"),0,L733))</f>
        <v>825.42</v>
      </c>
      <c r="P733" s="52" t="n">
        <f aca="false">IF(C733&lt;&gt;"Purchase",0,L733-O733)</f>
        <v>0</v>
      </c>
      <c r="Q733" s="53" t="n">
        <f aca="false">J733-B733</f>
        <v>0</v>
      </c>
      <c r="R733" s="51" t="str">
        <f aca="false">IF(I733="N","Invalid / missing TRN",IF(F733="Blocked input (entertainment)","Blocked input",IF(Q733&gt;30,"Late posting (&gt;30d)","")))</f>
        <v/>
      </c>
    </row>
    <row r="734" customFormat="false" ht="15" hidden="false" customHeight="false" outlineLevel="0" collapsed="false">
      <c r="A734" s="47" t="s">
        <v>1020</v>
      </c>
      <c r="B734" s="48" t="n">
        <v>45863</v>
      </c>
      <c r="C734" s="47" t="s">
        <v>166</v>
      </c>
      <c r="D734" s="47" t="s">
        <v>208</v>
      </c>
      <c r="E734" s="47" t="s">
        <v>101</v>
      </c>
      <c r="F734" s="47" t="s">
        <v>161</v>
      </c>
      <c r="G734" s="49" t="n">
        <v>33602.71</v>
      </c>
      <c r="H734" s="50" t="n">
        <v>0.05</v>
      </c>
      <c r="I734" s="47" t="s">
        <v>162</v>
      </c>
      <c r="J734" s="48" t="n">
        <v>45863</v>
      </c>
      <c r="K734" s="51" t="str">
        <f aca="false">"Q"&amp;ROUNDUP(MONTH(B734)/3,0)</f>
        <v>Q3</v>
      </c>
      <c r="L734" s="52" t="n">
        <f aca="false">ROUND(G734*H734,2)</f>
        <v>1680.14</v>
      </c>
      <c r="M734" s="52" t="n">
        <f aca="false">IF(AND(C734="Sales",F734="Standard-rated 5%"),L734,0)</f>
        <v>0</v>
      </c>
      <c r="N734" s="52" t="n">
        <f aca="false">IF(F734="Reverse charge (imported services)",L734,0)</f>
        <v>0</v>
      </c>
      <c r="O734" s="52" t="n">
        <f aca="false">IF(C734&lt;&gt;"Purchase",0,IF(OR(I734="N",F734="Blocked input (entertainment)"),0,L734))</f>
        <v>1680.14</v>
      </c>
      <c r="P734" s="52" t="n">
        <f aca="false">IF(C734&lt;&gt;"Purchase",0,L734-O734)</f>
        <v>0</v>
      </c>
      <c r="Q734" s="53" t="n">
        <f aca="false">J734-B734</f>
        <v>0</v>
      </c>
      <c r="R734" s="51" t="str">
        <f aca="false">IF(I734="N","Invalid / missing TRN",IF(F734="Blocked input (entertainment)","Blocked input",IF(Q734&gt;30,"Late posting (&gt;30d)","")))</f>
        <v/>
      </c>
    </row>
    <row r="735" customFormat="false" ht="15" hidden="false" customHeight="false" outlineLevel="0" collapsed="false">
      <c r="A735" s="47" t="s">
        <v>1021</v>
      </c>
      <c r="B735" s="48" t="n">
        <v>45863</v>
      </c>
      <c r="C735" s="47" t="s">
        <v>166</v>
      </c>
      <c r="D735" s="47" t="s">
        <v>335</v>
      </c>
      <c r="E735" s="47" t="s">
        <v>102</v>
      </c>
      <c r="F735" s="47" t="s">
        <v>161</v>
      </c>
      <c r="G735" s="49" t="n">
        <v>26938.94</v>
      </c>
      <c r="H735" s="50" t="n">
        <v>0.05</v>
      </c>
      <c r="I735" s="47" t="s">
        <v>162</v>
      </c>
      <c r="J735" s="48" t="n">
        <v>45863</v>
      </c>
      <c r="K735" s="51" t="str">
        <f aca="false">"Q"&amp;ROUNDUP(MONTH(B735)/3,0)</f>
        <v>Q3</v>
      </c>
      <c r="L735" s="52" t="n">
        <f aca="false">ROUND(G735*H735,2)</f>
        <v>1346.95</v>
      </c>
      <c r="M735" s="52" t="n">
        <f aca="false">IF(AND(C735="Sales",F735="Standard-rated 5%"),L735,0)</f>
        <v>0</v>
      </c>
      <c r="N735" s="52" t="n">
        <f aca="false">IF(F735="Reverse charge (imported services)",L735,0)</f>
        <v>0</v>
      </c>
      <c r="O735" s="52" t="n">
        <f aca="false">IF(C735&lt;&gt;"Purchase",0,IF(OR(I735="N",F735="Blocked input (entertainment)"),0,L735))</f>
        <v>1346.95</v>
      </c>
      <c r="P735" s="52" t="n">
        <f aca="false">IF(C735&lt;&gt;"Purchase",0,L735-O735)</f>
        <v>0</v>
      </c>
      <c r="Q735" s="53" t="n">
        <f aca="false">J735-B735</f>
        <v>0</v>
      </c>
      <c r="R735" s="51" t="str">
        <f aca="false">IF(I735="N","Invalid / missing TRN",IF(F735="Blocked input (entertainment)","Blocked input",IF(Q735&gt;30,"Late posting (&gt;30d)","")))</f>
        <v/>
      </c>
    </row>
    <row r="736" customFormat="false" ht="15" hidden="false" customHeight="false" outlineLevel="0" collapsed="false">
      <c r="A736" s="47" t="s">
        <v>1022</v>
      </c>
      <c r="B736" s="48" t="n">
        <v>45863</v>
      </c>
      <c r="C736" s="47" t="s">
        <v>166</v>
      </c>
      <c r="D736" s="47" t="s">
        <v>181</v>
      </c>
      <c r="E736" s="47" t="s">
        <v>100</v>
      </c>
      <c r="F736" s="47" t="s">
        <v>161</v>
      </c>
      <c r="G736" s="49" t="n">
        <v>78028.09</v>
      </c>
      <c r="H736" s="50" t="n">
        <v>0.05</v>
      </c>
      <c r="I736" s="47" t="s">
        <v>162</v>
      </c>
      <c r="J736" s="48" t="n">
        <v>45863</v>
      </c>
      <c r="K736" s="51" t="str">
        <f aca="false">"Q"&amp;ROUNDUP(MONTH(B736)/3,0)</f>
        <v>Q3</v>
      </c>
      <c r="L736" s="52" t="n">
        <f aca="false">ROUND(G736*H736,2)</f>
        <v>3901.4</v>
      </c>
      <c r="M736" s="52" t="n">
        <f aca="false">IF(AND(C736="Sales",F736="Standard-rated 5%"),L736,0)</f>
        <v>0</v>
      </c>
      <c r="N736" s="52" t="n">
        <f aca="false">IF(F736="Reverse charge (imported services)",L736,0)</f>
        <v>0</v>
      </c>
      <c r="O736" s="52" t="n">
        <f aca="false">IF(C736&lt;&gt;"Purchase",0,IF(OR(I736="N",F736="Blocked input (entertainment)"),0,L736))</f>
        <v>3901.4</v>
      </c>
      <c r="P736" s="52" t="n">
        <f aca="false">IF(C736&lt;&gt;"Purchase",0,L736-O736)</f>
        <v>0</v>
      </c>
      <c r="Q736" s="53" t="n">
        <f aca="false">J736-B736</f>
        <v>0</v>
      </c>
      <c r="R736" s="51" t="str">
        <f aca="false">IF(I736="N","Invalid / missing TRN",IF(F736="Blocked input (entertainment)","Blocked input",IF(Q736&gt;30,"Late posting (&gt;30d)","")))</f>
        <v/>
      </c>
    </row>
    <row r="737" customFormat="false" ht="15" hidden="false" customHeight="false" outlineLevel="0" collapsed="false">
      <c r="A737" s="47" t="s">
        <v>1023</v>
      </c>
      <c r="B737" s="48" t="n">
        <v>45864</v>
      </c>
      <c r="C737" s="47" t="s">
        <v>166</v>
      </c>
      <c r="D737" s="47" t="s">
        <v>514</v>
      </c>
      <c r="E737" s="47" t="s">
        <v>101</v>
      </c>
      <c r="F737" s="47" t="s">
        <v>161</v>
      </c>
      <c r="G737" s="49" t="n">
        <v>96632.89</v>
      </c>
      <c r="H737" s="50" t="n">
        <v>0.05</v>
      </c>
      <c r="I737" s="47" t="s">
        <v>162</v>
      </c>
      <c r="J737" s="48" t="n">
        <v>45864</v>
      </c>
      <c r="K737" s="51" t="str">
        <f aca="false">"Q"&amp;ROUNDUP(MONTH(B737)/3,0)</f>
        <v>Q3</v>
      </c>
      <c r="L737" s="52" t="n">
        <f aca="false">ROUND(G737*H737,2)</f>
        <v>4831.64</v>
      </c>
      <c r="M737" s="52" t="n">
        <f aca="false">IF(AND(C737="Sales",F737="Standard-rated 5%"),L737,0)</f>
        <v>0</v>
      </c>
      <c r="N737" s="52" t="n">
        <f aca="false">IF(F737="Reverse charge (imported services)",L737,0)</f>
        <v>0</v>
      </c>
      <c r="O737" s="52" t="n">
        <f aca="false">IF(C737&lt;&gt;"Purchase",0,IF(OR(I737="N",F737="Blocked input (entertainment)"),0,L737))</f>
        <v>4831.64</v>
      </c>
      <c r="P737" s="52" t="n">
        <f aca="false">IF(C737&lt;&gt;"Purchase",0,L737-O737)</f>
        <v>0</v>
      </c>
      <c r="Q737" s="53" t="n">
        <f aca="false">J737-B737</f>
        <v>0</v>
      </c>
      <c r="R737" s="51" t="str">
        <f aca="false">IF(I737="N","Invalid / missing TRN",IF(F737="Blocked input (entertainment)","Blocked input",IF(Q737&gt;30,"Late posting (&gt;30d)","")))</f>
        <v/>
      </c>
    </row>
    <row r="738" customFormat="false" ht="15" hidden="false" customHeight="false" outlineLevel="0" collapsed="false">
      <c r="A738" s="47" t="s">
        <v>1024</v>
      </c>
      <c r="B738" s="48" t="n">
        <v>45865</v>
      </c>
      <c r="C738" s="47" t="s">
        <v>166</v>
      </c>
      <c r="D738" s="47" t="s">
        <v>514</v>
      </c>
      <c r="E738" s="47" t="s">
        <v>101</v>
      </c>
      <c r="F738" s="47" t="s">
        <v>161</v>
      </c>
      <c r="G738" s="49" t="n">
        <v>4052.94</v>
      </c>
      <c r="H738" s="50" t="n">
        <v>0.05</v>
      </c>
      <c r="I738" s="47" t="s">
        <v>162</v>
      </c>
      <c r="J738" s="48" t="n">
        <v>45865</v>
      </c>
      <c r="K738" s="51" t="str">
        <f aca="false">"Q"&amp;ROUNDUP(MONTH(B738)/3,0)</f>
        <v>Q3</v>
      </c>
      <c r="L738" s="52" t="n">
        <f aca="false">ROUND(G738*H738,2)</f>
        <v>202.65</v>
      </c>
      <c r="M738" s="52" t="n">
        <f aca="false">IF(AND(C738="Sales",F738="Standard-rated 5%"),L738,0)</f>
        <v>0</v>
      </c>
      <c r="N738" s="52" t="n">
        <f aca="false">IF(F738="Reverse charge (imported services)",L738,0)</f>
        <v>0</v>
      </c>
      <c r="O738" s="52" t="n">
        <f aca="false">IF(C738&lt;&gt;"Purchase",0,IF(OR(I738="N",F738="Blocked input (entertainment)"),0,L738))</f>
        <v>202.65</v>
      </c>
      <c r="P738" s="52" t="n">
        <f aca="false">IF(C738&lt;&gt;"Purchase",0,L738-O738)</f>
        <v>0</v>
      </c>
      <c r="Q738" s="53" t="n">
        <f aca="false">J738-B738</f>
        <v>0</v>
      </c>
      <c r="R738" s="51" t="str">
        <f aca="false">IF(I738="N","Invalid / missing TRN",IF(F738="Blocked input (entertainment)","Blocked input",IF(Q738&gt;30,"Late posting (&gt;30d)","")))</f>
        <v/>
      </c>
    </row>
    <row r="739" customFormat="false" ht="15" hidden="false" customHeight="false" outlineLevel="0" collapsed="false">
      <c r="A739" s="47" t="s">
        <v>1025</v>
      </c>
      <c r="B739" s="48" t="n">
        <v>45865</v>
      </c>
      <c r="C739" s="47" t="s">
        <v>166</v>
      </c>
      <c r="D739" s="47" t="s">
        <v>643</v>
      </c>
      <c r="E739" s="47" t="s">
        <v>100</v>
      </c>
      <c r="F739" s="47" t="s">
        <v>161</v>
      </c>
      <c r="G739" s="49" t="n">
        <v>16296.33</v>
      </c>
      <c r="H739" s="50" t="n">
        <v>0.05</v>
      </c>
      <c r="I739" s="47" t="s">
        <v>162</v>
      </c>
      <c r="J739" s="48" t="n">
        <v>45865</v>
      </c>
      <c r="K739" s="51" t="str">
        <f aca="false">"Q"&amp;ROUNDUP(MONTH(B739)/3,0)</f>
        <v>Q3</v>
      </c>
      <c r="L739" s="52" t="n">
        <f aca="false">ROUND(G739*H739,2)</f>
        <v>814.82</v>
      </c>
      <c r="M739" s="52" t="n">
        <f aca="false">IF(AND(C739="Sales",F739="Standard-rated 5%"),L739,0)</f>
        <v>0</v>
      </c>
      <c r="N739" s="52" t="n">
        <f aca="false">IF(F739="Reverse charge (imported services)",L739,0)</f>
        <v>0</v>
      </c>
      <c r="O739" s="52" t="n">
        <f aca="false">IF(C739&lt;&gt;"Purchase",0,IF(OR(I739="N",F739="Blocked input (entertainment)"),0,L739))</f>
        <v>814.82</v>
      </c>
      <c r="P739" s="52" t="n">
        <f aca="false">IF(C739&lt;&gt;"Purchase",0,L739-O739)</f>
        <v>0</v>
      </c>
      <c r="Q739" s="53" t="n">
        <f aca="false">J739-B739</f>
        <v>0</v>
      </c>
      <c r="R739" s="51" t="str">
        <f aca="false">IF(I739="N","Invalid / missing TRN",IF(F739="Blocked input (entertainment)","Blocked input",IF(Q739&gt;30,"Late posting (&gt;30d)","")))</f>
        <v/>
      </c>
    </row>
    <row r="740" customFormat="false" ht="15" hidden="false" customHeight="false" outlineLevel="0" collapsed="false">
      <c r="A740" s="47" t="s">
        <v>1026</v>
      </c>
      <c r="B740" s="48" t="n">
        <v>45865</v>
      </c>
      <c r="C740" s="47" t="s">
        <v>159</v>
      </c>
      <c r="D740" s="47" t="s">
        <v>262</v>
      </c>
      <c r="E740" s="47" t="s">
        <v>102</v>
      </c>
      <c r="F740" s="47" t="s">
        <v>161</v>
      </c>
      <c r="G740" s="49" t="n">
        <v>13624.09</v>
      </c>
      <c r="H740" s="50" t="n">
        <v>0.05</v>
      </c>
      <c r="I740" s="47" t="s">
        <v>162</v>
      </c>
      <c r="J740" s="48" t="n">
        <v>45866</v>
      </c>
      <c r="K740" s="51" t="str">
        <f aca="false">"Q"&amp;ROUNDUP(MONTH(B740)/3,0)</f>
        <v>Q3</v>
      </c>
      <c r="L740" s="52" t="n">
        <f aca="false">ROUND(G740*H740,2)</f>
        <v>681.2</v>
      </c>
      <c r="M740" s="52" t="n">
        <f aca="false">IF(AND(C740="Sales",F740="Standard-rated 5%"),L740,0)</f>
        <v>681.2</v>
      </c>
      <c r="N740" s="52" t="n">
        <f aca="false">IF(F740="Reverse charge (imported services)",L740,0)</f>
        <v>0</v>
      </c>
      <c r="O740" s="52" t="n">
        <f aca="false">IF(C740&lt;&gt;"Purchase",0,IF(OR(I740="N",F740="Blocked input (entertainment)"),0,L740))</f>
        <v>0</v>
      </c>
      <c r="P740" s="52" t="n">
        <f aca="false">IF(C740&lt;&gt;"Purchase",0,L740-O740)</f>
        <v>0</v>
      </c>
      <c r="Q740" s="53" t="n">
        <f aca="false">J740-B740</f>
        <v>1</v>
      </c>
      <c r="R740" s="51" t="str">
        <f aca="false">IF(I740="N","Invalid / missing TRN",IF(F740="Blocked input (entertainment)","Blocked input",IF(Q740&gt;30,"Late posting (&gt;30d)","")))</f>
        <v/>
      </c>
    </row>
    <row r="741" customFormat="false" ht="15" hidden="false" customHeight="false" outlineLevel="0" collapsed="false">
      <c r="A741" s="47" t="s">
        <v>1027</v>
      </c>
      <c r="B741" s="48" t="n">
        <v>45866</v>
      </c>
      <c r="C741" s="47" t="s">
        <v>159</v>
      </c>
      <c r="D741" s="47" t="s">
        <v>405</v>
      </c>
      <c r="E741" s="47" t="s">
        <v>102</v>
      </c>
      <c r="F741" s="47" t="s">
        <v>161</v>
      </c>
      <c r="G741" s="49" t="n">
        <v>115332.88</v>
      </c>
      <c r="H741" s="50" t="n">
        <v>0.05</v>
      </c>
      <c r="I741" s="47" t="s">
        <v>162</v>
      </c>
      <c r="J741" s="48" t="n">
        <v>45866</v>
      </c>
      <c r="K741" s="51" t="str">
        <f aca="false">"Q"&amp;ROUNDUP(MONTH(B741)/3,0)</f>
        <v>Q3</v>
      </c>
      <c r="L741" s="52" t="n">
        <f aca="false">ROUND(G741*H741,2)</f>
        <v>5766.64</v>
      </c>
      <c r="M741" s="52" t="n">
        <f aca="false">IF(AND(C741="Sales",F741="Standard-rated 5%"),L741,0)</f>
        <v>5766.64</v>
      </c>
      <c r="N741" s="52" t="n">
        <f aca="false">IF(F741="Reverse charge (imported services)",L741,0)</f>
        <v>0</v>
      </c>
      <c r="O741" s="52" t="n">
        <f aca="false">IF(C741&lt;&gt;"Purchase",0,IF(OR(I741="N",F741="Blocked input (entertainment)"),0,L741))</f>
        <v>0</v>
      </c>
      <c r="P741" s="52" t="n">
        <f aca="false">IF(C741&lt;&gt;"Purchase",0,L741-O741)</f>
        <v>0</v>
      </c>
      <c r="Q741" s="53" t="n">
        <f aca="false">J741-B741</f>
        <v>0</v>
      </c>
      <c r="R741" s="51" t="str">
        <f aca="false">IF(I741="N","Invalid / missing TRN",IF(F741="Blocked input (entertainment)","Blocked input",IF(Q741&gt;30,"Late posting (&gt;30d)","")))</f>
        <v/>
      </c>
    </row>
    <row r="742" customFormat="false" ht="15" hidden="false" customHeight="false" outlineLevel="0" collapsed="false">
      <c r="A742" s="47" t="s">
        <v>1028</v>
      </c>
      <c r="B742" s="48" t="n">
        <v>45866</v>
      </c>
      <c r="C742" s="47" t="s">
        <v>159</v>
      </c>
      <c r="D742" s="47" t="s">
        <v>204</v>
      </c>
      <c r="E742" s="47" t="s">
        <v>100</v>
      </c>
      <c r="F742" s="47" t="s">
        <v>278</v>
      </c>
      <c r="G742" s="49" t="n">
        <v>91378.88</v>
      </c>
      <c r="H742" s="50" t="n">
        <v>0</v>
      </c>
      <c r="I742" s="47" t="s">
        <v>162</v>
      </c>
      <c r="J742" s="48" t="n">
        <v>45866</v>
      </c>
      <c r="K742" s="51" t="str">
        <f aca="false">"Q"&amp;ROUNDUP(MONTH(B742)/3,0)</f>
        <v>Q3</v>
      </c>
      <c r="L742" s="52" t="n">
        <f aca="false">ROUND(G742*H742,2)</f>
        <v>0</v>
      </c>
      <c r="M742" s="52" t="n">
        <f aca="false">IF(AND(C742="Sales",F742="Standard-rated 5%"),L742,0)</f>
        <v>0</v>
      </c>
      <c r="N742" s="52" t="n">
        <f aca="false">IF(F742="Reverse charge (imported services)",L742,0)</f>
        <v>0</v>
      </c>
      <c r="O742" s="52" t="n">
        <f aca="false">IF(C742&lt;&gt;"Purchase",0,IF(OR(I742="N",F742="Blocked input (entertainment)"),0,L742))</f>
        <v>0</v>
      </c>
      <c r="P742" s="52" t="n">
        <f aca="false">IF(C742&lt;&gt;"Purchase",0,L742-O742)</f>
        <v>0</v>
      </c>
      <c r="Q742" s="53" t="n">
        <f aca="false">J742-B742</f>
        <v>0</v>
      </c>
      <c r="R742" s="51" t="str">
        <f aca="false">IF(I742="N","Invalid / missing TRN",IF(F742="Blocked input (entertainment)","Blocked input",IF(Q742&gt;30,"Late posting (&gt;30d)","")))</f>
        <v/>
      </c>
    </row>
    <row r="743" customFormat="false" ht="15" hidden="false" customHeight="false" outlineLevel="0" collapsed="false">
      <c r="A743" s="47" t="s">
        <v>1029</v>
      </c>
      <c r="B743" s="48" t="n">
        <v>45867</v>
      </c>
      <c r="C743" s="47" t="s">
        <v>166</v>
      </c>
      <c r="D743" s="47" t="s">
        <v>649</v>
      </c>
      <c r="E743" s="47" t="s">
        <v>100</v>
      </c>
      <c r="F743" s="47" t="s">
        <v>161</v>
      </c>
      <c r="G743" s="49" t="n">
        <v>47474.97</v>
      </c>
      <c r="H743" s="50" t="n">
        <v>0.05</v>
      </c>
      <c r="I743" s="47" t="s">
        <v>162</v>
      </c>
      <c r="J743" s="48" t="n">
        <v>45867</v>
      </c>
      <c r="K743" s="51" t="str">
        <f aca="false">"Q"&amp;ROUNDUP(MONTH(B743)/3,0)</f>
        <v>Q3</v>
      </c>
      <c r="L743" s="52" t="n">
        <f aca="false">ROUND(G743*H743,2)</f>
        <v>2373.75</v>
      </c>
      <c r="M743" s="52" t="n">
        <f aca="false">IF(AND(C743="Sales",F743="Standard-rated 5%"),L743,0)</f>
        <v>0</v>
      </c>
      <c r="N743" s="52" t="n">
        <f aca="false">IF(F743="Reverse charge (imported services)",L743,0)</f>
        <v>0</v>
      </c>
      <c r="O743" s="52" t="n">
        <f aca="false">IF(C743&lt;&gt;"Purchase",0,IF(OR(I743="N",F743="Blocked input (entertainment)"),0,L743))</f>
        <v>2373.75</v>
      </c>
      <c r="P743" s="52" t="n">
        <f aca="false">IF(C743&lt;&gt;"Purchase",0,L743-O743)</f>
        <v>0</v>
      </c>
      <c r="Q743" s="53" t="n">
        <f aca="false">J743-B743</f>
        <v>0</v>
      </c>
      <c r="R743" s="51" t="str">
        <f aca="false">IF(I743="N","Invalid / missing TRN",IF(F743="Blocked input (entertainment)","Blocked input",IF(Q743&gt;30,"Late posting (&gt;30d)","")))</f>
        <v/>
      </c>
    </row>
    <row r="744" customFormat="false" ht="15" hidden="false" customHeight="false" outlineLevel="0" collapsed="false">
      <c r="A744" s="47" t="s">
        <v>1030</v>
      </c>
      <c r="B744" s="48" t="n">
        <v>45867</v>
      </c>
      <c r="C744" s="47" t="s">
        <v>159</v>
      </c>
      <c r="D744" s="47" t="s">
        <v>237</v>
      </c>
      <c r="E744" s="47" t="s">
        <v>100</v>
      </c>
      <c r="F744" s="47" t="s">
        <v>161</v>
      </c>
      <c r="G744" s="49" t="n">
        <v>46187.04</v>
      </c>
      <c r="H744" s="50" t="n">
        <v>0.05</v>
      </c>
      <c r="I744" s="47" t="s">
        <v>162</v>
      </c>
      <c r="J744" s="48" t="n">
        <v>45867</v>
      </c>
      <c r="K744" s="51" t="str">
        <f aca="false">"Q"&amp;ROUNDUP(MONTH(B744)/3,0)</f>
        <v>Q3</v>
      </c>
      <c r="L744" s="52" t="n">
        <f aca="false">ROUND(G744*H744,2)</f>
        <v>2309.35</v>
      </c>
      <c r="M744" s="52" t="n">
        <f aca="false">IF(AND(C744="Sales",F744="Standard-rated 5%"),L744,0)</f>
        <v>2309.35</v>
      </c>
      <c r="N744" s="52" t="n">
        <f aca="false">IF(F744="Reverse charge (imported services)",L744,0)</f>
        <v>0</v>
      </c>
      <c r="O744" s="52" t="n">
        <f aca="false">IF(C744&lt;&gt;"Purchase",0,IF(OR(I744="N",F744="Blocked input (entertainment)"),0,L744))</f>
        <v>0</v>
      </c>
      <c r="P744" s="52" t="n">
        <f aca="false">IF(C744&lt;&gt;"Purchase",0,L744-O744)</f>
        <v>0</v>
      </c>
      <c r="Q744" s="53" t="n">
        <f aca="false">J744-B744</f>
        <v>0</v>
      </c>
      <c r="R744" s="51" t="str">
        <f aca="false">IF(I744="N","Invalid / missing TRN",IF(F744="Blocked input (entertainment)","Blocked input",IF(Q744&gt;30,"Late posting (&gt;30d)","")))</f>
        <v/>
      </c>
    </row>
    <row r="745" customFormat="false" ht="15" hidden="false" customHeight="false" outlineLevel="0" collapsed="false">
      <c r="A745" s="47" t="s">
        <v>1031</v>
      </c>
      <c r="B745" s="48" t="n">
        <v>45867</v>
      </c>
      <c r="C745" s="47" t="s">
        <v>159</v>
      </c>
      <c r="D745" s="47" t="s">
        <v>175</v>
      </c>
      <c r="E745" s="47" t="s">
        <v>100</v>
      </c>
      <c r="F745" s="47" t="s">
        <v>161</v>
      </c>
      <c r="G745" s="49" t="n">
        <v>170372.89</v>
      </c>
      <c r="H745" s="50" t="n">
        <v>0.05</v>
      </c>
      <c r="I745" s="47" t="s">
        <v>162</v>
      </c>
      <c r="J745" s="48" t="n">
        <v>45867</v>
      </c>
      <c r="K745" s="51" t="str">
        <f aca="false">"Q"&amp;ROUNDUP(MONTH(B745)/3,0)</f>
        <v>Q3</v>
      </c>
      <c r="L745" s="52" t="n">
        <f aca="false">ROUND(G745*H745,2)</f>
        <v>8518.64</v>
      </c>
      <c r="M745" s="52" t="n">
        <f aca="false">IF(AND(C745="Sales",F745="Standard-rated 5%"),L745,0)</f>
        <v>8518.64</v>
      </c>
      <c r="N745" s="52" t="n">
        <f aca="false">IF(F745="Reverse charge (imported services)",L745,0)</f>
        <v>0</v>
      </c>
      <c r="O745" s="52" t="n">
        <f aca="false">IF(C745&lt;&gt;"Purchase",0,IF(OR(I745="N",F745="Blocked input (entertainment)"),0,L745))</f>
        <v>0</v>
      </c>
      <c r="P745" s="52" t="n">
        <f aca="false">IF(C745&lt;&gt;"Purchase",0,L745-O745)</f>
        <v>0</v>
      </c>
      <c r="Q745" s="53" t="n">
        <f aca="false">J745-B745</f>
        <v>0</v>
      </c>
      <c r="R745" s="51" t="str">
        <f aca="false">IF(I745="N","Invalid / missing TRN",IF(F745="Blocked input (entertainment)","Blocked input",IF(Q745&gt;30,"Late posting (&gt;30d)","")))</f>
        <v/>
      </c>
    </row>
    <row r="746" customFormat="false" ht="15" hidden="false" customHeight="false" outlineLevel="0" collapsed="false">
      <c r="A746" s="47" t="s">
        <v>1032</v>
      </c>
      <c r="B746" s="48" t="n">
        <v>45868</v>
      </c>
      <c r="C746" s="47" t="s">
        <v>166</v>
      </c>
      <c r="D746" s="47" t="s">
        <v>227</v>
      </c>
      <c r="E746" s="47" t="s">
        <v>101</v>
      </c>
      <c r="F746" s="47" t="s">
        <v>161</v>
      </c>
      <c r="G746" s="49" t="n">
        <v>26032.02</v>
      </c>
      <c r="H746" s="50" t="n">
        <v>0.05</v>
      </c>
      <c r="I746" s="47" t="s">
        <v>162</v>
      </c>
      <c r="J746" s="48" t="n">
        <v>45868</v>
      </c>
      <c r="K746" s="51" t="str">
        <f aca="false">"Q"&amp;ROUNDUP(MONTH(B746)/3,0)</f>
        <v>Q3</v>
      </c>
      <c r="L746" s="52" t="n">
        <f aca="false">ROUND(G746*H746,2)</f>
        <v>1301.6</v>
      </c>
      <c r="M746" s="52" t="n">
        <f aca="false">IF(AND(C746="Sales",F746="Standard-rated 5%"),L746,0)</f>
        <v>0</v>
      </c>
      <c r="N746" s="52" t="n">
        <f aca="false">IF(F746="Reverse charge (imported services)",L746,0)</f>
        <v>0</v>
      </c>
      <c r="O746" s="52" t="n">
        <f aca="false">IF(C746&lt;&gt;"Purchase",0,IF(OR(I746="N",F746="Blocked input (entertainment)"),0,L746))</f>
        <v>1301.6</v>
      </c>
      <c r="P746" s="52" t="n">
        <f aca="false">IF(C746&lt;&gt;"Purchase",0,L746-O746)</f>
        <v>0</v>
      </c>
      <c r="Q746" s="53" t="n">
        <f aca="false">J746-B746</f>
        <v>0</v>
      </c>
      <c r="R746" s="51" t="str">
        <f aca="false">IF(I746="N","Invalid / missing TRN",IF(F746="Blocked input (entertainment)","Blocked input",IF(Q746&gt;30,"Late posting (&gt;30d)","")))</f>
        <v/>
      </c>
    </row>
    <row r="747" customFormat="false" ht="15" hidden="false" customHeight="false" outlineLevel="0" collapsed="false">
      <c r="A747" s="47" t="s">
        <v>1033</v>
      </c>
      <c r="B747" s="48" t="n">
        <v>45868</v>
      </c>
      <c r="C747" s="47" t="s">
        <v>166</v>
      </c>
      <c r="D747" s="47" t="s">
        <v>557</v>
      </c>
      <c r="E747" s="47" t="s">
        <v>100</v>
      </c>
      <c r="F747" s="47" t="s">
        <v>161</v>
      </c>
      <c r="G747" s="49" t="n">
        <v>31525.01</v>
      </c>
      <c r="H747" s="50" t="n">
        <v>0.05</v>
      </c>
      <c r="I747" s="47" t="s">
        <v>162</v>
      </c>
      <c r="J747" s="48" t="n">
        <v>45868</v>
      </c>
      <c r="K747" s="51" t="str">
        <f aca="false">"Q"&amp;ROUNDUP(MONTH(B747)/3,0)</f>
        <v>Q3</v>
      </c>
      <c r="L747" s="52" t="n">
        <f aca="false">ROUND(G747*H747,2)</f>
        <v>1576.25</v>
      </c>
      <c r="M747" s="52" t="n">
        <f aca="false">IF(AND(C747="Sales",F747="Standard-rated 5%"),L747,0)</f>
        <v>0</v>
      </c>
      <c r="N747" s="52" t="n">
        <f aca="false">IF(F747="Reverse charge (imported services)",L747,0)</f>
        <v>0</v>
      </c>
      <c r="O747" s="52" t="n">
        <f aca="false">IF(C747&lt;&gt;"Purchase",0,IF(OR(I747="N",F747="Blocked input (entertainment)"),0,L747))</f>
        <v>1576.25</v>
      </c>
      <c r="P747" s="52" t="n">
        <f aca="false">IF(C747&lt;&gt;"Purchase",0,L747-O747)</f>
        <v>0</v>
      </c>
      <c r="Q747" s="53" t="n">
        <f aca="false">J747-B747</f>
        <v>0</v>
      </c>
      <c r="R747" s="51" t="str">
        <f aca="false">IF(I747="N","Invalid / missing TRN",IF(F747="Blocked input (entertainment)","Blocked input",IF(Q747&gt;30,"Late posting (&gt;30d)","")))</f>
        <v/>
      </c>
    </row>
    <row r="748" customFormat="false" ht="15" hidden="false" customHeight="false" outlineLevel="0" collapsed="false">
      <c r="A748" s="47" t="s">
        <v>1034</v>
      </c>
      <c r="B748" s="48" t="n">
        <v>45868</v>
      </c>
      <c r="C748" s="47" t="s">
        <v>166</v>
      </c>
      <c r="D748" s="47" t="s">
        <v>577</v>
      </c>
      <c r="E748" s="47" t="s">
        <v>100</v>
      </c>
      <c r="F748" s="47" t="s">
        <v>161</v>
      </c>
      <c r="G748" s="49" t="n">
        <v>7387.05</v>
      </c>
      <c r="H748" s="50" t="n">
        <v>0.05</v>
      </c>
      <c r="I748" s="47" t="s">
        <v>162</v>
      </c>
      <c r="J748" s="48" t="n">
        <v>45868</v>
      </c>
      <c r="K748" s="51" t="str">
        <f aca="false">"Q"&amp;ROUNDUP(MONTH(B748)/3,0)</f>
        <v>Q3</v>
      </c>
      <c r="L748" s="52" t="n">
        <f aca="false">ROUND(G748*H748,2)</f>
        <v>369.35</v>
      </c>
      <c r="M748" s="52" t="n">
        <f aca="false">IF(AND(C748="Sales",F748="Standard-rated 5%"),L748,0)</f>
        <v>0</v>
      </c>
      <c r="N748" s="52" t="n">
        <f aca="false">IF(F748="Reverse charge (imported services)",L748,0)</f>
        <v>0</v>
      </c>
      <c r="O748" s="52" t="n">
        <f aca="false">IF(C748&lt;&gt;"Purchase",0,IF(OR(I748="N",F748="Blocked input (entertainment)"),0,L748))</f>
        <v>369.35</v>
      </c>
      <c r="P748" s="52" t="n">
        <f aca="false">IF(C748&lt;&gt;"Purchase",0,L748-O748)</f>
        <v>0</v>
      </c>
      <c r="Q748" s="53" t="n">
        <f aca="false">J748-B748</f>
        <v>0</v>
      </c>
      <c r="R748" s="51" t="str">
        <f aca="false">IF(I748="N","Invalid / missing TRN",IF(F748="Blocked input (entertainment)","Blocked input",IF(Q748&gt;30,"Late posting (&gt;30d)","")))</f>
        <v/>
      </c>
    </row>
    <row r="749" customFormat="false" ht="15" hidden="false" customHeight="false" outlineLevel="0" collapsed="false">
      <c r="A749" s="47" t="s">
        <v>1035</v>
      </c>
      <c r="B749" s="48" t="n">
        <v>45868</v>
      </c>
      <c r="C749" s="47" t="s">
        <v>159</v>
      </c>
      <c r="D749" s="47" t="s">
        <v>534</v>
      </c>
      <c r="E749" s="47" t="s">
        <v>100</v>
      </c>
      <c r="F749" s="47" t="s">
        <v>161</v>
      </c>
      <c r="G749" s="49" t="n">
        <v>51575.09</v>
      </c>
      <c r="H749" s="50" t="n">
        <v>0.05</v>
      </c>
      <c r="I749" s="47" t="s">
        <v>162</v>
      </c>
      <c r="J749" s="48" t="n">
        <v>45868</v>
      </c>
      <c r="K749" s="51" t="str">
        <f aca="false">"Q"&amp;ROUNDUP(MONTH(B749)/3,0)</f>
        <v>Q3</v>
      </c>
      <c r="L749" s="52" t="n">
        <f aca="false">ROUND(G749*H749,2)</f>
        <v>2578.75</v>
      </c>
      <c r="M749" s="52" t="n">
        <f aca="false">IF(AND(C749="Sales",F749="Standard-rated 5%"),L749,0)</f>
        <v>2578.75</v>
      </c>
      <c r="N749" s="52" t="n">
        <f aca="false">IF(F749="Reverse charge (imported services)",L749,0)</f>
        <v>0</v>
      </c>
      <c r="O749" s="52" t="n">
        <f aca="false">IF(C749&lt;&gt;"Purchase",0,IF(OR(I749="N",F749="Blocked input (entertainment)"),0,L749))</f>
        <v>0</v>
      </c>
      <c r="P749" s="52" t="n">
        <f aca="false">IF(C749&lt;&gt;"Purchase",0,L749-O749)</f>
        <v>0</v>
      </c>
      <c r="Q749" s="53" t="n">
        <f aca="false">J749-B749</f>
        <v>0</v>
      </c>
      <c r="R749" s="51" t="str">
        <f aca="false">IF(I749="N","Invalid / missing TRN",IF(F749="Blocked input (entertainment)","Blocked input",IF(Q749&gt;30,"Late posting (&gt;30d)","")))</f>
        <v/>
      </c>
    </row>
    <row r="750" customFormat="false" ht="15" hidden="false" customHeight="false" outlineLevel="0" collapsed="false">
      <c r="A750" s="47" t="s">
        <v>1036</v>
      </c>
      <c r="B750" s="48" t="n">
        <v>45868</v>
      </c>
      <c r="C750" s="47" t="s">
        <v>159</v>
      </c>
      <c r="D750" s="47" t="s">
        <v>204</v>
      </c>
      <c r="E750" s="47" t="s">
        <v>102</v>
      </c>
      <c r="F750" s="47" t="s">
        <v>161</v>
      </c>
      <c r="G750" s="49" t="n">
        <v>64339.46</v>
      </c>
      <c r="H750" s="50" t="n">
        <v>0.05</v>
      </c>
      <c r="I750" s="47" t="s">
        <v>162</v>
      </c>
      <c r="J750" s="48" t="n">
        <v>45868</v>
      </c>
      <c r="K750" s="51" t="str">
        <f aca="false">"Q"&amp;ROUNDUP(MONTH(B750)/3,0)</f>
        <v>Q3</v>
      </c>
      <c r="L750" s="52" t="n">
        <f aca="false">ROUND(G750*H750,2)</f>
        <v>3216.97</v>
      </c>
      <c r="M750" s="52" t="n">
        <f aca="false">IF(AND(C750="Sales",F750="Standard-rated 5%"),L750,0)</f>
        <v>3216.97</v>
      </c>
      <c r="N750" s="52" t="n">
        <f aca="false">IF(F750="Reverse charge (imported services)",L750,0)</f>
        <v>0</v>
      </c>
      <c r="O750" s="52" t="n">
        <f aca="false">IF(C750&lt;&gt;"Purchase",0,IF(OR(I750="N",F750="Blocked input (entertainment)"),0,L750))</f>
        <v>0</v>
      </c>
      <c r="P750" s="52" t="n">
        <f aca="false">IF(C750&lt;&gt;"Purchase",0,L750-O750)</f>
        <v>0</v>
      </c>
      <c r="Q750" s="53" t="n">
        <f aca="false">J750-B750</f>
        <v>0</v>
      </c>
      <c r="R750" s="51" t="str">
        <f aca="false">IF(I750="N","Invalid / missing TRN",IF(F750="Blocked input (entertainment)","Blocked input",IF(Q750&gt;30,"Late posting (&gt;30d)","")))</f>
        <v/>
      </c>
    </row>
    <row r="751" customFormat="false" ht="15" hidden="false" customHeight="false" outlineLevel="0" collapsed="false">
      <c r="A751" s="47" t="s">
        <v>1037</v>
      </c>
      <c r="B751" s="48" t="n">
        <v>45868</v>
      </c>
      <c r="C751" s="47" t="s">
        <v>159</v>
      </c>
      <c r="D751" s="47" t="s">
        <v>333</v>
      </c>
      <c r="E751" s="47" t="s">
        <v>102</v>
      </c>
      <c r="F751" s="47" t="s">
        <v>161</v>
      </c>
      <c r="G751" s="49" t="n">
        <v>4047.26</v>
      </c>
      <c r="H751" s="50" t="n">
        <v>0.05</v>
      </c>
      <c r="I751" s="47" t="s">
        <v>162</v>
      </c>
      <c r="J751" s="48" t="n">
        <v>45908</v>
      </c>
      <c r="K751" s="51" t="str">
        <f aca="false">"Q"&amp;ROUNDUP(MONTH(B751)/3,0)</f>
        <v>Q3</v>
      </c>
      <c r="L751" s="52" t="n">
        <f aca="false">ROUND(G751*H751,2)</f>
        <v>202.36</v>
      </c>
      <c r="M751" s="52" t="n">
        <f aca="false">IF(AND(C751="Sales",F751="Standard-rated 5%"),L751,0)</f>
        <v>202.36</v>
      </c>
      <c r="N751" s="52" t="n">
        <f aca="false">IF(F751="Reverse charge (imported services)",L751,0)</f>
        <v>0</v>
      </c>
      <c r="O751" s="52" t="n">
        <f aca="false">IF(C751&lt;&gt;"Purchase",0,IF(OR(I751="N",F751="Blocked input (entertainment)"),0,L751))</f>
        <v>0</v>
      </c>
      <c r="P751" s="52" t="n">
        <f aca="false">IF(C751&lt;&gt;"Purchase",0,L751-O751)</f>
        <v>0</v>
      </c>
      <c r="Q751" s="53" t="n">
        <f aca="false">J751-B751</f>
        <v>40</v>
      </c>
      <c r="R751" s="51" t="str">
        <f aca="false">IF(I751="N","Invalid / missing TRN",IF(F751="Blocked input (entertainment)","Blocked input",IF(Q751&gt;30,"Late posting (&gt;30d)","")))</f>
        <v>Late posting (&gt;30d)</v>
      </c>
    </row>
    <row r="752" customFormat="false" ht="15" hidden="false" customHeight="false" outlineLevel="0" collapsed="false">
      <c r="A752" s="47" t="s">
        <v>1038</v>
      </c>
      <c r="B752" s="48" t="n">
        <v>45869</v>
      </c>
      <c r="C752" s="47" t="s">
        <v>166</v>
      </c>
      <c r="D752" s="47" t="s">
        <v>255</v>
      </c>
      <c r="E752" s="47" t="s">
        <v>101</v>
      </c>
      <c r="F752" s="47" t="s">
        <v>161</v>
      </c>
      <c r="G752" s="49" t="n">
        <v>4877.85</v>
      </c>
      <c r="H752" s="50" t="n">
        <v>0.05</v>
      </c>
      <c r="I752" s="47" t="s">
        <v>162</v>
      </c>
      <c r="J752" s="48" t="n">
        <v>45869</v>
      </c>
      <c r="K752" s="51" t="str">
        <f aca="false">"Q"&amp;ROUNDUP(MONTH(B752)/3,0)</f>
        <v>Q3</v>
      </c>
      <c r="L752" s="52" t="n">
        <f aca="false">ROUND(G752*H752,2)</f>
        <v>243.89</v>
      </c>
      <c r="M752" s="52" t="n">
        <f aca="false">IF(AND(C752="Sales",F752="Standard-rated 5%"),L752,0)</f>
        <v>0</v>
      </c>
      <c r="N752" s="52" t="n">
        <f aca="false">IF(F752="Reverse charge (imported services)",L752,0)</f>
        <v>0</v>
      </c>
      <c r="O752" s="52" t="n">
        <f aca="false">IF(C752&lt;&gt;"Purchase",0,IF(OR(I752="N",F752="Blocked input (entertainment)"),0,L752))</f>
        <v>243.89</v>
      </c>
      <c r="P752" s="52" t="n">
        <f aca="false">IF(C752&lt;&gt;"Purchase",0,L752-O752)</f>
        <v>0</v>
      </c>
      <c r="Q752" s="53" t="n">
        <f aca="false">J752-B752</f>
        <v>0</v>
      </c>
      <c r="R752" s="51" t="str">
        <f aca="false">IF(I752="N","Invalid / missing TRN",IF(F752="Blocked input (entertainment)","Blocked input",IF(Q752&gt;30,"Late posting (&gt;30d)","")))</f>
        <v/>
      </c>
    </row>
    <row r="753" customFormat="false" ht="15" hidden="false" customHeight="false" outlineLevel="0" collapsed="false">
      <c r="A753" s="47" t="s">
        <v>1039</v>
      </c>
      <c r="B753" s="48" t="n">
        <v>45869</v>
      </c>
      <c r="C753" s="47" t="s">
        <v>159</v>
      </c>
      <c r="D753" s="47" t="s">
        <v>175</v>
      </c>
      <c r="E753" s="47" t="s">
        <v>100</v>
      </c>
      <c r="F753" s="47" t="s">
        <v>161</v>
      </c>
      <c r="G753" s="49" t="n">
        <v>42613.59</v>
      </c>
      <c r="H753" s="50" t="n">
        <v>0.05</v>
      </c>
      <c r="I753" s="47" t="s">
        <v>162</v>
      </c>
      <c r="J753" s="48" t="n">
        <v>45869</v>
      </c>
      <c r="K753" s="51" t="str">
        <f aca="false">"Q"&amp;ROUNDUP(MONTH(B753)/3,0)</f>
        <v>Q3</v>
      </c>
      <c r="L753" s="52" t="n">
        <f aca="false">ROUND(G753*H753,2)</f>
        <v>2130.68</v>
      </c>
      <c r="M753" s="52" t="n">
        <f aca="false">IF(AND(C753="Sales",F753="Standard-rated 5%"),L753,0)</f>
        <v>2130.68</v>
      </c>
      <c r="N753" s="52" t="n">
        <f aca="false">IF(F753="Reverse charge (imported services)",L753,0)</f>
        <v>0</v>
      </c>
      <c r="O753" s="52" t="n">
        <f aca="false">IF(C753&lt;&gt;"Purchase",0,IF(OR(I753="N",F753="Blocked input (entertainment)"),0,L753))</f>
        <v>0</v>
      </c>
      <c r="P753" s="52" t="n">
        <f aca="false">IF(C753&lt;&gt;"Purchase",0,L753-O753)</f>
        <v>0</v>
      </c>
      <c r="Q753" s="53" t="n">
        <f aca="false">J753-B753</f>
        <v>0</v>
      </c>
      <c r="R753" s="51" t="str">
        <f aca="false">IF(I753="N","Invalid / missing TRN",IF(F753="Blocked input (entertainment)","Blocked input",IF(Q753&gt;30,"Late posting (&gt;30d)","")))</f>
        <v/>
      </c>
    </row>
    <row r="754" customFormat="false" ht="15" hidden="false" customHeight="false" outlineLevel="0" collapsed="false">
      <c r="A754" s="47" t="s">
        <v>1040</v>
      </c>
      <c r="B754" s="48" t="n">
        <v>45869</v>
      </c>
      <c r="C754" s="47" t="s">
        <v>159</v>
      </c>
      <c r="D754" s="47" t="s">
        <v>339</v>
      </c>
      <c r="E754" s="47" t="s">
        <v>101</v>
      </c>
      <c r="F754" s="47" t="s">
        <v>161</v>
      </c>
      <c r="G754" s="49" t="n">
        <v>18839.33</v>
      </c>
      <c r="H754" s="50" t="n">
        <v>0.05</v>
      </c>
      <c r="I754" s="47" t="s">
        <v>162</v>
      </c>
      <c r="J754" s="48" t="n">
        <v>45869</v>
      </c>
      <c r="K754" s="51" t="str">
        <f aca="false">"Q"&amp;ROUNDUP(MONTH(B754)/3,0)</f>
        <v>Q3</v>
      </c>
      <c r="L754" s="52" t="n">
        <f aca="false">ROUND(G754*H754,2)</f>
        <v>941.97</v>
      </c>
      <c r="M754" s="52" t="n">
        <f aca="false">IF(AND(C754="Sales",F754="Standard-rated 5%"),L754,0)</f>
        <v>941.97</v>
      </c>
      <c r="N754" s="52" t="n">
        <f aca="false">IF(F754="Reverse charge (imported services)",L754,0)</f>
        <v>0</v>
      </c>
      <c r="O754" s="52" t="n">
        <f aca="false">IF(C754&lt;&gt;"Purchase",0,IF(OR(I754="N",F754="Blocked input (entertainment)"),0,L754))</f>
        <v>0</v>
      </c>
      <c r="P754" s="52" t="n">
        <f aca="false">IF(C754&lt;&gt;"Purchase",0,L754-O754)</f>
        <v>0</v>
      </c>
      <c r="Q754" s="53" t="n">
        <f aca="false">J754-B754</f>
        <v>0</v>
      </c>
      <c r="R754" s="51" t="str">
        <f aca="false">IF(I754="N","Invalid / missing TRN",IF(F754="Blocked input (entertainment)","Blocked input",IF(Q754&gt;30,"Late posting (&gt;30d)","")))</f>
        <v/>
      </c>
    </row>
    <row r="755" customFormat="false" ht="15" hidden="false" customHeight="false" outlineLevel="0" collapsed="false">
      <c r="A755" s="47" t="s">
        <v>1041</v>
      </c>
      <c r="B755" s="48" t="n">
        <v>45870</v>
      </c>
      <c r="C755" s="47" t="s">
        <v>166</v>
      </c>
      <c r="D755" s="47" t="s">
        <v>280</v>
      </c>
      <c r="E755" s="47" t="s">
        <v>102</v>
      </c>
      <c r="F755" s="47" t="s">
        <v>392</v>
      </c>
      <c r="G755" s="49" t="n">
        <v>81642.33</v>
      </c>
      <c r="H755" s="50" t="n">
        <v>0.05</v>
      </c>
      <c r="I755" s="47" t="s">
        <v>162</v>
      </c>
      <c r="J755" s="48" t="n">
        <v>45872</v>
      </c>
      <c r="K755" s="51" t="str">
        <f aca="false">"Q"&amp;ROUNDUP(MONTH(B755)/3,0)</f>
        <v>Q3</v>
      </c>
      <c r="L755" s="52" t="n">
        <f aca="false">ROUND(G755*H755,2)</f>
        <v>4082.12</v>
      </c>
      <c r="M755" s="52" t="n">
        <f aca="false">IF(AND(C755="Sales",F755="Standard-rated 5%"),L755,0)</f>
        <v>0</v>
      </c>
      <c r="N755" s="52" t="n">
        <f aca="false">IF(F755="Reverse charge (imported services)",L755,0)</f>
        <v>0</v>
      </c>
      <c r="O755" s="52" t="n">
        <f aca="false">IF(C755&lt;&gt;"Purchase",0,IF(OR(I755="N",F755="Blocked input (entertainment)"),0,L755))</f>
        <v>4082.12</v>
      </c>
      <c r="P755" s="52" t="n">
        <f aca="false">IF(C755&lt;&gt;"Purchase",0,L755-O755)</f>
        <v>0</v>
      </c>
      <c r="Q755" s="53" t="n">
        <f aca="false">J755-B755</f>
        <v>2</v>
      </c>
      <c r="R755" s="51" t="str">
        <f aca="false">IF(I755="N","Invalid / missing TRN",IF(F755="Blocked input (entertainment)","Blocked input",IF(Q755&gt;30,"Late posting (&gt;30d)","")))</f>
        <v/>
      </c>
    </row>
    <row r="756" customFormat="false" ht="15" hidden="false" customHeight="false" outlineLevel="0" collapsed="false">
      <c r="A756" s="47" t="s">
        <v>1042</v>
      </c>
      <c r="B756" s="48" t="n">
        <v>45870</v>
      </c>
      <c r="C756" s="47" t="s">
        <v>159</v>
      </c>
      <c r="D756" s="47" t="s">
        <v>245</v>
      </c>
      <c r="E756" s="47" t="s">
        <v>100</v>
      </c>
      <c r="F756" s="47" t="s">
        <v>161</v>
      </c>
      <c r="G756" s="49" t="n">
        <v>43974.79</v>
      </c>
      <c r="H756" s="50" t="n">
        <v>0.05</v>
      </c>
      <c r="I756" s="47" t="s">
        <v>162</v>
      </c>
      <c r="J756" s="48" t="n">
        <v>45871</v>
      </c>
      <c r="K756" s="51" t="str">
        <f aca="false">"Q"&amp;ROUNDUP(MONTH(B756)/3,0)</f>
        <v>Q3</v>
      </c>
      <c r="L756" s="52" t="n">
        <f aca="false">ROUND(G756*H756,2)</f>
        <v>2198.74</v>
      </c>
      <c r="M756" s="52" t="n">
        <f aca="false">IF(AND(C756="Sales",F756="Standard-rated 5%"),L756,0)</f>
        <v>2198.74</v>
      </c>
      <c r="N756" s="52" t="n">
        <f aca="false">IF(F756="Reverse charge (imported services)",L756,0)</f>
        <v>0</v>
      </c>
      <c r="O756" s="52" t="n">
        <f aca="false">IF(C756&lt;&gt;"Purchase",0,IF(OR(I756="N",F756="Blocked input (entertainment)"),0,L756))</f>
        <v>0</v>
      </c>
      <c r="P756" s="52" t="n">
        <f aca="false">IF(C756&lt;&gt;"Purchase",0,L756-O756)</f>
        <v>0</v>
      </c>
      <c r="Q756" s="53" t="n">
        <f aca="false">J756-B756</f>
        <v>1</v>
      </c>
      <c r="R756" s="51" t="str">
        <f aca="false">IF(I756="N","Invalid / missing TRN",IF(F756="Blocked input (entertainment)","Blocked input",IF(Q756&gt;30,"Late posting (&gt;30d)","")))</f>
        <v/>
      </c>
    </row>
    <row r="757" customFormat="false" ht="15" hidden="false" customHeight="false" outlineLevel="0" collapsed="false">
      <c r="A757" s="47" t="s">
        <v>1043</v>
      </c>
      <c r="B757" s="48" t="n">
        <v>45871</v>
      </c>
      <c r="C757" s="47" t="s">
        <v>166</v>
      </c>
      <c r="D757" s="47" t="s">
        <v>274</v>
      </c>
      <c r="E757" s="47" t="s">
        <v>101</v>
      </c>
      <c r="F757" s="47" t="s">
        <v>161</v>
      </c>
      <c r="G757" s="49" t="n">
        <v>407770.04</v>
      </c>
      <c r="H757" s="50" t="n">
        <v>0.05</v>
      </c>
      <c r="I757" s="47" t="s">
        <v>162</v>
      </c>
      <c r="J757" s="48" t="n">
        <v>45871</v>
      </c>
      <c r="K757" s="51" t="str">
        <f aca="false">"Q"&amp;ROUNDUP(MONTH(B757)/3,0)</f>
        <v>Q3</v>
      </c>
      <c r="L757" s="52" t="n">
        <f aca="false">ROUND(G757*H757,2)</f>
        <v>20388.5</v>
      </c>
      <c r="M757" s="52" t="n">
        <f aca="false">IF(AND(C757="Sales",F757="Standard-rated 5%"),L757,0)</f>
        <v>0</v>
      </c>
      <c r="N757" s="52" t="n">
        <f aca="false">IF(F757="Reverse charge (imported services)",L757,0)</f>
        <v>0</v>
      </c>
      <c r="O757" s="52" t="n">
        <f aca="false">IF(C757&lt;&gt;"Purchase",0,IF(OR(I757="N",F757="Blocked input (entertainment)"),0,L757))</f>
        <v>20388.5</v>
      </c>
      <c r="P757" s="52" t="n">
        <f aca="false">IF(C757&lt;&gt;"Purchase",0,L757-O757)</f>
        <v>0</v>
      </c>
      <c r="Q757" s="53" t="n">
        <f aca="false">J757-B757</f>
        <v>0</v>
      </c>
      <c r="R757" s="51" t="str">
        <f aca="false">IF(I757="N","Invalid / missing TRN",IF(F757="Blocked input (entertainment)","Blocked input",IF(Q757&gt;30,"Late posting (&gt;30d)","")))</f>
        <v/>
      </c>
    </row>
    <row r="758" customFormat="false" ht="15" hidden="false" customHeight="false" outlineLevel="0" collapsed="false">
      <c r="A758" s="47" t="s">
        <v>1044</v>
      </c>
      <c r="B758" s="48" t="n">
        <v>45871</v>
      </c>
      <c r="C758" s="47" t="s">
        <v>166</v>
      </c>
      <c r="D758" s="47" t="s">
        <v>267</v>
      </c>
      <c r="E758" s="47" t="s">
        <v>101</v>
      </c>
      <c r="F758" s="47" t="s">
        <v>161</v>
      </c>
      <c r="G758" s="49" t="n">
        <v>35438.72</v>
      </c>
      <c r="H758" s="50" t="n">
        <v>0.05</v>
      </c>
      <c r="I758" s="47" t="s">
        <v>162</v>
      </c>
      <c r="J758" s="48" t="n">
        <v>45871</v>
      </c>
      <c r="K758" s="51" t="str">
        <f aca="false">"Q"&amp;ROUNDUP(MONTH(B758)/3,0)</f>
        <v>Q3</v>
      </c>
      <c r="L758" s="52" t="n">
        <f aca="false">ROUND(G758*H758,2)</f>
        <v>1771.94</v>
      </c>
      <c r="M758" s="52" t="n">
        <f aca="false">IF(AND(C758="Sales",F758="Standard-rated 5%"),L758,0)</f>
        <v>0</v>
      </c>
      <c r="N758" s="52" t="n">
        <f aca="false">IF(F758="Reverse charge (imported services)",L758,0)</f>
        <v>0</v>
      </c>
      <c r="O758" s="52" t="n">
        <f aca="false">IF(C758&lt;&gt;"Purchase",0,IF(OR(I758="N",F758="Blocked input (entertainment)"),0,L758))</f>
        <v>1771.94</v>
      </c>
      <c r="P758" s="52" t="n">
        <f aca="false">IF(C758&lt;&gt;"Purchase",0,L758-O758)</f>
        <v>0</v>
      </c>
      <c r="Q758" s="53" t="n">
        <f aca="false">J758-B758</f>
        <v>0</v>
      </c>
      <c r="R758" s="51" t="str">
        <f aca="false">IF(I758="N","Invalid / missing TRN",IF(F758="Blocked input (entertainment)","Blocked input",IF(Q758&gt;30,"Late posting (&gt;30d)","")))</f>
        <v/>
      </c>
    </row>
    <row r="759" customFormat="false" ht="15" hidden="false" customHeight="false" outlineLevel="0" collapsed="false">
      <c r="A759" s="47" t="s">
        <v>1045</v>
      </c>
      <c r="B759" s="48" t="n">
        <v>45872</v>
      </c>
      <c r="C759" s="47" t="s">
        <v>166</v>
      </c>
      <c r="D759" s="47" t="s">
        <v>264</v>
      </c>
      <c r="E759" s="47" t="s">
        <v>100</v>
      </c>
      <c r="F759" s="47" t="s">
        <v>173</v>
      </c>
      <c r="G759" s="49" t="n">
        <v>66842.23</v>
      </c>
      <c r="H759" s="50" t="n">
        <v>0.05</v>
      </c>
      <c r="I759" s="47" t="s">
        <v>162</v>
      </c>
      <c r="J759" s="48" t="n">
        <v>45872</v>
      </c>
      <c r="K759" s="51" t="str">
        <f aca="false">"Q"&amp;ROUNDUP(MONTH(B759)/3,0)</f>
        <v>Q3</v>
      </c>
      <c r="L759" s="52" t="n">
        <f aca="false">ROUND(G759*H759,2)</f>
        <v>3342.11</v>
      </c>
      <c r="M759" s="52" t="n">
        <f aca="false">IF(AND(C759="Sales",F759="Standard-rated 5%"),L759,0)</f>
        <v>0</v>
      </c>
      <c r="N759" s="52" t="n">
        <f aca="false">IF(F759="Reverse charge (imported services)",L759,0)</f>
        <v>3342.11</v>
      </c>
      <c r="O759" s="52" t="n">
        <f aca="false">IF(C759&lt;&gt;"Purchase",0,IF(OR(I759="N",F759="Blocked input (entertainment)"),0,L759))</f>
        <v>3342.11</v>
      </c>
      <c r="P759" s="52" t="n">
        <f aca="false">IF(C759&lt;&gt;"Purchase",0,L759-O759)</f>
        <v>0</v>
      </c>
      <c r="Q759" s="53" t="n">
        <f aca="false">J759-B759</f>
        <v>0</v>
      </c>
      <c r="R759" s="51" t="str">
        <f aca="false">IF(I759="N","Invalid / missing TRN",IF(F759="Blocked input (entertainment)","Blocked input",IF(Q759&gt;30,"Late posting (&gt;30d)","")))</f>
        <v/>
      </c>
    </row>
    <row r="760" customFormat="false" ht="15" hidden="false" customHeight="false" outlineLevel="0" collapsed="false">
      <c r="A760" s="47" t="s">
        <v>1046</v>
      </c>
      <c r="B760" s="48" t="n">
        <v>45872</v>
      </c>
      <c r="C760" s="47" t="s">
        <v>166</v>
      </c>
      <c r="D760" s="47" t="s">
        <v>257</v>
      </c>
      <c r="E760" s="47" t="s">
        <v>100</v>
      </c>
      <c r="F760" s="47" t="s">
        <v>161</v>
      </c>
      <c r="G760" s="49" t="n">
        <v>11108.27</v>
      </c>
      <c r="H760" s="50" t="n">
        <v>0.05</v>
      </c>
      <c r="I760" s="47" t="s">
        <v>162</v>
      </c>
      <c r="J760" s="48" t="n">
        <v>45872</v>
      </c>
      <c r="K760" s="51" t="str">
        <f aca="false">"Q"&amp;ROUNDUP(MONTH(B760)/3,0)</f>
        <v>Q3</v>
      </c>
      <c r="L760" s="52" t="n">
        <f aca="false">ROUND(G760*H760,2)</f>
        <v>555.41</v>
      </c>
      <c r="M760" s="52" t="n">
        <f aca="false">IF(AND(C760="Sales",F760="Standard-rated 5%"),L760,0)</f>
        <v>0</v>
      </c>
      <c r="N760" s="52" t="n">
        <f aca="false">IF(F760="Reverse charge (imported services)",L760,0)</f>
        <v>0</v>
      </c>
      <c r="O760" s="52" t="n">
        <f aca="false">IF(C760&lt;&gt;"Purchase",0,IF(OR(I760="N",F760="Blocked input (entertainment)"),0,L760))</f>
        <v>555.41</v>
      </c>
      <c r="P760" s="52" t="n">
        <f aca="false">IF(C760&lt;&gt;"Purchase",0,L760-O760)</f>
        <v>0</v>
      </c>
      <c r="Q760" s="53" t="n">
        <f aca="false">J760-B760</f>
        <v>0</v>
      </c>
      <c r="R760" s="51" t="str">
        <f aca="false">IF(I760="N","Invalid / missing TRN",IF(F760="Blocked input (entertainment)","Blocked input",IF(Q760&gt;30,"Late posting (&gt;30d)","")))</f>
        <v/>
      </c>
    </row>
    <row r="761" customFormat="false" ht="15" hidden="false" customHeight="false" outlineLevel="0" collapsed="false">
      <c r="A761" s="47" t="s">
        <v>1047</v>
      </c>
      <c r="B761" s="48" t="n">
        <v>45872</v>
      </c>
      <c r="C761" s="47" t="s">
        <v>159</v>
      </c>
      <c r="D761" s="47" t="s">
        <v>237</v>
      </c>
      <c r="E761" s="47" t="s">
        <v>100</v>
      </c>
      <c r="F761" s="47" t="s">
        <v>301</v>
      </c>
      <c r="G761" s="49" t="n">
        <v>9549.23</v>
      </c>
      <c r="H761" s="50" t="n">
        <v>0</v>
      </c>
      <c r="I761" s="47" t="s">
        <v>162</v>
      </c>
      <c r="J761" s="48" t="n">
        <v>45872</v>
      </c>
      <c r="K761" s="51" t="str">
        <f aca="false">"Q"&amp;ROUNDUP(MONTH(B761)/3,0)</f>
        <v>Q3</v>
      </c>
      <c r="L761" s="52" t="n">
        <f aca="false">ROUND(G761*H761,2)</f>
        <v>0</v>
      </c>
      <c r="M761" s="52" t="n">
        <f aca="false">IF(AND(C761="Sales",F761="Standard-rated 5%"),L761,0)</f>
        <v>0</v>
      </c>
      <c r="N761" s="52" t="n">
        <f aca="false">IF(F761="Reverse charge (imported services)",L761,0)</f>
        <v>0</v>
      </c>
      <c r="O761" s="52" t="n">
        <f aca="false">IF(C761&lt;&gt;"Purchase",0,IF(OR(I761="N",F761="Blocked input (entertainment)"),0,L761))</f>
        <v>0</v>
      </c>
      <c r="P761" s="52" t="n">
        <f aca="false">IF(C761&lt;&gt;"Purchase",0,L761-O761)</f>
        <v>0</v>
      </c>
      <c r="Q761" s="53" t="n">
        <f aca="false">J761-B761</f>
        <v>0</v>
      </c>
      <c r="R761" s="51" t="str">
        <f aca="false">IF(I761="N","Invalid / missing TRN",IF(F761="Blocked input (entertainment)","Blocked input",IF(Q761&gt;30,"Late posting (&gt;30d)","")))</f>
        <v/>
      </c>
    </row>
    <row r="762" customFormat="false" ht="15" hidden="false" customHeight="false" outlineLevel="0" collapsed="false">
      <c r="A762" s="47" t="s">
        <v>1048</v>
      </c>
      <c r="B762" s="48" t="n">
        <v>45873</v>
      </c>
      <c r="C762" s="47" t="s">
        <v>166</v>
      </c>
      <c r="D762" s="47" t="s">
        <v>411</v>
      </c>
      <c r="E762" s="47" t="s">
        <v>100</v>
      </c>
      <c r="F762" s="47" t="s">
        <v>161</v>
      </c>
      <c r="G762" s="49" t="n">
        <v>11727.42</v>
      </c>
      <c r="H762" s="50" t="n">
        <v>0.05</v>
      </c>
      <c r="I762" s="47" t="s">
        <v>162</v>
      </c>
      <c r="J762" s="48" t="n">
        <v>45873</v>
      </c>
      <c r="K762" s="51" t="str">
        <f aca="false">"Q"&amp;ROUNDUP(MONTH(B762)/3,0)</f>
        <v>Q3</v>
      </c>
      <c r="L762" s="52" t="n">
        <f aca="false">ROUND(G762*H762,2)</f>
        <v>586.37</v>
      </c>
      <c r="M762" s="52" t="n">
        <f aca="false">IF(AND(C762="Sales",F762="Standard-rated 5%"),L762,0)</f>
        <v>0</v>
      </c>
      <c r="N762" s="52" t="n">
        <f aca="false">IF(F762="Reverse charge (imported services)",L762,0)</f>
        <v>0</v>
      </c>
      <c r="O762" s="52" t="n">
        <f aca="false">IF(C762&lt;&gt;"Purchase",0,IF(OR(I762="N",F762="Blocked input (entertainment)"),0,L762))</f>
        <v>586.37</v>
      </c>
      <c r="P762" s="52" t="n">
        <f aca="false">IF(C762&lt;&gt;"Purchase",0,L762-O762)</f>
        <v>0</v>
      </c>
      <c r="Q762" s="53" t="n">
        <f aca="false">J762-B762</f>
        <v>0</v>
      </c>
      <c r="R762" s="51" t="str">
        <f aca="false">IF(I762="N","Invalid / missing TRN",IF(F762="Blocked input (entertainment)","Blocked input",IF(Q762&gt;30,"Late posting (&gt;30d)","")))</f>
        <v/>
      </c>
    </row>
    <row r="763" customFormat="false" ht="15" hidden="false" customHeight="false" outlineLevel="0" collapsed="false">
      <c r="A763" s="47" t="s">
        <v>1049</v>
      </c>
      <c r="B763" s="48" t="n">
        <v>45873</v>
      </c>
      <c r="C763" s="47" t="s">
        <v>166</v>
      </c>
      <c r="D763" s="47" t="s">
        <v>210</v>
      </c>
      <c r="E763" s="47" t="s">
        <v>100</v>
      </c>
      <c r="F763" s="47" t="s">
        <v>161</v>
      </c>
      <c r="G763" s="49" t="n">
        <v>169023.1</v>
      </c>
      <c r="H763" s="50" t="n">
        <v>0.05</v>
      </c>
      <c r="I763" s="47" t="s">
        <v>162</v>
      </c>
      <c r="J763" s="48" t="n">
        <v>45873</v>
      </c>
      <c r="K763" s="51" t="str">
        <f aca="false">"Q"&amp;ROUNDUP(MONTH(B763)/3,0)</f>
        <v>Q3</v>
      </c>
      <c r="L763" s="52" t="n">
        <f aca="false">ROUND(G763*H763,2)</f>
        <v>8451.16</v>
      </c>
      <c r="M763" s="52" t="n">
        <f aca="false">IF(AND(C763="Sales",F763="Standard-rated 5%"),L763,0)</f>
        <v>0</v>
      </c>
      <c r="N763" s="52" t="n">
        <f aca="false">IF(F763="Reverse charge (imported services)",L763,0)</f>
        <v>0</v>
      </c>
      <c r="O763" s="52" t="n">
        <f aca="false">IF(C763&lt;&gt;"Purchase",0,IF(OR(I763="N",F763="Blocked input (entertainment)"),0,L763))</f>
        <v>8451.16</v>
      </c>
      <c r="P763" s="52" t="n">
        <f aca="false">IF(C763&lt;&gt;"Purchase",0,L763-O763)</f>
        <v>0</v>
      </c>
      <c r="Q763" s="53" t="n">
        <f aca="false">J763-B763</f>
        <v>0</v>
      </c>
      <c r="R763" s="51" t="str">
        <f aca="false">IF(I763="N","Invalid / missing TRN",IF(F763="Blocked input (entertainment)","Blocked input",IF(Q763&gt;30,"Late posting (&gt;30d)","")))</f>
        <v/>
      </c>
    </row>
    <row r="764" customFormat="false" ht="15" hidden="false" customHeight="false" outlineLevel="0" collapsed="false">
      <c r="A764" s="47" t="s">
        <v>1050</v>
      </c>
      <c r="B764" s="48" t="n">
        <v>45873</v>
      </c>
      <c r="C764" s="47" t="s">
        <v>159</v>
      </c>
      <c r="D764" s="47" t="s">
        <v>164</v>
      </c>
      <c r="E764" s="47" t="s">
        <v>102</v>
      </c>
      <c r="F764" s="47" t="s">
        <v>278</v>
      </c>
      <c r="G764" s="49" t="n">
        <v>31270.83</v>
      </c>
      <c r="H764" s="50" t="n">
        <v>0</v>
      </c>
      <c r="I764" s="47" t="s">
        <v>162</v>
      </c>
      <c r="J764" s="48" t="n">
        <v>45873</v>
      </c>
      <c r="K764" s="51" t="str">
        <f aca="false">"Q"&amp;ROUNDUP(MONTH(B764)/3,0)</f>
        <v>Q3</v>
      </c>
      <c r="L764" s="52" t="n">
        <f aca="false">ROUND(G764*H764,2)</f>
        <v>0</v>
      </c>
      <c r="M764" s="52" t="n">
        <f aca="false">IF(AND(C764="Sales",F764="Standard-rated 5%"),L764,0)</f>
        <v>0</v>
      </c>
      <c r="N764" s="52" t="n">
        <f aca="false">IF(F764="Reverse charge (imported services)",L764,0)</f>
        <v>0</v>
      </c>
      <c r="O764" s="52" t="n">
        <f aca="false">IF(C764&lt;&gt;"Purchase",0,IF(OR(I764="N",F764="Blocked input (entertainment)"),0,L764))</f>
        <v>0</v>
      </c>
      <c r="P764" s="52" t="n">
        <f aca="false">IF(C764&lt;&gt;"Purchase",0,L764-O764)</f>
        <v>0</v>
      </c>
      <c r="Q764" s="53" t="n">
        <f aca="false">J764-B764</f>
        <v>0</v>
      </c>
      <c r="R764" s="51" t="str">
        <f aca="false">IF(I764="N","Invalid / missing TRN",IF(F764="Blocked input (entertainment)","Blocked input",IF(Q764&gt;30,"Late posting (&gt;30d)","")))</f>
        <v/>
      </c>
    </row>
    <row r="765" customFormat="false" ht="15" hidden="false" customHeight="false" outlineLevel="0" collapsed="false">
      <c r="A765" s="47" t="s">
        <v>1051</v>
      </c>
      <c r="B765" s="48" t="n">
        <v>45874</v>
      </c>
      <c r="C765" s="47" t="s">
        <v>166</v>
      </c>
      <c r="D765" s="47" t="s">
        <v>285</v>
      </c>
      <c r="E765" s="47" t="s">
        <v>100</v>
      </c>
      <c r="F765" s="47" t="s">
        <v>173</v>
      </c>
      <c r="G765" s="49" t="n">
        <v>60120.75</v>
      </c>
      <c r="H765" s="50" t="n">
        <v>0.05</v>
      </c>
      <c r="I765" s="47" t="s">
        <v>162</v>
      </c>
      <c r="J765" s="48" t="n">
        <v>45874</v>
      </c>
      <c r="K765" s="51" t="str">
        <f aca="false">"Q"&amp;ROUNDUP(MONTH(B765)/3,0)</f>
        <v>Q3</v>
      </c>
      <c r="L765" s="52" t="n">
        <f aca="false">ROUND(G765*H765,2)</f>
        <v>3006.04</v>
      </c>
      <c r="M765" s="52" t="n">
        <f aca="false">IF(AND(C765="Sales",F765="Standard-rated 5%"),L765,0)</f>
        <v>0</v>
      </c>
      <c r="N765" s="52" t="n">
        <f aca="false">IF(F765="Reverse charge (imported services)",L765,0)</f>
        <v>3006.04</v>
      </c>
      <c r="O765" s="52" t="n">
        <f aca="false">IF(C765&lt;&gt;"Purchase",0,IF(OR(I765="N",F765="Blocked input (entertainment)"),0,L765))</f>
        <v>3006.04</v>
      </c>
      <c r="P765" s="52" t="n">
        <f aca="false">IF(C765&lt;&gt;"Purchase",0,L765-O765)</f>
        <v>0</v>
      </c>
      <c r="Q765" s="53" t="n">
        <f aca="false">J765-B765</f>
        <v>0</v>
      </c>
      <c r="R765" s="51" t="str">
        <f aca="false">IF(I765="N","Invalid / missing TRN",IF(F765="Blocked input (entertainment)","Blocked input",IF(Q765&gt;30,"Late posting (&gt;30d)","")))</f>
        <v/>
      </c>
    </row>
    <row r="766" customFormat="false" ht="15" hidden="false" customHeight="false" outlineLevel="0" collapsed="false">
      <c r="A766" s="47" t="s">
        <v>1052</v>
      </c>
      <c r="B766" s="48" t="n">
        <v>45874</v>
      </c>
      <c r="C766" s="47" t="s">
        <v>166</v>
      </c>
      <c r="D766" s="47" t="s">
        <v>208</v>
      </c>
      <c r="E766" s="47" t="s">
        <v>101</v>
      </c>
      <c r="F766" s="47" t="s">
        <v>349</v>
      </c>
      <c r="G766" s="49" t="n">
        <v>8210.84</v>
      </c>
      <c r="H766" s="50" t="n">
        <v>0.05</v>
      </c>
      <c r="I766" s="47" t="s">
        <v>350</v>
      </c>
      <c r="J766" s="48" t="n">
        <v>45874</v>
      </c>
      <c r="K766" s="51" t="str">
        <f aca="false">"Q"&amp;ROUNDUP(MONTH(B766)/3,0)</f>
        <v>Q3</v>
      </c>
      <c r="L766" s="52" t="n">
        <f aca="false">ROUND(G766*H766,2)</f>
        <v>410.54</v>
      </c>
      <c r="M766" s="52" t="n">
        <f aca="false">IF(AND(C766="Sales",F766="Standard-rated 5%"),L766,0)</f>
        <v>0</v>
      </c>
      <c r="N766" s="52" t="n">
        <f aca="false">IF(F766="Reverse charge (imported services)",L766,0)</f>
        <v>0</v>
      </c>
      <c r="O766" s="52" t="n">
        <f aca="false">IF(C766&lt;&gt;"Purchase",0,IF(OR(I766="N",F766="Blocked input (entertainment)"),0,L766))</f>
        <v>0</v>
      </c>
      <c r="P766" s="52" t="n">
        <f aca="false">IF(C766&lt;&gt;"Purchase",0,L766-O766)</f>
        <v>410.54</v>
      </c>
      <c r="Q766" s="53" t="n">
        <f aca="false">J766-B766</f>
        <v>0</v>
      </c>
      <c r="R766" s="51" t="str">
        <f aca="false">IF(I766="N","Invalid / missing TRN",IF(F766="Blocked input (entertainment)","Blocked input",IF(Q766&gt;30,"Late posting (&gt;30d)","")))</f>
        <v>Invalid / missing TRN</v>
      </c>
    </row>
    <row r="767" customFormat="false" ht="15" hidden="false" customHeight="false" outlineLevel="0" collapsed="false">
      <c r="A767" s="47" t="s">
        <v>1053</v>
      </c>
      <c r="B767" s="48" t="n">
        <v>45874</v>
      </c>
      <c r="C767" s="47" t="s">
        <v>159</v>
      </c>
      <c r="D767" s="47" t="s">
        <v>293</v>
      </c>
      <c r="E767" s="47" t="s">
        <v>100</v>
      </c>
      <c r="F767" s="47" t="s">
        <v>161</v>
      </c>
      <c r="G767" s="49" t="n">
        <v>110274.04</v>
      </c>
      <c r="H767" s="50" t="n">
        <v>0.05</v>
      </c>
      <c r="I767" s="47" t="s">
        <v>162</v>
      </c>
      <c r="J767" s="48" t="n">
        <v>45874</v>
      </c>
      <c r="K767" s="51" t="str">
        <f aca="false">"Q"&amp;ROUNDUP(MONTH(B767)/3,0)</f>
        <v>Q3</v>
      </c>
      <c r="L767" s="52" t="n">
        <f aca="false">ROUND(G767*H767,2)</f>
        <v>5513.7</v>
      </c>
      <c r="M767" s="52" t="n">
        <f aca="false">IF(AND(C767="Sales",F767="Standard-rated 5%"),L767,0)</f>
        <v>5513.7</v>
      </c>
      <c r="N767" s="52" t="n">
        <f aca="false">IF(F767="Reverse charge (imported services)",L767,0)</f>
        <v>0</v>
      </c>
      <c r="O767" s="52" t="n">
        <f aca="false">IF(C767&lt;&gt;"Purchase",0,IF(OR(I767="N",F767="Blocked input (entertainment)"),0,L767))</f>
        <v>0</v>
      </c>
      <c r="P767" s="52" t="n">
        <f aca="false">IF(C767&lt;&gt;"Purchase",0,L767-O767)</f>
        <v>0</v>
      </c>
      <c r="Q767" s="53" t="n">
        <f aca="false">J767-B767</f>
        <v>0</v>
      </c>
      <c r="R767" s="51" t="str">
        <f aca="false">IF(I767="N","Invalid / missing TRN",IF(F767="Blocked input (entertainment)","Blocked input",IF(Q767&gt;30,"Late posting (&gt;30d)","")))</f>
        <v/>
      </c>
    </row>
    <row r="768" customFormat="false" ht="15" hidden="false" customHeight="false" outlineLevel="0" collapsed="false">
      <c r="A768" s="47" t="s">
        <v>1054</v>
      </c>
      <c r="B768" s="48" t="n">
        <v>45875</v>
      </c>
      <c r="C768" s="47" t="s">
        <v>166</v>
      </c>
      <c r="D768" s="47" t="s">
        <v>297</v>
      </c>
      <c r="E768" s="47" t="s">
        <v>100</v>
      </c>
      <c r="F768" s="47" t="s">
        <v>161</v>
      </c>
      <c r="G768" s="49" t="n">
        <v>15180.46</v>
      </c>
      <c r="H768" s="50" t="n">
        <v>0.05</v>
      </c>
      <c r="I768" s="47" t="s">
        <v>162</v>
      </c>
      <c r="J768" s="48" t="n">
        <v>45875</v>
      </c>
      <c r="K768" s="51" t="str">
        <f aca="false">"Q"&amp;ROUNDUP(MONTH(B768)/3,0)</f>
        <v>Q3</v>
      </c>
      <c r="L768" s="52" t="n">
        <f aca="false">ROUND(G768*H768,2)</f>
        <v>759.02</v>
      </c>
      <c r="M768" s="52" t="n">
        <f aca="false">IF(AND(C768="Sales",F768="Standard-rated 5%"),L768,0)</f>
        <v>0</v>
      </c>
      <c r="N768" s="52" t="n">
        <f aca="false">IF(F768="Reverse charge (imported services)",L768,0)</f>
        <v>0</v>
      </c>
      <c r="O768" s="52" t="n">
        <f aca="false">IF(C768&lt;&gt;"Purchase",0,IF(OR(I768="N",F768="Blocked input (entertainment)"),0,L768))</f>
        <v>759.02</v>
      </c>
      <c r="P768" s="52" t="n">
        <f aca="false">IF(C768&lt;&gt;"Purchase",0,L768-O768)</f>
        <v>0</v>
      </c>
      <c r="Q768" s="53" t="n">
        <f aca="false">J768-B768</f>
        <v>0</v>
      </c>
      <c r="R768" s="51" t="str">
        <f aca="false">IF(I768="N","Invalid / missing TRN",IF(F768="Blocked input (entertainment)","Blocked input",IF(Q768&gt;30,"Late posting (&gt;30d)","")))</f>
        <v/>
      </c>
    </row>
    <row r="769" customFormat="false" ht="15" hidden="false" customHeight="false" outlineLevel="0" collapsed="false">
      <c r="A769" s="47" t="s">
        <v>1055</v>
      </c>
      <c r="B769" s="48" t="n">
        <v>45875</v>
      </c>
      <c r="C769" s="47" t="s">
        <v>166</v>
      </c>
      <c r="D769" s="47" t="s">
        <v>514</v>
      </c>
      <c r="E769" s="47" t="s">
        <v>102</v>
      </c>
      <c r="F769" s="47" t="s">
        <v>161</v>
      </c>
      <c r="G769" s="49" t="n">
        <v>23412.97</v>
      </c>
      <c r="H769" s="50" t="n">
        <v>0.05</v>
      </c>
      <c r="I769" s="47" t="s">
        <v>162</v>
      </c>
      <c r="J769" s="48" t="n">
        <v>45875</v>
      </c>
      <c r="K769" s="51" t="str">
        <f aca="false">"Q"&amp;ROUNDUP(MONTH(B769)/3,0)</f>
        <v>Q3</v>
      </c>
      <c r="L769" s="52" t="n">
        <f aca="false">ROUND(G769*H769,2)</f>
        <v>1170.65</v>
      </c>
      <c r="M769" s="52" t="n">
        <f aca="false">IF(AND(C769="Sales",F769="Standard-rated 5%"),L769,0)</f>
        <v>0</v>
      </c>
      <c r="N769" s="52" t="n">
        <f aca="false">IF(F769="Reverse charge (imported services)",L769,0)</f>
        <v>0</v>
      </c>
      <c r="O769" s="52" t="n">
        <f aca="false">IF(C769&lt;&gt;"Purchase",0,IF(OR(I769="N",F769="Blocked input (entertainment)"),0,L769))</f>
        <v>1170.65</v>
      </c>
      <c r="P769" s="52" t="n">
        <f aca="false">IF(C769&lt;&gt;"Purchase",0,L769-O769)</f>
        <v>0</v>
      </c>
      <c r="Q769" s="53" t="n">
        <f aca="false">J769-B769</f>
        <v>0</v>
      </c>
      <c r="R769" s="51" t="str">
        <f aca="false">IF(I769="N","Invalid / missing TRN",IF(F769="Blocked input (entertainment)","Blocked input",IF(Q769&gt;30,"Late posting (&gt;30d)","")))</f>
        <v/>
      </c>
    </row>
    <row r="770" customFormat="false" ht="15" hidden="false" customHeight="false" outlineLevel="0" collapsed="false">
      <c r="A770" s="47" t="s">
        <v>1056</v>
      </c>
      <c r="B770" s="48" t="n">
        <v>45875</v>
      </c>
      <c r="C770" s="47" t="s">
        <v>166</v>
      </c>
      <c r="D770" s="47" t="s">
        <v>231</v>
      </c>
      <c r="E770" s="47" t="s">
        <v>100</v>
      </c>
      <c r="F770" s="47" t="s">
        <v>161</v>
      </c>
      <c r="G770" s="49" t="n">
        <v>57523.71</v>
      </c>
      <c r="H770" s="50" t="n">
        <v>0.05</v>
      </c>
      <c r="I770" s="47" t="s">
        <v>162</v>
      </c>
      <c r="J770" s="48" t="n">
        <v>45880</v>
      </c>
      <c r="K770" s="51" t="str">
        <f aca="false">"Q"&amp;ROUNDUP(MONTH(B770)/3,0)</f>
        <v>Q3</v>
      </c>
      <c r="L770" s="52" t="n">
        <f aca="false">ROUND(G770*H770,2)</f>
        <v>2876.19</v>
      </c>
      <c r="M770" s="52" t="n">
        <f aca="false">IF(AND(C770="Sales",F770="Standard-rated 5%"),L770,0)</f>
        <v>0</v>
      </c>
      <c r="N770" s="52" t="n">
        <f aca="false">IF(F770="Reverse charge (imported services)",L770,0)</f>
        <v>0</v>
      </c>
      <c r="O770" s="52" t="n">
        <f aca="false">IF(C770&lt;&gt;"Purchase",0,IF(OR(I770="N",F770="Blocked input (entertainment)"),0,L770))</f>
        <v>2876.19</v>
      </c>
      <c r="P770" s="52" t="n">
        <f aca="false">IF(C770&lt;&gt;"Purchase",0,L770-O770)</f>
        <v>0</v>
      </c>
      <c r="Q770" s="53" t="n">
        <f aca="false">J770-B770</f>
        <v>5</v>
      </c>
      <c r="R770" s="51" t="str">
        <f aca="false">IF(I770="N","Invalid / missing TRN",IF(F770="Blocked input (entertainment)","Blocked input",IF(Q770&gt;30,"Late posting (&gt;30d)","")))</f>
        <v/>
      </c>
    </row>
    <row r="771" customFormat="false" ht="15" hidden="false" customHeight="false" outlineLevel="0" collapsed="false">
      <c r="A771" s="47" t="s">
        <v>1057</v>
      </c>
      <c r="B771" s="48" t="n">
        <v>45875</v>
      </c>
      <c r="C771" s="47" t="s">
        <v>159</v>
      </c>
      <c r="D771" s="47" t="s">
        <v>239</v>
      </c>
      <c r="E771" s="47" t="s">
        <v>101</v>
      </c>
      <c r="F771" s="47" t="s">
        <v>161</v>
      </c>
      <c r="G771" s="49" t="n">
        <v>33324.73</v>
      </c>
      <c r="H771" s="50" t="n">
        <v>0.05</v>
      </c>
      <c r="I771" s="47" t="s">
        <v>162</v>
      </c>
      <c r="J771" s="48" t="n">
        <v>45875</v>
      </c>
      <c r="K771" s="51" t="str">
        <f aca="false">"Q"&amp;ROUNDUP(MONTH(B771)/3,0)</f>
        <v>Q3</v>
      </c>
      <c r="L771" s="52" t="n">
        <f aca="false">ROUND(G771*H771,2)</f>
        <v>1666.24</v>
      </c>
      <c r="M771" s="52" t="n">
        <f aca="false">IF(AND(C771="Sales",F771="Standard-rated 5%"),L771,0)</f>
        <v>1666.24</v>
      </c>
      <c r="N771" s="52" t="n">
        <f aca="false">IF(F771="Reverse charge (imported services)",L771,0)</f>
        <v>0</v>
      </c>
      <c r="O771" s="52" t="n">
        <f aca="false">IF(C771&lt;&gt;"Purchase",0,IF(OR(I771="N",F771="Blocked input (entertainment)"),0,L771))</f>
        <v>0</v>
      </c>
      <c r="P771" s="52" t="n">
        <f aca="false">IF(C771&lt;&gt;"Purchase",0,L771-O771)</f>
        <v>0</v>
      </c>
      <c r="Q771" s="53" t="n">
        <f aca="false">J771-B771</f>
        <v>0</v>
      </c>
      <c r="R771" s="51" t="str">
        <f aca="false">IF(I771="N","Invalid / missing TRN",IF(F771="Blocked input (entertainment)","Blocked input",IF(Q771&gt;30,"Late posting (&gt;30d)","")))</f>
        <v/>
      </c>
    </row>
    <row r="772" customFormat="false" ht="15" hidden="false" customHeight="false" outlineLevel="0" collapsed="false">
      <c r="A772" s="47" t="s">
        <v>1058</v>
      </c>
      <c r="B772" s="48" t="n">
        <v>45875</v>
      </c>
      <c r="C772" s="47" t="s">
        <v>159</v>
      </c>
      <c r="D772" s="47" t="s">
        <v>383</v>
      </c>
      <c r="E772" s="47" t="s">
        <v>104</v>
      </c>
      <c r="F772" s="47" t="s">
        <v>161</v>
      </c>
      <c r="G772" s="49" t="n">
        <v>15535.29</v>
      </c>
      <c r="H772" s="50" t="n">
        <v>0.05</v>
      </c>
      <c r="I772" s="47" t="s">
        <v>162</v>
      </c>
      <c r="J772" s="48" t="n">
        <v>45880</v>
      </c>
      <c r="K772" s="51" t="str">
        <f aca="false">"Q"&amp;ROUNDUP(MONTH(B772)/3,0)</f>
        <v>Q3</v>
      </c>
      <c r="L772" s="52" t="n">
        <f aca="false">ROUND(G772*H772,2)</f>
        <v>776.76</v>
      </c>
      <c r="M772" s="52" t="n">
        <f aca="false">IF(AND(C772="Sales",F772="Standard-rated 5%"),L772,0)</f>
        <v>776.76</v>
      </c>
      <c r="N772" s="52" t="n">
        <f aca="false">IF(F772="Reverse charge (imported services)",L772,0)</f>
        <v>0</v>
      </c>
      <c r="O772" s="52" t="n">
        <f aca="false">IF(C772&lt;&gt;"Purchase",0,IF(OR(I772="N",F772="Blocked input (entertainment)"),0,L772))</f>
        <v>0</v>
      </c>
      <c r="P772" s="52" t="n">
        <f aca="false">IF(C772&lt;&gt;"Purchase",0,L772-O772)</f>
        <v>0</v>
      </c>
      <c r="Q772" s="53" t="n">
        <f aca="false">J772-B772</f>
        <v>5</v>
      </c>
      <c r="R772" s="51" t="str">
        <f aca="false">IF(I772="N","Invalid / missing TRN",IF(F772="Blocked input (entertainment)","Blocked input",IF(Q772&gt;30,"Late posting (&gt;30d)","")))</f>
        <v/>
      </c>
    </row>
    <row r="773" customFormat="false" ht="15" hidden="false" customHeight="false" outlineLevel="0" collapsed="false">
      <c r="A773" s="47" t="s">
        <v>1059</v>
      </c>
      <c r="B773" s="48" t="n">
        <v>45876</v>
      </c>
      <c r="C773" s="47" t="s">
        <v>166</v>
      </c>
      <c r="D773" s="47" t="s">
        <v>208</v>
      </c>
      <c r="E773" s="47" t="s">
        <v>101</v>
      </c>
      <c r="F773" s="47" t="s">
        <v>268</v>
      </c>
      <c r="G773" s="49" t="n">
        <v>64986.35</v>
      </c>
      <c r="H773" s="50" t="n">
        <v>0</v>
      </c>
      <c r="I773" s="47" t="s">
        <v>162</v>
      </c>
      <c r="J773" s="48" t="n">
        <v>45877</v>
      </c>
      <c r="K773" s="51" t="str">
        <f aca="false">"Q"&amp;ROUNDUP(MONTH(B773)/3,0)</f>
        <v>Q3</v>
      </c>
      <c r="L773" s="52" t="n">
        <f aca="false">ROUND(G773*H773,2)</f>
        <v>0</v>
      </c>
      <c r="M773" s="52" t="n">
        <f aca="false">IF(AND(C773="Sales",F773="Standard-rated 5%"),L773,0)</f>
        <v>0</v>
      </c>
      <c r="N773" s="52" t="n">
        <f aca="false">IF(F773="Reverse charge (imported services)",L773,0)</f>
        <v>0</v>
      </c>
      <c r="O773" s="52" t="n">
        <f aca="false">IF(C773&lt;&gt;"Purchase",0,IF(OR(I773="N",F773="Blocked input (entertainment)"),0,L773))</f>
        <v>0</v>
      </c>
      <c r="P773" s="52" t="n">
        <f aca="false">IF(C773&lt;&gt;"Purchase",0,L773-O773)</f>
        <v>0</v>
      </c>
      <c r="Q773" s="53" t="n">
        <f aca="false">J773-B773</f>
        <v>1</v>
      </c>
      <c r="R773" s="51" t="str">
        <f aca="false">IF(I773="N","Invalid / missing TRN",IF(F773="Blocked input (entertainment)","Blocked input",IF(Q773&gt;30,"Late posting (&gt;30d)","")))</f>
        <v/>
      </c>
    </row>
    <row r="774" customFormat="false" ht="15" hidden="false" customHeight="false" outlineLevel="0" collapsed="false">
      <c r="A774" s="47" t="s">
        <v>1060</v>
      </c>
      <c r="B774" s="48" t="n">
        <v>45876</v>
      </c>
      <c r="C774" s="47" t="s">
        <v>159</v>
      </c>
      <c r="D774" s="47" t="s">
        <v>245</v>
      </c>
      <c r="E774" s="47" t="s">
        <v>100</v>
      </c>
      <c r="F774" s="47" t="s">
        <v>161</v>
      </c>
      <c r="G774" s="49" t="n">
        <v>9528.2</v>
      </c>
      <c r="H774" s="50" t="n">
        <v>0.05</v>
      </c>
      <c r="I774" s="47" t="s">
        <v>162</v>
      </c>
      <c r="J774" s="48" t="n">
        <v>45881</v>
      </c>
      <c r="K774" s="51" t="str">
        <f aca="false">"Q"&amp;ROUNDUP(MONTH(B774)/3,0)</f>
        <v>Q3</v>
      </c>
      <c r="L774" s="52" t="n">
        <f aca="false">ROUND(G774*H774,2)</f>
        <v>476.41</v>
      </c>
      <c r="M774" s="52" t="n">
        <f aca="false">IF(AND(C774="Sales",F774="Standard-rated 5%"),L774,0)</f>
        <v>476.41</v>
      </c>
      <c r="N774" s="52" t="n">
        <f aca="false">IF(F774="Reverse charge (imported services)",L774,0)</f>
        <v>0</v>
      </c>
      <c r="O774" s="52" t="n">
        <f aca="false">IF(C774&lt;&gt;"Purchase",0,IF(OR(I774="N",F774="Blocked input (entertainment)"),0,L774))</f>
        <v>0</v>
      </c>
      <c r="P774" s="52" t="n">
        <f aca="false">IF(C774&lt;&gt;"Purchase",0,L774-O774)</f>
        <v>0</v>
      </c>
      <c r="Q774" s="53" t="n">
        <f aca="false">J774-B774</f>
        <v>5</v>
      </c>
      <c r="R774" s="51" t="str">
        <f aca="false">IF(I774="N","Invalid / missing TRN",IF(F774="Blocked input (entertainment)","Blocked input",IF(Q774&gt;30,"Late posting (&gt;30d)","")))</f>
        <v/>
      </c>
    </row>
    <row r="775" customFormat="false" ht="15" hidden="false" customHeight="false" outlineLevel="0" collapsed="false">
      <c r="A775" s="47" t="s">
        <v>1061</v>
      </c>
      <c r="B775" s="48" t="n">
        <v>45876</v>
      </c>
      <c r="C775" s="47" t="s">
        <v>159</v>
      </c>
      <c r="D775" s="47" t="s">
        <v>490</v>
      </c>
      <c r="E775" s="47" t="s">
        <v>100</v>
      </c>
      <c r="F775" s="47" t="s">
        <v>161</v>
      </c>
      <c r="G775" s="49" t="n">
        <v>208268.58</v>
      </c>
      <c r="H775" s="50" t="n">
        <v>0.05</v>
      </c>
      <c r="I775" s="47" t="s">
        <v>162</v>
      </c>
      <c r="J775" s="48" t="n">
        <v>45876</v>
      </c>
      <c r="K775" s="51" t="str">
        <f aca="false">"Q"&amp;ROUNDUP(MONTH(B775)/3,0)</f>
        <v>Q3</v>
      </c>
      <c r="L775" s="52" t="n">
        <f aca="false">ROUND(G775*H775,2)</f>
        <v>10413.43</v>
      </c>
      <c r="M775" s="52" t="n">
        <f aca="false">IF(AND(C775="Sales",F775="Standard-rated 5%"),L775,0)</f>
        <v>10413.43</v>
      </c>
      <c r="N775" s="52" t="n">
        <f aca="false">IF(F775="Reverse charge (imported services)",L775,0)</f>
        <v>0</v>
      </c>
      <c r="O775" s="52" t="n">
        <f aca="false">IF(C775&lt;&gt;"Purchase",0,IF(OR(I775="N",F775="Blocked input (entertainment)"),0,L775))</f>
        <v>0</v>
      </c>
      <c r="P775" s="52" t="n">
        <f aca="false">IF(C775&lt;&gt;"Purchase",0,L775-O775)</f>
        <v>0</v>
      </c>
      <c r="Q775" s="53" t="n">
        <f aca="false">J775-B775</f>
        <v>0</v>
      </c>
      <c r="R775" s="51" t="str">
        <f aca="false">IF(I775="N","Invalid / missing TRN",IF(F775="Blocked input (entertainment)","Blocked input",IF(Q775&gt;30,"Late posting (&gt;30d)","")))</f>
        <v/>
      </c>
    </row>
    <row r="776" customFormat="false" ht="15" hidden="false" customHeight="false" outlineLevel="0" collapsed="false">
      <c r="A776" s="47" t="s">
        <v>1062</v>
      </c>
      <c r="B776" s="48" t="n">
        <v>45876</v>
      </c>
      <c r="C776" s="47" t="s">
        <v>159</v>
      </c>
      <c r="D776" s="47" t="s">
        <v>534</v>
      </c>
      <c r="E776" s="47" t="s">
        <v>100</v>
      </c>
      <c r="F776" s="47" t="s">
        <v>161</v>
      </c>
      <c r="G776" s="49" t="n">
        <v>33337.42</v>
      </c>
      <c r="H776" s="50" t="n">
        <v>0.05</v>
      </c>
      <c r="I776" s="47" t="s">
        <v>162</v>
      </c>
      <c r="J776" s="48" t="n">
        <v>45881</v>
      </c>
      <c r="K776" s="51" t="str">
        <f aca="false">"Q"&amp;ROUNDUP(MONTH(B776)/3,0)</f>
        <v>Q3</v>
      </c>
      <c r="L776" s="52" t="n">
        <f aca="false">ROUND(G776*H776,2)</f>
        <v>1666.87</v>
      </c>
      <c r="M776" s="52" t="n">
        <f aca="false">IF(AND(C776="Sales",F776="Standard-rated 5%"),L776,0)</f>
        <v>1666.87</v>
      </c>
      <c r="N776" s="52" t="n">
        <f aca="false">IF(F776="Reverse charge (imported services)",L776,0)</f>
        <v>0</v>
      </c>
      <c r="O776" s="52" t="n">
        <f aca="false">IF(C776&lt;&gt;"Purchase",0,IF(OR(I776="N",F776="Blocked input (entertainment)"),0,L776))</f>
        <v>0</v>
      </c>
      <c r="P776" s="52" t="n">
        <f aca="false">IF(C776&lt;&gt;"Purchase",0,L776-O776)</f>
        <v>0</v>
      </c>
      <c r="Q776" s="53" t="n">
        <f aca="false">J776-B776</f>
        <v>5</v>
      </c>
      <c r="R776" s="51" t="str">
        <f aca="false">IF(I776="N","Invalid / missing TRN",IF(F776="Blocked input (entertainment)","Blocked input",IF(Q776&gt;30,"Late posting (&gt;30d)","")))</f>
        <v/>
      </c>
    </row>
    <row r="777" customFormat="false" ht="15" hidden="false" customHeight="false" outlineLevel="0" collapsed="false">
      <c r="A777" s="47" t="s">
        <v>1063</v>
      </c>
      <c r="B777" s="48" t="n">
        <v>45877</v>
      </c>
      <c r="C777" s="47" t="s">
        <v>166</v>
      </c>
      <c r="D777" s="47" t="s">
        <v>460</v>
      </c>
      <c r="E777" s="47" t="s">
        <v>100</v>
      </c>
      <c r="F777" s="47" t="s">
        <v>161</v>
      </c>
      <c r="G777" s="49" t="n">
        <v>19729.43</v>
      </c>
      <c r="H777" s="50" t="n">
        <v>0.05</v>
      </c>
      <c r="I777" s="47" t="s">
        <v>162</v>
      </c>
      <c r="J777" s="48" t="n">
        <v>45877</v>
      </c>
      <c r="K777" s="51" t="str">
        <f aca="false">"Q"&amp;ROUNDUP(MONTH(B777)/3,0)</f>
        <v>Q3</v>
      </c>
      <c r="L777" s="52" t="n">
        <f aca="false">ROUND(G777*H777,2)</f>
        <v>986.47</v>
      </c>
      <c r="M777" s="52" t="n">
        <f aca="false">IF(AND(C777="Sales",F777="Standard-rated 5%"),L777,0)</f>
        <v>0</v>
      </c>
      <c r="N777" s="52" t="n">
        <f aca="false">IF(F777="Reverse charge (imported services)",L777,0)</f>
        <v>0</v>
      </c>
      <c r="O777" s="52" t="n">
        <f aca="false">IF(C777&lt;&gt;"Purchase",0,IF(OR(I777="N",F777="Blocked input (entertainment)"),0,L777))</f>
        <v>986.47</v>
      </c>
      <c r="P777" s="52" t="n">
        <f aca="false">IF(C777&lt;&gt;"Purchase",0,L777-O777)</f>
        <v>0</v>
      </c>
      <c r="Q777" s="53" t="n">
        <f aca="false">J777-B777</f>
        <v>0</v>
      </c>
      <c r="R777" s="51" t="str">
        <f aca="false">IF(I777="N","Invalid / missing TRN",IF(F777="Blocked input (entertainment)","Blocked input",IF(Q777&gt;30,"Late posting (&gt;30d)","")))</f>
        <v/>
      </c>
    </row>
    <row r="778" customFormat="false" ht="15" hidden="false" customHeight="false" outlineLevel="0" collapsed="false">
      <c r="A778" s="47" t="s">
        <v>1064</v>
      </c>
      <c r="B778" s="48" t="n">
        <v>45877</v>
      </c>
      <c r="C778" s="47" t="s">
        <v>159</v>
      </c>
      <c r="D778" s="47" t="s">
        <v>243</v>
      </c>
      <c r="E778" s="47" t="s">
        <v>100</v>
      </c>
      <c r="F778" s="47" t="s">
        <v>161</v>
      </c>
      <c r="G778" s="49" t="n">
        <v>107284.83</v>
      </c>
      <c r="H778" s="50" t="n">
        <v>0.05</v>
      </c>
      <c r="I778" s="47" t="s">
        <v>162</v>
      </c>
      <c r="J778" s="48" t="n">
        <v>45877</v>
      </c>
      <c r="K778" s="51" t="str">
        <f aca="false">"Q"&amp;ROUNDUP(MONTH(B778)/3,0)</f>
        <v>Q3</v>
      </c>
      <c r="L778" s="52" t="n">
        <f aca="false">ROUND(G778*H778,2)</f>
        <v>5364.24</v>
      </c>
      <c r="M778" s="52" t="n">
        <f aca="false">IF(AND(C778="Sales",F778="Standard-rated 5%"),L778,0)</f>
        <v>5364.24</v>
      </c>
      <c r="N778" s="52" t="n">
        <f aca="false">IF(F778="Reverse charge (imported services)",L778,0)</f>
        <v>0</v>
      </c>
      <c r="O778" s="52" t="n">
        <f aca="false">IF(C778&lt;&gt;"Purchase",0,IF(OR(I778="N",F778="Blocked input (entertainment)"),0,L778))</f>
        <v>0</v>
      </c>
      <c r="P778" s="52" t="n">
        <f aca="false">IF(C778&lt;&gt;"Purchase",0,L778-O778)</f>
        <v>0</v>
      </c>
      <c r="Q778" s="53" t="n">
        <f aca="false">J778-B778</f>
        <v>0</v>
      </c>
      <c r="R778" s="51" t="str">
        <f aca="false">IF(I778="N","Invalid / missing TRN",IF(F778="Blocked input (entertainment)","Blocked input",IF(Q778&gt;30,"Late posting (&gt;30d)","")))</f>
        <v/>
      </c>
    </row>
    <row r="779" customFormat="false" ht="15" hidden="false" customHeight="false" outlineLevel="0" collapsed="false">
      <c r="A779" s="47" t="s">
        <v>1065</v>
      </c>
      <c r="B779" s="48" t="n">
        <v>45877</v>
      </c>
      <c r="C779" s="47" t="s">
        <v>159</v>
      </c>
      <c r="D779" s="47" t="s">
        <v>225</v>
      </c>
      <c r="E779" s="47" t="s">
        <v>101</v>
      </c>
      <c r="F779" s="47" t="s">
        <v>161</v>
      </c>
      <c r="G779" s="49" t="n">
        <v>88579.5</v>
      </c>
      <c r="H779" s="50" t="n">
        <v>0.05</v>
      </c>
      <c r="I779" s="47" t="s">
        <v>162</v>
      </c>
      <c r="J779" s="48" t="n">
        <v>45877</v>
      </c>
      <c r="K779" s="51" t="str">
        <f aca="false">"Q"&amp;ROUNDUP(MONTH(B779)/3,0)</f>
        <v>Q3</v>
      </c>
      <c r="L779" s="52" t="n">
        <f aca="false">ROUND(G779*H779,2)</f>
        <v>4428.98</v>
      </c>
      <c r="M779" s="52" t="n">
        <f aca="false">IF(AND(C779="Sales",F779="Standard-rated 5%"),L779,0)</f>
        <v>4428.98</v>
      </c>
      <c r="N779" s="52" t="n">
        <f aca="false">IF(F779="Reverse charge (imported services)",L779,0)</f>
        <v>0</v>
      </c>
      <c r="O779" s="52" t="n">
        <f aca="false">IF(C779&lt;&gt;"Purchase",0,IF(OR(I779="N",F779="Blocked input (entertainment)"),0,L779))</f>
        <v>0</v>
      </c>
      <c r="P779" s="52" t="n">
        <f aca="false">IF(C779&lt;&gt;"Purchase",0,L779-O779)</f>
        <v>0</v>
      </c>
      <c r="Q779" s="53" t="n">
        <f aca="false">J779-B779</f>
        <v>0</v>
      </c>
      <c r="R779" s="51" t="str">
        <f aca="false">IF(I779="N","Invalid / missing TRN",IF(F779="Blocked input (entertainment)","Blocked input",IF(Q779&gt;30,"Late posting (&gt;30d)","")))</f>
        <v/>
      </c>
    </row>
    <row r="780" customFormat="false" ht="15" hidden="false" customHeight="false" outlineLevel="0" collapsed="false">
      <c r="A780" s="47" t="s">
        <v>1066</v>
      </c>
      <c r="B780" s="48" t="n">
        <v>45878</v>
      </c>
      <c r="C780" s="47" t="s">
        <v>159</v>
      </c>
      <c r="D780" s="47" t="s">
        <v>177</v>
      </c>
      <c r="E780" s="47" t="s">
        <v>101</v>
      </c>
      <c r="F780" s="47" t="s">
        <v>161</v>
      </c>
      <c r="G780" s="49" t="n">
        <v>11182.45</v>
      </c>
      <c r="H780" s="50" t="n">
        <v>0.05</v>
      </c>
      <c r="I780" s="47" t="s">
        <v>162</v>
      </c>
      <c r="J780" s="48" t="n">
        <v>45878</v>
      </c>
      <c r="K780" s="51" t="str">
        <f aca="false">"Q"&amp;ROUNDUP(MONTH(B780)/3,0)</f>
        <v>Q3</v>
      </c>
      <c r="L780" s="52" t="n">
        <f aca="false">ROUND(G780*H780,2)</f>
        <v>559.12</v>
      </c>
      <c r="M780" s="52" t="n">
        <f aca="false">IF(AND(C780="Sales",F780="Standard-rated 5%"),L780,0)</f>
        <v>559.12</v>
      </c>
      <c r="N780" s="52" t="n">
        <f aca="false">IF(F780="Reverse charge (imported services)",L780,0)</f>
        <v>0</v>
      </c>
      <c r="O780" s="52" t="n">
        <f aca="false">IF(C780&lt;&gt;"Purchase",0,IF(OR(I780="N",F780="Blocked input (entertainment)"),0,L780))</f>
        <v>0</v>
      </c>
      <c r="P780" s="52" t="n">
        <f aca="false">IF(C780&lt;&gt;"Purchase",0,L780-O780)</f>
        <v>0</v>
      </c>
      <c r="Q780" s="53" t="n">
        <f aca="false">J780-B780</f>
        <v>0</v>
      </c>
      <c r="R780" s="51" t="str">
        <f aca="false">IF(I780="N","Invalid / missing TRN",IF(F780="Blocked input (entertainment)","Blocked input",IF(Q780&gt;30,"Late posting (&gt;30d)","")))</f>
        <v/>
      </c>
    </row>
    <row r="781" customFormat="false" ht="15" hidden="false" customHeight="false" outlineLevel="0" collapsed="false">
      <c r="A781" s="47" t="s">
        <v>1067</v>
      </c>
      <c r="B781" s="48" t="n">
        <v>45879</v>
      </c>
      <c r="C781" s="47" t="s">
        <v>166</v>
      </c>
      <c r="D781" s="47" t="s">
        <v>466</v>
      </c>
      <c r="E781" s="47" t="s">
        <v>101</v>
      </c>
      <c r="F781" s="47" t="s">
        <v>161</v>
      </c>
      <c r="G781" s="49" t="n">
        <v>14210.14</v>
      </c>
      <c r="H781" s="50" t="n">
        <v>0.05</v>
      </c>
      <c r="I781" s="47" t="s">
        <v>162</v>
      </c>
      <c r="J781" s="48" t="n">
        <v>45879</v>
      </c>
      <c r="K781" s="51" t="str">
        <f aca="false">"Q"&amp;ROUNDUP(MONTH(B781)/3,0)</f>
        <v>Q3</v>
      </c>
      <c r="L781" s="52" t="n">
        <f aca="false">ROUND(G781*H781,2)</f>
        <v>710.51</v>
      </c>
      <c r="M781" s="52" t="n">
        <f aca="false">IF(AND(C781="Sales",F781="Standard-rated 5%"),L781,0)</f>
        <v>0</v>
      </c>
      <c r="N781" s="52" t="n">
        <f aca="false">IF(F781="Reverse charge (imported services)",L781,0)</f>
        <v>0</v>
      </c>
      <c r="O781" s="52" t="n">
        <f aca="false">IF(C781&lt;&gt;"Purchase",0,IF(OR(I781="N",F781="Blocked input (entertainment)"),0,L781))</f>
        <v>710.51</v>
      </c>
      <c r="P781" s="52" t="n">
        <f aca="false">IF(C781&lt;&gt;"Purchase",0,L781-O781)</f>
        <v>0</v>
      </c>
      <c r="Q781" s="53" t="n">
        <f aca="false">J781-B781</f>
        <v>0</v>
      </c>
      <c r="R781" s="51" t="str">
        <f aca="false">IF(I781="N","Invalid / missing TRN",IF(F781="Blocked input (entertainment)","Blocked input",IF(Q781&gt;30,"Late posting (&gt;30d)","")))</f>
        <v/>
      </c>
    </row>
    <row r="782" customFormat="false" ht="15" hidden="false" customHeight="false" outlineLevel="0" collapsed="false">
      <c r="A782" s="47" t="s">
        <v>1068</v>
      </c>
      <c r="B782" s="48" t="n">
        <v>45879</v>
      </c>
      <c r="C782" s="47" t="s">
        <v>159</v>
      </c>
      <c r="D782" s="47" t="s">
        <v>320</v>
      </c>
      <c r="E782" s="47" t="s">
        <v>101</v>
      </c>
      <c r="F782" s="47" t="s">
        <v>161</v>
      </c>
      <c r="G782" s="49" t="n">
        <v>36368.78</v>
      </c>
      <c r="H782" s="50" t="n">
        <v>0.05</v>
      </c>
      <c r="I782" s="47" t="s">
        <v>162</v>
      </c>
      <c r="J782" s="48" t="n">
        <v>45879</v>
      </c>
      <c r="K782" s="51" t="str">
        <f aca="false">"Q"&amp;ROUNDUP(MONTH(B782)/3,0)</f>
        <v>Q3</v>
      </c>
      <c r="L782" s="52" t="n">
        <f aca="false">ROUND(G782*H782,2)</f>
        <v>1818.44</v>
      </c>
      <c r="M782" s="52" t="n">
        <f aca="false">IF(AND(C782="Sales",F782="Standard-rated 5%"),L782,0)</f>
        <v>1818.44</v>
      </c>
      <c r="N782" s="52" t="n">
        <f aca="false">IF(F782="Reverse charge (imported services)",L782,0)</f>
        <v>0</v>
      </c>
      <c r="O782" s="52" t="n">
        <f aca="false">IF(C782&lt;&gt;"Purchase",0,IF(OR(I782="N",F782="Blocked input (entertainment)"),0,L782))</f>
        <v>0</v>
      </c>
      <c r="P782" s="52" t="n">
        <f aca="false">IF(C782&lt;&gt;"Purchase",0,L782-O782)</f>
        <v>0</v>
      </c>
      <c r="Q782" s="53" t="n">
        <f aca="false">J782-B782</f>
        <v>0</v>
      </c>
      <c r="R782" s="51" t="str">
        <f aca="false">IF(I782="N","Invalid / missing TRN",IF(F782="Blocked input (entertainment)","Blocked input",IF(Q782&gt;30,"Late posting (&gt;30d)","")))</f>
        <v/>
      </c>
    </row>
    <row r="783" customFormat="false" ht="15" hidden="false" customHeight="false" outlineLevel="0" collapsed="false">
      <c r="A783" s="47" t="s">
        <v>1069</v>
      </c>
      <c r="B783" s="48" t="n">
        <v>45879</v>
      </c>
      <c r="C783" s="47" t="s">
        <v>159</v>
      </c>
      <c r="D783" s="47" t="s">
        <v>213</v>
      </c>
      <c r="E783" s="47" t="s">
        <v>100</v>
      </c>
      <c r="F783" s="47" t="s">
        <v>161</v>
      </c>
      <c r="G783" s="49" t="n">
        <v>21056.1</v>
      </c>
      <c r="H783" s="50" t="n">
        <v>0.05</v>
      </c>
      <c r="I783" s="47" t="s">
        <v>162</v>
      </c>
      <c r="J783" s="48" t="n">
        <v>45879</v>
      </c>
      <c r="K783" s="51" t="str">
        <f aca="false">"Q"&amp;ROUNDUP(MONTH(B783)/3,0)</f>
        <v>Q3</v>
      </c>
      <c r="L783" s="52" t="n">
        <f aca="false">ROUND(G783*H783,2)</f>
        <v>1052.81</v>
      </c>
      <c r="M783" s="52" t="n">
        <f aca="false">IF(AND(C783="Sales",F783="Standard-rated 5%"),L783,0)</f>
        <v>1052.81</v>
      </c>
      <c r="N783" s="52" t="n">
        <f aca="false">IF(F783="Reverse charge (imported services)",L783,0)</f>
        <v>0</v>
      </c>
      <c r="O783" s="52" t="n">
        <f aca="false">IF(C783&lt;&gt;"Purchase",0,IF(OR(I783="N",F783="Blocked input (entertainment)"),0,L783))</f>
        <v>0</v>
      </c>
      <c r="P783" s="52" t="n">
        <f aca="false">IF(C783&lt;&gt;"Purchase",0,L783-O783)</f>
        <v>0</v>
      </c>
      <c r="Q783" s="53" t="n">
        <f aca="false">J783-B783</f>
        <v>0</v>
      </c>
      <c r="R783" s="51" t="str">
        <f aca="false">IF(I783="N","Invalid / missing TRN",IF(F783="Blocked input (entertainment)","Blocked input",IF(Q783&gt;30,"Late posting (&gt;30d)","")))</f>
        <v/>
      </c>
    </row>
    <row r="784" customFormat="false" ht="15" hidden="false" customHeight="false" outlineLevel="0" collapsed="false">
      <c r="A784" s="47" t="s">
        <v>1070</v>
      </c>
      <c r="B784" s="48" t="n">
        <v>45880</v>
      </c>
      <c r="C784" s="47" t="s">
        <v>166</v>
      </c>
      <c r="D784" s="47" t="s">
        <v>315</v>
      </c>
      <c r="E784" s="47" t="s">
        <v>100</v>
      </c>
      <c r="F784" s="47" t="s">
        <v>161</v>
      </c>
      <c r="G784" s="49" t="n">
        <v>41039.86</v>
      </c>
      <c r="H784" s="50" t="n">
        <v>0.05</v>
      </c>
      <c r="I784" s="47" t="s">
        <v>162</v>
      </c>
      <c r="J784" s="48" t="n">
        <v>45920</v>
      </c>
      <c r="K784" s="51" t="str">
        <f aca="false">"Q"&amp;ROUNDUP(MONTH(B784)/3,0)</f>
        <v>Q3</v>
      </c>
      <c r="L784" s="52" t="n">
        <f aca="false">ROUND(G784*H784,2)</f>
        <v>2051.99</v>
      </c>
      <c r="M784" s="52" t="n">
        <f aca="false">IF(AND(C784="Sales",F784="Standard-rated 5%"),L784,0)</f>
        <v>0</v>
      </c>
      <c r="N784" s="52" t="n">
        <f aca="false">IF(F784="Reverse charge (imported services)",L784,0)</f>
        <v>0</v>
      </c>
      <c r="O784" s="52" t="n">
        <f aca="false">IF(C784&lt;&gt;"Purchase",0,IF(OR(I784="N",F784="Blocked input (entertainment)"),0,L784))</f>
        <v>2051.99</v>
      </c>
      <c r="P784" s="52" t="n">
        <f aca="false">IF(C784&lt;&gt;"Purchase",0,L784-O784)</f>
        <v>0</v>
      </c>
      <c r="Q784" s="53" t="n">
        <f aca="false">J784-B784</f>
        <v>40</v>
      </c>
      <c r="R784" s="51" t="str">
        <f aca="false">IF(I784="N","Invalid / missing TRN",IF(F784="Blocked input (entertainment)","Blocked input",IF(Q784&gt;30,"Late posting (&gt;30d)","")))</f>
        <v>Late posting (&gt;30d)</v>
      </c>
    </row>
    <row r="785" customFormat="false" ht="15" hidden="false" customHeight="false" outlineLevel="0" collapsed="false">
      <c r="A785" s="47" t="s">
        <v>1071</v>
      </c>
      <c r="B785" s="48" t="n">
        <v>45880</v>
      </c>
      <c r="C785" s="47" t="s">
        <v>166</v>
      </c>
      <c r="D785" s="47" t="s">
        <v>194</v>
      </c>
      <c r="E785" s="47" t="s">
        <v>105</v>
      </c>
      <c r="F785" s="47" t="s">
        <v>161</v>
      </c>
      <c r="G785" s="49" t="n">
        <v>87664.76</v>
      </c>
      <c r="H785" s="50" t="n">
        <v>0.05</v>
      </c>
      <c r="I785" s="47" t="s">
        <v>162</v>
      </c>
      <c r="J785" s="48" t="n">
        <v>45880</v>
      </c>
      <c r="K785" s="51" t="str">
        <f aca="false">"Q"&amp;ROUNDUP(MONTH(B785)/3,0)</f>
        <v>Q3</v>
      </c>
      <c r="L785" s="52" t="n">
        <f aca="false">ROUND(G785*H785,2)</f>
        <v>4383.24</v>
      </c>
      <c r="M785" s="52" t="n">
        <f aca="false">IF(AND(C785="Sales",F785="Standard-rated 5%"),L785,0)</f>
        <v>0</v>
      </c>
      <c r="N785" s="52" t="n">
        <f aca="false">IF(F785="Reverse charge (imported services)",L785,0)</f>
        <v>0</v>
      </c>
      <c r="O785" s="52" t="n">
        <f aca="false">IF(C785&lt;&gt;"Purchase",0,IF(OR(I785="N",F785="Blocked input (entertainment)"),0,L785))</f>
        <v>4383.24</v>
      </c>
      <c r="P785" s="52" t="n">
        <f aca="false">IF(C785&lt;&gt;"Purchase",0,L785-O785)</f>
        <v>0</v>
      </c>
      <c r="Q785" s="53" t="n">
        <f aca="false">J785-B785</f>
        <v>0</v>
      </c>
      <c r="R785" s="51" t="str">
        <f aca="false">IF(I785="N","Invalid / missing TRN",IF(F785="Blocked input (entertainment)","Blocked input",IF(Q785&gt;30,"Late posting (&gt;30d)","")))</f>
        <v/>
      </c>
    </row>
    <row r="786" customFormat="false" ht="15" hidden="false" customHeight="false" outlineLevel="0" collapsed="false">
      <c r="A786" s="47" t="s">
        <v>1072</v>
      </c>
      <c r="B786" s="48" t="n">
        <v>45880</v>
      </c>
      <c r="C786" s="47" t="s">
        <v>159</v>
      </c>
      <c r="D786" s="47" t="s">
        <v>277</v>
      </c>
      <c r="E786" s="47" t="s">
        <v>101</v>
      </c>
      <c r="F786" s="47" t="s">
        <v>161</v>
      </c>
      <c r="G786" s="49" t="n">
        <v>39332.44</v>
      </c>
      <c r="H786" s="50" t="n">
        <v>0.05</v>
      </c>
      <c r="I786" s="47" t="s">
        <v>162</v>
      </c>
      <c r="J786" s="48" t="n">
        <v>45881</v>
      </c>
      <c r="K786" s="51" t="str">
        <f aca="false">"Q"&amp;ROUNDUP(MONTH(B786)/3,0)</f>
        <v>Q3</v>
      </c>
      <c r="L786" s="52" t="n">
        <f aca="false">ROUND(G786*H786,2)</f>
        <v>1966.62</v>
      </c>
      <c r="M786" s="52" t="n">
        <f aca="false">IF(AND(C786="Sales",F786="Standard-rated 5%"),L786,0)</f>
        <v>1966.62</v>
      </c>
      <c r="N786" s="52" t="n">
        <f aca="false">IF(F786="Reverse charge (imported services)",L786,0)</f>
        <v>0</v>
      </c>
      <c r="O786" s="52" t="n">
        <f aca="false">IF(C786&lt;&gt;"Purchase",0,IF(OR(I786="N",F786="Blocked input (entertainment)"),0,L786))</f>
        <v>0</v>
      </c>
      <c r="P786" s="52" t="n">
        <f aca="false">IF(C786&lt;&gt;"Purchase",0,L786-O786)</f>
        <v>0</v>
      </c>
      <c r="Q786" s="53" t="n">
        <f aca="false">J786-B786</f>
        <v>1</v>
      </c>
      <c r="R786" s="51" t="str">
        <f aca="false">IF(I786="N","Invalid / missing TRN",IF(F786="Blocked input (entertainment)","Blocked input",IF(Q786&gt;30,"Late posting (&gt;30d)","")))</f>
        <v/>
      </c>
    </row>
    <row r="787" customFormat="false" ht="15" hidden="false" customHeight="false" outlineLevel="0" collapsed="false">
      <c r="A787" s="47" t="s">
        <v>1073</v>
      </c>
      <c r="B787" s="48" t="n">
        <v>45880</v>
      </c>
      <c r="C787" s="47" t="s">
        <v>159</v>
      </c>
      <c r="D787" s="47" t="s">
        <v>376</v>
      </c>
      <c r="E787" s="47" t="s">
        <v>100</v>
      </c>
      <c r="F787" s="47" t="s">
        <v>161</v>
      </c>
      <c r="G787" s="49" t="n">
        <v>67068.44</v>
      </c>
      <c r="H787" s="50" t="n">
        <v>0.05</v>
      </c>
      <c r="I787" s="47" t="s">
        <v>162</v>
      </c>
      <c r="J787" s="48" t="n">
        <v>45880</v>
      </c>
      <c r="K787" s="51" t="str">
        <f aca="false">"Q"&amp;ROUNDUP(MONTH(B787)/3,0)</f>
        <v>Q3</v>
      </c>
      <c r="L787" s="52" t="n">
        <f aca="false">ROUND(G787*H787,2)</f>
        <v>3353.42</v>
      </c>
      <c r="M787" s="52" t="n">
        <f aca="false">IF(AND(C787="Sales",F787="Standard-rated 5%"),L787,0)</f>
        <v>3353.42</v>
      </c>
      <c r="N787" s="52" t="n">
        <f aca="false">IF(F787="Reverse charge (imported services)",L787,0)</f>
        <v>0</v>
      </c>
      <c r="O787" s="52" t="n">
        <f aca="false">IF(C787&lt;&gt;"Purchase",0,IF(OR(I787="N",F787="Blocked input (entertainment)"),0,L787))</f>
        <v>0</v>
      </c>
      <c r="P787" s="52" t="n">
        <f aca="false">IF(C787&lt;&gt;"Purchase",0,L787-O787)</f>
        <v>0</v>
      </c>
      <c r="Q787" s="53" t="n">
        <f aca="false">J787-B787</f>
        <v>0</v>
      </c>
      <c r="R787" s="51" t="str">
        <f aca="false">IF(I787="N","Invalid / missing TRN",IF(F787="Blocked input (entertainment)","Blocked input",IF(Q787&gt;30,"Late posting (&gt;30d)","")))</f>
        <v/>
      </c>
    </row>
    <row r="788" customFormat="false" ht="15" hidden="false" customHeight="false" outlineLevel="0" collapsed="false">
      <c r="A788" s="47" t="s">
        <v>1074</v>
      </c>
      <c r="B788" s="48" t="n">
        <v>45880</v>
      </c>
      <c r="C788" s="47" t="s">
        <v>159</v>
      </c>
      <c r="D788" s="47" t="s">
        <v>241</v>
      </c>
      <c r="E788" s="47" t="s">
        <v>100</v>
      </c>
      <c r="F788" s="47" t="s">
        <v>278</v>
      </c>
      <c r="G788" s="49" t="n">
        <v>70893.72</v>
      </c>
      <c r="H788" s="50" t="n">
        <v>0</v>
      </c>
      <c r="I788" s="47" t="s">
        <v>162</v>
      </c>
      <c r="J788" s="48" t="n">
        <v>45880</v>
      </c>
      <c r="K788" s="51" t="str">
        <f aca="false">"Q"&amp;ROUNDUP(MONTH(B788)/3,0)</f>
        <v>Q3</v>
      </c>
      <c r="L788" s="52" t="n">
        <f aca="false">ROUND(G788*H788,2)</f>
        <v>0</v>
      </c>
      <c r="M788" s="52" t="n">
        <f aca="false">IF(AND(C788="Sales",F788="Standard-rated 5%"),L788,0)</f>
        <v>0</v>
      </c>
      <c r="N788" s="52" t="n">
        <f aca="false">IF(F788="Reverse charge (imported services)",L788,0)</f>
        <v>0</v>
      </c>
      <c r="O788" s="52" t="n">
        <f aca="false">IF(C788&lt;&gt;"Purchase",0,IF(OR(I788="N",F788="Blocked input (entertainment)"),0,L788))</f>
        <v>0</v>
      </c>
      <c r="P788" s="52" t="n">
        <f aca="false">IF(C788&lt;&gt;"Purchase",0,L788-O788)</f>
        <v>0</v>
      </c>
      <c r="Q788" s="53" t="n">
        <f aca="false">J788-B788</f>
        <v>0</v>
      </c>
      <c r="R788" s="51" t="str">
        <f aca="false">IF(I788="N","Invalid / missing TRN",IF(F788="Blocked input (entertainment)","Blocked input",IF(Q788&gt;30,"Late posting (&gt;30d)","")))</f>
        <v/>
      </c>
    </row>
    <row r="789" customFormat="false" ht="15" hidden="false" customHeight="false" outlineLevel="0" collapsed="false">
      <c r="A789" s="47" t="s">
        <v>1075</v>
      </c>
      <c r="B789" s="48" t="n">
        <v>45880</v>
      </c>
      <c r="C789" s="47" t="s">
        <v>159</v>
      </c>
      <c r="D789" s="47" t="s">
        <v>317</v>
      </c>
      <c r="E789" s="47" t="s">
        <v>105</v>
      </c>
      <c r="F789" s="47" t="s">
        <v>161</v>
      </c>
      <c r="G789" s="49" t="n">
        <v>27040.62</v>
      </c>
      <c r="H789" s="50" t="n">
        <v>0.05</v>
      </c>
      <c r="I789" s="47" t="s">
        <v>162</v>
      </c>
      <c r="J789" s="48" t="n">
        <v>45880</v>
      </c>
      <c r="K789" s="51" t="str">
        <f aca="false">"Q"&amp;ROUNDUP(MONTH(B789)/3,0)</f>
        <v>Q3</v>
      </c>
      <c r="L789" s="52" t="n">
        <f aca="false">ROUND(G789*H789,2)</f>
        <v>1352.03</v>
      </c>
      <c r="M789" s="52" t="n">
        <f aca="false">IF(AND(C789="Sales",F789="Standard-rated 5%"),L789,0)</f>
        <v>1352.03</v>
      </c>
      <c r="N789" s="52" t="n">
        <f aca="false">IF(F789="Reverse charge (imported services)",L789,0)</f>
        <v>0</v>
      </c>
      <c r="O789" s="52" t="n">
        <f aca="false">IF(C789&lt;&gt;"Purchase",0,IF(OR(I789="N",F789="Blocked input (entertainment)"),0,L789))</f>
        <v>0</v>
      </c>
      <c r="P789" s="52" t="n">
        <f aca="false">IF(C789&lt;&gt;"Purchase",0,L789-O789)</f>
        <v>0</v>
      </c>
      <c r="Q789" s="53" t="n">
        <f aca="false">J789-B789</f>
        <v>0</v>
      </c>
      <c r="R789" s="51" t="str">
        <f aca="false">IF(I789="N","Invalid / missing TRN",IF(F789="Blocked input (entertainment)","Blocked input",IF(Q789&gt;30,"Late posting (&gt;30d)","")))</f>
        <v/>
      </c>
    </row>
    <row r="790" customFormat="false" ht="15" hidden="false" customHeight="false" outlineLevel="0" collapsed="false">
      <c r="A790" s="47" t="s">
        <v>1076</v>
      </c>
      <c r="B790" s="48" t="n">
        <v>45881</v>
      </c>
      <c r="C790" s="47" t="s">
        <v>166</v>
      </c>
      <c r="D790" s="47" t="s">
        <v>408</v>
      </c>
      <c r="E790" s="47" t="s">
        <v>101</v>
      </c>
      <c r="F790" s="47" t="s">
        <v>161</v>
      </c>
      <c r="G790" s="49" t="n">
        <v>24529.67</v>
      </c>
      <c r="H790" s="50" t="n">
        <v>0.05</v>
      </c>
      <c r="I790" s="47" t="s">
        <v>162</v>
      </c>
      <c r="J790" s="48" t="n">
        <v>45881</v>
      </c>
      <c r="K790" s="51" t="str">
        <f aca="false">"Q"&amp;ROUNDUP(MONTH(B790)/3,0)</f>
        <v>Q3</v>
      </c>
      <c r="L790" s="52" t="n">
        <f aca="false">ROUND(G790*H790,2)</f>
        <v>1226.48</v>
      </c>
      <c r="M790" s="52" t="n">
        <f aca="false">IF(AND(C790="Sales",F790="Standard-rated 5%"),L790,0)</f>
        <v>0</v>
      </c>
      <c r="N790" s="52" t="n">
        <f aca="false">IF(F790="Reverse charge (imported services)",L790,0)</f>
        <v>0</v>
      </c>
      <c r="O790" s="52" t="n">
        <f aca="false">IF(C790&lt;&gt;"Purchase",0,IF(OR(I790="N",F790="Blocked input (entertainment)"),0,L790))</f>
        <v>1226.48</v>
      </c>
      <c r="P790" s="52" t="n">
        <f aca="false">IF(C790&lt;&gt;"Purchase",0,L790-O790)</f>
        <v>0</v>
      </c>
      <c r="Q790" s="53" t="n">
        <f aca="false">J790-B790</f>
        <v>0</v>
      </c>
      <c r="R790" s="51" t="str">
        <f aca="false">IF(I790="N","Invalid / missing TRN",IF(F790="Blocked input (entertainment)","Blocked input",IF(Q790&gt;30,"Late posting (&gt;30d)","")))</f>
        <v/>
      </c>
    </row>
    <row r="791" customFormat="false" ht="15" hidden="false" customHeight="false" outlineLevel="0" collapsed="false">
      <c r="A791" s="47" t="s">
        <v>1077</v>
      </c>
      <c r="B791" s="48" t="n">
        <v>45881</v>
      </c>
      <c r="C791" s="47" t="s">
        <v>159</v>
      </c>
      <c r="D791" s="47" t="s">
        <v>320</v>
      </c>
      <c r="E791" s="47" t="s">
        <v>102</v>
      </c>
      <c r="F791" s="47" t="s">
        <v>161</v>
      </c>
      <c r="G791" s="49" t="n">
        <v>63569.64</v>
      </c>
      <c r="H791" s="50" t="n">
        <v>0.05</v>
      </c>
      <c r="I791" s="47" t="s">
        <v>162</v>
      </c>
      <c r="J791" s="48" t="n">
        <v>45921</v>
      </c>
      <c r="K791" s="51" t="str">
        <f aca="false">"Q"&amp;ROUNDUP(MONTH(B791)/3,0)</f>
        <v>Q3</v>
      </c>
      <c r="L791" s="52" t="n">
        <f aca="false">ROUND(G791*H791,2)</f>
        <v>3178.48</v>
      </c>
      <c r="M791" s="52" t="n">
        <f aca="false">IF(AND(C791="Sales",F791="Standard-rated 5%"),L791,0)</f>
        <v>3178.48</v>
      </c>
      <c r="N791" s="52" t="n">
        <f aca="false">IF(F791="Reverse charge (imported services)",L791,0)</f>
        <v>0</v>
      </c>
      <c r="O791" s="52" t="n">
        <f aca="false">IF(C791&lt;&gt;"Purchase",0,IF(OR(I791="N",F791="Blocked input (entertainment)"),0,L791))</f>
        <v>0</v>
      </c>
      <c r="P791" s="52" t="n">
        <f aca="false">IF(C791&lt;&gt;"Purchase",0,L791-O791)</f>
        <v>0</v>
      </c>
      <c r="Q791" s="53" t="n">
        <f aca="false">J791-B791</f>
        <v>40</v>
      </c>
      <c r="R791" s="51" t="str">
        <f aca="false">IF(I791="N","Invalid / missing TRN",IF(F791="Blocked input (entertainment)","Blocked input",IF(Q791&gt;30,"Late posting (&gt;30d)","")))</f>
        <v>Late posting (&gt;30d)</v>
      </c>
    </row>
    <row r="792" customFormat="false" ht="15" hidden="false" customHeight="false" outlineLevel="0" collapsed="false">
      <c r="A792" s="47" t="s">
        <v>1078</v>
      </c>
      <c r="B792" s="48" t="n">
        <v>45881</v>
      </c>
      <c r="C792" s="47" t="s">
        <v>159</v>
      </c>
      <c r="D792" s="47" t="s">
        <v>581</v>
      </c>
      <c r="E792" s="47" t="s">
        <v>104</v>
      </c>
      <c r="F792" s="47" t="s">
        <v>214</v>
      </c>
      <c r="G792" s="49" t="n">
        <v>44032.4</v>
      </c>
      <c r="H792" s="50" t="n">
        <v>0</v>
      </c>
      <c r="I792" s="47" t="s">
        <v>162</v>
      </c>
      <c r="J792" s="48" t="n">
        <v>45881</v>
      </c>
      <c r="K792" s="51" t="str">
        <f aca="false">"Q"&amp;ROUNDUP(MONTH(B792)/3,0)</f>
        <v>Q3</v>
      </c>
      <c r="L792" s="52" t="n">
        <f aca="false">ROUND(G792*H792,2)</f>
        <v>0</v>
      </c>
      <c r="M792" s="52" t="n">
        <f aca="false">IF(AND(C792="Sales",F792="Standard-rated 5%"),L792,0)</f>
        <v>0</v>
      </c>
      <c r="N792" s="52" t="n">
        <f aca="false">IF(F792="Reverse charge (imported services)",L792,0)</f>
        <v>0</v>
      </c>
      <c r="O792" s="52" t="n">
        <f aca="false">IF(C792&lt;&gt;"Purchase",0,IF(OR(I792="N",F792="Blocked input (entertainment)"),0,L792))</f>
        <v>0</v>
      </c>
      <c r="P792" s="52" t="n">
        <f aca="false">IF(C792&lt;&gt;"Purchase",0,L792-O792)</f>
        <v>0</v>
      </c>
      <c r="Q792" s="53" t="n">
        <f aca="false">J792-B792</f>
        <v>0</v>
      </c>
      <c r="R792" s="51" t="str">
        <f aca="false">IF(I792="N","Invalid / missing TRN",IF(F792="Blocked input (entertainment)","Blocked input",IF(Q792&gt;30,"Late posting (&gt;30d)","")))</f>
        <v/>
      </c>
    </row>
    <row r="793" customFormat="false" ht="15" hidden="false" customHeight="false" outlineLevel="0" collapsed="false">
      <c r="A793" s="47" t="s">
        <v>1079</v>
      </c>
      <c r="B793" s="48" t="n">
        <v>45881</v>
      </c>
      <c r="C793" s="47" t="s">
        <v>159</v>
      </c>
      <c r="D793" s="47" t="s">
        <v>260</v>
      </c>
      <c r="E793" s="47" t="s">
        <v>100</v>
      </c>
      <c r="F793" s="47" t="s">
        <v>278</v>
      </c>
      <c r="G793" s="49" t="n">
        <v>39562.4</v>
      </c>
      <c r="H793" s="50" t="n">
        <v>0</v>
      </c>
      <c r="I793" s="47" t="s">
        <v>162</v>
      </c>
      <c r="J793" s="48" t="n">
        <v>45881</v>
      </c>
      <c r="K793" s="51" t="str">
        <f aca="false">"Q"&amp;ROUNDUP(MONTH(B793)/3,0)</f>
        <v>Q3</v>
      </c>
      <c r="L793" s="52" t="n">
        <f aca="false">ROUND(G793*H793,2)</f>
        <v>0</v>
      </c>
      <c r="M793" s="52" t="n">
        <f aca="false">IF(AND(C793="Sales",F793="Standard-rated 5%"),L793,0)</f>
        <v>0</v>
      </c>
      <c r="N793" s="52" t="n">
        <f aca="false">IF(F793="Reverse charge (imported services)",L793,0)</f>
        <v>0</v>
      </c>
      <c r="O793" s="52" t="n">
        <f aca="false">IF(C793&lt;&gt;"Purchase",0,IF(OR(I793="N",F793="Blocked input (entertainment)"),0,L793))</f>
        <v>0</v>
      </c>
      <c r="P793" s="52" t="n">
        <f aca="false">IF(C793&lt;&gt;"Purchase",0,L793-O793)</f>
        <v>0</v>
      </c>
      <c r="Q793" s="53" t="n">
        <f aca="false">J793-B793</f>
        <v>0</v>
      </c>
      <c r="R793" s="51" t="str">
        <f aca="false">IF(I793="N","Invalid / missing TRN",IF(F793="Blocked input (entertainment)","Blocked input",IF(Q793&gt;30,"Late posting (&gt;30d)","")))</f>
        <v/>
      </c>
    </row>
    <row r="794" customFormat="false" ht="15" hidden="false" customHeight="false" outlineLevel="0" collapsed="false">
      <c r="A794" s="47" t="s">
        <v>1080</v>
      </c>
      <c r="B794" s="48" t="n">
        <v>45882</v>
      </c>
      <c r="C794" s="47" t="s">
        <v>166</v>
      </c>
      <c r="D794" s="47" t="s">
        <v>206</v>
      </c>
      <c r="E794" s="47" t="s">
        <v>100</v>
      </c>
      <c r="F794" s="47" t="s">
        <v>161</v>
      </c>
      <c r="G794" s="49" t="n">
        <v>26132.98</v>
      </c>
      <c r="H794" s="50" t="n">
        <v>0.05</v>
      </c>
      <c r="I794" s="47" t="s">
        <v>162</v>
      </c>
      <c r="J794" s="48" t="n">
        <v>45882</v>
      </c>
      <c r="K794" s="51" t="str">
        <f aca="false">"Q"&amp;ROUNDUP(MONTH(B794)/3,0)</f>
        <v>Q3</v>
      </c>
      <c r="L794" s="52" t="n">
        <f aca="false">ROUND(G794*H794,2)</f>
        <v>1306.65</v>
      </c>
      <c r="M794" s="52" t="n">
        <f aca="false">IF(AND(C794="Sales",F794="Standard-rated 5%"),L794,0)</f>
        <v>0</v>
      </c>
      <c r="N794" s="52" t="n">
        <f aca="false">IF(F794="Reverse charge (imported services)",L794,0)</f>
        <v>0</v>
      </c>
      <c r="O794" s="52" t="n">
        <f aca="false">IF(C794&lt;&gt;"Purchase",0,IF(OR(I794="N",F794="Blocked input (entertainment)"),0,L794))</f>
        <v>1306.65</v>
      </c>
      <c r="P794" s="52" t="n">
        <f aca="false">IF(C794&lt;&gt;"Purchase",0,L794-O794)</f>
        <v>0</v>
      </c>
      <c r="Q794" s="53" t="n">
        <f aca="false">J794-B794</f>
        <v>0</v>
      </c>
      <c r="R794" s="51" t="str">
        <f aca="false">IF(I794="N","Invalid / missing TRN",IF(F794="Blocked input (entertainment)","Blocked input",IF(Q794&gt;30,"Late posting (&gt;30d)","")))</f>
        <v/>
      </c>
    </row>
    <row r="795" customFormat="false" ht="15" hidden="false" customHeight="false" outlineLevel="0" collapsed="false">
      <c r="A795" s="47" t="s">
        <v>1081</v>
      </c>
      <c r="B795" s="48" t="n">
        <v>45882</v>
      </c>
      <c r="C795" s="47" t="s">
        <v>166</v>
      </c>
      <c r="D795" s="47" t="s">
        <v>280</v>
      </c>
      <c r="E795" s="47" t="s">
        <v>100</v>
      </c>
      <c r="F795" s="47" t="s">
        <v>161</v>
      </c>
      <c r="G795" s="49" t="n">
        <v>25809.83</v>
      </c>
      <c r="H795" s="50" t="n">
        <v>0.05</v>
      </c>
      <c r="I795" s="47" t="s">
        <v>162</v>
      </c>
      <c r="J795" s="48" t="n">
        <v>45884</v>
      </c>
      <c r="K795" s="51" t="str">
        <f aca="false">"Q"&amp;ROUNDUP(MONTH(B795)/3,0)</f>
        <v>Q3</v>
      </c>
      <c r="L795" s="52" t="n">
        <f aca="false">ROUND(G795*H795,2)</f>
        <v>1290.49</v>
      </c>
      <c r="M795" s="52" t="n">
        <f aca="false">IF(AND(C795="Sales",F795="Standard-rated 5%"),L795,0)</f>
        <v>0</v>
      </c>
      <c r="N795" s="52" t="n">
        <f aca="false">IF(F795="Reverse charge (imported services)",L795,0)</f>
        <v>0</v>
      </c>
      <c r="O795" s="52" t="n">
        <f aca="false">IF(C795&lt;&gt;"Purchase",0,IF(OR(I795="N",F795="Blocked input (entertainment)"),0,L795))</f>
        <v>1290.49</v>
      </c>
      <c r="P795" s="52" t="n">
        <f aca="false">IF(C795&lt;&gt;"Purchase",0,L795-O795)</f>
        <v>0</v>
      </c>
      <c r="Q795" s="53" t="n">
        <f aca="false">J795-B795</f>
        <v>2</v>
      </c>
      <c r="R795" s="51" t="str">
        <f aca="false">IF(I795="N","Invalid / missing TRN",IF(F795="Blocked input (entertainment)","Blocked input",IF(Q795&gt;30,"Late posting (&gt;30d)","")))</f>
        <v/>
      </c>
    </row>
    <row r="796" customFormat="false" ht="15" hidden="false" customHeight="false" outlineLevel="0" collapsed="false">
      <c r="A796" s="47" t="s">
        <v>1082</v>
      </c>
      <c r="B796" s="48" t="n">
        <v>45882</v>
      </c>
      <c r="C796" s="47" t="s">
        <v>166</v>
      </c>
      <c r="D796" s="47" t="s">
        <v>184</v>
      </c>
      <c r="E796" s="47" t="s">
        <v>100</v>
      </c>
      <c r="F796" s="47" t="s">
        <v>161</v>
      </c>
      <c r="G796" s="49" t="n">
        <v>15171.08</v>
      </c>
      <c r="H796" s="50" t="n">
        <v>0.05</v>
      </c>
      <c r="I796" s="47" t="s">
        <v>162</v>
      </c>
      <c r="J796" s="48" t="n">
        <v>45882</v>
      </c>
      <c r="K796" s="51" t="str">
        <f aca="false">"Q"&amp;ROUNDUP(MONTH(B796)/3,0)</f>
        <v>Q3</v>
      </c>
      <c r="L796" s="52" t="n">
        <f aca="false">ROUND(G796*H796,2)</f>
        <v>758.55</v>
      </c>
      <c r="M796" s="52" t="n">
        <f aca="false">IF(AND(C796="Sales",F796="Standard-rated 5%"),L796,0)</f>
        <v>0</v>
      </c>
      <c r="N796" s="52" t="n">
        <f aca="false">IF(F796="Reverse charge (imported services)",L796,0)</f>
        <v>0</v>
      </c>
      <c r="O796" s="52" t="n">
        <f aca="false">IF(C796&lt;&gt;"Purchase",0,IF(OR(I796="N",F796="Blocked input (entertainment)"),0,L796))</f>
        <v>758.55</v>
      </c>
      <c r="P796" s="52" t="n">
        <f aca="false">IF(C796&lt;&gt;"Purchase",0,L796-O796)</f>
        <v>0</v>
      </c>
      <c r="Q796" s="53" t="n">
        <f aca="false">J796-B796</f>
        <v>0</v>
      </c>
      <c r="R796" s="51" t="str">
        <f aca="false">IF(I796="N","Invalid / missing TRN",IF(F796="Blocked input (entertainment)","Blocked input",IF(Q796&gt;30,"Late posting (&gt;30d)","")))</f>
        <v/>
      </c>
    </row>
    <row r="797" customFormat="false" ht="15" hidden="false" customHeight="false" outlineLevel="0" collapsed="false">
      <c r="A797" s="47" t="s">
        <v>1083</v>
      </c>
      <c r="B797" s="48" t="n">
        <v>45882</v>
      </c>
      <c r="C797" s="47" t="s">
        <v>166</v>
      </c>
      <c r="D797" s="47" t="s">
        <v>206</v>
      </c>
      <c r="E797" s="47" t="s">
        <v>104</v>
      </c>
      <c r="F797" s="47" t="s">
        <v>161</v>
      </c>
      <c r="G797" s="49" t="n">
        <v>19484.08</v>
      </c>
      <c r="H797" s="50" t="n">
        <v>0.05</v>
      </c>
      <c r="I797" s="47" t="s">
        <v>162</v>
      </c>
      <c r="J797" s="48" t="n">
        <v>45882</v>
      </c>
      <c r="K797" s="51" t="str">
        <f aca="false">"Q"&amp;ROUNDUP(MONTH(B797)/3,0)</f>
        <v>Q3</v>
      </c>
      <c r="L797" s="52" t="n">
        <f aca="false">ROUND(G797*H797,2)</f>
        <v>974.2</v>
      </c>
      <c r="M797" s="52" t="n">
        <f aca="false">IF(AND(C797="Sales",F797="Standard-rated 5%"),L797,0)</f>
        <v>0</v>
      </c>
      <c r="N797" s="52" t="n">
        <f aca="false">IF(F797="Reverse charge (imported services)",L797,0)</f>
        <v>0</v>
      </c>
      <c r="O797" s="52" t="n">
        <f aca="false">IF(C797&lt;&gt;"Purchase",0,IF(OR(I797="N",F797="Blocked input (entertainment)"),0,L797))</f>
        <v>974.2</v>
      </c>
      <c r="P797" s="52" t="n">
        <f aca="false">IF(C797&lt;&gt;"Purchase",0,L797-O797)</f>
        <v>0</v>
      </c>
      <c r="Q797" s="53" t="n">
        <f aca="false">J797-B797</f>
        <v>0</v>
      </c>
      <c r="R797" s="51" t="str">
        <f aca="false">IF(I797="N","Invalid / missing TRN",IF(F797="Blocked input (entertainment)","Blocked input",IF(Q797&gt;30,"Late posting (&gt;30d)","")))</f>
        <v/>
      </c>
    </row>
    <row r="798" customFormat="false" ht="15" hidden="false" customHeight="false" outlineLevel="0" collapsed="false">
      <c r="A798" s="47" t="s">
        <v>1084</v>
      </c>
      <c r="B798" s="48" t="n">
        <v>45882</v>
      </c>
      <c r="C798" s="47" t="s">
        <v>166</v>
      </c>
      <c r="D798" s="47" t="s">
        <v>408</v>
      </c>
      <c r="E798" s="47" t="s">
        <v>100</v>
      </c>
      <c r="F798" s="47" t="s">
        <v>161</v>
      </c>
      <c r="G798" s="49" t="n">
        <v>26756.37</v>
      </c>
      <c r="H798" s="50" t="n">
        <v>0.05</v>
      </c>
      <c r="I798" s="47" t="s">
        <v>162</v>
      </c>
      <c r="J798" s="48" t="n">
        <v>45882</v>
      </c>
      <c r="K798" s="51" t="str">
        <f aca="false">"Q"&amp;ROUNDUP(MONTH(B798)/3,0)</f>
        <v>Q3</v>
      </c>
      <c r="L798" s="52" t="n">
        <f aca="false">ROUND(G798*H798,2)</f>
        <v>1337.82</v>
      </c>
      <c r="M798" s="52" t="n">
        <f aca="false">IF(AND(C798="Sales",F798="Standard-rated 5%"),L798,0)</f>
        <v>0</v>
      </c>
      <c r="N798" s="52" t="n">
        <f aca="false">IF(F798="Reverse charge (imported services)",L798,0)</f>
        <v>0</v>
      </c>
      <c r="O798" s="52" t="n">
        <f aca="false">IF(C798&lt;&gt;"Purchase",0,IF(OR(I798="N",F798="Blocked input (entertainment)"),0,L798))</f>
        <v>1337.82</v>
      </c>
      <c r="P798" s="52" t="n">
        <f aca="false">IF(C798&lt;&gt;"Purchase",0,L798-O798)</f>
        <v>0</v>
      </c>
      <c r="Q798" s="53" t="n">
        <f aca="false">J798-B798</f>
        <v>0</v>
      </c>
      <c r="R798" s="51" t="str">
        <f aca="false">IF(I798="N","Invalid / missing TRN",IF(F798="Blocked input (entertainment)","Blocked input",IF(Q798&gt;30,"Late posting (&gt;30d)","")))</f>
        <v/>
      </c>
    </row>
    <row r="799" customFormat="false" ht="15" hidden="false" customHeight="false" outlineLevel="0" collapsed="false">
      <c r="A799" s="47" t="s">
        <v>1085</v>
      </c>
      <c r="B799" s="48" t="n">
        <v>45882</v>
      </c>
      <c r="C799" s="47" t="s">
        <v>159</v>
      </c>
      <c r="D799" s="47" t="s">
        <v>373</v>
      </c>
      <c r="E799" s="47" t="s">
        <v>102</v>
      </c>
      <c r="F799" s="47" t="s">
        <v>161</v>
      </c>
      <c r="G799" s="49" t="n">
        <v>10551.98</v>
      </c>
      <c r="H799" s="50" t="n">
        <v>0.05</v>
      </c>
      <c r="I799" s="47" t="s">
        <v>162</v>
      </c>
      <c r="J799" s="48" t="n">
        <v>45887</v>
      </c>
      <c r="K799" s="51" t="str">
        <f aca="false">"Q"&amp;ROUNDUP(MONTH(B799)/3,0)</f>
        <v>Q3</v>
      </c>
      <c r="L799" s="52" t="n">
        <f aca="false">ROUND(G799*H799,2)</f>
        <v>527.6</v>
      </c>
      <c r="M799" s="52" t="n">
        <f aca="false">IF(AND(C799="Sales",F799="Standard-rated 5%"),L799,0)</f>
        <v>527.6</v>
      </c>
      <c r="N799" s="52" t="n">
        <f aca="false">IF(F799="Reverse charge (imported services)",L799,0)</f>
        <v>0</v>
      </c>
      <c r="O799" s="52" t="n">
        <f aca="false">IF(C799&lt;&gt;"Purchase",0,IF(OR(I799="N",F799="Blocked input (entertainment)"),0,L799))</f>
        <v>0</v>
      </c>
      <c r="P799" s="52" t="n">
        <f aca="false">IF(C799&lt;&gt;"Purchase",0,L799-O799)</f>
        <v>0</v>
      </c>
      <c r="Q799" s="53" t="n">
        <f aca="false">J799-B799</f>
        <v>5</v>
      </c>
      <c r="R799" s="51" t="str">
        <f aca="false">IF(I799="N","Invalid / missing TRN",IF(F799="Blocked input (entertainment)","Blocked input",IF(Q799&gt;30,"Late posting (&gt;30d)","")))</f>
        <v/>
      </c>
    </row>
    <row r="800" customFormat="false" ht="15" hidden="false" customHeight="false" outlineLevel="0" collapsed="false">
      <c r="A800" s="47" t="s">
        <v>1086</v>
      </c>
      <c r="B800" s="48" t="n">
        <v>45882</v>
      </c>
      <c r="C800" s="47" t="s">
        <v>159</v>
      </c>
      <c r="D800" s="47" t="s">
        <v>213</v>
      </c>
      <c r="E800" s="47" t="s">
        <v>100</v>
      </c>
      <c r="F800" s="47" t="s">
        <v>301</v>
      </c>
      <c r="G800" s="49" t="n">
        <v>25164.22</v>
      </c>
      <c r="H800" s="50" t="n">
        <v>0</v>
      </c>
      <c r="I800" s="47" t="s">
        <v>162</v>
      </c>
      <c r="J800" s="48" t="n">
        <v>45882</v>
      </c>
      <c r="K800" s="51" t="str">
        <f aca="false">"Q"&amp;ROUNDUP(MONTH(B800)/3,0)</f>
        <v>Q3</v>
      </c>
      <c r="L800" s="52" t="n">
        <f aca="false">ROUND(G800*H800,2)</f>
        <v>0</v>
      </c>
      <c r="M800" s="52" t="n">
        <f aca="false">IF(AND(C800="Sales",F800="Standard-rated 5%"),L800,0)</f>
        <v>0</v>
      </c>
      <c r="N800" s="52" t="n">
        <f aca="false">IF(F800="Reverse charge (imported services)",L800,0)</f>
        <v>0</v>
      </c>
      <c r="O800" s="52" t="n">
        <f aca="false">IF(C800&lt;&gt;"Purchase",0,IF(OR(I800="N",F800="Blocked input (entertainment)"),0,L800))</f>
        <v>0</v>
      </c>
      <c r="P800" s="52" t="n">
        <f aca="false">IF(C800&lt;&gt;"Purchase",0,L800-O800)</f>
        <v>0</v>
      </c>
      <c r="Q800" s="53" t="n">
        <f aca="false">J800-B800</f>
        <v>0</v>
      </c>
      <c r="R800" s="51" t="str">
        <f aca="false">IF(I800="N","Invalid / missing TRN",IF(F800="Blocked input (entertainment)","Blocked input",IF(Q800&gt;30,"Late posting (&gt;30d)","")))</f>
        <v/>
      </c>
    </row>
    <row r="801" customFormat="false" ht="15" hidden="false" customHeight="false" outlineLevel="0" collapsed="false">
      <c r="A801" s="47" t="s">
        <v>1087</v>
      </c>
      <c r="B801" s="48" t="n">
        <v>45883</v>
      </c>
      <c r="C801" s="47" t="s">
        <v>166</v>
      </c>
      <c r="D801" s="47" t="s">
        <v>196</v>
      </c>
      <c r="E801" s="47" t="s">
        <v>100</v>
      </c>
      <c r="F801" s="47" t="s">
        <v>170</v>
      </c>
      <c r="G801" s="49" t="n">
        <v>39595.58</v>
      </c>
      <c r="H801" s="50" t="n">
        <v>0.05</v>
      </c>
      <c r="I801" s="47" t="s">
        <v>162</v>
      </c>
      <c r="J801" s="48" t="n">
        <v>45883</v>
      </c>
      <c r="K801" s="51" t="str">
        <f aca="false">"Q"&amp;ROUNDUP(MONTH(B801)/3,0)</f>
        <v>Q3</v>
      </c>
      <c r="L801" s="52" t="n">
        <f aca="false">ROUND(G801*H801,2)</f>
        <v>1979.78</v>
      </c>
      <c r="M801" s="52" t="n">
        <f aca="false">IF(AND(C801="Sales",F801="Standard-rated 5%"),L801,0)</f>
        <v>0</v>
      </c>
      <c r="N801" s="52" t="n">
        <f aca="false">IF(F801="Reverse charge (imported services)",L801,0)</f>
        <v>0</v>
      </c>
      <c r="O801" s="52" t="n">
        <f aca="false">IF(C801&lt;&gt;"Purchase",0,IF(OR(I801="N",F801="Blocked input (entertainment)"),0,L801))</f>
        <v>0</v>
      </c>
      <c r="P801" s="52" t="n">
        <f aca="false">IF(C801&lt;&gt;"Purchase",0,L801-O801)</f>
        <v>1979.78</v>
      </c>
      <c r="Q801" s="53" t="n">
        <f aca="false">J801-B801</f>
        <v>0</v>
      </c>
      <c r="R801" s="51" t="str">
        <f aca="false">IF(I801="N","Invalid / missing TRN",IF(F801="Blocked input (entertainment)","Blocked input",IF(Q801&gt;30,"Late posting (&gt;30d)","")))</f>
        <v>Blocked input</v>
      </c>
    </row>
    <row r="802" customFormat="false" ht="15" hidden="false" customHeight="false" outlineLevel="0" collapsed="false">
      <c r="A802" s="47" t="s">
        <v>1088</v>
      </c>
      <c r="B802" s="48" t="n">
        <v>45883</v>
      </c>
      <c r="C802" s="47" t="s">
        <v>166</v>
      </c>
      <c r="D802" s="47" t="s">
        <v>335</v>
      </c>
      <c r="E802" s="47" t="s">
        <v>103</v>
      </c>
      <c r="F802" s="47" t="s">
        <v>161</v>
      </c>
      <c r="G802" s="49" t="n">
        <v>34111.35</v>
      </c>
      <c r="H802" s="50" t="n">
        <v>0.05</v>
      </c>
      <c r="I802" s="47" t="s">
        <v>162</v>
      </c>
      <c r="J802" s="48" t="n">
        <v>45923</v>
      </c>
      <c r="K802" s="51" t="str">
        <f aca="false">"Q"&amp;ROUNDUP(MONTH(B802)/3,0)</f>
        <v>Q3</v>
      </c>
      <c r="L802" s="52" t="n">
        <f aca="false">ROUND(G802*H802,2)</f>
        <v>1705.57</v>
      </c>
      <c r="M802" s="52" t="n">
        <f aca="false">IF(AND(C802="Sales",F802="Standard-rated 5%"),L802,0)</f>
        <v>0</v>
      </c>
      <c r="N802" s="52" t="n">
        <f aca="false">IF(F802="Reverse charge (imported services)",L802,0)</f>
        <v>0</v>
      </c>
      <c r="O802" s="52" t="n">
        <f aca="false">IF(C802&lt;&gt;"Purchase",0,IF(OR(I802="N",F802="Blocked input (entertainment)"),0,L802))</f>
        <v>1705.57</v>
      </c>
      <c r="P802" s="52" t="n">
        <f aca="false">IF(C802&lt;&gt;"Purchase",0,L802-O802)</f>
        <v>0</v>
      </c>
      <c r="Q802" s="53" t="n">
        <f aca="false">J802-B802</f>
        <v>40</v>
      </c>
      <c r="R802" s="51" t="str">
        <f aca="false">IF(I802="N","Invalid / missing TRN",IF(F802="Blocked input (entertainment)","Blocked input",IF(Q802&gt;30,"Late posting (&gt;30d)","")))</f>
        <v>Late posting (&gt;30d)</v>
      </c>
    </row>
    <row r="803" customFormat="false" ht="15" hidden="false" customHeight="false" outlineLevel="0" collapsed="false">
      <c r="A803" s="47" t="s">
        <v>1089</v>
      </c>
      <c r="B803" s="48" t="n">
        <v>45883</v>
      </c>
      <c r="C803" s="47" t="s">
        <v>159</v>
      </c>
      <c r="D803" s="47" t="s">
        <v>283</v>
      </c>
      <c r="E803" s="47" t="s">
        <v>104</v>
      </c>
      <c r="F803" s="47" t="s">
        <v>161</v>
      </c>
      <c r="G803" s="49" t="n">
        <v>165702.82</v>
      </c>
      <c r="H803" s="50" t="n">
        <v>0.05</v>
      </c>
      <c r="I803" s="47" t="s">
        <v>162</v>
      </c>
      <c r="J803" s="48" t="n">
        <v>45883</v>
      </c>
      <c r="K803" s="51" t="str">
        <f aca="false">"Q"&amp;ROUNDUP(MONTH(B803)/3,0)</f>
        <v>Q3</v>
      </c>
      <c r="L803" s="52" t="n">
        <f aca="false">ROUND(G803*H803,2)</f>
        <v>8285.14</v>
      </c>
      <c r="M803" s="52" t="n">
        <f aca="false">IF(AND(C803="Sales",F803="Standard-rated 5%"),L803,0)</f>
        <v>8285.14</v>
      </c>
      <c r="N803" s="52" t="n">
        <f aca="false">IF(F803="Reverse charge (imported services)",L803,0)</f>
        <v>0</v>
      </c>
      <c r="O803" s="52" t="n">
        <f aca="false">IF(C803&lt;&gt;"Purchase",0,IF(OR(I803="N",F803="Blocked input (entertainment)"),0,L803))</f>
        <v>0</v>
      </c>
      <c r="P803" s="52" t="n">
        <f aca="false">IF(C803&lt;&gt;"Purchase",0,L803-O803)</f>
        <v>0</v>
      </c>
      <c r="Q803" s="53" t="n">
        <f aca="false">J803-B803</f>
        <v>0</v>
      </c>
      <c r="R803" s="51" t="str">
        <f aca="false">IF(I803="N","Invalid / missing TRN",IF(F803="Blocked input (entertainment)","Blocked input",IF(Q803&gt;30,"Late posting (&gt;30d)","")))</f>
        <v/>
      </c>
    </row>
    <row r="804" customFormat="false" ht="15" hidden="false" customHeight="false" outlineLevel="0" collapsed="false">
      <c r="A804" s="47" t="s">
        <v>1090</v>
      </c>
      <c r="B804" s="48" t="n">
        <v>45883</v>
      </c>
      <c r="C804" s="47" t="s">
        <v>159</v>
      </c>
      <c r="D804" s="47" t="s">
        <v>235</v>
      </c>
      <c r="E804" s="47" t="s">
        <v>100</v>
      </c>
      <c r="F804" s="47" t="s">
        <v>161</v>
      </c>
      <c r="G804" s="49" t="n">
        <v>26597.12</v>
      </c>
      <c r="H804" s="50" t="n">
        <v>0.05</v>
      </c>
      <c r="I804" s="47" t="s">
        <v>162</v>
      </c>
      <c r="J804" s="48" t="n">
        <v>45883</v>
      </c>
      <c r="K804" s="51" t="str">
        <f aca="false">"Q"&amp;ROUNDUP(MONTH(B804)/3,0)</f>
        <v>Q3</v>
      </c>
      <c r="L804" s="52" t="n">
        <f aca="false">ROUND(G804*H804,2)</f>
        <v>1329.86</v>
      </c>
      <c r="M804" s="52" t="n">
        <f aca="false">IF(AND(C804="Sales",F804="Standard-rated 5%"),L804,0)</f>
        <v>1329.86</v>
      </c>
      <c r="N804" s="52" t="n">
        <f aca="false">IF(F804="Reverse charge (imported services)",L804,0)</f>
        <v>0</v>
      </c>
      <c r="O804" s="52" t="n">
        <f aca="false">IF(C804&lt;&gt;"Purchase",0,IF(OR(I804="N",F804="Blocked input (entertainment)"),0,L804))</f>
        <v>0</v>
      </c>
      <c r="P804" s="52" t="n">
        <f aca="false">IF(C804&lt;&gt;"Purchase",0,L804-O804)</f>
        <v>0</v>
      </c>
      <c r="Q804" s="53" t="n">
        <f aca="false">J804-B804</f>
        <v>0</v>
      </c>
      <c r="R804" s="51" t="str">
        <f aca="false">IF(I804="N","Invalid / missing TRN",IF(F804="Blocked input (entertainment)","Blocked input",IF(Q804&gt;30,"Late posting (&gt;30d)","")))</f>
        <v/>
      </c>
    </row>
    <row r="805" customFormat="false" ht="15" hidden="false" customHeight="false" outlineLevel="0" collapsed="false">
      <c r="A805" s="47" t="s">
        <v>1091</v>
      </c>
      <c r="B805" s="48" t="n">
        <v>45883</v>
      </c>
      <c r="C805" s="47" t="s">
        <v>159</v>
      </c>
      <c r="D805" s="47" t="s">
        <v>431</v>
      </c>
      <c r="E805" s="47" t="s">
        <v>102</v>
      </c>
      <c r="F805" s="47" t="s">
        <v>161</v>
      </c>
      <c r="G805" s="49" t="n">
        <v>199994.91</v>
      </c>
      <c r="H805" s="50" t="n">
        <v>0.05</v>
      </c>
      <c r="I805" s="47" t="s">
        <v>162</v>
      </c>
      <c r="J805" s="48" t="n">
        <v>45883</v>
      </c>
      <c r="K805" s="51" t="str">
        <f aca="false">"Q"&amp;ROUNDUP(MONTH(B805)/3,0)</f>
        <v>Q3</v>
      </c>
      <c r="L805" s="52" t="n">
        <f aca="false">ROUND(G805*H805,2)</f>
        <v>9999.75</v>
      </c>
      <c r="M805" s="52" t="n">
        <f aca="false">IF(AND(C805="Sales",F805="Standard-rated 5%"),L805,0)</f>
        <v>9999.75</v>
      </c>
      <c r="N805" s="52" t="n">
        <f aca="false">IF(F805="Reverse charge (imported services)",L805,0)</f>
        <v>0</v>
      </c>
      <c r="O805" s="52" t="n">
        <f aca="false">IF(C805&lt;&gt;"Purchase",0,IF(OR(I805="N",F805="Blocked input (entertainment)"),0,L805))</f>
        <v>0</v>
      </c>
      <c r="P805" s="52" t="n">
        <f aca="false">IF(C805&lt;&gt;"Purchase",0,L805-O805)</f>
        <v>0</v>
      </c>
      <c r="Q805" s="53" t="n">
        <f aca="false">J805-B805</f>
        <v>0</v>
      </c>
      <c r="R805" s="51" t="str">
        <f aca="false">IF(I805="N","Invalid / missing TRN",IF(F805="Blocked input (entertainment)","Blocked input",IF(Q805&gt;30,"Late posting (&gt;30d)","")))</f>
        <v/>
      </c>
    </row>
    <row r="806" customFormat="false" ht="15" hidden="false" customHeight="false" outlineLevel="0" collapsed="false">
      <c r="A806" s="47" t="s">
        <v>1092</v>
      </c>
      <c r="B806" s="48" t="n">
        <v>45884</v>
      </c>
      <c r="C806" s="47" t="s">
        <v>166</v>
      </c>
      <c r="D806" s="47" t="s">
        <v>466</v>
      </c>
      <c r="E806" s="47" t="s">
        <v>100</v>
      </c>
      <c r="F806" s="47" t="s">
        <v>337</v>
      </c>
      <c r="G806" s="49" t="n">
        <v>16059.6</v>
      </c>
      <c r="H806" s="50" t="n">
        <v>0</v>
      </c>
      <c r="I806" s="47" t="s">
        <v>162</v>
      </c>
      <c r="J806" s="48" t="n">
        <v>45884</v>
      </c>
      <c r="K806" s="51" t="str">
        <f aca="false">"Q"&amp;ROUNDUP(MONTH(B806)/3,0)</f>
        <v>Q3</v>
      </c>
      <c r="L806" s="52" t="n">
        <f aca="false">ROUND(G806*H806,2)</f>
        <v>0</v>
      </c>
      <c r="M806" s="52" t="n">
        <f aca="false">IF(AND(C806="Sales",F806="Standard-rated 5%"),L806,0)</f>
        <v>0</v>
      </c>
      <c r="N806" s="52" t="n">
        <f aca="false">IF(F806="Reverse charge (imported services)",L806,0)</f>
        <v>0</v>
      </c>
      <c r="O806" s="52" t="n">
        <f aca="false">IF(C806&lt;&gt;"Purchase",0,IF(OR(I806="N",F806="Blocked input (entertainment)"),0,L806))</f>
        <v>0</v>
      </c>
      <c r="P806" s="52" t="n">
        <f aca="false">IF(C806&lt;&gt;"Purchase",0,L806-O806)</f>
        <v>0</v>
      </c>
      <c r="Q806" s="53" t="n">
        <f aca="false">J806-B806</f>
        <v>0</v>
      </c>
      <c r="R806" s="51" t="str">
        <f aca="false">IF(I806="N","Invalid / missing TRN",IF(F806="Blocked input (entertainment)","Blocked input",IF(Q806&gt;30,"Late posting (&gt;30d)","")))</f>
        <v/>
      </c>
    </row>
    <row r="807" customFormat="false" ht="15" hidden="false" customHeight="false" outlineLevel="0" collapsed="false">
      <c r="A807" s="47" t="s">
        <v>1093</v>
      </c>
      <c r="B807" s="48" t="n">
        <v>45884</v>
      </c>
      <c r="C807" s="47" t="s">
        <v>166</v>
      </c>
      <c r="D807" s="47" t="s">
        <v>288</v>
      </c>
      <c r="E807" s="47" t="s">
        <v>105</v>
      </c>
      <c r="F807" s="47" t="s">
        <v>161</v>
      </c>
      <c r="G807" s="49" t="n">
        <v>55169.58</v>
      </c>
      <c r="H807" s="50" t="n">
        <v>0.05</v>
      </c>
      <c r="I807" s="47" t="s">
        <v>162</v>
      </c>
      <c r="J807" s="48" t="n">
        <v>45884</v>
      </c>
      <c r="K807" s="51" t="str">
        <f aca="false">"Q"&amp;ROUNDUP(MONTH(B807)/3,0)</f>
        <v>Q3</v>
      </c>
      <c r="L807" s="52" t="n">
        <f aca="false">ROUND(G807*H807,2)</f>
        <v>2758.48</v>
      </c>
      <c r="M807" s="52" t="n">
        <f aca="false">IF(AND(C807="Sales",F807="Standard-rated 5%"),L807,0)</f>
        <v>0</v>
      </c>
      <c r="N807" s="52" t="n">
        <f aca="false">IF(F807="Reverse charge (imported services)",L807,0)</f>
        <v>0</v>
      </c>
      <c r="O807" s="52" t="n">
        <f aca="false">IF(C807&lt;&gt;"Purchase",0,IF(OR(I807="N",F807="Blocked input (entertainment)"),0,L807))</f>
        <v>2758.48</v>
      </c>
      <c r="P807" s="52" t="n">
        <f aca="false">IF(C807&lt;&gt;"Purchase",0,L807-O807)</f>
        <v>0</v>
      </c>
      <c r="Q807" s="53" t="n">
        <f aca="false">J807-B807</f>
        <v>0</v>
      </c>
      <c r="R807" s="51" t="str">
        <f aca="false">IF(I807="N","Invalid / missing TRN",IF(F807="Blocked input (entertainment)","Blocked input",IF(Q807&gt;30,"Late posting (&gt;30d)","")))</f>
        <v/>
      </c>
    </row>
    <row r="808" customFormat="false" ht="15" hidden="false" customHeight="false" outlineLevel="0" collapsed="false">
      <c r="A808" s="47" t="s">
        <v>1094</v>
      </c>
      <c r="B808" s="48" t="n">
        <v>45884</v>
      </c>
      <c r="C808" s="47" t="s">
        <v>166</v>
      </c>
      <c r="D808" s="47" t="s">
        <v>411</v>
      </c>
      <c r="E808" s="47" t="s">
        <v>100</v>
      </c>
      <c r="F808" s="47" t="s">
        <v>161</v>
      </c>
      <c r="G808" s="49" t="n">
        <v>28209.25</v>
      </c>
      <c r="H808" s="50" t="n">
        <v>0.05</v>
      </c>
      <c r="I808" s="47" t="s">
        <v>162</v>
      </c>
      <c r="J808" s="48" t="n">
        <v>45884</v>
      </c>
      <c r="K808" s="51" t="str">
        <f aca="false">"Q"&amp;ROUNDUP(MONTH(B808)/3,0)</f>
        <v>Q3</v>
      </c>
      <c r="L808" s="52" t="n">
        <f aca="false">ROUND(G808*H808,2)</f>
        <v>1410.46</v>
      </c>
      <c r="M808" s="52" t="n">
        <f aca="false">IF(AND(C808="Sales",F808="Standard-rated 5%"),L808,0)</f>
        <v>0</v>
      </c>
      <c r="N808" s="52" t="n">
        <f aca="false">IF(F808="Reverse charge (imported services)",L808,0)</f>
        <v>0</v>
      </c>
      <c r="O808" s="52" t="n">
        <f aca="false">IF(C808&lt;&gt;"Purchase",0,IF(OR(I808="N",F808="Blocked input (entertainment)"),0,L808))</f>
        <v>1410.46</v>
      </c>
      <c r="P808" s="52" t="n">
        <f aca="false">IF(C808&lt;&gt;"Purchase",0,L808-O808)</f>
        <v>0</v>
      </c>
      <c r="Q808" s="53" t="n">
        <f aca="false">J808-B808</f>
        <v>0</v>
      </c>
      <c r="R808" s="51" t="str">
        <f aca="false">IF(I808="N","Invalid / missing TRN",IF(F808="Blocked input (entertainment)","Blocked input",IF(Q808&gt;30,"Late posting (&gt;30d)","")))</f>
        <v/>
      </c>
    </row>
    <row r="809" customFormat="false" ht="15" hidden="false" customHeight="false" outlineLevel="0" collapsed="false">
      <c r="A809" s="47" t="s">
        <v>1095</v>
      </c>
      <c r="B809" s="48" t="n">
        <v>45884</v>
      </c>
      <c r="C809" s="47" t="s">
        <v>159</v>
      </c>
      <c r="D809" s="47" t="s">
        <v>317</v>
      </c>
      <c r="E809" s="47" t="s">
        <v>101</v>
      </c>
      <c r="F809" s="47" t="s">
        <v>161</v>
      </c>
      <c r="G809" s="49" t="n">
        <v>34390.82</v>
      </c>
      <c r="H809" s="50" t="n">
        <v>0.05</v>
      </c>
      <c r="I809" s="47" t="s">
        <v>162</v>
      </c>
      <c r="J809" s="48" t="n">
        <v>45884</v>
      </c>
      <c r="K809" s="51" t="str">
        <f aca="false">"Q"&amp;ROUNDUP(MONTH(B809)/3,0)</f>
        <v>Q3</v>
      </c>
      <c r="L809" s="52" t="n">
        <f aca="false">ROUND(G809*H809,2)</f>
        <v>1719.54</v>
      </c>
      <c r="M809" s="52" t="n">
        <f aca="false">IF(AND(C809="Sales",F809="Standard-rated 5%"),L809,0)</f>
        <v>1719.54</v>
      </c>
      <c r="N809" s="52" t="n">
        <f aca="false">IF(F809="Reverse charge (imported services)",L809,0)</f>
        <v>0</v>
      </c>
      <c r="O809" s="52" t="n">
        <f aca="false">IF(C809&lt;&gt;"Purchase",0,IF(OR(I809="N",F809="Blocked input (entertainment)"),0,L809))</f>
        <v>0</v>
      </c>
      <c r="P809" s="52" t="n">
        <f aca="false">IF(C809&lt;&gt;"Purchase",0,L809-O809)</f>
        <v>0</v>
      </c>
      <c r="Q809" s="53" t="n">
        <f aca="false">J809-B809</f>
        <v>0</v>
      </c>
      <c r="R809" s="51" t="str">
        <f aca="false">IF(I809="N","Invalid / missing TRN",IF(F809="Blocked input (entertainment)","Blocked input",IF(Q809&gt;30,"Late posting (&gt;30d)","")))</f>
        <v/>
      </c>
    </row>
    <row r="810" customFormat="false" ht="15" hidden="false" customHeight="false" outlineLevel="0" collapsed="false">
      <c r="A810" s="47" t="s">
        <v>1096</v>
      </c>
      <c r="B810" s="48" t="n">
        <v>45884</v>
      </c>
      <c r="C810" s="47" t="s">
        <v>159</v>
      </c>
      <c r="D810" s="47" t="s">
        <v>186</v>
      </c>
      <c r="E810" s="47" t="s">
        <v>100</v>
      </c>
      <c r="F810" s="47" t="s">
        <v>161</v>
      </c>
      <c r="G810" s="49" t="n">
        <v>67508.66</v>
      </c>
      <c r="H810" s="50" t="n">
        <v>0.05</v>
      </c>
      <c r="I810" s="47" t="s">
        <v>162</v>
      </c>
      <c r="J810" s="48" t="n">
        <v>45886</v>
      </c>
      <c r="K810" s="51" t="str">
        <f aca="false">"Q"&amp;ROUNDUP(MONTH(B810)/3,0)</f>
        <v>Q3</v>
      </c>
      <c r="L810" s="52" t="n">
        <f aca="false">ROUND(G810*H810,2)</f>
        <v>3375.43</v>
      </c>
      <c r="M810" s="52" t="n">
        <f aca="false">IF(AND(C810="Sales",F810="Standard-rated 5%"),L810,0)</f>
        <v>3375.43</v>
      </c>
      <c r="N810" s="52" t="n">
        <f aca="false">IF(F810="Reverse charge (imported services)",L810,0)</f>
        <v>0</v>
      </c>
      <c r="O810" s="52" t="n">
        <f aca="false">IF(C810&lt;&gt;"Purchase",0,IF(OR(I810="N",F810="Blocked input (entertainment)"),0,L810))</f>
        <v>0</v>
      </c>
      <c r="P810" s="52" t="n">
        <f aca="false">IF(C810&lt;&gt;"Purchase",0,L810-O810)</f>
        <v>0</v>
      </c>
      <c r="Q810" s="53" t="n">
        <f aca="false">J810-B810</f>
        <v>2</v>
      </c>
      <c r="R810" s="51" t="str">
        <f aca="false">IF(I810="N","Invalid / missing TRN",IF(F810="Blocked input (entertainment)","Blocked input",IF(Q810&gt;30,"Late posting (&gt;30d)","")))</f>
        <v/>
      </c>
    </row>
    <row r="811" customFormat="false" ht="15" hidden="false" customHeight="false" outlineLevel="0" collapsed="false">
      <c r="A811" s="47" t="s">
        <v>1097</v>
      </c>
      <c r="B811" s="48" t="n">
        <v>45885</v>
      </c>
      <c r="C811" s="47" t="s">
        <v>166</v>
      </c>
      <c r="D811" s="47" t="s">
        <v>218</v>
      </c>
      <c r="E811" s="47" t="s">
        <v>100</v>
      </c>
      <c r="F811" s="47" t="s">
        <v>161</v>
      </c>
      <c r="G811" s="49" t="n">
        <v>10811.1</v>
      </c>
      <c r="H811" s="50" t="n">
        <v>0.05</v>
      </c>
      <c r="I811" s="47" t="s">
        <v>162</v>
      </c>
      <c r="J811" s="48" t="n">
        <v>45885</v>
      </c>
      <c r="K811" s="51" t="str">
        <f aca="false">"Q"&amp;ROUNDUP(MONTH(B811)/3,0)</f>
        <v>Q3</v>
      </c>
      <c r="L811" s="52" t="n">
        <f aca="false">ROUND(G811*H811,2)</f>
        <v>540.56</v>
      </c>
      <c r="M811" s="52" t="n">
        <f aca="false">IF(AND(C811="Sales",F811="Standard-rated 5%"),L811,0)</f>
        <v>0</v>
      </c>
      <c r="N811" s="52" t="n">
        <f aca="false">IF(F811="Reverse charge (imported services)",L811,0)</f>
        <v>0</v>
      </c>
      <c r="O811" s="52" t="n">
        <f aca="false">IF(C811&lt;&gt;"Purchase",0,IF(OR(I811="N",F811="Blocked input (entertainment)"),0,L811))</f>
        <v>540.56</v>
      </c>
      <c r="P811" s="52" t="n">
        <f aca="false">IF(C811&lt;&gt;"Purchase",0,L811-O811)</f>
        <v>0</v>
      </c>
      <c r="Q811" s="53" t="n">
        <f aca="false">J811-B811</f>
        <v>0</v>
      </c>
      <c r="R811" s="51" t="str">
        <f aca="false">IF(I811="N","Invalid / missing TRN",IF(F811="Blocked input (entertainment)","Blocked input",IF(Q811&gt;30,"Late posting (&gt;30d)","")))</f>
        <v/>
      </c>
    </row>
    <row r="812" customFormat="false" ht="15" hidden="false" customHeight="false" outlineLevel="0" collapsed="false">
      <c r="A812" s="47" t="s">
        <v>1098</v>
      </c>
      <c r="B812" s="48" t="n">
        <v>45885</v>
      </c>
      <c r="C812" s="47" t="s">
        <v>166</v>
      </c>
      <c r="D812" s="47" t="s">
        <v>324</v>
      </c>
      <c r="E812" s="47" t="s">
        <v>100</v>
      </c>
      <c r="F812" s="47" t="s">
        <v>173</v>
      </c>
      <c r="G812" s="49" t="n">
        <v>197175.49</v>
      </c>
      <c r="H812" s="50" t="n">
        <v>0.05</v>
      </c>
      <c r="I812" s="47" t="s">
        <v>162</v>
      </c>
      <c r="J812" s="48" t="n">
        <v>45885</v>
      </c>
      <c r="K812" s="51" t="str">
        <f aca="false">"Q"&amp;ROUNDUP(MONTH(B812)/3,0)</f>
        <v>Q3</v>
      </c>
      <c r="L812" s="52" t="n">
        <f aca="false">ROUND(G812*H812,2)</f>
        <v>9858.77</v>
      </c>
      <c r="M812" s="52" t="n">
        <f aca="false">IF(AND(C812="Sales",F812="Standard-rated 5%"),L812,0)</f>
        <v>0</v>
      </c>
      <c r="N812" s="52" t="n">
        <f aca="false">IF(F812="Reverse charge (imported services)",L812,0)</f>
        <v>9858.77</v>
      </c>
      <c r="O812" s="52" t="n">
        <f aca="false">IF(C812&lt;&gt;"Purchase",0,IF(OR(I812="N",F812="Blocked input (entertainment)"),0,L812))</f>
        <v>9858.77</v>
      </c>
      <c r="P812" s="52" t="n">
        <f aca="false">IF(C812&lt;&gt;"Purchase",0,L812-O812)</f>
        <v>0</v>
      </c>
      <c r="Q812" s="53" t="n">
        <f aca="false">J812-B812</f>
        <v>0</v>
      </c>
      <c r="R812" s="51" t="str">
        <f aca="false">IF(I812="N","Invalid / missing TRN",IF(F812="Blocked input (entertainment)","Blocked input",IF(Q812&gt;30,"Late posting (&gt;30d)","")))</f>
        <v/>
      </c>
    </row>
    <row r="813" customFormat="false" ht="15" hidden="false" customHeight="false" outlineLevel="0" collapsed="false">
      <c r="A813" s="47" t="s">
        <v>1099</v>
      </c>
      <c r="B813" s="48" t="n">
        <v>45885</v>
      </c>
      <c r="C813" s="47" t="s">
        <v>159</v>
      </c>
      <c r="D813" s="47" t="s">
        <v>177</v>
      </c>
      <c r="E813" s="47" t="s">
        <v>102</v>
      </c>
      <c r="F813" s="47" t="s">
        <v>161</v>
      </c>
      <c r="G813" s="49" t="n">
        <v>40793.23</v>
      </c>
      <c r="H813" s="50" t="n">
        <v>0.05</v>
      </c>
      <c r="I813" s="47" t="s">
        <v>162</v>
      </c>
      <c r="J813" s="48" t="n">
        <v>45885</v>
      </c>
      <c r="K813" s="51" t="str">
        <f aca="false">"Q"&amp;ROUNDUP(MONTH(B813)/3,0)</f>
        <v>Q3</v>
      </c>
      <c r="L813" s="52" t="n">
        <f aca="false">ROUND(G813*H813,2)</f>
        <v>2039.66</v>
      </c>
      <c r="M813" s="52" t="n">
        <f aca="false">IF(AND(C813="Sales",F813="Standard-rated 5%"),L813,0)</f>
        <v>2039.66</v>
      </c>
      <c r="N813" s="52" t="n">
        <f aca="false">IF(F813="Reverse charge (imported services)",L813,0)</f>
        <v>0</v>
      </c>
      <c r="O813" s="52" t="n">
        <f aca="false">IF(C813&lt;&gt;"Purchase",0,IF(OR(I813="N",F813="Blocked input (entertainment)"),0,L813))</f>
        <v>0</v>
      </c>
      <c r="P813" s="52" t="n">
        <f aca="false">IF(C813&lt;&gt;"Purchase",0,L813-O813)</f>
        <v>0</v>
      </c>
      <c r="Q813" s="53" t="n">
        <f aca="false">J813-B813</f>
        <v>0</v>
      </c>
      <c r="R813" s="51" t="str">
        <f aca="false">IF(I813="N","Invalid / missing TRN",IF(F813="Blocked input (entertainment)","Blocked input",IF(Q813&gt;30,"Late posting (&gt;30d)","")))</f>
        <v/>
      </c>
    </row>
    <row r="814" customFormat="false" ht="15" hidden="false" customHeight="false" outlineLevel="0" collapsed="false">
      <c r="A814" s="47" t="s">
        <v>1100</v>
      </c>
      <c r="B814" s="48" t="n">
        <v>45886</v>
      </c>
      <c r="C814" s="47" t="s">
        <v>166</v>
      </c>
      <c r="D814" s="47" t="s">
        <v>408</v>
      </c>
      <c r="E814" s="47" t="s">
        <v>104</v>
      </c>
      <c r="F814" s="47" t="s">
        <v>161</v>
      </c>
      <c r="G814" s="49" t="n">
        <v>10559.26</v>
      </c>
      <c r="H814" s="50" t="n">
        <v>0.05</v>
      </c>
      <c r="I814" s="47" t="s">
        <v>162</v>
      </c>
      <c r="J814" s="48" t="n">
        <v>45886</v>
      </c>
      <c r="K814" s="51" t="str">
        <f aca="false">"Q"&amp;ROUNDUP(MONTH(B814)/3,0)</f>
        <v>Q3</v>
      </c>
      <c r="L814" s="52" t="n">
        <f aca="false">ROUND(G814*H814,2)</f>
        <v>527.96</v>
      </c>
      <c r="M814" s="52" t="n">
        <f aca="false">IF(AND(C814="Sales",F814="Standard-rated 5%"),L814,0)</f>
        <v>0</v>
      </c>
      <c r="N814" s="52" t="n">
        <f aca="false">IF(F814="Reverse charge (imported services)",L814,0)</f>
        <v>0</v>
      </c>
      <c r="O814" s="52" t="n">
        <f aca="false">IF(C814&lt;&gt;"Purchase",0,IF(OR(I814="N",F814="Blocked input (entertainment)"),0,L814))</f>
        <v>527.96</v>
      </c>
      <c r="P814" s="52" t="n">
        <f aca="false">IF(C814&lt;&gt;"Purchase",0,L814-O814)</f>
        <v>0</v>
      </c>
      <c r="Q814" s="53" t="n">
        <f aca="false">J814-B814</f>
        <v>0</v>
      </c>
      <c r="R814" s="51" t="str">
        <f aca="false">IF(I814="N","Invalid / missing TRN",IF(F814="Blocked input (entertainment)","Blocked input",IF(Q814&gt;30,"Late posting (&gt;30d)","")))</f>
        <v/>
      </c>
    </row>
    <row r="815" customFormat="false" ht="15" hidden="false" customHeight="false" outlineLevel="0" collapsed="false">
      <c r="A815" s="47" t="s">
        <v>1101</v>
      </c>
      <c r="B815" s="48" t="n">
        <v>45886</v>
      </c>
      <c r="C815" s="47" t="s">
        <v>159</v>
      </c>
      <c r="D815" s="47" t="s">
        <v>345</v>
      </c>
      <c r="E815" s="47" t="s">
        <v>103</v>
      </c>
      <c r="F815" s="47" t="s">
        <v>214</v>
      </c>
      <c r="G815" s="49" t="n">
        <v>44702.38</v>
      </c>
      <c r="H815" s="50" t="n">
        <v>0</v>
      </c>
      <c r="I815" s="47" t="s">
        <v>162</v>
      </c>
      <c r="J815" s="48" t="n">
        <v>45886</v>
      </c>
      <c r="K815" s="51" t="str">
        <f aca="false">"Q"&amp;ROUNDUP(MONTH(B815)/3,0)</f>
        <v>Q3</v>
      </c>
      <c r="L815" s="52" t="n">
        <f aca="false">ROUND(G815*H815,2)</f>
        <v>0</v>
      </c>
      <c r="M815" s="52" t="n">
        <f aca="false">IF(AND(C815="Sales",F815="Standard-rated 5%"),L815,0)</f>
        <v>0</v>
      </c>
      <c r="N815" s="52" t="n">
        <f aca="false">IF(F815="Reverse charge (imported services)",L815,0)</f>
        <v>0</v>
      </c>
      <c r="O815" s="52" t="n">
        <f aca="false">IF(C815&lt;&gt;"Purchase",0,IF(OR(I815="N",F815="Blocked input (entertainment)"),0,L815))</f>
        <v>0</v>
      </c>
      <c r="P815" s="52" t="n">
        <f aca="false">IF(C815&lt;&gt;"Purchase",0,L815-O815)</f>
        <v>0</v>
      </c>
      <c r="Q815" s="53" t="n">
        <f aca="false">J815-B815</f>
        <v>0</v>
      </c>
      <c r="R815" s="51" t="str">
        <f aca="false">IF(I815="N","Invalid / missing TRN",IF(F815="Blocked input (entertainment)","Blocked input",IF(Q815&gt;30,"Late posting (&gt;30d)","")))</f>
        <v/>
      </c>
    </row>
    <row r="816" customFormat="false" ht="15" hidden="false" customHeight="false" outlineLevel="0" collapsed="false">
      <c r="A816" s="47" t="s">
        <v>1102</v>
      </c>
      <c r="B816" s="48" t="n">
        <v>45886</v>
      </c>
      <c r="C816" s="47" t="s">
        <v>159</v>
      </c>
      <c r="D816" s="47" t="s">
        <v>320</v>
      </c>
      <c r="E816" s="47" t="s">
        <v>102</v>
      </c>
      <c r="F816" s="47" t="s">
        <v>161</v>
      </c>
      <c r="G816" s="49" t="n">
        <v>28063.43</v>
      </c>
      <c r="H816" s="50" t="n">
        <v>0.05</v>
      </c>
      <c r="I816" s="47" t="s">
        <v>162</v>
      </c>
      <c r="J816" s="48" t="n">
        <v>45886</v>
      </c>
      <c r="K816" s="51" t="str">
        <f aca="false">"Q"&amp;ROUNDUP(MONTH(B816)/3,0)</f>
        <v>Q3</v>
      </c>
      <c r="L816" s="52" t="n">
        <f aca="false">ROUND(G816*H816,2)</f>
        <v>1403.17</v>
      </c>
      <c r="M816" s="52" t="n">
        <f aca="false">IF(AND(C816="Sales",F816="Standard-rated 5%"),L816,0)</f>
        <v>1403.17</v>
      </c>
      <c r="N816" s="52" t="n">
        <f aca="false">IF(F816="Reverse charge (imported services)",L816,0)</f>
        <v>0</v>
      </c>
      <c r="O816" s="52" t="n">
        <f aca="false">IF(C816&lt;&gt;"Purchase",0,IF(OR(I816="N",F816="Blocked input (entertainment)"),0,L816))</f>
        <v>0</v>
      </c>
      <c r="P816" s="52" t="n">
        <f aca="false">IF(C816&lt;&gt;"Purchase",0,L816-O816)</f>
        <v>0</v>
      </c>
      <c r="Q816" s="53" t="n">
        <f aca="false">J816-B816</f>
        <v>0</v>
      </c>
      <c r="R816" s="51" t="str">
        <f aca="false">IF(I816="N","Invalid / missing TRN",IF(F816="Blocked input (entertainment)","Blocked input",IF(Q816&gt;30,"Late posting (&gt;30d)","")))</f>
        <v/>
      </c>
    </row>
    <row r="817" customFormat="false" ht="15" hidden="false" customHeight="false" outlineLevel="0" collapsed="false">
      <c r="A817" s="47" t="s">
        <v>1103</v>
      </c>
      <c r="B817" s="48" t="n">
        <v>45887</v>
      </c>
      <c r="C817" s="47" t="s">
        <v>159</v>
      </c>
      <c r="D817" s="47" t="s">
        <v>355</v>
      </c>
      <c r="E817" s="47" t="s">
        <v>100</v>
      </c>
      <c r="F817" s="47" t="s">
        <v>161</v>
      </c>
      <c r="G817" s="49" t="n">
        <v>127123.68</v>
      </c>
      <c r="H817" s="50" t="n">
        <v>0.05</v>
      </c>
      <c r="I817" s="47" t="s">
        <v>162</v>
      </c>
      <c r="J817" s="48" t="n">
        <v>45887</v>
      </c>
      <c r="K817" s="51" t="str">
        <f aca="false">"Q"&amp;ROUNDUP(MONTH(B817)/3,0)</f>
        <v>Q3</v>
      </c>
      <c r="L817" s="52" t="n">
        <f aca="false">ROUND(G817*H817,2)</f>
        <v>6356.18</v>
      </c>
      <c r="M817" s="52" t="n">
        <f aca="false">IF(AND(C817="Sales",F817="Standard-rated 5%"),L817,0)</f>
        <v>6356.18</v>
      </c>
      <c r="N817" s="52" t="n">
        <f aca="false">IF(F817="Reverse charge (imported services)",L817,0)</f>
        <v>0</v>
      </c>
      <c r="O817" s="52" t="n">
        <f aca="false">IF(C817&lt;&gt;"Purchase",0,IF(OR(I817="N",F817="Blocked input (entertainment)"),0,L817))</f>
        <v>0</v>
      </c>
      <c r="P817" s="52" t="n">
        <f aca="false">IF(C817&lt;&gt;"Purchase",0,L817-O817)</f>
        <v>0</v>
      </c>
      <c r="Q817" s="53" t="n">
        <f aca="false">J817-B817</f>
        <v>0</v>
      </c>
      <c r="R817" s="51" t="str">
        <f aca="false">IF(I817="N","Invalid / missing TRN",IF(F817="Blocked input (entertainment)","Blocked input",IF(Q817&gt;30,"Late posting (&gt;30d)","")))</f>
        <v/>
      </c>
    </row>
    <row r="818" customFormat="false" ht="15" hidden="false" customHeight="false" outlineLevel="0" collapsed="false">
      <c r="A818" s="47" t="s">
        <v>1104</v>
      </c>
      <c r="B818" s="48" t="n">
        <v>45887</v>
      </c>
      <c r="C818" s="47" t="s">
        <v>159</v>
      </c>
      <c r="D818" s="47" t="s">
        <v>345</v>
      </c>
      <c r="E818" s="47" t="s">
        <v>101</v>
      </c>
      <c r="F818" s="47" t="s">
        <v>161</v>
      </c>
      <c r="G818" s="49" t="n">
        <v>53322.56</v>
      </c>
      <c r="H818" s="50" t="n">
        <v>0.05</v>
      </c>
      <c r="I818" s="47" t="s">
        <v>162</v>
      </c>
      <c r="J818" s="48" t="n">
        <v>45887</v>
      </c>
      <c r="K818" s="51" t="str">
        <f aca="false">"Q"&amp;ROUNDUP(MONTH(B818)/3,0)</f>
        <v>Q3</v>
      </c>
      <c r="L818" s="52" t="n">
        <f aca="false">ROUND(G818*H818,2)</f>
        <v>2666.13</v>
      </c>
      <c r="M818" s="52" t="n">
        <f aca="false">IF(AND(C818="Sales",F818="Standard-rated 5%"),L818,0)</f>
        <v>2666.13</v>
      </c>
      <c r="N818" s="52" t="n">
        <f aca="false">IF(F818="Reverse charge (imported services)",L818,0)</f>
        <v>0</v>
      </c>
      <c r="O818" s="52" t="n">
        <f aca="false">IF(C818&lt;&gt;"Purchase",0,IF(OR(I818="N",F818="Blocked input (entertainment)"),0,L818))</f>
        <v>0</v>
      </c>
      <c r="P818" s="52" t="n">
        <f aca="false">IF(C818&lt;&gt;"Purchase",0,L818-O818)</f>
        <v>0</v>
      </c>
      <c r="Q818" s="53" t="n">
        <f aca="false">J818-B818</f>
        <v>0</v>
      </c>
      <c r="R818" s="51" t="str">
        <f aca="false">IF(I818="N","Invalid / missing TRN",IF(F818="Blocked input (entertainment)","Blocked input",IF(Q818&gt;30,"Late posting (&gt;30d)","")))</f>
        <v/>
      </c>
    </row>
    <row r="819" customFormat="false" ht="15" hidden="false" customHeight="false" outlineLevel="0" collapsed="false">
      <c r="A819" s="47" t="s">
        <v>1105</v>
      </c>
      <c r="B819" s="48" t="n">
        <v>45887</v>
      </c>
      <c r="C819" s="47" t="s">
        <v>159</v>
      </c>
      <c r="D819" s="47" t="s">
        <v>322</v>
      </c>
      <c r="E819" s="47" t="s">
        <v>100</v>
      </c>
      <c r="F819" s="47" t="s">
        <v>278</v>
      </c>
      <c r="G819" s="49" t="n">
        <v>42531.04</v>
      </c>
      <c r="H819" s="50" t="n">
        <v>0</v>
      </c>
      <c r="I819" s="47" t="s">
        <v>162</v>
      </c>
      <c r="J819" s="48" t="n">
        <v>45888</v>
      </c>
      <c r="K819" s="51" t="str">
        <f aca="false">"Q"&amp;ROUNDUP(MONTH(B819)/3,0)</f>
        <v>Q3</v>
      </c>
      <c r="L819" s="52" t="n">
        <f aca="false">ROUND(G819*H819,2)</f>
        <v>0</v>
      </c>
      <c r="M819" s="52" t="n">
        <f aca="false">IF(AND(C819="Sales",F819="Standard-rated 5%"),L819,0)</f>
        <v>0</v>
      </c>
      <c r="N819" s="52" t="n">
        <f aca="false">IF(F819="Reverse charge (imported services)",L819,0)</f>
        <v>0</v>
      </c>
      <c r="O819" s="52" t="n">
        <f aca="false">IF(C819&lt;&gt;"Purchase",0,IF(OR(I819="N",F819="Blocked input (entertainment)"),0,L819))</f>
        <v>0</v>
      </c>
      <c r="P819" s="52" t="n">
        <f aca="false">IF(C819&lt;&gt;"Purchase",0,L819-O819)</f>
        <v>0</v>
      </c>
      <c r="Q819" s="53" t="n">
        <f aca="false">J819-B819</f>
        <v>1</v>
      </c>
      <c r="R819" s="51" t="str">
        <f aca="false">IF(I819="N","Invalid / missing TRN",IF(F819="Blocked input (entertainment)","Blocked input",IF(Q819&gt;30,"Late posting (&gt;30d)","")))</f>
        <v/>
      </c>
    </row>
    <row r="820" customFormat="false" ht="15" hidden="false" customHeight="false" outlineLevel="0" collapsed="false">
      <c r="A820" s="47" t="s">
        <v>1106</v>
      </c>
      <c r="B820" s="48" t="n">
        <v>45887</v>
      </c>
      <c r="C820" s="47" t="s">
        <v>159</v>
      </c>
      <c r="D820" s="47" t="s">
        <v>223</v>
      </c>
      <c r="E820" s="47" t="s">
        <v>100</v>
      </c>
      <c r="F820" s="47" t="s">
        <v>161</v>
      </c>
      <c r="G820" s="49" t="n">
        <v>85108.09</v>
      </c>
      <c r="H820" s="50" t="n">
        <v>0.05</v>
      </c>
      <c r="I820" s="47" t="s">
        <v>162</v>
      </c>
      <c r="J820" s="48" t="n">
        <v>45887</v>
      </c>
      <c r="K820" s="51" t="str">
        <f aca="false">"Q"&amp;ROUNDUP(MONTH(B820)/3,0)</f>
        <v>Q3</v>
      </c>
      <c r="L820" s="52" t="n">
        <f aca="false">ROUND(G820*H820,2)</f>
        <v>4255.4</v>
      </c>
      <c r="M820" s="52" t="n">
        <f aca="false">IF(AND(C820="Sales",F820="Standard-rated 5%"),L820,0)</f>
        <v>4255.4</v>
      </c>
      <c r="N820" s="52" t="n">
        <f aca="false">IF(F820="Reverse charge (imported services)",L820,0)</f>
        <v>0</v>
      </c>
      <c r="O820" s="52" t="n">
        <f aca="false">IF(C820&lt;&gt;"Purchase",0,IF(OR(I820="N",F820="Blocked input (entertainment)"),0,L820))</f>
        <v>0</v>
      </c>
      <c r="P820" s="52" t="n">
        <f aca="false">IF(C820&lt;&gt;"Purchase",0,L820-O820)</f>
        <v>0</v>
      </c>
      <c r="Q820" s="53" t="n">
        <f aca="false">J820-B820</f>
        <v>0</v>
      </c>
      <c r="R820" s="51" t="str">
        <f aca="false">IF(I820="N","Invalid / missing TRN",IF(F820="Blocked input (entertainment)","Blocked input",IF(Q820&gt;30,"Late posting (&gt;30d)","")))</f>
        <v/>
      </c>
    </row>
    <row r="821" customFormat="false" ht="15" hidden="false" customHeight="false" outlineLevel="0" collapsed="false">
      <c r="A821" s="47" t="s">
        <v>1107</v>
      </c>
      <c r="B821" s="48" t="n">
        <v>45888</v>
      </c>
      <c r="C821" s="47" t="s">
        <v>166</v>
      </c>
      <c r="D821" s="47" t="s">
        <v>458</v>
      </c>
      <c r="E821" s="47" t="s">
        <v>101</v>
      </c>
      <c r="F821" s="47" t="s">
        <v>161</v>
      </c>
      <c r="G821" s="49" t="n">
        <v>77378.36</v>
      </c>
      <c r="H821" s="50" t="n">
        <v>0.05</v>
      </c>
      <c r="I821" s="47" t="s">
        <v>162</v>
      </c>
      <c r="J821" s="48" t="n">
        <v>45889</v>
      </c>
      <c r="K821" s="51" t="str">
        <f aca="false">"Q"&amp;ROUNDUP(MONTH(B821)/3,0)</f>
        <v>Q3</v>
      </c>
      <c r="L821" s="52" t="n">
        <f aca="false">ROUND(G821*H821,2)</f>
        <v>3868.92</v>
      </c>
      <c r="M821" s="52" t="n">
        <f aca="false">IF(AND(C821="Sales",F821="Standard-rated 5%"),L821,0)</f>
        <v>0</v>
      </c>
      <c r="N821" s="52" t="n">
        <f aca="false">IF(F821="Reverse charge (imported services)",L821,0)</f>
        <v>0</v>
      </c>
      <c r="O821" s="52" t="n">
        <f aca="false">IF(C821&lt;&gt;"Purchase",0,IF(OR(I821="N",F821="Blocked input (entertainment)"),0,L821))</f>
        <v>3868.92</v>
      </c>
      <c r="P821" s="52" t="n">
        <f aca="false">IF(C821&lt;&gt;"Purchase",0,L821-O821)</f>
        <v>0</v>
      </c>
      <c r="Q821" s="53" t="n">
        <f aca="false">J821-B821</f>
        <v>1</v>
      </c>
      <c r="R821" s="51" t="str">
        <f aca="false">IF(I821="N","Invalid / missing TRN",IF(F821="Blocked input (entertainment)","Blocked input",IF(Q821&gt;30,"Late posting (&gt;30d)","")))</f>
        <v/>
      </c>
    </row>
    <row r="822" customFormat="false" ht="15" hidden="false" customHeight="false" outlineLevel="0" collapsed="false">
      <c r="A822" s="47" t="s">
        <v>1108</v>
      </c>
      <c r="B822" s="48" t="n">
        <v>45888</v>
      </c>
      <c r="C822" s="47" t="s">
        <v>159</v>
      </c>
      <c r="D822" s="47" t="s">
        <v>216</v>
      </c>
      <c r="E822" s="47" t="s">
        <v>103</v>
      </c>
      <c r="F822" s="47" t="s">
        <v>161</v>
      </c>
      <c r="G822" s="49" t="n">
        <v>54202.95</v>
      </c>
      <c r="H822" s="50" t="n">
        <v>0.05</v>
      </c>
      <c r="I822" s="47" t="s">
        <v>162</v>
      </c>
      <c r="J822" s="48" t="n">
        <v>45888</v>
      </c>
      <c r="K822" s="51" t="str">
        <f aca="false">"Q"&amp;ROUNDUP(MONTH(B822)/3,0)</f>
        <v>Q3</v>
      </c>
      <c r="L822" s="52" t="n">
        <f aca="false">ROUND(G822*H822,2)</f>
        <v>2710.15</v>
      </c>
      <c r="M822" s="52" t="n">
        <f aca="false">IF(AND(C822="Sales",F822="Standard-rated 5%"),L822,0)</f>
        <v>2710.15</v>
      </c>
      <c r="N822" s="52" t="n">
        <f aca="false">IF(F822="Reverse charge (imported services)",L822,0)</f>
        <v>0</v>
      </c>
      <c r="O822" s="52" t="n">
        <f aca="false">IF(C822&lt;&gt;"Purchase",0,IF(OR(I822="N",F822="Blocked input (entertainment)"),0,L822))</f>
        <v>0</v>
      </c>
      <c r="P822" s="52" t="n">
        <f aca="false">IF(C822&lt;&gt;"Purchase",0,L822-O822)</f>
        <v>0</v>
      </c>
      <c r="Q822" s="53" t="n">
        <f aca="false">J822-B822</f>
        <v>0</v>
      </c>
      <c r="R822" s="51" t="str">
        <f aca="false">IF(I822="N","Invalid / missing TRN",IF(F822="Blocked input (entertainment)","Blocked input",IF(Q822&gt;30,"Late posting (&gt;30d)","")))</f>
        <v/>
      </c>
    </row>
    <row r="823" customFormat="false" ht="15" hidden="false" customHeight="false" outlineLevel="0" collapsed="false">
      <c r="A823" s="47" t="s">
        <v>1109</v>
      </c>
      <c r="B823" s="48" t="n">
        <v>45889</v>
      </c>
      <c r="C823" s="47" t="s">
        <v>166</v>
      </c>
      <c r="D823" s="47" t="s">
        <v>206</v>
      </c>
      <c r="E823" s="47" t="s">
        <v>101</v>
      </c>
      <c r="F823" s="47" t="s">
        <v>161</v>
      </c>
      <c r="G823" s="49" t="n">
        <v>9169.2</v>
      </c>
      <c r="H823" s="50" t="n">
        <v>0.05</v>
      </c>
      <c r="I823" s="47" t="s">
        <v>162</v>
      </c>
      <c r="J823" s="48" t="n">
        <v>45894</v>
      </c>
      <c r="K823" s="51" t="str">
        <f aca="false">"Q"&amp;ROUNDUP(MONTH(B823)/3,0)</f>
        <v>Q3</v>
      </c>
      <c r="L823" s="52" t="n">
        <f aca="false">ROUND(G823*H823,2)</f>
        <v>458.46</v>
      </c>
      <c r="M823" s="52" t="n">
        <f aca="false">IF(AND(C823="Sales",F823="Standard-rated 5%"),L823,0)</f>
        <v>0</v>
      </c>
      <c r="N823" s="52" t="n">
        <f aca="false">IF(F823="Reverse charge (imported services)",L823,0)</f>
        <v>0</v>
      </c>
      <c r="O823" s="52" t="n">
        <f aca="false">IF(C823&lt;&gt;"Purchase",0,IF(OR(I823="N",F823="Blocked input (entertainment)"),0,L823))</f>
        <v>458.46</v>
      </c>
      <c r="P823" s="52" t="n">
        <f aca="false">IF(C823&lt;&gt;"Purchase",0,L823-O823)</f>
        <v>0</v>
      </c>
      <c r="Q823" s="53" t="n">
        <f aca="false">J823-B823</f>
        <v>5</v>
      </c>
      <c r="R823" s="51" t="str">
        <f aca="false">IF(I823="N","Invalid / missing TRN",IF(F823="Blocked input (entertainment)","Blocked input",IF(Q823&gt;30,"Late posting (&gt;30d)","")))</f>
        <v/>
      </c>
    </row>
    <row r="824" customFormat="false" ht="15" hidden="false" customHeight="false" outlineLevel="0" collapsed="false">
      <c r="A824" s="47" t="s">
        <v>1110</v>
      </c>
      <c r="B824" s="48" t="n">
        <v>45889</v>
      </c>
      <c r="C824" s="47" t="s">
        <v>166</v>
      </c>
      <c r="D824" s="47" t="s">
        <v>390</v>
      </c>
      <c r="E824" s="47" t="s">
        <v>102</v>
      </c>
      <c r="F824" s="47" t="s">
        <v>173</v>
      </c>
      <c r="G824" s="49" t="n">
        <v>133907.73</v>
      </c>
      <c r="H824" s="50" t="n">
        <v>0.05</v>
      </c>
      <c r="I824" s="47" t="s">
        <v>162</v>
      </c>
      <c r="J824" s="48" t="n">
        <v>45889</v>
      </c>
      <c r="K824" s="51" t="str">
        <f aca="false">"Q"&amp;ROUNDUP(MONTH(B824)/3,0)</f>
        <v>Q3</v>
      </c>
      <c r="L824" s="52" t="n">
        <f aca="false">ROUND(G824*H824,2)</f>
        <v>6695.39</v>
      </c>
      <c r="M824" s="52" t="n">
        <f aca="false">IF(AND(C824="Sales",F824="Standard-rated 5%"),L824,0)</f>
        <v>0</v>
      </c>
      <c r="N824" s="52" t="n">
        <f aca="false">IF(F824="Reverse charge (imported services)",L824,0)</f>
        <v>6695.39</v>
      </c>
      <c r="O824" s="52" t="n">
        <f aca="false">IF(C824&lt;&gt;"Purchase",0,IF(OR(I824="N",F824="Blocked input (entertainment)"),0,L824))</f>
        <v>6695.39</v>
      </c>
      <c r="P824" s="52" t="n">
        <f aca="false">IF(C824&lt;&gt;"Purchase",0,L824-O824)</f>
        <v>0</v>
      </c>
      <c r="Q824" s="53" t="n">
        <f aca="false">J824-B824</f>
        <v>0</v>
      </c>
      <c r="R824" s="51" t="str">
        <f aca="false">IF(I824="N","Invalid / missing TRN",IF(F824="Blocked input (entertainment)","Blocked input",IF(Q824&gt;30,"Late posting (&gt;30d)","")))</f>
        <v/>
      </c>
    </row>
    <row r="825" customFormat="false" ht="15" hidden="false" customHeight="false" outlineLevel="0" collapsed="false">
      <c r="A825" s="47" t="s">
        <v>1111</v>
      </c>
      <c r="B825" s="48" t="n">
        <v>45889</v>
      </c>
      <c r="C825" s="47" t="s">
        <v>159</v>
      </c>
      <c r="D825" s="47" t="s">
        <v>300</v>
      </c>
      <c r="E825" s="47" t="s">
        <v>100</v>
      </c>
      <c r="F825" s="47" t="s">
        <v>161</v>
      </c>
      <c r="G825" s="49" t="n">
        <v>101356.22</v>
      </c>
      <c r="H825" s="50" t="n">
        <v>0.05</v>
      </c>
      <c r="I825" s="47" t="s">
        <v>162</v>
      </c>
      <c r="J825" s="48" t="n">
        <v>45889</v>
      </c>
      <c r="K825" s="51" t="str">
        <f aca="false">"Q"&amp;ROUNDUP(MONTH(B825)/3,0)</f>
        <v>Q3</v>
      </c>
      <c r="L825" s="52" t="n">
        <f aca="false">ROUND(G825*H825,2)</f>
        <v>5067.81</v>
      </c>
      <c r="M825" s="52" t="n">
        <f aca="false">IF(AND(C825="Sales",F825="Standard-rated 5%"),L825,0)</f>
        <v>5067.81</v>
      </c>
      <c r="N825" s="52" t="n">
        <f aca="false">IF(F825="Reverse charge (imported services)",L825,0)</f>
        <v>0</v>
      </c>
      <c r="O825" s="52" t="n">
        <f aca="false">IF(C825&lt;&gt;"Purchase",0,IF(OR(I825="N",F825="Blocked input (entertainment)"),0,L825))</f>
        <v>0</v>
      </c>
      <c r="P825" s="52" t="n">
        <f aca="false">IF(C825&lt;&gt;"Purchase",0,L825-O825)</f>
        <v>0</v>
      </c>
      <c r="Q825" s="53" t="n">
        <f aca="false">J825-B825</f>
        <v>0</v>
      </c>
      <c r="R825" s="51" t="str">
        <f aca="false">IF(I825="N","Invalid / missing TRN",IF(F825="Blocked input (entertainment)","Blocked input",IF(Q825&gt;30,"Late posting (&gt;30d)","")))</f>
        <v/>
      </c>
    </row>
    <row r="826" customFormat="false" ht="15" hidden="false" customHeight="false" outlineLevel="0" collapsed="false">
      <c r="A826" s="47" t="s">
        <v>1112</v>
      </c>
      <c r="B826" s="48" t="n">
        <v>45890</v>
      </c>
      <c r="C826" s="47" t="s">
        <v>166</v>
      </c>
      <c r="D826" s="47" t="s">
        <v>324</v>
      </c>
      <c r="E826" s="47" t="s">
        <v>101</v>
      </c>
      <c r="F826" s="47" t="s">
        <v>161</v>
      </c>
      <c r="G826" s="49" t="n">
        <v>29790.8</v>
      </c>
      <c r="H826" s="50" t="n">
        <v>0.05</v>
      </c>
      <c r="I826" s="47" t="s">
        <v>162</v>
      </c>
      <c r="J826" s="48" t="n">
        <v>45891</v>
      </c>
      <c r="K826" s="51" t="str">
        <f aca="false">"Q"&amp;ROUNDUP(MONTH(B826)/3,0)</f>
        <v>Q3</v>
      </c>
      <c r="L826" s="52" t="n">
        <f aca="false">ROUND(G826*H826,2)</f>
        <v>1489.54</v>
      </c>
      <c r="M826" s="52" t="n">
        <f aca="false">IF(AND(C826="Sales",F826="Standard-rated 5%"),L826,0)</f>
        <v>0</v>
      </c>
      <c r="N826" s="52" t="n">
        <f aca="false">IF(F826="Reverse charge (imported services)",L826,0)</f>
        <v>0</v>
      </c>
      <c r="O826" s="52" t="n">
        <f aca="false">IF(C826&lt;&gt;"Purchase",0,IF(OR(I826="N",F826="Blocked input (entertainment)"),0,L826))</f>
        <v>1489.54</v>
      </c>
      <c r="P826" s="52" t="n">
        <f aca="false">IF(C826&lt;&gt;"Purchase",0,L826-O826)</f>
        <v>0</v>
      </c>
      <c r="Q826" s="53" t="n">
        <f aca="false">J826-B826</f>
        <v>1</v>
      </c>
      <c r="R826" s="51" t="str">
        <f aca="false">IF(I826="N","Invalid / missing TRN",IF(F826="Blocked input (entertainment)","Blocked input",IF(Q826&gt;30,"Late posting (&gt;30d)","")))</f>
        <v/>
      </c>
    </row>
    <row r="827" customFormat="false" ht="15" hidden="false" customHeight="false" outlineLevel="0" collapsed="false">
      <c r="A827" s="47" t="s">
        <v>1113</v>
      </c>
      <c r="B827" s="48" t="n">
        <v>45890</v>
      </c>
      <c r="C827" s="47" t="s">
        <v>166</v>
      </c>
      <c r="D827" s="47" t="s">
        <v>280</v>
      </c>
      <c r="E827" s="47" t="s">
        <v>102</v>
      </c>
      <c r="F827" s="47" t="s">
        <v>161</v>
      </c>
      <c r="G827" s="49" t="n">
        <v>19218.92</v>
      </c>
      <c r="H827" s="50" t="n">
        <v>0.05</v>
      </c>
      <c r="I827" s="47" t="s">
        <v>162</v>
      </c>
      <c r="J827" s="48" t="n">
        <v>45890</v>
      </c>
      <c r="K827" s="51" t="str">
        <f aca="false">"Q"&amp;ROUNDUP(MONTH(B827)/3,0)</f>
        <v>Q3</v>
      </c>
      <c r="L827" s="52" t="n">
        <f aca="false">ROUND(G827*H827,2)</f>
        <v>960.95</v>
      </c>
      <c r="M827" s="52" t="n">
        <f aca="false">IF(AND(C827="Sales",F827="Standard-rated 5%"),L827,0)</f>
        <v>0</v>
      </c>
      <c r="N827" s="52" t="n">
        <f aca="false">IF(F827="Reverse charge (imported services)",L827,0)</f>
        <v>0</v>
      </c>
      <c r="O827" s="52" t="n">
        <f aca="false">IF(C827&lt;&gt;"Purchase",0,IF(OR(I827="N",F827="Blocked input (entertainment)"),0,L827))</f>
        <v>960.95</v>
      </c>
      <c r="P827" s="52" t="n">
        <f aca="false">IF(C827&lt;&gt;"Purchase",0,L827-O827)</f>
        <v>0</v>
      </c>
      <c r="Q827" s="53" t="n">
        <f aca="false">J827-B827</f>
        <v>0</v>
      </c>
      <c r="R827" s="51" t="str">
        <f aca="false">IF(I827="N","Invalid / missing TRN",IF(F827="Blocked input (entertainment)","Blocked input",IF(Q827&gt;30,"Late posting (&gt;30d)","")))</f>
        <v/>
      </c>
    </row>
    <row r="828" customFormat="false" ht="15" hidden="false" customHeight="false" outlineLevel="0" collapsed="false">
      <c r="A828" s="47" t="s">
        <v>1114</v>
      </c>
      <c r="B828" s="48" t="n">
        <v>45890</v>
      </c>
      <c r="C828" s="47" t="s">
        <v>159</v>
      </c>
      <c r="D828" s="47" t="s">
        <v>241</v>
      </c>
      <c r="E828" s="47" t="s">
        <v>100</v>
      </c>
      <c r="F828" s="47" t="s">
        <v>161</v>
      </c>
      <c r="G828" s="49" t="n">
        <v>54463.18</v>
      </c>
      <c r="H828" s="50" t="n">
        <v>0.05</v>
      </c>
      <c r="I828" s="47" t="s">
        <v>162</v>
      </c>
      <c r="J828" s="48" t="n">
        <v>45890</v>
      </c>
      <c r="K828" s="51" t="str">
        <f aca="false">"Q"&amp;ROUNDUP(MONTH(B828)/3,0)</f>
        <v>Q3</v>
      </c>
      <c r="L828" s="52" t="n">
        <f aca="false">ROUND(G828*H828,2)</f>
        <v>2723.16</v>
      </c>
      <c r="M828" s="52" t="n">
        <f aca="false">IF(AND(C828="Sales",F828="Standard-rated 5%"),L828,0)</f>
        <v>2723.16</v>
      </c>
      <c r="N828" s="52" t="n">
        <f aca="false">IF(F828="Reverse charge (imported services)",L828,0)</f>
        <v>0</v>
      </c>
      <c r="O828" s="52" t="n">
        <f aca="false">IF(C828&lt;&gt;"Purchase",0,IF(OR(I828="N",F828="Blocked input (entertainment)"),0,L828))</f>
        <v>0</v>
      </c>
      <c r="P828" s="52" t="n">
        <f aca="false">IF(C828&lt;&gt;"Purchase",0,L828-O828)</f>
        <v>0</v>
      </c>
      <c r="Q828" s="53" t="n">
        <f aca="false">J828-B828</f>
        <v>0</v>
      </c>
      <c r="R828" s="51" t="str">
        <f aca="false">IF(I828="N","Invalid / missing TRN",IF(F828="Blocked input (entertainment)","Blocked input",IF(Q828&gt;30,"Late posting (&gt;30d)","")))</f>
        <v/>
      </c>
    </row>
    <row r="829" customFormat="false" ht="15" hidden="false" customHeight="false" outlineLevel="0" collapsed="false">
      <c r="A829" s="47" t="s">
        <v>1115</v>
      </c>
      <c r="B829" s="48" t="n">
        <v>45891</v>
      </c>
      <c r="C829" s="47" t="s">
        <v>166</v>
      </c>
      <c r="D829" s="47" t="s">
        <v>274</v>
      </c>
      <c r="E829" s="47" t="s">
        <v>105</v>
      </c>
      <c r="F829" s="47" t="s">
        <v>161</v>
      </c>
      <c r="G829" s="49" t="n">
        <v>78969.44</v>
      </c>
      <c r="H829" s="50" t="n">
        <v>0.05</v>
      </c>
      <c r="I829" s="47" t="s">
        <v>162</v>
      </c>
      <c r="J829" s="48" t="n">
        <v>45891</v>
      </c>
      <c r="K829" s="51" t="str">
        <f aca="false">"Q"&amp;ROUNDUP(MONTH(B829)/3,0)</f>
        <v>Q3</v>
      </c>
      <c r="L829" s="52" t="n">
        <f aca="false">ROUND(G829*H829,2)</f>
        <v>3948.47</v>
      </c>
      <c r="M829" s="52" t="n">
        <f aca="false">IF(AND(C829="Sales",F829="Standard-rated 5%"),L829,0)</f>
        <v>0</v>
      </c>
      <c r="N829" s="52" t="n">
        <f aca="false">IF(F829="Reverse charge (imported services)",L829,0)</f>
        <v>0</v>
      </c>
      <c r="O829" s="52" t="n">
        <f aca="false">IF(C829&lt;&gt;"Purchase",0,IF(OR(I829="N",F829="Blocked input (entertainment)"),0,L829))</f>
        <v>3948.47</v>
      </c>
      <c r="P829" s="52" t="n">
        <f aca="false">IF(C829&lt;&gt;"Purchase",0,L829-O829)</f>
        <v>0</v>
      </c>
      <c r="Q829" s="53" t="n">
        <f aca="false">J829-B829</f>
        <v>0</v>
      </c>
      <c r="R829" s="51" t="str">
        <f aca="false">IF(I829="N","Invalid / missing TRN",IF(F829="Blocked input (entertainment)","Blocked input",IF(Q829&gt;30,"Late posting (&gt;30d)","")))</f>
        <v/>
      </c>
    </row>
    <row r="830" customFormat="false" ht="15" hidden="false" customHeight="false" outlineLevel="0" collapsed="false">
      <c r="A830" s="47" t="s">
        <v>1116</v>
      </c>
      <c r="B830" s="48" t="n">
        <v>45891</v>
      </c>
      <c r="C830" s="47" t="s">
        <v>166</v>
      </c>
      <c r="D830" s="47" t="s">
        <v>192</v>
      </c>
      <c r="E830" s="47" t="s">
        <v>101</v>
      </c>
      <c r="F830" s="47" t="s">
        <v>161</v>
      </c>
      <c r="G830" s="49" t="n">
        <v>41005.94</v>
      </c>
      <c r="H830" s="50" t="n">
        <v>0.05</v>
      </c>
      <c r="I830" s="47" t="s">
        <v>162</v>
      </c>
      <c r="J830" s="48" t="n">
        <v>45891</v>
      </c>
      <c r="K830" s="51" t="str">
        <f aca="false">"Q"&amp;ROUNDUP(MONTH(B830)/3,0)</f>
        <v>Q3</v>
      </c>
      <c r="L830" s="52" t="n">
        <f aca="false">ROUND(G830*H830,2)</f>
        <v>2050.3</v>
      </c>
      <c r="M830" s="52" t="n">
        <f aca="false">IF(AND(C830="Sales",F830="Standard-rated 5%"),L830,0)</f>
        <v>0</v>
      </c>
      <c r="N830" s="52" t="n">
        <f aca="false">IF(F830="Reverse charge (imported services)",L830,0)</f>
        <v>0</v>
      </c>
      <c r="O830" s="52" t="n">
        <f aca="false">IF(C830&lt;&gt;"Purchase",0,IF(OR(I830="N",F830="Blocked input (entertainment)"),0,L830))</f>
        <v>2050.3</v>
      </c>
      <c r="P830" s="52" t="n">
        <f aca="false">IF(C830&lt;&gt;"Purchase",0,L830-O830)</f>
        <v>0</v>
      </c>
      <c r="Q830" s="53" t="n">
        <f aca="false">J830-B830</f>
        <v>0</v>
      </c>
      <c r="R830" s="51" t="str">
        <f aca="false">IF(I830="N","Invalid / missing TRN",IF(F830="Blocked input (entertainment)","Blocked input",IF(Q830&gt;30,"Late posting (&gt;30d)","")))</f>
        <v/>
      </c>
    </row>
    <row r="831" customFormat="false" ht="15" hidden="false" customHeight="false" outlineLevel="0" collapsed="false">
      <c r="A831" s="47" t="s">
        <v>1117</v>
      </c>
      <c r="B831" s="48" t="n">
        <v>45891</v>
      </c>
      <c r="C831" s="47" t="s">
        <v>166</v>
      </c>
      <c r="D831" s="47" t="s">
        <v>194</v>
      </c>
      <c r="E831" s="47" t="s">
        <v>100</v>
      </c>
      <c r="F831" s="47" t="s">
        <v>161</v>
      </c>
      <c r="G831" s="49" t="n">
        <v>30600.39</v>
      </c>
      <c r="H831" s="50" t="n">
        <v>0.05</v>
      </c>
      <c r="I831" s="47" t="s">
        <v>162</v>
      </c>
      <c r="J831" s="48" t="n">
        <v>45891</v>
      </c>
      <c r="K831" s="51" t="str">
        <f aca="false">"Q"&amp;ROUNDUP(MONTH(B831)/3,0)</f>
        <v>Q3</v>
      </c>
      <c r="L831" s="52" t="n">
        <f aca="false">ROUND(G831*H831,2)</f>
        <v>1530.02</v>
      </c>
      <c r="M831" s="52" t="n">
        <f aca="false">IF(AND(C831="Sales",F831="Standard-rated 5%"),L831,0)</f>
        <v>0</v>
      </c>
      <c r="N831" s="52" t="n">
        <f aca="false">IF(F831="Reverse charge (imported services)",L831,0)</f>
        <v>0</v>
      </c>
      <c r="O831" s="52" t="n">
        <f aca="false">IF(C831&lt;&gt;"Purchase",0,IF(OR(I831="N",F831="Blocked input (entertainment)"),0,L831))</f>
        <v>1530.02</v>
      </c>
      <c r="P831" s="52" t="n">
        <f aca="false">IF(C831&lt;&gt;"Purchase",0,L831-O831)</f>
        <v>0</v>
      </c>
      <c r="Q831" s="53" t="n">
        <f aca="false">J831-B831</f>
        <v>0</v>
      </c>
      <c r="R831" s="51" t="str">
        <f aca="false">IF(I831="N","Invalid / missing TRN",IF(F831="Blocked input (entertainment)","Blocked input",IF(Q831&gt;30,"Late posting (&gt;30d)","")))</f>
        <v/>
      </c>
    </row>
    <row r="832" customFormat="false" ht="15" hidden="false" customHeight="false" outlineLevel="0" collapsed="false">
      <c r="A832" s="47" t="s">
        <v>1118</v>
      </c>
      <c r="B832" s="48" t="n">
        <v>45891</v>
      </c>
      <c r="C832" s="47" t="s">
        <v>159</v>
      </c>
      <c r="D832" s="47" t="s">
        <v>177</v>
      </c>
      <c r="E832" s="47" t="s">
        <v>100</v>
      </c>
      <c r="F832" s="47" t="s">
        <v>161</v>
      </c>
      <c r="G832" s="49" t="n">
        <v>14367.61</v>
      </c>
      <c r="H832" s="50" t="n">
        <v>0.05</v>
      </c>
      <c r="I832" s="47" t="s">
        <v>162</v>
      </c>
      <c r="J832" s="48" t="n">
        <v>45891</v>
      </c>
      <c r="K832" s="51" t="str">
        <f aca="false">"Q"&amp;ROUNDUP(MONTH(B832)/3,0)</f>
        <v>Q3</v>
      </c>
      <c r="L832" s="52" t="n">
        <f aca="false">ROUND(G832*H832,2)</f>
        <v>718.38</v>
      </c>
      <c r="M832" s="52" t="n">
        <f aca="false">IF(AND(C832="Sales",F832="Standard-rated 5%"),L832,0)</f>
        <v>718.38</v>
      </c>
      <c r="N832" s="52" t="n">
        <f aca="false">IF(F832="Reverse charge (imported services)",L832,0)</f>
        <v>0</v>
      </c>
      <c r="O832" s="52" t="n">
        <f aca="false">IF(C832&lt;&gt;"Purchase",0,IF(OR(I832="N",F832="Blocked input (entertainment)"),0,L832))</f>
        <v>0</v>
      </c>
      <c r="P832" s="52" t="n">
        <f aca="false">IF(C832&lt;&gt;"Purchase",0,L832-O832)</f>
        <v>0</v>
      </c>
      <c r="Q832" s="53" t="n">
        <f aca="false">J832-B832</f>
        <v>0</v>
      </c>
      <c r="R832" s="51" t="str">
        <f aca="false">IF(I832="N","Invalid / missing TRN",IF(F832="Blocked input (entertainment)","Blocked input",IF(Q832&gt;30,"Late posting (&gt;30d)","")))</f>
        <v/>
      </c>
    </row>
    <row r="833" customFormat="false" ht="15" hidden="false" customHeight="false" outlineLevel="0" collapsed="false">
      <c r="A833" s="47" t="s">
        <v>1119</v>
      </c>
      <c r="B833" s="48" t="n">
        <v>45892</v>
      </c>
      <c r="C833" s="47" t="s">
        <v>166</v>
      </c>
      <c r="D833" s="47" t="s">
        <v>435</v>
      </c>
      <c r="E833" s="47" t="s">
        <v>100</v>
      </c>
      <c r="F833" s="47" t="s">
        <v>161</v>
      </c>
      <c r="G833" s="49" t="n">
        <v>25856.35</v>
      </c>
      <c r="H833" s="50" t="n">
        <v>0.05</v>
      </c>
      <c r="I833" s="47" t="s">
        <v>162</v>
      </c>
      <c r="J833" s="48" t="n">
        <v>45892</v>
      </c>
      <c r="K833" s="51" t="str">
        <f aca="false">"Q"&amp;ROUNDUP(MONTH(B833)/3,0)</f>
        <v>Q3</v>
      </c>
      <c r="L833" s="52" t="n">
        <f aca="false">ROUND(G833*H833,2)</f>
        <v>1292.82</v>
      </c>
      <c r="M833" s="52" t="n">
        <f aca="false">IF(AND(C833="Sales",F833="Standard-rated 5%"),L833,0)</f>
        <v>0</v>
      </c>
      <c r="N833" s="52" t="n">
        <f aca="false">IF(F833="Reverse charge (imported services)",L833,0)</f>
        <v>0</v>
      </c>
      <c r="O833" s="52" t="n">
        <f aca="false">IF(C833&lt;&gt;"Purchase",0,IF(OR(I833="N",F833="Blocked input (entertainment)"),0,L833))</f>
        <v>1292.82</v>
      </c>
      <c r="P833" s="52" t="n">
        <f aca="false">IF(C833&lt;&gt;"Purchase",0,L833-O833)</f>
        <v>0</v>
      </c>
      <c r="Q833" s="53" t="n">
        <f aca="false">J833-B833</f>
        <v>0</v>
      </c>
      <c r="R833" s="51" t="str">
        <f aca="false">IF(I833="N","Invalid / missing TRN",IF(F833="Blocked input (entertainment)","Blocked input",IF(Q833&gt;30,"Late posting (&gt;30d)","")))</f>
        <v/>
      </c>
    </row>
    <row r="834" customFormat="false" ht="15" hidden="false" customHeight="false" outlineLevel="0" collapsed="false">
      <c r="A834" s="47" t="s">
        <v>1120</v>
      </c>
      <c r="B834" s="48" t="n">
        <v>45892</v>
      </c>
      <c r="C834" s="47" t="s">
        <v>166</v>
      </c>
      <c r="D834" s="47" t="s">
        <v>326</v>
      </c>
      <c r="E834" s="47" t="s">
        <v>101</v>
      </c>
      <c r="F834" s="47" t="s">
        <v>161</v>
      </c>
      <c r="G834" s="49" t="n">
        <v>10343.85</v>
      </c>
      <c r="H834" s="50" t="n">
        <v>0.05</v>
      </c>
      <c r="I834" s="47" t="s">
        <v>162</v>
      </c>
      <c r="J834" s="48" t="n">
        <v>45892</v>
      </c>
      <c r="K834" s="51" t="str">
        <f aca="false">"Q"&amp;ROUNDUP(MONTH(B834)/3,0)</f>
        <v>Q3</v>
      </c>
      <c r="L834" s="52" t="n">
        <f aca="false">ROUND(G834*H834,2)</f>
        <v>517.19</v>
      </c>
      <c r="M834" s="52" t="n">
        <f aca="false">IF(AND(C834="Sales",F834="Standard-rated 5%"),L834,0)</f>
        <v>0</v>
      </c>
      <c r="N834" s="52" t="n">
        <f aca="false">IF(F834="Reverse charge (imported services)",L834,0)</f>
        <v>0</v>
      </c>
      <c r="O834" s="52" t="n">
        <f aca="false">IF(C834&lt;&gt;"Purchase",0,IF(OR(I834="N",F834="Blocked input (entertainment)"),0,L834))</f>
        <v>517.19</v>
      </c>
      <c r="P834" s="52" t="n">
        <f aca="false">IF(C834&lt;&gt;"Purchase",0,L834-O834)</f>
        <v>0</v>
      </c>
      <c r="Q834" s="53" t="n">
        <f aca="false">J834-B834</f>
        <v>0</v>
      </c>
      <c r="R834" s="51" t="str">
        <f aca="false">IF(I834="N","Invalid / missing TRN",IF(F834="Blocked input (entertainment)","Blocked input",IF(Q834&gt;30,"Late posting (&gt;30d)","")))</f>
        <v/>
      </c>
    </row>
    <row r="835" customFormat="false" ht="15" hidden="false" customHeight="false" outlineLevel="0" collapsed="false">
      <c r="A835" s="47" t="s">
        <v>1121</v>
      </c>
      <c r="B835" s="48" t="n">
        <v>45892</v>
      </c>
      <c r="C835" s="47" t="s">
        <v>166</v>
      </c>
      <c r="D835" s="47" t="s">
        <v>408</v>
      </c>
      <c r="E835" s="47" t="s">
        <v>104</v>
      </c>
      <c r="F835" s="47" t="s">
        <v>268</v>
      </c>
      <c r="G835" s="49" t="n">
        <v>23273.06</v>
      </c>
      <c r="H835" s="50" t="n">
        <v>0</v>
      </c>
      <c r="I835" s="47" t="s">
        <v>162</v>
      </c>
      <c r="J835" s="48" t="n">
        <v>45892</v>
      </c>
      <c r="K835" s="51" t="str">
        <f aca="false">"Q"&amp;ROUNDUP(MONTH(B835)/3,0)</f>
        <v>Q3</v>
      </c>
      <c r="L835" s="52" t="n">
        <f aca="false">ROUND(G835*H835,2)</f>
        <v>0</v>
      </c>
      <c r="M835" s="52" t="n">
        <f aca="false">IF(AND(C835="Sales",F835="Standard-rated 5%"),L835,0)</f>
        <v>0</v>
      </c>
      <c r="N835" s="52" t="n">
        <f aca="false">IF(F835="Reverse charge (imported services)",L835,0)</f>
        <v>0</v>
      </c>
      <c r="O835" s="52" t="n">
        <f aca="false">IF(C835&lt;&gt;"Purchase",0,IF(OR(I835="N",F835="Blocked input (entertainment)"),0,L835))</f>
        <v>0</v>
      </c>
      <c r="P835" s="52" t="n">
        <f aca="false">IF(C835&lt;&gt;"Purchase",0,L835-O835)</f>
        <v>0</v>
      </c>
      <c r="Q835" s="53" t="n">
        <f aca="false">J835-B835</f>
        <v>0</v>
      </c>
      <c r="R835" s="51" t="str">
        <f aca="false">IF(I835="N","Invalid / missing TRN",IF(F835="Blocked input (entertainment)","Blocked input",IF(Q835&gt;30,"Late posting (&gt;30d)","")))</f>
        <v/>
      </c>
    </row>
    <row r="836" customFormat="false" ht="15" hidden="false" customHeight="false" outlineLevel="0" collapsed="false">
      <c r="A836" s="47" t="s">
        <v>1122</v>
      </c>
      <c r="B836" s="48" t="n">
        <v>45892</v>
      </c>
      <c r="C836" s="47" t="s">
        <v>166</v>
      </c>
      <c r="D836" s="47" t="s">
        <v>199</v>
      </c>
      <c r="E836" s="47" t="s">
        <v>101</v>
      </c>
      <c r="F836" s="47" t="s">
        <v>161</v>
      </c>
      <c r="G836" s="49" t="n">
        <v>22209.12</v>
      </c>
      <c r="H836" s="50" t="n">
        <v>0.05</v>
      </c>
      <c r="I836" s="47" t="s">
        <v>162</v>
      </c>
      <c r="J836" s="48" t="n">
        <v>45892</v>
      </c>
      <c r="K836" s="51" t="str">
        <f aca="false">"Q"&amp;ROUNDUP(MONTH(B836)/3,0)</f>
        <v>Q3</v>
      </c>
      <c r="L836" s="52" t="n">
        <f aca="false">ROUND(G836*H836,2)</f>
        <v>1110.46</v>
      </c>
      <c r="M836" s="52" t="n">
        <f aca="false">IF(AND(C836="Sales",F836="Standard-rated 5%"),L836,0)</f>
        <v>0</v>
      </c>
      <c r="N836" s="52" t="n">
        <f aca="false">IF(F836="Reverse charge (imported services)",L836,0)</f>
        <v>0</v>
      </c>
      <c r="O836" s="52" t="n">
        <f aca="false">IF(C836&lt;&gt;"Purchase",0,IF(OR(I836="N",F836="Blocked input (entertainment)"),0,L836))</f>
        <v>1110.46</v>
      </c>
      <c r="P836" s="52" t="n">
        <f aca="false">IF(C836&lt;&gt;"Purchase",0,L836-O836)</f>
        <v>0</v>
      </c>
      <c r="Q836" s="53" t="n">
        <f aca="false">J836-B836</f>
        <v>0</v>
      </c>
      <c r="R836" s="51" t="str">
        <f aca="false">IF(I836="N","Invalid / missing TRN",IF(F836="Blocked input (entertainment)","Blocked input",IF(Q836&gt;30,"Late posting (&gt;30d)","")))</f>
        <v/>
      </c>
    </row>
    <row r="837" customFormat="false" ht="15" hidden="false" customHeight="false" outlineLevel="0" collapsed="false">
      <c r="A837" s="47" t="s">
        <v>1123</v>
      </c>
      <c r="B837" s="48" t="n">
        <v>45892</v>
      </c>
      <c r="C837" s="47" t="s">
        <v>159</v>
      </c>
      <c r="D837" s="47" t="s">
        <v>243</v>
      </c>
      <c r="E837" s="47" t="s">
        <v>100</v>
      </c>
      <c r="F837" s="47" t="s">
        <v>161</v>
      </c>
      <c r="G837" s="49" t="n">
        <v>104572.21</v>
      </c>
      <c r="H837" s="50" t="n">
        <v>0.05</v>
      </c>
      <c r="I837" s="47" t="s">
        <v>162</v>
      </c>
      <c r="J837" s="48" t="n">
        <v>45892</v>
      </c>
      <c r="K837" s="51" t="str">
        <f aca="false">"Q"&amp;ROUNDUP(MONTH(B837)/3,0)</f>
        <v>Q3</v>
      </c>
      <c r="L837" s="52" t="n">
        <f aca="false">ROUND(G837*H837,2)</f>
        <v>5228.61</v>
      </c>
      <c r="M837" s="52" t="n">
        <f aca="false">IF(AND(C837="Sales",F837="Standard-rated 5%"),L837,0)</f>
        <v>5228.61</v>
      </c>
      <c r="N837" s="52" t="n">
        <f aca="false">IF(F837="Reverse charge (imported services)",L837,0)</f>
        <v>0</v>
      </c>
      <c r="O837" s="52" t="n">
        <f aca="false">IF(C837&lt;&gt;"Purchase",0,IF(OR(I837="N",F837="Blocked input (entertainment)"),0,L837))</f>
        <v>0</v>
      </c>
      <c r="P837" s="52" t="n">
        <f aca="false">IF(C837&lt;&gt;"Purchase",0,L837-O837)</f>
        <v>0</v>
      </c>
      <c r="Q837" s="53" t="n">
        <f aca="false">J837-B837</f>
        <v>0</v>
      </c>
      <c r="R837" s="51" t="str">
        <f aca="false">IF(I837="N","Invalid / missing TRN",IF(F837="Blocked input (entertainment)","Blocked input",IF(Q837&gt;30,"Late posting (&gt;30d)","")))</f>
        <v/>
      </c>
    </row>
    <row r="838" customFormat="false" ht="15" hidden="false" customHeight="false" outlineLevel="0" collapsed="false">
      <c r="A838" s="47" t="s">
        <v>1124</v>
      </c>
      <c r="B838" s="48" t="n">
        <v>45892</v>
      </c>
      <c r="C838" s="47" t="s">
        <v>159</v>
      </c>
      <c r="D838" s="47" t="s">
        <v>317</v>
      </c>
      <c r="E838" s="47" t="s">
        <v>103</v>
      </c>
      <c r="F838" s="47" t="s">
        <v>161</v>
      </c>
      <c r="G838" s="49" t="n">
        <v>33732.58</v>
      </c>
      <c r="H838" s="50" t="n">
        <v>0.05</v>
      </c>
      <c r="I838" s="47" t="s">
        <v>162</v>
      </c>
      <c r="J838" s="48" t="n">
        <v>45892</v>
      </c>
      <c r="K838" s="51" t="str">
        <f aca="false">"Q"&amp;ROUNDUP(MONTH(B838)/3,0)</f>
        <v>Q3</v>
      </c>
      <c r="L838" s="52" t="n">
        <f aca="false">ROUND(G838*H838,2)</f>
        <v>1686.63</v>
      </c>
      <c r="M838" s="52" t="n">
        <f aca="false">IF(AND(C838="Sales",F838="Standard-rated 5%"),L838,0)</f>
        <v>1686.63</v>
      </c>
      <c r="N838" s="52" t="n">
        <f aca="false">IF(F838="Reverse charge (imported services)",L838,0)</f>
        <v>0</v>
      </c>
      <c r="O838" s="52" t="n">
        <f aca="false">IF(C838&lt;&gt;"Purchase",0,IF(OR(I838="N",F838="Blocked input (entertainment)"),0,L838))</f>
        <v>0</v>
      </c>
      <c r="P838" s="52" t="n">
        <f aca="false">IF(C838&lt;&gt;"Purchase",0,L838-O838)</f>
        <v>0</v>
      </c>
      <c r="Q838" s="53" t="n">
        <f aca="false">J838-B838</f>
        <v>0</v>
      </c>
      <c r="R838" s="51" t="str">
        <f aca="false">IF(I838="N","Invalid / missing TRN",IF(F838="Blocked input (entertainment)","Blocked input",IF(Q838&gt;30,"Late posting (&gt;30d)","")))</f>
        <v/>
      </c>
    </row>
    <row r="839" customFormat="false" ht="15" hidden="false" customHeight="false" outlineLevel="0" collapsed="false">
      <c r="A839" s="47" t="s">
        <v>1125</v>
      </c>
      <c r="B839" s="48" t="n">
        <v>45893</v>
      </c>
      <c r="C839" s="47" t="s">
        <v>166</v>
      </c>
      <c r="D839" s="47" t="s">
        <v>231</v>
      </c>
      <c r="E839" s="47" t="s">
        <v>100</v>
      </c>
      <c r="F839" s="47" t="s">
        <v>173</v>
      </c>
      <c r="G839" s="49" t="n">
        <v>85081.56</v>
      </c>
      <c r="H839" s="50" t="n">
        <v>0.05</v>
      </c>
      <c r="I839" s="47" t="s">
        <v>162</v>
      </c>
      <c r="J839" s="48" t="n">
        <v>45893</v>
      </c>
      <c r="K839" s="51" t="str">
        <f aca="false">"Q"&amp;ROUNDUP(MONTH(B839)/3,0)</f>
        <v>Q3</v>
      </c>
      <c r="L839" s="52" t="n">
        <f aca="false">ROUND(G839*H839,2)</f>
        <v>4254.08</v>
      </c>
      <c r="M839" s="52" t="n">
        <f aca="false">IF(AND(C839="Sales",F839="Standard-rated 5%"),L839,0)</f>
        <v>0</v>
      </c>
      <c r="N839" s="52" t="n">
        <f aca="false">IF(F839="Reverse charge (imported services)",L839,0)</f>
        <v>4254.08</v>
      </c>
      <c r="O839" s="52" t="n">
        <f aca="false">IF(C839&lt;&gt;"Purchase",0,IF(OR(I839="N",F839="Blocked input (entertainment)"),0,L839))</f>
        <v>4254.08</v>
      </c>
      <c r="P839" s="52" t="n">
        <f aca="false">IF(C839&lt;&gt;"Purchase",0,L839-O839)</f>
        <v>0</v>
      </c>
      <c r="Q839" s="53" t="n">
        <f aca="false">J839-B839</f>
        <v>0</v>
      </c>
      <c r="R839" s="51" t="str">
        <f aca="false">IF(I839="N","Invalid / missing TRN",IF(F839="Blocked input (entertainment)","Blocked input",IF(Q839&gt;30,"Late posting (&gt;30d)","")))</f>
        <v/>
      </c>
    </row>
    <row r="840" customFormat="false" ht="15" hidden="false" customHeight="false" outlineLevel="0" collapsed="false">
      <c r="A840" s="47" t="s">
        <v>1126</v>
      </c>
      <c r="B840" s="48" t="n">
        <v>45893</v>
      </c>
      <c r="C840" s="47" t="s">
        <v>166</v>
      </c>
      <c r="D840" s="47" t="s">
        <v>280</v>
      </c>
      <c r="E840" s="47" t="s">
        <v>102</v>
      </c>
      <c r="F840" s="47" t="s">
        <v>161</v>
      </c>
      <c r="G840" s="49" t="n">
        <v>9620.87</v>
      </c>
      <c r="H840" s="50" t="n">
        <v>0.05</v>
      </c>
      <c r="I840" s="47" t="s">
        <v>162</v>
      </c>
      <c r="J840" s="48" t="n">
        <v>45893</v>
      </c>
      <c r="K840" s="51" t="str">
        <f aca="false">"Q"&amp;ROUNDUP(MONTH(B840)/3,0)</f>
        <v>Q3</v>
      </c>
      <c r="L840" s="52" t="n">
        <f aca="false">ROUND(G840*H840,2)</f>
        <v>481.04</v>
      </c>
      <c r="M840" s="52" t="n">
        <f aca="false">IF(AND(C840="Sales",F840="Standard-rated 5%"),L840,0)</f>
        <v>0</v>
      </c>
      <c r="N840" s="52" t="n">
        <f aca="false">IF(F840="Reverse charge (imported services)",L840,0)</f>
        <v>0</v>
      </c>
      <c r="O840" s="52" t="n">
        <f aca="false">IF(C840&lt;&gt;"Purchase",0,IF(OR(I840="N",F840="Blocked input (entertainment)"),0,L840))</f>
        <v>481.04</v>
      </c>
      <c r="P840" s="52" t="n">
        <f aca="false">IF(C840&lt;&gt;"Purchase",0,L840-O840)</f>
        <v>0</v>
      </c>
      <c r="Q840" s="53" t="n">
        <f aca="false">J840-B840</f>
        <v>0</v>
      </c>
      <c r="R840" s="51" t="str">
        <f aca="false">IF(I840="N","Invalid / missing TRN",IF(F840="Blocked input (entertainment)","Blocked input",IF(Q840&gt;30,"Late posting (&gt;30d)","")))</f>
        <v/>
      </c>
    </row>
    <row r="841" customFormat="false" ht="15" hidden="false" customHeight="false" outlineLevel="0" collapsed="false">
      <c r="A841" s="47" t="s">
        <v>1127</v>
      </c>
      <c r="B841" s="48" t="n">
        <v>45894</v>
      </c>
      <c r="C841" s="47" t="s">
        <v>159</v>
      </c>
      <c r="D841" s="47" t="s">
        <v>534</v>
      </c>
      <c r="E841" s="47" t="s">
        <v>101</v>
      </c>
      <c r="F841" s="47" t="s">
        <v>161</v>
      </c>
      <c r="G841" s="49" t="n">
        <v>9509.55</v>
      </c>
      <c r="H841" s="50" t="n">
        <v>0.05</v>
      </c>
      <c r="I841" s="47" t="s">
        <v>162</v>
      </c>
      <c r="J841" s="48" t="n">
        <v>45894</v>
      </c>
      <c r="K841" s="51" t="str">
        <f aca="false">"Q"&amp;ROUNDUP(MONTH(B841)/3,0)</f>
        <v>Q3</v>
      </c>
      <c r="L841" s="52" t="n">
        <f aca="false">ROUND(G841*H841,2)</f>
        <v>475.48</v>
      </c>
      <c r="M841" s="52" t="n">
        <f aca="false">IF(AND(C841="Sales",F841="Standard-rated 5%"),L841,0)</f>
        <v>475.48</v>
      </c>
      <c r="N841" s="52" t="n">
        <f aca="false">IF(F841="Reverse charge (imported services)",L841,0)</f>
        <v>0</v>
      </c>
      <c r="O841" s="52" t="n">
        <f aca="false">IF(C841&lt;&gt;"Purchase",0,IF(OR(I841="N",F841="Blocked input (entertainment)"),0,L841))</f>
        <v>0</v>
      </c>
      <c r="P841" s="52" t="n">
        <f aca="false">IF(C841&lt;&gt;"Purchase",0,L841-O841)</f>
        <v>0</v>
      </c>
      <c r="Q841" s="53" t="n">
        <f aca="false">J841-B841</f>
        <v>0</v>
      </c>
      <c r="R841" s="51" t="str">
        <f aca="false">IF(I841="N","Invalid / missing TRN",IF(F841="Blocked input (entertainment)","Blocked input",IF(Q841&gt;30,"Late posting (&gt;30d)","")))</f>
        <v/>
      </c>
    </row>
    <row r="842" customFormat="false" ht="15" hidden="false" customHeight="false" outlineLevel="0" collapsed="false">
      <c r="A842" s="47" t="s">
        <v>1128</v>
      </c>
      <c r="B842" s="48" t="n">
        <v>45894</v>
      </c>
      <c r="C842" s="47" t="s">
        <v>159</v>
      </c>
      <c r="D842" s="47" t="s">
        <v>293</v>
      </c>
      <c r="E842" s="47" t="s">
        <v>101</v>
      </c>
      <c r="F842" s="47" t="s">
        <v>161</v>
      </c>
      <c r="G842" s="49" t="n">
        <v>48318.16</v>
      </c>
      <c r="H842" s="50" t="n">
        <v>0.05</v>
      </c>
      <c r="I842" s="47" t="s">
        <v>162</v>
      </c>
      <c r="J842" s="48" t="n">
        <v>45894</v>
      </c>
      <c r="K842" s="51" t="str">
        <f aca="false">"Q"&amp;ROUNDUP(MONTH(B842)/3,0)</f>
        <v>Q3</v>
      </c>
      <c r="L842" s="52" t="n">
        <f aca="false">ROUND(G842*H842,2)</f>
        <v>2415.91</v>
      </c>
      <c r="M842" s="52" t="n">
        <f aca="false">IF(AND(C842="Sales",F842="Standard-rated 5%"),L842,0)</f>
        <v>2415.91</v>
      </c>
      <c r="N842" s="52" t="n">
        <f aca="false">IF(F842="Reverse charge (imported services)",L842,0)</f>
        <v>0</v>
      </c>
      <c r="O842" s="52" t="n">
        <f aca="false">IF(C842&lt;&gt;"Purchase",0,IF(OR(I842="N",F842="Blocked input (entertainment)"),0,L842))</f>
        <v>0</v>
      </c>
      <c r="P842" s="52" t="n">
        <f aca="false">IF(C842&lt;&gt;"Purchase",0,L842-O842)</f>
        <v>0</v>
      </c>
      <c r="Q842" s="53" t="n">
        <f aca="false">J842-B842</f>
        <v>0</v>
      </c>
      <c r="R842" s="51" t="str">
        <f aca="false">IF(I842="N","Invalid / missing TRN",IF(F842="Blocked input (entertainment)","Blocked input",IF(Q842&gt;30,"Late posting (&gt;30d)","")))</f>
        <v/>
      </c>
    </row>
    <row r="843" customFormat="false" ht="15" hidden="false" customHeight="false" outlineLevel="0" collapsed="false">
      <c r="A843" s="47" t="s">
        <v>1129</v>
      </c>
      <c r="B843" s="48" t="n">
        <v>45895</v>
      </c>
      <c r="C843" s="47" t="s">
        <v>166</v>
      </c>
      <c r="D843" s="47" t="s">
        <v>577</v>
      </c>
      <c r="E843" s="47" t="s">
        <v>102</v>
      </c>
      <c r="F843" s="47" t="s">
        <v>161</v>
      </c>
      <c r="G843" s="49" t="n">
        <v>74184.67</v>
      </c>
      <c r="H843" s="50" t="n">
        <v>0.05</v>
      </c>
      <c r="I843" s="47" t="s">
        <v>162</v>
      </c>
      <c r="J843" s="48" t="n">
        <v>45895</v>
      </c>
      <c r="K843" s="51" t="str">
        <f aca="false">"Q"&amp;ROUNDUP(MONTH(B843)/3,0)</f>
        <v>Q3</v>
      </c>
      <c r="L843" s="52" t="n">
        <f aca="false">ROUND(G843*H843,2)</f>
        <v>3709.23</v>
      </c>
      <c r="M843" s="52" t="n">
        <f aca="false">IF(AND(C843="Sales",F843="Standard-rated 5%"),L843,0)</f>
        <v>0</v>
      </c>
      <c r="N843" s="52" t="n">
        <f aca="false">IF(F843="Reverse charge (imported services)",L843,0)</f>
        <v>0</v>
      </c>
      <c r="O843" s="52" t="n">
        <f aca="false">IF(C843&lt;&gt;"Purchase",0,IF(OR(I843="N",F843="Blocked input (entertainment)"),0,L843))</f>
        <v>3709.23</v>
      </c>
      <c r="P843" s="52" t="n">
        <f aca="false">IF(C843&lt;&gt;"Purchase",0,L843-O843)</f>
        <v>0</v>
      </c>
      <c r="Q843" s="53" t="n">
        <f aca="false">J843-B843</f>
        <v>0</v>
      </c>
      <c r="R843" s="51" t="str">
        <f aca="false">IF(I843="N","Invalid / missing TRN",IF(F843="Blocked input (entertainment)","Blocked input",IF(Q843&gt;30,"Late posting (&gt;30d)","")))</f>
        <v/>
      </c>
    </row>
    <row r="844" customFormat="false" ht="15" hidden="false" customHeight="false" outlineLevel="0" collapsed="false">
      <c r="A844" s="47" t="s">
        <v>1130</v>
      </c>
      <c r="B844" s="48" t="n">
        <v>45895</v>
      </c>
      <c r="C844" s="47" t="s">
        <v>159</v>
      </c>
      <c r="D844" s="47" t="s">
        <v>423</v>
      </c>
      <c r="E844" s="47" t="s">
        <v>101</v>
      </c>
      <c r="F844" s="47" t="s">
        <v>214</v>
      </c>
      <c r="G844" s="49" t="n">
        <v>216912.93</v>
      </c>
      <c r="H844" s="50" t="n">
        <v>0</v>
      </c>
      <c r="I844" s="47" t="s">
        <v>162</v>
      </c>
      <c r="J844" s="48" t="n">
        <v>45895</v>
      </c>
      <c r="K844" s="51" t="str">
        <f aca="false">"Q"&amp;ROUNDUP(MONTH(B844)/3,0)</f>
        <v>Q3</v>
      </c>
      <c r="L844" s="52" t="n">
        <f aca="false">ROUND(G844*H844,2)</f>
        <v>0</v>
      </c>
      <c r="M844" s="52" t="n">
        <f aca="false">IF(AND(C844="Sales",F844="Standard-rated 5%"),L844,0)</f>
        <v>0</v>
      </c>
      <c r="N844" s="52" t="n">
        <f aca="false">IF(F844="Reverse charge (imported services)",L844,0)</f>
        <v>0</v>
      </c>
      <c r="O844" s="52" t="n">
        <f aca="false">IF(C844&lt;&gt;"Purchase",0,IF(OR(I844="N",F844="Blocked input (entertainment)"),0,L844))</f>
        <v>0</v>
      </c>
      <c r="P844" s="52" t="n">
        <f aca="false">IF(C844&lt;&gt;"Purchase",0,L844-O844)</f>
        <v>0</v>
      </c>
      <c r="Q844" s="53" t="n">
        <f aca="false">J844-B844</f>
        <v>0</v>
      </c>
      <c r="R844" s="51" t="str">
        <f aca="false">IF(I844="N","Invalid / missing TRN",IF(F844="Blocked input (entertainment)","Blocked input",IF(Q844&gt;30,"Late posting (&gt;30d)","")))</f>
        <v/>
      </c>
    </row>
    <row r="845" customFormat="false" ht="15" hidden="false" customHeight="false" outlineLevel="0" collapsed="false">
      <c r="A845" s="47" t="s">
        <v>1131</v>
      </c>
      <c r="B845" s="48" t="n">
        <v>45896</v>
      </c>
      <c r="C845" s="47" t="s">
        <v>166</v>
      </c>
      <c r="D845" s="47" t="s">
        <v>458</v>
      </c>
      <c r="E845" s="47" t="s">
        <v>101</v>
      </c>
      <c r="F845" s="47" t="s">
        <v>161</v>
      </c>
      <c r="G845" s="49" t="n">
        <v>29413.29</v>
      </c>
      <c r="H845" s="50" t="n">
        <v>0.05</v>
      </c>
      <c r="I845" s="47" t="s">
        <v>162</v>
      </c>
      <c r="J845" s="48" t="n">
        <v>45896</v>
      </c>
      <c r="K845" s="51" t="str">
        <f aca="false">"Q"&amp;ROUNDUP(MONTH(B845)/3,0)</f>
        <v>Q3</v>
      </c>
      <c r="L845" s="52" t="n">
        <f aca="false">ROUND(G845*H845,2)</f>
        <v>1470.66</v>
      </c>
      <c r="M845" s="52" t="n">
        <f aca="false">IF(AND(C845="Sales",F845="Standard-rated 5%"),L845,0)</f>
        <v>0</v>
      </c>
      <c r="N845" s="52" t="n">
        <f aca="false">IF(F845="Reverse charge (imported services)",L845,0)</f>
        <v>0</v>
      </c>
      <c r="O845" s="52" t="n">
        <f aca="false">IF(C845&lt;&gt;"Purchase",0,IF(OR(I845="N",F845="Blocked input (entertainment)"),0,L845))</f>
        <v>1470.66</v>
      </c>
      <c r="P845" s="52" t="n">
        <f aca="false">IF(C845&lt;&gt;"Purchase",0,L845-O845)</f>
        <v>0</v>
      </c>
      <c r="Q845" s="53" t="n">
        <f aca="false">J845-B845</f>
        <v>0</v>
      </c>
      <c r="R845" s="51" t="str">
        <f aca="false">IF(I845="N","Invalid / missing TRN",IF(F845="Blocked input (entertainment)","Blocked input",IF(Q845&gt;30,"Late posting (&gt;30d)","")))</f>
        <v/>
      </c>
    </row>
    <row r="846" customFormat="false" ht="15" hidden="false" customHeight="false" outlineLevel="0" collapsed="false">
      <c r="A846" s="47" t="s">
        <v>1132</v>
      </c>
      <c r="B846" s="48" t="n">
        <v>45896</v>
      </c>
      <c r="C846" s="47" t="s">
        <v>166</v>
      </c>
      <c r="D846" s="47" t="s">
        <v>315</v>
      </c>
      <c r="E846" s="47" t="s">
        <v>100</v>
      </c>
      <c r="F846" s="47" t="s">
        <v>161</v>
      </c>
      <c r="G846" s="49" t="n">
        <v>16548.79</v>
      </c>
      <c r="H846" s="50" t="n">
        <v>0.05</v>
      </c>
      <c r="I846" s="47" t="s">
        <v>162</v>
      </c>
      <c r="J846" s="48" t="n">
        <v>45896</v>
      </c>
      <c r="K846" s="51" t="str">
        <f aca="false">"Q"&amp;ROUNDUP(MONTH(B846)/3,0)</f>
        <v>Q3</v>
      </c>
      <c r="L846" s="52" t="n">
        <f aca="false">ROUND(G846*H846,2)</f>
        <v>827.44</v>
      </c>
      <c r="M846" s="52" t="n">
        <f aca="false">IF(AND(C846="Sales",F846="Standard-rated 5%"),L846,0)</f>
        <v>0</v>
      </c>
      <c r="N846" s="52" t="n">
        <f aca="false">IF(F846="Reverse charge (imported services)",L846,0)</f>
        <v>0</v>
      </c>
      <c r="O846" s="52" t="n">
        <f aca="false">IF(C846&lt;&gt;"Purchase",0,IF(OR(I846="N",F846="Blocked input (entertainment)"),0,L846))</f>
        <v>827.44</v>
      </c>
      <c r="P846" s="52" t="n">
        <f aca="false">IF(C846&lt;&gt;"Purchase",0,L846-O846)</f>
        <v>0</v>
      </c>
      <c r="Q846" s="53" t="n">
        <f aca="false">J846-B846</f>
        <v>0</v>
      </c>
      <c r="R846" s="51" t="str">
        <f aca="false">IF(I846="N","Invalid / missing TRN",IF(F846="Blocked input (entertainment)","Blocked input",IF(Q846&gt;30,"Late posting (&gt;30d)","")))</f>
        <v/>
      </c>
    </row>
    <row r="847" customFormat="false" ht="15" hidden="false" customHeight="false" outlineLevel="0" collapsed="false">
      <c r="A847" s="47" t="s">
        <v>1133</v>
      </c>
      <c r="B847" s="48" t="n">
        <v>45897</v>
      </c>
      <c r="C847" s="47" t="s">
        <v>166</v>
      </c>
      <c r="D847" s="47" t="s">
        <v>335</v>
      </c>
      <c r="E847" s="47" t="s">
        <v>100</v>
      </c>
      <c r="F847" s="47" t="s">
        <v>161</v>
      </c>
      <c r="G847" s="49" t="n">
        <v>33327.5</v>
      </c>
      <c r="H847" s="50" t="n">
        <v>0.05</v>
      </c>
      <c r="I847" s="47" t="s">
        <v>162</v>
      </c>
      <c r="J847" s="48" t="n">
        <v>45897</v>
      </c>
      <c r="K847" s="51" t="str">
        <f aca="false">"Q"&amp;ROUNDUP(MONTH(B847)/3,0)</f>
        <v>Q3</v>
      </c>
      <c r="L847" s="52" t="n">
        <f aca="false">ROUND(G847*H847,2)</f>
        <v>1666.38</v>
      </c>
      <c r="M847" s="52" t="n">
        <f aca="false">IF(AND(C847="Sales",F847="Standard-rated 5%"),L847,0)</f>
        <v>0</v>
      </c>
      <c r="N847" s="52" t="n">
        <f aca="false">IF(F847="Reverse charge (imported services)",L847,0)</f>
        <v>0</v>
      </c>
      <c r="O847" s="52" t="n">
        <f aca="false">IF(C847&lt;&gt;"Purchase",0,IF(OR(I847="N",F847="Blocked input (entertainment)"),0,L847))</f>
        <v>1666.38</v>
      </c>
      <c r="P847" s="52" t="n">
        <f aca="false">IF(C847&lt;&gt;"Purchase",0,L847-O847)</f>
        <v>0</v>
      </c>
      <c r="Q847" s="53" t="n">
        <f aca="false">J847-B847</f>
        <v>0</v>
      </c>
      <c r="R847" s="51" t="str">
        <f aca="false">IF(I847="N","Invalid / missing TRN",IF(F847="Blocked input (entertainment)","Blocked input",IF(Q847&gt;30,"Late posting (&gt;30d)","")))</f>
        <v/>
      </c>
    </row>
    <row r="848" customFormat="false" ht="15" hidden="false" customHeight="false" outlineLevel="0" collapsed="false">
      <c r="A848" s="47" t="s">
        <v>1134</v>
      </c>
      <c r="B848" s="48" t="n">
        <v>45897</v>
      </c>
      <c r="C848" s="47" t="s">
        <v>166</v>
      </c>
      <c r="D848" s="47" t="s">
        <v>264</v>
      </c>
      <c r="E848" s="47" t="s">
        <v>100</v>
      </c>
      <c r="F848" s="47" t="s">
        <v>161</v>
      </c>
      <c r="G848" s="49" t="n">
        <v>42397.39</v>
      </c>
      <c r="H848" s="50" t="n">
        <v>0.05</v>
      </c>
      <c r="I848" s="47" t="s">
        <v>162</v>
      </c>
      <c r="J848" s="48" t="n">
        <v>45897</v>
      </c>
      <c r="K848" s="51" t="str">
        <f aca="false">"Q"&amp;ROUNDUP(MONTH(B848)/3,0)</f>
        <v>Q3</v>
      </c>
      <c r="L848" s="52" t="n">
        <f aca="false">ROUND(G848*H848,2)</f>
        <v>2119.87</v>
      </c>
      <c r="M848" s="52" t="n">
        <f aca="false">IF(AND(C848="Sales",F848="Standard-rated 5%"),L848,0)</f>
        <v>0</v>
      </c>
      <c r="N848" s="52" t="n">
        <f aca="false">IF(F848="Reverse charge (imported services)",L848,0)</f>
        <v>0</v>
      </c>
      <c r="O848" s="52" t="n">
        <f aca="false">IF(C848&lt;&gt;"Purchase",0,IF(OR(I848="N",F848="Blocked input (entertainment)"),0,L848))</f>
        <v>2119.87</v>
      </c>
      <c r="P848" s="52" t="n">
        <f aca="false">IF(C848&lt;&gt;"Purchase",0,L848-O848)</f>
        <v>0</v>
      </c>
      <c r="Q848" s="53" t="n">
        <f aca="false">J848-B848</f>
        <v>0</v>
      </c>
      <c r="R848" s="51" t="str">
        <f aca="false">IF(I848="N","Invalid / missing TRN",IF(F848="Blocked input (entertainment)","Blocked input",IF(Q848&gt;30,"Late posting (&gt;30d)","")))</f>
        <v/>
      </c>
    </row>
    <row r="849" customFormat="false" ht="15" hidden="false" customHeight="false" outlineLevel="0" collapsed="false">
      <c r="A849" s="47" t="s">
        <v>1135</v>
      </c>
      <c r="B849" s="48" t="n">
        <v>45897</v>
      </c>
      <c r="C849" s="47" t="s">
        <v>166</v>
      </c>
      <c r="D849" s="47" t="s">
        <v>190</v>
      </c>
      <c r="E849" s="47" t="s">
        <v>100</v>
      </c>
      <c r="F849" s="47" t="s">
        <v>161</v>
      </c>
      <c r="G849" s="49" t="n">
        <v>45758.61</v>
      </c>
      <c r="H849" s="50" t="n">
        <v>0.05</v>
      </c>
      <c r="I849" s="47" t="s">
        <v>162</v>
      </c>
      <c r="J849" s="48" t="n">
        <v>45897</v>
      </c>
      <c r="K849" s="51" t="str">
        <f aca="false">"Q"&amp;ROUNDUP(MONTH(B849)/3,0)</f>
        <v>Q3</v>
      </c>
      <c r="L849" s="52" t="n">
        <f aca="false">ROUND(G849*H849,2)</f>
        <v>2287.93</v>
      </c>
      <c r="M849" s="52" t="n">
        <f aca="false">IF(AND(C849="Sales",F849="Standard-rated 5%"),L849,0)</f>
        <v>0</v>
      </c>
      <c r="N849" s="52" t="n">
        <f aca="false">IF(F849="Reverse charge (imported services)",L849,0)</f>
        <v>0</v>
      </c>
      <c r="O849" s="52" t="n">
        <f aca="false">IF(C849&lt;&gt;"Purchase",0,IF(OR(I849="N",F849="Blocked input (entertainment)"),0,L849))</f>
        <v>2287.93</v>
      </c>
      <c r="P849" s="52" t="n">
        <f aca="false">IF(C849&lt;&gt;"Purchase",0,L849-O849)</f>
        <v>0</v>
      </c>
      <c r="Q849" s="53" t="n">
        <f aca="false">J849-B849</f>
        <v>0</v>
      </c>
      <c r="R849" s="51" t="str">
        <f aca="false">IF(I849="N","Invalid / missing TRN",IF(F849="Blocked input (entertainment)","Blocked input",IF(Q849&gt;30,"Late posting (&gt;30d)","")))</f>
        <v/>
      </c>
    </row>
    <row r="850" customFormat="false" ht="15" hidden="false" customHeight="false" outlineLevel="0" collapsed="false">
      <c r="A850" s="47" t="s">
        <v>1136</v>
      </c>
      <c r="B850" s="48" t="n">
        <v>45897</v>
      </c>
      <c r="C850" s="47" t="s">
        <v>159</v>
      </c>
      <c r="D850" s="47" t="s">
        <v>355</v>
      </c>
      <c r="E850" s="47" t="s">
        <v>101</v>
      </c>
      <c r="F850" s="47" t="s">
        <v>161</v>
      </c>
      <c r="G850" s="49" t="n">
        <v>47857.44</v>
      </c>
      <c r="H850" s="50" t="n">
        <v>0.05</v>
      </c>
      <c r="I850" s="47" t="s">
        <v>162</v>
      </c>
      <c r="J850" s="48" t="n">
        <v>45897</v>
      </c>
      <c r="K850" s="51" t="str">
        <f aca="false">"Q"&amp;ROUNDUP(MONTH(B850)/3,0)</f>
        <v>Q3</v>
      </c>
      <c r="L850" s="52" t="n">
        <f aca="false">ROUND(G850*H850,2)</f>
        <v>2392.87</v>
      </c>
      <c r="M850" s="52" t="n">
        <f aca="false">IF(AND(C850="Sales",F850="Standard-rated 5%"),L850,0)</f>
        <v>2392.87</v>
      </c>
      <c r="N850" s="52" t="n">
        <f aca="false">IF(F850="Reverse charge (imported services)",L850,0)</f>
        <v>0</v>
      </c>
      <c r="O850" s="52" t="n">
        <f aca="false">IF(C850&lt;&gt;"Purchase",0,IF(OR(I850="N",F850="Blocked input (entertainment)"),0,L850))</f>
        <v>0</v>
      </c>
      <c r="P850" s="52" t="n">
        <f aca="false">IF(C850&lt;&gt;"Purchase",0,L850-O850)</f>
        <v>0</v>
      </c>
      <c r="Q850" s="53" t="n">
        <f aca="false">J850-B850</f>
        <v>0</v>
      </c>
      <c r="R850" s="51" t="str">
        <f aca="false">IF(I850="N","Invalid / missing TRN",IF(F850="Blocked input (entertainment)","Blocked input",IF(Q850&gt;30,"Late posting (&gt;30d)","")))</f>
        <v/>
      </c>
    </row>
    <row r="851" customFormat="false" ht="15" hidden="false" customHeight="false" outlineLevel="0" collapsed="false">
      <c r="A851" s="47" t="s">
        <v>1137</v>
      </c>
      <c r="B851" s="48" t="n">
        <v>45897</v>
      </c>
      <c r="C851" s="47" t="s">
        <v>159</v>
      </c>
      <c r="D851" s="47" t="s">
        <v>260</v>
      </c>
      <c r="E851" s="47" t="s">
        <v>100</v>
      </c>
      <c r="F851" s="47" t="s">
        <v>161</v>
      </c>
      <c r="G851" s="49" t="n">
        <v>57712.57</v>
      </c>
      <c r="H851" s="50" t="n">
        <v>0.05</v>
      </c>
      <c r="I851" s="47" t="s">
        <v>162</v>
      </c>
      <c r="J851" s="48" t="n">
        <v>45897</v>
      </c>
      <c r="K851" s="51" t="str">
        <f aca="false">"Q"&amp;ROUNDUP(MONTH(B851)/3,0)</f>
        <v>Q3</v>
      </c>
      <c r="L851" s="52" t="n">
        <f aca="false">ROUND(G851*H851,2)</f>
        <v>2885.63</v>
      </c>
      <c r="M851" s="52" t="n">
        <f aca="false">IF(AND(C851="Sales",F851="Standard-rated 5%"),L851,0)</f>
        <v>2885.63</v>
      </c>
      <c r="N851" s="52" t="n">
        <f aca="false">IF(F851="Reverse charge (imported services)",L851,0)</f>
        <v>0</v>
      </c>
      <c r="O851" s="52" t="n">
        <f aca="false">IF(C851&lt;&gt;"Purchase",0,IF(OR(I851="N",F851="Blocked input (entertainment)"),0,L851))</f>
        <v>0</v>
      </c>
      <c r="P851" s="52" t="n">
        <f aca="false">IF(C851&lt;&gt;"Purchase",0,L851-O851)</f>
        <v>0</v>
      </c>
      <c r="Q851" s="53" t="n">
        <f aca="false">J851-B851</f>
        <v>0</v>
      </c>
      <c r="R851" s="51" t="str">
        <f aca="false">IF(I851="N","Invalid / missing TRN",IF(F851="Blocked input (entertainment)","Blocked input",IF(Q851&gt;30,"Late posting (&gt;30d)","")))</f>
        <v/>
      </c>
    </row>
    <row r="852" customFormat="false" ht="15" hidden="false" customHeight="false" outlineLevel="0" collapsed="false">
      <c r="A852" s="47" t="s">
        <v>1138</v>
      </c>
      <c r="B852" s="48" t="n">
        <v>45898</v>
      </c>
      <c r="C852" s="47" t="s">
        <v>159</v>
      </c>
      <c r="D852" s="47" t="s">
        <v>177</v>
      </c>
      <c r="E852" s="47" t="s">
        <v>102</v>
      </c>
      <c r="F852" s="47" t="s">
        <v>161</v>
      </c>
      <c r="G852" s="49" t="n">
        <v>6186.11</v>
      </c>
      <c r="H852" s="50" t="n">
        <v>0.05</v>
      </c>
      <c r="I852" s="47" t="s">
        <v>162</v>
      </c>
      <c r="J852" s="48" t="n">
        <v>45898</v>
      </c>
      <c r="K852" s="51" t="str">
        <f aca="false">"Q"&amp;ROUNDUP(MONTH(B852)/3,0)</f>
        <v>Q3</v>
      </c>
      <c r="L852" s="52" t="n">
        <f aca="false">ROUND(G852*H852,2)</f>
        <v>309.31</v>
      </c>
      <c r="M852" s="52" t="n">
        <f aca="false">IF(AND(C852="Sales",F852="Standard-rated 5%"),L852,0)</f>
        <v>309.31</v>
      </c>
      <c r="N852" s="52" t="n">
        <f aca="false">IF(F852="Reverse charge (imported services)",L852,0)</f>
        <v>0</v>
      </c>
      <c r="O852" s="52" t="n">
        <f aca="false">IF(C852&lt;&gt;"Purchase",0,IF(OR(I852="N",F852="Blocked input (entertainment)"),0,L852))</f>
        <v>0</v>
      </c>
      <c r="P852" s="52" t="n">
        <f aca="false">IF(C852&lt;&gt;"Purchase",0,L852-O852)</f>
        <v>0</v>
      </c>
      <c r="Q852" s="53" t="n">
        <f aca="false">J852-B852</f>
        <v>0</v>
      </c>
      <c r="R852" s="51" t="str">
        <f aca="false">IF(I852="N","Invalid / missing TRN",IF(F852="Blocked input (entertainment)","Blocked input",IF(Q852&gt;30,"Late posting (&gt;30d)","")))</f>
        <v/>
      </c>
    </row>
    <row r="853" customFormat="false" ht="15" hidden="false" customHeight="false" outlineLevel="0" collapsed="false">
      <c r="A853" s="47" t="s">
        <v>1139</v>
      </c>
      <c r="B853" s="48" t="n">
        <v>45898</v>
      </c>
      <c r="C853" s="47" t="s">
        <v>159</v>
      </c>
      <c r="D853" s="47" t="s">
        <v>373</v>
      </c>
      <c r="E853" s="47" t="s">
        <v>101</v>
      </c>
      <c r="F853" s="47" t="s">
        <v>161</v>
      </c>
      <c r="G853" s="49" t="n">
        <v>109044.95</v>
      </c>
      <c r="H853" s="50" t="n">
        <v>0.05</v>
      </c>
      <c r="I853" s="47" t="s">
        <v>162</v>
      </c>
      <c r="J853" s="48" t="n">
        <v>45898</v>
      </c>
      <c r="K853" s="51" t="str">
        <f aca="false">"Q"&amp;ROUNDUP(MONTH(B853)/3,0)</f>
        <v>Q3</v>
      </c>
      <c r="L853" s="52" t="n">
        <f aca="false">ROUND(G853*H853,2)</f>
        <v>5452.25</v>
      </c>
      <c r="M853" s="52" t="n">
        <f aca="false">IF(AND(C853="Sales",F853="Standard-rated 5%"),L853,0)</f>
        <v>5452.25</v>
      </c>
      <c r="N853" s="52" t="n">
        <f aca="false">IF(F853="Reverse charge (imported services)",L853,0)</f>
        <v>0</v>
      </c>
      <c r="O853" s="52" t="n">
        <f aca="false">IF(C853&lt;&gt;"Purchase",0,IF(OR(I853="N",F853="Blocked input (entertainment)"),0,L853))</f>
        <v>0</v>
      </c>
      <c r="P853" s="52" t="n">
        <f aca="false">IF(C853&lt;&gt;"Purchase",0,L853-O853)</f>
        <v>0</v>
      </c>
      <c r="Q853" s="53" t="n">
        <f aca="false">J853-B853</f>
        <v>0</v>
      </c>
      <c r="R853" s="51" t="str">
        <f aca="false">IF(I853="N","Invalid / missing TRN",IF(F853="Blocked input (entertainment)","Blocked input",IF(Q853&gt;30,"Late posting (&gt;30d)","")))</f>
        <v/>
      </c>
    </row>
    <row r="854" customFormat="false" ht="15" hidden="false" customHeight="false" outlineLevel="0" collapsed="false">
      <c r="A854" s="47" t="s">
        <v>1140</v>
      </c>
      <c r="B854" s="48" t="n">
        <v>45899</v>
      </c>
      <c r="C854" s="47" t="s">
        <v>166</v>
      </c>
      <c r="D854" s="47" t="s">
        <v>274</v>
      </c>
      <c r="E854" s="47" t="s">
        <v>100</v>
      </c>
      <c r="F854" s="47" t="s">
        <v>161</v>
      </c>
      <c r="G854" s="49" t="n">
        <v>28325.61</v>
      </c>
      <c r="H854" s="50" t="n">
        <v>0.05</v>
      </c>
      <c r="I854" s="47" t="s">
        <v>162</v>
      </c>
      <c r="J854" s="48" t="n">
        <v>45899</v>
      </c>
      <c r="K854" s="51" t="str">
        <f aca="false">"Q"&amp;ROUNDUP(MONTH(B854)/3,0)</f>
        <v>Q3</v>
      </c>
      <c r="L854" s="52" t="n">
        <f aca="false">ROUND(G854*H854,2)</f>
        <v>1416.28</v>
      </c>
      <c r="M854" s="52" t="n">
        <f aca="false">IF(AND(C854="Sales",F854="Standard-rated 5%"),L854,0)</f>
        <v>0</v>
      </c>
      <c r="N854" s="52" t="n">
        <f aca="false">IF(F854="Reverse charge (imported services)",L854,0)</f>
        <v>0</v>
      </c>
      <c r="O854" s="52" t="n">
        <f aca="false">IF(C854&lt;&gt;"Purchase",0,IF(OR(I854="N",F854="Blocked input (entertainment)"),0,L854))</f>
        <v>1416.28</v>
      </c>
      <c r="P854" s="52" t="n">
        <f aca="false">IF(C854&lt;&gt;"Purchase",0,L854-O854)</f>
        <v>0</v>
      </c>
      <c r="Q854" s="53" t="n">
        <f aca="false">J854-B854</f>
        <v>0</v>
      </c>
      <c r="R854" s="51" t="str">
        <f aca="false">IF(I854="N","Invalid / missing TRN",IF(F854="Blocked input (entertainment)","Blocked input",IF(Q854&gt;30,"Late posting (&gt;30d)","")))</f>
        <v/>
      </c>
    </row>
    <row r="855" customFormat="false" ht="15" hidden="false" customHeight="false" outlineLevel="0" collapsed="false">
      <c r="A855" s="47" t="s">
        <v>1141</v>
      </c>
      <c r="B855" s="48" t="n">
        <v>45900</v>
      </c>
      <c r="C855" s="47" t="s">
        <v>166</v>
      </c>
      <c r="D855" s="47" t="s">
        <v>557</v>
      </c>
      <c r="E855" s="47" t="s">
        <v>101</v>
      </c>
      <c r="F855" s="47" t="s">
        <v>268</v>
      </c>
      <c r="G855" s="49" t="n">
        <v>17689.48</v>
      </c>
      <c r="H855" s="50" t="n">
        <v>0</v>
      </c>
      <c r="I855" s="47" t="s">
        <v>162</v>
      </c>
      <c r="J855" s="48" t="n">
        <v>45902</v>
      </c>
      <c r="K855" s="51" t="str">
        <f aca="false">"Q"&amp;ROUNDUP(MONTH(B855)/3,0)</f>
        <v>Q3</v>
      </c>
      <c r="L855" s="52" t="n">
        <f aca="false">ROUND(G855*H855,2)</f>
        <v>0</v>
      </c>
      <c r="M855" s="52" t="n">
        <f aca="false">IF(AND(C855="Sales",F855="Standard-rated 5%"),L855,0)</f>
        <v>0</v>
      </c>
      <c r="N855" s="52" t="n">
        <f aca="false">IF(F855="Reverse charge (imported services)",L855,0)</f>
        <v>0</v>
      </c>
      <c r="O855" s="52" t="n">
        <f aca="false">IF(C855&lt;&gt;"Purchase",0,IF(OR(I855="N",F855="Blocked input (entertainment)"),0,L855))</f>
        <v>0</v>
      </c>
      <c r="P855" s="52" t="n">
        <f aca="false">IF(C855&lt;&gt;"Purchase",0,L855-O855)</f>
        <v>0</v>
      </c>
      <c r="Q855" s="53" t="n">
        <f aca="false">J855-B855</f>
        <v>2</v>
      </c>
      <c r="R855" s="51" t="str">
        <f aca="false">IF(I855="N","Invalid / missing TRN",IF(F855="Blocked input (entertainment)","Blocked input",IF(Q855&gt;30,"Late posting (&gt;30d)","")))</f>
        <v/>
      </c>
    </row>
    <row r="856" customFormat="false" ht="15" hidden="false" customHeight="false" outlineLevel="0" collapsed="false">
      <c r="A856" s="47" t="s">
        <v>1142</v>
      </c>
      <c r="B856" s="48" t="n">
        <v>45900</v>
      </c>
      <c r="C856" s="47" t="s">
        <v>166</v>
      </c>
      <c r="D856" s="47" t="s">
        <v>304</v>
      </c>
      <c r="E856" s="47" t="s">
        <v>101</v>
      </c>
      <c r="F856" s="47" t="s">
        <v>161</v>
      </c>
      <c r="G856" s="49" t="n">
        <v>40343.02</v>
      </c>
      <c r="H856" s="50" t="n">
        <v>0.05</v>
      </c>
      <c r="I856" s="47" t="s">
        <v>162</v>
      </c>
      <c r="J856" s="48" t="n">
        <v>45900</v>
      </c>
      <c r="K856" s="51" t="str">
        <f aca="false">"Q"&amp;ROUNDUP(MONTH(B856)/3,0)</f>
        <v>Q3</v>
      </c>
      <c r="L856" s="52" t="n">
        <f aca="false">ROUND(G856*H856,2)</f>
        <v>2017.15</v>
      </c>
      <c r="M856" s="52" t="n">
        <f aca="false">IF(AND(C856="Sales",F856="Standard-rated 5%"),L856,0)</f>
        <v>0</v>
      </c>
      <c r="N856" s="52" t="n">
        <f aca="false">IF(F856="Reverse charge (imported services)",L856,0)</f>
        <v>0</v>
      </c>
      <c r="O856" s="52" t="n">
        <f aca="false">IF(C856&lt;&gt;"Purchase",0,IF(OR(I856="N",F856="Blocked input (entertainment)"),0,L856))</f>
        <v>2017.15</v>
      </c>
      <c r="P856" s="52" t="n">
        <f aca="false">IF(C856&lt;&gt;"Purchase",0,L856-O856)</f>
        <v>0</v>
      </c>
      <c r="Q856" s="53" t="n">
        <f aca="false">J856-B856</f>
        <v>0</v>
      </c>
      <c r="R856" s="51" t="str">
        <f aca="false">IF(I856="N","Invalid / missing TRN",IF(F856="Blocked input (entertainment)","Blocked input",IF(Q856&gt;30,"Late posting (&gt;30d)","")))</f>
        <v/>
      </c>
    </row>
    <row r="857" customFormat="false" ht="15" hidden="false" customHeight="false" outlineLevel="0" collapsed="false">
      <c r="A857" s="47" t="s">
        <v>1143</v>
      </c>
      <c r="B857" s="48" t="n">
        <v>45900</v>
      </c>
      <c r="C857" s="47" t="s">
        <v>166</v>
      </c>
      <c r="D857" s="47" t="s">
        <v>274</v>
      </c>
      <c r="E857" s="47" t="s">
        <v>100</v>
      </c>
      <c r="F857" s="47" t="s">
        <v>161</v>
      </c>
      <c r="G857" s="49" t="n">
        <v>9254.29</v>
      </c>
      <c r="H857" s="50" t="n">
        <v>0.05</v>
      </c>
      <c r="I857" s="47" t="s">
        <v>162</v>
      </c>
      <c r="J857" s="48" t="n">
        <v>45900</v>
      </c>
      <c r="K857" s="51" t="str">
        <f aca="false">"Q"&amp;ROUNDUP(MONTH(B857)/3,0)</f>
        <v>Q3</v>
      </c>
      <c r="L857" s="52" t="n">
        <f aca="false">ROUND(G857*H857,2)</f>
        <v>462.71</v>
      </c>
      <c r="M857" s="52" t="n">
        <f aca="false">IF(AND(C857="Sales",F857="Standard-rated 5%"),L857,0)</f>
        <v>0</v>
      </c>
      <c r="N857" s="52" t="n">
        <f aca="false">IF(F857="Reverse charge (imported services)",L857,0)</f>
        <v>0</v>
      </c>
      <c r="O857" s="52" t="n">
        <f aca="false">IF(C857&lt;&gt;"Purchase",0,IF(OR(I857="N",F857="Blocked input (entertainment)"),0,L857))</f>
        <v>462.71</v>
      </c>
      <c r="P857" s="52" t="n">
        <f aca="false">IF(C857&lt;&gt;"Purchase",0,L857-O857)</f>
        <v>0</v>
      </c>
      <c r="Q857" s="53" t="n">
        <f aca="false">J857-B857</f>
        <v>0</v>
      </c>
      <c r="R857" s="51" t="str">
        <f aca="false">IF(I857="N","Invalid / missing TRN",IF(F857="Blocked input (entertainment)","Blocked input",IF(Q857&gt;30,"Late posting (&gt;30d)","")))</f>
        <v/>
      </c>
    </row>
    <row r="858" customFormat="false" ht="15" hidden="false" customHeight="false" outlineLevel="0" collapsed="false">
      <c r="A858" s="47" t="s">
        <v>1144</v>
      </c>
      <c r="B858" s="48" t="n">
        <v>45900</v>
      </c>
      <c r="C858" s="47" t="s">
        <v>159</v>
      </c>
      <c r="D858" s="47" t="s">
        <v>330</v>
      </c>
      <c r="E858" s="47" t="s">
        <v>100</v>
      </c>
      <c r="F858" s="47" t="s">
        <v>161</v>
      </c>
      <c r="G858" s="49" t="n">
        <v>52339.98</v>
      </c>
      <c r="H858" s="50" t="n">
        <v>0.05</v>
      </c>
      <c r="I858" s="47" t="s">
        <v>162</v>
      </c>
      <c r="J858" s="48" t="n">
        <v>45900</v>
      </c>
      <c r="K858" s="51" t="str">
        <f aca="false">"Q"&amp;ROUNDUP(MONTH(B858)/3,0)</f>
        <v>Q3</v>
      </c>
      <c r="L858" s="52" t="n">
        <f aca="false">ROUND(G858*H858,2)</f>
        <v>2617</v>
      </c>
      <c r="M858" s="52" t="n">
        <f aca="false">IF(AND(C858="Sales",F858="Standard-rated 5%"),L858,0)</f>
        <v>2617</v>
      </c>
      <c r="N858" s="52" t="n">
        <f aca="false">IF(F858="Reverse charge (imported services)",L858,0)</f>
        <v>0</v>
      </c>
      <c r="O858" s="52" t="n">
        <f aca="false">IF(C858&lt;&gt;"Purchase",0,IF(OR(I858="N",F858="Blocked input (entertainment)"),0,L858))</f>
        <v>0</v>
      </c>
      <c r="P858" s="52" t="n">
        <f aca="false">IF(C858&lt;&gt;"Purchase",0,L858-O858)</f>
        <v>0</v>
      </c>
      <c r="Q858" s="53" t="n">
        <f aca="false">J858-B858</f>
        <v>0</v>
      </c>
      <c r="R858" s="51" t="str">
        <f aca="false">IF(I858="N","Invalid / missing TRN",IF(F858="Blocked input (entertainment)","Blocked input",IF(Q858&gt;30,"Late posting (&gt;30d)","")))</f>
        <v/>
      </c>
    </row>
    <row r="859" customFormat="false" ht="15" hidden="false" customHeight="false" outlineLevel="0" collapsed="false">
      <c r="A859" s="47" t="s">
        <v>1145</v>
      </c>
      <c r="B859" s="48" t="n">
        <v>45900</v>
      </c>
      <c r="C859" s="47" t="s">
        <v>159</v>
      </c>
      <c r="D859" s="47" t="s">
        <v>330</v>
      </c>
      <c r="E859" s="47" t="s">
        <v>100</v>
      </c>
      <c r="F859" s="47" t="s">
        <v>278</v>
      </c>
      <c r="G859" s="49" t="n">
        <v>28406.42</v>
      </c>
      <c r="H859" s="50" t="n">
        <v>0</v>
      </c>
      <c r="I859" s="47" t="s">
        <v>162</v>
      </c>
      <c r="J859" s="48" t="n">
        <v>45900</v>
      </c>
      <c r="K859" s="51" t="str">
        <f aca="false">"Q"&amp;ROUNDUP(MONTH(B859)/3,0)</f>
        <v>Q3</v>
      </c>
      <c r="L859" s="52" t="n">
        <f aca="false">ROUND(G859*H859,2)</f>
        <v>0</v>
      </c>
      <c r="M859" s="52" t="n">
        <f aca="false">IF(AND(C859="Sales",F859="Standard-rated 5%"),L859,0)</f>
        <v>0</v>
      </c>
      <c r="N859" s="52" t="n">
        <f aca="false">IF(F859="Reverse charge (imported services)",L859,0)</f>
        <v>0</v>
      </c>
      <c r="O859" s="52" t="n">
        <f aca="false">IF(C859&lt;&gt;"Purchase",0,IF(OR(I859="N",F859="Blocked input (entertainment)"),0,L859))</f>
        <v>0</v>
      </c>
      <c r="P859" s="52" t="n">
        <f aca="false">IF(C859&lt;&gt;"Purchase",0,L859-O859)</f>
        <v>0</v>
      </c>
      <c r="Q859" s="53" t="n">
        <f aca="false">J859-B859</f>
        <v>0</v>
      </c>
      <c r="R859" s="51" t="str">
        <f aca="false">IF(I859="N","Invalid / missing TRN",IF(F859="Blocked input (entertainment)","Blocked input",IF(Q859&gt;30,"Late posting (&gt;30d)","")))</f>
        <v/>
      </c>
    </row>
    <row r="860" customFormat="false" ht="15" hidden="false" customHeight="false" outlineLevel="0" collapsed="false">
      <c r="A860" s="47" t="s">
        <v>1146</v>
      </c>
      <c r="B860" s="48" t="n">
        <v>45900</v>
      </c>
      <c r="C860" s="47" t="s">
        <v>159</v>
      </c>
      <c r="D860" s="47" t="s">
        <v>237</v>
      </c>
      <c r="E860" s="47" t="s">
        <v>105</v>
      </c>
      <c r="F860" s="47" t="s">
        <v>161</v>
      </c>
      <c r="G860" s="49" t="n">
        <v>31261.36</v>
      </c>
      <c r="H860" s="50" t="n">
        <v>0.05</v>
      </c>
      <c r="I860" s="47" t="s">
        <v>162</v>
      </c>
      <c r="J860" s="48" t="n">
        <v>45905</v>
      </c>
      <c r="K860" s="51" t="str">
        <f aca="false">"Q"&amp;ROUNDUP(MONTH(B860)/3,0)</f>
        <v>Q3</v>
      </c>
      <c r="L860" s="52" t="n">
        <f aca="false">ROUND(G860*H860,2)</f>
        <v>1563.07</v>
      </c>
      <c r="M860" s="52" t="n">
        <f aca="false">IF(AND(C860="Sales",F860="Standard-rated 5%"),L860,0)</f>
        <v>1563.07</v>
      </c>
      <c r="N860" s="52" t="n">
        <f aca="false">IF(F860="Reverse charge (imported services)",L860,0)</f>
        <v>0</v>
      </c>
      <c r="O860" s="52" t="n">
        <f aca="false">IF(C860&lt;&gt;"Purchase",0,IF(OR(I860="N",F860="Blocked input (entertainment)"),0,L860))</f>
        <v>0</v>
      </c>
      <c r="P860" s="52" t="n">
        <f aca="false">IF(C860&lt;&gt;"Purchase",0,L860-O860)</f>
        <v>0</v>
      </c>
      <c r="Q860" s="53" t="n">
        <f aca="false">J860-B860</f>
        <v>5</v>
      </c>
      <c r="R860" s="51" t="str">
        <f aca="false">IF(I860="N","Invalid / missing TRN",IF(F860="Blocked input (entertainment)","Blocked input",IF(Q860&gt;30,"Late posting (&gt;30d)","")))</f>
        <v/>
      </c>
    </row>
    <row r="861" customFormat="false" ht="15" hidden="false" customHeight="false" outlineLevel="0" collapsed="false">
      <c r="A861" s="47" t="s">
        <v>1147</v>
      </c>
      <c r="B861" s="48" t="n">
        <v>45900</v>
      </c>
      <c r="C861" s="47" t="s">
        <v>159</v>
      </c>
      <c r="D861" s="47" t="s">
        <v>627</v>
      </c>
      <c r="E861" s="47" t="s">
        <v>101</v>
      </c>
      <c r="F861" s="47" t="s">
        <v>161</v>
      </c>
      <c r="G861" s="49" t="n">
        <v>62764.75</v>
      </c>
      <c r="H861" s="50" t="n">
        <v>0.05</v>
      </c>
      <c r="I861" s="47" t="s">
        <v>162</v>
      </c>
      <c r="J861" s="48" t="n">
        <v>45900</v>
      </c>
      <c r="K861" s="51" t="str">
        <f aca="false">"Q"&amp;ROUNDUP(MONTH(B861)/3,0)</f>
        <v>Q3</v>
      </c>
      <c r="L861" s="52" t="n">
        <f aca="false">ROUND(G861*H861,2)</f>
        <v>3138.24</v>
      </c>
      <c r="M861" s="52" t="n">
        <f aca="false">IF(AND(C861="Sales",F861="Standard-rated 5%"),L861,0)</f>
        <v>3138.24</v>
      </c>
      <c r="N861" s="52" t="n">
        <f aca="false">IF(F861="Reverse charge (imported services)",L861,0)</f>
        <v>0</v>
      </c>
      <c r="O861" s="52" t="n">
        <f aca="false">IF(C861&lt;&gt;"Purchase",0,IF(OR(I861="N",F861="Blocked input (entertainment)"),0,L861))</f>
        <v>0</v>
      </c>
      <c r="P861" s="52" t="n">
        <f aca="false">IF(C861&lt;&gt;"Purchase",0,L861-O861)</f>
        <v>0</v>
      </c>
      <c r="Q861" s="53" t="n">
        <f aca="false">J861-B861</f>
        <v>0</v>
      </c>
      <c r="R861" s="51" t="str">
        <f aca="false">IF(I861="N","Invalid / missing TRN",IF(F861="Blocked input (entertainment)","Blocked input",IF(Q861&gt;30,"Late posting (&gt;30d)","")))</f>
        <v/>
      </c>
    </row>
    <row r="862" customFormat="false" ht="15" hidden="false" customHeight="false" outlineLevel="0" collapsed="false">
      <c r="A862" s="47" t="s">
        <v>1148</v>
      </c>
      <c r="B862" s="48" t="n">
        <v>45901</v>
      </c>
      <c r="C862" s="47" t="s">
        <v>159</v>
      </c>
      <c r="D862" s="47" t="s">
        <v>293</v>
      </c>
      <c r="E862" s="47" t="s">
        <v>103</v>
      </c>
      <c r="F862" s="47" t="s">
        <v>161</v>
      </c>
      <c r="G862" s="49" t="n">
        <v>87987.77</v>
      </c>
      <c r="H862" s="50" t="n">
        <v>0.05</v>
      </c>
      <c r="I862" s="47" t="s">
        <v>162</v>
      </c>
      <c r="J862" s="48" t="n">
        <v>45901</v>
      </c>
      <c r="K862" s="51" t="str">
        <f aca="false">"Q"&amp;ROUNDUP(MONTH(B862)/3,0)</f>
        <v>Q3</v>
      </c>
      <c r="L862" s="52" t="n">
        <f aca="false">ROUND(G862*H862,2)</f>
        <v>4399.39</v>
      </c>
      <c r="M862" s="52" t="n">
        <f aca="false">IF(AND(C862="Sales",F862="Standard-rated 5%"),L862,0)</f>
        <v>4399.39</v>
      </c>
      <c r="N862" s="52" t="n">
        <f aca="false">IF(F862="Reverse charge (imported services)",L862,0)</f>
        <v>0</v>
      </c>
      <c r="O862" s="52" t="n">
        <f aca="false">IF(C862&lt;&gt;"Purchase",0,IF(OR(I862="N",F862="Blocked input (entertainment)"),0,L862))</f>
        <v>0</v>
      </c>
      <c r="P862" s="52" t="n">
        <f aca="false">IF(C862&lt;&gt;"Purchase",0,L862-O862)</f>
        <v>0</v>
      </c>
      <c r="Q862" s="53" t="n">
        <f aca="false">J862-B862</f>
        <v>0</v>
      </c>
      <c r="R862" s="51" t="str">
        <f aca="false">IF(I862="N","Invalid / missing TRN",IF(F862="Blocked input (entertainment)","Blocked input",IF(Q862&gt;30,"Late posting (&gt;30d)","")))</f>
        <v/>
      </c>
    </row>
    <row r="863" customFormat="false" ht="15" hidden="false" customHeight="false" outlineLevel="0" collapsed="false">
      <c r="A863" s="47" t="s">
        <v>1149</v>
      </c>
      <c r="B863" s="48" t="n">
        <v>45902</v>
      </c>
      <c r="C863" s="47" t="s">
        <v>159</v>
      </c>
      <c r="D863" s="47" t="s">
        <v>283</v>
      </c>
      <c r="E863" s="47" t="s">
        <v>100</v>
      </c>
      <c r="F863" s="47" t="s">
        <v>161</v>
      </c>
      <c r="G863" s="49" t="n">
        <v>42208.43</v>
      </c>
      <c r="H863" s="50" t="n">
        <v>0.05</v>
      </c>
      <c r="I863" s="47" t="s">
        <v>162</v>
      </c>
      <c r="J863" s="48" t="n">
        <v>45902</v>
      </c>
      <c r="K863" s="51" t="str">
        <f aca="false">"Q"&amp;ROUNDUP(MONTH(B863)/3,0)</f>
        <v>Q3</v>
      </c>
      <c r="L863" s="52" t="n">
        <f aca="false">ROUND(G863*H863,2)</f>
        <v>2110.42</v>
      </c>
      <c r="M863" s="52" t="n">
        <f aca="false">IF(AND(C863="Sales",F863="Standard-rated 5%"),L863,0)</f>
        <v>2110.42</v>
      </c>
      <c r="N863" s="52" t="n">
        <f aca="false">IF(F863="Reverse charge (imported services)",L863,0)</f>
        <v>0</v>
      </c>
      <c r="O863" s="52" t="n">
        <f aca="false">IF(C863&lt;&gt;"Purchase",0,IF(OR(I863="N",F863="Blocked input (entertainment)"),0,L863))</f>
        <v>0</v>
      </c>
      <c r="P863" s="52" t="n">
        <f aca="false">IF(C863&lt;&gt;"Purchase",0,L863-O863)</f>
        <v>0</v>
      </c>
      <c r="Q863" s="53" t="n">
        <f aca="false">J863-B863</f>
        <v>0</v>
      </c>
      <c r="R863" s="51" t="str">
        <f aca="false">IF(I863="N","Invalid / missing TRN",IF(F863="Blocked input (entertainment)","Blocked input",IF(Q863&gt;30,"Late posting (&gt;30d)","")))</f>
        <v/>
      </c>
    </row>
    <row r="864" customFormat="false" ht="15" hidden="false" customHeight="false" outlineLevel="0" collapsed="false">
      <c r="A864" s="47" t="s">
        <v>1150</v>
      </c>
      <c r="B864" s="48" t="n">
        <v>45902</v>
      </c>
      <c r="C864" s="47" t="s">
        <v>159</v>
      </c>
      <c r="D864" s="47" t="s">
        <v>343</v>
      </c>
      <c r="E864" s="47" t="s">
        <v>102</v>
      </c>
      <c r="F864" s="47" t="s">
        <v>161</v>
      </c>
      <c r="G864" s="49" t="n">
        <v>33365.53</v>
      </c>
      <c r="H864" s="50" t="n">
        <v>0.05</v>
      </c>
      <c r="I864" s="47" t="s">
        <v>162</v>
      </c>
      <c r="J864" s="48" t="n">
        <v>45902</v>
      </c>
      <c r="K864" s="51" t="str">
        <f aca="false">"Q"&amp;ROUNDUP(MONTH(B864)/3,0)</f>
        <v>Q3</v>
      </c>
      <c r="L864" s="52" t="n">
        <f aca="false">ROUND(G864*H864,2)</f>
        <v>1668.28</v>
      </c>
      <c r="M864" s="52" t="n">
        <f aca="false">IF(AND(C864="Sales",F864="Standard-rated 5%"),L864,0)</f>
        <v>1668.28</v>
      </c>
      <c r="N864" s="52" t="n">
        <f aca="false">IF(F864="Reverse charge (imported services)",L864,0)</f>
        <v>0</v>
      </c>
      <c r="O864" s="52" t="n">
        <f aca="false">IF(C864&lt;&gt;"Purchase",0,IF(OR(I864="N",F864="Blocked input (entertainment)"),0,L864))</f>
        <v>0</v>
      </c>
      <c r="P864" s="52" t="n">
        <f aca="false">IF(C864&lt;&gt;"Purchase",0,L864-O864)</f>
        <v>0</v>
      </c>
      <c r="Q864" s="53" t="n">
        <f aca="false">J864-B864</f>
        <v>0</v>
      </c>
      <c r="R864" s="51" t="str">
        <f aca="false">IF(I864="N","Invalid / missing TRN",IF(F864="Blocked input (entertainment)","Blocked input",IF(Q864&gt;30,"Late posting (&gt;30d)","")))</f>
        <v/>
      </c>
    </row>
    <row r="865" customFormat="false" ht="15" hidden="false" customHeight="false" outlineLevel="0" collapsed="false">
      <c r="A865" s="47" t="s">
        <v>1151</v>
      </c>
      <c r="B865" s="48" t="n">
        <v>45903</v>
      </c>
      <c r="C865" s="47" t="s">
        <v>166</v>
      </c>
      <c r="D865" s="47" t="s">
        <v>458</v>
      </c>
      <c r="E865" s="47" t="s">
        <v>104</v>
      </c>
      <c r="F865" s="47" t="s">
        <v>161</v>
      </c>
      <c r="G865" s="49" t="n">
        <v>25505.49</v>
      </c>
      <c r="H865" s="50" t="n">
        <v>0.05</v>
      </c>
      <c r="I865" s="47" t="s">
        <v>162</v>
      </c>
      <c r="J865" s="48" t="n">
        <v>45903</v>
      </c>
      <c r="K865" s="51" t="str">
        <f aca="false">"Q"&amp;ROUNDUP(MONTH(B865)/3,0)</f>
        <v>Q3</v>
      </c>
      <c r="L865" s="52" t="n">
        <f aca="false">ROUND(G865*H865,2)</f>
        <v>1275.27</v>
      </c>
      <c r="M865" s="52" t="n">
        <f aca="false">IF(AND(C865="Sales",F865="Standard-rated 5%"),L865,0)</f>
        <v>0</v>
      </c>
      <c r="N865" s="52" t="n">
        <f aca="false">IF(F865="Reverse charge (imported services)",L865,0)</f>
        <v>0</v>
      </c>
      <c r="O865" s="52" t="n">
        <f aca="false">IF(C865&lt;&gt;"Purchase",0,IF(OR(I865="N",F865="Blocked input (entertainment)"),0,L865))</f>
        <v>1275.27</v>
      </c>
      <c r="P865" s="52" t="n">
        <f aca="false">IF(C865&lt;&gt;"Purchase",0,L865-O865)</f>
        <v>0</v>
      </c>
      <c r="Q865" s="53" t="n">
        <f aca="false">J865-B865</f>
        <v>0</v>
      </c>
      <c r="R865" s="51" t="str">
        <f aca="false">IF(I865="N","Invalid / missing TRN",IF(F865="Blocked input (entertainment)","Blocked input",IF(Q865&gt;30,"Late posting (&gt;30d)","")))</f>
        <v/>
      </c>
    </row>
    <row r="866" customFormat="false" ht="15" hidden="false" customHeight="false" outlineLevel="0" collapsed="false">
      <c r="A866" s="47" t="s">
        <v>1152</v>
      </c>
      <c r="B866" s="48" t="n">
        <v>45903</v>
      </c>
      <c r="C866" s="47" t="s">
        <v>166</v>
      </c>
      <c r="D866" s="47" t="s">
        <v>315</v>
      </c>
      <c r="E866" s="47" t="s">
        <v>100</v>
      </c>
      <c r="F866" s="47" t="s">
        <v>161</v>
      </c>
      <c r="G866" s="49" t="n">
        <v>43428.15</v>
      </c>
      <c r="H866" s="50" t="n">
        <v>0.05</v>
      </c>
      <c r="I866" s="47" t="s">
        <v>162</v>
      </c>
      <c r="J866" s="48" t="n">
        <v>45903</v>
      </c>
      <c r="K866" s="51" t="str">
        <f aca="false">"Q"&amp;ROUNDUP(MONTH(B866)/3,0)</f>
        <v>Q3</v>
      </c>
      <c r="L866" s="52" t="n">
        <f aca="false">ROUND(G866*H866,2)</f>
        <v>2171.41</v>
      </c>
      <c r="M866" s="52" t="n">
        <f aca="false">IF(AND(C866="Sales",F866="Standard-rated 5%"),L866,0)</f>
        <v>0</v>
      </c>
      <c r="N866" s="52" t="n">
        <f aca="false">IF(F866="Reverse charge (imported services)",L866,0)</f>
        <v>0</v>
      </c>
      <c r="O866" s="52" t="n">
        <f aca="false">IF(C866&lt;&gt;"Purchase",0,IF(OR(I866="N",F866="Blocked input (entertainment)"),0,L866))</f>
        <v>2171.41</v>
      </c>
      <c r="P866" s="52" t="n">
        <f aca="false">IF(C866&lt;&gt;"Purchase",0,L866-O866)</f>
        <v>0</v>
      </c>
      <c r="Q866" s="53" t="n">
        <f aca="false">J866-B866</f>
        <v>0</v>
      </c>
      <c r="R866" s="51" t="str">
        <f aca="false">IF(I866="N","Invalid / missing TRN",IF(F866="Blocked input (entertainment)","Blocked input",IF(Q866&gt;30,"Late posting (&gt;30d)","")))</f>
        <v/>
      </c>
    </row>
    <row r="867" customFormat="false" ht="15" hidden="false" customHeight="false" outlineLevel="0" collapsed="false">
      <c r="A867" s="47" t="s">
        <v>1153</v>
      </c>
      <c r="B867" s="48" t="n">
        <v>45903</v>
      </c>
      <c r="C867" s="47" t="s">
        <v>159</v>
      </c>
      <c r="D867" s="47" t="s">
        <v>241</v>
      </c>
      <c r="E867" s="47" t="s">
        <v>100</v>
      </c>
      <c r="F867" s="47" t="s">
        <v>161</v>
      </c>
      <c r="G867" s="49" t="n">
        <v>217025.58</v>
      </c>
      <c r="H867" s="50" t="n">
        <v>0.05</v>
      </c>
      <c r="I867" s="47" t="s">
        <v>162</v>
      </c>
      <c r="J867" s="48" t="n">
        <v>45903</v>
      </c>
      <c r="K867" s="51" t="str">
        <f aca="false">"Q"&amp;ROUNDUP(MONTH(B867)/3,0)</f>
        <v>Q3</v>
      </c>
      <c r="L867" s="52" t="n">
        <f aca="false">ROUND(G867*H867,2)</f>
        <v>10851.28</v>
      </c>
      <c r="M867" s="52" t="n">
        <f aca="false">IF(AND(C867="Sales",F867="Standard-rated 5%"),L867,0)</f>
        <v>10851.28</v>
      </c>
      <c r="N867" s="52" t="n">
        <f aca="false">IF(F867="Reverse charge (imported services)",L867,0)</f>
        <v>0</v>
      </c>
      <c r="O867" s="52" t="n">
        <f aca="false">IF(C867&lt;&gt;"Purchase",0,IF(OR(I867="N",F867="Blocked input (entertainment)"),0,L867))</f>
        <v>0</v>
      </c>
      <c r="P867" s="52" t="n">
        <f aca="false">IF(C867&lt;&gt;"Purchase",0,L867-O867)</f>
        <v>0</v>
      </c>
      <c r="Q867" s="53" t="n">
        <f aca="false">J867-B867</f>
        <v>0</v>
      </c>
      <c r="R867" s="51" t="str">
        <f aca="false">IF(I867="N","Invalid / missing TRN",IF(F867="Blocked input (entertainment)","Blocked input",IF(Q867&gt;30,"Late posting (&gt;30d)","")))</f>
        <v/>
      </c>
    </row>
    <row r="868" customFormat="false" ht="15" hidden="false" customHeight="false" outlineLevel="0" collapsed="false">
      <c r="A868" s="47" t="s">
        <v>1154</v>
      </c>
      <c r="B868" s="48" t="n">
        <v>45903</v>
      </c>
      <c r="C868" s="47" t="s">
        <v>159</v>
      </c>
      <c r="D868" s="47" t="s">
        <v>300</v>
      </c>
      <c r="E868" s="47" t="s">
        <v>100</v>
      </c>
      <c r="F868" s="47" t="s">
        <v>278</v>
      </c>
      <c r="G868" s="49" t="n">
        <v>53345.2</v>
      </c>
      <c r="H868" s="50" t="n">
        <v>0</v>
      </c>
      <c r="I868" s="47" t="s">
        <v>162</v>
      </c>
      <c r="J868" s="48" t="n">
        <v>45903</v>
      </c>
      <c r="K868" s="51" t="str">
        <f aca="false">"Q"&amp;ROUNDUP(MONTH(B868)/3,0)</f>
        <v>Q3</v>
      </c>
      <c r="L868" s="52" t="n">
        <f aca="false">ROUND(G868*H868,2)</f>
        <v>0</v>
      </c>
      <c r="M868" s="52" t="n">
        <f aca="false">IF(AND(C868="Sales",F868="Standard-rated 5%"),L868,0)</f>
        <v>0</v>
      </c>
      <c r="N868" s="52" t="n">
        <f aca="false">IF(F868="Reverse charge (imported services)",L868,0)</f>
        <v>0</v>
      </c>
      <c r="O868" s="52" t="n">
        <f aca="false">IF(C868&lt;&gt;"Purchase",0,IF(OR(I868="N",F868="Blocked input (entertainment)"),0,L868))</f>
        <v>0</v>
      </c>
      <c r="P868" s="52" t="n">
        <f aca="false">IF(C868&lt;&gt;"Purchase",0,L868-O868)</f>
        <v>0</v>
      </c>
      <c r="Q868" s="53" t="n">
        <f aca="false">J868-B868</f>
        <v>0</v>
      </c>
      <c r="R868" s="51" t="str">
        <f aca="false">IF(I868="N","Invalid / missing TRN",IF(F868="Blocked input (entertainment)","Blocked input",IF(Q868&gt;30,"Late posting (&gt;30d)","")))</f>
        <v/>
      </c>
    </row>
    <row r="869" customFormat="false" ht="15" hidden="false" customHeight="false" outlineLevel="0" collapsed="false">
      <c r="A869" s="47" t="s">
        <v>1155</v>
      </c>
      <c r="B869" s="48" t="n">
        <v>45903</v>
      </c>
      <c r="C869" s="47" t="s">
        <v>159</v>
      </c>
      <c r="D869" s="47" t="s">
        <v>433</v>
      </c>
      <c r="E869" s="47" t="s">
        <v>104</v>
      </c>
      <c r="F869" s="47" t="s">
        <v>278</v>
      </c>
      <c r="G869" s="49" t="n">
        <v>64278.45</v>
      </c>
      <c r="H869" s="50" t="n">
        <v>0</v>
      </c>
      <c r="I869" s="47" t="s">
        <v>162</v>
      </c>
      <c r="J869" s="48" t="n">
        <v>45903</v>
      </c>
      <c r="K869" s="51" t="str">
        <f aca="false">"Q"&amp;ROUNDUP(MONTH(B869)/3,0)</f>
        <v>Q3</v>
      </c>
      <c r="L869" s="52" t="n">
        <f aca="false">ROUND(G869*H869,2)</f>
        <v>0</v>
      </c>
      <c r="M869" s="52" t="n">
        <f aca="false">IF(AND(C869="Sales",F869="Standard-rated 5%"),L869,0)</f>
        <v>0</v>
      </c>
      <c r="N869" s="52" t="n">
        <f aca="false">IF(F869="Reverse charge (imported services)",L869,0)</f>
        <v>0</v>
      </c>
      <c r="O869" s="52" t="n">
        <f aca="false">IF(C869&lt;&gt;"Purchase",0,IF(OR(I869="N",F869="Blocked input (entertainment)"),0,L869))</f>
        <v>0</v>
      </c>
      <c r="P869" s="52" t="n">
        <f aca="false">IF(C869&lt;&gt;"Purchase",0,L869-O869)</f>
        <v>0</v>
      </c>
      <c r="Q869" s="53" t="n">
        <f aca="false">J869-B869</f>
        <v>0</v>
      </c>
      <c r="R869" s="51" t="str">
        <f aca="false">IF(I869="N","Invalid / missing TRN",IF(F869="Blocked input (entertainment)","Blocked input",IF(Q869&gt;30,"Late posting (&gt;30d)","")))</f>
        <v/>
      </c>
    </row>
    <row r="870" customFormat="false" ht="15" hidden="false" customHeight="false" outlineLevel="0" collapsed="false">
      <c r="A870" s="47" t="s">
        <v>1156</v>
      </c>
      <c r="B870" s="48" t="n">
        <v>45904</v>
      </c>
      <c r="C870" s="47" t="s">
        <v>166</v>
      </c>
      <c r="D870" s="47" t="s">
        <v>194</v>
      </c>
      <c r="E870" s="47" t="s">
        <v>100</v>
      </c>
      <c r="F870" s="47" t="s">
        <v>170</v>
      </c>
      <c r="G870" s="49" t="n">
        <v>43180.8</v>
      </c>
      <c r="H870" s="50" t="n">
        <v>0.05</v>
      </c>
      <c r="I870" s="47" t="s">
        <v>162</v>
      </c>
      <c r="J870" s="48" t="n">
        <v>45904</v>
      </c>
      <c r="K870" s="51" t="str">
        <f aca="false">"Q"&amp;ROUNDUP(MONTH(B870)/3,0)</f>
        <v>Q3</v>
      </c>
      <c r="L870" s="52" t="n">
        <f aca="false">ROUND(G870*H870,2)</f>
        <v>2159.04</v>
      </c>
      <c r="M870" s="52" t="n">
        <f aca="false">IF(AND(C870="Sales",F870="Standard-rated 5%"),L870,0)</f>
        <v>0</v>
      </c>
      <c r="N870" s="52" t="n">
        <f aca="false">IF(F870="Reverse charge (imported services)",L870,0)</f>
        <v>0</v>
      </c>
      <c r="O870" s="52" t="n">
        <f aca="false">IF(C870&lt;&gt;"Purchase",0,IF(OR(I870="N",F870="Blocked input (entertainment)"),0,L870))</f>
        <v>0</v>
      </c>
      <c r="P870" s="52" t="n">
        <f aca="false">IF(C870&lt;&gt;"Purchase",0,L870-O870)</f>
        <v>2159.04</v>
      </c>
      <c r="Q870" s="53" t="n">
        <f aca="false">J870-B870</f>
        <v>0</v>
      </c>
      <c r="R870" s="51" t="str">
        <f aca="false">IF(I870="N","Invalid / missing TRN",IF(F870="Blocked input (entertainment)","Blocked input",IF(Q870&gt;30,"Late posting (&gt;30d)","")))</f>
        <v>Blocked input</v>
      </c>
    </row>
    <row r="871" customFormat="false" ht="15" hidden="false" customHeight="false" outlineLevel="0" collapsed="false">
      <c r="A871" s="47" t="s">
        <v>1157</v>
      </c>
      <c r="B871" s="48" t="n">
        <v>45904</v>
      </c>
      <c r="C871" s="47" t="s">
        <v>166</v>
      </c>
      <c r="D871" s="47" t="s">
        <v>194</v>
      </c>
      <c r="E871" s="47" t="s">
        <v>100</v>
      </c>
      <c r="F871" s="47" t="s">
        <v>161</v>
      </c>
      <c r="G871" s="49" t="n">
        <v>17490.29</v>
      </c>
      <c r="H871" s="50" t="n">
        <v>0.05</v>
      </c>
      <c r="I871" s="47" t="s">
        <v>162</v>
      </c>
      <c r="J871" s="48" t="n">
        <v>45905</v>
      </c>
      <c r="K871" s="51" t="str">
        <f aca="false">"Q"&amp;ROUNDUP(MONTH(B871)/3,0)</f>
        <v>Q3</v>
      </c>
      <c r="L871" s="52" t="n">
        <f aca="false">ROUND(G871*H871,2)</f>
        <v>874.51</v>
      </c>
      <c r="M871" s="52" t="n">
        <f aca="false">IF(AND(C871="Sales",F871="Standard-rated 5%"),L871,0)</f>
        <v>0</v>
      </c>
      <c r="N871" s="52" t="n">
        <f aca="false">IF(F871="Reverse charge (imported services)",L871,0)</f>
        <v>0</v>
      </c>
      <c r="O871" s="52" t="n">
        <f aca="false">IF(C871&lt;&gt;"Purchase",0,IF(OR(I871="N",F871="Blocked input (entertainment)"),0,L871))</f>
        <v>874.51</v>
      </c>
      <c r="P871" s="52" t="n">
        <f aca="false">IF(C871&lt;&gt;"Purchase",0,L871-O871)</f>
        <v>0</v>
      </c>
      <c r="Q871" s="53" t="n">
        <f aca="false">J871-B871</f>
        <v>1</v>
      </c>
      <c r="R871" s="51" t="str">
        <f aca="false">IF(I871="N","Invalid / missing TRN",IF(F871="Blocked input (entertainment)","Blocked input",IF(Q871&gt;30,"Late posting (&gt;30d)","")))</f>
        <v/>
      </c>
    </row>
    <row r="872" customFormat="false" ht="15" hidden="false" customHeight="false" outlineLevel="0" collapsed="false">
      <c r="A872" s="47" t="s">
        <v>1158</v>
      </c>
      <c r="B872" s="48" t="n">
        <v>45904</v>
      </c>
      <c r="C872" s="47" t="s">
        <v>159</v>
      </c>
      <c r="D872" s="47" t="s">
        <v>361</v>
      </c>
      <c r="E872" s="47" t="s">
        <v>100</v>
      </c>
      <c r="F872" s="47" t="s">
        <v>161</v>
      </c>
      <c r="G872" s="49" t="n">
        <v>52051.2</v>
      </c>
      <c r="H872" s="50" t="n">
        <v>0.05</v>
      </c>
      <c r="I872" s="47" t="s">
        <v>162</v>
      </c>
      <c r="J872" s="48" t="n">
        <v>45904</v>
      </c>
      <c r="K872" s="51" t="str">
        <f aca="false">"Q"&amp;ROUNDUP(MONTH(B872)/3,0)</f>
        <v>Q3</v>
      </c>
      <c r="L872" s="52" t="n">
        <f aca="false">ROUND(G872*H872,2)</f>
        <v>2602.56</v>
      </c>
      <c r="M872" s="52" t="n">
        <f aca="false">IF(AND(C872="Sales",F872="Standard-rated 5%"),L872,0)</f>
        <v>2602.56</v>
      </c>
      <c r="N872" s="52" t="n">
        <f aca="false">IF(F872="Reverse charge (imported services)",L872,0)</f>
        <v>0</v>
      </c>
      <c r="O872" s="52" t="n">
        <f aca="false">IF(C872&lt;&gt;"Purchase",0,IF(OR(I872="N",F872="Blocked input (entertainment)"),0,L872))</f>
        <v>0</v>
      </c>
      <c r="P872" s="52" t="n">
        <f aca="false">IF(C872&lt;&gt;"Purchase",0,L872-O872)</f>
        <v>0</v>
      </c>
      <c r="Q872" s="53" t="n">
        <f aca="false">J872-B872</f>
        <v>0</v>
      </c>
      <c r="R872" s="51" t="str">
        <f aca="false">IF(I872="N","Invalid / missing TRN",IF(F872="Blocked input (entertainment)","Blocked input",IF(Q872&gt;30,"Late posting (&gt;30d)","")))</f>
        <v/>
      </c>
    </row>
    <row r="873" customFormat="false" ht="15" hidden="false" customHeight="false" outlineLevel="0" collapsed="false">
      <c r="A873" s="47" t="s">
        <v>1159</v>
      </c>
      <c r="B873" s="48" t="n">
        <v>45905</v>
      </c>
      <c r="C873" s="47" t="s">
        <v>159</v>
      </c>
      <c r="D873" s="47" t="s">
        <v>373</v>
      </c>
      <c r="E873" s="47" t="s">
        <v>106</v>
      </c>
      <c r="F873" s="47" t="s">
        <v>161</v>
      </c>
      <c r="G873" s="49" t="n">
        <v>128677.13</v>
      </c>
      <c r="H873" s="50" t="n">
        <v>0.05</v>
      </c>
      <c r="I873" s="47" t="s">
        <v>162</v>
      </c>
      <c r="J873" s="48" t="n">
        <v>45905</v>
      </c>
      <c r="K873" s="51" t="str">
        <f aca="false">"Q"&amp;ROUNDUP(MONTH(B873)/3,0)</f>
        <v>Q3</v>
      </c>
      <c r="L873" s="52" t="n">
        <f aca="false">ROUND(G873*H873,2)</f>
        <v>6433.86</v>
      </c>
      <c r="M873" s="52" t="n">
        <f aca="false">IF(AND(C873="Sales",F873="Standard-rated 5%"),L873,0)</f>
        <v>6433.86</v>
      </c>
      <c r="N873" s="52" t="n">
        <f aca="false">IF(F873="Reverse charge (imported services)",L873,0)</f>
        <v>0</v>
      </c>
      <c r="O873" s="52" t="n">
        <f aca="false">IF(C873&lt;&gt;"Purchase",0,IF(OR(I873="N",F873="Blocked input (entertainment)"),0,L873))</f>
        <v>0</v>
      </c>
      <c r="P873" s="52" t="n">
        <f aca="false">IF(C873&lt;&gt;"Purchase",0,L873-O873)</f>
        <v>0</v>
      </c>
      <c r="Q873" s="53" t="n">
        <f aca="false">J873-B873</f>
        <v>0</v>
      </c>
      <c r="R873" s="51" t="str">
        <f aca="false">IF(I873="N","Invalid / missing TRN",IF(F873="Blocked input (entertainment)","Blocked input",IF(Q873&gt;30,"Late posting (&gt;30d)","")))</f>
        <v/>
      </c>
    </row>
    <row r="874" customFormat="false" ht="15" hidden="false" customHeight="false" outlineLevel="0" collapsed="false">
      <c r="A874" s="47" t="s">
        <v>1160</v>
      </c>
      <c r="B874" s="48" t="n">
        <v>45905</v>
      </c>
      <c r="C874" s="47" t="s">
        <v>159</v>
      </c>
      <c r="D874" s="47" t="s">
        <v>249</v>
      </c>
      <c r="E874" s="47" t="s">
        <v>100</v>
      </c>
      <c r="F874" s="47" t="s">
        <v>161</v>
      </c>
      <c r="G874" s="49" t="n">
        <v>29090.07</v>
      </c>
      <c r="H874" s="50" t="n">
        <v>0.05</v>
      </c>
      <c r="I874" s="47" t="s">
        <v>162</v>
      </c>
      <c r="J874" s="48" t="n">
        <v>45910</v>
      </c>
      <c r="K874" s="51" t="str">
        <f aca="false">"Q"&amp;ROUNDUP(MONTH(B874)/3,0)</f>
        <v>Q3</v>
      </c>
      <c r="L874" s="52" t="n">
        <f aca="false">ROUND(G874*H874,2)</f>
        <v>1454.5</v>
      </c>
      <c r="M874" s="52" t="n">
        <f aca="false">IF(AND(C874="Sales",F874="Standard-rated 5%"),L874,0)</f>
        <v>1454.5</v>
      </c>
      <c r="N874" s="52" t="n">
        <f aca="false">IF(F874="Reverse charge (imported services)",L874,0)</f>
        <v>0</v>
      </c>
      <c r="O874" s="52" t="n">
        <f aca="false">IF(C874&lt;&gt;"Purchase",0,IF(OR(I874="N",F874="Blocked input (entertainment)"),0,L874))</f>
        <v>0</v>
      </c>
      <c r="P874" s="52" t="n">
        <f aca="false">IF(C874&lt;&gt;"Purchase",0,L874-O874)</f>
        <v>0</v>
      </c>
      <c r="Q874" s="53" t="n">
        <f aca="false">J874-B874</f>
        <v>5</v>
      </c>
      <c r="R874" s="51" t="str">
        <f aca="false">IF(I874="N","Invalid / missing TRN",IF(F874="Blocked input (entertainment)","Blocked input",IF(Q874&gt;30,"Late posting (&gt;30d)","")))</f>
        <v/>
      </c>
    </row>
    <row r="875" customFormat="false" ht="15" hidden="false" customHeight="false" outlineLevel="0" collapsed="false">
      <c r="A875" s="47" t="s">
        <v>1161</v>
      </c>
      <c r="B875" s="48" t="n">
        <v>45906</v>
      </c>
      <c r="C875" s="47" t="s">
        <v>166</v>
      </c>
      <c r="D875" s="47" t="s">
        <v>251</v>
      </c>
      <c r="E875" s="47" t="s">
        <v>100</v>
      </c>
      <c r="F875" s="47" t="s">
        <v>161</v>
      </c>
      <c r="G875" s="49" t="n">
        <v>9705.26</v>
      </c>
      <c r="H875" s="50" t="n">
        <v>0.05</v>
      </c>
      <c r="I875" s="47" t="s">
        <v>162</v>
      </c>
      <c r="J875" s="48" t="n">
        <v>45906</v>
      </c>
      <c r="K875" s="51" t="str">
        <f aca="false">"Q"&amp;ROUNDUP(MONTH(B875)/3,0)</f>
        <v>Q3</v>
      </c>
      <c r="L875" s="52" t="n">
        <f aca="false">ROUND(G875*H875,2)</f>
        <v>485.26</v>
      </c>
      <c r="M875" s="52" t="n">
        <f aca="false">IF(AND(C875="Sales",F875="Standard-rated 5%"),L875,0)</f>
        <v>0</v>
      </c>
      <c r="N875" s="52" t="n">
        <f aca="false">IF(F875="Reverse charge (imported services)",L875,0)</f>
        <v>0</v>
      </c>
      <c r="O875" s="52" t="n">
        <f aca="false">IF(C875&lt;&gt;"Purchase",0,IF(OR(I875="N",F875="Blocked input (entertainment)"),0,L875))</f>
        <v>485.26</v>
      </c>
      <c r="P875" s="52" t="n">
        <f aca="false">IF(C875&lt;&gt;"Purchase",0,L875-O875)</f>
        <v>0</v>
      </c>
      <c r="Q875" s="53" t="n">
        <f aca="false">J875-B875</f>
        <v>0</v>
      </c>
      <c r="R875" s="51" t="str">
        <f aca="false">IF(I875="N","Invalid / missing TRN",IF(F875="Blocked input (entertainment)","Blocked input",IF(Q875&gt;30,"Late posting (&gt;30d)","")))</f>
        <v/>
      </c>
    </row>
    <row r="876" customFormat="false" ht="15" hidden="false" customHeight="false" outlineLevel="0" collapsed="false">
      <c r="A876" s="47" t="s">
        <v>1162</v>
      </c>
      <c r="B876" s="48" t="n">
        <v>45906</v>
      </c>
      <c r="C876" s="47" t="s">
        <v>159</v>
      </c>
      <c r="D876" s="47" t="s">
        <v>283</v>
      </c>
      <c r="E876" s="47" t="s">
        <v>100</v>
      </c>
      <c r="F876" s="47" t="s">
        <v>278</v>
      </c>
      <c r="G876" s="49" t="n">
        <v>20718.73</v>
      </c>
      <c r="H876" s="50" t="n">
        <v>0</v>
      </c>
      <c r="I876" s="47" t="s">
        <v>162</v>
      </c>
      <c r="J876" s="48" t="n">
        <v>45906</v>
      </c>
      <c r="K876" s="51" t="str">
        <f aca="false">"Q"&amp;ROUNDUP(MONTH(B876)/3,0)</f>
        <v>Q3</v>
      </c>
      <c r="L876" s="52" t="n">
        <f aca="false">ROUND(G876*H876,2)</f>
        <v>0</v>
      </c>
      <c r="M876" s="52" t="n">
        <f aca="false">IF(AND(C876="Sales",F876="Standard-rated 5%"),L876,0)</f>
        <v>0</v>
      </c>
      <c r="N876" s="52" t="n">
        <f aca="false">IF(F876="Reverse charge (imported services)",L876,0)</f>
        <v>0</v>
      </c>
      <c r="O876" s="52" t="n">
        <f aca="false">IF(C876&lt;&gt;"Purchase",0,IF(OR(I876="N",F876="Blocked input (entertainment)"),0,L876))</f>
        <v>0</v>
      </c>
      <c r="P876" s="52" t="n">
        <f aca="false">IF(C876&lt;&gt;"Purchase",0,L876-O876)</f>
        <v>0</v>
      </c>
      <c r="Q876" s="53" t="n">
        <f aca="false">J876-B876</f>
        <v>0</v>
      </c>
      <c r="R876" s="51" t="str">
        <f aca="false">IF(I876="N","Invalid / missing TRN",IF(F876="Blocked input (entertainment)","Blocked input",IF(Q876&gt;30,"Late posting (&gt;30d)","")))</f>
        <v/>
      </c>
    </row>
    <row r="877" customFormat="false" ht="15" hidden="false" customHeight="false" outlineLevel="0" collapsed="false">
      <c r="A877" s="47" t="s">
        <v>1163</v>
      </c>
      <c r="B877" s="48" t="n">
        <v>45906</v>
      </c>
      <c r="C877" s="47" t="s">
        <v>159</v>
      </c>
      <c r="D877" s="47" t="s">
        <v>243</v>
      </c>
      <c r="E877" s="47" t="s">
        <v>100</v>
      </c>
      <c r="F877" s="47" t="s">
        <v>161</v>
      </c>
      <c r="G877" s="49" t="n">
        <v>22676.9</v>
      </c>
      <c r="H877" s="50" t="n">
        <v>0.05</v>
      </c>
      <c r="I877" s="47" t="s">
        <v>162</v>
      </c>
      <c r="J877" s="48" t="n">
        <v>45906</v>
      </c>
      <c r="K877" s="51" t="str">
        <f aca="false">"Q"&amp;ROUNDUP(MONTH(B877)/3,0)</f>
        <v>Q3</v>
      </c>
      <c r="L877" s="52" t="n">
        <f aca="false">ROUND(G877*H877,2)</f>
        <v>1133.85</v>
      </c>
      <c r="M877" s="52" t="n">
        <f aca="false">IF(AND(C877="Sales",F877="Standard-rated 5%"),L877,0)</f>
        <v>1133.85</v>
      </c>
      <c r="N877" s="52" t="n">
        <f aca="false">IF(F877="Reverse charge (imported services)",L877,0)</f>
        <v>0</v>
      </c>
      <c r="O877" s="52" t="n">
        <f aca="false">IF(C877&lt;&gt;"Purchase",0,IF(OR(I877="N",F877="Blocked input (entertainment)"),0,L877))</f>
        <v>0</v>
      </c>
      <c r="P877" s="52" t="n">
        <f aca="false">IF(C877&lt;&gt;"Purchase",0,L877-O877)</f>
        <v>0</v>
      </c>
      <c r="Q877" s="53" t="n">
        <f aca="false">J877-B877</f>
        <v>0</v>
      </c>
      <c r="R877" s="51" t="str">
        <f aca="false">IF(I877="N","Invalid / missing TRN",IF(F877="Blocked input (entertainment)","Blocked input",IF(Q877&gt;30,"Late posting (&gt;30d)","")))</f>
        <v/>
      </c>
    </row>
    <row r="878" customFormat="false" ht="15" hidden="false" customHeight="false" outlineLevel="0" collapsed="false">
      <c r="A878" s="47" t="s">
        <v>1164</v>
      </c>
      <c r="B878" s="48" t="n">
        <v>45906</v>
      </c>
      <c r="C878" s="47" t="s">
        <v>159</v>
      </c>
      <c r="D878" s="47" t="s">
        <v>175</v>
      </c>
      <c r="E878" s="47" t="s">
        <v>100</v>
      </c>
      <c r="F878" s="47" t="s">
        <v>161</v>
      </c>
      <c r="G878" s="49" t="n">
        <v>38020.48</v>
      </c>
      <c r="H878" s="50" t="n">
        <v>0.05</v>
      </c>
      <c r="I878" s="47" t="s">
        <v>162</v>
      </c>
      <c r="J878" s="48" t="n">
        <v>45906</v>
      </c>
      <c r="K878" s="51" t="str">
        <f aca="false">"Q"&amp;ROUNDUP(MONTH(B878)/3,0)</f>
        <v>Q3</v>
      </c>
      <c r="L878" s="52" t="n">
        <f aca="false">ROUND(G878*H878,2)</f>
        <v>1901.02</v>
      </c>
      <c r="M878" s="52" t="n">
        <f aca="false">IF(AND(C878="Sales",F878="Standard-rated 5%"),L878,0)</f>
        <v>1901.02</v>
      </c>
      <c r="N878" s="52" t="n">
        <f aca="false">IF(F878="Reverse charge (imported services)",L878,0)</f>
        <v>0</v>
      </c>
      <c r="O878" s="52" t="n">
        <f aca="false">IF(C878&lt;&gt;"Purchase",0,IF(OR(I878="N",F878="Blocked input (entertainment)"),0,L878))</f>
        <v>0</v>
      </c>
      <c r="P878" s="52" t="n">
        <f aca="false">IF(C878&lt;&gt;"Purchase",0,L878-O878)</f>
        <v>0</v>
      </c>
      <c r="Q878" s="53" t="n">
        <f aca="false">J878-B878</f>
        <v>0</v>
      </c>
      <c r="R878" s="51" t="str">
        <f aca="false">IF(I878="N","Invalid / missing TRN",IF(F878="Blocked input (entertainment)","Blocked input",IF(Q878&gt;30,"Late posting (&gt;30d)","")))</f>
        <v/>
      </c>
    </row>
    <row r="879" customFormat="false" ht="15" hidden="false" customHeight="false" outlineLevel="0" collapsed="false">
      <c r="A879" s="47" t="s">
        <v>1165</v>
      </c>
      <c r="B879" s="48" t="n">
        <v>45906</v>
      </c>
      <c r="C879" s="47" t="s">
        <v>159</v>
      </c>
      <c r="D879" s="47" t="s">
        <v>433</v>
      </c>
      <c r="E879" s="47" t="s">
        <v>101</v>
      </c>
      <c r="F879" s="47" t="s">
        <v>161</v>
      </c>
      <c r="G879" s="49" t="n">
        <v>31319.43</v>
      </c>
      <c r="H879" s="50" t="n">
        <v>0.05</v>
      </c>
      <c r="I879" s="47" t="s">
        <v>162</v>
      </c>
      <c r="J879" s="48" t="n">
        <v>45906</v>
      </c>
      <c r="K879" s="51" t="str">
        <f aca="false">"Q"&amp;ROUNDUP(MONTH(B879)/3,0)</f>
        <v>Q3</v>
      </c>
      <c r="L879" s="52" t="n">
        <f aca="false">ROUND(G879*H879,2)</f>
        <v>1565.97</v>
      </c>
      <c r="M879" s="52" t="n">
        <f aca="false">IF(AND(C879="Sales",F879="Standard-rated 5%"),L879,0)</f>
        <v>1565.97</v>
      </c>
      <c r="N879" s="52" t="n">
        <f aca="false">IF(F879="Reverse charge (imported services)",L879,0)</f>
        <v>0</v>
      </c>
      <c r="O879" s="52" t="n">
        <f aca="false">IF(C879&lt;&gt;"Purchase",0,IF(OR(I879="N",F879="Blocked input (entertainment)"),0,L879))</f>
        <v>0</v>
      </c>
      <c r="P879" s="52" t="n">
        <f aca="false">IF(C879&lt;&gt;"Purchase",0,L879-O879)</f>
        <v>0</v>
      </c>
      <c r="Q879" s="53" t="n">
        <f aca="false">J879-B879</f>
        <v>0</v>
      </c>
      <c r="R879" s="51" t="str">
        <f aca="false">IF(I879="N","Invalid / missing TRN",IF(F879="Blocked input (entertainment)","Blocked input",IF(Q879&gt;30,"Late posting (&gt;30d)","")))</f>
        <v/>
      </c>
    </row>
    <row r="880" customFormat="false" ht="15" hidden="false" customHeight="false" outlineLevel="0" collapsed="false">
      <c r="A880" s="47" t="s">
        <v>1166</v>
      </c>
      <c r="B880" s="48" t="n">
        <v>45907</v>
      </c>
      <c r="C880" s="47" t="s">
        <v>166</v>
      </c>
      <c r="D880" s="47" t="s">
        <v>462</v>
      </c>
      <c r="E880" s="47" t="s">
        <v>100</v>
      </c>
      <c r="F880" s="47" t="s">
        <v>161</v>
      </c>
      <c r="G880" s="49" t="n">
        <v>54541.76</v>
      </c>
      <c r="H880" s="50" t="n">
        <v>0.05</v>
      </c>
      <c r="I880" s="47" t="s">
        <v>162</v>
      </c>
      <c r="J880" s="48" t="n">
        <v>45912</v>
      </c>
      <c r="K880" s="51" t="str">
        <f aca="false">"Q"&amp;ROUNDUP(MONTH(B880)/3,0)</f>
        <v>Q3</v>
      </c>
      <c r="L880" s="52" t="n">
        <f aca="false">ROUND(G880*H880,2)</f>
        <v>2727.09</v>
      </c>
      <c r="M880" s="52" t="n">
        <f aca="false">IF(AND(C880="Sales",F880="Standard-rated 5%"),L880,0)</f>
        <v>0</v>
      </c>
      <c r="N880" s="52" t="n">
        <f aca="false">IF(F880="Reverse charge (imported services)",L880,0)</f>
        <v>0</v>
      </c>
      <c r="O880" s="52" t="n">
        <f aca="false">IF(C880&lt;&gt;"Purchase",0,IF(OR(I880="N",F880="Blocked input (entertainment)"),0,L880))</f>
        <v>2727.09</v>
      </c>
      <c r="P880" s="52" t="n">
        <f aca="false">IF(C880&lt;&gt;"Purchase",0,L880-O880)</f>
        <v>0</v>
      </c>
      <c r="Q880" s="53" t="n">
        <f aca="false">J880-B880</f>
        <v>5</v>
      </c>
      <c r="R880" s="51" t="str">
        <f aca="false">IF(I880="N","Invalid / missing TRN",IF(F880="Blocked input (entertainment)","Blocked input",IF(Q880&gt;30,"Late posting (&gt;30d)","")))</f>
        <v/>
      </c>
    </row>
    <row r="881" customFormat="false" ht="15" hidden="false" customHeight="false" outlineLevel="0" collapsed="false">
      <c r="A881" s="47" t="s">
        <v>1167</v>
      </c>
      <c r="B881" s="48" t="n">
        <v>45907</v>
      </c>
      <c r="C881" s="47" t="s">
        <v>166</v>
      </c>
      <c r="D881" s="47" t="s">
        <v>264</v>
      </c>
      <c r="E881" s="47" t="s">
        <v>100</v>
      </c>
      <c r="F881" s="47" t="s">
        <v>161</v>
      </c>
      <c r="G881" s="49" t="n">
        <v>20063.95</v>
      </c>
      <c r="H881" s="50" t="n">
        <v>0.05</v>
      </c>
      <c r="I881" s="47" t="s">
        <v>162</v>
      </c>
      <c r="J881" s="48" t="n">
        <v>45907</v>
      </c>
      <c r="K881" s="51" t="str">
        <f aca="false">"Q"&amp;ROUNDUP(MONTH(B881)/3,0)</f>
        <v>Q3</v>
      </c>
      <c r="L881" s="52" t="n">
        <f aca="false">ROUND(G881*H881,2)</f>
        <v>1003.2</v>
      </c>
      <c r="M881" s="52" t="n">
        <f aca="false">IF(AND(C881="Sales",F881="Standard-rated 5%"),L881,0)</f>
        <v>0</v>
      </c>
      <c r="N881" s="52" t="n">
        <f aca="false">IF(F881="Reverse charge (imported services)",L881,0)</f>
        <v>0</v>
      </c>
      <c r="O881" s="52" t="n">
        <f aca="false">IF(C881&lt;&gt;"Purchase",0,IF(OR(I881="N",F881="Blocked input (entertainment)"),0,L881))</f>
        <v>1003.2</v>
      </c>
      <c r="P881" s="52" t="n">
        <f aca="false">IF(C881&lt;&gt;"Purchase",0,L881-O881)</f>
        <v>0</v>
      </c>
      <c r="Q881" s="53" t="n">
        <f aca="false">J881-B881</f>
        <v>0</v>
      </c>
      <c r="R881" s="51" t="str">
        <f aca="false">IF(I881="N","Invalid / missing TRN",IF(F881="Blocked input (entertainment)","Blocked input",IF(Q881&gt;30,"Late posting (&gt;30d)","")))</f>
        <v/>
      </c>
    </row>
    <row r="882" customFormat="false" ht="15" hidden="false" customHeight="false" outlineLevel="0" collapsed="false">
      <c r="A882" s="47" t="s">
        <v>1168</v>
      </c>
      <c r="B882" s="48" t="n">
        <v>45907</v>
      </c>
      <c r="C882" s="47" t="s">
        <v>159</v>
      </c>
      <c r="D882" s="47" t="s">
        <v>223</v>
      </c>
      <c r="E882" s="47" t="s">
        <v>102</v>
      </c>
      <c r="F882" s="47" t="s">
        <v>161</v>
      </c>
      <c r="G882" s="49" t="n">
        <v>48006.2</v>
      </c>
      <c r="H882" s="50" t="n">
        <v>0.05</v>
      </c>
      <c r="I882" s="47" t="s">
        <v>162</v>
      </c>
      <c r="J882" s="48" t="n">
        <v>45907</v>
      </c>
      <c r="K882" s="51" t="str">
        <f aca="false">"Q"&amp;ROUNDUP(MONTH(B882)/3,0)</f>
        <v>Q3</v>
      </c>
      <c r="L882" s="52" t="n">
        <f aca="false">ROUND(G882*H882,2)</f>
        <v>2400.31</v>
      </c>
      <c r="M882" s="52" t="n">
        <f aca="false">IF(AND(C882="Sales",F882="Standard-rated 5%"),L882,0)</f>
        <v>2400.31</v>
      </c>
      <c r="N882" s="52" t="n">
        <f aca="false">IF(F882="Reverse charge (imported services)",L882,0)</f>
        <v>0</v>
      </c>
      <c r="O882" s="52" t="n">
        <f aca="false">IF(C882&lt;&gt;"Purchase",0,IF(OR(I882="N",F882="Blocked input (entertainment)"),0,L882))</f>
        <v>0</v>
      </c>
      <c r="P882" s="52" t="n">
        <f aca="false">IF(C882&lt;&gt;"Purchase",0,L882-O882)</f>
        <v>0</v>
      </c>
      <c r="Q882" s="53" t="n">
        <f aca="false">J882-B882</f>
        <v>0</v>
      </c>
      <c r="R882" s="51" t="str">
        <f aca="false">IF(I882="N","Invalid / missing TRN",IF(F882="Blocked input (entertainment)","Blocked input",IF(Q882&gt;30,"Late posting (&gt;30d)","")))</f>
        <v/>
      </c>
    </row>
    <row r="883" customFormat="false" ht="15" hidden="false" customHeight="false" outlineLevel="0" collapsed="false">
      <c r="A883" s="47" t="s">
        <v>1169</v>
      </c>
      <c r="B883" s="48" t="n">
        <v>45907</v>
      </c>
      <c r="C883" s="47" t="s">
        <v>159</v>
      </c>
      <c r="D883" s="47" t="s">
        <v>177</v>
      </c>
      <c r="E883" s="47" t="s">
        <v>102</v>
      </c>
      <c r="F883" s="47" t="s">
        <v>278</v>
      </c>
      <c r="G883" s="49" t="n">
        <v>25940.74</v>
      </c>
      <c r="H883" s="50" t="n">
        <v>0</v>
      </c>
      <c r="I883" s="47" t="s">
        <v>162</v>
      </c>
      <c r="J883" s="48" t="n">
        <v>45907</v>
      </c>
      <c r="K883" s="51" t="str">
        <f aca="false">"Q"&amp;ROUNDUP(MONTH(B883)/3,0)</f>
        <v>Q3</v>
      </c>
      <c r="L883" s="52" t="n">
        <f aca="false">ROUND(G883*H883,2)</f>
        <v>0</v>
      </c>
      <c r="M883" s="52" t="n">
        <f aca="false">IF(AND(C883="Sales",F883="Standard-rated 5%"),L883,0)</f>
        <v>0</v>
      </c>
      <c r="N883" s="52" t="n">
        <f aca="false">IF(F883="Reverse charge (imported services)",L883,0)</f>
        <v>0</v>
      </c>
      <c r="O883" s="52" t="n">
        <f aca="false">IF(C883&lt;&gt;"Purchase",0,IF(OR(I883="N",F883="Blocked input (entertainment)"),0,L883))</f>
        <v>0</v>
      </c>
      <c r="P883" s="52" t="n">
        <f aca="false">IF(C883&lt;&gt;"Purchase",0,L883-O883)</f>
        <v>0</v>
      </c>
      <c r="Q883" s="53" t="n">
        <f aca="false">J883-B883</f>
        <v>0</v>
      </c>
      <c r="R883" s="51" t="str">
        <f aca="false">IF(I883="N","Invalid / missing TRN",IF(F883="Blocked input (entertainment)","Blocked input",IF(Q883&gt;30,"Late posting (&gt;30d)","")))</f>
        <v/>
      </c>
    </row>
    <row r="884" customFormat="false" ht="15" hidden="false" customHeight="false" outlineLevel="0" collapsed="false">
      <c r="A884" s="47" t="s">
        <v>1170</v>
      </c>
      <c r="B884" s="48" t="n">
        <v>45908</v>
      </c>
      <c r="C884" s="47" t="s">
        <v>166</v>
      </c>
      <c r="D884" s="47" t="s">
        <v>555</v>
      </c>
      <c r="E884" s="47" t="s">
        <v>102</v>
      </c>
      <c r="F884" s="47" t="s">
        <v>161</v>
      </c>
      <c r="G884" s="49" t="n">
        <v>78888.74</v>
      </c>
      <c r="H884" s="50" t="n">
        <v>0.05</v>
      </c>
      <c r="I884" s="47" t="s">
        <v>162</v>
      </c>
      <c r="J884" s="48" t="n">
        <v>45908</v>
      </c>
      <c r="K884" s="51" t="str">
        <f aca="false">"Q"&amp;ROUNDUP(MONTH(B884)/3,0)</f>
        <v>Q3</v>
      </c>
      <c r="L884" s="52" t="n">
        <f aca="false">ROUND(G884*H884,2)</f>
        <v>3944.44</v>
      </c>
      <c r="M884" s="52" t="n">
        <f aca="false">IF(AND(C884="Sales",F884="Standard-rated 5%"),L884,0)</f>
        <v>0</v>
      </c>
      <c r="N884" s="52" t="n">
        <f aca="false">IF(F884="Reverse charge (imported services)",L884,0)</f>
        <v>0</v>
      </c>
      <c r="O884" s="52" t="n">
        <f aca="false">IF(C884&lt;&gt;"Purchase",0,IF(OR(I884="N",F884="Blocked input (entertainment)"),0,L884))</f>
        <v>3944.44</v>
      </c>
      <c r="P884" s="52" t="n">
        <f aca="false">IF(C884&lt;&gt;"Purchase",0,L884-O884)</f>
        <v>0</v>
      </c>
      <c r="Q884" s="53" t="n">
        <f aca="false">J884-B884</f>
        <v>0</v>
      </c>
      <c r="R884" s="51" t="str">
        <f aca="false">IF(I884="N","Invalid / missing TRN",IF(F884="Blocked input (entertainment)","Blocked input",IF(Q884&gt;30,"Late posting (&gt;30d)","")))</f>
        <v/>
      </c>
    </row>
    <row r="885" customFormat="false" ht="15" hidden="false" customHeight="false" outlineLevel="0" collapsed="false">
      <c r="A885" s="47" t="s">
        <v>1171</v>
      </c>
      <c r="B885" s="48" t="n">
        <v>45908</v>
      </c>
      <c r="C885" s="47" t="s">
        <v>166</v>
      </c>
      <c r="D885" s="47" t="s">
        <v>172</v>
      </c>
      <c r="E885" s="47" t="s">
        <v>100</v>
      </c>
      <c r="F885" s="47" t="s">
        <v>392</v>
      </c>
      <c r="G885" s="49" t="n">
        <v>255507.62</v>
      </c>
      <c r="H885" s="50" t="n">
        <v>0.05</v>
      </c>
      <c r="I885" s="47" t="s">
        <v>162</v>
      </c>
      <c r="J885" s="48" t="n">
        <v>45908</v>
      </c>
      <c r="K885" s="51" t="str">
        <f aca="false">"Q"&amp;ROUNDUP(MONTH(B885)/3,0)</f>
        <v>Q3</v>
      </c>
      <c r="L885" s="52" t="n">
        <f aca="false">ROUND(G885*H885,2)</f>
        <v>12775.38</v>
      </c>
      <c r="M885" s="52" t="n">
        <f aca="false">IF(AND(C885="Sales",F885="Standard-rated 5%"),L885,0)</f>
        <v>0</v>
      </c>
      <c r="N885" s="52" t="n">
        <f aca="false">IF(F885="Reverse charge (imported services)",L885,0)</f>
        <v>0</v>
      </c>
      <c r="O885" s="52" t="n">
        <f aca="false">IF(C885&lt;&gt;"Purchase",0,IF(OR(I885="N",F885="Blocked input (entertainment)"),0,L885))</f>
        <v>12775.38</v>
      </c>
      <c r="P885" s="52" t="n">
        <f aca="false">IF(C885&lt;&gt;"Purchase",0,L885-O885)</f>
        <v>0</v>
      </c>
      <c r="Q885" s="53" t="n">
        <f aca="false">J885-B885</f>
        <v>0</v>
      </c>
      <c r="R885" s="51" t="str">
        <f aca="false">IF(I885="N","Invalid / missing TRN",IF(F885="Blocked input (entertainment)","Blocked input",IF(Q885&gt;30,"Late posting (&gt;30d)","")))</f>
        <v/>
      </c>
    </row>
    <row r="886" customFormat="false" ht="15" hidden="false" customHeight="false" outlineLevel="0" collapsed="false">
      <c r="A886" s="47" t="s">
        <v>1172</v>
      </c>
      <c r="B886" s="48" t="n">
        <v>45908</v>
      </c>
      <c r="C886" s="47" t="s">
        <v>166</v>
      </c>
      <c r="D886" s="47" t="s">
        <v>188</v>
      </c>
      <c r="E886" s="47" t="s">
        <v>101</v>
      </c>
      <c r="F886" s="47" t="s">
        <v>161</v>
      </c>
      <c r="G886" s="49" t="n">
        <v>24831.26</v>
      </c>
      <c r="H886" s="50" t="n">
        <v>0.05</v>
      </c>
      <c r="I886" s="47" t="s">
        <v>162</v>
      </c>
      <c r="J886" s="48" t="n">
        <v>45908</v>
      </c>
      <c r="K886" s="51" t="str">
        <f aca="false">"Q"&amp;ROUNDUP(MONTH(B886)/3,0)</f>
        <v>Q3</v>
      </c>
      <c r="L886" s="52" t="n">
        <f aca="false">ROUND(G886*H886,2)</f>
        <v>1241.56</v>
      </c>
      <c r="M886" s="52" t="n">
        <f aca="false">IF(AND(C886="Sales",F886="Standard-rated 5%"),L886,0)</f>
        <v>0</v>
      </c>
      <c r="N886" s="52" t="n">
        <f aca="false">IF(F886="Reverse charge (imported services)",L886,0)</f>
        <v>0</v>
      </c>
      <c r="O886" s="52" t="n">
        <f aca="false">IF(C886&lt;&gt;"Purchase",0,IF(OR(I886="N",F886="Blocked input (entertainment)"),0,L886))</f>
        <v>1241.56</v>
      </c>
      <c r="P886" s="52" t="n">
        <f aca="false">IF(C886&lt;&gt;"Purchase",0,L886-O886)</f>
        <v>0</v>
      </c>
      <c r="Q886" s="53" t="n">
        <f aca="false">J886-B886</f>
        <v>0</v>
      </c>
      <c r="R886" s="51" t="str">
        <f aca="false">IF(I886="N","Invalid / missing TRN",IF(F886="Blocked input (entertainment)","Blocked input",IF(Q886&gt;30,"Late posting (&gt;30d)","")))</f>
        <v/>
      </c>
    </row>
    <row r="887" customFormat="false" ht="15" hidden="false" customHeight="false" outlineLevel="0" collapsed="false">
      <c r="A887" s="47" t="s">
        <v>1173</v>
      </c>
      <c r="B887" s="48" t="n">
        <v>45908</v>
      </c>
      <c r="C887" s="47" t="s">
        <v>166</v>
      </c>
      <c r="D887" s="47" t="s">
        <v>335</v>
      </c>
      <c r="E887" s="47" t="s">
        <v>100</v>
      </c>
      <c r="F887" s="47" t="s">
        <v>161</v>
      </c>
      <c r="G887" s="49" t="n">
        <v>56586.4</v>
      </c>
      <c r="H887" s="50" t="n">
        <v>0.05</v>
      </c>
      <c r="I887" s="47" t="s">
        <v>162</v>
      </c>
      <c r="J887" s="48" t="n">
        <v>45908</v>
      </c>
      <c r="K887" s="51" t="str">
        <f aca="false">"Q"&amp;ROUNDUP(MONTH(B887)/3,0)</f>
        <v>Q3</v>
      </c>
      <c r="L887" s="52" t="n">
        <f aca="false">ROUND(G887*H887,2)</f>
        <v>2829.32</v>
      </c>
      <c r="M887" s="52" t="n">
        <f aca="false">IF(AND(C887="Sales",F887="Standard-rated 5%"),L887,0)</f>
        <v>0</v>
      </c>
      <c r="N887" s="52" t="n">
        <f aca="false">IF(F887="Reverse charge (imported services)",L887,0)</f>
        <v>0</v>
      </c>
      <c r="O887" s="52" t="n">
        <f aca="false">IF(C887&lt;&gt;"Purchase",0,IF(OR(I887="N",F887="Blocked input (entertainment)"),0,L887))</f>
        <v>2829.32</v>
      </c>
      <c r="P887" s="52" t="n">
        <f aca="false">IF(C887&lt;&gt;"Purchase",0,L887-O887)</f>
        <v>0</v>
      </c>
      <c r="Q887" s="53" t="n">
        <f aca="false">J887-B887</f>
        <v>0</v>
      </c>
      <c r="R887" s="51" t="str">
        <f aca="false">IF(I887="N","Invalid / missing TRN",IF(F887="Blocked input (entertainment)","Blocked input",IF(Q887&gt;30,"Late posting (&gt;30d)","")))</f>
        <v/>
      </c>
    </row>
    <row r="888" customFormat="false" ht="15" hidden="false" customHeight="false" outlineLevel="0" collapsed="false">
      <c r="A888" s="47" t="s">
        <v>1174</v>
      </c>
      <c r="B888" s="48" t="n">
        <v>45908</v>
      </c>
      <c r="C888" s="47" t="s">
        <v>159</v>
      </c>
      <c r="D888" s="47" t="s">
        <v>433</v>
      </c>
      <c r="E888" s="47" t="s">
        <v>100</v>
      </c>
      <c r="F888" s="47" t="s">
        <v>161</v>
      </c>
      <c r="G888" s="49" t="n">
        <v>19019.24</v>
      </c>
      <c r="H888" s="50" t="n">
        <v>0.05</v>
      </c>
      <c r="I888" s="47" t="s">
        <v>162</v>
      </c>
      <c r="J888" s="48" t="n">
        <v>45908</v>
      </c>
      <c r="K888" s="51" t="str">
        <f aca="false">"Q"&amp;ROUNDUP(MONTH(B888)/3,0)</f>
        <v>Q3</v>
      </c>
      <c r="L888" s="52" t="n">
        <f aca="false">ROUND(G888*H888,2)</f>
        <v>950.96</v>
      </c>
      <c r="M888" s="52" t="n">
        <f aca="false">IF(AND(C888="Sales",F888="Standard-rated 5%"),L888,0)</f>
        <v>950.96</v>
      </c>
      <c r="N888" s="52" t="n">
        <f aca="false">IF(F888="Reverse charge (imported services)",L888,0)</f>
        <v>0</v>
      </c>
      <c r="O888" s="52" t="n">
        <f aca="false">IF(C888&lt;&gt;"Purchase",0,IF(OR(I888="N",F888="Blocked input (entertainment)"),0,L888))</f>
        <v>0</v>
      </c>
      <c r="P888" s="52" t="n">
        <f aca="false">IF(C888&lt;&gt;"Purchase",0,L888-O888)</f>
        <v>0</v>
      </c>
      <c r="Q888" s="53" t="n">
        <f aca="false">J888-B888</f>
        <v>0</v>
      </c>
      <c r="R888" s="51" t="str">
        <f aca="false">IF(I888="N","Invalid / missing TRN",IF(F888="Blocked input (entertainment)","Blocked input",IF(Q888&gt;30,"Late posting (&gt;30d)","")))</f>
        <v/>
      </c>
    </row>
    <row r="889" customFormat="false" ht="15" hidden="false" customHeight="false" outlineLevel="0" collapsed="false">
      <c r="A889" s="47" t="s">
        <v>1175</v>
      </c>
      <c r="B889" s="48" t="n">
        <v>45910</v>
      </c>
      <c r="C889" s="47" t="s">
        <v>166</v>
      </c>
      <c r="D889" s="47" t="s">
        <v>280</v>
      </c>
      <c r="E889" s="47" t="s">
        <v>100</v>
      </c>
      <c r="F889" s="47" t="s">
        <v>161</v>
      </c>
      <c r="G889" s="49" t="n">
        <v>38822.45</v>
      </c>
      <c r="H889" s="50" t="n">
        <v>0.05</v>
      </c>
      <c r="I889" s="47" t="s">
        <v>162</v>
      </c>
      <c r="J889" s="48" t="n">
        <v>45910</v>
      </c>
      <c r="K889" s="51" t="str">
        <f aca="false">"Q"&amp;ROUNDUP(MONTH(B889)/3,0)</f>
        <v>Q3</v>
      </c>
      <c r="L889" s="52" t="n">
        <f aca="false">ROUND(G889*H889,2)</f>
        <v>1941.12</v>
      </c>
      <c r="M889" s="52" t="n">
        <f aca="false">IF(AND(C889="Sales",F889="Standard-rated 5%"),L889,0)</f>
        <v>0</v>
      </c>
      <c r="N889" s="52" t="n">
        <f aca="false">IF(F889="Reverse charge (imported services)",L889,0)</f>
        <v>0</v>
      </c>
      <c r="O889" s="52" t="n">
        <f aca="false">IF(C889&lt;&gt;"Purchase",0,IF(OR(I889="N",F889="Blocked input (entertainment)"),0,L889))</f>
        <v>1941.12</v>
      </c>
      <c r="P889" s="52" t="n">
        <f aca="false">IF(C889&lt;&gt;"Purchase",0,L889-O889)</f>
        <v>0</v>
      </c>
      <c r="Q889" s="53" t="n">
        <f aca="false">J889-B889</f>
        <v>0</v>
      </c>
      <c r="R889" s="51" t="str">
        <f aca="false">IF(I889="N","Invalid / missing TRN",IF(F889="Blocked input (entertainment)","Blocked input",IF(Q889&gt;30,"Late posting (&gt;30d)","")))</f>
        <v/>
      </c>
    </row>
    <row r="890" customFormat="false" ht="15" hidden="false" customHeight="false" outlineLevel="0" collapsed="false">
      <c r="A890" s="47" t="s">
        <v>1176</v>
      </c>
      <c r="B890" s="48" t="n">
        <v>45910</v>
      </c>
      <c r="C890" s="47" t="s">
        <v>159</v>
      </c>
      <c r="D890" s="47" t="s">
        <v>490</v>
      </c>
      <c r="E890" s="47" t="s">
        <v>100</v>
      </c>
      <c r="F890" s="47" t="s">
        <v>161</v>
      </c>
      <c r="G890" s="49" t="n">
        <v>49385.13</v>
      </c>
      <c r="H890" s="50" t="n">
        <v>0.05</v>
      </c>
      <c r="I890" s="47" t="s">
        <v>162</v>
      </c>
      <c r="J890" s="48" t="n">
        <v>45910</v>
      </c>
      <c r="K890" s="51" t="str">
        <f aca="false">"Q"&amp;ROUNDUP(MONTH(B890)/3,0)</f>
        <v>Q3</v>
      </c>
      <c r="L890" s="52" t="n">
        <f aca="false">ROUND(G890*H890,2)</f>
        <v>2469.26</v>
      </c>
      <c r="M890" s="52" t="n">
        <f aca="false">IF(AND(C890="Sales",F890="Standard-rated 5%"),L890,0)</f>
        <v>2469.26</v>
      </c>
      <c r="N890" s="52" t="n">
        <f aca="false">IF(F890="Reverse charge (imported services)",L890,0)</f>
        <v>0</v>
      </c>
      <c r="O890" s="52" t="n">
        <f aca="false">IF(C890&lt;&gt;"Purchase",0,IF(OR(I890="N",F890="Blocked input (entertainment)"),0,L890))</f>
        <v>0</v>
      </c>
      <c r="P890" s="52" t="n">
        <f aca="false">IF(C890&lt;&gt;"Purchase",0,L890-O890)</f>
        <v>0</v>
      </c>
      <c r="Q890" s="53" t="n">
        <f aca="false">J890-B890</f>
        <v>0</v>
      </c>
      <c r="R890" s="51" t="str">
        <f aca="false">IF(I890="N","Invalid / missing TRN",IF(F890="Blocked input (entertainment)","Blocked input",IF(Q890&gt;30,"Late posting (&gt;30d)","")))</f>
        <v/>
      </c>
    </row>
    <row r="891" customFormat="false" ht="15" hidden="false" customHeight="false" outlineLevel="0" collapsed="false">
      <c r="A891" s="47" t="s">
        <v>1177</v>
      </c>
      <c r="B891" s="48" t="n">
        <v>45910</v>
      </c>
      <c r="C891" s="47" t="s">
        <v>159</v>
      </c>
      <c r="D891" s="47" t="s">
        <v>534</v>
      </c>
      <c r="E891" s="47" t="s">
        <v>102</v>
      </c>
      <c r="F891" s="47" t="s">
        <v>278</v>
      </c>
      <c r="G891" s="49" t="n">
        <v>11654.04</v>
      </c>
      <c r="H891" s="50" t="n">
        <v>0</v>
      </c>
      <c r="I891" s="47" t="s">
        <v>162</v>
      </c>
      <c r="J891" s="48" t="n">
        <v>45910</v>
      </c>
      <c r="K891" s="51" t="str">
        <f aca="false">"Q"&amp;ROUNDUP(MONTH(B891)/3,0)</f>
        <v>Q3</v>
      </c>
      <c r="L891" s="52" t="n">
        <f aca="false">ROUND(G891*H891,2)</f>
        <v>0</v>
      </c>
      <c r="M891" s="52" t="n">
        <f aca="false">IF(AND(C891="Sales",F891="Standard-rated 5%"),L891,0)</f>
        <v>0</v>
      </c>
      <c r="N891" s="52" t="n">
        <f aca="false">IF(F891="Reverse charge (imported services)",L891,0)</f>
        <v>0</v>
      </c>
      <c r="O891" s="52" t="n">
        <f aca="false">IF(C891&lt;&gt;"Purchase",0,IF(OR(I891="N",F891="Blocked input (entertainment)"),0,L891))</f>
        <v>0</v>
      </c>
      <c r="P891" s="52" t="n">
        <f aca="false">IF(C891&lt;&gt;"Purchase",0,L891-O891)</f>
        <v>0</v>
      </c>
      <c r="Q891" s="53" t="n">
        <f aca="false">J891-B891</f>
        <v>0</v>
      </c>
      <c r="R891" s="51" t="str">
        <f aca="false">IF(I891="N","Invalid / missing TRN",IF(F891="Blocked input (entertainment)","Blocked input",IF(Q891&gt;30,"Late posting (&gt;30d)","")))</f>
        <v/>
      </c>
    </row>
    <row r="892" customFormat="false" ht="15" hidden="false" customHeight="false" outlineLevel="0" collapsed="false">
      <c r="A892" s="47" t="s">
        <v>1178</v>
      </c>
      <c r="B892" s="48" t="n">
        <v>45910</v>
      </c>
      <c r="C892" s="47" t="s">
        <v>159</v>
      </c>
      <c r="D892" s="47" t="s">
        <v>235</v>
      </c>
      <c r="E892" s="47" t="s">
        <v>100</v>
      </c>
      <c r="F892" s="47" t="s">
        <v>278</v>
      </c>
      <c r="G892" s="49" t="n">
        <v>51899.27</v>
      </c>
      <c r="H892" s="50" t="n">
        <v>0</v>
      </c>
      <c r="I892" s="47" t="s">
        <v>162</v>
      </c>
      <c r="J892" s="48" t="n">
        <v>45910</v>
      </c>
      <c r="K892" s="51" t="str">
        <f aca="false">"Q"&amp;ROUNDUP(MONTH(B892)/3,0)</f>
        <v>Q3</v>
      </c>
      <c r="L892" s="52" t="n">
        <f aca="false">ROUND(G892*H892,2)</f>
        <v>0</v>
      </c>
      <c r="M892" s="52" t="n">
        <f aca="false">IF(AND(C892="Sales",F892="Standard-rated 5%"),L892,0)</f>
        <v>0</v>
      </c>
      <c r="N892" s="52" t="n">
        <f aca="false">IF(F892="Reverse charge (imported services)",L892,0)</f>
        <v>0</v>
      </c>
      <c r="O892" s="52" t="n">
        <f aca="false">IF(C892&lt;&gt;"Purchase",0,IF(OR(I892="N",F892="Blocked input (entertainment)"),0,L892))</f>
        <v>0</v>
      </c>
      <c r="P892" s="52" t="n">
        <f aca="false">IF(C892&lt;&gt;"Purchase",0,L892-O892)</f>
        <v>0</v>
      </c>
      <c r="Q892" s="53" t="n">
        <f aca="false">J892-B892</f>
        <v>0</v>
      </c>
      <c r="R892" s="51" t="str">
        <f aca="false">IF(I892="N","Invalid / missing TRN",IF(F892="Blocked input (entertainment)","Blocked input",IF(Q892&gt;30,"Late posting (&gt;30d)","")))</f>
        <v/>
      </c>
    </row>
    <row r="893" customFormat="false" ht="15" hidden="false" customHeight="false" outlineLevel="0" collapsed="false">
      <c r="A893" s="47" t="s">
        <v>1179</v>
      </c>
      <c r="B893" s="48" t="n">
        <v>45911</v>
      </c>
      <c r="C893" s="47" t="s">
        <v>166</v>
      </c>
      <c r="D893" s="47" t="s">
        <v>458</v>
      </c>
      <c r="E893" s="47" t="s">
        <v>102</v>
      </c>
      <c r="F893" s="47" t="s">
        <v>161</v>
      </c>
      <c r="G893" s="49" t="n">
        <v>100467.57</v>
      </c>
      <c r="H893" s="50" t="n">
        <v>0.05</v>
      </c>
      <c r="I893" s="47" t="s">
        <v>162</v>
      </c>
      <c r="J893" s="48" t="n">
        <v>45911</v>
      </c>
      <c r="K893" s="51" t="str">
        <f aca="false">"Q"&amp;ROUNDUP(MONTH(B893)/3,0)</f>
        <v>Q3</v>
      </c>
      <c r="L893" s="52" t="n">
        <f aca="false">ROUND(G893*H893,2)</f>
        <v>5023.38</v>
      </c>
      <c r="M893" s="52" t="n">
        <f aca="false">IF(AND(C893="Sales",F893="Standard-rated 5%"),L893,0)</f>
        <v>0</v>
      </c>
      <c r="N893" s="52" t="n">
        <f aca="false">IF(F893="Reverse charge (imported services)",L893,0)</f>
        <v>0</v>
      </c>
      <c r="O893" s="52" t="n">
        <f aca="false">IF(C893&lt;&gt;"Purchase",0,IF(OR(I893="N",F893="Blocked input (entertainment)"),0,L893))</f>
        <v>5023.38</v>
      </c>
      <c r="P893" s="52" t="n">
        <f aca="false">IF(C893&lt;&gt;"Purchase",0,L893-O893)</f>
        <v>0</v>
      </c>
      <c r="Q893" s="53" t="n">
        <f aca="false">J893-B893</f>
        <v>0</v>
      </c>
      <c r="R893" s="51" t="str">
        <f aca="false">IF(I893="N","Invalid / missing TRN",IF(F893="Blocked input (entertainment)","Blocked input",IF(Q893&gt;30,"Late posting (&gt;30d)","")))</f>
        <v/>
      </c>
    </row>
    <row r="894" customFormat="false" ht="15" hidden="false" customHeight="false" outlineLevel="0" collapsed="false">
      <c r="A894" s="47" t="s">
        <v>1180</v>
      </c>
      <c r="B894" s="48" t="n">
        <v>45911</v>
      </c>
      <c r="C894" s="47" t="s">
        <v>159</v>
      </c>
      <c r="D894" s="47" t="s">
        <v>428</v>
      </c>
      <c r="E894" s="47" t="s">
        <v>106</v>
      </c>
      <c r="F894" s="47" t="s">
        <v>161</v>
      </c>
      <c r="G894" s="49" t="n">
        <v>19981.3</v>
      </c>
      <c r="H894" s="50" t="n">
        <v>0.05</v>
      </c>
      <c r="I894" s="47" t="s">
        <v>162</v>
      </c>
      <c r="J894" s="48" t="n">
        <v>45911</v>
      </c>
      <c r="K894" s="51" t="str">
        <f aca="false">"Q"&amp;ROUNDUP(MONTH(B894)/3,0)</f>
        <v>Q3</v>
      </c>
      <c r="L894" s="52" t="n">
        <f aca="false">ROUND(G894*H894,2)</f>
        <v>999.07</v>
      </c>
      <c r="M894" s="52" t="n">
        <f aca="false">IF(AND(C894="Sales",F894="Standard-rated 5%"),L894,0)</f>
        <v>999.07</v>
      </c>
      <c r="N894" s="52" t="n">
        <f aca="false">IF(F894="Reverse charge (imported services)",L894,0)</f>
        <v>0</v>
      </c>
      <c r="O894" s="52" t="n">
        <f aca="false">IF(C894&lt;&gt;"Purchase",0,IF(OR(I894="N",F894="Blocked input (entertainment)"),0,L894))</f>
        <v>0</v>
      </c>
      <c r="P894" s="52" t="n">
        <f aca="false">IF(C894&lt;&gt;"Purchase",0,L894-O894)</f>
        <v>0</v>
      </c>
      <c r="Q894" s="53" t="n">
        <f aca="false">J894-B894</f>
        <v>0</v>
      </c>
      <c r="R894" s="51" t="str">
        <f aca="false">IF(I894="N","Invalid / missing TRN",IF(F894="Blocked input (entertainment)","Blocked input",IF(Q894&gt;30,"Late posting (&gt;30d)","")))</f>
        <v/>
      </c>
    </row>
    <row r="895" customFormat="false" ht="15" hidden="false" customHeight="false" outlineLevel="0" collapsed="false">
      <c r="A895" s="47" t="s">
        <v>1181</v>
      </c>
      <c r="B895" s="48" t="n">
        <v>45911</v>
      </c>
      <c r="C895" s="47" t="s">
        <v>159</v>
      </c>
      <c r="D895" s="47" t="s">
        <v>405</v>
      </c>
      <c r="E895" s="47" t="s">
        <v>102</v>
      </c>
      <c r="F895" s="47" t="s">
        <v>161</v>
      </c>
      <c r="G895" s="49" t="n">
        <v>50614.05</v>
      </c>
      <c r="H895" s="50" t="n">
        <v>0.05</v>
      </c>
      <c r="I895" s="47" t="s">
        <v>162</v>
      </c>
      <c r="J895" s="48" t="n">
        <v>45912</v>
      </c>
      <c r="K895" s="51" t="str">
        <f aca="false">"Q"&amp;ROUNDUP(MONTH(B895)/3,0)</f>
        <v>Q3</v>
      </c>
      <c r="L895" s="52" t="n">
        <f aca="false">ROUND(G895*H895,2)</f>
        <v>2530.7</v>
      </c>
      <c r="M895" s="52" t="n">
        <f aca="false">IF(AND(C895="Sales",F895="Standard-rated 5%"),L895,0)</f>
        <v>2530.7</v>
      </c>
      <c r="N895" s="52" t="n">
        <f aca="false">IF(F895="Reverse charge (imported services)",L895,0)</f>
        <v>0</v>
      </c>
      <c r="O895" s="52" t="n">
        <f aca="false">IF(C895&lt;&gt;"Purchase",0,IF(OR(I895="N",F895="Blocked input (entertainment)"),0,L895))</f>
        <v>0</v>
      </c>
      <c r="P895" s="52" t="n">
        <f aca="false">IF(C895&lt;&gt;"Purchase",0,L895-O895)</f>
        <v>0</v>
      </c>
      <c r="Q895" s="53" t="n">
        <f aca="false">J895-B895</f>
        <v>1</v>
      </c>
      <c r="R895" s="51" t="str">
        <f aca="false">IF(I895="N","Invalid / missing TRN",IF(F895="Blocked input (entertainment)","Blocked input",IF(Q895&gt;30,"Late posting (&gt;30d)","")))</f>
        <v/>
      </c>
    </row>
    <row r="896" customFormat="false" ht="15" hidden="false" customHeight="false" outlineLevel="0" collapsed="false">
      <c r="A896" s="47" t="s">
        <v>1182</v>
      </c>
      <c r="B896" s="48" t="n">
        <v>45911</v>
      </c>
      <c r="C896" s="47" t="s">
        <v>159</v>
      </c>
      <c r="D896" s="47" t="s">
        <v>345</v>
      </c>
      <c r="E896" s="47" t="s">
        <v>100</v>
      </c>
      <c r="F896" s="47" t="s">
        <v>278</v>
      </c>
      <c r="G896" s="49" t="n">
        <v>58559.43</v>
      </c>
      <c r="H896" s="50" t="n">
        <v>0</v>
      </c>
      <c r="I896" s="47" t="s">
        <v>162</v>
      </c>
      <c r="J896" s="48" t="n">
        <v>45911</v>
      </c>
      <c r="K896" s="51" t="str">
        <f aca="false">"Q"&amp;ROUNDUP(MONTH(B896)/3,0)</f>
        <v>Q3</v>
      </c>
      <c r="L896" s="52" t="n">
        <f aca="false">ROUND(G896*H896,2)</f>
        <v>0</v>
      </c>
      <c r="M896" s="52" t="n">
        <f aca="false">IF(AND(C896="Sales",F896="Standard-rated 5%"),L896,0)</f>
        <v>0</v>
      </c>
      <c r="N896" s="52" t="n">
        <f aca="false">IF(F896="Reverse charge (imported services)",L896,0)</f>
        <v>0</v>
      </c>
      <c r="O896" s="52" t="n">
        <f aca="false">IF(C896&lt;&gt;"Purchase",0,IF(OR(I896="N",F896="Blocked input (entertainment)"),0,L896))</f>
        <v>0</v>
      </c>
      <c r="P896" s="52" t="n">
        <f aca="false">IF(C896&lt;&gt;"Purchase",0,L896-O896)</f>
        <v>0</v>
      </c>
      <c r="Q896" s="53" t="n">
        <f aca="false">J896-B896</f>
        <v>0</v>
      </c>
      <c r="R896" s="51" t="str">
        <f aca="false">IF(I896="N","Invalid / missing TRN",IF(F896="Blocked input (entertainment)","Blocked input",IF(Q896&gt;30,"Late posting (&gt;30d)","")))</f>
        <v/>
      </c>
    </row>
    <row r="897" customFormat="false" ht="15" hidden="false" customHeight="false" outlineLevel="0" collapsed="false">
      <c r="A897" s="47" t="s">
        <v>1183</v>
      </c>
      <c r="B897" s="48" t="n">
        <v>45912</v>
      </c>
      <c r="C897" s="47" t="s">
        <v>166</v>
      </c>
      <c r="D897" s="47" t="s">
        <v>264</v>
      </c>
      <c r="E897" s="47" t="s">
        <v>100</v>
      </c>
      <c r="F897" s="47" t="s">
        <v>161</v>
      </c>
      <c r="G897" s="49" t="n">
        <v>31415.86</v>
      </c>
      <c r="H897" s="50" t="n">
        <v>0.05</v>
      </c>
      <c r="I897" s="47" t="s">
        <v>162</v>
      </c>
      <c r="J897" s="48" t="n">
        <v>45912</v>
      </c>
      <c r="K897" s="51" t="str">
        <f aca="false">"Q"&amp;ROUNDUP(MONTH(B897)/3,0)</f>
        <v>Q3</v>
      </c>
      <c r="L897" s="52" t="n">
        <f aca="false">ROUND(G897*H897,2)</f>
        <v>1570.79</v>
      </c>
      <c r="M897" s="52" t="n">
        <f aca="false">IF(AND(C897="Sales",F897="Standard-rated 5%"),L897,0)</f>
        <v>0</v>
      </c>
      <c r="N897" s="52" t="n">
        <f aca="false">IF(F897="Reverse charge (imported services)",L897,0)</f>
        <v>0</v>
      </c>
      <c r="O897" s="52" t="n">
        <f aca="false">IF(C897&lt;&gt;"Purchase",0,IF(OR(I897="N",F897="Blocked input (entertainment)"),0,L897))</f>
        <v>1570.79</v>
      </c>
      <c r="P897" s="52" t="n">
        <f aca="false">IF(C897&lt;&gt;"Purchase",0,L897-O897)</f>
        <v>0</v>
      </c>
      <c r="Q897" s="53" t="n">
        <f aca="false">J897-B897</f>
        <v>0</v>
      </c>
      <c r="R897" s="51" t="str">
        <f aca="false">IF(I897="N","Invalid / missing TRN",IF(F897="Blocked input (entertainment)","Blocked input",IF(Q897&gt;30,"Late posting (&gt;30d)","")))</f>
        <v/>
      </c>
    </row>
    <row r="898" customFormat="false" ht="15" hidden="false" customHeight="false" outlineLevel="0" collapsed="false">
      <c r="A898" s="47" t="s">
        <v>1184</v>
      </c>
      <c r="B898" s="48" t="n">
        <v>45912</v>
      </c>
      <c r="C898" s="47" t="s">
        <v>166</v>
      </c>
      <c r="D898" s="47" t="s">
        <v>206</v>
      </c>
      <c r="E898" s="47" t="s">
        <v>101</v>
      </c>
      <c r="F898" s="47" t="s">
        <v>161</v>
      </c>
      <c r="G898" s="49" t="n">
        <v>17822.77</v>
      </c>
      <c r="H898" s="50" t="n">
        <v>0.05</v>
      </c>
      <c r="I898" s="47" t="s">
        <v>162</v>
      </c>
      <c r="J898" s="48" t="n">
        <v>45913</v>
      </c>
      <c r="K898" s="51" t="str">
        <f aca="false">"Q"&amp;ROUNDUP(MONTH(B898)/3,0)</f>
        <v>Q3</v>
      </c>
      <c r="L898" s="52" t="n">
        <f aca="false">ROUND(G898*H898,2)</f>
        <v>891.14</v>
      </c>
      <c r="M898" s="52" t="n">
        <f aca="false">IF(AND(C898="Sales",F898="Standard-rated 5%"),L898,0)</f>
        <v>0</v>
      </c>
      <c r="N898" s="52" t="n">
        <f aca="false">IF(F898="Reverse charge (imported services)",L898,0)</f>
        <v>0</v>
      </c>
      <c r="O898" s="52" t="n">
        <f aca="false">IF(C898&lt;&gt;"Purchase",0,IF(OR(I898="N",F898="Blocked input (entertainment)"),0,L898))</f>
        <v>891.14</v>
      </c>
      <c r="P898" s="52" t="n">
        <f aca="false">IF(C898&lt;&gt;"Purchase",0,L898-O898)</f>
        <v>0</v>
      </c>
      <c r="Q898" s="53" t="n">
        <f aca="false">J898-B898</f>
        <v>1</v>
      </c>
      <c r="R898" s="51" t="str">
        <f aca="false">IF(I898="N","Invalid / missing TRN",IF(F898="Blocked input (entertainment)","Blocked input",IF(Q898&gt;30,"Late posting (&gt;30d)","")))</f>
        <v/>
      </c>
    </row>
    <row r="899" customFormat="false" ht="15" hidden="false" customHeight="false" outlineLevel="0" collapsed="false">
      <c r="A899" s="47" t="s">
        <v>1185</v>
      </c>
      <c r="B899" s="48" t="n">
        <v>45912</v>
      </c>
      <c r="C899" s="47" t="s">
        <v>166</v>
      </c>
      <c r="D899" s="47" t="s">
        <v>460</v>
      </c>
      <c r="E899" s="47" t="s">
        <v>103</v>
      </c>
      <c r="F899" s="47" t="s">
        <v>161</v>
      </c>
      <c r="G899" s="49" t="n">
        <v>67618.02</v>
      </c>
      <c r="H899" s="50" t="n">
        <v>0.05</v>
      </c>
      <c r="I899" s="47" t="s">
        <v>162</v>
      </c>
      <c r="J899" s="48" t="n">
        <v>45912</v>
      </c>
      <c r="K899" s="51" t="str">
        <f aca="false">"Q"&amp;ROUNDUP(MONTH(B899)/3,0)</f>
        <v>Q3</v>
      </c>
      <c r="L899" s="52" t="n">
        <f aca="false">ROUND(G899*H899,2)</f>
        <v>3380.9</v>
      </c>
      <c r="M899" s="52" t="n">
        <f aca="false">IF(AND(C899="Sales",F899="Standard-rated 5%"),L899,0)</f>
        <v>0</v>
      </c>
      <c r="N899" s="52" t="n">
        <f aca="false">IF(F899="Reverse charge (imported services)",L899,0)</f>
        <v>0</v>
      </c>
      <c r="O899" s="52" t="n">
        <f aca="false">IF(C899&lt;&gt;"Purchase",0,IF(OR(I899="N",F899="Blocked input (entertainment)"),0,L899))</f>
        <v>3380.9</v>
      </c>
      <c r="P899" s="52" t="n">
        <f aca="false">IF(C899&lt;&gt;"Purchase",0,L899-O899)</f>
        <v>0</v>
      </c>
      <c r="Q899" s="53" t="n">
        <f aca="false">J899-B899</f>
        <v>0</v>
      </c>
      <c r="R899" s="51" t="str">
        <f aca="false">IF(I899="N","Invalid / missing TRN",IF(F899="Blocked input (entertainment)","Blocked input",IF(Q899&gt;30,"Late posting (&gt;30d)","")))</f>
        <v/>
      </c>
    </row>
    <row r="900" customFormat="false" ht="15" hidden="false" customHeight="false" outlineLevel="0" collapsed="false">
      <c r="A900" s="47" t="s">
        <v>1186</v>
      </c>
      <c r="B900" s="48" t="n">
        <v>45913</v>
      </c>
      <c r="C900" s="47" t="s">
        <v>166</v>
      </c>
      <c r="D900" s="47" t="s">
        <v>253</v>
      </c>
      <c r="E900" s="47" t="s">
        <v>105</v>
      </c>
      <c r="F900" s="47" t="s">
        <v>161</v>
      </c>
      <c r="G900" s="49" t="n">
        <v>68959.03</v>
      </c>
      <c r="H900" s="50" t="n">
        <v>0.05</v>
      </c>
      <c r="I900" s="47" t="s">
        <v>162</v>
      </c>
      <c r="J900" s="48" t="n">
        <v>45913</v>
      </c>
      <c r="K900" s="51" t="str">
        <f aca="false">"Q"&amp;ROUNDUP(MONTH(B900)/3,0)</f>
        <v>Q3</v>
      </c>
      <c r="L900" s="52" t="n">
        <f aca="false">ROUND(G900*H900,2)</f>
        <v>3447.95</v>
      </c>
      <c r="M900" s="52" t="n">
        <f aca="false">IF(AND(C900="Sales",F900="Standard-rated 5%"),L900,0)</f>
        <v>0</v>
      </c>
      <c r="N900" s="52" t="n">
        <f aca="false">IF(F900="Reverse charge (imported services)",L900,0)</f>
        <v>0</v>
      </c>
      <c r="O900" s="52" t="n">
        <f aca="false">IF(C900&lt;&gt;"Purchase",0,IF(OR(I900="N",F900="Blocked input (entertainment)"),0,L900))</f>
        <v>3447.95</v>
      </c>
      <c r="P900" s="52" t="n">
        <f aca="false">IF(C900&lt;&gt;"Purchase",0,L900-O900)</f>
        <v>0</v>
      </c>
      <c r="Q900" s="53" t="n">
        <f aca="false">J900-B900</f>
        <v>0</v>
      </c>
      <c r="R900" s="51" t="str">
        <f aca="false">IF(I900="N","Invalid / missing TRN",IF(F900="Blocked input (entertainment)","Blocked input",IF(Q900&gt;30,"Late posting (&gt;30d)","")))</f>
        <v/>
      </c>
    </row>
    <row r="901" customFormat="false" ht="15" hidden="false" customHeight="false" outlineLevel="0" collapsed="false">
      <c r="A901" s="47" t="s">
        <v>1187</v>
      </c>
      <c r="B901" s="48" t="n">
        <v>45914</v>
      </c>
      <c r="C901" s="47" t="s">
        <v>166</v>
      </c>
      <c r="D901" s="47" t="s">
        <v>251</v>
      </c>
      <c r="E901" s="47" t="s">
        <v>101</v>
      </c>
      <c r="F901" s="47" t="s">
        <v>337</v>
      </c>
      <c r="G901" s="49" t="n">
        <v>27787.1</v>
      </c>
      <c r="H901" s="50" t="n">
        <v>0</v>
      </c>
      <c r="I901" s="47" t="s">
        <v>162</v>
      </c>
      <c r="J901" s="48" t="n">
        <v>45914</v>
      </c>
      <c r="K901" s="51" t="str">
        <f aca="false">"Q"&amp;ROUNDUP(MONTH(B901)/3,0)</f>
        <v>Q3</v>
      </c>
      <c r="L901" s="52" t="n">
        <f aca="false">ROUND(G901*H901,2)</f>
        <v>0</v>
      </c>
      <c r="M901" s="52" t="n">
        <f aca="false">IF(AND(C901="Sales",F901="Standard-rated 5%"),L901,0)</f>
        <v>0</v>
      </c>
      <c r="N901" s="52" t="n">
        <f aca="false">IF(F901="Reverse charge (imported services)",L901,0)</f>
        <v>0</v>
      </c>
      <c r="O901" s="52" t="n">
        <f aca="false">IF(C901&lt;&gt;"Purchase",0,IF(OR(I901="N",F901="Blocked input (entertainment)"),0,L901))</f>
        <v>0</v>
      </c>
      <c r="P901" s="52" t="n">
        <f aca="false">IF(C901&lt;&gt;"Purchase",0,L901-O901)</f>
        <v>0</v>
      </c>
      <c r="Q901" s="53" t="n">
        <f aca="false">J901-B901</f>
        <v>0</v>
      </c>
      <c r="R901" s="51" t="str">
        <f aca="false">IF(I901="N","Invalid / missing TRN",IF(F901="Blocked input (entertainment)","Blocked input",IF(Q901&gt;30,"Late posting (&gt;30d)","")))</f>
        <v/>
      </c>
    </row>
    <row r="902" customFormat="false" ht="15" hidden="false" customHeight="false" outlineLevel="0" collapsed="false">
      <c r="A902" s="47" t="s">
        <v>1188</v>
      </c>
      <c r="B902" s="48" t="n">
        <v>45914</v>
      </c>
      <c r="C902" s="47" t="s">
        <v>166</v>
      </c>
      <c r="D902" s="47" t="s">
        <v>227</v>
      </c>
      <c r="E902" s="47" t="s">
        <v>100</v>
      </c>
      <c r="F902" s="47" t="s">
        <v>161</v>
      </c>
      <c r="G902" s="49" t="n">
        <v>21391.16</v>
      </c>
      <c r="H902" s="50" t="n">
        <v>0.05</v>
      </c>
      <c r="I902" s="47" t="s">
        <v>162</v>
      </c>
      <c r="J902" s="48" t="n">
        <v>45954</v>
      </c>
      <c r="K902" s="51" t="str">
        <f aca="false">"Q"&amp;ROUNDUP(MONTH(B902)/3,0)</f>
        <v>Q3</v>
      </c>
      <c r="L902" s="52" t="n">
        <f aca="false">ROUND(G902*H902,2)</f>
        <v>1069.56</v>
      </c>
      <c r="M902" s="52" t="n">
        <f aca="false">IF(AND(C902="Sales",F902="Standard-rated 5%"),L902,0)</f>
        <v>0</v>
      </c>
      <c r="N902" s="52" t="n">
        <f aca="false">IF(F902="Reverse charge (imported services)",L902,0)</f>
        <v>0</v>
      </c>
      <c r="O902" s="52" t="n">
        <f aca="false">IF(C902&lt;&gt;"Purchase",0,IF(OR(I902="N",F902="Blocked input (entertainment)"),0,L902))</f>
        <v>1069.56</v>
      </c>
      <c r="P902" s="52" t="n">
        <f aca="false">IF(C902&lt;&gt;"Purchase",0,L902-O902)</f>
        <v>0</v>
      </c>
      <c r="Q902" s="53" t="n">
        <f aca="false">J902-B902</f>
        <v>40</v>
      </c>
      <c r="R902" s="51" t="str">
        <f aca="false">IF(I902="N","Invalid / missing TRN",IF(F902="Blocked input (entertainment)","Blocked input",IF(Q902&gt;30,"Late posting (&gt;30d)","")))</f>
        <v>Late posting (&gt;30d)</v>
      </c>
    </row>
    <row r="903" customFormat="false" ht="15" hidden="false" customHeight="false" outlineLevel="0" collapsed="false">
      <c r="A903" s="47" t="s">
        <v>1189</v>
      </c>
      <c r="B903" s="48" t="n">
        <v>45914</v>
      </c>
      <c r="C903" s="47" t="s">
        <v>166</v>
      </c>
      <c r="D903" s="47" t="s">
        <v>460</v>
      </c>
      <c r="E903" s="47" t="s">
        <v>104</v>
      </c>
      <c r="F903" s="47" t="s">
        <v>161</v>
      </c>
      <c r="G903" s="49" t="n">
        <v>57483.34</v>
      </c>
      <c r="H903" s="50" t="n">
        <v>0.05</v>
      </c>
      <c r="I903" s="47" t="s">
        <v>162</v>
      </c>
      <c r="J903" s="48" t="n">
        <v>45914</v>
      </c>
      <c r="K903" s="51" t="str">
        <f aca="false">"Q"&amp;ROUNDUP(MONTH(B903)/3,0)</f>
        <v>Q3</v>
      </c>
      <c r="L903" s="52" t="n">
        <f aca="false">ROUND(G903*H903,2)</f>
        <v>2874.17</v>
      </c>
      <c r="M903" s="52" t="n">
        <f aca="false">IF(AND(C903="Sales",F903="Standard-rated 5%"),L903,0)</f>
        <v>0</v>
      </c>
      <c r="N903" s="52" t="n">
        <f aca="false">IF(F903="Reverse charge (imported services)",L903,0)</f>
        <v>0</v>
      </c>
      <c r="O903" s="52" t="n">
        <f aca="false">IF(C903&lt;&gt;"Purchase",0,IF(OR(I903="N",F903="Blocked input (entertainment)"),0,L903))</f>
        <v>2874.17</v>
      </c>
      <c r="P903" s="52" t="n">
        <f aca="false">IF(C903&lt;&gt;"Purchase",0,L903-O903)</f>
        <v>0</v>
      </c>
      <c r="Q903" s="53" t="n">
        <f aca="false">J903-B903</f>
        <v>0</v>
      </c>
      <c r="R903" s="51" t="str">
        <f aca="false">IF(I903="N","Invalid / missing TRN",IF(F903="Blocked input (entertainment)","Blocked input",IF(Q903&gt;30,"Late posting (&gt;30d)","")))</f>
        <v/>
      </c>
    </row>
    <row r="904" customFormat="false" ht="15" hidden="false" customHeight="false" outlineLevel="0" collapsed="false">
      <c r="A904" s="47" t="s">
        <v>1190</v>
      </c>
      <c r="B904" s="48" t="n">
        <v>45914</v>
      </c>
      <c r="C904" s="47" t="s">
        <v>166</v>
      </c>
      <c r="D904" s="47" t="s">
        <v>210</v>
      </c>
      <c r="E904" s="47" t="s">
        <v>101</v>
      </c>
      <c r="F904" s="47" t="s">
        <v>268</v>
      </c>
      <c r="G904" s="49" t="n">
        <v>15455.48</v>
      </c>
      <c r="H904" s="50" t="n">
        <v>0</v>
      </c>
      <c r="I904" s="47" t="s">
        <v>162</v>
      </c>
      <c r="J904" s="48" t="n">
        <v>45914</v>
      </c>
      <c r="K904" s="51" t="str">
        <f aca="false">"Q"&amp;ROUNDUP(MONTH(B904)/3,0)</f>
        <v>Q3</v>
      </c>
      <c r="L904" s="52" t="n">
        <f aca="false">ROUND(G904*H904,2)</f>
        <v>0</v>
      </c>
      <c r="M904" s="52" t="n">
        <f aca="false">IF(AND(C904="Sales",F904="Standard-rated 5%"),L904,0)</f>
        <v>0</v>
      </c>
      <c r="N904" s="52" t="n">
        <f aca="false">IF(F904="Reverse charge (imported services)",L904,0)</f>
        <v>0</v>
      </c>
      <c r="O904" s="52" t="n">
        <f aca="false">IF(C904&lt;&gt;"Purchase",0,IF(OR(I904="N",F904="Blocked input (entertainment)"),0,L904))</f>
        <v>0</v>
      </c>
      <c r="P904" s="52" t="n">
        <f aca="false">IF(C904&lt;&gt;"Purchase",0,L904-O904)</f>
        <v>0</v>
      </c>
      <c r="Q904" s="53" t="n">
        <f aca="false">J904-B904</f>
        <v>0</v>
      </c>
      <c r="R904" s="51" t="str">
        <f aca="false">IF(I904="N","Invalid / missing TRN",IF(F904="Blocked input (entertainment)","Blocked input",IF(Q904&gt;30,"Late posting (&gt;30d)","")))</f>
        <v/>
      </c>
    </row>
    <row r="905" customFormat="false" ht="15" hidden="false" customHeight="false" outlineLevel="0" collapsed="false">
      <c r="A905" s="47" t="s">
        <v>1191</v>
      </c>
      <c r="B905" s="48" t="n">
        <v>45914</v>
      </c>
      <c r="C905" s="47" t="s">
        <v>159</v>
      </c>
      <c r="D905" s="47" t="s">
        <v>343</v>
      </c>
      <c r="E905" s="47" t="s">
        <v>100</v>
      </c>
      <c r="F905" s="47" t="s">
        <v>301</v>
      </c>
      <c r="G905" s="49" t="n">
        <v>94566.76</v>
      </c>
      <c r="H905" s="50" t="n">
        <v>0</v>
      </c>
      <c r="I905" s="47" t="s">
        <v>162</v>
      </c>
      <c r="J905" s="48" t="n">
        <v>45914</v>
      </c>
      <c r="K905" s="51" t="str">
        <f aca="false">"Q"&amp;ROUNDUP(MONTH(B905)/3,0)</f>
        <v>Q3</v>
      </c>
      <c r="L905" s="52" t="n">
        <f aca="false">ROUND(G905*H905,2)</f>
        <v>0</v>
      </c>
      <c r="M905" s="52" t="n">
        <f aca="false">IF(AND(C905="Sales",F905="Standard-rated 5%"),L905,0)</f>
        <v>0</v>
      </c>
      <c r="N905" s="52" t="n">
        <f aca="false">IF(F905="Reverse charge (imported services)",L905,0)</f>
        <v>0</v>
      </c>
      <c r="O905" s="52" t="n">
        <f aca="false">IF(C905&lt;&gt;"Purchase",0,IF(OR(I905="N",F905="Blocked input (entertainment)"),0,L905))</f>
        <v>0</v>
      </c>
      <c r="P905" s="52" t="n">
        <f aca="false">IF(C905&lt;&gt;"Purchase",0,L905-O905)</f>
        <v>0</v>
      </c>
      <c r="Q905" s="53" t="n">
        <f aca="false">J905-B905</f>
        <v>0</v>
      </c>
      <c r="R905" s="51" t="str">
        <f aca="false">IF(I905="N","Invalid / missing TRN",IF(F905="Blocked input (entertainment)","Blocked input",IF(Q905&gt;30,"Late posting (&gt;30d)","")))</f>
        <v/>
      </c>
    </row>
    <row r="906" customFormat="false" ht="15" hidden="false" customHeight="false" outlineLevel="0" collapsed="false">
      <c r="A906" s="47" t="s">
        <v>1192</v>
      </c>
      <c r="B906" s="48" t="n">
        <v>45914</v>
      </c>
      <c r="C906" s="47" t="s">
        <v>159</v>
      </c>
      <c r="D906" s="47" t="s">
        <v>239</v>
      </c>
      <c r="E906" s="47" t="s">
        <v>106</v>
      </c>
      <c r="F906" s="47" t="s">
        <v>278</v>
      </c>
      <c r="G906" s="49" t="n">
        <v>22880.43</v>
      </c>
      <c r="H906" s="50" t="n">
        <v>0</v>
      </c>
      <c r="I906" s="47" t="s">
        <v>162</v>
      </c>
      <c r="J906" s="48" t="n">
        <v>45914</v>
      </c>
      <c r="K906" s="51" t="str">
        <f aca="false">"Q"&amp;ROUNDUP(MONTH(B906)/3,0)</f>
        <v>Q3</v>
      </c>
      <c r="L906" s="52" t="n">
        <f aca="false">ROUND(G906*H906,2)</f>
        <v>0</v>
      </c>
      <c r="M906" s="52" t="n">
        <f aca="false">IF(AND(C906="Sales",F906="Standard-rated 5%"),L906,0)</f>
        <v>0</v>
      </c>
      <c r="N906" s="52" t="n">
        <f aca="false">IF(F906="Reverse charge (imported services)",L906,0)</f>
        <v>0</v>
      </c>
      <c r="O906" s="52" t="n">
        <f aca="false">IF(C906&lt;&gt;"Purchase",0,IF(OR(I906="N",F906="Blocked input (entertainment)"),0,L906))</f>
        <v>0</v>
      </c>
      <c r="P906" s="52" t="n">
        <f aca="false">IF(C906&lt;&gt;"Purchase",0,L906-O906)</f>
        <v>0</v>
      </c>
      <c r="Q906" s="53" t="n">
        <f aca="false">J906-B906</f>
        <v>0</v>
      </c>
      <c r="R906" s="51" t="str">
        <f aca="false">IF(I906="N","Invalid / missing TRN",IF(F906="Blocked input (entertainment)","Blocked input",IF(Q906&gt;30,"Late posting (&gt;30d)","")))</f>
        <v/>
      </c>
    </row>
    <row r="907" customFormat="false" ht="15" hidden="false" customHeight="false" outlineLevel="0" collapsed="false">
      <c r="A907" s="47" t="s">
        <v>1193</v>
      </c>
      <c r="B907" s="48" t="n">
        <v>45915</v>
      </c>
      <c r="C907" s="47" t="s">
        <v>166</v>
      </c>
      <c r="D907" s="47" t="s">
        <v>557</v>
      </c>
      <c r="E907" s="47" t="s">
        <v>100</v>
      </c>
      <c r="F907" s="47" t="s">
        <v>161</v>
      </c>
      <c r="G907" s="49" t="n">
        <v>18903.67</v>
      </c>
      <c r="H907" s="50" t="n">
        <v>0.05</v>
      </c>
      <c r="I907" s="47" t="s">
        <v>162</v>
      </c>
      <c r="J907" s="48" t="n">
        <v>45915</v>
      </c>
      <c r="K907" s="51" t="str">
        <f aca="false">"Q"&amp;ROUNDUP(MONTH(B907)/3,0)</f>
        <v>Q3</v>
      </c>
      <c r="L907" s="52" t="n">
        <f aca="false">ROUND(G907*H907,2)</f>
        <v>945.18</v>
      </c>
      <c r="M907" s="52" t="n">
        <f aca="false">IF(AND(C907="Sales",F907="Standard-rated 5%"),L907,0)</f>
        <v>0</v>
      </c>
      <c r="N907" s="52" t="n">
        <f aca="false">IF(F907="Reverse charge (imported services)",L907,0)</f>
        <v>0</v>
      </c>
      <c r="O907" s="52" t="n">
        <f aca="false">IF(C907&lt;&gt;"Purchase",0,IF(OR(I907="N",F907="Blocked input (entertainment)"),0,L907))</f>
        <v>945.18</v>
      </c>
      <c r="P907" s="52" t="n">
        <f aca="false">IF(C907&lt;&gt;"Purchase",0,L907-O907)</f>
        <v>0</v>
      </c>
      <c r="Q907" s="53" t="n">
        <f aca="false">J907-B907</f>
        <v>0</v>
      </c>
      <c r="R907" s="51" t="str">
        <f aca="false">IF(I907="N","Invalid / missing TRN",IF(F907="Blocked input (entertainment)","Blocked input",IF(Q907&gt;30,"Late posting (&gt;30d)","")))</f>
        <v/>
      </c>
    </row>
    <row r="908" customFormat="false" ht="15" hidden="false" customHeight="false" outlineLevel="0" collapsed="false">
      <c r="A908" s="47" t="s">
        <v>1194</v>
      </c>
      <c r="B908" s="48" t="n">
        <v>45915</v>
      </c>
      <c r="C908" s="47" t="s">
        <v>159</v>
      </c>
      <c r="D908" s="47" t="s">
        <v>364</v>
      </c>
      <c r="E908" s="47" t="s">
        <v>104</v>
      </c>
      <c r="F908" s="47" t="s">
        <v>161</v>
      </c>
      <c r="G908" s="49" t="n">
        <v>37739.92</v>
      </c>
      <c r="H908" s="50" t="n">
        <v>0.05</v>
      </c>
      <c r="I908" s="47" t="s">
        <v>162</v>
      </c>
      <c r="J908" s="48" t="n">
        <v>45915</v>
      </c>
      <c r="K908" s="51" t="str">
        <f aca="false">"Q"&amp;ROUNDUP(MONTH(B908)/3,0)</f>
        <v>Q3</v>
      </c>
      <c r="L908" s="52" t="n">
        <f aca="false">ROUND(G908*H908,2)</f>
        <v>1887</v>
      </c>
      <c r="M908" s="52" t="n">
        <f aca="false">IF(AND(C908="Sales",F908="Standard-rated 5%"),L908,0)</f>
        <v>1887</v>
      </c>
      <c r="N908" s="52" t="n">
        <f aca="false">IF(F908="Reverse charge (imported services)",L908,0)</f>
        <v>0</v>
      </c>
      <c r="O908" s="52" t="n">
        <f aca="false">IF(C908&lt;&gt;"Purchase",0,IF(OR(I908="N",F908="Blocked input (entertainment)"),0,L908))</f>
        <v>0</v>
      </c>
      <c r="P908" s="52" t="n">
        <f aca="false">IF(C908&lt;&gt;"Purchase",0,L908-O908)</f>
        <v>0</v>
      </c>
      <c r="Q908" s="53" t="n">
        <f aca="false">J908-B908</f>
        <v>0</v>
      </c>
      <c r="R908" s="51" t="str">
        <f aca="false">IF(I908="N","Invalid / missing TRN",IF(F908="Blocked input (entertainment)","Blocked input",IF(Q908&gt;30,"Late posting (&gt;30d)","")))</f>
        <v/>
      </c>
    </row>
    <row r="909" customFormat="false" ht="15" hidden="false" customHeight="false" outlineLevel="0" collapsed="false">
      <c r="A909" s="47" t="s">
        <v>1195</v>
      </c>
      <c r="B909" s="48" t="n">
        <v>45916</v>
      </c>
      <c r="C909" s="47" t="s">
        <v>166</v>
      </c>
      <c r="D909" s="47" t="s">
        <v>555</v>
      </c>
      <c r="E909" s="47" t="s">
        <v>100</v>
      </c>
      <c r="F909" s="47" t="s">
        <v>161</v>
      </c>
      <c r="G909" s="49" t="n">
        <v>12577.64</v>
      </c>
      <c r="H909" s="50" t="n">
        <v>0.05</v>
      </c>
      <c r="I909" s="47" t="s">
        <v>162</v>
      </c>
      <c r="J909" s="48" t="n">
        <v>45916</v>
      </c>
      <c r="K909" s="51" t="str">
        <f aca="false">"Q"&amp;ROUNDUP(MONTH(B909)/3,0)</f>
        <v>Q3</v>
      </c>
      <c r="L909" s="52" t="n">
        <f aca="false">ROUND(G909*H909,2)</f>
        <v>628.88</v>
      </c>
      <c r="M909" s="52" t="n">
        <f aca="false">IF(AND(C909="Sales",F909="Standard-rated 5%"),L909,0)</f>
        <v>0</v>
      </c>
      <c r="N909" s="52" t="n">
        <f aca="false">IF(F909="Reverse charge (imported services)",L909,0)</f>
        <v>0</v>
      </c>
      <c r="O909" s="52" t="n">
        <f aca="false">IF(C909&lt;&gt;"Purchase",0,IF(OR(I909="N",F909="Blocked input (entertainment)"),0,L909))</f>
        <v>628.88</v>
      </c>
      <c r="P909" s="52" t="n">
        <f aca="false">IF(C909&lt;&gt;"Purchase",0,L909-O909)</f>
        <v>0</v>
      </c>
      <c r="Q909" s="53" t="n">
        <f aca="false">J909-B909</f>
        <v>0</v>
      </c>
      <c r="R909" s="51" t="str">
        <f aca="false">IF(I909="N","Invalid / missing TRN",IF(F909="Blocked input (entertainment)","Blocked input",IF(Q909&gt;30,"Late posting (&gt;30d)","")))</f>
        <v/>
      </c>
    </row>
    <row r="910" customFormat="false" ht="15" hidden="false" customHeight="false" outlineLevel="0" collapsed="false">
      <c r="A910" s="47" t="s">
        <v>1196</v>
      </c>
      <c r="B910" s="48" t="n">
        <v>45916</v>
      </c>
      <c r="C910" s="47" t="s">
        <v>159</v>
      </c>
      <c r="D910" s="47" t="s">
        <v>239</v>
      </c>
      <c r="E910" s="47" t="s">
        <v>100</v>
      </c>
      <c r="F910" s="47" t="s">
        <v>161</v>
      </c>
      <c r="G910" s="49" t="n">
        <v>36728.45</v>
      </c>
      <c r="H910" s="50" t="n">
        <v>0.05</v>
      </c>
      <c r="I910" s="47" t="s">
        <v>162</v>
      </c>
      <c r="J910" s="48" t="n">
        <v>45916</v>
      </c>
      <c r="K910" s="51" t="str">
        <f aca="false">"Q"&amp;ROUNDUP(MONTH(B910)/3,0)</f>
        <v>Q3</v>
      </c>
      <c r="L910" s="52" t="n">
        <f aca="false">ROUND(G910*H910,2)</f>
        <v>1836.42</v>
      </c>
      <c r="M910" s="52" t="n">
        <f aca="false">IF(AND(C910="Sales",F910="Standard-rated 5%"),L910,0)</f>
        <v>1836.42</v>
      </c>
      <c r="N910" s="52" t="n">
        <f aca="false">IF(F910="Reverse charge (imported services)",L910,0)</f>
        <v>0</v>
      </c>
      <c r="O910" s="52" t="n">
        <f aca="false">IF(C910&lt;&gt;"Purchase",0,IF(OR(I910="N",F910="Blocked input (entertainment)"),0,L910))</f>
        <v>0</v>
      </c>
      <c r="P910" s="52" t="n">
        <f aca="false">IF(C910&lt;&gt;"Purchase",0,L910-O910)</f>
        <v>0</v>
      </c>
      <c r="Q910" s="53" t="n">
        <f aca="false">J910-B910</f>
        <v>0</v>
      </c>
      <c r="R910" s="51" t="str">
        <f aca="false">IF(I910="N","Invalid / missing TRN",IF(F910="Blocked input (entertainment)","Blocked input",IF(Q910&gt;30,"Late posting (&gt;30d)","")))</f>
        <v/>
      </c>
    </row>
    <row r="911" customFormat="false" ht="15" hidden="false" customHeight="false" outlineLevel="0" collapsed="false">
      <c r="A911" s="47" t="s">
        <v>1197</v>
      </c>
      <c r="B911" s="48" t="n">
        <v>45917</v>
      </c>
      <c r="C911" s="47" t="s">
        <v>166</v>
      </c>
      <c r="D911" s="47" t="s">
        <v>184</v>
      </c>
      <c r="E911" s="47" t="s">
        <v>100</v>
      </c>
      <c r="F911" s="47" t="s">
        <v>268</v>
      </c>
      <c r="G911" s="49" t="n">
        <v>69319.3</v>
      </c>
      <c r="H911" s="50" t="n">
        <v>0</v>
      </c>
      <c r="I911" s="47" t="s">
        <v>162</v>
      </c>
      <c r="J911" s="48" t="n">
        <v>45917</v>
      </c>
      <c r="K911" s="51" t="str">
        <f aca="false">"Q"&amp;ROUNDUP(MONTH(B911)/3,0)</f>
        <v>Q3</v>
      </c>
      <c r="L911" s="52" t="n">
        <f aca="false">ROUND(G911*H911,2)</f>
        <v>0</v>
      </c>
      <c r="M911" s="52" t="n">
        <f aca="false">IF(AND(C911="Sales",F911="Standard-rated 5%"),L911,0)</f>
        <v>0</v>
      </c>
      <c r="N911" s="52" t="n">
        <f aca="false">IF(F911="Reverse charge (imported services)",L911,0)</f>
        <v>0</v>
      </c>
      <c r="O911" s="52" t="n">
        <f aca="false">IF(C911&lt;&gt;"Purchase",0,IF(OR(I911="N",F911="Blocked input (entertainment)"),0,L911))</f>
        <v>0</v>
      </c>
      <c r="P911" s="52" t="n">
        <f aca="false">IF(C911&lt;&gt;"Purchase",0,L911-O911)</f>
        <v>0</v>
      </c>
      <c r="Q911" s="53" t="n">
        <f aca="false">J911-B911</f>
        <v>0</v>
      </c>
      <c r="R911" s="51" t="str">
        <f aca="false">IF(I911="N","Invalid / missing TRN",IF(F911="Blocked input (entertainment)","Blocked input",IF(Q911&gt;30,"Late posting (&gt;30d)","")))</f>
        <v/>
      </c>
    </row>
    <row r="912" customFormat="false" ht="15" hidden="false" customHeight="false" outlineLevel="0" collapsed="false">
      <c r="A912" s="47" t="s">
        <v>1198</v>
      </c>
      <c r="B912" s="48" t="n">
        <v>45917</v>
      </c>
      <c r="C912" s="47" t="s">
        <v>166</v>
      </c>
      <c r="D912" s="47" t="s">
        <v>184</v>
      </c>
      <c r="E912" s="47" t="s">
        <v>101</v>
      </c>
      <c r="F912" s="47" t="s">
        <v>161</v>
      </c>
      <c r="G912" s="49" t="n">
        <v>311227.71</v>
      </c>
      <c r="H912" s="50" t="n">
        <v>0.05</v>
      </c>
      <c r="I912" s="47" t="s">
        <v>162</v>
      </c>
      <c r="J912" s="48" t="n">
        <v>45917</v>
      </c>
      <c r="K912" s="51" t="str">
        <f aca="false">"Q"&amp;ROUNDUP(MONTH(B912)/3,0)</f>
        <v>Q3</v>
      </c>
      <c r="L912" s="52" t="n">
        <f aca="false">ROUND(G912*H912,2)</f>
        <v>15561.39</v>
      </c>
      <c r="M912" s="52" t="n">
        <f aca="false">IF(AND(C912="Sales",F912="Standard-rated 5%"),L912,0)</f>
        <v>0</v>
      </c>
      <c r="N912" s="52" t="n">
        <f aca="false">IF(F912="Reverse charge (imported services)",L912,0)</f>
        <v>0</v>
      </c>
      <c r="O912" s="52" t="n">
        <f aca="false">IF(C912&lt;&gt;"Purchase",0,IF(OR(I912="N",F912="Blocked input (entertainment)"),0,L912))</f>
        <v>15561.39</v>
      </c>
      <c r="P912" s="52" t="n">
        <f aca="false">IF(C912&lt;&gt;"Purchase",0,L912-O912)</f>
        <v>0</v>
      </c>
      <c r="Q912" s="53" t="n">
        <f aca="false">J912-B912</f>
        <v>0</v>
      </c>
      <c r="R912" s="51" t="str">
        <f aca="false">IF(I912="N","Invalid / missing TRN",IF(F912="Blocked input (entertainment)","Blocked input",IF(Q912&gt;30,"Late posting (&gt;30d)","")))</f>
        <v/>
      </c>
    </row>
    <row r="913" customFormat="false" ht="15" hidden="false" customHeight="false" outlineLevel="0" collapsed="false">
      <c r="A913" s="47" t="s">
        <v>1199</v>
      </c>
      <c r="B913" s="48" t="n">
        <v>45917</v>
      </c>
      <c r="C913" s="47" t="s">
        <v>159</v>
      </c>
      <c r="D913" s="47" t="s">
        <v>784</v>
      </c>
      <c r="E913" s="47" t="s">
        <v>100</v>
      </c>
      <c r="F913" s="47" t="s">
        <v>161</v>
      </c>
      <c r="G913" s="49" t="n">
        <v>37419.39</v>
      </c>
      <c r="H913" s="50" t="n">
        <v>0.05</v>
      </c>
      <c r="I913" s="47" t="s">
        <v>162</v>
      </c>
      <c r="J913" s="48" t="n">
        <v>45917</v>
      </c>
      <c r="K913" s="51" t="str">
        <f aca="false">"Q"&amp;ROUNDUP(MONTH(B913)/3,0)</f>
        <v>Q3</v>
      </c>
      <c r="L913" s="52" t="n">
        <f aca="false">ROUND(G913*H913,2)</f>
        <v>1870.97</v>
      </c>
      <c r="M913" s="52" t="n">
        <f aca="false">IF(AND(C913="Sales",F913="Standard-rated 5%"),L913,0)</f>
        <v>1870.97</v>
      </c>
      <c r="N913" s="52" t="n">
        <f aca="false">IF(F913="Reverse charge (imported services)",L913,0)</f>
        <v>0</v>
      </c>
      <c r="O913" s="52" t="n">
        <f aca="false">IF(C913&lt;&gt;"Purchase",0,IF(OR(I913="N",F913="Blocked input (entertainment)"),0,L913))</f>
        <v>0</v>
      </c>
      <c r="P913" s="52" t="n">
        <f aca="false">IF(C913&lt;&gt;"Purchase",0,L913-O913)</f>
        <v>0</v>
      </c>
      <c r="Q913" s="53" t="n">
        <f aca="false">J913-B913</f>
        <v>0</v>
      </c>
      <c r="R913" s="51" t="str">
        <f aca="false">IF(I913="N","Invalid / missing TRN",IF(F913="Blocked input (entertainment)","Blocked input",IF(Q913&gt;30,"Late posting (&gt;30d)","")))</f>
        <v/>
      </c>
    </row>
    <row r="914" customFormat="false" ht="15" hidden="false" customHeight="false" outlineLevel="0" collapsed="false">
      <c r="A914" s="47" t="s">
        <v>1200</v>
      </c>
      <c r="B914" s="48" t="n">
        <v>45918</v>
      </c>
      <c r="C914" s="47" t="s">
        <v>166</v>
      </c>
      <c r="D914" s="47" t="s">
        <v>194</v>
      </c>
      <c r="E914" s="47" t="s">
        <v>102</v>
      </c>
      <c r="F914" s="47" t="s">
        <v>268</v>
      </c>
      <c r="G914" s="49" t="n">
        <v>10733.83</v>
      </c>
      <c r="H914" s="50" t="n">
        <v>0</v>
      </c>
      <c r="I914" s="47" t="s">
        <v>162</v>
      </c>
      <c r="J914" s="48" t="n">
        <v>45918</v>
      </c>
      <c r="K914" s="51" t="str">
        <f aca="false">"Q"&amp;ROUNDUP(MONTH(B914)/3,0)</f>
        <v>Q3</v>
      </c>
      <c r="L914" s="52" t="n">
        <f aca="false">ROUND(G914*H914,2)</f>
        <v>0</v>
      </c>
      <c r="M914" s="52" t="n">
        <f aca="false">IF(AND(C914="Sales",F914="Standard-rated 5%"),L914,0)</f>
        <v>0</v>
      </c>
      <c r="N914" s="52" t="n">
        <f aca="false">IF(F914="Reverse charge (imported services)",L914,0)</f>
        <v>0</v>
      </c>
      <c r="O914" s="52" t="n">
        <f aca="false">IF(C914&lt;&gt;"Purchase",0,IF(OR(I914="N",F914="Blocked input (entertainment)"),0,L914))</f>
        <v>0</v>
      </c>
      <c r="P914" s="52" t="n">
        <f aca="false">IF(C914&lt;&gt;"Purchase",0,L914-O914)</f>
        <v>0</v>
      </c>
      <c r="Q914" s="53" t="n">
        <f aca="false">J914-B914</f>
        <v>0</v>
      </c>
      <c r="R914" s="51" t="str">
        <f aca="false">IF(I914="N","Invalid / missing TRN",IF(F914="Blocked input (entertainment)","Blocked input",IF(Q914&gt;30,"Late posting (&gt;30d)","")))</f>
        <v/>
      </c>
    </row>
    <row r="915" customFormat="false" ht="15" hidden="false" customHeight="false" outlineLevel="0" collapsed="false">
      <c r="A915" s="47" t="s">
        <v>1201</v>
      </c>
      <c r="B915" s="48" t="n">
        <v>45918</v>
      </c>
      <c r="C915" s="47" t="s">
        <v>166</v>
      </c>
      <c r="D915" s="47" t="s">
        <v>528</v>
      </c>
      <c r="E915" s="47" t="s">
        <v>100</v>
      </c>
      <c r="F915" s="47" t="s">
        <v>170</v>
      </c>
      <c r="G915" s="49" t="n">
        <v>84016.15</v>
      </c>
      <c r="H915" s="50" t="n">
        <v>0.05</v>
      </c>
      <c r="I915" s="47" t="s">
        <v>162</v>
      </c>
      <c r="J915" s="48" t="n">
        <v>45918</v>
      </c>
      <c r="K915" s="51" t="str">
        <f aca="false">"Q"&amp;ROUNDUP(MONTH(B915)/3,0)</f>
        <v>Q3</v>
      </c>
      <c r="L915" s="52" t="n">
        <f aca="false">ROUND(G915*H915,2)</f>
        <v>4200.81</v>
      </c>
      <c r="M915" s="52" t="n">
        <f aca="false">IF(AND(C915="Sales",F915="Standard-rated 5%"),L915,0)</f>
        <v>0</v>
      </c>
      <c r="N915" s="52" t="n">
        <f aca="false">IF(F915="Reverse charge (imported services)",L915,0)</f>
        <v>0</v>
      </c>
      <c r="O915" s="52" t="n">
        <f aca="false">IF(C915&lt;&gt;"Purchase",0,IF(OR(I915="N",F915="Blocked input (entertainment)"),0,L915))</f>
        <v>0</v>
      </c>
      <c r="P915" s="52" t="n">
        <f aca="false">IF(C915&lt;&gt;"Purchase",0,L915-O915)</f>
        <v>4200.81</v>
      </c>
      <c r="Q915" s="53" t="n">
        <f aca="false">J915-B915</f>
        <v>0</v>
      </c>
      <c r="R915" s="51" t="str">
        <f aca="false">IF(I915="N","Invalid / missing TRN",IF(F915="Blocked input (entertainment)","Blocked input",IF(Q915&gt;30,"Late posting (&gt;30d)","")))</f>
        <v>Blocked input</v>
      </c>
    </row>
    <row r="916" customFormat="false" ht="15" hidden="false" customHeight="false" outlineLevel="0" collapsed="false">
      <c r="A916" s="47" t="s">
        <v>1202</v>
      </c>
      <c r="B916" s="48" t="n">
        <v>45918</v>
      </c>
      <c r="C916" s="47" t="s">
        <v>159</v>
      </c>
      <c r="D916" s="47" t="s">
        <v>339</v>
      </c>
      <c r="E916" s="47" t="s">
        <v>101</v>
      </c>
      <c r="F916" s="47" t="s">
        <v>161</v>
      </c>
      <c r="G916" s="49" t="n">
        <v>97750.25</v>
      </c>
      <c r="H916" s="50" t="n">
        <v>0.05</v>
      </c>
      <c r="I916" s="47" t="s">
        <v>162</v>
      </c>
      <c r="J916" s="48" t="n">
        <v>45918</v>
      </c>
      <c r="K916" s="51" t="str">
        <f aca="false">"Q"&amp;ROUNDUP(MONTH(B916)/3,0)</f>
        <v>Q3</v>
      </c>
      <c r="L916" s="52" t="n">
        <f aca="false">ROUND(G916*H916,2)</f>
        <v>4887.51</v>
      </c>
      <c r="M916" s="52" t="n">
        <f aca="false">IF(AND(C916="Sales",F916="Standard-rated 5%"),L916,0)</f>
        <v>4887.51</v>
      </c>
      <c r="N916" s="52" t="n">
        <f aca="false">IF(F916="Reverse charge (imported services)",L916,0)</f>
        <v>0</v>
      </c>
      <c r="O916" s="52" t="n">
        <f aca="false">IF(C916&lt;&gt;"Purchase",0,IF(OR(I916="N",F916="Blocked input (entertainment)"),0,L916))</f>
        <v>0</v>
      </c>
      <c r="P916" s="52" t="n">
        <f aca="false">IF(C916&lt;&gt;"Purchase",0,L916-O916)</f>
        <v>0</v>
      </c>
      <c r="Q916" s="53" t="n">
        <f aca="false">J916-B916</f>
        <v>0</v>
      </c>
      <c r="R916" s="51" t="str">
        <f aca="false">IF(I916="N","Invalid / missing TRN",IF(F916="Blocked input (entertainment)","Blocked input",IF(Q916&gt;30,"Late posting (&gt;30d)","")))</f>
        <v/>
      </c>
    </row>
    <row r="917" customFormat="false" ht="15" hidden="false" customHeight="false" outlineLevel="0" collapsed="false">
      <c r="A917" s="47" t="s">
        <v>1203</v>
      </c>
      <c r="B917" s="48" t="n">
        <v>45918</v>
      </c>
      <c r="C917" s="47" t="s">
        <v>159</v>
      </c>
      <c r="D917" s="47" t="s">
        <v>243</v>
      </c>
      <c r="E917" s="47" t="s">
        <v>105</v>
      </c>
      <c r="F917" s="47" t="s">
        <v>161</v>
      </c>
      <c r="G917" s="49" t="n">
        <v>40632.7</v>
      </c>
      <c r="H917" s="50" t="n">
        <v>0.05</v>
      </c>
      <c r="I917" s="47" t="s">
        <v>162</v>
      </c>
      <c r="J917" s="48" t="n">
        <v>45918</v>
      </c>
      <c r="K917" s="51" t="str">
        <f aca="false">"Q"&amp;ROUNDUP(MONTH(B917)/3,0)</f>
        <v>Q3</v>
      </c>
      <c r="L917" s="52" t="n">
        <f aca="false">ROUND(G917*H917,2)</f>
        <v>2031.64</v>
      </c>
      <c r="M917" s="52" t="n">
        <f aca="false">IF(AND(C917="Sales",F917="Standard-rated 5%"),L917,0)</f>
        <v>2031.64</v>
      </c>
      <c r="N917" s="52" t="n">
        <f aca="false">IF(F917="Reverse charge (imported services)",L917,0)</f>
        <v>0</v>
      </c>
      <c r="O917" s="52" t="n">
        <f aca="false">IF(C917&lt;&gt;"Purchase",0,IF(OR(I917="N",F917="Blocked input (entertainment)"),0,L917))</f>
        <v>0</v>
      </c>
      <c r="P917" s="52" t="n">
        <f aca="false">IF(C917&lt;&gt;"Purchase",0,L917-O917)</f>
        <v>0</v>
      </c>
      <c r="Q917" s="53" t="n">
        <f aca="false">J917-B917</f>
        <v>0</v>
      </c>
      <c r="R917" s="51" t="str">
        <f aca="false">IF(I917="N","Invalid / missing TRN",IF(F917="Blocked input (entertainment)","Blocked input",IF(Q917&gt;30,"Late posting (&gt;30d)","")))</f>
        <v/>
      </c>
    </row>
    <row r="918" customFormat="false" ht="15" hidden="false" customHeight="false" outlineLevel="0" collapsed="false">
      <c r="A918" s="47" t="s">
        <v>1204</v>
      </c>
      <c r="B918" s="48" t="n">
        <v>45919</v>
      </c>
      <c r="C918" s="47" t="s">
        <v>166</v>
      </c>
      <c r="D918" s="47" t="s">
        <v>447</v>
      </c>
      <c r="E918" s="47" t="s">
        <v>101</v>
      </c>
      <c r="F918" s="47" t="s">
        <v>161</v>
      </c>
      <c r="G918" s="49" t="n">
        <v>28386.73</v>
      </c>
      <c r="H918" s="50" t="n">
        <v>0.05</v>
      </c>
      <c r="I918" s="47" t="s">
        <v>162</v>
      </c>
      <c r="J918" s="48" t="n">
        <v>45919</v>
      </c>
      <c r="K918" s="51" t="str">
        <f aca="false">"Q"&amp;ROUNDUP(MONTH(B918)/3,0)</f>
        <v>Q3</v>
      </c>
      <c r="L918" s="52" t="n">
        <f aca="false">ROUND(G918*H918,2)</f>
        <v>1419.34</v>
      </c>
      <c r="M918" s="52" t="n">
        <f aca="false">IF(AND(C918="Sales",F918="Standard-rated 5%"),L918,0)</f>
        <v>0</v>
      </c>
      <c r="N918" s="52" t="n">
        <f aca="false">IF(F918="Reverse charge (imported services)",L918,0)</f>
        <v>0</v>
      </c>
      <c r="O918" s="52" t="n">
        <f aca="false">IF(C918&lt;&gt;"Purchase",0,IF(OR(I918="N",F918="Blocked input (entertainment)"),0,L918))</f>
        <v>1419.34</v>
      </c>
      <c r="P918" s="52" t="n">
        <f aca="false">IF(C918&lt;&gt;"Purchase",0,L918-O918)</f>
        <v>0</v>
      </c>
      <c r="Q918" s="53" t="n">
        <f aca="false">J918-B918</f>
        <v>0</v>
      </c>
      <c r="R918" s="51" t="str">
        <f aca="false">IF(I918="N","Invalid / missing TRN",IF(F918="Blocked input (entertainment)","Blocked input",IF(Q918&gt;30,"Late posting (&gt;30d)","")))</f>
        <v/>
      </c>
    </row>
    <row r="919" customFormat="false" ht="15" hidden="false" customHeight="false" outlineLevel="0" collapsed="false">
      <c r="A919" s="47" t="s">
        <v>1205</v>
      </c>
      <c r="B919" s="48" t="n">
        <v>45919</v>
      </c>
      <c r="C919" s="47" t="s">
        <v>159</v>
      </c>
      <c r="D919" s="47" t="s">
        <v>423</v>
      </c>
      <c r="E919" s="47" t="s">
        <v>102</v>
      </c>
      <c r="F919" s="47" t="s">
        <v>278</v>
      </c>
      <c r="G919" s="49" t="n">
        <v>71469.83</v>
      </c>
      <c r="H919" s="50" t="n">
        <v>0</v>
      </c>
      <c r="I919" s="47" t="s">
        <v>162</v>
      </c>
      <c r="J919" s="48" t="n">
        <v>45919</v>
      </c>
      <c r="K919" s="51" t="str">
        <f aca="false">"Q"&amp;ROUNDUP(MONTH(B919)/3,0)</f>
        <v>Q3</v>
      </c>
      <c r="L919" s="52" t="n">
        <f aca="false">ROUND(G919*H919,2)</f>
        <v>0</v>
      </c>
      <c r="M919" s="52" t="n">
        <f aca="false">IF(AND(C919="Sales",F919="Standard-rated 5%"),L919,0)</f>
        <v>0</v>
      </c>
      <c r="N919" s="52" t="n">
        <f aca="false">IF(F919="Reverse charge (imported services)",L919,0)</f>
        <v>0</v>
      </c>
      <c r="O919" s="52" t="n">
        <f aca="false">IF(C919&lt;&gt;"Purchase",0,IF(OR(I919="N",F919="Blocked input (entertainment)"),0,L919))</f>
        <v>0</v>
      </c>
      <c r="P919" s="52" t="n">
        <f aca="false">IF(C919&lt;&gt;"Purchase",0,L919-O919)</f>
        <v>0</v>
      </c>
      <c r="Q919" s="53" t="n">
        <f aca="false">J919-B919</f>
        <v>0</v>
      </c>
      <c r="R919" s="51" t="str">
        <f aca="false">IF(I919="N","Invalid / missing TRN",IF(F919="Blocked input (entertainment)","Blocked input",IF(Q919&gt;30,"Late posting (&gt;30d)","")))</f>
        <v/>
      </c>
    </row>
    <row r="920" customFormat="false" ht="15" hidden="false" customHeight="false" outlineLevel="0" collapsed="false">
      <c r="A920" s="47" t="s">
        <v>1206</v>
      </c>
      <c r="B920" s="48" t="n">
        <v>45919</v>
      </c>
      <c r="C920" s="47" t="s">
        <v>159</v>
      </c>
      <c r="D920" s="47" t="s">
        <v>320</v>
      </c>
      <c r="E920" s="47" t="s">
        <v>105</v>
      </c>
      <c r="F920" s="47" t="s">
        <v>278</v>
      </c>
      <c r="G920" s="49" t="n">
        <v>70122.11</v>
      </c>
      <c r="H920" s="50" t="n">
        <v>0</v>
      </c>
      <c r="I920" s="47" t="s">
        <v>162</v>
      </c>
      <c r="J920" s="48" t="n">
        <v>45921</v>
      </c>
      <c r="K920" s="51" t="str">
        <f aca="false">"Q"&amp;ROUNDUP(MONTH(B920)/3,0)</f>
        <v>Q3</v>
      </c>
      <c r="L920" s="52" t="n">
        <f aca="false">ROUND(G920*H920,2)</f>
        <v>0</v>
      </c>
      <c r="M920" s="52" t="n">
        <f aca="false">IF(AND(C920="Sales",F920="Standard-rated 5%"),L920,0)</f>
        <v>0</v>
      </c>
      <c r="N920" s="52" t="n">
        <f aca="false">IF(F920="Reverse charge (imported services)",L920,0)</f>
        <v>0</v>
      </c>
      <c r="O920" s="52" t="n">
        <f aca="false">IF(C920&lt;&gt;"Purchase",0,IF(OR(I920="N",F920="Blocked input (entertainment)"),0,L920))</f>
        <v>0</v>
      </c>
      <c r="P920" s="52" t="n">
        <f aca="false">IF(C920&lt;&gt;"Purchase",0,L920-O920)</f>
        <v>0</v>
      </c>
      <c r="Q920" s="53" t="n">
        <f aca="false">J920-B920</f>
        <v>2</v>
      </c>
      <c r="R920" s="51" t="str">
        <f aca="false">IF(I920="N","Invalid / missing TRN",IF(F920="Blocked input (entertainment)","Blocked input",IF(Q920&gt;30,"Late posting (&gt;30d)","")))</f>
        <v/>
      </c>
    </row>
    <row r="921" customFormat="false" ht="15" hidden="false" customHeight="false" outlineLevel="0" collapsed="false">
      <c r="A921" s="47" t="s">
        <v>1207</v>
      </c>
      <c r="B921" s="48" t="n">
        <v>45919</v>
      </c>
      <c r="C921" s="47" t="s">
        <v>159</v>
      </c>
      <c r="D921" s="47" t="s">
        <v>241</v>
      </c>
      <c r="E921" s="47" t="s">
        <v>104</v>
      </c>
      <c r="F921" s="47" t="s">
        <v>161</v>
      </c>
      <c r="G921" s="49" t="n">
        <v>18750.05</v>
      </c>
      <c r="H921" s="50" t="n">
        <v>0.05</v>
      </c>
      <c r="I921" s="47" t="s">
        <v>162</v>
      </c>
      <c r="J921" s="48" t="n">
        <v>45919</v>
      </c>
      <c r="K921" s="51" t="str">
        <f aca="false">"Q"&amp;ROUNDUP(MONTH(B921)/3,0)</f>
        <v>Q3</v>
      </c>
      <c r="L921" s="52" t="n">
        <f aca="false">ROUND(G921*H921,2)</f>
        <v>937.5</v>
      </c>
      <c r="M921" s="52" t="n">
        <f aca="false">IF(AND(C921="Sales",F921="Standard-rated 5%"),L921,0)</f>
        <v>937.5</v>
      </c>
      <c r="N921" s="52" t="n">
        <f aca="false">IF(F921="Reverse charge (imported services)",L921,0)</f>
        <v>0</v>
      </c>
      <c r="O921" s="52" t="n">
        <f aca="false">IF(C921&lt;&gt;"Purchase",0,IF(OR(I921="N",F921="Blocked input (entertainment)"),0,L921))</f>
        <v>0</v>
      </c>
      <c r="P921" s="52" t="n">
        <f aca="false">IF(C921&lt;&gt;"Purchase",0,L921-O921)</f>
        <v>0</v>
      </c>
      <c r="Q921" s="53" t="n">
        <f aca="false">J921-B921</f>
        <v>0</v>
      </c>
      <c r="R921" s="51" t="str">
        <f aca="false">IF(I921="N","Invalid / missing TRN",IF(F921="Blocked input (entertainment)","Blocked input",IF(Q921&gt;30,"Late posting (&gt;30d)","")))</f>
        <v/>
      </c>
    </row>
    <row r="922" customFormat="false" ht="15" hidden="false" customHeight="false" outlineLevel="0" collapsed="false">
      <c r="A922" s="47" t="s">
        <v>1208</v>
      </c>
      <c r="B922" s="48" t="n">
        <v>45920</v>
      </c>
      <c r="C922" s="47" t="s">
        <v>166</v>
      </c>
      <c r="D922" s="47" t="s">
        <v>267</v>
      </c>
      <c r="E922" s="47" t="s">
        <v>102</v>
      </c>
      <c r="F922" s="47" t="s">
        <v>161</v>
      </c>
      <c r="G922" s="49" t="n">
        <v>11463.86</v>
      </c>
      <c r="H922" s="50" t="n">
        <v>0.05</v>
      </c>
      <c r="I922" s="47" t="s">
        <v>162</v>
      </c>
      <c r="J922" s="48" t="n">
        <v>45920</v>
      </c>
      <c r="K922" s="51" t="str">
        <f aca="false">"Q"&amp;ROUNDUP(MONTH(B922)/3,0)</f>
        <v>Q3</v>
      </c>
      <c r="L922" s="52" t="n">
        <f aca="false">ROUND(G922*H922,2)</f>
        <v>573.19</v>
      </c>
      <c r="M922" s="52" t="n">
        <f aca="false">IF(AND(C922="Sales",F922="Standard-rated 5%"),L922,0)</f>
        <v>0</v>
      </c>
      <c r="N922" s="52" t="n">
        <f aca="false">IF(F922="Reverse charge (imported services)",L922,0)</f>
        <v>0</v>
      </c>
      <c r="O922" s="52" t="n">
        <f aca="false">IF(C922&lt;&gt;"Purchase",0,IF(OR(I922="N",F922="Blocked input (entertainment)"),0,L922))</f>
        <v>573.19</v>
      </c>
      <c r="P922" s="52" t="n">
        <f aca="false">IF(C922&lt;&gt;"Purchase",0,L922-O922)</f>
        <v>0</v>
      </c>
      <c r="Q922" s="53" t="n">
        <f aca="false">J922-B922</f>
        <v>0</v>
      </c>
      <c r="R922" s="51" t="str">
        <f aca="false">IF(I922="N","Invalid / missing TRN",IF(F922="Blocked input (entertainment)","Blocked input",IF(Q922&gt;30,"Late posting (&gt;30d)","")))</f>
        <v/>
      </c>
    </row>
    <row r="923" customFormat="false" ht="15" hidden="false" customHeight="false" outlineLevel="0" collapsed="false">
      <c r="A923" s="47" t="s">
        <v>1209</v>
      </c>
      <c r="B923" s="48" t="n">
        <v>45920</v>
      </c>
      <c r="C923" s="47" t="s">
        <v>166</v>
      </c>
      <c r="D923" s="47" t="s">
        <v>304</v>
      </c>
      <c r="E923" s="47" t="s">
        <v>100</v>
      </c>
      <c r="F923" s="47" t="s">
        <v>170</v>
      </c>
      <c r="G923" s="49" t="n">
        <v>17488.58</v>
      </c>
      <c r="H923" s="50" t="n">
        <v>0.05</v>
      </c>
      <c r="I923" s="47" t="s">
        <v>162</v>
      </c>
      <c r="J923" s="48" t="n">
        <v>45920</v>
      </c>
      <c r="K923" s="51" t="str">
        <f aca="false">"Q"&amp;ROUNDUP(MONTH(B923)/3,0)</f>
        <v>Q3</v>
      </c>
      <c r="L923" s="52" t="n">
        <f aca="false">ROUND(G923*H923,2)</f>
        <v>874.43</v>
      </c>
      <c r="M923" s="52" t="n">
        <f aca="false">IF(AND(C923="Sales",F923="Standard-rated 5%"),L923,0)</f>
        <v>0</v>
      </c>
      <c r="N923" s="52" t="n">
        <f aca="false">IF(F923="Reverse charge (imported services)",L923,0)</f>
        <v>0</v>
      </c>
      <c r="O923" s="52" t="n">
        <f aca="false">IF(C923&lt;&gt;"Purchase",0,IF(OR(I923="N",F923="Blocked input (entertainment)"),0,L923))</f>
        <v>0</v>
      </c>
      <c r="P923" s="52" t="n">
        <f aca="false">IF(C923&lt;&gt;"Purchase",0,L923-O923)</f>
        <v>874.43</v>
      </c>
      <c r="Q923" s="53" t="n">
        <f aca="false">J923-B923</f>
        <v>0</v>
      </c>
      <c r="R923" s="51" t="str">
        <f aca="false">IF(I923="N","Invalid / missing TRN",IF(F923="Blocked input (entertainment)","Blocked input",IF(Q923&gt;30,"Late posting (&gt;30d)","")))</f>
        <v>Blocked input</v>
      </c>
    </row>
    <row r="924" customFormat="false" ht="15" hidden="false" customHeight="false" outlineLevel="0" collapsed="false">
      <c r="A924" s="47" t="s">
        <v>1210</v>
      </c>
      <c r="B924" s="48" t="n">
        <v>45921</v>
      </c>
      <c r="C924" s="47" t="s">
        <v>166</v>
      </c>
      <c r="D924" s="47" t="s">
        <v>196</v>
      </c>
      <c r="E924" s="47" t="s">
        <v>100</v>
      </c>
      <c r="F924" s="47" t="s">
        <v>173</v>
      </c>
      <c r="G924" s="49" t="n">
        <v>22977.75</v>
      </c>
      <c r="H924" s="50" t="n">
        <v>0.05</v>
      </c>
      <c r="I924" s="47" t="s">
        <v>162</v>
      </c>
      <c r="J924" s="48" t="n">
        <v>45921</v>
      </c>
      <c r="K924" s="51" t="str">
        <f aca="false">"Q"&amp;ROUNDUP(MONTH(B924)/3,0)</f>
        <v>Q3</v>
      </c>
      <c r="L924" s="52" t="n">
        <f aca="false">ROUND(G924*H924,2)</f>
        <v>1148.89</v>
      </c>
      <c r="M924" s="52" t="n">
        <f aca="false">IF(AND(C924="Sales",F924="Standard-rated 5%"),L924,0)</f>
        <v>0</v>
      </c>
      <c r="N924" s="52" t="n">
        <f aca="false">IF(F924="Reverse charge (imported services)",L924,0)</f>
        <v>1148.89</v>
      </c>
      <c r="O924" s="52" t="n">
        <f aca="false">IF(C924&lt;&gt;"Purchase",0,IF(OR(I924="N",F924="Blocked input (entertainment)"),0,L924))</f>
        <v>1148.89</v>
      </c>
      <c r="P924" s="52" t="n">
        <f aca="false">IF(C924&lt;&gt;"Purchase",0,L924-O924)</f>
        <v>0</v>
      </c>
      <c r="Q924" s="53" t="n">
        <f aca="false">J924-B924</f>
        <v>0</v>
      </c>
      <c r="R924" s="51" t="str">
        <f aca="false">IF(I924="N","Invalid / missing TRN",IF(F924="Blocked input (entertainment)","Blocked input",IF(Q924&gt;30,"Late posting (&gt;30d)","")))</f>
        <v/>
      </c>
    </row>
    <row r="925" customFormat="false" ht="15" hidden="false" customHeight="false" outlineLevel="0" collapsed="false">
      <c r="A925" s="47" t="s">
        <v>1211</v>
      </c>
      <c r="B925" s="48" t="n">
        <v>45921</v>
      </c>
      <c r="C925" s="47" t="s">
        <v>159</v>
      </c>
      <c r="D925" s="47" t="s">
        <v>581</v>
      </c>
      <c r="E925" s="47" t="s">
        <v>102</v>
      </c>
      <c r="F925" s="47" t="s">
        <v>161</v>
      </c>
      <c r="G925" s="49" t="n">
        <v>51028.05</v>
      </c>
      <c r="H925" s="50" t="n">
        <v>0.05</v>
      </c>
      <c r="I925" s="47" t="s">
        <v>162</v>
      </c>
      <c r="J925" s="48" t="n">
        <v>45921</v>
      </c>
      <c r="K925" s="51" t="str">
        <f aca="false">"Q"&amp;ROUNDUP(MONTH(B925)/3,0)</f>
        <v>Q3</v>
      </c>
      <c r="L925" s="52" t="n">
        <f aca="false">ROUND(G925*H925,2)</f>
        <v>2551.4</v>
      </c>
      <c r="M925" s="52" t="n">
        <f aca="false">IF(AND(C925="Sales",F925="Standard-rated 5%"),L925,0)</f>
        <v>2551.4</v>
      </c>
      <c r="N925" s="52" t="n">
        <f aca="false">IF(F925="Reverse charge (imported services)",L925,0)</f>
        <v>0</v>
      </c>
      <c r="O925" s="52" t="n">
        <f aca="false">IF(C925&lt;&gt;"Purchase",0,IF(OR(I925="N",F925="Blocked input (entertainment)"),0,L925))</f>
        <v>0</v>
      </c>
      <c r="P925" s="52" t="n">
        <f aca="false">IF(C925&lt;&gt;"Purchase",0,L925-O925)</f>
        <v>0</v>
      </c>
      <c r="Q925" s="53" t="n">
        <f aca="false">J925-B925</f>
        <v>0</v>
      </c>
      <c r="R925" s="51" t="str">
        <f aca="false">IF(I925="N","Invalid / missing TRN",IF(F925="Blocked input (entertainment)","Blocked input",IF(Q925&gt;30,"Late posting (&gt;30d)","")))</f>
        <v/>
      </c>
    </row>
    <row r="926" customFormat="false" ht="15" hidden="false" customHeight="false" outlineLevel="0" collapsed="false">
      <c r="A926" s="47" t="s">
        <v>1212</v>
      </c>
      <c r="B926" s="48" t="n">
        <v>45921</v>
      </c>
      <c r="C926" s="47" t="s">
        <v>159</v>
      </c>
      <c r="D926" s="47" t="s">
        <v>317</v>
      </c>
      <c r="E926" s="47" t="s">
        <v>100</v>
      </c>
      <c r="F926" s="47" t="s">
        <v>161</v>
      </c>
      <c r="G926" s="49" t="n">
        <v>23040.39</v>
      </c>
      <c r="H926" s="50" t="n">
        <v>0.05</v>
      </c>
      <c r="I926" s="47" t="s">
        <v>162</v>
      </c>
      <c r="J926" s="48" t="n">
        <v>45923</v>
      </c>
      <c r="K926" s="51" t="str">
        <f aca="false">"Q"&amp;ROUNDUP(MONTH(B926)/3,0)</f>
        <v>Q3</v>
      </c>
      <c r="L926" s="52" t="n">
        <f aca="false">ROUND(G926*H926,2)</f>
        <v>1152.02</v>
      </c>
      <c r="M926" s="52" t="n">
        <f aca="false">IF(AND(C926="Sales",F926="Standard-rated 5%"),L926,0)</f>
        <v>1152.02</v>
      </c>
      <c r="N926" s="52" t="n">
        <f aca="false">IF(F926="Reverse charge (imported services)",L926,0)</f>
        <v>0</v>
      </c>
      <c r="O926" s="52" t="n">
        <f aca="false">IF(C926&lt;&gt;"Purchase",0,IF(OR(I926="N",F926="Blocked input (entertainment)"),0,L926))</f>
        <v>0</v>
      </c>
      <c r="P926" s="52" t="n">
        <f aca="false">IF(C926&lt;&gt;"Purchase",0,L926-O926)</f>
        <v>0</v>
      </c>
      <c r="Q926" s="53" t="n">
        <f aca="false">J926-B926</f>
        <v>2</v>
      </c>
      <c r="R926" s="51" t="str">
        <f aca="false">IF(I926="N","Invalid / missing TRN",IF(F926="Blocked input (entertainment)","Blocked input",IF(Q926&gt;30,"Late posting (&gt;30d)","")))</f>
        <v/>
      </c>
    </row>
    <row r="927" customFormat="false" ht="15" hidden="false" customHeight="false" outlineLevel="0" collapsed="false">
      <c r="A927" s="47" t="s">
        <v>1213</v>
      </c>
      <c r="B927" s="48" t="n">
        <v>45922</v>
      </c>
      <c r="C927" s="47" t="s">
        <v>166</v>
      </c>
      <c r="D927" s="47" t="s">
        <v>190</v>
      </c>
      <c r="E927" s="47" t="s">
        <v>100</v>
      </c>
      <c r="F927" s="47" t="s">
        <v>161</v>
      </c>
      <c r="G927" s="49" t="n">
        <v>17830.64</v>
      </c>
      <c r="H927" s="50" t="n">
        <v>0.05</v>
      </c>
      <c r="I927" s="47" t="s">
        <v>162</v>
      </c>
      <c r="J927" s="48" t="n">
        <v>45923</v>
      </c>
      <c r="K927" s="51" t="str">
        <f aca="false">"Q"&amp;ROUNDUP(MONTH(B927)/3,0)</f>
        <v>Q3</v>
      </c>
      <c r="L927" s="52" t="n">
        <f aca="false">ROUND(G927*H927,2)</f>
        <v>891.53</v>
      </c>
      <c r="M927" s="52" t="n">
        <f aca="false">IF(AND(C927="Sales",F927="Standard-rated 5%"),L927,0)</f>
        <v>0</v>
      </c>
      <c r="N927" s="52" t="n">
        <f aca="false">IF(F927="Reverse charge (imported services)",L927,0)</f>
        <v>0</v>
      </c>
      <c r="O927" s="52" t="n">
        <f aca="false">IF(C927&lt;&gt;"Purchase",0,IF(OR(I927="N",F927="Blocked input (entertainment)"),0,L927))</f>
        <v>891.53</v>
      </c>
      <c r="P927" s="52" t="n">
        <f aca="false">IF(C927&lt;&gt;"Purchase",0,L927-O927)</f>
        <v>0</v>
      </c>
      <c r="Q927" s="53" t="n">
        <f aca="false">J927-B927</f>
        <v>1</v>
      </c>
      <c r="R927" s="51" t="str">
        <f aca="false">IF(I927="N","Invalid / missing TRN",IF(F927="Blocked input (entertainment)","Blocked input",IF(Q927&gt;30,"Late posting (&gt;30d)","")))</f>
        <v/>
      </c>
    </row>
    <row r="928" customFormat="false" ht="15" hidden="false" customHeight="false" outlineLevel="0" collapsed="false">
      <c r="A928" s="47" t="s">
        <v>1214</v>
      </c>
      <c r="B928" s="48" t="n">
        <v>45922</v>
      </c>
      <c r="C928" s="47" t="s">
        <v>166</v>
      </c>
      <c r="D928" s="47" t="s">
        <v>221</v>
      </c>
      <c r="E928" s="47" t="s">
        <v>100</v>
      </c>
      <c r="F928" s="47" t="s">
        <v>161</v>
      </c>
      <c r="G928" s="49" t="n">
        <v>200566.49</v>
      </c>
      <c r="H928" s="50" t="n">
        <v>0.05</v>
      </c>
      <c r="I928" s="47" t="s">
        <v>162</v>
      </c>
      <c r="J928" s="48" t="n">
        <v>45922</v>
      </c>
      <c r="K928" s="51" t="str">
        <f aca="false">"Q"&amp;ROUNDUP(MONTH(B928)/3,0)</f>
        <v>Q3</v>
      </c>
      <c r="L928" s="52" t="n">
        <f aca="false">ROUND(G928*H928,2)</f>
        <v>10028.32</v>
      </c>
      <c r="M928" s="52" t="n">
        <f aca="false">IF(AND(C928="Sales",F928="Standard-rated 5%"),L928,0)</f>
        <v>0</v>
      </c>
      <c r="N928" s="52" t="n">
        <f aca="false">IF(F928="Reverse charge (imported services)",L928,0)</f>
        <v>0</v>
      </c>
      <c r="O928" s="52" t="n">
        <f aca="false">IF(C928&lt;&gt;"Purchase",0,IF(OR(I928="N",F928="Blocked input (entertainment)"),0,L928))</f>
        <v>10028.32</v>
      </c>
      <c r="P928" s="52" t="n">
        <f aca="false">IF(C928&lt;&gt;"Purchase",0,L928-O928)</f>
        <v>0</v>
      </c>
      <c r="Q928" s="53" t="n">
        <f aca="false">J928-B928</f>
        <v>0</v>
      </c>
      <c r="R928" s="51" t="str">
        <f aca="false">IF(I928="N","Invalid / missing TRN",IF(F928="Blocked input (entertainment)","Blocked input",IF(Q928&gt;30,"Late posting (&gt;30d)","")))</f>
        <v/>
      </c>
    </row>
    <row r="929" customFormat="false" ht="15" hidden="false" customHeight="false" outlineLevel="0" collapsed="false">
      <c r="A929" s="47" t="s">
        <v>1215</v>
      </c>
      <c r="B929" s="48" t="n">
        <v>45922</v>
      </c>
      <c r="C929" s="47" t="s">
        <v>159</v>
      </c>
      <c r="D929" s="47" t="s">
        <v>175</v>
      </c>
      <c r="E929" s="47" t="s">
        <v>100</v>
      </c>
      <c r="F929" s="47" t="s">
        <v>161</v>
      </c>
      <c r="G929" s="49" t="n">
        <v>81100.24</v>
      </c>
      <c r="H929" s="50" t="n">
        <v>0.05</v>
      </c>
      <c r="I929" s="47" t="s">
        <v>162</v>
      </c>
      <c r="J929" s="48" t="n">
        <v>45922</v>
      </c>
      <c r="K929" s="51" t="str">
        <f aca="false">"Q"&amp;ROUNDUP(MONTH(B929)/3,0)</f>
        <v>Q3</v>
      </c>
      <c r="L929" s="52" t="n">
        <f aca="false">ROUND(G929*H929,2)</f>
        <v>4055.01</v>
      </c>
      <c r="M929" s="52" t="n">
        <f aca="false">IF(AND(C929="Sales",F929="Standard-rated 5%"),L929,0)</f>
        <v>4055.01</v>
      </c>
      <c r="N929" s="52" t="n">
        <f aca="false">IF(F929="Reverse charge (imported services)",L929,0)</f>
        <v>0</v>
      </c>
      <c r="O929" s="52" t="n">
        <f aca="false">IF(C929&lt;&gt;"Purchase",0,IF(OR(I929="N",F929="Blocked input (entertainment)"),0,L929))</f>
        <v>0</v>
      </c>
      <c r="P929" s="52" t="n">
        <f aca="false">IF(C929&lt;&gt;"Purchase",0,L929-O929)</f>
        <v>0</v>
      </c>
      <c r="Q929" s="53" t="n">
        <f aca="false">J929-B929</f>
        <v>0</v>
      </c>
      <c r="R929" s="51" t="str">
        <f aca="false">IF(I929="N","Invalid / missing TRN",IF(F929="Blocked input (entertainment)","Blocked input",IF(Q929&gt;30,"Late posting (&gt;30d)","")))</f>
        <v/>
      </c>
    </row>
    <row r="930" customFormat="false" ht="15" hidden="false" customHeight="false" outlineLevel="0" collapsed="false">
      <c r="A930" s="47" t="s">
        <v>1216</v>
      </c>
      <c r="B930" s="48" t="n">
        <v>45923</v>
      </c>
      <c r="C930" s="47" t="s">
        <v>166</v>
      </c>
      <c r="D930" s="47" t="s">
        <v>466</v>
      </c>
      <c r="E930" s="47" t="s">
        <v>101</v>
      </c>
      <c r="F930" s="47" t="s">
        <v>173</v>
      </c>
      <c r="G930" s="49" t="n">
        <v>56377.52</v>
      </c>
      <c r="H930" s="50" t="n">
        <v>0.05</v>
      </c>
      <c r="I930" s="47" t="s">
        <v>162</v>
      </c>
      <c r="J930" s="48" t="n">
        <v>45923</v>
      </c>
      <c r="K930" s="51" t="str">
        <f aca="false">"Q"&amp;ROUNDUP(MONTH(B930)/3,0)</f>
        <v>Q3</v>
      </c>
      <c r="L930" s="52" t="n">
        <f aca="false">ROUND(G930*H930,2)</f>
        <v>2818.88</v>
      </c>
      <c r="M930" s="52" t="n">
        <f aca="false">IF(AND(C930="Sales",F930="Standard-rated 5%"),L930,0)</f>
        <v>0</v>
      </c>
      <c r="N930" s="52" t="n">
        <f aca="false">IF(F930="Reverse charge (imported services)",L930,0)</f>
        <v>2818.88</v>
      </c>
      <c r="O930" s="52" t="n">
        <f aca="false">IF(C930&lt;&gt;"Purchase",0,IF(OR(I930="N",F930="Blocked input (entertainment)"),0,L930))</f>
        <v>2818.88</v>
      </c>
      <c r="P930" s="52" t="n">
        <f aca="false">IF(C930&lt;&gt;"Purchase",0,L930-O930)</f>
        <v>0</v>
      </c>
      <c r="Q930" s="53" t="n">
        <f aca="false">J930-B930</f>
        <v>0</v>
      </c>
      <c r="R930" s="51" t="str">
        <f aca="false">IF(I930="N","Invalid / missing TRN",IF(F930="Blocked input (entertainment)","Blocked input",IF(Q930&gt;30,"Late posting (&gt;30d)","")))</f>
        <v/>
      </c>
    </row>
    <row r="931" customFormat="false" ht="15" hidden="false" customHeight="false" outlineLevel="0" collapsed="false">
      <c r="A931" s="47" t="s">
        <v>1217</v>
      </c>
      <c r="B931" s="48" t="n">
        <v>45923</v>
      </c>
      <c r="C931" s="47" t="s">
        <v>166</v>
      </c>
      <c r="D931" s="47" t="s">
        <v>643</v>
      </c>
      <c r="E931" s="47" t="s">
        <v>101</v>
      </c>
      <c r="F931" s="47" t="s">
        <v>161</v>
      </c>
      <c r="G931" s="49" t="n">
        <v>17092.06</v>
      </c>
      <c r="H931" s="50" t="n">
        <v>0.05</v>
      </c>
      <c r="I931" s="47" t="s">
        <v>162</v>
      </c>
      <c r="J931" s="48" t="n">
        <v>45923</v>
      </c>
      <c r="K931" s="51" t="str">
        <f aca="false">"Q"&amp;ROUNDUP(MONTH(B931)/3,0)</f>
        <v>Q3</v>
      </c>
      <c r="L931" s="52" t="n">
        <f aca="false">ROUND(G931*H931,2)</f>
        <v>854.6</v>
      </c>
      <c r="M931" s="52" t="n">
        <f aca="false">IF(AND(C931="Sales",F931="Standard-rated 5%"),L931,0)</f>
        <v>0</v>
      </c>
      <c r="N931" s="52" t="n">
        <f aca="false">IF(F931="Reverse charge (imported services)",L931,0)</f>
        <v>0</v>
      </c>
      <c r="O931" s="52" t="n">
        <f aca="false">IF(C931&lt;&gt;"Purchase",0,IF(OR(I931="N",F931="Blocked input (entertainment)"),0,L931))</f>
        <v>854.6</v>
      </c>
      <c r="P931" s="52" t="n">
        <f aca="false">IF(C931&lt;&gt;"Purchase",0,L931-O931)</f>
        <v>0</v>
      </c>
      <c r="Q931" s="53" t="n">
        <f aca="false">J931-B931</f>
        <v>0</v>
      </c>
      <c r="R931" s="51" t="str">
        <f aca="false">IF(I931="N","Invalid / missing TRN",IF(F931="Blocked input (entertainment)","Blocked input",IF(Q931&gt;30,"Late posting (&gt;30d)","")))</f>
        <v/>
      </c>
    </row>
    <row r="932" customFormat="false" ht="15" hidden="false" customHeight="false" outlineLevel="0" collapsed="false">
      <c r="A932" s="47" t="s">
        <v>1218</v>
      </c>
      <c r="B932" s="48" t="n">
        <v>45923</v>
      </c>
      <c r="C932" s="47" t="s">
        <v>166</v>
      </c>
      <c r="D932" s="47" t="s">
        <v>557</v>
      </c>
      <c r="E932" s="47" t="s">
        <v>102</v>
      </c>
      <c r="F932" s="47" t="s">
        <v>161</v>
      </c>
      <c r="G932" s="49" t="n">
        <v>11166.13</v>
      </c>
      <c r="H932" s="50" t="n">
        <v>0.05</v>
      </c>
      <c r="I932" s="47" t="s">
        <v>162</v>
      </c>
      <c r="J932" s="48" t="n">
        <v>45923</v>
      </c>
      <c r="K932" s="51" t="str">
        <f aca="false">"Q"&amp;ROUNDUP(MONTH(B932)/3,0)</f>
        <v>Q3</v>
      </c>
      <c r="L932" s="52" t="n">
        <f aca="false">ROUND(G932*H932,2)</f>
        <v>558.31</v>
      </c>
      <c r="M932" s="52" t="n">
        <f aca="false">IF(AND(C932="Sales",F932="Standard-rated 5%"),L932,0)</f>
        <v>0</v>
      </c>
      <c r="N932" s="52" t="n">
        <f aca="false">IF(F932="Reverse charge (imported services)",L932,0)</f>
        <v>0</v>
      </c>
      <c r="O932" s="52" t="n">
        <f aca="false">IF(C932&lt;&gt;"Purchase",0,IF(OR(I932="N",F932="Blocked input (entertainment)"),0,L932))</f>
        <v>558.31</v>
      </c>
      <c r="P932" s="52" t="n">
        <f aca="false">IF(C932&lt;&gt;"Purchase",0,L932-O932)</f>
        <v>0</v>
      </c>
      <c r="Q932" s="53" t="n">
        <f aca="false">J932-B932</f>
        <v>0</v>
      </c>
      <c r="R932" s="51" t="str">
        <f aca="false">IF(I932="N","Invalid / missing TRN",IF(F932="Blocked input (entertainment)","Blocked input",IF(Q932&gt;30,"Late posting (&gt;30d)","")))</f>
        <v/>
      </c>
    </row>
    <row r="933" customFormat="false" ht="15" hidden="false" customHeight="false" outlineLevel="0" collapsed="false">
      <c r="A933" s="47" t="s">
        <v>1219</v>
      </c>
      <c r="B933" s="48" t="n">
        <v>45923</v>
      </c>
      <c r="C933" s="47" t="s">
        <v>166</v>
      </c>
      <c r="D933" s="47" t="s">
        <v>188</v>
      </c>
      <c r="E933" s="47" t="s">
        <v>101</v>
      </c>
      <c r="F933" s="47" t="s">
        <v>161</v>
      </c>
      <c r="G933" s="49" t="n">
        <v>14370.24</v>
      </c>
      <c r="H933" s="50" t="n">
        <v>0.05</v>
      </c>
      <c r="I933" s="47" t="s">
        <v>162</v>
      </c>
      <c r="J933" s="48" t="n">
        <v>45923</v>
      </c>
      <c r="K933" s="51" t="str">
        <f aca="false">"Q"&amp;ROUNDUP(MONTH(B933)/3,0)</f>
        <v>Q3</v>
      </c>
      <c r="L933" s="52" t="n">
        <f aca="false">ROUND(G933*H933,2)</f>
        <v>718.51</v>
      </c>
      <c r="M933" s="52" t="n">
        <f aca="false">IF(AND(C933="Sales",F933="Standard-rated 5%"),L933,0)</f>
        <v>0</v>
      </c>
      <c r="N933" s="52" t="n">
        <f aca="false">IF(F933="Reverse charge (imported services)",L933,0)</f>
        <v>0</v>
      </c>
      <c r="O933" s="52" t="n">
        <f aca="false">IF(C933&lt;&gt;"Purchase",0,IF(OR(I933="N",F933="Blocked input (entertainment)"),0,L933))</f>
        <v>718.51</v>
      </c>
      <c r="P933" s="52" t="n">
        <f aca="false">IF(C933&lt;&gt;"Purchase",0,L933-O933)</f>
        <v>0</v>
      </c>
      <c r="Q933" s="53" t="n">
        <f aca="false">J933-B933</f>
        <v>0</v>
      </c>
      <c r="R933" s="51" t="str">
        <f aca="false">IF(I933="N","Invalid / missing TRN",IF(F933="Blocked input (entertainment)","Blocked input",IF(Q933&gt;30,"Late posting (&gt;30d)","")))</f>
        <v/>
      </c>
    </row>
    <row r="934" customFormat="false" ht="15" hidden="false" customHeight="false" outlineLevel="0" collapsed="false">
      <c r="A934" s="47" t="s">
        <v>1220</v>
      </c>
      <c r="B934" s="48" t="n">
        <v>45923</v>
      </c>
      <c r="C934" s="47" t="s">
        <v>159</v>
      </c>
      <c r="D934" s="47" t="s">
        <v>175</v>
      </c>
      <c r="E934" s="47" t="s">
        <v>101</v>
      </c>
      <c r="F934" s="47" t="s">
        <v>161</v>
      </c>
      <c r="G934" s="49" t="n">
        <v>23411.74</v>
      </c>
      <c r="H934" s="50" t="n">
        <v>0.05</v>
      </c>
      <c r="I934" s="47" t="s">
        <v>162</v>
      </c>
      <c r="J934" s="48" t="n">
        <v>45923</v>
      </c>
      <c r="K934" s="51" t="str">
        <f aca="false">"Q"&amp;ROUNDUP(MONTH(B934)/3,0)</f>
        <v>Q3</v>
      </c>
      <c r="L934" s="52" t="n">
        <f aca="false">ROUND(G934*H934,2)</f>
        <v>1170.59</v>
      </c>
      <c r="M934" s="52" t="n">
        <f aca="false">IF(AND(C934="Sales",F934="Standard-rated 5%"),L934,0)</f>
        <v>1170.59</v>
      </c>
      <c r="N934" s="52" t="n">
        <f aca="false">IF(F934="Reverse charge (imported services)",L934,0)</f>
        <v>0</v>
      </c>
      <c r="O934" s="52" t="n">
        <f aca="false">IF(C934&lt;&gt;"Purchase",0,IF(OR(I934="N",F934="Blocked input (entertainment)"),0,L934))</f>
        <v>0</v>
      </c>
      <c r="P934" s="52" t="n">
        <f aca="false">IF(C934&lt;&gt;"Purchase",0,L934-O934)</f>
        <v>0</v>
      </c>
      <c r="Q934" s="53" t="n">
        <f aca="false">J934-B934</f>
        <v>0</v>
      </c>
      <c r="R934" s="51" t="str">
        <f aca="false">IF(I934="N","Invalid / missing TRN",IF(F934="Blocked input (entertainment)","Blocked input",IF(Q934&gt;30,"Late posting (&gt;30d)","")))</f>
        <v/>
      </c>
    </row>
    <row r="935" customFormat="false" ht="15" hidden="false" customHeight="false" outlineLevel="0" collapsed="false">
      <c r="A935" s="47" t="s">
        <v>1221</v>
      </c>
      <c r="B935" s="48" t="n">
        <v>45924</v>
      </c>
      <c r="C935" s="47" t="s">
        <v>159</v>
      </c>
      <c r="D935" s="47" t="s">
        <v>243</v>
      </c>
      <c r="E935" s="47" t="s">
        <v>103</v>
      </c>
      <c r="F935" s="47" t="s">
        <v>278</v>
      </c>
      <c r="G935" s="49" t="n">
        <v>28583.3</v>
      </c>
      <c r="H935" s="50" t="n">
        <v>0</v>
      </c>
      <c r="I935" s="47" t="s">
        <v>162</v>
      </c>
      <c r="J935" s="48" t="n">
        <v>45924</v>
      </c>
      <c r="K935" s="51" t="str">
        <f aca="false">"Q"&amp;ROUNDUP(MONTH(B935)/3,0)</f>
        <v>Q3</v>
      </c>
      <c r="L935" s="52" t="n">
        <f aca="false">ROUND(G935*H935,2)</f>
        <v>0</v>
      </c>
      <c r="M935" s="52" t="n">
        <f aca="false">IF(AND(C935="Sales",F935="Standard-rated 5%"),L935,0)</f>
        <v>0</v>
      </c>
      <c r="N935" s="52" t="n">
        <f aca="false">IF(F935="Reverse charge (imported services)",L935,0)</f>
        <v>0</v>
      </c>
      <c r="O935" s="52" t="n">
        <f aca="false">IF(C935&lt;&gt;"Purchase",0,IF(OR(I935="N",F935="Blocked input (entertainment)"),0,L935))</f>
        <v>0</v>
      </c>
      <c r="P935" s="52" t="n">
        <f aca="false">IF(C935&lt;&gt;"Purchase",0,L935-O935)</f>
        <v>0</v>
      </c>
      <c r="Q935" s="53" t="n">
        <f aca="false">J935-B935</f>
        <v>0</v>
      </c>
      <c r="R935" s="51" t="str">
        <f aca="false">IF(I935="N","Invalid / missing TRN",IF(F935="Blocked input (entertainment)","Blocked input",IF(Q935&gt;30,"Late posting (&gt;30d)","")))</f>
        <v/>
      </c>
    </row>
    <row r="936" customFormat="false" ht="15" hidden="false" customHeight="false" outlineLevel="0" collapsed="false">
      <c r="A936" s="47" t="s">
        <v>1222</v>
      </c>
      <c r="B936" s="48" t="n">
        <v>45925</v>
      </c>
      <c r="C936" s="47" t="s">
        <v>159</v>
      </c>
      <c r="D936" s="47" t="s">
        <v>428</v>
      </c>
      <c r="E936" s="47" t="s">
        <v>100</v>
      </c>
      <c r="F936" s="47" t="s">
        <v>161</v>
      </c>
      <c r="G936" s="49" t="n">
        <v>22866.87</v>
      </c>
      <c r="H936" s="50" t="n">
        <v>0.05</v>
      </c>
      <c r="I936" s="47" t="s">
        <v>162</v>
      </c>
      <c r="J936" s="48" t="n">
        <v>45925</v>
      </c>
      <c r="K936" s="51" t="str">
        <f aca="false">"Q"&amp;ROUNDUP(MONTH(B936)/3,0)</f>
        <v>Q3</v>
      </c>
      <c r="L936" s="52" t="n">
        <f aca="false">ROUND(G936*H936,2)</f>
        <v>1143.34</v>
      </c>
      <c r="M936" s="52" t="n">
        <f aca="false">IF(AND(C936="Sales",F936="Standard-rated 5%"),L936,0)</f>
        <v>1143.34</v>
      </c>
      <c r="N936" s="52" t="n">
        <f aca="false">IF(F936="Reverse charge (imported services)",L936,0)</f>
        <v>0</v>
      </c>
      <c r="O936" s="52" t="n">
        <f aca="false">IF(C936&lt;&gt;"Purchase",0,IF(OR(I936="N",F936="Blocked input (entertainment)"),0,L936))</f>
        <v>0</v>
      </c>
      <c r="P936" s="52" t="n">
        <f aca="false">IF(C936&lt;&gt;"Purchase",0,L936-O936)</f>
        <v>0</v>
      </c>
      <c r="Q936" s="53" t="n">
        <f aca="false">J936-B936</f>
        <v>0</v>
      </c>
      <c r="R936" s="51" t="str">
        <f aca="false">IF(I936="N","Invalid / missing TRN",IF(F936="Blocked input (entertainment)","Blocked input",IF(Q936&gt;30,"Late posting (&gt;30d)","")))</f>
        <v/>
      </c>
    </row>
    <row r="937" customFormat="false" ht="15" hidden="false" customHeight="false" outlineLevel="0" collapsed="false">
      <c r="A937" s="47" t="s">
        <v>1223</v>
      </c>
      <c r="B937" s="48" t="n">
        <v>45925</v>
      </c>
      <c r="C937" s="47" t="s">
        <v>159</v>
      </c>
      <c r="D937" s="47" t="s">
        <v>317</v>
      </c>
      <c r="E937" s="47" t="s">
        <v>100</v>
      </c>
      <c r="F937" s="47" t="s">
        <v>161</v>
      </c>
      <c r="G937" s="49" t="n">
        <v>15846.05</v>
      </c>
      <c r="H937" s="50" t="n">
        <v>0.05</v>
      </c>
      <c r="I937" s="47" t="s">
        <v>162</v>
      </c>
      <c r="J937" s="48" t="n">
        <v>45925</v>
      </c>
      <c r="K937" s="51" t="str">
        <f aca="false">"Q"&amp;ROUNDUP(MONTH(B937)/3,0)</f>
        <v>Q3</v>
      </c>
      <c r="L937" s="52" t="n">
        <f aca="false">ROUND(G937*H937,2)</f>
        <v>792.3</v>
      </c>
      <c r="M937" s="52" t="n">
        <f aca="false">IF(AND(C937="Sales",F937="Standard-rated 5%"),L937,0)</f>
        <v>792.3</v>
      </c>
      <c r="N937" s="52" t="n">
        <f aca="false">IF(F937="Reverse charge (imported services)",L937,0)</f>
        <v>0</v>
      </c>
      <c r="O937" s="52" t="n">
        <f aca="false">IF(C937&lt;&gt;"Purchase",0,IF(OR(I937="N",F937="Blocked input (entertainment)"),0,L937))</f>
        <v>0</v>
      </c>
      <c r="P937" s="52" t="n">
        <f aca="false">IF(C937&lt;&gt;"Purchase",0,L937-O937)</f>
        <v>0</v>
      </c>
      <c r="Q937" s="53" t="n">
        <f aca="false">J937-B937</f>
        <v>0</v>
      </c>
      <c r="R937" s="51" t="str">
        <f aca="false">IF(I937="N","Invalid / missing TRN",IF(F937="Blocked input (entertainment)","Blocked input",IF(Q937&gt;30,"Late posting (&gt;30d)","")))</f>
        <v/>
      </c>
    </row>
    <row r="938" customFormat="false" ht="15" hidden="false" customHeight="false" outlineLevel="0" collapsed="false">
      <c r="A938" s="47" t="s">
        <v>1224</v>
      </c>
      <c r="B938" s="48" t="n">
        <v>45925</v>
      </c>
      <c r="C938" s="47" t="s">
        <v>159</v>
      </c>
      <c r="D938" s="47" t="s">
        <v>428</v>
      </c>
      <c r="E938" s="47" t="s">
        <v>101</v>
      </c>
      <c r="F938" s="47" t="s">
        <v>278</v>
      </c>
      <c r="G938" s="49" t="n">
        <v>26745.36</v>
      </c>
      <c r="H938" s="50" t="n">
        <v>0</v>
      </c>
      <c r="I938" s="47" t="s">
        <v>162</v>
      </c>
      <c r="J938" s="48" t="n">
        <v>45925</v>
      </c>
      <c r="K938" s="51" t="str">
        <f aca="false">"Q"&amp;ROUNDUP(MONTH(B938)/3,0)</f>
        <v>Q3</v>
      </c>
      <c r="L938" s="52" t="n">
        <f aca="false">ROUND(G938*H938,2)</f>
        <v>0</v>
      </c>
      <c r="M938" s="52" t="n">
        <f aca="false">IF(AND(C938="Sales",F938="Standard-rated 5%"),L938,0)</f>
        <v>0</v>
      </c>
      <c r="N938" s="52" t="n">
        <f aca="false">IF(F938="Reverse charge (imported services)",L938,0)</f>
        <v>0</v>
      </c>
      <c r="O938" s="52" t="n">
        <f aca="false">IF(C938&lt;&gt;"Purchase",0,IF(OR(I938="N",F938="Blocked input (entertainment)"),0,L938))</f>
        <v>0</v>
      </c>
      <c r="P938" s="52" t="n">
        <f aca="false">IF(C938&lt;&gt;"Purchase",0,L938-O938)</f>
        <v>0</v>
      </c>
      <c r="Q938" s="53" t="n">
        <f aca="false">J938-B938</f>
        <v>0</v>
      </c>
      <c r="R938" s="51" t="str">
        <f aca="false">IF(I938="N","Invalid / missing TRN",IF(F938="Blocked input (entertainment)","Blocked input",IF(Q938&gt;30,"Late posting (&gt;30d)","")))</f>
        <v/>
      </c>
    </row>
    <row r="939" customFormat="false" ht="15" hidden="false" customHeight="false" outlineLevel="0" collapsed="false">
      <c r="A939" s="47" t="s">
        <v>1225</v>
      </c>
      <c r="B939" s="48" t="n">
        <v>45926</v>
      </c>
      <c r="C939" s="47" t="s">
        <v>166</v>
      </c>
      <c r="D939" s="47" t="s">
        <v>514</v>
      </c>
      <c r="E939" s="47" t="s">
        <v>102</v>
      </c>
      <c r="F939" s="47" t="s">
        <v>161</v>
      </c>
      <c r="G939" s="49" t="n">
        <v>95549.43</v>
      </c>
      <c r="H939" s="50" t="n">
        <v>0.05</v>
      </c>
      <c r="I939" s="47" t="s">
        <v>162</v>
      </c>
      <c r="J939" s="48" t="n">
        <v>45931</v>
      </c>
      <c r="K939" s="51" t="str">
        <f aca="false">"Q"&amp;ROUNDUP(MONTH(B939)/3,0)</f>
        <v>Q3</v>
      </c>
      <c r="L939" s="52" t="n">
        <f aca="false">ROUND(G939*H939,2)</f>
        <v>4777.47</v>
      </c>
      <c r="M939" s="52" t="n">
        <f aca="false">IF(AND(C939="Sales",F939="Standard-rated 5%"),L939,0)</f>
        <v>0</v>
      </c>
      <c r="N939" s="52" t="n">
        <f aca="false">IF(F939="Reverse charge (imported services)",L939,0)</f>
        <v>0</v>
      </c>
      <c r="O939" s="52" t="n">
        <f aca="false">IF(C939&lt;&gt;"Purchase",0,IF(OR(I939="N",F939="Blocked input (entertainment)"),0,L939))</f>
        <v>4777.47</v>
      </c>
      <c r="P939" s="52" t="n">
        <f aca="false">IF(C939&lt;&gt;"Purchase",0,L939-O939)</f>
        <v>0</v>
      </c>
      <c r="Q939" s="53" t="n">
        <f aca="false">J939-B939</f>
        <v>5</v>
      </c>
      <c r="R939" s="51" t="str">
        <f aca="false">IF(I939="N","Invalid / missing TRN",IF(F939="Blocked input (entertainment)","Blocked input",IF(Q939&gt;30,"Late posting (&gt;30d)","")))</f>
        <v/>
      </c>
    </row>
    <row r="940" customFormat="false" ht="15" hidden="false" customHeight="false" outlineLevel="0" collapsed="false">
      <c r="A940" s="47" t="s">
        <v>1226</v>
      </c>
      <c r="B940" s="48" t="n">
        <v>45926</v>
      </c>
      <c r="C940" s="47" t="s">
        <v>159</v>
      </c>
      <c r="D940" s="47" t="s">
        <v>433</v>
      </c>
      <c r="E940" s="47" t="s">
        <v>101</v>
      </c>
      <c r="F940" s="47" t="s">
        <v>161</v>
      </c>
      <c r="G940" s="49" t="n">
        <v>31685.28</v>
      </c>
      <c r="H940" s="50" t="n">
        <v>0.05</v>
      </c>
      <c r="I940" s="47" t="s">
        <v>162</v>
      </c>
      <c r="J940" s="48" t="n">
        <v>45926</v>
      </c>
      <c r="K940" s="51" t="str">
        <f aca="false">"Q"&amp;ROUNDUP(MONTH(B940)/3,0)</f>
        <v>Q3</v>
      </c>
      <c r="L940" s="52" t="n">
        <f aca="false">ROUND(G940*H940,2)</f>
        <v>1584.26</v>
      </c>
      <c r="M940" s="52" t="n">
        <f aca="false">IF(AND(C940="Sales",F940="Standard-rated 5%"),L940,0)</f>
        <v>1584.26</v>
      </c>
      <c r="N940" s="52" t="n">
        <f aca="false">IF(F940="Reverse charge (imported services)",L940,0)</f>
        <v>0</v>
      </c>
      <c r="O940" s="52" t="n">
        <f aca="false">IF(C940&lt;&gt;"Purchase",0,IF(OR(I940="N",F940="Blocked input (entertainment)"),0,L940))</f>
        <v>0</v>
      </c>
      <c r="P940" s="52" t="n">
        <f aca="false">IF(C940&lt;&gt;"Purchase",0,L940-O940)</f>
        <v>0</v>
      </c>
      <c r="Q940" s="53" t="n">
        <f aca="false">J940-B940</f>
        <v>0</v>
      </c>
      <c r="R940" s="51" t="str">
        <f aca="false">IF(I940="N","Invalid / missing TRN",IF(F940="Blocked input (entertainment)","Blocked input",IF(Q940&gt;30,"Late posting (&gt;30d)","")))</f>
        <v/>
      </c>
    </row>
    <row r="941" customFormat="false" ht="15" hidden="false" customHeight="false" outlineLevel="0" collapsed="false">
      <c r="A941" s="47" t="s">
        <v>1227</v>
      </c>
      <c r="B941" s="48" t="n">
        <v>45927</v>
      </c>
      <c r="C941" s="47" t="s">
        <v>166</v>
      </c>
      <c r="D941" s="47" t="s">
        <v>390</v>
      </c>
      <c r="E941" s="47" t="s">
        <v>100</v>
      </c>
      <c r="F941" s="47" t="s">
        <v>161</v>
      </c>
      <c r="G941" s="49" t="n">
        <v>213083.76</v>
      </c>
      <c r="H941" s="50" t="n">
        <v>0.05</v>
      </c>
      <c r="I941" s="47" t="s">
        <v>162</v>
      </c>
      <c r="J941" s="48" t="n">
        <v>45927</v>
      </c>
      <c r="K941" s="51" t="str">
        <f aca="false">"Q"&amp;ROUNDUP(MONTH(B941)/3,0)</f>
        <v>Q3</v>
      </c>
      <c r="L941" s="52" t="n">
        <f aca="false">ROUND(G941*H941,2)</f>
        <v>10654.19</v>
      </c>
      <c r="M941" s="52" t="n">
        <f aca="false">IF(AND(C941="Sales",F941="Standard-rated 5%"),L941,0)</f>
        <v>0</v>
      </c>
      <c r="N941" s="52" t="n">
        <f aca="false">IF(F941="Reverse charge (imported services)",L941,0)</f>
        <v>0</v>
      </c>
      <c r="O941" s="52" t="n">
        <f aca="false">IF(C941&lt;&gt;"Purchase",0,IF(OR(I941="N",F941="Blocked input (entertainment)"),0,L941))</f>
        <v>10654.19</v>
      </c>
      <c r="P941" s="52" t="n">
        <f aca="false">IF(C941&lt;&gt;"Purchase",0,L941-O941)</f>
        <v>0</v>
      </c>
      <c r="Q941" s="53" t="n">
        <f aca="false">J941-B941</f>
        <v>0</v>
      </c>
      <c r="R941" s="51" t="str">
        <f aca="false">IF(I941="N","Invalid / missing TRN",IF(F941="Blocked input (entertainment)","Blocked input",IF(Q941&gt;30,"Late posting (&gt;30d)","")))</f>
        <v/>
      </c>
    </row>
    <row r="942" customFormat="false" ht="15" hidden="false" customHeight="false" outlineLevel="0" collapsed="false">
      <c r="A942" s="47" t="s">
        <v>1228</v>
      </c>
      <c r="B942" s="48" t="n">
        <v>45927</v>
      </c>
      <c r="C942" s="47" t="s">
        <v>166</v>
      </c>
      <c r="D942" s="47" t="s">
        <v>227</v>
      </c>
      <c r="E942" s="47" t="s">
        <v>100</v>
      </c>
      <c r="F942" s="47" t="s">
        <v>161</v>
      </c>
      <c r="G942" s="49" t="n">
        <v>7610.95</v>
      </c>
      <c r="H942" s="50" t="n">
        <v>0.05</v>
      </c>
      <c r="I942" s="47" t="s">
        <v>162</v>
      </c>
      <c r="J942" s="48" t="n">
        <v>45927</v>
      </c>
      <c r="K942" s="51" t="str">
        <f aca="false">"Q"&amp;ROUNDUP(MONTH(B942)/3,0)</f>
        <v>Q3</v>
      </c>
      <c r="L942" s="52" t="n">
        <f aca="false">ROUND(G942*H942,2)</f>
        <v>380.55</v>
      </c>
      <c r="M942" s="52" t="n">
        <f aca="false">IF(AND(C942="Sales",F942="Standard-rated 5%"),L942,0)</f>
        <v>0</v>
      </c>
      <c r="N942" s="52" t="n">
        <f aca="false">IF(F942="Reverse charge (imported services)",L942,0)</f>
        <v>0</v>
      </c>
      <c r="O942" s="52" t="n">
        <f aca="false">IF(C942&lt;&gt;"Purchase",0,IF(OR(I942="N",F942="Blocked input (entertainment)"),0,L942))</f>
        <v>380.55</v>
      </c>
      <c r="P942" s="52" t="n">
        <f aca="false">IF(C942&lt;&gt;"Purchase",0,L942-O942)</f>
        <v>0</v>
      </c>
      <c r="Q942" s="53" t="n">
        <f aca="false">J942-B942</f>
        <v>0</v>
      </c>
      <c r="R942" s="51" t="str">
        <f aca="false">IF(I942="N","Invalid / missing TRN",IF(F942="Blocked input (entertainment)","Blocked input",IF(Q942&gt;30,"Late posting (&gt;30d)","")))</f>
        <v/>
      </c>
    </row>
    <row r="943" customFormat="false" ht="15" hidden="false" customHeight="false" outlineLevel="0" collapsed="false">
      <c r="A943" s="47" t="s">
        <v>1229</v>
      </c>
      <c r="B943" s="48" t="n">
        <v>45927</v>
      </c>
      <c r="C943" s="47" t="s">
        <v>166</v>
      </c>
      <c r="D943" s="47" t="s">
        <v>408</v>
      </c>
      <c r="E943" s="47" t="s">
        <v>101</v>
      </c>
      <c r="F943" s="47" t="s">
        <v>268</v>
      </c>
      <c r="G943" s="49" t="n">
        <v>27176.36</v>
      </c>
      <c r="H943" s="50" t="n">
        <v>0</v>
      </c>
      <c r="I943" s="47" t="s">
        <v>162</v>
      </c>
      <c r="J943" s="48" t="n">
        <v>45927</v>
      </c>
      <c r="K943" s="51" t="str">
        <f aca="false">"Q"&amp;ROUNDUP(MONTH(B943)/3,0)</f>
        <v>Q3</v>
      </c>
      <c r="L943" s="52" t="n">
        <f aca="false">ROUND(G943*H943,2)</f>
        <v>0</v>
      </c>
      <c r="M943" s="52" t="n">
        <f aca="false">IF(AND(C943="Sales",F943="Standard-rated 5%"),L943,0)</f>
        <v>0</v>
      </c>
      <c r="N943" s="52" t="n">
        <f aca="false">IF(F943="Reverse charge (imported services)",L943,0)</f>
        <v>0</v>
      </c>
      <c r="O943" s="52" t="n">
        <f aca="false">IF(C943&lt;&gt;"Purchase",0,IF(OR(I943="N",F943="Blocked input (entertainment)"),0,L943))</f>
        <v>0</v>
      </c>
      <c r="P943" s="52" t="n">
        <f aca="false">IF(C943&lt;&gt;"Purchase",0,L943-O943)</f>
        <v>0</v>
      </c>
      <c r="Q943" s="53" t="n">
        <f aca="false">J943-B943</f>
        <v>0</v>
      </c>
      <c r="R943" s="51" t="str">
        <f aca="false">IF(I943="N","Invalid / missing TRN",IF(F943="Blocked input (entertainment)","Blocked input",IF(Q943&gt;30,"Late posting (&gt;30d)","")))</f>
        <v/>
      </c>
    </row>
    <row r="944" customFormat="false" ht="15" hidden="false" customHeight="false" outlineLevel="0" collapsed="false">
      <c r="A944" s="47" t="s">
        <v>1230</v>
      </c>
      <c r="B944" s="48" t="n">
        <v>45927</v>
      </c>
      <c r="C944" s="47" t="s">
        <v>159</v>
      </c>
      <c r="D944" s="47" t="s">
        <v>405</v>
      </c>
      <c r="E944" s="47" t="s">
        <v>101</v>
      </c>
      <c r="F944" s="47" t="s">
        <v>278</v>
      </c>
      <c r="G944" s="49" t="n">
        <v>38454.89</v>
      </c>
      <c r="H944" s="50" t="n">
        <v>0</v>
      </c>
      <c r="I944" s="47" t="s">
        <v>162</v>
      </c>
      <c r="J944" s="48" t="n">
        <v>45927</v>
      </c>
      <c r="K944" s="51" t="str">
        <f aca="false">"Q"&amp;ROUNDUP(MONTH(B944)/3,0)</f>
        <v>Q3</v>
      </c>
      <c r="L944" s="52" t="n">
        <f aca="false">ROUND(G944*H944,2)</f>
        <v>0</v>
      </c>
      <c r="M944" s="52" t="n">
        <f aca="false">IF(AND(C944="Sales",F944="Standard-rated 5%"),L944,0)</f>
        <v>0</v>
      </c>
      <c r="N944" s="52" t="n">
        <f aca="false">IF(F944="Reverse charge (imported services)",L944,0)</f>
        <v>0</v>
      </c>
      <c r="O944" s="52" t="n">
        <f aca="false">IF(C944&lt;&gt;"Purchase",0,IF(OR(I944="N",F944="Blocked input (entertainment)"),0,L944))</f>
        <v>0</v>
      </c>
      <c r="P944" s="52" t="n">
        <f aca="false">IF(C944&lt;&gt;"Purchase",0,L944-O944)</f>
        <v>0</v>
      </c>
      <c r="Q944" s="53" t="n">
        <f aca="false">J944-B944</f>
        <v>0</v>
      </c>
      <c r="R944" s="51" t="str">
        <f aca="false">IF(I944="N","Invalid / missing TRN",IF(F944="Blocked input (entertainment)","Blocked input",IF(Q944&gt;30,"Late posting (&gt;30d)","")))</f>
        <v/>
      </c>
    </row>
    <row r="945" customFormat="false" ht="15" hidden="false" customHeight="false" outlineLevel="0" collapsed="false">
      <c r="A945" s="47" t="s">
        <v>1231</v>
      </c>
      <c r="B945" s="48" t="n">
        <v>45927</v>
      </c>
      <c r="C945" s="47" t="s">
        <v>159</v>
      </c>
      <c r="D945" s="47" t="s">
        <v>330</v>
      </c>
      <c r="E945" s="47" t="s">
        <v>100</v>
      </c>
      <c r="F945" s="47" t="s">
        <v>278</v>
      </c>
      <c r="G945" s="49" t="n">
        <v>61986.85</v>
      </c>
      <c r="H945" s="50" t="n">
        <v>0</v>
      </c>
      <c r="I945" s="47" t="s">
        <v>162</v>
      </c>
      <c r="J945" s="48" t="n">
        <v>45927</v>
      </c>
      <c r="K945" s="51" t="str">
        <f aca="false">"Q"&amp;ROUNDUP(MONTH(B945)/3,0)</f>
        <v>Q3</v>
      </c>
      <c r="L945" s="52" t="n">
        <f aca="false">ROUND(G945*H945,2)</f>
        <v>0</v>
      </c>
      <c r="M945" s="52" t="n">
        <f aca="false">IF(AND(C945="Sales",F945="Standard-rated 5%"),L945,0)</f>
        <v>0</v>
      </c>
      <c r="N945" s="52" t="n">
        <f aca="false">IF(F945="Reverse charge (imported services)",L945,0)</f>
        <v>0</v>
      </c>
      <c r="O945" s="52" t="n">
        <f aca="false">IF(C945&lt;&gt;"Purchase",0,IF(OR(I945="N",F945="Blocked input (entertainment)"),0,L945))</f>
        <v>0</v>
      </c>
      <c r="P945" s="52" t="n">
        <f aca="false">IF(C945&lt;&gt;"Purchase",0,L945-O945)</f>
        <v>0</v>
      </c>
      <c r="Q945" s="53" t="n">
        <f aca="false">J945-B945</f>
        <v>0</v>
      </c>
      <c r="R945" s="51" t="str">
        <f aca="false">IF(I945="N","Invalid / missing TRN",IF(F945="Blocked input (entertainment)","Blocked input",IF(Q945&gt;30,"Late posting (&gt;30d)","")))</f>
        <v/>
      </c>
    </row>
    <row r="946" customFormat="false" ht="15" hidden="false" customHeight="false" outlineLevel="0" collapsed="false">
      <c r="A946" s="47" t="s">
        <v>1232</v>
      </c>
      <c r="B946" s="48" t="n">
        <v>45927</v>
      </c>
      <c r="C946" s="47" t="s">
        <v>159</v>
      </c>
      <c r="D946" s="47" t="s">
        <v>175</v>
      </c>
      <c r="E946" s="47" t="s">
        <v>103</v>
      </c>
      <c r="F946" s="47" t="s">
        <v>278</v>
      </c>
      <c r="G946" s="49" t="n">
        <v>30720.5</v>
      </c>
      <c r="H946" s="50" t="n">
        <v>0</v>
      </c>
      <c r="I946" s="47" t="s">
        <v>162</v>
      </c>
      <c r="J946" s="48" t="n">
        <v>45927</v>
      </c>
      <c r="K946" s="51" t="str">
        <f aca="false">"Q"&amp;ROUNDUP(MONTH(B946)/3,0)</f>
        <v>Q3</v>
      </c>
      <c r="L946" s="52" t="n">
        <f aca="false">ROUND(G946*H946,2)</f>
        <v>0</v>
      </c>
      <c r="M946" s="52" t="n">
        <f aca="false">IF(AND(C946="Sales",F946="Standard-rated 5%"),L946,0)</f>
        <v>0</v>
      </c>
      <c r="N946" s="52" t="n">
        <f aca="false">IF(F946="Reverse charge (imported services)",L946,0)</f>
        <v>0</v>
      </c>
      <c r="O946" s="52" t="n">
        <f aca="false">IF(C946&lt;&gt;"Purchase",0,IF(OR(I946="N",F946="Blocked input (entertainment)"),0,L946))</f>
        <v>0</v>
      </c>
      <c r="P946" s="52" t="n">
        <f aca="false">IF(C946&lt;&gt;"Purchase",0,L946-O946)</f>
        <v>0</v>
      </c>
      <c r="Q946" s="53" t="n">
        <f aca="false">J946-B946</f>
        <v>0</v>
      </c>
      <c r="R946" s="51" t="str">
        <f aca="false">IF(I946="N","Invalid / missing TRN",IF(F946="Blocked input (entertainment)","Blocked input",IF(Q946&gt;30,"Late posting (&gt;30d)","")))</f>
        <v/>
      </c>
    </row>
    <row r="947" customFormat="false" ht="15" hidden="false" customHeight="false" outlineLevel="0" collapsed="false">
      <c r="A947" s="47" t="s">
        <v>1233</v>
      </c>
      <c r="B947" s="48" t="n">
        <v>45928</v>
      </c>
      <c r="C947" s="47" t="s">
        <v>166</v>
      </c>
      <c r="D947" s="47" t="s">
        <v>272</v>
      </c>
      <c r="E947" s="47" t="s">
        <v>101</v>
      </c>
      <c r="F947" s="47" t="s">
        <v>161</v>
      </c>
      <c r="G947" s="49" t="n">
        <v>10411.26</v>
      </c>
      <c r="H947" s="50" t="n">
        <v>0.05</v>
      </c>
      <c r="I947" s="47" t="s">
        <v>162</v>
      </c>
      <c r="J947" s="48" t="n">
        <v>45928</v>
      </c>
      <c r="K947" s="51" t="str">
        <f aca="false">"Q"&amp;ROUNDUP(MONTH(B947)/3,0)</f>
        <v>Q3</v>
      </c>
      <c r="L947" s="52" t="n">
        <f aca="false">ROUND(G947*H947,2)</f>
        <v>520.56</v>
      </c>
      <c r="M947" s="52" t="n">
        <f aca="false">IF(AND(C947="Sales",F947="Standard-rated 5%"),L947,0)</f>
        <v>0</v>
      </c>
      <c r="N947" s="52" t="n">
        <f aca="false">IF(F947="Reverse charge (imported services)",L947,0)</f>
        <v>0</v>
      </c>
      <c r="O947" s="52" t="n">
        <f aca="false">IF(C947&lt;&gt;"Purchase",0,IF(OR(I947="N",F947="Blocked input (entertainment)"),0,L947))</f>
        <v>520.56</v>
      </c>
      <c r="P947" s="52" t="n">
        <f aca="false">IF(C947&lt;&gt;"Purchase",0,L947-O947)</f>
        <v>0</v>
      </c>
      <c r="Q947" s="53" t="n">
        <f aca="false">J947-B947</f>
        <v>0</v>
      </c>
      <c r="R947" s="51" t="str">
        <f aca="false">IF(I947="N","Invalid / missing TRN",IF(F947="Blocked input (entertainment)","Blocked input",IF(Q947&gt;30,"Late posting (&gt;30d)","")))</f>
        <v/>
      </c>
    </row>
    <row r="948" customFormat="false" ht="15" hidden="false" customHeight="false" outlineLevel="0" collapsed="false">
      <c r="A948" s="47" t="s">
        <v>1234</v>
      </c>
      <c r="B948" s="48" t="n">
        <v>45928</v>
      </c>
      <c r="C948" s="47" t="s">
        <v>159</v>
      </c>
      <c r="D948" s="47" t="s">
        <v>243</v>
      </c>
      <c r="E948" s="47" t="s">
        <v>100</v>
      </c>
      <c r="F948" s="47" t="s">
        <v>161</v>
      </c>
      <c r="G948" s="49" t="n">
        <v>44392.74</v>
      </c>
      <c r="H948" s="50" t="n">
        <v>0.05</v>
      </c>
      <c r="I948" s="47" t="s">
        <v>162</v>
      </c>
      <c r="J948" s="48" t="n">
        <v>45928</v>
      </c>
      <c r="K948" s="51" t="str">
        <f aca="false">"Q"&amp;ROUNDUP(MONTH(B948)/3,0)</f>
        <v>Q3</v>
      </c>
      <c r="L948" s="52" t="n">
        <f aca="false">ROUND(G948*H948,2)</f>
        <v>2219.64</v>
      </c>
      <c r="M948" s="52" t="n">
        <f aca="false">IF(AND(C948="Sales",F948="Standard-rated 5%"),L948,0)</f>
        <v>2219.64</v>
      </c>
      <c r="N948" s="52" t="n">
        <f aca="false">IF(F948="Reverse charge (imported services)",L948,0)</f>
        <v>0</v>
      </c>
      <c r="O948" s="52" t="n">
        <f aca="false">IF(C948&lt;&gt;"Purchase",0,IF(OR(I948="N",F948="Blocked input (entertainment)"),0,L948))</f>
        <v>0</v>
      </c>
      <c r="P948" s="52" t="n">
        <f aca="false">IF(C948&lt;&gt;"Purchase",0,L948-O948)</f>
        <v>0</v>
      </c>
      <c r="Q948" s="53" t="n">
        <f aca="false">J948-B948</f>
        <v>0</v>
      </c>
      <c r="R948" s="51" t="str">
        <f aca="false">IF(I948="N","Invalid / missing TRN",IF(F948="Blocked input (entertainment)","Blocked input",IF(Q948&gt;30,"Late posting (&gt;30d)","")))</f>
        <v/>
      </c>
    </row>
    <row r="949" customFormat="false" ht="15" hidden="false" customHeight="false" outlineLevel="0" collapsed="false">
      <c r="A949" s="47" t="s">
        <v>1235</v>
      </c>
      <c r="B949" s="48" t="n">
        <v>45928</v>
      </c>
      <c r="C949" s="47" t="s">
        <v>159</v>
      </c>
      <c r="D949" s="47" t="s">
        <v>423</v>
      </c>
      <c r="E949" s="47" t="s">
        <v>101</v>
      </c>
      <c r="F949" s="47" t="s">
        <v>161</v>
      </c>
      <c r="G949" s="49" t="n">
        <v>22240.91</v>
      </c>
      <c r="H949" s="50" t="n">
        <v>0.05</v>
      </c>
      <c r="I949" s="47" t="s">
        <v>162</v>
      </c>
      <c r="J949" s="48" t="n">
        <v>45928</v>
      </c>
      <c r="K949" s="51" t="str">
        <f aca="false">"Q"&amp;ROUNDUP(MONTH(B949)/3,0)</f>
        <v>Q3</v>
      </c>
      <c r="L949" s="52" t="n">
        <f aca="false">ROUND(G949*H949,2)</f>
        <v>1112.05</v>
      </c>
      <c r="M949" s="52" t="n">
        <f aca="false">IF(AND(C949="Sales",F949="Standard-rated 5%"),L949,0)</f>
        <v>1112.05</v>
      </c>
      <c r="N949" s="52" t="n">
        <f aca="false">IF(F949="Reverse charge (imported services)",L949,0)</f>
        <v>0</v>
      </c>
      <c r="O949" s="52" t="n">
        <f aca="false">IF(C949&lt;&gt;"Purchase",0,IF(OR(I949="N",F949="Blocked input (entertainment)"),0,L949))</f>
        <v>0</v>
      </c>
      <c r="P949" s="52" t="n">
        <f aca="false">IF(C949&lt;&gt;"Purchase",0,L949-O949)</f>
        <v>0</v>
      </c>
      <c r="Q949" s="53" t="n">
        <f aca="false">J949-B949</f>
        <v>0</v>
      </c>
      <c r="R949" s="51" t="str">
        <f aca="false">IF(I949="N","Invalid / missing TRN",IF(F949="Blocked input (entertainment)","Blocked input",IF(Q949&gt;30,"Late posting (&gt;30d)","")))</f>
        <v/>
      </c>
    </row>
    <row r="950" customFormat="false" ht="15" hidden="false" customHeight="false" outlineLevel="0" collapsed="false">
      <c r="A950" s="47" t="s">
        <v>1236</v>
      </c>
      <c r="B950" s="48" t="n">
        <v>45928</v>
      </c>
      <c r="C950" s="47" t="s">
        <v>159</v>
      </c>
      <c r="D950" s="47" t="s">
        <v>333</v>
      </c>
      <c r="E950" s="47" t="s">
        <v>100</v>
      </c>
      <c r="F950" s="47" t="s">
        <v>161</v>
      </c>
      <c r="G950" s="49" t="n">
        <v>88720.96</v>
      </c>
      <c r="H950" s="50" t="n">
        <v>0.05</v>
      </c>
      <c r="I950" s="47" t="s">
        <v>162</v>
      </c>
      <c r="J950" s="48" t="n">
        <v>45928</v>
      </c>
      <c r="K950" s="51" t="str">
        <f aca="false">"Q"&amp;ROUNDUP(MONTH(B950)/3,0)</f>
        <v>Q3</v>
      </c>
      <c r="L950" s="52" t="n">
        <f aca="false">ROUND(G950*H950,2)</f>
        <v>4436.05</v>
      </c>
      <c r="M950" s="52" t="n">
        <f aca="false">IF(AND(C950="Sales",F950="Standard-rated 5%"),L950,0)</f>
        <v>4436.05</v>
      </c>
      <c r="N950" s="52" t="n">
        <f aca="false">IF(F950="Reverse charge (imported services)",L950,0)</f>
        <v>0</v>
      </c>
      <c r="O950" s="52" t="n">
        <f aca="false">IF(C950&lt;&gt;"Purchase",0,IF(OR(I950="N",F950="Blocked input (entertainment)"),0,L950))</f>
        <v>0</v>
      </c>
      <c r="P950" s="52" t="n">
        <f aca="false">IF(C950&lt;&gt;"Purchase",0,L950-O950)</f>
        <v>0</v>
      </c>
      <c r="Q950" s="53" t="n">
        <f aca="false">J950-B950</f>
        <v>0</v>
      </c>
      <c r="R950" s="51" t="str">
        <f aca="false">IF(I950="N","Invalid / missing TRN",IF(F950="Blocked input (entertainment)","Blocked input",IF(Q950&gt;30,"Late posting (&gt;30d)","")))</f>
        <v/>
      </c>
    </row>
    <row r="951" customFormat="false" ht="15" hidden="false" customHeight="false" outlineLevel="0" collapsed="false">
      <c r="A951" s="47" t="s">
        <v>1237</v>
      </c>
      <c r="B951" s="48" t="n">
        <v>45929</v>
      </c>
      <c r="C951" s="47" t="s">
        <v>159</v>
      </c>
      <c r="D951" s="47" t="s">
        <v>213</v>
      </c>
      <c r="E951" s="47" t="s">
        <v>100</v>
      </c>
      <c r="F951" s="47" t="s">
        <v>161</v>
      </c>
      <c r="G951" s="49" t="n">
        <v>28727.31</v>
      </c>
      <c r="H951" s="50" t="n">
        <v>0.05</v>
      </c>
      <c r="I951" s="47" t="s">
        <v>162</v>
      </c>
      <c r="J951" s="48" t="n">
        <v>45929</v>
      </c>
      <c r="K951" s="51" t="str">
        <f aca="false">"Q"&amp;ROUNDUP(MONTH(B951)/3,0)</f>
        <v>Q3</v>
      </c>
      <c r="L951" s="52" t="n">
        <f aca="false">ROUND(G951*H951,2)</f>
        <v>1436.37</v>
      </c>
      <c r="M951" s="52" t="n">
        <f aca="false">IF(AND(C951="Sales",F951="Standard-rated 5%"),L951,0)</f>
        <v>1436.37</v>
      </c>
      <c r="N951" s="52" t="n">
        <f aca="false">IF(F951="Reverse charge (imported services)",L951,0)</f>
        <v>0</v>
      </c>
      <c r="O951" s="52" t="n">
        <f aca="false">IF(C951&lt;&gt;"Purchase",0,IF(OR(I951="N",F951="Blocked input (entertainment)"),0,L951))</f>
        <v>0</v>
      </c>
      <c r="P951" s="52" t="n">
        <f aca="false">IF(C951&lt;&gt;"Purchase",0,L951-O951)</f>
        <v>0</v>
      </c>
      <c r="Q951" s="53" t="n">
        <f aca="false">J951-B951</f>
        <v>0</v>
      </c>
      <c r="R951" s="51" t="str">
        <f aca="false">IF(I951="N","Invalid / missing TRN",IF(F951="Blocked input (entertainment)","Blocked input",IF(Q951&gt;30,"Late posting (&gt;30d)","")))</f>
        <v/>
      </c>
    </row>
    <row r="952" customFormat="false" ht="15" hidden="false" customHeight="false" outlineLevel="0" collapsed="false">
      <c r="A952" s="47" t="s">
        <v>1238</v>
      </c>
      <c r="B952" s="48" t="n">
        <v>45929</v>
      </c>
      <c r="C952" s="47" t="s">
        <v>159</v>
      </c>
      <c r="D952" s="47" t="s">
        <v>223</v>
      </c>
      <c r="E952" s="47" t="s">
        <v>100</v>
      </c>
      <c r="F952" s="47" t="s">
        <v>161</v>
      </c>
      <c r="G952" s="49" t="n">
        <v>74640.59</v>
      </c>
      <c r="H952" s="50" t="n">
        <v>0.05</v>
      </c>
      <c r="I952" s="47" t="s">
        <v>162</v>
      </c>
      <c r="J952" s="48" t="n">
        <v>45930</v>
      </c>
      <c r="K952" s="51" t="str">
        <f aca="false">"Q"&amp;ROUNDUP(MONTH(B952)/3,0)</f>
        <v>Q3</v>
      </c>
      <c r="L952" s="52" t="n">
        <f aca="false">ROUND(G952*H952,2)</f>
        <v>3732.03</v>
      </c>
      <c r="M952" s="52" t="n">
        <f aca="false">IF(AND(C952="Sales",F952="Standard-rated 5%"),L952,0)</f>
        <v>3732.03</v>
      </c>
      <c r="N952" s="52" t="n">
        <f aca="false">IF(F952="Reverse charge (imported services)",L952,0)</f>
        <v>0</v>
      </c>
      <c r="O952" s="52" t="n">
        <f aca="false">IF(C952&lt;&gt;"Purchase",0,IF(OR(I952="N",F952="Blocked input (entertainment)"),0,L952))</f>
        <v>0</v>
      </c>
      <c r="P952" s="52" t="n">
        <f aca="false">IF(C952&lt;&gt;"Purchase",0,L952-O952)</f>
        <v>0</v>
      </c>
      <c r="Q952" s="53" t="n">
        <f aca="false">J952-B952</f>
        <v>1</v>
      </c>
      <c r="R952" s="51" t="str">
        <f aca="false">IF(I952="N","Invalid / missing TRN",IF(F952="Blocked input (entertainment)","Blocked input",IF(Q952&gt;30,"Late posting (&gt;30d)","")))</f>
        <v/>
      </c>
    </row>
    <row r="953" customFormat="false" ht="15" hidden="false" customHeight="false" outlineLevel="0" collapsed="false">
      <c r="A953" s="47" t="s">
        <v>1239</v>
      </c>
      <c r="B953" s="48" t="n">
        <v>45929</v>
      </c>
      <c r="C953" s="47" t="s">
        <v>159</v>
      </c>
      <c r="D953" s="47" t="s">
        <v>428</v>
      </c>
      <c r="E953" s="47" t="s">
        <v>104</v>
      </c>
      <c r="F953" s="47" t="s">
        <v>278</v>
      </c>
      <c r="G953" s="49" t="n">
        <v>161068.64</v>
      </c>
      <c r="H953" s="50" t="n">
        <v>0</v>
      </c>
      <c r="I953" s="47" t="s">
        <v>162</v>
      </c>
      <c r="J953" s="48" t="n">
        <v>45929</v>
      </c>
      <c r="K953" s="51" t="str">
        <f aca="false">"Q"&amp;ROUNDUP(MONTH(B953)/3,0)</f>
        <v>Q3</v>
      </c>
      <c r="L953" s="52" t="n">
        <f aca="false">ROUND(G953*H953,2)</f>
        <v>0</v>
      </c>
      <c r="M953" s="52" t="n">
        <f aca="false">IF(AND(C953="Sales",F953="Standard-rated 5%"),L953,0)</f>
        <v>0</v>
      </c>
      <c r="N953" s="52" t="n">
        <f aca="false">IF(F953="Reverse charge (imported services)",L953,0)</f>
        <v>0</v>
      </c>
      <c r="O953" s="52" t="n">
        <f aca="false">IF(C953&lt;&gt;"Purchase",0,IF(OR(I953="N",F953="Blocked input (entertainment)"),0,L953))</f>
        <v>0</v>
      </c>
      <c r="P953" s="52" t="n">
        <f aca="false">IF(C953&lt;&gt;"Purchase",0,L953-O953)</f>
        <v>0</v>
      </c>
      <c r="Q953" s="53" t="n">
        <f aca="false">J953-B953</f>
        <v>0</v>
      </c>
      <c r="R953" s="51" t="str">
        <f aca="false">IF(I953="N","Invalid / missing TRN",IF(F953="Blocked input (entertainment)","Blocked input",IF(Q953&gt;30,"Late posting (&gt;30d)","")))</f>
        <v/>
      </c>
    </row>
    <row r="954" customFormat="false" ht="15" hidden="false" customHeight="false" outlineLevel="0" collapsed="false">
      <c r="A954" s="47" t="s">
        <v>1240</v>
      </c>
      <c r="B954" s="48" t="n">
        <v>45929</v>
      </c>
      <c r="C954" s="47" t="s">
        <v>159</v>
      </c>
      <c r="D954" s="47" t="s">
        <v>160</v>
      </c>
      <c r="E954" s="47" t="s">
        <v>100</v>
      </c>
      <c r="F954" s="47" t="s">
        <v>161</v>
      </c>
      <c r="G954" s="49" t="n">
        <v>21440.64</v>
      </c>
      <c r="H954" s="50" t="n">
        <v>0.05</v>
      </c>
      <c r="I954" s="47" t="s">
        <v>162</v>
      </c>
      <c r="J954" s="48" t="n">
        <v>45929</v>
      </c>
      <c r="K954" s="51" t="str">
        <f aca="false">"Q"&amp;ROUNDUP(MONTH(B954)/3,0)</f>
        <v>Q3</v>
      </c>
      <c r="L954" s="52" t="n">
        <f aca="false">ROUND(G954*H954,2)</f>
        <v>1072.03</v>
      </c>
      <c r="M954" s="52" t="n">
        <f aca="false">IF(AND(C954="Sales",F954="Standard-rated 5%"),L954,0)</f>
        <v>1072.03</v>
      </c>
      <c r="N954" s="52" t="n">
        <f aca="false">IF(F954="Reverse charge (imported services)",L954,0)</f>
        <v>0</v>
      </c>
      <c r="O954" s="52" t="n">
        <f aca="false">IF(C954&lt;&gt;"Purchase",0,IF(OR(I954="N",F954="Blocked input (entertainment)"),0,L954))</f>
        <v>0</v>
      </c>
      <c r="P954" s="52" t="n">
        <f aca="false">IF(C954&lt;&gt;"Purchase",0,L954-O954)</f>
        <v>0</v>
      </c>
      <c r="Q954" s="53" t="n">
        <f aca="false">J954-B954</f>
        <v>0</v>
      </c>
      <c r="R954" s="51" t="str">
        <f aca="false">IF(I954="N","Invalid / missing TRN",IF(F954="Blocked input (entertainment)","Blocked input",IF(Q954&gt;30,"Late posting (&gt;30d)","")))</f>
        <v/>
      </c>
    </row>
    <row r="955" customFormat="false" ht="15" hidden="false" customHeight="false" outlineLevel="0" collapsed="false">
      <c r="A955" s="47" t="s">
        <v>1241</v>
      </c>
      <c r="B955" s="48" t="n">
        <v>45930</v>
      </c>
      <c r="C955" s="47" t="s">
        <v>159</v>
      </c>
      <c r="D955" s="47" t="s">
        <v>361</v>
      </c>
      <c r="E955" s="47" t="s">
        <v>100</v>
      </c>
      <c r="F955" s="47" t="s">
        <v>161</v>
      </c>
      <c r="G955" s="49" t="n">
        <v>66617.96</v>
      </c>
      <c r="H955" s="50" t="n">
        <v>0.05</v>
      </c>
      <c r="I955" s="47" t="s">
        <v>162</v>
      </c>
      <c r="J955" s="48" t="n">
        <v>45930</v>
      </c>
      <c r="K955" s="51" t="str">
        <f aca="false">"Q"&amp;ROUNDUP(MONTH(B955)/3,0)</f>
        <v>Q3</v>
      </c>
      <c r="L955" s="52" t="n">
        <f aca="false">ROUND(G955*H955,2)</f>
        <v>3330.9</v>
      </c>
      <c r="M955" s="52" t="n">
        <f aca="false">IF(AND(C955="Sales",F955="Standard-rated 5%"),L955,0)</f>
        <v>3330.9</v>
      </c>
      <c r="N955" s="52" t="n">
        <f aca="false">IF(F955="Reverse charge (imported services)",L955,0)</f>
        <v>0</v>
      </c>
      <c r="O955" s="52" t="n">
        <f aca="false">IF(C955&lt;&gt;"Purchase",0,IF(OR(I955="N",F955="Blocked input (entertainment)"),0,L955))</f>
        <v>0</v>
      </c>
      <c r="P955" s="52" t="n">
        <f aca="false">IF(C955&lt;&gt;"Purchase",0,L955-O955)</f>
        <v>0</v>
      </c>
      <c r="Q955" s="53" t="n">
        <f aca="false">J955-B955</f>
        <v>0</v>
      </c>
      <c r="R955" s="51" t="str">
        <f aca="false">IF(I955="N","Invalid / missing TRN",IF(F955="Blocked input (entertainment)","Blocked input",IF(Q955&gt;30,"Late posting (&gt;30d)","")))</f>
        <v/>
      </c>
    </row>
    <row r="956" customFormat="false" ht="15" hidden="false" customHeight="false" outlineLevel="0" collapsed="false">
      <c r="A956" s="47" t="s">
        <v>1242</v>
      </c>
      <c r="B956" s="48" t="n">
        <v>45931</v>
      </c>
      <c r="C956" s="47" t="s">
        <v>159</v>
      </c>
      <c r="D956" s="47" t="s">
        <v>433</v>
      </c>
      <c r="E956" s="47" t="s">
        <v>100</v>
      </c>
      <c r="F956" s="47" t="s">
        <v>161</v>
      </c>
      <c r="G956" s="49" t="n">
        <v>50688.58</v>
      </c>
      <c r="H956" s="50" t="n">
        <v>0.05</v>
      </c>
      <c r="I956" s="47" t="s">
        <v>162</v>
      </c>
      <c r="J956" s="48" t="n">
        <v>45931</v>
      </c>
      <c r="K956" s="51" t="str">
        <f aca="false">"Q"&amp;ROUNDUP(MONTH(B956)/3,0)</f>
        <v>Q4</v>
      </c>
      <c r="L956" s="52" t="n">
        <f aca="false">ROUND(G956*H956,2)</f>
        <v>2534.43</v>
      </c>
      <c r="M956" s="52" t="n">
        <f aca="false">IF(AND(C956="Sales",F956="Standard-rated 5%"),L956,0)</f>
        <v>2534.43</v>
      </c>
      <c r="N956" s="52" t="n">
        <f aca="false">IF(F956="Reverse charge (imported services)",L956,0)</f>
        <v>0</v>
      </c>
      <c r="O956" s="52" t="n">
        <f aca="false">IF(C956&lt;&gt;"Purchase",0,IF(OR(I956="N",F956="Blocked input (entertainment)"),0,L956))</f>
        <v>0</v>
      </c>
      <c r="P956" s="52" t="n">
        <f aca="false">IF(C956&lt;&gt;"Purchase",0,L956-O956)</f>
        <v>0</v>
      </c>
      <c r="Q956" s="53" t="n">
        <f aca="false">J956-B956</f>
        <v>0</v>
      </c>
      <c r="R956" s="51" t="str">
        <f aca="false">IF(I956="N","Invalid / missing TRN",IF(F956="Blocked input (entertainment)","Blocked input",IF(Q956&gt;30,"Late posting (&gt;30d)","")))</f>
        <v/>
      </c>
    </row>
    <row r="957" customFormat="false" ht="15" hidden="false" customHeight="false" outlineLevel="0" collapsed="false">
      <c r="A957" s="47" t="s">
        <v>1243</v>
      </c>
      <c r="B957" s="48" t="n">
        <v>45931</v>
      </c>
      <c r="C957" s="47" t="s">
        <v>159</v>
      </c>
      <c r="D957" s="47" t="s">
        <v>235</v>
      </c>
      <c r="E957" s="47" t="s">
        <v>100</v>
      </c>
      <c r="F957" s="47" t="s">
        <v>161</v>
      </c>
      <c r="G957" s="49" t="n">
        <v>10222.02</v>
      </c>
      <c r="H957" s="50" t="n">
        <v>0.05</v>
      </c>
      <c r="I957" s="47" t="s">
        <v>162</v>
      </c>
      <c r="J957" s="48" t="n">
        <v>45931</v>
      </c>
      <c r="K957" s="51" t="str">
        <f aca="false">"Q"&amp;ROUNDUP(MONTH(B957)/3,0)</f>
        <v>Q4</v>
      </c>
      <c r="L957" s="52" t="n">
        <f aca="false">ROUND(G957*H957,2)</f>
        <v>511.1</v>
      </c>
      <c r="M957" s="52" t="n">
        <f aca="false">IF(AND(C957="Sales",F957="Standard-rated 5%"),L957,0)</f>
        <v>511.1</v>
      </c>
      <c r="N957" s="52" t="n">
        <f aca="false">IF(F957="Reverse charge (imported services)",L957,0)</f>
        <v>0</v>
      </c>
      <c r="O957" s="52" t="n">
        <f aca="false">IF(C957&lt;&gt;"Purchase",0,IF(OR(I957="N",F957="Blocked input (entertainment)"),0,L957))</f>
        <v>0</v>
      </c>
      <c r="P957" s="52" t="n">
        <f aca="false">IF(C957&lt;&gt;"Purchase",0,L957-O957)</f>
        <v>0</v>
      </c>
      <c r="Q957" s="53" t="n">
        <f aca="false">J957-B957</f>
        <v>0</v>
      </c>
      <c r="R957" s="51" t="str">
        <f aca="false">IF(I957="N","Invalid / missing TRN",IF(F957="Blocked input (entertainment)","Blocked input",IF(Q957&gt;30,"Late posting (&gt;30d)","")))</f>
        <v/>
      </c>
    </row>
    <row r="958" customFormat="false" ht="15" hidden="false" customHeight="false" outlineLevel="0" collapsed="false">
      <c r="A958" s="47" t="s">
        <v>1244</v>
      </c>
      <c r="B958" s="48" t="n">
        <v>45931</v>
      </c>
      <c r="C958" s="47" t="s">
        <v>159</v>
      </c>
      <c r="D958" s="47" t="s">
        <v>376</v>
      </c>
      <c r="E958" s="47" t="s">
        <v>101</v>
      </c>
      <c r="F958" s="47" t="s">
        <v>161</v>
      </c>
      <c r="G958" s="49" t="n">
        <v>8405.35</v>
      </c>
      <c r="H958" s="50" t="n">
        <v>0.05</v>
      </c>
      <c r="I958" s="47" t="s">
        <v>162</v>
      </c>
      <c r="J958" s="48" t="n">
        <v>45931</v>
      </c>
      <c r="K958" s="51" t="str">
        <f aca="false">"Q"&amp;ROUNDUP(MONTH(B958)/3,0)</f>
        <v>Q4</v>
      </c>
      <c r="L958" s="52" t="n">
        <f aca="false">ROUND(G958*H958,2)</f>
        <v>420.27</v>
      </c>
      <c r="M958" s="52" t="n">
        <f aca="false">IF(AND(C958="Sales",F958="Standard-rated 5%"),L958,0)</f>
        <v>420.27</v>
      </c>
      <c r="N958" s="52" t="n">
        <f aca="false">IF(F958="Reverse charge (imported services)",L958,0)</f>
        <v>0</v>
      </c>
      <c r="O958" s="52" t="n">
        <f aca="false">IF(C958&lt;&gt;"Purchase",0,IF(OR(I958="N",F958="Blocked input (entertainment)"),0,L958))</f>
        <v>0</v>
      </c>
      <c r="P958" s="52" t="n">
        <f aca="false">IF(C958&lt;&gt;"Purchase",0,L958-O958)</f>
        <v>0</v>
      </c>
      <c r="Q958" s="53" t="n">
        <f aca="false">J958-B958</f>
        <v>0</v>
      </c>
      <c r="R958" s="51" t="str">
        <f aca="false">IF(I958="N","Invalid / missing TRN",IF(F958="Blocked input (entertainment)","Blocked input",IF(Q958&gt;30,"Late posting (&gt;30d)","")))</f>
        <v/>
      </c>
    </row>
    <row r="959" customFormat="false" ht="15" hidden="false" customHeight="false" outlineLevel="0" collapsed="false">
      <c r="A959" s="47" t="s">
        <v>1245</v>
      </c>
      <c r="B959" s="48" t="n">
        <v>45932</v>
      </c>
      <c r="C959" s="47" t="s">
        <v>166</v>
      </c>
      <c r="D959" s="47" t="s">
        <v>274</v>
      </c>
      <c r="E959" s="47" t="s">
        <v>100</v>
      </c>
      <c r="F959" s="47" t="s">
        <v>268</v>
      </c>
      <c r="G959" s="49" t="n">
        <v>15808.6</v>
      </c>
      <c r="H959" s="50" t="n">
        <v>0</v>
      </c>
      <c r="I959" s="47" t="s">
        <v>162</v>
      </c>
      <c r="J959" s="48" t="n">
        <v>45932</v>
      </c>
      <c r="K959" s="51" t="str">
        <f aca="false">"Q"&amp;ROUNDUP(MONTH(B959)/3,0)</f>
        <v>Q4</v>
      </c>
      <c r="L959" s="52" t="n">
        <f aca="false">ROUND(G959*H959,2)</f>
        <v>0</v>
      </c>
      <c r="M959" s="52" t="n">
        <f aca="false">IF(AND(C959="Sales",F959="Standard-rated 5%"),L959,0)</f>
        <v>0</v>
      </c>
      <c r="N959" s="52" t="n">
        <f aca="false">IF(F959="Reverse charge (imported services)",L959,0)</f>
        <v>0</v>
      </c>
      <c r="O959" s="52" t="n">
        <f aca="false">IF(C959&lt;&gt;"Purchase",0,IF(OR(I959="N",F959="Blocked input (entertainment)"),0,L959))</f>
        <v>0</v>
      </c>
      <c r="P959" s="52" t="n">
        <f aca="false">IF(C959&lt;&gt;"Purchase",0,L959-O959)</f>
        <v>0</v>
      </c>
      <c r="Q959" s="53" t="n">
        <f aca="false">J959-B959</f>
        <v>0</v>
      </c>
      <c r="R959" s="51" t="str">
        <f aca="false">IF(I959="N","Invalid / missing TRN",IF(F959="Blocked input (entertainment)","Blocked input",IF(Q959&gt;30,"Late posting (&gt;30d)","")))</f>
        <v/>
      </c>
    </row>
    <row r="960" customFormat="false" ht="15" hidden="false" customHeight="false" outlineLevel="0" collapsed="false">
      <c r="A960" s="47" t="s">
        <v>1246</v>
      </c>
      <c r="B960" s="48" t="n">
        <v>45932</v>
      </c>
      <c r="C960" s="47" t="s">
        <v>159</v>
      </c>
      <c r="D960" s="47" t="s">
        <v>439</v>
      </c>
      <c r="E960" s="47" t="s">
        <v>100</v>
      </c>
      <c r="F960" s="47" t="s">
        <v>161</v>
      </c>
      <c r="G960" s="49" t="n">
        <v>16994.42</v>
      </c>
      <c r="H960" s="50" t="n">
        <v>0.05</v>
      </c>
      <c r="I960" s="47" t="s">
        <v>162</v>
      </c>
      <c r="J960" s="48" t="n">
        <v>45932</v>
      </c>
      <c r="K960" s="51" t="str">
        <f aca="false">"Q"&amp;ROUNDUP(MONTH(B960)/3,0)</f>
        <v>Q4</v>
      </c>
      <c r="L960" s="52" t="n">
        <f aca="false">ROUND(G960*H960,2)</f>
        <v>849.72</v>
      </c>
      <c r="M960" s="52" t="n">
        <f aca="false">IF(AND(C960="Sales",F960="Standard-rated 5%"),L960,0)</f>
        <v>849.72</v>
      </c>
      <c r="N960" s="52" t="n">
        <f aca="false">IF(F960="Reverse charge (imported services)",L960,0)</f>
        <v>0</v>
      </c>
      <c r="O960" s="52" t="n">
        <f aca="false">IF(C960&lt;&gt;"Purchase",0,IF(OR(I960="N",F960="Blocked input (entertainment)"),0,L960))</f>
        <v>0</v>
      </c>
      <c r="P960" s="52" t="n">
        <f aca="false">IF(C960&lt;&gt;"Purchase",0,L960-O960)</f>
        <v>0</v>
      </c>
      <c r="Q960" s="53" t="n">
        <f aca="false">J960-B960</f>
        <v>0</v>
      </c>
      <c r="R960" s="51" t="str">
        <f aca="false">IF(I960="N","Invalid / missing TRN",IF(F960="Blocked input (entertainment)","Blocked input",IF(Q960&gt;30,"Late posting (&gt;30d)","")))</f>
        <v/>
      </c>
    </row>
    <row r="961" customFormat="false" ht="15" hidden="false" customHeight="false" outlineLevel="0" collapsed="false">
      <c r="A961" s="47" t="s">
        <v>1247</v>
      </c>
      <c r="B961" s="48" t="n">
        <v>45933</v>
      </c>
      <c r="C961" s="47" t="s">
        <v>166</v>
      </c>
      <c r="D961" s="47" t="s">
        <v>549</v>
      </c>
      <c r="E961" s="47" t="s">
        <v>102</v>
      </c>
      <c r="F961" s="47" t="s">
        <v>161</v>
      </c>
      <c r="G961" s="49" t="n">
        <v>54633.37</v>
      </c>
      <c r="H961" s="50" t="n">
        <v>0.05</v>
      </c>
      <c r="I961" s="47" t="s">
        <v>162</v>
      </c>
      <c r="J961" s="48" t="n">
        <v>45933</v>
      </c>
      <c r="K961" s="51" t="str">
        <f aca="false">"Q"&amp;ROUNDUP(MONTH(B961)/3,0)</f>
        <v>Q4</v>
      </c>
      <c r="L961" s="52" t="n">
        <f aca="false">ROUND(G961*H961,2)</f>
        <v>2731.67</v>
      </c>
      <c r="M961" s="52" t="n">
        <f aca="false">IF(AND(C961="Sales",F961="Standard-rated 5%"),L961,0)</f>
        <v>0</v>
      </c>
      <c r="N961" s="52" t="n">
        <f aca="false">IF(F961="Reverse charge (imported services)",L961,0)</f>
        <v>0</v>
      </c>
      <c r="O961" s="52" t="n">
        <f aca="false">IF(C961&lt;&gt;"Purchase",0,IF(OR(I961="N",F961="Blocked input (entertainment)"),0,L961))</f>
        <v>2731.67</v>
      </c>
      <c r="P961" s="52" t="n">
        <f aca="false">IF(C961&lt;&gt;"Purchase",0,L961-O961)</f>
        <v>0</v>
      </c>
      <c r="Q961" s="53" t="n">
        <f aca="false">J961-B961</f>
        <v>0</v>
      </c>
      <c r="R961" s="51" t="str">
        <f aca="false">IF(I961="N","Invalid / missing TRN",IF(F961="Blocked input (entertainment)","Blocked input",IF(Q961&gt;30,"Late posting (&gt;30d)","")))</f>
        <v/>
      </c>
    </row>
    <row r="962" customFormat="false" ht="15" hidden="false" customHeight="false" outlineLevel="0" collapsed="false">
      <c r="A962" s="47" t="s">
        <v>1248</v>
      </c>
      <c r="B962" s="48" t="n">
        <v>45933</v>
      </c>
      <c r="C962" s="47" t="s">
        <v>159</v>
      </c>
      <c r="D962" s="47" t="s">
        <v>373</v>
      </c>
      <c r="E962" s="47" t="s">
        <v>100</v>
      </c>
      <c r="F962" s="47" t="s">
        <v>161</v>
      </c>
      <c r="G962" s="49" t="n">
        <v>20471.35</v>
      </c>
      <c r="H962" s="50" t="n">
        <v>0.05</v>
      </c>
      <c r="I962" s="47" t="s">
        <v>162</v>
      </c>
      <c r="J962" s="48" t="n">
        <v>45934</v>
      </c>
      <c r="K962" s="51" t="str">
        <f aca="false">"Q"&amp;ROUNDUP(MONTH(B962)/3,0)</f>
        <v>Q4</v>
      </c>
      <c r="L962" s="52" t="n">
        <f aca="false">ROUND(G962*H962,2)</f>
        <v>1023.57</v>
      </c>
      <c r="M962" s="52" t="n">
        <f aca="false">IF(AND(C962="Sales",F962="Standard-rated 5%"),L962,0)</f>
        <v>1023.57</v>
      </c>
      <c r="N962" s="52" t="n">
        <f aca="false">IF(F962="Reverse charge (imported services)",L962,0)</f>
        <v>0</v>
      </c>
      <c r="O962" s="52" t="n">
        <f aca="false">IF(C962&lt;&gt;"Purchase",0,IF(OR(I962="N",F962="Blocked input (entertainment)"),0,L962))</f>
        <v>0</v>
      </c>
      <c r="P962" s="52" t="n">
        <f aca="false">IF(C962&lt;&gt;"Purchase",0,L962-O962)</f>
        <v>0</v>
      </c>
      <c r="Q962" s="53" t="n">
        <f aca="false">J962-B962</f>
        <v>1</v>
      </c>
      <c r="R962" s="51" t="str">
        <f aca="false">IF(I962="N","Invalid / missing TRN",IF(F962="Blocked input (entertainment)","Blocked input",IF(Q962&gt;30,"Late posting (&gt;30d)","")))</f>
        <v/>
      </c>
    </row>
    <row r="963" customFormat="false" ht="15" hidden="false" customHeight="false" outlineLevel="0" collapsed="false">
      <c r="A963" s="47" t="s">
        <v>1249</v>
      </c>
      <c r="B963" s="48" t="n">
        <v>45934</v>
      </c>
      <c r="C963" s="47" t="s">
        <v>166</v>
      </c>
      <c r="D963" s="47" t="s">
        <v>643</v>
      </c>
      <c r="E963" s="47" t="s">
        <v>100</v>
      </c>
      <c r="F963" s="47" t="s">
        <v>161</v>
      </c>
      <c r="G963" s="49" t="n">
        <v>17572.01</v>
      </c>
      <c r="H963" s="50" t="n">
        <v>0.05</v>
      </c>
      <c r="I963" s="47" t="s">
        <v>162</v>
      </c>
      <c r="J963" s="48" t="n">
        <v>45934</v>
      </c>
      <c r="K963" s="51" t="str">
        <f aca="false">"Q"&amp;ROUNDUP(MONTH(B963)/3,0)</f>
        <v>Q4</v>
      </c>
      <c r="L963" s="52" t="n">
        <f aca="false">ROUND(G963*H963,2)</f>
        <v>878.6</v>
      </c>
      <c r="M963" s="52" t="n">
        <f aca="false">IF(AND(C963="Sales",F963="Standard-rated 5%"),L963,0)</f>
        <v>0</v>
      </c>
      <c r="N963" s="52" t="n">
        <f aca="false">IF(F963="Reverse charge (imported services)",L963,0)</f>
        <v>0</v>
      </c>
      <c r="O963" s="52" t="n">
        <f aca="false">IF(C963&lt;&gt;"Purchase",0,IF(OR(I963="N",F963="Blocked input (entertainment)"),0,L963))</f>
        <v>878.6</v>
      </c>
      <c r="P963" s="52" t="n">
        <f aca="false">IF(C963&lt;&gt;"Purchase",0,L963-O963)</f>
        <v>0</v>
      </c>
      <c r="Q963" s="53" t="n">
        <f aca="false">J963-B963</f>
        <v>0</v>
      </c>
      <c r="R963" s="51" t="str">
        <f aca="false">IF(I963="N","Invalid / missing TRN",IF(F963="Blocked input (entertainment)","Blocked input",IF(Q963&gt;30,"Late posting (&gt;30d)","")))</f>
        <v/>
      </c>
    </row>
    <row r="964" customFormat="false" ht="15" hidden="false" customHeight="false" outlineLevel="0" collapsed="false">
      <c r="A964" s="47" t="s">
        <v>1250</v>
      </c>
      <c r="B964" s="48" t="n">
        <v>45934</v>
      </c>
      <c r="C964" s="47" t="s">
        <v>166</v>
      </c>
      <c r="D964" s="47" t="s">
        <v>208</v>
      </c>
      <c r="E964" s="47" t="s">
        <v>104</v>
      </c>
      <c r="F964" s="47" t="s">
        <v>161</v>
      </c>
      <c r="G964" s="49" t="n">
        <v>15861.89</v>
      </c>
      <c r="H964" s="50" t="n">
        <v>0.05</v>
      </c>
      <c r="I964" s="47" t="s">
        <v>162</v>
      </c>
      <c r="J964" s="48" t="n">
        <v>45934</v>
      </c>
      <c r="K964" s="51" t="str">
        <f aca="false">"Q"&amp;ROUNDUP(MONTH(B964)/3,0)</f>
        <v>Q4</v>
      </c>
      <c r="L964" s="52" t="n">
        <f aca="false">ROUND(G964*H964,2)</f>
        <v>793.09</v>
      </c>
      <c r="M964" s="52" t="n">
        <f aca="false">IF(AND(C964="Sales",F964="Standard-rated 5%"),L964,0)</f>
        <v>0</v>
      </c>
      <c r="N964" s="52" t="n">
        <f aca="false">IF(F964="Reverse charge (imported services)",L964,0)</f>
        <v>0</v>
      </c>
      <c r="O964" s="52" t="n">
        <f aca="false">IF(C964&lt;&gt;"Purchase",0,IF(OR(I964="N",F964="Blocked input (entertainment)"),0,L964))</f>
        <v>793.09</v>
      </c>
      <c r="P964" s="52" t="n">
        <f aca="false">IF(C964&lt;&gt;"Purchase",0,L964-O964)</f>
        <v>0</v>
      </c>
      <c r="Q964" s="53" t="n">
        <f aca="false">J964-B964</f>
        <v>0</v>
      </c>
      <c r="R964" s="51" t="str">
        <f aca="false">IF(I964="N","Invalid / missing TRN",IF(F964="Blocked input (entertainment)","Blocked input",IF(Q964&gt;30,"Late posting (&gt;30d)","")))</f>
        <v/>
      </c>
    </row>
    <row r="965" customFormat="false" ht="15" hidden="false" customHeight="false" outlineLevel="0" collapsed="false">
      <c r="A965" s="47" t="s">
        <v>1251</v>
      </c>
      <c r="B965" s="48" t="n">
        <v>45934</v>
      </c>
      <c r="C965" s="47" t="s">
        <v>159</v>
      </c>
      <c r="D965" s="47" t="s">
        <v>225</v>
      </c>
      <c r="E965" s="47" t="s">
        <v>100</v>
      </c>
      <c r="F965" s="47" t="s">
        <v>161</v>
      </c>
      <c r="G965" s="49" t="n">
        <v>164911.25</v>
      </c>
      <c r="H965" s="50" t="n">
        <v>0.05</v>
      </c>
      <c r="I965" s="47" t="s">
        <v>162</v>
      </c>
      <c r="J965" s="48" t="n">
        <v>45936</v>
      </c>
      <c r="K965" s="51" t="str">
        <f aca="false">"Q"&amp;ROUNDUP(MONTH(B965)/3,0)</f>
        <v>Q4</v>
      </c>
      <c r="L965" s="52" t="n">
        <f aca="false">ROUND(G965*H965,2)</f>
        <v>8245.56</v>
      </c>
      <c r="M965" s="52" t="n">
        <f aca="false">IF(AND(C965="Sales",F965="Standard-rated 5%"),L965,0)</f>
        <v>8245.56</v>
      </c>
      <c r="N965" s="52" t="n">
        <f aca="false">IF(F965="Reverse charge (imported services)",L965,0)</f>
        <v>0</v>
      </c>
      <c r="O965" s="52" t="n">
        <f aca="false">IF(C965&lt;&gt;"Purchase",0,IF(OR(I965="N",F965="Blocked input (entertainment)"),0,L965))</f>
        <v>0</v>
      </c>
      <c r="P965" s="52" t="n">
        <f aca="false">IF(C965&lt;&gt;"Purchase",0,L965-O965)</f>
        <v>0</v>
      </c>
      <c r="Q965" s="53" t="n">
        <f aca="false">J965-B965</f>
        <v>2</v>
      </c>
      <c r="R965" s="51" t="str">
        <f aca="false">IF(I965="N","Invalid / missing TRN",IF(F965="Blocked input (entertainment)","Blocked input",IF(Q965&gt;30,"Late posting (&gt;30d)","")))</f>
        <v/>
      </c>
    </row>
    <row r="966" customFormat="false" ht="15" hidden="false" customHeight="false" outlineLevel="0" collapsed="false">
      <c r="A966" s="47" t="s">
        <v>1252</v>
      </c>
      <c r="B966" s="48" t="n">
        <v>45935</v>
      </c>
      <c r="C966" s="47" t="s">
        <v>166</v>
      </c>
      <c r="D966" s="47" t="s">
        <v>514</v>
      </c>
      <c r="E966" s="47" t="s">
        <v>102</v>
      </c>
      <c r="F966" s="47" t="s">
        <v>161</v>
      </c>
      <c r="G966" s="49" t="n">
        <v>21719.7</v>
      </c>
      <c r="H966" s="50" t="n">
        <v>0.05</v>
      </c>
      <c r="I966" s="47" t="s">
        <v>162</v>
      </c>
      <c r="J966" s="48" t="n">
        <v>45935</v>
      </c>
      <c r="K966" s="51" t="str">
        <f aca="false">"Q"&amp;ROUNDUP(MONTH(B966)/3,0)</f>
        <v>Q4</v>
      </c>
      <c r="L966" s="52" t="n">
        <f aca="false">ROUND(G966*H966,2)</f>
        <v>1085.99</v>
      </c>
      <c r="M966" s="52" t="n">
        <f aca="false">IF(AND(C966="Sales",F966="Standard-rated 5%"),L966,0)</f>
        <v>0</v>
      </c>
      <c r="N966" s="52" t="n">
        <f aca="false">IF(F966="Reverse charge (imported services)",L966,0)</f>
        <v>0</v>
      </c>
      <c r="O966" s="52" t="n">
        <f aca="false">IF(C966&lt;&gt;"Purchase",0,IF(OR(I966="N",F966="Blocked input (entertainment)"),0,L966))</f>
        <v>1085.99</v>
      </c>
      <c r="P966" s="52" t="n">
        <f aca="false">IF(C966&lt;&gt;"Purchase",0,L966-O966)</f>
        <v>0</v>
      </c>
      <c r="Q966" s="53" t="n">
        <f aca="false">J966-B966</f>
        <v>0</v>
      </c>
      <c r="R966" s="51" t="str">
        <f aca="false">IF(I966="N","Invalid / missing TRN",IF(F966="Blocked input (entertainment)","Blocked input",IF(Q966&gt;30,"Late posting (&gt;30d)","")))</f>
        <v/>
      </c>
    </row>
    <row r="967" customFormat="false" ht="15" hidden="false" customHeight="false" outlineLevel="0" collapsed="false">
      <c r="A967" s="47" t="s">
        <v>1253</v>
      </c>
      <c r="B967" s="48" t="n">
        <v>45935</v>
      </c>
      <c r="C967" s="47" t="s">
        <v>166</v>
      </c>
      <c r="D967" s="47" t="s">
        <v>196</v>
      </c>
      <c r="E967" s="47" t="s">
        <v>105</v>
      </c>
      <c r="F967" s="47" t="s">
        <v>161</v>
      </c>
      <c r="G967" s="49" t="n">
        <v>2893.65</v>
      </c>
      <c r="H967" s="50" t="n">
        <v>0.05</v>
      </c>
      <c r="I967" s="47" t="s">
        <v>162</v>
      </c>
      <c r="J967" s="48" t="n">
        <v>45937</v>
      </c>
      <c r="K967" s="51" t="str">
        <f aca="false">"Q"&amp;ROUNDUP(MONTH(B967)/3,0)</f>
        <v>Q4</v>
      </c>
      <c r="L967" s="52" t="n">
        <f aca="false">ROUND(G967*H967,2)</f>
        <v>144.68</v>
      </c>
      <c r="M967" s="52" t="n">
        <f aca="false">IF(AND(C967="Sales",F967="Standard-rated 5%"),L967,0)</f>
        <v>0</v>
      </c>
      <c r="N967" s="52" t="n">
        <f aca="false">IF(F967="Reverse charge (imported services)",L967,0)</f>
        <v>0</v>
      </c>
      <c r="O967" s="52" t="n">
        <f aca="false">IF(C967&lt;&gt;"Purchase",0,IF(OR(I967="N",F967="Blocked input (entertainment)"),0,L967))</f>
        <v>144.68</v>
      </c>
      <c r="P967" s="52" t="n">
        <f aca="false">IF(C967&lt;&gt;"Purchase",0,L967-O967)</f>
        <v>0</v>
      </c>
      <c r="Q967" s="53" t="n">
        <f aca="false">J967-B967</f>
        <v>2</v>
      </c>
      <c r="R967" s="51" t="str">
        <f aca="false">IF(I967="N","Invalid / missing TRN",IF(F967="Blocked input (entertainment)","Blocked input",IF(Q967&gt;30,"Late posting (&gt;30d)","")))</f>
        <v/>
      </c>
    </row>
    <row r="968" customFormat="false" ht="15" hidden="false" customHeight="false" outlineLevel="0" collapsed="false">
      <c r="A968" s="47" t="s">
        <v>1254</v>
      </c>
      <c r="B968" s="48" t="n">
        <v>45935</v>
      </c>
      <c r="C968" s="47" t="s">
        <v>159</v>
      </c>
      <c r="D968" s="47" t="s">
        <v>534</v>
      </c>
      <c r="E968" s="47" t="s">
        <v>100</v>
      </c>
      <c r="F968" s="47" t="s">
        <v>161</v>
      </c>
      <c r="G968" s="49" t="n">
        <v>58850.36</v>
      </c>
      <c r="H968" s="50" t="n">
        <v>0.05</v>
      </c>
      <c r="I968" s="47" t="s">
        <v>162</v>
      </c>
      <c r="J968" s="48" t="n">
        <v>45935</v>
      </c>
      <c r="K968" s="51" t="str">
        <f aca="false">"Q"&amp;ROUNDUP(MONTH(B968)/3,0)</f>
        <v>Q4</v>
      </c>
      <c r="L968" s="52" t="n">
        <f aca="false">ROUND(G968*H968,2)</f>
        <v>2942.52</v>
      </c>
      <c r="M968" s="52" t="n">
        <f aca="false">IF(AND(C968="Sales",F968="Standard-rated 5%"),L968,0)</f>
        <v>2942.52</v>
      </c>
      <c r="N968" s="52" t="n">
        <f aca="false">IF(F968="Reverse charge (imported services)",L968,0)</f>
        <v>0</v>
      </c>
      <c r="O968" s="52" t="n">
        <f aca="false">IF(C968&lt;&gt;"Purchase",0,IF(OR(I968="N",F968="Blocked input (entertainment)"),0,L968))</f>
        <v>0</v>
      </c>
      <c r="P968" s="52" t="n">
        <f aca="false">IF(C968&lt;&gt;"Purchase",0,L968-O968)</f>
        <v>0</v>
      </c>
      <c r="Q968" s="53" t="n">
        <f aca="false">J968-B968</f>
        <v>0</v>
      </c>
      <c r="R968" s="51" t="str">
        <f aca="false">IF(I968="N","Invalid / missing TRN",IF(F968="Blocked input (entertainment)","Blocked input",IF(Q968&gt;30,"Late posting (&gt;30d)","")))</f>
        <v/>
      </c>
    </row>
    <row r="969" customFormat="false" ht="15" hidden="false" customHeight="false" outlineLevel="0" collapsed="false">
      <c r="A969" s="47" t="s">
        <v>1255</v>
      </c>
      <c r="B969" s="48" t="n">
        <v>45936</v>
      </c>
      <c r="C969" s="47" t="s">
        <v>166</v>
      </c>
      <c r="D969" s="47" t="s">
        <v>649</v>
      </c>
      <c r="E969" s="47" t="s">
        <v>100</v>
      </c>
      <c r="F969" s="47" t="s">
        <v>161</v>
      </c>
      <c r="G969" s="49" t="n">
        <v>10445.83</v>
      </c>
      <c r="H969" s="50" t="n">
        <v>0.05</v>
      </c>
      <c r="I969" s="47" t="s">
        <v>162</v>
      </c>
      <c r="J969" s="48" t="n">
        <v>45936</v>
      </c>
      <c r="K969" s="51" t="str">
        <f aca="false">"Q"&amp;ROUNDUP(MONTH(B969)/3,0)</f>
        <v>Q4</v>
      </c>
      <c r="L969" s="52" t="n">
        <f aca="false">ROUND(G969*H969,2)</f>
        <v>522.29</v>
      </c>
      <c r="M969" s="52" t="n">
        <f aca="false">IF(AND(C969="Sales",F969="Standard-rated 5%"),L969,0)</f>
        <v>0</v>
      </c>
      <c r="N969" s="52" t="n">
        <f aca="false">IF(F969="Reverse charge (imported services)",L969,0)</f>
        <v>0</v>
      </c>
      <c r="O969" s="52" t="n">
        <f aca="false">IF(C969&lt;&gt;"Purchase",0,IF(OR(I969="N",F969="Blocked input (entertainment)"),0,L969))</f>
        <v>522.29</v>
      </c>
      <c r="P969" s="52" t="n">
        <f aca="false">IF(C969&lt;&gt;"Purchase",0,L969-O969)</f>
        <v>0</v>
      </c>
      <c r="Q969" s="53" t="n">
        <f aca="false">J969-B969</f>
        <v>0</v>
      </c>
      <c r="R969" s="51" t="str">
        <f aca="false">IF(I969="N","Invalid / missing TRN",IF(F969="Blocked input (entertainment)","Blocked input",IF(Q969&gt;30,"Late posting (&gt;30d)","")))</f>
        <v/>
      </c>
    </row>
    <row r="970" customFormat="false" ht="15" hidden="false" customHeight="false" outlineLevel="0" collapsed="false">
      <c r="A970" s="47" t="s">
        <v>1256</v>
      </c>
      <c r="B970" s="48" t="n">
        <v>45936</v>
      </c>
      <c r="C970" s="47" t="s">
        <v>166</v>
      </c>
      <c r="D970" s="47" t="s">
        <v>199</v>
      </c>
      <c r="E970" s="47" t="s">
        <v>100</v>
      </c>
      <c r="F970" s="47" t="s">
        <v>161</v>
      </c>
      <c r="G970" s="49" t="n">
        <v>35857.73</v>
      </c>
      <c r="H970" s="50" t="n">
        <v>0.05</v>
      </c>
      <c r="I970" s="47" t="s">
        <v>162</v>
      </c>
      <c r="J970" s="48" t="n">
        <v>45937</v>
      </c>
      <c r="K970" s="51" t="str">
        <f aca="false">"Q"&amp;ROUNDUP(MONTH(B970)/3,0)</f>
        <v>Q4</v>
      </c>
      <c r="L970" s="52" t="n">
        <f aca="false">ROUND(G970*H970,2)</f>
        <v>1792.89</v>
      </c>
      <c r="M970" s="52" t="n">
        <f aca="false">IF(AND(C970="Sales",F970="Standard-rated 5%"),L970,0)</f>
        <v>0</v>
      </c>
      <c r="N970" s="52" t="n">
        <f aca="false">IF(F970="Reverse charge (imported services)",L970,0)</f>
        <v>0</v>
      </c>
      <c r="O970" s="52" t="n">
        <f aca="false">IF(C970&lt;&gt;"Purchase",0,IF(OR(I970="N",F970="Blocked input (entertainment)"),0,L970))</f>
        <v>1792.89</v>
      </c>
      <c r="P970" s="52" t="n">
        <f aca="false">IF(C970&lt;&gt;"Purchase",0,L970-O970)</f>
        <v>0</v>
      </c>
      <c r="Q970" s="53" t="n">
        <f aca="false">J970-B970</f>
        <v>1</v>
      </c>
      <c r="R970" s="51" t="str">
        <f aca="false">IF(I970="N","Invalid / missing TRN",IF(F970="Blocked input (entertainment)","Blocked input",IF(Q970&gt;30,"Late posting (&gt;30d)","")))</f>
        <v/>
      </c>
    </row>
    <row r="971" customFormat="false" ht="15" hidden="false" customHeight="false" outlineLevel="0" collapsed="false">
      <c r="A971" s="47" t="s">
        <v>1257</v>
      </c>
      <c r="B971" s="48" t="n">
        <v>45936</v>
      </c>
      <c r="C971" s="47" t="s">
        <v>159</v>
      </c>
      <c r="D971" s="47" t="s">
        <v>262</v>
      </c>
      <c r="E971" s="47" t="s">
        <v>103</v>
      </c>
      <c r="F971" s="47" t="s">
        <v>214</v>
      </c>
      <c r="G971" s="49" t="n">
        <v>50036.77</v>
      </c>
      <c r="H971" s="50" t="n">
        <v>0</v>
      </c>
      <c r="I971" s="47" t="s">
        <v>162</v>
      </c>
      <c r="J971" s="48" t="n">
        <v>45936</v>
      </c>
      <c r="K971" s="51" t="str">
        <f aca="false">"Q"&amp;ROUNDUP(MONTH(B971)/3,0)</f>
        <v>Q4</v>
      </c>
      <c r="L971" s="52" t="n">
        <f aca="false">ROUND(G971*H971,2)</f>
        <v>0</v>
      </c>
      <c r="M971" s="52" t="n">
        <f aca="false">IF(AND(C971="Sales",F971="Standard-rated 5%"),L971,0)</f>
        <v>0</v>
      </c>
      <c r="N971" s="52" t="n">
        <f aca="false">IF(F971="Reverse charge (imported services)",L971,0)</f>
        <v>0</v>
      </c>
      <c r="O971" s="52" t="n">
        <f aca="false">IF(C971&lt;&gt;"Purchase",0,IF(OR(I971="N",F971="Blocked input (entertainment)"),0,L971))</f>
        <v>0</v>
      </c>
      <c r="P971" s="52" t="n">
        <f aca="false">IF(C971&lt;&gt;"Purchase",0,L971-O971)</f>
        <v>0</v>
      </c>
      <c r="Q971" s="53" t="n">
        <f aca="false">J971-B971</f>
        <v>0</v>
      </c>
      <c r="R971" s="51" t="str">
        <f aca="false">IF(I971="N","Invalid / missing TRN",IF(F971="Blocked input (entertainment)","Blocked input",IF(Q971&gt;30,"Late posting (&gt;30d)","")))</f>
        <v/>
      </c>
    </row>
    <row r="972" customFormat="false" ht="15" hidden="false" customHeight="false" outlineLevel="0" collapsed="false">
      <c r="A972" s="47" t="s">
        <v>1258</v>
      </c>
      <c r="B972" s="48" t="n">
        <v>45937</v>
      </c>
      <c r="C972" s="47" t="s">
        <v>166</v>
      </c>
      <c r="D972" s="47" t="s">
        <v>274</v>
      </c>
      <c r="E972" s="47" t="s">
        <v>104</v>
      </c>
      <c r="F972" s="47" t="s">
        <v>161</v>
      </c>
      <c r="G972" s="49" t="n">
        <v>10336.25</v>
      </c>
      <c r="H972" s="50" t="n">
        <v>0.05</v>
      </c>
      <c r="I972" s="47" t="s">
        <v>162</v>
      </c>
      <c r="J972" s="48" t="n">
        <v>45937</v>
      </c>
      <c r="K972" s="51" t="str">
        <f aca="false">"Q"&amp;ROUNDUP(MONTH(B972)/3,0)</f>
        <v>Q4</v>
      </c>
      <c r="L972" s="52" t="n">
        <f aca="false">ROUND(G972*H972,2)</f>
        <v>516.81</v>
      </c>
      <c r="M972" s="52" t="n">
        <f aca="false">IF(AND(C972="Sales",F972="Standard-rated 5%"),L972,0)</f>
        <v>0</v>
      </c>
      <c r="N972" s="52" t="n">
        <f aca="false">IF(F972="Reverse charge (imported services)",L972,0)</f>
        <v>0</v>
      </c>
      <c r="O972" s="52" t="n">
        <f aca="false">IF(C972&lt;&gt;"Purchase",0,IF(OR(I972="N",F972="Blocked input (entertainment)"),0,L972))</f>
        <v>516.81</v>
      </c>
      <c r="P972" s="52" t="n">
        <f aca="false">IF(C972&lt;&gt;"Purchase",0,L972-O972)</f>
        <v>0</v>
      </c>
      <c r="Q972" s="53" t="n">
        <f aca="false">J972-B972</f>
        <v>0</v>
      </c>
      <c r="R972" s="51" t="str">
        <f aca="false">IF(I972="N","Invalid / missing TRN",IF(F972="Blocked input (entertainment)","Blocked input",IF(Q972&gt;30,"Late posting (&gt;30d)","")))</f>
        <v/>
      </c>
    </row>
    <row r="973" customFormat="false" ht="15" hidden="false" customHeight="false" outlineLevel="0" collapsed="false">
      <c r="A973" s="47" t="s">
        <v>1259</v>
      </c>
      <c r="B973" s="48" t="n">
        <v>45937</v>
      </c>
      <c r="C973" s="47" t="s">
        <v>159</v>
      </c>
      <c r="D973" s="47" t="s">
        <v>439</v>
      </c>
      <c r="E973" s="47" t="s">
        <v>101</v>
      </c>
      <c r="F973" s="47" t="s">
        <v>278</v>
      </c>
      <c r="G973" s="49" t="n">
        <v>5627.98</v>
      </c>
      <c r="H973" s="50" t="n">
        <v>0</v>
      </c>
      <c r="I973" s="47" t="s">
        <v>162</v>
      </c>
      <c r="J973" s="48" t="n">
        <v>45937</v>
      </c>
      <c r="K973" s="51" t="str">
        <f aca="false">"Q"&amp;ROUNDUP(MONTH(B973)/3,0)</f>
        <v>Q4</v>
      </c>
      <c r="L973" s="52" t="n">
        <f aca="false">ROUND(G973*H973,2)</f>
        <v>0</v>
      </c>
      <c r="M973" s="52" t="n">
        <f aca="false">IF(AND(C973="Sales",F973="Standard-rated 5%"),L973,0)</f>
        <v>0</v>
      </c>
      <c r="N973" s="52" t="n">
        <f aca="false">IF(F973="Reverse charge (imported services)",L973,0)</f>
        <v>0</v>
      </c>
      <c r="O973" s="52" t="n">
        <f aca="false">IF(C973&lt;&gt;"Purchase",0,IF(OR(I973="N",F973="Blocked input (entertainment)"),0,L973))</f>
        <v>0</v>
      </c>
      <c r="P973" s="52" t="n">
        <f aca="false">IF(C973&lt;&gt;"Purchase",0,L973-O973)</f>
        <v>0</v>
      </c>
      <c r="Q973" s="53" t="n">
        <f aca="false">J973-B973</f>
        <v>0</v>
      </c>
      <c r="R973" s="51" t="str">
        <f aca="false">IF(I973="N","Invalid / missing TRN",IF(F973="Blocked input (entertainment)","Blocked input",IF(Q973&gt;30,"Late posting (&gt;30d)","")))</f>
        <v/>
      </c>
    </row>
    <row r="974" customFormat="false" ht="15" hidden="false" customHeight="false" outlineLevel="0" collapsed="false">
      <c r="A974" s="47" t="s">
        <v>1260</v>
      </c>
      <c r="B974" s="48" t="n">
        <v>45938</v>
      </c>
      <c r="C974" s="47" t="s">
        <v>166</v>
      </c>
      <c r="D974" s="47" t="s">
        <v>288</v>
      </c>
      <c r="E974" s="47" t="s">
        <v>100</v>
      </c>
      <c r="F974" s="47" t="s">
        <v>161</v>
      </c>
      <c r="G974" s="49" t="n">
        <v>42986.42</v>
      </c>
      <c r="H974" s="50" t="n">
        <v>0.05</v>
      </c>
      <c r="I974" s="47" t="s">
        <v>162</v>
      </c>
      <c r="J974" s="48" t="n">
        <v>45938</v>
      </c>
      <c r="K974" s="51" t="str">
        <f aca="false">"Q"&amp;ROUNDUP(MONTH(B974)/3,0)</f>
        <v>Q4</v>
      </c>
      <c r="L974" s="52" t="n">
        <f aca="false">ROUND(G974*H974,2)</f>
        <v>2149.32</v>
      </c>
      <c r="M974" s="52" t="n">
        <f aca="false">IF(AND(C974="Sales",F974="Standard-rated 5%"),L974,0)</f>
        <v>0</v>
      </c>
      <c r="N974" s="52" t="n">
        <f aca="false">IF(F974="Reverse charge (imported services)",L974,0)</f>
        <v>0</v>
      </c>
      <c r="O974" s="52" t="n">
        <f aca="false">IF(C974&lt;&gt;"Purchase",0,IF(OR(I974="N",F974="Blocked input (entertainment)"),0,L974))</f>
        <v>2149.32</v>
      </c>
      <c r="P974" s="52" t="n">
        <f aca="false">IF(C974&lt;&gt;"Purchase",0,L974-O974)</f>
        <v>0</v>
      </c>
      <c r="Q974" s="53" t="n">
        <f aca="false">J974-B974</f>
        <v>0</v>
      </c>
      <c r="R974" s="51" t="str">
        <f aca="false">IF(I974="N","Invalid / missing TRN",IF(F974="Blocked input (entertainment)","Blocked input",IF(Q974&gt;30,"Late posting (&gt;30d)","")))</f>
        <v/>
      </c>
    </row>
    <row r="975" customFormat="false" ht="15" hidden="false" customHeight="false" outlineLevel="0" collapsed="false">
      <c r="A975" s="47" t="s">
        <v>1261</v>
      </c>
      <c r="B975" s="48" t="n">
        <v>45938</v>
      </c>
      <c r="C975" s="47" t="s">
        <v>166</v>
      </c>
      <c r="D975" s="47" t="s">
        <v>257</v>
      </c>
      <c r="E975" s="47" t="s">
        <v>100</v>
      </c>
      <c r="F975" s="47" t="s">
        <v>161</v>
      </c>
      <c r="G975" s="49" t="n">
        <v>164848.91</v>
      </c>
      <c r="H975" s="50" t="n">
        <v>0.05</v>
      </c>
      <c r="I975" s="47" t="s">
        <v>162</v>
      </c>
      <c r="J975" s="48" t="n">
        <v>45938</v>
      </c>
      <c r="K975" s="51" t="str">
        <f aca="false">"Q"&amp;ROUNDUP(MONTH(B975)/3,0)</f>
        <v>Q4</v>
      </c>
      <c r="L975" s="52" t="n">
        <f aca="false">ROUND(G975*H975,2)</f>
        <v>8242.45</v>
      </c>
      <c r="M975" s="52" t="n">
        <f aca="false">IF(AND(C975="Sales",F975="Standard-rated 5%"),L975,0)</f>
        <v>0</v>
      </c>
      <c r="N975" s="52" t="n">
        <f aca="false">IF(F975="Reverse charge (imported services)",L975,0)</f>
        <v>0</v>
      </c>
      <c r="O975" s="52" t="n">
        <f aca="false">IF(C975&lt;&gt;"Purchase",0,IF(OR(I975="N",F975="Blocked input (entertainment)"),0,L975))</f>
        <v>8242.45</v>
      </c>
      <c r="P975" s="52" t="n">
        <f aca="false">IF(C975&lt;&gt;"Purchase",0,L975-O975)</f>
        <v>0</v>
      </c>
      <c r="Q975" s="53" t="n">
        <f aca="false">J975-B975</f>
        <v>0</v>
      </c>
      <c r="R975" s="51" t="str">
        <f aca="false">IF(I975="N","Invalid / missing TRN",IF(F975="Blocked input (entertainment)","Blocked input",IF(Q975&gt;30,"Late posting (&gt;30d)","")))</f>
        <v/>
      </c>
    </row>
    <row r="976" customFormat="false" ht="15" hidden="false" customHeight="false" outlineLevel="0" collapsed="false">
      <c r="A976" s="47" t="s">
        <v>1262</v>
      </c>
      <c r="B976" s="48" t="n">
        <v>45938</v>
      </c>
      <c r="C976" s="47" t="s">
        <v>159</v>
      </c>
      <c r="D976" s="47" t="s">
        <v>534</v>
      </c>
      <c r="E976" s="47" t="s">
        <v>102</v>
      </c>
      <c r="F976" s="47" t="s">
        <v>161</v>
      </c>
      <c r="G976" s="49" t="n">
        <v>38850.3</v>
      </c>
      <c r="H976" s="50" t="n">
        <v>0.05</v>
      </c>
      <c r="I976" s="47" t="s">
        <v>162</v>
      </c>
      <c r="J976" s="48" t="n">
        <v>45938</v>
      </c>
      <c r="K976" s="51" t="str">
        <f aca="false">"Q"&amp;ROUNDUP(MONTH(B976)/3,0)</f>
        <v>Q4</v>
      </c>
      <c r="L976" s="52" t="n">
        <f aca="false">ROUND(G976*H976,2)</f>
        <v>1942.52</v>
      </c>
      <c r="M976" s="52" t="n">
        <f aca="false">IF(AND(C976="Sales",F976="Standard-rated 5%"),L976,0)</f>
        <v>1942.52</v>
      </c>
      <c r="N976" s="52" t="n">
        <f aca="false">IF(F976="Reverse charge (imported services)",L976,0)</f>
        <v>0</v>
      </c>
      <c r="O976" s="52" t="n">
        <f aca="false">IF(C976&lt;&gt;"Purchase",0,IF(OR(I976="N",F976="Blocked input (entertainment)"),0,L976))</f>
        <v>0</v>
      </c>
      <c r="P976" s="52" t="n">
        <f aca="false">IF(C976&lt;&gt;"Purchase",0,L976-O976)</f>
        <v>0</v>
      </c>
      <c r="Q976" s="53" t="n">
        <f aca="false">J976-B976</f>
        <v>0</v>
      </c>
      <c r="R976" s="51" t="str">
        <f aca="false">IF(I976="N","Invalid / missing TRN",IF(F976="Blocked input (entertainment)","Blocked input",IF(Q976&gt;30,"Late posting (&gt;30d)","")))</f>
        <v/>
      </c>
    </row>
    <row r="977" customFormat="false" ht="15" hidden="false" customHeight="false" outlineLevel="0" collapsed="false">
      <c r="A977" s="47" t="s">
        <v>1263</v>
      </c>
      <c r="B977" s="48" t="n">
        <v>45938</v>
      </c>
      <c r="C977" s="47" t="s">
        <v>159</v>
      </c>
      <c r="D977" s="47" t="s">
        <v>290</v>
      </c>
      <c r="E977" s="47" t="s">
        <v>101</v>
      </c>
      <c r="F977" s="47" t="s">
        <v>161</v>
      </c>
      <c r="G977" s="49" t="n">
        <v>44914.57</v>
      </c>
      <c r="H977" s="50" t="n">
        <v>0.05</v>
      </c>
      <c r="I977" s="47" t="s">
        <v>162</v>
      </c>
      <c r="J977" s="48" t="n">
        <v>45940</v>
      </c>
      <c r="K977" s="51" t="str">
        <f aca="false">"Q"&amp;ROUNDUP(MONTH(B977)/3,0)</f>
        <v>Q4</v>
      </c>
      <c r="L977" s="52" t="n">
        <f aca="false">ROUND(G977*H977,2)</f>
        <v>2245.73</v>
      </c>
      <c r="M977" s="52" t="n">
        <f aca="false">IF(AND(C977="Sales",F977="Standard-rated 5%"),L977,0)</f>
        <v>2245.73</v>
      </c>
      <c r="N977" s="52" t="n">
        <f aca="false">IF(F977="Reverse charge (imported services)",L977,0)</f>
        <v>0</v>
      </c>
      <c r="O977" s="52" t="n">
        <f aca="false">IF(C977&lt;&gt;"Purchase",0,IF(OR(I977="N",F977="Blocked input (entertainment)"),0,L977))</f>
        <v>0</v>
      </c>
      <c r="P977" s="52" t="n">
        <f aca="false">IF(C977&lt;&gt;"Purchase",0,L977-O977)</f>
        <v>0</v>
      </c>
      <c r="Q977" s="53" t="n">
        <f aca="false">J977-B977</f>
        <v>2</v>
      </c>
      <c r="R977" s="51" t="str">
        <f aca="false">IF(I977="N","Invalid / missing TRN",IF(F977="Blocked input (entertainment)","Blocked input",IF(Q977&gt;30,"Late posting (&gt;30d)","")))</f>
        <v/>
      </c>
    </row>
    <row r="978" customFormat="false" ht="15" hidden="false" customHeight="false" outlineLevel="0" collapsed="false">
      <c r="A978" s="47" t="s">
        <v>1264</v>
      </c>
      <c r="B978" s="48" t="n">
        <v>45938</v>
      </c>
      <c r="C978" s="47" t="s">
        <v>159</v>
      </c>
      <c r="D978" s="47" t="s">
        <v>627</v>
      </c>
      <c r="E978" s="47" t="s">
        <v>101</v>
      </c>
      <c r="F978" s="47" t="s">
        <v>278</v>
      </c>
      <c r="G978" s="49" t="n">
        <v>25180.74</v>
      </c>
      <c r="H978" s="50" t="n">
        <v>0</v>
      </c>
      <c r="I978" s="47" t="s">
        <v>162</v>
      </c>
      <c r="J978" s="48" t="n">
        <v>45938</v>
      </c>
      <c r="K978" s="51" t="str">
        <f aca="false">"Q"&amp;ROUNDUP(MONTH(B978)/3,0)</f>
        <v>Q4</v>
      </c>
      <c r="L978" s="52" t="n">
        <f aca="false">ROUND(G978*H978,2)</f>
        <v>0</v>
      </c>
      <c r="M978" s="52" t="n">
        <f aca="false">IF(AND(C978="Sales",F978="Standard-rated 5%"),L978,0)</f>
        <v>0</v>
      </c>
      <c r="N978" s="52" t="n">
        <f aca="false">IF(F978="Reverse charge (imported services)",L978,0)</f>
        <v>0</v>
      </c>
      <c r="O978" s="52" t="n">
        <f aca="false">IF(C978&lt;&gt;"Purchase",0,IF(OR(I978="N",F978="Blocked input (entertainment)"),0,L978))</f>
        <v>0</v>
      </c>
      <c r="P978" s="52" t="n">
        <f aca="false">IF(C978&lt;&gt;"Purchase",0,L978-O978)</f>
        <v>0</v>
      </c>
      <c r="Q978" s="53" t="n">
        <f aca="false">J978-B978</f>
        <v>0</v>
      </c>
      <c r="R978" s="51" t="str">
        <f aca="false">IF(I978="N","Invalid / missing TRN",IF(F978="Blocked input (entertainment)","Blocked input",IF(Q978&gt;30,"Late posting (&gt;30d)","")))</f>
        <v/>
      </c>
    </row>
    <row r="979" customFormat="false" ht="15" hidden="false" customHeight="false" outlineLevel="0" collapsed="false">
      <c r="A979" s="47" t="s">
        <v>1265</v>
      </c>
      <c r="B979" s="48" t="n">
        <v>45939</v>
      </c>
      <c r="C979" s="47" t="s">
        <v>166</v>
      </c>
      <c r="D979" s="47" t="s">
        <v>390</v>
      </c>
      <c r="E979" s="47" t="s">
        <v>105</v>
      </c>
      <c r="F979" s="47" t="s">
        <v>161</v>
      </c>
      <c r="G979" s="49" t="n">
        <v>12174.41</v>
      </c>
      <c r="H979" s="50" t="n">
        <v>0.05</v>
      </c>
      <c r="I979" s="47" t="s">
        <v>162</v>
      </c>
      <c r="J979" s="48" t="n">
        <v>45939</v>
      </c>
      <c r="K979" s="51" t="str">
        <f aca="false">"Q"&amp;ROUNDUP(MONTH(B979)/3,0)</f>
        <v>Q4</v>
      </c>
      <c r="L979" s="52" t="n">
        <f aca="false">ROUND(G979*H979,2)</f>
        <v>608.72</v>
      </c>
      <c r="M979" s="52" t="n">
        <f aca="false">IF(AND(C979="Sales",F979="Standard-rated 5%"),L979,0)</f>
        <v>0</v>
      </c>
      <c r="N979" s="52" t="n">
        <f aca="false">IF(F979="Reverse charge (imported services)",L979,0)</f>
        <v>0</v>
      </c>
      <c r="O979" s="52" t="n">
        <f aca="false">IF(C979&lt;&gt;"Purchase",0,IF(OR(I979="N",F979="Blocked input (entertainment)"),0,L979))</f>
        <v>608.72</v>
      </c>
      <c r="P979" s="52" t="n">
        <f aca="false">IF(C979&lt;&gt;"Purchase",0,L979-O979)</f>
        <v>0</v>
      </c>
      <c r="Q979" s="53" t="n">
        <f aca="false">J979-B979</f>
        <v>0</v>
      </c>
      <c r="R979" s="51" t="str">
        <f aca="false">IF(I979="N","Invalid / missing TRN",IF(F979="Blocked input (entertainment)","Blocked input",IF(Q979&gt;30,"Late posting (&gt;30d)","")))</f>
        <v/>
      </c>
    </row>
    <row r="980" customFormat="false" ht="15" hidden="false" customHeight="false" outlineLevel="0" collapsed="false">
      <c r="A980" s="47" t="s">
        <v>1266</v>
      </c>
      <c r="B980" s="48" t="n">
        <v>45940</v>
      </c>
      <c r="C980" s="47" t="s">
        <v>159</v>
      </c>
      <c r="D980" s="47" t="s">
        <v>262</v>
      </c>
      <c r="E980" s="47" t="s">
        <v>102</v>
      </c>
      <c r="F980" s="47" t="s">
        <v>161</v>
      </c>
      <c r="G980" s="49" t="n">
        <v>65365.19</v>
      </c>
      <c r="H980" s="50" t="n">
        <v>0.05</v>
      </c>
      <c r="I980" s="47" t="s">
        <v>162</v>
      </c>
      <c r="J980" s="48" t="n">
        <v>45980</v>
      </c>
      <c r="K980" s="51" t="str">
        <f aca="false">"Q"&amp;ROUNDUP(MONTH(B980)/3,0)</f>
        <v>Q4</v>
      </c>
      <c r="L980" s="52" t="n">
        <f aca="false">ROUND(G980*H980,2)</f>
        <v>3268.26</v>
      </c>
      <c r="M980" s="52" t="n">
        <f aca="false">IF(AND(C980="Sales",F980="Standard-rated 5%"),L980,0)</f>
        <v>3268.26</v>
      </c>
      <c r="N980" s="52" t="n">
        <f aca="false">IF(F980="Reverse charge (imported services)",L980,0)</f>
        <v>0</v>
      </c>
      <c r="O980" s="52" t="n">
        <f aca="false">IF(C980&lt;&gt;"Purchase",0,IF(OR(I980="N",F980="Blocked input (entertainment)"),0,L980))</f>
        <v>0</v>
      </c>
      <c r="P980" s="52" t="n">
        <f aca="false">IF(C980&lt;&gt;"Purchase",0,L980-O980)</f>
        <v>0</v>
      </c>
      <c r="Q980" s="53" t="n">
        <f aca="false">J980-B980</f>
        <v>40</v>
      </c>
      <c r="R980" s="51" t="str">
        <f aca="false">IF(I980="N","Invalid / missing TRN",IF(F980="Blocked input (entertainment)","Blocked input",IF(Q980&gt;30,"Late posting (&gt;30d)","")))</f>
        <v>Late posting (&gt;30d)</v>
      </c>
    </row>
    <row r="981" customFormat="false" ht="15" hidden="false" customHeight="false" outlineLevel="0" collapsed="false">
      <c r="A981" s="47" t="s">
        <v>1267</v>
      </c>
      <c r="B981" s="48" t="n">
        <v>45940</v>
      </c>
      <c r="C981" s="47" t="s">
        <v>159</v>
      </c>
      <c r="D981" s="47" t="s">
        <v>439</v>
      </c>
      <c r="E981" s="47" t="s">
        <v>101</v>
      </c>
      <c r="F981" s="47" t="s">
        <v>161</v>
      </c>
      <c r="G981" s="49" t="n">
        <v>39331.57</v>
      </c>
      <c r="H981" s="50" t="n">
        <v>0.05</v>
      </c>
      <c r="I981" s="47" t="s">
        <v>162</v>
      </c>
      <c r="J981" s="48" t="n">
        <v>45940</v>
      </c>
      <c r="K981" s="51" t="str">
        <f aca="false">"Q"&amp;ROUNDUP(MONTH(B981)/3,0)</f>
        <v>Q4</v>
      </c>
      <c r="L981" s="52" t="n">
        <f aca="false">ROUND(G981*H981,2)</f>
        <v>1966.58</v>
      </c>
      <c r="M981" s="52" t="n">
        <f aca="false">IF(AND(C981="Sales",F981="Standard-rated 5%"),L981,0)</f>
        <v>1966.58</v>
      </c>
      <c r="N981" s="52" t="n">
        <f aca="false">IF(F981="Reverse charge (imported services)",L981,0)</f>
        <v>0</v>
      </c>
      <c r="O981" s="52" t="n">
        <f aca="false">IF(C981&lt;&gt;"Purchase",0,IF(OR(I981="N",F981="Blocked input (entertainment)"),0,L981))</f>
        <v>0</v>
      </c>
      <c r="P981" s="52" t="n">
        <f aca="false">IF(C981&lt;&gt;"Purchase",0,L981-O981)</f>
        <v>0</v>
      </c>
      <c r="Q981" s="53" t="n">
        <f aca="false">J981-B981</f>
        <v>0</v>
      </c>
      <c r="R981" s="51" t="str">
        <f aca="false">IF(I981="N","Invalid / missing TRN",IF(F981="Blocked input (entertainment)","Blocked input",IF(Q981&gt;30,"Late posting (&gt;30d)","")))</f>
        <v/>
      </c>
    </row>
    <row r="982" customFormat="false" ht="15" hidden="false" customHeight="false" outlineLevel="0" collapsed="false">
      <c r="A982" s="47" t="s">
        <v>1268</v>
      </c>
      <c r="B982" s="48" t="n">
        <v>45941</v>
      </c>
      <c r="C982" s="47" t="s">
        <v>166</v>
      </c>
      <c r="D982" s="47" t="s">
        <v>549</v>
      </c>
      <c r="E982" s="47" t="s">
        <v>103</v>
      </c>
      <c r="F982" s="47" t="s">
        <v>161</v>
      </c>
      <c r="G982" s="49" t="n">
        <v>38877.85</v>
      </c>
      <c r="H982" s="50" t="n">
        <v>0.05</v>
      </c>
      <c r="I982" s="47" t="s">
        <v>162</v>
      </c>
      <c r="J982" s="48" t="n">
        <v>45941</v>
      </c>
      <c r="K982" s="51" t="str">
        <f aca="false">"Q"&amp;ROUNDUP(MONTH(B982)/3,0)</f>
        <v>Q4</v>
      </c>
      <c r="L982" s="52" t="n">
        <f aca="false">ROUND(G982*H982,2)</f>
        <v>1943.89</v>
      </c>
      <c r="M982" s="52" t="n">
        <f aca="false">IF(AND(C982="Sales",F982="Standard-rated 5%"),L982,0)</f>
        <v>0</v>
      </c>
      <c r="N982" s="52" t="n">
        <f aca="false">IF(F982="Reverse charge (imported services)",L982,0)</f>
        <v>0</v>
      </c>
      <c r="O982" s="52" t="n">
        <f aca="false">IF(C982&lt;&gt;"Purchase",0,IF(OR(I982="N",F982="Blocked input (entertainment)"),0,L982))</f>
        <v>1943.89</v>
      </c>
      <c r="P982" s="52" t="n">
        <f aca="false">IF(C982&lt;&gt;"Purchase",0,L982-O982)</f>
        <v>0</v>
      </c>
      <c r="Q982" s="53" t="n">
        <f aca="false">J982-B982</f>
        <v>0</v>
      </c>
      <c r="R982" s="51" t="str">
        <f aca="false">IF(I982="N","Invalid / missing TRN",IF(F982="Blocked input (entertainment)","Blocked input",IF(Q982&gt;30,"Late posting (&gt;30d)","")))</f>
        <v/>
      </c>
    </row>
    <row r="983" customFormat="false" ht="15" hidden="false" customHeight="false" outlineLevel="0" collapsed="false">
      <c r="A983" s="47" t="s">
        <v>1269</v>
      </c>
      <c r="B983" s="48" t="n">
        <v>45941</v>
      </c>
      <c r="C983" s="47" t="s">
        <v>166</v>
      </c>
      <c r="D983" s="47" t="s">
        <v>264</v>
      </c>
      <c r="E983" s="47" t="s">
        <v>100</v>
      </c>
      <c r="F983" s="47" t="s">
        <v>161</v>
      </c>
      <c r="G983" s="49" t="n">
        <v>26736.63</v>
      </c>
      <c r="H983" s="50" t="n">
        <v>0.05</v>
      </c>
      <c r="I983" s="47" t="s">
        <v>162</v>
      </c>
      <c r="J983" s="48" t="n">
        <v>45941</v>
      </c>
      <c r="K983" s="51" t="str">
        <f aca="false">"Q"&amp;ROUNDUP(MONTH(B983)/3,0)</f>
        <v>Q4</v>
      </c>
      <c r="L983" s="52" t="n">
        <f aca="false">ROUND(G983*H983,2)</f>
        <v>1336.83</v>
      </c>
      <c r="M983" s="52" t="n">
        <f aca="false">IF(AND(C983="Sales",F983="Standard-rated 5%"),L983,0)</f>
        <v>0</v>
      </c>
      <c r="N983" s="52" t="n">
        <f aca="false">IF(F983="Reverse charge (imported services)",L983,0)</f>
        <v>0</v>
      </c>
      <c r="O983" s="52" t="n">
        <f aca="false">IF(C983&lt;&gt;"Purchase",0,IF(OR(I983="N",F983="Blocked input (entertainment)"),0,L983))</f>
        <v>1336.83</v>
      </c>
      <c r="P983" s="52" t="n">
        <f aca="false">IF(C983&lt;&gt;"Purchase",0,L983-O983)</f>
        <v>0</v>
      </c>
      <c r="Q983" s="53" t="n">
        <f aca="false">J983-B983</f>
        <v>0</v>
      </c>
      <c r="R983" s="51" t="str">
        <f aca="false">IF(I983="N","Invalid / missing TRN",IF(F983="Blocked input (entertainment)","Blocked input",IF(Q983&gt;30,"Late posting (&gt;30d)","")))</f>
        <v/>
      </c>
    </row>
    <row r="984" customFormat="false" ht="15" hidden="false" customHeight="false" outlineLevel="0" collapsed="false">
      <c r="A984" s="47" t="s">
        <v>1270</v>
      </c>
      <c r="B984" s="48" t="n">
        <v>45941</v>
      </c>
      <c r="C984" s="47" t="s">
        <v>159</v>
      </c>
      <c r="D984" s="47" t="s">
        <v>339</v>
      </c>
      <c r="E984" s="47" t="s">
        <v>100</v>
      </c>
      <c r="F984" s="47" t="s">
        <v>278</v>
      </c>
      <c r="G984" s="49" t="n">
        <v>130738.35</v>
      </c>
      <c r="H984" s="50" t="n">
        <v>0</v>
      </c>
      <c r="I984" s="47" t="s">
        <v>162</v>
      </c>
      <c r="J984" s="48" t="n">
        <v>45941</v>
      </c>
      <c r="K984" s="51" t="str">
        <f aca="false">"Q"&amp;ROUNDUP(MONTH(B984)/3,0)</f>
        <v>Q4</v>
      </c>
      <c r="L984" s="52" t="n">
        <f aca="false">ROUND(G984*H984,2)</f>
        <v>0</v>
      </c>
      <c r="M984" s="52" t="n">
        <f aca="false">IF(AND(C984="Sales",F984="Standard-rated 5%"),L984,0)</f>
        <v>0</v>
      </c>
      <c r="N984" s="52" t="n">
        <f aca="false">IF(F984="Reverse charge (imported services)",L984,0)</f>
        <v>0</v>
      </c>
      <c r="O984" s="52" t="n">
        <f aca="false">IF(C984&lt;&gt;"Purchase",0,IF(OR(I984="N",F984="Blocked input (entertainment)"),0,L984))</f>
        <v>0</v>
      </c>
      <c r="P984" s="52" t="n">
        <f aca="false">IF(C984&lt;&gt;"Purchase",0,L984-O984)</f>
        <v>0</v>
      </c>
      <c r="Q984" s="53" t="n">
        <f aca="false">J984-B984</f>
        <v>0</v>
      </c>
      <c r="R984" s="51" t="str">
        <f aca="false">IF(I984="N","Invalid / missing TRN",IF(F984="Blocked input (entertainment)","Blocked input",IF(Q984&gt;30,"Late posting (&gt;30d)","")))</f>
        <v/>
      </c>
    </row>
    <row r="985" customFormat="false" ht="15" hidden="false" customHeight="false" outlineLevel="0" collapsed="false">
      <c r="A985" s="47" t="s">
        <v>1271</v>
      </c>
      <c r="B985" s="48" t="n">
        <v>45942</v>
      </c>
      <c r="C985" s="47" t="s">
        <v>166</v>
      </c>
      <c r="D985" s="47" t="s">
        <v>304</v>
      </c>
      <c r="E985" s="47" t="s">
        <v>105</v>
      </c>
      <c r="F985" s="47" t="s">
        <v>392</v>
      </c>
      <c r="G985" s="49" t="n">
        <v>98900.66</v>
      </c>
      <c r="H985" s="50" t="n">
        <v>0.05</v>
      </c>
      <c r="I985" s="47" t="s">
        <v>162</v>
      </c>
      <c r="J985" s="48" t="n">
        <v>45944</v>
      </c>
      <c r="K985" s="51" t="str">
        <f aca="false">"Q"&amp;ROUNDUP(MONTH(B985)/3,0)</f>
        <v>Q4</v>
      </c>
      <c r="L985" s="52" t="n">
        <f aca="false">ROUND(G985*H985,2)</f>
        <v>4945.03</v>
      </c>
      <c r="M985" s="52" t="n">
        <f aca="false">IF(AND(C985="Sales",F985="Standard-rated 5%"),L985,0)</f>
        <v>0</v>
      </c>
      <c r="N985" s="52" t="n">
        <f aca="false">IF(F985="Reverse charge (imported services)",L985,0)</f>
        <v>0</v>
      </c>
      <c r="O985" s="52" t="n">
        <f aca="false">IF(C985&lt;&gt;"Purchase",0,IF(OR(I985="N",F985="Blocked input (entertainment)"),0,L985))</f>
        <v>4945.03</v>
      </c>
      <c r="P985" s="52" t="n">
        <f aca="false">IF(C985&lt;&gt;"Purchase",0,L985-O985)</f>
        <v>0</v>
      </c>
      <c r="Q985" s="53" t="n">
        <f aca="false">J985-B985</f>
        <v>2</v>
      </c>
      <c r="R985" s="51" t="str">
        <f aca="false">IF(I985="N","Invalid / missing TRN",IF(F985="Blocked input (entertainment)","Blocked input",IF(Q985&gt;30,"Late posting (&gt;30d)","")))</f>
        <v/>
      </c>
    </row>
    <row r="986" customFormat="false" ht="15" hidden="false" customHeight="false" outlineLevel="0" collapsed="false">
      <c r="A986" s="47" t="s">
        <v>1272</v>
      </c>
      <c r="B986" s="48" t="n">
        <v>45942</v>
      </c>
      <c r="C986" s="47" t="s">
        <v>166</v>
      </c>
      <c r="D986" s="47" t="s">
        <v>201</v>
      </c>
      <c r="E986" s="47" t="s">
        <v>100</v>
      </c>
      <c r="F986" s="47" t="s">
        <v>161</v>
      </c>
      <c r="G986" s="49" t="n">
        <v>16149.83</v>
      </c>
      <c r="H986" s="50" t="n">
        <v>0.05</v>
      </c>
      <c r="I986" s="47" t="s">
        <v>162</v>
      </c>
      <c r="J986" s="48" t="n">
        <v>45942</v>
      </c>
      <c r="K986" s="51" t="str">
        <f aca="false">"Q"&amp;ROUNDUP(MONTH(B986)/3,0)</f>
        <v>Q4</v>
      </c>
      <c r="L986" s="52" t="n">
        <f aca="false">ROUND(G986*H986,2)</f>
        <v>807.49</v>
      </c>
      <c r="M986" s="52" t="n">
        <f aca="false">IF(AND(C986="Sales",F986="Standard-rated 5%"),L986,0)</f>
        <v>0</v>
      </c>
      <c r="N986" s="52" t="n">
        <f aca="false">IF(F986="Reverse charge (imported services)",L986,0)</f>
        <v>0</v>
      </c>
      <c r="O986" s="52" t="n">
        <f aca="false">IF(C986&lt;&gt;"Purchase",0,IF(OR(I986="N",F986="Blocked input (entertainment)"),0,L986))</f>
        <v>807.49</v>
      </c>
      <c r="P986" s="52" t="n">
        <f aca="false">IF(C986&lt;&gt;"Purchase",0,L986-O986)</f>
        <v>0</v>
      </c>
      <c r="Q986" s="53" t="n">
        <f aca="false">J986-B986</f>
        <v>0</v>
      </c>
      <c r="R986" s="51" t="str">
        <f aca="false">IF(I986="N","Invalid / missing TRN",IF(F986="Blocked input (entertainment)","Blocked input",IF(Q986&gt;30,"Late posting (&gt;30d)","")))</f>
        <v/>
      </c>
    </row>
    <row r="987" customFormat="false" ht="15" hidden="false" customHeight="false" outlineLevel="0" collapsed="false">
      <c r="A987" s="47" t="s">
        <v>1273</v>
      </c>
      <c r="B987" s="48" t="n">
        <v>45942</v>
      </c>
      <c r="C987" s="47" t="s">
        <v>166</v>
      </c>
      <c r="D987" s="47" t="s">
        <v>643</v>
      </c>
      <c r="E987" s="47" t="s">
        <v>100</v>
      </c>
      <c r="F987" s="47" t="s">
        <v>161</v>
      </c>
      <c r="G987" s="49" t="n">
        <v>15666.31</v>
      </c>
      <c r="H987" s="50" t="n">
        <v>0.05</v>
      </c>
      <c r="I987" s="47" t="s">
        <v>162</v>
      </c>
      <c r="J987" s="48" t="n">
        <v>45942</v>
      </c>
      <c r="K987" s="51" t="str">
        <f aca="false">"Q"&amp;ROUNDUP(MONTH(B987)/3,0)</f>
        <v>Q4</v>
      </c>
      <c r="L987" s="52" t="n">
        <f aca="false">ROUND(G987*H987,2)</f>
        <v>783.32</v>
      </c>
      <c r="M987" s="52" t="n">
        <f aca="false">IF(AND(C987="Sales",F987="Standard-rated 5%"),L987,0)</f>
        <v>0</v>
      </c>
      <c r="N987" s="52" t="n">
        <f aca="false">IF(F987="Reverse charge (imported services)",L987,0)</f>
        <v>0</v>
      </c>
      <c r="O987" s="52" t="n">
        <f aca="false">IF(C987&lt;&gt;"Purchase",0,IF(OR(I987="N",F987="Blocked input (entertainment)"),0,L987))</f>
        <v>783.32</v>
      </c>
      <c r="P987" s="52" t="n">
        <f aca="false">IF(C987&lt;&gt;"Purchase",0,L987-O987)</f>
        <v>0</v>
      </c>
      <c r="Q987" s="53" t="n">
        <f aca="false">J987-B987</f>
        <v>0</v>
      </c>
      <c r="R987" s="51" t="str">
        <f aca="false">IF(I987="N","Invalid / missing TRN",IF(F987="Blocked input (entertainment)","Blocked input",IF(Q987&gt;30,"Late posting (&gt;30d)","")))</f>
        <v/>
      </c>
    </row>
    <row r="988" customFormat="false" ht="15" hidden="false" customHeight="false" outlineLevel="0" collapsed="false">
      <c r="A988" s="47" t="s">
        <v>1274</v>
      </c>
      <c r="B988" s="48" t="n">
        <v>45942</v>
      </c>
      <c r="C988" s="47" t="s">
        <v>166</v>
      </c>
      <c r="D988" s="47" t="s">
        <v>315</v>
      </c>
      <c r="E988" s="47" t="s">
        <v>102</v>
      </c>
      <c r="F988" s="47" t="s">
        <v>337</v>
      </c>
      <c r="G988" s="49" t="n">
        <v>4402.92</v>
      </c>
      <c r="H988" s="50" t="n">
        <v>0</v>
      </c>
      <c r="I988" s="47" t="s">
        <v>162</v>
      </c>
      <c r="J988" s="48" t="n">
        <v>45942</v>
      </c>
      <c r="K988" s="51" t="str">
        <f aca="false">"Q"&amp;ROUNDUP(MONTH(B988)/3,0)</f>
        <v>Q4</v>
      </c>
      <c r="L988" s="52" t="n">
        <f aca="false">ROUND(G988*H988,2)</f>
        <v>0</v>
      </c>
      <c r="M988" s="52" t="n">
        <f aca="false">IF(AND(C988="Sales",F988="Standard-rated 5%"),L988,0)</f>
        <v>0</v>
      </c>
      <c r="N988" s="52" t="n">
        <f aca="false">IF(F988="Reverse charge (imported services)",L988,0)</f>
        <v>0</v>
      </c>
      <c r="O988" s="52" t="n">
        <f aca="false">IF(C988&lt;&gt;"Purchase",0,IF(OR(I988="N",F988="Blocked input (entertainment)"),0,L988))</f>
        <v>0</v>
      </c>
      <c r="P988" s="52" t="n">
        <f aca="false">IF(C988&lt;&gt;"Purchase",0,L988-O988)</f>
        <v>0</v>
      </c>
      <c r="Q988" s="53" t="n">
        <f aca="false">J988-B988</f>
        <v>0</v>
      </c>
      <c r="R988" s="51" t="str">
        <f aca="false">IF(I988="N","Invalid / missing TRN",IF(F988="Blocked input (entertainment)","Blocked input",IF(Q988&gt;30,"Late posting (&gt;30d)","")))</f>
        <v/>
      </c>
    </row>
    <row r="989" customFormat="false" ht="15" hidden="false" customHeight="false" outlineLevel="0" collapsed="false">
      <c r="A989" s="47" t="s">
        <v>1275</v>
      </c>
      <c r="B989" s="48" t="n">
        <v>45942</v>
      </c>
      <c r="C989" s="47" t="s">
        <v>159</v>
      </c>
      <c r="D989" s="47" t="s">
        <v>247</v>
      </c>
      <c r="E989" s="47" t="s">
        <v>101</v>
      </c>
      <c r="F989" s="47" t="s">
        <v>278</v>
      </c>
      <c r="G989" s="49" t="n">
        <v>60812.65</v>
      </c>
      <c r="H989" s="50" t="n">
        <v>0</v>
      </c>
      <c r="I989" s="47" t="s">
        <v>162</v>
      </c>
      <c r="J989" s="48" t="n">
        <v>45942</v>
      </c>
      <c r="K989" s="51" t="str">
        <f aca="false">"Q"&amp;ROUNDUP(MONTH(B989)/3,0)</f>
        <v>Q4</v>
      </c>
      <c r="L989" s="52" t="n">
        <f aca="false">ROUND(G989*H989,2)</f>
        <v>0</v>
      </c>
      <c r="M989" s="52" t="n">
        <f aca="false">IF(AND(C989="Sales",F989="Standard-rated 5%"),L989,0)</f>
        <v>0</v>
      </c>
      <c r="N989" s="52" t="n">
        <f aca="false">IF(F989="Reverse charge (imported services)",L989,0)</f>
        <v>0</v>
      </c>
      <c r="O989" s="52" t="n">
        <f aca="false">IF(C989&lt;&gt;"Purchase",0,IF(OR(I989="N",F989="Blocked input (entertainment)"),0,L989))</f>
        <v>0</v>
      </c>
      <c r="P989" s="52" t="n">
        <f aca="false">IF(C989&lt;&gt;"Purchase",0,L989-O989)</f>
        <v>0</v>
      </c>
      <c r="Q989" s="53" t="n">
        <f aca="false">J989-B989</f>
        <v>0</v>
      </c>
      <c r="R989" s="51" t="str">
        <f aca="false">IF(I989="N","Invalid / missing TRN",IF(F989="Blocked input (entertainment)","Blocked input",IF(Q989&gt;30,"Late posting (&gt;30d)","")))</f>
        <v/>
      </c>
    </row>
    <row r="990" customFormat="false" ht="15" hidden="false" customHeight="false" outlineLevel="0" collapsed="false">
      <c r="A990" s="47" t="s">
        <v>1276</v>
      </c>
      <c r="B990" s="48" t="n">
        <v>45942</v>
      </c>
      <c r="C990" s="47" t="s">
        <v>159</v>
      </c>
      <c r="D990" s="47" t="s">
        <v>175</v>
      </c>
      <c r="E990" s="47" t="s">
        <v>101</v>
      </c>
      <c r="F990" s="47" t="s">
        <v>161</v>
      </c>
      <c r="G990" s="49" t="n">
        <v>122285.25</v>
      </c>
      <c r="H990" s="50" t="n">
        <v>0.05</v>
      </c>
      <c r="I990" s="47" t="s">
        <v>162</v>
      </c>
      <c r="J990" s="48" t="n">
        <v>45942</v>
      </c>
      <c r="K990" s="51" t="str">
        <f aca="false">"Q"&amp;ROUNDUP(MONTH(B990)/3,0)</f>
        <v>Q4</v>
      </c>
      <c r="L990" s="52" t="n">
        <f aca="false">ROUND(G990*H990,2)</f>
        <v>6114.26</v>
      </c>
      <c r="M990" s="52" t="n">
        <f aca="false">IF(AND(C990="Sales",F990="Standard-rated 5%"),L990,0)</f>
        <v>6114.26</v>
      </c>
      <c r="N990" s="52" t="n">
        <f aca="false">IF(F990="Reverse charge (imported services)",L990,0)</f>
        <v>0</v>
      </c>
      <c r="O990" s="52" t="n">
        <f aca="false">IF(C990&lt;&gt;"Purchase",0,IF(OR(I990="N",F990="Blocked input (entertainment)"),0,L990))</f>
        <v>0</v>
      </c>
      <c r="P990" s="52" t="n">
        <f aca="false">IF(C990&lt;&gt;"Purchase",0,L990-O990)</f>
        <v>0</v>
      </c>
      <c r="Q990" s="53" t="n">
        <f aca="false">J990-B990</f>
        <v>0</v>
      </c>
      <c r="R990" s="51" t="str">
        <f aca="false">IF(I990="N","Invalid / missing TRN",IF(F990="Blocked input (entertainment)","Blocked input",IF(Q990&gt;30,"Late posting (&gt;30d)","")))</f>
        <v/>
      </c>
    </row>
    <row r="991" customFormat="false" ht="15" hidden="false" customHeight="false" outlineLevel="0" collapsed="false">
      <c r="A991" s="47" t="s">
        <v>1277</v>
      </c>
      <c r="B991" s="48" t="n">
        <v>45942</v>
      </c>
      <c r="C991" s="47" t="s">
        <v>159</v>
      </c>
      <c r="D991" s="47" t="s">
        <v>186</v>
      </c>
      <c r="E991" s="47" t="s">
        <v>100</v>
      </c>
      <c r="F991" s="47" t="s">
        <v>278</v>
      </c>
      <c r="G991" s="49" t="n">
        <v>35605.18</v>
      </c>
      <c r="H991" s="50" t="n">
        <v>0</v>
      </c>
      <c r="I991" s="47" t="s">
        <v>162</v>
      </c>
      <c r="J991" s="48" t="n">
        <v>45942</v>
      </c>
      <c r="K991" s="51" t="str">
        <f aca="false">"Q"&amp;ROUNDUP(MONTH(B991)/3,0)</f>
        <v>Q4</v>
      </c>
      <c r="L991" s="52" t="n">
        <f aca="false">ROUND(G991*H991,2)</f>
        <v>0</v>
      </c>
      <c r="M991" s="52" t="n">
        <f aca="false">IF(AND(C991="Sales",F991="Standard-rated 5%"),L991,0)</f>
        <v>0</v>
      </c>
      <c r="N991" s="52" t="n">
        <f aca="false">IF(F991="Reverse charge (imported services)",L991,0)</f>
        <v>0</v>
      </c>
      <c r="O991" s="52" t="n">
        <f aca="false">IF(C991&lt;&gt;"Purchase",0,IF(OR(I991="N",F991="Blocked input (entertainment)"),0,L991))</f>
        <v>0</v>
      </c>
      <c r="P991" s="52" t="n">
        <f aca="false">IF(C991&lt;&gt;"Purchase",0,L991-O991)</f>
        <v>0</v>
      </c>
      <c r="Q991" s="53" t="n">
        <f aca="false">J991-B991</f>
        <v>0</v>
      </c>
      <c r="R991" s="51" t="str">
        <f aca="false">IF(I991="N","Invalid / missing TRN",IF(F991="Blocked input (entertainment)","Blocked input",IF(Q991&gt;30,"Late posting (&gt;30d)","")))</f>
        <v/>
      </c>
    </row>
    <row r="992" customFormat="false" ht="15" hidden="false" customHeight="false" outlineLevel="0" collapsed="false">
      <c r="A992" s="47" t="s">
        <v>1278</v>
      </c>
      <c r="B992" s="48" t="n">
        <v>45942</v>
      </c>
      <c r="C992" s="47" t="s">
        <v>159</v>
      </c>
      <c r="D992" s="47" t="s">
        <v>439</v>
      </c>
      <c r="E992" s="47" t="s">
        <v>104</v>
      </c>
      <c r="F992" s="47" t="s">
        <v>161</v>
      </c>
      <c r="G992" s="49" t="n">
        <v>40812.74</v>
      </c>
      <c r="H992" s="50" t="n">
        <v>0.05</v>
      </c>
      <c r="I992" s="47" t="s">
        <v>162</v>
      </c>
      <c r="J992" s="48" t="n">
        <v>45942</v>
      </c>
      <c r="K992" s="51" t="str">
        <f aca="false">"Q"&amp;ROUNDUP(MONTH(B992)/3,0)</f>
        <v>Q4</v>
      </c>
      <c r="L992" s="52" t="n">
        <f aca="false">ROUND(G992*H992,2)</f>
        <v>2040.64</v>
      </c>
      <c r="M992" s="52" t="n">
        <f aca="false">IF(AND(C992="Sales",F992="Standard-rated 5%"),L992,0)</f>
        <v>2040.64</v>
      </c>
      <c r="N992" s="52" t="n">
        <f aca="false">IF(F992="Reverse charge (imported services)",L992,0)</f>
        <v>0</v>
      </c>
      <c r="O992" s="52" t="n">
        <f aca="false">IF(C992&lt;&gt;"Purchase",0,IF(OR(I992="N",F992="Blocked input (entertainment)"),0,L992))</f>
        <v>0</v>
      </c>
      <c r="P992" s="52" t="n">
        <f aca="false">IF(C992&lt;&gt;"Purchase",0,L992-O992)</f>
        <v>0</v>
      </c>
      <c r="Q992" s="53" t="n">
        <f aca="false">J992-B992</f>
        <v>0</v>
      </c>
      <c r="R992" s="51" t="str">
        <f aca="false">IF(I992="N","Invalid / missing TRN",IF(F992="Blocked input (entertainment)","Blocked input",IF(Q992&gt;30,"Late posting (&gt;30d)","")))</f>
        <v/>
      </c>
    </row>
    <row r="993" customFormat="false" ht="15" hidden="false" customHeight="false" outlineLevel="0" collapsed="false">
      <c r="A993" s="47" t="s">
        <v>1279</v>
      </c>
      <c r="B993" s="48" t="n">
        <v>45943</v>
      </c>
      <c r="C993" s="47" t="s">
        <v>166</v>
      </c>
      <c r="D993" s="47" t="s">
        <v>460</v>
      </c>
      <c r="E993" s="47" t="s">
        <v>101</v>
      </c>
      <c r="F993" s="47" t="s">
        <v>161</v>
      </c>
      <c r="G993" s="49" t="n">
        <v>8777.62</v>
      </c>
      <c r="H993" s="50" t="n">
        <v>0.05</v>
      </c>
      <c r="I993" s="47" t="s">
        <v>162</v>
      </c>
      <c r="J993" s="48" t="n">
        <v>45948</v>
      </c>
      <c r="K993" s="51" t="str">
        <f aca="false">"Q"&amp;ROUNDUP(MONTH(B993)/3,0)</f>
        <v>Q4</v>
      </c>
      <c r="L993" s="52" t="n">
        <f aca="false">ROUND(G993*H993,2)</f>
        <v>438.88</v>
      </c>
      <c r="M993" s="52" t="n">
        <f aca="false">IF(AND(C993="Sales",F993="Standard-rated 5%"),L993,0)</f>
        <v>0</v>
      </c>
      <c r="N993" s="52" t="n">
        <f aca="false">IF(F993="Reverse charge (imported services)",L993,0)</f>
        <v>0</v>
      </c>
      <c r="O993" s="52" t="n">
        <f aca="false">IF(C993&lt;&gt;"Purchase",0,IF(OR(I993="N",F993="Blocked input (entertainment)"),0,L993))</f>
        <v>438.88</v>
      </c>
      <c r="P993" s="52" t="n">
        <f aca="false">IF(C993&lt;&gt;"Purchase",0,L993-O993)</f>
        <v>0</v>
      </c>
      <c r="Q993" s="53" t="n">
        <f aca="false">J993-B993</f>
        <v>5</v>
      </c>
      <c r="R993" s="51" t="str">
        <f aca="false">IF(I993="N","Invalid / missing TRN",IF(F993="Blocked input (entertainment)","Blocked input",IF(Q993&gt;30,"Late posting (&gt;30d)","")))</f>
        <v/>
      </c>
    </row>
    <row r="994" customFormat="false" ht="15" hidden="false" customHeight="false" outlineLevel="0" collapsed="false">
      <c r="A994" s="47" t="s">
        <v>1280</v>
      </c>
      <c r="B994" s="48" t="n">
        <v>45944</v>
      </c>
      <c r="C994" s="47" t="s">
        <v>166</v>
      </c>
      <c r="D994" s="47" t="s">
        <v>201</v>
      </c>
      <c r="E994" s="47" t="s">
        <v>103</v>
      </c>
      <c r="F994" s="47" t="s">
        <v>161</v>
      </c>
      <c r="G994" s="49" t="n">
        <v>94664.77</v>
      </c>
      <c r="H994" s="50" t="n">
        <v>0.05</v>
      </c>
      <c r="I994" s="47" t="s">
        <v>162</v>
      </c>
      <c r="J994" s="48" t="n">
        <v>45944</v>
      </c>
      <c r="K994" s="51" t="str">
        <f aca="false">"Q"&amp;ROUNDUP(MONTH(B994)/3,0)</f>
        <v>Q4</v>
      </c>
      <c r="L994" s="52" t="n">
        <f aca="false">ROUND(G994*H994,2)</f>
        <v>4733.24</v>
      </c>
      <c r="M994" s="52" t="n">
        <f aca="false">IF(AND(C994="Sales",F994="Standard-rated 5%"),L994,0)</f>
        <v>0</v>
      </c>
      <c r="N994" s="52" t="n">
        <f aca="false">IF(F994="Reverse charge (imported services)",L994,0)</f>
        <v>0</v>
      </c>
      <c r="O994" s="52" t="n">
        <f aca="false">IF(C994&lt;&gt;"Purchase",0,IF(OR(I994="N",F994="Blocked input (entertainment)"),0,L994))</f>
        <v>4733.24</v>
      </c>
      <c r="P994" s="52" t="n">
        <f aca="false">IF(C994&lt;&gt;"Purchase",0,L994-O994)</f>
        <v>0</v>
      </c>
      <c r="Q994" s="53" t="n">
        <f aca="false">J994-B994</f>
        <v>0</v>
      </c>
      <c r="R994" s="51" t="str">
        <f aca="false">IF(I994="N","Invalid / missing TRN",IF(F994="Blocked input (entertainment)","Blocked input",IF(Q994&gt;30,"Late posting (&gt;30d)","")))</f>
        <v/>
      </c>
    </row>
    <row r="995" customFormat="false" ht="15" hidden="false" customHeight="false" outlineLevel="0" collapsed="false">
      <c r="A995" s="47" t="s">
        <v>1281</v>
      </c>
      <c r="B995" s="48" t="n">
        <v>45944</v>
      </c>
      <c r="C995" s="47" t="s">
        <v>166</v>
      </c>
      <c r="D995" s="47" t="s">
        <v>643</v>
      </c>
      <c r="E995" s="47" t="s">
        <v>100</v>
      </c>
      <c r="F995" s="47" t="s">
        <v>161</v>
      </c>
      <c r="G995" s="49" t="n">
        <v>19036.85</v>
      </c>
      <c r="H995" s="50" t="n">
        <v>0.05</v>
      </c>
      <c r="I995" s="47" t="s">
        <v>162</v>
      </c>
      <c r="J995" s="48" t="n">
        <v>45944</v>
      </c>
      <c r="K995" s="51" t="str">
        <f aca="false">"Q"&amp;ROUNDUP(MONTH(B995)/3,0)</f>
        <v>Q4</v>
      </c>
      <c r="L995" s="52" t="n">
        <f aca="false">ROUND(G995*H995,2)</f>
        <v>951.84</v>
      </c>
      <c r="M995" s="52" t="n">
        <f aca="false">IF(AND(C995="Sales",F995="Standard-rated 5%"),L995,0)</f>
        <v>0</v>
      </c>
      <c r="N995" s="52" t="n">
        <f aca="false">IF(F995="Reverse charge (imported services)",L995,0)</f>
        <v>0</v>
      </c>
      <c r="O995" s="52" t="n">
        <f aca="false">IF(C995&lt;&gt;"Purchase",0,IF(OR(I995="N",F995="Blocked input (entertainment)"),0,L995))</f>
        <v>951.84</v>
      </c>
      <c r="P995" s="52" t="n">
        <f aca="false">IF(C995&lt;&gt;"Purchase",0,L995-O995)</f>
        <v>0</v>
      </c>
      <c r="Q995" s="53" t="n">
        <f aca="false">J995-B995</f>
        <v>0</v>
      </c>
      <c r="R995" s="51" t="str">
        <f aca="false">IF(I995="N","Invalid / missing TRN",IF(F995="Blocked input (entertainment)","Blocked input",IF(Q995&gt;30,"Late posting (&gt;30d)","")))</f>
        <v/>
      </c>
    </row>
    <row r="996" customFormat="false" ht="15" hidden="false" customHeight="false" outlineLevel="0" collapsed="false">
      <c r="A996" s="47" t="s">
        <v>1282</v>
      </c>
      <c r="B996" s="48" t="n">
        <v>45944</v>
      </c>
      <c r="C996" s="47" t="s">
        <v>159</v>
      </c>
      <c r="D996" s="47" t="s">
        <v>164</v>
      </c>
      <c r="E996" s="47" t="s">
        <v>105</v>
      </c>
      <c r="F996" s="47" t="s">
        <v>278</v>
      </c>
      <c r="G996" s="49" t="n">
        <v>59041.3</v>
      </c>
      <c r="H996" s="50" t="n">
        <v>0</v>
      </c>
      <c r="I996" s="47" t="s">
        <v>162</v>
      </c>
      <c r="J996" s="48" t="n">
        <v>45944</v>
      </c>
      <c r="K996" s="51" t="str">
        <f aca="false">"Q"&amp;ROUNDUP(MONTH(B996)/3,0)</f>
        <v>Q4</v>
      </c>
      <c r="L996" s="52" t="n">
        <f aca="false">ROUND(G996*H996,2)</f>
        <v>0</v>
      </c>
      <c r="M996" s="52" t="n">
        <f aca="false">IF(AND(C996="Sales",F996="Standard-rated 5%"),L996,0)</f>
        <v>0</v>
      </c>
      <c r="N996" s="52" t="n">
        <f aca="false">IF(F996="Reverse charge (imported services)",L996,0)</f>
        <v>0</v>
      </c>
      <c r="O996" s="52" t="n">
        <f aca="false">IF(C996&lt;&gt;"Purchase",0,IF(OR(I996="N",F996="Blocked input (entertainment)"),0,L996))</f>
        <v>0</v>
      </c>
      <c r="P996" s="52" t="n">
        <f aca="false">IF(C996&lt;&gt;"Purchase",0,L996-O996)</f>
        <v>0</v>
      </c>
      <c r="Q996" s="53" t="n">
        <f aca="false">J996-B996</f>
        <v>0</v>
      </c>
      <c r="R996" s="51" t="str">
        <f aca="false">IF(I996="N","Invalid / missing TRN",IF(F996="Blocked input (entertainment)","Blocked input",IF(Q996&gt;30,"Late posting (&gt;30d)","")))</f>
        <v/>
      </c>
    </row>
    <row r="997" customFormat="false" ht="15" hidden="false" customHeight="false" outlineLevel="0" collapsed="false">
      <c r="A997" s="47" t="s">
        <v>1283</v>
      </c>
      <c r="B997" s="48" t="n">
        <v>45945</v>
      </c>
      <c r="C997" s="47" t="s">
        <v>166</v>
      </c>
      <c r="D997" s="47" t="s">
        <v>190</v>
      </c>
      <c r="E997" s="47" t="s">
        <v>100</v>
      </c>
      <c r="F997" s="47" t="s">
        <v>161</v>
      </c>
      <c r="G997" s="49" t="n">
        <v>3011.65</v>
      </c>
      <c r="H997" s="50" t="n">
        <v>0.05</v>
      </c>
      <c r="I997" s="47" t="s">
        <v>162</v>
      </c>
      <c r="J997" s="48" t="n">
        <v>45945</v>
      </c>
      <c r="K997" s="51" t="str">
        <f aca="false">"Q"&amp;ROUNDUP(MONTH(B997)/3,0)</f>
        <v>Q4</v>
      </c>
      <c r="L997" s="52" t="n">
        <f aca="false">ROUND(G997*H997,2)</f>
        <v>150.58</v>
      </c>
      <c r="M997" s="52" t="n">
        <f aca="false">IF(AND(C997="Sales",F997="Standard-rated 5%"),L997,0)</f>
        <v>0</v>
      </c>
      <c r="N997" s="52" t="n">
        <f aca="false">IF(F997="Reverse charge (imported services)",L997,0)</f>
        <v>0</v>
      </c>
      <c r="O997" s="52" t="n">
        <f aca="false">IF(C997&lt;&gt;"Purchase",0,IF(OR(I997="N",F997="Blocked input (entertainment)"),0,L997))</f>
        <v>150.58</v>
      </c>
      <c r="P997" s="52" t="n">
        <f aca="false">IF(C997&lt;&gt;"Purchase",0,L997-O997)</f>
        <v>0</v>
      </c>
      <c r="Q997" s="53" t="n">
        <f aca="false">J997-B997</f>
        <v>0</v>
      </c>
      <c r="R997" s="51" t="str">
        <f aca="false">IF(I997="N","Invalid / missing TRN",IF(F997="Blocked input (entertainment)","Blocked input",IF(Q997&gt;30,"Late posting (&gt;30d)","")))</f>
        <v/>
      </c>
    </row>
    <row r="998" customFormat="false" ht="15" hidden="false" customHeight="false" outlineLevel="0" collapsed="false">
      <c r="A998" s="47" t="s">
        <v>1284</v>
      </c>
      <c r="B998" s="48" t="n">
        <v>45945</v>
      </c>
      <c r="C998" s="47" t="s">
        <v>166</v>
      </c>
      <c r="D998" s="47" t="s">
        <v>229</v>
      </c>
      <c r="E998" s="47" t="s">
        <v>100</v>
      </c>
      <c r="F998" s="47" t="s">
        <v>392</v>
      </c>
      <c r="G998" s="49" t="n">
        <v>170148.48</v>
      </c>
      <c r="H998" s="50" t="n">
        <v>0.05</v>
      </c>
      <c r="I998" s="47" t="s">
        <v>162</v>
      </c>
      <c r="J998" s="48" t="n">
        <v>45945</v>
      </c>
      <c r="K998" s="51" t="str">
        <f aca="false">"Q"&amp;ROUNDUP(MONTH(B998)/3,0)</f>
        <v>Q4</v>
      </c>
      <c r="L998" s="52" t="n">
        <f aca="false">ROUND(G998*H998,2)</f>
        <v>8507.42</v>
      </c>
      <c r="M998" s="52" t="n">
        <f aca="false">IF(AND(C998="Sales",F998="Standard-rated 5%"),L998,0)</f>
        <v>0</v>
      </c>
      <c r="N998" s="52" t="n">
        <f aca="false">IF(F998="Reverse charge (imported services)",L998,0)</f>
        <v>0</v>
      </c>
      <c r="O998" s="52" t="n">
        <f aca="false">IF(C998&lt;&gt;"Purchase",0,IF(OR(I998="N",F998="Blocked input (entertainment)"),0,L998))</f>
        <v>8507.42</v>
      </c>
      <c r="P998" s="52" t="n">
        <f aca="false">IF(C998&lt;&gt;"Purchase",0,L998-O998)</f>
        <v>0</v>
      </c>
      <c r="Q998" s="53" t="n">
        <f aca="false">J998-B998</f>
        <v>0</v>
      </c>
      <c r="R998" s="51" t="str">
        <f aca="false">IF(I998="N","Invalid / missing TRN",IF(F998="Blocked input (entertainment)","Blocked input",IF(Q998&gt;30,"Late posting (&gt;30d)","")))</f>
        <v/>
      </c>
    </row>
    <row r="999" customFormat="false" ht="15" hidden="false" customHeight="false" outlineLevel="0" collapsed="false">
      <c r="A999" s="47" t="s">
        <v>1285</v>
      </c>
      <c r="B999" s="48" t="n">
        <v>45945</v>
      </c>
      <c r="C999" s="47" t="s">
        <v>159</v>
      </c>
      <c r="D999" s="47" t="s">
        <v>330</v>
      </c>
      <c r="E999" s="47" t="s">
        <v>106</v>
      </c>
      <c r="F999" s="47" t="s">
        <v>161</v>
      </c>
      <c r="G999" s="49" t="n">
        <v>31130.24</v>
      </c>
      <c r="H999" s="50" t="n">
        <v>0.05</v>
      </c>
      <c r="I999" s="47" t="s">
        <v>162</v>
      </c>
      <c r="J999" s="48" t="n">
        <v>45945</v>
      </c>
      <c r="K999" s="51" t="str">
        <f aca="false">"Q"&amp;ROUNDUP(MONTH(B999)/3,0)</f>
        <v>Q4</v>
      </c>
      <c r="L999" s="52" t="n">
        <f aca="false">ROUND(G999*H999,2)</f>
        <v>1556.51</v>
      </c>
      <c r="M999" s="52" t="n">
        <f aca="false">IF(AND(C999="Sales",F999="Standard-rated 5%"),L999,0)</f>
        <v>1556.51</v>
      </c>
      <c r="N999" s="52" t="n">
        <f aca="false">IF(F999="Reverse charge (imported services)",L999,0)</f>
        <v>0</v>
      </c>
      <c r="O999" s="52" t="n">
        <f aca="false">IF(C999&lt;&gt;"Purchase",0,IF(OR(I999="N",F999="Blocked input (entertainment)"),0,L999))</f>
        <v>0</v>
      </c>
      <c r="P999" s="52" t="n">
        <f aca="false">IF(C999&lt;&gt;"Purchase",0,L999-O999)</f>
        <v>0</v>
      </c>
      <c r="Q999" s="53" t="n">
        <f aca="false">J999-B999</f>
        <v>0</v>
      </c>
      <c r="R999" s="51" t="str">
        <f aca="false">IF(I999="N","Invalid / missing TRN",IF(F999="Blocked input (entertainment)","Blocked input",IF(Q999&gt;30,"Late posting (&gt;30d)","")))</f>
        <v/>
      </c>
    </row>
    <row r="1000" customFormat="false" ht="15" hidden="false" customHeight="false" outlineLevel="0" collapsed="false">
      <c r="A1000" s="47" t="s">
        <v>1286</v>
      </c>
      <c r="B1000" s="48" t="n">
        <v>45945</v>
      </c>
      <c r="C1000" s="47" t="s">
        <v>159</v>
      </c>
      <c r="D1000" s="47" t="s">
        <v>247</v>
      </c>
      <c r="E1000" s="47" t="s">
        <v>105</v>
      </c>
      <c r="F1000" s="47" t="s">
        <v>161</v>
      </c>
      <c r="G1000" s="49" t="n">
        <v>54058.98</v>
      </c>
      <c r="H1000" s="50" t="n">
        <v>0.05</v>
      </c>
      <c r="I1000" s="47" t="s">
        <v>162</v>
      </c>
      <c r="J1000" s="48" t="n">
        <v>45947</v>
      </c>
      <c r="K1000" s="51" t="str">
        <f aca="false">"Q"&amp;ROUNDUP(MONTH(B1000)/3,0)</f>
        <v>Q4</v>
      </c>
      <c r="L1000" s="52" t="n">
        <f aca="false">ROUND(G1000*H1000,2)</f>
        <v>2702.95</v>
      </c>
      <c r="M1000" s="52" t="n">
        <f aca="false">IF(AND(C1000="Sales",F1000="Standard-rated 5%"),L1000,0)</f>
        <v>2702.95</v>
      </c>
      <c r="N1000" s="52" t="n">
        <f aca="false">IF(F1000="Reverse charge (imported services)",L1000,0)</f>
        <v>0</v>
      </c>
      <c r="O1000" s="52" t="n">
        <f aca="false">IF(C1000&lt;&gt;"Purchase",0,IF(OR(I1000="N",F1000="Blocked input (entertainment)"),0,L1000))</f>
        <v>0</v>
      </c>
      <c r="P1000" s="52" t="n">
        <f aca="false">IF(C1000&lt;&gt;"Purchase",0,L1000-O1000)</f>
        <v>0</v>
      </c>
      <c r="Q1000" s="53" t="n">
        <f aca="false">J1000-B1000</f>
        <v>2</v>
      </c>
      <c r="R1000" s="51" t="str">
        <f aca="false">IF(I1000="N","Invalid / missing TRN",IF(F1000="Blocked input (entertainment)","Blocked input",IF(Q1000&gt;30,"Late posting (&gt;30d)","")))</f>
        <v/>
      </c>
    </row>
    <row r="1001" customFormat="false" ht="15" hidden="false" customHeight="false" outlineLevel="0" collapsed="false">
      <c r="A1001" s="47" t="s">
        <v>1287</v>
      </c>
      <c r="B1001" s="48" t="n">
        <v>45946</v>
      </c>
      <c r="C1001" s="47" t="s">
        <v>166</v>
      </c>
      <c r="D1001" s="47" t="s">
        <v>172</v>
      </c>
      <c r="E1001" s="47" t="s">
        <v>100</v>
      </c>
      <c r="F1001" s="47" t="s">
        <v>161</v>
      </c>
      <c r="G1001" s="49" t="n">
        <v>38048.48</v>
      </c>
      <c r="H1001" s="50" t="n">
        <v>0.05</v>
      </c>
      <c r="I1001" s="47" t="s">
        <v>162</v>
      </c>
      <c r="J1001" s="48" t="n">
        <v>45946</v>
      </c>
      <c r="K1001" s="51" t="str">
        <f aca="false">"Q"&amp;ROUNDUP(MONTH(B1001)/3,0)</f>
        <v>Q4</v>
      </c>
      <c r="L1001" s="52" t="n">
        <f aca="false">ROUND(G1001*H1001,2)</f>
        <v>1902.42</v>
      </c>
      <c r="M1001" s="52" t="n">
        <f aca="false">IF(AND(C1001="Sales",F1001="Standard-rated 5%"),L1001,0)</f>
        <v>0</v>
      </c>
      <c r="N1001" s="52" t="n">
        <f aca="false">IF(F1001="Reverse charge (imported services)",L1001,0)</f>
        <v>0</v>
      </c>
      <c r="O1001" s="52" t="n">
        <f aca="false">IF(C1001&lt;&gt;"Purchase",0,IF(OR(I1001="N",F1001="Blocked input (entertainment)"),0,L1001))</f>
        <v>1902.42</v>
      </c>
      <c r="P1001" s="52" t="n">
        <f aca="false">IF(C1001&lt;&gt;"Purchase",0,L1001-O1001)</f>
        <v>0</v>
      </c>
      <c r="Q1001" s="53" t="n">
        <f aca="false">J1001-B1001</f>
        <v>0</v>
      </c>
      <c r="R1001" s="51" t="str">
        <f aca="false">IF(I1001="N","Invalid / missing TRN",IF(F1001="Blocked input (entertainment)","Blocked input",IF(Q1001&gt;30,"Late posting (&gt;30d)","")))</f>
        <v/>
      </c>
    </row>
    <row r="1002" customFormat="false" ht="15" hidden="false" customHeight="false" outlineLevel="0" collapsed="false">
      <c r="A1002" s="47" t="s">
        <v>1288</v>
      </c>
      <c r="B1002" s="48" t="n">
        <v>45947</v>
      </c>
      <c r="C1002" s="47" t="s">
        <v>166</v>
      </c>
      <c r="D1002" s="47" t="s">
        <v>528</v>
      </c>
      <c r="E1002" s="47" t="s">
        <v>100</v>
      </c>
      <c r="F1002" s="47" t="s">
        <v>161</v>
      </c>
      <c r="G1002" s="49" t="n">
        <v>14352.29</v>
      </c>
      <c r="H1002" s="50" t="n">
        <v>0.05</v>
      </c>
      <c r="I1002" s="47" t="s">
        <v>162</v>
      </c>
      <c r="J1002" s="48" t="n">
        <v>45947</v>
      </c>
      <c r="K1002" s="51" t="str">
        <f aca="false">"Q"&amp;ROUNDUP(MONTH(B1002)/3,0)</f>
        <v>Q4</v>
      </c>
      <c r="L1002" s="52" t="n">
        <f aca="false">ROUND(G1002*H1002,2)</f>
        <v>717.61</v>
      </c>
      <c r="M1002" s="52" t="n">
        <f aca="false">IF(AND(C1002="Sales",F1002="Standard-rated 5%"),L1002,0)</f>
        <v>0</v>
      </c>
      <c r="N1002" s="52" t="n">
        <f aca="false">IF(F1002="Reverse charge (imported services)",L1002,0)</f>
        <v>0</v>
      </c>
      <c r="O1002" s="52" t="n">
        <f aca="false">IF(C1002&lt;&gt;"Purchase",0,IF(OR(I1002="N",F1002="Blocked input (entertainment)"),0,L1002))</f>
        <v>717.61</v>
      </c>
      <c r="P1002" s="52" t="n">
        <f aca="false">IF(C1002&lt;&gt;"Purchase",0,L1002-O1002)</f>
        <v>0</v>
      </c>
      <c r="Q1002" s="53" t="n">
        <f aca="false">J1002-B1002</f>
        <v>0</v>
      </c>
      <c r="R1002" s="51" t="str">
        <f aca="false">IF(I1002="N","Invalid / missing TRN",IF(F1002="Blocked input (entertainment)","Blocked input",IF(Q1002&gt;30,"Late posting (&gt;30d)","")))</f>
        <v/>
      </c>
    </row>
    <row r="1003" customFormat="false" ht="15" hidden="false" customHeight="false" outlineLevel="0" collapsed="false">
      <c r="A1003" s="47" t="s">
        <v>1289</v>
      </c>
      <c r="B1003" s="48" t="n">
        <v>45947</v>
      </c>
      <c r="C1003" s="47" t="s">
        <v>166</v>
      </c>
      <c r="D1003" s="47" t="s">
        <v>172</v>
      </c>
      <c r="E1003" s="47" t="s">
        <v>101</v>
      </c>
      <c r="F1003" s="47" t="s">
        <v>170</v>
      </c>
      <c r="G1003" s="49" t="n">
        <v>49742.88</v>
      </c>
      <c r="H1003" s="50" t="n">
        <v>0.05</v>
      </c>
      <c r="I1003" s="47" t="s">
        <v>162</v>
      </c>
      <c r="J1003" s="48" t="n">
        <v>45947</v>
      </c>
      <c r="K1003" s="51" t="str">
        <f aca="false">"Q"&amp;ROUNDUP(MONTH(B1003)/3,0)</f>
        <v>Q4</v>
      </c>
      <c r="L1003" s="52" t="n">
        <f aca="false">ROUND(G1003*H1003,2)</f>
        <v>2487.14</v>
      </c>
      <c r="M1003" s="52" t="n">
        <f aca="false">IF(AND(C1003="Sales",F1003="Standard-rated 5%"),L1003,0)</f>
        <v>0</v>
      </c>
      <c r="N1003" s="52" t="n">
        <f aca="false">IF(F1003="Reverse charge (imported services)",L1003,0)</f>
        <v>0</v>
      </c>
      <c r="O1003" s="52" t="n">
        <f aca="false">IF(C1003&lt;&gt;"Purchase",0,IF(OR(I1003="N",F1003="Blocked input (entertainment)"),0,L1003))</f>
        <v>0</v>
      </c>
      <c r="P1003" s="52" t="n">
        <f aca="false">IF(C1003&lt;&gt;"Purchase",0,L1003-O1003)</f>
        <v>2487.14</v>
      </c>
      <c r="Q1003" s="53" t="n">
        <f aca="false">J1003-B1003</f>
        <v>0</v>
      </c>
      <c r="R1003" s="51" t="str">
        <f aca="false">IF(I1003="N","Invalid / missing TRN",IF(F1003="Blocked input (entertainment)","Blocked input",IF(Q1003&gt;30,"Late posting (&gt;30d)","")))</f>
        <v>Blocked input</v>
      </c>
    </row>
    <row r="1004" customFormat="false" ht="15" hidden="false" customHeight="false" outlineLevel="0" collapsed="false">
      <c r="A1004" s="47" t="s">
        <v>1290</v>
      </c>
      <c r="B1004" s="48" t="n">
        <v>45947</v>
      </c>
      <c r="C1004" s="47" t="s">
        <v>159</v>
      </c>
      <c r="D1004" s="47" t="s">
        <v>160</v>
      </c>
      <c r="E1004" s="47" t="s">
        <v>100</v>
      </c>
      <c r="F1004" s="47" t="s">
        <v>161</v>
      </c>
      <c r="G1004" s="49" t="n">
        <v>13235.68</v>
      </c>
      <c r="H1004" s="50" t="n">
        <v>0.05</v>
      </c>
      <c r="I1004" s="47" t="s">
        <v>162</v>
      </c>
      <c r="J1004" s="48" t="n">
        <v>45947</v>
      </c>
      <c r="K1004" s="51" t="str">
        <f aca="false">"Q"&amp;ROUNDUP(MONTH(B1004)/3,0)</f>
        <v>Q4</v>
      </c>
      <c r="L1004" s="52" t="n">
        <f aca="false">ROUND(G1004*H1004,2)</f>
        <v>661.78</v>
      </c>
      <c r="M1004" s="52" t="n">
        <f aca="false">IF(AND(C1004="Sales",F1004="Standard-rated 5%"),L1004,0)</f>
        <v>661.78</v>
      </c>
      <c r="N1004" s="52" t="n">
        <f aca="false">IF(F1004="Reverse charge (imported services)",L1004,0)</f>
        <v>0</v>
      </c>
      <c r="O1004" s="52" t="n">
        <f aca="false">IF(C1004&lt;&gt;"Purchase",0,IF(OR(I1004="N",F1004="Blocked input (entertainment)"),0,L1004))</f>
        <v>0</v>
      </c>
      <c r="P1004" s="52" t="n">
        <f aca="false">IF(C1004&lt;&gt;"Purchase",0,L1004-O1004)</f>
        <v>0</v>
      </c>
      <c r="Q1004" s="53" t="n">
        <f aca="false">J1004-B1004</f>
        <v>0</v>
      </c>
      <c r="R1004" s="51" t="str">
        <f aca="false">IF(I1004="N","Invalid / missing TRN",IF(F1004="Blocked input (entertainment)","Blocked input",IF(Q1004&gt;30,"Late posting (&gt;30d)","")))</f>
        <v/>
      </c>
    </row>
    <row r="1005" customFormat="false" ht="15" hidden="false" customHeight="false" outlineLevel="0" collapsed="false">
      <c r="A1005" s="47" t="s">
        <v>1291</v>
      </c>
      <c r="B1005" s="48" t="n">
        <v>45948</v>
      </c>
      <c r="C1005" s="47" t="s">
        <v>166</v>
      </c>
      <c r="D1005" s="47" t="s">
        <v>196</v>
      </c>
      <c r="E1005" s="47" t="s">
        <v>103</v>
      </c>
      <c r="F1005" s="47" t="s">
        <v>173</v>
      </c>
      <c r="G1005" s="49" t="n">
        <v>21003.84</v>
      </c>
      <c r="H1005" s="50" t="n">
        <v>0.05</v>
      </c>
      <c r="I1005" s="47" t="s">
        <v>162</v>
      </c>
      <c r="J1005" s="48" t="n">
        <v>45948</v>
      </c>
      <c r="K1005" s="51" t="str">
        <f aca="false">"Q"&amp;ROUNDUP(MONTH(B1005)/3,0)</f>
        <v>Q4</v>
      </c>
      <c r="L1005" s="52" t="n">
        <f aca="false">ROUND(G1005*H1005,2)</f>
        <v>1050.19</v>
      </c>
      <c r="M1005" s="52" t="n">
        <f aca="false">IF(AND(C1005="Sales",F1005="Standard-rated 5%"),L1005,0)</f>
        <v>0</v>
      </c>
      <c r="N1005" s="52" t="n">
        <f aca="false">IF(F1005="Reverse charge (imported services)",L1005,0)</f>
        <v>1050.19</v>
      </c>
      <c r="O1005" s="52" t="n">
        <f aca="false">IF(C1005&lt;&gt;"Purchase",0,IF(OR(I1005="N",F1005="Blocked input (entertainment)"),0,L1005))</f>
        <v>1050.19</v>
      </c>
      <c r="P1005" s="52" t="n">
        <f aca="false">IF(C1005&lt;&gt;"Purchase",0,L1005-O1005)</f>
        <v>0</v>
      </c>
      <c r="Q1005" s="53" t="n">
        <f aca="false">J1005-B1005</f>
        <v>0</v>
      </c>
      <c r="R1005" s="51" t="str">
        <f aca="false">IF(I1005="N","Invalid / missing TRN",IF(F1005="Blocked input (entertainment)","Blocked input",IF(Q1005&gt;30,"Late posting (&gt;30d)","")))</f>
        <v/>
      </c>
    </row>
    <row r="1006" customFormat="false" ht="15" hidden="false" customHeight="false" outlineLevel="0" collapsed="false">
      <c r="A1006" s="47" t="s">
        <v>1292</v>
      </c>
      <c r="B1006" s="48" t="n">
        <v>45948</v>
      </c>
      <c r="C1006" s="47" t="s">
        <v>166</v>
      </c>
      <c r="D1006" s="47" t="s">
        <v>348</v>
      </c>
      <c r="E1006" s="47" t="s">
        <v>100</v>
      </c>
      <c r="F1006" s="47" t="s">
        <v>161</v>
      </c>
      <c r="G1006" s="49" t="n">
        <v>12801.98</v>
      </c>
      <c r="H1006" s="50" t="n">
        <v>0.05</v>
      </c>
      <c r="I1006" s="47" t="s">
        <v>162</v>
      </c>
      <c r="J1006" s="48" t="n">
        <v>45948</v>
      </c>
      <c r="K1006" s="51" t="str">
        <f aca="false">"Q"&amp;ROUNDUP(MONTH(B1006)/3,0)</f>
        <v>Q4</v>
      </c>
      <c r="L1006" s="52" t="n">
        <f aca="false">ROUND(G1006*H1006,2)</f>
        <v>640.1</v>
      </c>
      <c r="M1006" s="52" t="n">
        <f aca="false">IF(AND(C1006="Sales",F1006="Standard-rated 5%"),L1006,0)</f>
        <v>0</v>
      </c>
      <c r="N1006" s="52" t="n">
        <f aca="false">IF(F1006="Reverse charge (imported services)",L1006,0)</f>
        <v>0</v>
      </c>
      <c r="O1006" s="52" t="n">
        <f aca="false">IF(C1006&lt;&gt;"Purchase",0,IF(OR(I1006="N",F1006="Blocked input (entertainment)"),0,L1006))</f>
        <v>640.1</v>
      </c>
      <c r="P1006" s="52" t="n">
        <f aca="false">IF(C1006&lt;&gt;"Purchase",0,L1006-O1006)</f>
        <v>0</v>
      </c>
      <c r="Q1006" s="53" t="n">
        <f aca="false">J1006-B1006</f>
        <v>0</v>
      </c>
      <c r="R1006" s="51" t="str">
        <f aca="false">IF(I1006="N","Invalid / missing TRN",IF(F1006="Blocked input (entertainment)","Blocked input",IF(Q1006&gt;30,"Late posting (&gt;30d)","")))</f>
        <v/>
      </c>
    </row>
    <row r="1007" customFormat="false" ht="15" hidden="false" customHeight="false" outlineLevel="0" collapsed="false">
      <c r="A1007" s="47" t="s">
        <v>1293</v>
      </c>
      <c r="B1007" s="48" t="n">
        <v>45948</v>
      </c>
      <c r="C1007" s="47" t="s">
        <v>166</v>
      </c>
      <c r="D1007" s="47" t="s">
        <v>643</v>
      </c>
      <c r="E1007" s="47" t="s">
        <v>105</v>
      </c>
      <c r="F1007" s="47" t="s">
        <v>392</v>
      </c>
      <c r="G1007" s="49" t="n">
        <v>168115.58</v>
      </c>
      <c r="H1007" s="50" t="n">
        <v>0.05</v>
      </c>
      <c r="I1007" s="47" t="s">
        <v>162</v>
      </c>
      <c r="J1007" s="48" t="n">
        <v>45948</v>
      </c>
      <c r="K1007" s="51" t="str">
        <f aca="false">"Q"&amp;ROUNDUP(MONTH(B1007)/3,0)</f>
        <v>Q4</v>
      </c>
      <c r="L1007" s="52" t="n">
        <f aca="false">ROUND(G1007*H1007,2)</f>
        <v>8405.78</v>
      </c>
      <c r="M1007" s="52" t="n">
        <f aca="false">IF(AND(C1007="Sales",F1007="Standard-rated 5%"),L1007,0)</f>
        <v>0</v>
      </c>
      <c r="N1007" s="52" t="n">
        <f aca="false">IF(F1007="Reverse charge (imported services)",L1007,0)</f>
        <v>0</v>
      </c>
      <c r="O1007" s="52" t="n">
        <f aca="false">IF(C1007&lt;&gt;"Purchase",0,IF(OR(I1007="N",F1007="Blocked input (entertainment)"),0,L1007))</f>
        <v>8405.78</v>
      </c>
      <c r="P1007" s="52" t="n">
        <f aca="false">IF(C1007&lt;&gt;"Purchase",0,L1007-O1007)</f>
        <v>0</v>
      </c>
      <c r="Q1007" s="53" t="n">
        <f aca="false">J1007-B1007</f>
        <v>0</v>
      </c>
      <c r="R1007" s="51" t="str">
        <f aca="false">IF(I1007="N","Invalid / missing TRN",IF(F1007="Blocked input (entertainment)","Blocked input",IF(Q1007&gt;30,"Late posting (&gt;30d)","")))</f>
        <v/>
      </c>
    </row>
    <row r="1008" customFormat="false" ht="15" hidden="false" customHeight="false" outlineLevel="0" collapsed="false">
      <c r="A1008" s="47" t="s">
        <v>1294</v>
      </c>
      <c r="B1008" s="48" t="n">
        <v>45949</v>
      </c>
      <c r="C1008" s="47" t="s">
        <v>166</v>
      </c>
      <c r="D1008" s="47" t="s">
        <v>188</v>
      </c>
      <c r="E1008" s="47" t="s">
        <v>105</v>
      </c>
      <c r="F1008" s="47" t="s">
        <v>161</v>
      </c>
      <c r="G1008" s="49" t="n">
        <v>18830.5</v>
      </c>
      <c r="H1008" s="50" t="n">
        <v>0.05</v>
      </c>
      <c r="I1008" s="47" t="s">
        <v>162</v>
      </c>
      <c r="J1008" s="48" t="n">
        <v>45949</v>
      </c>
      <c r="K1008" s="51" t="str">
        <f aca="false">"Q"&amp;ROUNDUP(MONTH(B1008)/3,0)</f>
        <v>Q4</v>
      </c>
      <c r="L1008" s="52" t="n">
        <f aca="false">ROUND(G1008*H1008,2)</f>
        <v>941.53</v>
      </c>
      <c r="M1008" s="52" t="n">
        <f aca="false">IF(AND(C1008="Sales",F1008="Standard-rated 5%"),L1008,0)</f>
        <v>0</v>
      </c>
      <c r="N1008" s="52" t="n">
        <f aca="false">IF(F1008="Reverse charge (imported services)",L1008,0)</f>
        <v>0</v>
      </c>
      <c r="O1008" s="52" t="n">
        <f aca="false">IF(C1008&lt;&gt;"Purchase",0,IF(OR(I1008="N",F1008="Blocked input (entertainment)"),0,L1008))</f>
        <v>941.53</v>
      </c>
      <c r="P1008" s="52" t="n">
        <f aca="false">IF(C1008&lt;&gt;"Purchase",0,L1008-O1008)</f>
        <v>0</v>
      </c>
      <c r="Q1008" s="53" t="n">
        <f aca="false">J1008-B1008</f>
        <v>0</v>
      </c>
      <c r="R1008" s="51" t="str">
        <f aca="false">IF(I1008="N","Invalid / missing TRN",IF(F1008="Blocked input (entertainment)","Blocked input",IF(Q1008&gt;30,"Late posting (&gt;30d)","")))</f>
        <v/>
      </c>
    </row>
    <row r="1009" customFormat="false" ht="15" hidden="false" customHeight="false" outlineLevel="0" collapsed="false">
      <c r="A1009" s="47" t="s">
        <v>1295</v>
      </c>
      <c r="B1009" s="48" t="n">
        <v>45949</v>
      </c>
      <c r="C1009" s="47" t="s">
        <v>159</v>
      </c>
      <c r="D1009" s="47" t="s">
        <v>243</v>
      </c>
      <c r="E1009" s="47" t="s">
        <v>100</v>
      </c>
      <c r="F1009" s="47" t="s">
        <v>161</v>
      </c>
      <c r="G1009" s="49" t="n">
        <v>396876.89</v>
      </c>
      <c r="H1009" s="50" t="n">
        <v>0.05</v>
      </c>
      <c r="I1009" s="47" t="s">
        <v>162</v>
      </c>
      <c r="J1009" s="48" t="n">
        <v>45949</v>
      </c>
      <c r="K1009" s="51" t="str">
        <f aca="false">"Q"&amp;ROUNDUP(MONTH(B1009)/3,0)</f>
        <v>Q4</v>
      </c>
      <c r="L1009" s="52" t="n">
        <f aca="false">ROUND(G1009*H1009,2)</f>
        <v>19843.84</v>
      </c>
      <c r="M1009" s="52" t="n">
        <f aca="false">IF(AND(C1009="Sales",F1009="Standard-rated 5%"),L1009,0)</f>
        <v>19843.84</v>
      </c>
      <c r="N1009" s="52" t="n">
        <f aca="false">IF(F1009="Reverse charge (imported services)",L1009,0)</f>
        <v>0</v>
      </c>
      <c r="O1009" s="52" t="n">
        <f aca="false">IF(C1009&lt;&gt;"Purchase",0,IF(OR(I1009="N",F1009="Blocked input (entertainment)"),0,L1009))</f>
        <v>0</v>
      </c>
      <c r="P1009" s="52" t="n">
        <f aca="false">IF(C1009&lt;&gt;"Purchase",0,L1009-O1009)</f>
        <v>0</v>
      </c>
      <c r="Q1009" s="53" t="n">
        <f aca="false">J1009-B1009</f>
        <v>0</v>
      </c>
      <c r="R1009" s="51" t="str">
        <f aca="false">IF(I1009="N","Invalid / missing TRN",IF(F1009="Blocked input (entertainment)","Blocked input",IF(Q1009&gt;30,"Late posting (&gt;30d)","")))</f>
        <v/>
      </c>
    </row>
    <row r="1010" customFormat="false" ht="15" hidden="false" customHeight="false" outlineLevel="0" collapsed="false">
      <c r="A1010" s="47" t="s">
        <v>1296</v>
      </c>
      <c r="B1010" s="48" t="n">
        <v>45950</v>
      </c>
      <c r="C1010" s="47" t="s">
        <v>159</v>
      </c>
      <c r="D1010" s="47" t="s">
        <v>423</v>
      </c>
      <c r="E1010" s="47" t="s">
        <v>100</v>
      </c>
      <c r="F1010" s="47" t="s">
        <v>161</v>
      </c>
      <c r="G1010" s="49" t="n">
        <v>152262.93</v>
      </c>
      <c r="H1010" s="50" t="n">
        <v>0.05</v>
      </c>
      <c r="I1010" s="47" t="s">
        <v>162</v>
      </c>
      <c r="J1010" s="48" t="n">
        <v>45950</v>
      </c>
      <c r="K1010" s="51" t="str">
        <f aca="false">"Q"&amp;ROUNDUP(MONTH(B1010)/3,0)</f>
        <v>Q4</v>
      </c>
      <c r="L1010" s="52" t="n">
        <f aca="false">ROUND(G1010*H1010,2)</f>
        <v>7613.15</v>
      </c>
      <c r="M1010" s="52" t="n">
        <f aca="false">IF(AND(C1010="Sales",F1010="Standard-rated 5%"),L1010,0)</f>
        <v>7613.15</v>
      </c>
      <c r="N1010" s="52" t="n">
        <f aca="false">IF(F1010="Reverse charge (imported services)",L1010,0)</f>
        <v>0</v>
      </c>
      <c r="O1010" s="52" t="n">
        <f aca="false">IF(C1010&lt;&gt;"Purchase",0,IF(OR(I1010="N",F1010="Blocked input (entertainment)"),0,L1010))</f>
        <v>0</v>
      </c>
      <c r="P1010" s="52" t="n">
        <f aca="false">IF(C1010&lt;&gt;"Purchase",0,L1010-O1010)</f>
        <v>0</v>
      </c>
      <c r="Q1010" s="53" t="n">
        <f aca="false">J1010-B1010</f>
        <v>0</v>
      </c>
      <c r="R1010" s="51" t="str">
        <f aca="false">IF(I1010="N","Invalid / missing TRN",IF(F1010="Blocked input (entertainment)","Blocked input",IF(Q1010&gt;30,"Late posting (&gt;30d)","")))</f>
        <v/>
      </c>
    </row>
    <row r="1011" customFormat="false" ht="15" hidden="false" customHeight="false" outlineLevel="0" collapsed="false">
      <c r="A1011" s="47" t="s">
        <v>1297</v>
      </c>
      <c r="B1011" s="48" t="n">
        <v>45950</v>
      </c>
      <c r="C1011" s="47" t="s">
        <v>159</v>
      </c>
      <c r="D1011" s="47" t="s">
        <v>213</v>
      </c>
      <c r="E1011" s="47" t="s">
        <v>105</v>
      </c>
      <c r="F1011" s="47" t="s">
        <v>161</v>
      </c>
      <c r="G1011" s="49" t="n">
        <v>10863.21</v>
      </c>
      <c r="H1011" s="50" t="n">
        <v>0.05</v>
      </c>
      <c r="I1011" s="47" t="s">
        <v>162</v>
      </c>
      <c r="J1011" s="48" t="n">
        <v>45952</v>
      </c>
      <c r="K1011" s="51" t="str">
        <f aca="false">"Q"&amp;ROUNDUP(MONTH(B1011)/3,0)</f>
        <v>Q4</v>
      </c>
      <c r="L1011" s="52" t="n">
        <f aca="false">ROUND(G1011*H1011,2)</f>
        <v>543.16</v>
      </c>
      <c r="M1011" s="52" t="n">
        <f aca="false">IF(AND(C1011="Sales",F1011="Standard-rated 5%"),L1011,0)</f>
        <v>543.16</v>
      </c>
      <c r="N1011" s="52" t="n">
        <f aca="false">IF(F1011="Reverse charge (imported services)",L1011,0)</f>
        <v>0</v>
      </c>
      <c r="O1011" s="52" t="n">
        <f aca="false">IF(C1011&lt;&gt;"Purchase",0,IF(OR(I1011="N",F1011="Blocked input (entertainment)"),0,L1011))</f>
        <v>0</v>
      </c>
      <c r="P1011" s="52" t="n">
        <f aca="false">IF(C1011&lt;&gt;"Purchase",0,L1011-O1011)</f>
        <v>0</v>
      </c>
      <c r="Q1011" s="53" t="n">
        <f aca="false">J1011-B1011</f>
        <v>2</v>
      </c>
      <c r="R1011" s="51" t="str">
        <f aca="false">IF(I1011="N","Invalid / missing TRN",IF(F1011="Blocked input (entertainment)","Blocked input",IF(Q1011&gt;30,"Late posting (&gt;30d)","")))</f>
        <v/>
      </c>
    </row>
    <row r="1012" customFormat="false" ht="15" hidden="false" customHeight="false" outlineLevel="0" collapsed="false">
      <c r="A1012" s="47" t="s">
        <v>1298</v>
      </c>
      <c r="B1012" s="48" t="n">
        <v>45950</v>
      </c>
      <c r="C1012" s="47" t="s">
        <v>159</v>
      </c>
      <c r="D1012" s="47" t="s">
        <v>283</v>
      </c>
      <c r="E1012" s="47" t="s">
        <v>100</v>
      </c>
      <c r="F1012" s="47" t="s">
        <v>161</v>
      </c>
      <c r="G1012" s="49" t="n">
        <v>193212.18</v>
      </c>
      <c r="H1012" s="50" t="n">
        <v>0.05</v>
      </c>
      <c r="I1012" s="47" t="s">
        <v>162</v>
      </c>
      <c r="J1012" s="48" t="n">
        <v>45950</v>
      </c>
      <c r="K1012" s="51" t="str">
        <f aca="false">"Q"&amp;ROUNDUP(MONTH(B1012)/3,0)</f>
        <v>Q4</v>
      </c>
      <c r="L1012" s="52" t="n">
        <f aca="false">ROUND(G1012*H1012,2)</f>
        <v>9660.61</v>
      </c>
      <c r="M1012" s="52" t="n">
        <f aca="false">IF(AND(C1012="Sales",F1012="Standard-rated 5%"),L1012,0)</f>
        <v>9660.61</v>
      </c>
      <c r="N1012" s="52" t="n">
        <f aca="false">IF(F1012="Reverse charge (imported services)",L1012,0)</f>
        <v>0</v>
      </c>
      <c r="O1012" s="52" t="n">
        <f aca="false">IF(C1012&lt;&gt;"Purchase",0,IF(OR(I1012="N",F1012="Blocked input (entertainment)"),0,L1012))</f>
        <v>0</v>
      </c>
      <c r="P1012" s="52" t="n">
        <f aca="false">IF(C1012&lt;&gt;"Purchase",0,L1012-O1012)</f>
        <v>0</v>
      </c>
      <c r="Q1012" s="53" t="n">
        <f aca="false">J1012-B1012</f>
        <v>0</v>
      </c>
      <c r="R1012" s="51" t="str">
        <f aca="false">IF(I1012="N","Invalid / missing TRN",IF(F1012="Blocked input (entertainment)","Blocked input",IF(Q1012&gt;30,"Late posting (&gt;30d)","")))</f>
        <v/>
      </c>
    </row>
    <row r="1013" customFormat="false" ht="15" hidden="false" customHeight="false" outlineLevel="0" collapsed="false">
      <c r="A1013" s="47" t="s">
        <v>1299</v>
      </c>
      <c r="B1013" s="48" t="n">
        <v>45950</v>
      </c>
      <c r="C1013" s="47" t="s">
        <v>159</v>
      </c>
      <c r="D1013" s="47" t="s">
        <v>223</v>
      </c>
      <c r="E1013" s="47" t="s">
        <v>101</v>
      </c>
      <c r="F1013" s="47" t="s">
        <v>278</v>
      </c>
      <c r="G1013" s="49" t="n">
        <v>97251.03</v>
      </c>
      <c r="H1013" s="50" t="n">
        <v>0</v>
      </c>
      <c r="I1013" s="47" t="s">
        <v>162</v>
      </c>
      <c r="J1013" s="48" t="n">
        <v>45950</v>
      </c>
      <c r="K1013" s="51" t="str">
        <f aca="false">"Q"&amp;ROUNDUP(MONTH(B1013)/3,0)</f>
        <v>Q4</v>
      </c>
      <c r="L1013" s="52" t="n">
        <f aca="false">ROUND(G1013*H1013,2)</f>
        <v>0</v>
      </c>
      <c r="M1013" s="52" t="n">
        <f aca="false">IF(AND(C1013="Sales",F1013="Standard-rated 5%"),L1013,0)</f>
        <v>0</v>
      </c>
      <c r="N1013" s="52" t="n">
        <f aca="false">IF(F1013="Reverse charge (imported services)",L1013,0)</f>
        <v>0</v>
      </c>
      <c r="O1013" s="52" t="n">
        <f aca="false">IF(C1013&lt;&gt;"Purchase",0,IF(OR(I1013="N",F1013="Blocked input (entertainment)"),0,L1013))</f>
        <v>0</v>
      </c>
      <c r="P1013" s="52" t="n">
        <f aca="false">IF(C1013&lt;&gt;"Purchase",0,L1013-O1013)</f>
        <v>0</v>
      </c>
      <c r="Q1013" s="53" t="n">
        <f aca="false">J1013-B1013</f>
        <v>0</v>
      </c>
      <c r="R1013" s="51" t="str">
        <f aca="false">IF(I1013="N","Invalid / missing TRN",IF(F1013="Blocked input (entertainment)","Blocked input",IF(Q1013&gt;30,"Late posting (&gt;30d)","")))</f>
        <v/>
      </c>
    </row>
    <row r="1014" customFormat="false" ht="15" hidden="false" customHeight="false" outlineLevel="0" collapsed="false">
      <c r="A1014" s="47" t="s">
        <v>1300</v>
      </c>
      <c r="B1014" s="48" t="n">
        <v>45951</v>
      </c>
      <c r="C1014" s="47" t="s">
        <v>166</v>
      </c>
      <c r="D1014" s="47" t="s">
        <v>326</v>
      </c>
      <c r="E1014" s="47" t="s">
        <v>101</v>
      </c>
      <c r="F1014" s="47" t="s">
        <v>173</v>
      </c>
      <c r="G1014" s="49" t="n">
        <v>16177.21</v>
      </c>
      <c r="H1014" s="50" t="n">
        <v>0.05</v>
      </c>
      <c r="I1014" s="47" t="s">
        <v>162</v>
      </c>
      <c r="J1014" s="48" t="n">
        <v>45951</v>
      </c>
      <c r="K1014" s="51" t="str">
        <f aca="false">"Q"&amp;ROUNDUP(MONTH(B1014)/3,0)</f>
        <v>Q4</v>
      </c>
      <c r="L1014" s="52" t="n">
        <f aca="false">ROUND(G1014*H1014,2)</f>
        <v>808.86</v>
      </c>
      <c r="M1014" s="52" t="n">
        <f aca="false">IF(AND(C1014="Sales",F1014="Standard-rated 5%"),L1014,0)</f>
        <v>0</v>
      </c>
      <c r="N1014" s="52" t="n">
        <f aca="false">IF(F1014="Reverse charge (imported services)",L1014,0)</f>
        <v>808.86</v>
      </c>
      <c r="O1014" s="52" t="n">
        <f aca="false">IF(C1014&lt;&gt;"Purchase",0,IF(OR(I1014="N",F1014="Blocked input (entertainment)"),0,L1014))</f>
        <v>808.86</v>
      </c>
      <c r="P1014" s="52" t="n">
        <f aca="false">IF(C1014&lt;&gt;"Purchase",0,L1014-O1014)</f>
        <v>0</v>
      </c>
      <c r="Q1014" s="53" t="n">
        <f aca="false">J1014-B1014</f>
        <v>0</v>
      </c>
      <c r="R1014" s="51" t="str">
        <f aca="false">IF(I1014="N","Invalid / missing TRN",IF(F1014="Blocked input (entertainment)","Blocked input",IF(Q1014&gt;30,"Late posting (&gt;30d)","")))</f>
        <v/>
      </c>
    </row>
    <row r="1015" customFormat="false" ht="15" hidden="false" customHeight="false" outlineLevel="0" collapsed="false">
      <c r="A1015" s="47" t="s">
        <v>1301</v>
      </c>
      <c r="B1015" s="48" t="n">
        <v>45951</v>
      </c>
      <c r="C1015" s="47" t="s">
        <v>166</v>
      </c>
      <c r="D1015" s="47" t="s">
        <v>172</v>
      </c>
      <c r="E1015" s="47" t="s">
        <v>101</v>
      </c>
      <c r="F1015" s="47" t="s">
        <v>161</v>
      </c>
      <c r="G1015" s="49" t="n">
        <v>13733.48</v>
      </c>
      <c r="H1015" s="50" t="n">
        <v>0.05</v>
      </c>
      <c r="I1015" s="47" t="s">
        <v>162</v>
      </c>
      <c r="J1015" s="48" t="n">
        <v>45951</v>
      </c>
      <c r="K1015" s="51" t="str">
        <f aca="false">"Q"&amp;ROUNDUP(MONTH(B1015)/3,0)</f>
        <v>Q4</v>
      </c>
      <c r="L1015" s="52" t="n">
        <f aca="false">ROUND(G1015*H1015,2)</f>
        <v>686.67</v>
      </c>
      <c r="M1015" s="52" t="n">
        <f aca="false">IF(AND(C1015="Sales",F1015="Standard-rated 5%"),L1015,0)</f>
        <v>0</v>
      </c>
      <c r="N1015" s="52" t="n">
        <f aca="false">IF(F1015="Reverse charge (imported services)",L1015,0)</f>
        <v>0</v>
      </c>
      <c r="O1015" s="52" t="n">
        <f aca="false">IF(C1015&lt;&gt;"Purchase",0,IF(OR(I1015="N",F1015="Blocked input (entertainment)"),0,L1015))</f>
        <v>686.67</v>
      </c>
      <c r="P1015" s="52" t="n">
        <f aca="false">IF(C1015&lt;&gt;"Purchase",0,L1015-O1015)</f>
        <v>0</v>
      </c>
      <c r="Q1015" s="53" t="n">
        <f aca="false">J1015-B1015</f>
        <v>0</v>
      </c>
      <c r="R1015" s="51" t="str">
        <f aca="false">IF(I1015="N","Invalid / missing TRN",IF(F1015="Blocked input (entertainment)","Blocked input",IF(Q1015&gt;30,"Late posting (&gt;30d)","")))</f>
        <v/>
      </c>
    </row>
    <row r="1016" customFormat="false" ht="15" hidden="false" customHeight="false" outlineLevel="0" collapsed="false">
      <c r="A1016" s="47" t="s">
        <v>1302</v>
      </c>
      <c r="B1016" s="48" t="n">
        <v>45951</v>
      </c>
      <c r="C1016" s="47" t="s">
        <v>166</v>
      </c>
      <c r="D1016" s="47" t="s">
        <v>326</v>
      </c>
      <c r="E1016" s="47" t="s">
        <v>105</v>
      </c>
      <c r="F1016" s="47" t="s">
        <v>161</v>
      </c>
      <c r="G1016" s="49" t="n">
        <v>64576</v>
      </c>
      <c r="H1016" s="50" t="n">
        <v>0.05</v>
      </c>
      <c r="I1016" s="47" t="s">
        <v>162</v>
      </c>
      <c r="J1016" s="48" t="n">
        <v>45951</v>
      </c>
      <c r="K1016" s="51" t="str">
        <f aca="false">"Q"&amp;ROUNDUP(MONTH(B1016)/3,0)</f>
        <v>Q4</v>
      </c>
      <c r="L1016" s="52" t="n">
        <f aca="false">ROUND(G1016*H1016,2)</f>
        <v>3228.8</v>
      </c>
      <c r="M1016" s="52" t="n">
        <f aca="false">IF(AND(C1016="Sales",F1016="Standard-rated 5%"),L1016,0)</f>
        <v>0</v>
      </c>
      <c r="N1016" s="52" t="n">
        <f aca="false">IF(F1016="Reverse charge (imported services)",L1016,0)</f>
        <v>0</v>
      </c>
      <c r="O1016" s="52" t="n">
        <f aca="false">IF(C1016&lt;&gt;"Purchase",0,IF(OR(I1016="N",F1016="Blocked input (entertainment)"),0,L1016))</f>
        <v>3228.8</v>
      </c>
      <c r="P1016" s="52" t="n">
        <f aca="false">IF(C1016&lt;&gt;"Purchase",0,L1016-O1016)</f>
        <v>0</v>
      </c>
      <c r="Q1016" s="53" t="n">
        <f aca="false">J1016-B1016</f>
        <v>0</v>
      </c>
      <c r="R1016" s="51" t="str">
        <f aca="false">IF(I1016="N","Invalid / missing TRN",IF(F1016="Blocked input (entertainment)","Blocked input",IF(Q1016&gt;30,"Late posting (&gt;30d)","")))</f>
        <v/>
      </c>
    </row>
    <row r="1017" customFormat="false" ht="15" hidden="false" customHeight="false" outlineLevel="0" collapsed="false">
      <c r="A1017" s="47" t="s">
        <v>1303</v>
      </c>
      <c r="B1017" s="48" t="n">
        <v>45951</v>
      </c>
      <c r="C1017" s="47" t="s">
        <v>159</v>
      </c>
      <c r="D1017" s="47" t="s">
        <v>293</v>
      </c>
      <c r="E1017" s="47" t="s">
        <v>102</v>
      </c>
      <c r="F1017" s="47" t="s">
        <v>161</v>
      </c>
      <c r="G1017" s="49" t="n">
        <v>35088.5</v>
      </c>
      <c r="H1017" s="50" t="n">
        <v>0.05</v>
      </c>
      <c r="I1017" s="47" t="s">
        <v>162</v>
      </c>
      <c r="J1017" s="48" t="n">
        <v>45951</v>
      </c>
      <c r="K1017" s="51" t="str">
        <f aca="false">"Q"&amp;ROUNDUP(MONTH(B1017)/3,0)</f>
        <v>Q4</v>
      </c>
      <c r="L1017" s="52" t="n">
        <f aca="false">ROUND(G1017*H1017,2)</f>
        <v>1754.43</v>
      </c>
      <c r="M1017" s="52" t="n">
        <f aca="false">IF(AND(C1017="Sales",F1017="Standard-rated 5%"),L1017,0)</f>
        <v>1754.43</v>
      </c>
      <c r="N1017" s="52" t="n">
        <f aca="false">IF(F1017="Reverse charge (imported services)",L1017,0)</f>
        <v>0</v>
      </c>
      <c r="O1017" s="52" t="n">
        <f aca="false">IF(C1017&lt;&gt;"Purchase",0,IF(OR(I1017="N",F1017="Blocked input (entertainment)"),0,L1017))</f>
        <v>0</v>
      </c>
      <c r="P1017" s="52" t="n">
        <f aca="false">IF(C1017&lt;&gt;"Purchase",0,L1017-O1017)</f>
        <v>0</v>
      </c>
      <c r="Q1017" s="53" t="n">
        <f aca="false">J1017-B1017</f>
        <v>0</v>
      </c>
      <c r="R1017" s="51" t="str">
        <f aca="false">IF(I1017="N","Invalid / missing TRN",IF(F1017="Blocked input (entertainment)","Blocked input",IF(Q1017&gt;30,"Late posting (&gt;30d)","")))</f>
        <v/>
      </c>
    </row>
    <row r="1018" customFormat="false" ht="15" hidden="false" customHeight="false" outlineLevel="0" collapsed="false">
      <c r="A1018" s="47" t="s">
        <v>1304</v>
      </c>
      <c r="B1018" s="48" t="n">
        <v>45951</v>
      </c>
      <c r="C1018" s="47" t="s">
        <v>159</v>
      </c>
      <c r="D1018" s="47" t="s">
        <v>333</v>
      </c>
      <c r="E1018" s="47" t="s">
        <v>100</v>
      </c>
      <c r="F1018" s="47" t="s">
        <v>161</v>
      </c>
      <c r="G1018" s="49" t="n">
        <v>23241.66</v>
      </c>
      <c r="H1018" s="50" t="n">
        <v>0.05</v>
      </c>
      <c r="I1018" s="47" t="s">
        <v>162</v>
      </c>
      <c r="J1018" s="48" t="n">
        <v>45991</v>
      </c>
      <c r="K1018" s="51" t="str">
        <f aca="false">"Q"&amp;ROUNDUP(MONTH(B1018)/3,0)</f>
        <v>Q4</v>
      </c>
      <c r="L1018" s="52" t="n">
        <f aca="false">ROUND(G1018*H1018,2)</f>
        <v>1162.08</v>
      </c>
      <c r="M1018" s="52" t="n">
        <f aca="false">IF(AND(C1018="Sales",F1018="Standard-rated 5%"),L1018,0)</f>
        <v>1162.08</v>
      </c>
      <c r="N1018" s="52" t="n">
        <f aca="false">IF(F1018="Reverse charge (imported services)",L1018,0)</f>
        <v>0</v>
      </c>
      <c r="O1018" s="52" t="n">
        <f aca="false">IF(C1018&lt;&gt;"Purchase",0,IF(OR(I1018="N",F1018="Blocked input (entertainment)"),0,L1018))</f>
        <v>0</v>
      </c>
      <c r="P1018" s="52" t="n">
        <f aca="false">IF(C1018&lt;&gt;"Purchase",0,L1018-O1018)</f>
        <v>0</v>
      </c>
      <c r="Q1018" s="53" t="n">
        <f aca="false">J1018-B1018</f>
        <v>40</v>
      </c>
      <c r="R1018" s="51" t="str">
        <f aca="false">IF(I1018="N","Invalid / missing TRN",IF(F1018="Blocked input (entertainment)","Blocked input",IF(Q1018&gt;30,"Late posting (&gt;30d)","")))</f>
        <v>Late posting (&gt;30d)</v>
      </c>
    </row>
    <row r="1019" customFormat="false" ht="15" hidden="false" customHeight="false" outlineLevel="0" collapsed="false">
      <c r="A1019" s="47" t="s">
        <v>1305</v>
      </c>
      <c r="B1019" s="48" t="n">
        <v>45951</v>
      </c>
      <c r="C1019" s="47" t="s">
        <v>159</v>
      </c>
      <c r="D1019" s="47" t="s">
        <v>361</v>
      </c>
      <c r="E1019" s="47" t="s">
        <v>100</v>
      </c>
      <c r="F1019" s="47" t="s">
        <v>161</v>
      </c>
      <c r="G1019" s="49" t="n">
        <v>24625.29</v>
      </c>
      <c r="H1019" s="50" t="n">
        <v>0.05</v>
      </c>
      <c r="I1019" s="47" t="s">
        <v>162</v>
      </c>
      <c r="J1019" s="48" t="n">
        <v>45951</v>
      </c>
      <c r="K1019" s="51" t="str">
        <f aca="false">"Q"&amp;ROUNDUP(MONTH(B1019)/3,0)</f>
        <v>Q4</v>
      </c>
      <c r="L1019" s="52" t="n">
        <f aca="false">ROUND(G1019*H1019,2)</f>
        <v>1231.26</v>
      </c>
      <c r="M1019" s="52" t="n">
        <f aca="false">IF(AND(C1019="Sales",F1019="Standard-rated 5%"),L1019,0)</f>
        <v>1231.26</v>
      </c>
      <c r="N1019" s="52" t="n">
        <f aca="false">IF(F1019="Reverse charge (imported services)",L1019,0)</f>
        <v>0</v>
      </c>
      <c r="O1019" s="52" t="n">
        <f aca="false">IF(C1019&lt;&gt;"Purchase",0,IF(OR(I1019="N",F1019="Blocked input (entertainment)"),0,L1019))</f>
        <v>0</v>
      </c>
      <c r="P1019" s="52" t="n">
        <f aca="false">IF(C1019&lt;&gt;"Purchase",0,L1019-O1019)</f>
        <v>0</v>
      </c>
      <c r="Q1019" s="53" t="n">
        <f aca="false">J1019-B1019</f>
        <v>0</v>
      </c>
      <c r="R1019" s="51" t="str">
        <f aca="false">IF(I1019="N","Invalid / missing TRN",IF(F1019="Blocked input (entertainment)","Blocked input",IF(Q1019&gt;30,"Late posting (&gt;30d)","")))</f>
        <v/>
      </c>
    </row>
    <row r="1020" customFormat="false" ht="15" hidden="false" customHeight="false" outlineLevel="0" collapsed="false">
      <c r="A1020" s="47" t="s">
        <v>1306</v>
      </c>
      <c r="B1020" s="48" t="n">
        <v>45952</v>
      </c>
      <c r="C1020" s="47" t="s">
        <v>166</v>
      </c>
      <c r="D1020" s="47" t="s">
        <v>466</v>
      </c>
      <c r="E1020" s="47" t="s">
        <v>100</v>
      </c>
      <c r="F1020" s="47" t="s">
        <v>173</v>
      </c>
      <c r="G1020" s="49" t="n">
        <v>9580.46</v>
      </c>
      <c r="H1020" s="50" t="n">
        <v>0.05</v>
      </c>
      <c r="I1020" s="47" t="s">
        <v>162</v>
      </c>
      <c r="J1020" s="48" t="n">
        <v>45952</v>
      </c>
      <c r="K1020" s="51" t="str">
        <f aca="false">"Q"&amp;ROUNDUP(MONTH(B1020)/3,0)</f>
        <v>Q4</v>
      </c>
      <c r="L1020" s="52" t="n">
        <f aca="false">ROUND(G1020*H1020,2)</f>
        <v>479.02</v>
      </c>
      <c r="M1020" s="52" t="n">
        <f aca="false">IF(AND(C1020="Sales",F1020="Standard-rated 5%"),L1020,0)</f>
        <v>0</v>
      </c>
      <c r="N1020" s="52" t="n">
        <f aca="false">IF(F1020="Reverse charge (imported services)",L1020,0)</f>
        <v>479.02</v>
      </c>
      <c r="O1020" s="52" t="n">
        <f aca="false">IF(C1020&lt;&gt;"Purchase",0,IF(OR(I1020="N",F1020="Blocked input (entertainment)"),0,L1020))</f>
        <v>479.02</v>
      </c>
      <c r="P1020" s="52" t="n">
        <f aca="false">IF(C1020&lt;&gt;"Purchase",0,L1020-O1020)</f>
        <v>0</v>
      </c>
      <c r="Q1020" s="53" t="n">
        <f aca="false">J1020-B1020</f>
        <v>0</v>
      </c>
      <c r="R1020" s="51" t="str">
        <f aca="false">IF(I1020="N","Invalid / missing TRN",IF(F1020="Blocked input (entertainment)","Blocked input",IF(Q1020&gt;30,"Late posting (&gt;30d)","")))</f>
        <v/>
      </c>
    </row>
    <row r="1021" customFormat="false" ht="15" hidden="false" customHeight="false" outlineLevel="0" collapsed="false">
      <c r="A1021" s="47" t="s">
        <v>1307</v>
      </c>
      <c r="B1021" s="48" t="n">
        <v>45952</v>
      </c>
      <c r="C1021" s="47" t="s">
        <v>166</v>
      </c>
      <c r="D1021" s="47" t="s">
        <v>577</v>
      </c>
      <c r="E1021" s="47" t="s">
        <v>102</v>
      </c>
      <c r="F1021" s="47" t="s">
        <v>161</v>
      </c>
      <c r="G1021" s="49" t="n">
        <v>28796.28</v>
      </c>
      <c r="H1021" s="50" t="n">
        <v>0.05</v>
      </c>
      <c r="I1021" s="47" t="s">
        <v>162</v>
      </c>
      <c r="J1021" s="48" t="n">
        <v>45952</v>
      </c>
      <c r="K1021" s="51" t="str">
        <f aca="false">"Q"&amp;ROUNDUP(MONTH(B1021)/3,0)</f>
        <v>Q4</v>
      </c>
      <c r="L1021" s="52" t="n">
        <f aca="false">ROUND(G1021*H1021,2)</f>
        <v>1439.81</v>
      </c>
      <c r="M1021" s="52" t="n">
        <f aca="false">IF(AND(C1021="Sales",F1021="Standard-rated 5%"),L1021,0)</f>
        <v>0</v>
      </c>
      <c r="N1021" s="52" t="n">
        <f aca="false">IF(F1021="Reverse charge (imported services)",L1021,0)</f>
        <v>0</v>
      </c>
      <c r="O1021" s="52" t="n">
        <f aca="false">IF(C1021&lt;&gt;"Purchase",0,IF(OR(I1021="N",F1021="Blocked input (entertainment)"),0,L1021))</f>
        <v>1439.81</v>
      </c>
      <c r="P1021" s="52" t="n">
        <f aca="false">IF(C1021&lt;&gt;"Purchase",0,L1021-O1021)</f>
        <v>0</v>
      </c>
      <c r="Q1021" s="53" t="n">
        <f aca="false">J1021-B1021</f>
        <v>0</v>
      </c>
      <c r="R1021" s="51" t="str">
        <f aca="false">IF(I1021="N","Invalid / missing TRN",IF(F1021="Blocked input (entertainment)","Blocked input",IF(Q1021&gt;30,"Late posting (&gt;30d)","")))</f>
        <v/>
      </c>
    </row>
    <row r="1022" customFormat="false" ht="15" hidden="false" customHeight="false" outlineLevel="0" collapsed="false">
      <c r="A1022" s="47" t="s">
        <v>1308</v>
      </c>
      <c r="B1022" s="48" t="n">
        <v>45952</v>
      </c>
      <c r="C1022" s="47" t="s">
        <v>159</v>
      </c>
      <c r="D1022" s="47" t="s">
        <v>216</v>
      </c>
      <c r="E1022" s="47" t="s">
        <v>104</v>
      </c>
      <c r="F1022" s="47" t="s">
        <v>214</v>
      </c>
      <c r="G1022" s="49" t="n">
        <v>17143</v>
      </c>
      <c r="H1022" s="50" t="n">
        <v>0</v>
      </c>
      <c r="I1022" s="47" t="s">
        <v>162</v>
      </c>
      <c r="J1022" s="48" t="n">
        <v>45952</v>
      </c>
      <c r="K1022" s="51" t="str">
        <f aca="false">"Q"&amp;ROUNDUP(MONTH(B1022)/3,0)</f>
        <v>Q4</v>
      </c>
      <c r="L1022" s="52" t="n">
        <f aca="false">ROUND(G1022*H1022,2)</f>
        <v>0</v>
      </c>
      <c r="M1022" s="52" t="n">
        <f aca="false">IF(AND(C1022="Sales",F1022="Standard-rated 5%"),L1022,0)</f>
        <v>0</v>
      </c>
      <c r="N1022" s="52" t="n">
        <f aca="false">IF(F1022="Reverse charge (imported services)",L1022,0)</f>
        <v>0</v>
      </c>
      <c r="O1022" s="52" t="n">
        <f aca="false">IF(C1022&lt;&gt;"Purchase",0,IF(OR(I1022="N",F1022="Blocked input (entertainment)"),0,L1022))</f>
        <v>0</v>
      </c>
      <c r="P1022" s="52" t="n">
        <f aca="false">IF(C1022&lt;&gt;"Purchase",0,L1022-O1022)</f>
        <v>0</v>
      </c>
      <c r="Q1022" s="53" t="n">
        <f aca="false">J1022-B1022</f>
        <v>0</v>
      </c>
      <c r="R1022" s="51" t="str">
        <f aca="false">IF(I1022="N","Invalid / missing TRN",IF(F1022="Blocked input (entertainment)","Blocked input",IF(Q1022&gt;30,"Late posting (&gt;30d)","")))</f>
        <v/>
      </c>
    </row>
    <row r="1023" customFormat="false" ht="15" hidden="false" customHeight="false" outlineLevel="0" collapsed="false">
      <c r="A1023" s="47" t="s">
        <v>1309</v>
      </c>
      <c r="B1023" s="48" t="n">
        <v>45952</v>
      </c>
      <c r="C1023" s="47" t="s">
        <v>159</v>
      </c>
      <c r="D1023" s="47" t="s">
        <v>431</v>
      </c>
      <c r="E1023" s="47" t="s">
        <v>100</v>
      </c>
      <c r="F1023" s="47" t="s">
        <v>161</v>
      </c>
      <c r="G1023" s="49" t="n">
        <v>41142.06</v>
      </c>
      <c r="H1023" s="50" t="n">
        <v>0.05</v>
      </c>
      <c r="I1023" s="47" t="s">
        <v>162</v>
      </c>
      <c r="J1023" s="48" t="n">
        <v>45952</v>
      </c>
      <c r="K1023" s="51" t="str">
        <f aca="false">"Q"&amp;ROUNDUP(MONTH(B1023)/3,0)</f>
        <v>Q4</v>
      </c>
      <c r="L1023" s="52" t="n">
        <f aca="false">ROUND(G1023*H1023,2)</f>
        <v>2057.1</v>
      </c>
      <c r="M1023" s="52" t="n">
        <f aca="false">IF(AND(C1023="Sales",F1023="Standard-rated 5%"),L1023,0)</f>
        <v>2057.1</v>
      </c>
      <c r="N1023" s="52" t="n">
        <f aca="false">IF(F1023="Reverse charge (imported services)",L1023,0)</f>
        <v>0</v>
      </c>
      <c r="O1023" s="52" t="n">
        <f aca="false">IF(C1023&lt;&gt;"Purchase",0,IF(OR(I1023="N",F1023="Blocked input (entertainment)"),0,L1023))</f>
        <v>0</v>
      </c>
      <c r="P1023" s="52" t="n">
        <f aca="false">IF(C1023&lt;&gt;"Purchase",0,L1023-O1023)</f>
        <v>0</v>
      </c>
      <c r="Q1023" s="53" t="n">
        <f aca="false">J1023-B1023</f>
        <v>0</v>
      </c>
      <c r="R1023" s="51" t="str">
        <f aca="false">IF(I1023="N","Invalid / missing TRN",IF(F1023="Blocked input (entertainment)","Blocked input",IF(Q1023&gt;30,"Late posting (&gt;30d)","")))</f>
        <v/>
      </c>
    </row>
    <row r="1024" customFormat="false" ht="15" hidden="false" customHeight="false" outlineLevel="0" collapsed="false">
      <c r="A1024" s="47" t="s">
        <v>1310</v>
      </c>
      <c r="B1024" s="48" t="n">
        <v>45953</v>
      </c>
      <c r="C1024" s="47" t="s">
        <v>166</v>
      </c>
      <c r="D1024" s="47" t="s">
        <v>199</v>
      </c>
      <c r="E1024" s="47" t="s">
        <v>100</v>
      </c>
      <c r="F1024" s="47" t="s">
        <v>161</v>
      </c>
      <c r="G1024" s="49" t="n">
        <v>67473.53</v>
      </c>
      <c r="H1024" s="50" t="n">
        <v>0.05</v>
      </c>
      <c r="I1024" s="47" t="s">
        <v>162</v>
      </c>
      <c r="J1024" s="48" t="n">
        <v>45953</v>
      </c>
      <c r="K1024" s="51" t="str">
        <f aca="false">"Q"&amp;ROUNDUP(MONTH(B1024)/3,0)</f>
        <v>Q4</v>
      </c>
      <c r="L1024" s="52" t="n">
        <f aca="false">ROUND(G1024*H1024,2)</f>
        <v>3373.68</v>
      </c>
      <c r="M1024" s="52" t="n">
        <f aca="false">IF(AND(C1024="Sales",F1024="Standard-rated 5%"),L1024,0)</f>
        <v>0</v>
      </c>
      <c r="N1024" s="52" t="n">
        <f aca="false">IF(F1024="Reverse charge (imported services)",L1024,0)</f>
        <v>0</v>
      </c>
      <c r="O1024" s="52" t="n">
        <f aca="false">IF(C1024&lt;&gt;"Purchase",0,IF(OR(I1024="N",F1024="Blocked input (entertainment)"),0,L1024))</f>
        <v>3373.68</v>
      </c>
      <c r="P1024" s="52" t="n">
        <f aca="false">IF(C1024&lt;&gt;"Purchase",0,L1024-O1024)</f>
        <v>0</v>
      </c>
      <c r="Q1024" s="53" t="n">
        <f aca="false">J1024-B1024</f>
        <v>0</v>
      </c>
      <c r="R1024" s="51" t="str">
        <f aca="false">IF(I1024="N","Invalid / missing TRN",IF(F1024="Blocked input (entertainment)","Blocked input",IF(Q1024&gt;30,"Late posting (&gt;30d)","")))</f>
        <v/>
      </c>
    </row>
    <row r="1025" customFormat="false" ht="15" hidden="false" customHeight="false" outlineLevel="0" collapsed="false">
      <c r="A1025" s="47" t="s">
        <v>1311</v>
      </c>
      <c r="B1025" s="48" t="n">
        <v>45953</v>
      </c>
      <c r="C1025" s="47" t="s">
        <v>166</v>
      </c>
      <c r="D1025" s="47" t="s">
        <v>172</v>
      </c>
      <c r="E1025" s="47" t="s">
        <v>104</v>
      </c>
      <c r="F1025" s="47" t="s">
        <v>161</v>
      </c>
      <c r="G1025" s="49" t="n">
        <v>35749.66</v>
      </c>
      <c r="H1025" s="50" t="n">
        <v>0.05</v>
      </c>
      <c r="I1025" s="47" t="s">
        <v>162</v>
      </c>
      <c r="J1025" s="48" t="n">
        <v>45953</v>
      </c>
      <c r="K1025" s="51" t="str">
        <f aca="false">"Q"&amp;ROUNDUP(MONTH(B1025)/3,0)</f>
        <v>Q4</v>
      </c>
      <c r="L1025" s="52" t="n">
        <f aca="false">ROUND(G1025*H1025,2)</f>
        <v>1787.48</v>
      </c>
      <c r="M1025" s="52" t="n">
        <f aca="false">IF(AND(C1025="Sales",F1025="Standard-rated 5%"),L1025,0)</f>
        <v>0</v>
      </c>
      <c r="N1025" s="52" t="n">
        <f aca="false">IF(F1025="Reverse charge (imported services)",L1025,0)</f>
        <v>0</v>
      </c>
      <c r="O1025" s="52" t="n">
        <f aca="false">IF(C1025&lt;&gt;"Purchase",0,IF(OR(I1025="N",F1025="Blocked input (entertainment)"),0,L1025))</f>
        <v>1787.48</v>
      </c>
      <c r="P1025" s="52" t="n">
        <f aca="false">IF(C1025&lt;&gt;"Purchase",0,L1025-O1025)</f>
        <v>0</v>
      </c>
      <c r="Q1025" s="53" t="n">
        <f aca="false">J1025-B1025</f>
        <v>0</v>
      </c>
      <c r="R1025" s="51" t="str">
        <f aca="false">IF(I1025="N","Invalid / missing TRN",IF(F1025="Blocked input (entertainment)","Blocked input",IF(Q1025&gt;30,"Late posting (&gt;30d)","")))</f>
        <v/>
      </c>
    </row>
    <row r="1026" customFormat="false" ht="15" hidden="false" customHeight="false" outlineLevel="0" collapsed="false">
      <c r="A1026" s="47" t="s">
        <v>1312</v>
      </c>
      <c r="B1026" s="48" t="n">
        <v>45953</v>
      </c>
      <c r="C1026" s="47" t="s">
        <v>159</v>
      </c>
      <c r="D1026" s="47" t="s">
        <v>213</v>
      </c>
      <c r="E1026" s="47" t="s">
        <v>100</v>
      </c>
      <c r="F1026" s="47" t="s">
        <v>278</v>
      </c>
      <c r="G1026" s="49" t="n">
        <v>35122.94</v>
      </c>
      <c r="H1026" s="50" t="n">
        <v>0</v>
      </c>
      <c r="I1026" s="47" t="s">
        <v>162</v>
      </c>
      <c r="J1026" s="48" t="n">
        <v>45953</v>
      </c>
      <c r="K1026" s="51" t="str">
        <f aca="false">"Q"&amp;ROUNDUP(MONTH(B1026)/3,0)</f>
        <v>Q4</v>
      </c>
      <c r="L1026" s="52" t="n">
        <f aca="false">ROUND(G1026*H1026,2)</f>
        <v>0</v>
      </c>
      <c r="M1026" s="52" t="n">
        <f aca="false">IF(AND(C1026="Sales",F1026="Standard-rated 5%"),L1026,0)</f>
        <v>0</v>
      </c>
      <c r="N1026" s="52" t="n">
        <f aca="false">IF(F1026="Reverse charge (imported services)",L1026,0)</f>
        <v>0</v>
      </c>
      <c r="O1026" s="52" t="n">
        <f aca="false">IF(C1026&lt;&gt;"Purchase",0,IF(OR(I1026="N",F1026="Blocked input (entertainment)"),0,L1026))</f>
        <v>0</v>
      </c>
      <c r="P1026" s="52" t="n">
        <f aca="false">IF(C1026&lt;&gt;"Purchase",0,L1026-O1026)</f>
        <v>0</v>
      </c>
      <c r="Q1026" s="53" t="n">
        <f aca="false">J1026-B1026</f>
        <v>0</v>
      </c>
      <c r="R1026" s="51" t="str">
        <f aca="false">IF(I1026="N","Invalid / missing TRN",IF(F1026="Blocked input (entertainment)","Blocked input",IF(Q1026&gt;30,"Late posting (&gt;30d)","")))</f>
        <v/>
      </c>
    </row>
    <row r="1027" customFormat="false" ht="15" hidden="false" customHeight="false" outlineLevel="0" collapsed="false">
      <c r="A1027" s="47" t="s">
        <v>1313</v>
      </c>
      <c r="B1027" s="48" t="n">
        <v>45953</v>
      </c>
      <c r="C1027" s="47" t="s">
        <v>159</v>
      </c>
      <c r="D1027" s="47" t="s">
        <v>241</v>
      </c>
      <c r="E1027" s="47" t="s">
        <v>105</v>
      </c>
      <c r="F1027" s="47" t="s">
        <v>161</v>
      </c>
      <c r="G1027" s="49" t="n">
        <v>36947.96</v>
      </c>
      <c r="H1027" s="50" t="n">
        <v>0.05</v>
      </c>
      <c r="I1027" s="47" t="s">
        <v>162</v>
      </c>
      <c r="J1027" s="48" t="n">
        <v>45954</v>
      </c>
      <c r="K1027" s="51" t="str">
        <f aca="false">"Q"&amp;ROUNDUP(MONTH(B1027)/3,0)</f>
        <v>Q4</v>
      </c>
      <c r="L1027" s="52" t="n">
        <f aca="false">ROUND(G1027*H1027,2)</f>
        <v>1847.4</v>
      </c>
      <c r="M1027" s="52" t="n">
        <f aca="false">IF(AND(C1027="Sales",F1027="Standard-rated 5%"),L1027,0)</f>
        <v>1847.4</v>
      </c>
      <c r="N1027" s="52" t="n">
        <f aca="false">IF(F1027="Reverse charge (imported services)",L1027,0)</f>
        <v>0</v>
      </c>
      <c r="O1027" s="52" t="n">
        <f aca="false">IF(C1027&lt;&gt;"Purchase",0,IF(OR(I1027="N",F1027="Blocked input (entertainment)"),0,L1027))</f>
        <v>0</v>
      </c>
      <c r="P1027" s="52" t="n">
        <f aca="false">IF(C1027&lt;&gt;"Purchase",0,L1027-O1027)</f>
        <v>0</v>
      </c>
      <c r="Q1027" s="53" t="n">
        <f aca="false">J1027-B1027</f>
        <v>1</v>
      </c>
      <c r="R1027" s="51" t="str">
        <f aca="false">IF(I1027="N","Invalid / missing TRN",IF(F1027="Blocked input (entertainment)","Blocked input",IF(Q1027&gt;30,"Late posting (&gt;30d)","")))</f>
        <v/>
      </c>
    </row>
    <row r="1028" customFormat="false" ht="15" hidden="false" customHeight="false" outlineLevel="0" collapsed="false">
      <c r="A1028" s="47" t="s">
        <v>1314</v>
      </c>
      <c r="B1028" s="48" t="n">
        <v>45953</v>
      </c>
      <c r="C1028" s="47" t="s">
        <v>159</v>
      </c>
      <c r="D1028" s="47" t="s">
        <v>277</v>
      </c>
      <c r="E1028" s="47" t="s">
        <v>100</v>
      </c>
      <c r="F1028" s="47" t="s">
        <v>161</v>
      </c>
      <c r="G1028" s="49" t="n">
        <v>71140.06</v>
      </c>
      <c r="H1028" s="50" t="n">
        <v>0.05</v>
      </c>
      <c r="I1028" s="47" t="s">
        <v>162</v>
      </c>
      <c r="J1028" s="48" t="n">
        <v>45953</v>
      </c>
      <c r="K1028" s="51" t="str">
        <f aca="false">"Q"&amp;ROUNDUP(MONTH(B1028)/3,0)</f>
        <v>Q4</v>
      </c>
      <c r="L1028" s="52" t="n">
        <f aca="false">ROUND(G1028*H1028,2)</f>
        <v>3557</v>
      </c>
      <c r="M1028" s="52" t="n">
        <f aca="false">IF(AND(C1028="Sales",F1028="Standard-rated 5%"),L1028,0)</f>
        <v>3557</v>
      </c>
      <c r="N1028" s="52" t="n">
        <f aca="false">IF(F1028="Reverse charge (imported services)",L1028,0)</f>
        <v>0</v>
      </c>
      <c r="O1028" s="52" t="n">
        <f aca="false">IF(C1028&lt;&gt;"Purchase",0,IF(OR(I1028="N",F1028="Blocked input (entertainment)"),0,L1028))</f>
        <v>0</v>
      </c>
      <c r="P1028" s="52" t="n">
        <f aca="false">IF(C1028&lt;&gt;"Purchase",0,L1028-O1028)</f>
        <v>0</v>
      </c>
      <c r="Q1028" s="53" t="n">
        <f aca="false">J1028-B1028</f>
        <v>0</v>
      </c>
      <c r="R1028" s="51" t="str">
        <f aca="false">IF(I1028="N","Invalid / missing TRN",IF(F1028="Blocked input (entertainment)","Blocked input",IF(Q1028&gt;30,"Late posting (&gt;30d)","")))</f>
        <v/>
      </c>
    </row>
    <row r="1029" customFormat="false" ht="15" hidden="false" customHeight="false" outlineLevel="0" collapsed="false">
      <c r="A1029" s="47" t="s">
        <v>1315</v>
      </c>
      <c r="B1029" s="48" t="n">
        <v>45954</v>
      </c>
      <c r="C1029" s="47" t="s">
        <v>166</v>
      </c>
      <c r="D1029" s="47" t="s">
        <v>408</v>
      </c>
      <c r="E1029" s="47" t="s">
        <v>100</v>
      </c>
      <c r="F1029" s="47" t="s">
        <v>392</v>
      </c>
      <c r="G1029" s="49" t="n">
        <v>150838.06</v>
      </c>
      <c r="H1029" s="50" t="n">
        <v>0.05</v>
      </c>
      <c r="I1029" s="47" t="s">
        <v>162</v>
      </c>
      <c r="J1029" s="48" t="n">
        <v>45956</v>
      </c>
      <c r="K1029" s="51" t="str">
        <f aca="false">"Q"&amp;ROUNDUP(MONTH(B1029)/3,0)</f>
        <v>Q4</v>
      </c>
      <c r="L1029" s="52" t="n">
        <f aca="false">ROUND(G1029*H1029,2)</f>
        <v>7541.9</v>
      </c>
      <c r="M1029" s="52" t="n">
        <f aca="false">IF(AND(C1029="Sales",F1029="Standard-rated 5%"),L1029,0)</f>
        <v>0</v>
      </c>
      <c r="N1029" s="52" t="n">
        <f aca="false">IF(F1029="Reverse charge (imported services)",L1029,0)</f>
        <v>0</v>
      </c>
      <c r="O1029" s="52" t="n">
        <f aca="false">IF(C1029&lt;&gt;"Purchase",0,IF(OR(I1029="N",F1029="Blocked input (entertainment)"),0,L1029))</f>
        <v>7541.9</v>
      </c>
      <c r="P1029" s="52" t="n">
        <f aca="false">IF(C1029&lt;&gt;"Purchase",0,L1029-O1029)</f>
        <v>0</v>
      </c>
      <c r="Q1029" s="53" t="n">
        <f aca="false">J1029-B1029</f>
        <v>2</v>
      </c>
      <c r="R1029" s="51" t="str">
        <f aca="false">IF(I1029="N","Invalid / missing TRN",IF(F1029="Blocked input (entertainment)","Blocked input",IF(Q1029&gt;30,"Late posting (&gt;30d)","")))</f>
        <v/>
      </c>
    </row>
    <row r="1030" customFormat="false" ht="15" hidden="false" customHeight="false" outlineLevel="0" collapsed="false">
      <c r="A1030" s="47" t="s">
        <v>1316</v>
      </c>
      <c r="B1030" s="48" t="n">
        <v>45954</v>
      </c>
      <c r="C1030" s="47" t="s">
        <v>166</v>
      </c>
      <c r="D1030" s="47" t="s">
        <v>326</v>
      </c>
      <c r="E1030" s="47" t="s">
        <v>101</v>
      </c>
      <c r="F1030" s="47" t="s">
        <v>161</v>
      </c>
      <c r="G1030" s="49" t="n">
        <v>26925.43</v>
      </c>
      <c r="H1030" s="50" t="n">
        <v>0.05</v>
      </c>
      <c r="I1030" s="47" t="s">
        <v>162</v>
      </c>
      <c r="J1030" s="48" t="n">
        <v>45954</v>
      </c>
      <c r="K1030" s="51" t="str">
        <f aca="false">"Q"&amp;ROUNDUP(MONTH(B1030)/3,0)</f>
        <v>Q4</v>
      </c>
      <c r="L1030" s="52" t="n">
        <f aca="false">ROUND(G1030*H1030,2)</f>
        <v>1346.27</v>
      </c>
      <c r="M1030" s="52" t="n">
        <f aca="false">IF(AND(C1030="Sales",F1030="Standard-rated 5%"),L1030,0)</f>
        <v>0</v>
      </c>
      <c r="N1030" s="52" t="n">
        <f aca="false">IF(F1030="Reverse charge (imported services)",L1030,0)</f>
        <v>0</v>
      </c>
      <c r="O1030" s="52" t="n">
        <f aca="false">IF(C1030&lt;&gt;"Purchase",0,IF(OR(I1030="N",F1030="Blocked input (entertainment)"),0,L1030))</f>
        <v>1346.27</v>
      </c>
      <c r="P1030" s="52" t="n">
        <f aca="false">IF(C1030&lt;&gt;"Purchase",0,L1030-O1030)</f>
        <v>0</v>
      </c>
      <c r="Q1030" s="53" t="n">
        <f aca="false">J1030-B1030</f>
        <v>0</v>
      </c>
      <c r="R1030" s="51" t="str">
        <f aca="false">IF(I1030="N","Invalid / missing TRN",IF(F1030="Blocked input (entertainment)","Blocked input",IF(Q1030&gt;30,"Late posting (&gt;30d)","")))</f>
        <v/>
      </c>
    </row>
    <row r="1031" customFormat="false" ht="15" hidden="false" customHeight="false" outlineLevel="0" collapsed="false">
      <c r="A1031" s="47" t="s">
        <v>1317</v>
      </c>
      <c r="B1031" s="48" t="n">
        <v>45955</v>
      </c>
      <c r="C1031" s="47" t="s">
        <v>159</v>
      </c>
      <c r="D1031" s="47" t="s">
        <v>277</v>
      </c>
      <c r="E1031" s="47" t="s">
        <v>100</v>
      </c>
      <c r="F1031" s="47" t="s">
        <v>161</v>
      </c>
      <c r="G1031" s="49" t="n">
        <v>32084.51</v>
      </c>
      <c r="H1031" s="50" t="n">
        <v>0.05</v>
      </c>
      <c r="I1031" s="47" t="s">
        <v>162</v>
      </c>
      <c r="J1031" s="48" t="n">
        <v>45955</v>
      </c>
      <c r="K1031" s="51" t="str">
        <f aca="false">"Q"&amp;ROUNDUP(MONTH(B1031)/3,0)</f>
        <v>Q4</v>
      </c>
      <c r="L1031" s="52" t="n">
        <f aca="false">ROUND(G1031*H1031,2)</f>
        <v>1604.23</v>
      </c>
      <c r="M1031" s="52" t="n">
        <f aca="false">IF(AND(C1031="Sales",F1031="Standard-rated 5%"),L1031,0)</f>
        <v>1604.23</v>
      </c>
      <c r="N1031" s="52" t="n">
        <f aca="false">IF(F1031="Reverse charge (imported services)",L1031,0)</f>
        <v>0</v>
      </c>
      <c r="O1031" s="52" t="n">
        <f aca="false">IF(C1031&lt;&gt;"Purchase",0,IF(OR(I1031="N",F1031="Blocked input (entertainment)"),0,L1031))</f>
        <v>0</v>
      </c>
      <c r="P1031" s="52" t="n">
        <f aca="false">IF(C1031&lt;&gt;"Purchase",0,L1031-O1031)</f>
        <v>0</v>
      </c>
      <c r="Q1031" s="53" t="n">
        <f aca="false">J1031-B1031</f>
        <v>0</v>
      </c>
      <c r="R1031" s="51" t="str">
        <f aca="false">IF(I1031="N","Invalid / missing TRN",IF(F1031="Blocked input (entertainment)","Blocked input",IF(Q1031&gt;30,"Late posting (&gt;30d)","")))</f>
        <v/>
      </c>
    </row>
    <row r="1032" customFormat="false" ht="15" hidden="false" customHeight="false" outlineLevel="0" collapsed="false">
      <c r="A1032" s="47" t="s">
        <v>1318</v>
      </c>
      <c r="B1032" s="48" t="n">
        <v>45956</v>
      </c>
      <c r="C1032" s="47" t="s">
        <v>166</v>
      </c>
      <c r="D1032" s="47" t="s">
        <v>570</v>
      </c>
      <c r="E1032" s="47" t="s">
        <v>101</v>
      </c>
      <c r="F1032" s="47" t="s">
        <v>161</v>
      </c>
      <c r="G1032" s="49" t="n">
        <v>13893.94</v>
      </c>
      <c r="H1032" s="50" t="n">
        <v>0.05</v>
      </c>
      <c r="I1032" s="47" t="s">
        <v>162</v>
      </c>
      <c r="J1032" s="48" t="n">
        <v>45956</v>
      </c>
      <c r="K1032" s="51" t="str">
        <f aca="false">"Q"&amp;ROUNDUP(MONTH(B1032)/3,0)</f>
        <v>Q4</v>
      </c>
      <c r="L1032" s="52" t="n">
        <f aca="false">ROUND(G1032*H1032,2)</f>
        <v>694.7</v>
      </c>
      <c r="M1032" s="52" t="n">
        <f aca="false">IF(AND(C1032="Sales",F1032="Standard-rated 5%"),L1032,0)</f>
        <v>0</v>
      </c>
      <c r="N1032" s="52" t="n">
        <f aca="false">IF(F1032="Reverse charge (imported services)",L1032,0)</f>
        <v>0</v>
      </c>
      <c r="O1032" s="52" t="n">
        <f aca="false">IF(C1032&lt;&gt;"Purchase",0,IF(OR(I1032="N",F1032="Blocked input (entertainment)"),0,L1032))</f>
        <v>694.7</v>
      </c>
      <c r="P1032" s="52" t="n">
        <f aca="false">IF(C1032&lt;&gt;"Purchase",0,L1032-O1032)</f>
        <v>0</v>
      </c>
      <c r="Q1032" s="53" t="n">
        <f aca="false">J1032-B1032</f>
        <v>0</v>
      </c>
      <c r="R1032" s="51" t="str">
        <f aca="false">IF(I1032="N","Invalid / missing TRN",IF(F1032="Blocked input (entertainment)","Blocked input",IF(Q1032&gt;30,"Late posting (&gt;30d)","")))</f>
        <v/>
      </c>
    </row>
    <row r="1033" customFormat="false" ht="15" hidden="false" customHeight="false" outlineLevel="0" collapsed="false">
      <c r="A1033" s="47" t="s">
        <v>1319</v>
      </c>
      <c r="B1033" s="48" t="n">
        <v>45956</v>
      </c>
      <c r="C1033" s="47" t="s">
        <v>159</v>
      </c>
      <c r="D1033" s="47" t="s">
        <v>277</v>
      </c>
      <c r="E1033" s="47" t="s">
        <v>100</v>
      </c>
      <c r="F1033" s="47" t="s">
        <v>278</v>
      </c>
      <c r="G1033" s="49" t="n">
        <v>17204.98</v>
      </c>
      <c r="H1033" s="50" t="n">
        <v>0</v>
      </c>
      <c r="I1033" s="47" t="s">
        <v>162</v>
      </c>
      <c r="J1033" s="48" t="n">
        <v>45956</v>
      </c>
      <c r="K1033" s="51" t="str">
        <f aca="false">"Q"&amp;ROUNDUP(MONTH(B1033)/3,0)</f>
        <v>Q4</v>
      </c>
      <c r="L1033" s="52" t="n">
        <f aca="false">ROUND(G1033*H1033,2)</f>
        <v>0</v>
      </c>
      <c r="M1033" s="52" t="n">
        <f aca="false">IF(AND(C1033="Sales",F1033="Standard-rated 5%"),L1033,0)</f>
        <v>0</v>
      </c>
      <c r="N1033" s="52" t="n">
        <f aca="false">IF(F1033="Reverse charge (imported services)",L1033,0)</f>
        <v>0</v>
      </c>
      <c r="O1033" s="52" t="n">
        <f aca="false">IF(C1033&lt;&gt;"Purchase",0,IF(OR(I1033="N",F1033="Blocked input (entertainment)"),0,L1033))</f>
        <v>0</v>
      </c>
      <c r="P1033" s="52" t="n">
        <f aca="false">IF(C1033&lt;&gt;"Purchase",0,L1033-O1033)</f>
        <v>0</v>
      </c>
      <c r="Q1033" s="53" t="n">
        <f aca="false">J1033-B1033</f>
        <v>0</v>
      </c>
      <c r="R1033" s="51" t="str">
        <f aca="false">IF(I1033="N","Invalid / missing TRN",IF(F1033="Blocked input (entertainment)","Blocked input",IF(Q1033&gt;30,"Late posting (&gt;30d)","")))</f>
        <v/>
      </c>
    </row>
    <row r="1034" customFormat="false" ht="15" hidden="false" customHeight="false" outlineLevel="0" collapsed="false">
      <c r="A1034" s="47" t="s">
        <v>1320</v>
      </c>
      <c r="B1034" s="48" t="n">
        <v>45956</v>
      </c>
      <c r="C1034" s="47" t="s">
        <v>159</v>
      </c>
      <c r="D1034" s="47" t="s">
        <v>433</v>
      </c>
      <c r="E1034" s="47" t="s">
        <v>102</v>
      </c>
      <c r="F1034" s="47" t="s">
        <v>161</v>
      </c>
      <c r="G1034" s="49" t="n">
        <v>77137.08</v>
      </c>
      <c r="H1034" s="50" t="n">
        <v>0.05</v>
      </c>
      <c r="I1034" s="47" t="s">
        <v>162</v>
      </c>
      <c r="J1034" s="48" t="n">
        <v>45956</v>
      </c>
      <c r="K1034" s="51" t="str">
        <f aca="false">"Q"&amp;ROUNDUP(MONTH(B1034)/3,0)</f>
        <v>Q4</v>
      </c>
      <c r="L1034" s="52" t="n">
        <f aca="false">ROUND(G1034*H1034,2)</f>
        <v>3856.85</v>
      </c>
      <c r="M1034" s="52" t="n">
        <f aca="false">IF(AND(C1034="Sales",F1034="Standard-rated 5%"),L1034,0)</f>
        <v>3856.85</v>
      </c>
      <c r="N1034" s="52" t="n">
        <f aca="false">IF(F1034="Reverse charge (imported services)",L1034,0)</f>
        <v>0</v>
      </c>
      <c r="O1034" s="52" t="n">
        <f aca="false">IF(C1034&lt;&gt;"Purchase",0,IF(OR(I1034="N",F1034="Blocked input (entertainment)"),0,L1034))</f>
        <v>0</v>
      </c>
      <c r="P1034" s="52" t="n">
        <f aca="false">IF(C1034&lt;&gt;"Purchase",0,L1034-O1034)</f>
        <v>0</v>
      </c>
      <c r="Q1034" s="53" t="n">
        <f aca="false">J1034-B1034</f>
        <v>0</v>
      </c>
      <c r="R1034" s="51" t="str">
        <f aca="false">IF(I1034="N","Invalid / missing TRN",IF(F1034="Blocked input (entertainment)","Blocked input",IF(Q1034&gt;30,"Late posting (&gt;30d)","")))</f>
        <v/>
      </c>
    </row>
    <row r="1035" customFormat="false" ht="15" hidden="false" customHeight="false" outlineLevel="0" collapsed="false">
      <c r="A1035" s="47" t="s">
        <v>1321</v>
      </c>
      <c r="B1035" s="48" t="n">
        <v>45957</v>
      </c>
      <c r="C1035" s="47" t="s">
        <v>159</v>
      </c>
      <c r="D1035" s="47" t="s">
        <v>216</v>
      </c>
      <c r="E1035" s="47" t="s">
        <v>100</v>
      </c>
      <c r="F1035" s="47" t="s">
        <v>161</v>
      </c>
      <c r="G1035" s="49" t="n">
        <v>13241.28</v>
      </c>
      <c r="H1035" s="50" t="n">
        <v>0.05</v>
      </c>
      <c r="I1035" s="47" t="s">
        <v>162</v>
      </c>
      <c r="J1035" s="48" t="n">
        <v>45957</v>
      </c>
      <c r="K1035" s="51" t="str">
        <f aca="false">"Q"&amp;ROUNDUP(MONTH(B1035)/3,0)</f>
        <v>Q4</v>
      </c>
      <c r="L1035" s="52" t="n">
        <f aca="false">ROUND(G1035*H1035,2)</f>
        <v>662.06</v>
      </c>
      <c r="M1035" s="52" t="n">
        <f aca="false">IF(AND(C1035="Sales",F1035="Standard-rated 5%"),L1035,0)</f>
        <v>662.06</v>
      </c>
      <c r="N1035" s="52" t="n">
        <f aca="false">IF(F1035="Reverse charge (imported services)",L1035,0)</f>
        <v>0</v>
      </c>
      <c r="O1035" s="52" t="n">
        <f aca="false">IF(C1035&lt;&gt;"Purchase",0,IF(OR(I1035="N",F1035="Blocked input (entertainment)"),0,L1035))</f>
        <v>0</v>
      </c>
      <c r="P1035" s="52" t="n">
        <f aca="false">IF(C1035&lt;&gt;"Purchase",0,L1035-O1035)</f>
        <v>0</v>
      </c>
      <c r="Q1035" s="53" t="n">
        <f aca="false">J1035-B1035</f>
        <v>0</v>
      </c>
      <c r="R1035" s="51" t="str">
        <f aca="false">IF(I1035="N","Invalid / missing TRN",IF(F1035="Blocked input (entertainment)","Blocked input",IF(Q1035&gt;30,"Late posting (&gt;30d)","")))</f>
        <v/>
      </c>
    </row>
    <row r="1036" customFormat="false" ht="15" hidden="false" customHeight="false" outlineLevel="0" collapsed="false">
      <c r="A1036" s="47" t="s">
        <v>1322</v>
      </c>
      <c r="B1036" s="48" t="n">
        <v>45958</v>
      </c>
      <c r="C1036" s="47" t="s">
        <v>166</v>
      </c>
      <c r="D1036" s="47" t="s">
        <v>408</v>
      </c>
      <c r="E1036" s="47" t="s">
        <v>101</v>
      </c>
      <c r="F1036" s="47" t="s">
        <v>161</v>
      </c>
      <c r="G1036" s="49" t="n">
        <v>20172.49</v>
      </c>
      <c r="H1036" s="50" t="n">
        <v>0.05</v>
      </c>
      <c r="I1036" s="47" t="s">
        <v>162</v>
      </c>
      <c r="J1036" s="48" t="n">
        <v>45958</v>
      </c>
      <c r="K1036" s="51" t="str">
        <f aca="false">"Q"&amp;ROUNDUP(MONTH(B1036)/3,0)</f>
        <v>Q4</v>
      </c>
      <c r="L1036" s="52" t="n">
        <f aca="false">ROUND(G1036*H1036,2)</f>
        <v>1008.62</v>
      </c>
      <c r="M1036" s="52" t="n">
        <f aca="false">IF(AND(C1036="Sales",F1036="Standard-rated 5%"),L1036,0)</f>
        <v>0</v>
      </c>
      <c r="N1036" s="52" t="n">
        <f aca="false">IF(F1036="Reverse charge (imported services)",L1036,0)</f>
        <v>0</v>
      </c>
      <c r="O1036" s="52" t="n">
        <f aca="false">IF(C1036&lt;&gt;"Purchase",0,IF(OR(I1036="N",F1036="Blocked input (entertainment)"),0,L1036))</f>
        <v>1008.62</v>
      </c>
      <c r="P1036" s="52" t="n">
        <f aca="false">IF(C1036&lt;&gt;"Purchase",0,L1036-O1036)</f>
        <v>0</v>
      </c>
      <c r="Q1036" s="53" t="n">
        <f aca="false">J1036-B1036</f>
        <v>0</v>
      </c>
      <c r="R1036" s="51" t="str">
        <f aca="false">IF(I1036="N","Invalid / missing TRN",IF(F1036="Blocked input (entertainment)","Blocked input",IF(Q1036&gt;30,"Late posting (&gt;30d)","")))</f>
        <v/>
      </c>
    </row>
    <row r="1037" customFormat="false" ht="15" hidden="false" customHeight="false" outlineLevel="0" collapsed="false">
      <c r="A1037" s="47" t="s">
        <v>1323</v>
      </c>
      <c r="B1037" s="48" t="n">
        <v>45958</v>
      </c>
      <c r="C1037" s="47" t="s">
        <v>159</v>
      </c>
      <c r="D1037" s="47" t="s">
        <v>333</v>
      </c>
      <c r="E1037" s="47" t="s">
        <v>100</v>
      </c>
      <c r="F1037" s="47" t="s">
        <v>161</v>
      </c>
      <c r="G1037" s="49" t="n">
        <v>16850.97</v>
      </c>
      <c r="H1037" s="50" t="n">
        <v>0.05</v>
      </c>
      <c r="I1037" s="47" t="s">
        <v>162</v>
      </c>
      <c r="J1037" s="48" t="n">
        <v>45958</v>
      </c>
      <c r="K1037" s="51" t="str">
        <f aca="false">"Q"&amp;ROUNDUP(MONTH(B1037)/3,0)</f>
        <v>Q4</v>
      </c>
      <c r="L1037" s="52" t="n">
        <f aca="false">ROUND(G1037*H1037,2)</f>
        <v>842.55</v>
      </c>
      <c r="M1037" s="52" t="n">
        <f aca="false">IF(AND(C1037="Sales",F1037="Standard-rated 5%"),L1037,0)</f>
        <v>842.55</v>
      </c>
      <c r="N1037" s="52" t="n">
        <f aca="false">IF(F1037="Reverse charge (imported services)",L1037,0)</f>
        <v>0</v>
      </c>
      <c r="O1037" s="52" t="n">
        <f aca="false">IF(C1037&lt;&gt;"Purchase",0,IF(OR(I1037="N",F1037="Blocked input (entertainment)"),0,L1037))</f>
        <v>0</v>
      </c>
      <c r="P1037" s="52" t="n">
        <f aca="false">IF(C1037&lt;&gt;"Purchase",0,L1037-O1037)</f>
        <v>0</v>
      </c>
      <c r="Q1037" s="53" t="n">
        <f aca="false">J1037-B1037</f>
        <v>0</v>
      </c>
      <c r="R1037" s="51" t="str">
        <f aca="false">IF(I1037="N","Invalid / missing TRN",IF(F1037="Blocked input (entertainment)","Blocked input",IF(Q1037&gt;30,"Late posting (&gt;30d)","")))</f>
        <v/>
      </c>
    </row>
    <row r="1038" customFormat="false" ht="15" hidden="false" customHeight="false" outlineLevel="0" collapsed="false">
      <c r="A1038" s="47" t="s">
        <v>1324</v>
      </c>
      <c r="B1038" s="48" t="n">
        <v>45958</v>
      </c>
      <c r="C1038" s="47" t="s">
        <v>159</v>
      </c>
      <c r="D1038" s="47" t="s">
        <v>532</v>
      </c>
      <c r="E1038" s="47" t="s">
        <v>101</v>
      </c>
      <c r="F1038" s="47" t="s">
        <v>161</v>
      </c>
      <c r="G1038" s="49" t="n">
        <v>87100.25</v>
      </c>
      <c r="H1038" s="50" t="n">
        <v>0.05</v>
      </c>
      <c r="I1038" s="47" t="s">
        <v>162</v>
      </c>
      <c r="J1038" s="48" t="n">
        <v>45958</v>
      </c>
      <c r="K1038" s="51" t="str">
        <f aca="false">"Q"&amp;ROUNDUP(MONTH(B1038)/3,0)</f>
        <v>Q4</v>
      </c>
      <c r="L1038" s="52" t="n">
        <f aca="false">ROUND(G1038*H1038,2)</f>
        <v>4355.01</v>
      </c>
      <c r="M1038" s="52" t="n">
        <f aca="false">IF(AND(C1038="Sales",F1038="Standard-rated 5%"),L1038,0)</f>
        <v>4355.01</v>
      </c>
      <c r="N1038" s="52" t="n">
        <f aca="false">IF(F1038="Reverse charge (imported services)",L1038,0)</f>
        <v>0</v>
      </c>
      <c r="O1038" s="52" t="n">
        <f aca="false">IF(C1038&lt;&gt;"Purchase",0,IF(OR(I1038="N",F1038="Blocked input (entertainment)"),0,L1038))</f>
        <v>0</v>
      </c>
      <c r="P1038" s="52" t="n">
        <f aca="false">IF(C1038&lt;&gt;"Purchase",0,L1038-O1038)</f>
        <v>0</v>
      </c>
      <c r="Q1038" s="53" t="n">
        <f aca="false">J1038-B1038</f>
        <v>0</v>
      </c>
      <c r="R1038" s="51" t="str">
        <f aca="false">IF(I1038="N","Invalid / missing TRN",IF(F1038="Blocked input (entertainment)","Blocked input",IF(Q1038&gt;30,"Late posting (&gt;30d)","")))</f>
        <v/>
      </c>
    </row>
    <row r="1039" customFormat="false" ht="15" hidden="false" customHeight="false" outlineLevel="0" collapsed="false">
      <c r="A1039" s="47" t="s">
        <v>1325</v>
      </c>
      <c r="B1039" s="48" t="n">
        <v>45959</v>
      </c>
      <c r="C1039" s="47" t="s">
        <v>166</v>
      </c>
      <c r="D1039" s="47" t="s">
        <v>458</v>
      </c>
      <c r="E1039" s="47" t="s">
        <v>100</v>
      </c>
      <c r="F1039" s="47" t="s">
        <v>173</v>
      </c>
      <c r="G1039" s="49" t="n">
        <v>33304.95</v>
      </c>
      <c r="H1039" s="50" t="n">
        <v>0.05</v>
      </c>
      <c r="I1039" s="47" t="s">
        <v>162</v>
      </c>
      <c r="J1039" s="48" t="n">
        <v>45959</v>
      </c>
      <c r="K1039" s="51" t="str">
        <f aca="false">"Q"&amp;ROUNDUP(MONTH(B1039)/3,0)</f>
        <v>Q4</v>
      </c>
      <c r="L1039" s="52" t="n">
        <f aca="false">ROUND(G1039*H1039,2)</f>
        <v>1665.25</v>
      </c>
      <c r="M1039" s="52" t="n">
        <f aca="false">IF(AND(C1039="Sales",F1039="Standard-rated 5%"),L1039,0)</f>
        <v>0</v>
      </c>
      <c r="N1039" s="52" t="n">
        <f aca="false">IF(F1039="Reverse charge (imported services)",L1039,0)</f>
        <v>1665.25</v>
      </c>
      <c r="O1039" s="52" t="n">
        <f aca="false">IF(C1039&lt;&gt;"Purchase",0,IF(OR(I1039="N",F1039="Blocked input (entertainment)"),0,L1039))</f>
        <v>1665.25</v>
      </c>
      <c r="P1039" s="52" t="n">
        <f aca="false">IF(C1039&lt;&gt;"Purchase",0,L1039-O1039)</f>
        <v>0</v>
      </c>
      <c r="Q1039" s="53" t="n">
        <f aca="false">J1039-B1039</f>
        <v>0</v>
      </c>
      <c r="R1039" s="51" t="str">
        <f aca="false">IF(I1039="N","Invalid / missing TRN",IF(F1039="Blocked input (entertainment)","Blocked input",IF(Q1039&gt;30,"Late posting (&gt;30d)","")))</f>
        <v/>
      </c>
    </row>
    <row r="1040" customFormat="false" ht="15" hidden="false" customHeight="false" outlineLevel="0" collapsed="false">
      <c r="A1040" s="47" t="s">
        <v>1326</v>
      </c>
      <c r="B1040" s="48" t="n">
        <v>45960</v>
      </c>
      <c r="C1040" s="47" t="s">
        <v>166</v>
      </c>
      <c r="D1040" s="47" t="s">
        <v>196</v>
      </c>
      <c r="E1040" s="47" t="s">
        <v>102</v>
      </c>
      <c r="F1040" s="47" t="s">
        <v>161</v>
      </c>
      <c r="G1040" s="49" t="n">
        <v>17275.48</v>
      </c>
      <c r="H1040" s="50" t="n">
        <v>0.05</v>
      </c>
      <c r="I1040" s="47" t="s">
        <v>162</v>
      </c>
      <c r="J1040" s="48" t="n">
        <v>45960</v>
      </c>
      <c r="K1040" s="51" t="str">
        <f aca="false">"Q"&amp;ROUNDUP(MONTH(B1040)/3,0)</f>
        <v>Q4</v>
      </c>
      <c r="L1040" s="52" t="n">
        <f aca="false">ROUND(G1040*H1040,2)</f>
        <v>863.77</v>
      </c>
      <c r="M1040" s="52" t="n">
        <f aca="false">IF(AND(C1040="Sales",F1040="Standard-rated 5%"),L1040,0)</f>
        <v>0</v>
      </c>
      <c r="N1040" s="52" t="n">
        <f aca="false">IF(F1040="Reverse charge (imported services)",L1040,0)</f>
        <v>0</v>
      </c>
      <c r="O1040" s="52" t="n">
        <f aca="false">IF(C1040&lt;&gt;"Purchase",0,IF(OR(I1040="N",F1040="Blocked input (entertainment)"),0,L1040))</f>
        <v>863.77</v>
      </c>
      <c r="P1040" s="52" t="n">
        <f aca="false">IF(C1040&lt;&gt;"Purchase",0,L1040-O1040)</f>
        <v>0</v>
      </c>
      <c r="Q1040" s="53" t="n">
        <f aca="false">J1040-B1040</f>
        <v>0</v>
      </c>
      <c r="R1040" s="51" t="str">
        <f aca="false">IF(I1040="N","Invalid / missing TRN",IF(F1040="Blocked input (entertainment)","Blocked input",IF(Q1040&gt;30,"Late posting (&gt;30d)","")))</f>
        <v/>
      </c>
    </row>
    <row r="1041" customFormat="false" ht="15" hidden="false" customHeight="false" outlineLevel="0" collapsed="false">
      <c r="A1041" s="47" t="s">
        <v>1327</v>
      </c>
      <c r="B1041" s="48" t="n">
        <v>45960</v>
      </c>
      <c r="C1041" s="47" t="s">
        <v>166</v>
      </c>
      <c r="D1041" s="47" t="s">
        <v>352</v>
      </c>
      <c r="E1041" s="47" t="s">
        <v>101</v>
      </c>
      <c r="F1041" s="47" t="s">
        <v>161</v>
      </c>
      <c r="G1041" s="49" t="n">
        <v>19656.33</v>
      </c>
      <c r="H1041" s="50" t="n">
        <v>0.05</v>
      </c>
      <c r="I1041" s="47" t="s">
        <v>162</v>
      </c>
      <c r="J1041" s="48" t="n">
        <v>45961</v>
      </c>
      <c r="K1041" s="51" t="str">
        <f aca="false">"Q"&amp;ROUNDUP(MONTH(B1041)/3,0)</f>
        <v>Q4</v>
      </c>
      <c r="L1041" s="52" t="n">
        <f aca="false">ROUND(G1041*H1041,2)</f>
        <v>982.82</v>
      </c>
      <c r="M1041" s="52" t="n">
        <f aca="false">IF(AND(C1041="Sales",F1041="Standard-rated 5%"),L1041,0)</f>
        <v>0</v>
      </c>
      <c r="N1041" s="52" t="n">
        <f aca="false">IF(F1041="Reverse charge (imported services)",L1041,0)</f>
        <v>0</v>
      </c>
      <c r="O1041" s="52" t="n">
        <f aca="false">IF(C1041&lt;&gt;"Purchase",0,IF(OR(I1041="N",F1041="Blocked input (entertainment)"),0,L1041))</f>
        <v>982.82</v>
      </c>
      <c r="P1041" s="52" t="n">
        <f aca="false">IF(C1041&lt;&gt;"Purchase",0,L1041-O1041)</f>
        <v>0</v>
      </c>
      <c r="Q1041" s="53" t="n">
        <f aca="false">J1041-B1041</f>
        <v>1</v>
      </c>
      <c r="R1041" s="51" t="str">
        <f aca="false">IF(I1041="N","Invalid / missing TRN",IF(F1041="Blocked input (entertainment)","Blocked input",IF(Q1041&gt;30,"Late posting (&gt;30d)","")))</f>
        <v/>
      </c>
    </row>
    <row r="1042" customFormat="false" ht="15" hidden="false" customHeight="false" outlineLevel="0" collapsed="false">
      <c r="A1042" s="47" t="s">
        <v>1328</v>
      </c>
      <c r="B1042" s="48" t="n">
        <v>45960</v>
      </c>
      <c r="C1042" s="47" t="s">
        <v>159</v>
      </c>
      <c r="D1042" s="47" t="s">
        <v>364</v>
      </c>
      <c r="E1042" s="47" t="s">
        <v>105</v>
      </c>
      <c r="F1042" s="47" t="s">
        <v>161</v>
      </c>
      <c r="G1042" s="49" t="n">
        <v>110175.33</v>
      </c>
      <c r="H1042" s="50" t="n">
        <v>0.05</v>
      </c>
      <c r="I1042" s="47" t="s">
        <v>162</v>
      </c>
      <c r="J1042" s="48" t="n">
        <v>45960</v>
      </c>
      <c r="K1042" s="51" t="str">
        <f aca="false">"Q"&amp;ROUNDUP(MONTH(B1042)/3,0)</f>
        <v>Q4</v>
      </c>
      <c r="L1042" s="52" t="n">
        <f aca="false">ROUND(G1042*H1042,2)</f>
        <v>5508.77</v>
      </c>
      <c r="M1042" s="52" t="n">
        <f aca="false">IF(AND(C1042="Sales",F1042="Standard-rated 5%"),L1042,0)</f>
        <v>5508.77</v>
      </c>
      <c r="N1042" s="52" t="n">
        <f aca="false">IF(F1042="Reverse charge (imported services)",L1042,0)</f>
        <v>0</v>
      </c>
      <c r="O1042" s="52" t="n">
        <f aca="false">IF(C1042&lt;&gt;"Purchase",0,IF(OR(I1042="N",F1042="Blocked input (entertainment)"),0,L1042))</f>
        <v>0</v>
      </c>
      <c r="P1042" s="52" t="n">
        <f aca="false">IF(C1042&lt;&gt;"Purchase",0,L1042-O1042)</f>
        <v>0</v>
      </c>
      <c r="Q1042" s="53" t="n">
        <f aca="false">J1042-B1042</f>
        <v>0</v>
      </c>
      <c r="R1042" s="51" t="str">
        <f aca="false">IF(I1042="N","Invalid / missing TRN",IF(F1042="Blocked input (entertainment)","Blocked input",IF(Q1042&gt;30,"Late posting (&gt;30d)","")))</f>
        <v/>
      </c>
    </row>
    <row r="1043" customFormat="false" ht="15" hidden="false" customHeight="false" outlineLevel="0" collapsed="false">
      <c r="A1043" s="47" t="s">
        <v>1329</v>
      </c>
      <c r="B1043" s="48" t="n">
        <v>45960</v>
      </c>
      <c r="C1043" s="47" t="s">
        <v>159</v>
      </c>
      <c r="D1043" s="47" t="s">
        <v>241</v>
      </c>
      <c r="E1043" s="47" t="s">
        <v>100</v>
      </c>
      <c r="F1043" s="47" t="s">
        <v>161</v>
      </c>
      <c r="G1043" s="49" t="n">
        <v>87901.62</v>
      </c>
      <c r="H1043" s="50" t="n">
        <v>0.05</v>
      </c>
      <c r="I1043" s="47" t="s">
        <v>162</v>
      </c>
      <c r="J1043" s="48" t="n">
        <v>45960</v>
      </c>
      <c r="K1043" s="51" t="str">
        <f aca="false">"Q"&amp;ROUNDUP(MONTH(B1043)/3,0)</f>
        <v>Q4</v>
      </c>
      <c r="L1043" s="52" t="n">
        <f aca="false">ROUND(G1043*H1043,2)</f>
        <v>4395.08</v>
      </c>
      <c r="M1043" s="52" t="n">
        <f aca="false">IF(AND(C1043="Sales",F1043="Standard-rated 5%"),L1043,0)</f>
        <v>4395.08</v>
      </c>
      <c r="N1043" s="52" t="n">
        <f aca="false">IF(F1043="Reverse charge (imported services)",L1043,0)</f>
        <v>0</v>
      </c>
      <c r="O1043" s="52" t="n">
        <f aca="false">IF(C1043&lt;&gt;"Purchase",0,IF(OR(I1043="N",F1043="Blocked input (entertainment)"),0,L1043))</f>
        <v>0</v>
      </c>
      <c r="P1043" s="52" t="n">
        <f aca="false">IF(C1043&lt;&gt;"Purchase",0,L1043-O1043)</f>
        <v>0</v>
      </c>
      <c r="Q1043" s="53" t="n">
        <f aca="false">J1043-B1043</f>
        <v>0</v>
      </c>
      <c r="R1043" s="51" t="str">
        <f aca="false">IF(I1043="N","Invalid / missing TRN",IF(F1043="Blocked input (entertainment)","Blocked input",IF(Q1043&gt;30,"Late posting (&gt;30d)","")))</f>
        <v/>
      </c>
    </row>
    <row r="1044" customFormat="false" ht="15" hidden="false" customHeight="false" outlineLevel="0" collapsed="false">
      <c r="A1044" s="47" t="s">
        <v>1330</v>
      </c>
      <c r="B1044" s="48" t="n">
        <v>45960</v>
      </c>
      <c r="C1044" s="47" t="s">
        <v>159</v>
      </c>
      <c r="D1044" s="47" t="s">
        <v>160</v>
      </c>
      <c r="E1044" s="47" t="s">
        <v>100</v>
      </c>
      <c r="F1044" s="47" t="s">
        <v>161</v>
      </c>
      <c r="G1044" s="49" t="n">
        <v>90679.52</v>
      </c>
      <c r="H1044" s="50" t="n">
        <v>0.05</v>
      </c>
      <c r="I1044" s="47" t="s">
        <v>162</v>
      </c>
      <c r="J1044" s="48" t="n">
        <v>45960</v>
      </c>
      <c r="K1044" s="51" t="str">
        <f aca="false">"Q"&amp;ROUNDUP(MONTH(B1044)/3,0)</f>
        <v>Q4</v>
      </c>
      <c r="L1044" s="52" t="n">
        <f aca="false">ROUND(G1044*H1044,2)</f>
        <v>4533.98</v>
      </c>
      <c r="M1044" s="52" t="n">
        <f aca="false">IF(AND(C1044="Sales",F1044="Standard-rated 5%"),L1044,0)</f>
        <v>4533.98</v>
      </c>
      <c r="N1044" s="52" t="n">
        <f aca="false">IF(F1044="Reverse charge (imported services)",L1044,0)</f>
        <v>0</v>
      </c>
      <c r="O1044" s="52" t="n">
        <f aca="false">IF(C1044&lt;&gt;"Purchase",0,IF(OR(I1044="N",F1044="Blocked input (entertainment)"),0,L1044))</f>
        <v>0</v>
      </c>
      <c r="P1044" s="52" t="n">
        <f aca="false">IF(C1044&lt;&gt;"Purchase",0,L1044-O1044)</f>
        <v>0</v>
      </c>
      <c r="Q1044" s="53" t="n">
        <f aca="false">J1044-B1044</f>
        <v>0</v>
      </c>
      <c r="R1044" s="51" t="str">
        <f aca="false">IF(I1044="N","Invalid / missing TRN",IF(F1044="Blocked input (entertainment)","Blocked input",IF(Q1044&gt;30,"Late posting (&gt;30d)","")))</f>
        <v/>
      </c>
    </row>
    <row r="1045" customFormat="false" ht="15" hidden="false" customHeight="false" outlineLevel="0" collapsed="false">
      <c r="A1045" s="47" t="s">
        <v>1331</v>
      </c>
      <c r="B1045" s="48" t="n">
        <v>45961</v>
      </c>
      <c r="C1045" s="47" t="s">
        <v>166</v>
      </c>
      <c r="D1045" s="47" t="s">
        <v>194</v>
      </c>
      <c r="E1045" s="47" t="s">
        <v>100</v>
      </c>
      <c r="F1045" s="47" t="s">
        <v>161</v>
      </c>
      <c r="G1045" s="49" t="n">
        <v>58729.78</v>
      </c>
      <c r="H1045" s="50" t="n">
        <v>0.05</v>
      </c>
      <c r="I1045" s="47" t="s">
        <v>162</v>
      </c>
      <c r="J1045" s="48" t="n">
        <v>45961</v>
      </c>
      <c r="K1045" s="51" t="str">
        <f aca="false">"Q"&amp;ROUNDUP(MONTH(B1045)/3,0)</f>
        <v>Q4</v>
      </c>
      <c r="L1045" s="52" t="n">
        <f aca="false">ROUND(G1045*H1045,2)</f>
        <v>2936.49</v>
      </c>
      <c r="M1045" s="52" t="n">
        <f aca="false">IF(AND(C1045="Sales",F1045="Standard-rated 5%"),L1045,0)</f>
        <v>0</v>
      </c>
      <c r="N1045" s="52" t="n">
        <f aca="false">IF(F1045="Reverse charge (imported services)",L1045,0)</f>
        <v>0</v>
      </c>
      <c r="O1045" s="52" t="n">
        <f aca="false">IF(C1045&lt;&gt;"Purchase",0,IF(OR(I1045="N",F1045="Blocked input (entertainment)"),0,L1045))</f>
        <v>2936.49</v>
      </c>
      <c r="P1045" s="52" t="n">
        <f aca="false">IF(C1045&lt;&gt;"Purchase",0,L1045-O1045)</f>
        <v>0</v>
      </c>
      <c r="Q1045" s="53" t="n">
        <f aca="false">J1045-B1045</f>
        <v>0</v>
      </c>
      <c r="R1045" s="51" t="str">
        <f aca="false">IF(I1045="N","Invalid / missing TRN",IF(F1045="Blocked input (entertainment)","Blocked input",IF(Q1045&gt;30,"Late posting (&gt;30d)","")))</f>
        <v/>
      </c>
    </row>
    <row r="1046" customFormat="false" ht="15" hidden="false" customHeight="false" outlineLevel="0" collapsed="false">
      <c r="A1046" s="47" t="s">
        <v>1332</v>
      </c>
      <c r="B1046" s="48" t="n">
        <v>45961</v>
      </c>
      <c r="C1046" s="47" t="s">
        <v>166</v>
      </c>
      <c r="D1046" s="47" t="s">
        <v>196</v>
      </c>
      <c r="E1046" s="47" t="s">
        <v>102</v>
      </c>
      <c r="F1046" s="47" t="s">
        <v>161</v>
      </c>
      <c r="G1046" s="49" t="n">
        <v>24644.65</v>
      </c>
      <c r="H1046" s="50" t="n">
        <v>0.05</v>
      </c>
      <c r="I1046" s="47" t="s">
        <v>162</v>
      </c>
      <c r="J1046" s="48" t="n">
        <v>45961</v>
      </c>
      <c r="K1046" s="51" t="str">
        <f aca="false">"Q"&amp;ROUNDUP(MONTH(B1046)/3,0)</f>
        <v>Q4</v>
      </c>
      <c r="L1046" s="52" t="n">
        <f aca="false">ROUND(G1046*H1046,2)</f>
        <v>1232.23</v>
      </c>
      <c r="M1046" s="52" t="n">
        <f aca="false">IF(AND(C1046="Sales",F1046="Standard-rated 5%"),L1046,0)</f>
        <v>0</v>
      </c>
      <c r="N1046" s="52" t="n">
        <f aca="false">IF(F1046="Reverse charge (imported services)",L1046,0)</f>
        <v>0</v>
      </c>
      <c r="O1046" s="52" t="n">
        <f aca="false">IF(C1046&lt;&gt;"Purchase",0,IF(OR(I1046="N",F1046="Blocked input (entertainment)"),0,L1046))</f>
        <v>1232.23</v>
      </c>
      <c r="P1046" s="52" t="n">
        <f aca="false">IF(C1046&lt;&gt;"Purchase",0,L1046-O1046)</f>
        <v>0</v>
      </c>
      <c r="Q1046" s="53" t="n">
        <f aca="false">J1046-B1046</f>
        <v>0</v>
      </c>
      <c r="R1046" s="51" t="str">
        <f aca="false">IF(I1046="N","Invalid / missing TRN",IF(F1046="Blocked input (entertainment)","Blocked input",IF(Q1046&gt;30,"Late posting (&gt;30d)","")))</f>
        <v/>
      </c>
    </row>
    <row r="1047" customFormat="false" ht="15" hidden="false" customHeight="false" outlineLevel="0" collapsed="false">
      <c r="A1047" s="47" t="s">
        <v>1333</v>
      </c>
      <c r="B1047" s="48" t="n">
        <v>45961</v>
      </c>
      <c r="C1047" s="47" t="s">
        <v>166</v>
      </c>
      <c r="D1047" s="47" t="s">
        <v>251</v>
      </c>
      <c r="E1047" s="47" t="s">
        <v>100</v>
      </c>
      <c r="F1047" s="47" t="s">
        <v>161</v>
      </c>
      <c r="G1047" s="49" t="n">
        <v>14787.89</v>
      </c>
      <c r="H1047" s="50" t="n">
        <v>0.05</v>
      </c>
      <c r="I1047" s="47" t="s">
        <v>162</v>
      </c>
      <c r="J1047" s="48" t="n">
        <v>45961</v>
      </c>
      <c r="K1047" s="51" t="str">
        <f aca="false">"Q"&amp;ROUNDUP(MONTH(B1047)/3,0)</f>
        <v>Q4</v>
      </c>
      <c r="L1047" s="52" t="n">
        <f aca="false">ROUND(G1047*H1047,2)</f>
        <v>739.39</v>
      </c>
      <c r="M1047" s="52" t="n">
        <f aca="false">IF(AND(C1047="Sales",F1047="Standard-rated 5%"),L1047,0)</f>
        <v>0</v>
      </c>
      <c r="N1047" s="52" t="n">
        <f aca="false">IF(F1047="Reverse charge (imported services)",L1047,0)</f>
        <v>0</v>
      </c>
      <c r="O1047" s="52" t="n">
        <f aca="false">IF(C1047&lt;&gt;"Purchase",0,IF(OR(I1047="N",F1047="Blocked input (entertainment)"),0,L1047))</f>
        <v>739.39</v>
      </c>
      <c r="P1047" s="52" t="n">
        <f aca="false">IF(C1047&lt;&gt;"Purchase",0,L1047-O1047)</f>
        <v>0</v>
      </c>
      <c r="Q1047" s="53" t="n">
        <f aca="false">J1047-B1047</f>
        <v>0</v>
      </c>
      <c r="R1047" s="51" t="str">
        <f aca="false">IF(I1047="N","Invalid / missing TRN",IF(F1047="Blocked input (entertainment)","Blocked input",IF(Q1047&gt;30,"Late posting (&gt;30d)","")))</f>
        <v/>
      </c>
    </row>
    <row r="1048" customFormat="false" ht="15" hidden="false" customHeight="false" outlineLevel="0" collapsed="false">
      <c r="A1048" s="47" t="s">
        <v>1334</v>
      </c>
      <c r="B1048" s="48" t="n">
        <v>45961</v>
      </c>
      <c r="C1048" s="47" t="s">
        <v>159</v>
      </c>
      <c r="D1048" s="47" t="s">
        <v>431</v>
      </c>
      <c r="E1048" s="47" t="s">
        <v>101</v>
      </c>
      <c r="F1048" s="47" t="s">
        <v>161</v>
      </c>
      <c r="G1048" s="49" t="n">
        <v>40673.93</v>
      </c>
      <c r="H1048" s="50" t="n">
        <v>0.05</v>
      </c>
      <c r="I1048" s="47" t="s">
        <v>162</v>
      </c>
      <c r="J1048" s="48" t="n">
        <v>45961</v>
      </c>
      <c r="K1048" s="51" t="str">
        <f aca="false">"Q"&amp;ROUNDUP(MONTH(B1048)/3,0)</f>
        <v>Q4</v>
      </c>
      <c r="L1048" s="52" t="n">
        <f aca="false">ROUND(G1048*H1048,2)</f>
        <v>2033.7</v>
      </c>
      <c r="M1048" s="52" t="n">
        <f aca="false">IF(AND(C1048="Sales",F1048="Standard-rated 5%"),L1048,0)</f>
        <v>2033.7</v>
      </c>
      <c r="N1048" s="52" t="n">
        <f aca="false">IF(F1048="Reverse charge (imported services)",L1048,0)</f>
        <v>0</v>
      </c>
      <c r="O1048" s="52" t="n">
        <f aca="false">IF(C1048&lt;&gt;"Purchase",0,IF(OR(I1048="N",F1048="Blocked input (entertainment)"),0,L1048))</f>
        <v>0</v>
      </c>
      <c r="P1048" s="52" t="n">
        <f aca="false">IF(C1048&lt;&gt;"Purchase",0,L1048-O1048)</f>
        <v>0</v>
      </c>
      <c r="Q1048" s="53" t="n">
        <f aca="false">J1048-B1048</f>
        <v>0</v>
      </c>
      <c r="R1048" s="51" t="str">
        <f aca="false">IF(I1048="N","Invalid / missing TRN",IF(F1048="Blocked input (entertainment)","Blocked input",IF(Q1048&gt;30,"Late posting (&gt;30d)","")))</f>
        <v/>
      </c>
    </row>
    <row r="1049" customFormat="false" ht="15" hidden="false" customHeight="false" outlineLevel="0" collapsed="false">
      <c r="A1049" s="47" t="s">
        <v>1335</v>
      </c>
      <c r="B1049" s="48" t="n">
        <v>45961</v>
      </c>
      <c r="C1049" s="47" t="s">
        <v>159</v>
      </c>
      <c r="D1049" s="47" t="s">
        <v>621</v>
      </c>
      <c r="E1049" s="47" t="s">
        <v>106</v>
      </c>
      <c r="F1049" s="47" t="s">
        <v>161</v>
      </c>
      <c r="G1049" s="49" t="n">
        <v>22616.21</v>
      </c>
      <c r="H1049" s="50" t="n">
        <v>0.05</v>
      </c>
      <c r="I1049" s="47" t="s">
        <v>162</v>
      </c>
      <c r="J1049" s="48" t="n">
        <v>45961</v>
      </c>
      <c r="K1049" s="51" t="str">
        <f aca="false">"Q"&amp;ROUNDUP(MONTH(B1049)/3,0)</f>
        <v>Q4</v>
      </c>
      <c r="L1049" s="52" t="n">
        <f aca="false">ROUND(G1049*H1049,2)</f>
        <v>1130.81</v>
      </c>
      <c r="M1049" s="52" t="n">
        <f aca="false">IF(AND(C1049="Sales",F1049="Standard-rated 5%"),L1049,0)</f>
        <v>1130.81</v>
      </c>
      <c r="N1049" s="52" t="n">
        <f aca="false">IF(F1049="Reverse charge (imported services)",L1049,0)</f>
        <v>0</v>
      </c>
      <c r="O1049" s="52" t="n">
        <f aca="false">IF(C1049&lt;&gt;"Purchase",0,IF(OR(I1049="N",F1049="Blocked input (entertainment)"),0,L1049))</f>
        <v>0</v>
      </c>
      <c r="P1049" s="52" t="n">
        <f aca="false">IF(C1049&lt;&gt;"Purchase",0,L1049-O1049)</f>
        <v>0</v>
      </c>
      <c r="Q1049" s="53" t="n">
        <f aca="false">J1049-B1049</f>
        <v>0</v>
      </c>
      <c r="R1049" s="51" t="str">
        <f aca="false">IF(I1049="N","Invalid / missing TRN",IF(F1049="Blocked input (entertainment)","Blocked input",IF(Q1049&gt;30,"Late posting (&gt;30d)","")))</f>
        <v/>
      </c>
    </row>
    <row r="1050" customFormat="false" ht="15" hidden="false" customHeight="false" outlineLevel="0" collapsed="false">
      <c r="A1050" s="47" t="s">
        <v>1336</v>
      </c>
      <c r="B1050" s="48" t="n">
        <v>45962</v>
      </c>
      <c r="C1050" s="47" t="s">
        <v>166</v>
      </c>
      <c r="D1050" s="47" t="s">
        <v>210</v>
      </c>
      <c r="E1050" s="47" t="s">
        <v>101</v>
      </c>
      <c r="F1050" s="47" t="s">
        <v>161</v>
      </c>
      <c r="G1050" s="49" t="n">
        <v>21268.22</v>
      </c>
      <c r="H1050" s="50" t="n">
        <v>0.05</v>
      </c>
      <c r="I1050" s="47" t="s">
        <v>162</v>
      </c>
      <c r="J1050" s="48" t="n">
        <v>45964</v>
      </c>
      <c r="K1050" s="51" t="str">
        <f aca="false">"Q"&amp;ROUNDUP(MONTH(B1050)/3,0)</f>
        <v>Q4</v>
      </c>
      <c r="L1050" s="52" t="n">
        <f aca="false">ROUND(G1050*H1050,2)</f>
        <v>1063.41</v>
      </c>
      <c r="M1050" s="52" t="n">
        <f aca="false">IF(AND(C1050="Sales",F1050="Standard-rated 5%"),L1050,0)</f>
        <v>0</v>
      </c>
      <c r="N1050" s="52" t="n">
        <f aca="false">IF(F1050="Reverse charge (imported services)",L1050,0)</f>
        <v>0</v>
      </c>
      <c r="O1050" s="52" t="n">
        <f aca="false">IF(C1050&lt;&gt;"Purchase",0,IF(OR(I1050="N",F1050="Blocked input (entertainment)"),0,L1050))</f>
        <v>1063.41</v>
      </c>
      <c r="P1050" s="52" t="n">
        <f aca="false">IF(C1050&lt;&gt;"Purchase",0,L1050-O1050)</f>
        <v>0</v>
      </c>
      <c r="Q1050" s="53" t="n">
        <f aca="false">J1050-B1050</f>
        <v>2</v>
      </c>
      <c r="R1050" s="51" t="str">
        <f aca="false">IF(I1050="N","Invalid / missing TRN",IF(F1050="Blocked input (entertainment)","Blocked input",IF(Q1050&gt;30,"Late posting (&gt;30d)","")))</f>
        <v/>
      </c>
    </row>
    <row r="1051" customFormat="false" ht="15" hidden="false" customHeight="false" outlineLevel="0" collapsed="false">
      <c r="A1051" s="47" t="s">
        <v>1337</v>
      </c>
      <c r="B1051" s="48" t="n">
        <v>45962</v>
      </c>
      <c r="C1051" s="47" t="s">
        <v>159</v>
      </c>
      <c r="D1051" s="47" t="s">
        <v>431</v>
      </c>
      <c r="E1051" s="47" t="s">
        <v>101</v>
      </c>
      <c r="F1051" s="47" t="s">
        <v>161</v>
      </c>
      <c r="G1051" s="49" t="n">
        <v>70333.99</v>
      </c>
      <c r="H1051" s="50" t="n">
        <v>0.05</v>
      </c>
      <c r="I1051" s="47" t="s">
        <v>162</v>
      </c>
      <c r="J1051" s="48" t="n">
        <v>45962</v>
      </c>
      <c r="K1051" s="51" t="str">
        <f aca="false">"Q"&amp;ROUNDUP(MONTH(B1051)/3,0)</f>
        <v>Q4</v>
      </c>
      <c r="L1051" s="52" t="n">
        <f aca="false">ROUND(G1051*H1051,2)</f>
        <v>3516.7</v>
      </c>
      <c r="M1051" s="52" t="n">
        <f aca="false">IF(AND(C1051="Sales",F1051="Standard-rated 5%"),L1051,0)</f>
        <v>3516.7</v>
      </c>
      <c r="N1051" s="52" t="n">
        <f aca="false">IF(F1051="Reverse charge (imported services)",L1051,0)</f>
        <v>0</v>
      </c>
      <c r="O1051" s="52" t="n">
        <f aca="false">IF(C1051&lt;&gt;"Purchase",0,IF(OR(I1051="N",F1051="Blocked input (entertainment)"),0,L1051))</f>
        <v>0</v>
      </c>
      <c r="P1051" s="52" t="n">
        <f aca="false">IF(C1051&lt;&gt;"Purchase",0,L1051-O1051)</f>
        <v>0</v>
      </c>
      <c r="Q1051" s="53" t="n">
        <f aca="false">J1051-B1051</f>
        <v>0</v>
      </c>
      <c r="R1051" s="51" t="str">
        <f aca="false">IF(I1051="N","Invalid / missing TRN",IF(F1051="Blocked input (entertainment)","Blocked input",IF(Q1051&gt;30,"Late posting (&gt;30d)","")))</f>
        <v/>
      </c>
    </row>
    <row r="1052" customFormat="false" ht="15" hidden="false" customHeight="false" outlineLevel="0" collapsed="false">
      <c r="A1052" s="47" t="s">
        <v>1338</v>
      </c>
      <c r="B1052" s="48" t="n">
        <v>45962</v>
      </c>
      <c r="C1052" s="47" t="s">
        <v>159</v>
      </c>
      <c r="D1052" s="47" t="s">
        <v>317</v>
      </c>
      <c r="E1052" s="47" t="s">
        <v>101</v>
      </c>
      <c r="F1052" s="47" t="s">
        <v>161</v>
      </c>
      <c r="G1052" s="49" t="n">
        <v>45328.18</v>
      </c>
      <c r="H1052" s="50" t="n">
        <v>0.05</v>
      </c>
      <c r="I1052" s="47" t="s">
        <v>162</v>
      </c>
      <c r="J1052" s="48" t="n">
        <v>45962</v>
      </c>
      <c r="K1052" s="51" t="str">
        <f aca="false">"Q"&amp;ROUNDUP(MONTH(B1052)/3,0)</f>
        <v>Q4</v>
      </c>
      <c r="L1052" s="52" t="n">
        <f aca="false">ROUND(G1052*H1052,2)</f>
        <v>2266.41</v>
      </c>
      <c r="M1052" s="52" t="n">
        <f aca="false">IF(AND(C1052="Sales",F1052="Standard-rated 5%"),L1052,0)</f>
        <v>2266.41</v>
      </c>
      <c r="N1052" s="52" t="n">
        <f aca="false">IF(F1052="Reverse charge (imported services)",L1052,0)</f>
        <v>0</v>
      </c>
      <c r="O1052" s="52" t="n">
        <f aca="false">IF(C1052&lt;&gt;"Purchase",0,IF(OR(I1052="N",F1052="Blocked input (entertainment)"),0,L1052))</f>
        <v>0</v>
      </c>
      <c r="P1052" s="52" t="n">
        <f aca="false">IF(C1052&lt;&gt;"Purchase",0,L1052-O1052)</f>
        <v>0</v>
      </c>
      <c r="Q1052" s="53" t="n">
        <f aca="false">J1052-B1052</f>
        <v>0</v>
      </c>
      <c r="R1052" s="51" t="str">
        <f aca="false">IF(I1052="N","Invalid / missing TRN",IF(F1052="Blocked input (entertainment)","Blocked input",IF(Q1052&gt;30,"Late posting (&gt;30d)","")))</f>
        <v/>
      </c>
    </row>
    <row r="1053" customFormat="false" ht="15" hidden="false" customHeight="false" outlineLevel="0" collapsed="false">
      <c r="A1053" s="47" t="s">
        <v>1339</v>
      </c>
      <c r="B1053" s="48" t="n">
        <v>45963</v>
      </c>
      <c r="C1053" s="47" t="s">
        <v>166</v>
      </c>
      <c r="D1053" s="47" t="s">
        <v>335</v>
      </c>
      <c r="E1053" s="47" t="s">
        <v>100</v>
      </c>
      <c r="F1053" s="47" t="s">
        <v>161</v>
      </c>
      <c r="G1053" s="49" t="n">
        <v>220954.54</v>
      </c>
      <c r="H1053" s="50" t="n">
        <v>0.05</v>
      </c>
      <c r="I1053" s="47" t="s">
        <v>162</v>
      </c>
      <c r="J1053" s="48" t="n">
        <v>45968</v>
      </c>
      <c r="K1053" s="51" t="str">
        <f aca="false">"Q"&amp;ROUNDUP(MONTH(B1053)/3,0)</f>
        <v>Q4</v>
      </c>
      <c r="L1053" s="52" t="n">
        <f aca="false">ROUND(G1053*H1053,2)</f>
        <v>11047.73</v>
      </c>
      <c r="M1053" s="52" t="n">
        <f aca="false">IF(AND(C1053="Sales",F1053="Standard-rated 5%"),L1053,0)</f>
        <v>0</v>
      </c>
      <c r="N1053" s="52" t="n">
        <f aca="false">IF(F1053="Reverse charge (imported services)",L1053,0)</f>
        <v>0</v>
      </c>
      <c r="O1053" s="52" t="n">
        <f aca="false">IF(C1053&lt;&gt;"Purchase",0,IF(OR(I1053="N",F1053="Blocked input (entertainment)"),0,L1053))</f>
        <v>11047.73</v>
      </c>
      <c r="P1053" s="52" t="n">
        <f aca="false">IF(C1053&lt;&gt;"Purchase",0,L1053-O1053)</f>
        <v>0</v>
      </c>
      <c r="Q1053" s="53" t="n">
        <f aca="false">J1053-B1053</f>
        <v>5</v>
      </c>
      <c r="R1053" s="51" t="str">
        <f aca="false">IF(I1053="N","Invalid / missing TRN",IF(F1053="Blocked input (entertainment)","Blocked input",IF(Q1053&gt;30,"Late posting (&gt;30d)","")))</f>
        <v/>
      </c>
    </row>
    <row r="1054" customFormat="false" ht="15" hidden="false" customHeight="false" outlineLevel="0" collapsed="false">
      <c r="A1054" s="47" t="s">
        <v>1340</v>
      </c>
      <c r="B1054" s="48" t="n">
        <v>45963</v>
      </c>
      <c r="C1054" s="47" t="s">
        <v>159</v>
      </c>
      <c r="D1054" s="47" t="s">
        <v>364</v>
      </c>
      <c r="E1054" s="47" t="s">
        <v>101</v>
      </c>
      <c r="F1054" s="47" t="s">
        <v>301</v>
      </c>
      <c r="G1054" s="49" t="n">
        <v>103013.6</v>
      </c>
      <c r="H1054" s="50" t="n">
        <v>0</v>
      </c>
      <c r="I1054" s="47" t="s">
        <v>162</v>
      </c>
      <c r="J1054" s="48" t="n">
        <v>45963</v>
      </c>
      <c r="K1054" s="51" t="str">
        <f aca="false">"Q"&amp;ROUNDUP(MONTH(B1054)/3,0)</f>
        <v>Q4</v>
      </c>
      <c r="L1054" s="52" t="n">
        <f aca="false">ROUND(G1054*H1054,2)</f>
        <v>0</v>
      </c>
      <c r="M1054" s="52" t="n">
        <f aca="false">IF(AND(C1054="Sales",F1054="Standard-rated 5%"),L1054,0)</f>
        <v>0</v>
      </c>
      <c r="N1054" s="52" t="n">
        <f aca="false">IF(F1054="Reverse charge (imported services)",L1054,0)</f>
        <v>0</v>
      </c>
      <c r="O1054" s="52" t="n">
        <f aca="false">IF(C1054&lt;&gt;"Purchase",0,IF(OR(I1054="N",F1054="Blocked input (entertainment)"),0,L1054))</f>
        <v>0</v>
      </c>
      <c r="P1054" s="52" t="n">
        <f aca="false">IF(C1054&lt;&gt;"Purchase",0,L1054-O1054)</f>
        <v>0</v>
      </c>
      <c r="Q1054" s="53" t="n">
        <f aca="false">J1054-B1054</f>
        <v>0</v>
      </c>
      <c r="R1054" s="51" t="str">
        <f aca="false">IF(I1054="N","Invalid / missing TRN",IF(F1054="Blocked input (entertainment)","Blocked input",IF(Q1054&gt;30,"Late posting (&gt;30d)","")))</f>
        <v/>
      </c>
    </row>
    <row r="1055" customFormat="false" ht="15" hidden="false" customHeight="false" outlineLevel="0" collapsed="false">
      <c r="A1055" s="47" t="s">
        <v>1341</v>
      </c>
      <c r="B1055" s="48" t="n">
        <v>45963</v>
      </c>
      <c r="C1055" s="47" t="s">
        <v>159</v>
      </c>
      <c r="D1055" s="47" t="s">
        <v>532</v>
      </c>
      <c r="E1055" s="47" t="s">
        <v>100</v>
      </c>
      <c r="F1055" s="47" t="s">
        <v>161</v>
      </c>
      <c r="G1055" s="49" t="n">
        <v>26028.96</v>
      </c>
      <c r="H1055" s="50" t="n">
        <v>0.05</v>
      </c>
      <c r="I1055" s="47" t="s">
        <v>162</v>
      </c>
      <c r="J1055" s="48" t="n">
        <v>45963</v>
      </c>
      <c r="K1055" s="51" t="str">
        <f aca="false">"Q"&amp;ROUNDUP(MONTH(B1055)/3,0)</f>
        <v>Q4</v>
      </c>
      <c r="L1055" s="52" t="n">
        <f aca="false">ROUND(G1055*H1055,2)</f>
        <v>1301.45</v>
      </c>
      <c r="M1055" s="52" t="n">
        <f aca="false">IF(AND(C1055="Sales",F1055="Standard-rated 5%"),L1055,0)</f>
        <v>1301.45</v>
      </c>
      <c r="N1055" s="52" t="n">
        <f aca="false">IF(F1055="Reverse charge (imported services)",L1055,0)</f>
        <v>0</v>
      </c>
      <c r="O1055" s="52" t="n">
        <f aca="false">IF(C1055&lt;&gt;"Purchase",0,IF(OR(I1055="N",F1055="Blocked input (entertainment)"),0,L1055))</f>
        <v>0</v>
      </c>
      <c r="P1055" s="52" t="n">
        <f aca="false">IF(C1055&lt;&gt;"Purchase",0,L1055-O1055)</f>
        <v>0</v>
      </c>
      <c r="Q1055" s="53" t="n">
        <f aca="false">J1055-B1055</f>
        <v>0</v>
      </c>
      <c r="R1055" s="51" t="str">
        <f aca="false">IF(I1055="N","Invalid / missing TRN",IF(F1055="Blocked input (entertainment)","Blocked input",IF(Q1055&gt;30,"Late posting (&gt;30d)","")))</f>
        <v/>
      </c>
    </row>
    <row r="1056" customFormat="false" ht="15" hidden="false" customHeight="false" outlineLevel="0" collapsed="false">
      <c r="A1056" s="47" t="s">
        <v>1342</v>
      </c>
      <c r="B1056" s="48" t="n">
        <v>45964</v>
      </c>
      <c r="C1056" s="47" t="s">
        <v>166</v>
      </c>
      <c r="D1056" s="47" t="s">
        <v>184</v>
      </c>
      <c r="E1056" s="47" t="s">
        <v>100</v>
      </c>
      <c r="F1056" s="47" t="s">
        <v>161</v>
      </c>
      <c r="G1056" s="49" t="n">
        <v>25863.69</v>
      </c>
      <c r="H1056" s="50" t="n">
        <v>0.05</v>
      </c>
      <c r="I1056" s="47" t="s">
        <v>162</v>
      </c>
      <c r="J1056" s="48" t="n">
        <v>45964</v>
      </c>
      <c r="K1056" s="51" t="str">
        <f aca="false">"Q"&amp;ROUNDUP(MONTH(B1056)/3,0)</f>
        <v>Q4</v>
      </c>
      <c r="L1056" s="52" t="n">
        <f aca="false">ROUND(G1056*H1056,2)</f>
        <v>1293.18</v>
      </c>
      <c r="M1056" s="52" t="n">
        <f aca="false">IF(AND(C1056="Sales",F1056="Standard-rated 5%"),L1056,0)</f>
        <v>0</v>
      </c>
      <c r="N1056" s="52" t="n">
        <f aca="false">IF(F1056="Reverse charge (imported services)",L1056,0)</f>
        <v>0</v>
      </c>
      <c r="O1056" s="52" t="n">
        <f aca="false">IF(C1056&lt;&gt;"Purchase",0,IF(OR(I1056="N",F1056="Blocked input (entertainment)"),0,L1056))</f>
        <v>1293.18</v>
      </c>
      <c r="P1056" s="52" t="n">
        <f aca="false">IF(C1056&lt;&gt;"Purchase",0,L1056-O1056)</f>
        <v>0</v>
      </c>
      <c r="Q1056" s="53" t="n">
        <f aca="false">J1056-B1056</f>
        <v>0</v>
      </c>
      <c r="R1056" s="51" t="str">
        <f aca="false">IF(I1056="N","Invalid / missing TRN",IF(F1056="Blocked input (entertainment)","Blocked input",IF(Q1056&gt;30,"Late posting (&gt;30d)","")))</f>
        <v/>
      </c>
    </row>
    <row r="1057" customFormat="false" ht="15" hidden="false" customHeight="false" outlineLevel="0" collapsed="false">
      <c r="A1057" s="47" t="s">
        <v>1343</v>
      </c>
      <c r="B1057" s="48" t="n">
        <v>45964</v>
      </c>
      <c r="C1057" s="47" t="s">
        <v>159</v>
      </c>
      <c r="D1057" s="47" t="s">
        <v>243</v>
      </c>
      <c r="E1057" s="47" t="s">
        <v>102</v>
      </c>
      <c r="F1057" s="47" t="s">
        <v>161</v>
      </c>
      <c r="G1057" s="49" t="n">
        <v>29265.07</v>
      </c>
      <c r="H1057" s="50" t="n">
        <v>0.05</v>
      </c>
      <c r="I1057" s="47" t="s">
        <v>162</v>
      </c>
      <c r="J1057" s="48" t="n">
        <v>45964</v>
      </c>
      <c r="K1057" s="51" t="str">
        <f aca="false">"Q"&amp;ROUNDUP(MONTH(B1057)/3,0)</f>
        <v>Q4</v>
      </c>
      <c r="L1057" s="52" t="n">
        <f aca="false">ROUND(G1057*H1057,2)</f>
        <v>1463.25</v>
      </c>
      <c r="M1057" s="52" t="n">
        <f aca="false">IF(AND(C1057="Sales",F1057="Standard-rated 5%"),L1057,0)</f>
        <v>1463.25</v>
      </c>
      <c r="N1057" s="52" t="n">
        <f aca="false">IF(F1057="Reverse charge (imported services)",L1057,0)</f>
        <v>0</v>
      </c>
      <c r="O1057" s="52" t="n">
        <f aca="false">IF(C1057&lt;&gt;"Purchase",0,IF(OR(I1057="N",F1057="Blocked input (entertainment)"),0,L1057))</f>
        <v>0</v>
      </c>
      <c r="P1057" s="52" t="n">
        <f aca="false">IF(C1057&lt;&gt;"Purchase",0,L1057-O1057)</f>
        <v>0</v>
      </c>
      <c r="Q1057" s="53" t="n">
        <f aca="false">J1057-B1057</f>
        <v>0</v>
      </c>
      <c r="R1057" s="51" t="str">
        <f aca="false">IF(I1057="N","Invalid / missing TRN",IF(F1057="Blocked input (entertainment)","Blocked input",IF(Q1057&gt;30,"Late posting (&gt;30d)","")))</f>
        <v/>
      </c>
    </row>
    <row r="1058" customFormat="false" ht="15" hidden="false" customHeight="false" outlineLevel="0" collapsed="false">
      <c r="A1058" s="47" t="s">
        <v>1344</v>
      </c>
      <c r="B1058" s="48" t="n">
        <v>45964</v>
      </c>
      <c r="C1058" s="47" t="s">
        <v>159</v>
      </c>
      <c r="D1058" s="47" t="s">
        <v>534</v>
      </c>
      <c r="E1058" s="47" t="s">
        <v>101</v>
      </c>
      <c r="F1058" s="47" t="s">
        <v>161</v>
      </c>
      <c r="G1058" s="49" t="n">
        <v>65702.93</v>
      </c>
      <c r="H1058" s="50" t="n">
        <v>0.05</v>
      </c>
      <c r="I1058" s="47" t="s">
        <v>162</v>
      </c>
      <c r="J1058" s="48" t="n">
        <v>45964</v>
      </c>
      <c r="K1058" s="51" t="str">
        <f aca="false">"Q"&amp;ROUNDUP(MONTH(B1058)/3,0)</f>
        <v>Q4</v>
      </c>
      <c r="L1058" s="52" t="n">
        <f aca="false">ROUND(G1058*H1058,2)</f>
        <v>3285.15</v>
      </c>
      <c r="M1058" s="52" t="n">
        <f aca="false">IF(AND(C1058="Sales",F1058="Standard-rated 5%"),L1058,0)</f>
        <v>3285.15</v>
      </c>
      <c r="N1058" s="52" t="n">
        <f aca="false">IF(F1058="Reverse charge (imported services)",L1058,0)</f>
        <v>0</v>
      </c>
      <c r="O1058" s="52" t="n">
        <f aca="false">IF(C1058&lt;&gt;"Purchase",0,IF(OR(I1058="N",F1058="Blocked input (entertainment)"),0,L1058))</f>
        <v>0</v>
      </c>
      <c r="P1058" s="52" t="n">
        <f aca="false">IF(C1058&lt;&gt;"Purchase",0,L1058-O1058)</f>
        <v>0</v>
      </c>
      <c r="Q1058" s="53" t="n">
        <f aca="false">J1058-B1058</f>
        <v>0</v>
      </c>
      <c r="R1058" s="51" t="str">
        <f aca="false">IF(I1058="N","Invalid / missing TRN",IF(F1058="Blocked input (entertainment)","Blocked input",IF(Q1058&gt;30,"Late posting (&gt;30d)","")))</f>
        <v/>
      </c>
    </row>
    <row r="1059" customFormat="false" ht="15" hidden="false" customHeight="false" outlineLevel="0" collapsed="false">
      <c r="A1059" s="47" t="s">
        <v>1345</v>
      </c>
      <c r="B1059" s="48" t="n">
        <v>45965</v>
      </c>
      <c r="C1059" s="47" t="s">
        <v>166</v>
      </c>
      <c r="D1059" s="47" t="s">
        <v>264</v>
      </c>
      <c r="E1059" s="47" t="s">
        <v>100</v>
      </c>
      <c r="F1059" s="47" t="s">
        <v>161</v>
      </c>
      <c r="G1059" s="49" t="n">
        <v>51752.35</v>
      </c>
      <c r="H1059" s="50" t="n">
        <v>0.05</v>
      </c>
      <c r="I1059" s="47" t="s">
        <v>162</v>
      </c>
      <c r="J1059" s="48" t="n">
        <v>45965</v>
      </c>
      <c r="K1059" s="51" t="str">
        <f aca="false">"Q"&amp;ROUNDUP(MONTH(B1059)/3,0)</f>
        <v>Q4</v>
      </c>
      <c r="L1059" s="52" t="n">
        <f aca="false">ROUND(G1059*H1059,2)</f>
        <v>2587.62</v>
      </c>
      <c r="M1059" s="52" t="n">
        <f aca="false">IF(AND(C1059="Sales",F1059="Standard-rated 5%"),L1059,0)</f>
        <v>0</v>
      </c>
      <c r="N1059" s="52" t="n">
        <f aca="false">IF(F1059="Reverse charge (imported services)",L1059,0)</f>
        <v>0</v>
      </c>
      <c r="O1059" s="52" t="n">
        <f aca="false">IF(C1059&lt;&gt;"Purchase",0,IF(OR(I1059="N",F1059="Blocked input (entertainment)"),0,L1059))</f>
        <v>2587.62</v>
      </c>
      <c r="P1059" s="52" t="n">
        <f aca="false">IF(C1059&lt;&gt;"Purchase",0,L1059-O1059)</f>
        <v>0</v>
      </c>
      <c r="Q1059" s="53" t="n">
        <f aca="false">J1059-B1059</f>
        <v>0</v>
      </c>
      <c r="R1059" s="51" t="str">
        <f aca="false">IF(I1059="N","Invalid / missing TRN",IF(F1059="Blocked input (entertainment)","Blocked input",IF(Q1059&gt;30,"Late posting (&gt;30d)","")))</f>
        <v/>
      </c>
    </row>
    <row r="1060" customFormat="false" ht="15" hidden="false" customHeight="false" outlineLevel="0" collapsed="false">
      <c r="A1060" s="47" t="s">
        <v>1346</v>
      </c>
      <c r="B1060" s="48" t="n">
        <v>45965</v>
      </c>
      <c r="C1060" s="47" t="s">
        <v>166</v>
      </c>
      <c r="D1060" s="47" t="s">
        <v>348</v>
      </c>
      <c r="E1060" s="47" t="s">
        <v>100</v>
      </c>
      <c r="F1060" s="47" t="s">
        <v>161</v>
      </c>
      <c r="G1060" s="49" t="n">
        <v>26253.71</v>
      </c>
      <c r="H1060" s="50" t="n">
        <v>0.05</v>
      </c>
      <c r="I1060" s="47" t="s">
        <v>162</v>
      </c>
      <c r="J1060" s="48" t="n">
        <v>45965</v>
      </c>
      <c r="K1060" s="51" t="str">
        <f aca="false">"Q"&amp;ROUNDUP(MONTH(B1060)/3,0)</f>
        <v>Q4</v>
      </c>
      <c r="L1060" s="52" t="n">
        <f aca="false">ROUND(G1060*H1060,2)</f>
        <v>1312.69</v>
      </c>
      <c r="M1060" s="52" t="n">
        <f aca="false">IF(AND(C1060="Sales",F1060="Standard-rated 5%"),L1060,0)</f>
        <v>0</v>
      </c>
      <c r="N1060" s="52" t="n">
        <f aca="false">IF(F1060="Reverse charge (imported services)",L1060,0)</f>
        <v>0</v>
      </c>
      <c r="O1060" s="52" t="n">
        <f aca="false">IF(C1060&lt;&gt;"Purchase",0,IF(OR(I1060="N",F1060="Blocked input (entertainment)"),0,L1060))</f>
        <v>1312.69</v>
      </c>
      <c r="P1060" s="52" t="n">
        <f aca="false">IF(C1060&lt;&gt;"Purchase",0,L1060-O1060)</f>
        <v>0</v>
      </c>
      <c r="Q1060" s="53" t="n">
        <f aca="false">J1060-B1060</f>
        <v>0</v>
      </c>
      <c r="R1060" s="51" t="str">
        <f aca="false">IF(I1060="N","Invalid / missing TRN",IF(F1060="Blocked input (entertainment)","Blocked input",IF(Q1060&gt;30,"Late posting (&gt;30d)","")))</f>
        <v/>
      </c>
    </row>
    <row r="1061" customFormat="false" ht="15" hidden="false" customHeight="false" outlineLevel="0" collapsed="false">
      <c r="A1061" s="47" t="s">
        <v>1347</v>
      </c>
      <c r="B1061" s="48" t="n">
        <v>45965</v>
      </c>
      <c r="C1061" s="47" t="s">
        <v>166</v>
      </c>
      <c r="D1061" s="47" t="s">
        <v>274</v>
      </c>
      <c r="E1061" s="47" t="s">
        <v>101</v>
      </c>
      <c r="F1061" s="47" t="s">
        <v>337</v>
      </c>
      <c r="G1061" s="49" t="n">
        <v>63777.41</v>
      </c>
      <c r="H1061" s="50" t="n">
        <v>0</v>
      </c>
      <c r="I1061" s="47" t="s">
        <v>162</v>
      </c>
      <c r="J1061" s="48" t="n">
        <v>45965</v>
      </c>
      <c r="K1061" s="51" t="str">
        <f aca="false">"Q"&amp;ROUNDUP(MONTH(B1061)/3,0)</f>
        <v>Q4</v>
      </c>
      <c r="L1061" s="52" t="n">
        <f aca="false">ROUND(G1061*H1061,2)</f>
        <v>0</v>
      </c>
      <c r="M1061" s="52" t="n">
        <f aca="false">IF(AND(C1061="Sales",F1061="Standard-rated 5%"),L1061,0)</f>
        <v>0</v>
      </c>
      <c r="N1061" s="52" t="n">
        <f aca="false">IF(F1061="Reverse charge (imported services)",L1061,0)</f>
        <v>0</v>
      </c>
      <c r="O1061" s="52" t="n">
        <f aca="false">IF(C1061&lt;&gt;"Purchase",0,IF(OR(I1061="N",F1061="Blocked input (entertainment)"),0,L1061))</f>
        <v>0</v>
      </c>
      <c r="P1061" s="52" t="n">
        <f aca="false">IF(C1061&lt;&gt;"Purchase",0,L1061-O1061)</f>
        <v>0</v>
      </c>
      <c r="Q1061" s="53" t="n">
        <f aca="false">J1061-B1061</f>
        <v>0</v>
      </c>
      <c r="R1061" s="51" t="str">
        <f aca="false">IF(I1061="N","Invalid / missing TRN",IF(F1061="Blocked input (entertainment)","Blocked input",IF(Q1061&gt;30,"Late posting (&gt;30d)","")))</f>
        <v/>
      </c>
    </row>
    <row r="1062" customFormat="false" ht="15" hidden="false" customHeight="false" outlineLevel="0" collapsed="false">
      <c r="A1062" s="47" t="s">
        <v>1348</v>
      </c>
      <c r="B1062" s="48" t="n">
        <v>45966</v>
      </c>
      <c r="C1062" s="47" t="s">
        <v>166</v>
      </c>
      <c r="D1062" s="47" t="s">
        <v>411</v>
      </c>
      <c r="E1062" s="47" t="s">
        <v>100</v>
      </c>
      <c r="F1062" s="47" t="s">
        <v>161</v>
      </c>
      <c r="G1062" s="49" t="n">
        <v>36948.63</v>
      </c>
      <c r="H1062" s="50" t="n">
        <v>0.05</v>
      </c>
      <c r="I1062" s="47" t="s">
        <v>162</v>
      </c>
      <c r="J1062" s="48" t="n">
        <v>45966</v>
      </c>
      <c r="K1062" s="51" t="str">
        <f aca="false">"Q"&amp;ROUNDUP(MONTH(B1062)/3,0)</f>
        <v>Q4</v>
      </c>
      <c r="L1062" s="52" t="n">
        <f aca="false">ROUND(G1062*H1062,2)</f>
        <v>1847.43</v>
      </c>
      <c r="M1062" s="52" t="n">
        <f aca="false">IF(AND(C1062="Sales",F1062="Standard-rated 5%"),L1062,0)</f>
        <v>0</v>
      </c>
      <c r="N1062" s="52" t="n">
        <f aca="false">IF(F1062="Reverse charge (imported services)",L1062,0)</f>
        <v>0</v>
      </c>
      <c r="O1062" s="52" t="n">
        <f aca="false">IF(C1062&lt;&gt;"Purchase",0,IF(OR(I1062="N",F1062="Blocked input (entertainment)"),0,L1062))</f>
        <v>1847.43</v>
      </c>
      <c r="P1062" s="52" t="n">
        <f aca="false">IF(C1062&lt;&gt;"Purchase",0,L1062-O1062)</f>
        <v>0</v>
      </c>
      <c r="Q1062" s="53" t="n">
        <f aca="false">J1062-B1062</f>
        <v>0</v>
      </c>
      <c r="R1062" s="51" t="str">
        <f aca="false">IF(I1062="N","Invalid / missing TRN",IF(F1062="Blocked input (entertainment)","Blocked input",IF(Q1062&gt;30,"Late posting (&gt;30d)","")))</f>
        <v/>
      </c>
    </row>
    <row r="1063" customFormat="false" ht="15" hidden="false" customHeight="false" outlineLevel="0" collapsed="false">
      <c r="A1063" s="47" t="s">
        <v>1349</v>
      </c>
      <c r="B1063" s="48" t="n">
        <v>45966</v>
      </c>
      <c r="C1063" s="47" t="s">
        <v>166</v>
      </c>
      <c r="D1063" s="47" t="s">
        <v>295</v>
      </c>
      <c r="E1063" s="47" t="s">
        <v>100</v>
      </c>
      <c r="F1063" s="47" t="s">
        <v>161</v>
      </c>
      <c r="G1063" s="49" t="n">
        <v>49610.18</v>
      </c>
      <c r="H1063" s="50" t="n">
        <v>0.05</v>
      </c>
      <c r="I1063" s="47" t="s">
        <v>162</v>
      </c>
      <c r="J1063" s="48" t="n">
        <v>45966</v>
      </c>
      <c r="K1063" s="51" t="str">
        <f aca="false">"Q"&amp;ROUNDUP(MONTH(B1063)/3,0)</f>
        <v>Q4</v>
      </c>
      <c r="L1063" s="52" t="n">
        <f aca="false">ROUND(G1063*H1063,2)</f>
        <v>2480.51</v>
      </c>
      <c r="M1063" s="52" t="n">
        <f aca="false">IF(AND(C1063="Sales",F1063="Standard-rated 5%"),L1063,0)</f>
        <v>0</v>
      </c>
      <c r="N1063" s="52" t="n">
        <f aca="false">IF(F1063="Reverse charge (imported services)",L1063,0)</f>
        <v>0</v>
      </c>
      <c r="O1063" s="52" t="n">
        <f aca="false">IF(C1063&lt;&gt;"Purchase",0,IF(OR(I1063="N",F1063="Blocked input (entertainment)"),0,L1063))</f>
        <v>2480.51</v>
      </c>
      <c r="P1063" s="52" t="n">
        <f aca="false">IF(C1063&lt;&gt;"Purchase",0,L1063-O1063)</f>
        <v>0</v>
      </c>
      <c r="Q1063" s="53" t="n">
        <f aca="false">J1063-B1063</f>
        <v>0</v>
      </c>
      <c r="R1063" s="51" t="str">
        <f aca="false">IF(I1063="N","Invalid / missing TRN",IF(F1063="Blocked input (entertainment)","Blocked input",IF(Q1063&gt;30,"Late posting (&gt;30d)","")))</f>
        <v/>
      </c>
    </row>
    <row r="1064" customFormat="false" ht="15" hidden="false" customHeight="false" outlineLevel="0" collapsed="false">
      <c r="A1064" s="47" t="s">
        <v>1350</v>
      </c>
      <c r="B1064" s="48" t="n">
        <v>45966</v>
      </c>
      <c r="C1064" s="47" t="s">
        <v>166</v>
      </c>
      <c r="D1064" s="47" t="s">
        <v>206</v>
      </c>
      <c r="E1064" s="47" t="s">
        <v>104</v>
      </c>
      <c r="F1064" s="47" t="s">
        <v>161</v>
      </c>
      <c r="G1064" s="49" t="n">
        <v>4135.49</v>
      </c>
      <c r="H1064" s="50" t="n">
        <v>0.05</v>
      </c>
      <c r="I1064" s="47" t="s">
        <v>162</v>
      </c>
      <c r="J1064" s="48" t="n">
        <v>45966</v>
      </c>
      <c r="K1064" s="51" t="str">
        <f aca="false">"Q"&amp;ROUNDUP(MONTH(B1064)/3,0)</f>
        <v>Q4</v>
      </c>
      <c r="L1064" s="52" t="n">
        <f aca="false">ROUND(G1064*H1064,2)</f>
        <v>206.77</v>
      </c>
      <c r="M1064" s="52" t="n">
        <f aca="false">IF(AND(C1064="Sales",F1064="Standard-rated 5%"),L1064,0)</f>
        <v>0</v>
      </c>
      <c r="N1064" s="52" t="n">
        <f aca="false">IF(F1064="Reverse charge (imported services)",L1064,0)</f>
        <v>0</v>
      </c>
      <c r="O1064" s="52" t="n">
        <f aca="false">IF(C1064&lt;&gt;"Purchase",0,IF(OR(I1064="N",F1064="Blocked input (entertainment)"),0,L1064))</f>
        <v>206.77</v>
      </c>
      <c r="P1064" s="52" t="n">
        <f aca="false">IF(C1064&lt;&gt;"Purchase",0,L1064-O1064)</f>
        <v>0</v>
      </c>
      <c r="Q1064" s="53" t="n">
        <f aca="false">J1064-B1064</f>
        <v>0</v>
      </c>
      <c r="R1064" s="51" t="str">
        <f aca="false">IF(I1064="N","Invalid / missing TRN",IF(F1064="Blocked input (entertainment)","Blocked input",IF(Q1064&gt;30,"Late posting (&gt;30d)","")))</f>
        <v/>
      </c>
    </row>
    <row r="1065" customFormat="false" ht="15" hidden="false" customHeight="false" outlineLevel="0" collapsed="false">
      <c r="A1065" s="47" t="s">
        <v>1351</v>
      </c>
      <c r="B1065" s="48" t="n">
        <v>45966</v>
      </c>
      <c r="C1065" s="47" t="s">
        <v>166</v>
      </c>
      <c r="D1065" s="47" t="s">
        <v>233</v>
      </c>
      <c r="E1065" s="47" t="s">
        <v>102</v>
      </c>
      <c r="F1065" s="47" t="s">
        <v>173</v>
      </c>
      <c r="G1065" s="49" t="n">
        <v>8250.02</v>
      </c>
      <c r="H1065" s="50" t="n">
        <v>0.05</v>
      </c>
      <c r="I1065" s="47" t="s">
        <v>162</v>
      </c>
      <c r="J1065" s="48" t="n">
        <v>45966</v>
      </c>
      <c r="K1065" s="51" t="str">
        <f aca="false">"Q"&amp;ROUNDUP(MONTH(B1065)/3,0)</f>
        <v>Q4</v>
      </c>
      <c r="L1065" s="52" t="n">
        <f aca="false">ROUND(G1065*H1065,2)</f>
        <v>412.5</v>
      </c>
      <c r="M1065" s="52" t="n">
        <f aca="false">IF(AND(C1065="Sales",F1065="Standard-rated 5%"),L1065,0)</f>
        <v>0</v>
      </c>
      <c r="N1065" s="52" t="n">
        <f aca="false">IF(F1065="Reverse charge (imported services)",L1065,0)</f>
        <v>412.5</v>
      </c>
      <c r="O1065" s="52" t="n">
        <f aca="false">IF(C1065&lt;&gt;"Purchase",0,IF(OR(I1065="N",F1065="Blocked input (entertainment)"),0,L1065))</f>
        <v>412.5</v>
      </c>
      <c r="P1065" s="52" t="n">
        <f aca="false">IF(C1065&lt;&gt;"Purchase",0,L1065-O1065)</f>
        <v>0</v>
      </c>
      <c r="Q1065" s="53" t="n">
        <f aca="false">J1065-B1065</f>
        <v>0</v>
      </c>
      <c r="R1065" s="51" t="str">
        <f aca="false">IF(I1065="N","Invalid / missing TRN",IF(F1065="Blocked input (entertainment)","Blocked input",IF(Q1065&gt;30,"Late posting (&gt;30d)","")))</f>
        <v/>
      </c>
    </row>
    <row r="1066" customFormat="false" ht="15" hidden="false" customHeight="false" outlineLevel="0" collapsed="false">
      <c r="A1066" s="47" t="s">
        <v>1352</v>
      </c>
      <c r="B1066" s="48" t="n">
        <v>45966</v>
      </c>
      <c r="C1066" s="47" t="s">
        <v>159</v>
      </c>
      <c r="D1066" s="47" t="s">
        <v>364</v>
      </c>
      <c r="E1066" s="47" t="s">
        <v>100</v>
      </c>
      <c r="F1066" s="47" t="s">
        <v>161</v>
      </c>
      <c r="G1066" s="49" t="n">
        <v>252417.24</v>
      </c>
      <c r="H1066" s="50" t="n">
        <v>0.05</v>
      </c>
      <c r="I1066" s="47" t="s">
        <v>162</v>
      </c>
      <c r="J1066" s="48" t="n">
        <v>45966</v>
      </c>
      <c r="K1066" s="51" t="str">
        <f aca="false">"Q"&amp;ROUNDUP(MONTH(B1066)/3,0)</f>
        <v>Q4</v>
      </c>
      <c r="L1066" s="52" t="n">
        <f aca="false">ROUND(G1066*H1066,2)</f>
        <v>12620.86</v>
      </c>
      <c r="M1066" s="52" t="n">
        <f aca="false">IF(AND(C1066="Sales",F1066="Standard-rated 5%"),L1066,0)</f>
        <v>12620.86</v>
      </c>
      <c r="N1066" s="52" t="n">
        <f aca="false">IF(F1066="Reverse charge (imported services)",L1066,0)</f>
        <v>0</v>
      </c>
      <c r="O1066" s="52" t="n">
        <f aca="false">IF(C1066&lt;&gt;"Purchase",0,IF(OR(I1066="N",F1066="Blocked input (entertainment)"),0,L1066))</f>
        <v>0</v>
      </c>
      <c r="P1066" s="52" t="n">
        <f aca="false">IF(C1066&lt;&gt;"Purchase",0,L1066-O1066)</f>
        <v>0</v>
      </c>
      <c r="Q1066" s="53" t="n">
        <f aca="false">J1066-B1066</f>
        <v>0</v>
      </c>
      <c r="R1066" s="51" t="str">
        <f aca="false">IF(I1066="N","Invalid / missing TRN",IF(F1066="Blocked input (entertainment)","Blocked input",IF(Q1066&gt;30,"Late posting (&gt;30d)","")))</f>
        <v/>
      </c>
    </row>
    <row r="1067" customFormat="false" ht="15" hidden="false" customHeight="false" outlineLevel="0" collapsed="false">
      <c r="A1067" s="47" t="s">
        <v>1353</v>
      </c>
      <c r="B1067" s="48" t="n">
        <v>45966</v>
      </c>
      <c r="C1067" s="47" t="s">
        <v>159</v>
      </c>
      <c r="D1067" s="47" t="s">
        <v>223</v>
      </c>
      <c r="E1067" s="47" t="s">
        <v>101</v>
      </c>
      <c r="F1067" s="47" t="s">
        <v>161</v>
      </c>
      <c r="G1067" s="49" t="n">
        <v>24473.46</v>
      </c>
      <c r="H1067" s="50" t="n">
        <v>0.05</v>
      </c>
      <c r="I1067" s="47" t="s">
        <v>162</v>
      </c>
      <c r="J1067" s="48" t="n">
        <v>45966</v>
      </c>
      <c r="K1067" s="51" t="str">
        <f aca="false">"Q"&amp;ROUNDUP(MONTH(B1067)/3,0)</f>
        <v>Q4</v>
      </c>
      <c r="L1067" s="52" t="n">
        <f aca="false">ROUND(G1067*H1067,2)</f>
        <v>1223.67</v>
      </c>
      <c r="M1067" s="52" t="n">
        <f aca="false">IF(AND(C1067="Sales",F1067="Standard-rated 5%"),L1067,0)</f>
        <v>1223.67</v>
      </c>
      <c r="N1067" s="52" t="n">
        <f aca="false">IF(F1067="Reverse charge (imported services)",L1067,0)</f>
        <v>0</v>
      </c>
      <c r="O1067" s="52" t="n">
        <f aca="false">IF(C1067&lt;&gt;"Purchase",0,IF(OR(I1067="N",F1067="Blocked input (entertainment)"),0,L1067))</f>
        <v>0</v>
      </c>
      <c r="P1067" s="52" t="n">
        <f aca="false">IF(C1067&lt;&gt;"Purchase",0,L1067-O1067)</f>
        <v>0</v>
      </c>
      <c r="Q1067" s="53" t="n">
        <f aca="false">J1067-B1067</f>
        <v>0</v>
      </c>
      <c r="R1067" s="51" t="str">
        <f aca="false">IF(I1067="N","Invalid / missing TRN",IF(F1067="Blocked input (entertainment)","Blocked input",IF(Q1067&gt;30,"Late posting (&gt;30d)","")))</f>
        <v/>
      </c>
    </row>
    <row r="1068" customFormat="false" ht="15" hidden="false" customHeight="false" outlineLevel="0" collapsed="false">
      <c r="A1068" s="47" t="s">
        <v>1354</v>
      </c>
      <c r="B1068" s="48" t="n">
        <v>45967</v>
      </c>
      <c r="C1068" s="47" t="s">
        <v>166</v>
      </c>
      <c r="D1068" s="47" t="s">
        <v>295</v>
      </c>
      <c r="E1068" s="47" t="s">
        <v>101</v>
      </c>
      <c r="F1068" s="47" t="s">
        <v>161</v>
      </c>
      <c r="G1068" s="49" t="n">
        <v>10070.2</v>
      </c>
      <c r="H1068" s="50" t="n">
        <v>0.05</v>
      </c>
      <c r="I1068" s="47" t="s">
        <v>162</v>
      </c>
      <c r="J1068" s="48" t="n">
        <v>45967</v>
      </c>
      <c r="K1068" s="51" t="str">
        <f aca="false">"Q"&amp;ROUNDUP(MONTH(B1068)/3,0)</f>
        <v>Q4</v>
      </c>
      <c r="L1068" s="52" t="n">
        <f aca="false">ROUND(G1068*H1068,2)</f>
        <v>503.51</v>
      </c>
      <c r="M1068" s="52" t="n">
        <f aca="false">IF(AND(C1068="Sales",F1068="Standard-rated 5%"),L1068,0)</f>
        <v>0</v>
      </c>
      <c r="N1068" s="52" t="n">
        <f aca="false">IF(F1068="Reverse charge (imported services)",L1068,0)</f>
        <v>0</v>
      </c>
      <c r="O1068" s="52" t="n">
        <f aca="false">IF(C1068&lt;&gt;"Purchase",0,IF(OR(I1068="N",F1068="Blocked input (entertainment)"),0,L1068))</f>
        <v>503.51</v>
      </c>
      <c r="P1068" s="52" t="n">
        <f aca="false">IF(C1068&lt;&gt;"Purchase",0,L1068-O1068)</f>
        <v>0</v>
      </c>
      <c r="Q1068" s="53" t="n">
        <f aca="false">J1068-B1068</f>
        <v>0</v>
      </c>
      <c r="R1068" s="51" t="str">
        <f aca="false">IF(I1068="N","Invalid / missing TRN",IF(F1068="Blocked input (entertainment)","Blocked input",IF(Q1068&gt;30,"Late posting (&gt;30d)","")))</f>
        <v/>
      </c>
    </row>
    <row r="1069" customFormat="false" ht="15" hidden="false" customHeight="false" outlineLevel="0" collapsed="false">
      <c r="A1069" s="47" t="s">
        <v>1355</v>
      </c>
      <c r="B1069" s="48" t="n">
        <v>45967</v>
      </c>
      <c r="C1069" s="47" t="s">
        <v>166</v>
      </c>
      <c r="D1069" s="47" t="s">
        <v>315</v>
      </c>
      <c r="E1069" s="47" t="s">
        <v>100</v>
      </c>
      <c r="F1069" s="47" t="s">
        <v>161</v>
      </c>
      <c r="G1069" s="49" t="n">
        <v>13443.69</v>
      </c>
      <c r="H1069" s="50" t="n">
        <v>0.05</v>
      </c>
      <c r="I1069" s="47" t="s">
        <v>162</v>
      </c>
      <c r="J1069" s="48" t="n">
        <v>45967</v>
      </c>
      <c r="K1069" s="51" t="str">
        <f aca="false">"Q"&amp;ROUNDUP(MONTH(B1069)/3,0)</f>
        <v>Q4</v>
      </c>
      <c r="L1069" s="52" t="n">
        <f aca="false">ROUND(G1069*H1069,2)</f>
        <v>672.18</v>
      </c>
      <c r="M1069" s="52" t="n">
        <f aca="false">IF(AND(C1069="Sales",F1069="Standard-rated 5%"),L1069,0)</f>
        <v>0</v>
      </c>
      <c r="N1069" s="52" t="n">
        <f aca="false">IF(F1069="Reverse charge (imported services)",L1069,0)</f>
        <v>0</v>
      </c>
      <c r="O1069" s="52" t="n">
        <f aca="false">IF(C1069&lt;&gt;"Purchase",0,IF(OR(I1069="N",F1069="Blocked input (entertainment)"),0,L1069))</f>
        <v>672.18</v>
      </c>
      <c r="P1069" s="52" t="n">
        <f aca="false">IF(C1069&lt;&gt;"Purchase",0,L1069-O1069)</f>
        <v>0</v>
      </c>
      <c r="Q1069" s="53" t="n">
        <f aca="false">J1069-B1069</f>
        <v>0</v>
      </c>
      <c r="R1069" s="51" t="str">
        <f aca="false">IF(I1069="N","Invalid / missing TRN",IF(F1069="Blocked input (entertainment)","Blocked input",IF(Q1069&gt;30,"Late posting (&gt;30d)","")))</f>
        <v/>
      </c>
    </row>
    <row r="1070" customFormat="false" ht="15" hidden="false" customHeight="false" outlineLevel="0" collapsed="false">
      <c r="A1070" s="47" t="s">
        <v>1356</v>
      </c>
      <c r="B1070" s="48" t="n">
        <v>45967</v>
      </c>
      <c r="C1070" s="47" t="s">
        <v>166</v>
      </c>
      <c r="D1070" s="47" t="s">
        <v>167</v>
      </c>
      <c r="E1070" s="47" t="s">
        <v>102</v>
      </c>
      <c r="F1070" s="47" t="s">
        <v>161</v>
      </c>
      <c r="G1070" s="49" t="n">
        <v>15899.27</v>
      </c>
      <c r="H1070" s="50" t="n">
        <v>0.05</v>
      </c>
      <c r="I1070" s="47" t="s">
        <v>162</v>
      </c>
      <c r="J1070" s="48" t="n">
        <v>45969</v>
      </c>
      <c r="K1070" s="51" t="str">
        <f aca="false">"Q"&amp;ROUNDUP(MONTH(B1070)/3,0)</f>
        <v>Q4</v>
      </c>
      <c r="L1070" s="52" t="n">
        <f aca="false">ROUND(G1070*H1070,2)</f>
        <v>794.96</v>
      </c>
      <c r="M1070" s="52" t="n">
        <f aca="false">IF(AND(C1070="Sales",F1070="Standard-rated 5%"),L1070,0)</f>
        <v>0</v>
      </c>
      <c r="N1070" s="52" t="n">
        <f aca="false">IF(F1070="Reverse charge (imported services)",L1070,0)</f>
        <v>0</v>
      </c>
      <c r="O1070" s="52" t="n">
        <f aca="false">IF(C1070&lt;&gt;"Purchase",0,IF(OR(I1070="N",F1070="Blocked input (entertainment)"),0,L1070))</f>
        <v>794.96</v>
      </c>
      <c r="P1070" s="52" t="n">
        <f aca="false">IF(C1070&lt;&gt;"Purchase",0,L1070-O1070)</f>
        <v>0</v>
      </c>
      <c r="Q1070" s="53" t="n">
        <f aca="false">J1070-B1070</f>
        <v>2</v>
      </c>
      <c r="R1070" s="51" t="str">
        <f aca="false">IF(I1070="N","Invalid / missing TRN",IF(F1070="Blocked input (entertainment)","Blocked input",IF(Q1070&gt;30,"Late posting (&gt;30d)","")))</f>
        <v/>
      </c>
    </row>
    <row r="1071" customFormat="false" ht="15" hidden="false" customHeight="false" outlineLevel="0" collapsed="false">
      <c r="A1071" s="47" t="s">
        <v>1357</v>
      </c>
      <c r="B1071" s="48" t="n">
        <v>45967</v>
      </c>
      <c r="C1071" s="47" t="s">
        <v>159</v>
      </c>
      <c r="D1071" s="47" t="s">
        <v>433</v>
      </c>
      <c r="E1071" s="47" t="s">
        <v>100</v>
      </c>
      <c r="F1071" s="47" t="s">
        <v>161</v>
      </c>
      <c r="G1071" s="49" t="n">
        <v>14784.53</v>
      </c>
      <c r="H1071" s="50" t="n">
        <v>0.05</v>
      </c>
      <c r="I1071" s="47" t="s">
        <v>162</v>
      </c>
      <c r="J1071" s="48" t="n">
        <v>45967</v>
      </c>
      <c r="K1071" s="51" t="str">
        <f aca="false">"Q"&amp;ROUNDUP(MONTH(B1071)/3,0)</f>
        <v>Q4</v>
      </c>
      <c r="L1071" s="52" t="n">
        <f aca="false">ROUND(G1071*H1071,2)</f>
        <v>739.23</v>
      </c>
      <c r="M1071" s="52" t="n">
        <f aca="false">IF(AND(C1071="Sales",F1071="Standard-rated 5%"),L1071,0)</f>
        <v>739.23</v>
      </c>
      <c r="N1071" s="52" t="n">
        <f aca="false">IF(F1071="Reverse charge (imported services)",L1071,0)</f>
        <v>0</v>
      </c>
      <c r="O1071" s="52" t="n">
        <f aca="false">IF(C1071&lt;&gt;"Purchase",0,IF(OR(I1071="N",F1071="Blocked input (entertainment)"),0,L1071))</f>
        <v>0</v>
      </c>
      <c r="P1071" s="52" t="n">
        <f aca="false">IF(C1071&lt;&gt;"Purchase",0,L1071-O1071)</f>
        <v>0</v>
      </c>
      <c r="Q1071" s="53" t="n">
        <f aca="false">J1071-B1071</f>
        <v>0</v>
      </c>
      <c r="R1071" s="51" t="str">
        <f aca="false">IF(I1071="N","Invalid / missing TRN",IF(F1071="Blocked input (entertainment)","Blocked input",IF(Q1071&gt;30,"Late posting (&gt;30d)","")))</f>
        <v/>
      </c>
    </row>
    <row r="1072" customFormat="false" ht="15" hidden="false" customHeight="false" outlineLevel="0" collapsed="false">
      <c r="A1072" s="47" t="s">
        <v>1358</v>
      </c>
      <c r="B1072" s="48" t="n">
        <v>45967</v>
      </c>
      <c r="C1072" s="47" t="s">
        <v>159</v>
      </c>
      <c r="D1072" s="47" t="s">
        <v>245</v>
      </c>
      <c r="E1072" s="47" t="s">
        <v>101</v>
      </c>
      <c r="F1072" s="47" t="s">
        <v>161</v>
      </c>
      <c r="G1072" s="49" t="n">
        <v>8751.18</v>
      </c>
      <c r="H1072" s="50" t="n">
        <v>0.05</v>
      </c>
      <c r="I1072" s="47" t="s">
        <v>162</v>
      </c>
      <c r="J1072" s="48" t="n">
        <v>45967</v>
      </c>
      <c r="K1072" s="51" t="str">
        <f aca="false">"Q"&amp;ROUNDUP(MONTH(B1072)/3,0)</f>
        <v>Q4</v>
      </c>
      <c r="L1072" s="52" t="n">
        <f aca="false">ROUND(G1072*H1072,2)</f>
        <v>437.56</v>
      </c>
      <c r="M1072" s="52" t="n">
        <f aca="false">IF(AND(C1072="Sales",F1072="Standard-rated 5%"),L1072,0)</f>
        <v>437.56</v>
      </c>
      <c r="N1072" s="52" t="n">
        <f aca="false">IF(F1072="Reverse charge (imported services)",L1072,0)</f>
        <v>0</v>
      </c>
      <c r="O1072" s="52" t="n">
        <f aca="false">IF(C1072&lt;&gt;"Purchase",0,IF(OR(I1072="N",F1072="Blocked input (entertainment)"),0,L1072))</f>
        <v>0</v>
      </c>
      <c r="P1072" s="52" t="n">
        <f aca="false">IF(C1072&lt;&gt;"Purchase",0,L1072-O1072)</f>
        <v>0</v>
      </c>
      <c r="Q1072" s="53" t="n">
        <f aca="false">J1072-B1072</f>
        <v>0</v>
      </c>
      <c r="R1072" s="51" t="str">
        <f aca="false">IF(I1072="N","Invalid / missing TRN",IF(F1072="Blocked input (entertainment)","Blocked input",IF(Q1072&gt;30,"Late posting (&gt;30d)","")))</f>
        <v/>
      </c>
    </row>
    <row r="1073" customFormat="false" ht="15" hidden="false" customHeight="false" outlineLevel="0" collapsed="false">
      <c r="A1073" s="47" t="s">
        <v>1359</v>
      </c>
      <c r="B1073" s="48" t="n">
        <v>45967</v>
      </c>
      <c r="C1073" s="47" t="s">
        <v>159</v>
      </c>
      <c r="D1073" s="47" t="s">
        <v>567</v>
      </c>
      <c r="E1073" s="47" t="s">
        <v>100</v>
      </c>
      <c r="F1073" s="47" t="s">
        <v>161</v>
      </c>
      <c r="G1073" s="49" t="n">
        <v>12255.3</v>
      </c>
      <c r="H1073" s="50" t="n">
        <v>0.05</v>
      </c>
      <c r="I1073" s="47" t="s">
        <v>162</v>
      </c>
      <c r="J1073" s="48" t="n">
        <v>45967</v>
      </c>
      <c r="K1073" s="51" t="str">
        <f aca="false">"Q"&amp;ROUNDUP(MONTH(B1073)/3,0)</f>
        <v>Q4</v>
      </c>
      <c r="L1073" s="52" t="n">
        <f aca="false">ROUND(G1073*H1073,2)</f>
        <v>612.77</v>
      </c>
      <c r="M1073" s="52" t="n">
        <f aca="false">IF(AND(C1073="Sales",F1073="Standard-rated 5%"),L1073,0)</f>
        <v>612.77</v>
      </c>
      <c r="N1073" s="52" t="n">
        <f aca="false">IF(F1073="Reverse charge (imported services)",L1073,0)</f>
        <v>0</v>
      </c>
      <c r="O1073" s="52" t="n">
        <f aca="false">IF(C1073&lt;&gt;"Purchase",0,IF(OR(I1073="N",F1073="Blocked input (entertainment)"),0,L1073))</f>
        <v>0</v>
      </c>
      <c r="P1073" s="52" t="n">
        <f aca="false">IF(C1073&lt;&gt;"Purchase",0,L1073-O1073)</f>
        <v>0</v>
      </c>
      <c r="Q1073" s="53" t="n">
        <f aca="false">J1073-B1073</f>
        <v>0</v>
      </c>
      <c r="R1073" s="51" t="str">
        <f aca="false">IF(I1073="N","Invalid / missing TRN",IF(F1073="Blocked input (entertainment)","Blocked input",IF(Q1073&gt;30,"Late posting (&gt;30d)","")))</f>
        <v/>
      </c>
    </row>
    <row r="1074" customFormat="false" ht="15" hidden="false" customHeight="false" outlineLevel="0" collapsed="false">
      <c r="A1074" s="47" t="s">
        <v>1360</v>
      </c>
      <c r="B1074" s="48" t="n">
        <v>45968</v>
      </c>
      <c r="C1074" s="47" t="s">
        <v>166</v>
      </c>
      <c r="D1074" s="47" t="s">
        <v>255</v>
      </c>
      <c r="E1074" s="47" t="s">
        <v>100</v>
      </c>
      <c r="F1074" s="47" t="s">
        <v>161</v>
      </c>
      <c r="G1074" s="49" t="n">
        <v>19161.05</v>
      </c>
      <c r="H1074" s="50" t="n">
        <v>0.05</v>
      </c>
      <c r="I1074" s="47" t="s">
        <v>162</v>
      </c>
      <c r="J1074" s="48" t="n">
        <v>45968</v>
      </c>
      <c r="K1074" s="51" t="str">
        <f aca="false">"Q"&amp;ROUNDUP(MONTH(B1074)/3,0)</f>
        <v>Q4</v>
      </c>
      <c r="L1074" s="52" t="n">
        <f aca="false">ROUND(G1074*H1074,2)</f>
        <v>958.05</v>
      </c>
      <c r="M1074" s="52" t="n">
        <f aca="false">IF(AND(C1074="Sales",F1074="Standard-rated 5%"),L1074,0)</f>
        <v>0</v>
      </c>
      <c r="N1074" s="52" t="n">
        <f aca="false">IF(F1074="Reverse charge (imported services)",L1074,0)</f>
        <v>0</v>
      </c>
      <c r="O1074" s="52" t="n">
        <f aca="false">IF(C1074&lt;&gt;"Purchase",0,IF(OR(I1074="N",F1074="Blocked input (entertainment)"),0,L1074))</f>
        <v>958.05</v>
      </c>
      <c r="P1074" s="52" t="n">
        <f aca="false">IF(C1074&lt;&gt;"Purchase",0,L1074-O1074)</f>
        <v>0</v>
      </c>
      <c r="Q1074" s="53" t="n">
        <f aca="false">J1074-B1074</f>
        <v>0</v>
      </c>
      <c r="R1074" s="51" t="str">
        <f aca="false">IF(I1074="N","Invalid / missing TRN",IF(F1074="Blocked input (entertainment)","Blocked input",IF(Q1074&gt;30,"Late posting (&gt;30d)","")))</f>
        <v/>
      </c>
    </row>
    <row r="1075" customFormat="false" ht="15" hidden="false" customHeight="false" outlineLevel="0" collapsed="false">
      <c r="A1075" s="47" t="s">
        <v>1361</v>
      </c>
      <c r="B1075" s="48" t="n">
        <v>45968</v>
      </c>
      <c r="C1075" s="47" t="s">
        <v>166</v>
      </c>
      <c r="D1075" s="47" t="s">
        <v>231</v>
      </c>
      <c r="E1075" s="47" t="s">
        <v>104</v>
      </c>
      <c r="F1075" s="47" t="s">
        <v>161</v>
      </c>
      <c r="G1075" s="49" t="n">
        <v>13133.55</v>
      </c>
      <c r="H1075" s="50" t="n">
        <v>0.05</v>
      </c>
      <c r="I1075" s="47" t="s">
        <v>162</v>
      </c>
      <c r="J1075" s="48" t="n">
        <v>45968</v>
      </c>
      <c r="K1075" s="51" t="str">
        <f aca="false">"Q"&amp;ROUNDUP(MONTH(B1075)/3,0)</f>
        <v>Q4</v>
      </c>
      <c r="L1075" s="52" t="n">
        <f aca="false">ROUND(G1075*H1075,2)</f>
        <v>656.68</v>
      </c>
      <c r="M1075" s="52" t="n">
        <f aca="false">IF(AND(C1075="Sales",F1075="Standard-rated 5%"),L1075,0)</f>
        <v>0</v>
      </c>
      <c r="N1075" s="52" t="n">
        <f aca="false">IF(F1075="Reverse charge (imported services)",L1075,0)</f>
        <v>0</v>
      </c>
      <c r="O1075" s="52" t="n">
        <f aca="false">IF(C1075&lt;&gt;"Purchase",0,IF(OR(I1075="N",F1075="Blocked input (entertainment)"),0,L1075))</f>
        <v>656.68</v>
      </c>
      <c r="P1075" s="52" t="n">
        <f aca="false">IF(C1075&lt;&gt;"Purchase",0,L1075-O1075)</f>
        <v>0</v>
      </c>
      <c r="Q1075" s="53" t="n">
        <f aca="false">J1075-B1075</f>
        <v>0</v>
      </c>
      <c r="R1075" s="51" t="str">
        <f aca="false">IF(I1075="N","Invalid / missing TRN",IF(F1075="Blocked input (entertainment)","Blocked input",IF(Q1075&gt;30,"Late posting (&gt;30d)","")))</f>
        <v/>
      </c>
    </row>
    <row r="1076" customFormat="false" ht="15" hidden="false" customHeight="false" outlineLevel="0" collapsed="false">
      <c r="A1076" s="47" t="s">
        <v>1362</v>
      </c>
      <c r="B1076" s="48" t="n">
        <v>45968</v>
      </c>
      <c r="C1076" s="47" t="s">
        <v>166</v>
      </c>
      <c r="D1076" s="47" t="s">
        <v>201</v>
      </c>
      <c r="E1076" s="47" t="s">
        <v>103</v>
      </c>
      <c r="F1076" s="47" t="s">
        <v>161</v>
      </c>
      <c r="G1076" s="49" t="n">
        <v>29428.98</v>
      </c>
      <c r="H1076" s="50" t="n">
        <v>0.05</v>
      </c>
      <c r="I1076" s="47" t="s">
        <v>162</v>
      </c>
      <c r="J1076" s="48" t="n">
        <v>45968</v>
      </c>
      <c r="K1076" s="51" t="str">
        <f aca="false">"Q"&amp;ROUNDUP(MONTH(B1076)/3,0)</f>
        <v>Q4</v>
      </c>
      <c r="L1076" s="52" t="n">
        <f aca="false">ROUND(G1076*H1076,2)</f>
        <v>1471.45</v>
      </c>
      <c r="M1076" s="52" t="n">
        <f aca="false">IF(AND(C1076="Sales",F1076="Standard-rated 5%"),L1076,0)</f>
        <v>0</v>
      </c>
      <c r="N1076" s="52" t="n">
        <f aca="false">IF(F1076="Reverse charge (imported services)",L1076,0)</f>
        <v>0</v>
      </c>
      <c r="O1076" s="52" t="n">
        <f aca="false">IF(C1076&lt;&gt;"Purchase",0,IF(OR(I1076="N",F1076="Blocked input (entertainment)"),0,L1076))</f>
        <v>1471.45</v>
      </c>
      <c r="P1076" s="52" t="n">
        <f aca="false">IF(C1076&lt;&gt;"Purchase",0,L1076-O1076)</f>
        <v>0</v>
      </c>
      <c r="Q1076" s="53" t="n">
        <f aca="false">J1076-B1076</f>
        <v>0</v>
      </c>
      <c r="R1076" s="51" t="str">
        <f aca="false">IF(I1076="N","Invalid / missing TRN",IF(F1076="Blocked input (entertainment)","Blocked input",IF(Q1076&gt;30,"Late posting (&gt;30d)","")))</f>
        <v/>
      </c>
    </row>
    <row r="1077" customFormat="false" ht="15" hidden="false" customHeight="false" outlineLevel="0" collapsed="false">
      <c r="A1077" s="47" t="s">
        <v>1363</v>
      </c>
      <c r="B1077" s="48" t="n">
        <v>45968</v>
      </c>
      <c r="C1077" s="47" t="s">
        <v>159</v>
      </c>
      <c r="D1077" s="47" t="s">
        <v>277</v>
      </c>
      <c r="E1077" s="47" t="s">
        <v>100</v>
      </c>
      <c r="F1077" s="47" t="s">
        <v>161</v>
      </c>
      <c r="G1077" s="49" t="n">
        <v>89945.44</v>
      </c>
      <c r="H1077" s="50" t="n">
        <v>0.05</v>
      </c>
      <c r="I1077" s="47" t="s">
        <v>162</v>
      </c>
      <c r="J1077" s="48" t="n">
        <v>45968</v>
      </c>
      <c r="K1077" s="51" t="str">
        <f aca="false">"Q"&amp;ROUNDUP(MONTH(B1077)/3,0)</f>
        <v>Q4</v>
      </c>
      <c r="L1077" s="52" t="n">
        <f aca="false">ROUND(G1077*H1077,2)</f>
        <v>4497.27</v>
      </c>
      <c r="M1077" s="52" t="n">
        <f aca="false">IF(AND(C1077="Sales",F1077="Standard-rated 5%"),L1077,0)</f>
        <v>4497.27</v>
      </c>
      <c r="N1077" s="52" t="n">
        <f aca="false">IF(F1077="Reverse charge (imported services)",L1077,0)</f>
        <v>0</v>
      </c>
      <c r="O1077" s="52" t="n">
        <f aca="false">IF(C1077&lt;&gt;"Purchase",0,IF(OR(I1077="N",F1077="Blocked input (entertainment)"),0,L1077))</f>
        <v>0</v>
      </c>
      <c r="P1077" s="52" t="n">
        <f aca="false">IF(C1077&lt;&gt;"Purchase",0,L1077-O1077)</f>
        <v>0</v>
      </c>
      <c r="Q1077" s="53" t="n">
        <f aca="false">J1077-B1077</f>
        <v>0</v>
      </c>
      <c r="R1077" s="51" t="str">
        <f aca="false">IF(I1077="N","Invalid / missing TRN",IF(F1077="Blocked input (entertainment)","Blocked input",IF(Q1077&gt;30,"Late posting (&gt;30d)","")))</f>
        <v/>
      </c>
    </row>
    <row r="1078" customFormat="false" ht="15" hidden="false" customHeight="false" outlineLevel="0" collapsed="false">
      <c r="A1078" s="47" t="s">
        <v>1364</v>
      </c>
      <c r="B1078" s="48" t="n">
        <v>45969</v>
      </c>
      <c r="C1078" s="47" t="s">
        <v>159</v>
      </c>
      <c r="D1078" s="47" t="s">
        <v>433</v>
      </c>
      <c r="E1078" s="47" t="s">
        <v>102</v>
      </c>
      <c r="F1078" s="47" t="s">
        <v>161</v>
      </c>
      <c r="G1078" s="49" t="n">
        <v>125177.06</v>
      </c>
      <c r="H1078" s="50" t="n">
        <v>0.05</v>
      </c>
      <c r="I1078" s="47" t="s">
        <v>162</v>
      </c>
      <c r="J1078" s="48" t="n">
        <v>45969</v>
      </c>
      <c r="K1078" s="51" t="str">
        <f aca="false">"Q"&amp;ROUNDUP(MONTH(B1078)/3,0)</f>
        <v>Q4</v>
      </c>
      <c r="L1078" s="52" t="n">
        <f aca="false">ROUND(G1078*H1078,2)</f>
        <v>6258.85</v>
      </c>
      <c r="M1078" s="52" t="n">
        <f aca="false">IF(AND(C1078="Sales",F1078="Standard-rated 5%"),L1078,0)</f>
        <v>6258.85</v>
      </c>
      <c r="N1078" s="52" t="n">
        <f aca="false">IF(F1078="Reverse charge (imported services)",L1078,0)</f>
        <v>0</v>
      </c>
      <c r="O1078" s="52" t="n">
        <f aca="false">IF(C1078&lt;&gt;"Purchase",0,IF(OR(I1078="N",F1078="Blocked input (entertainment)"),0,L1078))</f>
        <v>0</v>
      </c>
      <c r="P1078" s="52" t="n">
        <f aca="false">IF(C1078&lt;&gt;"Purchase",0,L1078-O1078)</f>
        <v>0</v>
      </c>
      <c r="Q1078" s="53" t="n">
        <f aca="false">J1078-B1078</f>
        <v>0</v>
      </c>
      <c r="R1078" s="51" t="str">
        <f aca="false">IF(I1078="N","Invalid / missing TRN",IF(F1078="Blocked input (entertainment)","Blocked input",IF(Q1078&gt;30,"Late posting (&gt;30d)","")))</f>
        <v/>
      </c>
    </row>
    <row r="1079" customFormat="false" ht="15" hidden="false" customHeight="false" outlineLevel="0" collapsed="false">
      <c r="A1079" s="47" t="s">
        <v>1365</v>
      </c>
      <c r="B1079" s="48" t="n">
        <v>45970</v>
      </c>
      <c r="C1079" s="47" t="s">
        <v>166</v>
      </c>
      <c r="D1079" s="47" t="s">
        <v>549</v>
      </c>
      <c r="E1079" s="47" t="s">
        <v>101</v>
      </c>
      <c r="F1079" s="47" t="s">
        <v>161</v>
      </c>
      <c r="G1079" s="49" t="n">
        <v>61640.55</v>
      </c>
      <c r="H1079" s="50" t="n">
        <v>0.05</v>
      </c>
      <c r="I1079" s="47" t="s">
        <v>162</v>
      </c>
      <c r="J1079" s="48" t="n">
        <v>45971</v>
      </c>
      <c r="K1079" s="51" t="str">
        <f aca="false">"Q"&amp;ROUNDUP(MONTH(B1079)/3,0)</f>
        <v>Q4</v>
      </c>
      <c r="L1079" s="52" t="n">
        <f aca="false">ROUND(G1079*H1079,2)</f>
        <v>3082.03</v>
      </c>
      <c r="M1079" s="52" t="n">
        <f aca="false">IF(AND(C1079="Sales",F1079="Standard-rated 5%"),L1079,0)</f>
        <v>0</v>
      </c>
      <c r="N1079" s="52" t="n">
        <f aca="false">IF(F1079="Reverse charge (imported services)",L1079,0)</f>
        <v>0</v>
      </c>
      <c r="O1079" s="52" t="n">
        <f aca="false">IF(C1079&lt;&gt;"Purchase",0,IF(OR(I1079="N",F1079="Blocked input (entertainment)"),0,L1079))</f>
        <v>3082.03</v>
      </c>
      <c r="P1079" s="52" t="n">
        <f aca="false">IF(C1079&lt;&gt;"Purchase",0,L1079-O1079)</f>
        <v>0</v>
      </c>
      <c r="Q1079" s="53" t="n">
        <f aca="false">J1079-B1079</f>
        <v>1</v>
      </c>
      <c r="R1079" s="51" t="str">
        <f aca="false">IF(I1079="N","Invalid / missing TRN",IF(F1079="Blocked input (entertainment)","Blocked input",IF(Q1079&gt;30,"Late posting (&gt;30d)","")))</f>
        <v/>
      </c>
    </row>
    <row r="1080" customFormat="false" ht="15" hidden="false" customHeight="false" outlineLevel="0" collapsed="false">
      <c r="A1080" s="47" t="s">
        <v>1366</v>
      </c>
      <c r="B1080" s="48" t="n">
        <v>45970</v>
      </c>
      <c r="C1080" s="47" t="s">
        <v>159</v>
      </c>
      <c r="D1080" s="47" t="s">
        <v>317</v>
      </c>
      <c r="E1080" s="47" t="s">
        <v>105</v>
      </c>
      <c r="F1080" s="47" t="s">
        <v>161</v>
      </c>
      <c r="G1080" s="49" t="n">
        <v>35178.36</v>
      </c>
      <c r="H1080" s="50" t="n">
        <v>0.05</v>
      </c>
      <c r="I1080" s="47" t="s">
        <v>162</v>
      </c>
      <c r="J1080" s="48" t="n">
        <v>45971</v>
      </c>
      <c r="K1080" s="51" t="str">
        <f aca="false">"Q"&amp;ROUNDUP(MONTH(B1080)/3,0)</f>
        <v>Q4</v>
      </c>
      <c r="L1080" s="52" t="n">
        <f aca="false">ROUND(G1080*H1080,2)</f>
        <v>1758.92</v>
      </c>
      <c r="M1080" s="52" t="n">
        <f aca="false">IF(AND(C1080="Sales",F1080="Standard-rated 5%"),L1080,0)</f>
        <v>1758.92</v>
      </c>
      <c r="N1080" s="52" t="n">
        <f aca="false">IF(F1080="Reverse charge (imported services)",L1080,0)</f>
        <v>0</v>
      </c>
      <c r="O1080" s="52" t="n">
        <f aca="false">IF(C1080&lt;&gt;"Purchase",0,IF(OR(I1080="N",F1080="Blocked input (entertainment)"),0,L1080))</f>
        <v>0</v>
      </c>
      <c r="P1080" s="52" t="n">
        <f aca="false">IF(C1080&lt;&gt;"Purchase",0,L1080-O1080)</f>
        <v>0</v>
      </c>
      <c r="Q1080" s="53" t="n">
        <f aca="false">J1080-B1080</f>
        <v>1</v>
      </c>
      <c r="R1080" s="51" t="str">
        <f aca="false">IF(I1080="N","Invalid / missing TRN",IF(F1080="Blocked input (entertainment)","Blocked input",IF(Q1080&gt;30,"Late posting (&gt;30d)","")))</f>
        <v/>
      </c>
    </row>
    <row r="1081" customFormat="false" ht="15" hidden="false" customHeight="false" outlineLevel="0" collapsed="false">
      <c r="A1081" s="47" t="s">
        <v>1367</v>
      </c>
      <c r="B1081" s="48" t="n">
        <v>45970</v>
      </c>
      <c r="C1081" s="47" t="s">
        <v>159</v>
      </c>
      <c r="D1081" s="47" t="s">
        <v>317</v>
      </c>
      <c r="E1081" s="47" t="s">
        <v>102</v>
      </c>
      <c r="F1081" s="47" t="s">
        <v>161</v>
      </c>
      <c r="G1081" s="49" t="n">
        <v>27063.25</v>
      </c>
      <c r="H1081" s="50" t="n">
        <v>0.05</v>
      </c>
      <c r="I1081" s="47" t="s">
        <v>162</v>
      </c>
      <c r="J1081" s="48" t="n">
        <v>45970</v>
      </c>
      <c r="K1081" s="51" t="str">
        <f aca="false">"Q"&amp;ROUNDUP(MONTH(B1081)/3,0)</f>
        <v>Q4</v>
      </c>
      <c r="L1081" s="52" t="n">
        <f aca="false">ROUND(G1081*H1081,2)</f>
        <v>1353.16</v>
      </c>
      <c r="M1081" s="52" t="n">
        <f aca="false">IF(AND(C1081="Sales",F1081="Standard-rated 5%"),L1081,0)</f>
        <v>1353.16</v>
      </c>
      <c r="N1081" s="52" t="n">
        <f aca="false">IF(F1081="Reverse charge (imported services)",L1081,0)</f>
        <v>0</v>
      </c>
      <c r="O1081" s="52" t="n">
        <f aca="false">IF(C1081&lt;&gt;"Purchase",0,IF(OR(I1081="N",F1081="Blocked input (entertainment)"),0,L1081))</f>
        <v>0</v>
      </c>
      <c r="P1081" s="52" t="n">
        <f aca="false">IF(C1081&lt;&gt;"Purchase",0,L1081-O1081)</f>
        <v>0</v>
      </c>
      <c r="Q1081" s="53" t="n">
        <f aca="false">J1081-B1081</f>
        <v>0</v>
      </c>
      <c r="R1081" s="51" t="str">
        <f aca="false">IF(I1081="N","Invalid / missing TRN",IF(F1081="Blocked input (entertainment)","Blocked input",IF(Q1081&gt;30,"Late posting (&gt;30d)","")))</f>
        <v/>
      </c>
    </row>
    <row r="1082" customFormat="false" ht="15" hidden="false" customHeight="false" outlineLevel="0" collapsed="false">
      <c r="A1082" s="47" t="s">
        <v>1368</v>
      </c>
      <c r="B1082" s="48" t="n">
        <v>45971</v>
      </c>
      <c r="C1082" s="47" t="s">
        <v>166</v>
      </c>
      <c r="D1082" s="47" t="s">
        <v>458</v>
      </c>
      <c r="E1082" s="47" t="s">
        <v>106</v>
      </c>
      <c r="F1082" s="47" t="s">
        <v>173</v>
      </c>
      <c r="G1082" s="49" t="n">
        <v>21012.08</v>
      </c>
      <c r="H1082" s="50" t="n">
        <v>0.05</v>
      </c>
      <c r="I1082" s="47" t="s">
        <v>162</v>
      </c>
      <c r="J1082" s="48" t="n">
        <v>45971</v>
      </c>
      <c r="K1082" s="51" t="str">
        <f aca="false">"Q"&amp;ROUNDUP(MONTH(B1082)/3,0)</f>
        <v>Q4</v>
      </c>
      <c r="L1082" s="52" t="n">
        <f aca="false">ROUND(G1082*H1082,2)</f>
        <v>1050.6</v>
      </c>
      <c r="M1082" s="52" t="n">
        <f aca="false">IF(AND(C1082="Sales",F1082="Standard-rated 5%"),L1082,0)</f>
        <v>0</v>
      </c>
      <c r="N1082" s="52" t="n">
        <f aca="false">IF(F1082="Reverse charge (imported services)",L1082,0)</f>
        <v>1050.6</v>
      </c>
      <c r="O1082" s="52" t="n">
        <f aca="false">IF(C1082&lt;&gt;"Purchase",0,IF(OR(I1082="N",F1082="Blocked input (entertainment)"),0,L1082))</f>
        <v>1050.6</v>
      </c>
      <c r="P1082" s="52" t="n">
        <f aca="false">IF(C1082&lt;&gt;"Purchase",0,L1082-O1082)</f>
        <v>0</v>
      </c>
      <c r="Q1082" s="53" t="n">
        <f aca="false">J1082-B1082</f>
        <v>0</v>
      </c>
      <c r="R1082" s="51" t="str">
        <f aca="false">IF(I1082="N","Invalid / missing TRN",IF(F1082="Blocked input (entertainment)","Blocked input",IF(Q1082&gt;30,"Late posting (&gt;30d)","")))</f>
        <v/>
      </c>
    </row>
    <row r="1083" customFormat="false" ht="15" hidden="false" customHeight="false" outlineLevel="0" collapsed="false">
      <c r="A1083" s="47" t="s">
        <v>1369</v>
      </c>
      <c r="B1083" s="48" t="n">
        <v>45971</v>
      </c>
      <c r="C1083" s="47" t="s">
        <v>166</v>
      </c>
      <c r="D1083" s="47" t="s">
        <v>452</v>
      </c>
      <c r="E1083" s="47" t="s">
        <v>100</v>
      </c>
      <c r="F1083" s="47" t="s">
        <v>173</v>
      </c>
      <c r="G1083" s="49" t="n">
        <v>38319.18</v>
      </c>
      <c r="H1083" s="50" t="n">
        <v>0.05</v>
      </c>
      <c r="I1083" s="47" t="s">
        <v>162</v>
      </c>
      <c r="J1083" s="48" t="n">
        <v>46011</v>
      </c>
      <c r="K1083" s="51" t="str">
        <f aca="false">"Q"&amp;ROUNDUP(MONTH(B1083)/3,0)</f>
        <v>Q4</v>
      </c>
      <c r="L1083" s="52" t="n">
        <f aca="false">ROUND(G1083*H1083,2)</f>
        <v>1915.96</v>
      </c>
      <c r="M1083" s="52" t="n">
        <f aca="false">IF(AND(C1083="Sales",F1083="Standard-rated 5%"),L1083,0)</f>
        <v>0</v>
      </c>
      <c r="N1083" s="52" t="n">
        <f aca="false">IF(F1083="Reverse charge (imported services)",L1083,0)</f>
        <v>1915.96</v>
      </c>
      <c r="O1083" s="52" t="n">
        <f aca="false">IF(C1083&lt;&gt;"Purchase",0,IF(OR(I1083="N",F1083="Blocked input (entertainment)"),0,L1083))</f>
        <v>1915.96</v>
      </c>
      <c r="P1083" s="52" t="n">
        <f aca="false">IF(C1083&lt;&gt;"Purchase",0,L1083-O1083)</f>
        <v>0</v>
      </c>
      <c r="Q1083" s="53" t="n">
        <f aca="false">J1083-B1083</f>
        <v>40</v>
      </c>
      <c r="R1083" s="51" t="str">
        <f aca="false">IF(I1083="N","Invalid / missing TRN",IF(F1083="Blocked input (entertainment)","Blocked input",IF(Q1083&gt;30,"Late posting (&gt;30d)","")))</f>
        <v>Late posting (&gt;30d)</v>
      </c>
    </row>
    <row r="1084" customFormat="false" ht="15" hidden="false" customHeight="false" outlineLevel="0" collapsed="false">
      <c r="A1084" s="47" t="s">
        <v>1370</v>
      </c>
      <c r="B1084" s="48" t="n">
        <v>45971</v>
      </c>
      <c r="C1084" s="47" t="s">
        <v>166</v>
      </c>
      <c r="D1084" s="47" t="s">
        <v>194</v>
      </c>
      <c r="E1084" s="47" t="s">
        <v>101</v>
      </c>
      <c r="F1084" s="47" t="s">
        <v>161</v>
      </c>
      <c r="G1084" s="49" t="n">
        <v>4613.15</v>
      </c>
      <c r="H1084" s="50" t="n">
        <v>0.05</v>
      </c>
      <c r="I1084" s="47" t="s">
        <v>162</v>
      </c>
      <c r="J1084" s="48" t="n">
        <v>45971</v>
      </c>
      <c r="K1084" s="51" t="str">
        <f aca="false">"Q"&amp;ROUNDUP(MONTH(B1084)/3,0)</f>
        <v>Q4</v>
      </c>
      <c r="L1084" s="52" t="n">
        <f aca="false">ROUND(G1084*H1084,2)</f>
        <v>230.66</v>
      </c>
      <c r="M1084" s="52" t="n">
        <f aca="false">IF(AND(C1084="Sales",F1084="Standard-rated 5%"),L1084,0)</f>
        <v>0</v>
      </c>
      <c r="N1084" s="52" t="n">
        <f aca="false">IF(F1084="Reverse charge (imported services)",L1084,0)</f>
        <v>0</v>
      </c>
      <c r="O1084" s="52" t="n">
        <f aca="false">IF(C1084&lt;&gt;"Purchase",0,IF(OR(I1084="N",F1084="Blocked input (entertainment)"),0,L1084))</f>
        <v>230.66</v>
      </c>
      <c r="P1084" s="52" t="n">
        <f aca="false">IF(C1084&lt;&gt;"Purchase",0,L1084-O1084)</f>
        <v>0</v>
      </c>
      <c r="Q1084" s="53" t="n">
        <f aca="false">J1084-B1084</f>
        <v>0</v>
      </c>
      <c r="R1084" s="51" t="str">
        <f aca="false">IF(I1084="N","Invalid / missing TRN",IF(F1084="Blocked input (entertainment)","Blocked input",IF(Q1084&gt;30,"Late posting (&gt;30d)","")))</f>
        <v/>
      </c>
    </row>
    <row r="1085" customFormat="false" ht="15" hidden="false" customHeight="false" outlineLevel="0" collapsed="false">
      <c r="A1085" s="47" t="s">
        <v>1371</v>
      </c>
      <c r="B1085" s="48" t="n">
        <v>45971</v>
      </c>
      <c r="C1085" s="47" t="s">
        <v>159</v>
      </c>
      <c r="D1085" s="47" t="s">
        <v>177</v>
      </c>
      <c r="E1085" s="47" t="s">
        <v>101</v>
      </c>
      <c r="F1085" s="47" t="s">
        <v>161</v>
      </c>
      <c r="G1085" s="49" t="n">
        <v>39862.34</v>
      </c>
      <c r="H1085" s="50" t="n">
        <v>0.05</v>
      </c>
      <c r="I1085" s="47" t="s">
        <v>162</v>
      </c>
      <c r="J1085" s="48" t="n">
        <v>45971</v>
      </c>
      <c r="K1085" s="51" t="str">
        <f aca="false">"Q"&amp;ROUNDUP(MONTH(B1085)/3,0)</f>
        <v>Q4</v>
      </c>
      <c r="L1085" s="52" t="n">
        <f aca="false">ROUND(G1085*H1085,2)</f>
        <v>1993.12</v>
      </c>
      <c r="M1085" s="52" t="n">
        <f aca="false">IF(AND(C1085="Sales",F1085="Standard-rated 5%"),L1085,0)</f>
        <v>1993.12</v>
      </c>
      <c r="N1085" s="52" t="n">
        <f aca="false">IF(F1085="Reverse charge (imported services)",L1085,0)</f>
        <v>0</v>
      </c>
      <c r="O1085" s="52" t="n">
        <f aca="false">IF(C1085&lt;&gt;"Purchase",0,IF(OR(I1085="N",F1085="Blocked input (entertainment)"),0,L1085))</f>
        <v>0</v>
      </c>
      <c r="P1085" s="52" t="n">
        <f aca="false">IF(C1085&lt;&gt;"Purchase",0,L1085-O1085)</f>
        <v>0</v>
      </c>
      <c r="Q1085" s="53" t="n">
        <f aca="false">J1085-B1085</f>
        <v>0</v>
      </c>
      <c r="R1085" s="51" t="str">
        <f aca="false">IF(I1085="N","Invalid / missing TRN",IF(F1085="Blocked input (entertainment)","Blocked input",IF(Q1085&gt;30,"Late posting (&gt;30d)","")))</f>
        <v/>
      </c>
    </row>
    <row r="1086" customFormat="false" ht="15" hidden="false" customHeight="false" outlineLevel="0" collapsed="false">
      <c r="A1086" s="47" t="s">
        <v>1372</v>
      </c>
      <c r="B1086" s="48" t="n">
        <v>45971</v>
      </c>
      <c r="C1086" s="47" t="s">
        <v>159</v>
      </c>
      <c r="D1086" s="47" t="s">
        <v>235</v>
      </c>
      <c r="E1086" s="47" t="s">
        <v>100</v>
      </c>
      <c r="F1086" s="47" t="s">
        <v>161</v>
      </c>
      <c r="G1086" s="49" t="n">
        <v>11424.91</v>
      </c>
      <c r="H1086" s="50" t="n">
        <v>0.05</v>
      </c>
      <c r="I1086" s="47" t="s">
        <v>162</v>
      </c>
      <c r="J1086" s="48" t="n">
        <v>45971</v>
      </c>
      <c r="K1086" s="51" t="str">
        <f aca="false">"Q"&amp;ROUNDUP(MONTH(B1086)/3,0)</f>
        <v>Q4</v>
      </c>
      <c r="L1086" s="52" t="n">
        <f aca="false">ROUND(G1086*H1086,2)</f>
        <v>571.25</v>
      </c>
      <c r="M1086" s="52" t="n">
        <f aca="false">IF(AND(C1086="Sales",F1086="Standard-rated 5%"),L1086,0)</f>
        <v>571.25</v>
      </c>
      <c r="N1086" s="52" t="n">
        <f aca="false">IF(F1086="Reverse charge (imported services)",L1086,0)</f>
        <v>0</v>
      </c>
      <c r="O1086" s="52" t="n">
        <f aca="false">IF(C1086&lt;&gt;"Purchase",0,IF(OR(I1086="N",F1086="Blocked input (entertainment)"),0,L1086))</f>
        <v>0</v>
      </c>
      <c r="P1086" s="52" t="n">
        <f aca="false">IF(C1086&lt;&gt;"Purchase",0,L1086-O1086)</f>
        <v>0</v>
      </c>
      <c r="Q1086" s="53" t="n">
        <f aca="false">J1086-B1086</f>
        <v>0</v>
      </c>
      <c r="R1086" s="51" t="str">
        <f aca="false">IF(I1086="N","Invalid / missing TRN",IF(F1086="Blocked input (entertainment)","Blocked input",IF(Q1086&gt;30,"Late posting (&gt;30d)","")))</f>
        <v/>
      </c>
    </row>
    <row r="1087" customFormat="false" ht="15" hidden="false" customHeight="false" outlineLevel="0" collapsed="false">
      <c r="A1087" s="47" t="s">
        <v>1373</v>
      </c>
      <c r="B1087" s="48" t="n">
        <v>45971</v>
      </c>
      <c r="C1087" s="47" t="s">
        <v>159</v>
      </c>
      <c r="D1087" s="47" t="s">
        <v>423</v>
      </c>
      <c r="E1087" s="47" t="s">
        <v>103</v>
      </c>
      <c r="F1087" s="47" t="s">
        <v>161</v>
      </c>
      <c r="G1087" s="49" t="n">
        <v>94320.28</v>
      </c>
      <c r="H1087" s="50" t="n">
        <v>0.05</v>
      </c>
      <c r="I1087" s="47" t="s">
        <v>162</v>
      </c>
      <c r="J1087" s="48" t="n">
        <v>45971</v>
      </c>
      <c r="K1087" s="51" t="str">
        <f aca="false">"Q"&amp;ROUNDUP(MONTH(B1087)/3,0)</f>
        <v>Q4</v>
      </c>
      <c r="L1087" s="52" t="n">
        <f aca="false">ROUND(G1087*H1087,2)</f>
        <v>4716.01</v>
      </c>
      <c r="M1087" s="52" t="n">
        <f aca="false">IF(AND(C1087="Sales",F1087="Standard-rated 5%"),L1087,0)</f>
        <v>4716.01</v>
      </c>
      <c r="N1087" s="52" t="n">
        <f aca="false">IF(F1087="Reverse charge (imported services)",L1087,0)</f>
        <v>0</v>
      </c>
      <c r="O1087" s="52" t="n">
        <f aca="false">IF(C1087&lt;&gt;"Purchase",0,IF(OR(I1087="N",F1087="Blocked input (entertainment)"),0,L1087))</f>
        <v>0</v>
      </c>
      <c r="P1087" s="52" t="n">
        <f aca="false">IF(C1087&lt;&gt;"Purchase",0,L1087-O1087)</f>
        <v>0</v>
      </c>
      <c r="Q1087" s="53" t="n">
        <f aca="false">J1087-B1087</f>
        <v>0</v>
      </c>
      <c r="R1087" s="51" t="str">
        <f aca="false">IF(I1087="N","Invalid / missing TRN",IF(F1087="Blocked input (entertainment)","Blocked input",IF(Q1087&gt;30,"Late posting (&gt;30d)","")))</f>
        <v/>
      </c>
    </row>
    <row r="1088" customFormat="false" ht="15" hidden="false" customHeight="false" outlineLevel="0" collapsed="false">
      <c r="A1088" s="47" t="s">
        <v>1374</v>
      </c>
      <c r="B1088" s="48" t="n">
        <v>45972</v>
      </c>
      <c r="C1088" s="47" t="s">
        <v>159</v>
      </c>
      <c r="D1088" s="47" t="s">
        <v>373</v>
      </c>
      <c r="E1088" s="47" t="s">
        <v>101</v>
      </c>
      <c r="F1088" s="47" t="s">
        <v>161</v>
      </c>
      <c r="G1088" s="49" t="n">
        <v>70169.1</v>
      </c>
      <c r="H1088" s="50" t="n">
        <v>0.05</v>
      </c>
      <c r="I1088" s="47" t="s">
        <v>162</v>
      </c>
      <c r="J1088" s="48" t="n">
        <v>45972</v>
      </c>
      <c r="K1088" s="51" t="str">
        <f aca="false">"Q"&amp;ROUNDUP(MONTH(B1088)/3,0)</f>
        <v>Q4</v>
      </c>
      <c r="L1088" s="52" t="n">
        <f aca="false">ROUND(G1088*H1088,2)</f>
        <v>3508.46</v>
      </c>
      <c r="M1088" s="52" t="n">
        <f aca="false">IF(AND(C1088="Sales",F1088="Standard-rated 5%"),L1088,0)</f>
        <v>3508.46</v>
      </c>
      <c r="N1088" s="52" t="n">
        <f aca="false">IF(F1088="Reverse charge (imported services)",L1088,0)</f>
        <v>0</v>
      </c>
      <c r="O1088" s="52" t="n">
        <f aca="false">IF(C1088&lt;&gt;"Purchase",0,IF(OR(I1088="N",F1088="Blocked input (entertainment)"),0,L1088))</f>
        <v>0</v>
      </c>
      <c r="P1088" s="52" t="n">
        <f aca="false">IF(C1088&lt;&gt;"Purchase",0,L1088-O1088)</f>
        <v>0</v>
      </c>
      <c r="Q1088" s="53" t="n">
        <f aca="false">J1088-B1088</f>
        <v>0</v>
      </c>
      <c r="R1088" s="51" t="str">
        <f aca="false">IF(I1088="N","Invalid / missing TRN",IF(F1088="Blocked input (entertainment)","Blocked input",IF(Q1088&gt;30,"Late posting (&gt;30d)","")))</f>
        <v/>
      </c>
    </row>
    <row r="1089" customFormat="false" ht="15" hidden="false" customHeight="false" outlineLevel="0" collapsed="false">
      <c r="A1089" s="47" t="s">
        <v>1375</v>
      </c>
      <c r="B1089" s="48" t="n">
        <v>45973</v>
      </c>
      <c r="C1089" s="47" t="s">
        <v>166</v>
      </c>
      <c r="D1089" s="47" t="s">
        <v>167</v>
      </c>
      <c r="E1089" s="47" t="s">
        <v>100</v>
      </c>
      <c r="F1089" s="47" t="s">
        <v>161</v>
      </c>
      <c r="G1089" s="49" t="n">
        <v>15927.02</v>
      </c>
      <c r="H1089" s="50" t="n">
        <v>0.05</v>
      </c>
      <c r="I1089" s="47" t="s">
        <v>162</v>
      </c>
      <c r="J1089" s="48" t="n">
        <v>45973</v>
      </c>
      <c r="K1089" s="51" t="str">
        <f aca="false">"Q"&amp;ROUNDUP(MONTH(B1089)/3,0)</f>
        <v>Q4</v>
      </c>
      <c r="L1089" s="52" t="n">
        <f aca="false">ROUND(G1089*H1089,2)</f>
        <v>796.35</v>
      </c>
      <c r="M1089" s="52" t="n">
        <f aca="false">IF(AND(C1089="Sales",F1089="Standard-rated 5%"),L1089,0)</f>
        <v>0</v>
      </c>
      <c r="N1089" s="52" t="n">
        <f aca="false">IF(F1089="Reverse charge (imported services)",L1089,0)</f>
        <v>0</v>
      </c>
      <c r="O1089" s="52" t="n">
        <f aca="false">IF(C1089&lt;&gt;"Purchase",0,IF(OR(I1089="N",F1089="Blocked input (entertainment)"),0,L1089))</f>
        <v>796.35</v>
      </c>
      <c r="P1089" s="52" t="n">
        <f aca="false">IF(C1089&lt;&gt;"Purchase",0,L1089-O1089)</f>
        <v>0</v>
      </c>
      <c r="Q1089" s="53" t="n">
        <f aca="false">J1089-B1089</f>
        <v>0</v>
      </c>
      <c r="R1089" s="51" t="str">
        <f aca="false">IF(I1089="N","Invalid / missing TRN",IF(F1089="Blocked input (entertainment)","Blocked input",IF(Q1089&gt;30,"Late posting (&gt;30d)","")))</f>
        <v/>
      </c>
    </row>
    <row r="1090" customFormat="false" ht="15" hidden="false" customHeight="false" outlineLevel="0" collapsed="false">
      <c r="A1090" s="47" t="s">
        <v>1376</v>
      </c>
      <c r="B1090" s="48" t="n">
        <v>45974</v>
      </c>
      <c r="C1090" s="47" t="s">
        <v>166</v>
      </c>
      <c r="D1090" s="47" t="s">
        <v>257</v>
      </c>
      <c r="E1090" s="47" t="s">
        <v>100</v>
      </c>
      <c r="F1090" s="47" t="s">
        <v>161</v>
      </c>
      <c r="G1090" s="49" t="n">
        <v>25174.39</v>
      </c>
      <c r="H1090" s="50" t="n">
        <v>0.05</v>
      </c>
      <c r="I1090" s="47" t="s">
        <v>162</v>
      </c>
      <c r="J1090" s="48" t="n">
        <v>45974</v>
      </c>
      <c r="K1090" s="51" t="str">
        <f aca="false">"Q"&amp;ROUNDUP(MONTH(B1090)/3,0)</f>
        <v>Q4</v>
      </c>
      <c r="L1090" s="52" t="n">
        <f aca="false">ROUND(G1090*H1090,2)</f>
        <v>1258.72</v>
      </c>
      <c r="M1090" s="52" t="n">
        <f aca="false">IF(AND(C1090="Sales",F1090="Standard-rated 5%"),L1090,0)</f>
        <v>0</v>
      </c>
      <c r="N1090" s="52" t="n">
        <f aca="false">IF(F1090="Reverse charge (imported services)",L1090,0)</f>
        <v>0</v>
      </c>
      <c r="O1090" s="52" t="n">
        <f aca="false">IF(C1090&lt;&gt;"Purchase",0,IF(OR(I1090="N",F1090="Blocked input (entertainment)"),0,L1090))</f>
        <v>1258.72</v>
      </c>
      <c r="P1090" s="52" t="n">
        <f aca="false">IF(C1090&lt;&gt;"Purchase",0,L1090-O1090)</f>
        <v>0</v>
      </c>
      <c r="Q1090" s="53" t="n">
        <f aca="false">J1090-B1090</f>
        <v>0</v>
      </c>
      <c r="R1090" s="51" t="str">
        <f aca="false">IF(I1090="N","Invalid / missing TRN",IF(F1090="Blocked input (entertainment)","Blocked input",IF(Q1090&gt;30,"Late posting (&gt;30d)","")))</f>
        <v/>
      </c>
    </row>
    <row r="1091" customFormat="false" ht="15" hidden="false" customHeight="false" outlineLevel="0" collapsed="false">
      <c r="A1091" s="47" t="s">
        <v>1377</v>
      </c>
      <c r="B1091" s="48" t="n">
        <v>45974</v>
      </c>
      <c r="C1091" s="47" t="s">
        <v>159</v>
      </c>
      <c r="D1091" s="47" t="s">
        <v>376</v>
      </c>
      <c r="E1091" s="47" t="s">
        <v>100</v>
      </c>
      <c r="F1091" s="47" t="s">
        <v>301</v>
      </c>
      <c r="G1091" s="49" t="n">
        <v>54645.92</v>
      </c>
      <c r="H1091" s="50" t="n">
        <v>0</v>
      </c>
      <c r="I1091" s="47" t="s">
        <v>162</v>
      </c>
      <c r="J1091" s="48" t="n">
        <v>45974</v>
      </c>
      <c r="K1091" s="51" t="str">
        <f aca="false">"Q"&amp;ROUNDUP(MONTH(B1091)/3,0)</f>
        <v>Q4</v>
      </c>
      <c r="L1091" s="52" t="n">
        <f aca="false">ROUND(G1091*H1091,2)</f>
        <v>0</v>
      </c>
      <c r="M1091" s="52" t="n">
        <f aca="false">IF(AND(C1091="Sales",F1091="Standard-rated 5%"),L1091,0)</f>
        <v>0</v>
      </c>
      <c r="N1091" s="52" t="n">
        <f aca="false">IF(F1091="Reverse charge (imported services)",L1091,0)</f>
        <v>0</v>
      </c>
      <c r="O1091" s="52" t="n">
        <f aca="false">IF(C1091&lt;&gt;"Purchase",0,IF(OR(I1091="N",F1091="Blocked input (entertainment)"),0,L1091))</f>
        <v>0</v>
      </c>
      <c r="P1091" s="52" t="n">
        <f aca="false">IF(C1091&lt;&gt;"Purchase",0,L1091-O1091)</f>
        <v>0</v>
      </c>
      <c r="Q1091" s="53" t="n">
        <f aca="false">J1091-B1091</f>
        <v>0</v>
      </c>
      <c r="R1091" s="51" t="str">
        <f aca="false">IF(I1091="N","Invalid / missing TRN",IF(F1091="Blocked input (entertainment)","Blocked input",IF(Q1091&gt;30,"Late posting (&gt;30d)","")))</f>
        <v/>
      </c>
    </row>
    <row r="1092" customFormat="false" ht="15" hidden="false" customHeight="false" outlineLevel="0" collapsed="false">
      <c r="A1092" s="47" t="s">
        <v>1378</v>
      </c>
      <c r="B1092" s="48" t="n">
        <v>45974</v>
      </c>
      <c r="C1092" s="47" t="s">
        <v>159</v>
      </c>
      <c r="D1092" s="47" t="s">
        <v>532</v>
      </c>
      <c r="E1092" s="47" t="s">
        <v>100</v>
      </c>
      <c r="F1092" s="47" t="s">
        <v>161</v>
      </c>
      <c r="G1092" s="49" t="n">
        <v>40477.63</v>
      </c>
      <c r="H1092" s="50" t="n">
        <v>0.05</v>
      </c>
      <c r="I1092" s="47" t="s">
        <v>162</v>
      </c>
      <c r="J1092" s="48" t="n">
        <v>45974</v>
      </c>
      <c r="K1092" s="51" t="str">
        <f aca="false">"Q"&amp;ROUNDUP(MONTH(B1092)/3,0)</f>
        <v>Q4</v>
      </c>
      <c r="L1092" s="52" t="n">
        <f aca="false">ROUND(G1092*H1092,2)</f>
        <v>2023.88</v>
      </c>
      <c r="M1092" s="52" t="n">
        <f aca="false">IF(AND(C1092="Sales",F1092="Standard-rated 5%"),L1092,0)</f>
        <v>2023.88</v>
      </c>
      <c r="N1092" s="52" t="n">
        <f aca="false">IF(F1092="Reverse charge (imported services)",L1092,0)</f>
        <v>0</v>
      </c>
      <c r="O1092" s="52" t="n">
        <f aca="false">IF(C1092&lt;&gt;"Purchase",0,IF(OR(I1092="N",F1092="Blocked input (entertainment)"),0,L1092))</f>
        <v>0</v>
      </c>
      <c r="P1092" s="52" t="n">
        <f aca="false">IF(C1092&lt;&gt;"Purchase",0,L1092-O1092)</f>
        <v>0</v>
      </c>
      <c r="Q1092" s="53" t="n">
        <f aca="false">J1092-B1092</f>
        <v>0</v>
      </c>
      <c r="R1092" s="51" t="str">
        <f aca="false">IF(I1092="N","Invalid / missing TRN",IF(F1092="Blocked input (entertainment)","Blocked input",IF(Q1092&gt;30,"Late posting (&gt;30d)","")))</f>
        <v/>
      </c>
    </row>
    <row r="1093" customFormat="false" ht="15" hidden="false" customHeight="false" outlineLevel="0" collapsed="false">
      <c r="A1093" s="47" t="s">
        <v>1379</v>
      </c>
      <c r="B1093" s="48" t="n">
        <v>45974</v>
      </c>
      <c r="C1093" s="47" t="s">
        <v>159</v>
      </c>
      <c r="D1093" s="47" t="s">
        <v>376</v>
      </c>
      <c r="E1093" s="47" t="s">
        <v>100</v>
      </c>
      <c r="F1093" s="47" t="s">
        <v>161</v>
      </c>
      <c r="G1093" s="49" t="n">
        <v>131980.74</v>
      </c>
      <c r="H1093" s="50" t="n">
        <v>0.05</v>
      </c>
      <c r="I1093" s="47" t="s">
        <v>162</v>
      </c>
      <c r="J1093" s="48" t="n">
        <v>45974</v>
      </c>
      <c r="K1093" s="51" t="str">
        <f aca="false">"Q"&amp;ROUNDUP(MONTH(B1093)/3,0)</f>
        <v>Q4</v>
      </c>
      <c r="L1093" s="52" t="n">
        <f aca="false">ROUND(G1093*H1093,2)</f>
        <v>6599.04</v>
      </c>
      <c r="M1093" s="52" t="n">
        <f aca="false">IF(AND(C1093="Sales",F1093="Standard-rated 5%"),L1093,0)</f>
        <v>6599.04</v>
      </c>
      <c r="N1093" s="52" t="n">
        <f aca="false">IF(F1093="Reverse charge (imported services)",L1093,0)</f>
        <v>0</v>
      </c>
      <c r="O1093" s="52" t="n">
        <f aca="false">IF(C1093&lt;&gt;"Purchase",0,IF(OR(I1093="N",F1093="Blocked input (entertainment)"),0,L1093))</f>
        <v>0</v>
      </c>
      <c r="P1093" s="52" t="n">
        <f aca="false">IF(C1093&lt;&gt;"Purchase",0,L1093-O1093)</f>
        <v>0</v>
      </c>
      <c r="Q1093" s="53" t="n">
        <f aca="false">J1093-B1093</f>
        <v>0</v>
      </c>
      <c r="R1093" s="51" t="str">
        <f aca="false">IF(I1093="N","Invalid / missing TRN",IF(F1093="Blocked input (entertainment)","Blocked input",IF(Q1093&gt;30,"Late posting (&gt;30d)","")))</f>
        <v/>
      </c>
    </row>
    <row r="1094" customFormat="false" ht="15" hidden="false" customHeight="false" outlineLevel="0" collapsed="false">
      <c r="A1094" s="47" t="s">
        <v>1380</v>
      </c>
      <c r="B1094" s="48" t="n">
        <v>45975</v>
      </c>
      <c r="C1094" s="47" t="s">
        <v>166</v>
      </c>
      <c r="D1094" s="47" t="s">
        <v>181</v>
      </c>
      <c r="E1094" s="47" t="s">
        <v>102</v>
      </c>
      <c r="F1094" s="47" t="s">
        <v>161</v>
      </c>
      <c r="G1094" s="49" t="n">
        <v>57306.92</v>
      </c>
      <c r="H1094" s="50" t="n">
        <v>0.05</v>
      </c>
      <c r="I1094" s="47" t="s">
        <v>162</v>
      </c>
      <c r="J1094" s="48" t="n">
        <v>45975</v>
      </c>
      <c r="K1094" s="51" t="str">
        <f aca="false">"Q"&amp;ROUNDUP(MONTH(B1094)/3,0)</f>
        <v>Q4</v>
      </c>
      <c r="L1094" s="52" t="n">
        <f aca="false">ROUND(G1094*H1094,2)</f>
        <v>2865.35</v>
      </c>
      <c r="M1094" s="52" t="n">
        <f aca="false">IF(AND(C1094="Sales",F1094="Standard-rated 5%"),L1094,0)</f>
        <v>0</v>
      </c>
      <c r="N1094" s="52" t="n">
        <f aca="false">IF(F1094="Reverse charge (imported services)",L1094,0)</f>
        <v>0</v>
      </c>
      <c r="O1094" s="52" t="n">
        <f aca="false">IF(C1094&lt;&gt;"Purchase",0,IF(OR(I1094="N",F1094="Blocked input (entertainment)"),0,L1094))</f>
        <v>2865.35</v>
      </c>
      <c r="P1094" s="52" t="n">
        <f aca="false">IF(C1094&lt;&gt;"Purchase",0,L1094-O1094)</f>
        <v>0</v>
      </c>
      <c r="Q1094" s="53" t="n">
        <f aca="false">J1094-B1094</f>
        <v>0</v>
      </c>
      <c r="R1094" s="51" t="str">
        <f aca="false">IF(I1094="N","Invalid / missing TRN",IF(F1094="Blocked input (entertainment)","Blocked input",IF(Q1094&gt;30,"Late posting (&gt;30d)","")))</f>
        <v/>
      </c>
    </row>
    <row r="1095" customFormat="false" ht="15" hidden="false" customHeight="false" outlineLevel="0" collapsed="false">
      <c r="A1095" s="47" t="s">
        <v>1381</v>
      </c>
      <c r="B1095" s="48" t="n">
        <v>45975</v>
      </c>
      <c r="C1095" s="47" t="s">
        <v>159</v>
      </c>
      <c r="D1095" s="47" t="s">
        <v>160</v>
      </c>
      <c r="E1095" s="47" t="s">
        <v>100</v>
      </c>
      <c r="F1095" s="47" t="s">
        <v>161</v>
      </c>
      <c r="G1095" s="49" t="n">
        <v>49267.61</v>
      </c>
      <c r="H1095" s="50" t="n">
        <v>0.05</v>
      </c>
      <c r="I1095" s="47" t="s">
        <v>162</v>
      </c>
      <c r="J1095" s="48" t="n">
        <v>45975</v>
      </c>
      <c r="K1095" s="51" t="str">
        <f aca="false">"Q"&amp;ROUNDUP(MONTH(B1095)/3,0)</f>
        <v>Q4</v>
      </c>
      <c r="L1095" s="52" t="n">
        <f aca="false">ROUND(G1095*H1095,2)</f>
        <v>2463.38</v>
      </c>
      <c r="M1095" s="52" t="n">
        <f aca="false">IF(AND(C1095="Sales",F1095="Standard-rated 5%"),L1095,0)</f>
        <v>2463.38</v>
      </c>
      <c r="N1095" s="52" t="n">
        <f aca="false">IF(F1095="Reverse charge (imported services)",L1095,0)</f>
        <v>0</v>
      </c>
      <c r="O1095" s="52" t="n">
        <f aca="false">IF(C1095&lt;&gt;"Purchase",0,IF(OR(I1095="N",F1095="Blocked input (entertainment)"),0,L1095))</f>
        <v>0</v>
      </c>
      <c r="P1095" s="52" t="n">
        <f aca="false">IF(C1095&lt;&gt;"Purchase",0,L1095-O1095)</f>
        <v>0</v>
      </c>
      <c r="Q1095" s="53" t="n">
        <f aca="false">J1095-B1095</f>
        <v>0</v>
      </c>
      <c r="R1095" s="51" t="str">
        <f aca="false">IF(I1095="N","Invalid / missing TRN",IF(F1095="Blocked input (entertainment)","Blocked input",IF(Q1095&gt;30,"Late posting (&gt;30d)","")))</f>
        <v/>
      </c>
    </row>
    <row r="1096" customFormat="false" ht="15" hidden="false" customHeight="false" outlineLevel="0" collapsed="false">
      <c r="A1096" s="47" t="s">
        <v>1382</v>
      </c>
      <c r="B1096" s="48" t="n">
        <v>45976</v>
      </c>
      <c r="C1096" s="47" t="s">
        <v>166</v>
      </c>
      <c r="D1096" s="47" t="s">
        <v>555</v>
      </c>
      <c r="E1096" s="47" t="s">
        <v>101</v>
      </c>
      <c r="F1096" s="47" t="s">
        <v>161</v>
      </c>
      <c r="G1096" s="49" t="n">
        <v>37846.01</v>
      </c>
      <c r="H1096" s="50" t="n">
        <v>0.05</v>
      </c>
      <c r="I1096" s="47" t="s">
        <v>162</v>
      </c>
      <c r="J1096" s="48" t="n">
        <v>45976</v>
      </c>
      <c r="K1096" s="51" t="str">
        <f aca="false">"Q"&amp;ROUNDUP(MONTH(B1096)/3,0)</f>
        <v>Q4</v>
      </c>
      <c r="L1096" s="52" t="n">
        <f aca="false">ROUND(G1096*H1096,2)</f>
        <v>1892.3</v>
      </c>
      <c r="M1096" s="52" t="n">
        <f aca="false">IF(AND(C1096="Sales",F1096="Standard-rated 5%"),L1096,0)</f>
        <v>0</v>
      </c>
      <c r="N1096" s="52" t="n">
        <f aca="false">IF(F1096="Reverse charge (imported services)",L1096,0)</f>
        <v>0</v>
      </c>
      <c r="O1096" s="52" t="n">
        <f aca="false">IF(C1096&lt;&gt;"Purchase",0,IF(OR(I1096="N",F1096="Blocked input (entertainment)"),0,L1096))</f>
        <v>1892.3</v>
      </c>
      <c r="P1096" s="52" t="n">
        <f aca="false">IF(C1096&lt;&gt;"Purchase",0,L1096-O1096)</f>
        <v>0</v>
      </c>
      <c r="Q1096" s="53" t="n">
        <f aca="false">J1096-B1096</f>
        <v>0</v>
      </c>
      <c r="R1096" s="51" t="str">
        <f aca="false">IF(I1096="N","Invalid / missing TRN",IF(F1096="Blocked input (entertainment)","Blocked input",IF(Q1096&gt;30,"Late posting (&gt;30d)","")))</f>
        <v/>
      </c>
    </row>
    <row r="1097" customFormat="false" ht="15" hidden="false" customHeight="false" outlineLevel="0" collapsed="false">
      <c r="A1097" s="47" t="s">
        <v>1383</v>
      </c>
      <c r="B1097" s="48" t="n">
        <v>45976</v>
      </c>
      <c r="C1097" s="47" t="s">
        <v>166</v>
      </c>
      <c r="D1097" s="47" t="s">
        <v>190</v>
      </c>
      <c r="E1097" s="47" t="s">
        <v>100</v>
      </c>
      <c r="F1097" s="47" t="s">
        <v>161</v>
      </c>
      <c r="G1097" s="49" t="n">
        <v>28078.07</v>
      </c>
      <c r="H1097" s="50" t="n">
        <v>0.05</v>
      </c>
      <c r="I1097" s="47" t="s">
        <v>162</v>
      </c>
      <c r="J1097" s="48" t="n">
        <v>45976</v>
      </c>
      <c r="K1097" s="51" t="str">
        <f aca="false">"Q"&amp;ROUNDUP(MONTH(B1097)/3,0)</f>
        <v>Q4</v>
      </c>
      <c r="L1097" s="52" t="n">
        <f aca="false">ROUND(G1097*H1097,2)</f>
        <v>1403.9</v>
      </c>
      <c r="M1097" s="52" t="n">
        <f aca="false">IF(AND(C1097="Sales",F1097="Standard-rated 5%"),L1097,0)</f>
        <v>0</v>
      </c>
      <c r="N1097" s="52" t="n">
        <f aca="false">IF(F1097="Reverse charge (imported services)",L1097,0)</f>
        <v>0</v>
      </c>
      <c r="O1097" s="52" t="n">
        <f aca="false">IF(C1097&lt;&gt;"Purchase",0,IF(OR(I1097="N",F1097="Blocked input (entertainment)"),0,L1097))</f>
        <v>1403.9</v>
      </c>
      <c r="P1097" s="52" t="n">
        <f aca="false">IF(C1097&lt;&gt;"Purchase",0,L1097-O1097)</f>
        <v>0</v>
      </c>
      <c r="Q1097" s="53" t="n">
        <f aca="false">J1097-B1097</f>
        <v>0</v>
      </c>
      <c r="R1097" s="51" t="str">
        <f aca="false">IF(I1097="N","Invalid / missing TRN",IF(F1097="Blocked input (entertainment)","Blocked input",IF(Q1097&gt;30,"Late posting (&gt;30d)","")))</f>
        <v/>
      </c>
    </row>
    <row r="1098" customFormat="false" ht="15" hidden="false" customHeight="false" outlineLevel="0" collapsed="false">
      <c r="A1098" s="47" t="s">
        <v>1384</v>
      </c>
      <c r="B1098" s="48" t="n">
        <v>45976</v>
      </c>
      <c r="C1098" s="47" t="s">
        <v>166</v>
      </c>
      <c r="D1098" s="47" t="s">
        <v>411</v>
      </c>
      <c r="E1098" s="47" t="s">
        <v>103</v>
      </c>
      <c r="F1098" s="47" t="s">
        <v>161</v>
      </c>
      <c r="G1098" s="49" t="n">
        <v>19595.02</v>
      </c>
      <c r="H1098" s="50" t="n">
        <v>0.05</v>
      </c>
      <c r="I1098" s="47" t="s">
        <v>162</v>
      </c>
      <c r="J1098" s="48" t="n">
        <v>45976</v>
      </c>
      <c r="K1098" s="51" t="str">
        <f aca="false">"Q"&amp;ROUNDUP(MONTH(B1098)/3,0)</f>
        <v>Q4</v>
      </c>
      <c r="L1098" s="52" t="n">
        <f aca="false">ROUND(G1098*H1098,2)</f>
        <v>979.75</v>
      </c>
      <c r="M1098" s="52" t="n">
        <f aca="false">IF(AND(C1098="Sales",F1098="Standard-rated 5%"),L1098,0)</f>
        <v>0</v>
      </c>
      <c r="N1098" s="52" t="n">
        <f aca="false">IF(F1098="Reverse charge (imported services)",L1098,0)</f>
        <v>0</v>
      </c>
      <c r="O1098" s="52" t="n">
        <f aca="false">IF(C1098&lt;&gt;"Purchase",0,IF(OR(I1098="N",F1098="Blocked input (entertainment)"),0,L1098))</f>
        <v>979.75</v>
      </c>
      <c r="P1098" s="52" t="n">
        <f aca="false">IF(C1098&lt;&gt;"Purchase",0,L1098-O1098)</f>
        <v>0</v>
      </c>
      <c r="Q1098" s="53" t="n">
        <f aca="false">J1098-B1098</f>
        <v>0</v>
      </c>
      <c r="R1098" s="51" t="str">
        <f aca="false">IF(I1098="N","Invalid / missing TRN",IF(F1098="Blocked input (entertainment)","Blocked input",IF(Q1098&gt;30,"Late posting (&gt;30d)","")))</f>
        <v/>
      </c>
    </row>
    <row r="1099" customFormat="false" ht="15" hidden="false" customHeight="false" outlineLevel="0" collapsed="false">
      <c r="A1099" s="47" t="s">
        <v>1385</v>
      </c>
      <c r="B1099" s="48" t="n">
        <v>45976</v>
      </c>
      <c r="C1099" s="47" t="s">
        <v>159</v>
      </c>
      <c r="D1099" s="47" t="s">
        <v>579</v>
      </c>
      <c r="E1099" s="47" t="s">
        <v>101</v>
      </c>
      <c r="F1099" s="47" t="s">
        <v>161</v>
      </c>
      <c r="G1099" s="49" t="n">
        <v>41011.97</v>
      </c>
      <c r="H1099" s="50" t="n">
        <v>0.05</v>
      </c>
      <c r="I1099" s="47" t="s">
        <v>162</v>
      </c>
      <c r="J1099" s="48" t="n">
        <v>45976</v>
      </c>
      <c r="K1099" s="51" t="str">
        <f aca="false">"Q"&amp;ROUNDUP(MONTH(B1099)/3,0)</f>
        <v>Q4</v>
      </c>
      <c r="L1099" s="52" t="n">
        <f aca="false">ROUND(G1099*H1099,2)</f>
        <v>2050.6</v>
      </c>
      <c r="M1099" s="52" t="n">
        <f aca="false">IF(AND(C1099="Sales",F1099="Standard-rated 5%"),L1099,0)</f>
        <v>2050.6</v>
      </c>
      <c r="N1099" s="52" t="n">
        <f aca="false">IF(F1099="Reverse charge (imported services)",L1099,0)</f>
        <v>0</v>
      </c>
      <c r="O1099" s="52" t="n">
        <f aca="false">IF(C1099&lt;&gt;"Purchase",0,IF(OR(I1099="N",F1099="Blocked input (entertainment)"),0,L1099))</f>
        <v>0</v>
      </c>
      <c r="P1099" s="52" t="n">
        <f aca="false">IF(C1099&lt;&gt;"Purchase",0,L1099-O1099)</f>
        <v>0</v>
      </c>
      <c r="Q1099" s="53" t="n">
        <f aca="false">J1099-B1099</f>
        <v>0</v>
      </c>
      <c r="R1099" s="51" t="str">
        <f aca="false">IF(I1099="N","Invalid / missing TRN",IF(F1099="Blocked input (entertainment)","Blocked input",IF(Q1099&gt;30,"Late posting (&gt;30d)","")))</f>
        <v/>
      </c>
    </row>
    <row r="1100" customFormat="false" ht="15" hidden="false" customHeight="false" outlineLevel="0" collapsed="false">
      <c r="A1100" s="47" t="s">
        <v>1386</v>
      </c>
      <c r="B1100" s="48" t="n">
        <v>45977</v>
      </c>
      <c r="C1100" s="47" t="s">
        <v>166</v>
      </c>
      <c r="D1100" s="47" t="s">
        <v>458</v>
      </c>
      <c r="E1100" s="47" t="s">
        <v>100</v>
      </c>
      <c r="F1100" s="47" t="s">
        <v>161</v>
      </c>
      <c r="G1100" s="49" t="n">
        <v>26301.84</v>
      </c>
      <c r="H1100" s="50" t="n">
        <v>0.05</v>
      </c>
      <c r="I1100" s="47" t="s">
        <v>162</v>
      </c>
      <c r="J1100" s="48" t="n">
        <v>45977</v>
      </c>
      <c r="K1100" s="51" t="str">
        <f aca="false">"Q"&amp;ROUNDUP(MONTH(B1100)/3,0)</f>
        <v>Q4</v>
      </c>
      <c r="L1100" s="52" t="n">
        <f aca="false">ROUND(G1100*H1100,2)</f>
        <v>1315.09</v>
      </c>
      <c r="M1100" s="52" t="n">
        <f aca="false">IF(AND(C1100="Sales",F1100="Standard-rated 5%"),L1100,0)</f>
        <v>0</v>
      </c>
      <c r="N1100" s="52" t="n">
        <f aca="false">IF(F1100="Reverse charge (imported services)",L1100,0)</f>
        <v>0</v>
      </c>
      <c r="O1100" s="52" t="n">
        <f aca="false">IF(C1100&lt;&gt;"Purchase",0,IF(OR(I1100="N",F1100="Blocked input (entertainment)"),0,L1100))</f>
        <v>1315.09</v>
      </c>
      <c r="P1100" s="52" t="n">
        <f aca="false">IF(C1100&lt;&gt;"Purchase",0,L1100-O1100)</f>
        <v>0</v>
      </c>
      <c r="Q1100" s="53" t="n">
        <f aca="false">J1100-B1100</f>
        <v>0</v>
      </c>
      <c r="R1100" s="51" t="str">
        <f aca="false">IF(I1100="N","Invalid / missing TRN",IF(F1100="Blocked input (entertainment)","Blocked input",IF(Q1100&gt;30,"Late posting (&gt;30d)","")))</f>
        <v/>
      </c>
    </row>
    <row r="1101" customFormat="false" ht="15" hidden="false" customHeight="false" outlineLevel="0" collapsed="false">
      <c r="A1101" s="47" t="s">
        <v>1387</v>
      </c>
      <c r="B1101" s="48" t="n">
        <v>45977</v>
      </c>
      <c r="C1101" s="47" t="s">
        <v>159</v>
      </c>
      <c r="D1101" s="47" t="s">
        <v>177</v>
      </c>
      <c r="E1101" s="47" t="s">
        <v>100</v>
      </c>
      <c r="F1101" s="47" t="s">
        <v>161</v>
      </c>
      <c r="G1101" s="49" t="n">
        <v>22452.9</v>
      </c>
      <c r="H1101" s="50" t="n">
        <v>0.05</v>
      </c>
      <c r="I1101" s="47" t="s">
        <v>162</v>
      </c>
      <c r="J1101" s="48" t="n">
        <v>45977</v>
      </c>
      <c r="K1101" s="51" t="str">
        <f aca="false">"Q"&amp;ROUNDUP(MONTH(B1101)/3,0)</f>
        <v>Q4</v>
      </c>
      <c r="L1101" s="52" t="n">
        <f aca="false">ROUND(G1101*H1101,2)</f>
        <v>1122.65</v>
      </c>
      <c r="M1101" s="52" t="n">
        <f aca="false">IF(AND(C1101="Sales",F1101="Standard-rated 5%"),L1101,0)</f>
        <v>1122.65</v>
      </c>
      <c r="N1101" s="52" t="n">
        <f aca="false">IF(F1101="Reverse charge (imported services)",L1101,0)</f>
        <v>0</v>
      </c>
      <c r="O1101" s="52" t="n">
        <f aca="false">IF(C1101&lt;&gt;"Purchase",0,IF(OR(I1101="N",F1101="Blocked input (entertainment)"),0,L1101))</f>
        <v>0</v>
      </c>
      <c r="P1101" s="52" t="n">
        <f aca="false">IF(C1101&lt;&gt;"Purchase",0,L1101-O1101)</f>
        <v>0</v>
      </c>
      <c r="Q1101" s="53" t="n">
        <f aca="false">J1101-B1101</f>
        <v>0</v>
      </c>
      <c r="R1101" s="51" t="str">
        <f aca="false">IF(I1101="N","Invalid / missing TRN",IF(F1101="Blocked input (entertainment)","Blocked input",IF(Q1101&gt;30,"Late posting (&gt;30d)","")))</f>
        <v/>
      </c>
    </row>
    <row r="1102" customFormat="false" ht="15" hidden="false" customHeight="false" outlineLevel="0" collapsed="false">
      <c r="A1102" s="47" t="s">
        <v>1388</v>
      </c>
      <c r="B1102" s="48" t="n">
        <v>45977</v>
      </c>
      <c r="C1102" s="47" t="s">
        <v>159</v>
      </c>
      <c r="D1102" s="47" t="s">
        <v>361</v>
      </c>
      <c r="E1102" s="47" t="s">
        <v>100</v>
      </c>
      <c r="F1102" s="47" t="s">
        <v>301</v>
      </c>
      <c r="G1102" s="49" t="n">
        <v>59674.77</v>
      </c>
      <c r="H1102" s="50" t="n">
        <v>0</v>
      </c>
      <c r="I1102" s="47" t="s">
        <v>162</v>
      </c>
      <c r="J1102" s="48" t="n">
        <v>45977</v>
      </c>
      <c r="K1102" s="51" t="str">
        <f aca="false">"Q"&amp;ROUNDUP(MONTH(B1102)/3,0)</f>
        <v>Q4</v>
      </c>
      <c r="L1102" s="52" t="n">
        <f aca="false">ROUND(G1102*H1102,2)</f>
        <v>0</v>
      </c>
      <c r="M1102" s="52" t="n">
        <f aca="false">IF(AND(C1102="Sales",F1102="Standard-rated 5%"),L1102,0)</f>
        <v>0</v>
      </c>
      <c r="N1102" s="52" t="n">
        <f aca="false">IF(F1102="Reverse charge (imported services)",L1102,0)</f>
        <v>0</v>
      </c>
      <c r="O1102" s="52" t="n">
        <f aca="false">IF(C1102&lt;&gt;"Purchase",0,IF(OR(I1102="N",F1102="Blocked input (entertainment)"),0,L1102))</f>
        <v>0</v>
      </c>
      <c r="P1102" s="52" t="n">
        <f aca="false">IF(C1102&lt;&gt;"Purchase",0,L1102-O1102)</f>
        <v>0</v>
      </c>
      <c r="Q1102" s="53" t="n">
        <f aca="false">J1102-B1102</f>
        <v>0</v>
      </c>
      <c r="R1102" s="51" t="str">
        <f aca="false">IF(I1102="N","Invalid / missing TRN",IF(F1102="Blocked input (entertainment)","Blocked input",IF(Q1102&gt;30,"Late posting (&gt;30d)","")))</f>
        <v/>
      </c>
    </row>
    <row r="1103" customFormat="false" ht="15" hidden="false" customHeight="false" outlineLevel="0" collapsed="false">
      <c r="A1103" s="47" t="s">
        <v>1389</v>
      </c>
      <c r="B1103" s="48" t="n">
        <v>45977</v>
      </c>
      <c r="C1103" s="47" t="s">
        <v>159</v>
      </c>
      <c r="D1103" s="47" t="s">
        <v>186</v>
      </c>
      <c r="E1103" s="47" t="s">
        <v>102</v>
      </c>
      <c r="F1103" s="47" t="s">
        <v>161</v>
      </c>
      <c r="G1103" s="49" t="n">
        <v>29077.31</v>
      </c>
      <c r="H1103" s="50" t="n">
        <v>0.05</v>
      </c>
      <c r="I1103" s="47" t="s">
        <v>162</v>
      </c>
      <c r="J1103" s="48" t="n">
        <v>45977</v>
      </c>
      <c r="K1103" s="51" t="str">
        <f aca="false">"Q"&amp;ROUNDUP(MONTH(B1103)/3,0)</f>
        <v>Q4</v>
      </c>
      <c r="L1103" s="52" t="n">
        <f aca="false">ROUND(G1103*H1103,2)</f>
        <v>1453.87</v>
      </c>
      <c r="M1103" s="52" t="n">
        <f aca="false">IF(AND(C1103="Sales",F1103="Standard-rated 5%"),L1103,0)</f>
        <v>1453.87</v>
      </c>
      <c r="N1103" s="52" t="n">
        <f aca="false">IF(F1103="Reverse charge (imported services)",L1103,0)</f>
        <v>0</v>
      </c>
      <c r="O1103" s="52" t="n">
        <f aca="false">IF(C1103&lt;&gt;"Purchase",0,IF(OR(I1103="N",F1103="Blocked input (entertainment)"),0,L1103))</f>
        <v>0</v>
      </c>
      <c r="P1103" s="52" t="n">
        <f aca="false">IF(C1103&lt;&gt;"Purchase",0,L1103-O1103)</f>
        <v>0</v>
      </c>
      <c r="Q1103" s="53" t="n">
        <f aca="false">J1103-B1103</f>
        <v>0</v>
      </c>
      <c r="R1103" s="51" t="str">
        <f aca="false">IF(I1103="N","Invalid / missing TRN",IF(F1103="Blocked input (entertainment)","Blocked input",IF(Q1103&gt;30,"Late posting (&gt;30d)","")))</f>
        <v/>
      </c>
    </row>
    <row r="1104" customFormat="false" ht="15" hidden="false" customHeight="false" outlineLevel="0" collapsed="false">
      <c r="A1104" s="47" t="s">
        <v>1390</v>
      </c>
      <c r="B1104" s="48" t="n">
        <v>45978</v>
      </c>
      <c r="C1104" s="47" t="s">
        <v>166</v>
      </c>
      <c r="D1104" s="47" t="s">
        <v>190</v>
      </c>
      <c r="E1104" s="47" t="s">
        <v>100</v>
      </c>
      <c r="F1104" s="47" t="s">
        <v>161</v>
      </c>
      <c r="G1104" s="49" t="n">
        <v>33324.2</v>
      </c>
      <c r="H1104" s="50" t="n">
        <v>0.05</v>
      </c>
      <c r="I1104" s="47" t="s">
        <v>162</v>
      </c>
      <c r="J1104" s="48" t="n">
        <v>45983</v>
      </c>
      <c r="K1104" s="51" t="str">
        <f aca="false">"Q"&amp;ROUNDUP(MONTH(B1104)/3,0)</f>
        <v>Q4</v>
      </c>
      <c r="L1104" s="52" t="n">
        <f aca="false">ROUND(G1104*H1104,2)</f>
        <v>1666.21</v>
      </c>
      <c r="M1104" s="52" t="n">
        <f aca="false">IF(AND(C1104="Sales",F1104="Standard-rated 5%"),L1104,0)</f>
        <v>0</v>
      </c>
      <c r="N1104" s="52" t="n">
        <f aca="false">IF(F1104="Reverse charge (imported services)",L1104,0)</f>
        <v>0</v>
      </c>
      <c r="O1104" s="52" t="n">
        <f aca="false">IF(C1104&lt;&gt;"Purchase",0,IF(OR(I1104="N",F1104="Blocked input (entertainment)"),0,L1104))</f>
        <v>1666.21</v>
      </c>
      <c r="P1104" s="52" t="n">
        <f aca="false">IF(C1104&lt;&gt;"Purchase",0,L1104-O1104)</f>
        <v>0</v>
      </c>
      <c r="Q1104" s="53" t="n">
        <f aca="false">J1104-B1104</f>
        <v>5</v>
      </c>
      <c r="R1104" s="51" t="str">
        <f aca="false">IF(I1104="N","Invalid / missing TRN",IF(F1104="Blocked input (entertainment)","Blocked input",IF(Q1104&gt;30,"Late posting (&gt;30d)","")))</f>
        <v/>
      </c>
    </row>
    <row r="1105" customFormat="false" ht="15" hidden="false" customHeight="false" outlineLevel="0" collapsed="false">
      <c r="A1105" s="47" t="s">
        <v>1391</v>
      </c>
      <c r="B1105" s="48" t="n">
        <v>45978</v>
      </c>
      <c r="C1105" s="47" t="s">
        <v>159</v>
      </c>
      <c r="D1105" s="47" t="s">
        <v>376</v>
      </c>
      <c r="E1105" s="47" t="s">
        <v>102</v>
      </c>
      <c r="F1105" s="47" t="s">
        <v>161</v>
      </c>
      <c r="G1105" s="49" t="n">
        <v>14196.54</v>
      </c>
      <c r="H1105" s="50" t="n">
        <v>0.05</v>
      </c>
      <c r="I1105" s="47" t="s">
        <v>162</v>
      </c>
      <c r="J1105" s="48" t="n">
        <v>45980</v>
      </c>
      <c r="K1105" s="51" t="str">
        <f aca="false">"Q"&amp;ROUNDUP(MONTH(B1105)/3,0)</f>
        <v>Q4</v>
      </c>
      <c r="L1105" s="52" t="n">
        <f aca="false">ROUND(G1105*H1105,2)</f>
        <v>709.83</v>
      </c>
      <c r="M1105" s="52" t="n">
        <f aca="false">IF(AND(C1105="Sales",F1105="Standard-rated 5%"),L1105,0)</f>
        <v>709.83</v>
      </c>
      <c r="N1105" s="52" t="n">
        <f aca="false">IF(F1105="Reverse charge (imported services)",L1105,0)</f>
        <v>0</v>
      </c>
      <c r="O1105" s="52" t="n">
        <f aca="false">IF(C1105&lt;&gt;"Purchase",0,IF(OR(I1105="N",F1105="Blocked input (entertainment)"),0,L1105))</f>
        <v>0</v>
      </c>
      <c r="P1105" s="52" t="n">
        <f aca="false">IF(C1105&lt;&gt;"Purchase",0,L1105-O1105)</f>
        <v>0</v>
      </c>
      <c r="Q1105" s="53" t="n">
        <f aca="false">J1105-B1105</f>
        <v>2</v>
      </c>
      <c r="R1105" s="51" t="str">
        <f aca="false">IF(I1105="N","Invalid / missing TRN",IF(F1105="Blocked input (entertainment)","Blocked input",IF(Q1105&gt;30,"Late posting (&gt;30d)","")))</f>
        <v/>
      </c>
    </row>
    <row r="1106" customFormat="false" ht="15" hidden="false" customHeight="false" outlineLevel="0" collapsed="false">
      <c r="A1106" s="47" t="s">
        <v>1392</v>
      </c>
      <c r="B1106" s="48" t="n">
        <v>45979</v>
      </c>
      <c r="C1106" s="47" t="s">
        <v>166</v>
      </c>
      <c r="D1106" s="47" t="s">
        <v>210</v>
      </c>
      <c r="E1106" s="47" t="s">
        <v>100</v>
      </c>
      <c r="F1106" s="47" t="s">
        <v>268</v>
      </c>
      <c r="G1106" s="49" t="n">
        <v>4030.5</v>
      </c>
      <c r="H1106" s="50" t="n">
        <v>0</v>
      </c>
      <c r="I1106" s="47" t="s">
        <v>162</v>
      </c>
      <c r="J1106" s="48" t="n">
        <v>45979</v>
      </c>
      <c r="K1106" s="51" t="str">
        <f aca="false">"Q"&amp;ROUNDUP(MONTH(B1106)/3,0)</f>
        <v>Q4</v>
      </c>
      <c r="L1106" s="52" t="n">
        <f aca="false">ROUND(G1106*H1106,2)</f>
        <v>0</v>
      </c>
      <c r="M1106" s="52" t="n">
        <f aca="false">IF(AND(C1106="Sales",F1106="Standard-rated 5%"),L1106,0)</f>
        <v>0</v>
      </c>
      <c r="N1106" s="52" t="n">
        <f aca="false">IF(F1106="Reverse charge (imported services)",L1106,0)</f>
        <v>0</v>
      </c>
      <c r="O1106" s="52" t="n">
        <f aca="false">IF(C1106&lt;&gt;"Purchase",0,IF(OR(I1106="N",F1106="Blocked input (entertainment)"),0,L1106))</f>
        <v>0</v>
      </c>
      <c r="P1106" s="52" t="n">
        <f aca="false">IF(C1106&lt;&gt;"Purchase",0,L1106-O1106)</f>
        <v>0</v>
      </c>
      <c r="Q1106" s="53" t="n">
        <f aca="false">J1106-B1106</f>
        <v>0</v>
      </c>
      <c r="R1106" s="51" t="str">
        <f aca="false">IF(I1106="N","Invalid / missing TRN",IF(F1106="Blocked input (entertainment)","Blocked input",IF(Q1106&gt;30,"Late posting (&gt;30d)","")))</f>
        <v/>
      </c>
    </row>
    <row r="1107" customFormat="false" ht="15" hidden="false" customHeight="false" outlineLevel="0" collapsed="false">
      <c r="A1107" s="47" t="s">
        <v>1393</v>
      </c>
      <c r="B1107" s="48" t="n">
        <v>45979</v>
      </c>
      <c r="C1107" s="47" t="s">
        <v>166</v>
      </c>
      <c r="D1107" s="47" t="s">
        <v>218</v>
      </c>
      <c r="E1107" s="47" t="s">
        <v>103</v>
      </c>
      <c r="F1107" s="47" t="s">
        <v>161</v>
      </c>
      <c r="G1107" s="49" t="n">
        <v>12732.16</v>
      </c>
      <c r="H1107" s="50" t="n">
        <v>0.05</v>
      </c>
      <c r="I1107" s="47" t="s">
        <v>162</v>
      </c>
      <c r="J1107" s="48" t="n">
        <v>45979</v>
      </c>
      <c r="K1107" s="51" t="str">
        <f aca="false">"Q"&amp;ROUNDUP(MONTH(B1107)/3,0)</f>
        <v>Q4</v>
      </c>
      <c r="L1107" s="52" t="n">
        <f aca="false">ROUND(G1107*H1107,2)</f>
        <v>636.61</v>
      </c>
      <c r="M1107" s="52" t="n">
        <f aca="false">IF(AND(C1107="Sales",F1107="Standard-rated 5%"),L1107,0)</f>
        <v>0</v>
      </c>
      <c r="N1107" s="52" t="n">
        <f aca="false">IF(F1107="Reverse charge (imported services)",L1107,0)</f>
        <v>0</v>
      </c>
      <c r="O1107" s="52" t="n">
        <f aca="false">IF(C1107&lt;&gt;"Purchase",0,IF(OR(I1107="N",F1107="Blocked input (entertainment)"),0,L1107))</f>
        <v>636.61</v>
      </c>
      <c r="P1107" s="52" t="n">
        <f aca="false">IF(C1107&lt;&gt;"Purchase",0,L1107-O1107)</f>
        <v>0</v>
      </c>
      <c r="Q1107" s="53" t="n">
        <f aca="false">J1107-B1107</f>
        <v>0</v>
      </c>
      <c r="R1107" s="51" t="str">
        <f aca="false">IF(I1107="N","Invalid / missing TRN",IF(F1107="Blocked input (entertainment)","Blocked input",IF(Q1107&gt;30,"Late posting (&gt;30d)","")))</f>
        <v/>
      </c>
    </row>
    <row r="1108" customFormat="false" ht="15" hidden="false" customHeight="false" outlineLevel="0" collapsed="false">
      <c r="A1108" s="47" t="s">
        <v>1394</v>
      </c>
      <c r="B1108" s="48" t="n">
        <v>45979</v>
      </c>
      <c r="C1108" s="47" t="s">
        <v>159</v>
      </c>
      <c r="D1108" s="47" t="s">
        <v>583</v>
      </c>
      <c r="E1108" s="47" t="s">
        <v>102</v>
      </c>
      <c r="F1108" s="47" t="s">
        <v>161</v>
      </c>
      <c r="G1108" s="49" t="n">
        <v>32857.11</v>
      </c>
      <c r="H1108" s="50" t="n">
        <v>0.05</v>
      </c>
      <c r="I1108" s="47" t="s">
        <v>162</v>
      </c>
      <c r="J1108" s="48" t="n">
        <v>45979</v>
      </c>
      <c r="K1108" s="51" t="str">
        <f aca="false">"Q"&amp;ROUNDUP(MONTH(B1108)/3,0)</f>
        <v>Q4</v>
      </c>
      <c r="L1108" s="52" t="n">
        <f aca="false">ROUND(G1108*H1108,2)</f>
        <v>1642.86</v>
      </c>
      <c r="M1108" s="52" t="n">
        <f aca="false">IF(AND(C1108="Sales",F1108="Standard-rated 5%"),L1108,0)</f>
        <v>1642.86</v>
      </c>
      <c r="N1108" s="52" t="n">
        <f aca="false">IF(F1108="Reverse charge (imported services)",L1108,0)</f>
        <v>0</v>
      </c>
      <c r="O1108" s="52" t="n">
        <f aca="false">IF(C1108&lt;&gt;"Purchase",0,IF(OR(I1108="N",F1108="Blocked input (entertainment)"),0,L1108))</f>
        <v>0</v>
      </c>
      <c r="P1108" s="52" t="n">
        <f aca="false">IF(C1108&lt;&gt;"Purchase",0,L1108-O1108)</f>
        <v>0</v>
      </c>
      <c r="Q1108" s="53" t="n">
        <f aca="false">J1108-B1108</f>
        <v>0</v>
      </c>
      <c r="R1108" s="51" t="str">
        <f aca="false">IF(I1108="N","Invalid / missing TRN",IF(F1108="Blocked input (entertainment)","Blocked input",IF(Q1108&gt;30,"Late posting (&gt;30d)","")))</f>
        <v/>
      </c>
    </row>
    <row r="1109" customFormat="false" ht="15" hidden="false" customHeight="false" outlineLevel="0" collapsed="false">
      <c r="A1109" s="47" t="s">
        <v>1395</v>
      </c>
      <c r="B1109" s="48" t="n">
        <v>45979</v>
      </c>
      <c r="C1109" s="47" t="s">
        <v>159</v>
      </c>
      <c r="D1109" s="47" t="s">
        <v>359</v>
      </c>
      <c r="E1109" s="47" t="s">
        <v>100</v>
      </c>
      <c r="F1109" s="47" t="s">
        <v>278</v>
      </c>
      <c r="G1109" s="49" t="n">
        <v>48246.38</v>
      </c>
      <c r="H1109" s="50" t="n">
        <v>0</v>
      </c>
      <c r="I1109" s="47" t="s">
        <v>162</v>
      </c>
      <c r="J1109" s="48" t="n">
        <v>45979</v>
      </c>
      <c r="K1109" s="51" t="str">
        <f aca="false">"Q"&amp;ROUNDUP(MONTH(B1109)/3,0)</f>
        <v>Q4</v>
      </c>
      <c r="L1109" s="52" t="n">
        <f aca="false">ROUND(G1109*H1109,2)</f>
        <v>0</v>
      </c>
      <c r="M1109" s="52" t="n">
        <f aca="false">IF(AND(C1109="Sales",F1109="Standard-rated 5%"),L1109,0)</f>
        <v>0</v>
      </c>
      <c r="N1109" s="52" t="n">
        <f aca="false">IF(F1109="Reverse charge (imported services)",L1109,0)</f>
        <v>0</v>
      </c>
      <c r="O1109" s="52" t="n">
        <f aca="false">IF(C1109&lt;&gt;"Purchase",0,IF(OR(I1109="N",F1109="Blocked input (entertainment)"),0,L1109))</f>
        <v>0</v>
      </c>
      <c r="P1109" s="52" t="n">
        <f aca="false">IF(C1109&lt;&gt;"Purchase",0,L1109-O1109)</f>
        <v>0</v>
      </c>
      <c r="Q1109" s="53" t="n">
        <f aca="false">J1109-B1109</f>
        <v>0</v>
      </c>
      <c r="R1109" s="51" t="str">
        <f aca="false">IF(I1109="N","Invalid / missing TRN",IF(F1109="Blocked input (entertainment)","Blocked input",IF(Q1109&gt;30,"Late posting (&gt;30d)","")))</f>
        <v/>
      </c>
    </row>
    <row r="1110" customFormat="false" ht="15" hidden="false" customHeight="false" outlineLevel="0" collapsed="false">
      <c r="A1110" s="47" t="s">
        <v>1396</v>
      </c>
      <c r="B1110" s="48" t="n">
        <v>45980</v>
      </c>
      <c r="C1110" s="47" t="s">
        <v>166</v>
      </c>
      <c r="D1110" s="47" t="s">
        <v>208</v>
      </c>
      <c r="E1110" s="47" t="s">
        <v>102</v>
      </c>
      <c r="F1110" s="47" t="s">
        <v>161</v>
      </c>
      <c r="G1110" s="49" t="n">
        <v>58359.49</v>
      </c>
      <c r="H1110" s="50" t="n">
        <v>0.05</v>
      </c>
      <c r="I1110" s="47" t="s">
        <v>162</v>
      </c>
      <c r="J1110" s="48" t="n">
        <v>45980</v>
      </c>
      <c r="K1110" s="51" t="str">
        <f aca="false">"Q"&amp;ROUNDUP(MONTH(B1110)/3,0)</f>
        <v>Q4</v>
      </c>
      <c r="L1110" s="52" t="n">
        <f aca="false">ROUND(G1110*H1110,2)</f>
        <v>2917.97</v>
      </c>
      <c r="M1110" s="52" t="n">
        <f aca="false">IF(AND(C1110="Sales",F1110="Standard-rated 5%"),L1110,0)</f>
        <v>0</v>
      </c>
      <c r="N1110" s="52" t="n">
        <f aca="false">IF(F1110="Reverse charge (imported services)",L1110,0)</f>
        <v>0</v>
      </c>
      <c r="O1110" s="52" t="n">
        <f aca="false">IF(C1110&lt;&gt;"Purchase",0,IF(OR(I1110="N",F1110="Blocked input (entertainment)"),0,L1110))</f>
        <v>2917.97</v>
      </c>
      <c r="P1110" s="52" t="n">
        <f aca="false">IF(C1110&lt;&gt;"Purchase",0,L1110-O1110)</f>
        <v>0</v>
      </c>
      <c r="Q1110" s="53" t="n">
        <f aca="false">J1110-B1110</f>
        <v>0</v>
      </c>
      <c r="R1110" s="51" t="str">
        <f aca="false">IF(I1110="N","Invalid / missing TRN",IF(F1110="Blocked input (entertainment)","Blocked input",IF(Q1110&gt;30,"Late posting (&gt;30d)","")))</f>
        <v/>
      </c>
    </row>
    <row r="1111" customFormat="false" ht="15" hidden="false" customHeight="false" outlineLevel="0" collapsed="false">
      <c r="A1111" s="47" t="s">
        <v>1397</v>
      </c>
      <c r="B1111" s="48" t="n">
        <v>45980</v>
      </c>
      <c r="C1111" s="47" t="s">
        <v>166</v>
      </c>
      <c r="D1111" s="47" t="s">
        <v>411</v>
      </c>
      <c r="E1111" s="47" t="s">
        <v>104</v>
      </c>
      <c r="F1111" s="47" t="s">
        <v>161</v>
      </c>
      <c r="G1111" s="49" t="n">
        <v>13368.11</v>
      </c>
      <c r="H1111" s="50" t="n">
        <v>0.05</v>
      </c>
      <c r="I1111" s="47" t="s">
        <v>162</v>
      </c>
      <c r="J1111" s="48" t="n">
        <v>45985</v>
      </c>
      <c r="K1111" s="51" t="str">
        <f aca="false">"Q"&amp;ROUNDUP(MONTH(B1111)/3,0)</f>
        <v>Q4</v>
      </c>
      <c r="L1111" s="52" t="n">
        <f aca="false">ROUND(G1111*H1111,2)</f>
        <v>668.41</v>
      </c>
      <c r="M1111" s="52" t="n">
        <f aca="false">IF(AND(C1111="Sales",F1111="Standard-rated 5%"),L1111,0)</f>
        <v>0</v>
      </c>
      <c r="N1111" s="52" t="n">
        <f aca="false">IF(F1111="Reverse charge (imported services)",L1111,0)</f>
        <v>0</v>
      </c>
      <c r="O1111" s="52" t="n">
        <f aca="false">IF(C1111&lt;&gt;"Purchase",0,IF(OR(I1111="N",F1111="Blocked input (entertainment)"),0,L1111))</f>
        <v>668.41</v>
      </c>
      <c r="P1111" s="52" t="n">
        <f aca="false">IF(C1111&lt;&gt;"Purchase",0,L1111-O1111)</f>
        <v>0</v>
      </c>
      <c r="Q1111" s="53" t="n">
        <f aca="false">J1111-B1111</f>
        <v>5</v>
      </c>
      <c r="R1111" s="51" t="str">
        <f aca="false">IF(I1111="N","Invalid / missing TRN",IF(F1111="Blocked input (entertainment)","Blocked input",IF(Q1111&gt;30,"Late posting (&gt;30d)","")))</f>
        <v/>
      </c>
    </row>
    <row r="1112" customFormat="false" ht="15" hidden="false" customHeight="false" outlineLevel="0" collapsed="false">
      <c r="A1112" s="47" t="s">
        <v>1398</v>
      </c>
      <c r="B1112" s="48" t="n">
        <v>45980</v>
      </c>
      <c r="C1112" s="47" t="s">
        <v>159</v>
      </c>
      <c r="D1112" s="47" t="s">
        <v>373</v>
      </c>
      <c r="E1112" s="47" t="s">
        <v>102</v>
      </c>
      <c r="F1112" s="47" t="s">
        <v>161</v>
      </c>
      <c r="G1112" s="49" t="n">
        <v>80289.1</v>
      </c>
      <c r="H1112" s="50" t="n">
        <v>0.05</v>
      </c>
      <c r="I1112" s="47" t="s">
        <v>162</v>
      </c>
      <c r="J1112" s="48" t="n">
        <v>45980</v>
      </c>
      <c r="K1112" s="51" t="str">
        <f aca="false">"Q"&amp;ROUNDUP(MONTH(B1112)/3,0)</f>
        <v>Q4</v>
      </c>
      <c r="L1112" s="52" t="n">
        <f aca="false">ROUND(G1112*H1112,2)</f>
        <v>4014.46</v>
      </c>
      <c r="M1112" s="52" t="n">
        <f aca="false">IF(AND(C1112="Sales",F1112="Standard-rated 5%"),L1112,0)</f>
        <v>4014.46</v>
      </c>
      <c r="N1112" s="52" t="n">
        <f aca="false">IF(F1112="Reverse charge (imported services)",L1112,0)</f>
        <v>0</v>
      </c>
      <c r="O1112" s="52" t="n">
        <f aca="false">IF(C1112&lt;&gt;"Purchase",0,IF(OR(I1112="N",F1112="Blocked input (entertainment)"),0,L1112))</f>
        <v>0</v>
      </c>
      <c r="P1112" s="52" t="n">
        <f aca="false">IF(C1112&lt;&gt;"Purchase",0,L1112-O1112)</f>
        <v>0</v>
      </c>
      <c r="Q1112" s="53" t="n">
        <f aca="false">J1112-B1112</f>
        <v>0</v>
      </c>
      <c r="R1112" s="51" t="str">
        <f aca="false">IF(I1112="N","Invalid / missing TRN",IF(F1112="Blocked input (entertainment)","Blocked input",IF(Q1112&gt;30,"Late posting (&gt;30d)","")))</f>
        <v/>
      </c>
    </row>
    <row r="1113" customFormat="false" ht="15" hidden="false" customHeight="false" outlineLevel="0" collapsed="false">
      <c r="A1113" s="47" t="s">
        <v>1399</v>
      </c>
      <c r="B1113" s="48" t="n">
        <v>45981</v>
      </c>
      <c r="C1113" s="47" t="s">
        <v>166</v>
      </c>
      <c r="D1113" s="47" t="s">
        <v>267</v>
      </c>
      <c r="E1113" s="47" t="s">
        <v>100</v>
      </c>
      <c r="F1113" s="47" t="s">
        <v>161</v>
      </c>
      <c r="G1113" s="49" t="n">
        <v>22297.98</v>
      </c>
      <c r="H1113" s="50" t="n">
        <v>0.05</v>
      </c>
      <c r="I1113" s="47" t="s">
        <v>162</v>
      </c>
      <c r="J1113" s="48" t="n">
        <v>45983</v>
      </c>
      <c r="K1113" s="51" t="str">
        <f aca="false">"Q"&amp;ROUNDUP(MONTH(B1113)/3,0)</f>
        <v>Q4</v>
      </c>
      <c r="L1113" s="52" t="n">
        <f aca="false">ROUND(G1113*H1113,2)</f>
        <v>1114.9</v>
      </c>
      <c r="M1113" s="52" t="n">
        <f aca="false">IF(AND(C1113="Sales",F1113="Standard-rated 5%"),L1113,0)</f>
        <v>0</v>
      </c>
      <c r="N1113" s="52" t="n">
        <f aca="false">IF(F1113="Reverse charge (imported services)",L1113,0)</f>
        <v>0</v>
      </c>
      <c r="O1113" s="52" t="n">
        <f aca="false">IF(C1113&lt;&gt;"Purchase",0,IF(OR(I1113="N",F1113="Blocked input (entertainment)"),0,L1113))</f>
        <v>1114.9</v>
      </c>
      <c r="P1113" s="52" t="n">
        <f aca="false">IF(C1113&lt;&gt;"Purchase",0,L1113-O1113)</f>
        <v>0</v>
      </c>
      <c r="Q1113" s="53" t="n">
        <f aca="false">J1113-B1113</f>
        <v>2</v>
      </c>
      <c r="R1113" s="51" t="str">
        <f aca="false">IF(I1113="N","Invalid / missing TRN",IF(F1113="Blocked input (entertainment)","Blocked input",IF(Q1113&gt;30,"Late posting (&gt;30d)","")))</f>
        <v/>
      </c>
    </row>
    <row r="1114" customFormat="false" ht="15" hidden="false" customHeight="false" outlineLevel="0" collapsed="false">
      <c r="A1114" s="47" t="s">
        <v>1400</v>
      </c>
      <c r="B1114" s="48" t="n">
        <v>45981</v>
      </c>
      <c r="C1114" s="47" t="s">
        <v>166</v>
      </c>
      <c r="D1114" s="47" t="s">
        <v>251</v>
      </c>
      <c r="E1114" s="47" t="s">
        <v>100</v>
      </c>
      <c r="F1114" s="47" t="s">
        <v>161</v>
      </c>
      <c r="G1114" s="49" t="n">
        <v>13911.04</v>
      </c>
      <c r="H1114" s="50" t="n">
        <v>0.05</v>
      </c>
      <c r="I1114" s="47" t="s">
        <v>162</v>
      </c>
      <c r="J1114" s="48" t="n">
        <v>45981</v>
      </c>
      <c r="K1114" s="51" t="str">
        <f aca="false">"Q"&amp;ROUNDUP(MONTH(B1114)/3,0)</f>
        <v>Q4</v>
      </c>
      <c r="L1114" s="52" t="n">
        <f aca="false">ROUND(G1114*H1114,2)</f>
        <v>695.55</v>
      </c>
      <c r="M1114" s="52" t="n">
        <f aca="false">IF(AND(C1114="Sales",F1114="Standard-rated 5%"),L1114,0)</f>
        <v>0</v>
      </c>
      <c r="N1114" s="52" t="n">
        <f aca="false">IF(F1114="Reverse charge (imported services)",L1114,0)</f>
        <v>0</v>
      </c>
      <c r="O1114" s="52" t="n">
        <f aca="false">IF(C1114&lt;&gt;"Purchase",0,IF(OR(I1114="N",F1114="Blocked input (entertainment)"),0,L1114))</f>
        <v>695.55</v>
      </c>
      <c r="P1114" s="52" t="n">
        <f aca="false">IF(C1114&lt;&gt;"Purchase",0,L1114-O1114)</f>
        <v>0</v>
      </c>
      <c r="Q1114" s="53" t="n">
        <f aca="false">J1114-B1114</f>
        <v>0</v>
      </c>
      <c r="R1114" s="51" t="str">
        <f aca="false">IF(I1114="N","Invalid / missing TRN",IF(F1114="Blocked input (entertainment)","Blocked input",IF(Q1114&gt;30,"Late posting (&gt;30d)","")))</f>
        <v/>
      </c>
    </row>
    <row r="1115" customFormat="false" ht="15" hidden="false" customHeight="false" outlineLevel="0" collapsed="false">
      <c r="A1115" s="47" t="s">
        <v>1401</v>
      </c>
      <c r="B1115" s="48" t="n">
        <v>45982</v>
      </c>
      <c r="C1115" s="47" t="s">
        <v>166</v>
      </c>
      <c r="D1115" s="47" t="s">
        <v>528</v>
      </c>
      <c r="E1115" s="47" t="s">
        <v>101</v>
      </c>
      <c r="F1115" s="47" t="s">
        <v>161</v>
      </c>
      <c r="G1115" s="49" t="n">
        <v>4019</v>
      </c>
      <c r="H1115" s="50" t="n">
        <v>0.05</v>
      </c>
      <c r="I1115" s="47" t="s">
        <v>162</v>
      </c>
      <c r="J1115" s="48" t="n">
        <v>45982</v>
      </c>
      <c r="K1115" s="51" t="str">
        <f aca="false">"Q"&amp;ROUNDUP(MONTH(B1115)/3,0)</f>
        <v>Q4</v>
      </c>
      <c r="L1115" s="52" t="n">
        <f aca="false">ROUND(G1115*H1115,2)</f>
        <v>200.95</v>
      </c>
      <c r="M1115" s="52" t="n">
        <f aca="false">IF(AND(C1115="Sales",F1115="Standard-rated 5%"),L1115,0)</f>
        <v>0</v>
      </c>
      <c r="N1115" s="52" t="n">
        <f aca="false">IF(F1115="Reverse charge (imported services)",L1115,0)</f>
        <v>0</v>
      </c>
      <c r="O1115" s="52" t="n">
        <f aca="false">IF(C1115&lt;&gt;"Purchase",0,IF(OR(I1115="N",F1115="Blocked input (entertainment)"),0,L1115))</f>
        <v>200.95</v>
      </c>
      <c r="P1115" s="52" t="n">
        <f aca="false">IF(C1115&lt;&gt;"Purchase",0,L1115-O1115)</f>
        <v>0</v>
      </c>
      <c r="Q1115" s="53" t="n">
        <f aca="false">J1115-B1115</f>
        <v>0</v>
      </c>
      <c r="R1115" s="51" t="str">
        <f aca="false">IF(I1115="N","Invalid / missing TRN",IF(F1115="Blocked input (entertainment)","Blocked input",IF(Q1115&gt;30,"Late posting (&gt;30d)","")))</f>
        <v/>
      </c>
    </row>
    <row r="1116" customFormat="false" ht="15" hidden="false" customHeight="false" outlineLevel="0" collapsed="false">
      <c r="A1116" s="47" t="s">
        <v>1402</v>
      </c>
      <c r="B1116" s="48" t="n">
        <v>45982</v>
      </c>
      <c r="C1116" s="47" t="s">
        <v>166</v>
      </c>
      <c r="D1116" s="47" t="s">
        <v>458</v>
      </c>
      <c r="E1116" s="47" t="s">
        <v>100</v>
      </c>
      <c r="F1116" s="47" t="s">
        <v>161</v>
      </c>
      <c r="G1116" s="49" t="n">
        <v>125825.83</v>
      </c>
      <c r="H1116" s="50" t="n">
        <v>0.05</v>
      </c>
      <c r="I1116" s="47" t="s">
        <v>162</v>
      </c>
      <c r="J1116" s="48" t="n">
        <v>45982</v>
      </c>
      <c r="K1116" s="51" t="str">
        <f aca="false">"Q"&amp;ROUNDUP(MONTH(B1116)/3,0)</f>
        <v>Q4</v>
      </c>
      <c r="L1116" s="52" t="n">
        <f aca="false">ROUND(G1116*H1116,2)</f>
        <v>6291.29</v>
      </c>
      <c r="M1116" s="52" t="n">
        <f aca="false">IF(AND(C1116="Sales",F1116="Standard-rated 5%"),L1116,0)</f>
        <v>0</v>
      </c>
      <c r="N1116" s="52" t="n">
        <f aca="false">IF(F1116="Reverse charge (imported services)",L1116,0)</f>
        <v>0</v>
      </c>
      <c r="O1116" s="52" t="n">
        <f aca="false">IF(C1116&lt;&gt;"Purchase",0,IF(OR(I1116="N",F1116="Blocked input (entertainment)"),0,L1116))</f>
        <v>6291.29</v>
      </c>
      <c r="P1116" s="52" t="n">
        <f aca="false">IF(C1116&lt;&gt;"Purchase",0,L1116-O1116)</f>
        <v>0</v>
      </c>
      <c r="Q1116" s="53" t="n">
        <f aca="false">J1116-B1116</f>
        <v>0</v>
      </c>
      <c r="R1116" s="51" t="str">
        <f aca="false">IF(I1116="N","Invalid / missing TRN",IF(F1116="Blocked input (entertainment)","Blocked input",IF(Q1116&gt;30,"Late posting (&gt;30d)","")))</f>
        <v/>
      </c>
    </row>
    <row r="1117" customFormat="false" ht="15" hidden="false" customHeight="false" outlineLevel="0" collapsed="false">
      <c r="A1117" s="47" t="s">
        <v>1403</v>
      </c>
      <c r="B1117" s="48" t="n">
        <v>45982</v>
      </c>
      <c r="C1117" s="47" t="s">
        <v>166</v>
      </c>
      <c r="D1117" s="47" t="s">
        <v>184</v>
      </c>
      <c r="E1117" s="47" t="s">
        <v>100</v>
      </c>
      <c r="F1117" s="47" t="s">
        <v>268</v>
      </c>
      <c r="G1117" s="49" t="n">
        <v>13772.3</v>
      </c>
      <c r="H1117" s="50" t="n">
        <v>0</v>
      </c>
      <c r="I1117" s="47" t="s">
        <v>162</v>
      </c>
      <c r="J1117" s="48" t="n">
        <v>45982</v>
      </c>
      <c r="K1117" s="51" t="str">
        <f aca="false">"Q"&amp;ROUNDUP(MONTH(B1117)/3,0)</f>
        <v>Q4</v>
      </c>
      <c r="L1117" s="52" t="n">
        <f aca="false">ROUND(G1117*H1117,2)</f>
        <v>0</v>
      </c>
      <c r="M1117" s="52" t="n">
        <f aca="false">IF(AND(C1117="Sales",F1117="Standard-rated 5%"),L1117,0)</f>
        <v>0</v>
      </c>
      <c r="N1117" s="52" t="n">
        <f aca="false">IF(F1117="Reverse charge (imported services)",L1117,0)</f>
        <v>0</v>
      </c>
      <c r="O1117" s="52" t="n">
        <f aca="false">IF(C1117&lt;&gt;"Purchase",0,IF(OR(I1117="N",F1117="Blocked input (entertainment)"),0,L1117))</f>
        <v>0</v>
      </c>
      <c r="P1117" s="52" t="n">
        <f aca="false">IF(C1117&lt;&gt;"Purchase",0,L1117-O1117)</f>
        <v>0</v>
      </c>
      <c r="Q1117" s="53" t="n">
        <f aca="false">J1117-B1117</f>
        <v>0</v>
      </c>
      <c r="R1117" s="51" t="str">
        <f aca="false">IF(I1117="N","Invalid / missing TRN",IF(F1117="Blocked input (entertainment)","Blocked input",IF(Q1117&gt;30,"Late posting (&gt;30d)","")))</f>
        <v/>
      </c>
    </row>
    <row r="1118" customFormat="false" ht="15" hidden="false" customHeight="false" outlineLevel="0" collapsed="false">
      <c r="A1118" s="47" t="s">
        <v>1404</v>
      </c>
      <c r="B1118" s="48" t="n">
        <v>45982</v>
      </c>
      <c r="C1118" s="47" t="s">
        <v>159</v>
      </c>
      <c r="D1118" s="47" t="s">
        <v>177</v>
      </c>
      <c r="E1118" s="47" t="s">
        <v>100</v>
      </c>
      <c r="F1118" s="47" t="s">
        <v>161</v>
      </c>
      <c r="G1118" s="49" t="n">
        <v>50737.36</v>
      </c>
      <c r="H1118" s="50" t="n">
        <v>0.05</v>
      </c>
      <c r="I1118" s="47" t="s">
        <v>162</v>
      </c>
      <c r="J1118" s="48" t="n">
        <v>45982</v>
      </c>
      <c r="K1118" s="51" t="str">
        <f aca="false">"Q"&amp;ROUNDUP(MONTH(B1118)/3,0)</f>
        <v>Q4</v>
      </c>
      <c r="L1118" s="52" t="n">
        <f aca="false">ROUND(G1118*H1118,2)</f>
        <v>2536.87</v>
      </c>
      <c r="M1118" s="52" t="n">
        <f aca="false">IF(AND(C1118="Sales",F1118="Standard-rated 5%"),L1118,0)</f>
        <v>2536.87</v>
      </c>
      <c r="N1118" s="52" t="n">
        <f aca="false">IF(F1118="Reverse charge (imported services)",L1118,0)</f>
        <v>0</v>
      </c>
      <c r="O1118" s="52" t="n">
        <f aca="false">IF(C1118&lt;&gt;"Purchase",0,IF(OR(I1118="N",F1118="Blocked input (entertainment)"),0,L1118))</f>
        <v>0</v>
      </c>
      <c r="P1118" s="52" t="n">
        <f aca="false">IF(C1118&lt;&gt;"Purchase",0,L1118-O1118)</f>
        <v>0</v>
      </c>
      <c r="Q1118" s="53" t="n">
        <f aca="false">J1118-B1118</f>
        <v>0</v>
      </c>
      <c r="R1118" s="51" t="str">
        <f aca="false">IF(I1118="N","Invalid / missing TRN",IF(F1118="Blocked input (entertainment)","Blocked input",IF(Q1118&gt;30,"Late posting (&gt;30d)","")))</f>
        <v/>
      </c>
    </row>
    <row r="1119" customFormat="false" ht="15" hidden="false" customHeight="false" outlineLevel="0" collapsed="false">
      <c r="A1119" s="47" t="s">
        <v>1405</v>
      </c>
      <c r="B1119" s="48" t="n">
        <v>45983</v>
      </c>
      <c r="C1119" s="47" t="s">
        <v>166</v>
      </c>
      <c r="D1119" s="47" t="s">
        <v>324</v>
      </c>
      <c r="E1119" s="47" t="s">
        <v>101</v>
      </c>
      <c r="F1119" s="47" t="s">
        <v>161</v>
      </c>
      <c r="G1119" s="49" t="n">
        <v>25401.82</v>
      </c>
      <c r="H1119" s="50" t="n">
        <v>0.05</v>
      </c>
      <c r="I1119" s="47" t="s">
        <v>162</v>
      </c>
      <c r="J1119" s="48" t="n">
        <v>45988</v>
      </c>
      <c r="K1119" s="51" t="str">
        <f aca="false">"Q"&amp;ROUNDUP(MONTH(B1119)/3,0)</f>
        <v>Q4</v>
      </c>
      <c r="L1119" s="52" t="n">
        <f aca="false">ROUND(G1119*H1119,2)</f>
        <v>1270.09</v>
      </c>
      <c r="M1119" s="52" t="n">
        <f aca="false">IF(AND(C1119="Sales",F1119="Standard-rated 5%"),L1119,0)</f>
        <v>0</v>
      </c>
      <c r="N1119" s="52" t="n">
        <f aca="false">IF(F1119="Reverse charge (imported services)",L1119,0)</f>
        <v>0</v>
      </c>
      <c r="O1119" s="52" t="n">
        <f aca="false">IF(C1119&lt;&gt;"Purchase",0,IF(OR(I1119="N",F1119="Blocked input (entertainment)"),0,L1119))</f>
        <v>1270.09</v>
      </c>
      <c r="P1119" s="52" t="n">
        <f aca="false">IF(C1119&lt;&gt;"Purchase",0,L1119-O1119)</f>
        <v>0</v>
      </c>
      <c r="Q1119" s="53" t="n">
        <f aca="false">J1119-B1119</f>
        <v>5</v>
      </c>
      <c r="R1119" s="51" t="str">
        <f aca="false">IF(I1119="N","Invalid / missing TRN",IF(F1119="Blocked input (entertainment)","Blocked input",IF(Q1119&gt;30,"Late posting (&gt;30d)","")))</f>
        <v/>
      </c>
    </row>
    <row r="1120" customFormat="false" ht="15" hidden="false" customHeight="false" outlineLevel="0" collapsed="false">
      <c r="A1120" s="47" t="s">
        <v>1406</v>
      </c>
      <c r="B1120" s="48" t="n">
        <v>45983</v>
      </c>
      <c r="C1120" s="47" t="s">
        <v>166</v>
      </c>
      <c r="D1120" s="47" t="s">
        <v>555</v>
      </c>
      <c r="E1120" s="47" t="s">
        <v>101</v>
      </c>
      <c r="F1120" s="47" t="s">
        <v>161</v>
      </c>
      <c r="G1120" s="49" t="n">
        <v>17728.7</v>
      </c>
      <c r="H1120" s="50" t="n">
        <v>0.05</v>
      </c>
      <c r="I1120" s="47" t="s">
        <v>162</v>
      </c>
      <c r="J1120" s="48" t="n">
        <v>45983</v>
      </c>
      <c r="K1120" s="51" t="str">
        <f aca="false">"Q"&amp;ROUNDUP(MONTH(B1120)/3,0)</f>
        <v>Q4</v>
      </c>
      <c r="L1120" s="52" t="n">
        <f aca="false">ROUND(G1120*H1120,2)</f>
        <v>886.44</v>
      </c>
      <c r="M1120" s="52" t="n">
        <f aca="false">IF(AND(C1120="Sales",F1120="Standard-rated 5%"),L1120,0)</f>
        <v>0</v>
      </c>
      <c r="N1120" s="52" t="n">
        <f aca="false">IF(F1120="Reverse charge (imported services)",L1120,0)</f>
        <v>0</v>
      </c>
      <c r="O1120" s="52" t="n">
        <f aca="false">IF(C1120&lt;&gt;"Purchase",0,IF(OR(I1120="N",F1120="Blocked input (entertainment)"),0,L1120))</f>
        <v>886.44</v>
      </c>
      <c r="P1120" s="52" t="n">
        <f aca="false">IF(C1120&lt;&gt;"Purchase",0,L1120-O1120)</f>
        <v>0</v>
      </c>
      <c r="Q1120" s="53" t="n">
        <f aca="false">J1120-B1120</f>
        <v>0</v>
      </c>
      <c r="R1120" s="51" t="str">
        <f aca="false">IF(I1120="N","Invalid / missing TRN",IF(F1120="Blocked input (entertainment)","Blocked input",IF(Q1120&gt;30,"Late posting (&gt;30d)","")))</f>
        <v/>
      </c>
    </row>
    <row r="1121" customFormat="false" ht="15" hidden="false" customHeight="false" outlineLevel="0" collapsed="false">
      <c r="A1121" s="47" t="s">
        <v>1407</v>
      </c>
      <c r="B1121" s="48" t="n">
        <v>45983</v>
      </c>
      <c r="C1121" s="47" t="s">
        <v>166</v>
      </c>
      <c r="D1121" s="47" t="s">
        <v>201</v>
      </c>
      <c r="E1121" s="47" t="s">
        <v>102</v>
      </c>
      <c r="F1121" s="47" t="s">
        <v>268</v>
      </c>
      <c r="G1121" s="49" t="n">
        <v>13366.69</v>
      </c>
      <c r="H1121" s="50" t="n">
        <v>0</v>
      </c>
      <c r="I1121" s="47" t="s">
        <v>162</v>
      </c>
      <c r="J1121" s="48" t="n">
        <v>45983</v>
      </c>
      <c r="K1121" s="51" t="str">
        <f aca="false">"Q"&amp;ROUNDUP(MONTH(B1121)/3,0)</f>
        <v>Q4</v>
      </c>
      <c r="L1121" s="52" t="n">
        <f aca="false">ROUND(G1121*H1121,2)</f>
        <v>0</v>
      </c>
      <c r="M1121" s="52" t="n">
        <f aca="false">IF(AND(C1121="Sales",F1121="Standard-rated 5%"),L1121,0)</f>
        <v>0</v>
      </c>
      <c r="N1121" s="52" t="n">
        <f aca="false">IF(F1121="Reverse charge (imported services)",L1121,0)</f>
        <v>0</v>
      </c>
      <c r="O1121" s="52" t="n">
        <f aca="false">IF(C1121&lt;&gt;"Purchase",0,IF(OR(I1121="N",F1121="Blocked input (entertainment)"),0,L1121))</f>
        <v>0</v>
      </c>
      <c r="P1121" s="52" t="n">
        <f aca="false">IF(C1121&lt;&gt;"Purchase",0,L1121-O1121)</f>
        <v>0</v>
      </c>
      <c r="Q1121" s="53" t="n">
        <f aca="false">J1121-B1121</f>
        <v>0</v>
      </c>
      <c r="R1121" s="51" t="str">
        <f aca="false">IF(I1121="N","Invalid / missing TRN",IF(F1121="Blocked input (entertainment)","Blocked input",IF(Q1121&gt;30,"Late posting (&gt;30d)","")))</f>
        <v/>
      </c>
    </row>
    <row r="1122" customFormat="false" ht="15" hidden="false" customHeight="false" outlineLevel="0" collapsed="false">
      <c r="A1122" s="47" t="s">
        <v>1408</v>
      </c>
      <c r="B1122" s="48" t="n">
        <v>45983</v>
      </c>
      <c r="C1122" s="47" t="s">
        <v>166</v>
      </c>
      <c r="D1122" s="47" t="s">
        <v>324</v>
      </c>
      <c r="E1122" s="47" t="s">
        <v>100</v>
      </c>
      <c r="F1122" s="47" t="s">
        <v>161</v>
      </c>
      <c r="G1122" s="49" t="n">
        <v>6993.9</v>
      </c>
      <c r="H1122" s="50" t="n">
        <v>0.05</v>
      </c>
      <c r="I1122" s="47" t="s">
        <v>162</v>
      </c>
      <c r="J1122" s="48" t="n">
        <v>45983</v>
      </c>
      <c r="K1122" s="51" t="str">
        <f aca="false">"Q"&amp;ROUNDUP(MONTH(B1122)/3,0)</f>
        <v>Q4</v>
      </c>
      <c r="L1122" s="52" t="n">
        <f aca="false">ROUND(G1122*H1122,2)</f>
        <v>349.7</v>
      </c>
      <c r="M1122" s="52" t="n">
        <f aca="false">IF(AND(C1122="Sales",F1122="Standard-rated 5%"),L1122,0)</f>
        <v>0</v>
      </c>
      <c r="N1122" s="52" t="n">
        <f aca="false">IF(F1122="Reverse charge (imported services)",L1122,0)</f>
        <v>0</v>
      </c>
      <c r="O1122" s="52" t="n">
        <f aca="false">IF(C1122&lt;&gt;"Purchase",0,IF(OR(I1122="N",F1122="Blocked input (entertainment)"),0,L1122))</f>
        <v>349.7</v>
      </c>
      <c r="P1122" s="52" t="n">
        <f aca="false">IF(C1122&lt;&gt;"Purchase",0,L1122-O1122)</f>
        <v>0</v>
      </c>
      <c r="Q1122" s="53" t="n">
        <f aca="false">J1122-B1122</f>
        <v>0</v>
      </c>
      <c r="R1122" s="51" t="str">
        <f aca="false">IF(I1122="N","Invalid / missing TRN",IF(F1122="Blocked input (entertainment)","Blocked input",IF(Q1122&gt;30,"Late posting (&gt;30d)","")))</f>
        <v/>
      </c>
    </row>
    <row r="1123" customFormat="false" ht="15" hidden="false" customHeight="false" outlineLevel="0" collapsed="false">
      <c r="A1123" s="47" t="s">
        <v>1409</v>
      </c>
      <c r="B1123" s="48" t="n">
        <v>45983</v>
      </c>
      <c r="C1123" s="47" t="s">
        <v>159</v>
      </c>
      <c r="D1123" s="47" t="s">
        <v>239</v>
      </c>
      <c r="E1123" s="47" t="s">
        <v>100</v>
      </c>
      <c r="F1123" s="47" t="s">
        <v>161</v>
      </c>
      <c r="G1123" s="49" t="n">
        <v>23431.89</v>
      </c>
      <c r="H1123" s="50" t="n">
        <v>0.05</v>
      </c>
      <c r="I1123" s="47" t="s">
        <v>162</v>
      </c>
      <c r="J1123" s="48" t="n">
        <v>45983</v>
      </c>
      <c r="K1123" s="51" t="str">
        <f aca="false">"Q"&amp;ROUNDUP(MONTH(B1123)/3,0)</f>
        <v>Q4</v>
      </c>
      <c r="L1123" s="52" t="n">
        <f aca="false">ROUND(G1123*H1123,2)</f>
        <v>1171.59</v>
      </c>
      <c r="M1123" s="52" t="n">
        <f aca="false">IF(AND(C1123="Sales",F1123="Standard-rated 5%"),L1123,0)</f>
        <v>1171.59</v>
      </c>
      <c r="N1123" s="52" t="n">
        <f aca="false">IF(F1123="Reverse charge (imported services)",L1123,0)</f>
        <v>0</v>
      </c>
      <c r="O1123" s="52" t="n">
        <f aca="false">IF(C1123&lt;&gt;"Purchase",0,IF(OR(I1123="N",F1123="Blocked input (entertainment)"),0,L1123))</f>
        <v>0</v>
      </c>
      <c r="P1123" s="52" t="n">
        <f aca="false">IF(C1123&lt;&gt;"Purchase",0,L1123-O1123)</f>
        <v>0</v>
      </c>
      <c r="Q1123" s="53" t="n">
        <f aca="false">J1123-B1123</f>
        <v>0</v>
      </c>
      <c r="R1123" s="51" t="str">
        <f aca="false">IF(I1123="N","Invalid / missing TRN",IF(F1123="Blocked input (entertainment)","Blocked input",IF(Q1123&gt;30,"Late posting (&gt;30d)","")))</f>
        <v/>
      </c>
    </row>
    <row r="1124" customFormat="false" ht="15" hidden="false" customHeight="false" outlineLevel="0" collapsed="false">
      <c r="A1124" s="47" t="s">
        <v>1410</v>
      </c>
      <c r="B1124" s="48" t="n">
        <v>45984</v>
      </c>
      <c r="C1124" s="47" t="s">
        <v>166</v>
      </c>
      <c r="D1124" s="47" t="s">
        <v>514</v>
      </c>
      <c r="E1124" s="47" t="s">
        <v>104</v>
      </c>
      <c r="F1124" s="47" t="s">
        <v>161</v>
      </c>
      <c r="G1124" s="49" t="n">
        <v>25062.91</v>
      </c>
      <c r="H1124" s="50" t="n">
        <v>0.05</v>
      </c>
      <c r="I1124" s="47" t="s">
        <v>162</v>
      </c>
      <c r="J1124" s="48" t="n">
        <v>45984</v>
      </c>
      <c r="K1124" s="51" t="str">
        <f aca="false">"Q"&amp;ROUNDUP(MONTH(B1124)/3,0)</f>
        <v>Q4</v>
      </c>
      <c r="L1124" s="52" t="n">
        <f aca="false">ROUND(G1124*H1124,2)</f>
        <v>1253.15</v>
      </c>
      <c r="M1124" s="52" t="n">
        <f aca="false">IF(AND(C1124="Sales",F1124="Standard-rated 5%"),L1124,0)</f>
        <v>0</v>
      </c>
      <c r="N1124" s="52" t="n">
        <f aca="false">IF(F1124="Reverse charge (imported services)",L1124,0)</f>
        <v>0</v>
      </c>
      <c r="O1124" s="52" t="n">
        <f aca="false">IF(C1124&lt;&gt;"Purchase",0,IF(OR(I1124="N",F1124="Blocked input (entertainment)"),0,L1124))</f>
        <v>1253.15</v>
      </c>
      <c r="P1124" s="52" t="n">
        <f aca="false">IF(C1124&lt;&gt;"Purchase",0,L1124-O1124)</f>
        <v>0</v>
      </c>
      <c r="Q1124" s="53" t="n">
        <f aca="false">J1124-B1124</f>
        <v>0</v>
      </c>
      <c r="R1124" s="51" t="str">
        <f aca="false">IF(I1124="N","Invalid / missing TRN",IF(F1124="Blocked input (entertainment)","Blocked input",IF(Q1124&gt;30,"Late posting (&gt;30d)","")))</f>
        <v/>
      </c>
    </row>
    <row r="1125" customFormat="false" ht="15" hidden="false" customHeight="false" outlineLevel="0" collapsed="false">
      <c r="A1125" s="47" t="s">
        <v>1411</v>
      </c>
      <c r="B1125" s="48" t="n">
        <v>45984</v>
      </c>
      <c r="C1125" s="47" t="s">
        <v>166</v>
      </c>
      <c r="D1125" s="47" t="s">
        <v>514</v>
      </c>
      <c r="E1125" s="47" t="s">
        <v>100</v>
      </c>
      <c r="F1125" s="47" t="s">
        <v>161</v>
      </c>
      <c r="G1125" s="49" t="n">
        <v>21410.5</v>
      </c>
      <c r="H1125" s="50" t="n">
        <v>0.05</v>
      </c>
      <c r="I1125" s="47" t="s">
        <v>162</v>
      </c>
      <c r="J1125" s="48" t="n">
        <v>45984</v>
      </c>
      <c r="K1125" s="51" t="str">
        <f aca="false">"Q"&amp;ROUNDUP(MONTH(B1125)/3,0)</f>
        <v>Q4</v>
      </c>
      <c r="L1125" s="52" t="n">
        <f aca="false">ROUND(G1125*H1125,2)</f>
        <v>1070.53</v>
      </c>
      <c r="M1125" s="52" t="n">
        <f aca="false">IF(AND(C1125="Sales",F1125="Standard-rated 5%"),L1125,0)</f>
        <v>0</v>
      </c>
      <c r="N1125" s="52" t="n">
        <f aca="false">IF(F1125="Reverse charge (imported services)",L1125,0)</f>
        <v>0</v>
      </c>
      <c r="O1125" s="52" t="n">
        <f aca="false">IF(C1125&lt;&gt;"Purchase",0,IF(OR(I1125="N",F1125="Blocked input (entertainment)"),0,L1125))</f>
        <v>1070.53</v>
      </c>
      <c r="P1125" s="52" t="n">
        <f aca="false">IF(C1125&lt;&gt;"Purchase",0,L1125-O1125)</f>
        <v>0</v>
      </c>
      <c r="Q1125" s="53" t="n">
        <f aca="false">J1125-B1125</f>
        <v>0</v>
      </c>
      <c r="R1125" s="51" t="str">
        <f aca="false">IF(I1125="N","Invalid / missing TRN",IF(F1125="Blocked input (entertainment)","Blocked input",IF(Q1125&gt;30,"Late posting (&gt;30d)","")))</f>
        <v/>
      </c>
    </row>
    <row r="1126" customFormat="false" ht="15" hidden="false" customHeight="false" outlineLevel="0" collapsed="false">
      <c r="A1126" s="47" t="s">
        <v>1412</v>
      </c>
      <c r="B1126" s="48" t="n">
        <v>45984</v>
      </c>
      <c r="C1126" s="47" t="s">
        <v>166</v>
      </c>
      <c r="D1126" s="47" t="s">
        <v>288</v>
      </c>
      <c r="E1126" s="47" t="s">
        <v>100</v>
      </c>
      <c r="F1126" s="47" t="s">
        <v>161</v>
      </c>
      <c r="G1126" s="49" t="n">
        <v>26031.8</v>
      </c>
      <c r="H1126" s="50" t="n">
        <v>0.05</v>
      </c>
      <c r="I1126" s="47" t="s">
        <v>162</v>
      </c>
      <c r="J1126" s="48" t="n">
        <v>45984</v>
      </c>
      <c r="K1126" s="51" t="str">
        <f aca="false">"Q"&amp;ROUNDUP(MONTH(B1126)/3,0)</f>
        <v>Q4</v>
      </c>
      <c r="L1126" s="52" t="n">
        <f aca="false">ROUND(G1126*H1126,2)</f>
        <v>1301.59</v>
      </c>
      <c r="M1126" s="52" t="n">
        <f aca="false">IF(AND(C1126="Sales",F1126="Standard-rated 5%"),L1126,0)</f>
        <v>0</v>
      </c>
      <c r="N1126" s="52" t="n">
        <f aca="false">IF(F1126="Reverse charge (imported services)",L1126,0)</f>
        <v>0</v>
      </c>
      <c r="O1126" s="52" t="n">
        <f aca="false">IF(C1126&lt;&gt;"Purchase",0,IF(OR(I1126="N",F1126="Blocked input (entertainment)"),0,L1126))</f>
        <v>1301.59</v>
      </c>
      <c r="P1126" s="52" t="n">
        <f aca="false">IF(C1126&lt;&gt;"Purchase",0,L1126-O1126)</f>
        <v>0</v>
      </c>
      <c r="Q1126" s="53" t="n">
        <f aca="false">J1126-B1126</f>
        <v>0</v>
      </c>
      <c r="R1126" s="51" t="str">
        <f aca="false">IF(I1126="N","Invalid / missing TRN",IF(F1126="Blocked input (entertainment)","Blocked input",IF(Q1126&gt;30,"Late posting (&gt;30d)","")))</f>
        <v/>
      </c>
    </row>
    <row r="1127" customFormat="false" ht="15" hidden="false" customHeight="false" outlineLevel="0" collapsed="false">
      <c r="A1127" s="47" t="s">
        <v>1413</v>
      </c>
      <c r="B1127" s="48" t="n">
        <v>45984</v>
      </c>
      <c r="C1127" s="47" t="s">
        <v>159</v>
      </c>
      <c r="D1127" s="47" t="s">
        <v>433</v>
      </c>
      <c r="E1127" s="47" t="s">
        <v>100</v>
      </c>
      <c r="F1127" s="47" t="s">
        <v>161</v>
      </c>
      <c r="G1127" s="49" t="n">
        <v>15844.39</v>
      </c>
      <c r="H1127" s="50" t="n">
        <v>0.05</v>
      </c>
      <c r="I1127" s="47" t="s">
        <v>162</v>
      </c>
      <c r="J1127" s="48" t="n">
        <v>45984</v>
      </c>
      <c r="K1127" s="51" t="str">
        <f aca="false">"Q"&amp;ROUNDUP(MONTH(B1127)/3,0)</f>
        <v>Q4</v>
      </c>
      <c r="L1127" s="52" t="n">
        <f aca="false">ROUND(G1127*H1127,2)</f>
        <v>792.22</v>
      </c>
      <c r="M1127" s="52" t="n">
        <f aca="false">IF(AND(C1127="Sales",F1127="Standard-rated 5%"),L1127,0)</f>
        <v>792.22</v>
      </c>
      <c r="N1127" s="52" t="n">
        <f aca="false">IF(F1127="Reverse charge (imported services)",L1127,0)</f>
        <v>0</v>
      </c>
      <c r="O1127" s="52" t="n">
        <f aca="false">IF(C1127&lt;&gt;"Purchase",0,IF(OR(I1127="N",F1127="Blocked input (entertainment)"),0,L1127))</f>
        <v>0</v>
      </c>
      <c r="P1127" s="52" t="n">
        <f aca="false">IF(C1127&lt;&gt;"Purchase",0,L1127-O1127)</f>
        <v>0</v>
      </c>
      <c r="Q1127" s="53" t="n">
        <f aca="false">J1127-B1127</f>
        <v>0</v>
      </c>
      <c r="R1127" s="51" t="str">
        <f aca="false">IF(I1127="N","Invalid / missing TRN",IF(F1127="Blocked input (entertainment)","Blocked input",IF(Q1127&gt;30,"Late posting (&gt;30d)","")))</f>
        <v/>
      </c>
    </row>
    <row r="1128" customFormat="false" ht="15" hidden="false" customHeight="false" outlineLevel="0" collapsed="false">
      <c r="A1128" s="47" t="s">
        <v>1414</v>
      </c>
      <c r="B1128" s="48" t="n">
        <v>45984</v>
      </c>
      <c r="C1128" s="47" t="s">
        <v>159</v>
      </c>
      <c r="D1128" s="47" t="s">
        <v>247</v>
      </c>
      <c r="E1128" s="47" t="s">
        <v>104</v>
      </c>
      <c r="F1128" s="47" t="s">
        <v>161</v>
      </c>
      <c r="G1128" s="49" t="n">
        <v>42944.03</v>
      </c>
      <c r="H1128" s="50" t="n">
        <v>0.05</v>
      </c>
      <c r="I1128" s="47" t="s">
        <v>162</v>
      </c>
      <c r="J1128" s="48" t="n">
        <v>46024</v>
      </c>
      <c r="K1128" s="51" t="str">
        <f aca="false">"Q"&amp;ROUNDUP(MONTH(B1128)/3,0)</f>
        <v>Q4</v>
      </c>
      <c r="L1128" s="52" t="n">
        <f aca="false">ROUND(G1128*H1128,2)</f>
        <v>2147.2</v>
      </c>
      <c r="M1128" s="52" t="n">
        <f aca="false">IF(AND(C1128="Sales",F1128="Standard-rated 5%"),L1128,0)</f>
        <v>2147.2</v>
      </c>
      <c r="N1128" s="52" t="n">
        <f aca="false">IF(F1128="Reverse charge (imported services)",L1128,0)</f>
        <v>0</v>
      </c>
      <c r="O1128" s="52" t="n">
        <f aca="false">IF(C1128&lt;&gt;"Purchase",0,IF(OR(I1128="N",F1128="Blocked input (entertainment)"),0,L1128))</f>
        <v>0</v>
      </c>
      <c r="P1128" s="52" t="n">
        <f aca="false">IF(C1128&lt;&gt;"Purchase",0,L1128-O1128)</f>
        <v>0</v>
      </c>
      <c r="Q1128" s="53" t="n">
        <f aca="false">J1128-B1128</f>
        <v>40</v>
      </c>
      <c r="R1128" s="51" t="str">
        <f aca="false">IF(I1128="N","Invalid / missing TRN",IF(F1128="Blocked input (entertainment)","Blocked input",IF(Q1128&gt;30,"Late posting (&gt;30d)","")))</f>
        <v>Late posting (&gt;30d)</v>
      </c>
    </row>
    <row r="1129" customFormat="false" ht="15" hidden="false" customHeight="false" outlineLevel="0" collapsed="false">
      <c r="A1129" s="47" t="s">
        <v>1415</v>
      </c>
      <c r="B1129" s="48" t="n">
        <v>45984</v>
      </c>
      <c r="C1129" s="47" t="s">
        <v>159</v>
      </c>
      <c r="D1129" s="47" t="s">
        <v>355</v>
      </c>
      <c r="E1129" s="47" t="s">
        <v>100</v>
      </c>
      <c r="F1129" s="47" t="s">
        <v>301</v>
      </c>
      <c r="G1129" s="49" t="n">
        <v>11171.48</v>
      </c>
      <c r="H1129" s="50" t="n">
        <v>0</v>
      </c>
      <c r="I1129" s="47" t="s">
        <v>162</v>
      </c>
      <c r="J1129" s="48" t="n">
        <v>45984</v>
      </c>
      <c r="K1129" s="51" t="str">
        <f aca="false">"Q"&amp;ROUNDUP(MONTH(B1129)/3,0)</f>
        <v>Q4</v>
      </c>
      <c r="L1129" s="52" t="n">
        <f aca="false">ROUND(G1129*H1129,2)</f>
        <v>0</v>
      </c>
      <c r="M1129" s="52" t="n">
        <f aca="false">IF(AND(C1129="Sales",F1129="Standard-rated 5%"),L1129,0)</f>
        <v>0</v>
      </c>
      <c r="N1129" s="52" t="n">
        <f aca="false">IF(F1129="Reverse charge (imported services)",L1129,0)</f>
        <v>0</v>
      </c>
      <c r="O1129" s="52" t="n">
        <f aca="false">IF(C1129&lt;&gt;"Purchase",0,IF(OR(I1129="N",F1129="Blocked input (entertainment)"),0,L1129))</f>
        <v>0</v>
      </c>
      <c r="P1129" s="52" t="n">
        <f aca="false">IF(C1129&lt;&gt;"Purchase",0,L1129-O1129)</f>
        <v>0</v>
      </c>
      <c r="Q1129" s="53" t="n">
        <f aca="false">J1129-B1129</f>
        <v>0</v>
      </c>
      <c r="R1129" s="51" t="str">
        <f aca="false">IF(I1129="N","Invalid / missing TRN",IF(F1129="Blocked input (entertainment)","Blocked input",IF(Q1129&gt;30,"Late posting (&gt;30d)","")))</f>
        <v/>
      </c>
    </row>
    <row r="1130" customFormat="false" ht="15" hidden="false" customHeight="false" outlineLevel="0" collapsed="false">
      <c r="A1130" s="47" t="s">
        <v>1416</v>
      </c>
      <c r="B1130" s="48" t="n">
        <v>45985</v>
      </c>
      <c r="C1130" s="47" t="s">
        <v>159</v>
      </c>
      <c r="D1130" s="47" t="s">
        <v>376</v>
      </c>
      <c r="E1130" s="47" t="s">
        <v>100</v>
      </c>
      <c r="F1130" s="47" t="s">
        <v>161</v>
      </c>
      <c r="G1130" s="49" t="n">
        <v>11288.08</v>
      </c>
      <c r="H1130" s="50" t="n">
        <v>0.05</v>
      </c>
      <c r="I1130" s="47" t="s">
        <v>162</v>
      </c>
      <c r="J1130" s="48" t="n">
        <v>45985</v>
      </c>
      <c r="K1130" s="51" t="str">
        <f aca="false">"Q"&amp;ROUNDUP(MONTH(B1130)/3,0)</f>
        <v>Q4</v>
      </c>
      <c r="L1130" s="52" t="n">
        <f aca="false">ROUND(G1130*H1130,2)</f>
        <v>564.4</v>
      </c>
      <c r="M1130" s="52" t="n">
        <f aca="false">IF(AND(C1130="Sales",F1130="Standard-rated 5%"),L1130,0)</f>
        <v>564.4</v>
      </c>
      <c r="N1130" s="52" t="n">
        <f aca="false">IF(F1130="Reverse charge (imported services)",L1130,0)</f>
        <v>0</v>
      </c>
      <c r="O1130" s="52" t="n">
        <f aca="false">IF(C1130&lt;&gt;"Purchase",0,IF(OR(I1130="N",F1130="Blocked input (entertainment)"),0,L1130))</f>
        <v>0</v>
      </c>
      <c r="P1130" s="52" t="n">
        <f aca="false">IF(C1130&lt;&gt;"Purchase",0,L1130-O1130)</f>
        <v>0</v>
      </c>
      <c r="Q1130" s="53" t="n">
        <f aca="false">J1130-B1130</f>
        <v>0</v>
      </c>
      <c r="R1130" s="51" t="str">
        <f aca="false">IF(I1130="N","Invalid / missing TRN",IF(F1130="Blocked input (entertainment)","Blocked input",IF(Q1130&gt;30,"Late posting (&gt;30d)","")))</f>
        <v/>
      </c>
    </row>
    <row r="1131" customFormat="false" ht="15" hidden="false" customHeight="false" outlineLevel="0" collapsed="false">
      <c r="A1131" s="47" t="s">
        <v>1417</v>
      </c>
      <c r="B1131" s="48" t="n">
        <v>45985</v>
      </c>
      <c r="C1131" s="47" t="s">
        <v>159</v>
      </c>
      <c r="D1131" s="47" t="s">
        <v>433</v>
      </c>
      <c r="E1131" s="47" t="s">
        <v>100</v>
      </c>
      <c r="F1131" s="47" t="s">
        <v>161</v>
      </c>
      <c r="G1131" s="49" t="n">
        <v>78233.19</v>
      </c>
      <c r="H1131" s="50" t="n">
        <v>0.05</v>
      </c>
      <c r="I1131" s="47" t="s">
        <v>162</v>
      </c>
      <c r="J1131" s="48" t="n">
        <v>45987</v>
      </c>
      <c r="K1131" s="51" t="str">
        <f aca="false">"Q"&amp;ROUNDUP(MONTH(B1131)/3,0)</f>
        <v>Q4</v>
      </c>
      <c r="L1131" s="52" t="n">
        <f aca="false">ROUND(G1131*H1131,2)</f>
        <v>3911.66</v>
      </c>
      <c r="M1131" s="52" t="n">
        <f aca="false">IF(AND(C1131="Sales",F1131="Standard-rated 5%"),L1131,0)</f>
        <v>3911.66</v>
      </c>
      <c r="N1131" s="52" t="n">
        <f aca="false">IF(F1131="Reverse charge (imported services)",L1131,0)</f>
        <v>0</v>
      </c>
      <c r="O1131" s="52" t="n">
        <f aca="false">IF(C1131&lt;&gt;"Purchase",0,IF(OR(I1131="N",F1131="Blocked input (entertainment)"),0,L1131))</f>
        <v>0</v>
      </c>
      <c r="P1131" s="52" t="n">
        <f aca="false">IF(C1131&lt;&gt;"Purchase",0,L1131-O1131)</f>
        <v>0</v>
      </c>
      <c r="Q1131" s="53" t="n">
        <f aca="false">J1131-B1131</f>
        <v>2</v>
      </c>
      <c r="R1131" s="51" t="str">
        <f aca="false">IF(I1131="N","Invalid / missing TRN",IF(F1131="Blocked input (entertainment)","Blocked input",IF(Q1131&gt;30,"Late posting (&gt;30d)","")))</f>
        <v/>
      </c>
    </row>
    <row r="1132" customFormat="false" ht="15" hidden="false" customHeight="false" outlineLevel="0" collapsed="false">
      <c r="A1132" s="47" t="s">
        <v>1418</v>
      </c>
      <c r="B1132" s="48" t="n">
        <v>45986</v>
      </c>
      <c r="C1132" s="47" t="s">
        <v>159</v>
      </c>
      <c r="D1132" s="47" t="s">
        <v>343</v>
      </c>
      <c r="E1132" s="47" t="s">
        <v>101</v>
      </c>
      <c r="F1132" s="47" t="s">
        <v>278</v>
      </c>
      <c r="G1132" s="49" t="n">
        <v>23923.49</v>
      </c>
      <c r="H1132" s="50" t="n">
        <v>0</v>
      </c>
      <c r="I1132" s="47" t="s">
        <v>162</v>
      </c>
      <c r="J1132" s="48" t="n">
        <v>45986</v>
      </c>
      <c r="K1132" s="51" t="str">
        <f aca="false">"Q"&amp;ROUNDUP(MONTH(B1132)/3,0)</f>
        <v>Q4</v>
      </c>
      <c r="L1132" s="52" t="n">
        <f aca="false">ROUND(G1132*H1132,2)</f>
        <v>0</v>
      </c>
      <c r="M1132" s="52" t="n">
        <f aca="false">IF(AND(C1132="Sales",F1132="Standard-rated 5%"),L1132,0)</f>
        <v>0</v>
      </c>
      <c r="N1132" s="52" t="n">
        <f aca="false">IF(F1132="Reverse charge (imported services)",L1132,0)</f>
        <v>0</v>
      </c>
      <c r="O1132" s="52" t="n">
        <f aca="false">IF(C1132&lt;&gt;"Purchase",0,IF(OR(I1132="N",F1132="Blocked input (entertainment)"),0,L1132))</f>
        <v>0</v>
      </c>
      <c r="P1132" s="52" t="n">
        <f aca="false">IF(C1132&lt;&gt;"Purchase",0,L1132-O1132)</f>
        <v>0</v>
      </c>
      <c r="Q1132" s="53" t="n">
        <f aca="false">J1132-B1132</f>
        <v>0</v>
      </c>
      <c r="R1132" s="51" t="str">
        <f aca="false">IF(I1132="N","Invalid / missing TRN",IF(F1132="Blocked input (entertainment)","Blocked input",IF(Q1132&gt;30,"Late posting (&gt;30d)","")))</f>
        <v/>
      </c>
    </row>
    <row r="1133" customFormat="false" ht="15" hidden="false" customHeight="false" outlineLevel="0" collapsed="false">
      <c r="A1133" s="47" t="s">
        <v>1419</v>
      </c>
      <c r="B1133" s="48" t="n">
        <v>45986</v>
      </c>
      <c r="C1133" s="47" t="s">
        <v>159</v>
      </c>
      <c r="D1133" s="47" t="s">
        <v>283</v>
      </c>
      <c r="E1133" s="47" t="s">
        <v>100</v>
      </c>
      <c r="F1133" s="47" t="s">
        <v>161</v>
      </c>
      <c r="G1133" s="49" t="n">
        <v>31601.89</v>
      </c>
      <c r="H1133" s="50" t="n">
        <v>0.05</v>
      </c>
      <c r="I1133" s="47" t="s">
        <v>162</v>
      </c>
      <c r="J1133" s="48" t="n">
        <v>46026</v>
      </c>
      <c r="K1133" s="51" t="str">
        <f aca="false">"Q"&amp;ROUNDUP(MONTH(B1133)/3,0)</f>
        <v>Q4</v>
      </c>
      <c r="L1133" s="52" t="n">
        <f aca="false">ROUND(G1133*H1133,2)</f>
        <v>1580.09</v>
      </c>
      <c r="M1133" s="52" t="n">
        <f aca="false">IF(AND(C1133="Sales",F1133="Standard-rated 5%"),L1133,0)</f>
        <v>1580.09</v>
      </c>
      <c r="N1133" s="52" t="n">
        <f aca="false">IF(F1133="Reverse charge (imported services)",L1133,0)</f>
        <v>0</v>
      </c>
      <c r="O1133" s="52" t="n">
        <f aca="false">IF(C1133&lt;&gt;"Purchase",0,IF(OR(I1133="N",F1133="Blocked input (entertainment)"),0,L1133))</f>
        <v>0</v>
      </c>
      <c r="P1133" s="52" t="n">
        <f aca="false">IF(C1133&lt;&gt;"Purchase",0,L1133-O1133)</f>
        <v>0</v>
      </c>
      <c r="Q1133" s="53" t="n">
        <f aca="false">J1133-B1133</f>
        <v>40</v>
      </c>
      <c r="R1133" s="51" t="str">
        <f aca="false">IF(I1133="N","Invalid / missing TRN",IF(F1133="Blocked input (entertainment)","Blocked input",IF(Q1133&gt;30,"Late posting (&gt;30d)","")))</f>
        <v>Late posting (&gt;30d)</v>
      </c>
    </row>
    <row r="1134" customFormat="false" ht="15" hidden="false" customHeight="false" outlineLevel="0" collapsed="false">
      <c r="A1134" s="47" t="s">
        <v>1420</v>
      </c>
      <c r="B1134" s="48" t="n">
        <v>45987</v>
      </c>
      <c r="C1134" s="47" t="s">
        <v>166</v>
      </c>
      <c r="D1134" s="47" t="s">
        <v>514</v>
      </c>
      <c r="E1134" s="47" t="s">
        <v>102</v>
      </c>
      <c r="F1134" s="47" t="s">
        <v>170</v>
      </c>
      <c r="G1134" s="49" t="n">
        <v>11983.51</v>
      </c>
      <c r="H1134" s="50" t="n">
        <v>0.05</v>
      </c>
      <c r="I1134" s="47" t="s">
        <v>162</v>
      </c>
      <c r="J1134" s="48" t="n">
        <v>45987</v>
      </c>
      <c r="K1134" s="51" t="str">
        <f aca="false">"Q"&amp;ROUNDUP(MONTH(B1134)/3,0)</f>
        <v>Q4</v>
      </c>
      <c r="L1134" s="52" t="n">
        <f aca="false">ROUND(G1134*H1134,2)</f>
        <v>599.18</v>
      </c>
      <c r="M1134" s="52" t="n">
        <f aca="false">IF(AND(C1134="Sales",F1134="Standard-rated 5%"),L1134,0)</f>
        <v>0</v>
      </c>
      <c r="N1134" s="52" t="n">
        <f aca="false">IF(F1134="Reverse charge (imported services)",L1134,0)</f>
        <v>0</v>
      </c>
      <c r="O1134" s="52" t="n">
        <f aca="false">IF(C1134&lt;&gt;"Purchase",0,IF(OR(I1134="N",F1134="Blocked input (entertainment)"),0,L1134))</f>
        <v>0</v>
      </c>
      <c r="P1134" s="52" t="n">
        <f aca="false">IF(C1134&lt;&gt;"Purchase",0,L1134-O1134)</f>
        <v>599.18</v>
      </c>
      <c r="Q1134" s="53" t="n">
        <f aca="false">J1134-B1134</f>
        <v>0</v>
      </c>
      <c r="R1134" s="51" t="str">
        <f aca="false">IF(I1134="N","Invalid / missing TRN",IF(F1134="Blocked input (entertainment)","Blocked input",IF(Q1134&gt;30,"Late posting (&gt;30d)","")))</f>
        <v>Blocked input</v>
      </c>
    </row>
    <row r="1135" customFormat="false" ht="15" hidden="false" customHeight="false" outlineLevel="0" collapsed="false">
      <c r="A1135" s="47" t="s">
        <v>1421</v>
      </c>
      <c r="B1135" s="48" t="n">
        <v>45987</v>
      </c>
      <c r="C1135" s="47" t="s">
        <v>166</v>
      </c>
      <c r="D1135" s="47" t="s">
        <v>194</v>
      </c>
      <c r="E1135" s="47" t="s">
        <v>101</v>
      </c>
      <c r="F1135" s="47" t="s">
        <v>161</v>
      </c>
      <c r="G1135" s="49" t="n">
        <v>3735.81</v>
      </c>
      <c r="H1135" s="50" t="n">
        <v>0.05</v>
      </c>
      <c r="I1135" s="47" t="s">
        <v>162</v>
      </c>
      <c r="J1135" s="48" t="n">
        <v>45987</v>
      </c>
      <c r="K1135" s="51" t="str">
        <f aca="false">"Q"&amp;ROUNDUP(MONTH(B1135)/3,0)</f>
        <v>Q4</v>
      </c>
      <c r="L1135" s="52" t="n">
        <f aca="false">ROUND(G1135*H1135,2)</f>
        <v>186.79</v>
      </c>
      <c r="M1135" s="52" t="n">
        <f aca="false">IF(AND(C1135="Sales",F1135="Standard-rated 5%"),L1135,0)</f>
        <v>0</v>
      </c>
      <c r="N1135" s="52" t="n">
        <f aca="false">IF(F1135="Reverse charge (imported services)",L1135,0)</f>
        <v>0</v>
      </c>
      <c r="O1135" s="52" t="n">
        <f aca="false">IF(C1135&lt;&gt;"Purchase",0,IF(OR(I1135="N",F1135="Blocked input (entertainment)"),0,L1135))</f>
        <v>186.79</v>
      </c>
      <c r="P1135" s="52" t="n">
        <f aca="false">IF(C1135&lt;&gt;"Purchase",0,L1135-O1135)</f>
        <v>0</v>
      </c>
      <c r="Q1135" s="53" t="n">
        <f aca="false">J1135-B1135</f>
        <v>0</v>
      </c>
      <c r="R1135" s="51" t="str">
        <f aca="false">IF(I1135="N","Invalid / missing TRN",IF(F1135="Blocked input (entertainment)","Blocked input",IF(Q1135&gt;30,"Late posting (&gt;30d)","")))</f>
        <v/>
      </c>
    </row>
    <row r="1136" customFormat="false" ht="15" hidden="false" customHeight="false" outlineLevel="0" collapsed="false">
      <c r="A1136" s="47" t="s">
        <v>1422</v>
      </c>
      <c r="B1136" s="48" t="n">
        <v>45987</v>
      </c>
      <c r="C1136" s="47" t="s">
        <v>166</v>
      </c>
      <c r="D1136" s="47" t="s">
        <v>335</v>
      </c>
      <c r="E1136" s="47" t="s">
        <v>100</v>
      </c>
      <c r="F1136" s="47" t="s">
        <v>161</v>
      </c>
      <c r="G1136" s="49" t="n">
        <v>39531.64</v>
      </c>
      <c r="H1136" s="50" t="n">
        <v>0.05</v>
      </c>
      <c r="I1136" s="47" t="s">
        <v>162</v>
      </c>
      <c r="J1136" s="48" t="n">
        <v>45987</v>
      </c>
      <c r="K1136" s="51" t="str">
        <f aca="false">"Q"&amp;ROUNDUP(MONTH(B1136)/3,0)</f>
        <v>Q4</v>
      </c>
      <c r="L1136" s="52" t="n">
        <f aca="false">ROUND(G1136*H1136,2)</f>
        <v>1976.58</v>
      </c>
      <c r="M1136" s="52" t="n">
        <f aca="false">IF(AND(C1136="Sales",F1136="Standard-rated 5%"),L1136,0)</f>
        <v>0</v>
      </c>
      <c r="N1136" s="52" t="n">
        <f aca="false">IF(F1136="Reverse charge (imported services)",L1136,0)</f>
        <v>0</v>
      </c>
      <c r="O1136" s="52" t="n">
        <f aca="false">IF(C1136&lt;&gt;"Purchase",0,IF(OR(I1136="N",F1136="Blocked input (entertainment)"),0,L1136))</f>
        <v>1976.58</v>
      </c>
      <c r="P1136" s="52" t="n">
        <f aca="false">IF(C1136&lt;&gt;"Purchase",0,L1136-O1136)</f>
        <v>0</v>
      </c>
      <c r="Q1136" s="53" t="n">
        <f aca="false">J1136-B1136</f>
        <v>0</v>
      </c>
      <c r="R1136" s="51" t="str">
        <f aca="false">IF(I1136="N","Invalid / missing TRN",IF(F1136="Blocked input (entertainment)","Blocked input",IF(Q1136&gt;30,"Late posting (&gt;30d)","")))</f>
        <v/>
      </c>
    </row>
    <row r="1137" customFormat="false" ht="15" hidden="false" customHeight="false" outlineLevel="0" collapsed="false">
      <c r="A1137" s="47" t="s">
        <v>1423</v>
      </c>
      <c r="B1137" s="48" t="n">
        <v>45987</v>
      </c>
      <c r="C1137" s="47" t="s">
        <v>159</v>
      </c>
      <c r="D1137" s="47" t="s">
        <v>433</v>
      </c>
      <c r="E1137" s="47" t="s">
        <v>102</v>
      </c>
      <c r="F1137" s="47" t="s">
        <v>161</v>
      </c>
      <c r="G1137" s="49" t="n">
        <v>18617.58</v>
      </c>
      <c r="H1137" s="50" t="n">
        <v>0.05</v>
      </c>
      <c r="I1137" s="47" t="s">
        <v>162</v>
      </c>
      <c r="J1137" s="48" t="n">
        <v>45987</v>
      </c>
      <c r="K1137" s="51" t="str">
        <f aca="false">"Q"&amp;ROUNDUP(MONTH(B1137)/3,0)</f>
        <v>Q4</v>
      </c>
      <c r="L1137" s="52" t="n">
        <f aca="false">ROUND(G1137*H1137,2)</f>
        <v>930.88</v>
      </c>
      <c r="M1137" s="52" t="n">
        <f aca="false">IF(AND(C1137="Sales",F1137="Standard-rated 5%"),L1137,0)</f>
        <v>930.88</v>
      </c>
      <c r="N1137" s="52" t="n">
        <f aca="false">IF(F1137="Reverse charge (imported services)",L1137,0)</f>
        <v>0</v>
      </c>
      <c r="O1137" s="52" t="n">
        <f aca="false">IF(C1137&lt;&gt;"Purchase",0,IF(OR(I1137="N",F1137="Blocked input (entertainment)"),0,L1137))</f>
        <v>0</v>
      </c>
      <c r="P1137" s="52" t="n">
        <f aca="false">IF(C1137&lt;&gt;"Purchase",0,L1137-O1137)</f>
        <v>0</v>
      </c>
      <c r="Q1137" s="53" t="n">
        <f aca="false">J1137-B1137</f>
        <v>0</v>
      </c>
      <c r="R1137" s="51" t="str">
        <f aca="false">IF(I1137="N","Invalid / missing TRN",IF(F1137="Blocked input (entertainment)","Blocked input",IF(Q1137&gt;30,"Late posting (&gt;30d)","")))</f>
        <v/>
      </c>
    </row>
    <row r="1138" customFormat="false" ht="15" hidden="false" customHeight="false" outlineLevel="0" collapsed="false">
      <c r="A1138" s="47" t="s">
        <v>1424</v>
      </c>
      <c r="B1138" s="48" t="n">
        <v>45987</v>
      </c>
      <c r="C1138" s="47" t="s">
        <v>159</v>
      </c>
      <c r="D1138" s="47" t="s">
        <v>283</v>
      </c>
      <c r="E1138" s="47" t="s">
        <v>101</v>
      </c>
      <c r="F1138" s="47" t="s">
        <v>161</v>
      </c>
      <c r="G1138" s="49" t="n">
        <v>18940.05</v>
      </c>
      <c r="H1138" s="50" t="n">
        <v>0.05</v>
      </c>
      <c r="I1138" s="47" t="s">
        <v>162</v>
      </c>
      <c r="J1138" s="48" t="n">
        <v>45988</v>
      </c>
      <c r="K1138" s="51" t="str">
        <f aca="false">"Q"&amp;ROUNDUP(MONTH(B1138)/3,0)</f>
        <v>Q4</v>
      </c>
      <c r="L1138" s="52" t="n">
        <f aca="false">ROUND(G1138*H1138,2)</f>
        <v>947</v>
      </c>
      <c r="M1138" s="52" t="n">
        <f aca="false">IF(AND(C1138="Sales",F1138="Standard-rated 5%"),L1138,0)</f>
        <v>947</v>
      </c>
      <c r="N1138" s="52" t="n">
        <f aca="false">IF(F1138="Reverse charge (imported services)",L1138,0)</f>
        <v>0</v>
      </c>
      <c r="O1138" s="52" t="n">
        <f aca="false">IF(C1138&lt;&gt;"Purchase",0,IF(OR(I1138="N",F1138="Blocked input (entertainment)"),0,L1138))</f>
        <v>0</v>
      </c>
      <c r="P1138" s="52" t="n">
        <f aca="false">IF(C1138&lt;&gt;"Purchase",0,L1138-O1138)</f>
        <v>0</v>
      </c>
      <c r="Q1138" s="53" t="n">
        <f aca="false">J1138-B1138</f>
        <v>1</v>
      </c>
      <c r="R1138" s="51" t="str">
        <f aca="false">IF(I1138="N","Invalid / missing TRN",IF(F1138="Blocked input (entertainment)","Blocked input",IF(Q1138&gt;30,"Late posting (&gt;30d)","")))</f>
        <v/>
      </c>
    </row>
    <row r="1139" customFormat="false" ht="15" hidden="false" customHeight="false" outlineLevel="0" collapsed="false">
      <c r="A1139" s="47" t="s">
        <v>1425</v>
      </c>
      <c r="B1139" s="48" t="n">
        <v>45987</v>
      </c>
      <c r="C1139" s="47" t="s">
        <v>159</v>
      </c>
      <c r="D1139" s="47" t="s">
        <v>581</v>
      </c>
      <c r="E1139" s="47" t="s">
        <v>100</v>
      </c>
      <c r="F1139" s="47" t="s">
        <v>161</v>
      </c>
      <c r="G1139" s="49" t="n">
        <v>32496.01</v>
      </c>
      <c r="H1139" s="50" t="n">
        <v>0.05</v>
      </c>
      <c r="I1139" s="47" t="s">
        <v>162</v>
      </c>
      <c r="J1139" s="48" t="n">
        <v>45987</v>
      </c>
      <c r="K1139" s="51" t="str">
        <f aca="false">"Q"&amp;ROUNDUP(MONTH(B1139)/3,0)</f>
        <v>Q4</v>
      </c>
      <c r="L1139" s="52" t="n">
        <f aca="false">ROUND(G1139*H1139,2)</f>
        <v>1624.8</v>
      </c>
      <c r="M1139" s="52" t="n">
        <f aca="false">IF(AND(C1139="Sales",F1139="Standard-rated 5%"),L1139,0)</f>
        <v>1624.8</v>
      </c>
      <c r="N1139" s="52" t="n">
        <f aca="false">IF(F1139="Reverse charge (imported services)",L1139,0)</f>
        <v>0</v>
      </c>
      <c r="O1139" s="52" t="n">
        <f aca="false">IF(C1139&lt;&gt;"Purchase",0,IF(OR(I1139="N",F1139="Blocked input (entertainment)"),0,L1139))</f>
        <v>0</v>
      </c>
      <c r="P1139" s="52" t="n">
        <f aca="false">IF(C1139&lt;&gt;"Purchase",0,L1139-O1139)</f>
        <v>0</v>
      </c>
      <c r="Q1139" s="53" t="n">
        <f aca="false">J1139-B1139</f>
        <v>0</v>
      </c>
      <c r="R1139" s="51" t="str">
        <f aca="false">IF(I1139="N","Invalid / missing TRN",IF(F1139="Blocked input (entertainment)","Blocked input",IF(Q1139&gt;30,"Late posting (&gt;30d)","")))</f>
        <v/>
      </c>
    </row>
    <row r="1140" customFormat="false" ht="15" hidden="false" customHeight="false" outlineLevel="0" collapsed="false">
      <c r="A1140" s="47" t="s">
        <v>1426</v>
      </c>
      <c r="B1140" s="48" t="n">
        <v>45987</v>
      </c>
      <c r="C1140" s="47" t="s">
        <v>159</v>
      </c>
      <c r="D1140" s="47" t="s">
        <v>343</v>
      </c>
      <c r="E1140" s="47" t="s">
        <v>100</v>
      </c>
      <c r="F1140" s="47" t="s">
        <v>161</v>
      </c>
      <c r="G1140" s="49" t="n">
        <v>27124.66</v>
      </c>
      <c r="H1140" s="50" t="n">
        <v>0.05</v>
      </c>
      <c r="I1140" s="47" t="s">
        <v>162</v>
      </c>
      <c r="J1140" s="48" t="n">
        <v>45987</v>
      </c>
      <c r="K1140" s="51" t="str">
        <f aca="false">"Q"&amp;ROUNDUP(MONTH(B1140)/3,0)</f>
        <v>Q4</v>
      </c>
      <c r="L1140" s="52" t="n">
        <f aca="false">ROUND(G1140*H1140,2)</f>
        <v>1356.23</v>
      </c>
      <c r="M1140" s="52" t="n">
        <f aca="false">IF(AND(C1140="Sales",F1140="Standard-rated 5%"),L1140,0)</f>
        <v>1356.23</v>
      </c>
      <c r="N1140" s="52" t="n">
        <f aca="false">IF(F1140="Reverse charge (imported services)",L1140,0)</f>
        <v>0</v>
      </c>
      <c r="O1140" s="52" t="n">
        <f aca="false">IF(C1140&lt;&gt;"Purchase",0,IF(OR(I1140="N",F1140="Blocked input (entertainment)"),0,L1140))</f>
        <v>0</v>
      </c>
      <c r="P1140" s="52" t="n">
        <f aca="false">IF(C1140&lt;&gt;"Purchase",0,L1140-O1140)</f>
        <v>0</v>
      </c>
      <c r="Q1140" s="53" t="n">
        <f aca="false">J1140-B1140</f>
        <v>0</v>
      </c>
      <c r="R1140" s="51" t="str">
        <f aca="false">IF(I1140="N","Invalid / missing TRN",IF(F1140="Blocked input (entertainment)","Blocked input",IF(Q1140&gt;30,"Late posting (&gt;30d)","")))</f>
        <v/>
      </c>
    </row>
    <row r="1141" customFormat="false" ht="15" hidden="false" customHeight="false" outlineLevel="0" collapsed="false">
      <c r="A1141" s="47" t="s">
        <v>1427</v>
      </c>
      <c r="B1141" s="48" t="n">
        <v>45987</v>
      </c>
      <c r="C1141" s="47" t="s">
        <v>159</v>
      </c>
      <c r="D1141" s="47" t="s">
        <v>376</v>
      </c>
      <c r="E1141" s="47" t="s">
        <v>101</v>
      </c>
      <c r="F1141" s="47" t="s">
        <v>161</v>
      </c>
      <c r="G1141" s="49" t="n">
        <v>31730.9</v>
      </c>
      <c r="H1141" s="50" t="n">
        <v>0.05</v>
      </c>
      <c r="I1141" s="47" t="s">
        <v>162</v>
      </c>
      <c r="J1141" s="48" t="n">
        <v>45992</v>
      </c>
      <c r="K1141" s="51" t="str">
        <f aca="false">"Q"&amp;ROUNDUP(MONTH(B1141)/3,0)</f>
        <v>Q4</v>
      </c>
      <c r="L1141" s="52" t="n">
        <f aca="false">ROUND(G1141*H1141,2)</f>
        <v>1586.55</v>
      </c>
      <c r="M1141" s="52" t="n">
        <f aca="false">IF(AND(C1141="Sales",F1141="Standard-rated 5%"),L1141,0)</f>
        <v>1586.55</v>
      </c>
      <c r="N1141" s="52" t="n">
        <f aca="false">IF(F1141="Reverse charge (imported services)",L1141,0)</f>
        <v>0</v>
      </c>
      <c r="O1141" s="52" t="n">
        <f aca="false">IF(C1141&lt;&gt;"Purchase",0,IF(OR(I1141="N",F1141="Blocked input (entertainment)"),0,L1141))</f>
        <v>0</v>
      </c>
      <c r="P1141" s="52" t="n">
        <f aca="false">IF(C1141&lt;&gt;"Purchase",0,L1141-O1141)</f>
        <v>0</v>
      </c>
      <c r="Q1141" s="53" t="n">
        <f aca="false">J1141-B1141</f>
        <v>5</v>
      </c>
      <c r="R1141" s="51" t="str">
        <f aca="false">IF(I1141="N","Invalid / missing TRN",IF(F1141="Blocked input (entertainment)","Blocked input",IF(Q1141&gt;30,"Late posting (&gt;30d)","")))</f>
        <v/>
      </c>
    </row>
    <row r="1142" customFormat="false" ht="15" hidden="false" customHeight="false" outlineLevel="0" collapsed="false">
      <c r="A1142" s="47" t="s">
        <v>1428</v>
      </c>
      <c r="B1142" s="48" t="n">
        <v>45988</v>
      </c>
      <c r="C1142" s="47" t="s">
        <v>166</v>
      </c>
      <c r="D1142" s="47" t="s">
        <v>326</v>
      </c>
      <c r="E1142" s="47" t="s">
        <v>102</v>
      </c>
      <c r="F1142" s="47" t="s">
        <v>161</v>
      </c>
      <c r="G1142" s="49" t="n">
        <v>21166.53</v>
      </c>
      <c r="H1142" s="50" t="n">
        <v>0.05</v>
      </c>
      <c r="I1142" s="47" t="s">
        <v>162</v>
      </c>
      <c r="J1142" s="48" t="n">
        <v>45990</v>
      </c>
      <c r="K1142" s="51" t="str">
        <f aca="false">"Q"&amp;ROUNDUP(MONTH(B1142)/3,0)</f>
        <v>Q4</v>
      </c>
      <c r="L1142" s="52" t="n">
        <f aca="false">ROUND(G1142*H1142,2)</f>
        <v>1058.33</v>
      </c>
      <c r="M1142" s="52" t="n">
        <f aca="false">IF(AND(C1142="Sales",F1142="Standard-rated 5%"),L1142,0)</f>
        <v>0</v>
      </c>
      <c r="N1142" s="52" t="n">
        <f aca="false">IF(F1142="Reverse charge (imported services)",L1142,0)</f>
        <v>0</v>
      </c>
      <c r="O1142" s="52" t="n">
        <f aca="false">IF(C1142&lt;&gt;"Purchase",0,IF(OR(I1142="N",F1142="Blocked input (entertainment)"),0,L1142))</f>
        <v>1058.33</v>
      </c>
      <c r="P1142" s="52" t="n">
        <f aca="false">IF(C1142&lt;&gt;"Purchase",0,L1142-O1142)</f>
        <v>0</v>
      </c>
      <c r="Q1142" s="53" t="n">
        <f aca="false">J1142-B1142</f>
        <v>2</v>
      </c>
      <c r="R1142" s="51" t="str">
        <f aca="false">IF(I1142="N","Invalid / missing TRN",IF(F1142="Blocked input (entertainment)","Blocked input",IF(Q1142&gt;30,"Late posting (&gt;30d)","")))</f>
        <v/>
      </c>
    </row>
    <row r="1143" customFormat="false" ht="15" hidden="false" customHeight="false" outlineLevel="0" collapsed="false">
      <c r="A1143" s="47" t="s">
        <v>1429</v>
      </c>
      <c r="B1143" s="48" t="n">
        <v>45988</v>
      </c>
      <c r="C1143" s="47" t="s">
        <v>166</v>
      </c>
      <c r="D1143" s="47" t="s">
        <v>466</v>
      </c>
      <c r="E1143" s="47" t="s">
        <v>100</v>
      </c>
      <c r="F1143" s="47" t="s">
        <v>161</v>
      </c>
      <c r="G1143" s="49" t="n">
        <v>21249.36</v>
      </c>
      <c r="H1143" s="50" t="n">
        <v>0.05</v>
      </c>
      <c r="I1143" s="47" t="s">
        <v>162</v>
      </c>
      <c r="J1143" s="48" t="n">
        <v>45993</v>
      </c>
      <c r="K1143" s="51" t="str">
        <f aca="false">"Q"&amp;ROUNDUP(MONTH(B1143)/3,0)</f>
        <v>Q4</v>
      </c>
      <c r="L1143" s="52" t="n">
        <f aca="false">ROUND(G1143*H1143,2)</f>
        <v>1062.47</v>
      </c>
      <c r="M1143" s="52" t="n">
        <f aca="false">IF(AND(C1143="Sales",F1143="Standard-rated 5%"),L1143,0)</f>
        <v>0</v>
      </c>
      <c r="N1143" s="52" t="n">
        <f aca="false">IF(F1143="Reverse charge (imported services)",L1143,0)</f>
        <v>0</v>
      </c>
      <c r="O1143" s="52" t="n">
        <f aca="false">IF(C1143&lt;&gt;"Purchase",0,IF(OR(I1143="N",F1143="Blocked input (entertainment)"),0,L1143))</f>
        <v>1062.47</v>
      </c>
      <c r="P1143" s="52" t="n">
        <f aca="false">IF(C1143&lt;&gt;"Purchase",0,L1143-O1143)</f>
        <v>0</v>
      </c>
      <c r="Q1143" s="53" t="n">
        <f aca="false">J1143-B1143</f>
        <v>5</v>
      </c>
      <c r="R1143" s="51" t="str">
        <f aca="false">IF(I1143="N","Invalid / missing TRN",IF(F1143="Blocked input (entertainment)","Blocked input",IF(Q1143&gt;30,"Late posting (&gt;30d)","")))</f>
        <v/>
      </c>
    </row>
    <row r="1144" customFormat="false" ht="15" hidden="false" customHeight="false" outlineLevel="0" collapsed="false">
      <c r="A1144" s="47" t="s">
        <v>1430</v>
      </c>
      <c r="B1144" s="48" t="n">
        <v>45988</v>
      </c>
      <c r="C1144" s="47" t="s">
        <v>159</v>
      </c>
      <c r="D1144" s="47" t="s">
        <v>583</v>
      </c>
      <c r="E1144" s="47" t="s">
        <v>100</v>
      </c>
      <c r="F1144" s="47" t="s">
        <v>161</v>
      </c>
      <c r="G1144" s="49" t="n">
        <v>16634.65</v>
      </c>
      <c r="H1144" s="50" t="n">
        <v>0.05</v>
      </c>
      <c r="I1144" s="47" t="s">
        <v>162</v>
      </c>
      <c r="J1144" s="48" t="n">
        <v>45988</v>
      </c>
      <c r="K1144" s="51" t="str">
        <f aca="false">"Q"&amp;ROUNDUP(MONTH(B1144)/3,0)</f>
        <v>Q4</v>
      </c>
      <c r="L1144" s="52" t="n">
        <f aca="false">ROUND(G1144*H1144,2)</f>
        <v>831.73</v>
      </c>
      <c r="M1144" s="52" t="n">
        <f aca="false">IF(AND(C1144="Sales",F1144="Standard-rated 5%"),L1144,0)</f>
        <v>831.73</v>
      </c>
      <c r="N1144" s="52" t="n">
        <f aca="false">IF(F1144="Reverse charge (imported services)",L1144,0)</f>
        <v>0</v>
      </c>
      <c r="O1144" s="52" t="n">
        <f aca="false">IF(C1144&lt;&gt;"Purchase",0,IF(OR(I1144="N",F1144="Blocked input (entertainment)"),0,L1144))</f>
        <v>0</v>
      </c>
      <c r="P1144" s="52" t="n">
        <f aca="false">IF(C1144&lt;&gt;"Purchase",0,L1144-O1144)</f>
        <v>0</v>
      </c>
      <c r="Q1144" s="53" t="n">
        <f aca="false">J1144-B1144</f>
        <v>0</v>
      </c>
      <c r="R1144" s="51" t="str">
        <f aca="false">IF(I1144="N","Invalid / missing TRN",IF(F1144="Blocked input (entertainment)","Blocked input",IF(Q1144&gt;30,"Late posting (&gt;30d)","")))</f>
        <v/>
      </c>
    </row>
    <row r="1145" customFormat="false" ht="15" hidden="false" customHeight="false" outlineLevel="0" collapsed="false">
      <c r="A1145" s="47" t="s">
        <v>1431</v>
      </c>
      <c r="B1145" s="48" t="n">
        <v>45988</v>
      </c>
      <c r="C1145" s="47" t="s">
        <v>159</v>
      </c>
      <c r="D1145" s="47" t="s">
        <v>300</v>
      </c>
      <c r="E1145" s="47" t="s">
        <v>102</v>
      </c>
      <c r="F1145" s="47" t="s">
        <v>278</v>
      </c>
      <c r="G1145" s="49" t="n">
        <v>67857.59</v>
      </c>
      <c r="H1145" s="50" t="n">
        <v>0</v>
      </c>
      <c r="I1145" s="47" t="s">
        <v>162</v>
      </c>
      <c r="J1145" s="48" t="n">
        <v>45988</v>
      </c>
      <c r="K1145" s="51" t="str">
        <f aca="false">"Q"&amp;ROUNDUP(MONTH(B1145)/3,0)</f>
        <v>Q4</v>
      </c>
      <c r="L1145" s="52" t="n">
        <f aca="false">ROUND(G1145*H1145,2)</f>
        <v>0</v>
      </c>
      <c r="M1145" s="52" t="n">
        <f aca="false">IF(AND(C1145="Sales",F1145="Standard-rated 5%"),L1145,0)</f>
        <v>0</v>
      </c>
      <c r="N1145" s="52" t="n">
        <f aca="false">IF(F1145="Reverse charge (imported services)",L1145,0)</f>
        <v>0</v>
      </c>
      <c r="O1145" s="52" t="n">
        <f aca="false">IF(C1145&lt;&gt;"Purchase",0,IF(OR(I1145="N",F1145="Blocked input (entertainment)"),0,L1145))</f>
        <v>0</v>
      </c>
      <c r="P1145" s="52" t="n">
        <f aca="false">IF(C1145&lt;&gt;"Purchase",0,L1145-O1145)</f>
        <v>0</v>
      </c>
      <c r="Q1145" s="53" t="n">
        <f aca="false">J1145-B1145</f>
        <v>0</v>
      </c>
      <c r="R1145" s="51" t="str">
        <f aca="false">IF(I1145="N","Invalid / missing TRN",IF(F1145="Blocked input (entertainment)","Blocked input",IF(Q1145&gt;30,"Late posting (&gt;30d)","")))</f>
        <v/>
      </c>
    </row>
    <row r="1146" customFormat="false" ht="15" hidden="false" customHeight="false" outlineLevel="0" collapsed="false">
      <c r="A1146" s="47" t="s">
        <v>1432</v>
      </c>
      <c r="B1146" s="48" t="n">
        <v>45989</v>
      </c>
      <c r="C1146" s="47" t="s">
        <v>166</v>
      </c>
      <c r="D1146" s="47" t="s">
        <v>315</v>
      </c>
      <c r="E1146" s="47" t="s">
        <v>100</v>
      </c>
      <c r="F1146" s="47" t="s">
        <v>392</v>
      </c>
      <c r="G1146" s="49" t="n">
        <v>741692.8</v>
      </c>
      <c r="H1146" s="50" t="n">
        <v>0.05</v>
      </c>
      <c r="I1146" s="47" t="s">
        <v>162</v>
      </c>
      <c r="J1146" s="48" t="n">
        <v>45989</v>
      </c>
      <c r="K1146" s="51" t="str">
        <f aca="false">"Q"&amp;ROUNDUP(MONTH(B1146)/3,0)</f>
        <v>Q4</v>
      </c>
      <c r="L1146" s="52" t="n">
        <f aca="false">ROUND(G1146*H1146,2)</f>
        <v>37084.64</v>
      </c>
      <c r="M1146" s="52" t="n">
        <f aca="false">IF(AND(C1146="Sales",F1146="Standard-rated 5%"),L1146,0)</f>
        <v>0</v>
      </c>
      <c r="N1146" s="52" t="n">
        <f aca="false">IF(F1146="Reverse charge (imported services)",L1146,0)</f>
        <v>0</v>
      </c>
      <c r="O1146" s="52" t="n">
        <f aca="false">IF(C1146&lt;&gt;"Purchase",0,IF(OR(I1146="N",F1146="Blocked input (entertainment)"),0,L1146))</f>
        <v>37084.64</v>
      </c>
      <c r="P1146" s="52" t="n">
        <f aca="false">IF(C1146&lt;&gt;"Purchase",0,L1146-O1146)</f>
        <v>0</v>
      </c>
      <c r="Q1146" s="53" t="n">
        <f aca="false">J1146-B1146</f>
        <v>0</v>
      </c>
      <c r="R1146" s="51" t="str">
        <f aca="false">IF(I1146="N","Invalid / missing TRN",IF(F1146="Blocked input (entertainment)","Blocked input",IF(Q1146&gt;30,"Late posting (&gt;30d)","")))</f>
        <v/>
      </c>
    </row>
    <row r="1147" customFormat="false" ht="15" hidden="false" customHeight="false" outlineLevel="0" collapsed="false">
      <c r="A1147" s="47" t="s">
        <v>1433</v>
      </c>
      <c r="B1147" s="48" t="n">
        <v>45989</v>
      </c>
      <c r="C1147" s="47" t="s">
        <v>159</v>
      </c>
      <c r="D1147" s="47" t="s">
        <v>237</v>
      </c>
      <c r="E1147" s="47" t="s">
        <v>100</v>
      </c>
      <c r="F1147" s="47" t="s">
        <v>278</v>
      </c>
      <c r="G1147" s="49" t="n">
        <v>40727.43</v>
      </c>
      <c r="H1147" s="50" t="n">
        <v>0</v>
      </c>
      <c r="I1147" s="47" t="s">
        <v>162</v>
      </c>
      <c r="J1147" s="48" t="n">
        <v>45989</v>
      </c>
      <c r="K1147" s="51" t="str">
        <f aca="false">"Q"&amp;ROUNDUP(MONTH(B1147)/3,0)</f>
        <v>Q4</v>
      </c>
      <c r="L1147" s="52" t="n">
        <f aca="false">ROUND(G1147*H1147,2)</f>
        <v>0</v>
      </c>
      <c r="M1147" s="52" t="n">
        <f aca="false">IF(AND(C1147="Sales",F1147="Standard-rated 5%"),L1147,0)</f>
        <v>0</v>
      </c>
      <c r="N1147" s="52" t="n">
        <f aca="false">IF(F1147="Reverse charge (imported services)",L1147,0)</f>
        <v>0</v>
      </c>
      <c r="O1147" s="52" t="n">
        <f aca="false">IF(C1147&lt;&gt;"Purchase",0,IF(OR(I1147="N",F1147="Blocked input (entertainment)"),0,L1147))</f>
        <v>0</v>
      </c>
      <c r="P1147" s="52" t="n">
        <f aca="false">IF(C1147&lt;&gt;"Purchase",0,L1147-O1147)</f>
        <v>0</v>
      </c>
      <c r="Q1147" s="53" t="n">
        <f aca="false">J1147-B1147</f>
        <v>0</v>
      </c>
      <c r="R1147" s="51" t="str">
        <f aca="false">IF(I1147="N","Invalid / missing TRN",IF(F1147="Blocked input (entertainment)","Blocked input",IF(Q1147&gt;30,"Late posting (&gt;30d)","")))</f>
        <v/>
      </c>
    </row>
    <row r="1148" customFormat="false" ht="15" hidden="false" customHeight="false" outlineLevel="0" collapsed="false">
      <c r="A1148" s="47" t="s">
        <v>1434</v>
      </c>
      <c r="B1148" s="48" t="n">
        <v>45990</v>
      </c>
      <c r="C1148" s="47" t="s">
        <v>159</v>
      </c>
      <c r="D1148" s="47" t="s">
        <v>245</v>
      </c>
      <c r="E1148" s="47" t="s">
        <v>101</v>
      </c>
      <c r="F1148" s="47" t="s">
        <v>161</v>
      </c>
      <c r="G1148" s="49" t="n">
        <v>8085.14</v>
      </c>
      <c r="H1148" s="50" t="n">
        <v>0.05</v>
      </c>
      <c r="I1148" s="47" t="s">
        <v>162</v>
      </c>
      <c r="J1148" s="48" t="n">
        <v>45990</v>
      </c>
      <c r="K1148" s="51" t="str">
        <f aca="false">"Q"&amp;ROUNDUP(MONTH(B1148)/3,0)</f>
        <v>Q4</v>
      </c>
      <c r="L1148" s="52" t="n">
        <f aca="false">ROUND(G1148*H1148,2)</f>
        <v>404.26</v>
      </c>
      <c r="M1148" s="52" t="n">
        <f aca="false">IF(AND(C1148="Sales",F1148="Standard-rated 5%"),L1148,0)</f>
        <v>404.26</v>
      </c>
      <c r="N1148" s="52" t="n">
        <f aca="false">IF(F1148="Reverse charge (imported services)",L1148,0)</f>
        <v>0</v>
      </c>
      <c r="O1148" s="52" t="n">
        <f aca="false">IF(C1148&lt;&gt;"Purchase",0,IF(OR(I1148="N",F1148="Blocked input (entertainment)"),0,L1148))</f>
        <v>0</v>
      </c>
      <c r="P1148" s="52" t="n">
        <f aca="false">IF(C1148&lt;&gt;"Purchase",0,L1148-O1148)</f>
        <v>0</v>
      </c>
      <c r="Q1148" s="53" t="n">
        <f aca="false">J1148-B1148</f>
        <v>0</v>
      </c>
      <c r="R1148" s="51" t="str">
        <f aca="false">IF(I1148="N","Invalid / missing TRN",IF(F1148="Blocked input (entertainment)","Blocked input",IF(Q1148&gt;30,"Late posting (&gt;30d)","")))</f>
        <v/>
      </c>
    </row>
    <row r="1149" customFormat="false" ht="15" hidden="false" customHeight="false" outlineLevel="0" collapsed="false">
      <c r="A1149" s="47" t="s">
        <v>1435</v>
      </c>
      <c r="B1149" s="48" t="n">
        <v>45990</v>
      </c>
      <c r="C1149" s="47" t="s">
        <v>159</v>
      </c>
      <c r="D1149" s="47" t="s">
        <v>213</v>
      </c>
      <c r="E1149" s="47" t="s">
        <v>102</v>
      </c>
      <c r="F1149" s="47" t="s">
        <v>161</v>
      </c>
      <c r="G1149" s="49" t="n">
        <v>29558.82</v>
      </c>
      <c r="H1149" s="50" t="n">
        <v>0.05</v>
      </c>
      <c r="I1149" s="47" t="s">
        <v>162</v>
      </c>
      <c r="J1149" s="48" t="n">
        <v>45990</v>
      </c>
      <c r="K1149" s="51" t="str">
        <f aca="false">"Q"&amp;ROUNDUP(MONTH(B1149)/3,0)</f>
        <v>Q4</v>
      </c>
      <c r="L1149" s="52" t="n">
        <f aca="false">ROUND(G1149*H1149,2)</f>
        <v>1477.94</v>
      </c>
      <c r="M1149" s="52" t="n">
        <f aca="false">IF(AND(C1149="Sales",F1149="Standard-rated 5%"),L1149,0)</f>
        <v>1477.94</v>
      </c>
      <c r="N1149" s="52" t="n">
        <f aca="false">IF(F1149="Reverse charge (imported services)",L1149,0)</f>
        <v>0</v>
      </c>
      <c r="O1149" s="52" t="n">
        <f aca="false">IF(C1149&lt;&gt;"Purchase",0,IF(OR(I1149="N",F1149="Blocked input (entertainment)"),0,L1149))</f>
        <v>0</v>
      </c>
      <c r="P1149" s="52" t="n">
        <f aca="false">IF(C1149&lt;&gt;"Purchase",0,L1149-O1149)</f>
        <v>0</v>
      </c>
      <c r="Q1149" s="53" t="n">
        <f aca="false">J1149-B1149</f>
        <v>0</v>
      </c>
      <c r="R1149" s="51" t="str">
        <f aca="false">IF(I1149="N","Invalid / missing TRN",IF(F1149="Blocked input (entertainment)","Blocked input",IF(Q1149&gt;30,"Late posting (&gt;30d)","")))</f>
        <v/>
      </c>
    </row>
    <row r="1150" customFormat="false" ht="15" hidden="false" customHeight="false" outlineLevel="0" collapsed="false">
      <c r="A1150" s="47" t="s">
        <v>1436</v>
      </c>
      <c r="B1150" s="48" t="n">
        <v>45990</v>
      </c>
      <c r="C1150" s="47" t="s">
        <v>159</v>
      </c>
      <c r="D1150" s="47" t="s">
        <v>343</v>
      </c>
      <c r="E1150" s="47" t="s">
        <v>100</v>
      </c>
      <c r="F1150" s="47" t="s">
        <v>161</v>
      </c>
      <c r="G1150" s="49" t="n">
        <v>24923.29</v>
      </c>
      <c r="H1150" s="50" t="n">
        <v>0.05</v>
      </c>
      <c r="I1150" s="47" t="s">
        <v>162</v>
      </c>
      <c r="J1150" s="48" t="n">
        <v>45990</v>
      </c>
      <c r="K1150" s="51" t="str">
        <f aca="false">"Q"&amp;ROUNDUP(MONTH(B1150)/3,0)</f>
        <v>Q4</v>
      </c>
      <c r="L1150" s="52" t="n">
        <f aca="false">ROUND(G1150*H1150,2)</f>
        <v>1246.16</v>
      </c>
      <c r="M1150" s="52" t="n">
        <f aca="false">IF(AND(C1150="Sales",F1150="Standard-rated 5%"),L1150,0)</f>
        <v>1246.16</v>
      </c>
      <c r="N1150" s="52" t="n">
        <f aca="false">IF(F1150="Reverse charge (imported services)",L1150,0)</f>
        <v>0</v>
      </c>
      <c r="O1150" s="52" t="n">
        <f aca="false">IF(C1150&lt;&gt;"Purchase",0,IF(OR(I1150="N",F1150="Blocked input (entertainment)"),0,L1150))</f>
        <v>0</v>
      </c>
      <c r="P1150" s="52" t="n">
        <f aca="false">IF(C1150&lt;&gt;"Purchase",0,L1150-O1150)</f>
        <v>0</v>
      </c>
      <c r="Q1150" s="53" t="n">
        <f aca="false">J1150-B1150</f>
        <v>0</v>
      </c>
      <c r="R1150" s="51" t="str">
        <f aca="false">IF(I1150="N","Invalid / missing TRN",IF(F1150="Blocked input (entertainment)","Blocked input",IF(Q1150&gt;30,"Late posting (&gt;30d)","")))</f>
        <v/>
      </c>
    </row>
    <row r="1151" customFormat="false" ht="15" hidden="false" customHeight="false" outlineLevel="0" collapsed="false">
      <c r="A1151" s="47" t="s">
        <v>1437</v>
      </c>
      <c r="B1151" s="48" t="n">
        <v>45991</v>
      </c>
      <c r="C1151" s="47" t="s">
        <v>166</v>
      </c>
      <c r="D1151" s="47" t="s">
        <v>196</v>
      </c>
      <c r="E1151" s="47" t="s">
        <v>105</v>
      </c>
      <c r="F1151" s="47" t="s">
        <v>161</v>
      </c>
      <c r="G1151" s="49" t="n">
        <v>8752</v>
      </c>
      <c r="H1151" s="50" t="n">
        <v>0.05</v>
      </c>
      <c r="I1151" s="47" t="s">
        <v>162</v>
      </c>
      <c r="J1151" s="48" t="n">
        <v>45991</v>
      </c>
      <c r="K1151" s="51" t="str">
        <f aca="false">"Q"&amp;ROUNDUP(MONTH(B1151)/3,0)</f>
        <v>Q4</v>
      </c>
      <c r="L1151" s="52" t="n">
        <f aca="false">ROUND(G1151*H1151,2)</f>
        <v>437.6</v>
      </c>
      <c r="M1151" s="52" t="n">
        <f aca="false">IF(AND(C1151="Sales",F1151="Standard-rated 5%"),L1151,0)</f>
        <v>0</v>
      </c>
      <c r="N1151" s="52" t="n">
        <f aca="false">IF(F1151="Reverse charge (imported services)",L1151,0)</f>
        <v>0</v>
      </c>
      <c r="O1151" s="52" t="n">
        <f aca="false">IF(C1151&lt;&gt;"Purchase",0,IF(OR(I1151="N",F1151="Blocked input (entertainment)"),0,L1151))</f>
        <v>437.6</v>
      </c>
      <c r="P1151" s="52" t="n">
        <f aca="false">IF(C1151&lt;&gt;"Purchase",0,L1151-O1151)</f>
        <v>0</v>
      </c>
      <c r="Q1151" s="53" t="n">
        <f aca="false">J1151-B1151</f>
        <v>0</v>
      </c>
      <c r="R1151" s="51" t="str">
        <f aca="false">IF(I1151="N","Invalid / missing TRN",IF(F1151="Blocked input (entertainment)","Blocked input",IF(Q1151&gt;30,"Late posting (&gt;30d)","")))</f>
        <v/>
      </c>
    </row>
    <row r="1152" customFormat="false" ht="15" hidden="false" customHeight="false" outlineLevel="0" collapsed="false">
      <c r="A1152" s="47" t="s">
        <v>1438</v>
      </c>
      <c r="B1152" s="48" t="n">
        <v>45991</v>
      </c>
      <c r="C1152" s="47" t="s">
        <v>166</v>
      </c>
      <c r="D1152" s="47" t="s">
        <v>227</v>
      </c>
      <c r="E1152" s="47" t="s">
        <v>100</v>
      </c>
      <c r="F1152" s="47" t="s">
        <v>161</v>
      </c>
      <c r="G1152" s="49" t="n">
        <v>22249.41</v>
      </c>
      <c r="H1152" s="50" t="n">
        <v>0.05</v>
      </c>
      <c r="I1152" s="47" t="s">
        <v>162</v>
      </c>
      <c r="J1152" s="48" t="n">
        <v>45991</v>
      </c>
      <c r="K1152" s="51" t="str">
        <f aca="false">"Q"&amp;ROUNDUP(MONTH(B1152)/3,0)</f>
        <v>Q4</v>
      </c>
      <c r="L1152" s="52" t="n">
        <f aca="false">ROUND(G1152*H1152,2)</f>
        <v>1112.47</v>
      </c>
      <c r="M1152" s="52" t="n">
        <f aca="false">IF(AND(C1152="Sales",F1152="Standard-rated 5%"),L1152,0)</f>
        <v>0</v>
      </c>
      <c r="N1152" s="52" t="n">
        <f aca="false">IF(F1152="Reverse charge (imported services)",L1152,0)</f>
        <v>0</v>
      </c>
      <c r="O1152" s="52" t="n">
        <f aca="false">IF(C1152&lt;&gt;"Purchase",0,IF(OR(I1152="N",F1152="Blocked input (entertainment)"),0,L1152))</f>
        <v>1112.47</v>
      </c>
      <c r="P1152" s="52" t="n">
        <f aca="false">IF(C1152&lt;&gt;"Purchase",0,L1152-O1152)</f>
        <v>0</v>
      </c>
      <c r="Q1152" s="53" t="n">
        <f aca="false">J1152-B1152</f>
        <v>0</v>
      </c>
      <c r="R1152" s="51" t="str">
        <f aca="false">IF(I1152="N","Invalid / missing TRN",IF(F1152="Blocked input (entertainment)","Blocked input",IF(Q1152&gt;30,"Late posting (&gt;30d)","")))</f>
        <v/>
      </c>
    </row>
    <row r="1153" customFormat="false" ht="15" hidden="false" customHeight="false" outlineLevel="0" collapsed="false">
      <c r="A1153" s="47" t="s">
        <v>1439</v>
      </c>
      <c r="B1153" s="48" t="n">
        <v>45991</v>
      </c>
      <c r="C1153" s="47" t="s">
        <v>159</v>
      </c>
      <c r="D1153" s="47" t="s">
        <v>490</v>
      </c>
      <c r="E1153" s="47" t="s">
        <v>100</v>
      </c>
      <c r="F1153" s="47" t="s">
        <v>161</v>
      </c>
      <c r="G1153" s="49" t="n">
        <v>40170.66</v>
      </c>
      <c r="H1153" s="50" t="n">
        <v>0.05</v>
      </c>
      <c r="I1153" s="47" t="s">
        <v>162</v>
      </c>
      <c r="J1153" s="48" t="n">
        <v>45993</v>
      </c>
      <c r="K1153" s="51" t="str">
        <f aca="false">"Q"&amp;ROUNDUP(MONTH(B1153)/3,0)</f>
        <v>Q4</v>
      </c>
      <c r="L1153" s="52" t="n">
        <f aca="false">ROUND(G1153*H1153,2)</f>
        <v>2008.53</v>
      </c>
      <c r="M1153" s="52" t="n">
        <f aca="false">IF(AND(C1153="Sales",F1153="Standard-rated 5%"),L1153,0)</f>
        <v>2008.53</v>
      </c>
      <c r="N1153" s="52" t="n">
        <f aca="false">IF(F1153="Reverse charge (imported services)",L1153,0)</f>
        <v>0</v>
      </c>
      <c r="O1153" s="52" t="n">
        <f aca="false">IF(C1153&lt;&gt;"Purchase",0,IF(OR(I1153="N",F1153="Blocked input (entertainment)"),0,L1153))</f>
        <v>0</v>
      </c>
      <c r="P1153" s="52" t="n">
        <f aca="false">IF(C1153&lt;&gt;"Purchase",0,L1153-O1153)</f>
        <v>0</v>
      </c>
      <c r="Q1153" s="53" t="n">
        <f aca="false">J1153-B1153</f>
        <v>2</v>
      </c>
      <c r="R1153" s="51" t="str">
        <f aca="false">IF(I1153="N","Invalid / missing TRN",IF(F1153="Blocked input (entertainment)","Blocked input",IF(Q1153&gt;30,"Late posting (&gt;30d)","")))</f>
        <v/>
      </c>
    </row>
    <row r="1154" customFormat="false" ht="15" hidden="false" customHeight="false" outlineLevel="0" collapsed="false">
      <c r="A1154" s="47" t="s">
        <v>1440</v>
      </c>
      <c r="B1154" s="48" t="n">
        <v>45991</v>
      </c>
      <c r="C1154" s="47" t="s">
        <v>159</v>
      </c>
      <c r="D1154" s="47" t="s">
        <v>204</v>
      </c>
      <c r="E1154" s="47" t="s">
        <v>100</v>
      </c>
      <c r="F1154" s="47" t="s">
        <v>161</v>
      </c>
      <c r="G1154" s="49" t="n">
        <v>50216.93</v>
      </c>
      <c r="H1154" s="50" t="n">
        <v>0.05</v>
      </c>
      <c r="I1154" s="47" t="s">
        <v>162</v>
      </c>
      <c r="J1154" s="48" t="n">
        <v>45991</v>
      </c>
      <c r="K1154" s="51" t="str">
        <f aca="false">"Q"&amp;ROUNDUP(MONTH(B1154)/3,0)</f>
        <v>Q4</v>
      </c>
      <c r="L1154" s="52" t="n">
        <f aca="false">ROUND(G1154*H1154,2)</f>
        <v>2510.85</v>
      </c>
      <c r="M1154" s="52" t="n">
        <f aca="false">IF(AND(C1154="Sales",F1154="Standard-rated 5%"),L1154,0)</f>
        <v>2510.85</v>
      </c>
      <c r="N1154" s="52" t="n">
        <f aca="false">IF(F1154="Reverse charge (imported services)",L1154,0)</f>
        <v>0</v>
      </c>
      <c r="O1154" s="52" t="n">
        <f aca="false">IF(C1154&lt;&gt;"Purchase",0,IF(OR(I1154="N",F1154="Blocked input (entertainment)"),0,L1154))</f>
        <v>0</v>
      </c>
      <c r="P1154" s="52" t="n">
        <f aca="false">IF(C1154&lt;&gt;"Purchase",0,L1154-O1154)</f>
        <v>0</v>
      </c>
      <c r="Q1154" s="53" t="n">
        <f aca="false">J1154-B1154</f>
        <v>0</v>
      </c>
      <c r="R1154" s="51" t="str">
        <f aca="false">IF(I1154="N","Invalid / missing TRN",IF(F1154="Blocked input (entertainment)","Blocked input",IF(Q1154&gt;30,"Late posting (&gt;30d)","")))</f>
        <v/>
      </c>
    </row>
    <row r="1155" customFormat="false" ht="15" hidden="false" customHeight="false" outlineLevel="0" collapsed="false">
      <c r="A1155" s="47" t="s">
        <v>1441</v>
      </c>
      <c r="B1155" s="48" t="n">
        <v>45991</v>
      </c>
      <c r="C1155" s="47" t="s">
        <v>159</v>
      </c>
      <c r="D1155" s="47" t="s">
        <v>293</v>
      </c>
      <c r="E1155" s="47" t="s">
        <v>101</v>
      </c>
      <c r="F1155" s="47" t="s">
        <v>278</v>
      </c>
      <c r="G1155" s="49" t="n">
        <v>28723.03</v>
      </c>
      <c r="H1155" s="50" t="n">
        <v>0</v>
      </c>
      <c r="I1155" s="47" t="s">
        <v>162</v>
      </c>
      <c r="J1155" s="48" t="n">
        <v>45991</v>
      </c>
      <c r="K1155" s="51" t="str">
        <f aca="false">"Q"&amp;ROUNDUP(MONTH(B1155)/3,0)</f>
        <v>Q4</v>
      </c>
      <c r="L1155" s="52" t="n">
        <f aca="false">ROUND(G1155*H1155,2)</f>
        <v>0</v>
      </c>
      <c r="M1155" s="52" t="n">
        <f aca="false">IF(AND(C1155="Sales",F1155="Standard-rated 5%"),L1155,0)</f>
        <v>0</v>
      </c>
      <c r="N1155" s="52" t="n">
        <f aca="false">IF(F1155="Reverse charge (imported services)",L1155,0)</f>
        <v>0</v>
      </c>
      <c r="O1155" s="52" t="n">
        <f aca="false">IF(C1155&lt;&gt;"Purchase",0,IF(OR(I1155="N",F1155="Blocked input (entertainment)"),0,L1155))</f>
        <v>0</v>
      </c>
      <c r="P1155" s="52" t="n">
        <f aca="false">IF(C1155&lt;&gt;"Purchase",0,L1155-O1155)</f>
        <v>0</v>
      </c>
      <c r="Q1155" s="53" t="n">
        <f aca="false">J1155-B1155</f>
        <v>0</v>
      </c>
      <c r="R1155" s="51" t="str">
        <f aca="false">IF(I1155="N","Invalid / missing TRN",IF(F1155="Blocked input (entertainment)","Blocked input",IF(Q1155&gt;30,"Late posting (&gt;30d)","")))</f>
        <v/>
      </c>
    </row>
    <row r="1156" customFormat="false" ht="15" hidden="false" customHeight="false" outlineLevel="0" collapsed="false">
      <c r="A1156" s="47" t="s">
        <v>1442</v>
      </c>
      <c r="B1156" s="48" t="n">
        <v>45992</v>
      </c>
      <c r="C1156" s="47" t="s">
        <v>166</v>
      </c>
      <c r="D1156" s="47" t="s">
        <v>181</v>
      </c>
      <c r="E1156" s="47" t="s">
        <v>101</v>
      </c>
      <c r="F1156" s="47" t="s">
        <v>161</v>
      </c>
      <c r="G1156" s="49" t="n">
        <v>16994.65</v>
      </c>
      <c r="H1156" s="50" t="n">
        <v>0.05</v>
      </c>
      <c r="I1156" s="47" t="s">
        <v>162</v>
      </c>
      <c r="J1156" s="48" t="n">
        <v>45992</v>
      </c>
      <c r="K1156" s="51" t="str">
        <f aca="false">"Q"&amp;ROUNDUP(MONTH(B1156)/3,0)</f>
        <v>Q4</v>
      </c>
      <c r="L1156" s="52" t="n">
        <f aca="false">ROUND(G1156*H1156,2)</f>
        <v>849.73</v>
      </c>
      <c r="M1156" s="52" t="n">
        <f aca="false">IF(AND(C1156="Sales",F1156="Standard-rated 5%"),L1156,0)</f>
        <v>0</v>
      </c>
      <c r="N1156" s="52" t="n">
        <f aca="false">IF(F1156="Reverse charge (imported services)",L1156,0)</f>
        <v>0</v>
      </c>
      <c r="O1156" s="52" t="n">
        <f aca="false">IF(C1156&lt;&gt;"Purchase",0,IF(OR(I1156="N",F1156="Blocked input (entertainment)"),0,L1156))</f>
        <v>849.73</v>
      </c>
      <c r="P1156" s="52" t="n">
        <f aca="false">IF(C1156&lt;&gt;"Purchase",0,L1156-O1156)</f>
        <v>0</v>
      </c>
      <c r="Q1156" s="53" t="n">
        <f aca="false">J1156-B1156</f>
        <v>0</v>
      </c>
      <c r="R1156" s="51" t="str">
        <f aca="false">IF(I1156="N","Invalid / missing TRN",IF(F1156="Blocked input (entertainment)","Blocked input",IF(Q1156&gt;30,"Late posting (&gt;30d)","")))</f>
        <v/>
      </c>
    </row>
    <row r="1157" customFormat="false" ht="15" hidden="false" customHeight="false" outlineLevel="0" collapsed="false">
      <c r="A1157" s="47" t="s">
        <v>1443</v>
      </c>
      <c r="B1157" s="48" t="n">
        <v>45992</v>
      </c>
      <c r="C1157" s="47" t="s">
        <v>166</v>
      </c>
      <c r="D1157" s="47" t="s">
        <v>557</v>
      </c>
      <c r="E1157" s="47" t="s">
        <v>101</v>
      </c>
      <c r="F1157" s="47" t="s">
        <v>173</v>
      </c>
      <c r="G1157" s="49" t="n">
        <v>37627.21</v>
      </c>
      <c r="H1157" s="50" t="n">
        <v>0.05</v>
      </c>
      <c r="I1157" s="47" t="s">
        <v>162</v>
      </c>
      <c r="J1157" s="48" t="n">
        <v>45992</v>
      </c>
      <c r="K1157" s="51" t="str">
        <f aca="false">"Q"&amp;ROUNDUP(MONTH(B1157)/3,0)</f>
        <v>Q4</v>
      </c>
      <c r="L1157" s="52" t="n">
        <f aca="false">ROUND(G1157*H1157,2)</f>
        <v>1881.36</v>
      </c>
      <c r="M1157" s="52" t="n">
        <f aca="false">IF(AND(C1157="Sales",F1157="Standard-rated 5%"),L1157,0)</f>
        <v>0</v>
      </c>
      <c r="N1157" s="52" t="n">
        <f aca="false">IF(F1157="Reverse charge (imported services)",L1157,0)</f>
        <v>1881.36</v>
      </c>
      <c r="O1157" s="52" t="n">
        <f aca="false">IF(C1157&lt;&gt;"Purchase",0,IF(OR(I1157="N",F1157="Blocked input (entertainment)"),0,L1157))</f>
        <v>1881.36</v>
      </c>
      <c r="P1157" s="52" t="n">
        <f aca="false">IF(C1157&lt;&gt;"Purchase",0,L1157-O1157)</f>
        <v>0</v>
      </c>
      <c r="Q1157" s="53" t="n">
        <f aca="false">J1157-B1157</f>
        <v>0</v>
      </c>
      <c r="R1157" s="51" t="str">
        <f aca="false">IF(I1157="N","Invalid / missing TRN",IF(F1157="Blocked input (entertainment)","Blocked input",IF(Q1157&gt;30,"Late posting (&gt;30d)","")))</f>
        <v/>
      </c>
    </row>
    <row r="1158" customFormat="false" ht="15" hidden="false" customHeight="false" outlineLevel="0" collapsed="false">
      <c r="A1158" s="47" t="s">
        <v>1444</v>
      </c>
      <c r="B1158" s="48" t="n">
        <v>45992</v>
      </c>
      <c r="C1158" s="47" t="s">
        <v>159</v>
      </c>
      <c r="D1158" s="47" t="s">
        <v>283</v>
      </c>
      <c r="E1158" s="47" t="s">
        <v>100</v>
      </c>
      <c r="F1158" s="47" t="s">
        <v>161</v>
      </c>
      <c r="G1158" s="49" t="n">
        <v>63922.42</v>
      </c>
      <c r="H1158" s="50" t="n">
        <v>0.05</v>
      </c>
      <c r="I1158" s="47" t="s">
        <v>162</v>
      </c>
      <c r="J1158" s="48" t="n">
        <v>46032</v>
      </c>
      <c r="K1158" s="51" t="str">
        <f aca="false">"Q"&amp;ROUNDUP(MONTH(B1158)/3,0)</f>
        <v>Q4</v>
      </c>
      <c r="L1158" s="52" t="n">
        <f aca="false">ROUND(G1158*H1158,2)</f>
        <v>3196.12</v>
      </c>
      <c r="M1158" s="52" t="n">
        <f aca="false">IF(AND(C1158="Sales",F1158="Standard-rated 5%"),L1158,0)</f>
        <v>3196.12</v>
      </c>
      <c r="N1158" s="52" t="n">
        <f aca="false">IF(F1158="Reverse charge (imported services)",L1158,0)</f>
        <v>0</v>
      </c>
      <c r="O1158" s="52" t="n">
        <f aca="false">IF(C1158&lt;&gt;"Purchase",0,IF(OR(I1158="N",F1158="Blocked input (entertainment)"),0,L1158))</f>
        <v>0</v>
      </c>
      <c r="P1158" s="52" t="n">
        <f aca="false">IF(C1158&lt;&gt;"Purchase",0,L1158-O1158)</f>
        <v>0</v>
      </c>
      <c r="Q1158" s="53" t="n">
        <f aca="false">J1158-B1158</f>
        <v>40</v>
      </c>
      <c r="R1158" s="51" t="str">
        <f aca="false">IF(I1158="N","Invalid / missing TRN",IF(F1158="Blocked input (entertainment)","Blocked input",IF(Q1158&gt;30,"Late posting (&gt;30d)","")))</f>
        <v>Late posting (&gt;30d)</v>
      </c>
    </row>
    <row r="1159" customFormat="false" ht="15" hidden="false" customHeight="false" outlineLevel="0" collapsed="false">
      <c r="A1159" s="47" t="s">
        <v>1445</v>
      </c>
      <c r="B1159" s="48" t="n">
        <v>45992</v>
      </c>
      <c r="C1159" s="47" t="s">
        <v>159</v>
      </c>
      <c r="D1159" s="47" t="s">
        <v>401</v>
      </c>
      <c r="E1159" s="47" t="s">
        <v>101</v>
      </c>
      <c r="F1159" s="47" t="s">
        <v>301</v>
      </c>
      <c r="G1159" s="49" t="n">
        <v>38514.83</v>
      </c>
      <c r="H1159" s="50" t="n">
        <v>0</v>
      </c>
      <c r="I1159" s="47" t="s">
        <v>162</v>
      </c>
      <c r="J1159" s="48" t="n">
        <v>45992</v>
      </c>
      <c r="K1159" s="51" t="str">
        <f aca="false">"Q"&amp;ROUNDUP(MONTH(B1159)/3,0)</f>
        <v>Q4</v>
      </c>
      <c r="L1159" s="52" t="n">
        <f aca="false">ROUND(G1159*H1159,2)</f>
        <v>0</v>
      </c>
      <c r="M1159" s="52" t="n">
        <f aca="false">IF(AND(C1159="Sales",F1159="Standard-rated 5%"),L1159,0)</f>
        <v>0</v>
      </c>
      <c r="N1159" s="52" t="n">
        <f aca="false">IF(F1159="Reverse charge (imported services)",L1159,0)</f>
        <v>0</v>
      </c>
      <c r="O1159" s="52" t="n">
        <f aca="false">IF(C1159&lt;&gt;"Purchase",0,IF(OR(I1159="N",F1159="Blocked input (entertainment)"),0,L1159))</f>
        <v>0</v>
      </c>
      <c r="P1159" s="52" t="n">
        <f aca="false">IF(C1159&lt;&gt;"Purchase",0,L1159-O1159)</f>
        <v>0</v>
      </c>
      <c r="Q1159" s="53" t="n">
        <f aca="false">J1159-B1159</f>
        <v>0</v>
      </c>
      <c r="R1159" s="51" t="str">
        <f aca="false">IF(I1159="N","Invalid / missing TRN",IF(F1159="Blocked input (entertainment)","Blocked input",IF(Q1159&gt;30,"Late posting (&gt;30d)","")))</f>
        <v/>
      </c>
    </row>
    <row r="1160" customFormat="false" ht="15" hidden="false" customHeight="false" outlineLevel="0" collapsed="false">
      <c r="A1160" s="47" t="s">
        <v>1446</v>
      </c>
      <c r="B1160" s="48" t="n">
        <v>45993</v>
      </c>
      <c r="C1160" s="47" t="s">
        <v>166</v>
      </c>
      <c r="D1160" s="47" t="s">
        <v>462</v>
      </c>
      <c r="E1160" s="47" t="s">
        <v>100</v>
      </c>
      <c r="F1160" s="47" t="s">
        <v>170</v>
      </c>
      <c r="G1160" s="49" t="n">
        <v>35300.84</v>
      </c>
      <c r="H1160" s="50" t="n">
        <v>0.05</v>
      </c>
      <c r="I1160" s="47" t="s">
        <v>162</v>
      </c>
      <c r="J1160" s="48" t="n">
        <v>45998</v>
      </c>
      <c r="K1160" s="51" t="str">
        <f aca="false">"Q"&amp;ROUNDUP(MONTH(B1160)/3,0)</f>
        <v>Q4</v>
      </c>
      <c r="L1160" s="52" t="n">
        <f aca="false">ROUND(G1160*H1160,2)</f>
        <v>1765.04</v>
      </c>
      <c r="M1160" s="52" t="n">
        <f aca="false">IF(AND(C1160="Sales",F1160="Standard-rated 5%"),L1160,0)</f>
        <v>0</v>
      </c>
      <c r="N1160" s="52" t="n">
        <f aca="false">IF(F1160="Reverse charge (imported services)",L1160,0)</f>
        <v>0</v>
      </c>
      <c r="O1160" s="52" t="n">
        <f aca="false">IF(C1160&lt;&gt;"Purchase",0,IF(OR(I1160="N",F1160="Blocked input (entertainment)"),0,L1160))</f>
        <v>0</v>
      </c>
      <c r="P1160" s="52" t="n">
        <f aca="false">IF(C1160&lt;&gt;"Purchase",0,L1160-O1160)</f>
        <v>1765.04</v>
      </c>
      <c r="Q1160" s="53" t="n">
        <f aca="false">J1160-B1160</f>
        <v>5</v>
      </c>
      <c r="R1160" s="51" t="str">
        <f aca="false">IF(I1160="N","Invalid / missing TRN",IF(F1160="Blocked input (entertainment)","Blocked input",IF(Q1160&gt;30,"Late posting (&gt;30d)","")))</f>
        <v>Blocked input</v>
      </c>
    </row>
    <row r="1161" customFormat="false" ht="15" hidden="false" customHeight="false" outlineLevel="0" collapsed="false">
      <c r="A1161" s="47" t="s">
        <v>1447</v>
      </c>
      <c r="B1161" s="48" t="n">
        <v>45993</v>
      </c>
      <c r="C1161" s="47" t="s">
        <v>159</v>
      </c>
      <c r="D1161" s="47" t="s">
        <v>364</v>
      </c>
      <c r="E1161" s="47" t="s">
        <v>100</v>
      </c>
      <c r="F1161" s="47" t="s">
        <v>161</v>
      </c>
      <c r="G1161" s="49" t="n">
        <v>72990.88</v>
      </c>
      <c r="H1161" s="50" t="n">
        <v>0.05</v>
      </c>
      <c r="I1161" s="47" t="s">
        <v>162</v>
      </c>
      <c r="J1161" s="48" t="n">
        <v>45993</v>
      </c>
      <c r="K1161" s="51" t="str">
        <f aca="false">"Q"&amp;ROUNDUP(MONTH(B1161)/3,0)</f>
        <v>Q4</v>
      </c>
      <c r="L1161" s="52" t="n">
        <f aca="false">ROUND(G1161*H1161,2)</f>
        <v>3649.54</v>
      </c>
      <c r="M1161" s="52" t="n">
        <f aca="false">IF(AND(C1161="Sales",F1161="Standard-rated 5%"),L1161,0)</f>
        <v>3649.54</v>
      </c>
      <c r="N1161" s="52" t="n">
        <f aca="false">IF(F1161="Reverse charge (imported services)",L1161,0)</f>
        <v>0</v>
      </c>
      <c r="O1161" s="52" t="n">
        <f aca="false">IF(C1161&lt;&gt;"Purchase",0,IF(OR(I1161="N",F1161="Blocked input (entertainment)"),0,L1161))</f>
        <v>0</v>
      </c>
      <c r="P1161" s="52" t="n">
        <f aca="false">IF(C1161&lt;&gt;"Purchase",0,L1161-O1161)</f>
        <v>0</v>
      </c>
      <c r="Q1161" s="53" t="n">
        <f aca="false">J1161-B1161</f>
        <v>0</v>
      </c>
      <c r="R1161" s="51" t="str">
        <f aca="false">IF(I1161="N","Invalid / missing TRN",IF(F1161="Blocked input (entertainment)","Blocked input",IF(Q1161&gt;30,"Late posting (&gt;30d)","")))</f>
        <v/>
      </c>
    </row>
    <row r="1162" customFormat="false" ht="15" hidden="false" customHeight="false" outlineLevel="0" collapsed="false">
      <c r="A1162" s="47" t="s">
        <v>1448</v>
      </c>
      <c r="B1162" s="48" t="n">
        <v>45993</v>
      </c>
      <c r="C1162" s="47" t="s">
        <v>159</v>
      </c>
      <c r="D1162" s="47" t="s">
        <v>317</v>
      </c>
      <c r="E1162" s="47" t="s">
        <v>101</v>
      </c>
      <c r="F1162" s="47" t="s">
        <v>161</v>
      </c>
      <c r="G1162" s="49" t="n">
        <v>51979.41</v>
      </c>
      <c r="H1162" s="50" t="n">
        <v>0.05</v>
      </c>
      <c r="I1162" s="47" t="s">
        <v>162</v>
      </c>
      <c r="J1162" s="48" t="n">
        <v>45994</v>
      </c>
      <c r="K1162" s="51" t="str">
        <f aca="false">"Q"&amp;ROUNDUP(MONTH(B1162)/3,0)</f>
        <v>Q4</v>
      </c>
      <c r="L1162" s="52" t="n">
        <f aca="false">ROUND(G1162*H1162,2)</f>
        <v>2598.97</v>
      </c>
      <c r="M1162" s="52" t="n">
        <f aca="false">IF(AND(C1162="Sales",F1162="Standard-rated 5%"),L1162,0)</f>
        <v>2598.97</v>
      </c>
      <c r="N1162" s="52" t="n">
        <f aca="false">IF(F1162="Reverse charge (imported services)",L1162,0)</f>
        <v>0</v>
      </c>
      <c r="O1162" s="52" t="n">
        <f aca="false">IF(C1162&lt;&gt;"Purchase",0,IF(OR(I1162="N",F1162="Blocked input (entertainment)"),0,L1162))</f>
        <v>0</v>
      </c>
      <c r="P1162" s="52" t="n">
        <f aca="false">IF(C1162&lt;&gt;"Purchase",0,L1162-O1162)</f>
        <v>0</v>
      </c>
      <c r="Q1162" s="53" t="n">
        <f aca="false">J1162-B1162</f>
        <v>1</v>
      </c>
      <c r="R1162" s="51" t="str">
        <f aca="false">IF(I1162="N","Invalid / missing TRN",IF(F1162="Blocked input (entertainment)","Blocked input",IF(Q1162&gt;30,"Late posting (&gt;30d)","")))</f>
        <v/>
      </c>
    </row>
    <row r="1163" customFormat="false" ht="15" hidden="false" customHeight="false" outlineLevel="0" collapsed="false">
      <c r="A1163" s="47" t="s">
        <v>1449</v>
      </c>
      <c r="B1163" s="48" t="n">
        <v>45993</v>
      </c>
      <c r="C1163" s="47" t="s">
        <v>159</v>
      </c>
      <c r="D1163" s="47" t="s">
        <v>532</v>
      </c>
      <c r="E1163" s="47" t="s">
        <v>103</v>
      </c>
      <c r="F1163" s="47" t="s">
        <v>161</v>
      </c>
      <c r="G1163" s="49" t="n">
        <v>13583.42</v>
      </c>
      <c r="H1163" s="50" t="n">
        <v>0.05</v>
      </c>
      <c r="I1163" s="47" t="s">
        <v>162</v>
      </c>
      <c r="J1163" s="48" t="n">
        <v>45993</v>
      </c>
      <c r="K1163" s="51" t="str">
        <f aca="false">"Q"&amp;ROUNDUP(MONTH(B1163)/3,0)</f>
        <v>Q4</v>
      </c>
      <c r="L1163" s="52" t="n">
        <f aca="false">ROUND(G1163*H1163,2)</f>
        <v>679.17</v>
      </c>
      <c r="M1163" s="52" t="n">
        <f aca="false">IF(AND(C1163="Sales",F1163="Standard-rated 5%"),L1163,0)</f>
        <v>679.17</v>
      </c>
      <c r="N1163" s="52" t="n">
        <f aca="false">IF(F1163="Reverse charge (imported services)",L1163,0)</f>
        <v>0</v>
      </c>
      <c r="O1163" s="52" t="n">
        <f aca="false">IF(C1163&lt;&gt;"Purchase",0,IF(OR(I1163="N",F1163="Blocked input (entertainment)"),0,L1163))</f>
        <v>0</v>
      </c>
      <c r="P1163" s="52" t="n">
        <f aca="false">IF(C1163&lt;&gt;"Purchase",0,L1163-O1163)</f>
        <v>0</v>
      </c>
      <c r="Q1163" s="53" t="n">
        <f aca="false">J1163-B1163</f>
        <v>0</v>
      </c>
      <c r="R1163" s="51" t="str">
        <f aca="false">IF(I1163="N","Invalid / missing TRN",IF(F1163="Blocked input (entertainment)","Blocked input",IF(Q1163&gt;30,"Late posting (&gt;30d)","")))</f>
        <v/>
      </c>
    </row>
    <row r="1164" customFormat="false" ht="15" hidden="false" customHeight="false" outlineLevel="0" collapsed="false">
      <c r="A1164" s="47" t="s">
        <v>1450</v>
      </c>
      <c r="B1164" s="48" t="n">
        <v>45994</v>
      </c>
      <c r="C1164" s="47" t="s">
        <v>166</v>
      </c>
      <c r="D1164" s="47" t="s">
        <v>460</v>
      </c>
      <c r="E1164" s="47" t="s">
        <v>101</v>
      </c>
      <c r="F1164" s="47" t="s">
        <v>268</v>
      </c>
      <c r="G1164" s="49" t="n">
        <v>7246.92</v>
      </c>
      <c r="H1164" s="50" t="n">
        <v>0</v>
      </c>
      <c r="I1164" s="47" t="s">
        <v>162</v>
      </c>
      <c r="J1164" s="48" t="n">
        <v>45994</v>
      </c>
      <c r="K1164" s="51" t="str">
        <f aca="false">"Q"&amp;ROUNDUP(MONTH(B1164)/3,0)</f>
        <v>Q4</v>
      </c>
      <c r="L1164" s="52" t="n">
        <f aca="false">ROUND(G1164*H1164,2)</f>
        <v>0</v>
      </c>
      <c r="M1164" s="52" t="n">
        <f aca="false">IF(AND(C1164="Sales",F1164="Standard-rated 5%"),L1164,0)</f>
        <v>0</v>
      </c>
      <c r="N1164" s="52" t="n">
        <f aca="false">IF(F1164="Reverse charge (imported services)",L1164,0)</f>
        <v>0</v>
      </c>
      <c r="O1164" s="52" t="n">
        <f aca="false">IF(C1164&lt;&gt;"Purchase",0,IF(OR(I1164="N",F1164="Blocked input (entertainment)"),0,L1164))</f>
        <v>0</v>
      </c>
      <c r="P1164" s="52" t="n">
        <f aca="false">IF(C1164&lt;&gt;"Purchase",0,L1164-O1164)</f>
        <v>0</v>
      </c>
      <c r="Q1164" s="53" t="n">
        <f aca="false">J1164-B1164</f>
        <v>0</v>
      </c>
      <c r="R1164" s="51" t="str">
        <f aca="false">IF(I1164="N","Invalid / missing TRN",IF(F1164="Blocked input (entertainment)","Blocked input",IF(Q1164&gt;30,"Late posting (&gt;30d)","")))</f>
        <v/>
      </c>
    </row>
    <row r="1165" customFormat="false" ht="15" hidden="false" customHeight="false" outlineLevel="0" collapsed="false">
      <c r="A1165" s="47" t="s">
        <v>1451</v>
      </c>
      <c r="B1165" s="48" t="n">
        <v>45994</v>
      </c>
      <c r="C1165" s="47" t="s">
        <v>166</v>
      </c>
      <c r="D1165" s="47" t="s">
        <v>649</v>
      </c>
      <c r="E1165" s="47" t="s">
        <v>105</v>
      </c>
      <c r="F1165" s="47" t="s">
        <v>337</v>
      </c>
      <c r="G1165" s="49" t="n">
        <v>7654.45</v>
      </c>
      <c r="H1165" s="50" t="n">
        <v>0</v>
      </c>
      <c r="I1165" s="47" t="s">
        <v>162</v>
      </c>
      <c r="J1165" s="48" t="n">
        <v>45994</v>
      </c>
      <c r="K1165" s="51" t="str">
        <f aca="false">"Q"&amp;ROUNDUP(MONTH(B1165)/3,0)</f>
        <v>Q4</v>
      </c>
      <c r="L1165" s="52" t="n">
        <f aca="false">ROUND(G1165*H1165,2)</f>
        <v>0</v>
      </c>
      <c r="M1165" s="52" t="n">
        <f aca="false">IF(AND(C1165="Sales",F1165="Standard-rated 5%"),L1165,0)</f>
        <v>0</v>
      </c>
      <c r="N1165" s="52" t="n">
        <f aca="false">IF(F1165="Reverse charge (imported services)",L1165,0)</f>
        <v>0</v>
      </c>
      <c r="O1165" s="52" t="n">
        <f aca="false">IF(C1165&lt;&gt;"Purchase",0,IF(OR(I1165="N",F1165="Blocked input (entertainment)"),0,L1165))</f>
        <v>0</v>
      </c>
      <c r="P1165" s="52" t="n">
        <f aca="false">IF(C1165&lt;&gt;"Purchase",0,L1165-O1165)</f>
        <v>0</v>
      </c>
      <c r="Q1165" s="53" t="n">
        <f aca="false">J1165-B1165</f>
        <v>0</v>
      </c>
      <c r="R1165" s="51" t="str">
        <f aca="false">IF(I1165="N","Invalid / missing TRN",IF(F1165="Blocked input (entertainment)","Blocked input",IF(Q1165&gt;30,"Late posting (&gt;30d)","")))</f>
        <v/>
      </c>
    </row>
    <row r="1166" customFormat="false" ht="15" hidden="false" customHeight="false" outlineLevel="0" collapsed="false">
      <c r="A1166" s="47" t="s">
        <v>1452</v>
      </c>
      <c r="B1166" s="48" t="n">
        <v>45994</v>
      </c>
      <c r="C1166" s="47" t="s">
        <v>166</v>
      </c>
      <c r="D1166" s="47" t="s">
        <v>295</v>
      </c>
      <c r="E1166" s="47" t="s">
        <v>101</v>
      </c>
      <c r="F1166" s="47" t="s">
        <v>392</v>
      </c>
      <c r="G1166" s="49" t="n">
        <v>163319.08</v>
      </c>
      <c r="H1166" s="50" t="n">
        <v>0.05</v>
      </c>
      <c r="I1166" s="47" t="s">
        <v>162</v>
      </c>
      <c r="J1166" s="48" t="n">
        <v>45994</v>
      </c>
      <c r="K1166" s="51" t="str">
        <f aca="false">"Q"&amp;ROUNDUP(MONTH(B1166)/3,0)</f>
        <v>Q4</v>
      </c>
      <c r="L1166" s="52" t="n">
        <f aca="false">ROUND(G1166*H1166,2)</f>
        <v>8165.95</v>
      </c>
      <c r="M1166" s="52" t="n">
        <f aca="false">IF(AND(C1166="Sales",F1166="Standard-rated 5%"),L1166,0)</f>
        <v>0</v>
      </c>
      <c r="N1166" s="52" t="n">
        <f aca="false">IF(F1166="Reverse charge (imported services)",L1166,0)</f>
        <v>0</v>
      </c>
      <c r="O1166" s="52" t="n">
        <f aca="false">IF(C1166&lt;&gt;"Purchase",0,IF(OR(I1166="N",F1166="Blocked input (entertainment)"),0,L1166))</f>
        <v>8165.95</v>
      </c>
      <c r="P1166" s="52" t="n">
        <f aca="false">IF(C1166&lt;&gt;"Purchase",0,L1166-O1166)</f>
        <v>0</v>
      </c>
      <c r="Q1166" s="53" t="n">
        <f aca="false">J1166-B1166</f>
        <v>0</v>
      </c>
      <c r="R1166" s="51" t="str">
        <f aca="false">IF(I1166="N","Invalid / missing TRN",IF(F1166="Blocked input (entertainment)","Blocked input",IF(Q1166&gt;30,"Late posting (&gt;30d)","")))</f>
        <v/>
      </c>
    </row>
    <row r="1167" customFormat="false" ht="15" hidden="false" customHeight="false" outlineLevel="0" collapsed="false">
      <c r="A1167" s="47" t="s">
        <v>1453</v>
      </c>
      <c r="B1167" s="48" t="n">
        <v>45994</v>
      </c>
      <c r="C1167" s="47" t="s">
        <v>159</v>
      </c>
      <c r="D1167" s="47" t="s">
        <v>320</v>
      </c>
      <c r="E1167" s="47" t="s">
        <v>101</v>
      </c>
      <c r="F1167" s="47" t="s">
        <v>161</v>
      </c>
      <c r="G1167" s="49" t="n">
        <v>38288.59</v>
      </c>
      <c r="H1167" s="50" t="n">
        <v>0.05</v>
      </c>
      <c r="I1167" s="47" t="s">
        <v>162</v>
      </c>
      <c r="J1167" s="48" t="n">
        <v>45994</v>
      </c>
      <c r="K1167" s="51" t="str">
        <f aca="false">"Q"&amp;ROUNDUP(MONTH(B1167)/3,0)</f>
        <v>Q4</v>
      </c>
      <c r="L1167" s="52" t="n">
        <f aca="false">ROUND(G1167*H1167,2)</f>
        <v>1914.43</v>
      </c>
      <c r="M1167" s="52" t="n">
        <f aca="false">IF(AND(C1167="Sales",F1167="Standard-rated 5%"),L1167,0)</f>
        <v>1914.43</v>
      </c>
      <c r="N1167" s="52" t="n">
        <f aca="false">IF(F1167="Reverse charge (imported services)",L1167,0)</f>
        <v>0</v>
      </c>
      <c r="O1167" s="52" t="n">
        <f aca="false">IF(C1167&lt;&gt;"Purchase",0,IF(OR(I1167="N",F1167="Blocked input (entertainment)"),0,L1167))</f>
        <v>0</v>
      </c>
      <c r="P1167" s="52" t="n">
        <f aca="false">IF(C1167&lt;&gt;"Purchase",0,L1167-O1167)</f>
        <v>0</v>
      </c>
      <c r="Q1167" s="53" t="n">
        <f aca="false">J1167-B1167</f>
        <v>0</v>
      </c>
      <c r="R1167" s="51" t="str">
        <f aca="false">IF(I1167="N","Invalid / missing TRN",IF(F1167="Blocked input (entertainment)","Blocked input",IF(Q1167&gt;30,"Late posting (&gt;30d)","")))</f>
        <v/>
      </c>
    </row>
    <row r="1168" customFormat="false" ht="15" hidden="false" customHeight="false" outlineLevel="0" collapsed="false">
      <c r="A1168" s="47" t="s">
        <v>1454</v>
      </c>
      <c r="B1168" s="48" t="n">
        <v>45994</v>
      </c>
      <c r="C1168" s="47" t="s">
        <v>159</v>
      </c>
      <c r="D1168" s="47" t="s">
        <v>283</v>
      </c>
      <c r="E1168" s="47" t="s">
        <v>100</v>
      </c>
      <c r="F1168" s="47" t="s">
        <v>161</v>
      </c>
      <c r="G1168" s="49" t="n">
        <v>95708.83</v>
      </c>
      <c r="H1168" s="50" t="n">
        <v>0.05</v>
      </c>
      <c r="I1168" s="47" t="s">
        <v>162</v>
      </c>
      <c r="J1168" s="48" t="n">
        <v>45994</v>
      </c>
      <c r="K1168" s="51" t="str">
        <f aca="false">"Q"&amp;ROUNDUP(MONTH(B1168)/3,0)</f>
        <v>Q4</v>
      </c>
      <c r="L1168" s="52" t="n">
        <f aca="false">ROUND(G1168*H1168,2)</f>
        <v>4785.44</v>
      </c>
      <c r="M1168" s="52" t="n">
        <f aca="false">IF(AND(C1168="Sales",F1168="Standard-rated 5%"),L1168,0)</f>
        <v>4785.44</v>
      </c>
      <c r="N1168" s="52" t="n">
        <f aca="false">IF(F1168="Reverse charge (imported services)",L1168,0)</f>
        <v>0</v>
      </c>
      <c r="O1168" s="52" t="n">
        <f aca="false">IF(C1168&lt;&gt;"Purchase",0,IF(OR(I1168="N",F1168="Blocked input (entertainment)"),0,L1168))</f>
        <v>0</v>
      </c>
      <c r="P1168" s="52" t="n">
        <f aca="false">IF(C1168&lt;&gt;"Purchase",0,L1168-O1168)</f>
        <v>0</v>
      </c>
      <c r="Q1168" s="53" t="n">
        <f aca="false">J1168-B1168</f>
        <v>0</v>
      </c>
      <c r="R1168" s="51" t="str">
        <f aca="false">IF(I1168="N","Invalid / missing TRN",IF(F1168="Blocked input (entertainment)","Blocked input",IF(Q1168&gt;30,"Late posting (&gt;30d)","")))</f>
        <v/>
      </c>
    </row>
    <row r="1169" customFormat="false" ht="15" hidden="false" customHeight="false" outlineLevel="0" collapsed="false">
      <c r="A1169" s="47" t="s">
        <v>1455</v>
      </c>
      <c r="B1169" s="48" t="n">
        <v>45995</v>
      </c>
      <c r="C1169" s="47" t="s">
        <v>166</v>
      </c>
      <c r="D1169" s="47" t="s">
        <v>315</v>
      </c>
      <c r="E1169" s="47" t="s">
        <v>100</v>
      </c>
      <c r="F1169" s="47" t="s">
        <v>161</v>
      </c>
      <c r="G1169" s="49" t="n">
        <v>12755.81</v>
      </c>
      <c r="H1169" s="50" t="n">
        <v>0.05</v>
      </c>
      <c r="I1169" s="47" t="s">
        <v>162</v>
      </c>
      <c r="J1169" s="48" t="n">
        <v>45995</v>
      </c>
      <c r="K1169" s="51" t="str">
        <f aca="false">"Q"&amp;ROUNDUP(MONTH(B1169)/3,0)</f>
        <v>Q4</v>
      </c>
      <c r="L1169" s="52" t="n">
        <f aca="false">ROUND(G1169*H1169,2)</f>
        <v>637.79</v>
      </c>
      <c r="M1169" s="52" t="n">
        <f aca="false">IF(AND(C1169="Sales",F1169="Standard-rated 5%"),L1169,0)</f>
        <v>0</v>
      </c>
      <c r="N1169" s="52" t="n">
        <f aca="false">IF(F1169="Reverse charge (imported services)",L1169,0)</f>
        <v>0</v>
      </c>
      <c r="O1169" s="52" t="n">
        <f aca="false">IF(C1169&lt;&gt;"Purchase",0,IF(OR(I1169="N",F1169="Blocked input (entertainment)"),0,L1169))</f>
        <v>637.79</v>
      </c>
      <c r="P1169" s="52" t="n">
        <f aca="false">IF(C1169&lt;&gt;"Purchase",0,L1169-O1169)</f>
        <v>0</v>
      </c>
      <c r="Q1169" s="53" t="n">
        <f aca="false">J1169-B1169</f>
        <v>0</v>
      </c>
      <c r="R1169" s="51" t="str">
        <f aca="false">IF(I1169="N","Invalid / missing TRN",IF(F1169="Blocked input (entertainment)","Blocked input",IF(Q1169&gt;30,"Late posting (&gt;30d)","")))</f>
        <v/>
      </c>
    </row>
    <row r="1170" customFormat="false" ht="15" hidden="false" customHeight="false" outlineLevel="0" collapsed="false">
      <c r="A1170" s="47" t="s">
        <v>1456</v>
      </c>
      <c r="B1170" s="48" t="n">
        <v>45996</v>
      </c>
      <c r="C1170" s="47" t="s">
        <v>166</v>
      </c>
      <c r="D1170" s="47" t="s">
        <v>390</v>
      </c>
      <c r="E1170" s="47" t="s">
        <v>106</v>
      </c>
      <c r="F1170" s="47" t="s">
        <v>161</v>
      </c>
      <c r="G1170" s="49" t="n">
        <v>16417.25</v>
      </c>
      <c r="H1170" s="50" t="n">
        <v>0.05</v>
      </c>
      <c r="I1170" s="47" t="s">
        <v>162</v>
      </c>
      <c r="J1170" s="48" t="n">
        <v>45996</v>
      </c>
      <c r="K1170" s="51" t="str">
        <f aca="false">"Q"&amp;ROUNDUP(MONTH(B1170)/3,0)</f>
        <v>Q4</v>
      </c>
      <c r="L1170" s="52" t="n">
        <f aca="false">ROUND(G1170*H1170,2)</f>
        <v>820.86</v>
      </c>
      <c r="M1170" s="52" t="n">
        <f aca="false">IF(AND(C1170="Sales",F1170="Standard-rated 5%"),L1170,0)</f>
        <v>0</v>
      </c>
      <c r="N1170" s="52" t="n">
        <f aca="false">IF(F1170="Reverse charge (imported services)",L1170,0)</f>
        <v>0</v>
      </c>
      <c r="O1170" s="52" t="n">
        <f aca="false">IF(C1170&lt;&gt;"Purchase",0,IF(OR(I1170="N",F1170="Blocked input (entertainment)"),0,L1170))</f>
        <v>820.86</v>
      </c>
      <c r="P1170" s="52" t="n">
        <f aca="false">IF(C1170&lt;&gt;"Purchase",0,L1170-O1170)</f>
        <v>0</v>
      </c>
      <c r="Q1170" s="53" t="n">
        <f aca="false">J1170-B1170</f>
        <v>0</v>
      </c>
      <c r="R1170" s="51" t="str">
        <f aca="false">IF(I1170="N","Invalid / missing TRN",IF(F1170="Blocked input (entertainment)","Blocked input",IF(Q1170&gt;30,"Late posting (&gt;30d)","")))</f>
        <v/>
      </c>
    </row>
    <row r="1171" customFormat="false" ht="15" hidden="false" customHeight="false" outlineLevel="0" collapsed="false">
      <c r="A1171" s="47" t="s">
        <v>1457</v>
      </c>
      <c r="B1171" s="48" t="n">
        <v>45996</v>
      </c>
      <c r="C1171" s="47" t="s">
        <v>166</v>
      </c>
      <c r="D1171" s="47" t="s">
        <v>555</v>
      </c>
      <c r="E1171" s="47" t="s">
        <v>104</v>
      </c>
      <c r="F1171" s="47" t="s">
        <v>337</v>
      </c>
      <c r="G1171" s="49" t="n">
        <v>20957.98</v>
      </c>
      <c r="H1171" s="50" t="n">
        <v>0</v>
      </c>
      <c r="I1171" s="47" t="s">
        <v>162</v>
      </c>
      <c r="J1171" s="48" t="n">
        <v>45996</v>
      </c>
      <c r="K1171" s="51" t="str">
        <f aca="false">"Q"&amp;ROUNDUP(MONTH(B1171)/3,0)</f>
        <v>Q4</v>
      </c>
      <c r="L1171" s="52" t="n">
        <f aca="false">ROUND(G1171*H1171,2)</f>
        <v>0</v>
      </c>
      <c r="M1171" s="52" t="n">
        <f aca="false">IF(AND(C1171="Sales",F1171="Standard-rated 5%"),L1171,0)</f>
        <v>0</v>
      </c>
      <c r="N1171" s="52" t="n">
        <f aca="false">IF(F1171="Reverse charge (imported services)",L1171,0)</f>
        <v>0</v>
      </c>
      <c r="O1171" s="52" t="n">
        <f aca="false">IF(C1171&lt;&gt;"Purchase",0,IF(OR(I1171="N",F1171="Blocked input (entertainment)"),0,L1171))</f>
        <v>0</v>
      </c>
      <c r="P1171" s="52" t="n">
        <f aca="false">IF(C1171&lt;&gt;"Purchase",0,L1171-O1171)</f>
        <v>0</v>
      </c>
      <c r="Q1171" s="53" t="n">
        <f aca="false">J1171-B1171</f>
        <v>0</v>
      </c>
      <c r="R1171" s="51" t="str">
        <f aca="false">IF(I1171="N","Invalid / missing TRN",IF(F1171="Blocked input (entertainment)","Blocked input",IF(Q1171&gt;30,"Late posting (&gt;30d)","")))</f>
        <v/>
      </c>
    </row>
    <row r="1172" customFormat="false" ht="15" hidden="false" customHeight="false" outlineLevel="0" collapsed="false">
      <c r="A1172" s="47" t="s">
        <v>1458</v>
      </c>
      <c r="B1172" s="48" t="n">
        <v>45996</v>
      </c>
      <c r="C1172" s="47" t="s">
        <v>159</v>
      </c>
      <c r="D1172" s="47" t="s">
        <v>225</v>
      </c>
      <c r="E1172" s="47" t="s">
        <v>101</v>
      </c>
      <c r="F1172" s="47" t="s">
        <v>161</v>
      </c>
      <c r="G1172" s="49" t="n">
        <v>9599.48</v>
      </c>
      <c r="H1172" s="50" t="n">
        <v>0.05</v>
      </c>
      <c r="I1172" s="47" t="s">
        <v>162</v>
      </c>
      <c r="J1172" s="48" t="n">
        <v>45996</v>
      </c>
      <c r="K1172" s="51" t="str">
        <f aca="false">"Q"&amp;ROUNDUP(MONTH(B1172)/3,0)</f>
        <v>Q4</v>
      </c>
      <c r="L1172" s="52" t="n">
        <f aca="false">ROUND(G1172*H1172,2)</f>
        <v>479.97</v>
      </c>
      <c r="M1172" s="52" t="n">
        <f aca="false">IF(AND(C1172="Sales",F1172="Standard-rated 5%"),L1172,0)</f>
        <v>479.97</v>
      </c>
      <c r="N1172" s="52" t="n">
        <f aca="false">IF(F1172="Reverse charge (imported services)",L1172,0)</f>
        <v>0</v>
      </c>
      <c r="O1172" s="52" t="n">
        <f aca="false">IF(C1172&lt;&gt;"Purchase",0,IF(OR(I1172="N",F1172="Blocked input (entertainment)"),0,L1172))</f>
        <v>0</v>
      </c>
      <c r="P1172" s="52" t="n">
        <f aca="false">IF(C1172&lt;&gt;"Purchase",0,L1172-O1172)</f>
        <v>0</v>
      </c>
      <c r="Q1172" s="53" t="n">
        <f aca="false">J1172-B1172</f>
        <v>0</v>
      </c>
      <c r="R1172" s="51" t="str">
        <f aca="false">IF(I1172="N","Invalid / missing TRN",IF(F1172="Blocked input (entertainment)","Blocked input",IF(Q1172&gt;30,"Late posting (&gt;30d)","")))</f>
        <v/>
      </c>
    </row>
    <row r="1173" customFormat="false" ht="15" hidden="false" customHeight="false" outlineLevel="0" collapsed="false">
      <c r="A1173" s="47" t="s">
        <v>1459</v>
      </c>
      <c r="B1173" s="48" t="n">
        <v>45997</v>
      </c>
      <c r="C1173" s="47" t="s">
        <v>159</v>
      </c>
      <c r="D1173" s="47" t="s">
        <v>627</v>
      </c>
      <c r="E1173" s="47" t="s">
        <v>101</v>
      </c>
      <c r="F1173" s="47" t="s">
        <v>278</v>
      </c>
      <c r="G1173" s="49" t="n">
        <v>24415.59</v>
      </c>
      <c r="H1173" s="50" t="n">
        <v>0</v>
      </c>
      <c r="I1173" s="47" t="s">
        <v>162</v>
      </c>
      <c r="J1173" s="48" t="n">
        <v>45997</v>
      </c>
      <c r="K1173" s="51" t="str">
        <f aca="false">"Q"&amp;ROUNDUP(MONTH(B1173)/3,0)</f>
        <v>Q4</v>
      </c>
      <c r="L1173" s="52" t="n">
        <f aca="false">ROUND(G1173*H1173,2)</f>
        <v>0</v>
      </c>
      <c r="M1173" s="52" t="n">
        <f aca="false">IF(AND(C1173="Sales",F1173="Standard-rated 5%"),L1173,0)</f>
        <v>0</v>
      </c>
      <c r="N1173" s="52" t="n">
        <f aca="false">IF(F1173="Reverse charge (imported services)",L1173,0)</f>
        <v>0</v>
      </c>
      <c r="O1173" s="52" t="n">
        <f aca="false">IF(C1173&lt;&gt;"Purchase",0,IF(OR(I1173="N",F1173="Blocked input (entertainment)"),0,L1173))</f>
        <v>0</v>
      </c>
      <c r="P1173" s="52" t="n">
        <f aca="false">IF(C1173&lt;&gt;"Purchase",0,L1173-O1173)</f>
        <v>0</v>
      </c>
      <c r="Q1173" s="53" t="n">
        <f aca="false">J1173-B1173</f>
        <v>0</v>
      </c>
      <c r="R1173" s="51" t="str">
        <f aca="false">IF(I1173="N","Invalid / missing TRN",IF(F1173="Blocked input (entertainment)","Blocked input",IF(Q1173&gt;30,"Late posting (&gt;30d)","")))</f>
        <v/>
      </c>
    </row>
    <row r="1174" customFormat="false" ht="15" hidden="false" customHeight="false" outlineLevel="0" collapsed="false">
      <c r="A1174" s="47" t="s">
        <v>1460</v>
      </c>
      <c r="B1174" s="48" t="n">
        <v>45997</v>
      </c>
      <c r="C1174" s="47" t="s">
        <v>159</v>
      </c>
      <c r="D1174" s="47" t="s">
        <v>186</v>
      </c>
      <c r="E1174" s="47" t="s">
        <v>100</v>
      </c>
      <c r="F1174" s="47" t="s">
        <v>161</v>
      </c>
      <c r="G1174" s="49" t="n">
        <v>36866.94</v>
      </c>
      <c r="H1174" s="50" t="n">
        <v>0.05</v>
      </c>
      <c r="I1174" s="47" t="s">
        <v>162</v>
      </c>
      <c r="J1174" s="48" t="n">
        <v>45999</v>
      </c>
      <c r="K1174" s="51" t="str">
        <f aca="false">"Q"&amp;ROUNDUP(MONTH(B1174)/3,0)</f>
        <v>Q4</v>
      </c>
      <c r="L1174" s="52" t="n">
        <f aca="false">ROUND(G1174*H1174,2)</f>
        <v>1843.35</v>
      </c>
      <c r="M1174" s="52" t="n">
        <f aca="false">IF(AND(C1174="Sales",F1174="Standard-rated 5%"),L1174,0)</f>
        <v>1843.35</v>
      </c>
      <c r="N1174" s="52" t="n">
        <f aca="false">IF(F1174="Reverse charge (imported services)",L1174,0)</f>
        <v>0</v>
      </c>
      <c r="O1174" s="52" t="n">
        <f aca="false">IF(C1174&lt;&gt;"Purchase",0,IF(OR(I1174="N",F1174="Blocked input (entertainment)"),0,L1174))</f>
        <v>0</v>
      </c>
      <c r="P1174" s="52" t="n">
        <f aca="false">IF(C1174&lt;&gt;"Purchase",0,L1174-O1174)</f>
        <v>0</v>
      </c>
      <c r="Q1174" s="53" t="n">
        <f aca="false">J1174-B1174</f>
        <v>2</v>
      </c>
      <c r="R1174" s="51" t="str">
        <f aca="false">IF(I1174="N","Invalid / missing TRN",IF(F1174="Blocked input (entertainment)","Blocked input",IF(Q1174&gt;30,"Late posting (&gt;30d)","")))</f>
        <v/>
      </c>
    </row>
    <row r="1175" customFormat="false" ht="15" hidden="false" customHeight="false" outlineLevel="0" collapsed="false">
      <c r="A1175" s="47" t="s">
        <v>1461</v>
      </c>
      <c r="B1175" s="48" t="n">
        <v>45998</v>
      </c>
      <c r="C1175" s="47" t="s">
        <v>166</v>
      </c>
      <c r="D1175" s="47" t="s">
        <v>257</v>
      </c>
      <c r="E1175" s="47" t="s">
        <v>103</v>
      </c>
      <c r="F1175" s="47" t="s">
        <v>161</v>
      </c>
      <c r="G1175" s="49" t="n">
        <v>21832.93</v>
      </c>
      <c r="H1175" s="50" t="n">
        <v>0.05</v>
      </c>
      <c r="I1175" s="47" t="s">
        <v>162</v>
      </c>
      <c r="J1175" s="48" t="n">
        <v>45998</v>
      </c>
      <c r="K1175" s="51" t="str">
        <f aca="false">"Q"&amp;ROUNDUP(MONTH(B1175)/3,0)</f>
        <v>Q4</v>
      </c>
      <c r="L1175" s="52" t="n">
        <f aca="false">ROUND(G1175*H1175,2)</f>
        <v>1091.65</v>
      </c>
      <c r="M1175" s="52" t="n">
        <f aca="false">IF(AND(C1175="Sales",F1175="Standard-rated 5%"),L1175,0)</f>
        <v>0</v>
      </c>
      <c r="N1175" s="52" t="n">
        <f aca="false">IF(F1175="Reverse charge (imported services)",L1175,0)</f>
        <v>0</v>
      </c>
      <c r="O1175" s="52" t="n">
        <f aca="false">IF(C1175&lt;&gt;"Purchase",0,IF(OR(I1175="N",F1175="Blocked input (entertainment)"),0,L1175))</f>
        <v>1091.65</v>
      </c>
      <c r="P1175" s="52" t="n">
        <f aca="false">IF(C1175&lt;&gt;"Purchase",0,L1175-O1175)</f>
        <v>0</v>
      </c>
      <c r="Q1175" s="53" t="n">
        <f aca="false">J1175-B1175</f>
        <v>0</v>
      </c>
      <c r="R1175" s="51" t="str">
        <f aca="false">IF(I1175="N","Invalid / missing TRN",IF(F1175="Blocked input (entertainment)","Blocked input",IF(Q1175&gt;30,"Late posting (&gt;30d)","")))</f>
        <v/>
      </c>
    </row>
    <row r="1176" customFormat="false" ht="15" hidden="false" customHeight="false" outlineLevel="0" collapsed="false">
      <c r="A1176" s="47" t="s">
        <v>1462</v>
      </c>
      <c r="B1176" s="48" t="n">
        <v>45999</v>
      </c>
      <c r="C1176" s="47" t="s">
        <v>166</v>
      </c>
      <c r="D1176" s="47" t="s">
        <v>460</v>
      </c>
      <c r="E1176" s="47" t="s">
        <v>100</v>
      </c>
      <c r="F1176" s="47" t="s">
        <v>161</v>
      </c>
      <c r="G1176" s="49" t="n">
        <v>18265.38</v>
      </c>
      <c r="H1176" s="50" t="n">
        <v>0.05</v>
      </c>
      <c r="I1176" s="47" t="s">
        <v>162</v>
      </c>
      <c r="J1176" s="48" t="n">
        <v>45999</v>
      </c>
      <c r="K1176" s="51" t="str">
        <f aca="false">"Q"&amp;ROUNDUP(MONTH(B1176)/3,0)</f>
        <v>Q4</v>
      </c>
      <c r="L1176" s="52" t="n">
        <f aca="false">ROUND(G1176*H1176,2)</f>
        <v>913.27</v>
      </c>
      <c r="M1176" s="52" t="n">
        <f aca="false">IF(AND(C1176="Sales",F1176="Standard-rated 5%"),L1176,0)</f>
        <v>0</v>
      </c>
      <c r="N1176" s="52" t="n">
        <f aca="false">IF(F1176="Reverse charge (imported services)",L1176,0)</f>
        <v>0</v>
      </c>
      <c r="O1176" s="52" t="n">
        <f aca="false">IF(C1176&lt;&gt;"Purchase",0,IF(OR(I1176="N",F1176="Blocked input (entertainment)"),0,L1176))</f>
        <v>913.27</v>
      </c>
      <c r="P1176" s="52" t="n">
        <f aca="false">IF(C1176&lt;&gt;"Purchase",0,L1176-O1176)</f>
        <v>0</v>
      </c>
      <c r="Q1176" s="53" t="n">
        <f aca="false">J1176-B1176</f>
        <v>0</v>
      </c>
      <c r="R1176" s="51" t="str">
        <f aca="false">IF(I1176="N","Invalid / missing TRN",IF(F1176="Blocked input (entertainment)","Blocked input",IF(Q1176&gt;30,"Late posting (&gt;30d)","")))</f>
        <v/>
      </c>
    </row>
    <row r="1177" customFormat="false" ht="15" hidden="false" customHeight="false" outlineLevel="0" collapsed="false">
      <c r="A1177" s="47" t="s">
        <v>1463</v>
      </c>
      <c r="B1177" s="48" t="n">
        <v>45999</v>
      </c>
      <c r="C1177" s="47" t="s">
        <v>159</v>
      </c>
      <c r="D1177" s="47" t="s">
        <v>300</v>
      </c>
      <c r="E1177" s="47" t="s">
        <v>100</v>
      </c>
      <c r="F1177" s="47" t="s">
        <v>301</v>
      </c>
      <c r="G1177" s="49" t="n">
        <v>63179.53</v>
      </c>
      <c r="H1177" s="50" t="n">
        <v>0</v>
      </c>
      <c r="I1177" s="47" t="s">
        <v>162</v>
      </c>
      <c r="J1177" s="48" t="n">
        <v>46001</v>
      </c>
      <c r="K1177" s="51" t="str">
        <f aca="false">"Q"&amp;ROUNDUP(MONTH(B1177)/3,0)</f>
        <v>Q4</v>
      </c>
      <c r="L1177" s="52" t="n">
        <f aca="false">ROUND(G1177*H1177,2)</f>
        <v>0</v>
      </c>
      <c r="M1177" s="52" t="n">
        <f aca="false">IF(AND(C1177="Sales",F1177="Standard-rated 5%"),L1177,0)</f>
        <v>0</v>
      </c>
      <c r="N1177" s="52" t="n">
        <f aca="false">IF(F1177="Reverse charge (imported services)",L1177,0)</f>
        <v>0</v>
      </c>
      <c r="O1177" s="52" t="n">
        <f aca="false">IF(C1177&lt;&gt;"Purchase",0,IF(OR(I1177="N",F1177="Blocked input (entertainment)"),0,L1177))</f>
        <v>0</v>
      </c>
      <c r="P1177" s="52" t="n">
        <f aca="false">IF(C1177&lt;&gt;"Purchase",0,L1177-O1177)</f>
        <v>0</v>
      </c>
      <c r="Q1177" s="53" t="n">
        <f aca="false">J1177-B1177</f>
        <v>2</v>
      </c>
      <c r="R1177" s="51" t="str">
        <f aca="false">IF(I1177="N","Invalid / missing TRN",IF(F1177="Blocked input (entertainment)","Blocked input",IF(Q1177&gt;30,"Late posting (&gt;30d)","")))</f>
        <v/>
      </c>
    </row>
    <row r="1178" customFormat="false" ht="15" hidden="false" customHeight="false" outlineLevel="0" collapsed="false">
      <c r="A1178" s="47" t="s">
        <v>1464</v>
      </c>
      <c r="B1178" s="48" t="n">
        <v>45999</v>
      </c>
      <c r="C1178" s="47" t="s">
        <v>159</v>
      </c>
      <c r="D1178" s="47" t="s">
        <v>423</v>
      </c>
      <c r="E1178" s="47" t="s">
        <v>100</v>
      </c>
      <c r="F1178" s="47" t="s">
        <v>161</v>
      </c>
      <c r="G1178" s="49" t="n">
        <v>43450.44</v>
      </c>
      <c r="H1178" s="50" t="n">
        <v>0.05</v>
      </c>
      <c r="I1178" s="47" t="s">
        <v>162</v>
      </c>
      <c r="J1178" s="48" t="n">
        <v>45999</v>
      </c>
      <c r="K1178" s="51" t="str">
        <f aca="false">"Q"&amp;ROUNDUP(MONTH(B1178)/3,0)</f>
        <v>Q4</v>
      </c>
      <c r="L1178" s="52" t="n">
        <f aca="false">ROUND(G1178*H1178,2)</f>
        <v>2172.52</v>
      </c>
      <c r="M1178" s="52" t="n">
        <f aca="false">IF(AND(C1178="Sales",F1178="Standard-rated 5%"),L1178,0)</f>
        <v>2172.52</v>
      </c>
      <c r="N1178" s="52" t="n">
        <f aca="false">IF(F1178="Reverse charge (imported services)",L1178,0)</f>
        <v>0</v>
      </c>
      <c r="O1178" s="52" t="n">
        <f aca="false">IF(C1178&lt;&gt;"Purchase",0,IF(OR(I1178="N",F1178="Blocked input (entertainment)"),0,L1178))</f>
        <v>0</v>
      </c>
      <c r="P1178" s="52" t="n">
        <f aca="false">IF(C1178&lt;&gt;"Purchase",0,L1178-O1178)</f>
        <v>0</v>
      </c>
      <c r="Q1178" s="53" t="n">
        <f aca="false">J1178-B1178</f>
        <v>0</v>
      </c>
      <c r="R1178" s="51" t="str">
        <f aca="false">IF(I1178="N","Invalid / missing TRN",IF(F1178="Blocked input (entertainment)","Blocked input",IF(Q1178&gt;30,"Late posting (&gt;30d)","")))</f>
        <v/>
      </c>
    </row>
    <row r="1179" customFormat="false" ht="15" hidden="false" customHeight="false" outlineLevel="0" collapsed="false">
      <c r="A1179" s="47" t="s">
        <v>1465</v>
      </c>
      <c r="B1179" s="48" t="n">
        <v>46000</v>
      </c>
      <c r="C1179" s="47" t="s">
        <v>159</v>
      </c>
      <c r="D1179" s="47" t="s">
        <v>243</v>
      </c>
      <c r="E1179" s="47" t="s">
        <v>100</v>
      </c>
      <c r="F1179" s="47" t="s">
        <v>278</v>
      </c>
      <c r="G1179" s="49" t="n">
        <v>37162.74</v>
      </c>
      <c r="H1179" s="50" t="n">
        <v>0</v>
      </c>
      <c r="I1179" s="47" t="s">
        <v>162</v>
      </c>
      <c r="J1179" s="48" t="n">
        <v>46000</v>
      </c>
      <c r="K1179" s="51" t="str">
        <f aca="false">"Q"&amp;ROUNDUP(MONTH(B1179)/3,0)</f>
        <v>Q4</v>
      </c>
      <c r="L1179" s="52" t="n">
        <f aca="false">ROUND(G1179*H1179,2)</f>
        <v>0</v>
      </c>
      <c r="M1179" s="52" t="n">
        <f aca="false">IF(AND(C1179="Sales",F1179="Standard-rated 5%"),L1179,0)</f>
        <v>0</v>
      </c>
      <c r="N1179" s="52" t="n">
        <f aca="false">IF(F1179="Reverse charge (imported services)",L1179,0)</f>
        <v>0</v>
      </c>
      <c r="O1179" s="52" t="n">
        <f aca="false">IF(C1179&lt;&gt;"Purchase",0,IF(OR(I1179="N",F1179="Blocked input (entertainment)"),0,L1179))</f>
        <v>0</v>
      </c>
      <c r="P1179" s="52" t="n">
        <f aca="false">IF(C1179&lt;&gt;"Purchase",0,L1179-O1179)</f>
        <v>0</v>
      </c>
      <c r="Q1179" s="53" t="n">
        <f aca="false">J1179-B1179</f>
        <v>0</v>
      </c>
      <c r="R1179" s="51" t="str">
        <f aca="false">IF(I1179="N","Invalid / missing TRN",IF(F1179="Blocked input (entertainment)","Blocked input",IF(Q1179&gt;30,"Late posting (&gt;30d)","")))</f>
        <v/>
      </c>
    </row>
    <row r="1180" customFormat="false" ht="15" hidden="false" customHeight="false" outlineLevel="0" collapsed="false">
      <c r="A1180" s="47" t="s">
        <v>1466</v>
      </c>
      <c r="B1180" s="48" t="n">
        <v>46000</v>
      </c>
      <c r="C1180" s="47" t="s">
        <v>159</v>
      </c>
      <c r="D1180" s="47" t="s">
        <v>243</v>
      </c>
      <c r="E1180" s="47" t="s">
        <v>100</v>
      </c>
      <c r="F1180" s="47" t="s">
        <v>161</v>
      </c>
      <c r="G1180" s="49" t="n">
        <v>29205.56</v>
      </c>
      <c r="H1180" s="50" t="n">
        <v>0.05</v>
      </c>
      <c r="I1180" s="47" t="s">
        <v>162</v>
      </c>
      <c r="J1180" s="48" t="n">
        <v>46000</v>
      </c>
      <c r="K1180" s="51" t="str">
        <f aca="false">"Q"&amp;ROUNDUP(MONTH(B1180)/3,0)</f>
        <v>Q4</v>
      </c>
      <c r="L1180" s="52" t="n">
        <f aca="false">ROUND(G1180*H1180,2)</f>
        <v>1460.28</v>
      </c>
      <c r="M1180" s="52" t="n">
        <f aca="false">IF(AND(C1180="Sales",F1180="Standard-rated 5%"),L1180,0)</f>
        <v>1460.28</v>
      </c>
      <c r="N1180" s="52" t="n">
        <f aca="false">IF(F1180="Reverse charge (imported services)",L1180,0)</f>
        <v>0</v>
      </c>
      <c r="O1180" s="52" t="n">
        <f aca="false">IF(C1180&lt;&gt;"Purchase",0,IF(OR(I1180="N",F1180="Blocked input (entertainment)"),0,L1180))</f>
        <v>0</v>
      </c>
      <c r="P1180" s="52" t="n">
        <f aca="false">IF(C1180&lt;&gt;"Purchase",0,L1180-O1180)</f>
        <v>0</v>
      </c>
      <c r="Q1180" s="53" t="n">
        <f aca="false">J1180-B1180</f>
        <v>0</v>
      </c>
      <c r="R1180" s="51" t="str">
        <f aca="false">IF(I1180="N","Invalid / missing TRN",IF(F1180="Blocked input (entertainment)","Blocked input",IF(Q1180&gt;30,"Late posting (&gt;30d)","")))</f>
        <v/>
      </c>
    </row>
    <row r="1181" customFormat="false" ht="15" hidden="false" customHeight="false" outlineLevel="0" collapsed="false">
      <c r="A1181" s="47" t="s">
        <v>1467</v>
      </c>
      <c r="B1181" s="48" t="n">
        <v>46000</v>
      </c>
      <c r="C1181" s="47" t="s">
        <v>159</v>
      </c>
      <c r="D1181" s="47" t="s">
        <v>784</v>
      </c>
      <c r="E1181" s="47" t="s">
        <v>100</v>
      </c>
      <c r="F1181" s="47" t="s">
        <v>214</v>
      </c>
      <c r="G1181" s="49" t="n">
        <v>34457.74</v>
      </c>
      <c r="H1181" s="50" t="n">
        <v>0</v>
      </c>
      <c r="I1181" s="47" t="s">
        <v>162</v>
      </c>
      <c r="J1181" s="48" t="n">
        <v>46001</v>
      </c>
      <c r="K1181" s="51" t="str">
        <f aca="false">"Q"&amp;ROUNDUP(MONTH(B1181)/3,0)</f>
        <v>Q4</v>
      </c>
      <c r="L1181" s="52" t="n">
        <f aca="false">ROUND(G1181*H1181,2)</f>
        <v>0</v>
      </c>
      <c r="M1181" s="52" t="n">
        <f aca="false">IF(AND(C1181="Sales",F1181="Standard-rated 5%"),L1181,0)</f>
        <v>0</v>
      </c>
      <c r="N1181" s="52" t="n">
        <f aca="false">IF(F1181="Reverse charge (imported services)",L1181,0)</f>
        <v>0</v>
      </c>
      <c r="O1181" s="52" t="n">
        <f aca="false">IF(C1181&lt;&gt;"Purchase",0,IF(OR(I1181="N",F1181="Blocked input (entertainment)"),0,L1181))</f>
        <v>0</v>
      </c>
      <c r="P1181" s="52" t="n">
        <f aca="false">IF(C1181&lt;&gt;"Purchase",0,L1181-O1181)</f>
        <v>0</v>
      </c>
      <c r="Q1181" s="53" t="n">
        <f aca="false">J1181-B1181</f>
        <v>1</v>
      </c>
      <c r="R1181" s="51" t="str">
        <f aca="false">IF(I1181="N","Invalid / missing TRN",IF(F1181="Blocked input (entertainment)","Blocked input",IF(Q1181&gt;30,"Late posting (&gt;30d)","")))</f>
        <v/>
      </c>
    </row>
    <row r="1182" customFormat="false" ht="15" hidden="false" customHeight="false" outlineLevel="0" collapsed="false">
      <c r="A1182" s="47" t="s">
        <v>1468</v>
      </c>
      <c r="B1182" s="48" t="n">
        <v>46001</v>
      </c>
      <c r="C1182" s="47" t="s">
        <v>166</v>
      </c>
      <c r="D1182" s="47" t="s">
        <v>460</v>
      </c>
      <c r="E1182" s="47" t="s">
        <v>100</v>
      </c>
      <c r="F1182" s="47" t="s">
        <v>161</v>
      </c>
      <c r="G1182" s="49" t="n">
        <v>11429</v>
      </c>
      <c r="H1182" s="50" t="n">
        <v>0.05</v>
      </c>
      <c r="I1182" s="47" t="s">
        <v>162</v>
      </c>
      <c r="J1182" s="48" t="n">
        <v>46001</v>
      </c>
      <c r="K1182" s="51" t="str">
        <f aca="false">"Q"&amp;ROUNDUP(MONTH(B1182)/3,0)</f>
        <v>Q4</v>
      </c>
      <c r="L1182" s="52" t="n">
        <f aca="false">ROUND(G1182*H1182,2)</f>
        <v>571.45</v>
      </c>
      <c r="M1182" s="52" t="n">
        <f aca="false">IF(AND(C1182="Sales",F1182="Standard-rated 5%"),L1182,0)</f>
        <v>0</v>
      </c>
      <c r="N1182" s="52" t="n">
        <f aca="false">IF(F1182="Reverse charge (imported services)",L1182,0)</f>
        <v>0</v>
      </c>
      <c r="O1182" s="52" t="n">
        <f aca="false">IF(C1182&lt;&gt;"Purchase",0,IF(OR(I1182="N",F1182="Blocked input (entertainment)"),0,L1182))</f>
        <v>571.45</v>
      </c>
      <c r="P1182" s="52" t="n">
        <f aca="false">IF(C1182&lt;&gt;"Purchase",0,L1182-O1182)</f>
        <v>0</v>
      </c>
      <c r="Q1182" s="53" t="n">
        <f aca="false">J1182-B1182</f>
        <v>0</v>
      </c>
      <c r="R1182" s="51" t="str">
        <f aca="false">IF(I1182="N","Invalid / missing TRN",IF(F1182="Blocked input (entertainment)","Blocked input",IF(Q1182&gt;30,"Late posting (&gt;30d)","")))</f>
        <v/>
      </c>
    </row>
    <row r="1183" customFormat="false" ht="15" hidden="false" customHeight="false" outlineLevel="0" collapsed="false">
      <c r="A1183" s="47" t="s">
        <v>1469</v>
      </c>
      <c r="B1183" s="48" t="n">
        <v>46001</v>
      </c>
      <c r="C1183" s="47" t="s">
        <v>166</v>
      </c>
      <c r="D1183" s="47" t="s">
        <v>352</v>
      </c>
      <c r="E1183" s="47" t="s">
        <v>100</v>
      </c>
      <c r="F1183" s="47" t="s">
        <v>161</v>
      </c>
      <c r="G1183" s="49" t="n">
        <v>51812.12</v>
      </c>
      <c r="H1183" s="50" t="n">
        <v>0.05</v>
      </c>
      <c r="I1183" s="47" t="s">
        <v>162</v>
      </c>
      <c r="J1183" s="48" t="n">
        <v>46001</v>
      </c>
      <c r="K1183" s="51" t="str">
        <f aca="false">"Q"&amp;ROUNDUP(MONTH(B1183)/3,0)</f>
        <v>Q4</v>
      </c>
      <c r="L1183" s="52" t="n">
        <f aca="false">ROUND(G1183*H1183,2)</f>
        <v>2590.61</v>
      </c>
      <c r="M1183" s="52" t="n">
        <f aca="false">IF(AND(C1183="Sales",F1183="Standard-rated 5%"),L1183,0)</f>
        <v>0</v>
      </c>
      <c r="N1183" s="52" t="n">
        <f aca="false">IF(F1183="Reverse charge (imported services)",L1183,0)</f>
        <v>0</v>
      </c>
      <c r="O1183" s="52" t="n">
        <f aca="false">IF(C1183&lt;&gt;"Purchase",0,IF(OR(I1183="N",F1183="Blocked input (entertainment)"),0,L1183))</f>
        <v>2590.61</v>
      </c>
      <c r="P1183" s="52" t="n">
        <f aca="false">IF(C1183&lt;&gt;"Purchase",0,L1183-O1183)</f>
        <v>0</v>
      </c>
      <c r="Q1183" s="53" t="n">
        <f aca="false">J1183-B1183</f>
        <v>0</v>
      </c>
      <c r="R1183" s="51" t="str">
        <f aca="false">IF(I1183="N","Invalid / missing TRN",IF(F1183="Blocked input (entertainment)","Blocked input",IF(Q1183&gt;30,"Late posting (&gt;30d)","")))</f>
        <v/>
      </c>
    </row>
    <row r="1184" customFormat="false" ht="15" hidden="false" customHeight="false" outlineLevel="0" collapsed="false">
      <c r="A1184" s="47" t="s">
        <v>1470</v>
      </c>
      <c r="B1184" s="48" t="n">
        <v>46001</v>
      </c>
      <c r="C1184" s="47" t="s">
        <v>159</v>
      </c>
      <c r="D1184" s="47" t="s">
        <v>490</v>
      </c>
      <c r="E1184" s="47" t="s">
        <v>101</v>
      </c>
      <c r="F1184" s="47" t="s">
        <v>278</v>
      </c>
      <c r="G1184" s="49" t="n">
        <v>14709.47</v>
      </c>
      <c r="H1184" s="50" t="n">
        <v>0</v>
      </c>
      <c r="I1184" s="47" t="s">
        <v>162</v>
      </c>
      <c r="J1184" s="48" t="n">
        <v>46001</v>
      </c>
      <c r="K1184" s="51" t="str">
        <f aca="false">"Q"&amp;ROUNDUP(MONTH(B1184)/3,0)</f>
        <v>Q4</v>
      </c>
      <c r="L1184" s="52" t="n">
        <f aca="false">ROUND(G1184*H1184,2)</f>
        <v>0</v>
      </c>
      <c r="M1184" s="52" t="n">
        <f aca="false">IF(AND(C1184="Sales",F1184="Standard-rated 5%"),L1184,0)</f>
        <v>0</v>
      </c>
      <c r="N1184" s="52" t="n">
        <f aca="false">IF(F1184="Reverse charge (imported services)",L1184,0)</f>
        <v>0</v>
      </c>
      <c r="O1184" s="52" t="n">
        <f aca="false">IF(C1184&lt;&gt;"Purchase",0,IF(OR(I1184="N",F1184="Blocked input (entertainment)"),0,L1184))</f>
        <v>0</v>
      </c>
      <c r="P1184" s="52" t="n">
        <f aca="false">IF(C1184&lt;&gt;"Purchase",0,L1184-O1184)</f>
        <v>0</v>
      </c>
      <c r="Q1184" s="53" t="n">
        <f aca="false">J1184-B1184</f>
        <v>0</v>
      </c>
      <c r="R1184" s="51" t="str">
        <f aca="false">IF(I1184="N","Invalid / missing TRN",IF(F1184="Blocked input (entertainment)","Blocked input",IF(Q1184&gt;30,"Late posting (&gt;30d)","")))</f>
        <v/>
      </c>
    </row>
    <row r="1185" customFormat="false" ht="15" hidden="false" customHeight="false" outlineLevel="0" collapsed="false">
      <c r="A1185" s="47" t="s">
        <v>1471</v>
      </c>
      <c r="B1185" s="48" t="n">
        <v>46003</v>
      </c>
      <c r="C1185" s="47" t="s">
        <v>166</v>
      </c>
      <c r="D1185" s="47" t="s">
        <v>643</v>
      </c>
      <c r="E1185" s="47" t="s">
        <v>101</v>
      </c>
      <c r="F1185" s="47" t="s">
        <v>161</v>
      </c>
      <c r="G1185" s="49" t="n">
        <v>53912.62</v>
      </c>
      <c r="H1185" s="50" t="n">
        <v>0.05</v>
      </c>
      <c r="I1185" s="47" t="s">
        <v>162</v>
      </c>
      <c r="J1185" s="48" t="n">
        <v>46003</v>
      </c>
      <c r="K1185" s="51" t="str">
        <f aca="false">"Q"&amp;ROUNDUP(MONTH(B1185)/3,0)</f>
        <v>Q4</v>
      </c>
      <c r="L1185" s="52" t="n">
        <f aca="false">ROUND(G1185*H1185,2)</f>
        <v>2695.63</v>
      </c>
      <c r="M1185" s="52" t="n">
        <f aca="false">IF(AND(C1185="Sales",F1185="Standard-rated 5%"),L1185,0)</f>
        <v>0</v>
      </c>
      <c r="N1185" s="52" t="n">
        <f aca="false">IF(F1185="Reverse charge (imported services)",L1185,0)</f>
        <v>0</v>
      </c>
      <c r="O1185" s="52" t="n">
        <f aca="false">IF(C1185&lt;&gt;"Purchase",0,IF(OR(I1185="N",F1185="Blocked input (entertainment)"),0,L1185))</f>
        <v>2695.63</v>
      </c>
      <c r="P1185" s="52" t="n">
        <f aca="false">IF(C1185&lt;&gt;"Purchase",0,L1185-O1185)</f>
        <v>0</v>
      </c>
      <c r="Q1185" s="53" t="n">
        <f aca="false">J1185-B1185</f>
        <v>0</v>
      </c>
      <c r="R1185" s="51" t="str">
        <f aca="false">IF(I1185="N","Invalid / missing TRN",IF(F1185="Blocked input (entertainment)","Blocked input",IF(Q1185&gt;30,"Late posting (&gt;30d)","")))</f>
        <v/>
      </c>
    </row>
    <row r="1186" customFormat="false" ht="15" hidden="false" customHeight="false" outlineLevel="0" collapsed="false">
      <c r="A1186" s="47" t="s">
        <v>1472</v>
      </c>
      <c r="B1186" s="48" t="n">
        <v>46003</v>
      </c>
      <c r="C1186" s="47" t="s">
        <v>166</v>
      </c>
      <c r="D1186" s="47" t="s">
        <v>390</v>
      </c>
      <c r="E1186" s="47" t="s">
        <v>100</v>
      </c>
      <c r="F1186" s="47" t="s">
        <v>161</v>
      </c>
      <c r="G1186" s="49" t="n">
        <v>29937.57</v>
      </c>
      <c r="H1186" s="50" t="n">
        <v>0.05</v>
      </c>
      <c r="I1186" s="47" t="s">
        <v>162</v>
      </c>
      <c r="J1186" s="48" t="n">
        <v>46003</v>
      </c>
      <c r="K1186" s="51" t="str">
        <f aca="false">"Q"&amp;ROUNDUP(MONTH(B1186)/3,0)</f>
        <v>Q4</v>
      </c>
      <c r="L1186" s="52" t="n">
        <f aca="false">ROUND(G1186*H1186,2)</f>
        <v>1496.88</v>
      </c>
      <c r="M1186" s="52" t="n">
        <f aca="false">IF(AND(C1186="Sales",F1186="Standard-rated 5%"),L1186,0)</f>
        <v>0</v>
      </c>
      <c r="N1186" s="52" t="n">
        <f aca="false">IF(F1186="Reverse charge (imported services)",L1186,0)</f>
        <v>0</v>
      </c>
      <c r="O1186" s="52" t="n">
        <f aca="false">IF(C1186&lt;&gt;"Purchase",0,IF(OR(I1186="N",F1186="Blocked input (entertainment)"),0,L1186))</f>
        <v>1496.88</v>
      </c>
      <c r="P1186" s="52" t="n">
        <f aca="false">IF(C1186&lt;&gt;"Purchase",0,L1186-O1186)</f>
        <v>0</v>
      </c>
      <c r="Q1186" s="53" t="n">
        <f aca="false">J1186-B1186</f>
        <v>0</v>
      </c>
      <c r="R1186" s="51" t="str">
        <f aca="false">IF(I1186="N","Invalid / missing TRN",IF(F1186="Blocked input (entertainment)","Blocked input",IF(Q1186&gt;30,"Late posting (&gt;30d)","")))</f>
        <v/>
      </c>
    </row>
    <row r="1187" customFormat="false" ht="15" hidden="false" customHeight="false" outlineLevel="0" collapsed="false">
      <c r="A1187" s="47" t="s">
        <v>1473</v>
      </c>
      <c r="B1187" s="48" t="n">
        <v>46003</v>
      </c>
      <c r="C1187" s="47" t="s">
        <v>159</v>
      </c>
      <c r="D1187" s="47" t="s">
        <v>532</v>
      </c>
      <c r="E1187" s="47" t="s">
        <v>101</v>
      </c>
      <c r="F1187" s="47" t="s">
        <v>161</v>
      </c>
      <c r="G1187" s="49" t="n">
        <v>13556.91</v>
      </c>
      <c r="H1187" s="50" t="n">
        <v>0.05</v>
      </c>
      <c r="I1187" s="47" t="s">
        <v>162</v>
      </c>
      <c r="J1187" s="48" t="n">
        <v>46003</v>
      </c>
      <c r="K1187" s="51" t="str">
        <f aca="false">"Q"&amp;ROUNDUP(MONTH(B1187)/3,0)</f>
        <v>Q4</v>
      </c>
      <c r="L1187" s="52" t="n">
        <f aca="false">ROUND(G1187*H1187,2)</f>
        <v>677.85</v>
      </c>
      <c r="M1187" s="52" t="n">
        <f aca="false">IF(AND(C1187="Sales",F1187="Standard-rated 5%"),L1187,0)</f>
        <v>677.85</v>
      </c>
      <c r="N1187" s="52" t="n">
        <f aca="false">IF(F1187="Reverse charge (imported services)",L1187,0)</f>
        <v>0</v>
      </c>
      <c r="O1187" s="52" t="n">
        <f aca="false">IF(C1187&lt;&gt;"Purchase",0,IF(OR(I1187="N",F1187="Blocked input (entertainment)"),0,L1187))</f>
        <v>0</v>
      </c>
      <c r="P1187" s="52" t="n">
        <f aca="false">IF(C1187&lt;&gt;"Purchase",0,L1187-O1187)</f>
        <v>0</v>
      </c>
      <c r="Q1187" s="53" t="n">
        <f aca="false">J1187-B1187</f>
        <v>0</v>
      </c>
      <c r="R1187" s="51" t="str">
        <f aca="false">IF(I1187="N","Invalid / missing TRN",IF(F1187="Blocked input (entertainment)","Blocked input",IF(Q1187&gt;30,"Late posting (&gt;30d)","")))</f>
        <v/>
      </c>
    </row>
    <row r="1188" customFormat="false" ht="15" hidden="false" customHeight="false" outlineLevel="0" collapsed="false">
      <c r="A1188" s="47" t="s">
        <v>1474</v>
      </c>
      <c r="B1188" s="48" t="n">
        <v>46004</v>
      </c>
      <c r="C1188" s="47" t="s">
        <v>159</v>
      </c>
      <c r="D1188" s="47" t="s">
        <v>186</v>
      </c>
      <c r="E1188" s="47" t="s">
        <v>102</v>
      </c>
      <c r="F1188" s="47" t="s">
        <v>161</v>
      </c>
      <c r="G1188" s="49" t="n">
        <v>10721.36</v>
      </c>
      <c r="H1188" s="50" t="n">
        <v>0.05</v>
      </c>
      <c r="I1188" s="47" t="s">
        <v>162</v>
      </c>
      <c r="J1188" s="48" t="n">
        <v>46004</v>
      </c>
      <c r="K1188" s="51" t="str">
        <f aca="false">"Q"&amp;ROUNDUP(MONTH(B1188)/3,0)</f>
        <v>Q4</v>
      </c>
      <c r="L1188" s="52" t="n">
        <f aca="false">ROUND(G1188*H1188,2)</f>
        <v>536.07</v>
      </c>
      <c r="M1188" s="52" t="n">
        <f aca="false">IF(AND(C1188="Sales",F1188="Standard-rated 5%"),L1188,0)</f>
        <v>536.07</v>
      </c>
      <c r="N1188" s="52" t="n">
        <f aca="false">IF(F1188="Reverse charge (imported services)",L1188,0)</f>
        <v>0</v>
      </c>
      <c r="O1188" s="52" t="n">
        <f aca="false">IF(C1188&lt;&gt;"Purchase",0,IF(OR(I1188="N",F1188="Blocked input (entertainment)"),0,L1188))</f>
        <v>0</v>
      </c>
      <c r="P1188" s="52" t="n">
        <f aca="false">IF(C1188&lt;&gt;"Purchase",0,L1188-O1188)</f>
        <v>0</v>
      </c>
      <c r="Q1188" s="53" t="n">
        <f aca="false">J1188-B1188</f>
        <v>0</v>
      </c>
      <c r="R1188" s="51" t="str">
        <f aca="false">IF(I1188="N","Invalid / missing TRN",IF(F1188="Blocked input (entertainment)","Blocked input",IF(Q1188&gt;30,"Late posting (&gt;30d)","")))</f>
        <v/>
      </c>
    </row>
    <row r="1189" customFormat="false" ht="15" hidden="false" customHeight="false" outlineLevel="0" collapsed="false">
      <c r="A1189" s="47" t="s">
        <v>1475</v>
      </c>
      <c r="B1189" s="48" t="n">
        <v>46004</v>
      </c>
      <c r="C1189" s="47" t="s">
        <v>159</v>
      </c>
      <c r="D1189" s="47" t="s">
        <v>322</v>
      </c>
      <c r="E1189" s="47" t="s">
        <v>106</v>
      </c>
      <c r="F1189" s="47" t="s">
        <v>161</v>
      </c>
      <c r="G1189" s="49" t="n">
        <v>24378</v>
      </c>
      <c r="H1189" s="50" t="n">
        <v>0.05</v>
      </c>
      <c r="I1189" s="47" t="s">
        <v>162</v>
      </c>
      <c r="J1189" s="48" t="n">
        <v>46004</v>
      </c>
      <c r="K1189" s="51" t="str">
        <f aca="false">"Q"&amp;ROUNDUP(MONTH(B1189)/3,0)</f>
        <v>Q4</v>
      </c>
      <c r="L1189" s="52" t="n">
        <f aca="false">ROUND(G1189*H1189,2)</f>
        <v>1218.9</v>
      </c>
      <c r="M1189" s="52" t="n">
        <f aca="false">IF(AND(C1189="Sales",F1189="Standard-rated 5%"),L1189,0)</f>
        <v>1218.9</v>
      </c>
      <c r="N1189" s="52" t="n">
        <f aca="false">IF(F1189="Reverse charge (imported services)",L1189,0)</f>
        <v>0</v>
      </c>
      <c r="O1189" s="52" t="n">
        <f aca="false">IF(C1189&lt;&gt;"Purchase",0,IF(OR(I1189="N",F1189="Blocked input (entertainment)"),0,L1189))</f>
        <v>0</v>
      </c>
      <c r="P1189" s="52" t="n">
        <f aca="false">IF(C1189&lt;&gt;"Purchase",0,L1189-O1189)</f>
        <v>0</v>
      </c>
      <c r="Q1189" s="53" t="n">
        <f aca="false">J1189-B1189</f>
        <v>0</v>
      </c>
      <c r="R1189" s="51" t="str">
        <f aca="false">IF(I1189="N","Invalid / missing TRN",IF(F1189="Blocked input (entertainment)","Blocked input",IF(Q1189&gt;30,"Late posting (&gt;30d)","")))</f>
        <v/>
      </c>
    </row>
    <row r="1190" customFormat="false" ht="15" hidden="false" customHeight="false" outlineLevel="0" collapsed="false">
      <c r="A1190" s="47" t="s">
        <v>1476</v>
      </c>
      <c r="B1190" s="48" t="n">
        <v>46004</v>
      </c>
      <c r="C1190" s="47" t="s">
        <v>159</v>
      </c>
      <c r="D1190" s="47" t="s">
        <v>175</v>
      </c>
      <c r="E1190" s="47" t="s">
        <v>100</v>
      </c>
      <c r="F1190" s="47" t="s">
        <v>161</v>
      </c>
      <c r="G1190" s="49" t="n">
        <v>34736.55</v>
      </c>
      <c r="H1190" s="50" t="n">
        <v>0.05</v>
      </c>
      <c r="I1190" s="47" t="s">
        <v>162</v>
      </c>
      <c r="J1190" s="48" t="n">
        <v>46004</v>
      </c>
      <c r="K1190" s="51" t="str">
        <f aca="false">"Q"&amp;ROUNDUP(MONTH(B1190)/3,0)</f>
        <v>Q4</v>
      </c>
      <c r="L1190" s="52" t="n">
        <f aca="false">ROUND(G1190*H1190,2)</f>
        <v>1736.83</v>
      </c>
      <c r="M1190" s="52" t="n">
        <f aca="false">IF(AND(C1190="Sales",F1190="Standard-rated 5%"),L1190,0)</f>
        <v>1736.83</v>
      </c>
      <c r="N1190" s="52" t="n">
        <f aca="false">IF(F1190="Reverse charge (imported services)",L1190,0)</f>
        <v>0</v>
      </c>
      <c r="O1190" s="52" t="n">
        <f aca="false">IF(C1190&lt;&gt;"Purchase",0,IF(OR(I1190="N",F1190="Blocked input (entertainment)"),0,L1190))</f>
        <v>0</v>
      </c>
      <c r="P1190" s="52" t="n">
        <f aca="false">IF(C1190&lt;&gt;"Purchase",0,L1190-O1190)</f>
        <v>0</v>
      </c>
      <c r="Q1190" s="53" t="n">
        <f aca="false">J1190-B1190</f>
        <v>0</v>
      </c>
      <c r="R1190" s="51" t="str">
        <f aca="false">IF(I1190="N","Invalid / missing TRN",IF(F1190="Blocked input (entertainment)","Blocked input",IF(Q1190&gt;30,"Late posting (&gt;30d)","")))</f>
        <v/>
      </c>
    </row>
    <row r="1191" customFormat="false" ht="15" hidden="false" customHeight="false" outlineLevel="0" collapsed="false">
      <c r="A1191" s="47" t="s">
        <v>1477</v>
      </c>
      <c r="B1191" s="48" t="n">
        <v>46004</v>
      </c>
      <c r="C1191" s="47" t="s">
        <v>159</v>
      </c>
      <c r="D1191" s="47" t="s">
        <v>373</v>
      </c>
      <c r="E1191" s="47" t="s">
        <v>101</v>
      </c>
      <c r="F1191" s="47" t="s">
        <v>161</v>
      </c>
      <c r="G1191" s="49" t="n">
        <v>131613.51</v>
      </c>
      <c r="H1191" s="50" t="n">
        <v>0.05</v>
      </c>
      <c r="I1191" s="47" t="s">
        <v>162</v>
      </c>
      <c r="J1191" s="48" t="n">
        <v>46004</v>
      </c>
      <c r="K1191" s="51" t="str">
        <f aca="false">"Q"&amp;ROUNDUP(MONTH(B1191)/3,0)</f>
        <v>Q4</v>
      </c>
      <c r="L1191" s="52" t="n">
        <f aca="false">ROUND(G1191*H1191,2)</f>
        <v>6580.68</v>
      </c>
      <c r="M1191" s="52" t="n">
        <f aca="false">IF(AND(C1191="Sales",F1191="Standard-rated 5%"),L1191,0)</f>
        <v>6580.68</v>
      </c>
      <c r="N1191" s="52" t="n">
        <f aca="false">IF(F1191="Reverse charge (imported services)",L1191,0)</f>
        <v>0</v>
      </c>
      <c r="O1191" s="52" t="n">
        <f aca="false">IF(C1191&lt;&gt;"Purchase",0,IF(OR(I1191="N",F1191="Blocked input (entertainment)"),0,L1191))</f>
        <v>0</v>
      </c>
      <c r="P1191" s="52" t="n">
        <f aca="false">IF(C1191&lt;&gt;"Purchase",0,L1191-O1191)</f>
        <v>0</v>
      </c>
      <c r="Q1191" s="53" t="n">
        <f aca="false">J1191-B1191</f>
        <v>0</v>
      </c>
      <c r="R1191" s="51" t="str">
        <f aca="false">IF(I1191="N","Invalid / missing TRN",IF(F1191="Blocked input (entertainment)","Blocked input",IF(Q1191&gt;30,"Late posting (&gt;30d)","")))</f>
        <v/>
      </c>
    </row>
    <row r="1192" customFormat="false" ht="15" hidden="false" customHeight="false" outlineLevel="0" collapsed="false">
      <c r="A1192" s="47" t="s">
        <v>1478</v>
      </c>
      <c r="B1192" s="48" t="n">
        <v>46004</v>
      </c>
      <c r="C1192" s="47" t="s">
        <v>159</v>
      </c>
      <c r="D1192" s="47" t="s">
        <v>179</v>
      </c>
      <c r="E1192" s="47" t="s">
        <v>101</v>
      </c>
      <c r="F1192" s="47" t="s">
        <v>161</v>
      </c>
      <c r="G1192" s="49" t="n">
        <v>79261.66</v>
      </c>
      <c r="H1192" s="50" t="n">
        <v>0.05</v>
      </c>
      <c r="I1192" s="47" t="s">
        <v>162</v>
      </c>
      <c r="J1192" s="48" t="n">
        <v>46006</v>
      </c>
      <c r="K1192" s="51" t="str">
        <f aca="false">"Q"&amp;ROUNDUP(MONTH(B1192)/3,0)</f>
        <v>Q4</v>
      </c>
      <c r="L1192" s="52" t="n">
        <f aca="false">ROUND(G1192*H1192,2)</f>
        <v>3963.08</v>
      </c>
      <c r="M1192" s="52" t="n">
        <f aca="false">IF(AND(C1192="Sales",F1192="Standard-rated 5%"),L1192,0)</f>
        <v>3963.08</v>
      </c>
      <c r="N1192" s="52" t="n">
        <f aca="false">IF(F1192="Reverse charge (imported services)",L1192,0)</f>
        <v>0</v>
      </c>
      <c r="O1192" s="52" t="n">
        <f aca="false">IF(C1192&lt;&gt;"Purchase",0,IF(OR(I1192="N",F1192="Blocked input (entertainment)"),0,L1192))</f>
        <v>0</v>
      </c>
      <c r="P1192" s="52" t="n">
        <f aca="false">IF(C1192&lt;&gt;"Purchase",0,L1192-O1192)</f>
        <v>0</v>
      </c>
      <c r="Q1192" s="53" t="n">
        <f aca="false">J1192-B1192</f>
        <v>2</v>
      </c>
      <c r="R1192" s="51" t="str">
        <f aca="false">IF(I1192="N","Invalid / missing TRN",IF(F1192="Blocked input (entertainment)","Blocked input",IF(Q1192&gt;30,"Late posting (&gt;30d)","")))</f>
        <v/>
      </c>
    </row>
    <row r="1193" customFormat="false" ht="15" hidden="false" customHeight="false" outlineLevel="0" collapsed="false">
      <c r="A1193" s="47" t="s">
        <v>1479</v>
      </c>
      <c r="B1193" s="48" t="n">
        <v>46005</v>
      </c>
      <c r="C1193" s="47" t="s">
        <v>166</v>
      </c>
      <c r="D1193" s="47" t="s">
        <v>257</v>
      </c>
      <c r="E1193" s="47" t="s">
        <v>100</v>
      </c>
      <c r="F1193" s="47" t="s">
        <v>161</v>
      </c>
      <c r="G1193" s="49" t="n">
        <v>42521.53</v>
      </c>
      <c r="H1193" s="50" t="n">
        <v>0.05</v>
      </c>
      <c r="I1193" s="47" t="s">
        <v>162</v>
      </c>
      <c r="J1193" s="48" t="n">
        <v>46005</v>
      </c>
      <c r="K1193" s="51" t="str">
        <f aca="false">"Q"&amp;ROUNDUP(MONTH(B1193)/3,0)</f>
        <v>Q4</v>
      </c>
      <c r="L1193" s="52" t="n">
        <f aca="false">ROUND(G1193*H1193,2)</f>
        <v>2126.08</v>
      </c>
      <c r="M1193" s="52" t="n">
        <f aca="false">IF(AND(C1193="Sales",F1193="Standard-rated 5%"),L1193,0)</f>
        <v>0</v>
      </c>
      <c r="N1193" s="52" t="n">
        <f aca="false">IF(F1193="Reverse charge (imported services)",L1193,0)</f>
        <v>0</v>
      </c>
      <c r="O1193" s="52" t="n">
        <f aca="false">IF(C1193&lt;&gt;"Purchase",0,IF(OR(I1193="N",F1193="Blocked input (entertainment)"),0,L1193))</f>
        <v>2126.08</v>
      </c>
      <c r="P1193" s="52" t="n">
        <f aca="false">IF(C1193&lt;&gt;"Purchase",0,L1193-O1193)</f>
        <v>0</v>
      </c>
      <c r="Q1193" s="53" t="n">
        <f aca="false">J1193-B1193</f>
        <v>0</v>
      </c>
      <c r="R1193" s="51" t="str">
        <f aca="false">IF(I1193="N","Invalid / missing TRN",IF(F1193="Blocked input (entertainment)","Blocked input",IF(Q1193&gt;30,"Late posting (&gt;30d)","")))</f>
        <v/>
      </c>
    </row>
    <row r="1194" customFormat="false" ht="15" hidden="false" customHeight="false" outlineLevel="0" collapsed="false">
      <c r="A1194" s="47" t="s">
        <v>1480</v>
      </c>
      <c r="B1194" s="48" t="n">
        <v>46005</v>
      </c>
      <c r="C1194" s="47" t="s">
        <v>166</v>
      </c>
      <c r="D1194" s="47" t="s">
        <v>458</v>
      </c>
      <c r="E1194" s="47" t="s">
        <v>100</v>
      </c>
      <c r="F1194" s="47" t="s">
        <v>161</v>
      </c>
      <c r="G1194" s="49" t="n">
        <v>6552.7</v>
      </c>
      <c r="H1194" s="50" t="n">
        <v>0.05</v>
      </c>
      <c r="I1194" s="47" t="s">
        <v>162</v>
      </c>
      <c r="J1194" s="48" t="n">
        <v>46005</v>
      </c>
      <c r="K1194" s="51" t="str">
        <f aca="false">"Q"&amp;ROUNDUP(MONTH(B1194)/3,0)</f>
        <v>Q4</v>
      </c>
      <c r="L1194" s="52" t="n">
        <f aca="false">ROUND(G1194*H1194,2)</f>
        <v>327.64</v>
      </c>
      <c r="M1194" s="52" t="n">
        <f aca="false">IF(AND(C1194="Sales",F1194="Standard-rated 5%"),L1194,0)</f>
        <v>0</v>
      </c>
      <c r="N1194" s="52" t="n">
        <f aca="false">IF(F1194="Reverse charge (imported services)",L1194,0)</f>
        <v>0</v>
      </c>
      <c r="O1194" s="52" t="n">
        <f aca="false">IF(C1194&lt;&gt;"Purchase",0,IF(OR(I1194="N",F1194="Blocked input (entertainment)"),0,L1194))</f>
        <v>327.64</v>
      </c>
      <c r="P1194" s="52" t="n">
        <f aca="false">IF(C1194&lt;&gt;"Purchase",0,L1194-O1194)</f>
        <v>0</v>
      </c>
      <c r="Q1194" s="53" t="n">
        <f aca="false">J1194-B1194</f>
        <v>0</v>
      </c>
      <c r="R1194" s="51" t="str">
        <f aca="false">IF(I1194="N","Invalid / missing TRN",IF(F1194="Blocked input (entertainment)","Blocked input",IF(Q1194&gt;30,"Late posting (&gt;30d)","")))</f>
        <v/>
      </c>
    </row>
    <row r="1195" customFormat="false" ht="15" hidden="false" customHeight="false" outlineLevel="0" collapsed="false">
      <c r="A1195" s="47" t="s">
        <v>1481</v>
      </c>
      <c r="B1195" s="48" t="n">
        <v>46005</v>
      </c>
      <c r="C1195" s="47" t="s">
        <v>166</v>
      </c>
      <c r="D1195" s="47" t="s">
        <v>172</v>
      </c>
      <c r="E1195" s="47" t="s">
        <v>100</v>
      </c>
      <c r="F1195" s="47" t="s">
        <v>161</v>
      </c>
      <c r="G1195" s="49" t="n">
        <v>21947.71</v>
      </c>
      <c r="H1195" s="50" t="n">
        <v>0.05</v>
      </c>
      <c r="I1195" s="47" t="s">
        <v>162</v>
      </c>
      <c r="J1195" s="48" t="n">
        <v>46005</v>
      </c>
      <c r="K1195" s="51" t="str">
        <f aca="false">"Q"&amp;ROUNDUP(MONTH(B1195)/3,0)</f>
        <v>Q4</v>
      </c>
      <c r="L1195" s="52" t="n">
        <f aca="false">ROUND(G1195*H1195,2)</f>
        <v>1097.39</v>
      </c>
      <c r="M1195" s="52" t="n">
        <f aca="false">IF(AND(C1195="Sales",F1195="Standard-rated 5%"),L1195,0)</f>
        <v>0</v>
      </c>
      <c r="N1195" s="52" t="n">
        <f aca="false">IF(F1195="Reverse charge (imported services)",L1195,0)</f>
        <v>0</v>
      </c>
      <c r="O1195" s="52" t="n">
        <f aca="false">IF(C1195&lt;&gt;"Purchase",0,IF(OR(I1195="N",F1195="Blocked input (entertainment)"),0,L1195))</f>
        <v>1097.39</v>
      </c>
      <c r="P1195" s="52" t="n">
        <f aca="false">IF(C1195&lt;&gt;"Purchase",0,L1195-O1195)</f>
        <v>0</v>
      </c>
      <c r="Q1195" s="53" t="n">
        <f aca="false">J1195-B1195</f>
        <v>0</v>
      </c>
      <c r="R1195" s="51" t="str">
        <f aca="false">IF(I1195="N","Invalid / missing TRN",IF(F1195="Blocked input (entertainment)","Blocked input",IF(Q1195&gt;30,"Late posting (&gt;30d)","")))</f>
        <v/>
      </c>
    </row>
    <row r="1196" customFormat="false" ht="15" hidden="false" customHeight="false" outlineLevel="0" collapsed="false">
      <c r="A1196" s="47" t="s">
        <v>1482</v>
      </c>
      <c r="B1196" s="48" t="n">
        <v>46006</v>
      </c>
      <c r="C1196" s="47" t="s">
        <v>166</v>
      </c>
      <c r="D1196" s="47" t="s">
        <v>555</v>
      </c>
      <c r="E1196" s="47" t="s">
        <v>102</v>
      </c>
      <c r="F1196" s="47" t="s">
        <v>161</v>
      </c>
      <c r="G1196" s="49" t="n">
        <v>10047.92</v>
      </c>
      <c r="H1196" s="50" t="n">
        <v>0.05</v>
      </c>
      <c r="I1196" s="47" t="s">
        <v>162</v>
      </c>
      <c r="J1196" s="48" t="n">
        <v>46006</v>
      </c>
      <c r="K1196" s="51" t="str">
        <f aca="false">"Q"&amp;ROUNDUP(MONTH(B1196)/3,0)</f>
        <v>Q4</v>
      </c>
      <c r="L1196" s="52" t="n">
        <f aca="false">ROUND(G1196*H1196,2)</f>
        <v>502.4</v>
      </c>
      <c r="M1196" s="52" t="n">
        <f aca="false">IF(AND(C1196="Sales",F1196="Standard-rated 5%"),L1196,0)</f>
        <v>0</v>
      </c>
      <c r="N1196" s="52" t="n">
        <f aca="false">IF(F1196="Reverse charge (imported services)",L1196,0)</f>
        <v>0</v>
      </c>
      <c r="O1196" s="52" t="n">
        <f aca="false">IF(C1196&lt;&gt;"Purchase",0,IF(OR(I1196="N",F1196="Blocked input (entertainment)"),0,L1196))</f>
        <v>502.4</v>
      </c>
      <c r="P1196" s="52" t="n">
        <f aca="false">IF(C1196&lt;&gt;"Purchase",0,L1196-O1196)</f>
        <v>0</v>
      </c>
      <c r="Q1196" s="53" t="n">
        <f aca="false">J1196-B1196</f>
        <v>0</v>
      </c>
      <c r="R1196" s="51" t="str">
        <f aca="false">IF(I1196="N","Invalid / missing TRN",IF(F1196="Blocked input (entertainment)","Blocked input",IF(Q1196&gt;30,"Late posting (&gt;30d)","")))</f>
        <v/>
      </c>
    </row>
    <row r="1197" customFormat="false" ht="15" hidden="false" customHeight="false" outlineLevel="0" collapsed="false">
      <c r="A1197" s="47" t="s">
        <v>1483</v>
      </c>
      <c r="B1197" s="48" t="n">
        <v>46006</v>
      </c>
      <c r="C1197" s="47" t="s">
        <v>166</v>
      </c>
      <c r="D1197" s="47" t="s">
        <v>326</v>
      </c>
      <c r="E1197" s="47" t="s">
        <v>101</v>
      </c>
      <c r="F1197" s="47" t="s">
        <v>161</v>
      </c>
      <c r="G1197" s="49" t="n">
        <v>6236.42</v>
      </c>
      <c r="H1197" s="50" t="n">
        <v>0.05</v>
      </c>
      <c r="I1197" s="47" t="s">
        <v>162</v>
      </c>
      <c r="J1197" s="48" t="n">
        <v>46006</v>
      </c>
      <c r="K1197" s="51" t="str">
        <f aca="false">"Q"&amp;ROUNDUP(MONTH(B1197)/3,0)</f>
        <v>Q4</v>
      </c>
      <c r="L1197" s="52" t="n">
        <f aca="false">ROUND(G1197*H1197,2)</f>
        <v>311.82</v>
      </c>
      <c r="M1197" s="52" t="n">
        <f aca="false">IF(AND(C1197="Sales",F1197="Standard-rated 5%"),L1197,0)</f>
        <v>0</v>
      </c>
      <c r="N1197" s="52" t="n">
        <f aca="false">IF(F1197="Reverse charge (imported services)",L1197,0)</f>
        <v>0</v>
      </c>
      <c r="O1197" s="52" t="n">
        <f aca="false">IF(C1197&lt;&gt;"Purchase",0,IF(OR(I1197="N",F1197="Blocked input (entertainment)"),0,L1197))</f>
        <v>311.82</v>
      </c>
      <c r="P1197" s="52" t="n">
        <f aca="false">IF(C1197&lt;&gt;"Purchase",0,L1197-O1197)</f>
        <v>0</v>
      </c>
      <c r="Q1197" s="53" t="n">
        <f aca="false">J1197-B1197</f>
        <v>0</v>
      </c>
      <c r="R1197" s="51" t="str">
        <f aca="false">IF(I1197="N","Invalid / missing TRN",IF(F1197="Blocked input (entertainment)","Blocked input",IF(Q1197&gt;30,"Late posting (&gt;30d)","")))</f>
        <v/>
      </c>
    </row>
    <row r="1198" customFormat="false" ht="15" hidden="false" customHeight="false" outlineLevel="0" collapsed="false">
      <c r="A1198" s="47" t="s">
        <v>1484</v>
      </c>
      <c r="B1198" s="48" t="n">
        <v>46006</v>
      </c>
      <c r="C1198" s="47" t="s">
        <v>166</v>
      </c>
      <c r="D1198" s="47" t="s">
        <v>272</v>
      </c>
      <c r="E1198" s="47" t="s">
        <v>100</v>
      </c>
      <c r="F1198" s="47" t="s">
        <v>161</v>
      </c>
      <c r="G1198" s="49" t="n">
        <v>33553.88</v>
      </c>
      <c r="H1198" s="50" t="n">
        <v>0.05</v>
      </c>
      <c r="I1198" s="47" t="s">
        <v>162</v>
      </c>
      <c r="J1198" s="48" t="n">
        <v>46007</v>
      </c>
      <c r="K1198" s="51" t="str">
        <f aca="false">"Q"&amp;ROUNDUP(MONTH(B1198)/3,0)</f>
        <v>Q4</v>
      </c>
      <c r="L1198" s="52" t="n">
        <f aca="false">ROUND(G1198*H1198,2)</f>
        <v>1677.69</v>
      </c>
      <c r="M1198" s="52" t="n">
        <f aca="false">IF(AND(C1198="Sales",F1198="Standard-rated 5%"),L1198,0)</f>
        <v>0</v>
      </c>
      <c r="N1198" s="52" t="n">
        <f aca="false">IF(F1198="Reverse charge (imported services)",L1198,0)</f>
        <v>0</v>
      </c>
      <c r="O1198" s="52" t="n">
        <f aca="false">IF(C1198&lt;&gt;"Purchase",0,IF(OR(I1198="N",F1198="Blocked input (entertainment)"),0,L1198))</f>
        <v>1677.69</v>
      </c>
      <c r="P1198" s="52" t="n">
        <f aca="false">IF(C1198&lt;&gt;"Purchase",0,L1198-O1198)</f>
        <v>0</v>
      </c>
      <c r="Q1198" s="53" t="n">
        <f aca="false">J1198-B1198</f>
        <v>1</v>
      </c>
      <c r="R1198" s="51" t="str">
        <f aca="false">IF(I1198="N","Invalid / missing TRN",IF(F1198="Blocked input (entertainment)","Blocked input",IF(Q1198&gt;30,"Late posting (&gt;30d)","")))</f>
        <v/>
      </c>
    </row>
    <row r="1199" customFormat="false" ht="15" hidden="false" customHeight="false" outlineLevel="0" collapsed="false">
      <c r="A1199" s="47" t="s">
        <v>1485</v>
      </c>
      <c r="B1199" s="48" t="n">
        <v>46006</v>
      </c>
      <c r="C1199" s="47" t="s">
        <v>159</v>
      </c>
      <c r="D1199" s="47" t="s">
        <v>579</v>
      </c>
      <c r="E1199" s="47" t="s">
        <v>103</v>
      </c>
      <c r="F1199" s="47" t="s">
        <v>214</v>
      </c>
      <c r="G1199" s="49" t="n">
        <v>105427.44</v>
      </c>
      <c r="H1199" s="50" t="n">
        <v>0</v>
      </c>
      <c r="I1199" s="47" t="s">
        <v>162</v>
      </c>
      <c r="J1199" s="48" t="n">
        <v>46006</v>
      </c>
      <c r="K1199" s="51" t="str">
        <f aca="false">"Q"&amp;ROUNDUP(MONTH(B1199)/3,0)</f>
        <v>Q4</v>
      </c>
      <c r="L1199" s="52" t="n">
        <f aca="false">ROUND(G1199*H1199,2)</f>
        <v>0</v>
      </c>
      <c r="M1199" s="52" t="n">
        <f aca="false">IF(AND(C1199="Sales",F1199="Standard-rated 5%"),L1199,0)</f>
        <v>0</v>
      </c>
      <c r="N1199" s="52" t="n">
        <f aca="false">IF(F1199="Reverse charge (imported services)",L1199,0)</f>
        <v>0</v>
      </c>
      <c r="O1199" s="52" t="n">
        <f aca="false">IF(C1199&lt;&gt;"Purchase",0,IF(OR(I1199="N",F1199="Blocked input (entertainment)"),0,L1199))</f>
        <v>0</v>
      </c>
      <c r="P1199" s="52" t="n">
        <f aca="false">IF(C1199&lt;&gt;"Purchase",0,L1199-O1199)</f>
        <v>0</v>
      </c>
      <c r="Q1199" s="53" t="n">
        <f aca="false">J1199-B1199</f>
        <v>0</v>
      </c>
      <c r="R1199" s="51" t="str">
        <f aca="false">IF(I1199="N","Invalid / missing TRN",IF(F1199="Blocked input (entertainment)","Blocked input",IF(Q1199&gt;30,"Late posting (&gt;30d)","")))</f>
        <v/>
      </c>
    </row>
    <row r="1200" customFormat="false" ht="15" hidden="false" customHeight="false" outlineLevel="0" collapsed="false">
      <c r="A1200" s="47" t="s">
        <v>1486</v>
      </c>
      <c r="B1200" s="48" t="n">
        <v>46006</v>
      </c>
      <c r="C1200" s="47" t="s">
        <v>159</v>
      </c>
      <c r="D1200" s="47" t="s">
        <v>405</v>
      </c>
      <c r="E1200" s="47" t="s">
        <v>101</v>
      </c>
      <c r="F1200" s="47" t="s">
        <v>161</v>
      </c>
      <c r="G1200" s="49" t="n">
        <v>25570.43</v>
      </c>
      <c r="H1200" s="50" t="n">
        <v>0.05</v>
      </c>
      <c r="I1200" s="47" t="s">
        <v>162</v>
      </c>
      <c r="J1200" s="48" t="n">
        <v>46006</v>
      </c>
      <c r="K1200" s="51" t="str">
        <f aca="false">"Q"&amp;ROUNDUP(MONTH(B1200)/3,0)</f>
        <v>Q4</v>
      </c>
      <c r="L1200" s="52" t="n">
        <f aca="false">ROUND(G1200*H1200,2)</f>
        <v>1278.52</v>
      </c>
      <c r="M1200" s="52" t="n">
        <f aca="false">IF(AND(C1200="Sales",F1200="Standard-rated 5%"),L1200,0)</f>
        <v>1278.52</v>
      </c>
      <c r="N1200" s="52" t="n">
        <f aca="false">IF(F1200="Reverse charge (imported services)",L1200,0)</f>
        <v>0</v>
      </c>
      <c r="O1200" s="52" t="n">
        <f aca="false">IF(C1200&lt;&gt;"Purchase",0,IF(OR(I1200="N",F1200="Blocked input (entertainment)"),0,L1200))</f>
        <v>0</v>
      </c>
      <c r="P1200" s="52" t="n">
        <f aca="false">IF(C1200&lt;&gt;"Purchase",0,L1200-O1200)</f>
        <v>0</v>
      </c>
      <c r="Q1200" s="53" t="n">
        <f aca="false">J1200-B1200</f>
        <v>0</v>
      </c>
      <c r="R1200" s="51" t="str">
        <f aca="false">IF(I1200="N","Invalid / missing TRN",IF(F1200="Blocked input (entertainment)","Blocked input",IF(Q1200&gt;30,"Late posting (&gt;30d)","")))</f>
        <v/>
      </c>
    </row>
    <row r="1201" customFormat="false" ht="15" hidden="false" customHeight="false" outlineLevel="0" collapsed="false">
      <c r="A1201" s="47" t="s">
        <v>1487</v>
      </c>
      <c r="B1201" s="48" t="n">
        <v>46006</v>
      </c>
      <c r="C1201" s="47" t="s">
        <v>159</v>
      </c>
      <c r="D1201" s="47" t="s">
        <v>627</v>
      </c>
      <c r="E1201" s="47" t="s">
        <v>102</v>
      </c>
      <c r="F1201" s="47" t="s">
        <v>161</v>
      </c>
      <c r="G1201" s="49" t="n">
        <v>14984.93</v>
      </c>
      <c r="H1201" s="50" t="n">
        <v>0.05</v>
      </c>
      <c r="I1201" s="47" t="s">
        <v>162</v>
      </c>
      <c r="J1201" s="48" t="n">
        <v>46008</v>
      </c>
      <c r="K1201" s="51" t="str">
        <f aca="false">"Q"&amp;ROUNDUP(MONTH(B1201)/3,0)</f>
        <v>Q4</v>
      </c>
      <c r="L1201" s="52" t="n">
        <f aca="false">ROUND(G1201*H1201,2)</f>
        <v>749.25</v>
      </c>
      <c r="M1201" s="52" t="n">
        <f aca="false">IF(AND(C1201="Sales",F1201="Standard-rated 5%"),L1201,0)</f>
        <v>749.25</v>
      </c>
      <c r="N1201" s="52" t="n">
        <f aca="false">IF(F1201="Reverse charge (imported services)",L1201,0)</f>
        <v>0</v>
      </c>
      <c r="O1201" s="52" t="n">
        <f aca="false">IF(C1201&lt;&gt;"Purchase",0,IF(OR(I1201="N",F1201="Blocked input (entertainment)"),0,L1201))</f>
        <v>0</v>
      </c>
      <c r="P1201" s="52" t="n">
        <f aca="false">IF(C1201&lt;&gt;"Purchase",0,L1201-O1201)</f>
        <v>0</v>
      </c>
      <c r="Q1201" s="53" t="n">
        <f aca="false">J1201-B1201</f>
        <v>2</v>
      </c>
      <c r="R1201" s="51" t="str">
        <f aca="false">IF(I1201="N","Invalid / missing TRN",IF(F1201="Blocked input (entertainment)","Blocked input",IF(Q1201&gt;30,"Late posting (&gt;30d)","")))</f>
        <v/>
      </c>
    </row>
    <row r="1202" customFormat="false" ht="15" hidden="false" customHeight="false" outlineLevel="0" collapsed="false">
      <c r="A1202" s="47" t="s">
        <v>1488</v>
      </c>
      <c r="B1202" s="48" t="n">
        <v>46006</v>
      </c>
      <c r="C1202" s="47" t="s">
        <v>159</v>
      </c>
      <c r="D1202" s="47" t="s">
        <v>322</v>
      </c>
      <c r="E1202" s="47" t="s">
        <v>100</v>
      </c>
      <c r="F1202" s="47" t="s">
        <v>161</v>
      </c>
      <c r="G1202" s="49" t="n">
        <v>117840.63</v>
      </c>
      <c r="H1202" s="50" t="n">
        <v>0.05</v>
      </c>
      <c r="I1202" s="47" t="s">
        <v>162</v>
      </c>
      <c r="J1202" s="48" t="n">
        <v>46006</v>
      </c>
      <c r="K1202" s="51" t="str">
        <f aca="false">"Q"&amp;ROUNDUP(MONTH(B1202)/3,0)</f>
        <v>Q4</v>
      </c>
      <c r="L1202" s="52" t="n">
        <f aca="false">ROUND(G1202*H1202,2)</f>
        <v>5892.03</v>
      </c>
      <c r="M1202" s="52" t="n">
        <f aca="false">IF(AND(C1202="Sales",F1202="Standard-rated 5%"),L1202,0)</f>
        <v>5892.03</v>
      </c>
      <c r="N1202" s="52" t="n">
        <f aca="false">IF(F1202="Reverse charge (imported services)",L1202,0)</f>
        <v>0</v>
      </c>
      <c r="O1202" s="52" t="n">
        <f aca="false">IF(C1202&lt;&gt;"Purchase",0,IF(OR(I1202="N",F1202="Blocked input (entertainment)"),0,L1202))</f>
        <v>0</v>
      </c>
      <c r="P1202" s="52" t="n">
        <f aca="false">IF(C1202&lt;&gt;"Purchase",0,L1202-O1202)</f>
        <v>0</v>
      </c>
      <c r="Q1202" s="53" t="n">
        <f aca="false">J1202-B1202</f>
        <v>0</v>
      </c>
      <c r="R1202" s="51" t="str">
        <f aca="false">IF(I1202="N","Invalid / missing TRN",IF(F1202="Blocked input (entertainment)","Blocked input",IF(Q1202&gt;30,"Late posting (&gt;30d)","")))</f>
        <v/>
      </c>
    </row>
    <row r="1203" customFormat="false" ht="15" hidden="false" customHeight="false" outlineLevel="0" collapsed="false">
      <c r="A1203" s="47" t="s">
        <v>1489</v>
      </c>
      <c r="B1203" s="48" t="n">
        <v>46007</v>
      </c>
      <c r="C1203" s="47" t="s">
        <v>166</v>
      </c>
      <c r="D1203" s="47" t="s">
        <v>577</v>
      </c>
      <c r="E1203" s="47" t="s">
        <v>101</v>
      </c>
      <c r="F1203" s="47" t="s">
        <v>161</v>
      </c>
      <c r="G1203" s="49" t="n">
        <v>17142.47</v>
      </c>
      <c r="H1203" s="50" t="n">
        <v>0.05</v>
      </c>
      <c r="I1203" s="47" t="s">
        <v>162</v>
      </c>
      <c r="J1203" s="48" t="n">
        <v>46007</v>
      </c>
      <c r="K1203" s="51" t="str">
        <f aca="false">"Q"&amp;ROUNDUP(MONTH(B1203)/3,0)</f>
        <v>Q4</v>
      </c>
      <c r="L1203" s="52" t="n">
        <f aca="false">ROUND(G1203*H1203,2)</f>
        <v>857.12</v>
      </c>
      <c r="M1203" s="52" t="n">
        <f aca="false">IF(AND(C1203="Sales",F1203="Standard-rated 5%"),L1203,0)</f>
        <v>0</v>
      </c>
      <c r="N1203" s="52" t="n">
        <f aca="false">IF(F1203="Reverse charge (imported services)",L1203,0)</f>
        <v>0</v>
      </c>
      <c r="O1203" s="52" t="n">
        <f aca="false">IF(C1203&lt;&gt;"Purchase",0,IF(OR(I1203="N",F1203="Blocked input (entertainment)"),0,L1203))</f>
        <v>857.12</v>
      </c>
      <c r="P1203" s="52" t="n">
        <f aca="false">IF(C1203&lt;&gt;"Purchase",0,L1203-O1203)</f>
        <v>0</v>
      </c>
      <c r="Q1203" s="53" t="n">
        <f aca="false">J1203-B1203</f>
        <v>0</v>
      </c>
      <c r="R1203" s="51" t="str">
        <f aca="false">IF(I1203="N","Invalid / missing TRN",IF(F1203="Blocked input (entertainment)","Blocked input",IF(Q1203&gt;30,"Late posting (&gt;30d)","")))</f>
        <v/>
      </c>
    </row>
    <row r="1204" customFormat="false" ht="15" hidden="false" customHeight="false" outlineLevel="0" collapsed="false">
      <c r="A1204" s="47" t="s">
        <v>1490</v>
      </c>
      <c r="B1204" s="48" t="n">
        <v>46007</v>
      </c>
      <c r="C1204" s="47" t="s">
        <v>159</v>
      </c>
      <c r="D1204" s="47" t="s">
        <v>627</v>
      </c>
      <c r="E1204" s="47" t="s">
        <v>104</v>
      </c>
      <c r="F1204" s="47" t="s">
        <v>161</v>
      </c>
      <c r="G1204" s="49" t="n">
        <v>68424.4</v>
      </c>
      <c r="H1204" s="50" t="n">
        <v>0.05</v>
      </c>
      <c r="I1204" s="47" t="s">
        <v>162</v>
      </c>
      <c r="J1204" s="48" t="n">
        <v>46007</v>
      </c>
      <c r="K1204" s="51" t="str">
        <f aca="false">"Q"&amp;ROUNDUP(MONTH(B1204)/3,0)</f>
        <v>Q4</v>
      </c>
      <c r="L1204" s="52" t="n">
        <f aca="false">ROUND(G1204*H1204,2)</f>
        <v>3421.22</v>
      </c>
      <c r="M1204" s="52" t="n">
        <f aca="false">IF(AND(C1204="Sales",F1204="Standard-rated 5%"),L1204,0)</f>
        <v>3421.22</v>
      </c>
      <c r="N1204" s="52" t="n">
        <f aca="false">IF(F1204="Reverse charge (imported services)",L1204,0)</f>
        <v>0</v>
      </c>
      <c r="O1204" s="52" t="n">
        <f aca="false">IF(C1204&lt;&gt;"Purchase",0,IF(OR(I1204="N",F1204="Blocked input (entertainment)"),0,L1204))</f>
        <v>0</v>
      </c>
      <c r="P1204" s="52" t="n">
        <f aca="false">IF(C1204&lt;&gt;"Purchase",0,L1204-O1204)</f>
        <v>0</v>
      </c>
      <c r="Q1204" s="53" t="n">
        <f aca="false">J1204-B1204</f>
        <v>0</v>
      </c>
      <c r="R1204" s="51" t="str">
        <f aca="false">IF(I1204="N","Invalid / missing TRN",IF(F1204="Blocked input (entertainment)","Blocked input",IF(Q1204&gt;30,"Late posting (&gt;30d)","")))</f>
        <v/>
      </c>
    </row>
    <row r="1205" customFormat="false" ht="15" hidden="false" customHeight="false" outlineLevel="0" collapsed="false">
      <c r="A1205" s="47" t="s">
        <v>1491</v>
      </c>
      <c r="B1205" s="48" t="n">
        <v>46007</v>
      </c>
      <c r="C1205" s="47" t="s">
        <v>159</v>
      </c>
      <c r="D1205" s="47" t="s">
        <v>373</v>
      </c>
      <c r="E1205" s="47" t="s">
        <v>100</v>
      </c>
      <c r="F1205" s="47" t="s">
        <v>161</v>
      </c>
      <c r="G1205" s="49" t="n">
        <v>35654.79</v>
      </c>
      <c r="H1205" s="50" t="n">
        <v>0.05</v>
      </c>
      <c r="I1205" s="47" t="s">
        <v>162</v>
      </c>
      <c r="J1205" s="48" t="n">
        <v>46007</v>
      </c>
      <c r="K1205" s="51" t="str">
        <f aca="false">"Q"&amp;ROUNDUP(MONTH(B1205)/3,0)</f>
        <v>Q4</v>
      </c>
      <c r="L1205" s="52" t="n">
        <f aca="false">ROUND(G1205*H1205,2)</f>
        <v>1782.74</v>
      </c>
      <c r="M1205" s="52" t="n">
        <f aca="false">IF(AND(C1205="Sales",F1205="Standard-rated 5%"),L1205,0)</f>
        <v>1782.74</v>
      </c>
      <c r="N1205" s="52" t="n">
        <f aca="false">IF(F1205="Reverse charge (imported services)",L1205,0)</f>
        <v>0</v>
      </c>
      <c r="O1205" s="52" t="n">
        <f aca="false">IF(C1205&lt;&gt;"Purchase",0,IF(OR(I1205="N",F1205="Blocked input (entertainment)"),0,L1205))</f>
        <v>0</v>
      </c>
      <c r="P1205" s="52" t="n">
        <f aca="false">IF(C1205&lt;&gt;"Purchase",0,L1205-O1205)</f>
        <v>0</v>
      </c>
      <c r="Q1205" s="53" t="n">
        <f aca="false">J1205-B1205</f>
        <v>0</v>
      </c>
      <c r="R1205" s="51" t="str">
        <f aca="false">IF(I1205="N","Invalid / missing TRN",IF(F1205="Blocked input (entertainment)","Blocked input",IF(Q1205&gt;30,"Late posting (&gt;30d)","")))</f>
        <v/>
      </c>
    </row>
    <row r="1206" customFormat="false" ht="15" hidden="false" customHeight="false" outlineLevel="0" collapsed="false">
      <c r="A1206" s="47" t="s">
        <v>1492</v>
      </c>
      <c r="B1206" s="48" t="n">
        <v>46008</v>
      </c>
      <c r="C1206" s="47" t="s">
        <v>159</v>
      </c>
      <c r="D1206" s="47" t="s">
        <v>300</v>
      </c>
      <c r="E1206" s="47" t="s">
        <v>100</v>
      </c>
      <c r="F1206" s="47" t="s">
        <v>161</v>
      </c>
      <c r="G1206" s="49" t="n">
        <v>12025.88</v>
      </c>
      <c r="H1206" s="50" t="n">
        <v>0.05</v>
      </c>
      <c r="I1206" s="47" t="s">
        <v>162</v>
      </c>
      <c r="J1206" s="48" t="n">
        <v>46008</v>
      </c>
      <c r="K1206" s="51" t="str">
        <f aca="false">"Q"&amp;ROUNDUP(MONTH(B1206)/3,0)</f>
        <v>Q4</v>
      </c>
      <c r="L1206" s="52" t="n">
        <f aca="false">ROUND(G1206*H1206,2)</f>
        <v>601.29</v>
      </c>
      <c r="M1206" s="52" t="n">
        <f aca="false">IF(AND(C1206="Sales",F1206="Standard-rated 5%"),L1206,0)</f>
        <v>601.29</v>
      </c>
      <c r="N1206" s="52" t="n">
        <f aca="false">IF(F1206="Reverse charge (imported services)",L1206,0)</f>
        <v>0</v>
      </c>
      <c r="O1206" s="52" t="n">
        <f aca="false">IF(C1206&lt;&gt;"Purchase",0,IF(OR(I1206="N",F1206="Blocked input (entertainment)"),0,L1206))</f>
        <v>0</v>
      </c>
      <c r="P1206" s="52" t="n">
        <f aca="false">IF(C1206&lt;&gt;"Purchase",0,L1206-O1206)</f>
        <v>0</v>
      </c>
      <c r="Q1206" s="53" t="n">
        <f aca="false">J1206-B1206</f>
        <v>0</v>
      </c>
      <c r="R1206" s="51" t="str">
        <f aca="false">IF(I1206="N","Invalid / missing TRN",IF(F1206="Blocked input (entertainment)","Blocked input",IF(Q1206&gt;30,"Late posting (&gt;30d)","")))</f>
        <v/>
      </c>
    </row>
    <row r="1207" customFormat="false" ht="15" hidden="false" customHeight="false" outlineLevel="0" collapsed="false">
      <c r="A1207" s="47" t="s">
        <v>1493</v>
      </c>
      <c r="B1207" s="48" t="n">
        <v>46008</v>
      </c>
      <c r="C1207" s="47" t="s">
        <v>159</v>
      </c>
      <c r="D1207" s="47" t="s">
        <v>333</v>
      </c>
      <c r="E1207" s="47" t="s">
        <v>100</v>
      </c>
      <c r="F1207" s="47" t="s">
        <v>278</v>
      </c>
      <c r="G1207" s="49" t="n">
        <v>34103.46</v>
      </c>
      <c r="H1207" s="50" t="n">
        <v>0</v>
      </c>
      <c r="I1207" s="47" t="s">
        <v>162</v>
      </c>
      <c r="J1207" s="48" t="n">
        <v>46009</v>
      </c>
      <c r="K1207" s="51" t="str">
        <f aca="false">"Q"&amp;ROUNDUP(MONTH(B1207)/3,0)</f>
        <v>Q4</v>
      </c>
      <c r="L1207" s="52" t="n">
        <f aca="false">ROUND(G1207*H1207,2)</f>
        <v>0</v>
      </c>
      <c r="M1207" s="52" t="n">
        <f aca="false">IF(AND(C1207="Sales",F1207="Standard-rated 5%"),L1207,0)</f>
        <v>0</v>
      </c>
      <c r="N1207" s="52" t="n">
        <f aca="false">IF(F1207="Reverse charge (imported services)",L1207,0)</f>
        <v>0</v>
      </c>
      <c r="O1207" s="52" t="n">
        <f aca="false">IF(C1207&lt;&gt;"Purchase",0,IF(OR(I1207="N",F1207="Blocked input (entertainment)"),0,L1207))</f>
        <v>0</v>
      </c>
      <c r="P1207" s="52" t="n">
        <f aca="false">IF(C1207&lt;&gt;"Purchase",0,L1207-O1207)</f>
        <v>0</v>
      </c>
      <c r="Q1207" s="53" t="n">
        <f aca="false">J1207-B1207</f>
        <v>1</v>
      </c>
      <c r="R1207" s="51" t="str">
        <f aca="false">IF(I1207="N","Invalid / missing TRN",IF(F1207="Blocked input (entertainment)","Blocked input",IF(Q1207&gt;30,"Late posting (&gt;30d)","")))</f>
        <v/>
      </c>
    </row>
    <row r="1208" customFormat="false" ht="15" hidden="false" customHeight="false" outlineLevel="0" collapsed="false">
      <c r="A1208" s="47" t="s">
        <v>1494</v>
      </c>
      <c r="B1208" s="48" t="n">
        <v>46009</v>
      </c>
      <c r="C1208" s="47" t="s">
        <v>166</v>
      </c>
      <c r="D1208" s="47" t="s">
        <v>172</v>
      </c>
      <c r="E1208" s="47" t="s">
        <v>100</v>
      </c>
      <c r="F1208" s="47" t="s">
        <v>268</v>
      </c>
      <c r="G1208" s="49" t="n">
        <v>5591.11</v>
      </c>
      <c r="H1208" s="50" t="n">
        <v>0</v>
      </c>
      <c r="I1208" s="47" t="s">
        <v>162</v>
      </c>
      <c r="J1208" s="48" t="n">
        <v>46009</v>
      </c>
      <c r="K1208" s="51" t="str">
        <f aca="false">"Q"&amp;ROUNDUP(MONTH(B1208)/3,0)</f>
        <v>Q4</v>
      </c>
      <c r="L1208" s="52" t="n">
        <f aca="false">ROUND(G1208*H1208,2)</f>
        <v>0</v>
      </c>
      <c r="M1208" s="52" t="n">
        <f aca="false">IF(AND(C1208="Sales",F1208="Standard-rated 5%"),L1208,0)</f>
        <v>0</v>
      </c>
      <c r="N1208" s="52" t="n">
        <f aca="false">IF(F1208="Reverse charge (imported services)",L1208,0)</f>
        <v>0</v>
      </c>
      <c r="O1208" s="52" t="n">
        <f aca="false">IF(C1208&lt;&gt;"Purchase",0,IF(OR(I1208="N",F1208="Blocked input (entertainment)"),0,L1208))</f>
        <v>0</v>
      </c>
      <c r="P1208" s="52" t="n">
        <f aca="false">IF(C1208&lt;&gt;"Purchase",0,L1208-O1208)</f>
        <v>0</v>
      </c>
      <c r="Q1208" s="53" t="n">
        <f aca="false">J1208-B1208</f>
        <v>0</v>
      </c>
      <c r="R1208" s="51" t="str">
        <f aca="false">IF(I1208="N","Invalid / missing TRN",IF(F1208="Blocked input (entertainment)","Blocked input",IF(Q1208&gt;30,"Late posting (&gt;30d)","")))</f>
        <v/>
      </c>
    </row>
    <row r="1209" customFormat="false" ht="15" hidden="false" customHeight="false" outlineLevel="0" collapsed="false">
      <c r="A1209" s="47" t="s">
        <v>1495</v>
      </c>
      <c r="B1209" s="48" t="n">
        <v>46009</v>
      </c>
      <c r="C1209" s="47" t="s">
        <v>159</v>
      </c>
      <c r="D1209" s="47" t="s">
        <v>423</v>
      </c>
      <c r="E1209" s="47" t="s">
        <v>100</v>
      </c>
      <c r="F1209" s="47" t="s">
        <v>161</v>
      </c>
      <c r="G1209" s="49" t="n">
        <v>22261.21</v>
      </c>
      <c r="H1209" s="50" t="n">
        <v>0.05</v>
      </c>
      <c r="I1209" s="47" t="s">
        <v>162</v>
      </c>
      <c r="J1209" s="48" t="n">
        <v>46009</v>
      </c>
      <c r="K1209" s="51" t="str">
        <f aca="false">"Q"&amp;ROUNDUP(MONTH(B1209)/3,0)</f>
        <v>Q4</v>
      </c>
      <c r="L1209" s="52" t="n">
        <f aca="false">ROUND(G1209*H1209,2)</f>
        <v>1113.06</v>
      </c>
      <c r="M1209" s="52" t="n">
        <f aca="false">IF(AND(C1209="Sales",F1209="Standard-rated 5%"),L1209,0)</f>
        <v>1113.06</v>
      </c>
      <c r="N1209" s="52" t="n">
        <f aca="false">IF(F1209="Reverse charge (imported services)",L1209,0)</f>
        <v>0</v>
      </c>
      <c r="O1209" s="52" t="n">
        <f aca="false">IF(C1209&lt;&gt;"Purchase",0,IF(OR(I1209="N",F1209="Blocked input (entertainment)"),0,L1209))</f>
        <v>0</v>
      </c>
      <c r="P1209" s="52" t="n">
        <f aca="false">IF(C1209&lt;&gt;"Purchase",0,L1209-O1209)</f>
        <v>0</v>
      </c>
      <c r="Q1209" s="53" t="n">
        <f aca="false">J1209-B1209</f>
        <v>0</v>
      </c>
      <c r="R1209" s="51" t="str">
        <f aca="false">IF(I1209="N","Invalid / missing TRN",IF(F1209="Blocked input (entertainment)","Blocked input",IF(Q1209&gt;30,"Late posting (&gt;30d)","")))</f>
        <v/>
      </c>
    </row>
    <row r="1210" customFormat="false" ht="15" hidden="false" customHeight="false" outlineLevel="0" collapsed="false">
      <c r="A1210" s="47" t="s">
        <v>1496</v>
      </c>
      <c r="B1210" s="48" t="n">
        <v>46010</v>
      </c>
      <c r="C1210" s="47" t="s">
        <v>166</v>
      </c>
      <c r="D1210" s="47" t="s">
        <v>218</v>
      </c>
      <c r="E1210" s="47" t="s">
        <v>100</v>
      </c>
      <c r="F1210" s="47" t="s">
        <v>161</v>
      </c>
      <c r="G1210" s="49" t="n">
        <v>19965.9</v>
      </c>
      <c r="H1210" s="50" t="n">
        <v>0.05</v>
      </c>
      <c r="I1210" s="47" t="s">
        <v>162</v>
      </c>
      <c r="J1210" s="48" t="n">
        <v>46012</v>
      </c>
      <c r="K1210" s="51" t="str">
        <f aca="false">"Q"&amp;ROUNDUP(MONTH(B1210)/3,0)</f>
        <v>Q4</v>
      </c>
      <c r="L1210" s="52" t="n">
        <f aca="false">ROUND(G1210*H1210,2)</f>
        <v>998.3</v>
      </c>
      <c r="M1210" s="52" t="n">
        <f aca="false">IF(AND(C1210="Sales",F1210="Standard-rated 5%"),L1210,0)</f>
        <v>0</v>
      </c>
      <c r="N1210" s="52" t="n">
        <f aca="false">IF(F1210="Reverse charge (imported services)",L1210,0)</f>
        <v>0</v>
      </c>
      <c r="O1210" s="52" t="n">
        <f aca="false">IF(C1210&lt;&gt;"Purchase",0,IF(OR(I1210="N",F1210="Blocked input (entertainment)"),0,L1210))</f>
        <v>998.3</v>
      </c>
      <c r="P1210" s="52" t="n">
        <f aca="false">IF(C1210&lt;&gt;"Purchase",0,L1210-O1210)</f>
        <v>0</v>
      </c>
      <c r="Q1210" s="53" t="n">
        <f aca="false">J1210-B1210</f>
        <v>2</v>
      </c>
      <c r="R1210" s="51" t="str">
        <f aca="false">IF(I1210="N","Invalid / missing TRN",IF(F1210="Blocked input (entertainment)","Blocked input",IF(Q1210&gt;30,"Late posting (&gt;30d)","")))</f>
        <v/>
      </c>
    </row>
    <row r="1211" customFormat="false" ht="15" hidden="false" customHeight="false" outlineLevel="0" collapsed="false">
      <c r="A1211" s="47" t="s">
        <v>1497</v>
      </c>
      <c r="B1211" s="48" t="n">
        <v>46010</v>
      </c>
      <c r="C1211" s="47" t="s">
        <v>166</v>
      </c>
      <c r="D1211" s="47" t="s">
        <v>315</v>
      </c>
      <c r="E1211" s="47" t="s">
        <v>104</v>
      </c>
      <c r="F1211" s="47" t="s">
        <v>161</v>
      </c>
      <c r="G1211" s="49" t="n">
        <v>20766.52</v>
      </c>
      <c r="H1211" s="50" t="n">
        <v>0.05</v>
      </c>
      <c r="I1211" s="47" t="s">
        <v>162</v>
      </c>
      <c r="J1211" s="48" t="n">
        <v>46010</v>
      </c>
      <c r="K1211" s="51" t="str">
        <f aca="false">"Q"&amp;ROUNDUP(MONTH(B1211)/3,0)</f>
        <v>Q4</v>
      </c>
      <c r="L1211" s="52" t="n">
        <f aca="false">ROUND(G1211*H1211,2)</f>
        <v>1038.33</v>
      </c>
      <c r="M1211" s="52" t="n">
        <f aca="false">IF(AND(C1211="Sales",F1211="Standard-rated 5%"),L1211,0)</f>
        <v>0</v>
      </c>
      <c r="N1211" s="52" t="n">
        <f aca="false">IF(F1211="Reverse charge (imported services)",L1211,0)</f>
        <v>0</v>
      </c>
      <c r="O1211" s="52" t="n">
        <f aca="false">IF(C1211&lt;&gt;"Purchase",0,IF(OR(I1211="N",F1211="Blocked input (entertainment)"),0,L1211))</f>
        <v>1038.33</v>
      </c>
      <c r="P1211" s="52" t="n">
        <f aca="false">IF(C1211&lt;&gt;"Purchase",0,L1211-O1211)</f>
        <v>0</v>
      </c>
      <c r="Q1211" s="53" t="n">
        <f aca="false">J1211-B1211</f>
        <v>0</v>
      </c>
      <c r="R1211" s="51" t="str">
        <f aca="false">IF(I1211="N","Invalid / missing TRN",IF(F1211="Blocked input (entertainment)","Blocked input",IF(Q1211&gt;30,"Late posting (&gt;30d)","")))</f>
        <v/>
      </c>
    </row>
    <row r="1212" customFormat="false" ht="15" hidden="false" customHeight="false" outlineLevel="0" collapsed="false">
      <c r="A1212" s="47" t="s">
        <v>1498</v>
      </c>
      <c r="B1212" s="48" t="n">
        <v>46010</v>
      </c>
      <c r="C1212" s="47" t="s">
        <v>166</v>
      </c>
      <c r="D1212" s="47" t="s">
        <v>304</v>
      </c>
      <c r="E1212" s="47" t="s">
        <v>101</v>
      </c>
      <c r="F1212" s="47" t="s">
        <v>161</v>
      </c>
      <c r="G1212" s="49" t="n">
        <v>56404.39</v>
      </c>
      <c r="H1212" s="50" t="n">
        <v>0.05</v>
      </c>
      <c r="I1212" s="47" t="s">
        <v>162</v>
      </c>
      <c r="J1212" s="48" t="n">
        <v>46010</v>
      </c>
      <c r="K1212" s="51" t="str">
        <f aca="false">"Q"&amp;ROUNDUP(MONTH(B1212)/3,0)</f>
        <v>Q4</v>
      </c>
      <c r="L1212" s="52" t="n">
        <f aca="false">ROUND(G1212*H1212,2)</f>
        <v>2820.22</v>
      </c>
      <c r="M1212" s="52" t="n">
        <f aca="false">IF(AND(C1212="Sales",F1212="Standard-rated 5%"),L1212,0)</f>
        <v>0</v>
      </c>
      <c r="N1212" s="52" t="n">
        <f aca="false">IF(F1212="Reverse charge (imported services)",L1212,0)</f>
        <v>0</v>
      </c>
      <c r="O1212" s="52" t="n">
        <f aca="false">IF(C1212&lt;&gt;"Purchase",0,IF(OR(I1212="N",F1212="Blocked input (entertainment)"),0,L1212))</f>
        <v>2820.22</v>
      </c>
      <c r="P1212" s="52" t="n">
        <f aca="false">IF(C1212&lt;&gt;"Purchase",0,L1212-O1212)</f>
        <v>0</v>
      </c>
      <c r="Q1212" s="53" t="n">
        <f aca="false">J1212-B1212</f>
        <v>0</v>
      </c>
      <c r="R1212" s="51" t="str">
        <f aca="false">IF(I1212="N","Invalid / missing TRN",IF(F1212="Blocked input (entertainment)","Blocked input",IF(Q1212&gt;30,"Late posting (&gt;30d)","")))</f>
        <v/>
      </c>
    </row>
    <row r="1213" customFormat="false" ht="15" hidden="false" customHeight="false" outlineLevel="0" collapsed="false">
      <c r="A1213" s="47" t="s">
        <v>1499</v>
      </c>
      <c r="B1213" s="48" t="n">
        <v>46010</v>
      </c>
      <c r="C1213" s="47" t="s">
        <v>166</v>
      </c>
      <c r="D1213" s="47" t="s">
        <v>253</v>
      </c>
      <c r="E1213" s="47" t="s">
        <v>100</v>
      </c>
      <c r="F1213" s="47" t="s">
        <v>161</v>
      </c>
      <c r="G1213" s="49" t="n">
        <v>7126.34</v>
      </c>
      <c r="H1213" s="50" t="n">
        <v>0.05</v>
      </c>
      <c r="I1213" s="47" t="s">
        <v>162</v>
      </c>
      <c r="J1213" s="48" t="n">
        <v>46010</v>
      </c>
      <c r="K1213" s="51" t="str">
        <f aca="false">"Q"&amp;ROUNDUP(MONTH(B1213)/3,0)</f>
        <v>Q4</v>
      </c>
      <c r="L1213" s="52" t="n">
        <f aca="false">ROUND(G1213*H1213,2)</f>
        <v>356.32</v>
      </c>
      <c r="M1213" s="52" t="n">
        <f aca="false">IF(AND(C1213="Sales",F1213="Standard-rated 5%"),L1213,0)</f>
        <v>0</v>
      </c>
      <c r="N1213" s="52" t="n">
        <f aca="false">IF(F1213="Reverse charge (imported services)",L1213,0)</f>
        <v>0</v>
      </c>
      <c r="O1213" s="52" t="n">
        <f aca="false">IF(C1213&lt;&gt;"Purchase",0,IF(OR(I1213="N",F1213="Blocked input (entertainment)"),0,L1213))</f>
        <v>356.32</v>
      </c>
      <c r="P1213" s="52" t="n">
        <f aca="false">IF(C1213&lt;&gt;"Purchase",0,L1213-O1213)</f>
        <v>0</v>
      </c>
      <c r="Q1213" s="53" t="n">
        <f aca="false">J1213-B1213</f>
        <v>0</v>
      </c>
      <c r="R1213" s="51" t="str">
        <f aca="false">IF(I1213="N","Invalid / missing TRN",IF(F1213="Blocked input (entertainment)","Blocked input",IF(Q1213&gt;30,"Late posting (&gt;30d)","")))</f>
        <v/>
      </c>
    </row>
    <row r="1214" customFormat="false" ht="15" hidden="false" customHeight="false" outlineLevel="0" collapsed="false">
      <c r="A1214" s="47" t="s">
        <v>1500</v>
      </c>
      <c r="B1214" s="48" t="n">
        <v>46010</v>
      </c>
      <c r="C1214" s="47" t="s">
        <v>166</v>
      </c>
      <c r="D1214" s="47" t="s">
        <v>514</v>
      </c>
      <c r="E1214" s="47" t="s">
        <v>104</v>
      </c>
      <c r="F1214" s="47" t="s">
        <v>161</v>
      </c>
      <c r="G1214" s="49" t="n">
        <v>35262.24</v>
      </c>
      <c r="H1214" s="50" t="n">
        <v>0.05</v>
      </c>
      <c r="I1214" s="47" t="s">
        <v>162</v>
      </c>
      <c r="J1214" s="48" t="n">
        <v>46010</v>
      </c>
      <c r="K1214" s="51" t="str">
        <f aca="false">"Q"&amp;ROUNDUP(MONTH(B1214)/3,0)</f>
        <v>Q4</v>
      </c>
      <c r="L1214" s="52" t="n">
        <f aca="false">ROUND(G1214*H1214,2)</f>
        <v>1763.11</v>
      </c>
      <c r="M1214" s="52" t="n">
        <f aca="false">IF(AND(C1214="Sales",F1214="Standard-rated 5%"),L1214,0)</f>
        <v>0</v>
      </c>
      <c r="N1214" s="52" t="n">
        <f aca="false">IF(F1214="Reverse charge (imported services)",L1214,0)</f>
        <v>0</v>
      </c>
      <c r="O1214" s="52" t="n">
        <f aca="false">IF(C1214&lt;&gt;"Purchase",0,IF(OR(I1214="N",F1214="Blocked input (entertainment)"),0,L1214))</f>
        <v>1763.11</v>
      </c>
      <c r="P1214" s="52" t="n">
        <f aca="false">IF(C1214&lt;&gt;"Purchase",0,L1214-O1214)</f>
        <v>0</v>
      </c>
      <c r="Q1214" s="53" t="n">
        <f aca="false">J1214-B1214</f>
        <v>0</v>
      </c>
      <c r="R1214" s="51" t="str">
        <f aca="false">IF(I1214="N","Invalid / missing TRN",IF(F1214="Blocked input (entertainment)","Blocked input",IF(Q1214&gt;30,"Late posting (&gt;30d)","")))</f>
        <v/>
      </c>
    </row>
    <row r="1215" customFormat="false" ht="15" hidden="false" customHeight="false" outlineLevel="0" collapsed="false">
      <c r="A1215" s="47" t="s">
        <v>1501</v>
      </c>
      <c r="B1215" s="48" t="n">
        <v>46010</v>
      </c>
      <c r="C1215" s="47" t="s">
        <v>159</v>
      </c>
      <c r="D1215" s="47" t="s">
        <v>179</v>
      </c>
      <c r="E1215" s="47" t="s">
        <v>100</v>
      </c>
      <c r="F1215" s="47" t="s">
        <v>278</v>
      </c>
      <c r="G1215" s="49" t="n">
        <v>53171.36</v>
      </c>
      <c r="H1215" s="50" t="n">
        <v>0</v>
      </c>
      <c r="I1215" s="47" t="s">
        <v>162</v>
      </c>
      <c r="J1215" s="48" t="n">
        <v>46010</v>
      </c>
      <c r="K1215" s="51" t="str">
        <f aca="false">"Q"&amp;ROUNDUP(MONTH(B1215)/3,0)</f>
        <v>Q4</v>
      </c>
      <c r="L1215" s="52" t="n">
        <f aca="false">ROUND(G1215*H1215,2)</f>
        <v>0</v>
      </c>
      <c r="M1215" s="52" t="n">
        <f aca="false">IF(AND(C1215="Sales",F1215="Standard-rated 5%"),L1215,0)</f>
        <v>0</v>
      </c>
      <c r="N1215" s="52" t="n">
        <f aca="false">IF(F1215="Reverse charge (imported services)",L1215,0)</f>
        <v>0</v>
      </c>
      <c r="O1215" s="52" t="n">
        <f aca="false">IF(C1215&lt;&gt;"Purchase",0,IF(OR(I1215="N",F1215="Blocked input (entertainment)"),0,L1215))</f>
        <v>0</v>
      </c>
      <c r="P1215" s="52" t="n">
        <f aca="false">IF(C1215&lt;&gt;"Purchase",0,L1215-O1215)</f>
        <v>0</v>
      </c>
      <c r="Q1215" s="53" t="n">
        <f aca="false">J1215-B1215</f>
        <v>0</v>
      </c>
      <c r="R1215" s="51" t="str">
        <f aca="false">IF(I1215="N","Invalid / missing TRN",IF(F1215="Blocked input (entertainment)","Blocked input",IF(Q1215&gt;30,"Late posting (&gt;30d)","")))</f>
        <v/>
      </c>
    </row>
    <row r="1216" customFormat="false" ht="15" hidden="false" customHeight="false" outlineLevel="0" collapsed="false">
      <c r="A1216" s="47" t="s">
        <v>1502</v>
      </c>
      <c r="B1216" s="48" t="n">
        <v>46011</v>
      </c>
      <c r="C1216" s="47" t="s">
        <v>159</v>
      </c>
      <c r="D1216" s="47" t="s">
        <v>579</v>
      </c>
      <c r="E1216" s="47" t="s">
        <v>100</v>
      </c>
      <c r="F1216" s="47" t="s">
        <v>278</v>
      </c>
      <c r="G1216" s="49" t="n">
        <v>293509.19</v>
      </c>
      <c r="H1216" s="50" t="n">
        <v>0</v>
      </c>
      <c r="I1216" s="47" t="s">
        <v>162</v>
      </c>
      <c r="J1216" s="48" t="n">
        <v>46011</v>
      </c>
      <c r="K1216" s="51" t="str">
        <f aca="false">"Q"&amp;ROUNDUP(MONTH(B1216)/3,0)</f>
        <v>Q4</v>
      </c>
      <c r="L1216" s="52" t="n">
        <f aca="false">ROUND(G1216*H1216,2)</f>
        <v>0</v>
      </c>
      <c r="M1216" s="52" t="n">
        <f aca="false">IF(AND(C1216="Sales",F1216="Standard-rated 5%"),L1216,0)</f>
        <v>0</v>
      </c>
      <c r="N1216" s="52" t="n">
        <f aca="false">IF(F1216="Reverse charge (imported services)",L1216,0)</f>
        <v>0</v>
      </c>
      <c r="O1216" s="52" t="n">
        <f aca="false">IF(C1216&lt;&gt;"Purchase",0,IF(OR(I1216="N",F1216="Blocked input (entertainment)"),0,L1216))</f>
        <v>0</v>
      </c>
      <c r="P1216" s="52" t="n">
        <f aca="false">IF(C1216&lt;&gt;"Purchase",0,L1216-O1216)</f>
        <v>0</v>
      </c>
      <c r="Q1216" s="53" t="n">
        <f aca="false">J1216-B1216</f>
        <v>0</v>
      </c>
      <c r="R1216" s="51" t="str">
        <f aca="false">IF(I1216="N","Invalid / missing TRN",IF(F1216="Blocked input (entertainment)","Blocked input",IF(Q1216&gt;30,"Late posting (&gt;30d)","")))</f>
        <v/>
      </c>
    </row>
    <row r="1217" customFormat="false" ht="15" hidden="false" customHeight="false" outlineLevel="0" collapsed="false">
      <c r="A1217" s="47" t="s">
        <v>1503</v>
      </c>
      <c r="B1217" s="48" t="n">
        <v>46011</v>
      </c>
      <c r="C1217" s="47" t="s">
        <v>159</v>
      </c>
      <c r="D1217" s="47" t="s">
        <v>239</v>
      </c>
      <c r="E1217" s="47" t="s">
        <v>101</v>
      </c>
      <c r="F1217" s="47" t="s">
        <v>161</v>
      </c>
      <c r="G1217" s="49" t="n">
        <v>15019.27</v>
      </c>
      <c r="H1217" s="50" t="n">
        <v>0.05</v>
      </c>
      <c r="I1217" s="47" t="s">
        <v>162</v>
      </c>
      <c r="J1217" s="48" t="n">
        <v>46011</v>
      </c>
      <c r="K1217" s="51" t="str">
        <f aca="false">"Q"&amp;ROUNDUP(MONTH(B1217)/3,0)</f>
        <v>Q4</v>
      </c>
      <c r="L1217" s="52" t="n">
        <f aca="false">ROUND(G1217*H1217,2)</f>
        <v>750.96</v>
      </c>
      <c r="M1217" s="52" t="n">
        <f aca="false">IF(AND(C1217="Sales",F1217="Standard-rated 5%"),L1217,0)</f>
        <v>750.96</v>
      </c>
      <c r="N1217" s="52" t="n">
        <f aca="false">IF(F1217="Reverse charge (imported services)",L1217,0)</f>
        <v>0</v>
      </c>
      <c r="O1217" s="52" t="n">
        <f aca="false">IF(C1217&lt;&gt;"Purchase",0,IF(OR(I1217="N",F1217="Blocked input (entertainment)"),0,L1217))</f>
        <v>0</v>
      </c>
      <c r="P1217" s="52" t="n">
        <f aca="false">IF(C1217&lt;&gt;"Purchase",0,L1217-O1217)</f>
        <v>0</v>
      </c>
      <c r="Q1217" s="53" t="n">
        <f aca="false">J1217-B1217</f>
        <v>0</v>
      </c>
      <c r="R1217" s="51" t="str">
        <f aca="false">IF(I1217="N","Invalid / missing TRN",IF(F1217="Blocked input (entertainment)","Blocked input",IF(Q1217&gt;30,"Late posting (&gt;30d)","")))</f>
        <v/>
      </c>
    </row>
    <row r="1218" customFormat="false" ht="15" hidden="false" customHeight="false" outlineLevel="0" collapsed="false">
      <c r="A1218" s="47" t="s">
        <v>1504</v>
      </c>
      <c r="B1218" s="48" t="n">
        <v>46011</v>
      </c>
      <c r="C1218" s="47" t="s">
        <v>159</v>
      </c>
      <c r="D1218" s="47" t="s">
        <v>179</v>
      </c>
      <c r="E1218" s="47" t="s">
        <v>100</v>
      </c>
      <c r="F1218" s="47" t="s">
        <v>161</v>
      </c>
      <c r="G1218" s="49" t="n">
        <v>53941.14</v>
      </c>
      <c r="H1218" s="50" t="n">
        <v>0.05</v>
      </c>
      <c r="I1218" s="47" t="s">
        <v>162</v>
      </c>
      <c r="J1218" s="48" t="n">
        <v>46011</v>
      </c>
      <c r="K1218" s="51" t="str">
        <f aca="false">"Q"&amp;ROUNDUP(MONTH(B1218)/3,0)</f>
        <v>Q4</v>
      </c>
      <c r="L1218" s="52" t="n">
        <f aca="false">ROUND(G1218*H1218,2)</f>
        <v>2697.06</v>
      </c>
      <c r="M1218" s="52" t="n">
        <f aca="false">IF(AND(C1218="Sales",F1218="Standard-rated 5%"),L1218,0)</f>
        <v>2697.06</v>
      </c>
      <c r="N1218" s="52" t="n">
        <f aca="false">IF(F1218="Reverse charge (imported services)",L1218,0)</f>
        <v>0</v>
      </c>
      <c r="O1218" s="52" t="n">
        <f aca="false">IF(C1218&lt;&gt;"Purchase",0,IF(OR(I1218="N",F1218="Blocked input (entertainment)"),0,L1218))</f>
        <v>0</v>
      </c>
      <c r="P1218" s="52" t="n">
        <f aca="false">IF(C1218&lt;&gt;"Purchase",0,L1218-O1218)</f>
        <v>0</v>
      </c>
      <c r="Q1218" s="53" t="n">
        <f aca="false">J1218-B1218</f>
        <v>0</v>
      </c>
      <c r="R1218" s="51" t="str">
        <f aca="false">IF(I1218="N","Invalid / missing TRN",IF(F1218="Blocked input (entertainment)","Blocked input",IF(Q1218&gt;30,"Late posting (&gt;30d)","")))</f>
        <v/>
      </c>
    </row>
    <row r="1219" customFormat="false" ht="15" hidden="false" customHeight="false" outlineLevel="0" collapsed="false">
      <c r="A1219" s="47" t="s">
        <v>1505</v>
      </c>
      <c r="B1219" s="48" t="n">
        <v>46012</v>
      </c>
      <c r="C1219" s="47" t="s">
        <v>166</v>
      </c>
      <c r="D1219" s="47" t="s">
        <v>549</v>
      </c>
      <c r="E1219" s="47" t="s">
        <v>101</v>
      </c>
      <c r="F1219" s="47" t="s">
        <v>161</v>
      </c>
      <c r="G1219" s="49" t="n">
        <v>23466.27</v>
      </c>
      <c r="H1219" s="50" t="n">
        <v>0.05</v>
      </c>
      <c r="I1219" s="47" t="s">
        <v>162</v>
      </c>
      <c r="J1219" s="48" t="n">
        <v>46012</v>
      </c>
      <c r="K1219" s="51" t="str">
        <f aca="false">"Q"&amp;ROUNDUP(MONTH(B1219)/3,0)</f>
        <v>Q4</v>
      </c>
      <c r="L1219" s="52" t="n">
        <f aca="false">ROUND(G1219*H1219,2)</f>
        <v>1173.31</v>
      </c>
      <c r="M1219" s="52" t="n">
        <f aca="false">IF(AND(C1219="Sales",F1219="Standard-rated 5%"),L1219,0)</f>
        <v>0</v>
      </c>
      <c r="N1219" s="52" t="n">
        <f aca="false">IF(F1219="Reverse charge (imported services)",L1219,0)</f>
        <v>0</v>
      </c>
      <c r="O1219" s="52" t="n">
        <f aca="false">IF(C1219&lt;&gt;"Purchase",0,IF(OR(I1219="N",F1219="Blocked input (entertainment)"),0,L1219))</f>
        <v>1173.31</v>
      </c>
      <c r="P1219" s="52" t="n">
        <f aca="false">IF(C1219&lt;&gt;"Purchase",0,L1219-O1219)</f>
        <v>0</v>
      </c>
      <c r="Q1219" s="53" t="n">
        <f aca="false">J1219-B1219</f>
        <v>0</v>
      </c>
      <c r="R1219" s="51" t="str">
        <f aca="false">IF(I1219="N","Invalid / missing TRN",IF(F1219="Blocked input (entertainment)","Blocked input",IF(Q1219&gt;30,"Late posting (&gt;30d)","")))</f>
        <v/>
      </c>
    </row>
    <row r="1220" customFormat="false" ht="15" hidden="false" customHeight="false" outlineLevel="0" collapsed="false">
      <c r="A1220" s="47" t="s">
        <v>1506</v>
      </c>
      <c r="B1220" s="48" t="n">
        <v>46012</v>
      </c>
      <c r="C1220" s="47" t="s">
        <v>166</v>
      </c>
      <c r="D1220" s="47" t="s">
        <v>253</v>
      </c>
      <c r="E1220" s="47" t="s">
        <v>102</v>
      </c>
      <c r="F1220" s="47" t="s">
        <v>161</v>
      </c>
      <c r="G1220" s="49" t="n">
        <v>43161.4</v>
      </c>
      <c r="H1220" s="50" t="n">
        <v>0.05</v>
      </c>
      <c r="I1220" s="47" t="s">
        <v>162</v>
      </c>
      <c r="J1220" s="48" t="n">
        <v>46013</v>
      </c>
      <c r="K1220" s="51" t="str">
        <f aca="false">"Q"&amp;ROUNDUP(MONTH(B1220)/3,0)</f>
        <v>Q4</v>
      </c>
      <c r="L1220" s="52" t="n">
        <f aca="false">ROUND(G1220*H1220,2)</f>
        <v>2158.07</v>
      </c>
      <c r="M1220" s="52" t="n">
        <f aca="false">IF(AND(C1220="Sales",F1220="Standard-rated 5%"),L1220,0)</f>
        <v>0</v>
      </c>
      <c r="N1220" s="52" t="n">
        <f aca="false">IF(F1220="Reverse charge (imported services)",L1220,0)</f>
        <v>0</v>
      </c>
      <c r="O1220" s="52" t="n">
        <f aca="false">IF(C1220&lt;&gt;"Purchase",0,IF(OR(I1220="N",F1220="Blocked input (entertainment)"),0,L1220))</f>
        <v>2158.07</v>
      </c>
      <c r="P1220" s="52" t="n">
        <f aca="false">IF(C1220&lt;&gt;"Purchase",0,L1220-O1220)</f>
        <v>0</v>
      </c>
      <c r="Q1220" s="53" t="n">
        <f aca="false">J1220-B1220</f>
        <v>1</v>
      </c>
      <c r="R1220" s="51" t="str">
        <f aca="false">IF(I1220="N","Invalid / missing TRN",IF(F1220="Blocked input (entertainment)","Blocked input",IF(Q1220&gt;30,"Late posting (&gt;30d)","")))</f>
        <v/>
      </c>
    </row>
    <row r="1221" customFormat="false" ht="15" hidden="false" customHeight="false" outlineLevel="0" collapsed="false">
      <c r="A1221" s="47" t="s">
        <v>1507</v>
      </c>
      <c r="B1221" s="48" t="n">
        <v>46012</v>
      </c>
      <c r="C1221" s="47" t="s">
        <v>159</v>
      </c>
      <c r="D1221" s="47" t="s">
        <v>401</v>
      </c>
      <c r="E1221" s="47" t="s">
        <v>100</v>
      </c>
      <c r="F1221" s="47" t="s">
        <v>278</v>
      </c>
      <c r="G1221" s="49" t="n">
        <v>28413.65</v>
      </c>
      <c r="H1221" s="50" t="n">
        <v>0</v>
      </c>
      <c r="I1221" s="47" t="s">
        <v>162</v>
      </c>
      <c r="J1221" s="48" t="n">
        <v>46017</v>
      </c>
      <c r="K1221" s="51" t="str">
        <f aca="false">"Q"&amp;ROUNDUP(MONTH(B1221)/3,0)</f>
        <v>Q4</v>
      </c>
      <c r="L1221" s="52" t="n">
        <f aca="false">ROUND(G1221*H1221,2)</f>
        <v>0</v>
      </c>
      <c r="M1221" s="52" t="n">
        <f aca="false">IF(AND(C1221="Sales",F1221="Standard-rated 5%"),L1221,0)</f>
        <v>0</v>
      </c>
      <c r="N1221" s="52" t="n">
        <f aca="false">IF(F1221="Reverse charge (imported services)",L1221,0)</f>
        <v>0</v>
      </c>
      <c r="O1221" s="52" t="n">
        <f aca="false">IF(C1221&lt;&gt;"Purchase",0,IF(OR(I1221="N",F1221="Blocked input (entertainment)"),0,L1221))</f>
        <v>0</v>
      </c>
      <c r="P1221" s="52" t="n">
        <f aca="false">IF(C1221&lt;&gt;"Purchase",0,L1221-O1221)</f>
        <v>0</v>
      </c>
      <c r="Q1221" s="53" t="n">
        <f aca="false">J1221-B1221</f>
        <v>5</v>
      </c>
      <c r="R1221" s="51" t="str">
        <f aca="false">IF(I1221="N","Invalid / missing TRN",IF(F1221="Blocked input (entertainment)","Blocked input",IF(Q1221&gt;30,"Late posting (&gt;30d)","")))</f>
        <v/>
      </c>
    </row>
    <row r="1222" customFormat="false" ht="15" hidden="false" customHeight="false" outlineLevel="0" collapsed="false">
      <c r="A1222" s="47" t="s">
        <v>1508</v>
      </c>
      <c r="B1222" s="48" t="n">
        <v>46012</v>
      </c>
      <c r="C1222" s="47" t="s">
        <v>159</v>
      </c>
      <c r="D1222" s="47" t="s">
        <v>290</v>
      </c>
      <c r="E1222" s="47" t="s">
        <v>100</v>
      </c>
      <c r="F1222" s="47" t="s">
        <v>161</v>
      </c>
      <c r="G1222" s="49" t="n">
        <v>178001.38</v>
      </c>
      <c r="H1222" s="50" t="n">
        <v>0.05</v>
      </c>
      <c r="I1222" s="47" t="s">
        <v>162</v>
      </c>
      <c r="J1222" s="48" t="n">
        <v>46012</v>
      </c>
      <c r="K1222" s="51" t="str">
        <f aca="false">"Q"&amp;ROUNDUP(MONTH(B1222)/3,0)</f>
        <v>Q4</v>
      </c>
      <c r="L1222" s="52" t="n">
        <f aca="false">ROUND(G1222*H1222,2)</f>
        <v>8900.07</v>
      </c>
      <c r="M1222" s="52" t="n">
        <f aca="false">IF(AND(C1222="Sales",F1222="Standard-rated 5%"),L1222,0)</f>
        <v>8900.07</v>
      </c>
      <c r="N1222" s="52" t="n">
        <f aca="false">IF(F1222="Reverse charge (imported services)",L1222,0)</f>
        <v>0</v>
      </c>
      <c r="O1222" s="52" t="n">
        <f aca="false">IF(C1222&lt;&gt;"Purchase",0,IF(OR(I1222="N",F1222="Blocked input (entertainment)"),0,L1222))</f>
        <v>0</v>
      </c>
      <c r="P1222" s="52" t="n">
        <f aca="false">IF(C1222&lt;&gt;"Purchase",0,L1222-O1222)</f>
        <v>0</v>
      </c>
      <c r="Q1222" s="53" t="n">
        <f aca="false">J1222-B1222</f>
        <v>0</v>
      </c>
      <c r="R1222" s="51" t="str">
        <f aca="false">IF(I1222="N","Invalid / missing TRN",IF(F1222="Blocked input (entertainment)","Blocked input",IF(Q1222&gt;30,"Late posting (&gt;30d)","")))</f>
        <v/>
      </c>
    </row>
    <row r="1223" customFormat="false" ht="15" hidden="false" customHeight="false" outlineLevel="0" collapsed="false">
      <c r="A1223" s="47" t="s">
        <v>1509</v>
      </c>
      <c r="B1223" s="48" t="n">
        <v>46012</v>
      </c>
      <c r="C1223" s="47" t="s">
        <v>159</v>
      </c>
      <c r="D1223" s="47" t="s">
        <v>439</v>
      </c>
      <c r="E1223" s="47" t="s">
        <v>103</v>
      </c>
      <c r="F1223" s="47" t="s">
        <v>161</v>
      </c>
      <c r="G1223" s="49" t="n">
        <v>66323.31</v>
      </c>
      <c r="H1223" s="50" t="n">
        <v>0.05</v>
      </c>
      <c r="I1223" s="47" t="s">
        <v>162</v>
      </c>
      <c r="J1223" s="48" t="n">
        <v>46012</v>
      </c>
      <c r="K1223" s="51" t="str">
        <f aca="false">"Q"&amp;ROUNDUP(MONTH(B1223)/3,0)</f>
        <v>Q4</v>
      </c>
      <c r="L1223" s="52" t="n">
        <f aca="false">ROUND(G1223*H1223,2)</f>
        <v>3316.17</v>
      </c>
      <c r="M1223" s="52" t="n">
        <f aca="false">IF(AND(C1223="Sales",F1223="Standard-rated 5%"),L1223,0)</f>
        <v>3316.17</v>
      </c>
      <c r="N1223" s="52" t="n">
        <f aca="false">IF(F1223="Reverse charge (imported services)",L1223,0)</f>
        <v>0</v>
      </c>
      <c r="O1223" s="52" t="n">
        <f aca="false">IF(C1223&lt;&gt;"Purchase",0,IF(OR(I1223="N",F1223="Blocked input (entertainment)"),0,L1223))</f>
        <v>0</v>
      </c>
      <c r="P1223" s="52" t="n">
        <f aca="false">IF(C1223&lt;&gt;"Purchase",0,L1223-O1223)</f>
        <v>0</v>
      </c>
      <c r="Q1223" s="53" t="n">
        <f aca="false">J1223-B1223</f>
        <v>0</v>
      </c>
      <c r="R1223" s="51" t="str">
        <f aca="false">IF(I1223="N","Invalid / missing TRN",IF(F1223="Blocked input (entertainment)","Blocked input",IF(Q1223&gt;30,"Late posting (&gt;30d)","")))</f>
        <v/>
      </c>
    </row>
    <row r="1224" customFormat="false" ht="15" hidden="false" customHeight="false" outlineLevel="0" collapsed="false">
      <c r="A1224" s="47" t="s">
        <v>1510</v>
      </c>
      <c r="B1224" s="48" t="n">
        <v>46013</v>
      </c>
      <c r="C1224" s="47" t="s">
        <v>166</v>
      </c>
      <c r="D1224" s="47" t="s">
        <v>458</v>
      </c>
      <c r="E1224" s="47" t="s">
        <v>100</v>
      </c>
      <c r="F1224" s="47" t="s">
        <v>161</v>
      </c>
      <c r="G1224" s="49" t="n">
        <v>34362.83</v>
      </c>
      <c r="H1224" s="50" t="n">
        <v>0.05</v>
      </c>
      <c r="I1224" s="47" t="s">
        <v>162</v>
      </c>
      <c r="J1224" s="48" t="n">
        <v>46013</v>
      </c>
      <c r="K1224" s="51" t="str">
        <f aca="false">"Q"&amp;ROUNDUP(MONTH(B1224)/3,0)</f>
        <v>Q4</v>
      </c>
      <c r="L1224" s="52" t="n">
        <f aca="false">ROUND(G1224*H1224,2)</f>
        <v>1718.14</v>
      </c>
      <c r="M1224" s="52" t="n">
        <f aca="false">IF(AND(C1224="Sales",F1224="Standard-rated 5%"),L1224,0)</f>
        <v>0</v>
      </c>
      <c r="N1224" s="52" t="n">
        <f aca="false">IF(F1224="Reverse charge (imported services)",L1224,0)</f>
        <v>0</v>
      </c>
      <c r="O1224" s="52" t="n">
        <f aca="false">IF(C1224&lt;&gt;"Purchase",0,IF(OR(I1224="N",F1224="Blocked input (entertainment)"),0,L1224))</f>
        <v>1718.14</v>
      </c>
      <c r="P1224" s="52" t="n">
        <f aca="false">IF(C1224&lt;&gt;"Purchase",0,L1224-O1224)</f>
        <v>0</v>
      </c>
      <c r="Q1224" s="53" t="n">
        <f aca="false">J1224-B1224</f>
        <v>0</v>
      </c>
      <c r="R1224" s="51" t="str">
        <f aca="false">IF(I1224="N","Invalid / missing TRN",IF(F1224="Blocked input (entertainment)","Blocked input",IF(Q1224&gt;30,"Late posting (&gt;30d)","")))</f>
        <v/>
      </c>
    </row>
    <row r="1225" customFormat="false" ht="15" hidden="false" customHeight="false" outlineLevel="0" collapsed="false">
      <c r="A1225" s="47" t="s">
        <v>1511</v>
      </c>
      <c r="B1225" s="48" t="n">
        <v>46013</v>
      </c>
      <c r="C1225" s="47" t="s">
        <v>159</v>
      </c>
      <c r="D1225" s="47" t="s">
        <v>223</v>
      </c>
      <c r="E1225" s="47" t="s">
        <v>101</v>
      </c>
      <c r="F1225" s="47" t="s">
        <v>161</v>
      </c>
      <c r="G1225" s="49" t="n">
        <v>24986.78</v>
      </c>
      <c r="H1225" s="50" t="n">
        <v>0.05</v>
      </c>
      <c r="I1225" s="47" t="s">
        <v>162</v>
      </c>
      <c r="J1225" s="48" t="n">
        <v>46013</v>
      </c>
      <c r="K1225" s="51" t="str">
        <f aca="false">"Q"&amp;ROUNDUP(MONTH(B1225)/3,0)</f>
        <v>Q4</v>
      </c>
      <c r="L1225" s="52" t="n">
        <f aca="false">ROUND(G1225*H1225,2)</f>
        <v>1249.34</v>
      </c>
      <c r="M1225" s="52" t="n">
        <f aca="false">IF(AND(C1225="Sales",F1225="Standard-rated 5%"),L1225,0)</f>
        <v>1249.34</v>
      </c>
      <c r="N1225" s="52" t="n">
        <f aca="false">IF(F1225="Reverse charge (imported services)",L1225,0)</f>
        <v>0</v>
      </c>
      <c r="O1225" s="52" t="n">
        <f aca="false">IF(C1225&lt;&gt;"Purchase",0,IF(OR(I1225="N",F1225="Blocked input (entertainment)"),0,L1225))</f>
        <v>0</v>
      </c>
      <c r="P1225" s="52" t="n">
        <f aca="false">IF(C1225&lt;&gt;"Purchase",0,L1225-O1225)</f>
        <v>0</v>
      </c>
      <c r="Q1225" s="53" t="n">
        <f aca="false">J1225-B1225</f>
        <v>0</v>
      </c>
      <c r="R1225" s="51" t="str">
        <f aca="false">IF(I1225="N","Invalid / missing TRN",IF(F1225="Blocked input (entertainment)","Blocked input",IF(Q1225&gt;30,"Late posting (&gt;30d)","")))</f>
        <v/>
      </c>
    </row>
    <row r="1226" customFormat="false" ht="15" hidden="false" customHeight="false" outlineLevel="0" collapsed="false">
      <c r="A1226" s="47" t="s">
        <v>1512</v>
      </c>
      <c r="B1226" s="48" t="n">
        <v>46014</v>
      </c>
      <c r="C1226" s="47" t="s">
        <v>166</v>
      </c>
      <c r="D1226" s="47" t="s">
        <v>181</v>
      </c>
      <c r="E1226" s="47" t="s">
        <v>102</v>
      </c>
      <c r="F1226" s="47" t="s">
        <v>337</v>
      </c>
      <c r="G1226" s="49" t="n">
        <v>7824.97</v>
      </c>
      <c r="H1226" s="50" t="n">
        <v>0</v>
      </c>
      <c r="I1226" s="47" t="s">
        <v>162</v>
      </c>
      <c r="J1226" s="48" t="n">
        <v>46014</v>
      </c>
      <c r="K1226" s="51" t="str">
        <f aca="false">"Q"&amp;ROUNDUP(MONTH(B1226)/3,0)</f>
        <v>Q4</v>
      </c>
      <c r="L1226" s="52" t="n">
        <f aca="false">ROUND(G1226*H1226,2)</f>
        <v>0</v>
      </c>
      <c r="M1226" s="52" t="n">
        <f aca="false">IF(AND(C1226="Sales",F1226="Standard-rated 5%"),L1226,0)</f>
        <v>0</v>
      </c>
      <c r="N1226" s="52" t="n">
        <f aca="false">IF(F1226="Reverse charge (imported services)",L1226,0)</f>
        <v>0</v>
      </c>
      <c r="O1226" s="52" t="n">
        <f aca="false">IF(C1226&lt;&gt;"Purchase",0,IF(OR(I1226="N",F1226="Blocked input (entertainment)"),0,L1226))</f>
        <v>0</v>
      </c>
      <c r="P1226" s="52" t="n">
        <f aca="false">IF(C1226&lt;&gt;"Purchase",0,L1226-O1226)</f>
        <v>0</v>
      </c>
      <c r="Q1226" s="53" t="n">
        <f aca="false">J1226-B1226</f>
        <v>0</v>
      </c>
      <c r="R1226" s="51" t="str">
        <f aca="false">IF(I1226="N","Invalid / missing TRN",IF(F1226="Blocked input (entertainment)","Blocked input",IF(Q1226&gt;30,"Late posting (&gt;30d)","")))</f>
        <v/>
      </c>
    </row>
    <row r="1227" customFormat="false" ht="15" hidden="false" customHeight="false" outlineLevel="0" collapsed="false">
      <c r="A1227" s="47" t="s">
        <v>1513</v>
      </c>
      <c r="B1227" s="48" t="n">
        <v>46014</v>
      </c>
      <c r="C1227" s="47" t="s">
        <v>166</v>
      </c>
      <c r="D1227" s="47" t="s">
        <v>460</v>
      </c>
      <c r="E1227" s="47" t="s">
        <v>102</v>
      </c>
      <c r="F1227" s="47" t="s">
        <v>161</v>
      </c>
      <c r="G1227" s="49" t="n">
        <v>24415.87</v>
      </c>
      <c r="H1227" s="50" t="n">
        <v>0.05</v>
      </c>
      <c r="I1227" s="47" t="s">
        <v>162</v>
      </c>
      <c r="J1227" s="48" t="n">
        <v>46014</v>
      </c>
      <c r="K1227" s="51" t="str">
        <f aca="false">"Q"&amp;ROUNDUP(MONTH(B1227)/3,0)</f>
        <v>Q4</v>
      </c>
      <c r="L1227" s="52" t="n">
        <f aca="false">ROUND(G1227*H1227,2)</f>
        <v>1220.79</v>
      </c>
      <c r="M1227" s="52" t="n">
        <f aca="false">IF(AND(C1227="Sales",F1227="Standard-rated 5%"),L1227,0)</f>
        <v>0</v>
      </c>
      <c r="N1227" s="52" t="n">
        <f aca="false">IF(F1227="Reverse charge (imported services)",L1227,0)</f>
        <v>0</v>
      </c>
      <c r="O1227" s="52" t="n">
        <f aca="false">IF(C1227&lt;&gt;"Purchase",0,IF(OR(I1227="N",F1227="Blocked input (entertainment)"),0,L1227))</f>
        <v>1220.79</v>
      </c>
      <c r="P1227" s="52" t="n">
        <f aca="false">IF(C1227&lt;&gt;"Purchase",0,L1227-O1227)</f>
        <v>0</v>
      </c>
      <c r="Q1227" s="53" t="n">
        <f aca="false">J1227-B1227</f>
        <v>0</v>
      </c>
      <c r="R1227" s="51" t="str">
        <f aca="false">IF(I1227="N","Invalid / missing TRN",IF(F1227="Blocked input (entertainment)","Blocked input",IF(Q1227&gt;30,"Late posting (&gt;30d)","")))</f>
        <v/>
      </c>
    </row>
    <row r="1228" customFormat="false" ht="15" hidden="false" customHeight="false" outlineLevel="0" collapsed="false">
      <c r="A1228" s="47" t="s">
        <v>1514</v>
      </c>
      <c r="B1228" s="48" t="n">
        <v>46014</v>
      </c>
      <c r="C1228" s="47" t="s">
        <v>159</v>
      </c>
      <c r="D1228" s="47" t="s">
        <v>433</v>
      </c>
      <c r="E1228" s="47" t="s">
        <v>101</v>
      </c>
      <c r="F1228" s="47" t="s">
        <v>161</v>
      </c>
      <c r="G1228" s="49" t="n">
        <v>91473.56</v>
      </c>
      <c r="H1228" s="50" t="n">
        <v>0.05</v>
      </c>
      <c r="I1228" s="47" t="s">
        <v>162</v>
      </c>
      <c r="J1228" s="48" t="n">
        <v>46014</v>
      </c>
      <c r="K1228" s="51" t="str">
        <f aca="false">"Q"&amp;ROUNDUP(MONTH(B1228)/3,0)</f>
        <v>Q4</v>
      </c>
      <c r="L1228" s="52" t="n">
        <f aca="false">ROUND(G1228*H1228,2)</f>
        <v>4573.68</v>
      </c>
      <c r="M1228" s="52" t="n">
        <f aca="false">IF(AND(C1228="Sales",F1228="Standard-rated 5%"),L1228,0)</f>
        <v>4573.68</v>
      </c>
      <c r="N1228" s="52" t="n">
        <f aca="false">IF(F1228="Reverse charge (imported services)",L1228,0)</f>
        <v>0</v>
      </c>
      <c r="O1228" s="52" t="n">
        <f aca="false">IF(C1228&lt;&gt;"Purchase",0,IF(OR(I1228="N",F1228="Blocked input (entertainment)"),0,L1228))</f>
        <v>0</v>
      </c>
      <c r="P1228" s="52" t="n">
        <f aca="false">IF(C1228&lt;&gt;"Purchase",0,L1228-O1228)</f>
        <v>0</v>
      </c>
      <c r="Q1228" s="53" t="n">
        <f aca="false">J1228-B1228</f>
        <v>0</v>
      </c>
      <c r="R1228" s="51" t="str">
        <f aca="false">IF(I1228="N","Invalid / missing TRN",IF(F1228="Blocked input (entertainment)","Blocked input",IF(Q1228&gt;30,"Late posting (&gt;30d)","")))</f>
        <v/>
      </c>
    </row>
    <row r="1229" customFormat="false" ht="15" hidden="false" customHeight="false" outlineLevel="0" collapsed="false">
      <c r="A1229" s="47" t="s">
        <v>1515</v>
      </c>
      <c r="B1229" s="48" t="n">
        <v>46014</v>
      </c>
      <c r="C1229" s="47" t="s">
        <v>159</v>
      </c>
      <c r="D1229" s="47" t="s">
        <v>239</v>
      </c>
      <c r="E1229" s="47" t="s">
        <v>103</v>
      </c>
      <c r="F1229" s="47" t="s">
        <v>278</v>
      </c>
      <c r="G1229" s="49" t="n">
        <v>40444.74</v>
      </c>
      <c r="H1229" s="50" t="n">
        <v>0</v>
      </c>
      <c r="I1229" s="47" t="s">
        <v>162</v>
      </c>
      <c r="J1229" s="48" t="n">
        <v>46019</v>
      </c>
      <c r="K1229" s="51" t="str">
        <f aca="false">"Q"&amp;ROUNDUP(MONTH(B1229)/3,0)</f>
        <v>Q4</v>
      </c>
      <c r="L1229" s="52" t="n">
        <f aca="false">ROUND(G1229*H1229,2)</f>
        <v>0</v>
      </c>
      <c r="M1229" s="52" t="n">
        <f aca="false">IF(AND(C1229="Sales",F1229="Standard-rated 5%"),L1229,0)</f>
        <v>0</v>
      </c>
      <c r="N1229" s="52" t="n">
        <f aca="false">IF(F1229="Reverse charge (imported services)",L1229,0)</f>
        <v>0</v>
      </c>
      <c r="O1229" s="52" t="n">
        <f aca="false">IF(C1229&lt;&gt;"Purchase",0,IF(OR(I1229="N",F1229="Blocked input (entertainment)"),0,L1229))</f>
        <v>0</v>
      </c>
      <c r="P1229" s="52" t="n">
        <f aca="false">IF(C1229&lt;&gt;"Purchase",0,L1229-O1229)</f>
        <v>0</v>
      </c>
      <c r="Q1229" s="53" t="n">
        <f aca="false">J1229-B1229</f>
        <v>5</v>
      </c>
      <c r="R1229" s="51" t="str">
        <f aca="false">IF(I1229="N","Invalid / missing TRN",IF(F1229="Blocked input (entertainment)","Blocked input",IF(Q1229&gt;30,"Late posting (&gt;30d)","")))</f>
        <v/>
      </c>
    </row>
    <row r="1230" customFormat="false" ht="15" hidden="false" customHeight="false" outlineLevel="0" collapsed="false">
      <c r="A1230" s="47" t="s">
        <v>1516</v>
      </c>
      <c r="B1230" s="48" t="n">
        <v>46015</v>
      </c>
      <c r="C1230" s="47" t="s">
        <v>166</v>
      </c>
      <c r="D1230" s="47" t="s">
        <v>411</v>
      </c>
      <c r="E1230" s="47" t="s">
        <v>100</v>
      </c>
      <c r="F1230" s="47" t="s">
        <v>161</v>
      </c>
      <c r="G1230" s="49" t="n">
        <v>74558.68</v>
      </c>
      <c r="H1230" s="50" t="n">
        <v>0.05</v>
      </c>
      <c r="I1230" s="47" t="s">
        <v>162</v>
      </c>
      <c r="J1230" s="48" t="n">
        <v>46015</v>
      </c>
      <c r="K1230" s="51" t="str">
        <f aca="false">"Q"&amp;ROUNDUP(MONTH(B1230)/3,0)</f>
        <v>Q4</v>
      </c>
      <c r="L1230" s="52" t="n">
        <f aca="false">ROUND(G1230*H1230,2)</f>
        <v>3727.93</v>
      </c>
      <c r="M1230" s="52" t="n">
        <f aca="false">IF(AND(C1230="Sales",F1230="Standard-rated 5%"),L1230,0)</f>
        <v>0</v>
      </c>
      <c r="N1230" s="52" t="n">
        <f aca="false">IF(F1230="Reverse charge (imported services)",L1230,0)</f>
        <v>0</v>
      </c>
      <c r="O1230" s="52" t="n">
        <f aca="false">IF(C1230&lt;&gt;"Purchase",0,IF(OR(I1230="N",F1230="Blocked input (entertainment)"),0,L1230))</f>
        <v>3727.93</v>
      </c>
      <c r="P1230" s="52" t="n">
        <f aca="false">IF(C1230&lt;&gt;"Purchase",0,L1230-O1230)</f>
        <v>0</v>
      </c>
      <c r="Q1230" s="53" t="n">
        <f aca="false">J1230-B1230</f>
        <v>0</v>
      </c>
      <c r="R1230" s="51" t="str">
        <f aca="false">IF(I1230="N","Invalid / missing TRN",IF(F1230="Blocked input (entertainment)","Blocked input",IF(Q1230&gt;30,"Late posting (&gt;30d)","")))</f>
        <v/>
      </c>
    </row>
    <row r="1231" customFormat="false" ht="15" hidden="false" customHeight="false" outlineLevel="0" collapsed="false">
      <c r="A1231" s="47" t="s">
        <v>1517</v>
      </c>
      <c r="B1231" s="48" t="n">
        <v>46015</v>
      </c>
      <c r="C1231" s="47" t="s">
        <v>166</v>
      </c>
      <c r="D1231" s="47" t="s">
        <v>466</v>
      </c>
      <c r="E1231" s="47" t="s">
        <v>100</v>
      </c>
      <c r="F1231" s="47" t="s">
        <v>161</v>
      </c>
      <c r="G1231" s="49" t="n">
        <v>27047.1</v>
      </c>
      <c r="H1231" s="50" t="n">
        <v>0.05</v>
      </c>
      <c r="I1231" s="47" t="s">
        <v>162</v>
      </c>
      <c r="J1231" s="48" t="n">
        <v>46015</v>
      </c>
      <c r="K1231" s="51" t="str">
        <f aca="false">"Q"&amp;ROUNDUP(MONTH(B1231)/3,0)</f>
        <v>Q4</v>
      </c>
      <c r="L1231" s="52" t="n">
        <f aca="false">ROUND(G1231*H1231,2)</f>
        <v>1352.36</v>
      </c>
      <c r="M1231" s="52" t="n">
        <f aca="false">IF(AND(C1231="Sales",F1231="Standard-rated 5%"),L1231,0)</f>
        <v>0</v>
      </c>
      <c r="N1231" s="52" t="n">
        <f aca="false">IF(F1231="Reverse charge (imported services)",L1231,0)</f>
        <v>0</v>
      </c>
      <c r="O1231" s="52" t="n">
        <f aca="false">IF(C1231&lt;&gt;"Purchase",0,IF(OR(I1231="N",F1231="Blocked input (entertainment)"),0,L1231))</f>
        <v>1352.36</v>
      </c>
      <c r="P1231" s="52" t="n">
        <f aca="false">IF(C1231&lt;&gt;"Purchase",0,L1231-O1231)</f>
        <v>0</v>
      </c>
      <c r="Q1231" s="53" t="n">
        <f aca="false">J1231-B1231</f>
        <v>0</v>
      </c>
      <c r="R1231" s="51" t="str">
        <f aca="false">IF(I1231="N","Invalid / missing TRN",IF(F1231="Blocked input (entertainment)","Blocked input",IF(Q1231&gt;30,"Late posting (&gt;30d)","")))</f>
        <v/>
      </c>
    </row>
    <row r="1232" customFormat="false" ht="15" hidden="false" customHeight="false" outlineLevel="0" collapsed="false">
      <c r="A1232" s="47" t="s">
        <v>1518</v>
      </c>
      <c r="B1232" s="48" t="n">
        <v>46015</v>
      </c>
      <c r="C1232" s="47" t="s">
        <v>166</v>
      </c>
      <c r="D1232" s="47" t="s">
        <v>352</v>
      </c>
      <c r="E1232" s="47" t="s">
        <v>100</v>
      </c>
      <c r="F1232" s="47" t="s">
        <v>161</v>
      </c>
      <c r="G1232" s="49" t="n">
        <v>24982.28</v>
      </c>
      <c r="H1232" s="50" t="n">
        <v>0.05</v>
      </c>
      <c r="I1232" s="47" t="s">
        <v>162</v>
      </c>
      <c r="J1232" s="48" t="n">
        <v>46015</v>
      </c>
      <c r="K1232" s="51" t="str">
        <f aca="false">"Q"&amp;ROUNDUP(MONTH(B1232)/3,0)</f>
        <v>Q4</v>
      </c>
      <c r="L1232" s="52" t="n">
        <f aca="false">ROUND(G1232*H1232,2)</f>
        <v>1249.11</v>
      </c>
      <c r="M1232" s="52" t="n">
        <f aca="false">IF(AND(C1232="Sales",F1232="Standard-rated 5%"),L1232,0)</f>
        <v>0</v>
      </c>
      <c r="N1232" s="52" t="n">
        <f aca="false">IF(F1232="Reverse charge (imported services)",L1232,0)</f>
        <v>0</v>
      </c>
      <c r="O1232" s="52" t="n">
        <f aca="false">IF(C1232&lt;&gt;"Purchase",0,IF(OR(I1232="N",F1232="Blocked input (entertainment)"),0,L1232))</f>
        <v>1249.11</v>
      </c>
      <c r="P1232" s="52" t="n">
        <f aca="false">IF(C1232&lt;&gt;"Purchase",0,L1232-O1232)</f>
        <v>0</v>
      </c>
      <c r="Q1232" s="53" t="n">
        <f aca="false">J1232-B1232</f>
        <v>0</v>
      </c>
      <c r="R1232" s="51" t="str">
        <f aca="false">IF(I1232="N","Invalid / missing TRN",IF(F1232="Blocked input (entertainment)","Blocked input",IF(Q1232&gt;30,"Late posting (&gt;30d)","")))</f>
        <v/>
      </c>
    </row>
    <row r="1233" customFormat="false" ht="15" hidden="false" customHeight="false" outlineLevel="0" collapsed="false">
      <c r="A1233" s="47" t="s">
        <v>1519</v>
      </c>
      <c r="B1233" s="48" t="n">
        <v>46016</v>
      </c>
      <c r="C1233" s="47" t="s">
        <v>166</v>
      </c>
      <c r="D1233" s="47" t="s">
        <v>285</v>
      </c>
      <c r="E1233" s="47" t="s">
        <v>102</v>
      </c>
      <c r="F1233" s="47" t="s">
        <v>161</v>
      </c>
      <c r="G1233" s="49" t="n">
        <v>45085.54</v>
      </c>
      <c r="H1233" s="50" t="n">
        <v>0.05</v>
      </c>
      <c r="I1233" s="47" t="s">
        <v>162</v>
      </c>
      <c r="J1233" s="48" t="n">
        <v>46021</v>
      </c>
      <c r="K1233" s="51" t="str">
        <f aca="false">"Q"&amp;ROUNDUP(MONTH(B1233)/3,0)</f>
        <v>Q4</v>
      </c>
      <c r="L1233" s="52" t="n">
        <f aca="false">ROUND(G1233*H1233,2)</f>
        <v>2254.28</v>
      </c>
      <c r="M1233" s="52" t="n">
        <f aca="false">IF(AND(C1233="Sales",F1233="Standard-rated 5%"),L1233,0)</f>
        <v>0</v>
      </c>
      <c r="N1233" s="52" t="n">
        <f aca="false">IF(F1233="Reverse charge (imported services)",L1233,0)</f>
        <v>0</v>
      </c>
      <c r="O1233" s="52" t="n">
        <f aca="false">IF(C1233&lt;&gt;"Purchase",0,IF(OR(I1233="N",F1233="Blocked input (entertainment)"),0,L1233))</f>
        <v>2254.28</v>
      </c>
      <c r="P1233" s="52" t="n">
        <f aca="false">IF(C1233&lt;&gt;"Purchase",0,L1233-O1233)</f>
        <v>0</v>
      </c>
      <c r="Q1233" s="53" t="n">
        <f aca="false">J1233-B1233</f>
        <v>5</v>
      </c>
      <c r="R1233" s="51" t="str">
        <f aca="false">IF(I1233="N","Invalid / missing TRN",IF(F1233="Blocked input (entertainment)","Blocked input",IF(Q1233&gt;30,"Late posting (&gt;30d)","")))</f>
        <v/>
      </c>
    </row>
    <row r="1234" customFormat="false" ht="15" hidden="false" customHeight="false" outlineLevel="0" collapsed="false">
      <c r="A1234" s="47" t="s">
        <v>1520</v>
      </c>
      <c r="B1234" s="48" t="n">
        <v>46016</v>
      </c>
      <c r="C1234" s="47" t="s">
        <v>166</v>
      </c>
      <c r="D1234" s="47" t="s">
        <v>557</v>
      </c>
      <c r="E1234" s="47" t="s">
        <v>101</v>
      </c>
      <c r="F1234" s="47" t="s">
        <v>161</v>
      </c>
      <c r="G1234" s="49" t="n">
        <v>41716.32</v>
      </c>
      <c r="H1234" s="50" t="n">
        <v>0.05</v>
      </c>
      <c r="I1234" s="47" t="s">
        <v>162</v>
      </c>
      <c r="J1234" s="48" t="n">
        <v>46016</v>
      </c>
      <c r="K1234" s="51" t="str">
        <f aca="false">"Q"&amp;ROUNDUP(MONTH(B1234)/3,0)</f>
        <v>Q4</v>
      </c>
      <c r="L1234" s="52" t="n">
        <f aca="false">ROUND(G1234*H1234,2)</f>
        <v>2085.82</v>
      </c>
      <c r="M1234" s="52" t="n">
        <f aca="false">IF(AND(C1234="Sales",F1234="Standard-rated 5%"),L1234,0)</f>
        <v>0</v>
      </c>
      <c r="N1234" s="52" t="n">
        <f aca="false">IF(F1234="Reverse charge (imported services)",L1234,0)</f>
        <v>0</v>
      </c>
      <c r="O1234" s="52" t="n">
        <f aca="false">IF(C1234&lt;&gt;"Purchase",0,IF(OR(I1234="N",F1234="Blocked input (entertainment)"),0,L1234))</f>
        <v>2085.82</v>
      </c>
      <c r="P1234" s="52" t="n">
        <f aca="false">IF(C1234&lt;&gt;"Purchase",0,L1234-O1234)</f>
        <v>0</v>
      </c>
      <c r="Q1234" s="53" t="n">
        <f aca="false">J1234-B1234</f>
        <v>0</v>
      </c>
      <c r="R1234" s="51" t="str">
        <f aca="false">IF(I1234="N","Invalid / missing TRN",IF(F1234="Blocked input (entertainment)","Blocked input",IF(Q1234&gt;30,"Late posting (&gt;30d)","")))</f>
        <v/>
      </c>
    </row>
    <row r="1235" customFormat="false" ht="15" hidden="false" customHeight="false" outlineLevel="0" collapsed="false">
      <c r="A1235" s="47" t="s">
        <v>1521</v>
      </c>
      <c r="B1235" s="48" t="n">
        <v>46016</v>
      </c>
      <c r="C1235" s="47" t="s">
        <v>159</v>
      </c>
      <c r="D1235" s="47" t="s">
        <v>431</v>
      </c>
      <c r="E1235" s="47" t="s">
        <v>104</v>
      </c>
      <c r="F1235" s="47" t="s">
        <v>161</v>
      </c>
      <c r="G1235" s="49" t="n">
        <v>8759.79</v>
      </c>
      <c r="H1235" s="50" t="n">
        <v>0.05</v>
      </c>
      <c r="I1235" s="47" t="s">
        <v>162</v>
      </c>
      <c r="J1235" s="48" t="n">
        <v>46016</v>
      </c>
      <c r="K1235" s="51" t="str">
        <f aca="false">"Q"&amp;ROUNDUP(MONTH(B1235)/3,0)</f>
        <v>Q4</v>
      </c>
      <c r="L1235" s="52" t="n">
        <f aca="false">ROUND(G1235*H1235,2)</f>
        <v>437.99</v>
      </c>
      <c r="M1235" s="52" t="n">
        <f aca="false">IF(AND(C1235="Sales",F1235="Standard-rated 5%"),L1235,0)</f>
        <v>437.99</v>
      </c>
      <c r="N1235" s="52" t="n">
        <f aca="false">IF(F1235="Reverse charge (imported services)",L1235,0)</f>
        <v>0</v>
      </c>
      <c r="O1235" s="52" t="n">
        <f aca="false">IF(C1235&lt;&gt;"Purchase",0,IF(OR(I1235="N",F1235="Blocked input (entertainment)"),0,L1235))</f>
        <v>0</v>
      </c>
      <c r="P1235" s="52" t="n">
        <f aca="false">IF(C1235&lt;&gt;"Purchase",0,L1235-O1235)</f>
        <v>0</v>
      </c>
      <c r="Q1235" s="53" t="n">
        <f aca="false">J1235-B1235</f>
        <v>0</v>
      </c>
      <c r="R1235" s="51" t="str">
        <f aca="false">IF(I1235="N","Invalid / missing TRN",IF(F1235="Blocked input (entertainment)","Blocked input",IF(Q1235&gt;30,"Late posting (&gt;30d)","")))</f>
        <v/>
      </c>
    </row>
    <row r="1236" customFormat="false" ht="15" hidden="false" customHeight="false" outlineLevel="0" collapsed="false">
      <c r="A1236" s="47" t="s">
        <v>1522</v>
      </c>
      <c r="B1236" s="48" t="n">
        <v>46017</v>
      </c>
      <c r="C1236" s="47" t="s">
        <v>166</v>
      </c>
      <c r="D1236" s="47" t="s">
        <v>304</v>
      </c>
      <c r="E1236" s="47" t="s">
        <v>100</v>
      </c>
      <c r="F1236" s="47" t="s">
        <v>161</v>
      </c>
      <c r="G1236" s="49" t="n">
        <v>41628.81</v>
      </c>
      <c r="H1236" s="50" t="n">
        <v>0.05</v>
      </c>
      <c r="I1236" s="47" t="s">
        <v>162</v>
      </c>
      <c r="J1236" s="48" t="n">
        <v>46017</v>
      </c>
      <c r="K1236" s="51" t="str">
        <f aca="false">"Q"&amp;ROUNDUP(MONTH(B1236)/3,0)</f>
        <v>Q4</v>
      </c>
      <c r="L1236" s="52" t="n">
        <f aca="false">ROUND(G1236*H1236,2)</f>
        <v>2081.44</v>
      </c>
      <c r="M1236" s="52" t="n">
        <f aca="false">IF(AND(C1236="Sales",F1236="Standard-rated 5%"),L1236,0)</f>
        <v>0</v>
      </c>
      <c r="N1236" s="52" t="n">
        <f aca="false">IF(F1236="Reverse charge (imported services)",L1236,0)</f>
        <v>0</v>
      </c>
      <c r="O1236" s="52" t="n">
        <f aca="false">IF(C1236&lt;&gt;"Purchase",0,IF(OR(I1236="N",F1236="Blocked input (entertainment)"),0,L1236))</f>
        <v>2081.44</v>
      </c>
      <c r="P1236" s="52" t="n">
        <f aca="false">IF(C1236&lt;&gt;"Purchase",0,L1236-O1236)</f>
        <v>0</v>
      </c>
      <c r="Q1236" s="53" t="n">
        <f aca="false">J1236-B1236</f>
        <v>0</v>
      </c>
      <c r="R1236" s="51" t="str">
        <f aca="false">IF(I1236="N","Invalid / missing TRN",IF(F1236="Blocked input (entertainment)","Blocked input",IF(Q1236&gt;30,"Late posting (&gt;30d)","")))</f>
        <v/>
      </c>
    </row>
    <row r="1237" customFormat="false" ht="15" hidden="false" customHeight="false" outlineLevel="0" collapsed="false">
      <c r="A1237" s="47" t="s">
        <v>1523</v>
      </c>
      <c r="B1237" s="48" t="n">
        <v>46017</v>
      </c>
      <c r="C1237" s="47" t="s">
        <v>166</v>
      </c>
      <c r="D1237" s="47" t="s">
        <v>570</v>
      </c>
      <c r="E1237" s="47" t="s">
        <v>101</v>
      </c>
      <c r="F1237" s="47" t="s">
        <v>161</v>
      </c>
      <c r="G1237" s="49" t="n">
        <v>25940.2</v>
      </c>
      <c r="H1237" s="50" t="n">
        <v>0.05</v>
      </c>
      <c r="I1237" s="47" t="s">
        <v>162</v>
      </c>
      <c r="J1237" s="48" t="n">
        <v>46017</v>
      </c>
      <c r="K1237" s="51" t="str">
        <f aca="false">"Q"&amp;ROUNDUP(MONTH(B1237)/3,0)</f>
        <v>Q4</v>
      </c>
      <c r="L1237" s="52" t="n">
        <f aca="false">ROUND(G1237*H1237,2)</f>
        <v>1297.01</v>
      </c>
      <c r="M1237" s="52" t="n">
        <f aca="false">IF(AND(C1237="Sales",F1237="Standard-rated 5%"),L1237,0)</f>
        <v>0</v>
      </c>
      <c r="N1237" s="52" t="n">
        <f aca="false">IF(F1237="Reverse charge (imported services)",L1237,0)</f>
        <v>0</v>
      </c>
      <c r="O1237" s="52" t="n">
        <f aca="false">IF(C1237&lt;&gt;"Purchase",0,IF(OR(I1237="N",F1237="Blocked input (entertainment)"),0,L1237))</f>
        <v>1297.01</v>
      </c>
      <c r="P1237" s="52" t="n">
        <f aca="false">IF(C1237&lt;&gt;"Purchase",0,L1237-O1237)</f>
        <v>0</v>
      </c>
      <c r="Q1237" s="53" t="n">
        <f aca="false">J1237-B1237</f>
        <v>0</v>
      </c>
      <c r="R1237" s="51" t="str">
        <f aca="false">IF(I1237="N","Invalid / missing TRN",IF(F1237="Blocked input (entertainment)","Blocked input",IF(Q1237&gt;30,"Late posting (&gt;30d)","")))</f>
        <v/>
      </c>
    </row>
    <row r="1238" customFormat="false" ht="15" hidden="false" customHeight="false" outlineLevel="0" collapsed="false">
      <c r="A1238" s="47" t="s">
        <v>1524</v>
      </c>
      <c r="B1238" s="48" t="n">
        <v>46017</v>
      </c>
      <c r="C1238" s="47" t="s">
        <v>166</v>
      </c>
      <c r="D1238" s="47" t="s">
        <v>257</v>
      </c>
      <c r="E1238" s="47" t="s">
        <v>102</v>
      </c>
      <c r="F1238" s="47" t="s">
        <v>392</v>
      </c>
      <c r="G1238" s="49" t="n">
        <v>56900.72</v>
      </c>
      <c r="H1238" s="50" t="n">
        <v>0.05</v>
      </c>
      <c r="I1238" s="47" t="s">
        <v>162</v>
      </c>
      <c r="J1238" s="48" t="n">
        <v>46017</v>
      </c>
      <c r="K1238" s="51" t="str">
        <f aca="false">"Q"&amp;ROUNDUP(MONTH(B1238)/3,0)</f>
        <v>Q4</v>
      </c>
      <c r="L1238" s="52" t="n">
        <f aca="false">ROUND(G1238*H1238,2)</f>
        <v>2845.04</v>
      </c>
      <c r="M1238" s="52" t="n">
        <f aca="false">IF(AND(C1238="Sales",F1238="Standard-rated 5%"),L1238,0)</f>
        <v>0</v>
      </c>
      <c r="N1238" s="52" t="n">
        <f aca="false">IF(F1238="Reverse charge (imported services)",L1238,0)</f>
        <v>0</v>
      </c>
      <c r="O1238" s="52" t="n">
        <f aca="false">IF(C1238&lt;&gt;"Purchase",0,IF(OR(I1238="N",F1238="Blocked input (entertainment)"),0,L1238))</f>
        <v>2845.04</v>
      </c>
      <c r="P1238" s="52" t="n">
        <f aca="false">IF(C1238&lt;&gt;"Purchase",0,L1238-O1238)</f>
        <v>0</v>
      </c>
      <c r="Q1238" s="53" t="n">
        <f aca="false">J1238-B1238</f>
        <v>0</v>
      </c>
      <c r="R1238" s="51" t="str">
        <f aca="false">IF(I1238="N","Invalid / missing TRN",IF(F1238="Blocked input (entertainment)","Blocked input",IF(Q1238&gt;30,"Late posting (&gt;30d)","")))</f>
        <v/>
      </c>
    </row>
    <row r="1239" customFormat="false" ht="15" hidden="false" customHeight="false" outlineLevel="0" collapsed="false">
      <c r="A1239" s="47" t="s">
        <v>1525</v>
      </c>
      <c r="B1239" s="48" t="n">
        <v>46017</v>
      </c>
      <c r="C1239" s="47" t="s">
        <v>159</v>
      </c>
      <c r="D1239" s="47" t="s">
        <v>627</v>
      </c>
      <c r="E1239" s="47" t="s">
        <v>100</v>
      </c>
      <c r="F1239" s="47" t="s">
        <v>161</v>
      </c>
      <c r="G1239" s="49" t="n">
        <v>25891.07</v>
      </c>
      <c r="H1239" s="50" t="n">
        <v>0.05</v>
      </c>
      <c r="I1239" s="47" t="s">
        <v>162</v>
      </c>
      <c r="J1239" s="48" t="n">
        <v>46017</v>
      </c>
      <c r="K1239" s="51" t="str">
        <f aca="false">"Q"&amp;ROUNDUP(MONTH(B1239)/3,0)</f>
        <v>Q4</v>
      </c>
      <c r="L1239" s="52" t="n">
        <f aca="false">ROUND(G1239*H1239,2)</f>
        <v>1294.55</v>
      </c>
      <c r="M1239" s="52" t="n">
        <f aca="false">IF(AND(C1239="Sales",F1239="Standard-rated 5%"),L1239,0)</f>
        <v>1294.55</v>
      </c>
      <c r="N1239" s="52" t="n">
        <f aca="false">IF(F1239="Reverse charge (imported services)",L1239,0)</f>
        <v>0</v>
      </c>
      <c r="O1239" s="52" t="n">
        <f aca="false">IF(C1239&lt;&gt;"Purchase",0,IF(OR(I1239="N",F1239="Blocked input (entertainment)"),0,L1239))</f>
        <v>0</v>
      </c>
      <c r="P1239" s="52" t="n">
        <f aca="false">IF(C1239&lt;&gt;"Purchase",0,L1239-O1239)</f>
        <v>0</v>
      </c>
      <c r="Q1239" s="53" t="n">
        <f aca="false">J1239-B1239</f>
        <v>0</v>
      </c>
      <c r="R1239" s="51" t="str">
        <f aca="false">IF(I1239="N","Invalid / missing TRN",IF(F1239="Blocked input (entertainment)","Blocked input",IF(Q1239&gt;30,"Late posting (&gt;30d)","")))</f>
        <v/>
      </c>
    </row>
    <row r="1240" customFormat="false" ht="15" hidden="false" customHeight="false" outlineLevel="0" collapsed="false">
      <c r="A1240" s="47" t="s">
        <v>1526</v>
      </c>
      <c r="B1240" s="48" t="n">
        <v>46018</v>
      </c>
      <c r="C1240" s="47" t="s">
        <v>166</v>
      </c>
      <c r="D1240" s="47" t="s">
        <v>285</v>
      </c>
      <c r="E1240" s="47" t="s">
        <v>100</v>
      </c>
      <c r="F1240" s="47" t="s">
        <v>161</v>
      </c>
      <c r="G1240" s="49" t="n">
        <v>71979.76</v>
      </c>
      <c r="H1240" s="50" t="n">
        <v>0.05</v>
      </c>
      <c r="I1240" s="47" t="s">
        <v>162</v>
      </c>
      <c r="J1240" s="48" t="n">
        <v>46018</v>
      </c>
      <c r="K1240" s="51" t="str">
        <f aca="false">"Q"&amp;ROUNDUP(MONTH(B1240)/3,0)</f>
        <v>Q4</v>
      </c>
      <c r="L1240" s="52" t="n">
        <f aca="false">ROUND(G1240*H1240,2)</f>
        <v>3598.99</v>
      </c>
      <c r="M1240" s="52" t="n">
        <f aca="false">IF(AND(C1240="Sales",F1240="Standard-rated 5%"),L1240,0)</f>
        <v>0</v>
      </c>
      <c r="N1240" s="52" t="n">
        <f aca="false">IF(F1240="Reverse charge (imported services)",L1240,0)</f>
        <v>0</v>
      </c>
      <c r="O1240" s="52" t="n">
        <f aca="false">IF(C1240&lt;&gt;"Purchase",0,IF(OR(I1240="N",F1240="Blocked input (entertainment)"),0,L1240))</f>
        <v>3598.99</v>
      </c>
      <c r="P1240" s="52" t="n">
        <f aca="false">IF(C1240&lt;&gt;"Purchase",0,L1240-O1240)</f>
        <v>0</v>
      </c>
      <c r="Q1240" s="53" t="n">
        <f aca="false">J1240-B1240</f>
        <v>0</v>
      </c>
      <c r="R1240" s="51" t="str">
        <f aca="false">IF(I1240="N","Invalid / missing TRN",IF(F1240="Blocked input (entertainment)","Blocked input",IF(Q1240&gt;30,"Late posting (&gt;30d)","")))</f>
        <v/>
      </c>
    </row>
    <row r="1241" customFormat="false" ht="15" hidden="false" customHeight="false" outlineLevel="0" collapsed="false">
      <c r="A1241" s="47" t="s">
        <v>1527</v>
      </c>
      <c r="B1241" s="48" t="n">
        <v>46018</v>
      </c>
      <c r="C1241" s="47" t="s">
        <v>159</v>
      </c>
      <c r="D1241" s="47" t="s">
        <v>383</v>
      </c>
      <c r="E1241" s="47" t="s">
        <v>101</v>
      </c>
      <c r="F1241" s="47" t="s">
        <v>161</v>
      </c>
      <c r="G1241" s="49" t="n">
        <v>17065.81</v>
      </c>
      <c r="H1241" s="50" t="n">
        <v>0.05</v>
      </c>
      <c r="I1241" s="47" t="s">
        <v>162</v>
      </c>
      <c r="J1241" s="48" t="n">
        <v>46018</v>
      </c>
      <c r="K1241" s="51" t="str">
        <f aca="false">"Q"&amp;ROUNDUP(MONTH(B1241)/3,0)</f>
        <v>Q4</v>
      </c>
      <c r="L1241" s="52" t="n">
        <f aca="false">ROUND(G1241*H1241,2)</f>
        <v>853.29</v>
      </c>
      <c r="M1241" s="52" t="n">
        <f aca="false">IF(AND(C1241="Sales",F1241="Standard-rated 5%"),L1241,0)</f>
        <v>853.29</v>
      </c>
      <c r="N1241" s="52" t="n">
        <f aca="false">IF(F1241="Reverse charge (imported services)",L1241,0)</f>
        <v>0</v>
      </c>
      <c r="O1241" s="52" t="n">
        <f aca="false">IF(C1241&lt;&gt;"Purchase",0,IF(OR(I1241="N",F1241="Blocked input (entertainment)"),0,L1241))</f>
        <v>0</v>
      </c>
      <c r="P1241" s="52" t="n">
        <f aca="false">IF(C1241&lt;&gt;"Purchase",0,L1241-O1241)</f>
        <v>0</v>
      </c>
      <c r="Q1241" s="53" t="n">
        <f aca="false">J1241-B1241</f>
        <v>0</v>
      </c>
      <c r="R1241" s="51" t="str">
        <f aca="false">IF(I1241="N","Invalid / missing TRN",IF(F1241="Blocked input (entertainment)","Blocked input",IF(Q1241&gt;30,"Late posting (&gt;30d)","")))</f>
        <v/>
      </c>
    </row>
    <row r="1242" customFormat="false" ht="15" hidden="false" customHeight="false" outlineLevel="0" collapsed="false">
      <c r="A1242" s="47" t="s">
        <v>1528</v>
      </c>
      <c r="B1242" s="48" t="n">
        <v>46018</v>
      </c>
      <c r="C1242" s="47" t="s">
        <v>159</v>
      </c>
      <c r="D1242" s="47" t="s">
        <v>247</v>
      </c>
      <c r="E1242" s="47" t="s">
        <v>100</v>
      </c>
      <c r="F1242" s="47" t="s">
        <v>161</v>
      </c>
      <c r="G1242" s="49" t="n">
        <v>40001.55</v>
      </c>
      <c r="H1242" s="50" t="n">
        <v>0.05</v>
      </c>
      <c r="I1242" s="47" t="s">
        <v>162</v>
      </c>
      <c r="J1242" s="48" t="n">
        <v>46019</v>
      </c>
      <c r="K1242" s="51" t="str">
        <f aca="false">"Q"&amp;ROUNDUP(MONTH(B1242)/3,0)</f>
        <v>Q4</v>
      </c>
      <c r="L1242" s="52" t="n">
        <f aca="false">ROUND(G1242*H1242,2)</f>
        <v>2000.08</v>
      </c>
      <c r="M1242" s="52" t="n">
        <f aca="false">IF(AND(C1242="Sales",F1242="Standard-rated 5%"),L1242,0)</f>
        <v>2000.08</v>
      </c>
      <c r="N1242" s="52" t="n">
        <f aca="false">IF(F1242="Reverse charge (imported services)",L1242,0)</f>
        <v>0</v>
      </c>
      <c r="O1242" s="52" t="n">
        <f aca="false">IF(C1242&lt;&gt;"Purchase",0,IF(OR(I1242="N",F1242="Blocked input (entertainment)"),0,L1242))</f>
        <v>0</v>
      </c>
      <c r="P1242" s="52" t="n">
        <f aca="false">IF(C1242&lt;&gt;"Purchase",0,L1242-O1242)</f>
        <v>0</v>
      </c>
      <c r="Q1242" s="53" t="n">
        <f aca="false">J1242-B1242</f>
        <v>1</v>
      </c>
      <c r="R1242" s="51" t="str">
        <f aca="false">IF(I1242="N","Invalid / missing TRN",IF(F1242="Blocked input (entertainment)","Blocked input",IF(Q1242&gt;30,"Late posting (&gt;30d)","")))</f>
        <v/>
      </c>
    </row>
    <row r="1243" customFormat="false" ht="15" hidden="false" customHeight="false" outlineLevel="0" collapsed="false">
      <c r="A1243" s="47" t="s">
        <v>1529</v>
      </c>
      <c r="B1243" s="48" t="n">
        <v>46019</v>
      </c>
      <c r="C1243" s="47" t="s">
        <v>166</v>
      </c>
      <c r="D1243" s="47" t="s">
        <v>643</v>
      </c>
      <c r="E1243" s="47" t="s">
        <v>100</v>
      </c>
      <c r="F1243" s="47" t="s">
        <v>161</v>
      </c>
      <c r="G1243" s="49" t="n">
        <v>18075.36</v>
      </c>
      <c r="H1243" s="50" t="n">
        <v>0.05</v>
      </c>
      <c r="I1243" s="47" t="s">
        <v>162</v>
      </c>
      <c r="J1243" s="48" t="n">
        <v>46019</v>
      </c>
      <c r="K1243" s="51" t="str">
        <f aca="false">"Q"&amp;ROUNDUP(MONTH(B1243)/3,0)</f>
        <v>Q4</v>
      </c>
      <c r="L1243" s="52" t="n">
        <f aca="false">ROUND(G1243*H1243,2)</f>
        <v>903.77</v>
      </c>
      <c r="M1243" s="52" t="n">
        <f aca="false">IF(AND(C1243="Sales",F1243="Standard-rated 5%"),L1243,0)</f>
        <v>0</v>
      </c>
      <c r="N1243" s="52" t="n">
        <f aca="false">IF(F1243="Reverse charge (imported services)",L1243,0)</f>
        <v>0</v>
      </c>
      <c r="O1243" s="52" t="n">
        <f aca="false">IF(C1243&lt;&gt;"Purchase",0,IF(OR(I1243="N",F1243="Blocked input (entertainment)"),0,L1243))</f>
        <v>903.77</v>
      </c>
      <c r="P1243" s="52" t="n">
        <f aca="false">IF(C1243&lt;&gt;"Purchase",0,L1243-O1243)</f>
        <v>0</v>
      </c>
      <c r="Q1243" s="53" t="n">
        <f aca="false">J1243-B1243</f>
        <v>0</v>
      </c>
      <c r="R1243" s="51" t="str">
        <f aca="false">IF(I1243="N","Invalid / missing TRN",IF(F1243="Blocked input (entertainment)","Blocked input",IF(Q1243&gt;30,"Late posting (&gt;30d)","")))</f>
        <v/>
      </c>
    </row>
    <row r="1244" customFormat="false" ht="15" hidden="false" customHeight="false" outlineLevel="0" collapsed="false">
      <c r="A1244" s="47" t="s">
        <v>1530</v>
      </c>
      <c r="B1244" s="48" t="n">
        <v>46019</v>
      </c>
      <c r="C1244" s="47" t="s">
        <v>166</v>
      </c>
      <c r="D1244" s="47" t="s">
        <v>326</v>
      </c>
      <c r="E1244" s="47" t="s">
        <v>104</v>
      </c>
      <c r="F1244" s="47" t="s">
        <v>173</v>
      </c>
      <c r="G1244" s="49" t="n">
        <v>28140.19</v>
      </c>
      <c r="H1244" s="50" t="n">
        <v>0.05</v>
      </c>
      <c r="I1244" s="47" t="s">
        <v>162</v>
      </c>
      <c r="J1244" s="48" t="n">
        <v>46019</v>
      </c>
      <c r="K1244" s="51" t="str">
        <f aca="false">"Q"&amp;ROUNDUP(MONTH(B1244)/3,0)</f>
        <v>Q4</v>
      </c>
      <c r="L1244" s="52" t="n">
        <f aca="false">ROUND(G1244*H1244,2)</f>
        <v>1407.01</v>
      </c>
      <c r="M1244" s="52" t="n">
        <f aca="false">IF(AND(C1244="Sales",F1244="Standard-rated 5%"),L1244,0)</f>
        <v>0</v>
      </c>
      <c r="N1244" s="52" t="n">
        <f aca="false">IF(F1244="Reverse charge (imported services)",L1244,0)</f>
        <v>1407.01</v>
      </c>
      <c r="O1244" s="52" t="n">
        <f aca="false">IF(C1244&lt;&gt;"Purchase",0,IF(OR(I1244="N",F1244="Blocked input (entertainment)"),0,L1244))</f>
        <v>1407.01</v>
      </c>
      <c r="P1244" s="52" t="n">
        <f aca="false">IF(C1244&lt;&gt;"Purchase",0,L1244-O1244)</f>
        <v>0</v>
      </c>
      <c r="Q1244" s="53" t="n">
        <f aca="false">J1244-B1244</f>
        <v>0</v>
      </c>
      <c r="R1244" s="51" t="str">
        <f aca="false">IF(I1244="N","Invalid / missing TRN",IF(F1244="Blocked input (entertainment)","Blocked input",IF(Q1244&gt;30,"Late posting (&gt;30d)","")))</f>
        <v/>
      </c>
    </row>
    <row r="1245" customFormat="false" ht="15" hidden="false" customHeight="false" outlineLevel="0" collapsed="false">
      <c r="A1245" s="47" t="s">
        <v>1531</v>
      </c>
      <c r="B1245" s="48" t="n">
        <v>46019</v>
      </c>
      <c r="C1245" s="47" t="s">
        <v>166</v>
      </c>
      <c r="D1245" s="47" t="s">
        <v>167</v>
      </c>
      <c r="E1245" s="47" t="s">
        <v>100</v>
      </c>
      <c r="F1245" s="47" t="s">
        <v>161</v>
      </c>
      <c r="G1245" s="49" t="n">
        <v>5589.42</v>
      </c>
      <c r="H1245" s="50" t="n">
        <v>0.05</v>
      </c>
      <c r="I1245" s="47" t="s">
        <v>162</v>
      </c>
      <c r="J1245" s="48" t="n">
        <v>46024</v>
      </c>
      <c r="K1245" s="51" t="str">
        <f aca="false">"Q"&amp;ROUNDUP(MONTH(B1245)/3,0)</f>
        <v>Q4</v>
      </c>
      <c r="L1245" s="52" t="n">
        <f aca="false">ROUND(G1245*H1245,2)</f>
        <v>279.47</v>
      </c>
      <c r="M1245" s="52" t="n">
        <f aca="false">IF(AND(C1245="Sales",F1245="Standard-rated 5%"),L1245,0)</f>
        <v>0</v>
      </c>
      <c r="N1245" s="52" t="n">
        <f aca="false">IF(F1245="Reverse charge (imported services)",L1245,0)</f>
        <v>0</v>
      </c>
      <c r="O1245" s="52" t="n">
        <f aca="false">IF(C1245&lt;&gt;"Purchase",0,IF(OR(I1245="N",F1245="Blocked input (entertainment)"),0,L1245))</f>
        <v>279.47</v>
      </c>
      <c r="P1245" s="52" t="n">
        <f aca="false">IF(C1245&lt;&gt;"Purchase",0,L1245-O1245)</f>
        <v>0</v>
      </c>
      <c r="Q1245" s="53" t="n">
        <f aca="false">J1245-B1245</f>
        <v>5</v>
      </c>
      <c r="R1245" s="51" t="str">
        <f aca="false">IF(I1245="N","Invalid / missing TRN",IF(F1245="Blocked input (entertainment)","Blocked input",IF(Q1245&gt;30,"Late posting (&gt;30d)","")))</f>
        <v/>
      </c>
    </row>
    <row r="1246" customFormat="false" ht="15" hidden="false" customHeight="false" outlineLevel="0" collapsed="false">
      <c r="A1246" s="47" t="s">
        <v>1532</v>
      </c>
      <c r="B1246" s="48" t="n">
        <v>46019</v>
      </c>
      <c r="C1246" s="47" t="s">
        <v>159</v>
      </c>
      <c r="D1246" s="47" t="s">
        <v>204</v>
      </c>
      <c r="E1246" s="47" t="s">
        <v>100</v>
      </c>
      <c r="F1246" s="47" t="s">
        <v>161</v>
      </c>
      <c r="G1246" s="49" t="n">
        <v>28369.78</v>
      </c>
      <c r="H1246" s="50" t="n">
        <v>0.05</v>
      </c>
      <c r="I1246" s="47" t="s">
        <v>162</v>
      </c>
      <c r="J1246" s="48" t="n">
        <v>46019</v>
      </c>
      <c r="K1246" s="51" t="str">
        <f aca="false">"Q"&amp;ROUNDUP(MONTH(B1246)/3,0)</f>
        <v>Q4</v>
      </c>
      <c r="L1246" s="52" t="n">
        <f aca="false">ROUND(G1246*H1246,2)</f>
        <v>1418.49</v>
      </c>
      <c r="M1246" s="52" t="n">
        <f aca="false">IF(AND(C1246="Sales",F1246="Standard-rated 5%"),L1246,0)</f>
        <v>1418.49</v>
      </c>
      <c r="N1246" s="52" t="n">
        <f aca="false">IF(F1246="Reverse charge (imported services)",L1246,0)</f>
        <v>0</v>
      </c>
      <c r="O1246" s="52" t="n">
        <f aca="false">IF(C1246&lt;&gt;"Purchase",0,IF(OR(I1246="N",F1246="Blocked input (entertainment)"),0,L1246))</f>
        <v>0</v>
      </c>
      <c r="P1246" s="52" t="n">
        <f aca="false">IF(C1246&lt;&gt;"Purchase",0,L1246-O1246)</f>
        <v>0</v>
      </c>
      <c r="Q1246" s="53" t="n">
        <f aca="false">J1246-B1246</f>
        <v>0</v>
      </c>
      <c r="R1246" s="51" t="str">
        <f aca="false">IF(I1246="N","Invalid / missing TRN",IF(F1246="Blocked input (entertainment)","Blocked input",IF(Q1246&gt;30,"Late posting (&gt;30d)","")))</f>
        <v/>
      </c>
    </row>
    <row r="1247" customFormat="false" ht="15" hidden="false" customHeight="false" outlineLevel="0" collapsed="false">
      <c r="A1247" s="47" t="s">
        <v>1533</v>
      </c>
      <c r="B1247" s="48" t="n">
        <v>46019</v>
      </c>
      <c r="C1247" s="47" t="s">
        <v>159</v>
      </c>
      <c r="D1247" s="47" t="s">
        <v>383</v>
      </c>
      <c r="E1247" s="47" t="s">
        <v>100</v>
      </c>
      <c r="F1247" s="47" t="s">
        <v>161</v>
      </c>
      <c r="G1247" s="49" t="n">
        <v>8700.09</v>
      </c>
      <c r="H1247" s="50" t="n">
        <v>0.05</v>
      </c>
      <c r="I1247" s="47" t="s">
        <v>162</v>
      </c>
      <c r="J1247" s="48" t="n">
        <v>46019</v>
      </c>
      <c r="K1247" s="51" t="str">
        <f aca="false">"Q"&amp;ROUNDUP(MONTH(B1247)/3,0)</f>
        <v>Q4</v>
      </c>
      <c r="L1247" s="52" t="n">
        <f aca="false">ROUND(G1247*H1247,2)</f>
        <v>435</v>
      </c>
      <c r="M1247" s="52" t="n">
        <f aca="false">IF(AND(C1247="Sales",F1247="Standard-rated 5%"),L1247,0)</f>
        <v>435</v>
      </c>
      <c r="N1247" s="52" t="n">
        <f aca="false">IF(F1247="Reverse charge (imported services)",L1247,0)</f>
        <v>0</v>
      </c>
      <c r="O1247" s="52" t="n">
        <f aca="false">IF(C1247&lt;&gt;"Purchase",0,IF(OR(I1247="N",F1247="Blocked input (entertainment)"),0,L1247))</f>
        <v>0</v>
      </c>
      <c r="P1247" s="52" t="n">
        <f aca="false">IF(C1247&lt;&gt;"Purchase",0,L1247-O1247)</f>
        <v>0</v>
      </c>
      <c r="Q1247" s="53" t="n">
        <f aca="false">J1247-B1247</f>
        <v>0</v>
      </c>
      <c r="R1247" s="51" t="str">
        <f aca="false">IF(I1247="N","Invalid / missing TRN",IF(F1247="Blocked input (entertainment)","Blocked input",IF(Q1247&gt;30,"Late posting (&gt;30d)","")))</f>
        <v/>
      </c>
    </row>
    <row r="1248" customFormat="false" ht="15" hidden="false" customHeight="false" outlineLevel="0" collapsed="false">
      <c r="A1248" s="47" t="s">
        <v>1534</v>
      </c>
      <c r="B1248" s="48" t="n">
        <v>46019</v>
      </c>
      <c r="C1248" s="47" t="s">
        <v>159</v>
      </c>
      <c r="D1248" s="47" t="s">
        <v>627</v>
      </c>
      <c r="E1248" s="47" t="s">
        <v>103</v>
      </c>
      <c r="F1248" s="47" t="s">
        <v>161</v>
      </c>
      <c r="G1248" s="49" t="n">
        <v>30109.38</v>
      </c>
      <c r="H1248" s="50" t="n">
        <v>0.05</v>
      </c>
      <c r="I1248" s="47" t="s">
        <v>162</v>
      </c>
      <c r="J1248" s="48" t="n">
        <v>46019</v>
      </c>
      <c r="K1248" s="51" t="str">
        <f aca="false">"Q"&amp;ROUNDUP(MONTH(B1248)/3,0)</f>
        <v>Q4</v>
      </c>
      <c r="L1248" s="52" t="n">
        <f aca="false">ROUND(G1248*H1248,2)</f>
        <v>1505.47</v>
      </c>
      <c r="M1248" s="52" t="n">
        <f aca="false">IF(AND(C1248="Sales",F1248="Standard-rated 5%"),L1248,0)</f>
        <v>1505.47</v>
      </c>
      <c r="N1248" s="52" t="n">
        <f aca="false">IF(F1248="Reverse charge (imported services)",L1248,0)</f>
        <v>0</v>
      </c>
      <c r="O1248" s="52" t="n">
        <f aca="false">IF(C1248&lt;&gt;"Purchase",0,IF(OR(I1248="N",F1248="Blocked input (entertainment)"),0,L1248))</f>
        <v>0</v>
      </c>
      <c r="P1248" s="52" t="n">
        <f aca="false">IF(C1248&lt;&gt;"Purchase",0,L1248-O1248)</f>
        <v>0</v>
      </c>
      <c r="Q1248" s="53" t="n">
        <f aca="false">J1248-B1248</f>
        <v>0</v>
      </c>
      <c r="R1248" s="51" t="str">
        <f aca="false">IF(I1248="N","Invalid / missing TRN",IF(F1248="Blocked input (entertainment)","Blocked input",IF(Q1248&gt;30,"Late posting (&gt;30d)","")))</f>
        <v/>
      </c>
    </row>
    <row r="1249" customFormat="false" ht="15" hidden="false" customHeight="false" outlineLevel="0" collapsed="false">
      <c r="A1249" s="47" t="s">
        <v>1535</v>
      </c>
      <c r="B1249" s="48" t="n">
        <v>46021</v>
      </c>
      <c r="C1249" s="47" t="s">
        <v>159</v>
      </c>
      <c r="D1249" s="47" t="s">
        <v>239</v>
      </c>
      <c r="E1249" s="47" t="s">
        <v>100</v>
      </c>
      <c r="F1249" s="47" t="s">
        <v>301</v>
      </c>
      <c r="G1249" s="49" t="n">
        <v>56429.63</v>
      </c>
      <c r="H1249" s="50" t="n">
        <v>0</v>
      </c>
      <c r="I1249" s="47" t="s">
        <v>162</v>
      </c>
      <c r="J1249" s="48" t="n">
        <v>46021</v>
      </c>
      <c r="K1249" s="51" t="str">
        <f aca="false">"Q"&amp;ROUNDUP(MONTH(B1249)/3,0)</f>
        <v>Q4</v>
      </c>
      <c r="L1249" s="52" t="n">
        <f aca="false">ROUND(G1249*H1249,2)</f>
        <v>0</v>
      </c>
      <c r="M1249" s="52" t="n">
        <f aca="false">IF(AND(C1249="Sales",F1249="Standard-rated 5%"),L1249,0)</f>
        <v>0</v>
      </c>
      <c r="N1249" s="52" t="n">
        <f aca="false">IF(F1249="Reverse charge (imported services)",L1249,0)</f>
        <v>0</v>
      </c>
      <c r="O1249" s="52" t="n">
        <f aca="false">IF(C1249&lt;&gt;"Purchase",0,IF(OR(I1249="N",F1249="Blocked input (entertainment)"),0,L1249))</f>
        <v>0</v>
      </c>
      <c r="P1249" s="52" t="n">
        <f aca="false">IF(C1249&lt;&gt;"Purchase",0,L1249-O1249)</f>
        <v>0</v>
      </c>
      <c r="Q1249" s="53" t="n">
        <f aca="false">J1249-B1249</f>
        <v>0</v>
      </c>
      <c r="R1249" s="51" t="str">
        <f aca="false">IF(I1249="N","Invalid / missing TRN",IF(F1249="Blocked input (entertainment)","Blocked input",IF(Q1249&gt;30,"Late posting (&gt;30d)","")))</f>
        <v/>
      </c>
    </row>
    <row r="1250" customFormat="false" ht="15" hidden="false" customHeight="false" outlineLevel="0" collapsed="false">
      <c r="A1250" s="47" t="s">
        <v>1536</v>
      </c>
      <c r="B1250" s="48" t="n">
        <v>46021</v>
      </c>
      <c r="C1250" s="47" t="s">
        <v>159</v>
      </c>
      <c r="D1250" s="47" t="s">
        <v>428</v>
      </c>
      <c r="E1250" s="47" t="s">
        <v>100</v>
      </c>
      <c r="F1250" s="47" t="s">
        <v>161</v>
      </c>
      <c r="G1250" s="49" t="n">
        <v>36460.9</v>
      </c>
      <c r="H1250" s="50" t="n">
        <v>0.05</v>
      </c>
      <c r="I1250" s="47" t="s">
        <v>162</v>
      </c>
      <c r="J1250" s="48" t="n">
        <v>46021</v>
      </c>
      <c r="K1250" s="51" t="str">
        <f aca="false">"Q"&amp;ROUNDUP(MONTH(B1250)/3,0)</f>
        <v>Q4</v>
      </c>
      <c r="L1250" s="52" t="n">
        <f aca="false">ROUND(G1250*H1250,2)</f>
        <v>1823.05</v>
      </c>
      <c r="M1250" s="52" t="n">
        <f aca="false">IF(AND(C1250="Sales",F1250="Standard-rated 5%"),L1250,0)</f>
        <v>1823.05</v>
      </c>
      <c r="N1250" s="52" t="n">
        <f aca="false">IF(F1250="Reverse charge (imported services)",L1250,0)</f>
        <v>0</v>
      </c>
      <c r="O1250" s="52" t="n">
        <f aca="false">IF(C1250&lt;&gt;"Purchase",0,IF(OR(I1250="N",F1250="Blocked input (entertainment)"),0,L1250))</f>
        <v>0</v>
      </c>
      <c r="P1250" s="52" t="n">
        <f aca="false">IF(C1250&lt;&gt;"Purchase",0,L1250-O1250)</f>
        <v>0</v>
      </c>
      <c r="Q1250" s="53" t="n">
        <f aca="false">J1250-B1250</f>
        <v>0</v>
      </c>
      <c r="R1250" s="51" t="str">
        <f aca="false">IF(I1250="N","Invalid / missing TRN",IF(F1250="Blocked input (entertainment)","Blocked input",IF(Q1250&gt;30,"Late posting (&gt;30d)","")))</f>
        <v/>
      </c>
    </row>
    <row r="1251" customFormat="false" ht="15" hidden="false" customHeight="false" outlineLevel="0" collapsed="false">
      <c r="A1251" s="47" t="s">
        <v>1537</v>
      </c>
      <c r="B1251" s="48" t="n">
        <v>46022</v>
      </c>
      <c r="C1251" s="47" t="s">
        <v>166</v>
      </c>
      <c r="D1251" s="47" t="s">
        <v>188</v>
      </c>
      <c r="E1251" s="47" t="s">
        <v>102</v>
      </c>
      <c r="F1251" s="47" t="s">
        <v>161</v>
      </c>
      <c r="G1251" s="49" t="n">
        <v>45724.95</v>
      </c>
      <c r="H1251" s="50" t="n">
        <v>0.05</v>
      </c>
      <c r="I1251" s="47" t="s">
        <v>162</v>
      </c>
      <c r="J1251" s="48" t="n">
        <v>46022</v>
      </c>
      <c r="K1251" s="51" t="str">
        <f aca="false">"Q"&amp;ROUNDUP(MONTH(B1251)/3,0)</f>
        <v>Q4</v>
      </c>
      <c r="L1251" s="52" t="n">
        <f aca="false">ROUND(G1251*H1251,2)</f>
        <v>2286.25</v>
      </c>
      <c r="M1251" s="52" t="n">
        <f aca="false">IF(AND(C1251="Sales",F1251="Standard-rated 5%"),L1251,0)</f>
        <v>0</v>
      </c>
      <c r="N1251" s="52" t="n">
        <f aca="false">IF(F1251="Reverse charge (imported services)",L1251,0)</f>
        <v>0</v>
      </c>
      <c r="O1251" s="52" t="n">
        <f aca="false">IF(C1251&lt;&gt;"Purchase",0,IF(OR(I1251="N",F1251="Blocked input (entertainment)"),0,L1251))</f>
        <v>2286.25</v>
      </c>
      <c r="P1251" s="52" t="n">
        <f aca="false">IF(C1251&lt;&gt;"Purchase",0,L1251-O1251)</f>
        <v>0</v>
      </c>
      <c r="Q1251" s="53" t="n">
        <f aca="false">J1251-B1251</f>
        <v>0</v>
      </c>
      <c r="R1251" s="51" t="str">
        <f aca="false">IF(I1251="N","Invalid / missing TRN",IF(F1251="Blocked input (entertainment)","Blocked input",IF(Q1251&gt;30,"Late posting (&gt;30d)","")))</f>
        <v/>
      </c>
    </row>
    <row r="1252" customFormat="false" ht="15" hidden="false" customHeight="false" outlineLevel="0" collapsed="false">
      <c r="A1252" s="47" t="s">
        <v>1538</v>
      </c>
      <c r="B1252" s="48" t="n">
        <v>46022</v>
      </c>
      <c r="C1252" s="47" t="s">
        <v>166</v>
      </c>
      <c r="D1252" s="47" t="s">
        <v>190</v>
      </c>
      <c r="E1252" s="47" t="s">
        <v>101</v>
      </c>
      <c r="F1252" s="47" t="s">
        <v>161</v>
      </c>
      <c r="G1252" s="49" t="n">
        <v>9616.89</v>
      </c>
      <c r="H1252" s="50" t="n">
        <v>0.05</v>
      </c>
      <c r="I1252" s="47" t="s">
        <v>162</v>
      </c>
      <c r="J1252" s="48" t="n">
        <v>46022</v>
      </c>
      <c r="K1252" s="51" t="str">
        <f aca="false">"Q"&amp;ROUNDUP(MONTH(B1252)/3,0)</f>
        <v>Q4</v>
      </c>
      <c r="L1252" s="52" t="n">
        <f aca="false">ROUND(G1252*H1252,2)</f>
        <v>480.84</v>
      </c>
      <c r="M1252" s="52" t="n">
        <f aca="false">IF(AND(C1252="Sales",F1252="Standard-rated 5%"),L1252,0)</f>
        <v>0</v>
      </c>
      <c r="N1252" s="52" t="n">
        <f aca="false">IF(F1252="Reverse charge (imported services)",L1252,0)</f>
        <v>0</v>
      </c>
      <c r="O1252" s="52" t="n">
        <f aca="false">IF(C1252&lt;&gt;"Purchase",0,IF(OR(I1252="N",F1252="Blocked input (entertainment)"),0,L1252))</f>
        <v>480.84</v>
      </c>
      <c r="P1252" s="52" t="n">
        <f aca="false">IF(C1252&lt;&gt;"Purchase",0,L1252-O1252)</f>
        <v>0</v>
      </c>
      <c r="Q1252" s="53" t="n">
        <f aca="false">J1252-B1252</f>
        <v>0</v>
      </c>
      <c r="R1252" s="51" t="str">
        <f aca="false">IF(I1252="N","Invalid / missing TRN",IF(F1252="Blocked input (entertainment)","Blocked input",IF(Q1252&gt;30,"Late posting (&gt;30d)","")))</f>
        <v/>
      </c>
    </row>
    <row r="1253" customFormat="false" ht="15" hidden="false" customHeight="false" outlineLevel="0" collapsed="false">
      <c r="A1253" s="47" t="s">
        <v>1539</v>
      </c>
      <c r="B1253" s="48" t="n">
        <v>46022</v>
      </c>
      <c r="C1253" s="47" t="s">
        <v>166</v>
      </c>
      <c r="D1253" s="47" t="s">
        <v>549</v>
      </c>
      <c r="E1253" s="47" t="s">
        <v>101</v>
      </c>
      <c r="F1253" s="47" t="s">
        <v>161</v>
      </c>
      <c r="G1253" s="49" t="n">
        <v>13106.97</v>
      </c>
      <c r="H1253" s="50" t="n">
        <v>0.05</v>
      </c>
      <c r="I1253" s="47" t="s">
        <v>162</v>
      </c>
      <c r="J1253" s="48" t="n">
        <v>46022</v>
      </c>
      <c r="K1253" s="51" t="str">
        <f aca="false">"Q"&amp;ROUNDUP(MONTH(B1253)/3,0)</f>
        <v>Q4</v>
      </c>
      <c r="L1253" s="52" t="n">
        <f aca="false">ROUND(G1253*H1253,2)</f>
        <v>655.35</v>
      </c>
      <c r="M1253" s="52" t="n">
        <f aca="false">IF(AND(C1253="Sales",F1253="Standard-rated 5%"),L1253,0)</f>
        <v>0</v>
      </c>
      <c r="N1253" s="52" t="n">
        <f aca="false">IF(F1253="Reverse charge (imported services)",L1253,0)</f>
        <v>0</v>
      </c>
      <c r="O1253" s="52" t="n">
        <f aca="false">IF(C1253&lt;&gt;"Purchase",0,IF(OR(I1253="N",F1253="Blocked input (entertainment)"),0,L1253))</f>
        <v>655.35</v>
      </c>
      <c r="P1253" s="52" t="n">
        <f aca="false">IF(C1253&lt;&gt;"Purchase",0,L1253-O1253)</f>
        <v>0</v>
      </c>
      <c r="Q1253" s="53" t="n">
        <f aca="false">J1253-B1253</f>
        <v>0</v>
      </c>
      <c r="R1253" s="51" t="str">
        <f aca="false">IF(I1253="N","Invalid / missing TRN",IF(F1253="Blocked input (entertainment)","Blocked input",IF(Q1253&gt;30,"Late posting (&gt;30d)","")))</f>
        <v/>
      </c>
    </row>
    <row r="1254" customFormat="false" ht="15" hidden="false" customHeight="false" outlineLevel="0" collapsed="false">
      <c r="A1254" s="47" t="s">
        <v>1540</v>
      </c>
      <c r="B1254" s="48" t="n">
        <v>46022</v>
      </c>
      <c r="C1254" s="47" t="s">
        <v>159</v>
      </c>
      <c r="D1254" s="47" t="s">
        <v>213</v>
      </c>
      <c r="E1254" s="47" t="s">
        <v>104</v>
      </c>
      <c r="F1254" s="47" t="s">
        <v>161</v>
      </c>
      <c r="G1254" s="49" t="n">
        <v>25604.41</v>
      </c>
      <c r="H1254" s="50" t="n">
        <v>0.05</v>
      </c>
      <c r="I1254" s="47" t="s">
        <v>162</v>
      </c>
      <c r="J1254" s="48" t="n">
        <v>46022</v>
      </c>
      <c r="K1254" s="51" t="str">
        <f aca="false">"Q"&amp;ROUNDUP(MONTH(B1254)/3,0)</f>
        <v>Q4</v>
      </c>
      <c r="L1254" s="52" t="n">
        <f aca="false">ROUND(G1254*H1254,2)</f>
        <v>1280.22</v>
      </c>
      <c r="M1254" s="52" t="n">
        <f aca="false">IF(AND(C1254="Sales",F1254="Standard-rated 5%"),L1254,0)</f>
        <v>1280.22</v>
      </c>
      <c r="N1254" s="52" t="n">
        <f aca="false">IF(F1254="Reverse charge (imported services)",L1254,0)</f>
        <v>0</v>
      </c>
      <c r="O1254" s="52" t="n">
        <f aca="false">IF(C1254&lt;&gt;"Purchase",0,IF(OR(I1254="N",F1254="Blocked input (entertainment)"),0,L1254))</f>
        <v>0</v>
      </c>
      <c r="P1254" s="52" t="n">
        <f aca="false">IF(C1254&lt;&gt;"Purchase",0,L1254-O1254)</f>
        <v>0</v>
      </c>
      <c r="Q1254" s="53" t="n">
        <f aca="false">J1254-B1254</f>
        <v>0</v>
      </c>
      <c r="R1254" s="51" t="str">
        <f aca="false">IF(I1254="N","Invalid / missing TRN",IF(F1254="Blocked input (entertainment)","Blocked input",IF(Q1254&gt;30,"Late posting (&gt;30d)","")))</f>
        <v/>
      </c>
    </row>
    <row r="1255" customFormat="false" ht="15" hidden="false" customHeight="false" outlineLevel="0" collapsed="false">
      <c r="A1255" s="47" t="s">
        <v>1541</v>
      </c>
      <c r="B1255" s="48" t="n">
        <v>46022</v>
      </c>
      <c r="C1255" s="47" t="s">
        <v>159</v>
      </c>
      <c r="D1255" s="47" t="s">
        <v>322</v>
      </c>
      <c r="E1255" s="47" t="s">
        <v>100</v>
      </c>
      <c r="F1255" s="47" t="s">
        <v>161</v>
      </c>
      <c r="G1255" s="49" t="n">
        <v>141619.07</v>
      </c>
      <c r="H1255" s="50" t="n">
        <v>0.05</v>
      </c>
      <c r="I1255" s="47" t="s">
        <v>162</v>
      </c>
      <c r="J1255" s="48" t="n">
        <v>46022</v>
      </c>
      <c r="K1255" s="51" t="str">
        <f aca="false">"Q"&amp;ROUNDUP(MONTH(B1255)/3,0)</f>
        <v>Q4</v>
      </c>
      <c r="L1255" s="52" t="n">
        <f aca="false">ROUND(G1255*H1255,2)</f>
        <v>7080.95</v>
      </c>
      <c r="M1255" s="52" t="n">
        <f aca="false">IF(AND(C1255="Sales",F1255="Standard-rated 5%"),L1255,0)</f>
        <v>7080.95</v>
      </c>
      <c r="N1255" s="52" t="n">
        <f aca="false">IF(F1255="Reverse charge (imported services)",L1255,0)</f>
        <v>0</v>
      </c>
      <c r="O1255" s="52" t="n">
        <f aca="false">IF(C1255&lt;&gt;"Purchase",0,IF(OR(I1255="N",F1255="Blocked input (entertainment)"),0,L1255))</f>
        <v>0</v>
      </c>
      <c r="P1255" s="52" t="n">
        <f aca="false">IF(C1255&lt;&gt;"Purchase",0,L1255-O1255)</f>
        <v>0</v>
      </c>
      <c r="Q1255" s="53" t="n">
        <f aca="false">J1255-B1255</f>
        <v>0</v>
      </c>
      <c r="R1255" s="51" t="str">
        <f aca="false">IF(I1255="N","Invalid / missing TRN",IF(F1255="Blocked input (entertainment)","Blocked input",IF(Q1255&gt;30,"Late posting (&gt;30d)","")))</f>
        <v/>
      </c>
    </row>
  </sheetData>
  <autoFilter ref="A5:R1255"/>
  <mergeCells count="2">
    <mergeCell ref="B1:R1"/>
    <mergeCell ref="B2:R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"/>
      <c r="B1" s="2" t="s">
        <v>1542</v>
      </c>
      <c r="C1" s="2"/>
      <c r="D1" s="2"/>
      <c r="E1" s="2"/>
    </row>
    <row r="2" customFormat="false" ht="15" hidden="false" customHeight="false" outlineLevel="0" collapsed="false">
      <c r="B2" s="3" t="s">
        <v>1543</v>
      </c>
      <c r="C2" s="3"/>
      <c r="D2" s="3"/>
      <c r="E2" s="3"/>
    </row>
    <row r="4" customFormat="false" ht="30" hidden="false" customHeight="true" outlineLevel="0" collapsed="false">
      <c r="B4" s="19" t="s">
        <v>1544</v>
      </c>
      <c r="C4" s="20" t="s">
        <v>1545</v>
      </c>
      <c r="D4" s="20" t="s">
        <v>1546</v>
      </c>
    </row>
    <row r="5" customFormat="false" ht="33.75" hidden="false" customHeight="true" outlineLevel="0" collapsed="false">
      <c r="B5" s="54" t="s">
        <v>30</v>
      </c>
      <c r="C5" s="55" t="s">
        <v>1547</v>
      </c>
      <c r="D5" s="55" t="s">
        <v>1548</v>
      </c>
    </row>
    <row r="6" customFormat="false" ht="33.75" hidden="false" customHeight="true" outlineLevel="0" collapsed="false">
      <c r="B6" s="54" t="s">
        <v>31</v>
      </c>
      <c r="C6" s="55" t="s">
        <v>1549</v>
      </c>
      <c r="D6" s="55" t="s">
        <v>1550</v>
      </c>
    </row>
    <row r="7" customFormat="false" ht="33.75" hidden="false" customHeight="true" outlineLevel="0" collapsed="false">
      <c r="B7" s="54" t="s">
        <v>33</v>
      </c>
      <c r="C7" s="55" t="s">
        <v>1551</v>
      </c>
      <c r="D7" s="55" t="s">
        <v>1552</v>
      </c>
    </row>
    <row r="8" customFormat="false" ht="33.75" hidden="false" customHeight="true" outlineLevel="0" collapsed="false">
      <c r="B8" s="54" t="s">
        <v>1553</v>
      </c>
      <c r="C8" s="55" t="s">
        <v>1554</v>
      </c>
      <c r="D8" s="55" t="s">
        <v>1555</v>
      </c>
    </row>
    <row r="9" customFormat="false" ht="33.75" hidden="false" customHeight="true" outlineLevel="0" collapsed="false">
      <c r="B9" s="54" t="s">
        <v>19</v>
      </c>
      <c r="C9" s="55" t="s">
        <v>1556</v>
      </c>
      <c r="D9" s="55" t="s">
        <v>1557</v>
      </c>
    </row>
    <row r="10" customFormat="false" ht="33.75" hidden="false" customHeight="true" outlineLevel="0" collapsed="false">
      <c r="B10" s="54" t="s">
        <v>1558</v>
      </c>
      <c r="C10" s="55" t="s">
        <v>1559</v>
      </c>
      <c r="D10" s="55" t="s">
        <v>1560</v>
      </c>
    </row>
    <row r="11" customFormat="false" ht="33.75" hidden="false" customHeight="true" outlineLevel="0" collapsed="false">
      <c r="B11" s="54" t="s">
        <v>157</v>
      </c>
      <c r="C11" s="55" t="s">
        <v>1561</v>
      </c>
      <c r="D11" s="55" t="s">
        <v>1562</v>
      </c>
    </row>
    <row r="12" customFormat="false" ht="33.75" hidden="false" customHeight="true" outlineLevel="0" collapsed="false">
      <c r="B12" s="54" t="s">
        <v>1563</v>
      </c>
      <c r="C12" s="55" t="s">
        <v>1564</v>
      </c>
      <c r="D12" s="55" t="s">
        <v>1565</v>
      </c>
    </row>
  </sheetData>
  <mergeCells count="2">
    <mergeCell ref="B1:E1"/>
    <mergeCell ref="B2:E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tru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/>
      <c r="B1" s="2" t="s">
        <v>1566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3" t="s">
        <v>1567</v>
      </c>
      <c r="C2" s="3"/>
      <c r="D2" s="3"/>
      <c r="E2" s="3"/>
      <c r="F2" s="3"/>
      <c r="G2" s="3"/>
    </row>
    <row r="4" customFormat="false" ht="15" hidden="false" customHeight="false" outlineLevel="0" collapsed="false">
      <c r="B4" s="4" t="s">
        <v>1568</v>
      </c>
      <c r="C4" s="30" t="str">
        <f aca="false">IF(COUNTIF(F8:F16,"FAIL")=0,"ALL CHECKS PASS","CHECK FAILURES")</f>
        <v>ALL CHECKS PASS</v>
      </c>
    </row>
    <row r="7" customFormat="false" ht="30" hidden="false" customHeight="true" outlineLevel="0" collapsed="false">
      <c r="B7" s="19" t="s">
        <v>1569</v>
      </c>
      <c r="C7" s="20" t="s">
        <v>1570</v>
      </c>
      <c r="D7" s="20" t="s">
        <v>1571</v>
      </c>
      <c r="E7" s="20" t="s">
        <v>1572</v>
      </c>
      <c r="F7" s="20" t="s">
        <v>1573</v>
      </c>
    </row>
    <row r="8" customFormat="false" ht="15" hidden="false" customHeight="false" outlineLevel="0" collapsed="false">
      <c r="B8" s="24" t="s">
        <v>1574</v>
      </c>
      <c r="C8" s="56" t="n">
        <f aca="false">COUNTA(Register!$A$6:$A$1255)</f>
        <v>1250</v>
      </c>
      <c r="D8" s="57" t="n">
        <v>1250</v>
      </c>
      <c r="E8" s="32" t="n">
        <f aca="false">C8-D8</f>
        <v>0</v>
      </c>
      <c r="F8" s="30" t="str">
        <f aca="false">IF(ABS(E8)&lt;=1,"PASS","FAIL")</f>
        <v>PASS</v>
      </c>
    </row>
    <row r="9" customFormat="false" ht="15" hidden="false" customHeight="false" outlineLevel="0" collapsed="false">
      <c r="B9" s="24" t="s">
        <v>1575</v>
      </c>
      <c r="C9" s="21" t="n">
        <f aca="false">Exec_Summary!J25</f>
        <v>177786.43</v>
      </c>
      <c r="D9" s="21" t="n">
        <f aca="false">SUM(Register!$M$6:$M$1255)+SUM(Register!$N$6:$N$1255)-SUM(Register!$O$6:$O$1255)</f>
        <v>177786.43</v>
      </c>
      <c r="E9" s="32" t="n">
        <f aca="false">C9-D9</f>
        <v>0</v>
      </c>
      <c r="F9" s="30" t="str">
        <f aca="false">IF(ABS(E9)&lt;=1,"PASS","FAIL")</f>
        <v>PASS</v>
      </c>
    </row>
    <row r="10" customFormat="false" ht="15" hidden="false" customHeight="false" outlineLevel="0" collapsed="false">
      <c r="B10" s="24" t="s">
        <v>1576</v>
      </c>
      <c r="C10" s="21" t="n">
        <f aca="false">VAT201_Return!E27</f>
        <v>177786.43</v>
      </c>
      <c r="D10" s="21" t="n">
        <f aca="false">Exec_Summary!C13</f>
        <v>177786.43</v>
      </c>
      <c r="E10" s="32" t="n">
        <f aca="false">C10-D10</f>
        <v>0</v>
      </c>
      <c r="F10" s="30" t="str">
        <f aca="false">IF(ABS(E10)&lt;=1,"PASS","FAIL")</f>
        <v>PASS</v>
      </c>
    </row>
    <row r="11" customFormat="false" ht="15" hidden="false" customHeight="false" outlineLevel="0" collapsed="false">
      <c r="B11" s="24" t="s">
        <v>1577</v>
      </c>
      <c r="C11" s="21" t="n">
        <f aca="false">Monthly_Trend!G18</f>
        <v>177786.43</v>
      </c>
      <c r="D11" s="21" t="n">
        <f aca="false">Exec_Summary!J25</f>
        <v>177786.43</v>
      </c>
      <c r="E11" s="32" t="n">
        <f aca="false">C11-D11</f>
        <v>0</v>
      </c>
      <c r="F11" s="30" t="str">
        <f aca="false">IF(ABS(E11)&lt;=1,"PASS","FAIL")</f>
        <v>PASS</v>
      </c>
    </row>
    <row r="12" customFormat="false" ht="15" hidden="false" customHeight="false" outlineLevel="0" collapsed="false">
      <c r="B12" s="24" t="s">
        <v>1578</v>
      </c>
      <c r="C12" s="21" t="n">
        <f aca="false">Emirate_Split!G13</f>
        <v>27542549.96</v>
      </c>
      <c r="D12" s="21" t="n">
        <f aca="false">Exec_Summary!C25</f>
        <v>27542549.96</v>
      </c>
      <c r="E12" s="32" t="n">
        <f aca="false">C12-D12</f>
        <v>0</v>
      </c>
      <c r="F12" s="30" t="str">
        <f aca="false">IF(ABS(E12)&lt;=1,"PASS","FAIL")</f>
        <v>PASS</v>
      </c>
    </row>
    <row r="13" customFormat="false" ht="15" hidden="false" customHeight="false" outlineLevel="0" collapsed="false">
      <c r="B13" s="24" t="s">
        <v>1579</v>
      </c>
      <c r="C13" s="21" t="n">
        <f aca="false">SUM(Register!$O$6:$O$1255)+SUM(Register!$P$6:$P$1255)</f>
        <v>1315989.66</v>
      </c>
      <c r="D13" s="21" t="n">
        <f aca="false">SUMIFS(Register!$L$6:$L$1255,Register!$C$6:$C$1255,"Purchase")</f>
        <v>1315989.66</v>
      </c>
      <c r="E13" s="32" t="n">
        <f aca="false">C13-D13</f>
        <v>0</v>
      </c>
      <c r="F13" s="30" t="str">
        <f aca="false">IF(ABS(E13)&lt;=1,"PASS","FAIL")</f>
        <v>PASS</v>
      </c>
    </row>
    <row r="14" customFormat="false" ht="15" hidden="false" customHeight="false" outlineLevel="0" collapsed="false">
      <c r="B14" s="24" t="s">
        <v>1580</v>
      </c>
      <c r="C14" s="56" t="n">
        <f aca="false">Exceptions!G9</f>
        <v>50</v>
      </c>
      <c r="D14" s="56" t="n">
        <f aca="false">COUNTIF(Register!$R$6:$R$1255,"?*")</f>
        <v>50</v>
      </c>
      <c r="E14" s="32" t="n">
        <f aca="false">C14-D14</f>
        <v>0</v>
      </c>
      <c r="F14" s="30" t="str">
        <f aca="false">IF(ABS(E14)&lt;=1,"PASS","FAIL")</f>
        <v>PASS</v>
      </c>
    </row>
    <row r="15" customFormat="false" ht="15" hidden="false" customHeight="false" outlineLevel="0" collapsed="false">
      <c r="B15" s="24" t="s">
        <v>1581</v>
      </c>
      <c r="C15" s="56" t="n">
        <f aca="false">COUNTA(Register!$F$6:$F$1255)</f>
        <v>1250</v>
      </c>
      <c r="D15" s="56" t="n">
        <f aca="false">COUNTA(Register!$A$6:$A$1255)</f>
        <v>1250</v>
      </c>
      <c r="E15" s="32" t="n">
        <f aca="false">C15-D15</f>
        <v>0</v>
      </c>
      <c r="F15" s="30" t="str">
        <f aca="false">IF(ABS(E15)&lt;=1,"PASS","FAIL")</f>
        <v>PASS</v>
      </c>
    </row>
    <row r="16" customFormat="false" ht="15" hidden="false" customHeight="false" outlineLevel="0" collapsed="false">
      <c r="B16" s="24" t="s">
        <v>1582</v>
      </c>
      <c r="C16" s="56" t="n">
        <f aca="false">IF(ABS(Turnover_Recon!C19)&lt;=Turnover_Recon!C20,1,0)</f>
        <v>1</v>
      </c>
      <c r="D16" s="57" t="n">
        <v>1</v>
      </c>
      <c r="E16" s="32" t="n">
        <f aca="false">C16-D16</f>
        <v>0</v>
      </c>
      <c r="F16" s="30" t="str">
        <f aca="false">IF(ABS(E16)&lt;=1,"PASS","FAIL")</f>
        <v>PASS</v>
      </c>
    </row>
  </sheetData>
  <mergeCells count="2">
    <mergeCell ref="B1:G1"/>
    <mergeCell ref="B2:G2"/>
  </mergeCells>
  <conditionalFormatting sqref="C4">
    <cfRule type="expression" priority="2" aboveAverage="0" equalAverage="0" bottom="0" percent="0" rank="0" text="" dxfId="2">
      <formula>C4="ALL CHECKS PASS"</formula>
    </cfRule>
    <cfRule type="expression" priority="3" aboveAverage="0" equalAverage="0" bottom="0" percent="0" rank="0" text="" dxfId="4">
      <formula>C4&lt;&gt;"ALL CHECKS PASS"</formula>
    </cfRule>
  </conditionalFormatting>
  <conditionalFormatting sqref="F8:F16">
    <cfRule type="cellIs" priority="4" operator="equal" aboveAverage="0" equalAverage="0" bottom="0" percent="0" rank="0" text="" dxfId="2">
      <formula>"PASS"</formula>
    </cfRule>
    <cfRule type="cellIs" priority="5" operator="equal" aboveAverage="0" equalAverage="0" bottom="0" percent="0" rank="0" text="" dxfId="4">
      <formula>"FAIL"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2026-10-13T08:01:02Z</dcterms:created>
  <dc:creator>openpyxl</dc:creator>
  <dc:description/>
  <dc:language>en-US</dc:language>
  <cp:lastModifiedBy/>
  <dcterms:modified xsi:type="dcterms:W3CDTF">2026-10-13T08:01:04Z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