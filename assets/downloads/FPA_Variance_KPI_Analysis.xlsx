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01_Data" sheetId="2" state="visible" r:id="rId4"/>
    <sheet name="02_Variance" sheetId="3" state="visible" r:id="rId5"/>
    <sheet name="03_KPI_Dashboard" sheetId="4" state="visible" r:id="rId6"/>
    <sheet name="04_Assumption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<sst xmlns="http://schemas.openxmlformats.org/spreadsheetml/2006/main" count="4443" uniqueCount="124">
  <si>
    <t xml:space="preserve">FP&amp;A Performance, Variance &amp; KPI Analysis</t>
  </si>
  <si>
    <t xml:space="preserve">Monthly Budget-vs-Actual operating P&amp;L across 5 business units, Apr 2023 – Mar 2026 (36 months)</t>
  </si>
  <si>
    <t xml:space="preserve">Purpose: demonstration / training project built for a personal finance portfolio.</t>
  </si>
  <si>
    <t xml:space="preserve">All company names, business units and figures are synthetic and randomly generated — not real employer data.</t>
  </si>
  <si>
    <t xml:space="preserve">Sheet guide:</t>
  </si>
  <si>
    <t xml:space="preserve">  01_Data          Source dataset — 180 rows (5 BUs x 36 months), Budget &amp; Actual by GL line item.</t>
  </si>
  <si>
    <t xml:space="preserve">  02_Variance       Row-level variance ($ and %) for every P&amp;L line, flags for &gt;10% adverse variance.</t>
  </si>
  <si>
    <t xml:space="preserve">  03_KPI_Dashboard  SUMIFS/AVERAGEIFS-driven KPI summary by BU and by fiscal year, with trend charts.</t>
  </si>
  <si>
    <t xml:space="preserve">  04_Assumptions    Formatting legend.</t>
  </si>
  <si>
    <t xml:space="preserve">Color legend: blue = hardcoded input, black = formula, yellow fill = key assumption/threshold.</t>
  </si>
  <si>
    <t xml:space="preserve">BU</t>
  </si>
  <si>
    <t xml:space="preserve">Region</t>
  </si>
  <si>
    <t xml:space="preserve">Month</t>
  </si>
  <si>
    <t xml:space="preserve">FY</t>
  </si>
  <si>
    <t xml:space="preserve">Revenue_Budget</t>
  </si>
  <si>
    <t xml:space="preserve">Revenue_Actual</t>
  </si>
  <si>
    <t xml:space="preserve">DirectCost_Budget</t>
  </si>
  <si>
    <t xml:space="preserve">DirectCost_Actual</t>
  </si>
  <si>
    <t xml:space="preserve">Salaries_Budget</t>
  </si>
  <si>
    <t xml:space="preserve">Salaries_Actual</t>
  </si>
  <si>
    <t xml:space="preserve">Marketing_Budget</t>
  </si>
  <si>
    <t xml:space="preserve">Marketing_Actual</t>
  </si>
  <si>
    <t xml:space="preserve">Travel_Budget</t>
  </si>
  <si>
    <t xml:space="preserve">Travel_Actual</t>
  </si>
  <si>
    <t xml:space="preserve">ITSoftware_Budget</t>
  </si>
  <si>
    <t xml:space="preserve">ITSoftware_Actual</t>
  </si>
  <si>
    <t xml:space="preserve">Facilities_Budget</t>
  </si>
  <si>
    <t xml:space="preserve">Facilities_Actual</t>
  </si>
  <si>
    <t xml:space="preserve">ProfFees_Budget</t>
  </si>
  <si>
    <t xml:space="preserve">ProfFees_Actual</t>
  </si>
  <si>
    <t xml:space="preserve">DA_Budget</t>
  </si>
  <si>
    <t xml:space="preserve">DA_Actual</t>
  </si>
  <si>
    <t xml:space="preserve">Banking &amp; Financial Services</t>
  </si>
  <si>
    <t xml:space="preserve">UAE</t>
  </si>
  <si>
    <t xml:space="preserve">2023-04</t>
  </si>
  <si>
    <t xml:space="preserve">FY23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</si>
  <si>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</si>
  <si>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</si>
  <si>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</si>
  <si>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</si>
  <si>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</si>
  <si>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</si>
  <si>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</si>
  <si>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</si>
  <si>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</si>
  <si>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</si>
  <si>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</si>
  <si>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</si>
  <si>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FY24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</si>
  <si>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</si>
  <si>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</si>
  <si>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</si>
  <si>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</si>
  <si>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</si>
  <si>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</si>
  <si>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</si>
  <si>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</si>
  <si>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</si>
  <si>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</si>
  <si>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</si>
  <si>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</si>
  <si>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FY25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</si>
  <si>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</si>
  <si>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</si>
  <si>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</si>
  <si>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</si>
  <si>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</si>
  <si>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</si>
  <si>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</si>
  <si>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</si>
  <si>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</si>
  <si>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</si>
  <si>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</si>
  <si>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KSA</t>
  </si>
  <si>
    <t xml:space="preserve">India</t>
  </si>
  <si>
    <t xml:space="preserve">UK</t>
  </si>
  <si>
    <t xml:space="preserve">USA</t>
  </si>
  <si>
    <t xml:space="preserve">Rest of GCC</t>
  </si>
  <si>
    <t xml:space="preserve">Healthcare &amp; Life Sciences</t>
  </si>
  <si>
    <t xml:space="preserve">Retail &amp; Consumer</t>
  </si>
  <si>
    <t xml:space="preserve">Technology &amp; Telecom</t>
  </si>
  <si>
    <t xml:space="preserve">Public Sector</t>
  </si>
  <si>
    <t xml:space="preserve">Revenue_Var$</t>
  </si>
  <si>
    <t xml:space="preserve">Revenue_Var%</t>
  </si>
  <si>
    <t xml:space="preserve">DirectCost_Var$</t>
  </si>
  <si>
    <t xml:space="preserve">DirectCost_Var%</t>
  </si>
  <si>
    <t xml:space="preserve">GrossMargin_Budget</t>
  </si>
  <si>
    <t xml:space="preserve">GrossMargin_Actual</t>
  </si>
  <si>
    <t xml:space="preserve">GrossMarginPct_Budget</t>
  </si>
  <si>
    <t xml:space="preserve">GrossMarginPct_Actual</t>
  </si>
  <si>
    <t xml:space="preserve">TotalOpex_Budget</t>
  </si>
  <si>
    <t xml:space="preserve">TotalOpex_Actual</t>
  </si>
  <si>
    <t xml:space="preserve">Opex_Var$</t>
  </si>
  <si>
    <t xml:space="preserve">OperatingIncome_Budget</t>
  </si>
  <si>
    <t xml:space="preserve">OperatingIncome_Actual</t>
  </si>
  <si>
    <t xml:space="preserve">OpInc_Var$</t>
  </si>
  <si>
    <t xml:space="preserve">OpInc_Var%</t>
  </si>
  <si>
    <t xml:space="preserve">Adverse_Flag_10pct</t>
  </si>
  <si>
    <t xml:space="preserve">KPI Dashboard — by Business Unit</t>
  </si>
  <si>
    <t xml:space="preserve">Business Unit</t>
  </si>
  <si>
    <t xml:space="preserve">Revenue (Actual, $)</t>
  </si>
  <si>
    <t xml:space="preserve">Revenue vs Budget %</t>
  </si>
  <si>
    <t xml:space="preserve">Gross Margin % (Actual)</t>
  </si>
  <si>
    <t xml:space="preserve">Operating Margin % (Actual)</t>
  </si>
  <si>
    <t xml:space="preserve">Opex Variance ($, Fav/Adv)</t>
  </si>
  <si>
    <t xml:space="preserve"># Months Adverse &gt;10%</t>
  </si>
  <si>
    <t xml:space="preserve">TOTAL / COMPANY</t>
  </si>
  <si>
    <t xml:space="preserve">Monthly Trend — Company-wide Actual vs Budget Revenue</t>
  </si>
  <si>
    <t xml:space="preserve">Revenue Budget</t>
  </si>
  <si>
    <t xml:space="preserve">Revenue Actual</t>
  </si>
  <si>
    <t xml:space="preserve">Operating Income Actual</t>
  </si>
  <si>
    <t xml:space="preserve">Formatting Legend &amp; Methodology Notes</t>
  </si>
  <si>
    <t xml:space="preserve">Blue text</t>
  </si>
  <si>
    <t xml:space="preserve">Hardcoded input (source data, from 01_Data)</t>
  </si>
  <si>
    <t xml:space="preserve">Black text</t>
  </si>
  <si>
    <t xml:space="preserve">Formula — recalculates if inputs change</t>
  </si>
  <si>
    <t xml:space="preserve">Yellow fill (Variance sheet)</t>
  </si>
  <si>
    <t xml:space="preserve">Adverse operating-income variance exceeding 10% threshold</t>
  </si>
  <si>
    <t xml:space="preserve">Adverse variance threshold</t>
  </si>
  <si>
    <t xml:space="preserve">10% (configurable — see 02_Variance column W formula)</t>
  </si>
  <si>
    <t xml:space="preserve">Fiscal year convention</t>
  </si>
  <si>
    <t xml:space="preserve">FY runs April–March, matching UAE/India-linked reporting calendars</t>
  </si>
  <si>
    <t xml:space="preserve">Data source</t>
  </si>
  <si>
    <t xml:space="preserve">Synthetic dataset generated for this demonstration — not real client/employer figures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</si>
</sst>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;\(0.0%\);\-"/>
    <numFmt numFmtId="167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2A41"/>
      <name val="Arial"/>
      <family val="0"/>
      <charset val="1"/>
    </font>
    <font>
      <i val="true"/>
      <sz val="9"/>
      <color rgb="FF5C574B"/>
      <name val="Arial"/>
      <family val="0"/>
      <charset val="1"/>
    </font>
    <font>
      <sz val="9"/>
      <name val="Consolas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B2A41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2C2"/>
      </left>
      <right style="thin">
        <color rgb="FFD9D2C2"/>
      </right>
      <top style="thin">
        <color rgb="FFD9D2C2"/>
      </top>
      <bottom style="thin">
        <color rgb="FFD9D2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C2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3"/>
      <rgbColor rgb="FF4F81BD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5C574B"/>
      <rgbColor rgb="FF993300"/>
      <rgbColor rgb="FF993366"/>
      <rgbColor rgb="FF333399"/>
      <rgbColor rgb="FF1B2A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Actual Revenue by Business Unit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03_KPI_Dashboard!C4</c:f>
              <c:strCache>
                <c:ptCount val="1"/>
                <c:pt idx="0">
                  <c:v>Revenue (Actual, $)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03_KPI_Dashboard!$B$5:$B$9</c:f>
              <c:strCache>
                <c:ptCount val="5"/>
                <c:pt idx="0">
                  <c:v>Banking &amp; Financial Services</c:v>
                </c:pt>
                <c:pt idx="1">
                  <c:v>Healthcare &amp; Life Sciences</c:v>
                </c:pt>
                <c:pt idx="2">
                  <c:v>Public Sector</c:v>
                </c:pt>
                <c:pt idx="3">
                  <c:v>Retail &amp; Consumer</c:v>
                </c:pt>
                <c:pt idx="4">
                  <c:v>Technology &amp; Telecom</c:v>
                </c:pt>
              </c:strCache>
            </c:strRef>
          </c:cat>
          <c:val>
            <c:numRef>
              <c:f>03_KPI_Dashboard!$C$5:$C$9</c:f>
              <c:numCache>
                <c:formatCode>\$#,##0;"($"#,##0\);\-</c:formatCode>
                <c:ptCount val="5"/>
                <c:pt idx="0">
                  <c:v>61972121</c:v>
                </c:pt>
                <c:pt idx="1">
                  <c:v>39727486</c:v>
                </c:pt>
                <c:pt idx="2">
                  <c:v>33226409</c:v>
                </c:pt>
                <c:pt idx="3">
                  <c:v>48374303</c:v>
                </c:pt>
                <c:pt idx="4">
                  <c:v>72395110</c:v>
                </c:pt>
              </c:numCache>
            </c:numRef>
          </c:val>
        </c:ser>
        <c:gapWidth val="150"/>
        <c:overlap val="0"/>
        <c:axId val="13641246"/>
        <c:axId val="33699611"/>
      </c:barChart>
      <c:catAx>
        <c:axId val="136412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699611"/>
        <c:crosses val="autoZero"/>
        <c:auto val="1"/>
        <c:lblAlgn val="ctr"/>
        <c:lblOffset val="100"/>
        <c:noMultiLvlLbl val="0"/>
      </c:catAx>
      <c:valAx>
        <c:axId val="336996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6412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Revenue Trend — Budget vs Actual (Company-wide)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03_KPI_Dashboard!C35</c:f>
              <c:strCache>
                <c:ptCount val="1"/>
                <c:pt idx="0">
                  <c:v>Revenue Budget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03_KPI_Dashboard!$B$36:$B$71</c:f>
              <c:strCache>
                <c:ptCount val="36"/>
                <c:pt idx="0">
                  <c:v>2023-04</c:v>
                </c:pt>
                <c:pt idx="1">
                  <c:v>2023-05</c:v>
                </c:pt>
                <c:pt idx="2">
                  <c:v>2023-06</c:v>
                </c:pt>
                <c:pt idx="3">
                  <c:v>2023-07</c:v>
                </c:pt>
                <c:pt idx="4">
                  <c:v>2023-08</c:v>
                </c:pt>
                <c:pt idx="5">
                  <c:v>2023-09</c:v>
                </c:pt>
                <c:pt idx="6">
                  <c:v>2023-10</c:v>
                </c:pt>
                <c:pt idx="7">
                  <c:v>2023-11</c:v>
                </c:pt>
                <c:pt idx="8">
                  <c:v>2023-12</c:v>
                </c:pt>
                <c:pt idx="9">
                  <c:v>2024-01</c:v>
                </c:pt>
                <c:pt idx="10">
                  <c:v>2024-02</c:v>
                </c:pt>
                <c:pt idx="11">
                  <c:v>2024-03</c:v>
                </c:pt>
                <c:pt idx="12">
                  <c:v>2024-04</c:v>
                </c:pt>
                <c:pt idx="13">
                  <c:v>2024-05</c:v>
                </c:pt>
                <c:pt idx="14">
                  <c:v>2024-06</c:v>
                </c:pt>
                <c:pt idx="15">
                  <c:v>2024-07</c:v>
                </c:pt>
                <c:pt idx="16">
                  <c:v>2024-08</c:v>
                </c:pt>
                <c:pt idx="17">
                  <c:v>2024-09</c:v>
                </c:pt>
                <c:pt idx="18">
                  <c:v>2024-10</c:v>
                </c:pt>
                <c:pt idx="19">
                  <c:v>2024-11</c:v>
                </c:pt>
                <c:pt idx="20">
                  <c:v>2024-12</c:v>
                </c:pt>
                <c:pt idx="21">
                  <c:v>2025-01</c:v>
                </c:pt>
                <c:pt idx="22">
                  <c:v>2025-02</c:v>
                </c:pt>
                <c:pt idx="23">
                  <c:v>2025-03</c:v>
                </c:pt>
                <c:pt idx="24">
                  <c:v>2025-04</c:v>
                </c:pt>
                <c:pt idx="25">
                  <c:v>2025-05</c:v>
                </c:pt>
                <c:pt idx="26">
                  <c:v>2025-06</c:v>
                </c:pt>
                <c:pt idx="27">
                  <c:v>2025-07</c:v>
                </c:pt>
                <c:pt idx="28">
                  <c:v>2025-08</c:v>
                </c:pt>
                <c:pt idx="29">
                  <c:v>2025-09</c:v>
                </c:pt>
                <c:pt idx="30">
                  <c:v>2025-10</c:v>
                </c:pt>
                <c:pt idx="31">
                  <c:v>2025-11</c:v>
                </c:pt>
                <c:pt idx="32">
                  <c:v>2025-12</c:v>
                </c:pt>
                <c:pt idx="33">
                  <c:v>2026-01</c:v>
                </c:pt>
                <c:pt idx="34">
                  <c:v>2026-02</c:v>
                </c:pt>
                <c:pt idx="35">
                  <c:v>2026-03</c:v>
                </c:pt>
              </c:strCache>
            </c:strRef>
          </c:cat>
          <c:val>
            <c:numRef>
              <c:f>03_KPI_Dashboard!$C$36:$C$71</c:f>
              <c:numCache>
                <c:formatCode>\$#,##0;"($"#,##0\);\-</c:formatCode>
                <c:ptCount val="36"/>
                <c:pt idx="0">
                  <c:v>5975688</c:v>
                </c:pt>
                <c:pt idx="1">
                  <c:v>6031069</c:v>
                </c:pt>
                <c:pt idx="2">
                  <c:v>6090416</c:v>
                </c:pt>
                <c:pt idx="3">
                  <c:v>6151282</c:v>
                </c:pt>
                <c:pt idx="4">
                  <c:v>6159258</c:v>
                </c:pt>
                <c:pt idx="5">
                  <c:v>6695158</c:v>
                </c:pt>
                <c:pt idx="6">
                  <c:v>6282663</c:v>
                </c:pt>
                <c:pt idx="7">
                  <c:v>6373338</c:v>
                </c:pt>
                <c:pt idx="8">
                  <c:v>6798952</c:v>
                </c:pt>
                <c:pt idx="9">
                  <c:v>6375053</c:v>
                </c:pt>
                <c:pt idx="10">
                  <c:v>6455409</c:v>
                </c:pt>
                <c:pt idx="11">
                  <c:v>7096223</c:v>
                </c:pt>
                <c:pt idx="12">
                  <c:v>6653375</c:v>
                </c:pt>
                <c:pt idx="13">
                  <c:v>6606613</c:v>
                </c:pt>
                <c:pt idx="14">
                  <c:v>6664453</c:v>
                </c:pt>
                <c:pt idx="15">
                  <c:v>6878311</c:v>
                </c:pt>
                <c:pt idx="16">
                  <c:v>6897135</c:v>
                </c:pt>
                <c:pt idx="17">
                  <c:v>7378172</c:v>
                </c:pt>
                <c:pt idx="18">
                  <c:v>6996723</c:v>
                </c:pt>
                <c:pt idx="19">
                  <c:v>7040662</c:v>
                </c:pt>
                <c:pt idx="20">
                  <c:v>7544808</c:v>
                </c:pt>
                <c:pt idx="21">
                  <c:v>7122717</c:v>
                </c:pt>
                <c:pt idx="22">
                  <c:v>7236973</c:v>
                </c:pt>
                <c:pt idx="23">
                  <c:v>7841857</c:v>
                </c:pt>
                <c:pt idx="24">
                  <c:v>7323410</c:v>
                </c:pt>
                <c:pt idx="25">
                  <c:v>7343377</c:v>
                </c:pt>
                <c:pt idx="26">
                  <c:v>7524320</c:v>
                </c:pt>
                <c:pt idx="27">
                  <c:v>7609275</c:v>
                </c:pt>
                <c:pt idx="28">
                  <c:v>7671525</c:v>
                </c:pt>
                <c:pt idx="29">
                  <c:v>8280138</c:v>
                </c:pt>
                <c:pt idx="30">
                  <c:v>7798052</c:v>
                </c:pt>
                <c:pt idx="31">
                  <c:v>7838469</c:v>
                </c:pt>
                <c:pt idx="32">
                  <c:v>8532780</c:v>
                </c:pt>
                <c:pt idx="33">
                  <c:v>7900539</c:v>
                </c:pt>
                <c:pt idx="34">
                  <c:v>8029516</c:v>
                </c:pt>
                <c:pt idx="35">
                  <c:v>8555499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03_KPI_Dashboard!D35</c:f>
              <c:strCache>
                <c:ptCount val="1"/>
                <c:pt idx="0">
                  <c:v>Revenue Actual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03_KPI_Dashboard!$B$36:$B$71</c:f>
              <c:strCache>
                <c:ptCount val="36"/>
                <c:pt idx="0">
                  <c:v>2023-04</c:v>
                </c:pt>
                <c:pt idx="1">
                  <c:v>2023-05</c:v>
                </c:pt>
                <c:pt idx="2">
                  <c:v>2023-06</c:v>
                </c:pt>
                <c:pt idx="3">
                  <c:v>2023-07</c:v>
                </c:pt>
                <c:pt idx="4">
                  <c:v>2023-08</c:v>
                </c:pt>
                <c:pt idx="5">
                  <c:v>2023-09</c:v>
                </c:pt>
                <c:pt idx="6">
                  <c:v>2023-10</c:v>
                </c:pt>
                <c:pt idx="7">
                  <c:v>2023-11</c:v>
                </c:pt>
                <c:pt idx="8">
                  <c:v>2023-12</c:v>
                </c:pt>
                <c:pt idx="9">
                  <c:v>2024-01</c:v>
                </c:pt>
                <c:pt idx="10">
                  <c:v>2024-02</c:v>
                </c:pt>
                <c:pt idx="11">
                  <c:v>2024-03</c:v>
                </c:pt>
                <c:pt idx="12">
                  <c:v>2024-04</c:v>
                </c:pt>
                <c:pt idx="13">
                  <c:v>2024-05</c:v>
                </c:pt>
                <c:pt idx="14">
                  <c:v>2024-06</c:v>
                </c:pt>
                <c:pt idx="15">
                  <c:v>2024-07</c:v>
                </c:pt>
                <c:pt idx="16">
                  <c:v>2024-08</c:v>
                </c:pt>
                <c:pt idx="17">
                  <c:v>2024-09</c:v>
                </c:pt>
                <c:pt idx="18">
                  <c:v>2024-10</c:v>
                </c:pt>
                <c:pt idx="19">
                  <c:v>2024-11</c:v>
                </c:pt>
                <c:pt idx="20">
                  <c:v>2024-12</c:v>
                </c:pt>
                <c:pt idx="21">
                  <c:v>2025-01</c:v>
                </c:pt>
                <c:pt idx="22">
                  <c:v>2025-02</c:v>
                </c:pt>
                <c:pt idx="23">
                  <c:v>2025-03</c:v>
                </c:pt>
                <c:pt idx="24">
                  <c:v>2025-04</c:v>
                </c:pt>
                <c:pt idx="25">
                  <c:v>2025-05</c:v>
                </c:pt>
                <c:pt idx="26">
                  <c:v>2025-06</c:v>
                </c:pt>
                <c:pt idx="27">
                  <c:v>2025-07</c:v>
                </c:pt>
                <c:pt idx="28">
                  <c:v>2025-08</c:v>
                </c:pt>
                <c:pt idx="29">
                  <c:v>2025-09</c:v>
                </c:pt>
                <c:pt idx="30">
                  <c:v>2025-10</c:v>
                </c:pt>
                <c:pt idx="31">
                  <c:v>2025-11</c:v>
                </c:pt>
                <c:pt idx="32">
                  <c:v>2025-12</c:v>
                </c:pt>
                <c:pt idx="33">
                  <c:v>2026-01</c:v>
                </c:pt>
                <c:pt idx="34">
                  <c:v>2026-02</c:v>
                </c:pt>
                <c:pt idx="35">
                  <c:v>2026-03</c:v>
                </c:pt>
              </c:strCache>
            </c:strRef>
          </c:cat>
          <c:val>
            <c:numRef>
              <c:f>03_KPI_Dashboard!$D$36:$D$71</c:f>
              <c:numCache>
                <c:formatCode>\$#,##0;"($"#,##0\);\-</c:formatCode>
                <c:ptCount val="36"/>
                <c:pt idx="0">
                  <c:v>5957196</c:v>
                </c:pt>
                <c:pt idx="1">
                  <c:v>6017703</c:v>
                </c:pt>
                <c:pt idx="2">
                  <c:v>6067111</c:v>
                </c:pt>
                <c:pt idx="3">
                  <c:v>6126440</c:v>
                </c:pt>
                <c:pt idx="4">
                  <c:v>6172185</c:v>
                </c:pt>
                <c:pt idx="5">
                  <c:v>6653119</c:v>
                </c:pt>
                <c:pt idx="6">
                  <c:v>6275355</c:v>
                </c:pt>
                <c:pt idx="7">
                  <c:v>6325325</c:v>
                </c:pt>
                <c:pt idx="8">
                  <c:v>6816058</c:v>
                </c:pt>
                <c:pt idx="9">
                  <c:v>6444112</c:v>
                </c:pt>
                <c:pt idx="10">
                  <c:v>6507895</c:v>
                </c:pt>
                <c:pt idx="11">
                  <c:v>7021343</c:v>
                </c:pt>
                <c:pt idx="12">
                  <c:v>6625373</c:v>
                </c:pt>
                <c:pt idx="13">
                  <c:v>6669379</c:v>
                </c:pt>
                <c:pt idx="14">
                  <c:v>6703038</c:v>
                </c:pt>
                <c:pt idx="15">
                  <c:v>6764969</c:v>
                </c:pt>
                <c:pt idx="16">
                  <c:v>6823481</c:v>
                </c:pt>
                <c:pt idx="17">
                  <c:v>7377086</c:v>
                </c:pt>
                <c:pt idx="18">
                  <c:v>6947810</c:v>
                </c:pt>
                <c:pt idx="19">
                  <c:v>7032197</c:v>
                </c:pt>
                <c:pt idx="20">
                  <c:v>7586632</c:v>
                </c:pt>
                <c:pt idx="21">
                  <c:v>7149979</c:v>
                </c:pt>
                <c:pt idx="22">
                  <c:v>7210521</c:v>
                </c:pt>
                <c:pt idx="23">
                  <c:v>7786717</c:v>
                </c:pt>
                <c:pt idx="24">
                  <c:v>7364802</c:v>
                </c:pt>
                <c:pt idx="25">
                  <c:v>7441693</c:v>
                </c:pt>
                <c:pt idx="26">
                  <c:v>7517660</c:v>
                </c:pt>
                <c:pt idx="27">
                  <c:v>7624526</c:v>
                </c:pt>
                <c:pt idx="28">
                  <c:v>7678461</c:v>
                </c:pt>
                <c:pt idx="29">
                  <c:v>8276166</c:v>
                </c:pt>
                <c:pt idx="30">
                  <c:v>7797061</c:v>
                </c:pt>
                <c:pt idx="31">
                  <c:v>7851180</c:v>
                </c:pt>
                <c:pt idx="32">
                  <c:v>8440371</c:v>
                </c:pt>
                <c:pt idx="33">
                  <c:v>7948387</c:v>
                </c:pt>
                <c:pt idx="34">
                  <c:v>8039165</c:v>
                </c:pt>
                <c:pt idx="35">
                  <c:v>8654933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0178949"/>
        <c:axId val="22146950"/>
      </c:lineChart>
      <c:catAx>
        <c:axId val="501789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146950"/>
        <c:crosses val="autoZero"/>
        <c:auto val="1"/>
        <c:lblAlgn val="ctr"/>
        <c:lblOffset val="100"/>
        <c:noMultiLvlLbl val="0"/>
      </c:catAx>
      <c:valAx>
        <c:axId val="221469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1789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48240</xdr:rowOff>
    </xdr:from>
    <xdr:to>
      <xdr:col>6</xdr:col>
      <xdr:colOff>120600</xdr:colOff>
      <xdr:row>29</xdr:row>
      <xdr:rowOff>49320</xdr:rowOff>
    </xdr:to>
    <xdr:graphicFrame>
      <xdr:nvGraphicFramePr>
        <xdr:cNvPr id="0" name="Chart 1"/>
        <xdr:cNvGraphicFramePr/>
      </xdr:nvGraphicFramePr>
      <xdr:xfrm>
        <a:off x="211320" y="24764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12</xdr:row>
      <xdr:rowOff>48240</xdr:rowOff>
    </xdr:from>
    <xdr:to>
      <xdr:col>16</xdr:col>
      <xdr:colOff>459720</xdr:colOff>
      <xdr:row>31</xdr:row>
      <xdr:rowOff>28440</xdr:rowOff>
    </xdr:to>
    <xdr:graphicFrame>
      <xdr:nvGraphicFramePr>
        <xdr:cNvPr id="1" name="Chart 2"/>
        <xdr:cNvGraphicFramePr/>
      </xdr:nvGraphicFramePr>
      <xdr:xfrm>
        <a:off x="5850360" y="2476440"/>
        <a:ext cx="863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9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0" t="s">
        <v>2</v>
      </c>
    </row>
    <row r="7" customFormat="false" ht="15" hidden="false" customHeight="false" outlineLevel="0" collapsed="false">
      <c r="B7" s="0" t="s">
        <v>3</v>
      </c>
    </row>
    <row r="9" customFormat="false" ht="15" hidden="false" customHeight="false" outlineLevel="0" collapsed="false">
      <c r="B9" s="0" t="s">
        <v>4</v>
      </c>
    </row>
    <row r="10" customFormat="false" ht="15" hidden="false" customHeight="false" outlineLevel="0" collapsed="false">
      <c r="B10" s="3" t="s">
        <v>5</v>
      </c>
    </row>
    <row r="11" customFormat="false" ht="15" hidden="false" customHeight="false" outlineLevel="0" collapsed="false">
      <c r="B11" s="3" t="s">
        <v>6</v>
      </c>
    </row>
    <row r="12" customFormat="false" ht="15" hidden="false" customHeight="false" outlineLevel="0" collapsed="false">
      <c r="B12" s="3" t="s">
        <v>7</v>
      </c>
    </row>
    <row r="13" customFormat="false" ht="15" hidden="false" customHeight="false" outlineLevel="0" collapsed="false">
      <c r="B13" s="3" t="s">
        <v>8</v>
      </c>
    </row>
    <row r="15" customFormat="false" ht="15" hidden="false" customHeight="false" outlineLevel="0" collapsed="false">
      <c r="B15" s="0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2"/>
    <col collapsed="false" customWidth="true" hidden="false" outlineLevel="0" max="6" min="5" style="0" width="16"/>
    <col collapsed="false" customWidth="true" hidden="false" outlineLevel="0" max="8" min="7" style="0" width="19"/>
    <col collapsed="false" customWidth="true" hidden="false" outlineLevel="0" max="10" min="9" style="0" width="17"/>
    <col collapsed="false" customWidth="true" hidden="false" outlineLevel="0" max="12" min="11" style="0" width="18"/>
    <col collapsed="false" customWidth="true" hidden="false" outlineLevel="0" max="14" min="13" style="0" width="15"/>
    <col collapsed="false" customWidth="true" hidden="false" outlineLevel="0" max="18" min="15" style="0" width="19"/>
    <col collapsed="false" customWidth="true" hidden="false" outlineLevel="0" max="20" min="19" style="0" width="17"/>
    <col collapsed="false" customWidth="true" hidden="false" outlineLevel="0" max="22" min="21" style="0" width="12"/>
  </cols>
  <sheetData>
    <row r="1" customFormat="false" ht="15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21</v>
      </c>
      <c r="M1" s="4" t="s">
        <v>22</v>
      </c>
      <c r="N1" s="4" t="s">
        <v>23</v>
      </c>
      <c r="O1" s="4" t="s">
        <v>24</v>
      </c>
      <c r="P1" s="4" t="s">
        <v>25</v>
      </c>
      <c r="Q1" s="4" t="s">
        <v>26</v>
      </c>
      <c r="R1" s="4" t="s">
        <v>27</v>
      </c>
      <c r="S1" s="4" t="s">
        <v>28</v>
      </c>
      <c r="T1" s="4" t="s">
        <v>29</v>
      </c>
      <c r="U1" s="4" t="s">
        <v>30</v>
      </c>
      <c r="V1" s="4" t="s">
        <v>31</v>
      </c>
    </row>
    <row r="2" customFormat="false" ht="15" hidden="false" customHeight="false" outlineLevel="0" collapsed="false">
      <c r="A2" s="5" t="s">
        <v>32</v>
      </c>
      <c r="B2" s="6" t="s">
        <v>33</v>
      </c>
      <c r="C2" s="5" t="s">
        <v>34</v>
      </c>
      <c r="D2" s="5" t="s">
        <v>35</v>
      </c>
      <c r="E2" s="6" t="n">
        <v>388849</v>
      </c>
      <c r="F2" s="6" t="n">
        <v>402208</v>
      </c>
      <c r="G2" s="6" t="n">
        <v>227161</v>
      </c>
      <c r="H2" s="6" t="n">
        <v>240530</v>
      </c>
      <c r="I2" s="6" t="n">
        <v>64847</v>
      </c>
      <c r="J2" s="6" t="n">
        <v>63522</v>
      </c>
      <c r="K2" s="6" t="n">
        <v>10238</v>
      </c>
      <c r="L2" s="6" t="n">
        <v>8794</v>
      </c>
      <c r="M2" s="6" t="n">
        <v>3706</v>
      </c>
      <c r="N2" s="6" t="n">
        <v>3901</v>
      </c>
      <c r="O2" s="6" t="n">
        <v>7102</v>
      </c>
      <c r="P2" s="6" t="n">
        <v>6788</v>
      </c>
      <c r="Q2" s="6" t="n">
        <v>6688</v>
      </c>
      <c r="R2" s="6" t="n">
        <v>6718</v>
      </c>
      <c r="S2" s="6" t="n">
        <v>2847</v>
      </c>
      <c r="T2" s="6" t="n">
        <v>3284</v>
      </c>
      <c r="U2" s="6" t="n">
        <v>10924</v>
      </c>
      <c r="V2" s="6" t="n">
        <v>10601</v>
      </c>
    </row>
    <row r="3" customFormat="false" ht="15" hidden="false" customHeight="false" outlineLevel="0" collapsed="false">
      <c r="A3" s="5" t="s">
        <v>32</v>
      </c>
      <c r="B3" s="6" t="s">
        <v>33</v>
      </c>
      <c r="C3" s="5" t="s">
        <v>36</v>
      </c>
      <c r="D3" s="5" t="s">
        <v>35</v>
      </c>
      <c r="E3" s="6" t="n">
        <v>420607</v>
      </c>
      <c r="F3" s="6" t="n">
        <v>410839</v>
      </c>
      <c r="G3" s="6" t="n">
        <v>235714</v>
      </c>
      <c r="H3" s="6" t="n">
        <v>225217</v>
      </c>
      <c r="I3" s="6" t="n">
        <v>70963</v>
      </c>
      <c r="J3" s="6" t="n">
        <v>71462</v>
      </c>
      <c r="K3" s="6" t="n">
        <v>8997</v>
      </c>
      <c r="L3" s="6" t="n">
        <v>7908</v>
      </c>
      <c r="M3" s="6" t="n">
        <v>5860</v>
      </c>
      <c r="N3" s="6" t="n">
        <v>6457</v>
      </c>
      <c r="O3" s="6" t="n">
        <v>10966</v>
      </c>
      <c r="P3" s="6" t="n">
        <v>11529</v>
      </c>
      <c r="Q3" s="6" t="n">
        <v>6852</v>
      </c>
      <c r="R3" s="6" t="n">
        <v>7176</v>
      </c>
      <c r="S3" s="6" t="n">
        <v>3479</v>
      </c>
      <c r="T3" s="6" t="n">
        <v>3936</v>
      </c>
      <c r="U3" s="6" t="n">
        <v>11901</v>
      </c>
      <c r="V3" s="6" t="n">
        <v>11986</v>
      </c>
    </row>
    <row r="4" customFormat="false" ht="15" hidden="false" customHeight="false" outlineLevel="0" collapsed="false">
      <c r="A4" s="5" t="s">
        <v>32</v>
      </c>
      <c r="B4" s="6" t="s">
        <v>33</v>
      </c>
      <c r="C4" s="5" t="s">
        <v>37</v>
      </c>
      <c r="D4" s="5" t="s">
        <v>35</v>
      </c>
      <c r="E4" s="6" t="n">
        <v>424486</v>
      </c>
      <c r="F4" s="6" t="n">
        <v>420582</v>
      </c>
      <c r="G4" s="6" t="n">
        <v>247167</v>
      </c>
      <c r="H4" s="6" t="n">
        <v>237446</v>
      </c>
      <c r="I4" s="6" t="n">
        <v>62330</v>
      </c>
      <c r="J4" s="6" t="n">
        <v>62444</v>
      </c>
      <c r="K4" s="6" t="n">
        <v>8998</v>
      </c>
      <c r="L4" s="6" t="n">
        <v>8277</v>
      </c>
      <c r="M4" s="6" t="n">
        <v>3696</v>
      </c>
      <c r="N4" s="6" t="n">
        <v>3470</v>
      </c>
      <c r="O4" s="6" t="n">
        <v>10339</v>
      </c>
      <c r="P4" s="6" t="n">
        <v>10191</v>
      </c>
      <c r="Q4" s="6" t="n">
        <v>6351</v>
      </c>
      <c r="R4" s="6" t="n">
        <v>6167</v>
      </c>
      <c r="S4" s="6" t="n">
        <v>3227</v>
      </c>
      <c r="T4" s="6" t="n">
        <v>4395</v>
      </c>
      <c r="U4" s="6" t="n">
        <v>11241</v>
      </c>
      <c r="V4" s="6" t="n">
        <v>11315</v>
      </c>
    </row>
    <row r="5" customFormat="false" ht="15" hidden="false" customHeight="false" outlineLevel="0" collapsed="false">
      <c r="A5" s="5" t="s">
        <v>32</v>
      </c>
      <c r="B5" s="6" t="s">
        <v>33</v>
      </c>
      <c r="C5" s="5" t="s">
        <v>38</v>
      </c>
      <c r="D5" s="5" t="s">
        <v>35</v>
      </c>
      <c r="E5" s="6" t="n">
        <v>430349</v>
      </c>
      <c r="F5" s="6" t="n">
        <v>418833</v>
      </c>
      <c r="G5" s="6" t="n">
        <v>236608</v>
      </c>
      <c r="H5" s="6" t="n">
        <v>229846</v>
      </c>
      <c r="I5" s="6" t="n">
        <v>73024</v>
      </c>
      <c r="J5" s="6" t="n">
        <v>75974</v>
      </c>
      <c r="K5" s="6" t="n">
        <v>12202</v>
      </c>
      <c r="L5" s="6" t="n">
        <v>12878</v>
      </c>
      <c r="M5" s="6" t="n">
        <v>5982</v>
      </c>
      <c r="N5" s="6" t="n">
        <v>7107</v>
      </c>
      <c r="O5" s="6" t="n">
        <v>8732</v>
      </c>
      <c r="P5" s="6" t="n">
        <v>8084</v>
      </c>
      <c r="Q5" s="6" t="n">
        <v>6250</v>
      </c>
      <c r="R5" s="6" t="n">
        <v>6105</v>
      </c>
      <c r="S5" s="6" t="n">
        <v>3127</v>
      </c>
      <c r="T5" s="6" t="n">
        <v>4271</v>
      </c>
      <c r="U5" s="6" t="n">
        <v>12378</v>
      </c>
      <c r="V5" s="6" t="n">
        <v>12240</v>
      </c>
    </row>
    <row r="6" customFormat="false" ht="15" hidden="false" customHeight="false" outlineLevel="0" collapsed="false">
      <c r="A6" s="5" t="s">
        <v>32</v>
      </c>
      <c r="B6" s="6" t="s">
        <v>33</v>
      </c>
      <c r="C6" s="5" t="s">
        <v>39</v>
      </c>
      <c r="D6" s="5" t="s">
        <v>35</v>
      </c>
      <c r="E6" s="6" t="n">
        <v>419953</v>
      </c>
      <c r="F6" s="6" t="n">
        <v>425279</v>
      </c>
      <c r="G6" s="6" t="n">
        <v>249819</v>
      </c>
      <c r="H6" s="6" t="n">
        <v>254238</v>
      </c>
      <c r="I6" s="6" t="n">
        <v>62131</v>
      </c>
      <c r="J6" s="6" t="n">
        <v>61953</v>
      </c>
      <c r="K6" s="6" t="n">
        <v>11935</v>
      </c>
      <c r="L6" s="6" t="n">
        <v>11085</v>
      </c>
      <c r="M6" s="6" t="n">
        <v>5078</v>
      </c>
      <c r="N6" s="6" t="n">
        <v>6342</v>
      </c>
      <c r="O6" s="6" t="n">
        <v>9236</v>
      </c>
      <c r="P6" s="6" t="n">
        <v>8862</v>
      </c>
      <c r="Q6" s="6" t="n">
        <v>8391</v>
      </c>
      <c r="R6" s="6" t="n">
        <v>8399</v>
      </c>
      <c r="S6" s="6" t="n">
        <v>2749</v>
      </c>
      <c r="T6" s="6" t="n">
        <v>2277</v>
      </c>
      <c r="U6" s="6" t="n">
        <v>8860</v>
      </c>
      <c r="V6" s="6" t="n">
        <v>8928</v>
      </c>
    </row>
    <row r="7" customFormat="false" ht="15" hidden="false" customHeight="false" outlineLevel="0" collapsed="false">
      <c r="A7" s="5" t="s">
        <v>32</v>
      </c>
      <c r="B7" s="6" t="s">
        <v>33</v>
      </c>
      <c r="C7" s="5" t="s">
        <v>40</v>
      </c>
      <c r="D7" s="5" t="s">
        <v>35</v>
      </c>
      <c r="E7" s="6" t="n">
        <v>447752</v>
      </c>
      <c r="F7" s="6" t="n">
        <v>451974</v>
      </c>
      <c r="G7" s="6" t="n">
        <v>243493</v>
      </c>
      <c r="H7" s="6" t="n">
        <v>245373</v>
      </c>
      <c r="I7" s="6" t="n">
        <v>76066</v>
      </c>
      <c r="J7" s="6" t="n">
        <v>78211</v>
      </c>
      <c r="K7" s="6" t="n">
        <v>15477</v>
      </c>
      <c r="L7" s="6" t="n">
        <v>17152</v>
      </c>
      <c r="M7" s="6" t="n">
        <v>3618</v>
      </c>
      <c r="N7" s="6" t="n">
        <v>4198</v>
      </c>
      <c r="O7" s="6" t="n">
        <v>11112</v>
      </c>
      <c r="P7" s="6" t="n">
        <v>11297</v>
      </c>
      <c r="Q7" s="6" t="n">
        <v>6329</v>
      </c>
      <c r="R7" s="6" t="n">
        <v>6418</v>
      </c>
      <c r="S7" s="6" t="n">
        <v>2986</v>
      </c>
      <c r="T7" s="6" t="n">
        <v>3168</v>
      </c>
      <c r="U7" s="6" t="n">
        <v>10987</v>
      </c>
      <c r="V7" s="6" t="n">
        <v>11286</v>
      </c>
    </row>
    <row r="8" customFormat="false" ht="15" hidden="false" customHeight="false" outlineLevel="0" collapsed="false">
      <c r="A8" s="5" t="s">
        <v>32</v>
      </c>
      <c r="B8" s="6" t="s">
        <v>33</v>
      </c>
      <c r="C8" s="5" t="s">
        <v>41</v>
      </c>
      <c r="D8" s="5" t="s">
        <v>35</v>
      </c>
      <c r="E8" s="6" t="n">
        <v>432087</v>
      </c>
      <c r="F8" s="6" t="n">
        <v>444714</v>
      </c>
      <c r="G8" s="6" t="n">
        <v>246305</v>
      </c>
      <c r="H8" s="6" t="n">
        <v>248581</v>
      </c>
      <c r="I8" s="6" t="n">
        <v>72322</v>
      </c>
      <c r="J8" s="6" t="n">
        <v>77078</v>
      </c>
      <c r="K8" s="6" t="n">
        <v>10576</v>
      </c>
      <c r="L8" s="6" t="n">
        <v>11017</v>
      </c>
      <c r="M8" s="6" t="n">
        <v>5299</v>
      </c>
      <c r="N8" s="6" t="n">
        <v>4644</v>
      </c>
      <c r="O8" s="6" t="n">
        <v>11072</v>
      </c>
      <c r="P8" s="6" t="n">
        <v>11261</v>
      </c>
      <c r="Q8" s="6" t="n">
        <v>7877</v>
      </c>
      <c r="R8" s="6" t="n">
        <v>7901</v>
      </c>
      <c r="S8" s="6" t="n">
        <v>2594</v>
      </c>
      <c r="T8" s="6" t="n">
        <v>2580</v>
      </c>
      <c r="U8" s="6" t="n">
        <v>8726</v>
      </c>
      <c r="V8" s="6" t="n">
        <v>8951</v>
      </c>
    </row>
    <row r="9" customFormat="false" ht="15" hidden="false" customHeight="false" outlineLevel="0" collapsed="false">
      <c r="A9" s="5" t="s">
        <v>32</v>
      </c>
      <c r="B9" s="6" t="s">
        <v>33</v>
      </c>
      <c r="C9" s="5" t="s">
        <v>42</v>
      </c>
      <c r="D9" s="5" t="s">
        <v>35</v>
      </c>
      <c r="E9" s="6" t="n">
        <v>473697</v>
      </c>
      <c r="F9" s="6" t="n">
        <v>455566</v>
      </c>
      <c r="G9" s="6" t="n">
        <v>264536</v>
      </c>
      <c r="H9" s="6" t="n">
        <v>246619</v>
      </c>
      <c r="I9" s="6" t="n">
        <v>78795</v>
      </c>
      <c r="J9" s="6" t="n">
        <v>84639</v>
      </c>
      <c r="K9" s="6" t="n">
        <v>10083</v>
      </c>
      <c r="L9" s="6" t="n">
        <v>10041</v>
      </c>
      <c r="M9" s="6" t="n">
        <v>4019</v>
      </c>
      <c r="N9" s="6" t="n">
        <v>4744</v>
      </c>
      <c r="O9" s="6" t="n">
        <v>12154</v>
      </c>
      <c r="P9" s="6" t="n">
        <v>11463</v>
      </c>
      <c r="Q9" s="6" t="n">
        <v>7485</v>
      </c>
      <c r="R9" s="6" t="n">
        <v>7522</v>
      </c>
      <c r="S9" s="6" t="n">
        <v>3596</v>
      </c>
      <c r="T9" s="6" t="n">
        <v>4759</v>
      </c>
      <c r="U9" s="6" t="n">
        <v>11478</v>
      </c>
      <c r="V9" s="6" t="n">
        <v>11280</v>
      </c>
    </row>
    <row r="10" customFormat="false" ht="15" hidden="false" customHeight="false" outlineLevel="0" collapsed="false">
      <c r="A10" s="5" t="s">
        <v>32</v>
      </c>
      <c r="B10" s="6" t="s">
        <v>33</v>
      </c>
      <c r="C10" s="5" t="s">
        <v>43</v>
      </c>
      <c r="D10" s="5" t="s">
        <v>35</v>
      </c>
      <c r="E10" s="6" t="n">
        <v>492549</v>
      </c>
      <c r="F10" s="6" t="n">
        <v>479324</v>
      </c>
      <c r="G10" s="6" t="n">
        <v>271921</v>
      </c>
      <c r="H10" s="6" t="n">
        <v>262504</v>
      </c>
      <c r="I10" s="6" t="n">
        <v>83662</v>
      </c>
      <c r="J10" s="6" t="n">
        <v>87133</v>
      </c>
      <c r="K10" s="6" t="n">
        <v>13088</v>
      </c>
      <c r="L10" s="6" t="n">
        <v>13157</v>
      </c>
      <c r="M10" s="6" t="n">
        <v>4358</v>
      </c>
      <c r="N10" s="6" t="n">
        <v>3976</v>
      </c>
      <c r="O10" s="6" t="n">
        <v>10531</v>
      </c>
      <c r="P10" s="6" t="n">
        <v>10804</v>
      </c>
      <c r="Q10" s="6" t="n">
        <v>6817</v>
      </c>
      <c r="R10" s="6" t="n">
        <v>6626</v>
      </c>
      <c r="S10" s="6" t="n">
        <v>3165</v>
      </c>
      <c r="T10" s="6" t="n">
        <v>3730</v>
      </c>
      <c r="U10" s="6" t="n">
        <v>10979</v>
      </c>
      <c r="V10" s="6" t="n">
        <v>11246</v>
      </c>
    </row>
    <row r="11" customFormat="false" ht="15" hidden="false" customHeight="false" outlineLevel="0" collapsed="false">
      <c r="A11" s="5" t="s">
        <v>32</v>
      </c>
      <c r="B11" s="6" t="s">
        <v>33</v>
      </c>
      <c r="C11" s="5" t="s">
        <v>44</v>
      </c>
      <c r="D11" s="5" t="s">
        <v>35</v>
      </c>
      <c r="E11" s="6" t="n">
        <v>447050</v>
      </c>
      <c r="F11" s="6" t="n">
        <v>471322</v>
      </c>
      <c r="G11" s="6" t="n">
        <v>247791</v>
      </c>
      <c r="H11" s="6" t="n">
        <v>267583</v>
      </c>
      <c r="I11" s="6" t="n">
        <v>65460</v>
      </c>
      <c r="J11" s="6" t="n">
        <v>64449</v>
      </c>
      <c r="K11" s="6" t="n">
        <v>15214</v>
      </c>
      <c r="L11" s="6" t="n">
        <v>15538</v>
      </c>
      <c r="M11" s="6" t="n">
        <v>5056</v>
      </c>
      <c r="N11" s="6" t="n">
        <v>6028</v>
      </c>
      <c r="O11" s="6" t="n">
        <v>11657</v>
      </c>
      <c r="P11" s="6" t="n">
        <v>11124</v>
      </c>
      <c r="Q11" s="6" t="n">
        <v>5711</v>
      </c>
      <c r="R11" s="6" t="n">
        <v>5672</v>
      </c>
      <c r="S11" s="6" t="n">
        <v>3818</v>
      </c>
      <c r="T11" s="6" t="n">
        <v>4124</v>
      </c>
      <c r="U11" s="6" t="n">
        <v>12200</v>
      </c>
      <c r="V11" s="6" t="n">
        <v>12327</v>
      </c>
    </row>
    <row r="12" customFormat="false" ht="15" hidden="false" customHeight="false" outlineLevel="0" collapsed="false">
      <c r="A12" s="5" t="s">
        <v>32</v>
      </c>
      <c r="B12" s="6" t="s">
        <v>33</v>
      </c>
      <c r="C12" s="5" t="s">
        <v>45</v>
      </c>
      <c r="D12" s="5" t="s">
        <v>35</v>
      </c>
      <c r="E12" s="6" t="n">
        <v>461465</v>
      </c>
      <c r="F12" s="6" t="n">
        <v>484829</v>
      </c>
      <c r="G12" s="6" t="n">
        <v>260339</v>
      </c>
      <c r="H12" s="6" t="n">
        <v>272048</v>
      </c>
      <c r="I12" s="6" t="n">
        <v>76534</v>
      </c>
      <c r="J12" s="6" t="n">
        <v>76331</v>
      </c>
      <c r="K12" s="6" t="n">
        <v>10546</v>
      </c>
      <c r="L12" s="6" t="n">
        <v>10383</v>
      </c>
      <c r="M12" s="6" t="n">
        <v>5055</v>
      </c>
      <c r="N12" s="6" t="n">
        <v>4748</v>
      </c>
      <c r="O12" s="6" t="n">
        <v>9459</v>
      </c>
      <c r="P12" s="6" t="n">
        <v>10274</v>
      </c>
      <c r="Q12" s="6" t="n">
        <v>7173</v>
      </c>
      <c r="R12" s="6" t="n">
        <v>7432</v>
      </c>
      <c r="S12" s="6" t="n">
        <v>4293</v>
      </c>
      <c r="T12" s="6" t="n">
        <v>3565</v>
      </c>
      <c r="U12" s="6" t="n">
        <v>13841</v>
      </c>
      <c r="V12" s="6" t="n">
        <v>14120</v>
      </c>
    </row>
    <row r="13" customFormat="false" ht="15" hidden="false" customHeight="false" outlineLevel="0" collapsed="false">
      <c r="A13" s="5" t="s">
        <v>32</v>
      </c>
      <c r="B13" s="6" t="s">
        <v>33</v>
      </c>
      <c r="C13" s="5" t="s">
        <v>46</v>
      </c>
      <c r="D13" s="5" t="s">
        <v>35</v>
      </c>
      <c r="E13" s="6" t="n">
        <v>545415</v>
      </c>
      <c r="F13" s="6" t="n">
        <v>518868</v>
      </c>
      <c r="G13" s="6" t="n">
        <v>322298</v>
      </c>
      <c r="H13" s="6" t="n">
        <v>300548</v>
      </c>
      <c r="I13" s="6" t="n">
        <v>84304</v>
      </c>
      <c r="J13" s="6" t="n">
        <v>83757</v>
      </c>
      <c r="K13" s="6" t="n">
        <v>14189</v>
      </c>
      <c r="L13" s="6" t="n">
        <v>12310</v>
      </c>
      <c r="M13" s="6" t="n">
        <v>5810</v>
      </c>
      <c r="N13" s="6" t="n">
        <v>7510</v>
      </c>
      <c r="O13" s="6" t="n">
        <v>11264</v>
      </c>
      <c r="P13" s="6" t="n">
        <v>11953</v>
      </c>
      <c r="Q13" s="6" t="n">
        <v>8530</v>
      </c>
      <c r="R13" s="6" t="n">
        <v>8464</v>
      </c>
      <c r="S13" s="6" t="n">
        <v>6405</v>
      </c>
      <c r="T13" s="6" t="n">
        <v>8949</v>
      </c>
      <c r="U13" s="6" t="n">
        <v>13940</v>
      </c>
      <c r="V13" s="6" t="n">
        <v>14123</v>
      </c>
    </row>
    <row r="14" customFormat="false" ht="15" hidden="false" customHeight="false" outlineLevel="0" collapsed="false">
      <c r="A14" s="5" t="s">
        <v>32</v>
      </c>
      <c r="B14" s="6" t="s">
        <v>33</v>
      </c>
      <c r="C14" s="5" t="s">
        <v>47</v>
      </c>
      <c r="D14" s="5" t="s">
        <v>48</v>
      </c>
      <c r="E14" s="6" t="n">
        <v>483924</v>
      </c>
      <c r="F14" s="6" t="n">
        <v>496025</v>
      </c>
      <c r="G14" s="6" t="n">
        <v>289446</v>
      </c>
      <c r="H14" s="6" t="n">
        <v>301128</v>
      </c>
      <c r="I14" s="6" t="n">
        <v>75621</v>
      </c>
      <c r="J14" s="6" t="n">
        <v>79574</v>
      </c>
      <c r="K14" s="6" t="n">
        <v>10093</v>
      </c>
      <c r="L14" s="6" t="n">
        <v>10348</v>
      </c>
      <c r="M14" s="6" t="n">
        <v>5575</v>
      </c>
      <c r="N14" s="6" t="n">
        <v>6837</v>
      </c>
      <c r="O14" s="6" t="n">
        <v>9472</v>
      </c>
      <c r="P14" s="6" t="n">
        <v>10352</v>
      </c>
      <c r="Q14" s="6" t="n">
        <v>6117</v>
      </c>
      <c r="R14" s="6" t="n">
        <v>5925</v>
      </c>
      <c r="S14" s="6" t="n">
        <v>4631</v>
      </c>
      <c r="T14" s="6" t="n">
        <v>5581</v>
      </c>
      <c r="U14" s="6" t="n">
        <v>10817</v>
      </c>
      <c r="V14" s="6" t="n">
        <v>10570</v>
      </c>
    </row>
    <row r="15" customFormat="false" ht="15" hidden="false" customHeight="false" outlineLevel="0" collapsed="false">
      <c r="A15" s="5" t="s">
        <v>32</v>
      </c>
      <c r="B15" s="6" t="s">
        <v>33</v>
      </c>
      <c r="C15" s="5" t="s">
        <v>49</v>
      </c>
      <c r="D15" s="5" t="s">
        <v>48</v>
      </c>
      <c r="E15" s="6" t="n">
        <v>492879</v>
      </c>
      <c r="F15" s="6" t="n">
        <v>508361</v>
      </c>
      <c r="G15" s="6" t="n">
        <v>283736</v>
      </c>
      <c r="H15" s="6" t="n">
        <v>298225</v>
      </c>
      <c r="I15" s="6" t="n">
        <v>75202</v>
      </c>
      <c r="J15" s="6" t="n">
        <v>77774</v>
      </c>
      <c r="K15" s="6" t="n">
        <v>13723</v>
      </c>
      <c r="L15" s="6" t="n">
        <v>15513</v>
      </c>
      <c r="M15" s="6" t="n">
        <v>4648</v>
      </c>
      <c r="N15" s="6" t="n">
        <v>5383</v>
      </c>
      <c r="O15" s="6" t="n">
        <v>10048</v>
      </c>
      <c r="P15" s="6" t="n">
        <v>9960</v>
      </c>
      <c r="Q15" s="6" t="n">
        <v>8563</v>
      </c>
      <c r="R15" s="6" t="n">
        <v>8392</v>
      </c>
      <c r="S15" s="6" t="n">
        <v>3892</v>
      </c>
      <c r="T15" s="6" t="n">
        <v>4869</v>
      </c>
      <c r="U15" s="6" t="n">
        <v>10215</v>
      </c>
      <c r="V15" s="6" t="n">
        <v>10189</v>
      </c>
    </row>
    <row r="16" customFormat="false" ht="15" hidden="false" customHeight="false" outlineLevel="0" collapsed="false">
      <c r="A16" s="5" t="s">
        <v>32</v>
      </c>
      <c r="B16" s="6" t="s">
        <v>33</v>
      </c>
      <c r="C16" s="5" t="s">
        <v>50</v>
      </c>
      <c r="D16" s="5" t="s">
        <v>48</v>
      </c>
      <c r="E16" s="6" t="n">
        <v>554371</v>
      </c>
      <c r="F16" s="6" t="n">
        <v>523223</v>
      </c>
      <c r="G16" s="6" t="n">
        <v>301797</v>
      </c>
      <c r="H16" s="6" t="n">
        <v>279952</v>
      </c>
      <c r="I16" s="6" t="n">
        <v>82023</v>
      </c>
      <c r="J16" s="6" t="n">
        <v>87983</v>
      </c>
      <c r="K16" s="6" t="n">
        <v>18412</v>
      </c>
      <c r="L16" s="6" t="n">
        <v>20507</v>
      </c>
      <c r="M16" s="6" t="n">
        <v>5869</v>
      </c>
      <c r="N16" s="6" t="n">
        <v>5158</v>
      </c>
      <c r="O16" s="6" t="n">
        <v>14601</v>
      </c>
      <c r="P16" s="6" t="n">
        <v>15282</v>
      </c>
      <c r="Q16" s="6" t="n">
        <v>9365</v>
      </c>
      <c r="R16" s="6" t="n">
        <v>9821</v>
      </c>
      <c r="S16" s="6" t="n">
        <v>5501</v>
      </c>
      <c r="T16" s="6" t="n">
        <v>4427</v>
      </c>
      <c r="U16" s="6" t="n">
        <v>15617</v>
      </c>
      <c r="V16" s="6" t="n">
        <v>15429</v>
      </c>
    </row>
    <row r="17" customFormat="false" ht="15" hidden="false" customHeight="false" outlineLevel="0" collapsed="false">
      <c r="A17" s="5" t="s">
        <v>32</v>
      </c>
      <c r="B17" s="6" t="s">
        <v>33</v>
      </c>
      <c r="C17" s="5" t="s">
        <v>51</v>
      </c>
      <c r="D17" s="5" t="s">
        <v>48</v>
      </c>
      <c r="E17" s="6" t="n">
        <v>559435</v>
      </c>
      <c r="F17" s="6" t="n">
        <v>531443</v>
      </c>
      <c r="G17" s="6" t="n">
        <v>306603</v>
      </c>
      <c r="H17" s="6" t="n">
        <v>283700</v>
      </c>
      <c r="I17" s="6" t="n">
        <v>80117</v>
      </c>
      <c r="J17" s="6" t="n">
        <v>82589</v>
      </c>
      <c r="K17" s="6" t="n">
        <v>13474</v>
      </c>
      <c r="L17" s="6" t="n">
        <v>13898</v>
      </c>
      <c r="M17" s="6" t="n">
        <v>7286</v>
      </c>
      <c r="N17" s="6" t="n">
        <v>6571</v>
      </c>
      <c r="O17" s="6" t="n">
        <v>13618</v>
      </c>
      <c r="P17" s="6" t="n">
        <v>13176</v>
      </c>
      <c r="Q17" s="6" t="n">
        <v>8900</v>
      </c>
      <c r="R17" s="6" t="n">
        <v>9261</v>
      </c>
      <c r="S17" s="6" t="n">
        <v>6197</v>
      </c>
      <c r="T17" s="6" t="n">
        <v>5301</v>
      </c>
      <c r="U17" s="6" t="n">
        <v>13558</v>
      </c>
      <c r="V17" s="6" t="n">
        <v>13376</v>
      </c>
    </row>
    <row r="18" customFormat="false" ht="15" hidden="false" customHeight="false" outlineLevel="0" collapsed="false">
      <c r="A18" s="5" t="s">
        <v>32</v>
      </c>
      <c r="B18" s="6" t="s">
        <v>33</v>
      </c>
      <c r="C18" s="5" t="s">
        <v>52</v>
      </c>
      <c r="D18" s="5" t="s">
        <v>48</v>
      </c>
      <c r="E18" s="6" t="n">
        <v>542739</v>
      </c>
      <c r="F18" s="6" t="n">
        <v>525638</v>
      </c>
      <c r="G18" s="6" t="n">
        <v>313826</v>
      </c>
      <c r="H18" s="6" t="n">
        <v>300310</v>
      </c>
      <c r="I18" s="6" t="n">
        <v>88052</v>
      </c>
      <c r="J18" s="6" t="n">
        <v>90754</v>
      </c>
      <c r="K18" s="6" t="n">
        <v>14337</v>
      </c>
      <c r="L18" s="6" t="n">
        <v>12228</v>
      </c>
      <c r="M18" s="6" t="n">
        <v>4628</v>
      </c>
      <c r="N18" s="6" t="n">
        <v>5746</v>
      </c>
      <c r="O18" s="6" t="n">
        <v>14675</v>
      </c>
      <c r="P18" s="6" t="n">
        <v>14942</v>
      </c>
      <c r="Q18" s="6" t="n">
        <v>10137</v>
      </c>
      <c r="R18" s="6" t="n">
        <v>10221</v>
      </c>
      <c r="S18" s="6" t="n">
        <v>3739</v>
      </c>
      <c r="T18" s="6" t="n">
        <v>3277</v>
      </c>
      <c r="U18" s="6" t="n">
        <v>12528</v>
      </c>
      <c r="V18" s="6" t="n">
        <v>12828</v>
      </c>
    </row>
    <row r="19" customFormat="false" ht="15" hidden="false" customHeight="false" outlineLevel="0" collapsed="false">
      <c r="A19" s="5" t="s">
        <v>32</v>
      </c>
      <c r="B19" s="6" t="s">
        <v>33</v>
      </c>
      <c r="C19" s="5" t="s">
        <v>53</v>
      </c>
      <c r="D19" s="5" t="s">
        <v>48</v>
      </c>
      <c r="E19" s="6" t="n">
        <v>582907</v>
      </c>
      <c r="F19" s="6" t="n">
        <v>558723</v>
      </c>
      <c r="G19" s="6" t="n">
        <v>346209</v>
      </c>
      <c r="H19" s="6" t="n">
        <v>326540</v>
      </c>
      <c r="I19" s="6" t="n">
        <v>85971</v>
      </c>
      <c r="J19" s="6" t="n">
        <v>84364</v>
      </c>
      <c r="K19" s="6" t="n">
        <v>18479</v>
      </c>
      <c r="L19" s="6" t="n">
        <v>20609</v>
      </c>
      <c r="M19" s="6" t="n">
        <v>6321</v>
      </c>
      <c r="N19" s="6" t="n">
        <v>7018</v>
      </c>
      <c r="O19" s="6" t="n">
        <v>11393</v>
      </c>
      <c r="P19" s="6" t="n">
        <v>12389</v>
      </c>
      <c r="Q19" s="6" t="n">
        <v>11027</v>
      </c>
      <c r="R19" s="6" t="n">
        <v>11552</v>
      </c>
      <c r="S19" s="6" t="n">
        <v>6333</v>
      </c>
      <c r="T19" s="6" t="n">
        <v>8416</v>
      </c>
      <c r="U19" s="6" t="n">
        <v>11803</v>
      </c>
      <c r="V19" s="6" t="n">
        <v>11971</v>
      </c>
    </row>
    <row r="20" customFormat="false" ht="15" hidden="false" customHeight="false" outlineLevel="0" collapsed="false">
      <c r="A20" s="5" t="s">
        <v>32</v>
      </c>
      <c r="B20" s="6" t="s">
        <v>33</v>
      </c>
      <c r="C20" s="5" t="s">
        <v>54</v>
      </c>
      <c r="D20" s="5" t="s">
        <v>48</v>
      </c>
      <c r="E20" s="6" t="n">
        <v>565781</v>
      </c>
      <c r="F20" s="6" t="n">
        <v>537969</v>
      </c>
      <c r="G20" s="6" t="n">
        <v>332755</v>
      </c>
      <c r="H20" s="6" t="n">
        <v>328881</v>
      </c>
      <c r="I20" s="6" t="n">
        <v>92971</v>
      </c>
      <c r="J20" s="6" t="n">
        <v>92910</v>
      </c>
      <c r="K20" s="6" t="n">
        <v>17998</v>
      </c>
      <c r="L20" s="6" t="n">
        <v>15882</v>
      </c>
      <c r="M20" s="6" t="n">
        <v>7980</v>
      </c>
      <c r="N20" s="6" t="n">
        <v>9810</v>
      </c>
      <c r="O20" s="6" t="n">
        <v>11443</v>
      </c>
      <c r="P20" s="6" t="n">
        <v>12210</v>
      </c>
      <c r="Q20" s="6" t="n">
        <v>8873</v>
      </c>
      <c r="R20" s="6" t="n">
        <v>8700</v>
      </c>
      <c r="S20" s="6" t="n">
        <v>6095</v>
      </c>
      <c r="T20" s="6" t="n">
        <v>5708</v>
      </c>
      <c r="U20" s="6" t="n">
        <v>11450</v>
      </c>
      <c r="V20" s="6" t="n">
        <v>11239</v>
      </c>
    </row>
    <row r="21" customFormat="false" ht="15" hidden="false" customHeight="false" outlineLevel="0" collapsed="false">
      <c r="A21" s="5" t="s">
        <v>32</v>
      </c>
      <c r="B21" s="6" t="s">
        <v>33</v>
      </c>
      <c r="C21" s="5" t="s">
        <v>55</v>
      </c>
      <c r="D21" s="5" t="s">
        <v>48</v>
      </c>
      <c r="E21" s="6" t="n">
        <v>562717</v>
      </c>
      <c r="F21" s="6" t="n">
        <v>539144</v>
      </c>
      <c r="G21" s="6" t="n">
        <v>336512</v>
      </c>
      <c r="H21" s="6" t="n">
        <v>319157</v>
      </c>
      <c r="I21" s="6" t="n">
        <v>89610</v>
      </c>
      <c r="J21" s="6" t="n">
        <v>90861</v>
      </c>
      <c r="K21" s="6" t="n">
        <v>19536</v>
      </c>
      <c r="L21" s="6" t="n">
        <v>19748</v>
      </c>
      <c r="M21" s="6" t="n">
        <v>8201</v>
      </c>
      <c r="N21" s="6" t="n">
        <v>7034</v>
      </c>
      <c r="O21" s="6" t="n">
        <v>15590</v>
      </c>
      <c r="P21" s="6" t="n">
        <v>14844</v>
      </c>
      <c r="Q21" s="6" t="n">
        <v>11086</v>
      </c>
      <c r="R21" s="6" t="n">
        <v>10826</v>
      </c>
      <c r="S21" s="6" t="n">
        <v>3742</v>
      </c>
      <c r="T21" s="6" t="n">
        <v>3969</v>
      </c>
      <c r="U21" s="6" t="n">
        <v>15354</v>
      </c>
      <c r="V21" s="6" t="n">
        <v>15182</v>
      </c>
    </row>
    <row r="22" customFormat="false" ht="15" hidden="false" customHeight="false" outlineLevel="0" collapsed="false">
      <c r="A22" s="5" t="s">
        <v>32</v>
      </c>
      <c r="B22" s="6" t="s">
        <v>33</v>
      </c>
      <c r="C22" s="5" t="s">
        <v>56</v>
      </c>
      <c r="D22" s="5" t="s">
        <v>48</v>
      </c>
      <c r="E22" s="6" t="n">
        <v>569556</v>
      </c>
      <c r="F22" s="6" t="n">
        <v>568776</v>
      </c>
      <c r="G22" s="6" t="n">
        <v>320724</v>
      </c>
      <c r="H22" s="6" t="n">
        <v>325306</v>
      </c>
      <c r="I22" s="6" t="n">
        <v>84090</v>
      </c>
      <c r="J22" s="6" t="n">
        <v>88123</v>
      </c>
      <c r="K22" s="6" t="n">
        <v>11406</v>
      </c>
      <c r="L22" s="6" t="n">
        <v>12862</v>
      </c>
      <c r="M22" s="6" t="n">
        <v>6703</v>
      </c>
      <c r="N22" s="6" t="n">
        <v>7774</v>
      </c>
      <c r="O22" s="6" t="n">
        <v>14478</v>
      </c>
      <c r="P22" s="6" t="n">
        <v>15067</v>
      </c>
      <c r="Q22" s="6" t="n">
        <v>8494</v>
      </c>
      <c r="R22" s="6" t="n">
        <v>8129</v>
      </c>
      <c r="S22" s="6" t="n">
        <v>5687</v>
      </c>
      <c r="T22" s="6" t="n">
        <v>5676</v>
      </c>
      <c r="U22" s="6" t="n">
        <v>13179</v>
      </c>
      <c r="V22" s="6" t="n">
        <v>13454</v>
      </c>
    </row>
    <row r="23" customFormat="false" ht="15" hidden="false" customHeight="false" outlineLevel="0" collapsed="false">
      <c r="A23" s="5" t="s">
        <v>32</v>
      </c>
      <c r="B23" s="6" t="s">
        <v>33</v>
      </c>
      <c r="C23" s="5" t="s">
        <v>57</v>
      </c>
      <c r="D23" s="5" t="s">
        <v>48</v>
      </c>
      <c r="E23" s="6" t="n">
        <v>542869</v>
      </c>
      <c r="F23" s="6" t="n">
        <v>556196</v>
      </c>
      <c r="G23" s="6" t="n">
        <v>303223</v>
      </c>
      <c r="H23" s="6" t="n">
        <v>310901</v>
      </c>
      <c r="I23" s="6" t="n">
        <v>82555</v>
      </c>
      <c r="J23" s="6" t="n">
        <v>82763</v>
      </c>
      <c r="K23" s="6" t="n">
        <v>11894</v>
      </c>
      <c r="L23" s="6" t="n">
        <v>11610</v>
      </c>
      <c r="M23" s="6" t="n">
        <v>7916</v>
      </c>
      <c r="N23" s="6" t="n">
        <v>9014</v>
      </c>
      <c r="O23" s="6" t="n">
        <v>14673</v>
      </c>
      <c r="P23" s="6" t="n">
        <v>15125</v>
      </c>
      <c r="Q23" s="6" t="n">
        <v>7821</v>
      </c>
      <c r="R23" s="6" t="n">
        <v>7858</v>
      </c>
      <c r="S23" s="6" t="n">
        <v>3259</v>
      </c>
      <c r="T23" s="6" t="n">
        <v>3168</v>
      </c>
      <c r="U23" s="6" t="n">
        <v>13191</v>
      </c>
      <c r="V23" s="6" t="n">
        <v>13254</v>
      </c>
    </row>
    <row r="24" customFormat="false" ht="15" hidden="false" customHeight="false" outlineLevel="0" collapsed="false">
      <c r="A24" s="5" t="s">
        <v>32</v>
      </c>
      <c r="B24" s="6" t="s">
        <v>33</v>
      </c>
      <c r="C24" s="5" t="s">
        <v>58</v>
      </c>
      <c r="D24" s="5" t="s">
        <v>48</v>
      </c>
      <c r="E24" s="6" t="n">
        <v>562367</v>
      </c>
      <c r="F24" s="6" t="n">
        <v>564740</v>
      </c>
      <c r="G24" s="6" t="n">
        <v>318598</v>
      </c>
      <c r="H24" s="6" t="n">
        <v>314681</v>
      </c>
      <c r="I24" s="6" t="n">
        <v>86715</v>
      </c>
      <c r="J24" s="6" t="n">
        <v>92710</v>
      </c>
      <c r="K24" s="6" t="n">
        <v>17962</v>
      </c>
      <c r="L24" s="6" t="n">
        <v>16182</v>
      </c>
      <c r="M24" s="6" t="n">
        <v>4833</v>
      </c>
      <c r="N24" s="6" t="n">
        <v>5112</v>
      </c>
      <c r="O24" s="6" t="n">
        <v>13682</v>
      </c>
      <c r="P24" s="6" t="n">
        <v>13413</v>
      </c>
      <c r="Q24" s="6" t="n">
        <v>10430</v>
      </c>
      <c r="R24" s="6" t="n">
        <v>10692</v>
      </c>
      <c r="S24" s="6" t="n">
        <v>5644</v>
      </c>
      <c r="T24" s="6" t="n">
        <v>5276</v>
      </c>
      <c r="U24" s="6" t="n">
        <v>12367</v>
      </c>
      <c r="V24" s="6" t="n">
        <v>12014</v>
      </c>
    </row>
    <row r="25" customFormat="false" ht="15" hidden="false" customHeight="false" outlineLevel="0" collapsed="false">
      <c r="A25" s="5" t="s">
        <v>32</v>
      </c>
      <c r="B25" s="6" t="s">
        <v>33</v>
      </c>
      <c r="C25" s="5" t="s">
        <v>59</v>
      </c>
      <c r="D25" s="5" t="s">
        <v>48</v>
      </c>
      <c r="E25" s="6" t="n">
        <v>585452</v>
      </c>
      <c r="F25" s="6" t="n">
        <v>587204</v>
      </c>
      <c r="G25" s="6" t="n">
        <v>345993</v>
      </c>
      <c r="H25" s="6" t="n">
        <v>337422</v>
      </c>
      <c r="I25" s="6" t="n">
        <v>89242</v>
      </c>
      <c r="J25" s="6" t="n">
        <v>92747</v>
      </c>
      <c r="K25" s="6" t="n">
        <v>13417</v>
      </c>
      <c r="L25" s="6" t="n">
        <v>14207</v>
      </c>
      <c r="M25" s="6" t="n">
        <v>6710</v>
      </c>
      <c r="N25" s="6" t="n">
        <v>6187</v>
      </c>
      <c r="O25" s="6" t="n">
        <v>14379</v>
      </c>
      <c r="P25" s="6" t="n">
        <v>13243</v>
      </c>
      <c r="Q25" s="6" t="n">
        <v>10543</v>
      </c>
      <c r="R25" s="6" t="n">
        <v>10828</v>
      </c>
      <c r="S25" s="6" t="n">
        <v>3887</v>
      </c>
      <c r="T25" s="6" t="n">
        <v>4101</v>
      </c>
      <c r="U25" s="6" t="n">
        <v>12739</v>
      </c>
      <c r="V25" s="6" t="n">
        <v>13089</v>
      </c>
    </row>
    <row r="26" customFormat="false" ht="15" hidden="false" customHeight="false" outlineLevel="0" collapsed="false">
      <c r="A26" s="5" t="s">
        <v>32</v>
      </c>
      <c r="B26" s="6" t="s">
        <v>33</v>
      </c>
      <c r="C26" s="5" t="s">
        <v>60</v>
      </c>
      <c r="D26" s="5" t="s">
        <v>61</v>
      </c>
      <c r="E26" s="6" t="n">
        <v>538877</v>
      </c>
      <c r="F26" s="6" t="n">
        <v>569622</v>
      </c>
      <c r="G26" s="6" t="n">
        <v>299051</v>
      </c>
      <c r="H26" s="6" t="n">
        <v>328882</v>
      </c>
      <c r="I26" s="6" t="n">
        <v>82822</v>
      </c>
      <c r="J26" s="6" t="n">
        <v>87639</v>
      </c>
      <c r="K26" s="6" t="n">
        <v>16174</v>
      </c>
      <c r="L26" s="6" t="n">
        <v>18541</v>
      </c>
      <c r="M26" s="6" t="n">
        <v>6557</v>
      </c>
      <c r="N26" s="6" t="n">
        <v>8360</v>
      </c>
      <c r="O26" s="6" t="n">
        <v>14503</v>
      </c>
      <c r="P26" s="6" t="n">
        <v>14942</v>
      </c>
      <c r="Q26" s="6" t="n">
        <v>9567</v>
      </c>
      <c r="R26" s="6" t="n">
        <v>9572</v>
      </c>
      <c r="S26" s="6" t="n">
        <v>5919</v>
      </c>
      <c r="T26" s="6" t="n">
        <v>6681</v>
      </c>
      <c r="U26" s="6" t="n">
        <v>15612</v>
      </c>
      <c r="V26" s="6" t="n">
        <v>15840</v>
      </c>
    </row>
    <row r="27" customFormat="false" ht="15" hidden="false" customHeight="false" outlineLevel="0" collapsed="false">
      <c r="A27" s="5" t="s">
        <v>32</v>
      </c>
      <c r="B27" s="6" t="s">
        <v>33</v>
      </c>
      <c r="C27" s="5" t="s">
        <v>62</v>
      </c>
      <c r="D27" s="5" t="s">
        <v>61</v>
      </c>
      <c r="E27" s="6" t="n">
        <v>557638</v>
      </c>
      <c r="F27" s="6" t="n">
        <v>574232</v>
      </c>
      <c r="G27" s="6" t="n">
        <v>309397</v>
      </c>
      <c r="H27" s="6" t="n">
        <v>325427</v>
      </c>
      <c r="I27" s="6" t="n">
        <v>90881</v>
      </c>
      <c r="J27" s="6" t="n">
        <v>93366</v>
      </c>
      <c r="K27" s="6" t="n">
        <v>16395</v>
      </c>
      <c r="L27" s="6" t="n">
        <v>15286</v>
      </c>
      <c r="M27" s="6" t="n">
        <v>4764</v>
      </c>
      <c r="N27" s="6" t="n">
        <v>4492</v>
      </c>
      <c r="O27" s="6" t="n">
        <v>11553</v>
      </c>
      <c r="P27" s="6" t="n">
        <v>11294</v>
      </c>
      <c r="Q27" s="6" t="n">
        <v>9101</v>
      </c>
      <c r="R27" s="6" t="n">
        <v>8772</v>
      </c>
      <c r="S27" s="6" t="n">
        <v>4120</v>
      </c>
      <c r="T27" s="6" t="n">
        <v>5011</v>
      </c>
      <c r="U27" s="6" t="n">
        <v>15092</v>
      </c>
      <c r="V27" s="6" t="n">
        <v>14697</v>
      </c>
    </row>
    <row r="28" customFormat="false" ht="15" hidden="false" customHeight="false" outlineLevel="0" collapsed="false">
      <c r="A28" s="5" t="s">
        <v>32</v>
      </c>
      <c r="B28" s="6" t="s">
        <v>33</v>
      </c>
      <c r="C28" s="5" t="s">
        <v>63</v>
      </c>
      <c r="D28" s="5" t="s">
        <v>61</v>
      </c>
      <c r="E28" s="6" t="n">
        <v>580276</v>
      </c>
      <c r="F28" s="6" t="n">
        <v>577324</v>
      </c>
      <c r="G28" s="6" t="n">
        <v>327825</v>
      </c>
      <c r="H28" s="6" t="n">
        <v>320581</v>
      </c>
      <c r="I28" s="6" t="n">
        <v>88553</v>
      </c>
      <c r="J28" s="6" t="n">
        <v>94710</v>
      </c>
      <c r="K28" s="6" t="n">
        <v>16689</v>
      </c>
      <c r="L28" s="6" t="n">
        <v>17668</v>
      </c>
      <c r="M28" s="6" t="n">
        <v>8122</v>
      </c>
      <c r="N28" s="6" t="n">
        <v>9607</v>
      </c>
      <c r="O28" s="6" t="n">
        <v>12652</v>
      </c>
      <c r="P28" s="6" t="n">
        <v>11653</v>
      </c>
      <c r="Q28" s="6" t="n">
        <v>8596</v>
      </c>
      <c r="R28" s="6" t="n">
        <v>8814</v>
      </c>
      <c r="S28" s="6" t="n">
        <v>6453</v>
      </c>
      <c r="T28" s="6" t="n">
        <v>8854</v>
      </c>
      <c r="U28" s="6" t="n">
        <v>14037</v>
      </c>
      <c r="V28" s="6" t="n">
        <v>14245</v>
      </c>
    </row>
    <row r="29" customFormat="false" ht="15" hidden="false" customHeight="false" outlineLevel="0" collapsed="false">
      <c r="A29" s="5" t="s">
        <v>32</v>
      </c>
      <c r="B29" s="6" t="s">
        <v>33</v>
      </c>
      <c r="C29" s="5" t="s">
        <v>64</v>
      </c>
      <c r="D29" s="5" t="s">
        <v>61</v>
      </c>
      <c r="E29" s="6" t="n">
        <v>590894</v>
      </c>
      <c r="F29" s="6" t="n">
        <v>583662</v>
      </c>
      <c r="G29" s="6" t="n">
        <v>326902</v>
      </c>
      <c r="H29" s="6" t="n">
        <v>317631</v>
      </c>
      <c r="I29" s="6" t="n">
        <v>90451</v>
      </c>
      <c r="J29" s="6" t="n">
        <v>88026</v>
      </c>
      <c r="K29" s="6" t="n">
        <v>14797</v>
      </c>
      <c r="L29" s="6" t="n">
        <v>15592</v>
      </c>
      <c r="M29" s="6" t="n">
        <v>6400</v>
      </c>
      <c r="N29" s="6" t="n">
        <v>5648</v>
      </c>
      <c r="O29" s="6" t="n">
        <v>13398</v>
      </c>
      <c r="P29" s="6" t="n">
        <v>12634</v>
      </c>
      <c r="Q29" s="6" t="n">
        <v>10032</v>
      </c>
      <c r="R29" s="6" t="n">
        <v>9557</v>
      </c>
      <c r="S29" s="6" t="n">
        <v>4942</v>
      </c>
      <c r="T29" s="6" t="n">
        <v>5627</v>
      </c>
      <c r="U29" s="6" t="n">
        <v>11978</v>
      </c>
      <c r="V29" s="6" t="n">
        <v>12081</v>
      </c>
    </row>
    <row r="30" customFormat="false" ht="15" hidden="false" customHeight="false" outlineLevel="0" collapsed="false">
      <c r="A30" s="5" t="s">
        <v>32</v>
      </c>
      <c r="B30" s="6" t="s">
        <v>33</v>
      </c>
      <c r="C30" s="5" t="s">
        <v>65</v>
      </c>
      <c r="D30" s="5" t="s">
        <v>61</v>
      </c>
      <c r="E30" s="6" t="n">
        <v>577731</v>
      </c>
      <c r="F30" s="6" t="n">
        <v>580399</v>
      </c>
      <c r="G30" s="6" t="n">
        <v>313718</v>
      </c>
      <c r="H30" s="6" t="n">
        <v>314560</v>
      </c>
      <c r="I30" s="6" t="n">
        <v>84551</v>
      </c>
      <c r="J30" s="6" t="n">
        <v>85054</v>
      </c>
      <c r="K30" s="6" t="n">
        <v>18151</v>
      </c>
      <c r="L30" s="6" t="n">
        <v>17493</v>
      </c>
      <c r="M30" s="6" t="n">
        <v>7663</v>
      </c>
      <c r="N30" s="6" t="n">
        <v>9318</v>
      </c>
      <c r="O30" s="6" t="n">
        <v>11857</v>
      </c>
      <c r="P30" s="6" t="n">
        <v>11083</v>
      </c>
      <c r="Q30" s="6" t="n">
        <v>7022</v>
      </c>
      <c r="R30" s="6" t="n">
        <v>7050</v>
      </c>
      <c r="S30" s="6" t="n">
        <v>6932</v>
      </c>
      <c r="T30" s="6" t="n">
        <v>7001</v>
      </c>
      <c r="U30" s="6" t="n">
        <v>15311</v>
      </c>
      <c r="V30" s="6" t="n">
        <v>15569</v>
      </c>
    </row>
    <row r="31" customFormat="false" ht="15" hidden="false" customHeight="false" outlineLevel="0" collapsed="false">
      <c r="A31" s="5" t="s">
        <v>32</v>
      </c>
      <c r="B31" s="6" t="s">
        <v>33</v>
      </c>
      <c r="C31" s="5" t="s">
        <v>66</v>
      </c>
      <c r="D31" s="5" t="s">
        <v>61</v>
      </c>
      <c r="E31" s="6" t="n">
        <v>632124</v>
      </c>
      <c r="F31" s="6" t="n">
        <v>613410</v>
      </c>
      <c r="G31" s="6" t="n">
        <v>377363</v>
      </c>
      <c r="H31" s="6" t="n">
        <v>360038</v>
      </c>
      <c r="I31" s="6" t="n">
        <v>88884</v>
      </c>
      <c r="J31" s="6" t="n">
        <v>87707</v>
      </c>
      <c r="K31" s="6" t="n">
        <v>13839</v>
      </c>
      <c r="L31" s="6" t="n">
        <v>14543</v>
      </c>
      <c r="M31" s="6" t="n">
        <v>7552</v>
      </c>
      <c r="N31" s="6" t="n">
        <v>6865</v>
      </c>
      <c r="O31" s="6" t="n">
        <v>15800</v>
      </c>
      <c r="P31" s="6" t="n">
        <v>16717</v>
      </c>
      <c r="Q31" s="6" t="n">
        <v>8434</v>
      </c>
      <c r="R31" s="6" t="n">
        <v>8524</v>
      </c>
      <c r="S31" s="6" t="n">
        <v>6629</v>
      </c>
      <c r="T31" s="6" t="n">
        <v>5759</v>
      </c>
      <c r="U31" s="6" t="n">
        <v>17821</v>
      </c>
      <c r="V31" s="6" t="n">
        <v>18318</v>
      </c>
    </row>
    <row r="32" customFormat="false" ht="15" hidden="false" customHeight="false" outlineLevel="0" collapsed="false">
      <c r="A32" s="5" t="s">
        <v>32</v>
      </c>
      <c r="B32" s="6" t="s">
        <v>33</v>
      </c>
      <c r="C32" s="5" t="s">
        <v>67</v>
      </c>
      <c r="D32" s="5" t="s">
        <v>61</v>
      </c>
      <c r="E32" s="6" t="n">
        <v>551981</v>
      </c>
      <c r="F32" s="6" t="n">
        <v>585295</v>
      </c>
      <c r="G32" s="6" t="n">
        <v>308401</v>
      </c>
      <c r="H32" s="6" t="n">
        <v>335131</v>
      </c>
      <c r="I32" s="6" t="n">
        <v>93144</v>
      </c>
      <c r="J32" s="6" t="n">
        <v>94414</v>
      </c>
      <c r="K32" s="6" t="n">
        <v>16960</v>
      </c>
      <c r="L32" s="6" t="n">
        <v>14803</v>
      </c>
      <c r="M32" s="6" t="n">
        <v>7084</v>
      </c>
      <c r="N32" s="6" t="n">
        <v>7889</v>
      </c>
      <c r="O32" s="6" t="n">
        <v>10498</v>
      </c>
      <c r="P32" s="6" t="n">
        <v>11118</v>
      </c>
      <c r="Q32" s="6" t="n">
        <v>10379</v>
      </c>
      <c r="R32" s="6" t="n">
        <v>10483</v>
      </c>
      <c r="S32" s="6" t="n">
        <v>3713</v>
      </c>
      <c r="T32" s="6" t="n">
        <v>5162</v>
      </c>
      <c r="U32" s="6" t="n">
        <v>15360</v>
      </c>
      <c r="V32" s="6" t="n">
        <v>15219</v>
      </c>
    </row>
    <row r="33" customFormat="false" ht="15" hidden="false" customHeight="false" outlineLevel="0" collapsed="false">
      <c r="A33" s="5" t="s">
        <v>32</v>
      </c>
      <c r="B33" s="6" t="s">
        <v>33</v>
      </c>
      <c r="C33" s="5" t="s">
        <v>68</v>
      </c>
      <c r="D33" s="5" t="s">
        <v>61</v>
      </c>
      <c r="E33" s="6" t="n">
        <v>579791</v>
      </c>
      <c r="F33" s="6" t="n">
        <v>588938</v>
      </c>
      <c r="G33" s="6" t="n">
        <v>330688</v>
      </c>
      <c r="H33" s="6" t="n">
        <v>334175</v>
      </c>
      <c r="I33" s="6" t="n">
        <v>95948</v>
      </c>
      <c r="J33" s="6" t="n">
        <v>101749</v>
      </c>
      <c r="K33" s="6" t="n">
        <v>12514</v>
      </c>
      <c r="L33" s="6" t="n">
        <v>14244</v>
      </c>
      <c r="M33" s="6" t="n">
        <v>7218</v>
      </c>
      <c r="N33" s="6" t="n">
        <v>8765</v>
      </c>
      <c r="O33" s="6" t="n">
        <v>14537</v>
      </c>
      <c r="P33" s="6" t="n">
        <v>14514</v>
      </c>
      <c r="Q33" s="6" t="n">
        <v>10361</v>
      </c>
      <c r="R33" s="6" t="n">
        <v>10843</v>
      </c>
      <c r="S33" s="6" t="n">
        <v>4418</v>
      </c>
      <c r="T33" s="6" t="n">
        <v>5677</v>
      </c>
      <c r="U33" s="6" t="n">
        <v>14716</v>
      </c>
      <c r="V33" s="6" t="n">
        <v>14701</v>
      </c>
    </row>
    <row r="34" customFormat="false" ht="15" hidden="false" customHeight="false" outlineLevel="0" collapsed="false">
      <c r="A34" s="5" t="s">
        <v>32</v>
      </c>
      <c r="B34" s="6" t="s">
        <v>33</v>
      </c>
      <c r="C34" s="5" t="s">
        <v>69</v>
      </c>
      <c r="D34" s="5" t="s">
        <v>61</v>
      </c>
      <c r="E34" s="6" t="n">
        <v>634193</v>
      </c>
      <c r="F34" s="6" t="n">
        <v>617085</v>
      </c>
      <c r="G34" s="6" t="n">
        <v>352677</v>
      </c>
      <c r="H34" s="6" t="n">
        <v>357101</v>
      </c>
      <c r="I34" s="6" t="n">
        <v>104592</v>
      </c>
      <c r="J34" s="6" t="n">
        <v>102451</v>
      </c>
      <c r="K34" s="6" t="n">
        <v>21071</v>
      </c>
      <c r="L34" s="6" t="n">
        <v>19452</v>
      </c>
      <c r="M34" s="6" t="n">
        <v>7137</v>
      </c>
      <c r="N34" s="6" t="n">
        <v>7888</v>
      </c>
      <c r="O34" s="6" t="n">
        <v>13819</v>
      </c>
      <c r="P34" s="6" t="n">
        <v>12785</v>
      </c>
      <c r="Q34" s="6" t="n">
        <v>11928</v>
      </c>
      <c r="R34" s="6" t="n">
        <v>11548</v>
      </c>
      <c r="S34" s="6" t="n">
        <v>4612</v>
      </c>
      <c r="T34" s="6" t="n">
        <v>5897</v>
      </c>
      <c r="U34" s="6" t="n">
        <v>14842</v>
      </c>
      <c r="V34" s="6" t="n">
        <v>15181</v>
      </c>
    </row>
    <row r="35" customFormat="false" ht="15" hidden="false" customHeight="false" outlineLevel="0" collapsed="false">
      <c r="A35" s="5" t="s">
        <v>32</v>
      </c>
      <c r="B35" s="6" t="s">
        <v>33</v>
      </c>
      <c r="C35" s="5" t="s">
        <v>70</v>
      </c>
      <c r="D35" s="5" t="s">
        <v>61</v>
      </c>
      <c r="E35" s="6" t="n">
        <v>586803</v>
      </c>
      <c r="F35" s="6" t="n">
        <v>602992</v>
      </c>
      <c r="G35" s="6" t="n">
        <v>317231</v>
      </c>
      <c r="H35" s="6" t="n">
        <v>342507</v>
      </c>
      <c r="I35" s="6" t="n">
        <v>83660</v>
      </c>
      <c r="J35" s="6" t="n">
        <v>87777</v>
      </c>
      <c r="K35" s="6" t="n">
        <v>16037</v>
      </c>
      <c r="L35" s="6" t="n">
        <v>17279</v>
      </c>
      <c r="M35" s="6" t="n">
        <v>7531</v>
      </c>
      <c r="N35" s="6" t="n">
        <v>8457</v>
      </c>
      <c r="O35" s="6" t="n">
        <v>13443</v>
      </c>
      <c r="P35" s="6" t="n">
        <v>14286</v>
      </c>
      <c r="Q35" s="6" t="n">
        <v>7478</v>
      </c>
      <c r="R35" s="6" t="n">
        <v>7270</v>
      </c>
      <c r="S35" s="6" t="n">
        <v>5956</v>
      </c>
      <c r="T35" s="6" t="n">
        <v>5859</v>
      </c>
      <c r="U35" s="6" t="n">
        <v>15149</v>
      </c>
      <c r="V35" s="6" t="n">
        <v>15125</v>
      </c>
    </row>
    <row r="36" customFormat="false" ht="15" hidden="false" customHeight="false" outlineLevel="0" collapsed="false">
      <c r="A36" s="5" t="s">
        <v>32</v>
      </c>
      <c r="B36" s="6" t="s">
        <v>33</v>
      </c>
      <c r="C36" s="5" t="s">
        <v>71</v>
      </c>
      <c r="D36" s="5" t="s">
        <v>61</v>
      </c>
      <c r="E36" s="6" t="n">
        <v>603796</v>
      </c>
      <c r="F36" s="6" t="n">
        <v>609242</v>
      </c>
      <c r="G36" s="6" t="n">
        <v>353073</v>
      </c>
      <c r="H36" s="6" t="n">
        <v>354150</v>
      </c>
      <c r="I36" s="6" t="n">
        <v>97263</v>
      </c>
      <c r="J36" s="6" t="n">
        <v>97244</v>
      </c>
      <c r="K36" s="6" t="n">
        <v>14353</v>
      </c>
      <c r="L36" s="6" t="n">
        <v>12720</v>
      </c>
      <c r="M36" s="6" t="n">
        <v>5644</v>
      </c>
      <c r="N36" s="6" t="n">
        <v>4853</v>
      </c>
      <c r="O36" s="6" t="n">
        <v>14104</v>
      </c>
      <c r="P36" s="6" t="n">
        <v>14911</v>
      </c>
      <c r="Q36" s="6" t="n">
        <v>8140</v>
      </c>
      <c r="R36" s="6" t="n">
        <v>7909</v>
      </c>
      <c r="S36" s="6" t="n">
        <v>5377</v>
      </c>
      <c r="T36" s="6" t="n">
        <v>6639</v>
      </c>
      <c r="U36" s="6" t="n">
        <v>17973</v>
      </c>
      <c r="V36" s="6" t="n">
        <v>18000</v>
      </c>
    </row>
    <row r="37" customFormat="false" ht="15" hidden="false" customHeight="false" outlineLevel="0" collapsed="false">
      <c r="A37" s="5" t="s">
        <v>32</v>
      </c>
      <c r="B37" s="6" t="s">
        <v>33</v>
      </c>
      <c r="C37" s="5" t="s">
        <v>72</v>
      </c>
      <c r="D37" s="5" t="s">
        <v>61</v>
      </c>
      <c r="E37" s="6" t="n">
        <v>604039</v>
      </c>
      <c r="F37" s="6" t="n">
        <v>634453</v>
      </c>
      <c r="G37" s="6" t="n">
        <v>333216</v>
      </c>
      <c r="H37" s="6" t="n">
        <v>344521</v>
      </c>
      <c r="I37" s="6" t="n">
        <v>87817</v>
      </c>
      <c r="J37" s="6" t="n">
        <v>85319</v>
      </c>
      <c r="K37" s="6" t="n">
        <v>16920</v>
      </c>
      <c r="L37" s="6" t="n">
        <v>15774</v>
      </c>
      <c r="M37" s="6" t="n">
        <v>8952</v>
      </c>
      <c r="N37" s="6" t="n">
        <v>9638</v>
      </c>
      <c r="O37" s="6" t="n">
        <v>15085</v>
      </c>
      <c r="P37" s="6" t="n">
        <v>14221</v>
      </c>
      <c r="Q37" s="6" t="n">
        <v>11445</v>
      </c>
      <c r="R37" s="6" t="n">
        <v>11435</v>
      </c>
      <c r="S37" s="6" t="n">
        <v>6787</v>
      </c>
      <c r="T37" s="6" t="n">
        <v>7767</v>
      </c>
      <c r="U37" s="6" t="n">
        <v>14916</v>
      </c>
      <c r="V37" s="6" t="n">
        <v>14863</v>
      </c>
    </row>
    <row r="38" customFormat="false" ht="15" hidden="false" customHeight="false" outlineLevel="0" collapsed="false">
      <c r="A38" s="5" t="s">
        <v>32</v>
      </c>
      <c r="B38" s="6" t="s">
        <v>73</v>
      </c>
      <c r="C38" s="5" t="s">
        <v>34</v>
      </c>
      <c r="D38" s="5" t="s">
        <v>35</v>
      </c>
      <c r="E38" s="6" t="n">
        <v>293048</v>
      </c>
      <c r="F38" s="6" t="n">
        <v>293833</v>
      </c>
      <c r="G38" s="6" t="n">
        <v>172701</v>
      </c>
      <c r="H38" s="6" t="n">
        <v>173174</v>
      </c>
      <c r="I38" s="6" t="n">
        <v>41678</v>
      </c>
      <c r="J38" s="6" t="n">
        <v>43313</v>
      </c>
      <c r="K38" s="6" t="n">
        <v>6097</v>
      </c>
      <c r="L38" s="6" t="n">
        <v>5455</v>
      </c>
      <c r="M38" s="6" t="n">
        <v>3499</v>
      </c>
      <c r="N38" s="6" t="n">
        <v>3331</v>
      </c>
      <c r="O38" s="6" t="n">
        <v>8188</v>
      </c>
      <c r="P38" s="6" t="n">
        <v>7708</v>
      </c>
      <c r="Q38" s="6" t="n">
        <v>5309</v>
      </c>
      <c r="R38" s="6" t="n">
        <v>5365</v>
      </c>
      <c r="S38" s="6" t="n">
        <v>3149</v>
      </c>
      <c r="T38" s="6" t="n">
        <v>2946</v>
      </c>
      <c r="U38" s="6" t="n">
        <v>7392</v>
      </c>
      <c r="V38" s="6" t="n">
        <v>7370</v>
      </c>
    </row>
    <row r="39" customFormat="false" ht="15" hidden="false" customHeight="false" outlineLevel="0" collapsed="false">
      <c r="A39" s="5" t="s">
        <v>32</v>
      </c>
      <c r="B39" s="6" t="s">
        <v>73</v>
      </c>
      <c r="C39" s="5" t="s">
        <v>36</v>
      </c>
      <c r="D39" s="5" t="s">
        <v>35</v>
      </c>
      <c r="E39" s="6" t="n">
        <v>307505</v>
      </c>
      <c r="F39" s="6" t="n">
        <v>294765</v>
      </c>
      <c r="G39" s="6" t="n">
        <v>184319</v>
      </c>
      <c r="H39" s="6" t="n">
        <v>175288</v>
      </c>
      <c r="I39" s="6" t="n">
        <v>48780</v>
      </c>
      <c r="J39" s="6" t="n">
        <v>50588</v>
      </c>
      <c r="K39" s="6" t="n">
        <v>9564</v>
      </c>
      <c r="L39" s="6" t="n">
        <v>10848</v>
      </c>
      <c r="M39" s="6" t="n">
        <v>2907</v>
      </c>
      <c r="N39" s="6" t="n">
        <v>2632</v>
      </c>
      <c r="O39" s="6" t="n">
        <v>7566</v>
      </c>
      <c r="P39" s="6" t="n">
        <v>7175</v>
      </c>
      <c r="Q39" s="6" t="n">
        <v>4118</v>
      </c>
      <c r="R39" s="6" t="n">
        <v>3943</v>
      </c>
      <c r="S39" s="6" t="n">
        <v>1850</v>
      </c>
      <c r="T39" s="6" t="n">
        <v>1980</v>
      </c>
      <c r="U39" s="6" t="n">
        <v>7976</v>
      </c>
      <c r="V39" s="6" t="n">
        <v>7876</v>
      </c>
    </row>
    <row r="40" customFormat="false" ht="15" hidden="false" customHeight="false" outlineLevel="0" collapsed="false">
      <c r="A40" s="5" t="s">
        <v>32</v>
      </c>
      <c r="B40" s="6" t="s">
        <v>73</v>
      </c>
      <c r="C40" s="5" t="s">
        <v>37</v>
      </c>
      <c r="D40" s="5" t="s">
        <v>35</v>
      </c>
      <c r="E40" s="6" t="n">
        <v>300476</v>
      </c>
      <c r="F40" s="6" t="n">
        <v>293195</v>
      </c>
      <c r="G40" s="6" t="n">
        <v>174931</v>
      </c>
      <c r="H40" s="6" t="n">
        <v>171484</v>
      </c>
      <c r="I40" s="6" t="n">
        <v>48263</v>
      </c>
      <c r="J40" s="6" t="n">
        <v>51720</v>
      </c>
      <c r="K40" s="6" t="n">
        <v>9560</v>
      </c>
      <c r="L40" s="6" t="n">
        <v>9919</v>
      </c>
      <c r="M40" s="6" t="n">
        <v>3794</v>
      </c>
      <c r="N40" s="6" t="n">
        <v>4806</v>
      </c>
      <c r="O40" s="6" t="n">
        <v>6686</v>
      </c>
      <c r="P40" s="6" t="n">
        <v>6806</v>
      </c>
      <c r="Q40" s="6" t="n">
        <v>5163</v>
      </c>
      <c r="R40" s="6" t="n">
        <v>5374</v>
      </c>
      <c r="S40" s="6" t="n">
        <v>3293</v>
      </c>
      <c r="T40" s="6" t="n">
        <v>2775</v>
      </c>
      <c r="U40" s="6" t="n">
        <v>6508</v>
      </c>
      <c r="V40" s="6" t="n">
        <v>6433</v>
      </c>
    </row>
    <row r="41" customFormat="false" ht="15" hidden="false" customHeight="false" outlineLevel="0" collapsed="false">
      <c r="A41" s="5" t="s">
        <v>32</v>
      </c>
      <c r="B41" s="6" t="s">
        <v>73</v>
      </c>
      <c r="C41" s="5" t="s">
        <v>38</v>
      </c>
      <c r="D41" s="5" t="s">
        <v>35</v>
      </c>
      <c r="E41" s="6" t="n">
        <v>300209</v>
      </c>
      <c r="F41" s="6" t="n">
        <v>297736</v>
      </c>
      <c r="G41" s="6" t="n">
        <v>167311</v>
      </c>
      <c r="H41" s="6" t="n">
        <v>161830</v>
      </c>
      <c r="I41" s="6" t="n">
        <v>48232</v>
      </c>
      <c r="J41" s="6" t="n">
        <v>50497</v>
      </c>
      <c r="K41" s="6" t="n">
        <v>10249</v>
      </c>
      <c r="L41" s="6" t="n">
        <v>10250</v>
      </c>
      <c r="M41" s="6" t="n">
        <v>3439</v>
      </c>
      <c r="N41" s="6" t="n">
        <v>2890</v>
      </c>
      <c r="O41" s="6" t="n">
        <v>5523</v>
      </c>
      <c r="P41" s="6" t="n">
        <v>5511</v>
      </c>
      <c r="Q41" s="6" t="n">
        <v>4377</v>
      </c>
      <c r="R41" s="6" t="n">
        <v>4268</v>
      </c>
      <c r="S41" s="6" t="n">
        <v>1966</v>
      </c>
      <c r="T41" s="6" t="n">
        <v>2707</v>
      </c>
      <c r="U41" s="6" t="n">
        <v>8514</v>
      </c>
      <c r="V41" s="6" t="n">
        <v>8552</v>
      </c>
    </row>
    <row r="42" customFormat="false" ht="15" hidden="false" customHeight="false" outlineLevel="0" collapsed="false">
      <c r="A42" s="5" t="s">
        <v>32</v>
      </c>
      <c r="B42" s="6" t="s">
        <v>73</v>
      </c>
      <c r="C42" s="5" t="s">
        <v>39</v>
      </c>
      <c r="D42" s="5" t="s">
        <v>35</v>
      </c>
      <c r="E42" s="6" t="n">
        <v>323034</v>
      </c>
      <c r="F42" s="6" t="n">
        <v>304764</v>
      </c>
      <c r="G42" s="6" t="n">
        <v>187469</v>
      </c>
      <c r="H42" s="6" t="n">
        <v>174877</v>
      </c>
      <c r="I42" s="6" t="n">
        <v>45615</v>
      </c>
      <c r="J42" s="6" t="n">
        <v>48041</v>
      </c>
      <c r="K42" s="6" t="n">
        <v>8740</v>
      </c>
      <c r="L42" s="6" t="n">
        <v>9137</v>
      </c>
      <c r="M42" s="6" t="n">
        <v>4656</v>
      </c>
      <c r="N42" s="6" t="n">
        <v>4147</v>
      </c>
      <c r="O42" s="6" t="n">
        <v>7705</v>
      </c>
      <c r="P42" s="6" t="n">
        <v>7969</v>
      </c>
      <c r="Q42" s="6" t="n">
        <v>5147</v>
      </c>
      <c r="R42" s="6" t="n">
        <v>4937</v>
      </c>
      <c r="S42" s="6" t="n">
        <v>2613</v>
      </c>
      <c r="T42" s="6" t="n">
        <v>2613</v>
      </c>
      <c r="U42" s="6" t="n">
        <v>8625</v>
      </c>
      <c r="V42" s="6" t="n">
        <v>8810</v>
      </c>
    </row>
    <row r="43" customFormat="false" ht="15" hidden="false" customHeight="false" outlineLevel="0" collapsed="false">
      <c r="A43" s="5" t="s">
        <v>32</v>
      </c>
      <c r="B43" s="6" t="s">
        <v>73</v>
      </c>
      <c r="C43" s="5" t="s">
        <v>40</v>
      </c>
      <c r="D43" s="5" t="s">
        <v>35</v>
      </c>
      <c r="E43" s="6" t="n">
        <v>324735</v>
      </c>
      <c r="F43" s="6" t="n">
        <v>317359</v>
      </c>
      <c r="G43" s="6" t="n">
        <v>180973</v>
      </c>
      <c r="H43" s="6" t="n">
        <v>185513</v>
      </c>
      <c r="I43" s="6" t="n">
        <v>53389</v>
      </c>
      <c r="J43" s="6" t="n">
        <v>55018</v>
      </c>
      <c r="K43" s="6" t="n">
        <v>8710</v>
      </c>
      <c r="L43" s="6" t="n">
        <v>8225</v>
      </c>
      <c r="M43" s="6" t="n">
        <v>3333</v>
      </c>
      <c r="N43" s="6" t="n">
        <v>4283</v>
      </c>
      <c r="O43" s="6" t="n">
        <v>7158</v>
      </c>
      <c r="P43" s="6" t="n">
        <v>7248</v>
      </c>
      <c r="Q43" s="6" t="n">
        <v>6464</v>
      </c>
      <c r="R43" s="6" t="n">
        <v>6566</v>
      </c>
      <c r="S43" s="6" t="n">
        <v>3006</v>
      </c>
      <c r="T43" s="6" t="n">
        <v>3150</v>
      </c>
      <c r="U43" s="6" t="n">
        <v>7104</v>
      </c>
      <c r="V43" s="6" t="n">
        <v>7045</v>
      </c>
    </row>
    <row r="44" customFormat="false" ht="15" hidden="false" customHeight="false" outlineLevel="0" collapsed="false">
      <c r="A44" s="5" t="s">
        <v>32</v>
      </c>
      <c r="B44" s="6" t="s">
        <v>73</v>
      </c>
      <c r="C44" s="5" t="s">
        <v>41</v>
      </c>
      <c r="D44" s="5" t="s">
        <v>35</v>
      </c>
      <c r="E44" s="6" t="n">
        <v>313804</v>
      </c>
      <c r="F44" s="6" t="n">
        <v>309152</v>
      </c>
      <c r="G44" s="6" t="n">
        <v>183763</v>
      </c>
      <c r="H44" s="6" t="n">
        <v>178003</v>
      </c>
      <c r="I44" s="6" t="n">
        <v>49103</v>
      </c>
      <c r="J44" s="6" t="n">
        <v>52641</v>
      </c>
      <c r="K44" s="6" t="n">
        <v>8338</v>
      </c>
      <c r="L44" s="6" t="n">
        <v>8834</v>
      </c>
      <c r="M44" s="6" t="n">
        <v>2777</v>
      </c>
      <c r="N44" s="6" t="n">
        <v>3573</v>
      </c>
      <c r="O44" s="6" t="n">
        <v>7559</v>
      </c>
      <c r="P44" s="6" t="n">
        <v>7280</v>
      </c>
      <c r="Q44" s="6" t="n">
        <v>4163</v>
      </c>
      <c r="R44" s="6" t="n">
        <v>4184</v>
      </c>
      <c r="S44" s="6" t="n">
        <v>2923</v>
      </c>
      <c r="T44" s="6" t="n">
        <v>2502</v>
      </c>
      <c r="U44" s="6" t="n">
        <v>9390</v>
      </c>
      <c r="V44" s="6" t="n">
        <v>9623</v>
      </c>
    </row>
    <row r="45" customFormat="false" ht="15" hidden="false" customHeight="false" outlineLevel="0" collapsed="false">
      <c r="A45" s="5" t="s">
        <v>32</v>
      </c>
      <c r="B45" s="6" t="s">
        <v>73</v>
      </c>
      <c r="C45" s="5" t="s">
        <v>42</v>
      </c>
      <c r="D45" s="5" t="s">
        <v>35</v>
      </c>
      <c r="E45" s="6" t="n">
        <v>296118</v>
      </c>
      <c r="F45" s="6" t="n">
        <v>310365</v>
      </c>
      <c r="G45" s="6" t="n">
        <v>174688</v>
      </c>
      <c r="H45" s="6" t="n">
        <v>184620</v>
      </c>
      <c r="I45" s="6" t="n">
        <v>47822</v>
      </c>
      <c r="J45" s="6" t="n">
        <v>49064</v>
      </c>
      <c r="K45" s="6" t="n">
        <v>7137</v>
      </c>
      <c r="L45" s="6" t="n">
        <v>7854</v>
      </c>
      <c r="M45" s="6" t="n">
        <v>4401</v>
      </c>
      <c r="N45" s="6" t="n">
        <v>4057</v>
      </c>
      <c r="O45" s="6" t="n">
        <v>6963</v>
      </c>
      <c r="P45" s="6" t="n">
        <v>6887</v>
      </c>
      <c r="Q45" s="6" t="n">
        <v>5737</v>
      </c>
      <c r="R45" s="6" t="n">
        <v>5742</v>
      </c>
      <c r="S45" s="6" t="n">
        <v>3339</v>
      </c>
      <c r="T45" s="6" t="n">
        <v>4402</v>
      </c>
      <c r="U45" s="6" t="n">
        <v>6740</v>
      </c>
      <c r="V45" s="6" t="n">
        <v>6857</v>
      </c>
    </row>
    <row r="46" customFormat="false" ht="15" hidden="false" customHeight="false" outlineLevel="0" collapsed="false">
      <c r="A46" s="5" t="s">
        <v>32</v>
      </c>
      <c r="B46" s="6" t="s">
        <v>73</v>
      </c>
      <c r="C46" s="5" t="s">
        <v>43</v>
      </c>
      <c r="D46" s="5" t="s">
        <v>35</v>
      </c>
      <c r="E46" s="6" t="n">
        <v>341199</v>
      </c>
      <c r="F46" s="6" t="n">
        <v>324300</v>
      </c>
      <c r="G46" s="6" t="n">
        <v>194642</v>
      </c>
      <c r="H46" s="6" t="n">
        <v>191821</v>
      </c>
      <c r="I46" s="6" t="n">
        <v>50663</v>
      </c>
      <c r="J46" s="6" t="n">
        <v>50807</v>
      </c>
      <c r="K46" s="6" t="n">
        <v>9828</v>
      </c>
      <c r="L46" s="6" t="n">
        <v>11299</v>
      </c>
      <c r="M46" s="6" t="n">
        <v>3899</v>
      </c>
      <c r="N46" s="6" t="n">
        <v>3409</v>
      </c>
      <c r="O46" s="6" t="n">
        <v>7979</v>
      </c>
      <c r="P46" s="6" t="n">
        <v>7836</v>
      </c>
      <c r="Q46" s="6" t="n">
        <v>5601</v>
      </c>
      <c r="R46" s="6" t="n">
        <v>5625</v>
      </c>
      <c r="S46" s="6" t="n">
        <v>2979</v>
      </c>
      <c r="T46" s="6" t="n">
        <v>2958</v>
      </c>
      <c r="U46" s="6" t="n">
        <v>7468</v>
      </c>
      <c r="V46" s="6" t="n">
        <v>7556</v>
      </c>
    </row>
    <row r="47" customFormat="false" ht="15" hidden="false" customHeight="false" outlineLevel="0" collapsed="false">
      <c r="A47" s="5" t="s">
        <v>32</v>
      </c>
      <c r="B47" s="6" t="s">
        <v>73</v>
      </c>
      <c r="C47" s="5" t="s">
        <v>44</v>
      </c>
      <c r="D47" s="5" t="s">
        <v>35</v>
      </c>
      <c r="E47" s="6" t="n">
        <v>303576</v>
      </c>
      <c r="F47" s="6" t="n">
        <v>313603</v>
      </c>
      <c r="G47" s="6" t="n">
        <v>178057</v>
      </c>
      <c r="H47" s="6" t="n">
        <v>178351</v>
      </c>
      <c r="I47" s="6" t="n">
        <v>49283</v>
      </c>
      <c r="J47" s="6" t="n">
        <v>51628</v>
      </c>
      <c r="K47" s="6" t="n">
        <v>9766</v>
      </c>
      <c r="L47" s="6" t="n">
        <v>9432</v>
      </c>
      <c r="M47" s="6" t="n">
        <v>3839</v>
      </c>
      <c r="N47" s="6" t="n">
        <v>4647</v>
      </c>
      <c r="O47" s="6" t="n">
        <v>8442</v>
      </c>
      <c r="P47" s="6" t="n">
        <v>8519</v>
      </c>
      <c r="Q47" s="6" t="n">
        <v>3733</v>
      </c>
      <c r="R47" s="6" t="n">
        <v>3734</v>
      </c>
      <c r="S47" s="6" t="n">
        <v>2896</v>
      </c>
      <c r="T47" s="6" t="n">
        <v>3828</v>
      </c>
      <c r="U47" s="6" t="n">
        <v>8725</v>
      </c>
      <c r="V47" s="6" t="n">
        <v>8694</v>
      </c>
    </row>
    <row r="48" customFormat="false" ht="15" hidden="false" customHeight="false" outlineLevel="0" collapsed="false">
      <c r="A48" s="5" t="s">
        <v>32</v>
      </c>
      <c r="B48" s="6" t="s">
        <v>73</v>
      </c>
      <c r="C48" s="5" t="s">
        <v>45</v>
      </c>
      <c r="D48" s="5" t="s">
        <v>35</v>
      </c>
      <c r="E48" s="6" t="n">
        <v>314016</v>
      </c>
      <c r="F48" s="6" t="n">
        <v>315647</v>
      </c>
      <c r="G48" s="6" t="n">
        <v>183180</v>
      </c>
      <c r="H48" s="6" t="n">
        <v>184289</v>
      </c>
      <c r="I48" s="6" t="n">
        <v>50131</v>
      </c>
      <c r="J48" s="6" t="n">
        <v>49478</v>
      </c>
      <c r="K48" s="6" t="n">
        <v>8492</v>
      </c>
      <c r="L48" s="6" t="n">
        <v>9687</v>
      </c>
      <c r="M48" s="6" t="n">
        <v>3256</v>
      </c>
      <c r="N48" s="6" t="n">
        <v>3733</v>
      </c>
      <c r="O48" s="6" t="n">
        <v>7693</v>
      </c>
      <c r="P48" s="6" t="n">
        <v>8257</v>
      </c>
      <c r="Q48" s="6" t="n">
        <v>5909</v>
      </c>
      <c r="R48" s="6" t="n">
        <v>6121</v>
      </c>
      <c r="S48" s="6" t="n">
        <v>2600</v>
      </c>
      <c r="T48" s="6" t="n">
        <v>2574</v>
      </c>
      <c r="U48" s="6" t="n">
        <v>8537</v>
      </c>
      <c r="V48" s="6" t="n">
        <v>8670</v>
      </c>
    </row>
    <row r="49" customFormat="false" ht="15" hidden="false" customHeight="false" outlineLevel="0" collapsed="false">
      <c r="A49" s="5" t="s">
        <v>32</v>
      </c>
      <c r="B49" s="6" t="s">
        <v>73</v>
      </c>
      <c r="C49" s="5" t="s">
        <v>46</v>
      </c>
      <c r="D49" s="5" t="s">
        <v>35</v>
      </c>
      <c r="E49" s="6" t="n">
        <v>317169</v>
      </c>
      <c r="F49" s="6" t="n">
        <v>335875</v>
      </c>
      <c r="G49" s="6" t="n">
        <v>172573</v>
      </c>
      <c r="H49" s="6" t="n">
        <v>186633</v>
      </c>
      <c r="I49" s="6" t="n">
        <v>53166</v>
      </c>
      <c r="J49" s="6" t="n">
        <v>57404</v>
      </c>
      <c r="K49" s="6" t="n">
        <v>9896</v>
      </c>
      <c r="L49" s="6" t="n">
        <v>9700</v>
      </c>
      <c r="M49" s="6" t="n">
        <v>2756</v>
      </c>
      <c r="N49" s="6" t="n">
        <v>3078</v>
      </c>
      <c r="O49" s="6" t="n">
        <v>8477</v>
      </c>
      <c r="P49" s="6" t="n">
        <v>8476</v>
      </c>
      <c r="Q49" s="6" t="n">
        <v>5567</v>
      </c>
      <c r="R49" s="6" t="n">
        <v>5792</v>
      </c>
      <c r="S49" s="6" t="n">
        <v>1991</v>
      </c>
      <c r="T49" s="6" t="n">
        <v>2544</v>
      </c>
      <c r="U49" s="6" t="n">
        <v>7274</v>
      </c>
      <c r="V49" s="6" t="n">
        <v>7219</v>
      </c>
    </row>
    <row r="50" customFormat="false" ht="15" hidden="false" customHeight="false" outlineLevel="0" collapsed="false">
      <c r="A50" s="5" t="s">
        <v>32</v>
      </c>
      <c r="B50" s="6" t="s">
        <v>73</v>
      </c>
      <c r="C50" s="5" t="s">
        <v>47</v>
      </c>
      <c r="D50" s="5" t="s">
        <v>48</v>
      </c>
      <c r="E50" s="6" t="n">
        <v>320469</v>
      </c>
      <c r="F50" s="6" t="n">
        <v>319275</v>
      </c>
      <c r="G50" s="6" t="n">
        <v>183935</v>
      </c>
      <c r="H50" s="6" t="n">
        <v>189516</v>
      </c>
      <c r="I50" s="6" t="n">
        <v>46500</v>
      </c>
      <c r="J50" s="6" t="n">
        <v>45509</v>
      </c>
      <c r="K50" s="6" t="n">
        <v>10596</v>
      </c>
      <c r="L50" s="6" t="n">
        <v>10977</v>
      </c>
      <c r="M50" s="6" t="n">
        <v>3104</v>
      </c>
      <c r="N50" s="6" t="n">
        <v>3900</v>
      </c>
      <c r="O50" s="6" t="n">
        <v>6227</v>
      </c>
      <c r="P50" s="6" t="n">
        <v>6246</v>
      </c>
      <c r="Q50" s="6" t="n">
        <v>4497</v>
      </c>
      <c r="R50" s="6" t="n">
        <v>4387</v>
      </c>
      <c r="S50" s="6" t="n">
        <v>1941</v>
      </c>
      <c r="T50" s="6" t="n">
        <v>2490</v>
      </c>
      <c r="U50" s="6" t="n">
        <v>9297</v>
      </c>
      <c r="V50" s="6" t="n">
        <v>9396</v>
      </c>
    </row>
    <row r="51" customFormat="false" ht="15" hidden="false" customHeight="false" outlineLevel="0" collapsed="false">
      <c r="A51" s="5" t="s">
        <v>32</v>
      </c>
      <c r="B51" s="6" t="s">
        <v>73</v>
      </c>
      <c r="C51" s="5" t="s">
        <v>49</v>
      </c>
      <c r="D51" s="5" t="s">
        <v>48</v>
      </c>
      <c r="E51" s="6" t="n">
        <v>314417</v>
      </c>
      <c r="F51" s="6" t="n">
        <v>316631</v>
      </c>
      <c r="G51" s="6" t="n">
        <v>176304</v>
      </c>
      <c r="H51" s="6" t="n">
        <v>180515</v>
      </c>
      <c r="I51" s="6" t="n">
        <v>50045</v>
      </c>
      <c r="J51" s="6" t="n">
        <v>50879</v>
      </c>
      <c r="K51" s="6" t="n">
        <v>7468</v>
      </c>
      <c r="L51" s="6" t="n">
        <v>8242</v>
      </c>
      <c r="M51" s="6" t="n">
        <v>2954</v>
      </c>
      <c r="N51" s="6" t="n">
        <v>2931</v>
      </c>
      <c r="O51" s="6" t="n">
        <v>7179</v>
      </c>
      <c r="P51" s="6" t="n">
        <v>6911</v>
      </c>
      <c r="Q51" s="6" t="n">
        <v>5212</v>
      </c>
      <c r="R51" s="6" t="n">
        <v>5251</v>
      </c>
      <c r="S51" s="6" t="n">
        <v>3759</v>
      </c>
      <c r="T51" s="6" t="n">
        <v>3673</v>
      </c>
      <c r="U51" s="6" t="n">
        <v>9363</v>
      </c>
      <c r="V51" s="6" t="n">
        <v>9452</v>
      </c>
    </row>
    <row r="52" customFormat="false" ht="15" hidden="false" customHeight="false" outlineLevel="0" collapsed="false">
      <c r="A52" s="5" t="s">
        <v>32</v>
      </c>
      <c r="B52" s="6" t="s">
        <v>73</v>
      </c>
      <c r="C52" s="5" t="s">
        <v>50</v>
      </c>
      <c r="D52" s="5" t="s">
        <v>48</v>
      </c>
      <c r="E52" s="6" t="n">
        <v>317989</v>
      </c>
      <c r="F52" s="6" t="n">
        <v>315493</v>
      </c>
      <c r="G52" s="6" t="n">
        <v>184799</v>
      </c>
      <c r="H52" s="6" t="n">
        <v>188785</v>
      </c>
      <c r="I52" s="6" t="n">
        <v>44986</v>
      </c>
      <c r="J52" s="6" t="n">
        <v>46637</v>
      </c>
      <c r="K52" s="6" t="n">
        <v>8729</v>
      </c>
      <c r="L52" s="6" t="n">
        <v>9787</v>
      </c>
      <c r="M52" s="6" t="n">
        <v>3181</v>
      </c>
      <c r="N52" s="6" t="n">
        <v>3815</v>
      </c>
      <c r="O52" s="6" t="n">
        <v>7654</v>
      </c>
      <c r="P52" s="6" t="n">
        <v>7527</v>
      </c>
      <c r="Q52" s="6" t="n">
        <v>5435</v>
      </c>
      <c r="R52" s="6" t="n">
        <v>5501</v>
      </c>
      <c r="S52" s="6" t="n">
        <v>3201</v>
      </c>
      <c r="T52" s="6" t="n">
        <v>3945</v>
      </c>
      <c r="U52" s="6" t="n">
        <v>8456</v>
      </c>
      <c r="V52" s="6" t="n">
        <v>8628</v>
      </c>
    </row>
    <row r="53" customFormat="false" ht="15" hidden="false" customHeight="false" outlineLevel="0" collapsed="false">
      <c r="A53" s="5" t="s">
        <v>32</v>
      </c>
      <c r="B53" s="6" t="s">
        <v>73</v>
      </c>
      <c r="C53" s="5" t="s">
        <v>51</v>
      </c>
      <c r="D53" s="5" t="s">
        <v>48</v>
      </c>
      <c r="E53" s="6" t="n">
        <v>334282</v>
      </c>
      <c r="F53" s="6" t="n">
        <v>318847</v>
      </c>
      <c r="G53" s="6" t="n">
        <v>193476</v>
      </c>
      <c r="H53" s="6" t="n">
        <v>183091</v>
      </c>
      <c r="I53" s="6" t="n">
        <v>51220</v>
      </c>
      <c r="J53" s="6" t="n">
        <v>52949</v>
      </c>
      <c r="K53" s="6" t="n">
        <v>10358</v>
      </c>
      <c r="L53" s="6" t="n">
        <v>9084</v>
      </c>
      <c r="M53" s="6" t="n">
        <v>3365</v>
      </c>
      <c r="N53" s="6" t="n">
        <v>3950</v>
      </c>
      <c r="O53" s="6" t="n">
        <v>6604</v>
      </c>
      <c r="P53" s="6" t="n">
        <v>6233</v>
      </c>
      <c r="Q53" s="6" t="n">
        <v>5454</v>
      </c>
      <c r="R53" s="6" t="n">
        <v>5711</v>
      </c>
      <c r="S53" s="6" t="n">
        <v>3070</v>
      </c>
      <c r="T53" s="6" t="n">
        <v>4139</v>
      </c>
      <c r="U53" s="6" t="n">
        <v>9462</v>
      </c>
      <c r="V53" s="6" t="n">
        <v>9324</v>
      </c>
    </row>
    <row r="54" customFormat="false" ht="15" hidden="false" customHeight="false" outlineLevel="0" collapsed="false">
      <c r="A54" s="5" t="s">
        <v>32</v>
      </c>
      <c r="B54" s="6" t="s">
        <v>73</v>
      </c>
      <c r="C54" s="5" t="s">
        <v>52</v>
      </c>
      <c r="D54" s="5" t="s">
        <v>48</v>
      </c>
      <c r="E54" s="6" t="n">
        <v>324050</v>
      </c>
      <c r="F54" s="6" t="n">
        <v>324757</v>
      </c>
      <c r="G54" s="6" t="n">
        <v>190668</v>
      </c>
      <c r="H54" s="6" t="n">
        <v>196711</v>
      </c>
      <c r="I54" s="6" t="n">
        <v>48660</v>
      </c>
      <c r="J54" s="6" t="n">
        <v>47817</v>
      </c>
      <c r="K54" s="6" t="n">
        <v>11161</v>
      </c>
      <c r="L54" s="6" t="n">
        <v>9958</v>
      </c>
      <c r="M54" s="6" t="n">
        <v>4785</v>
      </c>
      <c r="N54" s="6" t="n">
        <v>5886</v>
      </c>
      <c r="O54" s="6" t="n">
        <v>8180</v>
      </c>
      <c r="P54" s="6" t="n">
        <v>8968</v>
      </c>
      <c r="Q54" s="6" t="n">
        <v>6396</v>
      </c>
      <c r="R54" s="6" t="n">
        <v>6591</v>
      </c>
      <c r="S54" s="6" t="n">
        <v>2655</v>
      </c>
      <c r="T54" s="6" t="n">
        <v>3384</v>
      </c>
      <c r="U54" s="6" t="n">
        <v>6526</v>
      </c>
      <c r="V54" s="6" t="n">
        <v>6540</v>
      </c>
    </row>
    <row r="55" customFormat="false" ht="15" hidden="false" customHeight="false" outlineLevel="0" collapsed="false">
      <c r="A55" s="5" t="s">
        <v>32</v>
      </c>
      <c r="B55" s="6" t="s">
        <v>73</v>
      </c>
      <c r="C55" s="5" t="s">
        <v>53</v>
      </c>
      <c r="D55" s="5" t="s">
        <v>48</v>
      </c>
      <c r="E55" s="6" t="n">
        <v>346930</v>
      </c>
      <c r="F55" s="6" t="n">
        <v>339881</v>
      </c>
      <c r="G55" s="6" t="n">
        <v>201338</v>
      </c>
      <c r="H55" s="6" t="n">
        <v>200383</v>
      </c>
      <c r="I55" s="6" t="n">
        <v>57130</v>
      </c>
      <c r="J55" s="6" t="n">
        <v>61325</v>
      </c>
      <c r="K55" s="6" t="n">
        <v>7502</v>
      </c>
      <c r="L55" s="6" t="n">
        <v>6903</v>
      </c>
      <c r="M55" s="6" t="n">
        <v>2836</v>
      </c>
      <c r="N55" s="6" t="n">
        <v>3523</v>
      </c>
      <c r="O55" s="6" t="n">
        <v>8192</v>
      </c>
      <c r="P55" s="6" t="n">
        <v>8886</v>
      </c>
      <c r="Q55" s="6" t="n">
        <v>4778</v>
      </c>
      <c r="R55" s="6" t="n">
        <v>4569</v>
      </c>
      <c r="S55" s="6" t="n">
        <v>3797</v>
      </c>
      <c r="T55" s="6" t="n">
        <v>5109</v>
      </c>
      <c r="U55" s="6" t="n">
        <v>7987</v>
      </c>
      <c r="V55" s="6" t="n">
        <v>7943</v>
      </c>
    </row>
    <row r="56" customFormat="false" ht="15" hidden="false" customHeight="false" outlineLevel="0" collapsed="false">
      <c r="A56" s="5" t="s">
        <v>32</v>
      </c>
      <c r="B56" s="6" t="s">
        <v>73</v>
      </c>
      <c r="C56" s="5" t="s">
        <v>54</v>
      </c>
      <c r="D56" s="5" t="s">
        <v>48</v>
      </c>
      <c r="E56" s="6" t="n">
        <v>340303</v>
      </c>
      <c r="F56" s="6" t="n">
        <v>323006</v>
      </c>
      <c r="G56" s="6" t="n">
        <v>189978</v>
      </c>
      <c r="H56" s="6" t="n">
        <v>181818</v>
      </c>
      <c r="I56" s="6" t="n">
        <v>48635</v>
      </c>
      <c r="J56" s="6" t="n">
        <v>51923</v>
      </c>
      <c r="K56" s="6" t="n">
        <v>7499</v>
      </c>
      <c r="L56" s="6" t="n">
        <v>7395</v>
      </c>
      <c r="M56" s="6" t="n">
        <v>4320</v>
      </c>
      <c r="N56" s="6" t="n">
        <v>5061</v>
      </c>
      <c r="O56" s="6" t="n">
        <v>9345</v>
      </c>
      <c r="P56" s="6" t="n">
        <v>9302</v>
      </c>
      <c r="Q56" s="6" t="n">
        <v>6104</v>
      </c>
      <c r="R56" s="6" t="n">
        <v>5893</v>
      </c>
      <c r="S56" s="6" t="n">
        <v>2889</v>
      </c>
      <c r="T56" s="6" t="n">
        <v>2483</v>
      </c>
      <c r="U56" s="6" t="n">
        <v>8471</v>
      </c>
      <c r="V56" s="6" t="n">
        <v>8424</v>
      </c>
    </row>
    <row r="57" customFormat="false" ht="15" hidden="false" customHeight="false" outlineLevel="0" collapsed="false">
      <c r="A57" s="5" t="s">
        <v>32</v>
      </c>
      <c r="B57" s="6" t="s">
        <v>73</v>
      </c>
      <c r="C57" s="5" t="s">
        <v>55</v>
      </c>
      <c r="D57" s="5" t="s">
        <v>48</v>
      </c>
      <c r="E57" s="6" t="n">
        <v>312101</v>
      </c>
      <c r="F57" s="6" t="n">
        <v>330641</v>
      </c>
      <c r="G57" s="6" t="n">
        <v>175473</v>
      </c>
      <c r="H57" s="6" t="n">
        <v>186614</v>
      </c>
      <c r="I57" s="6" t="n">
        <v>52594</v>
      </c>
      <c r="J57" s="6" t="n">
        <v>55965</v>
      </c>
      <c r="K57" s="6" t="n">
        <v>6707</v>
      </c>
      <c r="L57" s="6" t="n">
        <v>7081</v>
      </c>
      <c r="M57" s="6" t="n">
        <v>3686</v>
      </c>
      <c r="N57" s="6" t="n">
        <v>4751</v>
      </c>
      <c r="O57" s="6" t="n">
        <v>6737</v>
      </c>
      <c r="P57" s="6" t="n">
        <v>6681</v>
      </c>
      <c r="Q57" s="6" t="n">
        <v>4219</v>
      </c>
      <c r="R57" s="6" t="n">
        <v>4060</v>
      </c>
      <c r="S57" s="6" t="n">
        <v>3461</v>
      </c>
      <c r="T57" s="6" t="n">
        <v>3713</v>
      </c>
      <c r="U57" s="6" t="n">
        <v>8311</v>
      </c>
      <c r="V57" s="6" t="n">
        <v>8382</v>
      </c>
    </row>
    <row r="58" customFormat="false" ht="15" hidden="false" customHeight="false" outlineLevel="0" collapsed="false">
      <c r="A58" s="5" t="s">
        <v>32</v>
      </c>
      <c r="B58" s="6" t="s">
        <v>73</v>
      </c>
      <c r="C58" s="5" t="s">
        <v>56</v>
      </c>
      <c r="D58" s="5" t="s">
        <v>48</v>
      </c>
      <c r="E58" s="6" t="n">
        <v>328024</v>
      </c>
      <c r="F58" s="6" t="n">
        <v>348013</v>
      </c>
      <c r="G58" s="6" t="n">
        <v>192618</v>
      </c>
      <c r="H58" s="6" t="n">
        <v>201634</v>
      </c>
      <c r="I58" s="6" t="n">
        <v>47163</v>
      </c>
      <c r="J58" s="6" t="n">
        <v>48677</v>
      </c>
      <c r="K58" s="6" t="n">
        <v>6898</v>
      </c>
      <c r="L58" s="6" t="n">
        <v>7447</v>
      </c>
      <c r="M58" s="6" t="n">
        <v>3100</v>
      </c>
      <c r="N58" s="6" t="n">
        <v>2815</v>
      </c>
      <c r="O58" s="6" t="n">
        <v>8757</v>
      </c>
      <c r="P58" s="6" t="n">
        <v>8574</v>
      </c>
      <c r="Q58" s="6" t="n">
        <v>4323</v>
      </c>
      <c r="R58" s="6" t="n">
        <v>4496</v>
      </c>
      <c r="S58" s="6" t="n">
        <v>1974</v>
      </c>
      <c r="T58" s="6" t="n">
        <v>2596</v>
      </c>
      <c r="U58" s="6" t="n">
        <v>7035</v>
      </c>
      <c r="V58" s="6" t="n">
        <v>6879</v>
      </c>
    </row>
    <row r="59" customFormat="false" ht="15" hidden="false" customHeight="false" outlineLevel="0" collapsed="false">
      <c r="A59" s="5" t="s">
        <v>32</v>
      </c>
      <c r="B59" s="6" t="s">
        <v>73</v>
      </c>
      <c r="C59" s="5" t="s">
        <v>57</v>
      </c>
      <c r="D59" s="5" t="s">
        <v>48</v>
      </c>
      <c r="E59" s="6" t="n">
        <v>319246</v>
      </c>
      <c r="F59" s="6" t="n">
        <v>332223</v>
      </c>
      <c r="G59" s="6" t="n">
        <v>185055</v>
      </c>
      <c r="H59" s="6" t="n">
        <v>186361</v>
      </c>
      <c r="I59" s="6" t="n">
        <v>44837</v>
      </c>
      <c r="J59" s="6" t="n">
        <v>47388</v>
      </c>
      <c r="K59" s="6" t="n">
        <v>7524</v>
      </c>
      <c r="L59" s="6" t="n">
        <v>7126</v>
      </c>
      <c r="M59" s="6" t="n">
        <v>2943</v>
      </c>
      <c r="N59" s="6" t="n">
        <v>2432</v>
      </c>
      <c r="O59" s="6" t="n">
        <v>8114</v>
      </c>
      <c r="P59" s="6" t="n">
        <v>8233</v>
      </c>
      <c r="Q59" s="6" t="n">
        <v>5735</v>
      </c>
      <c r="R59" s="6" t="n">
        <v>5721</v>
      </c>
      <c r="S59" s="6" t="n">
        <v>3406</v>
      </c>
      <c r="T59" s="6" t="n">
        <v>3774</v>
      </c>
      <c r="U59" s="6" t="n">
        <v>6733</v>
      </c>
      <c r="V59" s="6" t="n">
        <v>6735</v>
      </c>
    </row>
    <row r="60" customFormat="false" ht="15" hidden="false" customHeight="false" outlineLevel="0" collapsed="false">
      <c r="A60" s="5" t="s">
        <v>32</v>
      </c>
      <c r="B60" s="6" t="s">
        <v>73</v>
      </c>
      <c r="C60" s="5" t="s">
        <v>58</v>
      </c>
      <c r="D60" s="5" t="s">
        <v>48</v>
      </c>
      <c r="E60" s="6" t="n">
        <v>321363</v>
      </c>
      <c r="F60" s="6" t="n">
        <v>339993</v>
      </c>
      <c r="G60" s="6" t="n">
        <v>188638</v>
      </c>
      <c r="H60" s="6" t="n">
        <v>207512</v>
      </c>
      <c r="I60" s="6" t="n">
        <v>50018</v>
      </c>
      <c r="J60" s="6" t="n">
        <v>51038</v>
      </c>
      <c r="K60" s="6" t="n">
        <v>11074</v>
      </c>
      <c r="L60" s="6" t="n">
        <v>9615</v>
      </c>
      <c r="M60" s="6" t="n">
        <v>3648</v>
      </c>
      <c r="N60" s="6" t="n">
        <v>3651</v>
      </c>
      <c r="O60" s="6" t="n">
        <v>7989</v>
      </c>
      <c r="P60" s="6" t="n">
        <v>8055</v>
      </c>
      <c r="Q60" s="6" t="n">
        <v>6195</v>
      </c>
      <c r="R60" s="6" t="n">
        <v>5931</v>
      </c>
      <c r="S60" s="6" t="n">
        <v>2084</v>
      </c>
      <c r="T60" s="6" t="n">
        <v>2428</v>
      </c>
      <c r="U60" s="6" t="n">
        <v>6638</v>
      </c>
      <c r="V60" s="6" t="n">
        <v>6548</v>
      </c>
    </row>
    <row r="61" customFormat="false" ht="15" hidden="false" customHeight="false" outlineLevel="0" collapsed="false">
      <c r="A61" s="5" t="s">
        <v>32</v>
      </c>
      <c r="B61" s="6" t="s">
        <v>73</v>
      </c>
      <c r="C61" s="5" t="s">
        <v>59</v>
      </c>
      <c r="D61" s="5" t="s">
        <v>48</v>
      </c>
      <c r="E61" s="6" t="n">
        <v>360449</v>
      </c>
      <c r="F61" s="6" t="n">
        <v>358369</v>
      </c>
      <c r="G61" s="6" t="n">
        <v>201675</v>
      </c>
      <c r="H61" s="6" t="n">
        <v>211166</v>
      </c>
      <c r="I61" s="6" t="n">
        <v>56200</v>
      </c>
      <c r="J61" s="6" t="n">
        <v>57319</v>
      </c>
      <c r="K61" s="6" t="n">
        <v>10482</v>
      </c>
      <c r="L61" s="6" t="n">
        <v>9222</v>
      </c>
      <c r="M61" s="6" t="n">
        <v>4654</v>
      </c>
      <c r="N61" s="6" t="n">
        <v>5708</v>
      </c>
      <c r="O61" s="6" t="n">
        <v>8834</v>
      </c>
      <c r="P61" s="6" t="n">
        <v>9350</v>
      </c>
      <c r="Q61" s="6" t="n">
        <v>6404</v>
      </c>
      <c r="R61" s="6" t="n">
        <v>6222</v>
      </c>
      <c r="S61" s="6" t="n">
        <v>3139</v>
      </c>
      <c r="T61" s="6" t="n">
        <v>2942</v>
      </c>
      <c r="U61" s="6" t="n">
        <v>8431</v>
      </c>
      <c r="V61" s="6" t="n">
        <v>8407</v>
      </c>
    </row>
    <row r="62" customFormat="false" ht="15" hidden="false" customHeight="false" outlineLevel="0" collapsed="false">
      <c r="A62" s="5" t="s">
        <v>32</v>
      </c>
      <c r="B62" s="6" t="s">
        <v>73</v>
      </c>
      <c r="C62" s="5" t="s">
        <v>60</v>
      </c>
      <c r="D62" s="5" t="s">
        <v>61</v>
      </c>
      <c r="E62" s="6" t="n">
        <v>327661</v>
      </c>
      <c r="F62" s="6" t="n">
        <v>344395</v>
      </c>
      <c r="G62" s="6" t="n">
        <v>185327</v>
      </c>
      <c r="H62" s="6" t="n">
        <v>199357</v>
      </c>
      <c r="I62" s="6" t="n">
        <v>49552</v>
      </c>
      <c r="J62" s="6" t="n">
        <v>48897</v>
      </c>
      <c r="K62" s="6" t="n">
        <v>11090</v>
      </c>
      <c r="L62" s="6" t="n">
        <v>9650</v>
      </c>
      <c r="M62" s="6" t="n">
        <v>4529</v>
      </c>
      <c r="N62" s="6" t="n">
        <v>3834</v>
      </c>
      <c r="O62" s="6" t="n">
        <v>6214</v>
      </c>
      <c r="P62" s="6" t="n">
        <v>6543</v>
      </c>
      <c r="Q62" s="6" t="n">
        <v>6060</v>
      </c>
      <c r="R62" s="6" t="n">
        <v>6094</v>
      </c>
      <c r="S62" s="6" t="n">
        <v>3119</v>
      </c>
      <c r="T62" s="6" t="n">
        <v>3546</v>
      </c>
      <c r="U62" s="6" t="n">
        <v>7633</v>
      </c>
      <c r="V62" s="6" t="n">
        <v>7460</v>
      </c>
    </row>
    <row r="63" customFormat="false" ht="15" hidden="false" customHeight="false" outlineLevel="0" collapsed="false">
      <c r="A63" s="5" t="s">
        <v>32</v>
      </c>
      <c r="B63" s="6" t="s">
        <v>73</v>
      </c>
      <c r="C63" s="5" t="s">
        <v>62</v>
      </c>
      <c r="D63" s="5" t="s">
        <v>61</v>
      </c>
      <c r="E63" s="6" t="n">
        <v>351083</v>
      </c>
      <c r="F63" s="6" t="n">
        <v>344253</v>
      </c>
      <c r="G63" s="6" t="n">
        <v>205390</v>
      </c>
      <c r="H63" s="6" t="n">
        <v>209451</v>
      </c>
      <c r="I63" s="6" t="n">
        <v>56746</v>
      </c>
      <c r="J63" s="6" t="n">
        <v>61088</v>
      </c>
      <c r="K63" s="6" t="n">
        <v>10184</v>
      </c>
      <c r="L63" s="6" t="n">
        <v>9731</v>
      </c>
      <c r="M63" s="6" t="n">
        <v>4229</v>
      </c>
      <c r="N63" s="6" t="n">
        <v>3833</v>
      </c>
      <c r="O63" s="6" t="n">
        <v>8625</v>
      </c>
      <c r="P63" s="6" t="n">
        <v>8283</v>
      </c>
      <c r="Q63" s="6" t="n">
        <v>4517</v>
      </c>
      <c r="R63" s="6" t="n">
        <v>4673</v>
      </c>
      <c r="S63" s="6" t="n">
        <v>2881</v>
      </c>
      <c r="T63" s="6" t="n">
        <v>3623</v>
      </c>
      <c r="U63" s="6" t="n">
        <v>9037</v>
      </c>
      <c r="V63" s="6" t="n">
        <v>9204</v>
      </c>
    </row>
    <row r="64" customFormat="false" ht="15" hidden="false" customHeight="false" outlineLevel="0" collapsed="false">
      <c r="A64" s="5" t="s">
        <v>32</v>
      </c>
      <c r="B64" s="6" t="s">
        <v>73</v>
      </c>
      <c r="C64" s="5" t="s">
        <v>63</v>
      </c>
      <c r="D64" s="5" t="s">
        <v>61</v>
      </c>
      <c r="E64" s="6" t="n">
        <v>370899</v>
      </c>
      <c r="F64" s="6" t="n">
        <v>350916</v>
      </c>
      <c r="G64" s="6" t="n">
        <v>218499</v>
      </c>
      <c r="H64" s="6" t="n">
        <v>210474</v>
      </c>
      <c r="I64" s="6" t="n">
        <v>59077</v>
      </c>
      <c r="J64" s="6" t="n">
        <v>57475</v>
      </c>
      <c r="K64" s="6" t="n">
        <v>12587</v>
      </c>
      <c r="L64" s="6" t="n">
        <v>13831</v>
      </c>
      <c r="M64" s="6" t="n">
        <v>3662</v>
      </c>
      <c r="N64" s="6" t="n">
        <v>3260</v>
      </c>
      <c r="O64" s="6" t="n">
        <v>9282</v>
      </c>
      <c r="P64" s="6" t="n">
        <v>9056</v>
      </c>
      <c r="Q64" s="6" t="n">
        <v>5459</v>
      </c>
      <c r="R64" s="6" t="n">
        <v>5189</v>
      </c>
      <c r="S64" s="6" t="n">
        <v>4161</v>
      </c>
      <c r="T64" s="6" t="n">
        <v>4743</v>
      </c>
      <c r="U64" s="6" t="n">
        <v>8904</v>
      </c>
      <c r="V64" s="6" t="n">
        <v>8713</v>
      </c>
    </row>
    <row r="65" customFormat="false" ht="15" hidden="false" customHeight="false" outlineLevel="0" collapsed="false">
      <c r="A65" s="5" t="s">
        <v>32</v>
      </c>
      <c r="B65" s="6" t="s">
        <v>73</v>
      </c>
      <c r="C65" s="5" t="s">
        <v>64</v>
      </c>
      <c r="D65" s="5" t="s">
        <v>61</v>
      </c>
      <c r="E65" s="6" t="n">
        <v>334739</v>
      </c>
      <c r="F65" s="6" t="n">
        <v>354717</v>
      </c>
      <c r="G65" s="6" t="n">
        <v>195744</v>
      </c>
      <c r="H65" s="6" t="n">
        <v>204148</v>
      </c>
      <c r="I65" s="6" t="n">
        <v>51079</v>
      </c>
      <c r="J65" s="6" t="n">
        <v>51462</v>
      </c>
      <c r="K65" s="6" t="n">
        <v>8553</v>
      </c>
      <c r="L65" s="6" t="n">
        <v>9122</v>
      </c>
      <c r="M65" s="6" t="n">
        <v>4498</v>
      </c>
      <c r="N65" s="6" t="n">
        <v>4875</v>
      </c>
      <c r="O65" s="6" t="n">
        <v>6310</v>
      </c>
      <c r="P65" s="6" t="n">
        <v>5865</v>
      </c>
      <c r="Q65" s="6" t="n">
        <v>4438</v>
      </c>
      <c r="R65" s="6" t="n">
        <v>4490</v>
      </c>
      <c r="S65" s="6" t="n">
        <v>3362</v>
      </c>
      <c r="T65" s="6" t="n">
        <v>3238</v>
      </c>
      <c r="U65" s="6" t="n">
        <v>8911</v>
      </c>
      <c r="V65" s="6" t="n">
        <v>8903</v>
      </c>
    </row>
    <row r="66" customFormat="false" ht="15" hidden="false" customHeight="false" outlineLevel="0" collapsed="false">
      <c r="A66" s="5" t="s">
        <v>32</v>
      </c>
      <c r="B66" s="6" t="s">
        <v>73</v>
      </c>
      <c r="C66" s="5" t="s">
        <v>65</v>
      </c>
      <c r="D66" s="5" t="s">
        <v>61</v>
      </c>
      <c r="E66" s="6" t="n">
        <v>346146</v>
      </c>
      <c r="F66" s="6" t="n">
        <v>355832</v>
      </c>
      <c r="G66" s="6" t="n">
        <v>202598</v>
      </c>
      <c r="H66" s="6" t="n">
        <v>203176</v>
      </c>
      <c r="I66" s="6" t="n">
        <v>52925</v>
      </c>
      <c r="J66" s="6" t="n">
        <v>52986</v>
      </c>
      <c r="K66" s="6" t="n">
        <v>10446</v>
      </c>
      <c r="L66" s="6" t="n">
        <v>10404</v>
      </c>
      <c r="M66" s="6" t="n">
        <v>4386</v>
      </c>
      <c r="N66" s="6" t="n">
        <v>3608</v>
      </c>
      <c r="O66" s="6" t="n">
        <v>7599</v>
      </c>
      <c r="P66" s="6" t="n">
        <v>7811</v>
      </c>
      <c r="Q66" s="6" t="n">
        <v>4175</v>
      </c>
      <c r="R66" s="6" t="n">
        <v>4092</v>
      </c>
      <c r="S66" s="6" t="n">
        <v>2516</v>
      </c>
      <c r="T66" s="6" t="n">
        <v>2220</v>
      </c>
      <c r="U66" s="6" t="n">
        <v>7807</v>
      </c>
      <c r="V66" s="6" t="n">
        <v>7726</v>
      </c>
    </row>
    <row r="67" customFormat="false" ht="15" hidden="false" customHeight="false" outlineLevel="0" collapsed="false">
      <c r="A67" s="5" t="s">
        <v>32</v>
      </c>
      <c r="B67" s="6" t="s">
        <v>73</v>
      </c>
      <c r="C67" s="5" t="s">
        <v>66</v>
      </c>
      <c r="D67" s="5" t="s">
        <v>61</v>
      </c>
      <c r="E67" s="6" t="n">
        <v>376573</v>
      </c>
      <c r="F67" s="6" t="n">
        <v>365732</v>
      </c>
      <c r="G67" s="6" t="n">
        <v>207319</v>
      </c>
      <c r="H67" s="6" t="n">
        <v>200989</v>
      </c>
      <c r="I67" s="6" t="n">
        <v>60670</v>
      </c>
      <c r="J67" s="6" t="n">
        <v>62189</v>
      </c>
      <c r="K67" s="6" t="n">
        <v>12239</v>
      </c>
      <c r="L67" s="6" t="n">
        <v>13363</v>
      </c>
      <c r="M67" s="6" t="n">
        <v>3203</v>
      </c>
      <c r="N67" s="6" t="n">
        <v>3943</v>
      </c>
      <c r="O67" s="6" t="n">
        <v>6938</v>
      </c>
      <c r="P67" s="6" t="n">
        <v>6406</v>
      </c>
      <c r="Q67" s="6" t="n">
        <v>7294</v>
      </c>
      <c r="R67" s="6" t="n">
        <v>7558</v>
      </c>
      <c r="S67" s="6" t="n">
        <v>3560</v>
      </c>
      <c r="T67" s="6" t="n">
        <v>4073</v>
      </c>
      <c r="U67" s="6" t="n">
        <v>10203</v>
      </c>
      <c r="V67" s="6" t="n">
        <v>10153</v>
      </c>
    </row>
    <row r="68" customFormat="false" ht="15" hidden="false" customHeight="false" outlineLevel="0" collapsed="false">
      <c r="A68" s="5" t="s">
        <v>32</v>
      </c>
      <c r="B68" s="6" t="s">
        <v>73</v>
      </c>
      <c r="C68" s="5" t="s">
        <v>67</v>
      </c>
      <c r="D68" s="5" t="s">
        <v>61</v>
      </c>
      <c r="E68" s="6" t="n">
        <v>327262</v>
      </c>
      <c r="F68" s="6" t="n">
        <v>347227</v>
      </c>
      <c r="G68" s="6" t="n">
        <v>183099</v>
      </c>
      <c r="H68" s="6" t="n">
        <v>201236</v>
      </c>
      <c r="I68" s="6" t="n">
        <v>51885</v>
      </c>
      <c r="J68" s="6" t="n">
        <v>55077</v>
      </c>
      <c r="K68" s="6" t="n">
        <v>11060</v>
      </c>
      <c r="L68" s="6" t="n">
        <v>9693</v>
      </c>
      <c r="M68" s="6" t="n">
        <v>4553</v>
      </c>
      <c r="N68" s="6" t="n">
        <v>4196</v>
      </c>
      <c r="O68" s="6" t="n">
        <v>7818</v>
      </c>
      <c r="P68" s="6" t="n">
        <v>7930</v>
      </c>
      <c r="Q68" s="6" t="n">
        <v>4963</v>
      </c>
      <c r="R68" s="6" t="n">
        <v>4869</v>
      </c>
      <c r="S68" s="6" t="n">
        <v>2630</v>
      </c>
      <c r="T68" s="6" t="n">
        <v>2630</v>
      </c>
      <c r="U68" s="6" t="n">
        <v>7095</v>
      </c>
      <c r="V68" s="6" t="n">
        <v>7099</v>
      </c>
    </row>
    <row r="69" customFormat="false" ht="15" hidden="false" customHeight="false" outlineLevel="0" collapsed="false">
      <c r="A69" s="5" t="s">
        <v>32</v>
      </c>
      <c r="B69" s="6" t="s">
        <v>73</v>
      </c>
      <c r="C69" s="5" t="s">
        <v>68</v>
      </c>
      <c r="D69" s="5" t="s">
        <v>61</v>
      </c>
      <c r="E69" s="6" t="n">
        <v>344149</v>
      </c>
      <c r="F69" s="6" t="n">
        <v>343738</v>
      </c>
      <c r="G69" s="6" t="n">
        <v>204547</v>
      </c>
      <c r="H69" s="6" t="n">
        <v>203432</v>
      </c>
      <c r="I69" s="6" t="n">
        <v>55691</v>
      </c>
      <c r="J69" s="6" t="n">
        <v>59037</v>
      </c>
      <c r="K69" s="6" t="n">
        <v>11090</v>
      </c>
      <c r="L69" s="6" t="n">
        <v>10213</v>
      </c>
      <c r="M69" s="6" t="n">
        <v>3106</v>
      </c>
      <c r="N69" s="6" t="n">
        <v>2791</v>
      </c>
      <c r="O69" s="6" t="n">
        <v>8268</v>
      </c>
      <c r="P69" s="6" t="n">
        <v>8738</v>
      </c>
      <c r="Q69" s="6" t="n">
        <v>5935</v>
      </c>
      <c r="R69" s="6" t="n">
        <v>5743</v>
      </c>
      <c r="S69" s="6" t="n">
        <v>3661</v>
      </c>
      <c r="T69" s="6" t="n">
        <v>4014</v>
      </c>
      <c r="U69" s="6" t="n">
        <v>9479</v>
      </c>
      <c r="V69" s="6" t="n">
        <v>9627</v>
      </c>
    </row>
    <row r="70" customFormat="false" ht="15" hidden="false" customHeight="false" outlineLevel="0" collapsed="false">
      <c r="A70" s="5" t="s">
        <v>32</v>
      </c>
      <c r="B70" s="6" t="s">
        <v>73</v>
      </c>
      <c r="C70" s="5" t="s">
        <v>69</v>
      </c>
      <c r="D70" s="5" t="s">
        <v>61</v>
      </c>
      <c r="E70" s="6" t="n">
        <v>377967</v>
      </c>
      <c r="F70" s="6" t="n">
        <v>359661</v>
      </c>
      <c r="G70" s="6" t="n">
        <v>216904</v>
      </c>
      <c r="H70" s="6" t="n">
        <v>210630</v>
      </c>
      <c r="I70" s="6" t="n">
        <v>59997</v>
      </c>
      <c r="J70" s="6" t="n">
        <v>63901</v>
      </c>
      <c r="K70" s="6" t="n">
        <v>11115</v>
      </c>
      <c r="L70" s="6" t="n">
        <v>9951</v>
      </c>
      <c r="M70" s="6" t="n">
        <v>3204</v>
      </c>
      <c r="N70" s="6" t="n">
        <v>3272</v>
      </c>
      <c r="O70" s="6" t="n">
        <v>7948</v>
      </c>
      <c r="P70" s="6" t="n">
        <v>7705</v>
      </c>
      <c r="Q70" s="6" t="n">
        <v>4705</v>
      </c>
      <c r="R70" s="6" t="n">
        <v>4708</v>
      </c>
      <c r="S70" s="6" t="n">
        <v>2972</v>
      </c>
      <c r="T70" s="6" t="n">
        <v>3183</v>
      </c>
      <c r="U70" s="6" t="n">
        <v>7774</v>
      </c>
      <c r="V70" s="6" t="n">
        <v>7929</v>
      </c>
    </row>
    <row r="71" customFormat="false" ht="15" hidden="false" customHeight="false" outlineLevel="0" collapsed="false">
      <c r="A71" s="5" t="s">
        <v>32</v>
      </c>
      <c r="B71" s="6" t="s">
        <v>73</v>
      </c>
      <c r="C71" s="5" t="s">
        <v>70</v>
      </c>
      <c r="D71" s="5" t="s">
        <v>61</v>
      </c>
      <c r="E71" s="6" t="n">
        <v>355832</v>
      </c>
      <c r="F71" s="6" t="n">
        <v>340930</v>
      </c>
      <c r="G71" s="6" t="n">
        <v>210410</v>
      </c>
      <c r="H71" s="6" t="n">
        <v>205263</v>
      </c>
      <c r="I71" s="6" t="n">
        <v>55229</v>
      </c>
      <c r="J71" s="6" t="n">
        <v>56383</v>
      </c>
      <c r="K71" s="6" t="n">
        <v>10075</v>
      </c>
      <c r="L71" s="6" t="n">
        <v>10957</v>
      </c>
      <c r="M71" s="6" t="n">
        <v>5078</v>
      </c>
      <c r="N71" s="6" t="n">
        <v>5204</v>
      </c>
      <c r="O71" s="6" t="n">
        <v>9287</v>
      </c>
      <c r="P71" s="6" t="n">
        <v>9634</v>
      </c>
      <c r="Q71" s="6" t="n">
        <v>5185</v>
      </c>
      <c r="R71" s="6" t="n">
        <v>5172</v>
      </c>
      <c r="S71" s="6" t="n">
        <v>2457</v>
      </c>
      <c r="T71" s="6" t="n">
        <v>2057</v>
      </c>
      <c r="U71" s="6" t="n">
        <v>7485</v>
      </c>
      <c r="V71" s="6" t="n">
        <v>7664</v>
      </c>
    </row>
    <row r="72" customFormat="false" ht="15" hidden="false" customHeight="false" outlineLevel="0" collapsed="false">
      <c r="A72" s="5" t="s">
        <v>32</v>
      </c>
      <c r="B72" s="6" t="s">
        <v>73</v>
      </c>
      <c r="C72" s="5" t="s">
        <v>71</v>
      </c>
      <c r="D72" s="5" t="s">
        <v>61</v>
      </c>
      <c r="E72" s="6" t="n">
        <v>349411</v>
      </c>
      <c r="F72" s="6" t="n">
        <v>340650</v>
      </c>
      <c r="G72" s="6" t="n">
        <v>199260</v>
      </c>
      <c r="H72" s="6" t="n">
        <v>190390</v>
      </c>
      <c r="I72" s="6" t="n">
        <v>51514</v>
      </c>
      <c r="J72" s="6" t="n">
        <v>52449</v>
      </c>
      <c r="K72" s="6" t="n">
        <v>9291</v>
      </c>
      <c r="L72" s="6" t="n">
        <v>9354</v>
      </c>
      <c r="M72" s="6" t="n">
        <v>3184</v>
      </c>
      <c r="N72" s="6" t="n">
        <v>3141</v>
      </c>
      <c r="O72" s="6" t="n">
        <v>7278</v>
      </c>
      <c r="P72" s="6" t="n">
        <v>7231</v>
      </c>
      <c r="Q72" s="6" t="n">
        <v>5139</v>
      </c>
      <c r="R72" s="6" t="n">
        <v>5189</v>
      </c>
      <c r="S72" s="6" t="n">
        <v>3751</v>
      </c>
      <c r="T72" s="6" t="n">
        <v>4458</v>
      </c>
      <c r="U72" s="6" t="n">
        <v>7219</v>
      </c>
      <c r="V72" s="6" t="n">
        <v>7043</v>
      </c>
    </row>
    <row r="73" customFormat="false" ht="15" hidden="false" customHeight="false" outlineLevel="0" collapsed="false">
      <c r="A73" s="5" t="s">
        <v>32</v>
      </c>
      <c r="B73" s="6" t="s">
        <v>73</v>
      </c>
      <c r="C73" s="5" t="s">
        <v>72</v>
      </c>
      <c r="D73" s="5" t="s">
        <v>61</v>
      </c>
      <c r="E73" s="6" t="n">
        <v>350392</v>
      </c>
      <c r="F73" s="6" t="n">
        <v>359709</v>
      </c>
      <c r="G73" s="6" t="n">
        <v>204427</v>
      </c>
      <c r="H73" s="6" t="n">
        <v>214477</v>
      </c>
      <c r="I73" s="6" t="n">
        <v>58582</v>
      </c>
      <c r="J73" s="6" t="n">
        <v>62452</v>
      </c>
      <c r="K73" s="6" t="n">
        <v>8760</v>
      </c>
      <c r="L73" s="6" t="n">
        <v>8977</v>
      </c>
      <c r="M73" s="6" t="n">
        <v>3150</v>
      </c>
      <c r="N73" s="6" t="n">
        <v>3071</v>
      </c>
      <c r="O73" s="6" t="n">
        <v>9698</v>
      </c>
      <c r="P73" s="6" t="n">
        <v>10141</v>
      </c>
      <c r="Q73" s="6" t="n">
        <v>5303</v>
      </c>
      <c r="R73" s="6" t="n">
        <v>5353</v>
      </c>
      <c r="S73" s="6" t="n">
        <v>4074</v>
      </c>
      <c r="T73" s="6" t="n">
        <v>4016</v>
      </c>
      <c r="U73" s="6" t="n">
        <v>8328</v>
      </c>
      <c r="V73" s="6" t="n">
        <v>8474</v>
      </c>
    </row>
    <row r="74" customFormat="false" ht="15" hidden="false" customHeight="false" outlineLevel="0" collapsed="false">
      <c r="A74" s="5" t="s">
        <v>32</v>
      </c>
      <c r="B74" s="6" t="s">
        <v>74</v>
      </c>
      <c r="C74" s="5" t="s">
        <v>34</v>
      </c>
      <c r="D74" s="5" t="s">
        <v>35</v>
      </c>
      <c r="E74" s="6" t="n">
        <v>329551</v>
      </c>
      <c r="F74" s="6" t="n">
        <v>320371</v>
      </c>
      <c r="G74" s="6" t="n">
        <v>191510</v>
      </c>
      <c r="H74" s="6" t="n">
        <v>188200</v>
      </c>
      <c r="I74" s="6" t="n">
        <v>52524</v>
      </c>
      <c r="J74" s="6" t="n">
        <v>53395</v>
      </c>
      <c r="K74" s="6" t="n">
        <v>8380</v>
      </c>
      <c r="L74" s="6" t="n">
        <v>8035</v>
      </c>
      <c r="M74" s="6" t="n">
        <v>3052</v>
      </c>
      <c r="N74" s="6" t="n">
        <v>2768</v>
      </c>
      <c r="O74" s="6" t="n">
        <v>9055</v>
      </c>
      <c r="P74" s="6" t="n">
        <v>9123</v>
      </c>
      <c r="Q74" s="6" t="n">
        <v>4552</v>
      </c>
      <c r="R74" s="6" t="n">
        <v>4387</v>
      </c>
      <c r="S74" s="6" t="n">
        <v>2130</v>
      </c>
      <c r="T74" s="6" t="n">
        <v>2783</v>
      </c>
      <c r="U74" s="6" t="n">
        <v>6924</v>
      </c>
      <c r="V74" s="6" t="n">
        <v>7037</v>
      </c>
    </row>
    <row r="75" customFormat="false" ht="15" hidden="false" customHeight="false" outlineLevel="0" collapsed="false">
      <c r="A75" s="5" t="s">
        <v>32</v>
      </c>
      <c r="B75" s="6" t="s">
        <v>74</v>
      </c>
      <c r="C75" s="5" t="s">
        <v>36</v>
      </c>
      <c r="D75" s="5" t="s">
        <v>35</v>
      </c>
      <c r="E75" s="6" t="n">
        <v>343181</v>
      </c>
      <c r="F75" s="6" t="n">
        <v>328076</v>
      </c>
      <c r="G75" s="6" t="n">
        <v>186095</v>
      </c>
      <c r="H75" s="6" t="n">
        <v>176867</v>
      </c>
      <c r="I75" s="6" t="n">
        <v>55935</v>
      </c>
      <c r="J75" s="6" t="n">
        <v>55063</v>
      </c>
      <c r="K75" s="6" t="n">
        <v>8803</v>
      </c>
      <c r="L75" s="6" t="n">
        <v>7911</v>
      </c>
      <c r="M75" s="6" t="n">
        <v>4743</v>
      </c>
      <c r="N75" s="6" t="n">
        <v>5623</v>
      </c>
      <c r="O75" s="6" t="n">
        <v>8954</v>
      </c>
      <c r="P75" s="6" t="n">
        <v>8504</v>
      </c>
      <c r="Q75" s="6" t="n">
        <v>5320</v>
      </c>
      <c r="R75" s="6" t="n">
        <v>5273</v>
      </c>
      <c r="S75" s="6" t="n">
        <v>3452</v>
      </c>
      <c r="T75" s="6" t="n">
        <v>3254</v>
      </c>
      <c r="U75" s="6" t="n">
        <v>8388</v>
      </c>
      <c r="V75" s="6" t="n">
        <v>8280</v>
      </c>
    </row>
    <row r="76" customFormat="false" ht="15" hidden="false" customHeight="false" outlineLevel="0" collapsed="false">
      <c r="A76" s="5" t="s">
        <v>32</v>
      </c>
      <c r="B76" s="6" t="s">
        <v>74</v>
      </c>
      <c r="C76" s="5" t="s">
        <v>37</v>
      </c>
      <c r="D76" s="5" t="s">
        <v>35</v>
      </c>
      <c r="E76" s="6" t="n">
        <v>332766</v>
      </c>
      <c r="F76" s="6" t="n">
        <v>334818</v>
      </c>
      <c r="G76" s="6" t="n">
        <v>190356</v>
      </c>
      <c r="H76" s="6" t="n">
        <v>190014</v>
      </c>
      <c r="I76" s="6" t="n">
        <v>54660</v>
      </c>
      <c r="J76" s="6" t="n">
        <v>55840</v>
      </c>
      <c r="K76" s="6" t="n">
        <v>10824</v>
      </c>
      <c r="L76" s="6" t="n">
        <v>10395</v>
      </c>
      <c r="M76" s="6" t="n">
        <v>4868</v>
      </c>
      <c r="N76" s="6" t="n">
        <v>6291</v>
      </c>
      <c r="O76" s="6" t="n">
        <v>7526</v>
      </c>
      <c r="P76" s="6" t="n">
        <v>7306</v>
      </c>
      <c r="Q76" s="6" t="n">
        <v>5010</v>
      </c>
      <c r="R76" s="6" t="n">
        <v>5024</v>
      </c>
      <c r="S76" s="6" t="n">
        <v>3926</v>
      </c>
      <c r="T76" s="6" t="n">
        <v>5065</v>
      </c>
      <c r="U76" s="6" t="n">
        <v>9322</v>
      </c>
      <c r="V76" s="6" t="n">
        <v>9120</v>
      </c>
    </row>
    <row r="77" customFormat="false" ht="15" hidden="false" customHeight="false" outlineLevel="0" collapsed="false">
      <c r="A77" s="5" t="s">
        <v>32</v>
      </c>
      <c r="B77" s="6" t="s">
        <v>74</v>
      </c>
      <c r="C77" s="5" t="s">
        <v>38</v>
      </c>
      <c r="D77" s="5" t="s">
        <v>35</v>
      </c>
      <c r="E77" s="6" t="n">
        <v>340627</v>
      </c>
      <c r="F77" s="6" t="n">
        <v>334952</v>
      </c>
      <c r="G77" s="6" t="n">
        <v>201803</v>
      </c>
      <c r="H77" s="6" t="n">
        <v>201029</v>
      </c>
      <c r="I77" s="6" t="n">
        <v>48736</v>
      </c>
      <c r="J77" s="6" t="n">
        <v>51809</v>
      </c>
      <c r="K77" s="6" t="n">
        <v>11161</v>
      </c>
      <c r="L77" s="6" t="n">
        <v>10441</v>
      </c>
      <c r="M77" s="6" t="n">
        <v>4545</v>
      </c>
      <c r="N77" s="6" t="n">
        <v>4256</v>
      </c>
      <c r="O77" s="6" t="n">
        <v>9215</v>
      </c>
      <c r="P77" s="6" t="n">
        <v>8722</v>
      </c>
      <c r="Q77" s="6" t="n">
        <v>5280</v>
      </c>
      <c r="R77" s="6" t="n">
        <v>5516</v>
      </c>
      <c r="S77" s="6" t="n">
        <v>2498</v>
      </c>
      <c r="T77" s="6" t="n">
        <v>2675</v>
      </c>
      <c r="U77" s="6" t="n">
        <v>8003</v>
      </c>
      <c r="V77" s="6" t="n">
        <v>7776</v>
      </c>
    </row>
    <row r="78" customFormat="false" ht="15" hidden="false" customHeight="false" outlineLevel="0" collapsed="false">
      <c r="A78" s="5" t="s">
        <v>32</v>
      </c>
      <c r="B78" s="6" t="s">
        <v>74</v>
      </c>
      <c r="C78" s="5" t="s">
        <v>39</v>
      </c>
      <c r="D78" s="5" t="s">
        <v>35</v>
      </c>
      <c r="E78" s="6" t="n">
        <v>332503</v>
      </c>
      <c r="F78" s="6" t="n">
        <v>332423</v>
      </c>
      <c r="G78" s="6" t="n">
        <v>184255</v>
      </c>
      <c r="H78" s="6" t="n">
        <v>194093</v>
      </c>
      <c r="I78" s="6" t="n">
        <v>50290</v>
      </c>
      <c r="J78" s="6" t="n">
        <v>48937</v>
      </c>
      <c r="K78" s="6" t="n">
        <v>11293</v>
      </c>
      <c r="L78" s="6" t="n">
        <v>12442</v>
      </c>
      <c r="M78" s="6" t="n">
        <v>4173</v>
      </c>
      <c r="N78" s="6" t="n">
        <v>4990</v>
      </c>
      <c r="O78" s="6" t="n">
        <v>6443</v>
      </c>
      <c r="P78" s="6" t="n">
        <v>6260</v>
      </c>
      <c r="Q78" s="6" t="n">
        <v>6197</v>
      </c>
      <c r="R78" s="6" t="n">
        <v>6319</v>
      </c>
      <c r="S78" s="6" t="n">
        <v>2272</v>
      </c>
      <c r="T78" s="6" t="n">
        <v>2779</v>
      </c>
      <c r="U78" s="6" t="n">
        <v>8142</v>
      </c>
      <c r="V78" s="6" t="n">
        <v>7900</v>
      </c>
    </row>
    <row r="79" customFormat="false" ht="15" hidden="false" customHeight="false" outlineLevel="0" collapsed="false">
      <c r="A79" s="5" t="s">
        <v>32</v>
      </c>
      <c r="B79" s="6" t="s">
        <v>74</v>
      </c>
      <c r="C79" s="5" t="s">
        <v>40</v>
      </c>
      <c r="D79" s="5" t="s">
        <v>35</v>
      </c>
      <c r="E79" s="6" t="n">
        <v>347570</v>
      </c>
      <c r="F79" s="6" t="n">
        <v>358057</v>
      </c>
      <c r="G79" s="6" t="n">
        <v>205100</v>
      </c>
      <c r="H79" s="6" t="n">
        <v>213953</v>
      </c>
      <c r="I79" s="6" t="n">
        <v>56243</v>
      </c>
      <c r="J79" s="6" t="n">
        <v>57821</v>
      </c>
      <c r="K79" s="6" t="n">
        <v>7531</v>
      </c>
      <c r="L79" s="6" t="n">
        <v>7052</v>
      </c>
      <c r="M79" s="6" t="n">
        <v>3513</v>
      </c>
      <c r="N79" s="6" t="n">
        <v>2894</v>
      </c>
      <c r="O79" s="6" t="n">
        <v>7715</v>
      </c>
      <c r="P79" s="6" t="n">
        <v>8200</v>
      </c>
      <c r="Q79" s="6" t="n">
        <v>5442</v>
      </c>
      <c r="R79" s="6" t="n">
        <v>5230</v>
      </c>
      <c r="S79" s="6" t="n">
        <v>3973</v>
      </c>
      <c r="T79" s="6" t="n">
        <v>4601</v>
      </c>
      <c r="U79" s="6" t="n">
        <v>7009</v>
      </c>
      <c r="V79" s="6" t="n">
        <v>7015</v>
      </c>
    </row>
    <row r="80" customFormat="false" ht="15" hidden="false" customHeight="false" outlineLevel="0" collapsed="false">
      <c r="A80" s="5" t="s">
        <v>32</v>
      </c>
      <c r="B80" s="6" t="s">
        <v>74</v>
      </c>
      <c r="C80" s="5" t="s">
        <v>41</v>
      </c>
      <c r="D80" s="5" t="s">
        <v>35</v>
      </c>
      <c r="E80" s="6" t="n">
        <v>316159</v>
      </c>
      <c r="F80" s="6" t="n">
        <v>330286</v>
      </c>
      <c r="G80" s="6" t="n">
        <v>178868</v>
      </c>
      <c r="H80" s="6" t="n">
        <v>190408</v>
      </c>
      <c r="I80" s="6" t="n">
        <v>46544</v>
      </c>
      <c r="J80" s="6" t="n">
        <v>47280</v>
      </c>
      <c r="K80" s="6" t="n">
        <v>9474</v>
      </c>
      <c r="L80" s="6" t="n">
        <v>8296</v>
      </c>
      <c r="M80" s="6" t="n">
        <v>4686</v>
      </c>
      <c r="N80" s="6" t="n">
        <v>3907</v>
      </c>
      <c r="O80" s="6" t="n">
        <v>7354</v>
      </c>
      <c r="P80" s="6" t="n">
        <v>7437</v>
      </c>
      <c r="Q80" s="6" t="n">
        <v>6294</v>
      </c>
      <c r="R80" s="6" t="n">
        <v>6328</v>
      </c>
      <c r="S80" s="6" t="n">
        <v>2638</v>
      </c>
      <c r="T80" s="6" t="n">
        <v>2855</v>
      </c>
      <c r="U80" s="6" t="n">
        <v>8333</v>
      </c>
      <c r="V80" s="6" t="n">
        <v>8574</v>
      </c>
    </row>
    <row r="81" customFormat="false" ht="15" hidden="false" customHeight="false" outlineLevel="0" collapsed="false">
      <c r="A81" s="5" t="s">
        <v>32</v>
      </c>
      <c r="B81" s="6" t="s">
        <v>74</v>
      </c>
      <c r="C81" s="5" t="s">
        <v>42</v>
      </c>
      <c r="D81" s="5" t="s">
        <v>35</v>
      </c>
      <c r="E81" s="6" t="n">
        <v>311283</v>
      </c>
      <c r="F81" s="6" t="n">
        <v>330467</v>
      </c>
      <c r="G81" s="6" t="n">
        <v>182820</v>
      </c>
      <c r="H81" s="6" t="n">
        <v>193175</v>
      </c>
      <c r="I81" s="6" t="n">
        <v>50424</v>
      </c>
      <c r="J81" s="6" t="n">
        <v>52396</v>
      </c>
      <c r="K81" s="6" t="n">
        <v>9828</v>
      </c>
      <c r="L81" s="6" t="n">
        <v>10521</v>
      </c>
      <c r="M81" s="6" t="n">
        <v>3215</v>
      </c>
      <c r="N81" s="6" t="n">
        <v>2643</v>
      </c>
      <c r="O81" s="6" t="n">
        <v>7303</v>
      </c>
      <c r="P81" s="6" t="n">
        <v>7788</v>
      </c>
      <c r="Q81" s="6" t="n">
        <v>4171</v>
      </c>
      <c r="R81" s="6" t="n">
        <v>4287</v>
      </c>
      <c r="S81" s="6" t="n">
        <v>2735</v>
      </c>
      <c r="T81" s="6" t="n">
        <v>3329</v>
      </c>
      <c r="U81" s="6" t="n">
        <v>8192</v>
      </c>
      <c r="V81" s="6" t="n">
        <v>8345</v>
      </c>
    </row>
    <row r="82" customFormat="false" ht="15" hidden="false" customHeight="false" outlineLevel="0" collapsed="false">
      <c r="A82" s="5" t="s">
        <v>32</v>
      </c>
      <c r="B82" s="6" t="s">
        <v>74</v>
      </c>
      <c r="C82" s="5" t="s">
        <v>43</v>
      </c>
      <c r="D82" s="5" t="s">
        <v>35</v>
      </c>
      <c r="E82" s="6" t="n">
        <v>367505</v>
      </c>
      <c r="F82" s="6" t="n">
        <v>355716</v>
      </c>
      <c r="G82" s="6" t="n">
        <v>208545</v>
      </c>
      <c r="H82" s="6" t="n">
        <v>199960</v>
      </c>
      <c r="I82" s="6" t="n">
        <v>51934</v>
      </c>
      <c r="J82" s="6" t="n">
        <v>51515</v>
      </c>
      <c r="K82" s="6" t="n">
        <v>7581</v>
      </c>
      <c r="L82" s="6" t="n">
        <v>8567</v>
      </c>
      <c r="M82" s="6" t="n">
        <v>4266</v>
      </c>
      <c r="N82" s="6" t="n">
        <v>5523</v>
      </c>
      <c r="O82" s="6" t="n">
        <v>8611</v>
      </c>
      <c r="P82" s="6" t="n">
        <v>8315</v>
      </c>
      <c r="Q82" s="6" t="n">
        <v>6625</v>
      </c>
      <c r="R82" s="6" t="n">
        <v>6420</v>
      </c>
      <c r="S82" s="6" t="n">
        <v>2992</v>
      </c>
      <c r="T82" s="6" t="n">
        <v>3795</v>
      </c>
      <c r="U82" s="6" t="n">
        <v>10532</v>
      </c>
      <c r="V82" s="6" t="n">
        <v>10426</v>
      </c>
    </row>
    <row r="83" customFormat="false" ht="15" hidden="false" customHeight="false" outlineLevel="0" collapsed="false">
      <c r="A83" s="5" t="s">
        <v>32</v>
      </c>
      <c r="B83" s="6" t="s">
        <v>74</v>
      </c>
      <c r="C83" s="5" t="s">
        <v>44</v>
      </c>
      <c r="D83" s="5" t="s">
        <v>35</v>
      </c>
      <c r="E83" s="6" t="n">
        <v>321398</v>
      </c>
      <c r="F83" s="6" t="n">
        <v>326570</v>
      </c>
      <c r="G83" s="6" t="n">
        <v>190708</v>
      </c>
      <c r="H83" s="6" t="n">
        <v>199382</v>
      </c>
      <c r="I83" s="6" t="n">
        <v>53622</v>
      </c>
      <c r="J83" s="6" t="n">
        <v>54294</v>
      </c>
      <c r="K83" s="6" t="n">
        <v>11122</v>
      </c>
      <c r="L83" s="6" t="n">
        <v>11109</v>
      </c>
      <c r="M83" s="6" t="n">
        <v>3691</v>
      </c>
      <c r="N83" s="6" t="n">
        <v>4659</v>
      </c>
      <c r="O83" s="6" t="n">
        <v>7454</v>
      </c>
      <c r="P83" s="6" t="n">
        <v>7933</v>
      </c>
      <c r="Q83" s="6" t="n">
        <v>5726</v>
      </c>
      <c r="R83" s="6" t="n">
        <v>5485</v>
      </c>
      <c r="S83" s="6" t="n">
        <v>3090</v>
      </c>
      <c r="T83" s="6" t="n">
        <v>3997</v>
      </c>
      <c r="U83" s="6" t="n">
        <v>8181</v>
      </c>
      <c r="V83" s="6" t="n">
        <v>8093</v>
      </c>
    </row>
    <row r="84" customFormat="false" ht="15" hidden="false" customHeight="false" outlineLevel="0" collapsed="false">
      <c r="A84" s="5" t="s">
        <v>32</v>
      </c>
      <c r="B84" s="6" t="s">
        <v>74</v>
      </c>
      <c r="C84" s="5" t="s">
        <v>45</v>
      </c>
      <c r="D84" s="5" t="s">
        <v>35</v>
      </c>
      <c r="E84" s="6" t="n">
        <v>330722</v>
      </c>
      <c r="F84" s="6" t="n">
        <v>324457</v>
      </c>
      <c r="G84" s="6" t="n">
        <v>184672</v>
      </c>
      <c r="H84" s="6" t="n">
        <v>184461</v>
      </c>
      <c r="I84" s="6" t="n">
        <v>50529</v>
      </c>
      <c r="J84" s="6" t="n">
        <v>52847</v>
      </c>
      <c r="K84" s="6" t="n">
        <v>8358</v>
      </c>
      <c r="L84" s="6" t="n">
        <v>7211</v>
      </c>
      <c r="M84" s="6" t="n">
        <v>4660</v>
      </c>
      <c r="N84" s="6" t="n">
        <v>4549</v>
      </c>
      <c r="O84" s="6" t="n">
        <v>9254</v>
      </c>
      <c r="P84" s="6" t="n">
        <v>8971</v>
      </c>
      <c r="Q84" s="6" t="n">
        <v>6562</v>
      </c>
      <c r="R84" s="6" t="n">
        <v>6856</v>
      </c>
      <c r="S84" s="6" t="n">
        <v>2133</v>
      </c>
      <c r="T84" s="6" t="n">
        <v>2522</v>
      </c>
      <c r="U84" s="6" t="n">
        <v>7816</v>
      </c>
      <c r="V84" s="6" t="n">
        <v>7957</v>
      </c>
    </row>
    <row r="85" customFormat="false" ht="15" hidden="false" customHeight="false" outlineLevel="0" collapsed="false">
      <c r="A85" s="5" t="s">
        <v>32</v>
      </c>
      <c r="B85" s="6" t="s">
        <v>74</v>
      </c>
      <c r="C85" s="5" t="s">
        <v>46</v>
      </c>
      <c r="D85" s="5" t="s">
        <v>35</v>
      </c>
      <c r="E85" s="6" t="n">
        <v>377462</v>
      </c>
      <c r="F85" s="6" t="n">
        <v>358010</v>
      </c>
      <c r="G85" s="6" t="n">
        <v>207063</v>
      </c>
      <c r="H85" s="6" t="n">
        <v>200108</v>
      </c>
      <c r="I85" s="6" t="n">
        <v>61692</v>
      </c>
      <c r="J85" s="6" t="n">
        <v>60077</v>
      </c>
      <c r="K85" s="6" t="n">
        <v>7930</v>
      </c>
      <c r="L85" s="6" t="n">
        <v>8593</v>
      </c>
      <c r="M85" s="6" t="n">
        <v>3988</v>
      </c>
      <c r="N85" s="6" t="n">
        <v>3954</v>
      </c>
      <c r="O85" s="6" t="n">
        <v>8935</v>
      </c>
      <c r="P85" s="6" t="n">
        <v>9193</v>
      </c>
      <c r="Q85" s="6" t="n">
        <v>6580</v>
      </c>
      <c r="R85" s="6" t="n">
        <v>6875</v>
      </c>
      <c r="S85" s="6" t="n">
        <v>3107</v>
      </c>
      <c r="T85" s="6" t="n">
        <v>3908</v>
      </c>
      <c r="U85" s="6" t="n">
        <v>9716</v>
      </c>
      <c r="V85" s="6" t="n">
        <v>9733</v>
      </c>
    </row>
    <row r="86" customFormat="false" ht="15" hidden="false" customHeight="false" outlineLevel="0" collapsed="false">
      <c r="A86" s="5" t="s">
        <v>32</v>
      </c>
      <c r="B86" s="6" t="s">
        <v>74</v>
      </c>
      <c r="C86" s="5" t="s">
        <v>47</v>
      </c>
      <c r="D86" s="5" t="s">
        <v>48</v>
      </c>
      <c r="E86" s="6" t="n">
        <v>338291</v>
      </c>
      <c r="F86" s="6" t="n">
        <v>332327</v>
      </c>
      <c r="G86" s="6" t="n">
        <v>187744</v>
      </c>
      <c r="H86" s="6" t="n">
        <v>179672</v>
      </c>
      <c r="I86" s="6" t="n">
        <v>54827</v>
      </c>
      <c r="J86" s="6" t="n">
        <v>56192</v>
      </c>
      <c r="K86" s="6" t="n">
        <v>8730</v>
      </c>
      <c r="L86" s="6" t="n">
        <v>8892</v>
      </c>
      <c r="M86" s="6" t="n">
        <v>3326</v>
      </c>
      <c r="N86" s="6" t="n">
        <v>3094</v>
      </c>
      <c r="O86" s="6" t="n">
        <v>7599</v>
      </c>
      <c r="P86" s="6" t="n">
        <v>8354</v>
      </c>
      <c r="Q86" s="6" t="n">
        <v>4832</v>
      </c>
      <c r="R86" s="6" t="n">
        <v>5033</v>
      </c>
      <c r="S86" s="6" t="n">
        <v>3027</v>
      </c>
      <c r="T86" s="6" t="n">
        <v>2644</v>
      </c>
      <c r="U86" s="6" t="n">
        <v>9651</v>
      </c>
      <c r="V86" s="6" t="n">
        <v>9623</v>
      </c>
    </row>
    <row r="87" customFormat="false" ht="15" hidden="false" customHeight="false" outlineLevel="0" collapsed="false">
      <c r="A87" s="5" t="s">
        <v>32</v>
      </c>
      <c r="B87" s="6" t="s">
        <v>74</v>
      </c>
      <c r="C87" s="5" t="s">
        <v>49</v>
      </c>
      <c r="D87" s="5" t="s">
        <v>48</v>
      </c>
      <c r="E87" s="6" t="n">
        <v>338926</v>
      </c>
      <c r="F87" s="6" t="n">
        <v>341173</v>
      </c>
      <c r="G87" s="6" t="n">
        <v>184805</v>
      </c>
      <c r="H87" s="6" t="n">
        <v>190840</v>
      </c>
      <c r="I87" s="6" t="n">
        <v>56047</v>
      </c>
      <c r="J87" s="6" t="n">
        <v>56336</v>
      </c>
      <c r="K87" s="6" t="n">
        <v>8545</v>
      </c>
      <c r="L87" s="6" t="n">
        <v>7430</v>
      </c>
      <c r="M87" s="6" t="n">
        <v>3998</v>
      </c>
      <c r="N87" s="6" t="n">
        <v>4980</v>
      </c>
      <c r="O87" s="6" t="n">
        <v>8986</v>
      </c>
      <c r="P87" s="6" t="n">
        <v>9418</v>
      </c>
      <c r="Q87" s="6" t="n">
        <v>6581</v>
      </c>
      <c r="R87" s="6" t="n">
        <v>6672</v>
      </c>
      <c r="S87" s="6" t="n">
        <v>3648</v>
      </c>
      <c r="T87" s="6" t="n">
        <v>4032</v>
      </c>
      <c r="U87" s="6" t="n">
        <v>7190</v>
      </c>
      <c r="V87" s="6" t="n">
        <v>7061</v>
      </c>
    </row>
    <row r="88" customFormat="false" ht="15" hidden="false" customHeight="false" outlineLevel="0" collapsed="false">
      <c r="A88" s="5" t="s">
        <v>32</v>
      </c>
      <c r="B88" s="6" t="s">
        <v>74</v>
      </c>
      <c r="C88" s="5" t="s">
        <v>50</v>
      </c>
      <c r="D88" s="5" t="s">
        <v>48</v>
      </c>
      <c r="E88" s="6" t="n">
        <v>351617</v>
      </c>
      <c r="F88" s="6" t="n">
        <v>339778</v>
      </c>
      <c r="G88" s="6" t="n">
        <v>190428</v>
      </c>
      <c r="H88" s="6" t="n">
        <v>186633</v>
      </c>
      <c r="I88" s="6" t="n">
        <v>53118</v>
      </c>
      <c r="J88" s="6" t="n">
        <v>56220</v>
      </c>
      <c r="K88" s="6" t="n">
        <v>9942</v>
      </c>
      <c r="L88" s="6" t="n">
        <v>10276</v>
      </c>
      <c r="M88" s="6" t="n">
        <v>3025</v>
      </c>
      <c r="N88" s="6" t="n">
        <v>2888</v>
      </c>
      <c r="O88" s="6" t="n">
        <v>9844</v>
      </c>
      <c r="P88" s="6" t="n">
        <v>10330</v>
      </c>
      <c r="Q88" s="6" t="n">
        <v>5698</v>
      </c>
      <c r="R88" s="6" t="n">
        <v>5851</v>
      </c>
      <c r="S88" s="6" t="n">
        <v>3847</v>
      </c>
      <c r="T88" s="6" t="n">
        <v>3248</v>
      </c>
      <c r="U88" s="6" t="n">
        <v>10451</v>
      </c>
      <c r="V88" s="6" t="n">
        <v>10540</v>
      </c>
    </row>
    <row r="89" customFormat="false" ht="15" hidden="false" customHeight="false" outlineLevel="0" collapsed="false">
      <c r="A89" s="5" t="s">
        <v>32</v>
      </c>
      <c r="B89" s="6" t="s">
        <v>74</v>
      </c>
      <c r="C89" s="5" t="s">
        <v>51</v>
      </c>
      <c r="D89" s="5" t="s">
        <v>48</v>
      </c>
      <c r="E89" s="6" t="n">
        <v>350066</v>
      </c>
      <c r="F89" s="6" t="n">
        <v>342660</v>
      </c>
      <c r="G89" s="6" t="n">
        <v>196272</v>
      </c>
      <c r="H89" s="6" t="n">
        <v>200308</v>
      </c>
      <c r="I89" s="6" t="n">
        <v>57204</v>
      </c>
      <c r="J89" s="6" t="n">
        <v>59514</v>
      </c>
      <c r="K89" s="6" t="n">
        <v>7957</v>
      </c>
      <c r="L89" s="6" t="n">
        <v>9070</v>
      </c>
      <c r="M89" s="6" t="n">
        <v>3861</v>
      </c>
      <c r="N89" s="6" t="n">
        <v>4847</v>
      </c>
      <c r="O89" s="6" t="n">
        <v>6495</v>
      </c>
      <c r="P89" s="6" t="n">
        <v>6121</v>
      </c>
      <c r="Q89" s="6" t="n">
        <v>4629</v>
      </c>
      <c r="R89" s="6" t="n">
        <v>4474</v>
      </c>
      <c r="S89" s="6" t="n">
        <v>2778</v>
      </c>
      <c r="T89" s="6" t="n">
        <v>3405</v>
      </c>
      <c r="U89" s="6" t="n">
        <v>8213</v>
      </c>
      <c r="V89" s="6" t="n">
        <v>8430</v>
      </c>
    </row>
    <row r="90" customFormat="false" ht="15" hidden="false" customHeight="false" outlineLevel="0" collapsed="false">
      <c r="A90" s="5" t="s">
        <v>32</v>
      </c>
      <c r="B90" s="6" t="s">
        <v>74</v>
      </c>
      <c r="C90" s="5" t="s">
        <v>52</v>
      </c>
      <c r="D90" s="5" t="s">
        <v>48</v>
      </c>
      <c r="E90" s="6" t="n">
        <v>366331</v>
      </c>
      <c r="F90" s="6" t="n">
        <v>351730</v>
      </c>
      <c r="G90" s="6" t="n">
        <v>203327</v>
      </c>
      <c r="H90" s="6" t="n">
        <v>199357</v>
      </c>
      <c r="I90" s="6" t="n">
        <v>57340</v>
      </c>
      <c r="J90" s="6" t="n">
        <v>56409</v>
      </c>
      <c r="K90" s="6" t="n">
        <v>8991</v>
      </c>
      <c r="L90" s="6" t="n">
        <v>9081</v>
      </c>
      <c r="M90" s="6" t="n">
        <v>4219</v>
      </c>
      <c r="N90" s="6" t="n">
        <v>3731</v>
      </c>
      <c r="O90" s="6" t="n">
        <v>10043</v>
      </c>
      <c r="P90" s="6" t="n">
        <v>9518</v>
      </c>
      <c r="Q90" s="6" t="n">
        <v>6326</v>
      </c>
      <c r="R90" s="6" t="n">
        <v>6466</v>
      </c>
      <c r="S90" s="6" t="n">
        <v>3528</v>
      </c>
      <c r="T90" s="6" t="n">
        <v>4606</v>
      </c>
      <c r="U90" s="6" t="n">
        <v>9391</v>
      </c>
      <c r="V90" s="6" t="n">
        <v>9574</v>
      </c>
    </row>
    <row r="91" customFormat="false" ht="15" hidden="false" customHeight="false" outlineLevel="0" collapsed="false">
      <c r="A91" s="5" t="s">
        <v>32</v>
      </c>
      <c r="B91" s="6" t="s">
        <v>74</v>
      </c>
      <c r="C91" s="5" t="s">
        <v>53</v>
      </c>
      <c r="D91" s="5" t="s">
        <v>48</v>
      </c>
      <c r="E91" s="6" t="n">
        <v>357446</v>
      </c>
      <c r="F91" s="6" t="n">
        <v>378068</v>
      </c>
      <c r="G91" s="6" t="n">
        <v>206778</v>
      </c>
      <c r="H91" s="6" t="n">
        <v>222049</v>
      </c>
      <c r="I91" s="6" t="n">
        <v>57025</v>
      </c>
      <c r="J91" s="6" t="n">
        <v>60125</v>
      </c>
      <c r="K91" s="6" t="n">
        <v>9383</v>
      </c>
      <c r="L91" s="6" t="n">
        <v>9774</v>
      </c>
      <c r="M91" s="6" t="n">
        <v>4106</v>
      </c>
      <c r="N91" s="6" t="n">
        <v>4572</v>
      </c>
      <c r="O91" s="6" t="n">
        <v>7469</v>
      </c>
      <c r="P91" s="6" t="n">
        <v>8158</v>
      </c>
      <c r="Q91" s="6" t="n">
        <v>5670</v>
      </c>
      <c r="R91" s="6" t="n">
        <v>5843</v>
      </c>
      <c r="S91" s="6" t="n">
        <v>3614</v>
      </c>
      <c r="T91" s="6" t="n">
        <v>3536</v>
      </c>
      <c r="U91" s="6" t="n">
        <v>7410</v>
      </c>
      <c r="V91" s="6" t="n">
        <v>7214</v>
      </c>
    </row>
    <row r="92" customFormat="false" ht="15" hidden="false" customHeight="false" outlineLevel="0" collapsed="false">
      <c r="A92" s="5" t="s">
        <v>32</v>
      </c>
      <c r="B92" s="6" t="s">
        <v>74</v>
      </c>
      <c r="C92" s="5" t="s">
        <v>54</v>
      </c>
      <c r="D92" s="5" t="s">
        <v>48</v>
      </c>
      <c r="E92" s="6" t="n">
        <v>350868</v>
      </c>
      <c r="F92" s="6" t="n">
        <v>351532</v>
      </c>
      <c r="G92" s="6" t="n">
        <v>193764</v>
      </c>
      <c r="H92" s="6" t="n">
        <v>197763</v>
      </c>
      <c r="I92" s="6" t="n">
        <v>52412</v>
      </c>
      <c r="J92" s="6" t="n">
        <v>54981</v>
      </c>
      <c r="K92" s="6" t="n">
        <v>10881</v>
      </c>
      <c r="L92" s="6" t="n">
        <v>12059</v>
      </c>
      <c r="M92" s="6" t="n">
        <v>5203</v>
      </c>
      <c r="N92" s="6" t="n">
        <v>4503</v>
      </c>
      <c r="O92" s="6" t="n">
        <v>7616</v>
      </c>
      <c r="P92" s="6" t="n">
        <v>7777</v>
      </c>
      <c r="Q92" s="6" t="n">
        <v>5106</v>
      </c>
      <c r="R92" s="6" t="n">
        <v>5089</v>
      </c>
      <c r="S92" s="6" t="n">
        <v>2668</v>
      </c>
      <c r="T92" s="6" t="n">
        <v>2531</v>
      </c>
      <c r="U92" s="6" t="n">
        <v>7357</v>
      </c>
      <c r="V92" s="6" t="n">
        <v>7264</v>
      </c>
    </row>
    <row r="93" customFormat="false" ht="15" hidden="false" customHeight="false" outlineLevel="0" collapsed="false">
      <c r="A93" s="5" t="s">
        <v>32</v>
      </c>
      <c r="B93" s="6" t="s">
        <v>74</v>
      </c>
      <c r="C93" s="5" t="s">
        <v>55</v>
      </c>
      <c r="D93" s="5" t="s">
        <v>48</v>
      </c>
      <c r="E93" s="6" t="n">
        <v>358474</v>
      </c>
      <c r="F93" s="6" t="n">
        <v>353579</v>
      </c>
      <c r="G93" s="6" t="n">
        <v>198916</v>
      </c>
      <c r="H93" s="6" t="n">
        <v>204426</v>
      </c>
      <c r="I93" s="6" t="n">
        <v>51904</v>
      </c>
      <c r="J93" s="6" t="n">
        <v>52216</v>
      </c>
      <c r="K93" s="6" t="n">
        <v>10276</v>
      </c>
      <c r="L93" s="6" t="n">
        <v>9699</v>
      </c>
      <c r="M93" s="6" t="n">
        <v>4783</v>
      </c>
      <c r="N93" s="6" t="n">
        <v>5018</v>
      </c>
      <c r="O93" s="6" t="n">
        <v>8298</v>
      </c>
      <c r="P93" s="6" t="n">
        <v>8379</v>
      </c>
      <c r="Q93" s="6" t="n">
        <v>5187</v>
      </c>
      <c r="R93" s="6" t="n">
        <v>4940</v>
      </c>
      <c r="S93" s="6" t="n">
        <v>4184</v>
      </c>
      <c r="T93" s="6" t="n">
        <v>4616</v>
      </c>
      <c r="U93" s="6" t="n">
        <v>10635</v>
      </c>
      <c r="V93" s="6" t="n">
        <v>10453</v>
      </c>
    </row>
    <row r="94" customFormat="false" ht="15" hidden="false" customHeight="false" outlineLevel="0" collapsed="false">
      <c r="A94" s="5" t="s">
        <v>32</v>
      </c>
      <c r="B94" s="6" t="s">
        <v>74</v>
      </c>
      <c r="C94" s="5" t="s">
        <v>56</v>
      </c>
      <c r="D94" s="5" t="s">
        <v>48</v>
      </c>
      <c r="E94" s="6" t="n">
        <v>364314</v>
      </c>
      <c r="F94" s="6" t="n">
        <v>385084</v>
      </c>
      <c r="G94" s="6" t="n">
        <v>207547</v>
      </c>
      <c r="H94" s="6" t="n">
        <v>228667</v>
      </c>
      <c r="I94" s="6" t="n">
        <v>58155</v>
      </c>
      <c r="J94" s="6" t="n">
        <v>59421</v>
      </c>
      <c r="K94" s="6" t="n">
        <v>10219</v>
      </c>
      <c r="L94" s="6" t="n">
        <v>11283</v>
      </c>
      <c r="M94" s="6" t="n">
        <v>4013</v>
      </c>
      <c r="N94" s="6" t="n">
        <v>4981</v>
      </c>
      <c r="O94" s="6" t="n">
        <v>9208</v>
      </c>
      <c r="P94" s="6" t="n">
        <v>9737</v>
      </c>
      <c r="Q94" s="6" t="n">
        <v>5438</v>
      </c>
      <c r="R94" s="6" t="n">
        <v>5384</v>
      </c>
      <c r="S94" s="6" t="n">
        <v>3432</v>
      </c>
      <c r="T94" s="6" t="n">
        <v>3146</v>
      </c>
      <c r="U94" s="6" t="n">
        <v>9302</v>
      </c>
      <c r="V94" s="6" t="n">
        <v>9064</v>
      </c>
    </row>
    <row r="95" customFormat="false" ht="15" hidden="false" customHeight="false" outlineLevel="0" collapsed="false">
      <c r="A95" s="5" t="s">
        <v>32</v>
      </c>
      <c r="B95" s="6" t="s">
        <v>74</v>
      </c>
      <c r="C95" s="5" t="s">
        <v>57</v>
      </c>
      <c r="D95" s="5" t="s">
        <v>48</v>
      </c>
      <c r="E95" s="6" t="n">
        <v>370373</v>
      </c>
      <c r="F95" s="6" t="n">
        <v>358983</v>
      </c>
      <c r="G95" s="6" t="n">
        <v>206217</v>
      </c>
      <c r="H95" s="6" t="n">
        <v>210449</v>
      </c>
      <c r="I95" s="6" t="n">
        <v>59412</v>
      </c>
      <c r="J95" s="6" t="n">
        <v>58406</v>
      </c>
      <c r="K95" s="6" t="n">
        <v>12825</v>
      </c>
      <c r="L95" s="6" t="n">
        <v>12417</v>
      </c>
      <c r="M95" s="6" t="n">
        <v>5024</v>
      </c>
      <c r="N95" s="6" t="n">
        <v>4871</v>
      </c>
      <c r="O95" s="6" t="n">
        <v>10144</v>
      </c>
      <c r="P95" s="6" t="n">
        <v>10711</v>
      </c>
      <c r="Q95" s="6" t="n">
        <v>5034</v>
      </c>
      <c r="R95" s="6" t="n">
        <v>5039</v>
      </c>
      <c r="S95" s="6" t="n">
        <v>3334</v>
      </c>
      <c r="T95" s="6" t="n">
        <v>2758</v>
      </c>
      <c r="U95" s="6" t="n">
        <v>7915</v>
      </c>
      <c r="V95" s="6" t="n">
        <v>7836</v>
      </c>
    </row>
    <row r="96" customFormat="false" ht="15" hidden="false" customHeight="false" outlineLevel="0" collapsed="false">
      <c r="A96" s="5" t="s">
        <v>32</v>
      </c>
      <c r="B96" s="6" t="s">
        <v>74</v>
      </c>
      <c r="C96" s="5" t="s">
        <v>58</v>
      </c>
      <c r="D96" s="5" t="s">
        <v>48</v>
      </c>
      <c r="E96" s="6" t="n">
        <v>360504</v>
      </c>
      <c r="F96" s="6" t="n">
        <v>362374</v>
      </c>
      <c r="G96" s="6" t="n">
        <v>207786</v>
      </c>
      <c r="H96" s="6" t="n">
        <v>210956</v>
      </c>
      <c r="I96" s="6" t="n">
        <v>54018</v>
      </c>
      <c r="J96" s="6" t="n">
        <v>56040</v>
      </c>
      <c r="K96" s="6" t="n">
        <v>8089</v>
      </c>
      <c r="L96" s="6" t="n">
        <v>9280</v>
      </c>
      <c r="M96" s="6" t="n">
        <v>4750</v>
      </c>
      <c r="N96" s="6" t="n">
        <v>4511</v>
      </c>
      <c r="O96" s="6" t="n">
        <v>7702</v>
      </c>
      <c r="P96" s="6" t="n">
        <v>8234</v>
      </c>
      <c r="Q96" s="6" t="n">
        <v>5861</v>
      </c>
      <c r="R96" s="6" t="n">
        <v>5983</v>
      </c>
      <c r="S96" s="6" t="n">
        <v>2811</v>
      </c>
      <c r="T96" s="6" t="n">
        <v>3625</v>
      </c>
      <c r="U96" s="6" t="n">
        <v>8538</v>
      </c>
      <c r="V96" s="6" t="n">
        <v>8627</v>
      </c>
    </row>
    <row r="97" customFormat="false" ht="15" hidden="false" customHeight="false" outlineLevel="0" collapsed="false">
      <c r="A97" s="5" t="s">
        <v>32</v>
      </c>
      <c r="B97" s="6" t="s">
        <v>74</v>
      </c>
      <c r="C97" s="5" t="s">
        <v>59</v>
      </c>
      <c r="D97" s="5" t="s">
        <v>48</v>
      </c>
      <c r="E97" s="6" t="n">
        <v>408684</v>
      </c>
      <c r="F97" s="6" t="n">
        <v>404620</v>
      </c>
      <c r="G97" s="6" t="n">
        <v>240227</v>
      </c>
      <c r="H97" s="6" t="n">
        <v>244419</v>
      </c>
      <c r="I97" s="6" t="n">
        <v>65652</v>
      </c>
      <c r="J97" s="6" t="n">
        <v>63875</v>
      </c>
      <c r="K97" s="6" t="n">
        <v>11083</v>
      </c>
      <c r="L97" s="6" t="n">
        <v>12636</v>
      </c>
      <c r="M97" s="6" t="n">
        <v>5509</v>
      </c>
      <c r="N97" s="6" t="n">
        <v>6545</v>
      </c>
      <c r="O97" s="6" t="n">
        <v>9717</v>
      </c>
      <c r="P97" s="6" t="n">
        <v>10201</v>
      </c>
      <c r="Q97" s="6" t="n">
        <v>6812</v>
      </c>
      <c r="R97" s="6" t="n">
        <v>6588</v>
      </c>
      <c r="S97" s="6" t="n">
        <v>3995</v>
      </c>
      <c r="T97" s="6" t="n">
        <v>4682</v>
      </c>
      <c r="U97" s="6" t="n">
        <v>11611</v>
      </c>
      <c r="V97" s="6" t="n">
        <v>11366</v>
      </c>
    </row>
    <row r="98" customFormat="false" ht="15" hidden="false" customHeight="false" outlineLevel="0" collapsed="false">
      <c r="A98" s="5" t="s">
        <v>32</v>
      </c>
      <c r="B98" s="6" t="s">
        <v>74</v>
      </c>
      <c r="C98" s="5" t="s">
        <v>60</v>
      </c>
      <c r="D98" s="5" t="s">
        <v>61</v>
      </c>
      <c r="E98" s="6" t="n">
        <v>358505</v>
      </c>
      <c r="F98" s="6" t="n">
        <v>379857</v>
      </c>
      <c r="G98" s="6" t="n">
        <v>213989</v>
      </c>
      <c r="H98" s="6" t="n">
        <v>221224</v>
      </c>
      <c r="I98" s="6" t="n">
        <v>50394</v>
      </c>
      <c r="J98" s="6" t="n">
        <v>50621</v>
      </c>
      <c r="K98" s="6" t="n">
        <v>7984</v>
      </c>
      <c r="L98" s="6" t="n">
        <v>8440</v>
      </c>
      <c r="M98" s="6" t="n">
        <v>3898</v>
      </c>
      <c r="N98" s="6" t="n">
        <v>4629</v>
      </c>
      <c r="O98" s="6" t="n">
        <v>9753</v>
      </c>
      <c r="P98" s="6" t="n">
        <v>10505</v>
      </c>
      <c r="Q98" s="6" t="n">
        <v>6412</v>
      </c>
      <c r="R98" s="6" t="n">
        <v>6131</v>
      </c>
      <c r="S98" s="6" t="n">
        <v>2448</v>
      </c>
      <c r="T98" s="6" t="n">
        <v>2263</v>
      </c>
      <c r="U98" s="6" t="n">
        <v>8335</v>
      </c>
      <c r="V98" s="6" t="n">
        <v>8416</v>
      </c>
    </row>
    <row r="99" customFormat="false" ht="15" hidden="false" customHeight="false" outlineLevel="0" collapsed="false">
      <c r="A99" s="5" t="s">
        <v>32</v>
      </c>
      <c r="B99" s="6" t="s">
        <v>74</v>
      </c>
      <c r="C99" s="5" t="s">
        <v>62</v>
      </c>
      <c r="D99" s="5" t="s">
        <v>61</v>
      </c>
      <c r="E99" s="6" t="n">
        <v>375651</v>
      </c>
      <c r="F99" s="6" t="n">
        <v>384239</v>
      </c>
      <c r="G99" s="6" t="n">
        <v>206755</v>
      </c>
      <c r="H99" s="6" t="n">
        <v>221321</v>
      </c>
      <c r="I99" s="6" t="n">
        <v>56449</v>
      </c>
      <c r="J99" s="6" t="n">
        <v>56955</v>
      </c>
      <c r="K99" s="6" t="n">
        <v>11863</v>
      </c>
      <c r="L99" s="6" t="n">
        <v>12649</v>
      </c>
      <c r="M99" s="6" t="n">
        <v>4697</v>
      </c>
      <c r="N99" s="6" t="n">
        <v>5386</v>
      </c>
      <c r="O99" s="6" t="n">
        <v>9053</v>
      </c>
      <c r="P99" s="6" t="n">
        <v>8642</v>
      </c>
      <c r="Q99" s="6" t="n">
        <v>5249</v>
      </c>
      <c r="R99" s="6" t="n">
        <v>5279</v>
      </c>
      <c r="S99" s="6" t="n">
        <v>2761</v>
      </c>
      <c r="T99" s="6" t="n">
        <v>3821</v>
      </c>
      <c r="U99" s="6" t="n">
        <v>8631</v>
      </c>
      <c r="V99" s="6" t="n">
        <v>8522</v>
      </c>
    </row>
    <row r="100" customFormat="false" ht="15" hidden="false" customHeight="false" outlineLevel="0" collapsed="false">
      <c r="A100" s="5" t="s">
        <v>32</v>
      </c>
      <c r="B100" s="6" t="s">
        <v>74</v>
      </c>
      <c r="C100" s="5" t="s">
        <v>63</v>
      </c>
      <c r="D100" s="5" t="s">
        <v>61</v>
      </c>
      <c r="E100" s="6" t="n">
        <v>393168</v>
      </c>
      <c r="F100" s="6" t="n">
        <v>383729</v>
      </c>
      <c r="G100" s="6" t="n">
        <v>219790</v>
      </c>
      <c r="H100" s="6" t="n">
        <v>213531</v>
      </c>
      <c r="I100" s="6" t="n">
        <v>66057</v>
      </c>
      <c r="J100" s="6" t="n">
        <v>69855</v>
      </c>
      <c r="K100" s="6" t="n">
        <v>9476</v>
      </c>
      <c r="L100" s="6" t="n">
        <v>8401</v>
      </c>
      <c r="M100" s="6" t="n">
        <v>5008</v>
      </c>
      <c r="N100" s="6" t="n">
        <v>4957</v>
      </c>
      <c r="O100" s="6" t="n">
        <v>10931</v>
      </c>
      <c r="P100" s="6" t="n">
        <v>11667</v>
      </c>
      <c r="Q100" s="6" t="n">
        <v>7721</v>
      </c>
      <c r="R100" s="6" t="n">
        <v>7956</v>
      </c>
      <c r="S100" s="6" t="n">
        <v>3044</v>
      </c>
      <c r="T100" s="6" t="n">
        <v>2961</v>
      </c>
      <c r="U100" s="6" t="n">
        <v>10671</v>
      </c>
      <c r="V100" s="6" t="n">
        <v>10573</v>
      </c>
    </row>
    <row r="101" customFormat="false" ht="15" hidden="false" customHeight="false" outlineLevel="0" collapsed="false">
      <c r="A101" s="5" t="s">
        <v>32</v>
      </c>
      <c r="B101" s="6" t="s">
        <v>74</v>
      </c>
      <c r="C101" s="5" t="s">
        <v>64</v>
      </c>
      <c r="D101" s="5" t="s">
        <v>61</v>
      </c>
      <c r="E101" s="6" t="n">
        <v>375560</v>
      </c>
      <c r="F101" s="6" t="n">
        <v>386867</v>
      </c>
      <c r="G101" s="6" t="n">
        <v>213598</v>
      </c>
      <c r="H101" s="6" t="n">
        <v>216200</v>
      </c>
      <c r="I101" s="6" t="n">
        <v>58646</v>
      </c>
      <c r="J101" s="6" t="n">
        <v>62906</v>
      </c>
      <c r="K101" s="6" t="n">
        <v>11433</v>
      </c>
      <c r="L101" s="6" t="n">
        <v>10189</v>
      </c>
      <c r="M101" s="6" t="n">
        <v>4623</v>
      </c>
      <c r="N101" s="6" t="n">
        <v>5055</v>
      </c>
      <c r="O101" s="6" t="n">
        <v>7671</v>
      </c>
      <c r="P101" s="6" t="n">
        <v>7982</v>
      </c>
      <c r="Q101" s="6" t="n">
        <v>6102</v>
      </c>
      <c r="R101" s="6" t="n">
        <v>6186</v>
      </c>
      <c r="S101" s="6" t="n">
        <v>2372</v>
      </c>
      <c r="T101" s="6" t="n">
        <v>2486</v>
      </c>
      <c r="U101" s="6" t="n">
        <v>10205</v>
      </c>
      <c r="V101" s="6" t="n">
        <v>9960</v>
      </c>
    </row>
    <row r="102" customFormat="false" ht="15" hidden="false" customHeight="false" outlineLevel="0" collapsed="false">
      <c r="A102" s="5" t="s">
        <v>32</v>
      </c>
      <c r="B102" s="6" t="s">
        <v>74</v>
      </c>
      <c r="C102" s="5" t="s">
        <v>65</v>
      </c>
      <c r="D102" s="5" t="s">
        <v>61</v>
      </c>
      <c r="E102" s="6" t="n">
        <v>371701</v>
      </c>
      <c r="F102" s="6" t="n">
        <v>395165</v>
      </c>
      <c r="G102" s="6" t="n">
        <v>212993</v>
      </c>
      <c r="H102" s="6" t="n">
        <v>236892</v>
      </c>
      <c r="I102" s="6" t="n">
        <v>56576</v>
      </c>
      <c r="J102" s="6" t="n">
        <v>60698</v>
      </c>
      <c r="K102" s="6" t="n">
        <v>12332</v>
      </c>
      <c r="L102" s="6" t="n">
        <v>12249</v>
      </c>
      <c r="M102" s="6" t="n">
        <v>3493</v>
      </c>
      <c r="N102" s="6" t="n">
        <v>4478</v>
      </c>
      <c r="O102" s="6" t="n">
        <v>7884</v>
      </c>
      <c r="P102" s="6" t="n">
        <v>8170</v>
      </c>
      <c r="Q102" s="6" t="n">
        <v>7160</v>
      </c>
      <c r="R102" s="6" t="n">
        <v>6866</v>
      </c>
      <c r="S102" s="6" t="n">
        <v>3511</v>
      </c>
      <c r="T102" s="6" t="n">
        <v>3936</v>
      </c>
      <c r="U102" s="6" t="n">
        <v>10122</v>
      </c>
      <c r="V102" s="6" t="n">
        <v>10387</v>
      </c>
    </row>
    <row r="103" customFormat="false" ht="15" hidden="false" customHeight="false" outlineLevel="0" collapsed="false">
      <c r="A103" s="5" t="s">
        <v>32</v>
      </c>
      <c r="B103" s="6" t="s">
        <v>74</v>
      </c>
      <c r="C103" s="5" t="s">
        <v>66</v>
      </c>
      <c r="D103" s="5" t="s">
        <v>61</v>
      </c>
      <c r="E103" s="6" t="n">
        <v>422919</v>
      </c>
      <c r="F103" s="6" t="n">
        <v>440079</v>
      </c>
      <c r="G103" s="6" t="n">
        <v>250763</v>
      </c>
      <c r="H103" s="6" t="n">
        <v>256005</v>
      </c>
      <c r="I103" s="6" t="n">
        <v>70877</v>
      </c>
      <c r="J103" s="6" t="n">
        <v>76525</v>
      </c>
      <c r="K103" s="6" t="n">
        <v>10977</v>
      </c>
      <c r="L103" s="6" t="n">
        <v>10962</v>
      </c>
      <c r="M103" s="6" t="n">
        <v>6156</v>
      </c>
      <c r="N103" s="6" t="n">
        <v>7886</v>
      </c>
      <c r="O103" s="6" t="n">
        <v>11529</v>
      </c>
      <c r="P103" s="6" t="n">
        <v>12426</v>
      </c>
      <c r="Q103" s="6" t="n">
        <v>5106</v>
      </c>
      <c r="R103" s="6" t="n">
        <v>5141</v>
      </c>
      <c r="S103" s="6" t="n">
        <v>2810</v>
      </c>
      <c r="T103" s="6" t="n">
        <v>3905</v>
      </c>
      <c r="U103" s="6" t="n">
        <v>9662</v>
      </c>
      <c r="V103" s="6" t="n">
        <v>9946</v>
      </c>
    </row>
    <row r="104" customFormat="false" ht="15" hidden="false" customHeight="false" outlineLevel="0" collapsed="false">
      <c r="A104" s="5" t="s">
        <v>32</v>
      </c>
      <c r="B104" s="6" t="s">
        <v>74</v>
      </c>
      <c r="C104" s="5" t="s">
        <v>67</v>
      </c>
      <c r="D104" s="5" t="s">
        <v>61</v>
      </c>
      <c r="E104" s="6" t="n">
        <v>410591</v>
      </c>
      <c r="F104" s="6" t="n">
        <v>410891</v>
      </c>
      <c r="G104" s="6" t="n">
        <v>244841</v>
      </c>
      <c r="H104" s="6" t="n">
        <v>254287</v>
      </c>
      <c r="I104" s="6" t="n">
        <v>63248</v>
      </c>
      <c r="J104" s="6" t="n">
        <v>62692</v>
      </c>
      <c r="K104" s="6" t="n">
        <v>8906</v>
      </c>
      <c r="L104" s="6" t="n">
        <v>8004</v>
      </c>
      <c r="M104" s="6" t="n">
        <v>4604</v>
      </c>
      <c r="N104" s="6" t="n">
        <v>4275</v>
      </c>
      <c r="O104" s="6" t="n">
        <v>8155</v>
      </c>
      <c r="P104" s="6" t="n">
        <v>8584</v>
      </c>
      <c r="Q104" s="6" t="n">
        <v>7525</v>
      </c>
      <c r="R104" s="6" t="n">
        <v>7576</v>
      </c>
      <c r="S104" s="6" t="n">
        <v>4329</v>
      </c>
      <c r="T104" s="6" t="n">
        <v>3919</v>
      </c>
      <c r="U104" s="6" t="n">
        <v>11727</v>
      </c>
      <c r="V104" s="6" t="n">
        <v>12006</v>
      </c>
    </row>
    <row r="105" customFormat="false" ht="15" hidden="false" customHeight="false" outlineLevel="0" collapsed="false">
      <c r="A105" s="5" t="s">
        <v>32</v>
      </c>
      <c r="B105" s="6" t="s">
        <v>74</v>
      </c>
      <c r="C105" s="5" t="s">
        <v>68</v>
      </c>
      <c r="D105" s="5" t="s">
        <v>61</v>
      </c>
      <c r="E105" s="6" t="n">
        <v>421410</v>
      </c>
      <c r="F105" s="6" t="n">
        <v>420639</v>
      </c>
      <c r="G105" s="6" t="n">
        <v>229755</v>
      </c>
      <c r="H105" s="6" t="n">
        <v>234997</v>
      </c>
      <c r="I105" s="6" t="n">
        <v>61333</v>
      </c>
      <c r="J105" s="6" t="n">
        <v>60442</v>
      </c>
      <c r="K105" s="6" t="n">
        <v>10474</v>
      </c>
      <c r="L105" s="6" t="n">
        <v>9682</v>
      </c>
      <c r="M105" s="6" t="n">
        <v>4141</v>
      </c>
      <c r="N105" s="6" t="n">
        <v>3800</v>
      </c>
      <c r="O105" s="6" t="n">
        <v>10762</v>
      </c>
      <c r="P105" s="6" t="n">
        <v>11749</v>
      </c>
      <c r="Q105" s="6" t="n">
        <v>6075</v>
      </c>
      <c r="R105" s="6" t="n">
        <v>6210</v>
      </c>
      <c r="S105" s="6" t="n">
        <v>2557</v>
      </c>
      <c r="T105" s="6" t="n">
        <v>3048</v>
      </c>
      <c r="U105" s="6" t="n">
        <v>11348</v>
      </c>
      <c r="V105" s="6" t="n">
        <v>11050</v>
      </c>
    </row>
    <row r="106" customFormat="false" ht="15" hidden="false" customHeight="false" outlineLevel="0" collapsed="false">
      <c r="A106" s="5" t="s">
        <v>32</v>
      </c>
      <c r="B106" s="6" t="s">
        <v>74</v>
      </c>
      <c r="C106" s="5" t="s">
        <v>69</v>
      </c>
      <c r="D106" s="5" t="s">
        <v>61</v>
      </c>
      <c r="E106" s="6" t="n">
        <v>443274</v>
      </c>
      <c r="F106" s="6" t="n">
        <v>453794</v>
      </c>
      <c r="G106" s="6" t="n">
        <v>250151</v>
      </c>
      <c r="H106" s="6" t="n">
        <v>258413</v>
      </c>
      <c r="I106" s="6" t="n">
        <v>73962</v>
      </c>
      <c r="J106" s="6" t="n">
        <v>77467</v>
      </c>
      <c r="K106" s="6" t="n">
        <v>10933</v>
      </c>
      <c r="L106" s="6" t="n">
        <v>9678</v>
      </c>
      <c r="M106" s="6" t="n">
        <v>6389</v>
      </c>
      <c r="N106" s="6" t="n">
        <v>6054</v>
      </c>
      <c r="O106" s="6" t="n">
        <v>10703</v>
      </c>
      <c r="P106" s="6" t="n">
        <v>10269</v>
      </c>
      <c r="Q106" s="6" t="n">
        <v>5793</v>
      </c>
      <c r="R106" s="6" t="n">
        <v>5592</v>
      </c>
      <c r="S106" s="6" t="n">
        <v>4648</v>
      </c>
      <c r="T106" s="6" t="n">
        <v>5408</v>
      </c>
      <c r="U106" s="6" t="n">
        <v>10709</v>
      </c>
      <c r="V106" s="6" t="n">
        <v>10741</v>
      </c>
    </row>
    <row r="107" customFormat="false" ht="15" hidden="false" customHeight="false" outlineLevel="0" collapsed="false">
      <c r="A107" s="5" t="s">
        <v>32</v>
      </c>
      <c r="B107" s="6" t="s">
        <v>74</v>
      </c>
      <c r="C107" s="5" t="s">
        <v>70</v>
      </c>
      <c r="D107" s="5" t="s">
        <v>61</v>
      </c>
      <c r="E107" s="6" t="n">
        <v>424372</v>
      </c>
      <c r="F107" s="6" t="n">
        <v>422470</v>
      </c>
      <c r="G107" s="6" t="n">
        <v>246070</v>
      </c>
      <c r="H107" s="6" t="n">
        <v>241132</v>
      </c>
      <c r="I107" s="6" t="n">
        <v>62563</v>
      </c>
      <c r="J107" s="6" t="n">
        <v>65880</v>
      </c>
      <c r="K107" s="6" t="n">
        <v>14045</v>
      </c>
      <c r="L107" s="6" t="n">
        <v>12283</v>
      </c>
      <c r="M107" s="6" t="n">
        <v>4722</v>
      </c>
      <c r="N107" s="6" t="n">
        <v>5439</v>
      </c>
      <c r="O107" s="6" t="n">
        <v>7970</v>
      </c>
      <c r="P107" s="6" t="n">
        <v>8142</v>
      </c>
      <c r="Q107" s="6" t="n">
        <v>5302</v>
      </c>
      <c r="R107" s="6" t="n">
        <v>5327</v>
      </c>
      <c r="S107" s="6" t="n">
        <v>3833</v>
      </c>
      <c r="T107" s="6" t="n">
        <v>4383</v>
      </c>
      <c r="U107" s="6" t="n">
        <v>9123</v>
      </c>
      <c r="V107" s="6" t="n">
        <v>9029</v>
      </c>
    </row>
    <row r="108" customFormat="false" ht="15" hidden="false" customHeight="false" outlineLevel="0" collapsed="false">
      <c r="A108" s="5" t="s">
        <v>32</v>
      </c>
      <c r="B108" s="6" t="s">
        <v>74</v>
      </c>
      <c r="C108" s="5" t="s">
        <v>71</v>
      </c>
      <c r="D108" s="5" t="s">
        <v>61</v>
      </c>
      <c r="E108" s="6" t="n">
        <v>407580</v>
      </c>
      <c r="F108" s="6" t="n">
        <v>427256</v>
      </c>
      <c r="G108" s="6" t="n">
        <v>225116</v>
      </c>
      <c r="H108" s="6" t="n">
        <v>239896</v>
      </c>
      <c r="I108" s="6" t="n">
        <v>58173</v>
      </c>
      <c r="J108" s="6" t="n">
        <v>59694</v>
      </c>
      <c r="K108" s="6" t="n">
        <v>13096</v>
      </c>
      <c r="L108" s="6" t="n">
        <v>12913</v>
      </c>
      <c r="M108" s="6" t="n">
        <v>4725</v>
      </c>
      <c r="N108" s="6" t="n">
        <v>4859</v>
      </c>
      <c r="O108" s="6" t="n">
        <v>7572</v>
      </c>
      <c r="P108" s="6" t="n">
        <v>7596</v>
      </c>
      <c r="Q108" s="6" t="n">
        <v>7522</v>
      </c>
      <c r="R108" s="6" t="n">
        <v>7690</v>
      </c>
      <c r="S108" s="6" t="n">
        <v>3414</v>
      </c>
      <c r="T108" s="6" t="n">
        <v>4404</v>
      </c>
      <c r="U108" s="6" t="n">
        <v>11191</v>
      </c>
      <c r="V108" s="6" t="n">
        <v>11244</v>
      </c>
    </row>
    <row r="109" customFormat="false" ht="15" hidden="false" customHeight="false" outlineLevel="0" collapsed="false">
      <c r="A109" s="5" t="s">
        <v>32</v>
      </c>
      <c r="B109" s="6" t="s">
        <v>74</v>
      </c>
      <c r="C109" s="5" t="s">
        <v>72</v>
      </c>
      <c r="D109" s="5" t="s">
        <v>61</v>
      </c>
      <c r="E109" s="6" t="n">
        <v>450993</v>
      </c>
      <c r="F109" s="6" t="n">
        <v>459567</v>
      </c>
      <c r="G109" s="6" t="n">
        <v>245262</v>
      </c>
      <c r="H109" s="6" t="n">
        <v>263576</v>
      </c>
      <c r="I109" s="6" t="n">
        <v>75784</v>
      </c>
      <c r="J109" s="6" t="n">
        <v>74086</v>
      </c>
      <c r="K109" s="6" t="n">
        <v>15337</v>
      </c>
      <c r="L109" s="6" t="n">
        <v>13182</v>
      </c>
      <c r="M109" s="6" t="n">
        <v>4899</v>
      </c>
      <c r="N109" s="6" t="n">
        <v>5803</v>
      </c>
      <c r="O109" s="6" t="n">
        <v>11572</v>
      </c>
      <c r="P109" s="6" t="n">
        <v>12684</v>
      </c>
      <c r="Q109" s="6" t="n">
        <v>7742</v>
      </c>
      <c r="R109" s="6" t="n">
        <v>7680</v>
      </c>
      <c r="S109" s="6" t="n">
        <v>5393</v>
      </c>
      <c r="T109" s="6" t="n">
        <v>5552</v>
      </c>
      <c r="U109" s="6" t="n">
        <v>12942</v>
      </c>
      <c r="V109" s="6" t="n">
        <v>13258</v>
      </c>
    </row>
    <row r="110" customFormat="false" ht="15" hidden="false" customHeight="false" outlineLevel="0" collapsed="false">
      <c r="A110" s="5" t="s">
        <v>32</v>
      </c>
      <c r="B110" s="6" t="s">
        <v>75</v>
      </c>
      <c r="C110" s="5" t="s">
        <v>34</v>
      </c>
      <c r="D110" s="5" t="s">
        <v>35</v>
      </c>
      <c r="E110" s="6" t="n">
        <v>173776</v>
      </c>
      <c r="F110" s="6" t="n">
        <v>172960</v>
      </c>
      <c r="G110" s="6" t="n">
        <v>100653</v>
      </c>
      <c r="H110" s="6" t="n">
        <v>99729</v>
      </c>
      <c r="I110" s="6" t="n">
        <v>25259</v>
      </c>
      <c r="J110" s="6" t="n">
        <v>25994</v>
      </c>
      <c r="K110" s="6" t="n">
        <v>4854</v>
      </c>
      <c r="L110" s="6" t="n">
        <v>5186</v>
      </c>
      <c r="M110" s="6" t="n">
        <v>1661</v>
      </c>
      <c r="N110" s="6" t="n">
        <v>1332</v>
      </c>
      <c r="O110" s="6" t="n">
        <v>3167</v>
      </c>
      <c r="P110" s="6" t="n">
        <v>3084</v>
      </c>
      <c r="Q110" s="6" t="n">
        <v>3022</v>
      </c>
      <c r="R110" s="6" t="n">
        <v>3035</v>
      </c>
      <c r="S110" s="6" t="n">
        <v>1597</v>
      </c>
      <c r="T110" s="6" t="n">
        <v>2067</v>
      </c>
      <c r="U110" s="6" t="n">
        <v>3906</v>
      </c>
      <c r="V110" s="6" t="n">
        <v>3870</v>
      </c>
    </row>
    <row r="111" customFormat="false" ht="15" hidden="false" customHeight="false" outlineLevel="0" collapsed="false">
      <c r="A111" s="5" t="s">
        <v>32</v>
      </c>
      <c r="B111" s="6" t="s">
        <v>75</v>
      </c>
      <c r="C111" s="5" t="s">
        <v>36</v>
      </c>
      <c r="D111" s="5" t="s">
        <v>35</v>
      </c>
      <c r="E111" s="6" t="n">
        <v>181668</v>
      </c>
      <c r="F111" s="6" t="n">
        <v>172608</v>
      </c>
      <c r="G111" s="6" t="n">
        <v>106004</v>
      </c>
      <c r="H111" s="6" t="n">
        <v>98239</v>
      </c>
      <c r="I111" s="6" t="n">
        <v>29845</v>
      </c>
      <c r="J111" s="6" t="n">
        <v>30326</v>
      </c>
      <c r="K111" s="6" t="n">
        <v>5721</v>
      </c>
      <c r="L111" s="6" t="n">
        <v>6380</v>
      </c>
      <c r="M111" s="6" t="n">
        <v>1473</v>
      </c>
      <c r="N111" s="6" t="n">
        <v>1330</v>
      </c>
      <c r="O111" s="6" t="n">
        <v>3453</v>
      </c>
      <c r="P111" s="6" t="n">
        <v>3198</v>
      </c>
      <c r="Q111" s="6" t="n">
        <v>3049</v>
      </c>
      <c r="R111" s="6" t="n">
        <v>3111</v>
      </c>
      <c r="S111" s="6" t="n">
        <v>1143</v>
      </c>
      <c r="T111" s="6" t="n">
        <v>1422</v>
      </c>
      <c r="U111" s="6" t="n">
        <v>4364</v>
      </c>
      <c r="V111" s="6" t="n">
        <v>4294</v>
      </c>
    </row>
    <row r="112" customFormat="false" ht="15" hidden="false" customHeight="false" outlineLevel="0" collapsed="false">
      <c r="A112" s="5" t="s">
        <v>32</v>
      </c>
      <c r="B112" s="6" t="s">
        <v>75</v>
      </c>
      <c r="C112" s="5" t="s">
        <v>37</v>
      </c>
      <c r="D112" s="5" t="s">
        <v>35</v>
      </c>
      <c r="E112" s="6" t="n">
        <v>179353</v>
      </c>
      <c r="F112" s="6" t="n">
        <v>171852</v>
      </c>
      <c r="G112" s="6" t="n">
        <v>97458</v>
      </c>
      <c r="H112" s="6" t="n">
        <v>94275</v>
      </c>
      <c r="I112" s="6" t="n">
        <v>26666</v>
      </c>
      <c r="J112" s="6" t="n">
        <v>28259</v>
      </c>
      <c r="K112" s="6" t="n">
        <v>5555</v>
      </c>
      <c r="L112" s="6" t="n">
        <v>5253</v>
      </c>
      <c r="M112" s="6" t="n">
        <v>2185</v>
      </c>
      <c r="N112" s="6" t="n">
        <v>2483</v>
      </c>
      <c r="O112" s="6" t="n">
        <v>3803</v>
      </c>
      <c r="P112" s="6" t="n">
        <v>3705</v>
      </c>
      <c r="Q112" s="6" t="n">
        <v>2358</v>
      </c>
      <c r="R112" s="6" t="n">
        <v>2396</v>
      </c>
      <c r="S112" s="6" t="n">
        <v>1314</v>
      </c>
      <c r="T112" s="6" t="n">
        <v>1288</v>
      </c>
      <c r="U112" s="6" t="n">
        <v>3696</v>
      </c>
      <c r="V112" s="6" t="n">
        <v>3795</v>
      </c>
    </row>
    <row r="113" customFormat="false" ht="15" hidden="false" customHeight="false" outlineLevel="0" collapsed="false">
      <c r="A113" s="5" t="s">
        <v>32</v>
      </c>
      <c r="B113" s="6" t="s">
        <v>75</v>
      </c>
      <c r="C113" s="5" t="s">
        <v>38</v>
      </c>
      <c r="D113" s="5" t="s">
        <v>35</v>
      </c>
      <c r="E113" s="6" t="n">
        <v>184361</v>
      </c>
      <c r="F113" s="6" t="n">
        <v>175684</v>
      </c>
      <c r="G113" s="6" t="n">
        <v>106479</v>
      </c>
      <c r="H113" s="6" t="n">
        <v>101707</v>
      </c>
      <c r="I113" s="6" t="n">
        <v>28552</v>
      </c>
      <c r="J113" s="6" t="n">
        <v>30749</v>
      </c>
      <c r="K113" s="6" t="n">
        <v>6291</v>
      </c>
      <c r="L113" s="6" t="n">
        <v>6614</v>
      </c>
      <c r="M113" s="6" t="n">
        <v>2489</v>
      </c>
      <c r="N113" s="6" t="n">
        <v>2388</v>
      </c>
      <c r="O113" s="6" t="n">
        <v>4086</v>
      </c>
      <c r="P113" s="6" t="n">
        <v>3869</v>
      </c>
      <c r="Q113" s="6" t="n">
        <v>2768</v>
      </c>
      <c r="R113" s="6" t="n">
        <v>2838</v>
      </c>
      <c r="S113" s="6" t="n">
        <v>1630</v>
      </c>
      <c r="T113" s="6" t="n">
        <v>2135</v>
      </c>
      <c r="U113" s="6" t="n">
        <v>4242</v>
      </c>
      <c r="V113" s="6" t="n">
        <v>4295</v>
      </c>
    </row>
    <row r="114" customFormat="false" ht="15" hidden="false" customHeight="false" outlineLevel="0" collapsed="false">
      <c r="A114" s="5" t="s">
        <v>32</v>
      </c>
      <c r="B114" s="6" t="s">
        <v>75</v>
      </c>
      <c r="C114" s="5" t="s">
        <v>39</v>
      </c>
      <c r="D114" s="5" t="s">
        <v>35</v>
      </c>
      <c r="E114" s="6" t="n">
        <v>187992</v>
      </c>
      <c r="F114" s="6" t="n">
        <v>179079</v>
      </c>
      <c r="G114" s="6" t="n">
        <v>107859</v>
      </c>
      <c r="H114" s="6" t="n">
        <v>107829</v>
      </c>
      <c r="I114" s="6" t="n">
        <v>29462</v>
      </c>
      <c r="J114" s="6" t="n">
        <v>29013</v>
      </c>
      <c r="K114" s="6" t="n">
        <v>4445</v>
      </c>
      <c r="L114" s="6" t="n">
        <v>4049</v>
      </c>
      <c r="M114" s="6" t="n">
        <v>2355</v>
      </c>
      <c r="N114" s="6" t="n">
        <v>2970</v>
      </c>
      <c r="O114" s="6" t="n">
        <v>4976</v>
      </c>
      <c r="P114" s="6" t="n">
        <v>4661</v>
      </c>
      <c r="Q114" s="6" t="n">
        <v>3346</v>
      </c>
      <c r="R114" s="6" t="n">
        <v>3242</v>
      </c>
      <c r="S114" s="6" t="n">
        <v>1431</v>
      </c>
      <c r="T114" s="6" t="n">
        <v>1723</v>
      </c>
      <c r="U114" s="6" t="n">
        <v>4893</v>
      </c>
      <c r="V114" s="6" t="n">
        <v>5003</v>
      </c>
    </row>
    <row r="115" customFormat="false" ht="15" hidden="false" customHeight="false" outlineLevel="0" collapsed="false">
      <c r="A115" s="5" t="s">
        <v>32</v>
      </c>
      <c r="B115" s="6" t="s">
        <v>75</v>
      </c>
      <c r="C115" s="5" t="s">
        <v>40</v>
      </c>
      <c r="D115" s="5" t="s">
        <v>35</v>
      </c>
      <c r="E115" s="6" t="n">
        <v>199291</v>
      </c>
      <c r="F115" s="6" t="n">
        <v>193223</v>
      </c>
      <c r="G115" s="6" t="n">
        <v>116278</v>
      </c>
      <c r="H115" s="6" t="n">
        <v>114272</v>
      </c>
      <c r="I115" s="6" t="n">
        <v>30767</v>
      </c>
      <c r="J115" s="6" t="n">
        <v>32787</v>
      </c>
      <c r="K115" s="6" t="n">
        <v>4981</v>
      </c>
      <c r="L115" s="6" t="n">
        <v>5664</v>
      </c>
      <c r="M115" s="6" t="n">
        <v>1616</v>
      </c>
      <c r="N115" s="6" t="n">
        <v>2050</v>
      </c>
      <c r="O115" s="6" t="n">
        <v>5505</v>
      </c>
      <c r="P115" s="6" t="n">
        <v>5181</v>
      </c>
      <c r="Q115" s="6" t="n">
        <v>3985</v>
      </c>
      <c r="R115" s="6" t="n">
        <v>3977</v>
      </c>
      <c r="S115" s="6" t="n">
        <v>1486</v>
      </c>
      <c r="T115" s="6" t="n">
        <v>1728</v>
      </c>
      <c r="U115" s="6" t="n">
        <v>4393</v>
      </c>
      <c r="V115" s="6" t="n">
        <v>4502</v>
      </c>
    </row>
    <row r="116" customFormat="false" ht="15" hidden="false" customHeight="false" outlineLevel="0" collapsed="false">
      <c r="A116" s="5" t="s">
        <v>32</v>
      </c>
      <c r="B116" s="6" t="s">
        <v>75</v>
      </c>
      <c r="C116" s="5" t="s">
        <v>41</v>
      </c>
      <c r="D116" s="5" t="s">
        <v>35</v>
      </c>
      <c r="E116" s="6" t="n">
        <v>185646</v>
      </c>
      <c r="F116" s="6" t="n">
        <v>179705</v>
      </c>
      <c r="G116" s="6" t="n">
        <v>104489</v>
      </c>
      <c r="H116" s="6" t="n">
        <v>102346</v>
      </c>
      <c r="I116" s="6" t="n">
        <v>27991</v>
      </c>
      <c r="J116" s="6" t="n">
        <v>27957</v>
      </c>
      <c r="K116" s="6" t="n">
        <v>5141</v>
      </c>
      <c r="L116" s="6" t="n">
        <v>5137</v>
      </c>
      <c r="M116" s="6" t="n">
        <v>1613</v>
      </c>
      <c r="N116" s="6" t="n">
        <v>2082</v>
      </c>
      <c r="O116" s="6" t="n">
        <v>4213</v>
      </c>
      <c r="P116" s="6" t="n">
        <v>4513</v>
      </c>
      <c r="Q116" s="6" t="n">
        <v>3586</v>
      </c>
      <c r="R116" s="6" t="n">
        <v>3540</v>
      </c>
      <c r="S116" s="6" t="n">
        <v>1575</v>
      </c>
      <c r="T116" s="6" t="n">
        <v>1792</v>
      </c>
      <c r="U116" s="6" t="n">
        <v>4124</v>
      </c>
      <c r="V116" s="6" t="n">
        <v>4036</v>
      </c>
    </row>
    <row r="117" customFormat="false" ht="15" hidden="false" customHeight="false" outlineLevel="0" collapsed="false">
      <c r="A117" s="5" t="s">
        <v>32</v>
      </c>
      <c r="B117" s="6" t="s">
        <v>75</v>
      </c>
      <c r="C117" s="5" t="s">
        <v>42</v>
      </c>
      <c r="D117" s="5" t="s">
        <v>35</v>
      </c>
      <c r="E117" s="6" t="n">
        <v>188583</v>
      </c>
      <c r="F117" s="6" t="n">
        <v>179232</v>
      </c>
      <c r="G117" s="6" t="n">
        <v>108388</v>
      </c>
      <c r="H117" s="6" t="n">
        <v>103171</v>
      </c>
      <c r="I117" s="6" t="n">
        <v>27264</v>
      </c>
      <c r="J117" s="6" t="n">
        <v>27435</v>
      </c>
      <c r="K117" s="6" t="n">
        <v>4846</v>
      </c>
      <c r="L117" s="6" t="n">
        <v>5331</v>
      </c>
      <c r="M117" s="6" t="n">
        <v>2168</v>
      </c>
      <c r="N117" s="6" t="n">
        <v>2444</v>
      </c>
      <c r="O117" s="6" t="n">
        <v>4686</v>
      </c>
      <c r="P117" s="6" t="n">
        <v>4528</v>
      </c>
      <c r="Q117" s="6" t="n">
        <v>3503</v>
      </c>
      <c r="R117" s="6" t="n">
        <v>3666</v>
      </c>
      <c r="S117" s="6" t="n">
        <v>1858</v>
      </c>
      <c r="T117" s="6" t="n">
        <v>2033</v>
      </c>
      <c r="U117" s="6" t="n">
        <v>4089</v>
      </c>
      <c r="V117" s="6" t="n">
        <v>4161</v>
      </c>
    </row>
    <row r="118" customFormat="false" ht="15" hidden="false" customHeight="false" outlineLevel="0" collapsed="false">
      <c r="A118" s="5" t="s">
        <v>32</v>
      </c>
      <c r="B118" s="6" t="s">
        <v>75</v>
      </c>
      <c r="C118" s="5" t="s">
        <v>43</v>
      </c>
      <c r="D118" s="5" t="s">
        <v>35</v>
      </c>
      <c r="E118" s="6" t="n">
        <v>198350</v>
      </c>
      <c r="F118" s="6" t="n">
        <v>193241</v>
      </c>
      <c r="G118" s="6" t="n">
        <v>112920</v>
      </c>
      <c r="H118" s="6" t="n">
        <v>115006</v>
      </c>
      <c r="I118" s="6" t="n">
        <v>30995</v>
      </c>
      <c r="J118" s="6" t="n">
        <v>32253</v>
      </c>
      <c r="K118" s="6" t="n">
        <v>4142</v>
      </c>
      <c r="L118" s="6" t="n">
        <v>3563</v>
      </c>
      <c r="M118" s="6" t="n">
        <v>2762</v>
      </c>
      <c r="N118" s="6" t="n">
        <v>3515</v>
      </c>
      <c r="O118" s="6" t="n">
        <v>4896</v>
      </c>
      <c r="P118" s="6" t="n">
        <v>5178</v>
      </c>
      <c r="Q118" s="6" t="n">
        <v>3035</v>
      </c>
      <c r="R118" s="6" t="n">
        <v>3139</v>
      </c>
      <c r="S118" s="6" t="n">
        <v>1466</v>
      </c>
      <c r="T118" s="6" t="n">
        <v>1795</v>
      </c>
      <c r="U118" s="6" t="n">
        <v>3985</v>
      </c>
      <c r="V118" s="6" t="n">
        <v>3986</v>
      </c>
    </row>
    <row r="119" customFormat="false" ht="15" hidden="false" customHeight="false" outlineLevel="0" collapsed="false">
      <c r="A119" s="5" t="s">
        <v>32</v>
      </c>
      <c r="B119" s="6" t="s">
        <v>75</v>
      </c>
      <c r="C119" s="5" t="s">
        <v>44</v>
      </c>
      <c r="D119" s="5" t="s">
        <v>35</v>
      </c>
      <c r="E119" s="6" t="n">
        <v>180961</v>
      </c>
      <c r="F119" s="6" t="n">
        <v>178438</v>
      </c>
      <c r="G119" s="6" t="n">
        <v>104958</v>
      </c>
      <c r="H119" s="6" t="n">
        <v>105427</v>
      </c>
      <c r="I119" s="6" t="n">
        <v>27958</v>
      </c>
      <c r="J119" s="6" t="n">
        <v>28620</v>
      </c>
      <c r="K119" s="6" t="n">
        <v>3637</v>
      </c>
      <c r="L119" s="6" t="n">
        <v>3693</v>
      </c>
      <c r="M119" s="6" t="n">
        <v>1463</v>
      </c>
      <c r="N119" s="6" t="n">
        <v>1558</v>
      </c>
      <c r="O119" s="6" t="n">
        <v>3754</v>
      </c>
      <c r="P119" s="6" t="n">
        <v>4114</v>
      </c>
      <c r="Q119" s="6" t="n">
        <v>2196</v>
      </c>
      <c r="R119" s="6" t="n">
        <v>2265</v>
      </c>
      <c r="S119" s="6" t="n">
        <v>1818</v>
      </c>
      <c r="T119" s="6" t="n">
        <v>2334</v>
      </c>
      <c r="U119" s="6" t="n">
        <v>5266</v>
      </c>
      <c r="V119" s="6" t="n">
        <v>5142</v>
      </c>
    </row>
    <row r="120" customFormat="false" ht="15" hidden="false" customHeight="false" outlineLevel="0" collapsed="false">
      <c r="A120" s="5" t="s">
        <v>32</v>
      </c>
      <c r="B120" s="6" t="s">
        <v>75</v>
      </c>
      <c r="C120" s="5" t="s">
        <v>45</v>
      </c>
      <c r="D120" s="5" t="s">
        <v>35</v>
      </c>
      <c r="E120" s="6" t="n">
        <v>169338</v>
      </c>
      <c r="F120" s="6" t="n">
        <v>176786</v>
      </c>
      <c r="G120" s="6" t="n">
        <v>93393</v>
      </c>
      <c r="H120" s="6" t="n">
        <v>98618</v>
      </c>
      <c r="I120" s="6" t="n">
        <v>27849</v>
      </c>
      <c r="J120" s="6" t="n">
        <v>27832</v>
      </c>
      <c r="K120" s="6" t="n">
        <v>4395</v>
      </c>
      <c r="L120" s="6" t="n">
        <v>4228</v>
      </c>
      <c r="M120" s="6" t="n">
        <v>1836</v>
      </c>
      <c r="N120" s="6" t="n">
        <v>1987</v>
      </c>
      <c r="O120" s="6" t="n">
        <v>4725</v>
      </c>
      <c r="P120" s="6" t="n">
        <v>4539</v>
      </c>
      <c r="Q120" s="6" t="n">
        <v>2959</v>
      </c>
      <c r="R120" s="6" t="n">
        <v>3062</v>
      </c>
      <c r="S120" s="6" t="n">
        <v>1680</v>
      </c>
      <c r="T120" s="6" t="n">
        <v>2209</v>
      </c>
      <c r="U120" s="6" t="n">
        <v>4673</v>
      </c>
      <c r="V120" s="6" t="n">
        <v>4559</v>
      </c>
    </row>
    <row r="121" customFormat="false" ht="15" hidden="false" customHeight="false" outlineLevel="0" collapsed="false">
      <c r="A121" s="5" t="s">
        <v>32</v>
      </c>
      <c r="B121" s="6" t="s">
        <v>75</v>
      </c>
      <c r="C121" s="5" t="s">
        <v>46</v>
      </c>
      <c r="D121" s="5" t="s">
        <v>35</v>
      </c>
      <c r="E121" s="6" t="n">
        <v>193442</v>
      </c>
      <c r="F121" s="6" t="n">
        <v>192226</v>
      </c>
      <c r="G121" s="6" t="n">
        <v>105110</v>
      </c>
      <c r="H121" s="6" t="n">
        <v>100696</v>
      </c>
      <c r="I121" s="6" t="n">
        <v>28076</v>
      </c>
      <c r="J121" s="6" t="n">
        <v>28777</v>
      </c>
      <c r="K121" s="6" t="n">
        <v>5128</v>
      </c>
      <c r="L121" s="6" t="n">
        <v>5565</v>
      </c>
      <c r="M121" s="6" t="n">
        <v>2314</v>
      </c>
      <c r="N121" s="6" t="n">
        <v>2844</v>
      </c>
      <c r="O121" s="6" t="n">
        <v>3666</v>
      </c>
      <c r="P121" s="6" t="n">
        <v>3721</v>
      </c>
      <c r="Q121" s="6" t="n">
        <v>2387</v>
      </c>
      <c r="R121" s="6" t="n">
        <v>2318</v>
      </c>
      <c r="S121" s="6" t="n">
        <v>2168</v>
      </c>
      <c r="T121" s="6" t="n">
        <v>2889</v>
      </c>
      <c r="U121" s="6" t="n">
        <v>4789</v>
      </c>
      <c r="V121" s="6" t="n">
        <v>4659</v>
      </c>
    </row>
    <row r="122" customFormat="false" ht="15" hidden="false" customHeight="false" outlineLevel="0" collapsed="false">
      <c r="A122" s="5" t="s">
        <v>32</v>
      </c>
      <c r="B122" s="6" t="s">
        <v>75</v>
      </c>
      <c r="C122" s="5" t="s">
        <v>47</v>
      </c>
      <c r="D122" s="5" t="s">
        <v>48</v>
      </c>
      <c r="E122" s="6" t="n">
        <v>184324</v>
      </c>
      <c r="F122" s="6" t="n">
        <v>175368</v>
      </c>
      <c r="G122" s="6" t="n">
        <v>109481</v>
      </c>
      <c r="H122" s="6" t="n">
        <v>105595</v>
      </c>
      <c r="I122" s="6" t="n">
        <v>25987</v>
      </c>
      <c r="J122" s="6" t="n">
        <v>27862</v>
      </c>
      <c r="K122" s="6" t="n">
        <v>4556</v>
      </c>
      <c r="L122" s="6" t="n">
        <v>5187</v>
      </c>
      <c r="M122" s="6" t="n">
        <v>2232</v>
      </c>
      <c r="N122" s="6" t="n">
        <v>2625</v>
      </c>
      <c r="O122" s="6" t="n">
        <v>4632</v>
      </c>
      <c r="P122" s="6" t="n">
        <v>4594</v>
      </c>
      <c r="Q122" s="6" t="n">
        <v>2325</v>
      </c>
      <c r="R122" s="6" t="n">
        <v>2247</v>
      </c>
      <c r="S122" s="6" t="n">
        <v>1372</v>
      </c>
      <c r="T122" s="6" t="n">
        <v>1785</v>
      </c>
      <c r="U122" s="6" t="n">
        <v>4404</v>
      </c>
      <c r="V122" s="6" t="n">
        <v>4509</v>
      </c>
    </row>
    <row r="123" customFormat="false" ht="15" hidden="false" customHeight="false" outlineLevel="0" collapsed="false">
      <c r="A123" s="5" t="s">
        <v>32</v>
      </c>
      <c r="B123" s="6" t="s">
        <v>75</v>
      </c>
      <c r="C123" s="5" t="s">
        <v>49</v>
      </c>
      <c r="D123" s="5" t="s">
        <v>48</v>
      </c>
      <c r="E123" s="6" t="n">
        <v>180788</v>
      </c>
      <c r="F123" s="6" t="n">
        <v>175408</v>
      </c>
      <c r="G123" s="6" t="n">
        <v>99144</v>
      </c>
      <c r="H123" s="6" t="n">
        <v>101354</v>
      </c>
      <c r="I123" s="6" t="n">
        <v>29238</v>
      </c>
      <c r="J123" s="6" t="n">
        <v>29971</v>
      </c>
      <c r="K123" s="6" t="n">
        <v>6258</v>
      </c>
      <c r="L123" s="6" t="n">
        <v>5420</v>
      </c>
      <c r="M123" s="6" t="n">
        <v>1999</v>
      </c>
      <c r="N123" s="6" t="n">
        <v>2437</v>
      </c>
      <c r="O123" s="6" t="n">
        <v>3870</v>
      </c>
      <c r="P123" s="6" t="n">
        <v>4096</v>
      </c>
      <c r="Q123" s="6" t="n">
        <v>3550</v>
      </c>
      <c r="R123" s="6" t="n">
        <v>3513</v>
      </c>
      <c r="S123" s="6" t="n">
        <v>1924</v>
      </c>
      <c r="T123" s="6" t="n">
        <v>1573</v>
      </c>
      <c r="U123" s="6" t="n">
        <v>4110</v>
      </c>
      <c r="V123" s="6" t="n">
        <v>4231</v>
      </c>
    </row>
    <row r="124" customFormat="false" ht="15" hidden="false" customHeight="false" outlineLevel="0" collapsed="false">
      <c r="A124" s="5" t="s">
        <v>32</v>
      </c>
      <c r="B124" s="6" t="s">
        <v>75</v>
      </c>
      <c r="C124" s="5" t="s">
        <v>50</v>
      </c>
      <c r="D124" s="5" t="s">
        <v>48</v>
      </c>
      <c r="E124" s="6" t="n">
        <v>173516</v>
      </c>
      <c r="F124" s="6" t="n">
        <v>176571</v>
      </c>
      <c r="G124" s="6" t="n">
        <v>103497</v>
      </c>
      <c r="H124" s="6" t="n">
        <v>105600</v>
      </c>
      <c r="I124" s="6" t="n">
        <v>27830</v>
      </c>
      <c r="J124" s="6" t="n">
        <v>29018</v>
      </c>
      <c r="K124" s="6" t="n">
        <v>3693</v>
      </c>
      <c r="L124" s="6" t="n">
        <v>3824</v>
      </c>
      <c r="M124" s="6" t="n">
        <v>2357</v>
      </c>
      <c r="N124" s="6" t="n">
        <v>2726</v>
      </c>
      <c r="O124" s="6" t="n">
        <v>3266</v>
      </c>
      <c r="P124" s="6" t="n">
        <v>3095</v>
      </c>
      <c r="Q124" s="6" t="n">
        <v>3070</v>
      </c>
      <c r="R124" s="6" t="n">
        <v>3111</v>
      </c>
      <c r="S124" s="6" t="n">
        <v>1811</v>
      </c>
      <c r="T124" s="6" t="n">
        <v>1793</v>
      </c>
      <c r="U124" s="6" t="n">
        <v>3655</v>
      </c>
      <c r="V124" s="6" t="n">
        <v>3546</v>
      </c>
    </row>
    <row r="125" customFormat="false" ht="15" hidden="false" customHeight="false" outlineLevel="0" collapsed="false">
      <c r="A125" s="5" t="s">
        <v>32</v>
      </c>
      <c r="B125" s="6" t="s">
        <v>75</v>
      </c>
      <c r="C125" s="5" t="s">
        <v>51</v>
      </c>
      <c r="D125" s="5" t="s">
        <v>48</v>
      </c>
      <c r="E125" s="6" t="n">
        <v>173478</v>
      </c>
      <c r="F125" s="6" t="n">
        <v>176444</v>
      </c>
      <c r="G125" s="6" t="n">
        <v>96486</v>
      </c>
      <c r="H125" s="6" t="n">
        <v>95776</v>
      </c>
      <c r="I125" s="6" t="n">
        <v>25262</v>
      </c>
      <c r="J125" s="6" t="n">
        <v>25751</v>
      </c>
      <c r="K125" s="6" t="n">
        <v>4913</v>
      </c>
      <c r="L125" s="6" t="n">
        <v>4777</v>
      </c>
      <c r="M125" s="6" t="n">
        <v>1420</v>
      </c>
      <c r="N125" s="6" t="n">
        <v>1387</v>
      </c>
      <c r="O125" s="6" t="n">
        <v>3284</v>
      </c>
      <c r="P125" s="6" t="n">
        <v>3375</v>
      </c>
      <c r="Q125" s="6" t="n">
        <v>2532</v>
      </c>
      <c r="R125" s="6" t="n">
        <v>2503</v>
      </c>
      <c r="S125" s="6" t="n">
        <v>1345</v>
      </c>
      <c r="T125" s="6" t="n">
        <v>1389</v>
      </c>
      <c r="U125" s="6" t="n">
        <v>3616</v>
      </c>
      <c r="V125" s="6" t="n">
        <v>3703</v>
      </c>
    </row>
    <row r="126" customFormat="false" ht="15" hidden="false" customHeight="false" outlineLevel="0" collapsed="false">
      <c r="A126" s="5" t="s">
        <v>32</v>
      </c>
      <c r="B126" s="6" t="s">
        <v>75</v>
      </c>
      <c r="C126" s="5" t="s">
        <v>52</v>
      </c>
      <c r="D126" s="5" t="s">
        <v>48</v>
      </c>
      <c r="E126" s="6" t="n">
        <v>190921</v>
      </c>
      <c r="F126" s="6" t="n">
        <v>180560</v>
      </c>
      <c r="G126" s="6" t="n">
        <v>109649</v>
      </c>
      <c r="H126" s="6" t="n">
        <v>101619</v>
      </c>
      <c r="I126" s="6" t="n">
        <v>28910</v>
      </c>
      <c r="J126" s="6" t="n">
        <v>28484</v>
      </c>
      <c r="K126" s="6" t="n">
        <v>4681</v>
      </c>
      <c r="L126" s="6" t="n">
        <v>4671</v>
      </c>
      <c r="M126" s="6" t="n">
        <v>1612</v>
      </c>
      <c r="N126" s="6" t="n">
        <v>1640</v>
      </c>
      <c r="O126" s="6" t="n">
        <v>4241</v>
      </c>
      <c r="P126" s="6" t="n">
        <v>4271</v>
      </c>
      <c r="Q126" s="6" t="n">
        <v>2409</v>
      </c>
      <c r="R126" s="6" t="n">
        <v>2349</v>
      </c>
      <c r="S126" s="6" t="n">
        <v>1428</v>
      </c>
      <c r="T126" s="6" t="n">
        <v>1678</v>
      </c>
      <c r="U126" s="6" t="n">
        <v>4952</v>
      </c>
      <c r="V126" s="6" t="n">
        <v>4862</v>
      </c>
    </row>
    <row r="127" customFormat="false" ht="15" hidden="false" customHeight="false" outlineLevel="0" collapsed="false">
      <c r="A127" s="5" t="s">
        <v>32</v>
      </c>
      <c r="B127" s="6" t="s">
        <v>75</v>
      </c>
      <c r="C127" s="5" t="s">
        <v>53</v>
      </c>
      <c r="D127" s="5" t="s">
        <v>48</v>
      </c>
      <c r="E127" s="6" t="n">
        <v>189629</v>
      </c>
      <c r="F127" s="6" t="n">
        <v>194181</v>
      </c>
      <c r="G127" s="6" t="n">
        <v>113195</v>
      </c>
      <c r="H127" s="6" t="n">
        <v>115254</v>
      </c>
      <c r="I127" s="6" t="n">
        <v>30076</v>
      </c>
      <c r="J127" s="6" t="n">
        <v>31834</v>
      </c>
      <c r="K127" s="6" t="n">
        <v>4730</v>
      </c>
      <c r="L127" s="6" t="n">
        <v>4495</v>
      </c>
      <c r="M127" s="6" t="n">
        <v>2599</v>
      </c>
      <c r="N127" s="6" t="n">
        <v>3196</v>
      </c>
      <c r="O127" s="6" t="n">
        <v>5261</v>
      </c>
      <c r="P127" s="6" t="n">
        <v>4969</v>
      </c>
      <c r="Q127" s="6" t="n">
        <v>2762</v>
      </c>
      <c r="R127" s="6" t="n">
        <v>2886</v>
      </c>
      <c r="S127" s="6" t="n">
        <v>1366</v>
      </c>
      <c r="T127" s="6" t="n">
        <v>1350</v>
      </c>
      <c r="U127" s="6" t="n">
        <v>5622</v>
      </c>
      <c r="V127" s="6" t="n">
        <v>5780</v>
      </c>
    </row>
    <row r="128" customFormat="false" ht="15" hidden="false" customHeight="false" outlineLevel="0" collapsed="false">
      <c r="A128" s="5" t="s">
        <v>32</v>
      </c>
      <c r="B128" s="6" t="s">
        <v>75</v>
      </c>
      <c r="C128" s="5" t="s">
        <v>54</v>
      </c>
      <c r="D128" s="5" t="s">
        <v>48</v>
      </c>
      <c r="E128" s="6" t="n">
        <v>182897</v>
      </c>
      <c r="F128" s="6" t="n">
        <v>178716</v>
      </c>
      <c r="G128" s="6" t="n">
        <v>104153</v>
      </c>
      <c r="H128" s="6" t="n">
        <v>103343</v>
      </c>
      <c r="I128" s="6" t="n">
        <v>26936</v>
      </c>
      <c r="J128" s="6" t="n">
        <v>27242</v>
      </c>
      <c r="K128" s="6" t="n">
        <v>5898</v>
      </c>
      <c r="L128" s="6" t="n">
        <v>5709</v>
      </c>
      <c r="M128" s="6" t="n">
        <v>1609</v>
      </c>
      <c r="N128" s="6" t="n">
        <v>1741</v>
      </c>
      <c r="O128" s="6" t="n">
        <v>4375</v>
      </c>
      <c r="P128" s="6" t="n">
        <v>4455</v>
      </c>
      <c r="Q128" s="6" t="n">
        <v>3192</v>
      </c>
      <c r="R128" s="6" t="n">
        <v>3208</v>
      </c>
      <c r="S128" s="6" t="n">
        <v>2143</v>
      </c>
      <c r="T128" s="6" t="n">
        <v>2308</v>
      </c>
      <c r="U128" s="6" t="n">
        <v>4954</v>
      </c>
      <c r="V128" s="6" t="n">
        <v>4936</v>
      </c>
    </row>
    <row r="129" customFormat="false" ht="15" hidden="false" customHeight="false" outlineLevel="0" collapsed="false">
      <c r="A129" s="5" t="s">
        <v>32</v>
      </c>
      <c r="B129" s="6" t="s">
        <v>75</v>
      </c>
      <c r="C129" s="5" t="s">
        <v>55</v>
      </c>
      <c r="D129" s="5" t="s">
        <v>48</v>
      </c>
      <c r="E129" s="6" t="n">
        <v>182596</v>
      </c>
      <c r="F129" s="6" t="n">
        <v>178466</v>
      </c>
      <c r="G129" s="6" t="n">
        <v>107574</v>
      </c>
      <c r="H129" s="6" t="n">
        <v>108672</v>
      </c>
      <c r="I129" s="6" t="n">
        <v>27805</v>
      </c>
      <c r="J129" s="6" t="n">
        <v>28498</v>
      </c>
      <c r="K129" s="6" t="n">
        <v>5387</v>
      </c>
      <c r="L129" s="6" t="n">
        <v>4970</v>
      </c>
      <c r="M129" s="6" t="n">
        <v>2303</v>
      </c>
      <c r="N129" s="6" t="n">
        <v>2666</v>
      </c>
      <c r="O129" s="6" t="n">
        <v>4728</v>
      </c>
      <c r="P129" s="6" t="n">
        <v>4413</v>
      </c>
      <c r="Q129" s="6" t="n">
        <v>3638</v>
      </c>
      <c r="R129" s="6" t="n">
        <v>3630</v>
      </c>
      <c r="S129" s="6" t="n">
        <v>1535</v>
      </c>
      <c r="T129" s="6" t="n">
        <v>1695</v>
      </c>
      <c r="U129" s="6" t="n">
        <v>5333</v>
      </c>
      <c r="V129" s="6" t="n">
        <v>5394</v>
      </c>
    </row>
    <row r="130" customFormat="false" ht="15" hidden="false" customHeight="false" outlineLevel="0" collapsed="false">
      <c r="A130" s="5" t="s">
        <v>32</v>
      </c>
      <c r="B130" s="6" t="s">
        <v>75</v>
      </c>
      <c r="C130" s="5" t="s">
        <v>56</v>
      </c>
      <c r="D130" s="5" t="s">
        <v>48</v>
      </c>
      <c r="E130" s="6" t="n">
        <v>202150</v>
      </c>
      <c r="F130" s="6" t="n">
        <v>195335</v>
      </c>
      <c r="G130" s="6" t="n">
        <v>113522</v>
      </c>
      <c r="H130" s="6" t="n">
        <v>114534</v>
      </c>
      <c r="I130" s="6" t="n">
        <v>31557</v>
      </c>
      <c r="J130" s="6" t="n">
        <v>32826</v>
      </c>
      <c r="K130" s="6" t="n">
        <v>4301</v>
      </c>
      <c r="L130" s="6" t="n">
        <v>4648</v>
      </c>
      <c r="M130" s="6" t="n">
        <v>2548</v>
      </c>
      <c r="N130" s="6" t="n">
        <v>2491</v>
      </c>
      <c r="O130" s="6" t="n">
        <v>4947</v>
      </c>
      <c r="P130" s="6" t="n">
        <v>4591</v>
      </c>
      <c r="Q130" s="6" t="n">
        <v>4016</v>
      </c>
      <c r="R130" s="6" t="n">
        <v>4087</v>
      </c>
      <c r="S130" s="6" t="n">
        <v>1698</v>
      </c>
      <c r="T130" s="6" t="n">
        <v>2125</v>
      </c>
      <c r="U130" s="6" t="n">
        <v>5995</v>
      </c>
      <c r="V130" s="6" t="n">
        <v>5970</v>
      </c>
    </row>
    <row r="131" customFormat="false" ht="15" hidden="false" customHeight="false" outlineLevel="0" collapsed="false">
      <c r="A131" s="5" t="s">
        <v>32</v>
      </c>
      <c r="B131" s="6" t="s">
        <v>75</v>
      </c>
      <c r="C131" s="5" t="s">
        <v>57</v>
      </c>
      <c r="D131" s="5" t="s">
        <v>48</v>
      </c>
      <c r="E131" s="6" t="n">
        <v>172596</v>
      </c>
      <c r="F131" s="6" t="n">
        <v>177742</v>
      </c>
      <c r="G131" s="6" t="n">
        <v>98490</v>
      </c>
      <c r="H131" s="6" t="n">
        <v>102483</v>
      </c>
      <c r="I131" s="6" t="n">
        <v>27169</v>
      </c>
      <c r="J131" s="6" t="n">
        <v>28073</v>
      </c>
      <c r="K131" s="6" t="n">
        <v>4606</v>
      </c>
      <c r="L131" s="6" t="n">
        <v>4456</v>
      </c>
      <c r="M131" s="6" t="n">
        <v>2314</v>
      </c>
      <c r="N131" s="6" t="n">
        <v>2532</v>
      </c>
      <c r="O131" s="6" t="n">
        <v>3971</v>
      </c>
      <c r="P131" s="6" t="n">
        <v>3900</v>
      </c>
      <c r="Q131" s="6" t="n">
        <v>2105</v>
      </c>
      <c r="R131" s="6" t="n">
        <v>2022</v>
      </c>
      <c r="S131" s="6" t="n">
        <v>1466</v>
      </c>
      <c r="T131" s="6" t="n">
        <v>2019</v>
      </c>
      <c r="U131" s="6" t="n">
        <v>3652</v>
      </c>
      <c r="V131" s="6" t="n">
        <v>3749</v>
      </c>
    </row>
    <row r="132" customFormat="false" ht="15" hidden="false" customHeight="false" outlineLevel="0" collapsed="false">
      <c r="A132" s="5" t="s">
        <v>32</v>
      </c>
      <c r="B132" s="6" t="s">
        <v>75</v>
      </c>
      <c r="C132" s="5" t="s">
        <v>58</v>
      </c>
      <c r="D132" s="5" t="s">
        <v>48</v>
      </c>
      <c r="E132" s="6" t="n">
        <v>172440</v>
      </c>
      <c r="F132" s="6" t="n">
        <v>176422</v>
      </c>
      <c r="G132" s="6" t="n">
        <v>97829</v>
      </c>
      <c r="H132" s="6" t="n">
        <v>98384</v>
      </c>
      <c r="I132" s="6" t="n">
        <v>26640</v>
      </c>
      <c r="J132" s="6" t="n">
        <v>27236</v>
      </c>
      <c r="K132" s="6" t="n">
        <v>4582</v>
      </c>
      <c r="L132" s="6" t="n">
        <v>4852</v>
      </c>
      <c r="M132" s="6" t="n">
        <v>1764</v>
      </c>
      <c r="N132" s="6" t="n">
        <v>1676</v>
      </c>
      <c r="O132" s="6" t="n">
        <v>4501</v>
      </c>
      <c r="P132" s="6" t="n">
        <v>4234</v>
      </c>
      <c r="Q132" s="6" t="n">
        <v>3241</v>
      </c>
      <c r="R132" s="6" t="n">
        <v>3289</v>
      </c>
      <c r="S132" s="6" t="n">
        <v>1735</v>
      </c>
      <c r="T132" s="6" t="n">
        <v>1559</v>
      </c>
      <c r="U132" s="6" t="n">
        <v>5145</v>
      </c>
      <c r="V132" s="6" t="n">
        <v>5066</v>
      </c>
    </row>
    <row r="133" customFormat="false" ht="15" hidden="false" customHeight="false" outlineLevel="0" collapsed="false">
      <c r="A133" s="5" t="s">
        <v>32</v>
      </c>
      <c r="B133" s="6" t="s">
        <v>75</v>
      </c>
      <c r="C133" s="5" t="s">
        <v>59</v>
      </c>
      <c r="D133" s="5" t="s">
        <v>48</v>
      </c>
      <c r="E133" s="6" t="n">
        <v>182492</v>
      </c>
      <c r="F133" s="6" t="n">
        <v>190251</v>
      </c>
      <c r="G133" s="6" t="n">
        <v>104676</v>
      </c>
      <c r="H133" s="6" t="n">
        <v>114439</v>
      </c>
      <c r="I133" s="6" t="n">
        <v>26818</v>
      </c>
      <c r="J133" s="6" t="n">
        <v>27208</v>
      </c>
      <c r="K133" s="6" t="n">
        <v>4155</v>
      </c>
      <c r="L133" s="6" t="n">
        <v>4330</v>
      </c>
      <c r="M133" s="6" t="n">
        <v>2012</v>
      </c>
      <c r="N133" s="6" t="n">
        <v>1639</v>
      </c>
      <c r="O133" s="6" t="n">
        <v>4406</v>
      </c>
      <c r="P133" s="6" t="n">
        <v>4210</v>
      </c>
      <c r="Q133" s="6" t="n">
        <v>3054</v>
      </c>
      <c r="R133" s="6" t="n">
        <v>3020</v>
      </c>
      <c r="S133" s="6" t="n">
        <v>1867</v>
      </c>
      <c r="T133" s="6" t="n">
        <v>1724</v>
      </c>
      <c r="U133" s="6" t="n">
        <v>5023</v>
      </c>
      <c r="V133" s="6" t="n">
        <v>5116</v>
      </c>
    </row>
    <row r="134" customFormat="false" ht="15" hidden="false" customHeight="false" outlineLevel="0" collapsed="false">
      <c r="A134" s="5" t="s">
        <v>32</v>
      </c>
      <c r="B134" s="6" t="s">
        <v>75</v>
      </c>
      <c r="C134" s="5" t="s">
        <v>60</v>
      </c>
      <c r="D134" s="5" t="s">
        <v>61</v>
      </c>
      <c r="E134" s="6" t="n">
        <v>165192</v>
      </c>
      <c r="F134" s="6" t="n">
        <v>173483</v>
      </c>
      <c r="G134" s="6" t="n">
        <v>97846</v>
      </c>
      <c r="H134" s="6" t="n">
        <v>100909</v>
      </c>
      <c r="I134" s="6" t="n">
        <v>24742</v>
      </c>
      <c r="J134" s="6" t="n">
        <v>25245</v>
      </c>
      <c r="K134" s="6" t="n">
        <v>3954</v>
      </c>
      <c r="L134" s="6" t="n">
        <v>4384</v>
      </c>
      <c r="M134" s="6" t="n">
        <v>1932</v>
      </c>
      <c r="N134" s="6" t="n">
        <v>2163</v>
      </c>
      <c r="O134" s="6" t="n">
        <v>3960</v>
      </c>
      <c r="P134" s="6" t="n">
        <v>4079</v>
      </c>
      <c r="Q134" s="6" t="n">
        <v>2758</v>
      </c>
      <c r="R134" s="6" t="n">
        <v>2716</v>
      </c>
      <c r="S134" s="6" t="n">
        <v>1829</v>
      </c>
      <c r="T134" s="6" t="n">
        <v>2141</v>
      </c>
      <c r="U134" s="6" t="n">
        <v>4648</v>
      </c>
      <c r="V134" s="6" t="n">
        <v>4705</v>
      </c>
    </row>
    <row r="135" customFormat="false" ht="15" hidden="false" customHeight="false" outlineLevel="0" collapsed="false">
      <c r="A135" s="5" t="s">
        <v>32</v>
      </c>
      <c r="B135" s="6" t="s">
        <v>75</v>
      </c>
      <c r="C135" s="5" t="s">
        <v>62</v>
      </c>
      <c r="D135" s="5" t="s">
        <v>61</v>
      </c>
      <c r="E135" s="6" t="n">
        <v>175664</v>
      </c>
      <c r="F135" s="6" t="n">
        <v>173283</v>
      </c>
      <c r="G135" s="6" t="n">
        <v>95752</v>
      </c>
      <c r="H135" s="6" t="n">
        <v>92149</v>
      </c>
      <c r="I135" s="6" t="n">
        <v>25214</v>
      </c>
      <c r="J135" s="6" t="n">
        <v>25305</v>
      </c>
      <c r="K135" s="6" t="n">
        <v>3996</v>
      </c>
      <c r="L135" s="6" t="n">
        <v>4228</v>
      </c>
      <c r="M135" s="6" t="n">
        <v>2033</v>
      </c>
      <c r="N135" s="6" t="n">
        <v>2052</v>
      </c>
      <c r="O135" s="6" t="n">
        <v>3404</v>
      </c>
      <c r="P135" s="6" t="n">
        <v>3367</v>
      </c>
      <c r="Q135" s="6" t="n">
        <v>2369</v>
      </c>
      <c r="R135" s="6" t="n">
        <v>2401</v>
      </c>
      <c r="S135" s="6" t="n">
        <v>1785</v>
      </c>
      <c r="T135" s="6" t="n">
        <v>2119</v>
      </c>
      <c r="U135" s="6" t="n">
        <v>5270</v>
      </c>
      <c r="V135" s="6" t="n">
        <v>5287</v>
      </c>
    </row>
    <row r="136" customFormat="false" ht="15" hidden="false" customHeight="false" outlineLevel="0" collapsed="false">
      <c r="A136" s="5" t="s">
        <v>32</v>
      </c>
      <c r="B136" s="6" t="s">
        <v>75</v>
      </c>
      <c r="C136" s="5" t="s">
        <v>63</v>
      </c>
      <c r="D136" s="5" t="s">
        <v>61</v>
      </c>
      <c r="E136" s="6" t="n">
        <v>166895</v>
      </c>
      <c r="F136" s="6" t="n">
        <v>174424</v>
      </c>
      <c r="G136" s="6" t="n">
        <v>93273</v>
      </c>
      <c r="H136" s="6" t="n">
        <v>97926</v>
      </c>
      <c r="I136" s="6" t="n">
        <v>23634</v>
      </c>
      <c r="J136" s="6" t="n">
        <v>23858</v>
      </c>
      <c r="K136" s="6" t="n">
        <v>3362</v>
      </c>
      <c r="L136" s="6" t="n">
        <v>2995</v>
      </c>
      <c r="M136" s="6" t="n">
        <v>2288</v>
      </c>
      <c r="N136" s="6" t="n">
        <v>2933</v>
      </c>
      <c r="O136" s="6" t="n">
        <v>3848</v>
      </c>
      <c r="P136" s="6" t="n">
        <v>3883</v>
      </c>
      <c r="Q136" s="6" t="n">
        <v>2917</v>
      </c>
      <c r="R136" s="6" t="n">
        <v>2892</v>
      </c>
      <c r="S136" s="6" t="n">
        <v>1842</v>
      </c>
      <c r="T136" s="6" t="n">
        <v>2014</v>
      </c>
      <c r="U136" s="6" t="n">
        <v>3476</v>
      </c>
      <c r="V136" s="6" t="n">
        <v>3378</v>
      </c>
    </row>
    <row r="137" customFormat="false" ht="15" hidden="false" customHeight="false" outlineLevel="0" collapsed="false">
      <c r="A137" s="5" t="s">
        <v>32</v>
      </c>
      <c r="B137" s="6" t="s">
        <v>75</v>
      </c>
      <c r="C137" s="5" t="s">
        <v>64</v>
      </c>
      <c r="D137" s="5" t="s">
        <v>61</v>
      </c>
      <c r="E137" s="6" t="n">
        <v>173052</v>
      </c>
      <c r="F137" s="6" t="n">
        <v>177480</v>
      </c>
      <c r="G137" s="6" t="n">
        <v>96302</v>
      </c>
      <c r="H137" s="6" t="n">
        <v>99987</v>
      </c>
      <c r="I137" s="6" t="n">
        <v>25101</v>
      </c>
      <c r="J137" s="6" t="n">
        <v>25611</v>
      </c>
      <c r="K137" s="6" t="n">
        <v>5388</v>
      </c>
      <c r="L137" s="6" t="n">
        <v>5818</v>
      </c>
      <c r="M137" s="6" t="n">
        <v>2050</v>
      </c>
      <c r="N137" s="6" t="n">
        <v>1756</v>
      </c>
      <c r="O137" s="6" t="n">
        <v>3313</v>
      </c>
      <c r="P137" s="6" t="n">
        <v>3510</v>
      </c>
      <c r="Q137" s="6" t="n">
        <v>3216</v>
      </c>
      <c r="R137" s="6" t="n">
        <v>3173</v>
      </c>
      <c r="S137" s="6" t="n">
        <v>1892</v>
      </c>
      <c r="T137" s="6" t="n">
        <v>1561</v>
      </c>
      <c r="U137" s="6" t="n">
        <v>4705</v>
      </c>
      <c r="V137" s="6" t="n">
        <v>4718</v>
      </c>
    </row>
    <row r="138" customFormat="false" ht="15" hidden="false" customHeight="false" outlineLevel="0" collapsed="false">
      <c r="A138" s="5" t="s">
        <v>32</v>
      </c>
      <c r="B138" s="6" t="s">
        <v>75</v>
      </c>
      <c r="C138" s="5" t="s">
        <v>65</v>
      </c>
      <c r="D138" s="5" t="s">
        <v>61</v>
      </c>
      <c r="E138" s="6" t="n">
        <v>173531</v>
      </c>
      <c r="F138" s="6" t="n">
        <v>182225</v>
      </c>
      <c r="G138" s="6" t="n">
        <v>102349</v>
      </c>
      <c r="H138" s="6" t="n">
        <v>110678</v>
      </c>
      <c r="I138" s="6" t="n">
        <v>25844</v>
      </c>
      <c r="J138" s="6" t="n">
        <v>27910</v>
      </c>
      <c r="K138" s="6" t="n">
        <v>4641</v>
      </c>
      <c r="L138" s="6" t="n">
        <v>4430</v>
      </c>
      <c r="M138" s="6" t="n">
        <v>2380</v>
      </c>
      <c r="N138" s="6" t="n">
        <v>2426</v>
      </c>
      <c r="O138" s="6" t="n">
        <v>4848</v>
      </c>
      <c r="P138" s="6" t="n">
        <v>5137</v>
      </c>
      <c r="Q138" s="6" t="n">
        <v>2411</v>
      </c>
      <c r="R138" s="6" t="n">
        <v>2486</v>
      </c>
      <c r="S138" s="6" t="n">
        <v>1653</v>
      </c>
      <c r="T138" s="6" t="n">
        <v>1670</v>
      </c>
      <c r="U138" s="6" t="n">
        <v>4704</v>
      </c>
      <c r="V138" s="6" t="n">
        <v>4741</v>
      </c>
    </row>
    <row r="139" customFormat="false" ht="15" hidden="false" customHeight="false" outlineLevel="0" collapsed="false">
      <c r="A139" s="5" t="s">
        <v>32</v>
      </c>
      <c r="B139" s="6" t="s">
        <v>75</v>
      </c>
      <c r="C139" s="5" t="s">
        <v>66</v>
      </c>
      <c r="D139" s="5" t="s">
        <v>61</v>
      </c>
      <c r="E139" s="6" t="n">
        <v>187937</v>
      </c>
      <c r="F139" s="6" t="n">
        <v>196441</v>
      </c>
      <c r="G139" s="6" t="n">
        <v>103816</v>
      </c>
      <c r="H139" s="6" t="n">
        <v>106617</v>
      </c>
      <c r="I139" s="6" t="n">
        <v>26646</v>
      </c>
      <c r="J139" s="6" t="n">
        <v>26875</v>
      </c>
      <c r="K139" s="6" t="n">
        <v>4551</v>
      </c>
      <c r="L139" s="6" t="n">
        <v>4604</v>
      </c>
      <c r="M139" s="6" t="n">
        <v>1929</v>
      </c>
      <c r="N139" s="6" t="n">
        <v>2222</v>
      </c>
      <c r="O139" s="6" t="n">
        <v>3927</v>
      </c>
      <c r="P139" s="6" t="n">
        <v>3802</v>
      </c>
      <c r="Q139" s="6" t="n">
        <v>3545</v>
      </c>
      <c r="R139" s="6" t="n">
        <v>3717</v>
      </c>
      <c r="S139" s="6" t="n">
        <v>1894</v>
      </c>
      <c r="T139" s="6" t="n">
        <v>1623</v>
      </c>
      <c r="U139" s="6" t="n">
        <v>5568</v>
      </c>
      <c r="V139" s="6" t="n">
        <v>5663</v>
      </c>
    </row>
    <row r="140" customFormat="false" ht="15" hidden="false" customHeight="false" outlineLevel="0" collapsed="false">
      <c r="A140" s="5" t="s">
        <v>32</v>
      </c>
      <c r="B140" s="6" t="s">
        <v>75</v>
      </c>
      <c r="C140" s="5" t="s">
        <v>67</v>
      </c>
      <c r="D140" s="5" t="s">
        <v>61</v>
      </c>
      <c r="E140" s="6" t="n">
        <v>196327</v>
      </c>
      <c r="F140" s="6" t="n">
        <v>185372</v>
      </c>
      <c r="G140" s="6" t="n">
        <v>116230</v>
      </c>
      <c r="H140" s="6" t="n">
        <v>107213</v>
      </c>
      <c r="I140" s="6" t="n">
        <v>32587</v>
      </c>
      <c r="J140" s="6" t="n">
        <v>32504</v>
      </c>
      <c r="K140" s="6" t="n">
        <v>6022</v>
      </c>
      <c r="L140" s="6" t="n">
        <v>6615</v>
      </c>
      <c r="M140" s="6" t="n">
        <v>2617</v>
      </c>
      <c r="N140" s="6" t="n">
        <v>2978</v>
      </c>
      <c r="O140" s="6" t="n">
        <v>4495</v>
      </c>
      <c r="P140" s="6" t="n">
        <v>4603</v>
      </c>
      <c r="Q140" s="6" t="n">
        <v>2778</v>
      </c>
      <c r="R140" s="6" t="n">
        <v>2754</v>
      </c>
      <c r="S140" s="6" t="n">
        <v>1710</v>
      </c>
      <c r="T140" s="6" t="n">
        <v>2018</v>
      </c>
      <c r="U140" s="6" t="n">
        <v>5654</v>
      </c>
      <c r="V140" s="6" t="n">
        <v>5516</v>
      </c>
    </row>
    <row r="141" customFormat="false" ht="15" hidden="false" customHeight="false" outlineLevel="0" collapsed="false">
      <c r="A141" s="5" t="s">
        <v>32</v>
      </c>
      <c r="B141" s="6" t="s">
        <v>75</v>
      </c>
      <c r="C141" s="5" t="s">
        <v>68</v>
      </c>
      <c r="D141" s="5" t="s">
        <v>61</v>
      </c>
      <c r="E141" s="6" t="n">
        <v>181816</v>
      </c>
      <c r="F141" s="6" t="n">
        <v>186787</v>
      </c>
      <c r="G141" s="6" t="n">
        <v>108395</v>
      </c>
      <c r="H141" s="6" t="n">
        <v>111070</v>
      </c>
      <c r="I141" s="6" t="n">
        <v>30637</v>
      </c>
      <c r="J141" s="6" t="n">
        <v>30821</v>
      </c>
      <c r="K141" s="6" t="n">
        <v>3643</v>
      </c>
      <c r="L141" s="6" t="n">
        <v>3943</v>
      </c>
      <c r="M141" s="6" t="n">
        <v>2387</v>
      </c>
      <c r="N141" s="6" t="n">
        <v>2782</v>
      </c>
      <c r="O141" s="6" t="n">
        <v>4106</v>
      </c>
      <c r="P141" s="6" t="n">
        <v>4268</v>
      </c>
      <c r="Q141" s="6" t="n">
        <v>2703</v>
      </c>
      <c r="R141" s="6" t="n">
        <v>2585</v>
      </c>
      <c r="S141" s="6" t="n">
        <v>1674</v>
      </c>
      <c r="T141" s="6" t="n">
        <v>1558</v>
      </c>
      <c r="U141" s="6" t="n">
        <v>4417</v>
      </c>
      <c r="V141" s="6" t="n">
        <v>4341</v>
      </c>
    </row>
    <row r="142" customFormat="false" ht="15" hidden="false" customHeight="false" outlineLevel="0" collapsed="false">
      <c r="A142" s="5" t="s">
        <v>32</v>
      </c>
      <c r="B142" s="6" t="s">
        <v>75</v>
      </c>
      <c r="C142" s="5" t="s">
        <v>69</v>
      </c>
      <c r="D142" s="5" t="s">
        <v>61</v>
      </c>
      <c r="E142" s="6" t="n">
        <v>210164</v>
      </c>
      <c r="F142" s="6" t="n">
        <v>202197</v>
      </c>
      <c r="G142" s="6" t="n">
        <v>117748</v>
      </c>
      <c r="H142" s="6" t="n">
        <v>115083</v>
      </c>
      <c r="I142" s="6" t="n">
        <v>32992</v>
      </c>
      <c r="J142" s="6" t="n">
        <v>33764</v>
      </c>
      <c r="K142" s="6" t="n">
        <v>5287</v>
      </c>
      <c r="L142" s="6" t="n">
        <v>5577</v>
      </c>
      <c r="M142" s="6" t="n">
        <v>1753</v>
      </c>
      <c r="N142" s="6" t="n">
        <v>1490</v>
      </c>
      <c r="O142" s="6" t="n">
        <v>5430</v>
      </c>
      <c r="P142" s="6" t="n">
        <v>5445</v>
      </c>
      <c r="Q142" s="6" t="n">
        <v>2731</v>
      </c>
      <c r="R142" s="6" t="n">
        <v>2829</v>
      </c>
      <c r="S142" s="6" t="n">
        <v>1817</v>
      </c>
      <c r="T142" s="6" t="n">
        <v>1454</v>
      </c>
      <c r="U142" s="6" t="n">
        <v>6217</v>
      </c>
      <c r="V142" s="6" t="n">
        <v>6106</v>
      </c>
    </row>
    <row r="143" customFormat="false" ht="15" hidden="false" customHeight="false" outlineLevel="0" collapsed="false">
      <c r="A143" s="5" t="s">
        <v>32</v>
      </c>
      <c r="B143" s="6" t="s">
        <v>75</v>
      </c>
      <c r="C143" s="5" t="s">
        <v>70</v>
      </c>
      <c r="D143" s="5" t="s">
        <v>61</v>
      </c>
      <c r="E143" s="6" t="n">
        <v>180723</v>
      </c>
      <c r="F143" s="6" t="n">
        <v>189075</v>
      </c>
      <c r="G143" s="6" t="n">
        <v>104639</v>
      </c>
      <c r="H143" s="6" t="n">
        <v>107196</v>
      </c>
      <c r="I143" s="6" t="n">
        <v>30358</v>
      </c>
      <c r="J143" s="6" t="n">
        <v>30362</v>
      </c>
      <c r="K143" s="6" t="n">
        <v>5389</v>
      </c>
      <c r="L143" s="6" t="n">
        <v>4985</v>
      </c>
      <c r="M143" s="6" t="n">
        <v>1916</v>
      </c>
      <c r="N143" s="6" t="n">
        <v>2399</v>
      </c>
      <c r="O143" s="6" t="n">
        <v>3552</v>
      </c>
      <c r="P143" s="6" t="n">
        <v>3521</v>
      </c>
      <c r="Q143" s="6" t="n">
        <v>2610</v>
      </c>
      <c r="R143" s="6" t="n">
        <v>2662</v>
      </c>
      <c r="S143" s="6" t="n">
        <v>1338</v>
      </c>
      <c r="T143" s="6" t="n">
        <v>1597</v>
      </c>
      <c r="U143" s="6" t="n">
        <v>4886</v>
      </c>
      <c r="V143" s="6" t="n">
        <v>4740</v>
      </c>
    </row>
    <row r="144" customFormat="false" ht="15" hidden="false" customHeight="false" outlineLevel="0" collapsed="false">
      <c r="A144" s="5" t="s">
        <v>32</v>
      </c>
      <c r="B144" s="6" t="s">
        <v>75</v>
      </c>
      <c r="C144" s="5" t="s">
        <v>71</v>
      </c>
      <c r="D144" s="5" t="s">
        <v>61</v>
      </c>
      <c r="E144" s="6" t="n">
        <v>181839</v>
      </c>
      <c r="F144" s="6" t="n">
        <v>190223</v>
      </c>
      <c r="G144" s="6" t="n">
        <v>100661</v>
      </c>
      <c r="H144" s="6" t="n">
        <v>107965</v>
      </c>
      <c r="I144" s="6" t="n">
        <v>25508</v>
      </c>
      <c r="J144" s="6" t="n">
        <v>26695</v>
      </c>
      <c r="K144" s="6" t="n">
        <v>5866</v>
      </c>
      <c r="L144" s="6" t="n">
        <v>6725</v>
      </c>
      <c r="M144" s="6" t="n">
        <v>1992</v>
      </c>
      <c r="N144" s="6" t="n">
        <v>1725</v>
      </c>
      <c r="O144" s="6" t="n">
        <v>3402</v>
      </c>
      <c r="P144" s="6" t="n">
        <v>3364</v>
      </c>
      <c r="Q144" s="6" t="n">
        <v>3245</v>
      </c>
      <c r="R144" s="6" t="n">
        <v>3116</v>
      </c>
      <c r="S144" s="6" t="n">
        <v>1433</v>
      </c>
      <c r="T144" s="6" t="n">
        <v>1904</v>
      </c>
      <c r="U144" s="6" t="n">
        <v>3886</v>
      </c>
      <c r="V144" s="6" t="n">
        <v>3950</v>
      </c>
    </row>
    <row r="145" customFormat="false" ht="15" hidden="false" customHeight="false" outlineLevel="0" collapsed="false">
      <c r="A145" s="5" t="s">
        <v>32</v>
      </c>
      <c r="B145" s="6" t="s">
        <v>75</v>
      </c>
      <c r="C145" s="5" t="s">
        <v>72</v>
      </c>
      <c r="D145" s="5" t="s">
        <v>61</v>
      </c>
      <c r="E145" s="6" t="n">
        <v>200703</v>
      </c>
      <c r="F145" s="6" t="n">
        <v>209945</v>
      </c>
      <c r="G145" s="6" t="n">
        <v>120337</v>
      </c>
      <c r="H145" s="6" t="n">
        <v>123179</v>
      </c>
      <c r="I145" s="6" t="n">
        <v>31293</v>
      </c>
      <c r="J145" s="6" t="n">
        <v>30383</v>
      </c>
      <c r="K145" s="6" t="n">
        <v>5971</v>
      </c>
      <c r="L145" s="6" t="n">
        <v>5864</v>
      </c>
      <c r="M145" s="6" t="n">
        <v>2621</v>
      </c>
      <c r="N145" s="6" t="n">
        <v>2920</v>
      </c>
      <c r="O145" s="6" t="n">
        <v>3916</v>
      </c>
      <c r="P145" s="6" t="n">
        <v>3893</v>
      </c>
      <c r="Q145" s="6" t="n">
        <v>3511</v>
      </c>
      <c r="R145" s="6" t="n">
        <v>3637</v>
      </c>
      <c r="S145" s="6" t="n">
        <v>1309</v>
      </c>
      <c r="T145" s="6" t="n">
        <v>1126</v>
      </c>
      <c r="U145" s="6" t="n">
        <v>5524</v>
      </c>
      <c r="V145" s="6" t="n">
        <v>5554</v>
      </c>
    </row>
    <row r="146" customFormat="false" ht="15" hidden="false" customHeight="false" outlineLevel="0" collapsed="false">
      <c r="A146" s="5" t="s">
        <v>32</v>
      </c>
      <c r="B146" s="6" t="s">
        <v>76</v>
      </c>
      <c r="C146" s="5" t="s">
        <v>34</v>
      </c>
      <c r="D146" s="5" t="s">
        <v>35</v>
      </c>
      <c r="E146" s="6" t="n">
        <v>148969</v>
      </c>
      <c r="F146" s="6" t="n">
        <v>155698</v>
      </c>
      <c r="G146" s="6" t="n">
        <v>82919</v>
      </c>
      <c r="H146" s="6" t="n">
        <v>84206</v>
      </c>
      <c r="I146" s="6" t="n">
        <v>23329</v>
      </c>
      <c r="J146" s="6" t="n">
        <v>24169</v>
      </c>
      <c r="K146" s="6" t="n">
        <v>4337</v>
      </c>
      <c r="L146" s="6" t="n">
        <v>4700</v>
      </c>
      <c r="M146" s="6" t="n">
        <v>1912</v>
      </c>
      <c r="N146" s="6" t="n">
        <v>2340</v>
      </c>
      <c r="O146" s="6" t="n">
        <v>3662</v>
      </c>
      <c r="P146" s="6" t="n">
        <v>3568</v>
      </c>
      <c r="Q146" s="6" t="n">
        <v>2405</v>
      </c>
      <c r="R146" s="6" t="n">
        <v>2407</v>
      </c>
      <c r="S146" s="6" t="n">
        <v>1562</v>
      </c>
      <c r="T146" s="6" t="n">
        <v>1527</v>
      </c>
      <c r="U146" s="6" t="n">
        <v>3061</v>
      </c>
      <c r="V146" s="6" t="n">
        <v>3134</v>
      </c>
    </row>
    <row r="147" customFormat="false" ht="15" hidden="false" customHeight="false" outlineLevel="0" collapsed="false">
      <c r="A147" s="5" t="s">
        <v>32</v>
      </c>
      <c r="B147" s="6" t="s">
        <v>76</v>
      </c>
      <c r="C147" s="5" t="s">
        <v>36</v>
      </c>
      <c r="D147" s="5" t="s">
        <v>35</v>
      </c>
      <c r="E147" s="6" t="n">
        <v>159552</v>
      </c>
      <c r="F147" s="6" t="n">
        <v>159650</v>
      </c>
      <c r="G147" s="6" t="n">
        <v>87237</v>
      </c>
      <c r="H147" s="6" t="n">
        <v>88086</v>
      </c>
      <c r="I147" s="6" t="n">
        <v>25180</v>
      </c>
      <c r="J147" s="6" t="n">
        <v>25888</v>
      </c>
      <c r="K147" s="6" t="n">
        <v>5531</v>
      </c>
      <c r="L147" s="6" t="n">
        <v>6339</v>
      </c>
      <c r="M147" s="6" t="n">
        <v>2319</v>
      </c>
      <c r="N147" s="6" t="n">
        <v>2008</v>
      </c>
      <c r="O147" s="6" t="n">
        <v>4245</v>
      </c>
      <c r="P147" s="6" t="n">
        <v>4340</v>
      </c>
      <c r="Q147" s="6" t="n">
        <v>2381</v>
      </c>
      <c r="R147" s="6" t="n">
        <v>2425</v>
      </c>
      <c r="S147" s="6" t="n">
        <v>1687</v>
      </c>
      <c r="T147" s="6" t="n">
        <v>2316</v>
      </c>
      <c r="U147" s="6" t="n">
        <v>4420</v>
      </c>
      <c r="V147" s="6" t="n">
        <v>4292</v>
      </c>
    </row>
    <row r="148" customFormat="false" ht="15" hidden="false" customHeight="false" outlineLevel="0" collapsed="false">
      <c r="A148" s="5" t="s">
        <v>32</v>
      </c>
      <c r="B148" s="6" t="s">
        <v>76</v>
      </c>
      <c r="C148" s="5" t="s">
        <v>37</v>
      </c>
      <c r="D148" s="5" t="s">
        <v>35</v>
      </c>
      <c r="E148" s="6" t="n">
        <v>153489</v>
      </c>
      <c r="F148" s="6" t="n">
        <v>157998</v>
      </c>
      <c r="G148" s="6" t="n">
        <v>83251</v>
      </c>
      <c r="H148" s="6" t="n">
        <v>83014</v>
      </c>
      <c r="I148" s="6" t="n">
        <v>25123</v>
      </c>
      <c r="J148" s="6" t="n">
        <v>25769</v>
      </c>
      <c r="K148" s="6" t="n">
        <v>4517</v>
      </c>
      <c r="L148" s="6" t="n">
        <v>4518</v>
      </c>
      <c r="M148" s="6" t="n">
        <v>1674</v>
      </c>
      <c r="N148" s="6" t="n">
        <v>1927</v>
      </c>
      <c r="O148" s="6" t="n">
        <v>2889</v>
      </c>
      <c r="P148" s="6" t="n">
        <v>2937</v>
      </c>
      <c r="Q148" s="6" t="n">
        <v>2598</v>
      </c>
      <c r="R148" s="6" t="n">
        <v>2540</v>
      </c>
      <c r="S148" s="6" t="n">
        <v>1206</v>
      </c>
      <c r="T148" s="6" t="n">
        <v>1335</v>
      </c>
      <c r="U148" s="6" t="n">
        <v>3382</v>
      </c>
      <c r="V148" s="6" t="n">
        <v>3445</v>
      </c>
    </row>
    <row r="149" customFormat="false" ht="15" hidden="false" customHeight="false" outlineLevel="0" collapsed="false">
      <c r="A149" s="5" t="s">
        <v>32</v>
      </c>
      <c r="B149" s="6" t="s">
        <v>76</v>
      </c>
      <c r="C149" s="5" t="s">
        <v>38</v>
      </c>
      <c r="D149" s="5" t="s">
        <v>35</v>
      </c>
      <c r="E149" s="6" t="n">
        <v>157258</v>
      </c>
      <c r="F149" s="6" t="n">
        <v>159347</v>
      </c>
      <c r="G149" s="6" t="n">
        <v>90904</v>
      </c>
      <c r="H149" s="6" t="n">
        <v>95574</v>
      </c>
      <c r="I149" s="6" t="n">
        <v>25229</v>
      </c>
      <c r="J149" s="6" t="n">
        <v>24656</v>
      </c>
      <c r="K149" s="6" t="n">
        <v>4793</v>
      </c>
      <c r="L149" s="6" t="n">
        <v>5124</v>
      </c>
      <c r="M149" s="6" t="n">
        <v>2190</v>
      </c>
      <c r="N149" s="6" t="n">
        <v>1815</v>
      </c>
      <c r="O149" s="6" t="n">
        <v>2966</v>
      </c>
      <c r="P149" s="6" t="n">
        <v>2961</v>
      </c>
      <c r="Q149" s="6" t="n">
        <v>2457</v>
      </c>
      <c r="R149" s="6" t="n">
        <v>2484</v>
      </c>
      <c r="S149" s="6" t="n">
        <v>1235</v>
      </c>
      <c r="T149" s="6" t="n">
        <v>1538</v>
      </c>
      <c r="U149" s="6" t="n">
        <v>4310</v>
      </c>
      <c r="V149" s="6" t="n">
        <v>4212</v>
      </c>
    </row>
    <row r="150" customFormat="false" ht="15" hidden="false" customHeight="false" outlineLevel="0" collapsed="false">
      <c r="A150" s="5" t="s">
        <v>32</v>
      </c>
      <c r="B150" s="6" t="s">
        <v>76</v>
      </c>
      <c r="C150" s="5" t="s">
        <v>39</v>
      </c>
      <c r="D150" s="5" t="s">
        <v>35</v>
      </c>
      <c r="E150" s="6" t="n">
        <v>165722</v>
      </c>
      <c r="F150" s="6" t="n">
        <v>161809</v>
      </c>
      <c r="G150" s="6" t="n">
        <v>91119</v>
      </c>
      <c r="H150" s="6" t="n">
        <v>93442</v>
      </c>
      <c r="I150" s="6" t="n">
        <v>25801</v>
      </c>
      <c r="J150" s="6" t="n">
        <v>27249</v>
      </c>
      <c r="K150" s="6" t="n">
        <v>5106</v>
      </c>
      <c r="L150" s="6" t="n">
        <v>4596</v>
      </c>
      <c r="M150" s="6" t="n">
        <v>1473</v>
      </c>
      <c r="N150" s="6" t="n">
        <v>1754</v>
      </c>
      <c r="O150" s="6" t="n">
        <v>3428</v>
      </c>
      <c r="P150" s="6" t="n">
        <v>3701</v>
      </c>
      <c r="Q150" s="6" t="n">
        <v>3011</v>
      </c>
      <c r="R150" s="6" t="n">
        <v>2869</v>
      </c>
      <c r="S150" s="6" t="n">
        <v>1797</v>
      </c>
      <c r="T150" s="6" t="n">
        <v>1731</v>
      </c>
      <c r="U150" s="6" t="n">
        <v>3420</v>
      </c>
      <c r="V150" s="6" t="n">
        <v>3464</v>
      </c>
    </row>
    <row r="151" customFormat="false" ht="15" hidden="false" customHeight="false" outlineLevel="0" collapsed="false">
      <c r="A151" s="5" t="s">
        <v>32</v>
      </c>
      <c r="B151" s="6" t="s">
        <v>76</v>
      </c>
      <c r="C151" s="5" t="s">
        <v>40</v>
      </c>
      <c r="D151" s="5" t="s">
        <v>35</v>
      </c>
      <c r="E151" s="6" t="n">
        <v>171301</v>
      </c>
      <c r="F151" s="6" t="n">
        <v>180460</v>
      </c>
      <c r="G151" s="6" t="n">
        <v>97181</v>
      </c>
      <c r="H151" s="6" t="n">
        <v>102017</v>
      </c>
      <c r="I151" s="6" t="n">
        <v>26550</v>
      </c>
      <c r="J151" s="6" t="n">
        <v>27409</v>
      </c>
      <c r="K151" s="6" t="n">
        <v>4371</v>
      </c>
      <c r="L151" s="6" t="n">
        <v>4050</v>
      </c>
      <c r="M151" s="6" t="n">
        <v>1494</v>
      </c>
      <c r="N151" s="6" t="n">
        <v>1624</v>
      </c>
      <c r="O151" s="6" t="n">
        <v>4322</v>
      </c>
      <c r="P151" s="6" t="n">
        <v>4154</v>
      </c>
      <c r="Q151" s="6" t="n">
        <v>2753</v>
      </c>
      <c r="R151" s="6" t="n">
        <v>2627</v>
      </c>
      <c r="S151" s="6" t="n">
        <v>1915</v>
      </c>
      <c r="T151" s="6" t="n">
        <v>1813</v>
      </c>
      <c r="U151" s="6" t="n">
        <v>4234</v>
      </c>
      <c r="V151" s="6" t="n">
        <v>4204</v>
      </c>
    </row>
    <row r="152" customFormat="false" ht="15" hidden="false" customHeight="false" outlineLevel="0" collapsed="false">
      <c r="A152" s="5" t="s">
        <v>32</v>
      </c>
      <c r="B152" s="6" t="s">
        <v>76</v>
      </c>
      <c r="C152" s="5" t="s">
        <v>41</v>
      </c>
      <c r="D152" s="5" t="s">
        <v>35</v>
      </c>
      <c r="E152" s="6" t="n">
        <v>170703</v>
      </c>
      <c r="F152" s="6" t="n">
        <v>162305</v>
      </c>
      <c r="G152" s="6" t="n">
        <v>100962</v>
      </c>
      <c r="H152" s="6" t="n">
        <v>97236</v>
      </c>
      <c r="I152" s="6" t="n">
        <v>28579</v>
      </c>
      <c r="J152" s="6" t="n">
        <v>30050</v>
      </c>
      <c r="K152" s="6" t="n">
        <v>4488</v>
      </c>
      <c r="L152" s="6" t="n">
        <v>4248</v>
      </c>
      <c r="M152" s="6" t="n">
        <v>1863</v>
      </c>
      <c r="N152" s="6" t="n">
        <v>2161</v>
      </c>
      <c r="O152" s="6" t="n">
        <v>3536</v>
      </c>
      <c r="P152" s="6" t="n">
        <v>3303</v>
      </c>
      <c r="Q152" s="6" t="n">
        <v>2558</v>
      </c>
      <c r="R152" s="6" t="n">
        <v>2559</v>
      </c>
      <c r="S152" s="6" t="n">
        <v>1948</v>
      </c>
      <c r="T152" s="6" t="n">
        <v>1768</v>
      </c>
      <c r="U152" s="6" t="n">
        <v>4787</v>
      </c>
      <c r="V152" s="6" t="n">
        <v>4925</v>
      </c>
    </row>
    <row r="153" customFormat="false" ht="15" hidden="false" customHeight="false" outlineLevel="0" collapsed="false">
      <c r="A153" s="5" t="s">
        <v>32</v>
      </c>
      <c r="B153" s="6" t="s">
        <v>76</v>
      </c>
      <c r="C153" s="5" t="s">
        <v>42</v>
      </c>
      <c r="D153" s="5" t="s">
        <v>35</v>
      </c>
      <c r="E153" s="6" t="n">
        <v>157812</v>
      </c>
      <c r="F153" s="6" t="n">
        <v>166421</v>
      </c>
      <c r="G153" s="6" t="n">
        <v>89622</v>
      </c>
      <c r="H153" s="6" t="n">
        <v>93532</v>
      </c>
      <c r="I153" s="6" t="n">
        <v>26093</v>
      </c>
      <c r="J153" s="6" t="n">
        <v>26250</v>
      </c>
      <c r="K153" s="6" t="n">
        <v>4466</v>
      </c>
      <c r="L153" s="6" t="n">
        <v>3807</v>
      </c>
      <c r="M153" s="6" t="n">
        <v>1484</v>
      </c>
      <c r="N153" s="6" t="n">
        <v>1606</v>
      </c>
      <c r="O153" s="6" t="n">
        <v>3320</v>
      </c>
      <c r="P153" s="6" t="n">
        <v>3427</v>
      </c>
      <c r="Q153" s="6" t="n">
        <v>2479</v>
      </c>
      <c r="R153" s="6" t="n">
        <v>2502</v>
      </c>
      <c r="S153" s="6" t="n">
        <v>1414</v>
      </c>
      <c r="T153" s="6" t="n">
        <v>1787</v>
      </c>
      <c r="U153" s="6" t="n">
        <v>3465</v>
      </c>
      <c r="V153" s="6" t="n">
        <v>3548</v>
      </c>
    </row>
    <row r="154" customFormat="false" ht="15" hidden="false" customHeight="false" outlineLevel="0" collapsed="false">
      <c r="A154" s="5" t="s">
        <v>32</v>
      </c>
      <c r="B154" s="6" t="s">
        <v>76</v>
      </c>
      <c r="C154" s="5" t="s">
        <v>43</v>
      </c>
      <c r="D154" s="5" t="s">
        <v>35</v>
      </c>
      <c r="E154" s="6" t="n">
        <v>181247</v>
      </c>
      <c r="F154" s="6" t="n">
        <v>186965</v>
      </c>
      <c r="G154" s="6" t="n">
        <v>97943</v>
      </c>
      <c r="H154" s="6" t="n">
        <v>101126</v>
      </c>
      <c r="I154" s="6" t="n">
        <v>26641</v>
      </c>
      <c r="J154" s="6" t="n">
        <v>26857</v>
      </c>
      <c r="K154" s="6" t="n">
        <v>5907</v>
      </c>
      <c r="L154" s="6" t="n">
        <v>6575</v>
      </c>
      <c r="M154" s="6" t="n">
        <v>2657</v>
      </c>
      <c r="N154" s="6" t="n">
        <v>2128</v>
      </c>
      <c r="O154" s="6" t="n">
        <v>4454</v>
      </c>
      <c r="P154" s="6" t="n">
        <v>4778</v>
      </c>
      <c r="Q154" s="6" t="n">
        <v>3229</v>
      </c>
      <c r="R154" s="6" t="n">
        <v>3101</v>
      </c>
      <c r="S154" s="6" t="n">
        <v>1664</v>
      </c>
      <c r="T154" s="6" t="n">
        <v>1569</v>
      </c>
      <c r="U154" s="6" t="n">
        <v>4517</v>
      </c>
      <c r="V154" s="6" t="n">
        <v>4398</v>
      </c>
    </row>
    <row r="155" customFormat="false" ht="15" hidden="false" customHeight="false" outlineLevel="0" collapsed="false">
      <c r="A155" s="5" t="s">
        <v>32</v>
      </c>
      <c r="B155" s="6" t="s">
        <v>76</v>
      </c>
      <c r="C155" s="5" t="s">
        <v>44</v>
      </c>
      <c r="D155" s="5" t="s">
        <v>35</v>
      </c>
      <c r="E155" s="6" t="n">
        <v>178350</v>
      </c>
      <c r="F155" s="6" t="n">
        <v>173932</v>
      </c>
      <c r="G155" s="6" t="n">
        <v>97304</v>
      </c>
      <c r="H155" s="6" t="n">
        <v>99427</v>
      </c>
      <c r="I155" s="6" t="n">
        <v>29770</v>
      </c>
      <c r="J155" s="6" t="n">
        <v>30579</v>
      </c>
      <c r="K155" s="6" t="n">
        <v>5442</v>
      </c>
      <c r="L155" s="6" t="n">
        <v>5234</v>
      </c>
      <c r="M155" s="6" t="n">
        <v>2643</v>
      </c>
      <c r="N155" s="6" t="n">
        <v>2227</v>
      </c>
      <c r="O155" s="6" t="n">
        <v>3381</v>
      </c>
      <c r="P155" s="6" t="n">
        <v>3192</v>
      </c>
      <c r="Q155" s="6" t="n">
        <v>3310</v>
      </c>
      <c r="R155" s="6" t="n">
        <v>3169</v>
      </c>
      <c r="S155" s="6" t="n">
        <v>1678</v>
      </c>
      <c r="T155" s="6" t="n">
        <v>1780</v>
      </c>
      <c r="U155" s="6" t="n">
        <v>5287</v>
      </c>
      <c r="V155" s="6" t="n">
        <v>5203</v>
      </c>
    </row>
    <row r="156" customFormat="false" ht="15" hidden="false" customHeight="false" outlineLevel="0" collapsed="false">
      <c r="A156" s="5" t="s">
        <v>32</v>
      </c>
      <c r="B156" s="6" t="s">
        <v>76</v>
      </c>
      <c r="C156" s="5" t="s">
        <v>45</v>
      </c>
      <c r="D156" s="5" t="s">
        <v>35</v>
      </c>
      <c r="E156" s="6" t="n">
        <v>169637</v>
      </c>
      <c r="F156" s="6" t="n">
        <v>173488</v>
      </c>
      <c r="G156" s="6" t="n">
        <v>99755</v>
      </c>
      <c r="H156" s="6" t="n">
        <v>104628</v>
      </c>
      <c r="I156" s="6" t="n">
        <v>27491</v>
      </c>
      <c r="J156" s="6" t="n">
        <v>27628</v>
      </c>
      <c r="K156" s="6" t="n">
        <v>4085</v>
      </c>
      <c r="L156" s="6" t="n">
        <v>3564</v>
      </c>
      <c r="M156" s="6" t="n">
        <v>1598</v>
      </c>
      <c r="N156" s="6" t="n">
        <v>1902</v>
      </c>
      <c r="O156" s="6" t="n">
        <v>4045</v>
      </c>
      <c r="P156" s="6" t="n">
        <v>3835</v>
      </c>
      <c r="Q156" s="6" t="n">
        <v>2259</v>
      </c>
      <c r="R156" s="6" t="n">
        <v>2251</v>
      </c>
      <c r="S156" s="6" t="n">
        <v>1432</v>
      </c>
      <c r="T156" s="6" t="n">
        <v>1606</v>
      </c>
      <c r="U156" s="6" t="n">
        <v>5029</v>
      </c>
      <c r="V156" s="6" t="n">
        <v>4941</v>
      </c>
    </row>
    <row r="157" customFormat="false" ht="15" hidden="false" customHeight="false" outlineLevel="0" collapsed="false">
      <c r="A157" s="5" t="s">
        <v>32</v>
      </c>
      <c r="B157" s="6" t="s">
        <v>76</v>
      </c>
      <c r="C157" s="5" t="s">
        <v>46</v>
      </c>
      <c r="D157" s="5" t="s">
        <v>35</v>
      </c>
      <c r="E157" s="6" t="n">
        <v>186017</v>
      </c>
      <c r="F157" s="6" t="n">
        <v>191415</v>
      </c>
      <c r="G157" s="6" t="n">
        <v>101788</v>
      </c>
      <c r="H157" s="6" t="n">
        <v>102421</v>
      </c>
      <c r="I157" s="6" t="n">
        <v>29871</v>
      </c>
      <c r="J157" s="6" t="n">
        <v>31690</v>
      </c>
      <c r="K157" s="6" t="n">
        <v>5665</v>
      </c>
      <c r="L157" s="6" t="n">
        <v>4884</v>
      </c>
      <c r="M157" s="6" t="n">
        <v>2577</v>
      </c>
      <c r="N157" s="6" t="n">
        <v>2484</v>
      </c>
      <c r="O157" s="6" t="n">
        <v>3518</v>
      </c>
      <c r="P157" s="6" t="n">
        <v>3394</v>
      </c>
      <c r="Q157" s="6" t="n">
        <v>2762</v>
      </c>
      <c r="R157" s="6" t="n">
        <v>2766</v>
      </c>
      <c r="S157" s="6" t="n">
        <v>1872</v>
      </c>
      <c r="T157" s="6" t="n">
        <v>1790</v>
      </c>
      <c r="U157" s="6" t="n">
        <v>5563</v>
      </c>
      <c r="V157" s="6" t="n">
        <v>5406</v>
      </c>
    </row>
    <row r="158" customFormat="false" ht="15" hidden="false" customHeight="false" outlineLevel="0" collapsed="false">
      <c r="A158" s="5" t="s">
        <v>32</v>
      </c>
      <c r="B158" s="6" t="s">
        <v>76</v>
      </c>
      <c r="C158" s="5" t="s">
        <v>47</v>
      </c>
      <c r="D158" s="5" t="s">
        <v>48</v>
      </c>
      <c r="E158" s="6" t="n">
        <v>172936</v>
      </c>
      <c r="F158" s="6" t="n">
        <v>173934</v>
      </c>
      <c r="G158" s="6" t="n">
        <v>101148</v>
      </c>
      <c r="H158" s="6" t="n">
        <v>100426</v>
      </c>
      <c r="I158" s="6" t="n">
        <v>26608</v>
      </c>
      <c r="J158" s="6" t="n">
        <v>28163</v>
      </c>
      <c r="K158" s="6" t="n">
        <v>3821</v>
      </c>
      <c r="L158" s="6" t="n">
        <v>3262</v>
      </c>
      <c r="M158" s="6" t="n">
        <v>2389</v>
      </c>
      <c r="N158" s="6" t="n">
        <v>3085</v>
      </c>
      <c r="O158" s="6" t="n">
        <v>3339</v>
      </c>
      <c r="P158" s="6" t="n">
        <v>3567</v>
      </c>
      <c r="Q158" s="6" t="n">
        <v>2590</v>
      </c>
      <c r="R158" s="6" t="n">
        <v>2624</v>
      </c>
      <c r="S158" s="6" t="n">
        <v>1707</v>
      </c>
      <c r="T158" s="6" t="n">
        <v>1962</v>
      </c>
      <c r="U158" s="6" t="n">
        <v>3906</v>
      </c>
      <c r="V158" s="6" t="n">
        <v>3979</v>
      </c>
    </row>
    <row r="159" customFormat="false" ht="15" hidden="false" customHeight="false" outlineLevel="0" collapsed="false">
      <c r="A159" s="5" t="s">
        <v>32</v>
      </c>
      <c r="B159" s="6" t="s">
        <v>76</v>
      </c>
      <c r="C159" s="5" t="s">
        <v>49</v>
      </c>
      <c r="D159" s="5" t="s">
        <v>48</v>
      </c>
      <c r="E159" s="6" t="n">
        <v>162833</v>
      </c>
      <c r="F159" s="6" t="n">
        <v>171813</v>
      </c>
      <c r="G159" s="6" t="n">
        <v>96747</v>
      </c>
      <c r="H159" s="6" t="n">
        <v>102456</v>
      </c>
      <c r="I159" s="6" t="n">
        <v>23426</v>
      </c>
      <c r="J159" s="6" t="n">
        <v>25055</v>
      </c>
      <c r="K159" s="6" t="n">
        <v>5282</v>
      </c>
      <c r="L159" s="6" t="n">
        <v>5015</v>
      </c>
      <c r="M159" s="6" t="n">
        <v>1351</v>
      </c>
      <c r="N159" s="6" t="n">
        <v>1392</v>
      </c>
      <c r="O159" s="6" t="n">
        <v>3205</v>
      </c>
      <c r="P159" s="6" t="n">
        <v>3280</v>
      </c>
      <c r="Q159" s="6" t="n">
        <v>3024</v>
      </c>
      <c r="R159" s="6" t="n">
        <v>2992</v>
      </c>
      <c r="S159" s="6" t="n">
        <v>1006</v>
      </c>
      <c r="T159" s="6" t="n">
        <v>1217</v>
      </c>
      <c r="U159" s="6" t="n">
        <v>3538</v>
      </c>
      <c r="V159" s="6" t="n">
        <v>3477</v>
      </c>
    </row>
    <row r="160" customFormat="false" ht="15" hidden="false" customHeight="false" outlineLevel="0" collapsed="false">
      <c r="A160" s="5" t="s">
        <v>32</v>
      </c>
      <c r="B160" s="6" t="s">
        <v>76</v>
      </c>
      <c r="C160" s="5" t="s">
        <v>50</v>
      </c>
      <c r="D160" s="5" t="s">
        <v>48</v>
      </c>
      <c r="E160" s="6" t="n">
        <v>166349</v>
      </c>
      <c r="F160" s="6" t="n">
        <v>170863</v>
      </c>
      <c r="G160" s="6" t="n">
        <v>98646</v>
      </c>
      <c r="H160" s="6" t="n">
        <v>98201</v>
      </c>
      <c r="I160" s="6" t="n">
        <v>26379</v>
      </c>
      <c r="J160" s="6" t="n">
        <v>26301</v>
      </c>
      <c r="K160" s="6" t="n">
        <v>4063</v>
      </c>
      <c r="L160" s="6" t="n">
        <v>3956</v>
      </c>
      <c r="M160" s="6" t="n">
        <v>1972</v>
      </c>
      <c r="N160" s="6" t="n">
        <v>1638</v>
      </c>
      <c r="O160" s="6" t="n">
        <v>3460</v>
      </c>
      <c r="P160" s="6" t="n">
        <v>3269</v>
      </c>
      <c r="Q160" s="6" t="n">
        <v>2262</v>
      </c>
      <c r="R160" s="6" t="n">
        <v>2349</v>
      </c>
      <c r="S160" s="6" t="n">
        <v>1523</v>
      </c>
      <c r="T160" s="6" t="n">
        <v>1795</v>
      </c>
      <c r="U160" s="6" t="n">
        <v>4661</v>
      </c>
      <c r="V160" s="6" t="n">
        <v>4743</v>
      </c>
    </row>
    <row r="161" customFormat="false" ht="15" hidden="false" customHeight="false" outlineLevel="0" collapsed="false">
      <c r="A161" s="5" t="s">
        <v>32</v>
      </c>
      <c r="B161" s="6" t="s">
        <v>76</v>
      </c>
      <c r="C161" s="5" t="s">
        <v>51</v>
      </c>
      <c r="D161" s="5" t="s">
        <v>48</v>
      </c>
      <c r="E161" s="6" t="n">
        <v>181375</v>
      </c>
      <c r="F161" s="6" t="n">
        <v>175440</v>
      </c>
      <c r="G161" s="6" t="n">
        <v>101851</v>
      </c>
      <c r="H161" s="6" t="n">
        <v>99785</v>
      </c>
      <c r="I161" s="6" t="n">
        <v>28030</v>
      </c>
      <c r="J161" s="6" t="n">
        <v>30003</v>
      </c>
      <c r="K161" s="6" t="n">
        <v>4994</v>
      </c>
      <c r="L161" s="6" t="n">
        <v>4827</v>
      </c>
      <c r="M161" s="6" t="n">
        <v>1679</v>
      </c>
      <c r="N161" s="6" t="n">
        <v>1611</v>
      </c>
      <c r="O161" s="6" t="n">
        <v>3662</v>
      </c>
      <c r="P161" s="6" t="n">
        <v>3959</v>
      </c>
      <c r="Q161" s="6" t="n">
        <v>3306</v>
      </c>
      <c r="R161" s="6" t="n">
        <v>3160</v>
      </c>
      <c r="S161" s="6" t="n">
        <v>2167</v>
      </c>
      <c r="T161" s="6" t="n">
        <v>2422</v>
      </c>
      <c r="U161" s="6" t="n">
        <v>5018</v>
      </c>
      <c r="V161" s="6" t="n">
        <v>5168</v>
      </c>
    </row>
    <row r="162" customFormat="false" ht="15" hidden="false" customHeight="false" outlineLevel="0" collapsed="false">
      <c r="A162" s="5" t="s">
        <v>32</v>
      </c>
      <c r="B162" s="6" t="s">
        <v>76</v>
      </c>
      <c r="C162" s="5" t="s">
        <v>52</v>
      </c>
      <c r="D162" s="5" t="s">
        <v>48</v>
      </c>
      <c r="E162" s="6" t="n">
        <v>171391</v>
      </c>
      <c r="F162" s="6" t="n">
        <v>180030</v>
      </c>
      <c r="G162" s="6" t="n">
        <v>99306</v>
      </c>
      <c r="H162" s="6" t="n">
        <v>103110</v>
      </c>
      <c r="I162" s="6" t="n">
        <v>28192</v>
      </c>
      <c r="J162" s="6" t="n">
        <v>30191</v>
      </c>
      <c r="K162" s="6" t="n">
        <v>3572</v>
      </c>
      <c r="L162" s="6" t="n">
        <v>4104</v>
      </c>
      <c r="M162" s="6" t="n">
        <v>1634</v>
      </c>
      <c r="N162" s="6" t="n">
        <v>1999</v>
      </c>
      <c r="O162" s="6" t="n">
        <v>4452</v>
      </c>
      <c r="P162" s="6" t="n">
        <v>4380</v>
      </c>
      <c r="Q162" s="6" t="n">
        <v>3207</v>
      </c>
      <c r="R162" s="6" t="n">
        <v>3318</v>
      </c>
      <c r="S162" s="6" t="n">
        <v>1209</v>
      </c>
      <c r="T162" s="6" t="n">
        <v>1397</v>
      </c>
      <c r="U162" s="6" t="n">
        <v>4810</v>
      </c>
      <c r="V162" s="6" t="n">
        <v>4867</v>
      </c>
    </row>
    <row r="163" customFormat="false" ht="15" hidden="false" customHeight="false" outlineLevel="0" collapsed="false">
      <c r="A163" s="5" t="s">
        <v>32</v>
      </c>
      <c r="B163" s="6" t="s">
        <v>76</v>
      </c>
      <c r="C163" s="5" t="s">
        <v>53</v>
      </c>
      <c r="D163" s="5" t="s">
        <v>48</v>
      </c>
      <c r="E163" s="6" t="n">
        <v>191963</v>
      </c>
      <c r="F163" s="6" t="n">
        <v>203483</v>
      </c>
      <c r="G163" s="6" t="n">
        <v>111729</v>
      </c>
      <c r="H163" s="6" t="n">
        <v>124005</v>
      </c>
      <c r="I163" s="6" t="n">
        <v>30121</v>
      </c>
      <c r="J163" s="6" t="n">
        <v>31083</v>
      </c>
      <c r="K163" s="6" t="n">
        <v>4381</v>
      </c>
      <c r="L163" s="6" t="n">
        <v>5022</v>
      </c>
      <c r="M163" s="6" t="n">
        <v>2720</v>
      </c>
      <c r="N163" s="6" t="n">
        <v>2845</v>
      </c>
      <c r="O163" s="6" t="n">
        <v>4049</v>
      </c>
      <c r="P163" s="6" t="n">
        <v>4083</v>
      </c>
      <c r="Q163" s="6" t="n">
        <v>2442</v>
      </c>
      <c r="R163" s="6" t="n">
        <v>2377</v>
      </c>
      <c r="S163" s="6" t="n">
        <v>1404</v>
      </c>
      <c r="T163" s="6" t="n">
        <v>1567</v>
      </c>
      <c r="U163" s="6" t="n">
        <v>3841</v>
      </c>
      <c r="V163" s="6" t="n">
        <v>3937</v>
      </c>
    </row>
    <row r="164" customFormat="false" ht="15" hidden="false" customHeight="false" outlineLevel="0" collapsed="false">
      <c r="A164" s="5" t="s">
        <v>32</v>
      </c>
      <c r="B164" s="6" t="s">
        <v>76</v>
      </c>
      <c r="C164" s="5" t="s">
        <v>54</v>
      </c>
      <c r="D164" s="5" t="s">
        <v>48</v>
      </c>
      <c r="E164" s="6" t="n">
        <v>175261</v>
      </c>
      <c r="F164" s="6" t="n">
        <v>183393</v>
      </c>
      <c r="G164" s="6" t="n">
        <v>102180</v>
      </c>
      <c r="H164" s="6" t="n">
        <v>111678</v>
      </c>
      <c r="I164" s="6" t="n">
        <v>28976</v>
      </c>
      <c r="J164" s="6" t="n">
        <v>29138</v>
      </c>
      <c r="K164" s="6" t="n">
        <v>3563</v>
      </c>
      <c r="L164" s="6" t="n">
        <v>3656</v>
      </c>
      <c r="M164" s="6" t="n">
        <v>2527</v>
      </c>
      <c r="N164" s="6" t="n">
        <v>3000</v>
      </c>
      <c r="O164" s="6" t="n">
        <v>4638</v>
      </c>
      <c r="P164" s="6" t="n">
        <v>4985</v>
      </c>
      <c r="Q164" s="6" t="n">
        <v>3450</v>
      </c>
      <c r="R164" s="6" t="n">
        <v>3406</v>
      </c>
      <c r="S164" s="6" t="n">
        <v>2042</v>
      </c>
      <c r="T164" s="6" t="n">
        <v>2118</v>
      </c>
      <c r="U164" s="6" t="n">
        <v>3682</v>
      </c>
      <c r="V164" s="6" t="n">
        <v>3638</v>
      </c>
    </row>
    <row r="165" customFormat="false" ht="15" hidden="false" customHeight="false" outlineLevel="0" collapsed="false">
      <c r="A165" s="5" t="s">
        <v>32</v>
      </c>
      <c r="B165" s="6" t="s">
        <v>76</v>
      </c>
      <c r="C165" s="5" t="s">
        <v>55</v>
      </c>
      <c r="D165" s="5" t="s">
        <v>48</v>
      </c>
      <c r="E165" s="6" t="n">
        <v>174524</v>
      </c>
      <c r="F165" s="6" t="n">
        <v>182004</v>
      </c>
      <c r="G165" s="6" t="n">
        <v>104177</v>
      </c>
      <c r="H165" s="6" t="n">
        <v>112208</v>
      </c>
      <c r="I165" s="6" t="n">
        <v>29463</v>
      </c>
      <c r="J165" s="6" t="n">
        <v>30683</v>
      </c>
      <c r="K165" s="6" t="n">
        <v>3947</v>
      </c>
      <c r="L165" s="6" t="n">
        <v>4502</v>
      </c>
      <c r="M165" s="6" t="n">
        <v>2243</v>
      </c>
      <c r="N165" s="6" t="n">
        <v>2836</v>
      </c>
      <c r="O165" s="6" t="n">
        <v>4515</v>
      </c>
      <c r="P165" s="6" t="n">
        <v>4335</v>
      </c>
      <c r="Q165" s="6" t="n">
        <v>2917</v>
      </c>
      <c r="R165" s="6" t="n">
        <v>2822</v>
      </c>
      <c r="S165" s="6" t="n">
        <v>1368</v>
      </c>
      <c r="T165" s="6" t="n">
        <v>1660</v>
      </c>
      <c r="U165" s="6" t="n">
        <v>3713</v>
      </c>
      <c r="V165" s="6" t="n">
        <v>3764</v>
      </c>
    </row>
    <row r="166" customFormat="false" ht="15" hidden="false" customHeight="false" outlineLevel="0" collapsed="false">
      <c r="A166" s="5" t="s">
        <v>32</v>
      </c>
      <c r="B166" s="6" t="s">
        <v>76</v>
      </c>
      <c r="C166" s="5" t="s">
        <v>56</v>
      </c>
      <c r="D166" s="5" t="s">
        <v>48</v>
      </c>
      <c r="E166" s="6" t="n">
        <v>217088</v>
      </c>
      <c r="F166" s="6" t="n">
        <v>205996</v>
      </c>
      <c r="G166" s="6" t="n">
        <v>122328</v>
      </c>
      <c r="H166" s="6" t="n">
        <v>122199</v>
      </c>
      <c r="I166" s="6" t="n">
        <v>36678</v>
      </c>
      <c r="J166" s="6" t="n">
        <v>35708</v>
      </c>
      <c r="K166" s="6" t="n">
        <v>6303</v>
      </c>
      <c r="L166" s="6" t="n">
        <v>7099</v>
      </c>
      <c r="M166" s="6" t="n">
        <v>3207</v>
      </c>
      <c r="N166" s="6" t="n">
        <v>2920</v>
      </c>
      <c r="O166" s="6" t="n">
        <v>5135</v>
      </c>
      <c r="P166" s="6" t="n">
        <v>5590</v>
      </c>
      <c r="Q166" s="6" t="n">
        <v>2849</v>
      </c>
      <c r="R166" s="6" t="n">
        <v>2919</v>
      </c>
      <c r="S166" s="6" t="n">
        <v>1613</v>
      </c>
      <c r="T166" s="6" t="n">
        <v>2241</v>
      </c>
      <c r="U166" s="6" t="n">
        <v>4706</v>
      </c>
      <c r="V166" s="6" t="n">
        <v>4815</v>
      </c>
    </row>
    <row r="167" customFormat="false" ht="15" hidden="false" customHeight="false" outlineLevel="0" collapsed="false">
      <c r="A167" s="5" t="s">
        <v>32</v>
      </c>
      <c r="B167" s="6" t="s">
        <v>76</v>
      </c>
      <c r="C167" s="5" t="s">
        <v>57</v>
      </c>
      <c r="D167" s="5" t="s">
        <v>48</v>
      </c>
      <c r="E167" s="6" t="n">
        <v>189444</v>
      </c>
      <c r="F167" s="6" t="n">
        <v>184810</v>
      </c>
      <c r="G167" s="6" t="n">
        <v>109564</v>
      </c>
      <c r="H167" s="6" t="n">
        <v>111381</v>
      </c>
      <c r="I167" s="6" t="n">
        <v>29061</v>
      </c>
      <c r="J167" s="6" t="n">
        <v>29037</v>
      </c>
      <c r="K167" s="6" t="n">
        <v>4498</v>
      </c>
      <c r="L167" s="6" t="n">
        <v>3915</v>
      </c>
      <c r="M167" s="6" t="n">
        <v>1856</v>
      </c>
      <c r="N167" s="6" t="n">
        <v>1585</v>
      </c>
      <c r="O167" s="6" t="n">
        <v>3412</v>
      </c>
      <c r="P167" s="6" t="n">
        <v>3376</v>
      </c>
      <c r="Q167" s="6" t="n">
        <v>3384</v>
      </c>
      <c r="R167" s="6" t="n">
        <v>3543</v>
      </c>
      <c r="S167" s="6" t="n">
        <v>2142</v>
      </c>
      <c r="T167" s="6" t="n">
        <v>2347</v>
      </c>
      <c r="U167" s="6" t="n">
        <v>4506</v>
      </c>
      <c r="V167" s="6" t="n">
        <v>4518</v>
      </c>
    </row>
    <row r="168" customFormat="false" ht="15" hidden="false" customHeight="false" outlineLevel="0" collapsed="false">
      <c r="A168" s="5" t="s">
        <v>32</v>
      </c>
      <c r="B168" s="6" t="s">
        <v>76</v>
      </c>
      <c r="C168" s="5" t="s">
        <v>58</v>
      </c>
      <c r="D168" s="5" t="s">
        <v>48</v>
      </c>
      <c r="E168" s="6" t="n">
        <v>182699</v>
      </c>
      <c r="F168" s="6" t="n">
        <v>183150</v>
      </c>
      <c r="G168" s="6" t="n">
        <v>108129</v>
      </c>
      <c r="H168" s="6" t="n">
        <v>110694</v>
      </c>
      <c r="I168" s="6" t="n">
        <v>29344</v>
      </c>
      <c r="J168" s="6" t="n">
        <v>28989</v>
      </c>
      <c r="K168" s="6" t="n">
        <v>3856</v>
      </c>
      <c r="L168" s="6" t="n">
        <v>4256</v>
      </c>
      <c r="M168" s="6" t="n">
        <v>1839</v>
      </c>
      <c r="N168" s="6" t="n">
        <v>1764</v>
      </c>
      <c r="O168" s="6" t="n">
        <v>5027</v>
      </c>
      <c r="P168" s="6" t="n">
        <v>4692</v>
      </c>
      <c r="Q168" s="6" t="n">
        <v>2441</v>
      </c>
      <c r="R168" s="6" t="n">
        <v>2411</v>
      </c>
      <c r="S168" s="6" t="n">
        <v>1899</v>
      </c>
      <c r="T168" s="6" t="n">
        <v>2143</v>
      </c>
      <c r="U168" s="6" t="n">
        <v>5295</v>
      </c>
      <c r="V168" s="6" t="n">
        <v>5166</v>
      </c>
    </row>
    <row r="169" customFormat="false" ht="15" hidden="false" customHeight="false" outlineLevel="0" collapsed="false">
      <c r="A169" s="5" t="s">
        <v>32</v>
      </c>
      <c r="B169" s="6" t="s">
        <v>76</v>
      </c>
      <c r="C169" s="5" t="s">
        <v>59</v>
      </c>
      <c r="D169" s="5" t="s">
        <v>48</v>
      </c>
      <c r="E169" s="6" t="n">
        <v>207191</v>
      </c>
      <c r="F169" s="6" t="n">
        <v>204403</v>
      </c>
      <c r="G169" s="6" t="n">
        <v>117884</v>
      </c>
      <c r="H169" s="6" t="n">
        <v>112527</v>
      </c>
      <c r="I169" s="6" t="n">
        <v>34865</v>
      </c>
      <c r="J169" s="6" t="n">
        <v>34452</v>
      </c>
      <c r="K169" s="6" t="n">
        <v>6909</v>
      </c>
      <c r="L169" s="6" t="n">
        <v>6198</v>
      </c>
      <c r="M169" s="6" t="n">
        <v>1804</v>
      </c>
      <c r="N169" s="6" t="n">
        <v>1629</v>
      </c>
      <c r="O169" s="6" t="n">
        <v>4123</v>
      </c>
      <c r="P169" s="6" t="n">
        <v>4311</v>
      </c>
      <c r="Q169" s="6" t="n">
        <v>3683</v>
      </c>
      <c r="R169" s="6" t="n">
        <v>3768</v>
      </c>
      <c r="S169" s="6" t="n">
        <v>1573</v>
      </c>
      <c r="T169" s="6" t="n">
        <v>1524</v>
      </c>
      <c r="U169" s="6" t="n">
        <v>4636</v>
      </c>
      <c r="V169" s="6" t="n">
        <v>4511</v>
      </c>
    </row>
    <row r="170" customFormat="false" ht="15" hidden="false" customHeight="false" outlineLevel="0" collapsed="false">
      <c r="A170" s="5" t="s">
        <v>32</v>
      </c>
      <c r="B170" s="6" t="s">
        <v>76</v>
      </c>
      <c r="C170" s="5" t="s">
        <v>60</v>
      </c>
      <c r="D170" s="5" t="s">
        <v>61</v>
      </c>
      <c r="E170" s="6" t="n">
        <v>194609</v>
      </c>
      <c r="F170" s="6" t="n">
        <v>186983</v>
      </c>
      <c r="G170" s="6" t="n">
        <v>106882</v>
      </c>
      <c r="H170" s="6" t="n">
        <v>102328</v>
      </c>
      <c r="I170" s="6" t="n">
        <v>29742</v>
      </c>
      <c r="J170" s="6" t="n">
        <v>29813</v>
      </c>
      <c r="K170" s="6" t="n">
        <v>5825</v>
      </c>
      <c r="L170" s="6" t="n">
        <v>6000</v>
      </c>
      <c r="M170" s="6" t="n">
        <v>1829</v>
      </c>
      <c r="N170" s="6" t="n">
        <v>1487</v>
      </c>
      <c r="O170" s="6" t="n">
        <v>3835</v>
      </c>
      <c r="P170" s="6" t="n">
        <v>3730</v>
      </c>
      <c r="Q170" s="6" t="n">
        <v>2463</v>
      </c>
      <c r="R170" s="6" t="n">
        <v>2548</v>
      </c>
      <c r="S170" s="6" t="n">
        <v>1528</v>
      </c>
      <c r="T170" s="6" t="n">
        <v>1587</v>
      </c>
      <c r="U170" s="6" t="n">
        <v>4844</v>
      </c>
      <c r="V170" s="6" t="n">
        <v>4891</v>
      </c>
    </row>
    <row r="171" customFormat="false" ht="15" hidden="false" customHeight="false" outlineLevel="0" collapsed="false">
      <c r="A171" s="5" t="s">
        <v>32</v>
      </c>
      <c r="B171" s="6" t="s">
        <v>76</v>
      </c>
      <c r="C171" s="5" t="s">
        <v>62</v>
      </c>
      <c r="D171" s="5" t="s">
        <v>61</v>
      </c>
      <c r="E171" s="6" t="n">
        <v>186207</v>
      </c>
      <c r="F171" s="6" t="n">
        <v>185226</v>
      </c>
      <c r="G171" s="6" t="n">
        <v>102617</v>
      </c>
      <c r="H171" s="6" t="n">
        <v>106573</v>
      </c>
      <c r="I171" s="6" t="n">
        <v>28133</v>
      </c>
      <c r="J171" s="6" t="n">
        <v>28669</v>
      </c>
      <c r="K171" s="6" t="n">
        <v>4460</v>
      </c>
      <c r="L171" s="6" t="n">
        <v>4413</v>
      </c>
      <c r="M171" s="6" t="n">
        <v>1785</v>
      </c>
      <c r="N171" s="6" t="n">
        <v>1668</v>
      </c>
      <c r="O171" s="6" t="n">
        <v>3467</v>
      </c>
      <c r="P171" s="6" t="n">
        <v>3659</v>
      </c>
      <c r="Q171" s="6" t="n">
        <v>3229</v>
      </c>
      <c r="R171" s="6" t="n">
        <v>3095</v>
      </c>
      <c r="S171" s="6" t="n">
        <v>1501</v>
      </c>
      <c r="T171" s="6" t="n">
        <v>1688</v>
      </c>
      <c r="U171" s="6" t="n">
        <v>5532</v>
      </c>
      <c r="V171" s="6" t="n">
        <v>5562</v>
      </c>
    </row>
    <row r="172" customFormat="false" ht="15" hidden="false" customHeight="false" outlineLevel="0" collapsed="false">
      <c r="A172" s="5" t="s">
        <v>32</v>
      </c>
      <c r="B172" s="6" t="s">
        <v>76</v>
      </c>
      <c r="C172" s="5" t="s">
        <v>63</v>
      </c>
      <c r="D172" s="5" t="s">
        <v>61</v>
      </c>
      <c r="E172" s="6" t="n">
        <v>194581</v>
      </c>
      <c r="F172" s="6" t="n">
        <v>186936</v>
      </c>
      <c r="G172" s="6" t="n">
        <v>114629</v>
      </c>
      <c r="H172" s="6" t="n">
        <v>110299</v>
      </c>
      <c r="I172" s="6" t="n">
        <v>30367</v>
      </c>
      <c r="J172" s="6" t="n">
        <v>32352</v>
      </c>
      <c r="K172" s="6" t="n">
        <v>5277</v>
      </c>
      <c r="L172" s="6" t="n">
        <v>5881</v>
      </c>
      <c r="M172" s="6" t="n">
        <v>2205</v>
      </c>
      <c r="N172" s="6" t="n">
        <v>1851</v>
      </c>
      <c r="O172" s="6" t="n">
        <v>5259</v>
      </c>
      <c r="P172" s="6" t="n">
        <v>5514</v>
      </c>
      <c r="Q172" s="6" t="n">
        <v>3117</v>
      </c>
      <c r="R172" s="6" t="n">
        <v>3242</v>
      </c>
      <c r="S172" s="6" t="n">
        <v>2102</v>
      </c>
      <c r="T172" s="6" t="n">
        <v>2536</v>
      </c>
      <c r="U172" s="6" t="n">
        <v>5099</v>
      </c>
      <c r="V172" s="6" t="n">
        <v>4983</v>
      </c>
    </row>
    <row r="173" customFormat="false" ht="15" hidden="false" customHeight="false" outlineLevel="0" collapsed="false">
      <c r="A173" s="5" t="s">
        <v>32</v>
      </c>
      <c r="B173" s="6" t="s">
        <v>76</v>
      </c>
      <c r="C173" s="5" t="s">
        <v>64</v>
      </c>
      <c r="D173" s="5" t="s">
        <v>61</v>
      </c>
      <c r="E173" s="6" t="n">
        <v>182729</v>
      </c>
      <c r="F173" s="6" t="n">
        <v>190195</v>
      </c>
      <c r="G173" s="6" t="n">
        <v>109466</v>
      </c>
      <c r="H173" s="6" t="n">
        <v>119380</v>
      </c>
      <c r="I173" s="6" t="n">
        <v>30014</v>
      </c>
      <c r="J173" s="6" t="n">
        <v>29530</v>
      </c>
      <c r="K173" s="6" t="n">
        <v>4815</v>
      </c>
      <c r="L173" s="6" t="n">
        <v>5520</v>
      </c>
      <c r="M173" s="6" t="n">
        <v>2019</v>
      </c>
      <c r="N173" s="6" t="n">
        <v>2622</v>
      </c>
      <c r="O173" s="6" t="n">
        <v>4435</v>
      </c>
      <c r="P173" s="6" t="n">
        <v>4746</v>
      </c>
      <c r="Q173" s="6" t="n">
        <v>2570</v>
      </c>
      <c r="R173" s="6" t="n">
        <v>2676</v>
      </c>
      <c r="S173" s="6" t="n">
        <v>2099</v>
      </c>
      <c r="T173" s="6" t="n">
        <v>1764</v>
      </c>
      <c r="U173" s="6" t="n">
        <v>4364</v>
      </c>
      <c r="V173" s="6" t="n">
        <v>4337</v>
      </c>
    </row>
    <row r="174" customFormat="false" ht="15" hidden="false" customHeight="false" outlineLevel="0" collapsed="false">
      <c r="A174" s="5" t="s">
        <v>32</v>
      </c>
      <c r="B174" s="6" t="s">
        <v>76</v>
      </c>
      <c r="C174" s="5" t="s">
        <v>65</v>
      </c>
      <c r="D174" s="5" t="s">
        <v>61</v>
      </c>
      <c r="E174" s="6" t="n">
        <v>185100</v>
      </c>
      <c r="F174" s="6" t="n">
        <v>190208</v>
      </c>
      <c r="G174" s="6" t="n">
        <v>105042</v>
      </c>
      <c r="H174" s="6" t="n">
        <v>112444</v>
      </c>
      <c r="I174" s="6" t="n">
        <v>30282</v>
      </c>
      <c r="J174" s="6" t="n">
        <v>31449</v>
      </c>
      <c r="K174" s="6" t="n">
        <v>5153</v>
      </c>
      <c r="L174" s="6" t="n">
        <v>5029</v>
      </c>
      <c r="M174" s="6" t="n">
        <v>2018</v>
      </c>
      <c r="N174" s="6" t="n">
        <v>1764</v>
      </c>
      <c r="O174" s="6" t="n">
        <v>4420</v>
      </c>
      <c r="P174" s="6" t="n">
        <v>4670</v>
      </c>
      <c r="Q174" s="6" t="n">
        <v>3613</v>
      </c>
      <c r="R174" s="6" t="n">
        <v>3767</v>
      </c>
      <c r="S174" s="6" t="n">
        <v>1736</v>
      </c>
      <c r="T174" s="6" t="n">
        <v>1494</v>
      </c>
      <c r="U174" s="6" t="n">
        <v>4232</v>
      </c>
      <c r="V174" s="6" t="n">
        <v>4241</v>
      </c>
    </row>
    <row r="175" customFormat="false" ht="15" hidden="false" customHeight="false" outlineLevel="0" collapsed="false">
      <c r="A175" s="5" t="s">
        <v>32</v>
      </c>
      <c r="B175" s="6" t="s">
        <v>76</v>
      </c>
      <c r="C175" s="5" t="s">
        <v>66</v>
      </c>
      <c r="D175" s="5" t="s">
        <v>61</v>
      </c>
      <c r="E175" s="6" t="n">
        <v>207916</v>
      </c>
      <c r="F175" s="6" t="n">
        <v>210163</v>
      </c>
      <c r="G175" s="6" t="n">
        <v>117053</v>
      </c>
      <c r="H175" s="6" t="n">
        <v>119217</v>
      </c>
      <c r="I175" s="6" t="n">
        <v>32907</v>
      </c>
      <c r="J175" s="6" t="n">
        <v>32055</v>
      </c>
      <c r="K175" s="6" t="n">
        <v>5017</v>
      </c>
      <c r="L175" s="6" t="n">
        <v>4481</v>
      </c>
      <c r="M175" s="6" t="n">
        <v>2549</v>
      </c>
      <c r="N175" s="6" t="n">
        <v>2923</v>
      </c>
      <c r="O175" s="6" t="n">
        <v>3823</v>
      </c>
      <c r="P175" s="6" t="n">
        <v>4129</v>
      </c>
      <c r="Q175" s="6" t="n">
        <v>3046</v>
      </c>
      <c r="R175" s="6" t="n">
        <v>2966</v>
      </c>
      <c r="S175" s="6" t="n">
        <v>2178</v>
      </c>
      <c r="T175" s="6" t="n">
        <v>2946</v>
      </c>
      <c r="U175" s="6" t="n">
        <v>6023</v>
      </c>
      <c r="V175" s="6" t="n">
        <v>5850</v>
      </c>
    </row>
    <row r="176" customFormat="false" ht="15" hidden="false" customHeight="false" outlineLevel="0" collapsed="false">
      <c r="A176" s="5" t="s">
        <v>32</v>
      </c>
      <c r="B176" s="6" t="s">
        <v>76</v>
      </c>
      <c r="C176" s="5" t="s">
        <v>67</v>
      </c>
      <c r="D176" s="5" t="s">
        <v>61</v>
      </c>
      <c r="E176" s="6" t="n">
        <v>189549</v>
      </c>
      <c r="F176" s="6" t="n">
        <v>194137</v>
      </c>
      <c r="G176" s="6" t="n">
        <v>105545</v>
      </c>
      <c r="H176" s="6" t="n">
        <v>108989</v>
      </c>
      <c r="I176" s="6" t="n">
        <v>30496</v>
      </c>
      <c r="J176" s="6" t="n">
        <v>29911</v>
      </c>
      <c r="K176" s="6" t="n">
        <v>6261</v>
      </c>
      <c r="L176" s="6" t="n">
        <v>5574</v>
      </c>
      <c r="M176" s="6" t="n">
        <v>2809</v>
      </c>
      <c r="N176" s="6" t="n">
        <v>2870</v>
      </c>
      <c r="O176" s="6" t="n">
        <v>4977</v>
      </c>
      <c r="P176" s="6" t="n">
        <v>4820</v>
      </c>
      <c r="Q176" s="6" t="n">
        <v>2907</v>
      </c>
      <c r="R176" s="6" t="n">
        <v>2949</v>
      </c>
      <c r="S176" s="6" t="n">
        <v>1351</v>
      </c>
      <c r="T176" s="6" t="n">
        <v>1252</v>
      </c>
      <c r="U176" s="6" t="n">
        <v>5353</v>
      </c>
      <c r="V176" s="6" t="n">
        <v>5430</v>
      </c>
    </row>
    <row r="177" customFormat="false" ht="15" hidden="false" customHeight="false" outlineLevel="0" collapsed="false">
      <c r="A177" s="5" t="s">
        <v>32</v>
      </c>
      <c r="B177" s="6" t="s">
        <v>76</v>
      </c>
      <c r="C177" s="5" t="s">
        <v>68</v>
      </c>
      <c r="D177" s="5" t="s">
        <v>61</v>
      </c>
      <c r="E177" s="6" t="n">
        <v>206243</v>
      </c>
      <c r="F177" s="6" t="n">
        <v>197539</v>
      </c>
      <c r="G177" s="6" t="n">
        <v>121531</v>
      </c>
      <c r="H177" s="6" t="n">
        <v>117541</v>
      </c>
      <c r="I177" s="6" t="n">
        <v>29858</v>
      </c>
      <c r="J177" s="6" t="n">
        <v>29984</v>
      </c>
      <c r="K177" s="6" t="n">
        <v>5693</v>
      </c>
      <c r="L177" s="6" t="n">
        <v>5071</v>
      </c>
      <c r="M177" s="6" t="n">
        <v>2879</v>
      </c>
      <c r="N177" s="6" t="n">
        <v>3569</v>
      </c>
      <c r="O177" s="6" t="n">
        <v>3772</v>
      </c>
      <c r="P177" s="6" t="n">
        <v>3601</v>
      </c>
      <c r="Q177" s="6" t="n">
        <v>3849</v>
      </c>
      <c r="R177" s="6" t="n">
        <v>3979</v>
      </c>
      <c r="S177" s="6" t="n">
        <v>1546</v>
      </c>
      <c r="T177" s="6" t="n">
        <v>1660</v>
      </c>
      <c r="U177" s="6" t="n">
        <v>6018</v>
      </c>
      <c r="V177" s="6" t="n">
        <v>6092</v>
      </c>
    </row>
    <row r="178" customFormat="false" ht="15" hidden="false" customHeight="false" outlineLevel="0" collapsed="false">
      <c r="A178" s="5" t="s">
        <v>32</v>
      </c>
      <c r="B178" s="6" t="s">
        <v>76</v>
      </c>
      <c r="C178" s="5" t="s">
        <v>69</v>
      </c>
      <c r="D178" s="5" t="s">
        <v>61</v>
      </c>
      <c r="E178" s="6" t="n">
        <v>226099</v>
      </c>
      <c r="F178" s="6" t="n">
        <v>217650</v>
      </c>
      <c r="G178" s="6" t="n">
        <v>128946</v>
      </c>
      <c r="H178" s="6" t="n">
        <v>126689</v>
      </c>
      <c r="I178" s="6" t="n">
        <v>32494</v>
      </c>
      <c r="J178" s="6" t="n">
        <v>31628</v>
      </c>
      <c r="K178" s="6" t="n">
        <v>5785</v>
      </c>
      <c r="L178" s="6" t="n">
        <v>5948</v>
      </c>
      <c r="M178" s="6" t="n">
        <v>2090</v>
      </c>
      <c r="N178" s="6" t="n">
        <v>2582</v>
      </c>
      <c r="O178" s="6" t="n">
        <v>5397</v>
      </c>
      <c r="P178" s="6" t="n">
        <v>5305</v>
      </c>
      <c r="Q178" s="6" t="n">
        <v>3009</v>
      </c>
      <c r="R178" s="6" t="n">
        <v>3128</v>
      </c>
      <c r="S178" s="6" t="n">
        <v>2373</v>
      </c>
      <c r="T178" s="6" t="n">
        <v>2879</v>
      </c>
      <c r="U178" s="6" t="n">
        <v>5167</v>
      </c>
      <c r="V178" s="6" t="n">
        <v>5132</v>
      </c>
    </row>
    <row r="179" customFormat="false" ht="15" hidden="false" customHeight="false" outlineLevel="0" collapsed="false">
      <c r="A179" s="5" t="s">
        <v>32</v>
      </c>
      <c r="B179" s="6" t="s">
        <v>76</v>
      </c>
      <c r="C179" s="5" t="s">
        <v>70</v>
      </c>
      <c r="D179" s="5" t="s">
        <v>61</v>
      </c>
      <c r="E179" s="6" t="n">
        <v>197553</v>
      </c>
      <c r="F179" s="6" t="n">
        <v>195855</v>
      </c>
      <c r="G179" s="6" t="n">
        <v>118116</v>
      </c>
      <c r="H179" s="6" t="n">
        <v>121577</v>
      </c>
      <c r="I179" s="6" t="n">
        <v>31494</v>
      </c>
      <c r="J179" s="6" t="n">
        <v>32897</v>
      </c>
      <c r="K179" s="6" t="n">
        <v>4748</v>
      </c>
      <c r="L179" s="6" t="n">
        <v>4619</v>
      </c>
      <c r="M179" s="6" t="n">
        <v>1608</v>
      </c>
      <c r="N179" s="6" t="n">
        <v>1914</v>
      </c>
      <c r="O179" s="6" t="n">
        <v>5072</v>
      </c>
      <c r="P179" s="6" t="n">
        <v>4674</v>
      </c>
      <c r="Q179" s="6" t="n">
        <v>3811</v>
      </c>
      <c r="R179" s="6" t="n">
        <v>3867</v>
      </c>
      <c r="S179" s="6" t="n">
        <v>1898</v>
      </c>
      <c r="T179" s="6" t="n">
        <v>1528</v>
      </c>
      <c r="U179" s="6" t="n">
        <v>4450</v>
      </c>
      <c r="V179" s="6" t="n">
        <v>4531</v>
      </c>
    </row>
    <row r="180" customFormat="false" ht="15" hidden="false" customHeight="false" outlineLevel="0" collapsed="false">
      <c r="A180" s="5" t="s">
        <v>32</v>
      </c>
      <c r="B180" s="6" t="s">
        <v>76</v>
      </c>
      <c r="C180" s="5" t="s">
        <v>71</v>
      </c>
      <c r="D180" s="5" t="s">
        <v>61</v>
      </c>
      <c r="E180" s="6" t="n">
        <v>206673</v>
      </c>
      <c r="F180" s="6" t="n">
        <v>195705</v>
      </c>
      <c r="G180" s="6" t="n">
        <v>119574</v>
      </c>
      <c r="H180" s="6" t="n">
        <v>113461</v>
      </c>
      <c r="I180" s="6" t="n">
        <v>31268</v>
      </c>
      <c r="J180" s="6" t="n">
        <v>31529</v>
      </c>
      <c r="K180" s="6" t="n">
        <v>4915</v>
      </c>
      <c r="L180" s="6" t="n">
        <v>4866</v>
      </c>
      <c r="M180" s="6" t="n">
        <v>2633</v>
      </c>
      <c r="N180" s="6" t="n">
        <v>3192</v>
      </c>
      <c r="O180" s="6" t="n">
        <v>4541</v>
      </c>
      <c r="P180" s="6" t="n">
        <v>4261</v>
      </c>
      <c r="Q180" s="6" t="n">
        <v>3326</v>
      </c>
      <c r="R180" s="6" t="n">
        <v>3380</v>
      </c>
      <c r="S180" s="6" t="n">
        <v>2286</v>
      </c>
      <c r="T180" s="6" t="n">
        <v>2342</v>
      </c>
      <c r="U180" s="6" t="n">
        <v>5471</v>
      </c>
      <c r="V180" s="6" t="n">
        <v>5507</v>
      </c>
    </row>
    <row r="181" customFormat="false" ht="15" hidden="false" customHeight="false" outlineLevel="0" collapsed="false">
      <c r="A181" s="5" t="s">
        <v>32</v>
      </c>
      <c r="B181" s="6" t="s">
        <v>76</v>
      </c>
      <c r="C181" s="5" t="s">
        <v>72</v>
      </c>
      <c r="D181" s="5" t="s">
        <v>61</v>
      </c>
      <c r="E181" s="6" t="n">
        <v>205691</v>
      </c>
      <c r="F181" s="6" t="n">
        <v>215842</v>
      </c>
      <c r="G181" s="6" t="n">
        <v>111861</v>
      </c>
      <c r="H181" s="6" t="n">
        <v>123731</v>
      </c>
      <c r="I181" s="6" t="n">
        <v>32750</v>
      </c>
      <c r="J181" s="6" t="n">
        <v>34871</v>
      </c>
      <c r="K181" s="6" t="n">
        <v>4920</v>
      </c>
      <c r="L181" s="6" t="n">
        <v>5232</v>
      </c>
      <c r="M181" s="6" t="n">
        <v>2930</v>
      </c>
      <c r="N181" s="6" t="n">
        <v>2782</v>
      </c>
      <c r="O181" s="6" t="n">
        <v>4011</v>
      </c>
      <c r="P181" s="6" t="n">
        <v>4243</v>
      </c>
      <c r="Q181" s="6" t="n">
        <v>3949</v>
      </c>
      <c r="R181" s="6" t="n">
        <v>4070</v>
      </c>
      <c r="S181" s="6" t="n">
        <v>2224</v>
      </c>
      <c r="T181" s="6" t="n">
        <v>2580</v>
      </c>
      <c r="U181" s="6" t="n">
        <v>5472</v>
      </c>
      <c r="V181" s="6" t="n">
        <v>5531</v>
      </c>
    </row>
    <row r="182" customFormat="false" ht="15" hidden="false" customHeight="false" outlineLevel="0" collapsed="false">
      <c r="A182" s="5" t="s">
        <v>32</v>
      </c>
      <c r="B182" s="6" t="s">
        <v>77</v>
      </c>
      <c r="C182" s="5" t="s">
        <v>34</v>
      </c>
      <c r="D182" s="5" t="s">
        <v>35</v>
      </c>
      <c r="E182" s="6" t="n">
        <v>99602</v>
      </c>
      <c r="F182" s="6" t="n">
        <v>102563</v>
      </c>
      <c r="G182" s="6" t="n">
        <v>56286</v>
      </c>
      <c r="H182" s="6" t="n">
        <v>57900</v>
      </c>
      <c r="I182" s="6" t="n">
        <v>14050</v>
      </c>
      <c r="J182" s="6" t="n">
        <v>14723</v>
      </c>
      <c r="K182" s="6" t="n">
        <v>2847</v>
      </c>
      <c r="L182" s="6" t="n">
        <v>2582</v>
      </c>
      <c r="M182" s="6" t="n">
        <v>1303</v>
      </c>
      <c r="N182" s="6" t="n">
        <v>1187</v>
      </c>
      <c r="O182" s="6" t="n">
        <v>2325</v>
      </c>
      <c r="P182" s="6" t="n">
        <v>2467</v>
      </c>
      <c r="Q182" s="6" t="n">
        <v>1918</v>
      </c>
      <c r="R182" s="6" t="n">
        <v>1951</v>
      </c>
      <c r="S182" s="6" t="n">
        <v>901</v>
      </c>
      <c r="T182" s="6" t="n">
        <v>1178</v>
      </c>
      <c r="U182" s="6" t="n">
        <v>2829</v>
      </c>
      <c r="V182" s="6" t="n">
        <v>2893</v>
      </c>
    </row>
    <row r="183" customFormat="false" ht="15" hidden="false" customHeight="false" outlineLevel="0" collapsed="false">
      <c r="A183" s="5" t="s">
        <v>32</v>
      </c>
      <c r="B183" s="6" t="s">
        <v>77</v>
      </c>
      <c r="C183" s="5" t="s">
        <v>36</v>
      </c>
      <c r="D183" s="5" t="s">
        <v>35</v>
      </c>
      <c r="E183" s="6" t="n">
        <v>97307</v>
      </c>
      <c r="F183" s="6" t="n">
        <v>102244</v>
      </c>
      <c r="G183" s="6" t="n">
        <v>53293</v>
      </c>
      <c r="H183" s="6" t="n">
        <v>55274</v>
      </c>
      <c r="I183" s="6" t="n">
        <v>15983</v>
      </c>
      <c r="J183" s="6" t="n">
        <v>16845</v>
      </c>
      <c r="K183" s="6" t="n">
        <v>2213</v>
      </c>
      <c r="L183" s="6" t="n">
        <v>2332</v>
      </c>
      <c r="M183" s="6" t="n">
        <v>1007</v>
      </c>
      <c r="N183" s="6" t="n">
        <v>851</v>
      </c>
      <c r="O183" s="6" t="n">
        <v>2097</v>
      </c>
      <c r="P183" s="6" t="n">
        <v>2210</v>
      </c>
      <c r="Q183" s="6" t="n">
        <v>1407</v>
      </c>
      <c r="R183" s="6" t="n">
        <v>1448</v>
      </c>
      <c r="S183" s="6" t="n">
        <v>777</v>
      </c>
      <c r="T183" s="6" t="n">
        <v>743</v>
      </c>
      <c r="U183" s="6" t="n">
        <v>2232</v>
      </c>
      <c r="V183" s="6" t="n">
        <v>2279</v>
      </c>
    </row>
    <row r="184" customFormat="false" ht="15" hidden="false" customHeight="false" outlineLevel="0" collapsed="false">
      <c r="A184" s="5" t="s">
        <v>32</v>
      </c>
      <c r="B184" s="6" t="s">
        <v>77</v>
      </c>
      <c r="C184" s="5" t="s">
        <v>37</v>
      </c>
      <c r="D184" s="5" t="s">
        <v>35</v>
      </c>
      <c r="E184" s="6" t="n">
        <v>107655</v>
      </c>
      <c r="F184" s="6" t="n">
        <v>103121</v>
      </c>
      <c r="G184" s="6" t="n">
        <v>61903</v>
      </c>
      <c r="H184" s="6" t="n">
        <v>62103</v>
      </c>
      <c r="I184" s="6" t="n">
        <v>15302</v>
      </c>
      <c r="J184" s="6" t="n">
        <v>16340</v>
      </c>
      <c r="K184" s="6" t="n">
        <v>2961</v>
      </c>
      <c r="L184" s="6" t="n">
        <v>3287</v>
      </c>
      <c r="M184" s="6" t="n">
        <v>1149</v>
      </c>
      <c r="N184" s="6" t="n">
        <v>1091</v>
      </c>
      <c r="O184" s="6" t="n">
        <v>1996</v>
      </c>
      <c r="P184" s="6" t="n">
        <v>2143</v>
      </c>
      <c r="Q184" s="6" t="n">
        <v>1410</v>
      </c>
      <c r="R184" s="6" t="n">
        <v>1368</v>
      </c>
      <c r="S184" s="6" t="n">
        <v>910</v>
      </c>
      <c r="T184" s="6" t="n">
        <v>1039</v>
      </c>
      <c r="U184" s="6" t="n">
        <v>3129</v>
      </c>
      <c r="V184" s="6" t="n">
        <v>3121</v>
      </c>
    </row>
    <row r="185" customFormat="false" ht="15" hidden="false" customHeight="false" outlineLevel="0" collapsed="false">
      <c r="A185" s="5" t="s">
        <v>32</v>
      </c>
      <c r="B185" s="6" t="s">
        <v>77</v>
      </c>
      <c r="C185" s="5" t="s">
        <v>38</v>
      </c>
      <c r="D185" s="5" t="s">
        <v>35</v>
      </c>
      <c r="E185" s="6" t="n">
        <v>106039</v>
      </c>
      <c r="F185" s="6" t="n">
        <v>103364</v>
      </c>
      <c r="G185" s="6" t="n">
        <v>62217</v>
      </c>
      <c r="H185" s="6" t="n">
        <v>61100</v>
      </c>
      <c r="I185" s="6" t="n">
        <v>16853</v>
      </c>
      <c r="J185" s="6" t="n">
        <v>16675</v>
      </c>
      <c r="K185" s="6" t="n">
        <v>3130</v>
      </c>
      <c r="L185" s="6" t="n">
        <v>2665</v>
      </c>
      <c r="M185" s="6" t="n">
        <v>1051</v>
      </c>
      <c r="N185" s="6" t="n">
        <v>1241</v>
      </c>
      <c r="O185" s="6" t="n">
        <v>2087</v>
      </c>
      <c r="P185" s="6" t="n">
        <v>2207</v>
      </c>
      <c r="Q185" s="6" t="n">
        <v>1688</v>
      </c>
      <c r="R185" s="6" t="n">
        <v>1732</v>
      </c>
      <c r="S185" s="6" t="n">
        <v>692</v>
      </c>
      <c r="T185" s="6" t="n">
        <v>809</v>
      </c>
      <c r="U185" s="6" t="n">
        <v>2793</v>
      </c>
      <c r="V185" s="6" t="n">
        <v>2777</v>
      </c>
    </row>
    <row r="186" customFormat="false" ht="15" hidden="false" customHeight="false" outlineLevel="0" collapsed="false">
      <c r="A186" s="5" t="s">
        <v>32</v>
      </c>
      <c r="B186" s="6" t="s">
        <v>77</v>
      </c>
      <c r="C186" s="5" t="s">
        <v>39</v>
      </c>
      <c r="D186" s="5" t="s">
        <v>35</v>
      </c>
      <c r="E186" s="6" t="n">
        <v>104827</v>
      </c>
      <c r="F186" s="6" t="n">
        <v>106316</v>
      </c>
      <c r="G186" s="6" t="n">
        <v>56844</v>
      </c>
      <c r="H186" s="6" t="n">
        <v>56585</v>
      </c>
      <c r="I186" s="6" t="n">
        <v>15849</v>
      </c>
      <c r="J186" s="6" t="n">
        <v>15398</v>
      </c>
      <c r="K186" s="6" t="n">
        <v>2603</v>
      </c>
      <c r="L186" s="6" t="n">
        <v>2863</v>
      </c>
      <c r="M186" s="6" t="n">
        <v>978</v>
      </c>
      <c r="N186" s="6" t="n">
        <v>1113</v>
      </c>
      <c r="O186" s="6" t="n">
        <v>2544</v>
      </c>
      <c r="P186" s="6" t="n">
        <v>2454</v>
      </c>
      <c r="Q186" s="6" t="n">
        <v>1840</v>
      </c>
      <c r="R186" s="6" t="n">
        <v>1811</v>
      </c>
      <c r="S186" s="6" t="n">
        <v>710</v>
      </c>
      <c r="T186" s="6" t="n">
        <v>731</v>
      </c>
      <c r="U186" s="6" t="n">
        <v>2714</v>
      </c>
      <c r="V186" s="6" t="n">
        <v>2660</v>
      </c>
    </row>
    <row r="187" customFormat="false" ht="15" hidden="false" customHeight="false" outlineLevel="0" collapsed="false">
      <c r="A187" s="5" t="s">
        <v>32</v>
      </c>
      <c r="B187" s="6" t="s">
        <v>77</v>
      </c>
      <c r="C187" s="5" t="s">
        <v>40</v>
      </c>
      <c r="D187" s="5" t="s">
        <v>35</v>
      </c>
      <c r="E187" s="6" t="n">
        <v>114938</v>
      </c>
      <c r="F187" s="6" t="n">
        <v>117790</v>
      </c>
      <c r="G187" s="6" t="n">
        <v>64072</v>
      </c>
      <c r="H187" s="6" t="n">
        <v>67593</v>
      </c>
      <c r="I187" s="6" t="n">
        <v>18148</v>
      </c>
      <c r="J187" s="6" t="n">
        <v>18278</v>
      </c>
      <c r="K187" s="6" t="n">
        <v>3830</v>
      </c>
      <c r="L187" s="6" t="n">
        <v>4399</v>
      </c>
      <c r="M187" s="6" t="n">
        <v>1195</v>
      </c>
      <c r="N187" s="6" t="n">
        <v>1495</v>
      </c>
      <c r="O187" s="6" t="n">
        <v>2482</v>
      </c>
      <c r="P187" s="6" t="n">
        <v>2368</v>
      </c>
      <c r="Q187" s="6" t="n">
        <v>2251</v>
      </c>
      <c r="R187" s="6" t="n">
        <v>2345</v>
      </c>
      <c r="S187" s="6" t="n">
        <v>968</v>
      </c>
      <c r="T187" s="6" t="n">
        <v>907</v>
      </c>
      <c r="U187" s="6" t="n">
        <v>3135</v>
      </c>
      <c r="V187" s="6" t="n">
        <v>3066</v>
      </c>
    </row>
    <row r="188" customFormat="false" ht="15" hidden="false" customHeight="false" outlineLevel="0" collapsed="false">
      <c r="A188" s="5" t="s">
        <v>32</v>
      </c>
      <c r="B188" s="6" t="s">
        <v>77</v>
      </c>
      <c r="C188" s="5" t="s">
        <v>41</v>
      </c>
      <c r="D188" s="5" t="s">
        <v>35</v>
      </c>
      <c r="E188" s="6" t="n">
        <v>112029</v>
      </c>
      <c r="F188" s="6" t="n">
        <v>110836</v>
      </c>
      <c r="G188" s="6" t="n">
        <v>61632</v>
      </c>
      <c r="H188" s="6" t="n">
        <v>60790</v>
      </c>
      <c r="I188" s="6" t="n">
        <v>17870</v>
      </c>
      <c r="J188" s="6" t="n">
        <v>17407</v>
      </c>
      <c r="K188" s="6" t="n">
        <v>3714</v>
      </c>
      <c r="L188" s="6" t="n">
        <v>3442</v>
      </c>
      <c r="M188" s="6" t="n">
        <v>1316</v>
      </c>
      <c r="N188" s="6" t="n">
        <v>1085</v>
      </c>
      <c r="O188" s="6" t="n">
        <v>3131</v>
      </c>
      <c r="P188" s="6" t="n">
        <v>3254</v>
      </c>
      <c r="Q188" s="6" t="n">
        <v>1930</v>
      </c>
      <c r="R188" s="6" t="n">
        <v>1837</v>
      </c>
      <c r="S188" s="6" t="n">
        <v>1136</v>
      </c>
      <c r="T188" s="6" t="n">
        <v>1193</v>
      </c>
      <c r="U188" s="6" t="n">
        <v>2667</v>
      </c>
      <c r="V188" s="6" t="n">
        <v>2675</v>
      </c>
    </row>
    <row r="189" customFormat="false" ht="15" hidden="false" customHeight="false" outlineLevel="0" collapsed="false">
      <c r="A189" s="5" t="s">
        <v>32</v>
      </c>
      <c r="B189" s="6" t="s">
        <v>77</v>
      </c>
      <c r="C189" s="5" t="s">
        <v>42</v>
      </c>
      <c r="D189" s="5" t="s">
        <v>35</v>
      </c>
      <c r="E189" s="6" t="n">
        <v>107151</v>
      </c>
      <c r="F189" s="6" t="n">
        <v>111805</v>
      </c>
      <c r="G189" s="6" t="n">
        <v>62331</v>
      </c>
      <c r="H189" s="6" t="n">
        <v>66326</v>
      </c>
      <c r="I189" s="6" t="n">
        <v>15969</v>
      </c>
      <c r="J189" s="6" t="n">
        <v>16652</v>
      </c>
      <c r="K189" s="6" t="n">
        <v>3208</v>
      </c>
      <c r="L189" s="6" t="n">
        <v>2987</v>
      </c>
      <c r="M189" s="6" t="n">
        <v>1311</v>
      </c>
      <c r="N189" s="6" t="n">
        <v>1139</v>
      </c>
      <c r="O189" s="6" t="n">
        <v>2819</v>
      </c>
      <c r="P189" s="6" t="n">
        <v>2647</v>
      </c>
      <c r="Q189" s="6" t="n">
        <v>1902</v>
      </c>
      <c r="R189" s="6" t="n">
        <v>1829</v>
      </c>
      <c r="S189" s="6" t="n">
        <v>716</v>
      </c>
      <c r="T189" s="6" t="n">
        <v>618</v>
      </c>
      <c r="U189" s="6" t="n">
        <v>2356</v>
      </c>
      <c r="V189" s="6" t="n">
        <v>2314</v>
      </c>
    </row>
    <row r="190" customFormat="false" ht="15" hidden="false" customHeight="false" outlineLevel="0" collapsed="false">
      <c r="A190" s="5" t="s">
        <v>32</v>
      </c>
      <c r="B190" s="6" t="s">
        <v>77</v>
      </c>
      <c r="C190" s="5" t="s">
        <v>43</v>
      </c>
      <c r="D190" s="5" t="s">
        <v>35</v>
      </c>
      <c r="E190" s="6" t="n">
        <v>121463</v>
      </c>
      <c r="F190" s="6" t="n">
        <v>121127</v>
      </c>
      <c r="G190" s="6" t="n">
        <v>67060</v>
      </c>
      <c r="H190" s="6" t="n">
        <v>68712</v>
      </c>
      <c r="I190" s="6" t="n">
        <v>18081</v>
      </c>
      <c r="J190" s="6" t="n">
        <v>17617</v>
      </c>
      <c r="K190" s="6" t="n">
        <v>3334</v>
      </c>
      <c r="L190" s="6" t="n">
        <v>3042</v>
      </c>
      <c r="M190" s="6" t="n">
        <v>1765</v>
      </c>
      <c r="N190" s="6" t="n">
        <v>1704</v>
      </c>
      <c r="O190" s="6" t="n">
        <v>2190</v>
      </c>
      <c r="P190" s="6" t="n">
        <v>2280</v>
      </c>
      <c r="Q190" s="6" t="n">
        <v>2339</v>
      </c>
      <c r="R190" s="6" t="n">
        <v>2417</v>
      </c>
      <c r="S190" s="6" t="n">
        <v>1216</v>
      </c>
      <c r="T190" s="6" t="n">
        <v>1082</v>
      </c>
      <c r="U190" s="6" t="n">
        <v>2539</v>
      </c>
      <c r="V190" s="6" t="n">
        <v>2541</v>
      </c>
    </row>
    <row r="191" customFormat="false" ht="15" hidden="false" customHeight="false" outlineLevel="0" collapsed="false">
      <c r="A191" s="5" t="s">
        <v>32</v>
      </c>
      <c r="B191" s="6" t="s">
        <v>77</v>
      </c>
      <c r="C191" s="5" t="s">
        <v>44</v>
      </c>
      <c r="D191" s="5" t="s">
        <v>35</v>
      </c>
      <c r="E191" s="6" t="n">
        <v>108478</v>
      </c>
      <c r="F191" s="6" t="n">
        <v>113929</v>
      </c>
      <c r="G191" s="6" t="n">
        <v>60244</v>
      </c>
      <c r="H191" s="6" t="n">
        <v>62309</v>
      </c>
      <c r="I191" s="6" t="n">
        <v>18404</v>
      </c>
      <c r="J191" s="6" t="n">
        <v>18451</v>
      </c>
      <c r="K191" s="6" t="n">
        <v>2925</v>
      </c>
      <c r="L191" s="6" t="n">
        <v>2574</v>
      </c>
      <c r="M191" s="6" t="n">
        <v>1000</v>
      </c>
      <c r="N191" s="6" t="n">
        <v>820</v>
      </c>
      <c r="O191" s="6" t="n">
        <v>2268</v>
      </c>
      <c r="P191" s="6" t="n">
        <v>2414</v>
      </c>
      <c r="Q191" s="6" t="n">
        <v>1573</v>
      </c>
      <c r="R191" s="6" t="n">
        <v>1611</v>
      </c>
      <c r="S191" s="6" t="n">
        <v>713</v>
      </c>
      <c r="T191" s="6" t="n">
        <v>895</v>
      </c>
      <c r="U191" s="6" t="n">
        <v>2219</v>
      </c>
      <c r="V191" s="6" t="n">
        <v>2266</v>
      </c>
    </row>
    <row r="192" customFormat="false" ht="15" hidden="false" customHeight="false" outlineLevel="0" collapsed="false">
      <c r="A192" s="5" t="s">
        <v>32</v>
      </c>
      <c r="B192" s="6" t="s">
        <v>77</v>
      </c>
      <c r="C192" s="5" t="s">
        <v>45</v>
      </c>
      <c r="D192" s="5" t="s">
        <v>35</v>
      </c>
      <c r="E192" s="6" t="n">
        <v>111216</v>
      </c>
      <c r="F192" s="6" t="n">
        <v>115794</v>
      </c>
      <c r="G192" s="6" t="n">
        <v>62442</v>
      </c>
      <c r="H192" s="6" t="n">
        <v>65231</v>
      </c>
      <c r="I192" s="6" t="n">
        <v>17645</v>
      </c>
      <c r="J192" s="6" t="n">
        <v>18821</v>
      </c>
      <c r="K192" s="6" t="n">
        <v>2379</v>
      </c>
      <c r="L192" s="6" t="n">
        <v>2604</v>
      </c>
      <c r="M192" s="6" t="n">
        <v>1032</v>
      </c>
      <c r="N192" s="6" t="n">
        <v>1032</v>
      </c>
      <c r="O192" s="6" t="n">
        <v>3072</v>
      </c>
      <c r="P192" s="6" t="n">
        <v>2977</v>
      </c>
      <c r="Q192" s="6" t="n">
        <v>1678</v>
      </c>
      <c r="R192" s="6" t="n">
        <v>1737</v>
      </c>
      <c r="S192" s="6" t="n">
        <v>1201</v>
      </c>
      <c r="T192" s="6" t="n">
        <v>1428</v>
      </c>
      <c r="U192" s="6" t="n">
        <v>3111</v>
      </c>
      <c r="V192" s="6" t="n">
        <v>3039</v>
      </c>
    </row>
    <row r="193" customFormat="false" ht="15" hidden="false" customHeight="false" outlineLevel="0" collapsed="false">
      <c r="A193" s="5" t="s">
        <v>32</v>
      </c>
      <c r="B193" s="6" t="s">
        <v>77</v>
      </c>
      <c r="C193" s="5" t="s">
        <v>46</v>
      </c>
      <c r="D193" s="5" t="s">
        <v>35</v>
      </c>
      <c r="E193" s="6" t="n">
        <v>120884</v>
      </c>
      <c r="F193" s="6" t="n">
        <v>127644</v>
      </c>
      <c r="G193" s="6" t="n">
        <v>72113</v>
      </c>
      <c r="H193" s="6" t="n">
        <v>74610</v>
      </c>
      <c r="I193" s="6" t="n">
        <v>18432</v>
      </c>
      <c r="J193" s="6" t="n">
        <v>19077</v>
      </c>
      <c r="K193" s="6" t="n">
        <v>3872</v>
      </c>
      <c r="L193" s="6" t="n">
        <v>4079</v>
      </c>
      <c r="M193" s="6" t="n">
        <v>1120</v>
      </c>
      <c r="N193" s="6" t="n">
        <v>1109</v>
      </c>
      <c r="O193" s="6" t="n">
        <v>2609</v>
      </c>
      <c r="P193" s="6" t="n">
        <v>2414</v>
      </c>
      <c r="Q193" s="6" t="n">
        <v>2113</v>
      </c>
      <c r="R193" s="6" t="n">
        <v>2185</v>
      </c>
      <c r="S193" s="6" t="n">
        <v>1431</v>
      </c>
      <c r="T193" s="6" t="n">
        <v>1257</v>
      </c>
      <c r="U193" s="6" t="n">
        <v>3530</v>
      </c>
      <c r="V193" s="6" t="n">
        <v>3448</v>
      </c>
    </row>
    <row r="194" customFormat="false" ht="15" hidden="false" customHeight="false" outlineLevel="0" collapsed="false">
      <c r="A194" s="5" t="s">
        <v>32</v>
      </c>
      <c r="B194" s="6" t="s">
        <v>77</v>
      </c>
      <c r="C194" s="5" t="s">
        <v>47</v>
      </c>
      <c r="D194" s="5" t="s">
        <v>48</v>
      </c>
      <c r="E194" s="6" t="n">
        <v>112112</v>
      </c>
      <c r="F194" s="6" t="n">
        <v>118572</v>
      </c>
      <c r="G194" s="6" t="n">
        <v>62300</v>
      </c>
      <c r="H194" s="6" t="n">
        <v>65382</v>
      </c>
      <c r="I194" s="6" t="n">
        <v>18065</v>
      </c>
      <c r="J194" s="6" t="n">
        <v>18870</v>
      </c>
      <c r="K194" s="6" t="n">
        <v>3533</v>
      </c>
      <c r="L194" s="6" t="n">
        <v>3614</v>
      </c>
      <c r="M194" s="6" t="n">
        <v>1340</v>
      </c>
      <c r="N194" s="6" t="n">
        <v>1727</v>
      </c>
      <c r="O194" s="6" t="n">
        <v>2769</v>
      </c>
      <c r="P194" s="6" t="n">
        <v>2716</v>
      </c>
      <c r="Q194" s="6" t="n">
        <v>1815</v>
      </c>
      <c r="R194" s="6" t="n">
        <v>1851</v>
      </c>
      <c r="S194" s="6" t="n">
        <v>737</v>
      </c>
      <c r="T194" s="6" t="n">
        <v>882</v>
      </c>
      <c r="U194" s="6" t="n">
        <v>2521</v>
      </c>
      <c r="V194" s="6" t="n">
        <v>2498</v>
      </c>
    </row>
    <row r="195" customFormat="false" ht="15" hidden="false" customHeight="false" outlineLevel="0" collapsed="false">
      <c r="A195" s="5" t="s">
        <v>32</v>
      </c>
      <c r="B195" s="6" t="s">
        <v>77</v>
      </c>
      <c r="C195" s="5" t="s">
        <v>49</v>
      </c>
      <c r="D195" s="5" t="s">
        <v>48</v>
      </c>
      <c r="E195" s="6" t="n">
        <v>118909</v>
      </c>
      <c r="F195" s="6" t="n">
        <v>120575</v>
      </c>
      <c r="G195" s="6" t="n">
        <v>70197</v>
      </c>
      <c r="H195" s="6" t="n">
        <v>72135</v>
      </c>
      <c r="I195" s="6" t="n">
        <v>20171</v>
      </c>
      <c r="J195" s="6" t="n">
        <v>19687</v>
      </c>
      <c r="K195" s="6" t="n">
        <v>3526</v>
      </c>
      <c r="L195" s="6" t="n">
        <v>3163</v>
      </c>
      <c r="M195" s="6" t="n">
        <v>1658</v>
      </c>
      <c r="N195" s="6" t="n">
        <v>2033</v>
      </c>
      <c r="O195" s="6" t="n">
        <v>3174</v>
      </c>
      <c r="P195" s="6" t="n">
        <v>2963</v>
      </c>
      <c r="Q195" s="6" t="n">
        <v>1895</v>
      </c>
      <c r="R195" s="6" t="n">
        <v>1846</v>
      </c>
      <c r="S195" s="6" t="n">
        <v>1406</v>
      </c>
      <c r="T195" s="6" t="n">
        <v>1167</v>
      </c>
      <c r="U195" s="6" t="n">
        <v>2643</v>
      </c>
      <c r="V195" s="6" t="n">
        <v>2666</v>
      </c>
    </row>
    <row r="196" customFormat="false" ht="15" hidden="false" customHeight="false" outlineLevel="0" collapsed="false">
      <c r="A196" s="5" t="s">
        <v>32</v>
      </c>
      <c r="B196" s="6" t="s">
        <v>77</v>
      </c>
      <c r="C196" s="5" t="s">
        <v>50</v>
      </c>
      <c r="D196" s="5" t="s">
        <v>48</v>
      </c>
      <c r="E196" s="6" t="n">
        <v>117425</v>
      </c>
      <c r="F196" s="6" t="n">
        <v>121282</v>
      </c>
      <c r="G196" s="6" t="n">
        <v>66644</v>
      </c>
      <c r="H196" s="6" t="n">
        <v>71266</v>
      </c>
      <c r="I196" s="6" t="n">
        <v>18018</v>
      </c>
      <c r="J196" s="6" t="n">
        <v>19175</v>
      </c>
      <c r="K196" s="6" t="n">
        <v>3136</v>
      </c>
      <c r="L196" s="6" t="n">
        <v>2777</v>
      </c>
      <c r="M196" s="6" t="n">
        <v>1348</v>
      </c>
      <c r="N196" s="6" t="n">
        <v>1519</v>
      </c>
      <c r="O196" s="6" t="n">
        <v>2234</v>
      </c>
      <c r="P196" s="6" t="n">
        <v>2221</v>
      </c>
      <c r="Q196" s="6" t="n">
        <v>1932</v>
      </c>
      <c r="R196" s="6" t="n">
        <v>1835</v>
      </c>
      <c r="S196" s="6" t="n">
        <v>769</v>
      </c>
      <c r="T196" s="6" t="n">
        <v>894</v>
      </c>
      <c r="U196" s="6" t="n">
        <v>3075</v>
      </c>
      <c r="V196" s="6" t="n">
        <v>3039</v>
      </c>
    </row>
    <row r="197" customFormat="false" ht="15" hidden="false" customHeight="false" outlineLevel="0" collapsed="false">
      <c r="A197" s="5" t="s">
        <v>32</v>
      </c>
      <c r="B197" s="6" t="s">
        <v>77</v>
      </c>
      <c r="C197" s="5" t="s">
        <v>51</v>
      </c>
      <c r="D197" s="5" t="s">
        <v>48</v>
      </c>
      <c r="E197" s="6" t="n">
        <v>118198</v>
      </c>
      <c r="F197" s="6" t="n">
        <v>122508</v>
      </c>
      <c r="G197" s="6" t="n">
        <v>68589</v>
      </c>
      <c r="H197" s="6" t="n">
        <v>74461</v>
      </c>
      <c r="I197" s="6" t="n">
        <v>17836</v>
      </c>
      <c r="J197" s="6" t="n">
        <v>17407</v>
      </c>
      <c r="K197" s="6" t="n">
        <v>2759</v>
      </c>
      <c r="L197" s="6" t="n">
        <v>2721</v>
      </c>
      <c r="M197" s="6" t="n">
        <v>1409</v>
      </c>
      <c r="N197" s="6" t="n">
        <v>1564</v>
      </c>
      <c r="O197" s="6" t="n">
        <v>2687</v>
      </c>
      <c r="P197" s="6" t="n">
        <v>2790</v>
      </c>
      <c r="Q197" s="6" t="n">
        <v>2095</v>
      </c>
      <c r="R197" s="6" t="n">
        <v>2014</v>
      </c>
      <c r="S197" s="6" t="n">
        <v>1248</v>
      </c>
      <c r="T197" s="6" t="n">
        <v>1164</v>
      </c>
      <c r="U197" s="6" t="n">
        <v>2767</v>
      </c>
      <c r="V197" s="6" t="n">
        <v>2822</v>
      </c>
    </row>
    <row r="198" customFormat="false" ht="15" hidden="false" customHeight="false" outlineLevel="0" collapsed="false">
      <c r="A198" s="5" t="s">
        <v>32</v>
      </c>
      <c r="B198" s="6" t="s">
        <v>77</v>
      </c>
      <c r="C198" s="5" t="s">
        <v>52</v>
      </c>
      <c r="D198" s="5" t="s">
        <v>48</v>
      </c>
      <c r="E198" s="6" t="n">
        <v>122858</v>
      </c>
      <c r="F198" s="6" t="n">
        <v>126003</v>
      </c>
      <c r="G198" s="6" t="n">
        <v>70191</v>
      </c>
      <c r="H198" s="6" t="n">
        <v>73891</v>
      </c>
      <c r="I198" s="6" t="n">
        <v>17369</v>
      </c>
      <c r="J198" s="6" t="n">
        <v>17162</v>
      </c>
      <c r="K198" s="6" t="n">
        <v>2716</v>
      </c>
      <c r="L198" s="6" t="n">
        <v>2893</v>
      </c>
      <c r="M198" s="6" t="n">
        <v>1603</v>
      </c>
      <c r="N198" s="6" t="n">
        <v>1368</v>
      </c>
      <c r="O198" s="6" t="n">
        <v>2962</v>
      </c>
      <c r="P198" s="6" t="n">
        <v>2825</v>
      </c>
      <c r="Q198" s="6" t="n">
        <v>2389</v>
      </c>
      <c r="R198" s="6" t="n">
        <v>2363</v>
      </c>
      <c r="S198" s="6" t="n">
        <v>1074</v>
      </c>
      <c r="T198" s="6" t="n">
        <v>1363</v>
      </c>
      <c r="U198" s="6" t="n">
        <v>3338</v>
      </c>
      <c r="V198" s="6" t="n">
        <v>3259</v>
      </c>
    </row>
    <row r="199" customFormat="false" ht="15" hidden="false" customHeight="false" outlineLevel="0" collapsed="false">
      <c r="A199" s="5" t="s">
        <v>32</v>
      </c>
      <c r="B199" s="6" t="s">
        <v>77</v>
      </c>
      <c r="C199" s="5" t="s">
        <v>53</v>
      </c>
      <c r="D199" s="5" t="s">
        <v>48</v>
      </c>
      <c r="E199" s="6" t="n">
        <v>144375</v>
      </c>
      <c r="F199" s="6" t="n">
        <v>137344</v>
      </c>
      <c r="G199" s="6" t="n">
        <v>85217</v>
      </c>
      <c r="H199" s="6" t="n">
        <v>82364</v>
      </c>
      <c r="I199" s="6" t="n">
        <v>23557</v>
      </c>
      <c r="J199" s="6" t="n">
        <v>24018</v>
      </c>
      <c r="K199" s="6" t="n">
        <v>4313</v>
      </c>
      <c r="L199" s="6" t="n">
        <v>4903</v>
      </c>
      <c r="M199" s="6" t="n">
        <v>1291</v>
      </c>
      <c r="N199" s="6" t="n">
        <v>1355</v>
      </c>
      <c r="O199" s="6" t="n">
        <v>3364</v>
      </c>
      <c r="P199" s="6" t="n">
        <v>3124</v>
      </c>
      <c r="Q199" s="6" t="n">
        <v>2813</v>
      </c>
      <c r="R199" s="6" t="n">
        <v>2908</v>
      </c>
      <c r="S199" s="6" t="n">
        <v>1285</v>
      </c>
      <c r="T199" s="6" t="n">
        <v>1420</v>
      </c>
      <c r="U199" s="6" t="n">
        <v>4217</v>
      </c>
      <c r="V199" s="6" t="n">
        <v>4135</v>
      </c>
    </row>
    <row r="200" customFormat="false" ht="15" hidden="false" customHeight="false" outlineLevel="0" collapsed="false">
      <c r="A200" s="5" t="s">
        <v>32</v>
      </c>
      <c r="B200" s="6" t="s">
        <v>77</v>
      </c>
      <c r="C200" s="5" t="s">
        <v>54</v>
      </c>
      <c r="D200" s="5" t="s">
        <v>48</v>
      </c>
      <c r="E200" s="6" t="n">
        <v>131993</v>
      </c>
      <c r="F200" s="6" t="n">
        <v>128440</v>
      </c>
      <c r="G200" s="6" t="n">
        <v>72293</v>
      </c>
      <c r="H200" s="6" t="n">
        <v>70266</v>
      </c>
      <c r="I200" s="6" t="n">
        <v>20857</v>
      </c>
      <c r="J200" s="6" t="n">
        <v>22256</v>
      </c>
      <c r="K200" s="6" t="n">
        <v>3638</v>
      </c>
      <c r="L200" s="6" t="n">
        <v>3512</v>
      </c>
      <c r="M200" s="6" t="n">
        <v>1961</v>
      </c>
      <c r="N200" s="6" t="n">
        <v>2467</v>
      </c>
      <c r="O200" s="6" t="n">
        <v>3382</v>
      </c>
      <c r="P200" s="6" t="n">
        <v>3278</v>
      </c>
      <c r="Q200" s="6" t="n">
        <v>2601</v>
      </c>
      <c r="R200" s="6" t="n">
        <v>2723</v>
      </c>
      <c r="S200" s="6" t="n">
        <v>1151</v>
      </c>
      <c r="T200" s="6" t="n">
        <v>1013</v>
      </c>
      <c r="U200" s="6" t="n">
        <v>3185</v>
      </c>
      <c r="V200" s="6" t="n">
        <v>3223</v>
      </c>
    </row>
    <row r="201" customFormat="false" ht="15" hidden="false" customHeight="false" outlineLevel="0" collapsed="false">
      <c r="A201" s="5" t="s">
        <v>32</v>
      </c>
      <c r="B201" s="6" t="s">
        <v>77</v>
      </c>
      <c r="C201" s="5" t="s">
        <v>55</v>
      </c>
      <c r="D201" s="5" t="s">
        <v>48</v>
      </c>
      <c r="E201" s="6" t="n">
        <v>127822</v>
      </c>
      <c r="F201" s="6" t="n">
        <v>130983</v>
      </c>
      <c r="G201" s="6" t="n">
        <v>74404</v>
      </c>
      <c r="H201" s="6" t="n">
        <v>79261</v>
      </c>
      <c r="I201" s="6" t="n">
        <v>20625</v>
      </c>
      <c r="J201" s="6" t="n">
        <v>22129</v>
      </c>
      <c r="K201" s="6" t="n">
        <v>3769</v>
      </c>
      <c r="L201" s="6" t="n">
        <v>3431</v>
      </c>
      <c r="M201" s="6" t="n">
        <v>1581</v>
      </c>
      <c r="N201" s="6" t="n">
        <v>1495</v>
      </c>
      <c r="O201" s="6" t="n">
        <v>2742</v>
      </c>
      <c r="P201" s="6" t="n">
        <v>2854</v>
      </c>
      <c r="Q201" s="6" t="n">
        <v>2537</v>
      </c>
      <c r="R201" s="6" t="n">
        <v>2575</v>
      </c>
      <c r="S201" s="6" t="n">
        <v>1502</v>
      </c>
      <c r="T201" s="6" t="n">
        <v>1656</v>
      </c>
      <c r="U201" s="6" t="n">
        <v>3444</v>
      </c>
      <c r="V201" s="6" t="n">
        <v>3407</v>
      </c>
    </row>
    <row r="202" customFormat="false" ht="15" hidden="false" customHeight="false" outlineLevel="0" collapsed="false">
      <c r="A202" s="5" t="s">
        <v>32</v>
      </c>
      <c r="B202" s="6" t="s">
        <v>77</v>
      </c>
      <c r="C202" s="5" t="s">
        <v>56</v>
      </c>
      <c r="D202" s="5" t="s">
        <v>48</v>
      </c>
      <c r="E202" s="6" t="n">
        <v>138558</v>
      </c>
      <c r="F202" s="6" t="n">
        <v>141059</v>
      </c>
      <c r="G202" s="6" t="n">
        <v>78815</v>
      </c>
      <c r="H202" s="6" t="n">
        <v>81441</v>
      </c>
      <c r="I202" s="6" t="n">
        <v>22171</v>
      </c>
      <c r="J202" s="6" t="n">
        <v>22524</v>
      </c>
      <c r="K202" s="6" t="n">
        <v>4326</v>
      </c>
      <c r="L202" s="6" t="n">
        <v>4769</v>
      </c>
      <c r="M202" s="6" t="n">
        <v>1386</v>
      </c>
      <c r="N202" s="6" t="n">
        <v>1696</v>
      </c>
      <c r="O202" s="6" t="n">
        <v>3614</v>
      </c>
      <c r="P202" s="6" t="n">
        <v>3665</v>
      </c>
      <c r="Q202" s="6" t="n">
        <v>1691</v>
      </c>
      <c r="R202" s="6" t="n">
        <v>1631</v>
      </c>
      <c r="S202" s="6" t="n">
        <v>1389</v>
      </c>
      <c r="T202" s="6" t="n">
        <v>1278</v>
      </c>
      <c r="U202" s="6" t="n">
        <v>3811</v>
      </c>
      <c r="V202" s="6" t="n">
        <v>3733</v>
      </c>
    </row>
    <row r="203" customFormat="false" ht="15" hidden="false" customHeight="false" outlineLevel="0" collapsed="false">
      <c r="A203" s="5" t="s">
        <v>32</v>
      </c>
      <c r="B203" s="6" t="s">
        <v>77</v>
      </c>
      <c r="C203" s="5" t="s">
        <v>57</v>
      </c>
      <c r="D203" s="5" t="s">
        <v>48</v>
      </c>
      <c r="E203" s="6" t="n">
        <v>126475</v>
      </c>
      <c r="F203" s="6" t="n">
        <v>130378</v>
      </c>
      <c r="G203" s="6" t="n">
        <v>74666</v>
      </c>
      <c r="H203" s="6" t="n">
        <v>78865</v>
      </c>
      <c r="I203" s="6" t="n">
        <v>18826</v>
      </c>
      <c r="J203" s="6" t="n">
        <v>19822</v>
      </c>
      <c r="K203" s="6" t="n">
        <v>2591</v>
      </c>
      <c r="L203" s="6" t="n">
        <v>2835</v>
      </c>
      <c r="M203" s="6" t="n">
        <v>1103</v>
      </c>
      <c r="N203" s="6" t="n">
        <v>1361</v>
      </c>
      <c r="O203" s="6" t="n">
        <v>3212</v>
      </c>
      <c r="P203" s="6" t="n">
        <v>3455</v>
      </c>
      <c r="Q203" s="6" t="n">
        <v>2269</v>
      </c>
      <c r="R203" s="6" t="n">
        <v>2283</v>
      </c>
      <c r="S203" s="6" t="n">
        <v>939</v>
      </c>
      <c r="T203" s="6" t="n">
        <v>1193</v>
      </c>
      <c r="U203" s="6" t="n">
        <v>3540</v>
      </c>
      <c r="V203" s="6" t="n">
        <v>3495</v>
      </c>
    </row>
    <row r="204" customFormat="false" ht="15" hidden="false" customHeight="false" outlineLevel="0" collapsed="false">
      <c r="A204" s="5" t="s">
        <v>32</v>
      </c>
      <c r="B204" s="6" t="s">
        <v>77</v>
      </c>
      <c r="C204" s="5" t="s">
        <v>58</v>
      </c>
      <c r="D204" s="5" t="s">
        <v>48</v>
      </c>
      <c r="E204" s="6" t="n">
        <v>139300</v>
      </c>
      <c r="F204" s="6" t="n">
        <v>132518</v>
      </c>
      <c r="G204" s="6" t="n">
        <v>78461</v>
      </c>
      <c r="H204" s="6" t="n">
        <v>78330</v>
      </c>
      <c r="I204" s="6" t="n">
        <v>23580</v>
      </c>
      <c r="J204" s="6" t="n">
        <v>23684</v>
      </c>
      <c r="K204" s="6" t="n">
        <v>3940</v>
      </c>
      <c r="L204" s="6" t="n">
        <v>3364</v>
      </c>
      <c r="M204" s="6" t="n">
        <v>1359</v>
      </c>
      <c r="N204" s="6" t="n">
        <v>1509</v>
      </c>
      <c r="O204" s="6" t="n">
        <v>3595</v>
      </c>
      <c r="P204" s="6" t="n">
        <v>3870</v>
      </c>
      <c r="Q204" s="6" t="n">
        <v>2597</v>
      </c>
      <c r="R204" s="6" t="n">
        <v>2704</v>
      </c>
      <c r="S204" s="6" t="n">
        <v>1425</v>
      </c>
      <c r="T204" s="6" t="n">
        <v>1694</v>
      </c>
      <c r="U204" s="6" t="n">
        <v>3838</v>
      </c>
      <c r="V204" s="6" t="n">
        <v>3849</v>
      </c>
    </row>
    <row r="205" customFormat="false" ht="15" hidden="false" customHeight="false" outlineLevel="0" collapsed="false">
      <c r="A205" s="5" t="s">
        <v>32</v>
      </c>
      <c r="B205" s="6" t="s">
        <v>77</v>
      </c>
      <c r="C205" s="5" t="s">
        <v>59</v>
      </c>
      <c r="D205" s="5" t="s">
        <v>48</v>
      </c>
      <c r="E205" s="6" t="n">
        <v>150364</v>
      </c>
      <c r="F205" s="6" t="n">
        <v>145541</v>
      </c>
      <c r="G205" s="6" t="n">
        <v>89896</v>
      </c>
      <c r="H205" s="6" t="n">
        <v>86243</v>
      </c>
      <c r="I205" s="6" t="n">
        <v>21851</v>
      </c>
      <c r="J205" s="6" t="n">
        <v>22836</v>
      </c>
      <c r="K205" s="6" t="n">
        <v>3429</v>
      </c>
      <c r="L205" s="6" t="n">
        <v>3093</v>
      </c>
      <c r="M205" s="6" t="n">
        <v>1744</v>
      </c>
      <c r="N205" s="6" t="n">
        <v>1724</v>
      </c>
      <c r="O205" s="6" t="n">
        <v>3351</v>
      </c>
      <c r="P205" s="6" t="n">
        <v>3419</v>
      </c>
      <c r="Q205" s="6" t="n">
        <v>1961</v>
      </c>
      <c r="R205" s="6" t="n">
        <v>1977</v>
      </c>
      <c r="S205" s="6" t="n">
        <v>1132</v>
      </c>
      <c r="T205" s="6" t="n">
        <v>1130</v>
      </c>
      <c r="U205" s="6" t="n">
        <v>4074</v>
      </c>
      <c r="V205" s="6" t="n">
        <v>3990</v>
      </c>
    </row>
    <row r="206" customFormat="false" ht="15" hidden="false" customHeight="false" outlineLevel="0" collapsed="false">
      <c r="A206" s="5" t="s">
        <v>32</v>
      </c>
      <c r="B206" s="6" t="s">
        <v>77</v>
      </c>
      <c r="C206" s="5" t="s">
        <v>60</v>
      </c>
      <c r="D206" s="5" t="s">
        <v>61</v>
      </c>
      <c r="E206" s="6" t="n">
        <v>130952</v>
      </c>
      <c r="F206" s="6" t="n">
        <v>133800</v>
      </c>
      <c r="G206" s="6" t="n">
        <v>71114</v>
      </c>
      <c r="H206" s="6" t="n">
        <v>76222</v>
      </c>
      <c r="I206" s="6" t="n">
        <v>20752</v>
      </c>
      <c r="J206" s="6" t="n">
        <v>21640</v>
      </c>
      <c r="K206" s="6" t="n">
        <v>3583</v>
      </c>
      <c r="L206" s="6" t="n">
        <v>3661</v>
      </c>
      <c r="M206" s="6" t="n">
        <v>1376</v>
      </c>
      <c r="N206" s="6" t="n">
        <v>1640</v>
      </c>
      <c r="O206" s="6" t="n">
        <v>2773</v>
      </c>
      <c r="P206" s="6" t="n">
        <v>2661</v>
      </c>
      <c r="Q206" s="6" t="n">
        <v>1764</v>
      </c>
      <c r="R206" s="6" t="n">
        <v>1688</v>
      </c>
      <c r="S206" s="6" t="n">
        <v>1183</v>
      </c>
      <c r="T206" s="6" t="n">
        <v>1242</v>
      </c>
      <c r="U206" s="6" t="n">
        <v>3322</v>
      </c>
      <c r="V206" s="6" t="n">
        <v>3241</v>
      </c>
    </row>
    <row r="207" customFormat="false" ht="15" hidden="false" customHeight="false" outlineLevel="0" collapsed="false">
      <c r="A207" s="5" t="s">
        <v>32</v>
      </c>
      <c r="B207" s="6" t="s">
        <v>77</v>
      </c>
      <c r="C207" s="5" t="s">
        <v>62</v>
      </c>
      <c r="D207" s="5" t="s">
        <v>61</v>
      </c>
      <c r="E207" s="6" t="n">
        <v>129004</v>
      </c>
      <c r="F207" s="6" t="n">
        <v>133600</v>
      </c>
      <c r="G207" s="6" t="n">
        <v>72231</v>
      </c>
      <c r="H207" s="6" t="n">
        <v>74543</v>
      </c>
      <c r="I207" s="6" t="n">
        <v>18906</v>
      </c>
      <c r="J207" s="6" t="n">
        <v>19904</v>
      </c>
      <c r="K207" s="6" t="n">
        <v>3607</v>
      </c>
      <c r="L207" s="6" t="n">
        <v>4144</v>
      </c>
      <c r="M207" s="6" t="n">
        <v>1776</v>
      </c>
      <c r="N207" s="6" t="n">
        <v>2292</v>
      </c>
      <c r="O207" s="6" t="n">
        <v>2333</v>
      </c>
      <c r="P207" s="6" t="n">
        <v>2427</v>
      </c>
      <c r="Q207" s="6" t="n">
        <v>2008</v>
      </c>
      <c r="R207" s="6" t="n">
        <v>2089</v>
      </c>
      <c r="S207" s="6" t="n">
        <v>1249</v>
      </c>
      <c r="T207" s="6" t="n">
        <v>1465</v>
      </c>
      <c r="U207" s="6" t="n">
        <v>3817</v>
      </c>
      <c r="V207" s="6" t="n">
        <v>3859</v>
      </c>
    </row>
    <row r="208" customFormat="false" ht="15" hidden="false" customHeight="false" outlineLevel="0" collapsed="false">
      <c r="A208" s="5" t="s">
        <v>32</v>
      </c>
      <c r="B208" s="6" t="s">
        <v>77</v>
      </c>
      <c r="C208" s="5" t="s">
        <v>63</v>
      </c>
      <c r="D208" s="5" t="s">
        <v>61</v>
      </c>
      <c r="E208" s="6" t="n">
        <v>140624</v>
      </c>
      <c r="F208" s="6" t="n">
        <v>133939</v>
      </c>
      <c r="G208" s="6" t="n">
        <v>83910</v>
      </c>
      <c r="H208" s="6" t="n">
        <v>79827</v>
      </c>
      <c r="I208" s="6" t="n">
        <v>21966</v>
      </c>
      <c r="J208" s="6" t="n">
        <v>21990</v>
      </c>
      <c r="K208" s="6" t="n">
        <v>4735</v>
      </c>
      <c r="L208" s="6" t="n">
        <v>5193</v>
      </c>
      <c r="M208" s="6" t="n">
        <v>1494</v>
      </c>
      <c r="N208" s="6" t="n">
        <v>1795</v>
      </c>
      <c r="O208" s="6" t="n">
        <v>3158</v>
      </c>
      <c r="P208" s="6" t="n">
        <v>2930</v>
      </c>
      <c r="Q208" s="6" t="n">
        <v>2698</v>
      </c>
      <c r="R208" s="6" t="n">
        <v>2615</v>
      </c>
      <c r="S208" s="6" t="n">
        <v>1277</v>
      </c>
      <c r="T208" s="6" t="n">
        <v>1748</v>
      </c>
      <c r="U208" s="6" t="n">
        <v>3048</v>
      </c>
      <c r="V208" s="6" t="n">
        <v>3131</v>
      </c>
    </row>
    <row r="209" customFormat="false" ht="15" hidden="false" customHeight="false" outlineLevel="0" collapsed="false">
      <c r="A209" s="5" t="s">
        <v>32</v>
      </c>
      <c r="B209" s="6" t="s">
        <v>77</v>
      </c>
      <c r="C209" s="5" t="s">
        <v>64</v>
      </c>
      <c r="D209" s="5" t="s">
        <v>61</v>
      </c>
      <c r="E209" s="6" t="n">
        <v>127445</v>
      </c>
      <c r="F209" s="6" t="n">
        <v>135453</v>
      </c>
      <c r="G209" s="6" t="n">
        <v>69321</v>
      </c>
      <c r="H209" s="6" t="n">
        <v>75508</v>
      </c>
      <c r="I209" s="6" t="n">
        <v>20800</v>
      </c>
      <c r="J209" s="6" t="n">
        <v>22155</v>
      </c>
      <c r="K209" s="6" t="n">
        <v>3360</v>
      </c>
      <c r="L209" s="6" t="n">
        <v>2961</v>
      </c>
      <c r="M209" s="6" t="n">
        <v>1499</v>
      </c>
      <c r="N209" s="6" t="n">
        <v>1726</v>
      </c>
      <c r="O209" s="6" t="n">
        <v>3538</v>
      </c>
      <c r="P209" s="6" t="n">
        <v>3749</v>
      </c>
      <c r="Q209" s="6" t="n">
        <v>2189</v>
      </c>
      <c r="R209" s="6" t="n">
        <v>2285</v>
      </c>
      <c r="S209" s="6" t="n">
        <v>1336</v>
      </c>
      <c r="T209" s="6" t="n">
        <v>1192</v>
      </c>
      <c r="U209" s="6" t="n">
        <v>3134</v>
      </c>
      <c r="V209" s="6" t="n">
        <v>3102</v>
      </c>
    </row>
    <row r="210" customFormat="false" ht="15" hidden="false" customHeight="false" outlineLevel="0" collapsed="false">
      <c r="A210" s="5" t="s">
        <v>32</v>
      </c>
      <c r="B210" s="6" t="s">
        <v>77</v>
      </c>
      <c r="C210" s="5" t="s">
        <v>65</v>
      </c>
      <c r="D210" s="5" t="s">
        <v>61</v>
      </c>
      <c r="E210" s="6" t="n">
        <v>127325</v>
      </c>
      <c r="F210" s="6" t="n">
        <v>134520</v>
      </c>
      <c r="G210" s="6" t="n">
        <v>74823</v>
      </c>
      <c r="H210" s="6" t="n">
        <v>80114</v>
      </c>
      <c r="I210" s="6" t="n">
        <v>20022</v>
      </c>
      <c r="J210" s="6" t="n">
        <v>19923</v>
      </c>
      <c r="K210" s="6" t="n">
        <v>3040</v>
      </c>
      <c r="L210" s="6" t="n">
        <v>2938</v>
      </c>
      <c r="M210" s="6" t="n">
        <v>1580</v>
      </c>
      <c r="N210" s="6" t="n">
        <v>1606</v>
      </c>
      <c r="O210" s="6" t="n">
        <v>2313</v>
      </c>
      <c r="P210" s="6" t="n">
        <v>2408</v>
      </c>
      <c r="Q210" s="6" t="n">
        <v>2073</v>
      </c>
      <c r="R210" s="6" t="n">
        <v>2102</v>
      </c>
      <c r="S210" s="6" t="n">
        <v>1236</v>
      </c>
      <c r="T210" s="6" t="n">
        <v>1549</v>
      </c>
      <c r="U210" s="6" t="n">
        <v>3292</v>
      </c>
      <c r="V210" s="6" t="n">
        <v>3332</v>
      </c>
    </row>
    <row r="211" customFormat="false" ht="15" hidden="false" customHeight="false" outlineLevel="0" collapsed="false">
      <c r="A211" s="5" t="s">
        <v>32</v>
      </c>
      <c r="B211" s="6" t="s">
        <v>77</v>
      </c>
      <c r="C211" s="5" t="s">
        <v>66</v>
      </c>
      <c r="D211" s="5" t="s">
        <v>61</v>
      </c>
      <c r="E211" s="6" t="n">
        <v>152044</v>
      </c>
      <c r="F211" s="6" t="n">
        <v>144616</v>
      </c>
      <c r="G211" s="6" t="n">
        <v>83072</v>
      </c>
      <c r="H211" s="6" t="n">
        <v>81811</v>
      </c>
      <c r="I211" s="6" t="n">
        <v>22661</v>
      </c>
      <c r="J211" s="6" t="n">
        <v>22197</v>
      </c>
      <c r="K211" s="6" t="n">
        <v>4786</v>
      </c>
      <c r="L211" s="6" t="n">
        <v>4697</v>
      </c>
      <c r="M211" s="6" t="n">
        <v>1637</v>
      </c>
      <c r="N211" s="6" t="n">
        <v>1850</v>
      </c>
      <c r="O211" s="6" t="n">
        <v>3457</v>
      </c>
      <c r="P211" s="6" t="n">
        <v>3512</v>
      </c>
      <c r="Q211" s="6" t="n">
        <v>1990</v>
      </c>
      <c r="R211" s="6" t="n">
        <v>1968</v>
      </c>
      <c r="S211" s="6" t="n">
        <v>1640</v>
      </c>
      <c r="T211" s="6" t="n">
        <v>1849</v>
      </c>
      <c r="U211" s="6" t="n">
        <v>4501</v>
      </c>
      <c r="V211" s="6" t="n">
        <v>4405</v>
      </c>
    </row>
    <row r="212" customFormat="false" ht="15" hidden="false" customHeight="false" outlineLevel="0" collapsed="false">
      <c r="A212" s="5" t="s">
        <v>32</v>
      </c>
      <c r="B212" s="6" t="s">
        <v>77</v>
      </c>
      <c r="C212" s="5" t="s">
        <v>67</v>
      </c>
      <c r="D212" s="5" t="s">
        <v>61</v>
      </c>
      <c r="E212" s="6" t="n">
        <v>142521</v>
      </c>
      <c r="F212" s="6" t="n">
        <v>135773</v>
      </c>
      <c r="G212" s="6" t="n">
        <v>83760</v>
      </c>
      <c r="H212" s="6" t="n">
        <v>82030</v>
      </c>
      <c r="I212" s="6" t="n">
        <v>21548</v>
      </c>
      <c r="J212" s="6" t="n">
        <v>23152</v>
      </c>
      <c r="K212" s="6" t="n">
        <v>4034</v>
      </c>
      <c r="L212" s="6" t="n">
        <v>4101</v>
      </c>
      <c r="M212" s="6" t="n">
        <v>1263</v>
      </c>
      <c r="N212" s="6" t="n">
        <v>1014</v>
      </c>
      <c r="O212" s="6" t="n">
        <v>3416</v>
      </c>
      <c r="P212" s="6" t="n">
        <v>3473</v>
      </c>
      <c r="Q212" s="6" t="n">
        <v>2790</v>
      </c>
      <c r="R212" s="6" t="n">
        <v>2736</v>
      </c>
      <c r="S212" s="6" t="n">
        <v>1495</v>
      </c>
      <c r="T212" s="6" t="n">
        <v>2006</v>
      </c>
      <c r="U212" s="6" t="n">
        <v>3340</v>
      </c>
      <c r="V212" s="6" t="n">
        <v>3322</v>
      </c>
    </row>
    <row r="213" customFormat="false" ht="15" hidden="false" customHeight="false" outlineLevel="0" collapsed="false">
      <c r="A213" s="5" t="s">
        <v>32</v>
      </c>
      <c r="B213" s="6" t="s">
        <v>77</v>
      </c>
      <c r="C213" s="5" t="s">
        <v>68</v>
      </c>
      <c r="D213" s="5" t="s">
        <v>61</v>
      </c>
      <c r="E213" s="6" t="n">
        <v>138107</v>
      </c>
      <c r="F213" s="6" t="n">
        <v>137899</v>
      </c>
      <c r="G213" s="6" t="n">
        <v>75912</v>
      </c>
      <c r="H213" s="6" t="n">
        <v>74562</v>
      </c>
      <c r="I213" s="6" t="n">
        <v>22794</v>
      </c>
      <c r="J213" s="6" t="n">
        <v>22597</v>
      </c>
      <c r="K213" s="6" t="n">
        <v>3138</v>
      </c>
      <c r="L213" s="6" t="n">
        <v>3420</v>
      </c>
      <c r="M213" s="6" t="n">
        <v>1929</v>
      </c>
      <c r="N213" s="6" t="n">
        <v>2364</v>
      </c>
      <c r="O213" s="6" t="n">
        <v>3774</v>
      </c>
      <c r="P213" s="6" t="n">
        <v>4148</v>
      </c>
      <c r="Q213" s="6" t="n">
        <v>2167</v>
      </c>
      <c r="R213" s="6" t="n">
        <v>2178</v>
      </c>
      <c r="S213" s="6" t="n">
        <v>1069</v>
      </c>
      <c r="T213" s="6" t="n">
        <v>898</v>
      </c>
      <c r="U213" s="6" t="n">
        <v>2898</v>
      </c>
      <c r="V213" s="6" t="n">
        <v>2937</v>
      </c>
    </row>
    <row r="214" customFormat="false" ht="15" hidden="false" customHeight="false" outlineLevel="0" collapsed="false">
      <c r="A214" s="5" t="s">
        <v>32</v>
      </c>
      <c r="B214" s="6" t="s">
        <v>77</v>
      </c>
      <c r="C214" s="5" t="s">
        <v>69</v>
      </c>
      <c r="D214" s="5" t="s">
        <v>61</v>
      </c>
      <c r="E214" s="6" t="n">
        <v>147690</v>
      </c>
      <c r="F214" s="6" t="n">
        <v>150750</v>
      </c>
      <c r="G214" s="6" t="n">
        <v>80889</v>
      </c>
      <c r="H214" s="6" t="n">
        <v>84490</v>
      </c>
      <c r="I214" s="6" t="n">
        <v>21120</v>
      </c>
      <c r="J214" s="6" t="n">
        <v>21926</v>
      </c>
      <c r="K214" s="6" t="n">
        <v>4948</v>
      </c>
      <c r="L214" s="6" t="n">
        <v>4678</v>
      </c>
      <c r="M214" s="6" t="n">
        <v>1647</v>
      </c>
      <c r="N214" s="6" t="n">
        <v>1825</v>
      </c>
      <c r="O214" s="6" t="n">
        <v>3110</v>
      </c>
      <c r="P214" s="6" t="n">
        <v>3188</v>
      </c>
      <c r="Q214" s="6" t="n">
        <v>2440</v>
      </c>
      <c r="R214" s="6" t="n">
        <v>2407</v>
      </c>
      <c r="S214" s="6" t="n">
        <v>1166</v>
      </c>
      <c r="T214" s="6" t="n">
        <v>1232</v>
      </c>
      <c r="U214" s="6" t="n">
        <v>2961</v>
      </c>
      <c r="V214" s="6" t="n">
        <v>2916</v>
      </c>
    </row>
    <row r="215" customFormat="false" ht="15" hidden="false" customHeight="false" outlineLevel="0" collapsed="false">
      <c r="A215" s="5" t="s">
        <v>32</v>
      </c>
      <c r="B215" s="6" t="s">
        <v>77</v>
      </c>
      <c r="C215" s="5" t="s">
        <v>70</v>
      </c>
      <c r="D215" s="5" t="s">
        <v>61</v>
      </c>
      <c r="E215" s="6" t="n">
        <v>142969</v>
      </c>
      <c r="F215" s="6" t="n">
        <v>138970</v>
      </c>
      <c r="G215" s="6" t="n">
        <v>80944</v>
      </c>
      <c r="H215" s="6" t="n">
        <v>81738</v>
      </c>
      <c r="I215" s="6" t="n">
        <v>20592</v>
      </c>
      <c r="J215" s="6" t="n">
        <v>21635</v>
      </c>
      <c r="K215" s="6" t="n">
        <v>4742</v>
      </c>
      <c r="L215" s="6" t="n">
        <v>4689</v>
      </c>
      <c r="M215" s="6" t="n">
        <v>1503</v>
      </c>
      <c r="N215" s="6" t="n">
        <v>1432</v>
      </c>
      <c r="O215" s="6" t="n">
        <v>3362</v>
      </c>
      <c r="P215" s="6" t="n">
        <v>3199</v>
      </c>
      <c r="Q215" s="6" t="n">
        <v>2409</v>
      </c>
      <c r="R215" s="6" t="n">
        <v>2491</v>
      </c>
      <c r="S215" s="6" t="n">
        <v>1594</v>
      </c>
      <c r="T215" s="6" t="n">
        <v>1409</v>
      </c>
      <c r="U215" s="6" t="n">
        <v>3629</v>
      </c>
      <c r="V215" s="6" t="n">
        <v>3577</v>
      </c>
    </row>
    <row r="216" customFormat="false" ht="15" hidden="false" customHeight="false" outlineLevel="0" collapsed="false">
      <c r="A216" s="5" t="s">
        <v>32</v>
      </c>
      <c r="B216" s="6" t="s">
        <v>77</v>
      </c>
      <c r="C216" s="5" t="s">
        <v>71</v>
      </c>
      <c r="D216" s="5" t="s">
        <v>61</v>
      </c>
      <c r="E216" s="6" t="n">
        <v>135254</v>
      </c>
      <c r="F216" s="6" t="n">
        <v>142496</v>
      </c>
      <c r="G216" s="6" t="n">
        <v>73649</v>
      </c>
      <c r="H216" s="6" t="n">
        <v>74875</v>
      </c>
      <c r="I216" s="6" t="n">
        <v>20993</v>
      </c>
      <c r="J216" s="6" t="n">
        <v>20435</v>
      </c>
      <c r="K216" s="6" t="n">
        <v>3886</v>
      </c>
      <c r="L216" s="6" t="n">
        <v>3775</v>
      </c>
      <c r="M216" s="6" t="n">
        <v>1641</v>
      </c>
      <c r="N216" s="6" t="n">
        <v>2056</v>
      </c>
      <c r="O216" s="6" t="n">
        <v>3181</v>
      </c>
      <c r="P216" s="6" t="n">
        <v>3238</v>
      </c>
      <c r="Q216" s="6" t="n">
        <v>2704</v>
      </c>
      <c r="R216" s="6" t="n">
        <v>2696</v>
      </c>
      <c r="S216" s="6" t="n">
        <v>1441</v>
      </c>
      <c r="T216" s="6" t="n">
        <v>1469</v>
      </c>
      <c r="U216" s="6" t="n">
        <v>3007</v>
      </c>
      <c r="V216" s="6" t="n">
        <v>3056</v>
      </c>
    </row>
    <row r="217" customFormat="false" ht="15" hidden="false" customHeight="false" outlineLevel="0" collapsed="false">
      <c r="A217" s="5" t="s">
        <v>32</v>
      </c>
      <c r="B217" s="6" t="s">
        <v>77</v>
      </c>
      <c r="C217" s="5" t="s">
        <v>72</v>
      </c>
      <c r="D217" s="5" t="s">
        <v>61</v>
      </c>
      <c r="E217" s="6" t="n">
        <v>153364</v>
      </c>
      <c r="F217" s="6" t="n">
        <v>157309</v>
      </c>
      <c r="G217" s="6" t="n">
        <v>87093</v>
      </c>
      <c r="H217" s="6" t="n">
        <v>90201</v>
      </c>
      <c r="I217" s="6" t="n">
        <v>23297</v>
      </c>
      <c r="J217" s="6" t="n">
        <v>23885</v>
      </c>
      <c r="K217" s="6" t="n">
        <v>4592</v>
      </c>
      <c r="L217" s="6" t="n">
        <v>5071</v>
      </c>
      <c r="M217" s="6" t="n">
        <v>2093</v>
      </c>
      <c r="N217" s="6" t="n">
        <v>2317</v>
      </c>
      <c r="O217" s="6" t="n">
        <v>3015</v>
      </c>
      <c r="P217" s="6" t="n">
        <v>3053</v>
      </c>
      <c r="Q217" s="6" t="n">
        <v>2388</v>
      </c>
      <c r="R217" s="6" t="n">
        <v>2311</v>
      </c>
      <c r="S217" s="6" t="n">
        <v>1793</v>
      </c>
      <c r="T217" s="6" t="n">
        <v>2144</v>
      </c>
      <c r="U217" s="6" t="n">
        <v>4551</v>
      </c>
      <c r="V217" s="6" t="n">
        <v>4615</v>
      </c>
    </row>
    <row r="218" customFormat="false" ht="15" hidden="false" customHeight="false" outlineLevel="0" collapsed="false">
      <c r="A218" s="5" t="s">
        <v>78</v>
      </c>
      <c r="B218" s="6" t="s">
        <v>33</v>
      </c>
      <c r="C218" s="5" t="s">
        <v>34</v>
      </c>
      <c r="D218" s="5" t="s">
        <v>35</v>
      </c>
      <c r="E218" s="6" t="n">
        <v>269116</v>
      </c>
      <c r="F218" s="6" t="n">
        <v>269516</v>
      </c>
      <c r="G218" s="6" t="n">
        <v>146338</v>
      </c>
      <c r="H218" s="6" t="n">
        <v>146143</v>
      </c>
      <c r="I218" s="6" t="n">
        <v>38022</v>
      </c>
      <c r="J218" s="6" t="n">
        <v>37746</v>
      </c>
      <c r="K218" s="6" t="n">
        <v>9047</v>
      </c>
      <c r="L218" s="6" t="n">
        <v>8670</v>
      </c>
      <c r="M218" s="6" t="n">
        <v>3038</v>
      </c>
      <c r="N218" s="6" t="n">
        <v>3121</v>
      </c>
      <c r="O218" s="6" t="n">
        <v>4969</v>
      </c>
      <c r="P218" s="6" t="n">
        <v>5449</v>
      </c>
      <c r="Q218" s="6" t="n">
        <v>3927</v>
      </c>
      <c r="R218" s="6" t="n">
        <v>4007</v>
      </c>
      <c r="S218" s="6" t="n">
        <v>2457</v>
      </c>
      <c r="T218" s="6" t="n">
        <v>3189</v>
      </c>
      <c r="U218" s="6" t="n">
        <v>7629</v>
      </c>
      <c r="V218" s="6" t="n">
        <v>7521</v>
      </c>
    </row>
    <row r="219" customFormat="false" ht="15" hidden="false" customHeight="false" outlineLevel="0" collapsed="false">
      <c r="A219" s="5" t="s">
        <v>78</v>
      </c>
      <c r="B219" s="6" t="s">
        <v>33</v>
      </c>
      <c r="C219" s="5" t="s">
        <v>36</v>
      </c>
      <c r="D219" s="5" t="s">
        <v>35</v>
      </c>
      <c r="E219" s="6" t="n">
        <v>261468</v>
      </c>
      <c r="F219" s="6" t="n">
        <v>272118</v>
      </c>
      <c r="G219" s="6" t="n">
        <v>151448</v>
      </c>
      <c r="H219" s="6" t="n">
        <v>157144</v>
      </c>
      <c r="I219" s="6" t="n">
        <v>41730</v>
      </c>
      <c r="J219" s="6" t="n">
        <v>44313</v>
      </c>
      <c r="K219" s="6" t="n">
        <v>7256</v>
      </c>
      <c r="L219" s="6" t="n">
        <v>6987</v>
      </c>
      <c r="M219" s="6" t="n">
        <v>3752</v>
      </c>
      <c r="N219" s="6" t="n">
        <v>3970</v>
      </c>
      <c r="O219" s="6" t="n">
        <v>5629</v>
      </c>
      <c r="P219" s="6" t="n">
        <v>6058</v>
      </c>
      <c r="Q219" s="6" t="n">
        <v>4156</v>
      </c>
      <c r="R219" s="6" t="n">
        <v>4149</v>
      </c>
      <c r="S219" s="6" t="n">
        <v>2517</v>
      </c>
      <c r="T219" s="6" t="n">
        <v>2771</v>
      </c>
      <c r="U219" s="6" t="n">
        <v>5593</v>
      </c>
      <c r="V219" s="6" t="n">
        <v>5481</v>
      </c>
    </row>
    <row r="220" customFormat="false" ht="15" hidden="false" customHeight="false" outlineLevel="0" collapsed="false">
      <c r="A220" s="5" t="s">
        <v>78</v>
      </c>
      <c r="B220" s="6" t="s">
        <v>33</v>
      </c>
      <c r="C220" s="5" t="s">
        <v>37</v>
      </c>
      <c r="D220" s="5" t="s">
        <v>35</v>
      </c>
      <c r="E220" s="6" t="n">
        <v>274262</v>
      </c>
      <c r="F220" s="6" t="n">
        <v>269620</v>
      </c>
      <c r="G220" s="6" t="n">
        <v>151582</v>
      </c>
      <c r="H220" s="6" t="n">
        <v>146144</v>
      </c>
      <c r="I220" s="6" t="n">
        <v>41377</v>
      </c>
      <c r="J220" s="6" t="n">
        <v>43400</v>
      </c>
      <c r="K220" s="6" t="n">
        <v>5972</v>
      </c>
      <c r="L220" s="6" t="n">
        <v>5489</v>
      </c>
      <c r="M220" s="6" t="n">
        <v>3751</v>
      </c>
      <c r="N220" s="6" t="n">
        <v>4352</v>
      </c>
      <c r="O220" s="6" t="n">
        <v>6257</v>
      </c>
      <c r="P220" s="6" t="n">
        <v>6296</v>
      </c>
      <c r="Q220" s="6" t="n">
        <v>3753</v>
      </c>
      <c r="R220" s="6" t="n">
        <v>3626</v>
      </c>
      <c r="S220" s="6" t="n">
        <v>3017</v>
      </c>
      <c r="T220" s="6" t="n">
        <v>2454</v>
      </c>
      <c r="U220" s="6" t="n">
        <v>5604</v>
      </c>
      <c r="V220" s="6" t="n">
        <v>5629</v>
      </c>
    </row>
    <row r="221" customFormat="false" ht="15" hidden="false" customHeight="false" outlineLevel="0" collapsed="false">
      <c r="A221" s="5" t="s">
        <v>78</v>
      </c>
      <c r="B221" s="6" t="s">
        <v>33</v>
      </c>
      <c r="C221" s="5" t="s">
        <v>38</v>
      </c>
      <c r="D221" s="5" t="s">
        <v>35</v>
      </c>
      <c r="E221" s="6" t="n">
        <v>272225</v>
      </c>
      <c r="F221" s="6" t="n">
        <v>268058</v>
      </c>
      <c r="G221" s="6" t="n">
        <v>147642</v>
      </c>
      <c r="H221" s="6" t="n">
        <v>147691</v>
      </c>
      <c r="I221" s="6" t="n">
        <v>38568</v>
      </c>
      <c r="J221" s="6" t="n">
        <v>38507</v>
      </c>
      <c r="K221" s="6" t="n">
        <v>6180</v>
      </c>
      <c r="L221" s="6" t="n">
        <v>7030</v>
      </c>
      <c r="M221" s="6" t="n">
        <v>3320</v>
      </c>
      <c r="N221" s="6" t="n">
        <v>3592</v>
      </c>
      <c r="O221" s="6" t="n">
        <v>4951</v>
      </c>
      <c r="P221" s="6" t="n">
        <v>5196</v>
      </c>
      <c r="Q221" s="6" t="n">
        <v>4708</v>
      </c>
      <c r="R221" s="6" t="n">
        <v>4606</v>
      </c>
      <c r="S221" s="6" t="n">
        <v>1773</v>
      </c>
      <c r="T221" s="6" t="n">
        <v>1896</v>
      </c>
      <c r="U221" s="6" t="n">
        <v>8147</v>
      </c>
      <c r="V221" s="6" t="n">
        <v>8327</v>
      </c>
    </row>
    <row r="222" customFormat="false" ht="15" hidden="false" customHeight="false" outlineLevel="0" collapsed="false">
      <c r="A222" s="5" t="s">
        <v>78</v>
      </c>
      <c r="B222" s="6" t="s">
        <v>33</v>
      </c>
      <c r="C222" s="5" t="s">
        <v>39</v>
      </c>
      <c r="D222" s="5" t="s">
        <v>35</v>
      </c>
      <c r="E222" s="6" t="n">
        <v>277176</v>
      </c>
      <c r="F222" s="6" t="n">
        <v>266607</v>
      </c>
      <c r="G222" s="6" t="n">
        <v>159667</v>
      </c>
      <c r="H222" s="6" t="n">
        <v>158839</v>
      </c>
      <c r="I222" s="6" t="n">
        <v>45627</v>
      </c>
      <c r="J222" s="6" t="n">
        <v>45171</v>
      </c>
      <c r="K222" s="6" t="n">
        <v>8286</v>
      </c>
      <c r="L222" s="6" t="n">
        <v>7701</v>
      </c>
      <c r="M222" s="6" t="n">
        <v>3622</v>
      </c>
      <c r="N222" s="6" t="n">
        <v>3518</v>
      </c>
      <c r="O222" s="6" t="n">
        <v>6246</v>
      </c>
      <c r="P222" s="6" t="n">
        <v>6410</v>
      </c>
      <c r="Q222" s="6" t="n">
        <v>3836</v>
      </c>
      <c r="R222" s="6" t="n">
        <v>3792</v>
      </c>
      <c r="S222" s="6" t="n">
        <v>1844</v>
      </c>
      <c r="T222" s="6" t="n">
        <v>1699</v>
      </c>
      <c r="U222" s="6" t="n">
        <v>7926</v>
      </c>
      <c r="V222" s="6" t="n">
        <v>7928</v>
      </c>
    </row>
    <row r="223" customFormat="false" ht="15" hidden="false" customHeight="false" outlineLevel="0" collapsed="false">
      <c r="A223" s="5" t="s">
        <v>78</v>
      </c>
      <c r="B223" s="6" t="s">
        <v>33</v>
      </c>
      <c r="C223" s="5" t="s">
        <v>40</v>
      </c>
      <c r="D223" s="5" t="s">
        <v>35</v>
      </c>
      <c r="E223" s="6" t="n">
        <v>272802</v>
      </c>
      <c r="F223" s="6" t="n">
        <v>284778</v>
      </c>
      <c r="G223" s="6" t="n">
        <v>148889</v>
      </c>
      <c r="H223" s="6" t="n">
        <v>156506</v>
      </c>
      <c r="I223" s="6" t="n">
        <v>43223</v>
      </c>
      <c r="J223" s="6" t="n">
        <v>42112</v>
      </c>
      <c r="K223" s="6" t="n">
        <v>8664</v>
      </c>
      <c r="L223" s="6" t="n">
        <v>8673</v>
      </c>
      <c r="M223" s="6" t="n">
        <v>2407</v>
      </c>
      <c r="N223" s="6" t="n">
        <v>2506</v>
      </c>
      <c r="O223" s="6" t="n">
        <v>5266</v>
      </c>
      <c r="P223" s="6" t="n">
        <v>5417</v>
      </c>
      <c r="Q223" s="6" t="n">
        <v>5080</v>
      </c>
      <c r="R223" s="6" t="n">
        <v>5282</v>
      </c>
      <c r="S223" s="6" t="n">
        <v>2905</v>
      </c>
      <c r="T223" s="6" t="n">
        <v>3456</v>
      </c>
      <c r="U223" s="6" t="n">
        <v>6880</v>
      </c>
      <c r="V223" s="6" t="n">
        <v>6826</v>
      </c>
    </row>
    <row r="224" customFormat="false" ht="15" hidden="false" customHeight="false" outlineLevel="0" collapsed="false">
      <c r="A224" s="5" t="s">
        <v>78</v>
      </c>
      <c r="B224" s="6" t="s">
        <v>33</v>
      </c>
      <c r="C224" s="5" t="s">
        <v>41</v>
      </c>
      <c r="D224" s="5" t="s">
        <v>35</v>
      </c>
      <c r="E224" s="6" t="n">
        <v>265968</v>
      </c>
      <c r="F224" s="6" t="n">
        <v>265020</v>
      </c>
      <c r="G224" s="6" t="n">
        <v>147285</v>
      </c>
      <c r="H224" s="6" t="n">
        <v>152091</v>
      </c>
      <c r="I224" s="6" t="n">
        <v>43535</v>
      </c>
      <c r="J224" s="6" t="n">
        <v>44055</v>
      </c>
      <c r="K224" s="6" t="n">
        <v>7669</v>
      </c>
      <c r="L224" s="6" t="n">
        <v>8224</v>
      </c>
      <c r="M224" s="6" t="n">
        <v>3546</v>
      </c>
      <c r="N224" s="6" t="n">
        <v>4072</v>
      </c>
      <c r="O224" s="6" t="n">
        <v>5047</v>
      </c>
      <c r="P224" s="6" t="n">
        <v>4765</v>
      </c>
      <c r="Q224" s="6" t="n">
        <v>4207</v>
      </c>
      <c r="R224" s="6" t="n">
        <v>4094</v>
      </c>
      <c r="S224" s="6" t="n">
        <v>2967</v>
      </c>
      <c r="T224" s="6" t="n">
        <v>2878</v>
      </c>
      <c r="U224" s="6" t="n">
        <v>7651</v>
      </c>
      <c r="V224" s="6" t="n">
        <v>7609</v>
      </c>
    </row>
    <row r="225" customFormat="false" ht="15" hidden="false" customHeight="false" outlineLevel="0" collapsed="false">
      <c r="A225" s="5" t="s">
        <v>78</v>
      </c>
      <c r="B225" s="6" t="s">
        <v>33</v>
      </c>
      <c r="C225" s="5" t="s">
        <v>42</v>
      </c>
      <c r="D225" s="5" t="s">
        <v>35</v>
      </c>
      <c r="E225" s="6" t="n">
        <v>270402</v>
      </c>
      <c r="F225" s="6" t="n">
        <v>263782</v>
      </c>
      <c r="G225" s="6" t="n">
        <v>158825</v>
      </c>
      <c r="H225" s="6" t="n">
        <v>157284</v>
      </c>
      <c r="I225" s="6" t="n">
        <v>38812</v>
      </c>
      <c r="J225" s="6" t="n">
        <v>37678</v>
      </c>
      <c r="K225" s="6" t="n">
        <v>8063</v>
      </c>
      <c r="L225" s="6" t="n">
        <v>8517</v>
      </c>
      <c r="M225" s="6" t="n">
        <v>2761</v>
      </c>
      <c r="N225" s="6" t="n">
        <v>2709</v>
      </c>
      <c r="O225" s="6" t="n">
        <v>5286</v>
      </c>
      <c r="P225" s="6" t="n">
        <v>5483</v>
      </c>
      <c r="Q225" s="6" t="n">
        <v>3793</v>
      </c>
      <c r="R225" s="6" t="n">
        <v>3928</v>
      </c>
      <c r="S225" s="6" t="n">
        <v>2310</v>
      </c>
      <c r="T225" s="6" t="n">
        <v>2355</v>
      </c>
      <c r="U225" s="6" t="n">
        <v>6153</v>
      </c>
      <c r="V225" s="6" t="n">
        <v>6220</v>
      </c>
    </row>
    <row r="226" customFormat="false" ht="15" hidden="false" customHeight="false" outlineLevel="0" collapsed="false">
      <c r="A226" s="5" t="s">
        <v>78</v>
      </c>
      <c r="B226" s="6" t="s">
        <v>33</v>
      </c>
      <c r="C226" s="5" t="s">
        <v>43</v>
      </c>
      <c r="D226" s="5" t="s">
        <v>35</v>
      </c>
      <c r="E226" s="6" t="n">
        <v>282578</v>
      </c>
      <c r="F226" s="6" t="n">
        <v>285551</v>
      </c>
      <c r="G226" s="6" t="n">
        <v>165881</v>
      </c>
      <c r="H226" s="6" t="n">
        <v>168804</v>
      </c>
      <c r="I226" s="6" t="n">
        <v>42699</v>
      </c>
      <c r="J226" s="6" t="n">
        <v>44024</v>
      </c>
      <c r="K226" s="6" t="n">
        <v>6727</v>
      </c>
      <c r="L226" s="6" t="n">
        <v>6337</v>
      </c>
      <c r="M226" s="6" t="n">
        <v>2942</v>
      </c>
      <c r="N226" s="6" t="n">
        <v>3391</v>
      </c>
      <c r="O226" s="6" t="n">
        <v>7166</v>
      </c>
      <c r="P226" s="6" t="n">
        <v>7696</v>
      </c>
      <c r="Q226" s="6" t="n">
        <v>4881</v>
      </c>
      <c r="R226" s="6" t="n">
        <v>5002</v>
      </c>
      <c r="S226" s="6" t="n">
        <v>2453</v>
      </c>
      <c r="T226" s="6" t="n">
        <v>2992</v>
      </c>
      <c r="U226" s="6" t="n">
        <v>6109</v>
      </c>
      <c r="V226" s="6" t="n">
        <v>6004</v>
      </c>
    </row>
    <row r="227" customFormat="false" ht="15" hidden="false" customHeight="false" outlineLevel="0" collapsed="false">
      <c r="A227" s="5" t="s">
        <v>78</v>
      </c>
      <c r="B227" s="6" t="s">
        <v>33</v>
      </c>
      <c r="C227" s="5" t="s">
        <v>44</v>
      </c>
      <c r="D227" s="5" t="s">
        <v>35</v>
      </c>
      <c r="E227" s="6" t="n">
        <v>264379</v>
      </c>
      <c r="F227" s="6" t="n">
        <v>269606</v>
      </c>
      <c r="G227" s="6" t="n">
        <v>151498</v>
      </c>
      <c r="H227" s="6" t="n">
        <v>158498</v>
      </c>
      <c r="I227" s="6" t="n">
        <v>42619</v>
      </c>
      <c r="J227" s="6" t="n">
        <v>42094</v>
      </c>
      <c r="K227" s="6" t="n">
        <v>9113</v>
      </c>
      <c r="L227" s="6" t="n">
        <v>7761</v>
      </c>
      <c r="M227" s="6" t="n">
        <v>2284</v>
      </c>
      <c r="N227" s="6" t="n">
        <v>1993</v>
      </c>
      <c r="O227" s="6" t="n">
        <v>7207</v>
      </c>
      <c r="P227" s="6" t="n">
        <v>7195</v>
      </c>
      <c r="Q227" s="6" t="n">
        <v>3308</v>
      </c>
      <c r="R227" s="6" t="n">
        <v>3216</v>
      </c>
      <c r="S227" s="6" t="n">
        <v>1713</v>
      </c>
      <c r="T227" s="6" t="n">
        <v>1409</v>
      </c>
      <c r="U227" s="6" t="n">
        <v>6304</v>
      </c>
      <c r="V227" s="6" t="n">
        <v>6487</v>
      </c>
    </row>
    <row r="228" customFormat="false" ht="15" hidden="false" customHeight="false" outlineLevel="0" collapsed="false">
      <c r="A228" s="5" t="s">
        <v>78</v>
      </c>
      <c r="B228" s="6" t="s">
        <v>33</v>
      </c>
      <c r="C228" s="5" t="s">
        <v>45</v>
      </c>
      <c r="D228" s="5" t="s">
        <v>35</v>
      </c>
      <c r="E228" s="6" t="n">
        <v>273654</v>
      </c>
      <c r="F228" s="6" t="n">
        <v>272966</v>
      </c>
      <c r="G228" s="6" t="n">
        <v>159457</v>
      </c>
      <c r="H228" s="6" t="n">
        <v>161751</v>
      </c>
      <c r="I228" s="6" t="n">
        <v>46076</v>
      </c>
      <c r="J228" s="6" t="n">
        <v>48851</v>
      </c>
      <c r="K228" s="6" t="n">
        <v>8101</v>
      </c>
      <c r="L228" s="6" t="n">
        <v>7953</v>
      </c>
      <c r="M228" s="6" t="n">
        <v>2576</v>
      </c>
      <c r="N228" s="6" t="n">
        <v>2907</v>
      </c>
      <c r="O228" s="6" t="n">
        <v>7126</v>
      </c>
      <c r="P228" s="6" t="n">
        <v>6923</v>
      </c>
      <c r="Q228" s="6" t="n">
        <v>3357</v>
      </c>
      <c r="R228" s="6" t="n">
        <v>3390</v>
      </c>
      <c r="S228" s="6" t="n">
        <v>2489</v>
      </c>
      <c r="T228" s="6" t="n">
        <v>2337</v>
      </c>
      <c r="U228" s="6" t="n">
        <v>5937</v>
      </c>
      <c r="V228" s="6" t="n">
        <v>5772</v>
      </c>
    </row>
    <row r="229" customFormat="false" ht="15" hidden="false" customHeight="false" outlineLevel="0" collapsed="false">
      <c r="A229" s="5" t="s">
        <v>78</v>
      </c>
      <c r="B229" s="6" t="s">
        <v>33</v>
      </c>
      <c r="C229" s="5" t="s">
        <v>46</v>
      </c>
      <c r="D229" s="5" t="s">
        <v>35</v>
      </c>
      <c r="E229" s="6" t="n">
        <v>272100</v>
      </c>
      <c r="F229" s="6" t="n">
        <v>289458</v>
      </c>
      <c r="G229" s="6" t="n">
        <v>149504</v>
      </c>
      <c r="H229" s="6" t="n">
        <v>167679</v>
      </c>
      <c r="I229" s="6" t="n">
        <v>44458</v>
      </c>
      <c r="J229" s="6" t="n">
        <v>44851</v>
      </c>
      <c r="K229" s="6" t="n">
        <v>7055</v>
      </c>
      <c r="L229" s="6" t="n">
        <v>7237</v>
      </c>
      <c r="M229" s="6" t="n">
        <v>3163</v>
      </c>
      <c r="N229" s="6" t="n">
        <v>3696</v>
      </c>
      <c r="O229" s="6" t="n">
        <v>5085</v>
      </c>
      <c r="P229" s="6" t="n">
        <v>4761</v>
      </c>
      <c r="Q229" s="6" t="n">
        <v>3884</v>
      </c>
      <c r="R229" s="6" t="n">
        <v>4012</v>
      </c>
      <c r="S229" s="6" t="n">
        <v>3126</v>
      </c>
      <c r="T229" s="6" t="n">
        <v>3154</v>
      </c>
      <c r="U229" s="6" t="n">
        <v>8063</v>
      </c>
      <c r="V229" s="6" t="n">
        <v>7955</v>
      </c>
    </row>
    <row r="230" customFormat="false" ht="15" hidden="false" customHeight="false" outlineLevel="0" collapsed="false">
      <c r="A230" s="5" t="s">
        <v>78</v>
      </c>
      <c r="B230" s="6" t="s">
        <v>33</v>
      </c>
      <c r="C230" s="5" t="s">
        <v>47</v>
      </c>
      <c r="D230" s="5" t="s">
        <v>48</v>
      </c>
      <c r="E230" s="6" t="n">
        <v>265452</v>
      </c>
      <c r="F230" s="6" t="n">
        <v>275553</v>
      </c>
      <c r="G230" s="6" t="n">
        <v>158152</v>
      </c>
      <c r="H230" s="6" t="n">
        <v>166580</v>
      </c>
      <c r="I230" s="6" t="n">
        <v>39243</v>
      </c>
      <c r="J230" s="6" t="n">
        <v>39823</v>
      </c>
      <c r="K230" s="6" t="n">
        <v>5733</v>
      </c>
      <c r="L230" s="6" t="n">
        <v>4998</v>
      </c>
      <c r="M230" s="6" t="n">
        <v>2670</v>
      </c>
      <c r="N230" s="6" t="n">
        <v>3400</v>
      </c>
      <c r="O230" s="6" t="n">
        <v>6910</v>
      </c>
      <c r="P230" s="6" t="n">
        <v>7547</v>
      </c>
      <c r="Q230" s="6" t="n">
        <v>5046</v>
      </c>
      <c r="R230" s="6" t="n">
        <v>5204</v>
      </c>
      <c r="S230" s="6" t="n">
        <v>2508</v>
      </c>
      <c r="T230" s="6" t="n">
        <v>3051</v>
      </c>
      <c r="U230" s="6" t="n">
        <v>7873</v>
      </c>
      <c r="V230" s="6" t="n">
        <v>7903</v>
      </c>
    </row>
    <row r="231" customFormat="false" ht="15" hidden="false" customHeight="false" outlineLevel="0" collapsed="false">
      <c r="A231" s="5" t="s">
        <v>78</v>
      </c>
      <c r="B231" s="6" t="s">
        <v>33</v>
      </c>
      <c r="C231" s="5" t="s">
        <v>49</v>
      </c>
      <c r="D231" s="5" t="s">
        <v>48</v>
      </c>
      <c r="E231" s="6" t="n">
        <v>289394</v>
      </c>
      <c r="F231" s="6" t="n">
        <v>280721</v>
      </c>
      <c r="G231" s="6" t="n">
        <v>172963</v>
      </c>
      <c r="H231" s="6" t="n">
        <v>168606</v>
      </c>
      <c r="I231" s="6" t="n">
        <v>44515</v>
      </c>
      <c r="J231" s="6" t="n">
        <v>46053</v>
      </c>
      <c r="K231" s="6" t="n">
        <v>5907</v>
      </c>
      <c r="L231" s="6" t="n">
        <v>5227</v>
      </c>
      <c r="M231" s="6" t="n">
        <v>2452</v>
      </c>
      <c r="N231" s="6" t="n">
        <v>2738</v>
      </c>
      <c r="O231" s="6" t="n">
        <v>8086</v>
      </c>
      <c r="P231" s="6" t="n">
        <v>8424</v>
      </c>
      <c r="Q231" s="6" t="n">
        <v>4005</v>
      </c>
      <c r="R231" s="6" t="n">
        <v>3931</v>
      </c>
      <c r="S231" s="6" t="n">
        <v>3395</v>
      </c>
      <c r="T231" s="6" t="n">
        <v>3768</v>
      </c>
      <c r="U231" s="6" t="n">
        <v>5816</v>
      </c>
      <c r="V231" s="6" t="n">
        <v>5932</v>
      </c>
    </row>
    <row r="232" customFormat="false" ht="15" hidden="false" customHeight="false" outlineLevel="0" collapsed="false">
      <c r="A232" s="5" t="s">
        <v>78</v>
      </c>
      <c r="B232" s="6" t="s">
        <v>33</v>
      </c>
      <c r="C232" s="5" t="s">
        <v>50</v>
      </c>
      <c r="D232" s="5" t="s">
        <v>48</v>
      </c>
      <c r="E232" s="6" t="n">
        <v>266401</v>
      </c>
      <c r="F232" s="6" t="n">
        <v>280080</v>
      </c>
      <c r="G232" s="6" t="n">
        <v>154625</v>
      </c>
      <c r="H232" s="6" t="n">
        <v>168461</v>
      </c>
      <c r="I232" s="6" t="n">
        <v>37904</v>
      </c>
      <c r="J232" s="6" t="n">
        <v>40650</v>
      </c>
      <c r="K232" s="6" t="n">
        <v>7232</v>
      </c>
      <c r="L232" s="6" t="n">
        <v>6914</v>
      </c>
      <c r="M232" s="6" t="n">
        <v>3799</v>
      </c>
      <c r="N232" s="6" t="n">
        <v>3550</v>
      </c>
      <c r="O232" s="6" t="n">
        <v>7318</v>
      </c>
      <c r="P232" s="6" t="n">
        <v>7632</v>
      </c>
      <c r="Q232" s="6" t="n">
        <v>5136</v>
      </c>
      <c r="R232" s="6" t="n">
        <v>5135</v>
      </c>
      <c r="S232" s="6" t="n">
        <v>1918</v>
      </c>
      <c r="T232" s="6" t="n">
        <v>2381</v>
      </c>
      <c r="U232" s="6" t="n">
        <v>7653</v>
      </c>
      <c r="V232" s="6" t="n">
        <v>7518</v>
      </c>
    </row>
    <row r="233" customFormat="false" ht="15" hidden="false" customHeight="false" outlineLevel="0" collapsed="false">
      <c r="A233" s="5" t="s">
        <v>78</v>
      </c>
      <c r="B233" s="6" t="s">
        <v>33</v>
      </c>
      <c r="C233" s="5" t="s">
        <v>51</v>
      </c>
      <c r="D233" s="5" t="s">
        <v>48</v>
      </c>
      <c r="E233" s="6" t="n">
        <v>270550</v>
      </c>
      <c r="F233" s="6" t="n">
        <v>278928</v>
      </c>
      <c r="G233" s="6" t="n">
        <v>156139</v>
      </c>
      <c r="H233" s="6" t="n">
        <v>157571</v>
      </c>
      <c r="I233" s="6" t="n">
        <v>38743</v>
      </c>
      <c r="J233" s="6" t="n">
        <v>41502</v>
      </c>
      <c r="K233" s="6" t="n">
        <v>8154</v>
      </c>
      <c r="L233" s="6" t="n">
        <v>8554</v>
      </c>
      <c r="M233" s="6" t="n">
        <v>3327</v>
      </c>
      <c r="N233" s="6" t="n">
        <v>3933</v>
      </c>
      <c r="O233" s="6" t="n">
        <v>6335</v>
      </c>
      <c r="P233" s="6" t="n">
        <v>5876</v>
      </c>
      <c r="Q233" s="6" t="n">
        <v>4290</v>
      </c>
      <c r="R233" s="6" t="n">
        <v>4342</v>
      </c>
      <c r="S233" s="6" t="n">
        <v>2423</v>
      </c>
      <c r="T233" s="6" t="n">
        <v>3371</v>
      </c>
      <c r="U233" s="6" t="n">
        <v>7838</v>
      </c>
      <c r="V233" s="6" t="n">
        <v>8011</v>
      </c>
    </row>
    <row r="234" customFormat="false" ht="15" hidden="false" customHeight="false" outlineLevel="0" collapsed="false">
      <c r="A234" s="5" t="s">
        <v>78</v>
      </c>
      <c r="B234" s="6" t="s">
        <v>33</v>
      </c>
      <c r="C234" s="5" t="s">
        <v>52</v>
      </c>
      <c r="D234" s="5" t="s">
        <v>48</v>
      </c>
      <c r="E234" s="6" t="n">
        <v>297354</v>
      </c>
      <c r="F234" s="6" t="n">
        <v>281019</v>
      </c>
      <c r="G234" s="6" t="n">
        <v>176914</v>
      </c>
      <c r="H234" s="6" t="n">
        <v>165513</v>
      </c>
      <c r="I234" s="6" t="n">
        <v>43611</v>
      </c>
      <c r="J234" s="6" t="n">
        <v>45069</v>
      </c>
      <c r="K234" s="6" t="n">
        <v>6189</v>
      </c>
      <c r="L234" s="6" t="n">
        <v>6745</v>
      </c>
      <c r="M234" s="6" t="n">
        <v>3374</v>
      </c>
      <c r="N234" s="6" t="n">
        <v>3611</v>
      </c>
      <c r="O234" s="6" t="n">
        <v>6847</v>
      </c>
      <c r="P234" s="6" t="n">
        <v>6784</v>
      </c>
      <c r="Q234" s="6" t="n">
        <v>5201</v>
      </c>
      <c r="R234" s="6" t="n">
        <v>5032</v>
      </c>
      <c r="S234" s="6" t="n">
        <v>3526</v>
      </c>
      <c r="T234" s="6" t="n">
        <v>4298</v>
      </c>
      <c r="U234" s="6" t="n">
        <v>7315</v>
      </c>
      <c r="V234" s="6" t="n">
        <v>7398</v>
      </c>
    </row>
    <row r="235" customFormat="false" ht="15" hidden="false" customHeight="false" outlineLevel="0" collapsed="false">
      <c r="A235" s="5" t="s">
        <v>78</v>
      </c>
      <c r="B235" s="6" t="s">
        <v>33</v>
      </c>
      <c r="C235" s="5" t="s">
        <v>53</v>
      </c>
      <c r="D235" s="5" t="s">
        <v>48</v>
      </c>
      <c r="E235" s="6" t="n">
        <v>285011</v>
      </c>
      <c r="F235" s="6" t="n">
        <v>295259</v>
      </c>
      <c r="G235" s="6" t="n">
        <v>163842</v>
      </c>
      <c r="H235" s="6" t="n">
        <v>168632</v>
      </c>
      <c r="I235" s="6" t="n">
        <v>45141</v>
      </c>
      <c r="J235" s="6" t="n">
        <v>45076</v>
      </c>
      <c r="K235" s="6" t="n">
        <v>8045</v>
      </c>
      <c r="L235" s="6" t="n">
        <v>7411</v>
      </c>
      <c r="M235" s="6" t="n">
        <v>3220</v>
      </c>
      <c r="N235" s="6" t="n">
        <v>3563</v>
      </c>
      <c r="O235" s="6" t="n">
        <v>6173</v>
      </c>
      <c r="P235" s="6" t="n">
        <v>6233</v>
      </c>
      <c r="Q235" s="6" t="n">
        <v>3900</v>
      </c>
      <c r="R235" s="6" t="n">
        <v>3978</v>
      </c>
      <c r="S235" s="6" t="n">
        <v>2347</v>
      </c>
      <c r="T235" s="6" t="n">
        <v>3081</v>
      </c>
      <c r="U235" s="6" t="n">
        <v>6497</v>
      </c>
      <c r="V235" s="6" t="n">
        <v>6372</v>
      </c>
    </row>
    <row r="236" customFormat="false" ht="15" hidden="false" customHeight="false" outlineLevel="0" collapsed="false">
      <c r="A236" s="5" t="s">
        <v>78</v>
      </c>
      <c r="B236" s="6" t="s">
        <v>33</v>
      </c>
      <c r="C236" s="5" t="s">
        <v>54</v>
      </c>
      <c r="D236" s="5" t="s">
        <v>48</v>
      </c>
      <c r="E236" s="6" t="n">
        <v>278266</v>
      </c>
      <c r="F236" s="6" t="n">
        <v>275755</v>
      </c>
      <c r="G236" s="6" t="n">
        <v>154080</v>
      </c>
      <c r="H236" s="6" t="n">
        <v>148551</v>
      </c>
      <c r="I236" s="6" t="n">
        <v>41211</v>
      </c>
      <c r="J236" s="6" t="n">
        <v>41044</v>
      </c>
      <c r="K236" s="6" t="n">
        <v>7369</v>
      </c>
      <c r="L236" s="6" t="n">
        <v>7106</v>
      </c>
      <c r="M236" s="6" t="n">
        <v>2510</v>
      </c>
      <c r="N236" s="6" t="n">
        <v>3212</v>
      </c>
      <c r="O236" s="6" t="n">
        <v>5425</v>
      </c>
      <c r="P236" s="6" t="n">
        <v>5778</v>
      </c>
      <c r="Q236" s="6" t="n">
        <v>3732</v>
      </c>
      <c r="R236" s="6" t="n">
        <v>3732</v>
      </c>
      <c r="S236" s="6" t="n">
        <v>3332</v>
      </c>
      <c r="T236" s="6" t="n">
        <v>4364</v>
      </c>
      <c r="U236" s="6" t="n">
        <v>7004</v>
      </c>
      <c r="V236" s="6" t="n">
        <v>7097</v>
      </c>
    </row>
    <row r="237" customFormat="false" ht="15" hidden="false" customHeight="false" outlineLevel="0" collapsed="false">
      <c r="A237" s="5" t="s">
        <v>78</v>
      </c>
      <c r="B237" s="6" t="s">
        <v>33</v>
      </c>
      <c r="C237" s="5" t="s">
        <v>55</v>
      </c>
      <c r="D237" s="5" t="s">
        <v>48</v>
      </c>
      <c r="E237" s="6" t="n">
        <v>274351</v>
      </c>
      <c r="F237" s="6" t="n">
        <v>281096</v>
      </c>
      <c r="G237" s="6" t="n">
        <v>157403</v>
      </c>
      <c r="H237" s="6" t="n">
        <v>163632</v>
      </c>
      <c r="I237" s="6" t="n">
        <v>41688</v>
      </c>
      <c r="J237" s="6" t="n">
        <v>43604</v>
      </c>
      <c r="K237" s="6" t="n">
        <v>5734</v>
      </c>
      <c r="L237" s="6" t="n">
        <v>6274</v>
      </c>
      <c r="M237" s="6" t="n">
        <v>3110</v>
      </c>
      <c r="N237" s="6" t="n">
        <v>3467</v>
      </c>
      <c r="O237" s="6" t="n">
        <v>6172</v>
      </c>
      <c r="P237" s="6" t="n">
        <v>6050</v>
      </c>
      <c r="Q237" s="6" t="n">
        <v>4084</v>
      </c>
      <c r="R237" s="6" t="n">
        <v>4109</v>
      </c>
      <c r="S237" s="6" t="n">
        <v>3180</v>
      </c>
      <c r="T237" s="6" t="n">
        <v>3036</v>
      </c>
      <c r="U237" s="6" t="n">
        <v>5541</v>
      </c>
      <c r="V237" s="6" t="n">
        <v>5415</v>
      </c>
    </row>
    <row r="238" customFormat="false" ht="15" hidden="false" customHeight="false" outlineLevel="0" collapsed="false">
      <c r="A238" s="5" t="s">
        <v>78</v>
      </c>
      <c r="B238" s="6" t="s">
        <v>33</v>
      </c>
      <c r="C238" s="5" t="s">
        <v>56</v>
      </c>
      <c r="D238" s="5" t="s">
        <v>48</v>
      </c>
      <c r="E238" s="6" t="n">
        <v>322634</v>
      </c>
      <c r="F238" s="6" t="n">
        <v>305648</v>
      </c>
      <c r="G238" s="6" t="n">
        <v>178074</v>
      </c>
      <c r="H238" s="6" t="n">
        <v>171387</v>
      </c>
      <c r="I238" s="6" t="n">
        <v>51452</v>
      </c>
      <c r="J238" s="6" t="n">
        <v>50896</v>
      </c>
      <c r="K238" s="6" t="n">
        <v>10229</v>
      </c>
      <c r="L238" s="6" t="n">
        <v>9784</v>
      </c>
      <c r="M238" s="6" t="n">
        <v>4101</v>
      </c>
      <c r="N238" s="6" t="n">
        <v>4280</v>
      </c>
      <c r="O238" s="6" t="n">
        <v>8184</v>
      </c>
      <c r="P238" s="6" t="n">
        <v>8840</v>
      </c>
      <c r="Q238" s="6" t="n">
        <v>4855</v>
      </c>
      <c r="R238" s="6" t="n">
        <v>4751</v>
      </c>
      <c r="S238" s="6" t="n">
        <v>3159</v>
      </c>
      <c r="T238" s="6" t="n">
        <v>2802</v>
      </c>
      <c r="U238" s="6" t="n">
        <v>6993</v>
      </c>
      <c r="V238" s="6" t="n">
        <v>7122</v>
      </c>
    </row>
    <row r="239" customFormat="false" ht="15" hidden="false" customHeight="false" outlineLevel="0" collapsed="false">
      <c r="A239" s="5" t="s">
        <v>78</v>
      </c>
      <c r="B239" s="6" t="s">
        <v>33</v>
      </c>
      <c r="C239" s="5" t="s">
        <v>57</v>
      </c>
      <c r="D239" s="5" t="s">
        <v>48</v>
      </c>
      <c r="E239" s="6" t="n">
        <v>292383</v>
      </c>
      <c r="F239" s="6" t="n">
        <v>287849</v>
      </c>
      <c r="G239" s="6" t="n">
        <v>167915</v>
      </c>
      <c r="H239" s="6" t="n">
        <v>171772</v>
      </c>
      <c r="I239" s="6" t="n">
        <v>41559</v>
      </c>
      <c r="J239" s="6" t="n">
        <v>41053</v>
      </c>
      <c r="K239" s="6" t="n">
        <v>6849</v>
      </c>
      <c r="L239" s="6" t="n">
        <v>6473</v>
      </c>
      <c r="M239" s="6" t="n">
        <v>2935</v>
      </c>
      <c r="N239" s="6" t="n">
        <v>2741</v>
      </c>
      <c r="O239" s="6" t="n">
        <v>7148</v>
      </c>
      <c r="P239" s="6" t="n">
        <v>6925</v>
      </c>
      <c r="Q239" s="6" t="n">
        <v>4549</v>
      </c>
      <c r="R239" s="6" t="n">
        <v>4714</v>
      </c>
      <c r="S239" s="6" t="n">
        <v>2391</v>
      </c>
      <c r="T239" s="6" t="n">
        <v>2755</v>
      </c>
      <c r="U239" s="6" t="n">
        <v>8671</v>
      </c>
      <c r="V239" s="6" t="n">
        <v>8626</v>
      </c>
    </row>
    <row r="240" customFormat="false" ht="15" hidden="false" customHeight="false" outlineLevel="0" collapsed="false">
      <c r="A240" s="5" t="s">
        <v>78</v>
      </c>
      <c r="B240" s="6" t="s">
        <v>33</v>
      </c>
      <c r="C240" s="5" t="s">
        <v>58</v>
      </c>
      <c r="D240" s="5" t="s">
        <v>48</v>
      </c>
      <c r="E240" s="6" t="n">
        <v>270052</v>
      </c>
      <c r="F240" s="6" t="n">
        <v>286445</v>
      </c>
      <c r="G240" s="6" t="n">
        <v>157620</v>
      </c>
      <c r="H240" s="6" t="n">
        <v>170941</v>
      </c>
      <c r="I240" s="6" t="n">
        <v>45426</v>
      </c>
      <c r="J240" s="6" t="n">
        <v>47565</v>
      </c>
      <c r="K240" s="6" t="n">
        <v>5725</v>
      </c>
      <c r="L240" s="6" t="n">
        <v>5153</v>
      </c>
      <c r="M240" s="6" t="n">
        <v>2355</v>
      </c>
      <c r="N240" s="6" t="n">
        <v>1959</v>
      </c>
      <c r="O240" s="6" t="n">
        <v>7234</v>
      </c>
      <c r="P240" s="6" t="n">
        <v>7369</v>
      </c>
      <c r="Q240" s="6" t="n">
        <v>3298</v>
      </c>
      <c r="R240" s="6" t="n">
        <v>3264</v>
      </c>
      <c r="S240" s="6" t="n">
        <v>2860</v>
      </c>
      <c r="T240" s="6" t="n">
        <v>2431</v>
      </c>
      <c r="U240" s="6" t="n">
        <v>6110</v>
      </c>
      <c r="V240" s="6" t="n">
        <v>5984</v>
      </c>
    </row>
    <row r="241" customFormat="false" ht="15" hidden="false" customHeight="false" outlineLevel="0" collapsed="false">
      <c r="A241" s="5" t="s">
        <v>78</v>
      </c>
      <c r="B241" s="6" t="s">
        <v>33</v>
      </c>
      <c r="C241" s="5" t="s">
        <v>59</v>
      </c>
      <c r="D241" s="5" t="s">
        <v>48</v>
      </c>
      <c r="E241" s="6" t="n">
        <v>323142</v>
      </c>
      <c r="F241" s="6" t="n">
        <v>308855</v>
      </c>
      <c r="G241" s="6" t="n">
        <v>180495</v>
      </c>
      <c r="H241" s="6" t="n">
        <v>170158</v>
      </c>
      <c r="I241" s="6" t="n">
        <v>47995</v>
      </c>
      <c r="J241" s="6" t="n">
        <v>49863</v>
      </c>
      <c r="K241" s="6" t="n">
        <v>7099</v>
      </c>
      <c r="L241" s="6" t="n">
        <v>7820</v>
      </c>
      <c r="M241" s="6" t="n">
        <v>2650</v>
      </c>
      <c r="N241" s="6" t="n">
        <v>2999</v>
      </c>
      <c r="O241" s="6" t="n">
        <v>8597</v>
      </c>
      <c r="P241" s="6" t="n">
        <v>8412</v>
      </c>
      <c r="Q241" s="6" t="n">
        <v>5109</v>
      </c>
      <c r="R241" s="6" t="n">
        <v>5352</v>
      </c>
      <c r="S241" s="6" t="n">
        <v>2987</v>
      </c>
      <c r="T241" s="6" t="n">
        <v>2878</v>
      </c>
      <c r="U241" s="6" t="n">
        <v>7900</v>
      </c>
      <c r="V241" s="6" t="n">
        <v>8123</v>
      </c>
    </row>
    <row r="242" customFormat="false" ht="15" hidden="false" customHeight="false" outlineLevel="0" collapsed="false">
      <c r="A242" s="5" t="s">
        <v>78</v>
      </c>
      <c r="B242" s="6" t="s">
        <v>33</v>
      </c>
      <c r="C242" s="5" t="s">
        <v>60</v>
      </c>
      <c r="D242" s="5" t="s">
        <v>61</v>
      </c>
      <c r="E242" s="6" t="n">
        <v>283651</v>
      </c>
      <c r="F242" s="6" t="n">
        <v>295087</v>
      </c>
      <c r="G242" s="6" t="n">
        <v>163342</v>
      </c>
      <c r="H242" s="6" t="n">
        <v>173336</v>
      </c>
      <c r="I242" s="6" t="n">
        <v>45122</v>
      </c>
      <c r="J242" s="6" t="n">
        <v>46568</v>
      </c>
      <c r="K242" s="6" t="n">
        <v>7900</v>
      </c>
      <c r="L242" s="6" t="n">
        <v>8231</v>
      </c>
      <c r="M242" s="6" t="n">
        <v>2884</v>
      </c>
      <c r="N242" s="6" t="n">
        <v>2808</v>
      </c>
      <c r="O242" s="6" t="n">
        <v>6636</v>
      </c>
      <c r="P242" s="6" t="n">
        <v>7066</v>
      </c>
      <c r="Q242" s="6" t="n">
        <v>4406</v>
      </c>
      <c r="R242" s="6" t="n">
        <v>4347</v>
      </c>
      <c r="S242" s="6" t="n">
        <v>2144</v>
      </c>
      <c r="T242" s="6" t="n">
        <v>2106</v>
      </c>
      <c r="U242" s="6" t="n">
        <v>5673</v>
      </c>
      <c r="V242" s="6" t="n">
        <v>5780</v>
      </c>
    </row>
    <row r="243" customFormat="false" ht="15" hidden="false" customHeight="false" outlineLevel="0" collapsed="false">
      <c r="A243" s="5" t="s">
        <v>78</v>
      </c>
      <c r="B243" s="6" t="s">
        <v>33</v>
      </c>
      <c r="C243" s="5" t="s">
        <v>62</v>
      </c>
      <c r="D243" s="5" t="s">
        <v>61</v>
      </c>
      <c r="E243" s="6" t="n">
        <v>295899</v>
      </c>
      <c r="F243" s="6" t="n">
        <v>301548</v>
      </c>
      <c r="G243" s="6" t="n">
        <v>168116</v>
      </c>
      <c r="H243" s="6" t="n">
        <v>165420</v>
      </c>
      <c r="I243" s="6" t="n">
        <v>49611</v>
      </c>
      <c r="J243" s="6" t="n">
        <v>53290</v>
      </c>
      <c r="K243" s="6" t="n">
        <v>8035</v>
      </c>
      <c r="L243" s="6" t="n">
        <v>6852</v>
      </c>
      <c r="M243" s="6" t="n">
        <v>3259</v>
      </c>
      <c r="N243" s="6" t="n">
        <v>3085</v>
      </c>
      <c r="O243" s="6" t="n">
        <v>6010</v>
      </c>
      <c r="P243" s="6" t="n">
        <v>5537</v>
      </c>
      <c r="Q243" s="6" t="n">
        <v>4435</v>
      </c>
      <c r="R243" s="6" t="n">
        <v>4396</v>
      </c>
      <c r="S243" s="6" t="n">
        <v>2771</v>
      </c>
      <c r="T243" s="6" t="n">
        <v>2873</v>
      </c>
      <c r="U243" s="6" t="n">
        <v>6401</v>
      </c>
      <c r="V243" s="6" t="n">
        <v>6492</v>
      </c>
    </row>
    <row r="244" customFormat="false" ht="15" hidden="false" customHeight="false" outlineLevel="0" collapsed="false">
      <c r="A244" s="5" t="s">
        <v>78</v>
      </c>
      <c r="B244" s="6" t="s">
        <v>33</v>
      </c>
      <c r="C244" s="5" t="s">
        <v>63</v>
      </c>
      <c r="D244" s="5" t="s">
        <v>61</v>
      </c>
      <c r="E244" s="6" t="n">
        <v>298163</v>
      </c>
      <c r="F244" s="6" t="n">
        <v>302580</v>
      </c>
      <c r="G244" s="6" t="n">
        <v>165713</v>
      </c>
      <c r="H244" s="6" t="n">
        <v>168504</v>
      </c>
      <c r="I244" s="6" t="n">
        <v>43886</v>
      </c>
      <c r="J244" s="6" t="n">
        <v>46260</v>
      </c>
      <c r="K244" s="6" t="n">
        <v>10033</v>
      </c>
      <c r="L244" s="6" t="n">
        <v>10959</v>
      </c>
      <c r="M244" s="6" t="n">
        <v>3814</v>
      </c>
      <c r="N244" s="6" t="n">
        <v>3594</v>
      </c>
      <c r="O244" s="6" t="n">
        <v>7582</v>
      </c>
      <c r="P244" s="6" t="n">
        <v>8079</v>
      </c>
      <c r="Q244" s="6" t="n">
        <v>4563</v>
      </c>
      <c r="R244" s="6" t="n">
        <v>4724</v>
      </c>
      <c r="S244" s="6" t="n">
        <v>2115</v>
      </c>
      <c r="T244" s="6" t="n">
        <v>2059</v>
      </c>
      <c r="U244" s="6" t="n">
        <v>7862</v>
      </c>
      <c r="V244" s="6" t="n">
        <v>7918</v>
      </c>
    </row>
    <row r="245" customFormat="false" ht="15" hidden="false" customHeight="false" outlineLevel="0" collapsed="false">
      <c r="A245" s="5" t="s">
        <v>78</v>
      </c>
      <c r="B245" s="6" t="s">
        <v>33</v>
      </c>
      <c r="C245" s="5" t="s">
        <v>64</v>
      </c>
      <c r="D245" s="5" t="s">
        <v>61</v>
      </c>
      <c r="E245" s="6" t="n">
        <v>306632</v>
      </c>
      <c r="F245" s="6" t="n">
        <v>302181</v>
      </c>
      <c r="G245" s="6" t="n">
        <v>169036</v>
      </c>
      <c r="H245" s="6" t="n">
        <v>160832</v>
      </c>
      <c r="I245" s="6" t="n">
        <v>43385</v>
      </c>
      <c r="J245" s="6" t="n">
        <v>44637</v>
      </c>
      <c r="K245" s="6" t="n">
        <v>6988</v>
      </c>
      <c r="L245" s="6" t="n">
        <v>6154</v>
      </c>
      <c r="M245" s="6" t="n">
        <v>3031</v>
      </c>
      <c r="N245" s="6" t="n">
        <v>3509</v>
      </c>
      <c r="O245" s="6" t="n">
        <v>7749</v>
      </c>
      <c r="P245" s="6" t="n">
        <v>7454</v>
      </c>
      <c r="Q245" s="6" t="n">
        <v>4049</v>
      </c>
      <c r="R245" s="6" t="n">
        <v>4046</v>
      </c>
      <c r="S245" s="6" t="n">
        <v>2469</v>
      </c>
      <c r="T245" s="6" t="n">
        <v>2437</v>
      </c>
      <c r="U245" s="6" t="n">
        <v>8584</v>
      </c>
      <c r="V245" s="6" t="n">
        <v>8840</v>
      </c>
    </row>
    <row r="246" customFormat="false" ht="15" hidden="false" customHeight="false" outlineLevel="0" collapsed="false">
      <c r="A246" s="5" t="s">
        <v>78</v>
      </c>
      <c r="B246" s="6" t="s">
        <v>33</v>
      </c>
      <c r="C246" s="5" t="s">
        <v>65</v>
      </c>
      <c r="D246" s="5" t="s">
        <v>61</v>
      </c>
      <c r="E246" s="6" t="n">
        <v>314751</v>
      </c>
      <c r="F246" s="6" t="n">
        <v>304116</v>
      </c>
      <c r="G246" s="6" t="n">
        <v>176202</v>
      </c>
      <c r="H246" s="6" t="n">
        <v>176993</v>
      </c>
      <c r="I246" s="6" t="n">
        <v>53051</v>
      </c>
      <c r="J246" s="6" t="n">
        <v>51786</v>
      </c>
      <c r="K246" s="6" t="n">
        <v>9957</v>
      </c>
      <c r="L246" s="6" t="n">
        <v>8677</v>
      </c>
      <c r="M246" s="6" t="n">
        <v>3554</v>
      </c>
      <c r="N246" s="6" t="n">
        <v>3185</v>
      </c>
      <c r="O246" s="6" t="n">
        <v>8314</v>
      </c>
      <c r="P246" s="6" t="n">
        <v>8872</v>
      </c>
      <c r="Q246" s="6" t="n">
        <v>5863</v>
      </c>
      <c r="R246" s="6" t="n">
        <v>5641</v>
      </c>
      <c r="S246" s="6" t="n">
        <v>3339</v>
      </c>
      <c r="T246" s="6" t="n">
        <v>3170</v>
      </c>
      <c r="U246" s="6" t="n">
        <v>8722</v>
      </c>
      <c r="V246" s="6" t="n">
        <v>8692</v>
      </c>
    </row>
    <row r="247" customFormat="false" ht="15" hidden="false" customHeight="false" outlineLevel="0" collapsed="false">
      <c r="A247" s="5" t="s">
        <v>78</v>
      </c>
      <c r="B247" s="6" t="s">
        <v>33</v>
      </c>
      <c r="C247" s="5" t="s">
        <v>66</v>
      </c>
      <c r="D247" s="5" t="s">
        <v>61</v>
      </c>
      <c r="E247" s="6" t="n">
        <v>310571</v>
      </c>
      <c r="F247" s="6" t="n">
        <v>328987</v>
      </c>
      <c r="G247" s="6" t="n">
        <v>176296</v>
      </c>
      <c r="H247" s="6" t="n">
        <v>192852</v>
      </c>
      <c r="I247" s="6" t="n">
        <v>48335</v>
      </c>
      <c r="J247" s="6" t="n">
        <v>52107</v>
      </c>
      <c r="K247" s="6" t="n">
        <v>8414</v>
      </c>
      <c r="L247" s="6" t="n">
        <v>8872</v>
      </c>
      <c r="M247" s="6" t="n">
        <v>3163</v>
      </c>
      <c r="N247" s="6" t="n">
        <v>3041</v>
      </c>
      <c r="O247" s="6" t="n">
        <v>7544</v>
      </c>
      <c r="P247" s="6" t="n">
        <v>6998</v>
      </c>
      <c r="Q247" s="6" t="n">
        <v>6056</v>
      </c>
      <c r="R247" s="6" t="n">
        <v>6069</v>
      </c>
      <c r="S247" s="6" t="n">
        <v>2335</v>
      </c>
      <c r="T247" s="6" t="n">
        <v>2763</v>
      </c>
      <c r="U247" s="6" t="n">
        <v>6829</v>
      </c>
      <c r="V247" s="6" t="n">
        <v>6988</v>
      </c>
    </row>
    <row r="248" customFormat="false" ht="15" hidden="false" customHeight="false" outlineLevel="0" collapsed="false">
      <c r="A248" s="5" t="s">
        <v>78</v>
      </c>
      <c r="B248" s="6" t="s">
        <v>33</v>
      </c>
      <c r="C248" s="5" t="s">
        <v>67</v>
      </c>
      <c r="D248" s="5" t="s">
        <v>61</v>
      </c>
      <c r="E248" s="6" t="n">
        <v>305678</v>
      </c>
      <c r="F248" s="6" t="n">
        <v>316393</v>
      </c>
      <c r="G248" s="6" t="n">
        <v>167137</v>
      </c>
      <c r="H248" s="6" t="n">
        <v>176681</v>
      </c>
      <c r="I248" s="6" t="n">
        <v>45771</v>
      </c>
      <c r="J248" s="6" t="n">
        <v>45240</v>
      </c>
      <c r="K248" s="6" t="n">
        <v>7380</v>
      </c>
      <c r="L248" s="6" t="n">
        <v>6538</v>
      </c>
      <c r="M248" s="6" t="n">
        <v>4134</v>
      </c>
      <c r="N248" s="6" t="n">
        <v>3326</v>
      </c>
      <c r="O248" s="6" t="n">
        <v>5631</v>
      </c>
      <c r="P248" s="6" t="n">
        <v>5975</v>
      </c>
      <c r="Q248" s="6" t="n">
        <v>4830</v>
      </c>
      <c r="R248" s="6" t="n">
        <v>4876</v>
      </c>
      <c r="S248" s="6" t="n">
        <v>2515</v>
      </c>
      <c r="T248" s="6" t="n">
        <v>2147</v>
      </c>
      <c r="U248" s="6" t="n">
        <v>6596</v>
      </c>
      <c r="V248" s="6" t="n">
        <v>6434</v>
      </c>
    </row>
    <row r="249" customFormat="false" ht="15" hidden="false" customHeight="false" outlineLevel="0" collapsed="false">
      <c r="A249" s="5" t="s">
        <v>78</v>
      </c>
      <c r="B249" s="6" t="s">
        <v>33</v>
      </c>
      <c r="C249" s="5" t="s">
        <v>68</v>
      </c>
      <c r="D249" s="5" t="s">
        <v>61</v>
      </c>
      <c r="E249" s="6" t="n">
        <v>336961</v>
      </c>
      <c r="F249" s="6" t="n">
        <v>320396</v>
      </c>
      <c r="G249" s="6" t="n">
        <v>202115</v>
      </c>
      <c r="H249" s="6" t="n">
        <v>195786</v>
      </c>
      <c r="I249" s="6" t="n">
        <v>47779</v>
      </c>
      <c r="J249" s="6" t="n">
        <v>49733</v>
      </c>
      <c r="K249" s="6" t="n">
        <v>10284</v>
      </c>
      <c r="L249" s="6" t="n">
        <v>11183</v>
      </c>
      <c r="M249" s="6" t="n">
        <v>2992</v>
      </c>
      <c r="N249" s="6" t="n">
        <v>2742</v>
      </c>
      <c r="O249" s="6" t="n">
        <v>9373</v>
      </c>
      <c r="P249" s="6" t="n">
        <v>9954</v>
      </c>
      <c r="Q249" s="6" t="n">
        <v>6083</v>
      </c>
      <c r="R249" s="6" t="n">
        <v>6269</v>
      </c>
      <c r="S249" s="6" t="n">
        <v>2909</v>
      </c>
      <c r="T249" s="6" t="n">
        <v>2664</v>
      </c>
      <c r="U249" s="6" t="n">
        <v>9062</v>
      </c>
      <c r="V249" s="6" t="n">
        <v>8985</v>
      </c>
    </row>
    <row r="250" customFormat="false" ht="15" hidden="false" customHeight="false" outlineLevel="0" collapsed="false">
      <c r="A250" s="5" t="s">
        <v>78</v>
      </c>
      <c r="B250" s="6" t="s">
        <v>33</v>
      </c>
      <c r="C250" s="5" t="s">
        <v>69</v>
      </c>
      <c r="D250" s="5" t="s">
        <v>61</v>
      </c>
      <c r="E250" s="6" t="n">
        <v>354504</v>
      </c>
      <c r="F250" s="6" t="n">
        <v>338319</v>
      </c>
      <c r="G250" s="6" t="n">
        <v>201755</v>
      </c>
      <c r="H250" s="6" t="n">
        <v>193178</v>
      </c>
      <c r="I250" s="6" t="n">
        <v>52765</v>
      </c>
      <c r="J250" s="6" t="n">
        <v>55228</v>
      </c>
      <c r="K250" s="6" t="n">
        <v>8099</v>
      </c>
      <c r="L250" s="6" t="n">
        <v>7338</v>
      </c>
      <c r="M250" s="6" t="n">
        <v>3699</v>
      </c>
      <c r="N250" s="6" t="n">
        <v>4314</v>
      </c>
      <c r="O250" s="6" t="n">
        <v>7357</v>
      </c>
      <c r="P250" s="6" t="n">
        <v>7869</v>
      </c>
      <c r="Q250" s="6" t="n">
        <v>6848</v>
      </c>
      <c r="R250" s="6" t="n">
        <v>6885</v>
      </c>
      <c r="S250" s="6" t="n">
        <v>2274</v>
      </c>
      <c r="T250" s="6" t="n">
        <v>2031</v>
      </c>
      <c r="U250" s="6" t="n">
        <v>8138</v>
      </c>
      <c r="V250" s="6" t="n">
        <v>8022</v>
      </c>
    </row>
    <row r="251" customFormat="false" ht="15" hidden="false" customHeight="false" outlineLevel="0" collapsed="false">
      <c r="A251" s="5" t="s">
        <v>78</v>
      </c>
      <c r="B251" s="6" t="s">
        <v>33</v>
      </c>
      <c r="C251" s="5" t="s">
        <v>70</v>
      </c>
      <c r="D251" s="5" t="s">
        <v>61</v>
      </c>
      <c r="E251" s="6" t="n">
        <v>299885</v>
      </c>
      <c r="F251" s="6" t="n">
        <v>318997</v>
      </c>
      <c r="G251" s="6" t="n">
        <v>173418</v>
      </c>
      <c r="H251" s="6" t="n">
        <v>184136</v>
      </c>
      <c r="I251" s="6" t="n">
        <v>43653</v>
      </c>
      <c r="J251" s="6" t="n">
        <v>42433</v>
      </c>
      <c r="K251" s="6" t="n">
        <v>9852</v>
      </c>
      <c r="L251" s="6" t="n">
        <v>10668</v>
      </c>
      <c r="M251" s="6" t="n">
        <v>2900</v>
      </c>
      <c r="N251" s="6" t="n">
        <v>3365</v>
      </c>
      <c r="O251" s="6" t="n">
        <v>7372</v>
      </c>
      <c r="P251" s="6" t="n">
        <v>7497</v>
      </c>
      <c r="Q251" s="6" t="n">
        <v>4528</v>
      </c>
      <c r="R251" s="6" t="n">
        <v>4539</v>
      </c>
      <c r="S251" s="6" t="n">
        <v>2695</v>
      </c>
      <c r="T251" s="6" t="n">
        <v>3048</v>
      </c>
      <c r="U251" s="6" t="n">
        <v>7836</v>
      </c>
      <c r="V251" s="6" t="n">
        <v>7753</v>
      </c>
    </row>
    <row r="252" customFormat="false" ht="15" hidden="false" customHeight="false" outlineLevel="0" collapsed="false">
      <c r="A252" s="5" t="s">
        <v>78</v>
      </c>
      <c r="B252" s="6" t="s">
        <v>33</v>
      </c>
      <c r="C252" s="5" t="s">
        <v>71</v>
      </c>
      <c r="D252" s="5" t="s">
        <v>61</v>
      </c>
      <c r="E252" s="6" t="n">
        <v>308206</v>
      </c>
      <c r="F252" s="6" t="n">
        <v>323319</v>
      </c>
      <c r="G252" s="6" t="n">
        <v>176106</v>
      </c>
      <c r="H252" s="6" t="n">
        <v>179353</v>
      </c>
      <c r="I252" s="6" t="n">
        <v>50871</v>
      </c>
      <c r="J252" s="6" t="n">
        <v>50071</v>
      </c>
      <c r="K252" s="6" t="n">
        <v>10202</v>
      </c>
      <c r="L252" s="6" t="n">
        <v>9290</v>
      </c>
      <c r="M252" s="6" t="n">
        <v>3513</v>
      </c>
      <c r="N252" s="6" t="n">
        <v>2984</v>
      </c>
      <c r="O252" s="6" t="n">
        <v>7308</v>
      </c>
      <c r="P252" s="6" t="n">
        <v>7823</v>
      </c>
      <c r="Q252" s="6" t="n">
        <v>5321</v>
      </c>
      <c r="R252" s="6" t="n">
        <v>5335</v>
      </c>
      <c r="S252" s="6" t="n">
        <v>3146</v>
      </c>
      <c r="T252" s="6" t="n">
        <v>3000</v>
      </c>
      <c r="U252" s="6" t="n">
        <v>7293</v>
      </c>
      <c r="V252" s="6" t="n">
        <v>7339</v>
      </c>
    </row>
    <row r="253" customFormat="false" ht="15" hidden="false" customHeight="false" outlineLevel="0" collapsed="false">
      <c r="A253" s="5" t="s">
        <v>78</v>
      </c>
      <c r="B253" s="6" t="s">
        <v>33</v>
      </c>
      <c r="C253" s="5" t="s">
        <v>72</v>
      </c>
      <c r="D253" s="5" t="s">
        <v>61</v>
      </c>
      <c r="E253" s="6" t="n">
        <v>358101</v>
      </c>
      <c r="F253" s="6" t="n">
        <v>340521</v>
      </c>
      <c r="G253" s="6" t="n">
        <v>197859</v>
      </c>
      <c r="H253" s="6" t="n">
        <v>189702</v>
      </c>
      <c r="I253" s="6" t="n">
        <v>59693</v>
      </c>
      <c r="J253" s="6" t="n">
        <v>58427</v>
      </c>
      <c r="K253" s="6" t="n">
        <v>11465</v>
      </c>
      <c r="L253" s="6" t="n">
        <v>9954</v>
      </c>
      <c r="M253" s="6" t="n">
        <v>4264</v>
      </c>
      <c r="N253" s="6" t="n">
        <v>5412</v>
      </c>
      <c r="O253" s="6" t="n">
        <v>7935</v>
      </c>
      <c r="P253" s="6" t="n">
        <v>7827</v>
      </c>
      <c r="Q253" s="6" t="n">
        <v>6327</v>
      </c>
      <c r="R253" s="6" t="n">
        <v>6532</v>
      </c>
      <c r="S253" s="6" t="n">
        <v>2720</v>
      </c>
      <c r="T253" s="6" t="n">
        <v>2242</v>
      </c>
      <c r="U253" s="6" t="n">
        <v>7414</v>
      </c>
      <c r="V253" s="6" t="n">
        <v>7327</v>
      </c>
    </row>
    <row r="254" customFormat="false" ht="15" hidden="false" customHeight="false" outlineLevel="0" collapsed="false">
      <c r="A254" s="5" t="s">
        <v>78</v>
      </c>
      <c r="B254" s="6" t="s">
        <v>73</v>
      </c>
      <c r="C254" s="5" t="s">
        <v>34</v>
      </c>
      <c r="D254" s="5" t="s">
        <v>35</v>
      </c>
      <c r="E254" s="6" t="n">
        <v>195652</v>
      </c>
      <c r="F254" s="6" t="n">
        <v>190504</v>
      </c>
      <c r="G254" s="6" t="n">
        <v>111893</v>
      </c>
      <c r="H254" s="6" t="n">
        <v>106944</v>
      </c>
      <c r="I254" s="6" t="n">
        <v>30480</v>
      </c>
      <c r="J254" s="6" t="n">
        <v>30400</v>
      </c>
      <c r="K254" s="6" t="n">
        <v>5748</v>
      </c>
      <c r="L254" s="6" t="n">
        <v>5194</v>
      </c>
      <c r="M254" s="6" t="n">
        <v>2591</v>
      </c>
      <c r="N254" s="6" t="n">
        <v>2611</v>
      </c>
      <c r="O254" s="6" t="n">
        <v>3728</v>
      </c>
      <c r="P254" s="6" t="n">
        <v>3858</v>
      </c>
      <c r="Q254" s="6" t="n">
        <v>2908</v>
      </c>
      <c r="R254" s="6" t="n">
        <v>2896</v>
      </c>
      <c r="S254" s="6" t="n">
        <v>1955</v>
      </c>
      <c r="T254" s="6" t="n">
        <v>2600</v>
      </c>
      <c r="U254" s="6" t="n">
        <v>4239</v>
      </c>
      <c r="V254" s="6" t="n">
        <v>4158</v>
      </c>
    </row>
    <row r="255" customFormat="false" ht="15" hidden="false" customHeight="false" outlineLevel="0" collapsed="false">
      <c r="A255" s="5" t="s">
        <v>78</v>
      </c>
      <c r="B255" s="6" t="s">
        <v>73</v>
      </c>
      <c r="C255" s="5" t="s">
        <v>36</v>
      </c>
      <c r="D255" s="5" t="s">
        <v>35</v>
      </c>
      <c r="E255" s="6" t="n">
        <v>188203</v>
      </c>
      <c r="F255" s="6" t="n">
        <v>191946</v>
      </c>
      <c r="G255" s="6" t="n">
        <v>103416</v>
      </c>
      <c r="H255" s="6" t="n">
        <v>111216</v>
      </c>
      <c r="I255" s="6" t="n">
        <v>28850</v>
      </c>
      <c r="J255" s="6" t="n">
        <v>29103</v>
      </c>
      <c r="K255" s="6" t="n">
        <v>4654</v>
      </c>
      <c r="L255" s="6" t="n">
        <v>5340</v>
      </c>
      <c r="M255" s="6" t="n">
        <v>1933</v>
      </c>
      <c r="N255" s="6" t="n">
        <v>1906</v>
      </c>
      <c r="O255" s="6" t="n">
        <v>4826</v>
      </c>
      <c r="P255" s="6" t="n">
        <v>4814</v>
      </c>
      <c r="Q255" s="6" t="n">
        <v>3351</v>
      </c>
      <c r="R255" s="6" t="n">
        <v>3387</v>
      </c>
      <c r="S255" s="6" t="n">
        <v>1765</v>
      </c>
      <c r="T255" s="6" t="n">
        <v>1639</v>
      </c>
      <c r="U255" s="6" t="n">
        <v>5205</v>
      </c>
      <c r="V255" s="6" t="n">
        <v>5338</v>
      </c>
    </row>
    <row r="256" customFormat="false" ht="15" hidden="false" customHeight="false" outlineLevel="0" collapsed="false">
      <c r="A256" s="5" t="s">
        <v>78</v>
      </c>
      <c r="B256" s="6" t="s">
        <v>73</v>
      </c>
      <c r="C256" s="5" t="s">
        <v>37</v>
      </c>
      <c r="D256" s="5" t="s">
        <v>35</v>
      </c>
      <c r="E256" s="6" t="n">
        <v>202906</v>
      </c>
      <c r="F256" s="6" t="n">
        <v>192255</v>
      </c>
      <c r="G256" s="6" t="n">
        <v>115017</v>
      </c>
      <c r="H256" s="6" t="n">
        <v>108952</v>
      </c>
      <c r="I256" s="6" t="n">
        <v>32828</v>
      </c>
      <c r="J256" s="6" t="n">
        <v>35393</v>
      </c>
      <c r="K256" s="6" t="n">
        <v>5871</v>
      </c>
      <c r="L256" s="6" t="n">
        <v>5902</v>
      </c>
      <c r="M256" s="6" t="n">
        <v>3034</v>
      </c>
      <c r="N256" s="6" t="n">
        <v>2885</v>
      </c>
      <c r="O256" s="6" t="n">
        <v>4262</v>
      </c>
      <c r="P256" s="6" t="n">
        <v>4091</v>
      </c>
      <c r="Q256" s="6" t="n">
        <v>3824</v>
      </c>
      <c r="R256" s="6" t="n">
        <v>3641</v>
      </c>
      <c r="S256" s="6" t="n">
        <v>2218</v>
      </c>
      <c r="T256" s="6" t="n">
        <v>2692</v>
      </c>
      <c r="U256" s="6" t="n">
        <v>4618</v>
      </c>
      <c r="V256" s="6" t="n">
        <v>4633</v>
      </c>
    </row>
    <row r="257" customFormat="false" ht="15" hidden="false" customHeight="false" outlineLevel="0" collapsed="false">
      <c r="A257" s="5" t="s">
        <v>78</v>
      </c>
      <c r="B257" s="6" t="s">
        <v>73</v>
      </c>
      <c r="C257" s="5" t="s">
        <v>38</v>
      </c>
      <c r="D257" s="5" t="s">
        <v>35</v>
      </c>
      <c r="E257" s="6" t="n">
        <v>204877</v>
      </c>
      <c r="F257" s="6" t="n">
        <v>194915</v>
      </c>
      <c r="G257" s="6" t="n">
        <v>112535</v>
      </c>
      <c r="H257" s="6" t="n">
        <v>103533</v>
      </c>
      <c r="I257" s="6" t="n">
        <v>30869</v>
      </c>
      <c r="J257" s="6" t="n">
        <v>30413</v>
      </c>
      <c r="K257" s="6" t="n">
        <v>5226</v>
      </c>
      <c r="L257" s="6" t="n">
        <v>5355</v>
      </c>
      <c r="M257" s="6" t="n">
        <v>1973</v>
      </c>
      <c r="N257" s="6" t="n">
        <v>2379</v>
      </c>
      <c r="O257" s="6" t="n">
        <v>3876</v>
      </c>
      <c r="P257" s="6" t="n">
        <v>3845</v>
      </c>
      <c r="Q257" s="6" t="n">
        <v>3963</v>
      </c>
      <c r="R257" s="6" t="n">
        <v>4056</v>
      </c>
      <c r="S257" s="6" t="n">
        <v>2119</v>
      </c>
      <c r="T257" s="6" t="n">
        <v>2703</v>
      </c>
      <c r="U257" s="6" t="n">
        <v>4452</v>
      </c>
      <c r="V257" s="6" t="n">
        <v>4539</v>
      </c>
    </row>
    <row r="258" customFormat="false" ht="15" hidden="false" customHeight="false" outlineLevel="0" collapsed="false">
      <c r="A258" s="5" t="s">
        <v>78</v>
      </c>
      <c r="B258" s="6" t="s">
        <v>73</v>
      </c>
      <c r="C258" s="5" t="s">
        <v>39</v>
      </c>
      <c r="D258" s="5" t="s">
        <v>35</v>
      </c>
      <c r="E258" s="6" t="n">
        <v>200480</v>
      </c>
      <c r="F258" s="6" t="n">
        <v>198663</v>
      </c>
      <c r="G258" s="6" t="n">
        <v>119177</v>
      </c>
      <c r="H258" s="6" t="n">
        <v>120036</v>
      </c>
      <c r="I258" s="6" t="n">
        <v>29874</v>
      </c>
      <c r="J258" s="6" t="n">
        <v>31379</v>
      </c>
      <c r="K258" s="6" t="n">
        <v>5743</v>
      </c>
      <c r="L258" s="6" t="n">
        <v>5017</v>
      </c>
      <c r="M258" s="6" t="n">
        <v>1682</v>
      </c>
      <c r="N258" s="6" t="n">
        <v>1994</v>
      </c>
      <c r="O258" s="6" t="n">
        <v>4306</v>
      </c>
      <c r="P258" s="6" t="n">
        <v>4595</v>
      </c>
      <c r="Q258" s="6" t="n">
        <v>3074</v>
      </c>
      <c r="R258" s="6" t="n">
        <v>3187</v>
      </c>
      <c r="S258" s="6" t="n">
        <v>2249</v>
      </c>
      <c r="T258" s="6" t="n">
        <v>2105</v>
      </c>
      <c r="U258" s="6" t="n">
        <v>5318</v>
      </c>
      <c r="V258" s="6" t="n">
        <v>5351</v>
      </c>
    </row>
    <row r="259" customFormat="false" ht="15" hidden="false" customHeight="false" outlineLevel="0" collapsed="false">
      <c r="A259" s="5" t="s">
        <v>78</v>
      </c>
      <c r="B259" s="6" t="s">
        <v>73</v>
      </c>
      <c r="C259" s="5" t="s">
        <v>40</v>
      </c>
      <c r="D259" s="5" t="s">
        <v>35</v>
      </c>
      <c r="E259" s="6" t="n">
        <v>224738</v>
      </c>
      <c r="F259" s="6" t="n">
        <v>217497</v>
      </c>
      <c r="G259" s="6" t="n">
        <v>126516</v>
      </c>
      <c r="H259" s="6" t="n">
        <v>121404</v>
      </c>
      <c r="I259" s="6" t="n">
        <v>31741</v>
      </c>
      <c r="J259" s="6" t="n">
        <v>32674</v>
      </c>
      <c r="K259" s="6" t="n">
        <v>4999</v>
      </c>
      <c r="L259" s="6" t="n">
        <v>5003</v>
      </c>
      <c r="M259" s="6" t="n">
        <v>2145</v>
      </c>
      <c r="N259" s="6" t="n">
        <v>1770</v>
      </c>
      <c r="O259" s="6" t="n">
        <v>5689</v>
      </c>
      <c r="P259" s="6" t="n">
        <v>5636</v>
      </c>
      <c r="Q259" s="6" t="n">
        <v>3498</v>
      </c>
      <c r="R259" s="6" t="n">
        <v>3531</v>
      </c>
      <c r="S259" s="6" t="n">
        <v>2029</v>
      </c>
      <c r="T259" s="6" t="n">
        <v>1894</v>
      </c>
      <c r="U259" s="6" t="n">
        <v>5146</v>
      </c>
      <c r="V259" s="6" t="n">
        <v>5113</v>
      </c>
    </row>
    <row r="260" customFormat="false" ht="15" hidden="false" customHeight="false" outlineLevel="0" collapsed="false">
      <c r="A260" s="5" t="s">
        <v>78</v>
      </c>
      <c r="B260" s="6" t="s">
        <v>73</v>
      </c>
      <c r="C260" s="5" t="s">
        <v>41</v>
      </c>
      <c r="D260" s="5" t="s">
        <v>35</v>
      </c>
      <c r="E260" s="6" t="n">
        <v>186539</v>
      </c>
      <c r="F260" s="6" t="n">
        <v>196376</v>
      </c>
      <c r="G260" s="6" t="n">
        <v>107127</v>
      </c>
      <c r="H260" s="6" t="n">
        <v>109333</v>
      </c>
      <c r="I260" s="6" t="n">
        <v>28349</v>
      </c>
      <c r="J260" s="6" t="n">
        <v>27764</v>
      </c>
      <c r="K260" s="6" t="n">
        <v>5135</v>
      </c>
      <c r="L260" s="6" t="n">
        <v>5557</v>
      </c>
      <c r="M260" s="6" t="n">
        <v>1663</v>
      </c>
      <c r="N260" s="6" t="n">
        <v>1443</v>
      </c>
      <c r="O260" s="6" t="n">
        <v>4401</v>
      </c>
      <c r="P260" s="6" t="n">
        <v>4435</v>
      </c>
      <c r="Q260" s="6" t="n">
        <v>3212</v>
      </c>
      <c r="R260" s="6" t="n">
        <v>3114</v>
      </c>
      <c r="S260" s="6" t="n">
        <v>1809</v>
      </c>
      <c r="T260" s="6" t="n">
        <v>2246</v>
      </c>
      <c r="U260" s="6" t="n">
        <v>4190</v>
      </c>
      <c r="V260" s="6" t="n">
        <v>4082</v>
      </c>
    </row>
    <row r="261" customFormat="false" ht="15" hidden="false" customHeight="false" outlineLevel="0" collapsed="false">
      <c r="A261" s="5" t="s">
        <v>78</v>
      </c>
      <c r="B261" s="6" t="s">
        <v>73</v>
      </c>
      <c r="C261" s="5" t="s">
        <v>42</v>
      </c>
      <c r="D261" s="5" t="s">
        <v>35</v>
      </c>
      <c r="E261" s="6" t="n">
        <v>196589</v>
      </c>
      <c r="F261" s="6" t="n">
        <v>200845</v>
      </c>
      <c r="G261" s="6" t="n">
        <v>117059</v>
      </c>
      <c r="H261" s="6" t="n">
        <v>116476</v>
      </c>
      <c r="I261" s="6" t="n">
        <v>31484</v>
      </c>
      <c r="J261" s="6" t="n">
        <v>32006</v>
      </c>
      <c r="K261" s="6" t="n">
        <v>4959</v>
      </c>
      <c r="L261" s="6" t="n">
        <v>4692</v>
      </c>
      <c r="M261" s="6" t="n">
        <v>2390</v>
      </c>
      <c r="N261" s="6" t="n">
        <v>1941</v>
      </c>
      <c r="O261" s="6" t="n">
        <v>4138</v>
      </c>
      <c r="P261" s="6" t="n">
        <v>4543</v>
      </c>
      <c r="Q261" s="6" t="n">
        <v>3328</v>
      </c>
      <c r="R261" s="6" t="n">
        <v>3491</v>
      </c>
      <c r="S261" s="6" t="n">
        <v>1701</v>
      </c>
      <c r="T261" s="6" t="n">
        <v>1510</v>
      </c>
      <c r="U261" s="6" t="n">
        <v>4020</v>
      </c>
      <c r="V261" s="6" t="n">
        <v>4097</v>
      </c>
    </row>
    <row r="262" customFormat="false" ht="15" hidden="false" customHeight="false" outlineLevel="0" collapsed="false">
      <c r="A262" s="5" t="s">
        <v>78</v>
      </c>
      <c r="B262" s="6" t="s">
        <v>73</v>
      </c>
      <c r="C262" s="5" t="s">
        <v>43</v>
      </c>
      <c r="D262" s="5" t="s">
        <v>35</v>
      </c>
      <c r="E262" s="6" t="n">
        <v>218220</v>
      </c>
      <c r="F262" s="6" t="n">
        <v>221575</v>
      </c>
      <c r="G262" s="6" t="n">
        <v>127760</v>
      </c>
      <c r="H262" s="6" t="n">
        <v>134740</v>
      </c>
      <c r="I262" s="6" t="n">
        <v>31286</v>
      </c>
      <c r="J262" s="6" t="n">
        <v>30535</v>
      </c>
      <c r="K262" s="6" t="n">
        <v>7471</v>
      </c>
      <c r="L262" s="6" t="n">
        <v>8427</v>
      </c>
      <c r="M262" s="6" t="n">
        <v>3073</v>
      </c>
      <c r="N262" s="6" t="n">
        <v>3719</v>
      </c>
      <c r="O262" s="6" t="n">
        <v>3958</v>
      </c>
      <c r="P262" s="6" t="n">
        <v>4136</v>
      </c>
      <c r="Q262" s="6" t="n">
        <v>2813</v>
      </c>
      <c r="R262" s="6" t="n">
        <v>2799</v>
      </c>
      <c r="S262" s="6" t="n">
        <v>1339</v>
      </c>
      <c r="T262" s="6" t="n">
        <v>1239</v>
      </c>
      <c r="U262" s="6" t="n">
        <v>5538</v>
      </c>
      <c r="V262" s="6" t="n">
        <v>5440</v>
      </c>
    </row>
    <row r="263" customFormat="false" ht="15" hidden="false" customHeight="false" outlineLevel="0" collapsed="false">
      <c r="A263" s="5" t="s">
        <v>78</v>
      </c>
      <c r="B263" s="6" t="s">
        <v>73</v>
      </c>
      <c r="C263" s="5" t="s">
        <v>44</v>
      </c>
      <c r="D263" s="5" t="s">
        <v>35</v>
      </c>
      <c r="E263" s="6" t="n">
        <v>197348</v>
      </c>
      <c r="F263" s="6" t="n">
        <v>203234</v>
      </c>
      <c r="G263" s="6" t="n">
        <v>112287</v>
      </c>
      <c r="H263" s="6" t="n">
        <v>118989</v>
      </c>
      <c r="I263" s="6" t="n">
        <v>28466</v>
      </c>
      <c r="J263" s="6" t="n">
        <v>29800</v>
      </c>
      <c r="K263" s="6" t="n">
        <v>4001</v>
      </c>
      <c r="L263" s="6" t="n">
        <v>4101</v>
      </c>
      <c r="M263" s="6" t="n">
        <v>2495</v>
      </c>
      <c r="N263" s="6" t="n">
        <v>2050</v>
      </c>
      <c r="O263" s="6" t="n">
        <v>3888</v>
      </c>
      <c r="P263" s="6" t="n">
        <v>3776</v>
      </c>
      <c r="Q263" s="6" t="n">
        <v>3614</v>
      </c>
      <c r="R263" s="6" t="n">
        <v>3657</v>
      </c>
      <c r="S263" s="6" t="n">
        <v>1247</v>
      </c>
      <c r="T263" s="6" t="n">
        <v>1487</v>
      </c>
      <c r="U263" s="6" t="n">
        <v>3963</v>
      </c>
      <c r="V263" s="6" t="n">
        <v>3937</v>
      </c>
    </row>
    <row r="264" customFormat="false" ht="15" hidden="false" customHeight="false" outlineLevel="0" collapsed="false">
      <c r="A264" s="5" t="s">
        <v>78</v>
      </c>
      <c r="B264" s="6" t="s">
        <v>73</v>
      </c>
      <c r="C264" s="5" t="s">
        <v>45</v>
      </c>
      <c r="D264" s="5" t="s">
        <v>35</v>
      </c>
      <c r="E264" s="6" t="n">
        <v>212308</v>
      </c>
      <c r="F264" s="6" t="n">
        <v>203702</v>
      </c>
      <c r="G264" s="6" t="n">
        <v>123055</v>
      </c>
      <c r="H264" s="6" t="n">
        <v>122796</v>
      </c>
      <c r="I264" s="6" t="n">
        <v>29845</v>
      </c>
      <c r="J264" s="6" t="n">
        <v>31797</v>
      </c>
      <c r="K264" s="6" t="n">
        <v>6314</v>
      </c>
      <c r="L264" s="6" t="n">
        <v>5805</v>
      </c>
      <c r="M264" s="6" t="n">
        <v>2264</v>
      </c>
      <c r="N264" s="6" t="n">
        <v>2917</v>
      </c>
      <c r="O264" s="6" t="n">
        <v>4033</v>
      </c>
      <c r="P264" s="6" t="n">
        <v>3939</v>
      </c>
      <c r="Q264" s="6" t="n">
        <v>4020</v>
      </c>
      <c r="R264" s="6" t="n">
        <v>4033</v>
      </c>
      <c r="S264" s="6" t="n">
        <v>1511</v>
      </c>
      <c r="T264" s="6" t="n">
        <v>1663</v>
      </c>
      <c r="U264" s="6" t="n">
        <v>5219</v>
      </c>
      <c r="V264" s="6" t="n">
        <v>5353</v>
      </c>
    </row>
    <row r="265" customFormat="false" ht="15" hidden="false" customHeight="false" outlineLevel="0" collapsed="false">
      <c r="A265" s="5" t="s">
        <v>78</v>
      </c>
      <c r="B265" s="6" t="s">
        <v>73</v>
      </c>
      <c r="C265" s="5" t="s">
        <v>46</v>
      </c>
      <c r="D265" s="5" t="s">
        <v>35</v>
      </c>
      <c r="E265" s="6" t="n">
        <v>216343</v>
      </c>
      <c r="F265" s="6" t="n">
        <v>223106</v>
      </c>
      <c r="G265" s="6" t="n">
        <v>123697</v>
      </c>
      <c r="H265" s="6" t="n">
        <v>126823</v>
      </c>
      <c r="I265" s="6" t="n">
        <v>32841</v>
      </c>
      <c r="J265" s="6" t="n">
        <v>32423</v>
      </c>
      <c r="K265" s="6" t="n">
        <v>5452</v>
      </c>
      <c r="L265" s="6" t="n">
        <v>5210</v>
      </c>
      <c r="M265" s="6" t="n">
        <v>2678</v>
      </c>
      <c r="N265" s="6" t="n">
        <v>2459</v>
      </c>
      <c r="O265" s="6" t="n">
        <v>6011</v>
      </c>
      <c r="P265" s="6" t="n">
        <v>6072</v>
      </c>
      <c r="Q265" s="6" t="n">
        <v>4001</v>
      </c>
      <c r="R265" s="6" t="n">
        <v>4051</v>
      </c>
      <c r="S265" s="6" t="n">
        <v>2439</v>
      </c>
      <c r="T265" s="6" t="n">
        <v>3254</v>
      </c>
      <c r="U265" s="6" t="n">
        <v>6090</v>
      </c>
      <c r="V265" s="6" t="n">
        <v>5918</v>
      </c>
    </row>
    <row r="266" customFormat="false" ht="15" hidden="false" customHeight="false" outlineLevel="0" collapsed="false">
      <c r="A266" s="5" t="s">
        <v>78</v>
      </c>
      <c r="B266" s="6" t="s">
        <v>73</v>
      </c>
      <c r="C266" s="5" t="s">
        <v>47</v>
      </c>
      <c r="D266" s="5" t="s">
        <v>48</v>
      </c>
      <c r="E266" s="6" t="n">
        <v>199492</v>
      </c>
      <c r="F266" s="6" t="n">
        <v>204897</v>
      </c>
      <c r="G266" s="6" t="n">
        <v>109542</v>
      </c>
      <c r="H266" s="6" t="n">
        <v>117603</v>
      </c>
      <c r="I266" s="6" t="n">
        <v>31860</v>
      </c>
      <c r="J266" s="6" t="n">
        <v>31212</v>
      </c>
      <c r="K266" s="6" t="n">
        <v>5134</v>
      </c>
      <c r="L266" s="6" t="n">
        <v>5843</v>
      </c>
      <c r="M266" s="6" t="n">
        <v>2451</v>
      </c>
      <c r="N266" s="6" t="n">
        <v>2727</v>
      </c>
      <c r="O266" s="6" t="n">
        <v>4045</v>
      </c>
      <c r="P266" s="6" t="n">
        <v>3896</v>
      </c>
      <c r="Q266" s="6" t="n">
        <v>2638</v>
      </c>
      <c r="R266" s="6" t="n">
        <v>2762</v>
      </c>
      <c r="S266" s="6" t="n">
        <v>2286</v>
      </c>
      <c r="T266" s="6" t="n">
        <v>2280</v>
      </c>
      <c r="U266" s="6" t="n">
        <v>5072</v>
      </c>
      <c r="V266" s="6" t="n">
        <v>4983</v>
      </c>
    </row>
    <row r="267" customFormat="false" ht="15" hidden="false" customHeight="false" outlineLevel="0" collapsed="false">
      <c r="A267" s="5" t="s">
        <v>78</v>
      </c>
      <c r="B267" s="6" t="s">
        <v>73</v>
      </c>
      <c r="C267" s="5" t="s">
        <v>49</v>
      </c>
      <c r="D267" s="5" t="s">
        <v>48</v>
      </c>
      <c r="E267" s="6" t="n">
        <v>205283</v>
      </c>
      <c r="F267" s="6" t="n">
        <v>204269</v>
      </c>
      <c r="G267" s="6" t="n">
        <v>120708</v>
      </c>
      <c r="H267" s="6" t="n">
        <v>124836</v>
      </c>
      <c r="I267" s="6" t="n">
        <v>30643</v>
      </c>
      <c r="J267" s="6" t="n">
        <v>32101</v>
      </c>
      <c r="K267" s="6" t="n">
        <v>5719</v>
      </c>
      <c r="L267" s="6" t="n">
        <v>5093</v>
      </c>
      <c r="M267" s="6" t="n">
        <v>3073</v>
      </c>
      <c r="N267" s="6" t="n">
        <v>3958</v>
      </c>
      <c r="O267" s="6" t="n">
        <v>3993</v>
      </c>
      <c r="P267" s="6" t="n">
        <v>4344</v>
      </c>
      <c r="Q267" s="6" t="n">
        <v>3970</v>
      </c>
      <c r="R267" s="6" t="n">
        <v>3898</v>
      </c>
      <c r="S267" s="6" t="n">
        <v>1918</v>
      </c>
      <c r="T267" s="6" t="n">
        <v>2626</v>
      </c>
      <c r="U267" s="6" t="n">
        <v>4349</v>
      </c>
      <c r="V267" s="6" t="n">
        <v>4301</v>
      </c>
    </row>
    <row r="268" customFormat="false" ht="15" hidden="false" customHeight="false" outlineLevel="0" collapsed="false">
      <c r="A268" s="5" t="s">
        <v>78</v>
      </c>
      <c r="B268" s="6" t="s">
        <v>73</v>
      </c>
      <c r="C268" s="5" t="s">
        <v>50</v>
      </c>
      <c r="D268" s="5" t="s">
        <v>48</v>
      </c>
      <c r="E268" s="6" t="n">
        <v>215484</v>
      </c>
      <c r="F268" s="6" t="n">
        <v>209768</v>
      </c>
      <c r="G268" s="6" t="n">
        <v>126258</v>
      </c>
      <c r="H268" s="6" t="n">
        <v>127944</v>
      </c>
      <c r="I268" s="6" t="n">
        <v>32844</v>
      </c>
      <c r="J268" s="6" t="n">
        <v>33344</v>
      </c>
      <c r="K268" s="6" t="n">
        <v>5742</v>
      </c>
      <c r="L268" s="6" t="n">
        <v>6489</v>
      </c>
      <c r="M268" s="6" t="n">
        <v>3073</v>
      </c>
      <c r="N268" s="6" t="n">
        <v>3892</v>
      </c>
      <c r="O268" s="6" t="n">
        <v>4469</v>
      </c>
      <c r="P268" s="6" t="n">
        <v>4738</v>
      </c>
      <c r="Q268" s="6" t="n">
        <v>2770</v>
      </c>
      <c r="R268" s="6" t="n">
        <v>2683</v>
      </c>
      <c r="S268" s="6" t="n">
        <v>2279</v>
      </c>
      <c r="T268" s="6" t="n">
        <v>2660</v>
      </c>
      <c r="U268" s="6" t="n">
        <v>4885</v>
      </c>
      <c r="V268" s="6" t="n">
        <v>4905</v>
      </c>
    </row>
    <row r="269" customFormat="false" ht="15" hidden="false" customHeight="false" outlineLevel="0" collapsed="false">
      <c r="A269" s="5" t="s">
        <v>78</v>
      </c>
      <c r="B269" s="6" t="s">
        <v>73</v>
      </c>
      <c r="C269" s="5" t="s">
        <v>51</v>
      </c>
      <c r="D269" s="5" t="s">
        <v>48</v>
      </c>
      <c r="E269" s="6" t="n">
        <v>203162</v>
      </c>
      <c r="F269" s="6" t="n">
        <v>209908</v>
      </c>
      <c r="G269" s="6" t="n">
        <v>118086</v>
      </c>
      <c r="H269" s="6" t="n">
        <v>121580</v>
      </c>
      <c r="I269" s="6" t="n">
        <v>32637</v>
      </c>
      <c r="J269" s="6" t="n">
        <v>33369</v>
      </c>
      <c r="K269" s="6" t="n">
        <v>5594</v>
      </c>
      <c r="L269" s="6" t="n">
        <v>5770</v>
      </c>
      <c r="M269" s="6" t="n">
        <v>2638</v>
      </c>
      <c r="N269" s="6" t="n">
        <v>2604</v>
      </c>
      <c r="O269" s="6" t="n">
        <v>5388</v>
      </c>
      <c r="P269" s="6" t="n">
        <v>5434</v>
      </c>
      <c r="Q269" s="6" t="n">
        <v>2661</v>
      </c>
      <c r="R269" s="6" t="n">
        <v>2579</v>
      </c>
      <c r="S269" s="6" t="n">
        <v>1258</v>
      </c>
      <c r="T269" s="6" t="n">
        <v>1583</v>
      </c>
      <c r="U269" s="6" t="n">
        <v>4094</v>
      </c>
      <c r="V269" s="6" t="n">
        <v>4037</v>
      </c>
    </row>
    <row r="270" customFormat="false" ht="15" hidden="false" customHeight="false" outlineLevel="0" collapsed="false">
      <c r="A270" s="5" t="s">
        <v>78</v>
      </c>
      <c r="B270" s="6" t="s">
        <v>73</v>
      </c>
      <c r="C270" s="5" t="s">
        <v>52</v>
      </c>
      <c r="D270" s="5" t="s">
        <v>48</v>
      </c>
      <c r="E270" s="6" t="n">
        <v>217749</v>
      </c>
      <c r="F270" s="6" t="n">
        <v>211595</v>
      </c>
      <c r="G270" s="6" t="n">
        <v>130496</v>
      </c>
      <c r="H270" s="6" t="n">
        <v>130593</v>
      </c>
      <c r="I270" s="6" t="n">
        <v>30917</v>
      </c>
      <c r="J270" s="6" t="n">
        <v>33142</v>
      </c>
      <c r="K270" s="6" t="n">
        <v>7574</v>
      </c>
      <c r="L270" s="6" t="n">
        <v>8408</v>
      </c>
      <c r="M270" s="6" t="n">
        <v>2489</v>
      </c>
      <c r="N270" s="6" t="n">
        <v>2396</v>
      </c>
      <c r="O270" s="6" t="n">
        <v>4916</v>
      </c>
      <c r="P270" s="6" t="n">
        <v>4741</v>
      </c>
      <c r="Q270" s="6" t="n">
        <v>3318</v>
      </c>
      <c r="R270" s="6" t="n">
        <v>3166</v>
      </c>
      <c r="S270" s="6" t="n">
        <v>2267</v>
      </c>
      <c r="T270" s="6" t="n">
        <v>2331</v>
      </c>
      <c r="U270" s="6" t="n">
        <v>5036</v>
      </c>
      <c r="V270" s="6" t="n">
        <v>5070</v>
      </c>
    </row>
    <row r="271" customFormat="false" ht="15" hidden="false" customHeight="false" outlineLevel="0" collapsed="false">
      <c r="A271" s="5" t="s">
        <v>78</v>
      </c>
      <c r="B271" s="6" t="s">
        <v>73</v>
      </c>
      <c r="C271" s="5" t="s">
        <v>53</v>
      </c>
      <c r="D271" s="5" t="s">
        <v>48</v>
      </c>
      <c r="E271" s="6" t="n">
        <v>241249</v>
      </c>
      <c r="F271" s="6" t="n">
        <v>238564</v>
      </c>
      <c r="G271" s="6" t="n">
        <v>137877</v>
      </c>
      <c r="H271" s="6" t="n">
        <v>142018</v>
      </c>
      <c r="I271" s="6" t="n">
        <v>39470</v>
      </c>
      <c r="J271" s="6" t="n">
        <v>40546</v>
      </c>
      <c r="K271" s="6" t="n">
        <v>6459</v>
      </c>
      <c r="L271" s="6" t="n">
        <v>7093</v>
      </c>
      <c r="M271" s="6" t="n">
        <v>2002</v>
      </c>
      <c r="N271" s="6" t="n">
        <v>2598</v>
      </c>
      <c r="O271" s="6" t="n">
        <v>5594</v>
      </c>
      <c r="P271" s="6" t="n">
        <v>5545</v>
      </c>
      <c r="Q271" s="6" t="n">
        <v>4314</v>
      </c>
      <c r="R271" s="6" t="n">
        <v>4339</v>
      </c>
      <c r="S271" s="6" t="n">
        <v>2195</v>
      </c>
      <c r="T271" s="6" t="n">
        <v>2587</v>
      </c>
      <c r="U271" s="6" t="n">
        <v>4944</v>
      </c>
      <c r="V271" s="6" t="n">
        <v>4882</v>
      </c>
    </row>
    <row r="272" customFormat="false" ht="15" hidden="false" customHeight="false" outlineLevel="0" collapsed="false">
      <c r="A272" s="5" t="s">
        <v>78</v>
      </c>
      <c r="B272" s="6" t="s">
        <v>73</v>
      </c>
      <c r="C272" s="5" t="s">
        <v>54</v>
      </c>
      <c r="D272" s="5" t="s">
        <v>48</v>
      </c>
      <c r="E272" s="6" t="n">
        <v>212616</v>
      </c>
      <c r="F272" s="6" t="n">
        <v>217722</v>
      </c>
      <c r="G272" s="6" t="n">
        <v>125371</v>
      </c>
      <c r="H272" s="6" t="n">
        <v>129049</v>
      </c>
      <c r="I272" s="6" t="n">
        <v>32461</v>
      </c>
      <c r="J272" s="6" t="n">
        <v>33676</v>
      </c>
      <c r="K272" s="6" t="n">
        <v>4426</v>
      </c>
      <c r="L272" s="6" t="n">
        <v>4449</v>
      </c>
      <c r="M272" s="6" t="n">
        <v>1913</v>
      </c>
      <c r="N272" s="6" t="n">
        <v>2324</v>
      </c>
      <c r="O272" s="6" t="n">
        <v>4787</v>
      </c>
      <c r="P272" s="6" t="n">
        <v>5027</v>
      </c>
      <c r="Q272" s="6" t="n">
        <v>2744</v>
      </c>
      <c r="R272" s="6" t="n">
        <v>2820</v>
      </c>
      <c r="S272" s="6" t="n">
        <v>2472</v>
      </c>
      <c r="T272" s="6" t="n">
        <v>3010</v>
      </c>
      <c r="U272" s="6" t="n">
        <v>4540</v>
      </c>
      <c r="V272" s="6" t="n">
        <v>4516</v>
      </c>
    </row>
    <row r="273" customFormat="false" ht="15" hidden="false" customHeight="false" outlineLevel="0" collapsed="false">
      <c r="A273" s="5" t="s">
        <v>78</v>
      </c>
      <c r="B273" s="6" t="s">
        <v>73</v>
      </c>
      <c r="C273" s="5" t="s">
        <v>55</v>
      </c>
      <c r="D273" s="5" t="s">
        <v>48</v>
      </c>
      <c r="E273" s="6" t="n">
        <v>211336</v>
      </c>
      <c r="F273" s="6" t="n">
        <v>219806</v>
      </c>
      <c r="G273" s="6" t="n">
        <v>121607</v>
      </c>
      <c r="H273" s="6" t="n">
        <v>129916</v>
      </c>
      <c r="I273" s="6" t="n">
        <v>30867</v>
      </c>
      <c r="J273" s="6" t="n">
        <v>31485</v>
      </c>
      <c r="K273" s="6" t="n">
        <v>5019</v>
      </c>
      <c r="L273" s="6" t="n">
        <v>5308</v>
      </c>
      <c r="M273" s="6" t="n">
        <v>3033</v>
      </c>
      <c r="N273" s="6" t="n">
        <v>3634</v>
      </c>
      <c r="O273" s="6" t="n">
        <v>5322</v>
      </c>
      <c r="P273" s="6" t="n">
        <v>5015</v>
      </c>
      <c r="Q273" s="6" t="n">
        <v>2729</v>
      </c>
      <c r="R273" s="6" t="n">
        <v>2715</v>
      </c>
      <c r="S273" s="6" t="n">
        <v>1728</v>
      </c>
      <c r="T273" s="6" t="n">
        <v>1925</v>
      </c>
      <c r="U273" s="6" t="n">
        <v>5038</v>
      </c>
      <c r="V273" s="6" t="n">
        <v>5126</v>
      </c>
    </row>
    <row r="274" customFormat="false" ht="15" hidden="false" customHeight="false" outlineLevel="0" collapsed="false">
      <c r="A274" s="5" t="s">
        <v>78</v>
      </c>
      <c r="B274" s="6" t="s">
        <v>73</v>
      </c>
      <c r="C274" s="5" t="s">
        <v>56</v>
      </c>
      <c r="D274" s="5" t="s">
        <v>48</v>
      </c>
      <c r="E274" s="6" t="n">
        <v>258809</v>
      </c>
      <c r="F274" s="6" t="n">
        <v>245556</v>
      </c>
      <c r="G274" s="6" t="n">
        <v>145637</v>
      </c>
      <c r="H274" s="6" t="n">
        <v>137941</v>
      </c>
      <c r="I274" s="6" t="n">
        <v>42198</v>
      </c>
      <c r="J274" s="6" t="n">
        <v>45167</v>
      </c>
      <c r="K274" s="6" t="n">
        <v>7371</v>
      </c>
      <c r="L274" s="6" t="n">
        <v>7724</v>
      </c>
      <c r="M274" s="6" t="n">
        <v>2342</v>
      </c>
      <c r="N274" s="6" t="n">
        <v>2891</v>
      </c>
      <c r="O274" s="6" t="n">
        <v>5121</v>
      </c>
      <c r="P274" s="6" t="n">
        <v>5368</v>
      </c>
      <c r="Q274" s="6" t="n">
        <v>3974</v>
      </c>
      <c r="R274" s="6" t="n">
        <v>3898</v>
      </c>
      <c r="S274" s="6" t="n">
        <v>2746</v>
      </c>
      <c r="T274" s="6" t="n">
        <v>2932</v>
      </c>
      <c r="U274" s="6" t="n">
        <v>6797</v>
      </c>
      <c r="V274" s="6" t="n">
        <v>6641</v>
      </c>
    </row>
    <row r="275" customFormat="false" ht="15" hidden="false" customHeight="false" outlineLevel="0" collapsed="false">
      <c r="A275" s="5" t="s">
        <v>78</v>
      </c>
      <c r="B275" s="6" t="s">
        <v>73</v>
      </c>
      <c r="C275" s="5" t="s">
        <v>57</v>
      </c>
      <c r="D275" s="5" t="s">
        <v>48</v>
      </c>
      <c r="E275" s="6" t="n">
        <v>213799</v>
      </c>
      <c r="F275" s="6" t="n">
        <v>221705</v>
      </c>
      <c r="G275" s="6" t="n">
        <v>123438</v>
      </c>
      <c r="H275" s="6" t="n">
        <v>126374</v>
      </c>
      <c r="I275" s="6" t="n">
        <v>32874</v>
      </c>
      <c r="J275" s="6" t="n">
        <v>34981</v>
      </c>
      <c r="K275" s="6" t="n">
        <v>6019</v>
      </c>
      <c r="L275" s="6" t="n">
        <v>5127</v>
      </c>
      <c r="M275" s="6" t="n">
        <v>3031</v>
      </c>
      <c r="N275" s="6" t="n">
        <v>2785</v>
      </c>
      <c r="O275" s="6" t="n">
        <v>5107</v>
      </c>
      <c r="P275" s="6" t="n">
        <v>5136</v>
      </c>
      <c r="Q275" s="6" t="n">
        <v>3267</v>
      </c>
      <c r="R275" s="6" t="n">
        <v>3130</v>
      </c>
      <c r="S275" s="6" t="n">
        <v>2053</v>
      </c>
      <c r="T275" s="6" t="n">
        <v>1944</v>
      </c>
      <c r="U275" s="6" t="n">
        <v>5446</v>
      </c>
      <c r="V275" s="6" t="n">
        <v>5485</v>
      </c>
    </row>
    <row r="276" customFormat="false" ht="15" hidden="false" customHeight="false" outlineLevel="0" collapsed="false">
      <c r="A276" s="5" t="s">
        <v>78</v>
      </c>
      <c r="B276" s="6" t="s">
        <v>73</v>
      </c>
      <c r="C276" s="5" t="s">
        <v>58</v>
      </c>
      <c r="D276" s="5" t="s">
        <v>48</v>
      </c>
      <c r="E276" s="6" t="n">
        <v>233556</v>
      </c>
      <c r="F276" s="6" t="n">
        <v>224783</v>
      </c>
      <c r="G276" s="6" t="n">
        <v>126806</v>
      </c>
      <c r="H276" s="6" t="n">
        <v>119213</v>
      </c>
      <c r="I276" s="6" t="n">
        <v>37275</v>
      </c>
      <c r="J276" s="6" t="n">
        <v>36307</v>
      </c>
      <c r="K276" s="6" t="n">
        <v>7662</v>
      </c>
      <c r="L276" s="6" t="n">
        <v>8046</v>
      </c>
      <c r="M276" s="6" t="n">
        <v>3239</v>
      </c>
      <c r="N276" s="6" t="n">
        <v>3075</v>
      </c>
      <c r="O276" s="6" t="n">
        <v>6354</v>
      </c>
      <c r="P276" s="6" t="n">
        <v>5902</v>
      </c>
      <c r="Q276" s="6" t="n">
        <v>3582</v>
      </c>
      <c r="R276" s="6" t="n">
        <v>3467</v>
      </c>
      <c r="S276" s="6" t="n">
        <v>2343</v>
      </c>
      <c r="T276" s="6" t="n">
        <v>2733</v>
      </c>
      <c r="U276" s="6" t="n">
        <v>6286</v>
      </c>
      <c r="V276" s="6" t="n">
        <v>6322</v>
      </c>
    </row>
    <row r="277" customFormat="false" ht="15" hidden="false" customHeight="false" outlineLevel="0" collapsed="false">
      <c r="A277" s="5" t="s">
        <v>78</v>
      </c>
      <c r="B277" s="6" t="s">
        <v>73</v>
      </c>
      <c r="C277" s="5" t="s">
        <v>59</v>
      </c>
      <c r="D277" s="5" t="s">
        <v>48</v>
      </c>
      <c r="E277" s="6" t="n">
        <v>244055</v>
      </c>
      <c r="F277" s="6" t="n">
        <v>253883</v>
      </c>
      <c r="G277" s="6" t="n">
        <v>138457</v>
      </c>
      <c r="H277" s="6" t="n">
        <v>146305</v>
      </c>
      <c r="I277" s="6" t="n">
        <v>40988</v>
      </c>
      <c r="J277" s="6" t="n">
        <v>40178</v>
      </c>
      <c r="K277" s="6" t="n">
        <v>5977</v>
      </c>
      <c r="L277" s="6" t="n">
        <v>5741</v>
      </c>
      <c r="M277" s="6" t="n">
        <v>2600</v>
      </c>
      <c r="N277" s="6" t="n">
        <v>2168</v>
      </c>
      <c r="O277" s="6" t="n">
        <v>5436</v>
      </c>
      <c r="P277" s="6" t="n">
        <v>5540</v>
      </c>
      <c r="Q277" s="6" t="n">
        <v>3500</v>
      </c>
      <c r="R277" s="6" t="n">
        <v>3372</v>
      </c>
      <c r="S277" s="6" t="n">
        <v>2481</v>
      </c>
      <c r="T277" s="6" t="n">
        <v>2393</v>
      </c>
      <c r="U277" s="6" t="n">
        <v>6167</v>
      </c>
      <c r="V277" s="6" t="n">
        <v>6176</v>
      </c>
    </row>
    <row r="278" customFormat="false" ht="15" hidden="false" customHeight="false" outlineLevel="0" collapsed="false">
      <c r="A278" s="5" t="s">
        <v>78</v>
      </c>
      <c r="B278" s="6" t="s">
        <v>73</v>
      </c>
      <c r="C278" s="5" t="s">
        <v>60</v>
      </c>
      <c r="D278" s="5" t="s">
        <v>61</v>
      </c>
      <c r="E278" s="6" t="n">
        <v>237627</v>
      </c>
      <c r="F278" s="6" t="n">
        <v>234474</v>
      </c>
      <c r="G278" s="6" t="n">
        <v>129877</v>
      </c>
      <c r="H278" s="6" t="n">
        <v>132019</v>
      </c>
      <c r="I278" s="6" t="n">
        <v>37752</v>
      </c>
      <c r="J278" s="6" t="n">
        <v>40719</v>
      </c>
      <c r="K278" s="6" t="n">
        <v>6477</v>
      </c>
      <c r="L278" s="6" t="n">
        <v>6844</v>
      </c>
      <c r="M278" s="6" t="n">
        <v>3454</v>
      </c>
      <c r="N278" s="6" t="n">
        <v>4467</v>
      </c>
      <c r="O278" s="6" t="n">
        <v>4960</v>
      </c>
      <c r="P278" s="6" t="n">
        <v>5107</v>
      </c>
      <c r="Q278" s="6" t="n">
        <v>3453</v>
      </c>
      <c r="R278" s="6" t="n">
        <v>3462</v>
      </c>
      <c r="S278" s="6" t="n">
        <v>2844</v>
      </c>
      <c r="T278" s="6" t="n">
        <v>2879</v>
      </c>
      <c r="U278" s="6" t="n">
        <v>5061</v>
      </c>
      <c r="V278" s="6" t="n">
        <v>5080</v>
      </c>
    </row>
    <row r="279" customFormat="false" ht="15" hidden="false" customHeight="false" outlineLevel="0" collapsed="false">
      <c r="A279" s="5" t="s">
        <v>78</v>
      </c>
      <c r="B279" s="6" t="s">
        <v>73</v>
      </c>
      <c r="C279" s="5" t="s">
        <v>62</v>
      </c>
      <c r="D279" s="5" t="s">
        <v>61</v>
      </c>
      <c r="E279" s="6" t="n">
        <v>241127</v>
      </c>
      <c r="F279" s="6" t="n">
        <v>237371</v>
      </c>
      <c r="G279" s="6" t="n">
        <v>137334</v>
      </c>
      <c r="H279" s="6" t="n">
        <v>132583</v>
      </c>
      <c r="I279" s="6" t="n">
        <v>38166</v>
      </c>
      <c r="J279" s="6" t="n">
        <v>39996</v>
      </c>
      <c r="K279" s="6" t="n">
        <v>8364</v>
      </c>
      <c r="L279" s="6" t="n">
        <v>7113</v>
      </c>
      <c r="M279" s="6" t="n">
        <v>1970</v>
      </c>
      <c r="N279" s="6" t="n">
        <v>2192</v>
      </c>
      <c r="O279" s="6" t="n">
        <v>4625</v>
      </c>
      <c r="P279" s="6" t="n">
        <v>4961</v>
      </c>
      <c r="Q279" s="6" t="n">
        <v>4436</v>
      </c>
      <c r="R279" s="6" t="n">
        <v>4657</v>
      </c>
      <c r="S279" s="6" t="n">
        <v>2046</v>
      </c>
      <c r="T279" s="6" t="n">
        <v>2047</v>
      </c>
      <c r="U279" s="6" t="n">
        <v>6174</v>
      </c>
      <c r="V279" s="6" t="n">
        <v>6225</v>
      </c>
    </row>
    <row r="280" customFormat="false" ht="15" hidden="false" customHeight="false" outlineLevel="0" collapsed="false">
      <c r="A280" s="5" t="s">
        <v>78</v>
      </c>
      <c r="B280" s="6" t="s">
        <v>73</v>
      </c>
      <c r="C280" s="5" t="s">
        <v>63</v>
      </c>
      <c r="D280" s="5" t="s">
        <v>61</v>
      </c>
      <c r="E280" s="6" t="n">
        <v>226979</v>
      </c>
      <c r="F280" s="6" t="n">
        <v>235421</v>
      </c>
      <c r="G280" s="6" t="n">
        <v>126404</v>
      </c>
      <c r="H280" s="6" t="n">
        <v>135698</v>
      </c>
      <c r="I280" s="6" t="n">
        <v>33873</v>
      </c>
      <c r="J280" s="6" t="n">
        <v>34745</v>
      </c>
      <c r="K280" s="6" t="n">
        <v>5642</v>
      </c>
      <c r="L280" s="6" t="n">
        <v>4806</v>
      </c>
      <c r="M280" s="6" t="n">
        <v>2906</v>
      </c>
      <c r="N280" s="6" t="n">
        <v>2821</v>
      </c>
      <c r="O280" s="6" t="n">
        <v>5730</v>
      </c>
      <c r="P280" s="6" t="n">
        <v>5907</v>
      </c>
      <c r="Q280" s="6" t="n">
        <v>2777</v>
      </c>
      <c r="R280" s="6" t="n">
        <v>2687</v>
      </c>
      <c r="S280" s="6" t="n">
        <v>1812</v>
      </c>
      <c r="T280" s="6" t="n">
        <v>1817</v>
      </c>
      <c r="U280" s="6" t="n">
        <v>6066</v>
      </c>
      <c r="V280" s="6" t="n">
        <v>6217</v>
      </c>
    </row>
    <row r="281" customFormat="false" ht="15" hidden="false" customHeight="false" outlineLevel="0" collapsed="false">
      <c r="A281" s="5" t="s">
        <v>78</v>
      </c>
      <c r="B281" s="6" t="s">
        <v>73</v>
      </c>
      <c r="C281" s="5" t="s">
        <v>64</v>
      </c>
      <c r="D281" s="5" t="s">
        <v>61</v>
      </c>
      <c r="E281" s="6" t="n">
        <v>245185</v>
      </c>
      <c r="F281" s="6" t="n">
        <v>240973</v>
      </c>
      <c r="G281" s="6" t="n">
        <v>139483</v>
      </c>
      <c r="H281" s="6" t="n">
        <v>139825</v>
      </c>
      <c r="I281" s="6" t="n">
        <v>40887</v>
      </c>
      <c r="J281" s="6" t="n">
        <v>42075</v>
      </c>
      <c r="K281" s="6" t="n">
        <v>6136</v>
      </c>
      <c r="L281" s="6" t="n">
        <v>6659</v>
      </c>
      <c r="M281" s="6" t="n">
        <v>2672</v>
      </c>
      <c r="N281" s="6" t="n">
        <v>3130</v>
      </c>
      <c r="O281" s="6" t="n">
        <v>6461</v>
      </c>
      <c r="P281" s="6" t="n">
        <v>6292</v>
      </c>
      <c r="Q281" s="6" t="n">
        <v>4364</v>
      </c>
      <c r="R281" s="6" t="n">
        <v>4283</v>
      </c>
      <c r="S281" s="6" t="n">
        <v>2259</v>
      </c>
      <c r="T281" s="6" t="n">
        <v>2089</v>
      </c>
      <c r="U281" s="6" t="n">
        <v>6584</v>
      </c>
      <c r="V281" s="6" t="n">
        <v>6702</v>
      </c>
    </row>
    <row r="282" customFormat="false" ht="15" hidden="false" customHeight="false" outlineLevel="0" collapsed="false">
      <c r="A282" s="5" t="s">
        <v>78</v>
      </c>
      <c r="B282" s="6" t="s">
        <v>73</v>
      </c>
      <c r="C282" s="5" t="s">
        <v>65</v>
      </c>
      <c r="D282" s="5" t="s">
        <v>61</v>
      </c>
      <c r="E282" s="6" t="n">
        <v>243192</v>
      </c>
      <c r="F282" s="6" t="n">
        <v>247541</v>
      </c>
      <c r="G282" s="6" t="n">
        <v>145472</v>
      </c>
      <c r="H282" s="6" t="n">
        <v>146594</v>
      </c>
      <c r="I282" s="6" t="n">
        <v>34274</v>
      </c>
      <c r="J282" s="6" t="n">
        <v>36954</v>
      </c>
      <c r="K282" s="6" t="n">
        <v>7149</v>
      </c>
      <c r="L282" s="6" t="n">
        <v>7883</v>
      </c>
      <c r="M282" s="6" t="n">
        <v>2918</v>
      </c>
      <c r="N282" s="6" t="n">
        <v>2903</v>
      </c>
      <c r="O282" s="6" t="n">
        <v>5825</v>
      </c>
      <c r="P282" s="6" t="n">
        <v>6266</v>
      </c>
      <c r="Q282" s="6" t="n">
        <v>4380</v>
      </c>
      <c r="R282" s="6" t="n">
        <v>4470</v>
      </c>
      <c r="S282" s="6" t="n">
        <v>1918</v>
      </c>
      <c r="T282" s="6" t="n">
        <v>1571</v>
      </c>
      <c r="U282" s="6" t="n">
        <v>5870</v>
      </c>
      <c r="V282" s="6" t="n">
        <v>5869</v>
      </c>
    </row>
    <row r="283" customFormat="false" ht="15" hidden="false" customHeight="false" outlineLevel="0" collapsed="false">
      <c r="A283" s="5" t="s">
        <v>78</v>
      </c>
      <c r="B283" s="6" t="s">
        <v>73</v>
      </c>
      <c r="C283" s="5" t="s">
        <v>66</v>
      </c>
      <c r="D283" s="5" t="s">
        <v>61</v>
      </c>
      <c r="E283" s="6" t="n">
        <v>271932</v>
      </c>
      <c r="F283" s="6" t="n">
        <v>273510</v>
      </c>
      <c r="G283" s="6" t="n">
        <v>162355</v>
      </c>
      <c r="H283" s="6" t="n">
        <v>160783</v>
      </c>
      <c r="I283" s="6" t="n">
        <v>40537</v>
      </c>
      <c r="J283" s="6" t="n">
        <v>39821</v>
      </c>
      <c r="K283" s="6" t="n">
        <v>8640</v>
      </c>
      <c r="L283" s="6" t="n">
        <v>9360</v>
      </c>
      <c r="M283" s="6" t="n">
        <v>3914</v>
      </c>
      <c r="N283" s="6" t="n">
        <v>4000</v>
      </c>
      <c r="O283" s="6" t="n">
        <v>4963</v>
      </c>
      <c r="P283" s="6" t="n">
        <v>4997</v>
      </c>
      <c r="Q283" s="6" t="n">
        <v>4351</v>
      </c>
      <c r="R283" s="6" t="n">
        <v>4216</v>
      </c>
      <c r="S283" s="6" t="n">
        <v>3139</v>
      </c>
      <c r="T283" s="6" t="n">
        <v>3891</v>
      </c>
      <c r="U283" s="6" t="n">
        <v>6863</v>
      </c>
      <c r="V283" s="6" t="n">
        <v>6976</v>
      </c>
    </row>
    <row r="284" customFormat="false" ht="15" hidden="false" customHeight="false" outlineLevel="0" collapsed="false">
      <c r="A284" s="5" t="s">
        <v>78</v>
      </c>
      <c r="B284" s="6" t="s">
        <v>73</v>
      </c>
      <c r="C284" s="5" t="s">
        <v>67</v>
      </c>
      <c r="D284" s="5" t="s">
        <v>61</v>
      </c>
      <c r="E284" s="6" t="n">
        <v>258084</v>
      </c>
      <c r="F284" s="6" t="n">
        <v>247061</v>
      </c>
      <c r="G284" s="6" t="n">
        <v>152096</v>
      </c>
      <c r="H284" s="6" t="n">
        <v>152246</v>
      </c>
      <c r="I284" s="6" t="n">
        <v>41371</v>
      </c>
      <c r="J284" s="6" t="n">
        <v>40734</v>
      </c>
      <c r="K284" s="6" t="n">
        <v>7967</v>
      </c>
      <c r="L284" s="6" t="n">
        <v>7870</v>
      </c>
      <c r="M284" s="6" t="n">
        <v>3354</v>
      </c>
      <c r="N284" s="6" t="n">
        <v>3559</v>
      </c>
      <c r="O284" s="6" t="n">
        <v>4656</v>
      </c>
      <c r="P284" s="6" t="n">
        <v>5065</v>
      </c>
      <c r="Q284" s="6" t="n">
        <v>4516</v>
      </c>
      <c r="R284" s="6" t="n">
        <v>4559</v>
      </c>
      <c r="S284" s="6" t="n">
        <v>1683</v>
      </c>
      <c r="T284" s="6" t="n">
        <v>1818</v>
      </c>
      <c r="U284" s="6" t="n">
        <v>5281</v>
      </c>
      <c r="V284" s="6" t="n">
        <v>5288</v>
      </c>
    </row>
    <row r="285" customFormat="false" ht="15" hidden="false" customHeight="false" outlineLevel="0" collapsed="false">
      <c r="A285" s="5" t="s">
        <v>78</v>
      </c>
      <c r="B285" s="6" t="s">
        <v>73</v>
      </c>
      <c r="C285" s="5" t="s">
        <v>68</v>
      </c>
      <c r="D285" s="5" t="s">
        <v>61</v>
      </c>
      <c r="E285" s="6" t="n">
        <v>245847</v>
      </c>
      <c r="F285" s="6" t="n">
        <v>251506</v>
      </c>
      <c r="G285" s="6" t="n">
        <v>141277</v>
      </c>
      <c r="H285" s="6" t="n">
        <v>143424</v>
      </c>
      <c r="I285" s="6" t="n">
        <v>40998</v>
      </c>
      <c r="J285" s="6" t="n">
        <v>41215</v>
      </c>
      <c r="K285" s="6" t="n">
        <v>5627</v>
      </c>
      <c r="L285" s="6" t="n">
        <v>5250</v>
      </c>
      <c r="M285" s="6" t="n">
        <v>2516</v>
      </c>
      <c r="N285" s="6" t="n">
        <v>2568</v>
      </c>
      <c r="O285" s="6" t="n">
        <v>4714</v>
      </c>
      <c r="P285" s="6" t="n">
        <v>4464</v>
      </c>
      <c r="Q285" s="6" t="n">
        <v>3488</v>
      </c>
      <c r="R285" s="6" t="n">
        <v>3319</v>
      </c>
      <c r="S285" s="6" t="n">
        <v>2394</v>
      </c>
      <c r="T285" s="6" t="n">
        <v>2654</v>
      </c>
      <c r="U285" s="6" t="n">
        <v>5425</v>
      </c>
      <c r="V285" s="6" t="n">
        <v>5376</v>
      </c>
    </row>
    <row r="286" customFormat="false" ht="15" hidden="false" customHeight="false" outlineLevel="0" collapsed="false">
      <c r="A286" s="5" t="s">
        <v>78</v>
      </c>
      <c r="B286" s="6" t="s">
        <v>73</v>
      </c>
      <c r="C286" s="5" t="s">
        <v>69</v>
      </c>
      <c r="D286" s="5" t="s">
        <v>61</v>
      </c>
      <c r="E286" s="6" t="n">
        <v>266807</v>
      </c>
      <c r="F286" s="6" t="n">
        <v>278799</v>
      </c>
      <c r="G286" s="6" t="n">
        <v>155351</v>
      </c>
      <c r="H286" s="6" t="n">
        <v>160707</v>
      </c>
      <c r="I286" s="6" t="n">
        <v>39313</v>
      </c>
      <c r="J286" s="6" t="n">
        <v>38442</v>
      </c>
      <c r="K286" s="6" t="n">
        <v>7790</v>
      </c>
      <c r="L286" s="6" t="n">
        <v>7413</v>
      </c>
      <c r="M286" s="6" t="n">
        <v>2963</v>
      </c>
      <c r="N286" s="6" t="n">
        <v>2563</v>
      </c>
      <c r="O286" s="6" t="n">
        <v>6058</v>
      </c>
      <c r="P286" s="6" t="n">
        <v>6310</v>
      </c>
      <c r="Q286" s="6" t="n">
        <v>3428</v>
      </c>
      <c r="R286" s="6" t="n">
        <v>3275</v>
      </c>
      <c r="S286" s="6" t="n">
        <v>2284</v>
      </c>
      <c r="T286" s="6" t="n">
        <v>2072</v>
      </c>
      <c r="U286" s="6" t="n">
        <v>6927</v>
      </c>
      <c r="V286" s="6" t="n">
        <v>6966</v>
      </c>
    </row>
    <row r="287" customFormat="false" ht="15" hidden="false" customHeight="false" outlineLevel="0" collapsed="false">
      <c r="A287" s="5" t="s">
        <v>78</v>
      </c>
      <c r="B287" s="6" t="s">
        <v>73</v>
      </c>
      <c r="C287" s="5" t="s">
        <v>70</v>
      </c>
      <c r="D287" s="5" t="s">
        <v>61</v>
      </c>
      <c r="E287" s="6" t="n">
        <v>265114</v>
      </c>
      <c r="F287" s="6" t="n">
        <v>258920</v>
      </c>
      <c r="G287" s="6" t="n">
        <v>152965</v>
      </c>
      <c r="H287" s="6" t="n">
        <v>148258</v>
      </c>
      <c r="I287" s="6" t="n">
        <v>43617</v>
      </c>
      <c r="J287" s="6" t="n">
        <v>45729</v>
      </c>
      <c r="K287" s="6" t="n">
        <v>7970</v>
      </c>
      <c r="L287" s="6" t="n">
        <v>8050</v>
      </c>
      <c r="M287" s="6" t="n">
        <v>3928</v>
      </c>
      <c r="N287" s="6" t="n">
        <v>4627</v>
      </c>
      <c r="O287" s="6" t="n">
        <v>6007</v>
      </c>
      <c r="P287" s="6" t="n">
        <v>5669</v>
      </c>
      <c r="Q287" s="6" t="n">
        <v>4905</v>
      </c>
      <c r="R287" s="6" t="n">
        <v>5111</v>
      </c>
      <c r="S287" s="6" t="n">
        <v>2336</v>
      </c>
      <c r="T287" s="6" t="n">
        <v>2507</v>
      </c>
      <c r="U287" s="6" t="n">
        <v>7117</v>
      </c>
      <c r="V287" s="6" t="n">
        <v>7207</v>
      </c>
    </row>
    <row r="288" customFormat="false" ht="15" hidden="false" customHeight="false" outlineLevel="0" collapsed="false">
      <c r="A288" s="5" t="s">
        <v>78</v>
      </c>
      <c r="B288" s="6" t="s">
        <v>73</v>
      </c>
      <c r="C288" s="5" t="s">
        <v>71</v>
      </c>
      <c r="D288" s="5" t="s">
        <v>61</v>
      </c>
      <c r="E288" s="6" t="n">
        <v>253129</v>
      </c>
      <c r="F288" s="6" t="n">
        <v>261550</v>
      </c>
      <c r="G288" s="6" t="n">
        <v>140089</v>
      </c>
      <c r="H288" s="6" t="n">
        <v>150779</v>
      </c>
      <c r="I288" s="6" t="n">
        <v>40123</v>
      </c>
      <c r="J288" s="6" t="n">
        <v>42948</v>
      </c>
      <c r="K288" s="6" t="n">
        <v>6551</v>
      </c>
      <c r="L288" s="6" t="n">
        <v>6943</v>
      </c>
      <c r="M288" s="6" t="n">
        <v>3204</v>
      </c>
      <c r="N288" s="6" t="n">
        <v>3827</v>
      </c>
      <c r="O288" s="6" t="n">
        <v>6790</v>
      </c>
      <c r="P288" s="6" t="n">
        <v>6801</v>
      </c>
      <c r="Q288" s="6" t="n">
        <v>3099</v>
      </c>
      <c r="R288" s="6" t="n">
        <v>3091</v>
      </c>
      <c r="S288" s="6" t="n">
        <v>2053</v>
      </c>
      <c r="T288" s="6" t="n">
        <v>2211</v>
      </c>
      <c r="U288" s="6" t="n">
        <v>5495</v>
      </c>
      <c r="V288" s="6" t="n">
        <v>5583</v>
      </c>
    </row>
    <row r="289" customFormat="false" ht="15" hidden="false" customHeight="false" outlineLevel="0" collapsed="false">
      <c r="A289" s="5" t="s">
        <v>78</v>
      </c>
      <c r="B289" s="6" t="s">
        <v>73</v>
      </c>
      <c r="C289" s="5" t="s">
        <v>72</v>
      </c>
      <c r="D289" s="5" t="s">
        <v>61</v>
      </c>
      <c r="E289" s="6" t="n">
        <v>280160</v>
      </c>
      <c r="F289" s="6" t="n">
        <v>293273</v>
      </c>
      <c r="G289" s="6" t="n">
        <v>153017</v>
      </c>
      <c r="H289" s="6" t="n">
        <v>166302</v>
      </c>
      <c r="I289" s="6" t="n">
        <v>45919</v>
      </c>
      <c r="J289" s="6" t="n">
        <v>46187</v>
      </c>
      <c r="K289" s="6" t="n">
        <v>8332</v>
      </c>
      <c r="L289" s="6" t="n">
        <v>9063</v>
      </c>
      <c r="M289" s="6" t="n">
        <v>3286</v>
      </c>
      <c r="N289" s="6" t="n">
        <v>3287</v>
      </c>
      <c r="O289" s="6" t="n">
        <v>6201</v>
      </c>
      <c r="P289" s="6" t="n">
        <v>6398</v>
      </c>
      <c r="Q289" s="6" t="n">
        <v>4590</v>
      </c>
      <c r="R289" s="6" t="n">
        <v>4808</v>
      </c>
      <c r="S289" s="6" t="n">
        <v>2326</v>
      </c>
      <c r="T289" s="6" t="n">
        <v>2336</v>
      </c>
      <c r="U289" s="6" t="n">
        <v>7883</v>
      </c>
      <c r="V289" s="6" t="n">
        <v>7926</v>
      </c>
    </row>
    <row r="290" customFormat="false" ht="15" hidden="false" customHeight="false" outlineLevel="0" collapsed="false">
      <c r="A290" s="5" t="s">
        <v>78</v>
      </c>
      <c r="B290" s="6" t="s">
        <v>74</v>
      </c>
      <c r="C290" s="5" t="s">
        <v>34</v>
      </c>
      <c r="D290" s="5" t="s">
        <v>35</v>
      </c>
      <c r="E290" s="6" t="n">
        <v>218056</v>
      </c>
      <c r="F290" s="6" t="n">
        <v>216897</v>
      </c>
      <c r="G290" s="6" t="n">
        <v>120840</v>
      </c>
      <c r="H290" s="6" t="n">
        <v>123046</v>
      </c>
      <c r="I290" s="6" t="n">
        <v>31037</v>
      </c>
      <c r="J290" s="6" t="n">
        <v>33284</v>
      </c>
      <c r="K290" s="6" t="n">
        <v>6239</v>
      </c>
      <c r="L290" s="6" t="n">
        <v>6214</v>
      </c>
      <c r="M290" s="6" t="n">
        <v>2648</v>
      </c>
      <c r="N290" s="6" t="n">
        <v>2731</v>
      </c>
      <c r="O290" s="6" t="n">
        <v>5135</v>
      </c>
      <c r="P290" s="6" t="n">
        <v>5484</v>
      </c>
      <c r="Q290" s="6" t="n">
        <v>2924</v>
      </c>
      <c r="R290" s="6" t="n">
        <v>3057</v>
      </c>
      <c r="S290" s="6" t="n">
        <v>1399</v>
      </c>
      <c r="T290" s="6" t="n">
        <v>1210</v>
      </c>
      <c r="U290" s="6" t="n">
        <v>6136</v>
      </c>
      <c r="V290" s="6" t="n">
        <v>6236</v>
      </c>
    </row>
    <row r="291" customFormat="false" ht="15" hidden="false" customHeight="false" outlineLevel="0" collapsed="false">
      <c r="A291" s="5" t="s">
        <v>78</v>
      </c>
      <c r="B291" s="6" t="s">
        <v>74</v>
      </c>
      <c r="C291" s="5" t="s">
        <v>36</v>
      </c>
      <c r="D291" s="5" t="s">
        <v>35</v>
      </c>
      <c r="E291" s="6" t="n">
        <v>217915</v>
      </c>
      <c r="F291" s="6" t="n">
        <v>218064</v>
      </c>
      <c r="G291" s="6" t="n">
        <v>126306</v>
      </c>
      <c r="H291" s="6" t="n">
        <v>123018</v>
      </c>
      <c r="I291" s="6" t="n">
        <v>35849</v>
      </c>
      <c r="J291" s="6" t="n">
        <v>38272</v>
      </c>
      <c r="K291" s="6" t="n">
        <v>7311</v>
      </c>
      <c r="L291" s="6" t="n">
        <v>7610</v>
      </c>
      <c r="M291" s="6" t="n">
        <v>1744</v>
      </c>
      <c r="N291" s="6" t="n">
        <v>1523</v>
      </c>
      <c r="O291" s="6" t="n">
        <v>4248</v>
      </c>
      <c r="P291" s="6" t="n">
        <v>4314</v>
      </c>
      <c r="Q291" s="6" t="n">
        <v>3295</v>
      </c>
      <c r="R291" s="6" t="n">
        <v>3321</v>
      </c>
      <c r="S291" s="6" t="n">
        <v>1563</v>
      </c>
      <c r="T291" s="6" t="n">
        <v>1890</v>
      </c>
      <c r="U291" s="6" t="n">
        <v>5048</v>
      </c>
      <c r="V291" s="6" t="n">
        <v>5069</v>
      </c>
    </row>
    <row r="292" customFormat="false" ht="15" hidden="false" customHeight="false" outlineLevel="0" collapsed="false">
      <c r="A292" s="5" t="s">
        <v>78</v>
      </c>
      <c r="B292" s="6" t="s">
        <v>74</v>
      </c>
      <c r="C292" s="5" t="s">
        <v>37</v>
      </c>
      <c r="D292" s="5" t="s">
        <v>35</v>
      </c>
      <c r="E292" s="6" t="n">
        <v>218694</v>
      </c>
      <c r="F292" s="6" t="n">
        <v>223946</v>
      </c>
      <c r="G292" s="6" t="n">
        <v>130473</v>
      </c>
      <c r="H292" s="6" t="n">
        <v>133995</v>
      </c>
      <c r="I292" s="6" t="n">
        <v>37064</v>
      </c>
      <c r="J292" s="6" t="n">
        <v>37356</v>
      </c>
      <c r="K292" s="6" t="n">
        <v>4667</v>
      </c>
      <c r="L292" s="6" t="n">
        <v>3978</v>
      </c>
      <c r="M292" s="6" t="n">
        <v>3260</v>
      </c>
      <c r="N292" s="6" t="n">
        <v>3267</v>
      </c>
      <c r="O292" s="6" t="n">
        <v>4215</v>
      </c>
      <c r="P292" s="6" t="n">
        <v>4101</v>
      </c>
      <c r="Q292" s="6" t="n">
        <v>3270</v>
      </c>
      <c r="R292" s="6" t="n">
        <v>3286</v>
      </c>
      <c r="S292" s="6" t="n">
        <v>1382</v>
      </c>
      <c r="T292" s="6" t="n">
        <v>1689</v>
      </c>
      <c r="U292" s="6" t="n">
        <v>6169</v>
      </c>
      <c r="V292" s="6" t="n">
        <v>6117</v>
      </c>
    </row>
    <row r="293" customFormat="false" ht="15" hidden="false" customHeight="false" outlineLevel="0" collapsed="false">
      <c r="A293" s="5" t="s">
        <v>78</v>
      </c>
      <c r="B293" s="6" t="s">
        <v>74</v>
      </c>
      <c r="C293" s="5" t="s">
        <v>38</v>
      </c>
      <c r="D293" s="5" t="s">
        <v>35</v>
      </c>
      <c r="E293" s="6" t="n">
        <v>239588</v>
      </c>
      <c r="F293" s="6" t="n">
        <v>229516</v>
      </c>
      <c r="G293" s="6" t="n">
        <v>132759</v>
      </c>
      <c r="H293" s="6" t="n">
        <v>130646</v>
      </c>
      <c r="I293" s="6" t="n">
        <v>36376</v>
      </c>
      <c r="J293" s="6" t="n">
        <v>36558</v>
      </c>
      <c r="K293" s="6" t="n">
        <v>6167</v>
      </c>
      <c r="L293" s="6" t="n">
        <v>5948</v>
      </c>
      <c r="M293" s="6" t="n">
        <v>2831</v>
      </c>
      <c r="N293" s="6" t="n">
        <v>3203</v>
      </c>
      <c r="O293" s="6" t="n">
        <v>5450</v>
      </c>
      <c r="P293" s="6" t="n">
        <v>5199</v>
      </c>
      <c r="Q293" s="6" t="n">
        <v>3612</v>
      </c>
      <c r="R293" s="6" t="n">
        <v>3765</v>
      </c>
      <c r="S293" s="6" t="n">
        <v>2645</v>
      </c>
      <c r="T293" s="6" t="n">
        <v>2361</v>
      </c>
      <c r="U293" s="6" t="n">
        <v>7182</v>
      </c>
      <c r="V293" s="6" t="n">
        <v>7255</v>
      </c>
    </row>
    <row r="294" customFormat="false" ht="15" hidden="false" customHeight="false" outlineLevel="0" collapsed="false">
      <c r="A294" s="5" t="s">
        <v>78</v>
      </c>
      <c r="B294" s="6" t="s">
        <v>74</v>
      </c>
      <c r="C294" s="5" t="s">
        <v>39</v>
      </c>
      <c r="D294" s="5" t="s">
        <v>35</v>
      </c>
      <c r="E294" s="6" t="n">
        <v>216740</v>
      </c>
      <c r="F294" s="6" t="n">
        <v>228482</v>
      </c>
      <c r="G294" s="6" t="n">
        <v>117244</v>
      </c>
      <c r="H294" s="6" t="n">
        <v>127267</v>
      </c>
      <c r="I294" s="6" t="n">
        <v>33508</v>
      </c>
      <c r="J294" s="6" t="n">
        <v>34113</v>
      </c>
      <c r="K294" s="6" t="n">
        <v>7554</v>
      </c>
      <c r="L294" s="6" t="n">
        <v>6613</v>
      </c>
      <c r="M294" s="6" t="n">
        <v>2708</v>
      </c>
      <c r="N294" s="6" t="n">
        <v>2729</v>
      </c>
      <c r="O294" s="6" t="n">
        <v>4890</v>
      </c>
      <c r="P294" s="6" t="n">
        <v>5193</v>
      </c>
      <c r="Q294" s="6" t="n">
        <v>3649</v>
      </c>
      <c r="R294" s="6" t="n">
        <v>3622</v>
      </c>
      <c r="S294" s="6" t="n">
        <v>1534</v>
      </c>
      <c r="T294" s="6" t="n">
        <v>1696</v>
      </c>
      <c r="U294" s="6" t="n">
        <v>5531</v>
      </c>
      <c r="V294" s="6" t="n">
        <v>5514</v>
      </c>
    </row>
    <row r="295" customFormat="false" ht="15" hidden="false" customHeight="false" outlineLevel="0" collapsed="false">
      <c r="A295" s="5" t="s">
        <v>78</v>
      </c>
      <c r="B295" s="6" t="s">
        <v>74</v>
      </c>
      <c r="C295" s="5" t="s">
        <v>40</v>
      </c>
      <c r="D295" s="5" t="s">
        <v>35</v>
      </c>
      <c r="E295" s="6" t="n">
        <v>235937</v>
      </c>
      <c r="F295" s="6" t="n">
        <v>245182</v>
      </c>
      <c r="G295" s="6" t="n">
        <v>135964</v>
      </c>
      <c r="H295" s="6" t="n">
        <v>143473</v>
      </c>
      <c r="I295" s="6" t="n">
        <v>39025</v>
      </c>
      <c r="J295" s="6" t="n">
        <v>38871</v>
      </c>
      <c r="K295" s="6" t="n">
        <v>6494</v>
      </c>
      <c r="L295" s="6" t="n">
        <v>6320</v>
      </c>
      <c r="M295" s="6" t="n">
        <v>2790</v>
      </c>
      <c r="N295" s="6" t="n">
        <v>2744</v>
      </c>
      <c r="O295" s="6" t="n">
        <v>6555</v>
      </c>
      <c r="P295" s="6" t="n">
        <v>6701</v>
      </c>
      <c r="Q295" s="6" t="n">
        <v>4162</v>
      </c>
      <c r="R295" s="6" t="n">
        <v>4001</v>
      </c>
      <c r="S295" s="6" t="n">
        <v>2097</v>
      </c>
      <c r="T295" s="6" t="n">
        <v>2546</v>
      </c>
      <c r="U295" s="6" t="n">
        <v>5054</v>
      </c>
      <c r="V295" s="6" t="n">
        <v>5124</v>
      </c>
    </row>
    <row r="296" customFormat="false" ht="15" hidden="false" customHeight="false" outlineLevel="0" collapsed="false">
      <c r="A296" s="5" t="s">
        <v>78</v>
      </c>
      <c r="B296" s="6" t="s">
        <v>74</v>
      </c>
      <c r="C296" s="5" t="s">
        <v>41</v>
      </c>
      <c r="D296" s="5" t="s">
        <v>35</v>
      </c>
      <c r="E296" s="6" t="n">
        <v>250053</v>
      </c>
      <c r="F296" s="6" t="n">
        <v>236336</v>
      </c>
      <c r="G296" s="6" t="n">
        <v>146714</v>
      </c>
      <c r="H296" s="6" t="n">
        <v>139433</v>
      </c>
      <c r="I296" s="6" t="n">
        <v>35594</v>
      </c>
      <c r="J296" s="6" t="n">
        <v>38011</v>
      </c>
      <c r="K296" s="6" t="n">
        <v>5333</v>
      </c>
      <c r="L296" s="6" t="n">
        <v>5289</v>
      </c>
      <c r="M296" s="6" t="n">
        <v>3299</v>
      </c>
      <c r="N296" s="6" t="n">
        <v>4223</v>
      </c>
      <c r="O296" s="6" t="n">
        <v>4696</v>
      </c>
      <c r="P296" s="6" t="n">
        <v>4856</v>
      </c>
      <c r="Q296" s="6" t="n">
        <v>4597</v>
      </c>
      <c r="R296" s="6" t="n">
        <v>4511</v>
      </c>
      <c r="S296" s="6" t="n">
        <v>1579</v>
      </c>
      <c r="T296" s="6" t="n">
        <v>1589</v>
      </c>
      <c r="U296" s="6" t="n">
        <v>6948</v>
      </c>
      <c r="V296" s="6" t="n">
        <v>6935</v>
      </c>
    </row>
    <row r="297" customFormat="false" ht="15" hidden="false" customHeight="false" outlineLevel="0" collapsed="false">
      <c r="A297" s="5" t="s">
        <v>78</v>
      </c>
      <c r="B297" s="6" t="s">
        <v>74</v>
      </c>
      <c r="C297" s="5" t="s">
        <v>42</v>
      </c>
      <c r="D297" s="5" t="s">
        <v>35</v>
      </c>
      <c r="E297" s="6" t="n">
        <v>238004</v>
      </c>
      <c r="F297" s="6" t="n">
        <v>238886</v>
      </c>
      <c r="G297" s="6" t="n">
        <v>139001</v>
      </c>
      <c r="H297" s="6" t="n">
        <v>139767</v>
      </c>
      <c r="I297" s="6" t="n">
        <v>40179</v>
      </c>
      <c r="J297" s="6" t="n">
        <v>42502</v>
      </c>
      <c r="K297" s="6" t="n">
        <v>5793</v>
      </c>
      <c r="L297" s="6" t="n">
        <v>4985</v>
      </c>
      <c r="M297" s="6" t="n">
        <v>3442</v>
      </c>
      <c r="N297" s="6" t="n">
        <v>4043</v>
      </c>
      <c r="O297" s="6" t="n">
        <v>6014</v>
      </c>
      <c r="P297" s="6" t="n">
        <v>6143</v>
      </c>
      <c r="Q297" s="6" t="n">
        <v>2973</v>
      </c>
      <c r="R297" s="6" t="n">
        <v>2965</v>
      </c>
      <c r="S297" s="6" t="n">
        <v>1669</v>
      </c>
      <c r="T297" s="6" t="n">
        <v>1387</v>
      </c>
      <c r="U297" s="6" t="n">
        <v>7117</v>
      </c>
      <c r="V297" s="6" t="n">
        <v>7249</v>
      </c>
    </row>
    <row r="298" customFormat="false" ht="15" hidden="false" customHeight="false" outlineLevel="0" collapsed="false">
      <c r="A298" s="5" t="s">
        <v>78</v>
      </c>
      <c r="B298" s="6" t="s">
        <v>74</v>
      </c>
      <c r="C298" s="5" t="s">
        <v>43</v>
      </c>
      <c r="D298" s="5" t="s">
        <v>35</v>
      </c>
      <c r="E298" s="6" t="n">
        <v>252491</v>
      </c>
      <c r="F298" s="6" t="n">
        <v>259120</v>
      </c>
      <c r="G298" s="6" t="n">
        <v>137595</v>
      </c>
      <c r="H298" s="6" t="n">
        <v>142576</v>
      </c>
      <c r="I298" s="6" t="n">
        <v>41798</v>
      </c>
      <c r="J298" s="6" t="n">
        <v>41822</v>
      </c>
      <c r="K298" s="6" t="n">
        <v>5552</v>
      </c>
      <c r="L298" s="6" t="n">
        <v>5187</v>
      </c>
      <c r="M298" s="6" t="n">
        <v>3536</v>
      </c>
      <c r="N298" s="6" t="n">
        <v>2854</v>
      </c>
      <c r="O298" s="6" t="n">
        <v>4826</v>
      </c>
      <c r="P298" s="6" t="n">
        <v>4592</v>
      </c>
      <c r="Q298" s="6" t="n">
        <v>4225</v>
      </c>
      <c r="R298" s="6" t="n">
        <v>4078</v>
      </c>
      <c r="S298" s="6" t="n">
        <v>2192</v>
      </c>
      <c r="T298" s="6" t="n">
        <v>2816</v>
      </c>
      <c r="U298" s="6" t="n">
        <v>5709</v>
      </c>
      <c r="V298" s="6" t="n">
        <v>5778</v>
      </c>
    </row>
    <row r="299" customFormat="false" ht="15" hidden="false" customHeight="false" outlineLevel="0" collapsed="false">
      <c r="A299" s="5" t="s">
        <v>78</v>
      </c>
      <c r="B299" s="6" t="s">
        <v>74</v>
      </c>
      <c r="C299" s="5" t="s">
        <v>44</v>
      </c>
      <c r="D299" s="5" t="s">
        <v>35</v>
      </c>
      <c r="E299" s="6" t="n">
        <v>253681</v>
      </c>
      <c r="F299" s="6" t="n">
        <v>244884</v>
      </c>
      <c r="G299" s="6" t="n">
        <v>150108</v>
      </c>
      <c r="H299" s="6" t="n">
        <v>144203</v>
      </c>
      <c r="I299" s="6" t="n">
        <v>36158</v>
      </c>
      <c r="J299" s="6" t="n">
        <v>35650</v>
      </c>
      <c r="K299" s="6" t="n">
        <v>8627</v>
      </c>
      <c r="L299" s="6" t="n">
        <v>7732</v>
      </c>
      <c r="M299" s="6" t="n">
        <v>2910</v>
      </c>
      <c r="N299" s="6" t="n">
        <v>3774</v>
      </c>
      <c r="O299" s="6" t="n">
        <v>6521</v>
      </c>
      <c r="P299" s="6" t="n">
        <v>6279</v>
      </c>
      <c r="Q299" s="6" t="n">
        <v>3938</v>
      </c>
      <c r="R299" s="6" t="n">
        <v>3992</v>
      </c>
      <c r="S299" s="6" t="n">
        <v>1843</v>
      </c>
      <c r="T299" s="6" t="n">
        <v>2286</v>
      </c>
      <c r="U299" s="6" t="n">
        <v>5949</v>
      </c>
      <c r="V299" s="6" t="n">
        <v>6000</v>
      </c>
    </row>
    <row r="300" customFormat="false" ht="15" hidden="false" customHeight="false" outlineLevel="0" collapsed="false">
      <c r="A300" s="5" t="s">
        <v>78</v>
      </c>
      <c r="B300" s="6" t="s">
        <v>74</v>
      </c>
      <c r="C300" s="5" t="s">
        <v>45</v>
      </c>
      <c r="D300" s="5" t="s">
        <v>35</v>
      </c>
      <c r="E300" s="6" t="n">
        <v>238412</v>
      </c>
      <c r="F300" s="6" t="n">
        <v>249929</v>
      </c>
      <c r="G300" s="6" t="n">
        <v>131140</v>
      </c>
      <c r="H300" s="6" t="n">
        <v>137459</v>
      </c>
      <c r="I300" s="6" t="n">
        <v>35533</v>
      </c>
      <c r="J300" s="6" t="n">
        <v>37383</v>
      </c>
      <c r="K300" s="6" t="n">
        <v>7459</v>
      </c>
      <c r="L300" s="6" t="n">
        <v>7532</v>
      </c>
      <c r="M300" s="6" t="n">
        <v>2541</v>
      </c>
      <c r="N300" s="6" t="n">
        <v>2929</v>
      </c>
      <c r="O300" s="6" t="n">
        <v>5423</v>
      </c>
      <c r="P300" s="6" t="n">
        <v>5131</v>
      </c>
      <c r="Q300" s="6" t="n">
        <v>4521</v>
      </c>
      <c r="R300" s="6" t="n">
        <v>4300</v>
      </c>
      <c r="S300" s="6" t="n">
        <v>2757</v>
      </c>
      <c r="T300" s="6" t="n">
        <v>2948</v>
      </c>
      <c r="U300" s="6" t="n">
        <v>6386</v>
      </c>
      <c r="V300" s="6" t="n">
        <v>6563</v>
      </c>
    </row>
    <row r="301" customFormat="false" ht="15" hidden="false" customHeight="false" outlineLevel="0" collapsed="false">
      <c r="A301" s="5" t="s">
        <v>78</v>
      </c>
      <c r="B301" s="6" t="s">
        <v>74</v>
      </c>
      <c r="C301" s="5" t="s">
        <v>46</v>
      </c>
      <c r="D301" s="5" t="s">
        <v>35</v>
      </c>
      <c r="E301" s="6" t="n">
        <v>256764</v>
      </c>
      <c r="F301" s="6" t="n">
        <v>271730</v>
      </c>
      <c r="G301" s="6" t="n">
        <v>152791</v>
      </c>
      <c r="H301" s="6" t="n">
        <v>164922</v>
      </c>
      <c r="I301" s="6" t="n">
        <v>43312</v>
      </c>
      <c r="J301" s="6" t="n">
        <v>44070</v>
      </c>
      <c r="K301" s="6" t="n">
        <v>8671</v>
      </c>
      <c r="L301" s="6" t="n">
        <v>9603</v>
      </c>
      <c r="M301" s="6" t="n">
        <v>2656</v>
      </c>
      <c r="N301" s="6" t="n">
        <v>2479</v>
      </c>
      <c r="O301" s="6" t="n">
        <v>4874</v>
      </c>
      <c r="P301" s="6" t="n">
        <v>5058</v>
      </c>
      <c r="Q301" s="6" t="n">
        <v>3885</v>
      </c>
      <c r="R301" s="6" t="n">
        <v>3991</v>
      </c>
      <c r="S301" s="6" t="n">
        <v>2695</v>
      </c>
      <c r="T301" s="6" t="n">
        <v>3343</v>
      </c>
      <c r="U301" s="6" t="n">
        <v>6647</v>
      </c>
      <c r="V301" s="6" t="n">
        <v>6525</v>
      </c>
    </row>
    <row r="302" customFormat="false" ht="15" hidden="false" customHeight="false" outlineLevel="0" collapsed="false">
      <c r="A302" s="5" t="s">
        <v>78</v>
      </c>
      <c r="B302" s="6" t="s">
        <v>74</v>
      </c>
      <c r="C302" s="5" t="s">
        <v>47</v>
      </c>
      <c r="D302" s="5" t="s">
        <v>48</v>
      </c>
      <c r="E302" s="6" t="n">
        <v>261115</v>
      </c>
      <c r="F302" s="6" t="n">
        <v>255286</v>
      </c>
      <c r="G302" s="6" t="n">
        <v>143821</v>
      </c>
      <c r="H302" s="6" t="n">
        <v>142494</v>
      </c>
      <c r="I302" s="6" t="n">
        <v>41826</v>
      </c>
      <c r="J302" s="6" t="n">
        <v>44398</v>
      </c>
      <c r="K302" s="6" t="n">
        <v>5269</v>
      </c>
      <c r="L302" s="6" t="n">
        <v>4633</v>
      </c>
      <c r="M302" s="6" t="n">
        <v>2279</v>
      </c>
      <c r="N302" s="6" t="n">
        <v>2331</v>
      </c>
      <c r="O302" s="6" t="n">
        <v>5273</v>
      </c>
      <c r="P302" s="6" t="n">
        <v>5120</v>
      </c>
      <c r="Q302" s="6" t="n">
        <v>3537</v>
      </c>
      <c r="R302" s="6" t="n">
        <v>3369</v>
      </c>
      <c r="S302" s="6" t="n">
        <v>1711</v>
      </c>
      <c r="T302" s="6" t="n">
        <v>2332</v>
      </c>
      <c r="U302" s="6" t="n">
        <v>6937</v>
      </c>
      <c r="V302" s="6" t="n">
        <v>7077</v>
      </c>
    </row>
    <row r="303" customFormat="false" ht="15" hidden="false" customHeight="false" outlineLevel="0" collapsed="false">
      <c r="A303" s="5" t="s">
        <v>78</v>
      </c>
      <c r="B303" s="6" t="s">
        <v>74</v>
      </c>
      <c r="C303" s="5" t="s">
        <v>49</v>
      </c>
      <c r="D303" s="5" t="s">
        <v>48</v>
      </c>
      <c r="E303" s="6" t="n">
        <v>266907</v>
      </c>
      <c r="F303" s="6" t="n">
        <v>262556</v>
      </c>
      <c r="G303" s="6" t="n">
        <v>155469</v>
      </c>
      <c r="H303" s="6" t="n">
        <v>149259</v>
      </c>
      <c r="I303" s="6" t="n">
        <v>44225</v>
      </c>
      <c r="J303" s="6" t="n">
        <v>43530</v>
      </c>
      <c r="K303" s="6" t="n">
        <v>7966</v>
      </c>
      <c r="L303" s="6" t="n">
        <v>8922</v>
      </c>
      <c r="M303" s="6" t="n">
        <v>3193</v>
      </c>
      <c r="N303" s="6" t="n">
        <v>4098</v>
      </c>
      <c r="O303" s="6" t="n">
        <v>7196</v>
      </c>
      <c r="P303" s="6" t="n">
        <v>7521</v>
      </c>
      <c r="Q303" s="6" t="n">
        <v>3744</v>
      </c>
      <c r="R303" s="6" t="n">
        <v>3732</v>
      </c>
      <c r="S303" s="6" t="n">
        <v>3101</v>
      </c>
      <c r="T303" s="6" t="n">
        <v>3669</v>
      </c>
      <c r="U303" s="6" t="n">
        <v>7801</v>
      </c>
      <c r="V303" s="6" t="n">
        <v>7696</v>
      </c>
    </row>
    <row r="304" customFormat="false" ht="15" hidden="false" customHeight="false" outlineLevel="0" collapsed="false">
      <c r="A304" s="5" t="s">
        <v>78</v>
      </c>
      <c r="B304" s="6" t="s">
        <v>74</v>
      </c>
      <c r="C304" s="5" t="s">
        <v>50</v>
      </c>
      <c r="D304" s="5" t="s">
        <v>48</v>
      </c>
      <c r="E304" s="6" t="n">
        <v>277282</v>
      </c>
      <c r="F304" s="6" t="n">
        <v>264479</v>
      </c>
      <c r="G304" s="6" t="n">
        <v>162541</v>
      </c>
      <c r="H304" s="6" t="n">
        <v>154023</v>
      </c>
      <c r="I304" s="6" t="n">
        <v>40167</v>
      </c>
      <c r="J304" s="6" t="n">
        <v>39289</v>
      </c>
      <c r="K304" s="6" t="n">
        <v>8778</v>
      </c>
      <c r="L304" s="6" t="n">
        <v>8469</v>
      </c>
      <c r="M304" s="6" t="n">
        <v>2864</v>
      </c>
      <c r="N304" s="6" t="n">
        <v>2377</v>
      </c>
      <c r="O304" s="6" t="n">
        <v>7641</v>
      </c>
      <c r="P304" s="6" t="n">
        <v>7394</v>
      </c>
      <c r="Q304" s="6" t="n">
        <v>4305</v>
      </c>
      <c r="R304" s="6" t="n">
        <v>4301</v>
      </c>
      <c r="S304" s="6" t="n">
        <v>3209</v>
      </c>
      <c r="T304" s="6" t="n">
        <v>3742</v>
      </c>
      <c r="U304" s="6" t="n">
        <v>6040</v>
      </c>
      <c r="V304" s="6" t="n">
        <v>6037</v>
      </c>
    </row>
    <row r="305" customFormat="false" ht="15" hidden="false" customHeight="false" outlineLevel="0" collapsed="false">
      <c r="A305" s="5" t="s">
        <v>78</v>
      </c>
      <c r="B305" s="6" t="s">
        <v>74</v>
      </c>
      <c r="C305" s="5" t="s">
        <v>51</v>
      </c>
      <c r="D305" s="5" t="s">
        <v>48</v>
      </c>
      <c r="E305" s="6" t="n">
        <v>271883</v>
      </c>
      <c r="F305" s="6" t="n">
        <v>263390</v>
      </c>
      <c r="G305" s="6" t="n">
        <v>150379</v>
      </c>
      <c r="H305" s="6" t="n">
        <v>148886</v>
      </c>
      <c r="I305" s="6" t="n">
        <v>45507</v>
      </c>
      <c r="J305" s="6" t="n">
        <v>47723</v>
      </c>
      <c r="K305" s="6" t="n">
        <v>5859</v>
      </c>
      <c r="L305" s="6" t="n">
        <v>5108</v>
      </c>
      <c r="M305" s="6" t="n">
        <v>3262</v>
      </c>
      <c r="N305" s="6" t="n">
        <v>3018</v>
      </c>
      <c r="O305" s="6" t="n">
        <v>6106</v>
      </c>
      <c r="P305" s="6" t="n">
        <v>6603</v>
      </c>
      <c r="Q305" s="6" t="n">
        <v>3586</v>
      </c>
      <c r="R305" s="6" t="n">
        <v>3636</v>
      </c>
      <c r="S305" s="6" t="n">
        <v>3153</v>
      </c>
      <c r="T305" s="6" t="n">
        <v>3780</v>
      </c>
      <c r="U305" s="6" t="n">
        <v>6162</v>
      </c>
      <c r="V305" s="6" t="n">
        <v>6236</v>
      </c>
    </row>
    <row r="306" customFormat="false" ht="15" hidden="false" customHeight="false" outlineLevel="0" collapsed="false">
      <c r="A306" s="5" t="s">
        <v>78</v>
      </c>
      <c r="B306" s="6" t="s">
        <v>74</v>
      </c>
      <c r="C306" s="5" t="s">
        <v>52</v>
      </c>
      <c r="D306" s="5" t="s">
        <v>48</v>
      </c>
      <c r="E306" s="6" t="n">
        <v>272825</v>
      </c>
      <c r="F306" s="6" t="n">
        <v>270403</v>
      </c>
      <c r="G306" s="6" t="n">
        <v>155762</v>
      </c>
      <c r="H306" s="6" t="n">
        <v>161679</v>
      </c>
      <c r="I306" s="6" t="n">
        <v>42212</v>
      </c>
      <c r="J306" s="6" t="n">
        <v>42970</v>
      </c>
      <c r="K306" s="6" t="n">
        <v>8911</v>
      </c>
      <c r="L306" s="6" t="n">
        <v>9662</v>
      </c>
      <c r="M306" s="6" t="n">
        <v>3683</v>
      </c>
      <c r="N306" s="6" t="n">
        <v>3941</v>
      </c>
      <c r="O306" s="6" t="n">
        <v>4920</v>
      </c>
      <c r="P306" s="6" t="n">
        <v>5371</v>
      </c>
      <c r="Q306" s="6" t="n">
        <v>5059</v>
      </c>
      <c r="R306" s="6" t="n">
        <v>5050</v>
      </c>
      <c r="S306" s="6" t="n">
        <v>2565</v>
      </c>
      <c r="T306" s="6" t="n">
        <v>3491</v>
      </c>
      <c r="U306" s="6" t="n">
        <v>6436</v>
      </c>
      <c r="V306" s="6" t="n">
        <v>6506</v>
      </c>
    </row>
    <row r="307" customFormat="false" ht="15" hidden="false" customHeight="false" outlineLevel="0" collapsed="false">
      <c r="A307" s="5" t="s">
        <v>78</v>
      </c>
      <c r="B307" s="6" t="s">
        <v>74</v>
      </c>
      <c r="C307" s="5" t="s">
        <v>53</v>
      </c>
      <c r="D307" s="5" t="s">
        <v>48</v>
      </c>
      <c r="E307" s="6" t="n">
        <v>295309</v>
      </c>
      <c r="F307" s="6" t="n">
        <v>290695</v>
      </c>
      <c r="G307" s="6" t="n">
        <v>176456</v>
      </c>
      <c r="H307" s="6" t="n">
        <v>169203</v>
      </c>
      <c r="I307" s="6" t="n">
        <v>46080</v>
      </c>
      <c r="J307" s="6" t="n">
        <v>49568</v>
      </c>
      <c r="K307" s="6" t="n">
        <v>6263</v>
      </c>
      <c r="L307" s="6" t="n">
        <v>6187</v>
      </c>
      <c r="M307" s="6" t="n">
        <v>3947</v>
      </c>
      <c r="N307" s="6" t="n">
        <v>4436</v>
      </c>
      <c r="O307" s="6" t="n">
        <v>5837</v>
      </c>
      <c r="P307" s="6" t="n">
        <v>5411</v>
      </c>
      <c r="Q307" s="6" t="n">
        <v>4451</v>
      </c>
      <c r="R307" s="6" t="n">
        <v>4313</v>
      </c>
      <c r="S307" s="6" t="n">
        <v>3005</v>
      </c>
      <c r="T307" s="6" t="n">
        <v>4020</v>
      </c>
      <c r="U307" s="6" t="n">
        <v>7768</v>
      </c>
      <c r="V307" s="6" t="n">
        <v>7702</v>
      </c>
    </row>
    <row r="308" customFormat="false" ht="15" hidden="false" customHeight="false" outlineLevel="0" collapsed="false">
      <c r="A308" s="5" t="s">
        <v>78</v>
      </c>
      <c r="B308" s="6" t="s">
        <v>74</v>
      </c>
      <c r="C308" s="5" t="s">
        <v>54</v>
      </c>
      <c r="D308" s="5" t="s">
        <v>48</v>
      </c>
      <c r="E308" s="6" t="n">
        <v>274634</v>
      </c>
      <c r="F308" s="6" t="n">
        <v>270326</v>
      </c>
      <c r="G308" s="6" t="n">
        <v>160419</v>
      </c>
      <c r="H308" s="6" t="n">
        <v>154388</v>
      </c>
      <c r="I308" s="6" t="n">
        <v>40040</v>
      </c>
      <c r="J308" s="6" t="n">
        <v>42009</v>
      </c>
      <c r="K308" s="6" t="n">
        <v>7935</v>
      </c>
      <c r="L308" s="6" t="n">
        <v>7909</v>
      </c>
      <c r="M308" s="6" t="n">
        <v>2318</v>
      </c>
      <c r="N308" s="6" t="n">
        <v>2481</v>
      </c>
      <c r="O308" s="6" t="n">
        <v>5789</v>
      </c>
      <c r="P308" s="6" t="n">
        <v>5882</v>
      </c>
      <c r="Q308" s="6" t="n">
        <v>5129</v>
      </c>
      <c r="R308" s="6" t="n">
        <v>5103</v>
      </c>
      <c r="S308" s="6" t="n">
        <v>3289</v>
      </c>
      <c r="T308" s="6" t="n">
        <v>2704</v>
      </c>
      <c r="U308" s="6" t="n">
        <v>5647</v>
      </c>
      <c r="V308" s="6" t="n">
        <v>5745</v>
      </c>
    </row>
    <row r="309" customFormat="false" ht="15" hidden="false" customHeight="false" outlineLevel="0" collapsed="false">
      <c r="A309" s="5" t="s">
        <v>78</v>
      </c>
      <c r="B309" s="6" t="s">
        <v>74</v>
      </c>
      <c r="C309" s="5" t="s">
        <v>55</v>
      </c>
      <c r="D309" s="5" t="s">
        <v>48</v>
      </c>
      <c r="E309" s="6" t="n">
        <v>255825</v>
      </c>
      <c r="F309" s="6" t="n">
        <v>268109</v>
      </c>
      <c r="G309" s="6" t="n">
        <v>150534</v>
      </c>
      <c r="H309" s="6" t="n">
        <v>161346</v>
      </c>
      <c r="I309" s="6" t="n">
        <v>39333</v>
      </c>
      <c r="J309" s="6" t="n">
        <v>41087</v>
      </c>
      <c r="K309" s="6" t="n">
        <v>8471</v>
      </c>
      <c r="L309" s="6" t="n">
        <v>7579</v>
      </c>
      <c r="M309" s="6" t="n">
        <v>3084</v>
      </c>
      <c r="N309" s="6" t="n">
        <v>3893</v>
      </c>
      <c r="O309" s="6" t="n">
        <v>4699</v>
      </c>
      <c r="P309" s="6" t="n">
        <v>4443</v>
      </c>
      <c r="Q309" s="6" t="n">
        <v>4408</v>
      </c>
      <c r="R309" s="6" t="n">
        <v>4395</v>
      </c>
      <c r="S309" s="6" t="n">
        <v>2944</v>
      </c>
      <c r="T309" s="6" t="n">
        <v>2436</v>
      </c>
      <c r="U309" s="6" t="n">
        <v>6911</v>
      </c>
      <c r="V309" s="6" t="n">
        <v>6758</v>
      </c>
    </row>
    <row r="310" customFormat="false" ht="15" hidden="false" customHeight="false" outlineLevel="0" collapsed="false">
      <c r="A310" s="5" t="s">
        <v>78</v>
      </c>
      <c r="B310" s="6" t="s">
        <v>74</v>
      </c>
      <c r="C310" s="5" t="s">
        <v>56</v>
      </c>
      <c r="D310" s="5" t="s">
        <v>48</v>
      </c>
      <c r="E310" s="6" t="n">
        <v>270163</v>
      </c>
      <c r="F310" s="6" t="n">
        <v>285586</v>
      </c>
      <c r="G310" s="6" t="n">
        <v>150870</v>
      </c>
      <c r="H310" s="6" t="n">
        <v>165104</v>
      </c>
      <c r="I310" s="6" t="n">
        <v>41520</v>
      </c>
      <c r="J310" s="6" t="n">
        <v>41054</v>
      </c>
      <c r="K310" s="6" t="n">
        <v>7798</v>
      </c>
      <c r="L310" s="6" t="n">
        <v>8541</v>
      </c>
      <c r="M310" s="6" t="n">
        <v>2362</v>
      </c>
      <c r="N310" s="6" t="n">
        <v>2477</v>
      </c>
      <c r="O310" s="6" t="n">
        <v>7022</v>
      </c>
      <c r="P310" s="6" t="n">
        <v>6739</v>
      </c>
      <c r="Q310" s="6" t="n">
        <v>4981</v>
      </c>
      <c r="R310" s="6" t="n">
        <v>4944</v>
      </c>
      <c r="S310" s="6" t="n">
        <v>2936</v>
      </c>
      <c r="T310" s="6" t="n">
        <v>4079</v>
      </c>
      <c r="U310" s="6" t="n">
        <v>7236</v>
      </c>
      <c r="V310" s="6" t="n">
        <v>7160</v>
      </c>
    </row>
    <row r="311" customFormat="false" ht="15" hidden="false" customHeight="false" outlineLevel="0" collapsed="false">
      <c r="A311" s="5" t="s">
        <v>78</v>
      </c>
      <c r="B311" s="6" t="s">
        <v>74</v>
      </c>
      <c r="C311" s="5" t="s">
        <v>57</v>
      </c>
      <c r="D311" s="5" t="s">
        <v>48</v>
      </c>
      <c r="E311" s="6" t="n">
        <v>277709</v>
      </c>
      <c r="F311" s="6" t="n">
        <v>275200</v>
      </c>
      <c r="G311" s="6" t="n">
        <v>152251</v>
      </c>
      <c r="H311" s="6" t="n">
        <v>156881</v>
      </c>
      <c r="I311" s="6" t="n">
        <v>45487</v>
      </c>
      <c r="J311" s="6" t="n">
        <v>47946</v>
      </c>
      <c r="K311" s="6" t="n">
        <v>8025</v>
      </c>
      <c r="L311" s="6" t="n">
        <v>7629</v>
      </c>
      <c r="M311" s="6" t="n">
        <v>2456</v>
      </c>
      <c r="N311" s="6" t="n">
        <v>2138</v>
      </c>
      <c r="O311" s="6" t="n">
        <v>6152</v>
      </c>
      <c r="P311" s="6" t="n">
        <v>6431</v>
      </c>
      <c r="Q311" s="6" t="n">
        <v>4562</v>
      </c>
      <c r="R311" s="6" t="n">
        <v>4534</v>
      </c>
      <c r="S311" s="6" t="n">
        <v>3209</v>
      </c>
      <c r="T311" s="6" t="n">
        <v>2646</v>
      </c>
      <c r="U311" s="6" t="n">
        <v>5832</v>
      </c>
      <c r="V311" s="6" t="n">
        <v>5954</v>
      </c>
    </row>
    <row r="312" customFormat="false" ht="15" hidden="false" customHeight="false" outlineLevel="0" collapsed="false">
      <c r="A312" s="5" t="s">
        <v>78</v>
      </c>
      <c r="B312" s="6" t="s">
        <v>74</v>
      </c>
      <c r="C312" s="5" t="s">
        <v>58</v>
      </c>
      <c r="D312" s="5" t="s">
        <v>48</v>
      </c>
      <c r="E312" s="6" t="n">
        <v>288583</v>
      </c>
      <c r="F312" s="6" t="n">
        <v>279278</v>
      </c>
      <c r="G312" s="6" t="n">
        <v>156105</v>
      </c>
      <c r="H312" s="6" t="n">
        <v>152286</v>
      </c>
      <c r="I312" s="6" t="n">
        <v>40457</v>
      </c>
      <c r="J312" s="6" t="n">
        <v>40042</v>
      </c>
      <c r="K312" s="6" t="n">
        <v>6158</v>
      </c>
      <c r="L312" s="6" t="n">
        <v>6438</v>
      </c>
      <c r="M312" s="6" t="n">
        <v>4100</v>
      </c>
      <c r="N312" s="6" t="n">
        <v>4133</v>
      </c>
      <c r="O312" s="6" t="n">
        <v>7525</v>
      </c>
      <c r="P312" s="6" t="n">
        <v>7969</v>
      </c>
      <c r="Q312" s="6" t="n">
        <v>5061</v>
      </c>
      <c r="R312" s="6" t="n">
        <v>4912</v>
      </c>
      <c r="S312" s="6" t="n">
        <v>2839</v>
      </c>
      <c r="T312" s="6" t="n">
        <v>3162</v>
      </c>
      <c r="U312" s="6" t="n">
        <v>6961</v>
      </c>
      <c r="V312" s="6" t="n">
        <v>7144</v>
      </c>
    </row>
    <row r="313" customFormat="false" ht="15" hidden="false" customHeight="false" outlineLevel="0" collapsed="false">
      <c r="A313" s="5" t="s">
        <v>78</v>
      </c>
      <c r="B313" s="6" t="s">
        <v>74</v>
      </c>
      <c r="C313" s="5" t="s">
        <v>59</v>
      </c>
      <c r="D313" s="5" t="s">
        <v>48</v>
      </c>
      <c r="E313" s="6" t="n">
        <v>285968</v>
      </c>
      <c r="F313" s="6" t="n">
        <v>302767</v>
      </c>
      <c r="G313" s="6" t="n">
        <v>157511</v>
      </c>
      <c r="H313" s="6" t="n">
        <v>168276</v>
      </c>
      <c r="I313" s="6" t="n">
        <v>48188</v>
      </c>
      <c r="J313" s="6" t="n">
        <v>50067</v>
      </c>
      <c r="K313" s="6" t="n">
        <v>9076</v>
      </c>
      <c r="L313" s="6" t="n">
        <v>8662</v>
      </c>
      <c r="M313" s="6" t="n">
        <v>2297</v>
      </c>
      <c r="N313" s="6" t="n">
        <v>2108</v>
      </c>
      <c r="O313" s="6" t="n">
        <v>5483</v>
      </c>
      <c r="P313" s="6" t="n">
        <v>5568</v>
      </c>
      <c r="Q313" s="6" t="n">
        <v>3651</v>
      </c>
      <c r="R313" s="6" t="n">
        <v>3601</v>
      </c>
      <c r="S313" s="6" t="n">
        <v>3022</v>
      </c>
      <c r="T313" s="6" t="n">
        <v>3396</v>
      </c>
      <c r="U313" s="6" t="n">
        <v>6346</v>
      </c>
      <c r="V313" s="6" t="n">
        <v>6449</v>
      </c>
    </row>
    <row r="314" customFormat="false" ht="15" hidden="false" customHeight="false" outlineLevel="0" collapsed="false">
      <c r="A314" s="5" t="s">
        <v>78</v>
      </c>
      <c r="B314" s="6" t="s">
        <v>74</v>
      </c>
      <c r="C314" s="5" t="s">
        <v>60</v>
      </c>
      <c r="D314" s="5" t="s">
        <v>61</v>
      </c>
      <c r="E314" s="6" t="n">
        <v>280401</v>
      </c>
      <c r="F314" s="6" t="n">
        <v>288131</v>
      </c>
      <c r="G314" s="6" t="n">
        <v>154676</v>
      </c>
      <c r="H314" s="6" t="n">
        <v>164654</v>
      </c>
      <c r="I314" s="6" t="n">
        <v>45020</v>
      </c>
      <c r="J314" s="6" t="n">
        <v>48466</v>
      </c>
      <c r="K314" s="6" t="n">
        <v>7603</v>
      </c>
      <c r="L314" s="6" t="n">
        <v>6865</v>
      </c>
      <c r="M314" s="6" t="n">
        <v>3559</v>
      </c>
      <c r="N314" s="6" t="n">
        <v>2924</v>
      </c>
      <c r="O314" s="6" t="n">
        <v>6855</v>
      </c>
      <c r="P314" s="6" t="n">
        <v>6658</v>
      </c>
      <c r="Q314" s="6" t="n">
        <v>4340</v>
      </c>
      <c r="R314" s="6" t="n">
        <v>4268</v>
      </c>
      <c r="S314" s="6" t="n">
        <v>3037</v>
      </c>
      <c r="T314" s="6" t="n">
        <v>3812</v>
      </c>
      <c r="U314" s="6" t="n">
        <v>5729</v>
      </c>
      <c r="V314" s="6" t="n">
        <v>5812</v>
      </c>
    </row>
    <row r="315" customFormat="false" ht="15" hidden="false" customHeight="false" outlineLevel="0" collapsed="false">
      <c r="A315" s="5" t="s">
        <v>78</v>
      </c>
      <c r="B315" s="6" t="s">
        <v>74</v>
      </c>
      <c r="C315" s="5" t="s">
        <v>62</v>
      </c>
      <c r="D315" s="5" t="s">
        <v>61</v>
      </c>
      <c r="E315" s="6" t="n">
        <v>284524</v>
      </c>
      <c r="F315" s="6" t="n">
        <v>296038</v>
      </c>
      <c r="G315" s="6" t="n">
        <v>167052</v>
      </c>
      <c r="H315" s="6" t="n">
        <v>175072</v>
      </c>
      <c r="I315" s="6" t="n">
        <v>40824</v>
      </c>
      <c r="J315" s="6" t="n">
        <v>43619</v>
      </c>
      <c r="K315" s="6" t="n">
        <v>8769</v>
      </c>
      <c r="L315" s="6" t="n">
        <v>9013</v>
      </c>
      <c r="M315" s="6" t="n">
        <v>2925</v>
      </c>
      <c r="N315" s="6" t="n">
        <v>2631</v>
      </c>
      <c r="O315" s="6" t="n">
        <v>7047</v>
      </c>
      <c r="P315" s="6" t="n">
        <v>6896</v>
      </c>
      <c r="Q315" s="6" t="n">
        <v>5187</v>
      </c>
      <c r="R315" s="6" t="n">
        <v>5097</v>
      </c>
      <c r="S315" s="6" t="n">
        <v>1875</v>
      </c>
      <c r="T315" s="6" t="n">
        <v>2330</v>
      </c>
      <c r="U315" s="6" t="n">
        <v>8166</v>
      </c>
      <c r="V315" s="6" t="n">
        <v>8105</v>
      </c>
    </row>
    <row r="316" customFormat="false" ht="15" hidden="false" customHeight="false" outlineLevel="0" collapsed="false">
      <c r="A316" s="5" t="s">
        <v>78</v>
      </c>
      <c r="B316" s="6" t="s">
        <v>74</v>
      </c>
      <c r="C316" s="5" t="s">
        <v>63</v>
      </c>
      <c r="D316" s="5" t="s">
        <v>61</v>
      </c>
      <c r="E316" s="6" t="n">
        <v>294708</v>
      </c>
      <c r="F316" s="6" t="n">
        <v>295738</v>
      </c>
      <c r="G316" s="6" t="n">
        <v>167708</v>
      </c>
      <c r="H316" s="6" t="n">
        <v>175547</v>
      </c>
      <c r="I316" s="6" t="n">
        <v>42541</v>
      </c>
      <c r="J316" s="6" t="n">
        <v>45607</v>
      </c>
      <c r="K316" s="6" t="n">
        <v>7906</v>
      </c>
      <c r="L316" s="6" t="n">
        <v>7639</v>
      </c>
      <c r="M316" s="6" t="n">
        <v>2639</v>
      </c>
      <c r="N316" s="6" t="n">
        <v>3061</v>
      </c>
      <c r="O316" s="6" t="n">
        <v>7167</v>
      </c>
      <c r="P316" s="6" t="n">
        <v>7852</v>
      </c>
      <c r="Q316" s="6" t="n">
        <v>4013</v>
      </c>
      <c r="R316" s="6" t="n">
        <v>3863</v>
      </c>
      <c r="S316" s="6" t="n">
        <v>2992</v>
      </c>
      <c r="T316" s="6" t="n">
        <v>2501</v>
      </c>
      <c r="U316" s="6" t="n">
        <v>6296</v>
      </c>
      <c r="V316" s="6" t="n">
        <v>6429</v>
      </c>
    </row>
    <row r="317" customFormat="false" ht="15" hidden="false" customHeight="false" outlineLevel="0" collapsed="false">
      <c r="A317" s="5" t="s">
        <v>78</v>
      </c>
      <c r="B317" s="6" t="s">
        <v>74</v>
      </c>
      <c r="C317" s="5" t="s">
        <v>64</v>
      </c>
      <c r="D317" s="5" t="s">
        <v>61</v>
      </c>
      <c r="E317" s="6" t="n">
        <v>286513</v>
      </c>
      <c r="F317" s="6" t="n">
        <v>298282</v>
      </c>
      <c r="G317" s="6" t="n">
        <v>160623</v>
      </c>
      <c r="H317" s="6" t="n">
        <v>174476</v>
      </c>
      <c r="I317" s="6" t="n">
        <v>45300</v>
      </c>
      <c r="J317" s="6" t="n">
        <v>47875</v>
      </c>
      <c r="K317" s="6" t="n">
        <v>8472</v>
      </c>
      <c r="L317" s="6" t="n">
        <v>8755</v>
      </c>
      <c r="M317" s="6" t="n">
        <v>2633</v>
      </c>
      <c r="N317" s="6" t="n">
        <v>3384</v>
      </c>
      <c r="O317" s="6" t="n">
        <v>7607</v>
      </c>
      <c r="P317" s="6" t="n">
        <v>7117</v>
      </c>
      <c r="Q317" s="6" t="n">
        <v>5402</v>
      </c>
      <c r="R317" s="6" t="n">
        <v>5396</v>
      </c>
      <c r="S317" s="6" t="n">
        <v>3431</v>
      </c>
      <c r="T317" s="6" t="n">
        <v>3963</v>
      </c>
      <c r="U317" s="6" t="n">
        <v>8128</v>
      </c>
      <c r="V317" s="6" t="n">
        <v>8020</v>
      </c>
    </row>
    <row r="318" customFormat="false" ht="15" hidden="false" customHeight="false" outlineLevel="0" collapsed="false">
      <c r="A318" s="5" t="s">
        <v>78</v>
      </c>
      <c r="B318" s="6" t="s">
        <v>74</v>
      </c>
      <c r="C318" s="5" t="s">
        <v>65</v>
      </c>
      <c r="D318" s="5" t="s">
        <v>61</v>
      </c>
      <c r="E318" s="6" t="n">
        <v>312738</v>
      </c>
      <c r="F318" s="6" t="n">
        <v>304119</v>
      </c>
      <c r="G318" s="6" t="n">
        <v>173507</v>
      </c>
      <c r="H318" s="6" t="n">
        <v>167619</v>
      </c>
      <c r="I318" s="6" t="n">
        <v>49220</v>
      </c>
      <c r="J318" s="6" t="n">
        <v>52572</v>
      </c>
      <c r="K318" s="6" t="n">
        <v>9031</v>
      </c>
      <c r="L318" s="6" t="n">
        <v>8080</v>
      </c>
      <c r="M318" s="6" t="n">
        <v>3758</v>
      </c>
      <c r="N318" s="6" t="n">
        <v>3016</v>
      </c>
      <c r="O318" s="6" t="n">
        <v>8695</v>
      </c>
      <c r="P318" s="6" t="n">
        <v>8062</v>
      </c>
      <c r="Q318" s="6" t="n">
        <v>4930</v>
      </c>
      <c r="R318" s="6" t="n">
        <v>5062</v>
      </c>
      <c r="S318" s="6" t="n">
        <v>1940</v>
      </c>
      <c r="T318" s="6" t="n">
        <v>2170</v>
      </c>
      <c r="U318" s="6" t="n">
        <v>7754</v>
      </c>
      <c r="V318" s="6" t="n">
        <v>7893</v>
      </c>
    </row>
    <row r="319" customFormat="false" ht="15" hidden="false" customHeight="false" outlineLevel="0" collapsed="false">
      <c r="A319" s="5" t="s">
        <v>78</v>
      </c>
      <c r="B319" s="6" t="s">
        <v>74</v>
      </c>
      <c r="C319" s="5" t="s">
        <v>66</v>
      </c>
      <c r="D319" s="5" t="s">
        <v>61</v>
      </c>
      <c r="E319" s="6" t="n">
        <v>330568</v>
      </c>
      <c r="F319" s="6" t="n">
        <v>332465</v>
      </c>
      <c r="G319" s="6" t="n">
        <v>183277</v>
      </c>
      <c r="H319" s="6" t="n">
        <v>186963</v>
      </c>
      <c r="I319" s="6" t="n">
        <v>46403</v>
      </c>
      <c r="J319" s="6" t="n">
        <v>48746</v>
      </c>
      <c r="K319" s="6" t="n">
        <v>11322</v>
      </c>
      <c r="L319" s="6" t="n">
        <v>10074</v>
      </c>
      <c r="M319" s="6" t="n">
        <v>3329</v>
      </c>
      <c r="N319" s="6" t="n">
        <v>3741</v>
      </c>
      <c r="O319" s="6" t="n">
        <v>6250</v>
      </c>
      <c r="P319" s="6" t="n">
        <v>6290</v>
      </c>
      <c r="Q319" s="6" t="n">
        <v>4773</v>
      </c>
      <c r="R319" s="6" t="n">
        <v>4870</v>
      </c>
      <c r="S319" s="6" t="n">
        <v>3685</v>
      </c>
      <c r="T319" s="6" t="n">
        <v>4600</v>
      </c>
      <c r="U319" s="6" t="n">
        <v>6692</v>
      </c>
      <c r="V319" s="6" t="n">
        <v>6674</v>
      </c>
    </row>
    <row r="320" customFormat="false" ht="15" hidden="false" customHeight="false" outlineLevel="0" collapsed="false">
      <c r="A320" s="5" t="s">
        <v>78</v>
      </c>
      <c r="B320" s="6" t="s">
        <v>74</v>
      </c>
      <c r="C320" s="5" t="s">
        <v>67</v>
      </c>
      <c r="D320" s="5" t="s">
        <v>61</v>
      </c>
      <c r="E320" s="6" t="n">
        <v>332079</v>
      </c>
      <c r="F320" s="6" t="n">
        <v>317808</v>
      </c>
      <c r="G320" s="6" t="n">
        <v>187399</v>
      </c>
      <c r="H320" s="6" t="n">
        <v>185541</v>
      </c>
      <c r="I320" s="6" t="n">
        <v>50181</v>
      </c>
      <c r="J320" s="6" t="n">
        <v>51238</v>
      </c>
      <c r="K320" s="6" t="n">
        <v>9797</v>
      </c>
      <c r="L320" s="6" t="n">
        <v>10856</v>
      </c>
      <c r="M320" s="6" t="n">
        <v>2821</v>
      </c>
      <c r="N320" s="6" t="n">
        <v>3517</v>
      </c>
      <c r="O320" s="6" t="n">
        <v>7083</v>
      </c>
      <c r="P320" s="6" t="n">
        <v>6558</v>
      </c>
      <c r="Q320" s="6" t="n">
        <v>5116</v>
      </c>
      <c r="R320" s="6" t="n">
        <v>4998</v>
      </c>
      <c r="S320" s="6" t="n">
        <v>3878</v>
      </c>
      <c r="T320" s="6" t="n">
        <v>4365</v>
      </c>
      <c r="U320" s="6" t="n">
        <v>9280</v>
      </c>
      <c r="V320" s="6" t="n">
        <v>9440</v>
      </c>
    </row>
    <row r="321" customFormat="false" ht="15" hidden="false" customHeight="false" outlineLevel="0" collapsed="false">
      <c r="A321" s="5" t="s">
        <v>78</v>
      </c>
      <c r="B321" s="6" t="s">
        <v>74</v>
      </c>
      <c r="C321" s="5" t="s">
        <v>68</v>
      </c>
      <c r="D321" s="5" t="s">
        <v>61</v>
      </c>
      <c r="E321" s="6" t="n">
        <v>330120</v>
      </c>
      <c r="F321" s="6" t="n">
        <v>315692</v>
      </c>
      <c r="G321" s="6" t="n">
        <v>192838</v>
      </c>
      <c r="H321" s="6" t="n">
        <v>178961</v>
      </c>
      <c r="I321" s="6" t="n">
        <v>55579</v>
      </c>
      <c r="J321" s="6" t="n">
        <v>58036</v>
      </c>
      <c r="K321" s="6" t="n">
        <v>10999</v>
      </c>
      <c r="L321" s="6" t="n">
        <v>9715</v>
      </c>
      <c r="M321" s="6" t="n">
        <v>3486</v>
      </c>
      <c r="N321" s="6" t="n">
        <v>3868</v>
      </c>
      <c r="O321" s="6" t="n">
        <v>7149</v>
      </c>
      <c r="P321" s="6" t="n">
        <v>6803</v>
      </c>
      <c r="Q321" s="6" t="n">
        <v>5437</v>
      </c>
      <c r="R321" s="6" t="n">
        <v>5202</v>
      </c>
      <c r="S321" s="6" t="n">
        <v>3386</v>
      </c>
      <c r="T321" s="6" t="n">
        <v>3125</v>
      </c>
      <c r="U321" s="6" t="n">
        <v>9842</v>
      </c>
      <c r="V321" s="6" t="n">
        <v>9688</v>
      </c>
    </row>
    <row r="322" customFormat="false" ht="15" hidden="false" customHeight="false" outlineLevel="0" collapsed="false">
      <c r="A322" s="5" t="s">
        <v>78</v>
      </c>
      <c r="B322" s="6" t="s">
        <v>74</v>
      </c>
      <c r="C322" s="5" t="s">
        <v>69</v>
      </c>
      <c r="D322" s="5" t="s">
        <v>61</v>
      </c>
      <c r="E322" s="6" t="n">
        <v>334605</v>
      </c>
      <c r="F322" s="6" t="n">
        <v>335471</v>
      </c>
      <c r="G322" s="6" t="n">
        <v>199541</v>
      </c>
      <c r="H322" s="6" t="n">
        <v>203079</v>
      </c>
      <c r="I322" s="6" t="n">
        <v>56472</v>
      </c>
      <c r="J322" s="6" t="n">
        <v>56081</v>
      </c>
      <c r="K322" s="6" t="n">
        <v>10431</v>
      </c>
      <c r="L322" s="6" t="n">
        <v>9572</v>
      </c>
      <c r="M322" s="6" t="n">
        <v>3503</v>
      </c>
      <c r="N322" s="6" t="n">
        <v>3271</v>
      </c>
      <c r="O322" s="6" t="n">
        <v>8299</v>
      </c>
      <c r="P322" s="6" t="n">
        <v>8049</v>
      </c>
      <c r="Q322" s="6" t="n">
        <v>4185</v>
      </c>
      <c r="R322" s="6" t="n">
        <v>4120</v>
      </c>
      <c r="S322" s="6" t="n">
        <v>2984</v>
      </c>
      <c r="T322" s="6" t="n">
        <v>3330</v>
      </c>
      <c r="U322" s="6" t="n">
        <v>7103</v>
      </c>
      <c r="V322" s="6" t="n">
        <v>7192</v>
      </c>
    </row>
    <row r="323" customFormat="false" ht="15" hidden="false" customHeight="false" outlineLevel="0" collapsed="false">
      <c r="A323" s="5" t="s">
        <v>78</v>
      </c>
      <c r="B323" s="6" t="s">
        <v>74</v>
      </c>
      <c r="C323" s="5" t="s">
        <v>70</v>
      </c>
      <c r="D323" s="5" t="s">
        <v>61</v>
      </c>
      <c r="E323" s="6" t="n">
        <v>320754</v>
      </c>
      <c r="F323" s="6" t="n">
        <v>319494</v>
      </c>
      <c r="G323" s="6" t="n">
        <v>178832</v>
      </c>
      <c r="H323" s="6" t="n">
        <v>181659</v>
      </c>
      <c r="I323" s="6" t="n">
        <v>52603</v>
      </c>
      <c r="J323" s="6" t="n">
        <v>56495</v>
      </c>
      <c r="K323" s="6" t="n">
        <v>10306</v>
      </c>
      <c r="L323" s="6" t="n">
        <v>11669</v>
      </c>
      <c r="M323" s="6" t="n">
        <v>2713</v>
      </c>
      <c r="N323" s="6" t="n">
        <v>3380</v>
      </c>
      <c r="O323" s="6" t="n">
        <v>7242</v>
      </c>
      <c r="P323" s="6" t="n">
        <v>6767</v>
      </c>
      <c r="Q323" s="6" t="n">
        <v>6153</v>
      </c>
      <c r="R323" s="6" t="n">
        <v>6023</v>
      </c>
      <c r="S323" s="6" t="n">
        <v>3766</v>
      </c>
      <c r="T323" s="6" t="n">
        <v>3260</v>
      </c>
      <c r="U323" s="6" t="n">
        <v>7300</v>
      </c>
      <c r="V323" s="6" t="n">
        <v>7386</v>
      </c>
    </row>
    <row r="324" customFormat="false" ht="15" hidden="false" customHeight="false" outlineLevel="0" collapsed="false">
      <c r="A324" s="5" t="s">
        <v>78</v>
      </c>
      <c r="B324" s="6" t="s">
        <v>74</v>
      </c>
      <c r="C324" s="5" t="s">
        <v>71</v>
      </c>
      <c r="D324" s="5" t="s">
        <v>61</v>
      </c>
      <c r="E324" s="6" t="n">
        <v>337253</v>
      </c>
      <c r="F324" s="6" t="n">
        <v>322730</v>
      </c>
      <c r="G324" s="6" t="n">
        <v>192653</v>
      </c>
      <c r="H324" s="6" t="n">
        <v>188024</v>
      </c>
      <c r="I324" s="6" t="n">
        <v>50182</v>
      </c>
      <c r="J324" s="6" t="n">
        <v>54029</v>
      </c>
      <c r="K324" s="6" t="n">
        <v>9484</v>
      </c>
      <c r="L324" s="6" t="n">
        <v>8437</v>
      </c>
      <c r="M324" s="6" t="n">
        <v>3517</v>
      </c>
      <c r="N324" s="6" t="n">
        <v>3594</v>
      </c>
      <c r="O324" s="6" t="n">
        <v>8245</v>
      </c>
      <c r="P324" s="6" t="n">
        <v>8018</v>
      </c>
      <c r="Q324" s="6" t="n">
        <v>4217</v>
      </c>
      <c r="R324" s="6" t="n">
        <v>4374</v>
      </c>
      <c r="S324" s="6" t="n">
        <v>2494</v>
      </c>
      <c r="T324" s="6" t="n">
        <v>3413</v>
      </c>
      <c r="U324" s="6" t="n">
        <v>8919</v>
      </c>
      <c r="V324" s="6" t="n">
        <v>8872</v>
      </c>
    </row>
    <row r="325" customFormat="false" ht="15" hidden="false" customHeight="false" outlineLevel="0" collapsed="false">
      <c r="A325" s="5" t="s">
        <v>78</v>
      </c>
      <c r="B325" s="6" t="s">
        <v>74</v>
      </c>
      <c r="C325" s="5" t="s">
        <v>72</v>
      </c>
      <c r="D325" s="5" t="s">
        <v>61</v>
      </c>
      <c r="E325" s="6" t="n">
        <v>352210</v>
      </c>
      <c r="F325" s="6" t="n">
        <v>346143</v>
      </c>
      <c r="G325" s="6" t="n">
        <v>197089</v>
      </c>
      <c r="H325" s="6" t="n">
        <v>197041</v>
      </c>
      <c r="I325" s="6" t="n">
        <v>56673</v>
      </c>
      <c r="J325" s="6" t="n">
        <v>60221</v>
      </c>
      <c r="K325" s="6" t="n">
        <v>9397</v>
      </c>
      <c r="L325" s="6" t="n">
        <v>8845</v>
      </c>
      <c r="M325" s="6" t="n">
        <v>3143</v>
      </c>
      <c r="N325" s="6" t="n">
        <v>3755</v>
      </c>
      <c r="O325" s="6" t="n">
        <v>6945</v>
      </c>
      <c r="P325" s="6" t="n">
        <v>6714</v>
      </c>
      <c r="Q325" s="6" t="n">
        <v>5591</v>
      </c>
      <c r="R325" s="6" t="n">
        <v>5854</v>
      </c>
      <c r="S325" s="6" t="n">
        <v>3740</v>
      </c>
      <c r="T325" s="6" t="n">
        <v>3098</v>
      </c>
      <c r="U325" s="6" t="n">
        <v>8288</v>
      </c>
      <c r="V325" s="6" t="n">
        <v>8266</v>
      </c>
    </row>
    <row r="326" customFormat="false" ht="15" hidden="false" customHeight="false" outlineLevel="0" collapsed="false">
      <c r="A326" s="5" t="s">
        <v>78</v>
      </c>
      <c r="B326" s="6" t="s">
        <v>75</v>
      </c>
      <c r="C326" s="5" t="s">
        <v>34</v>
      </c>
      <c r="D326" s="5" t="s">
        <v>35</v>
      </c>
      <c r="E326" s="6" t="n">
        <v>113501</v>
      </c>
      <c r="F326" s="6" t="n">
        <v>116503</v>
      </c>
      <c r="G326" s="6" t="n">
        <v>67918</v>
      </c>
      <c r="H326" s="6" t="n">
        <v>72274</v>
      </c>
      <c r="I326" s="6" t="n">
        <v>18249</v>
      </c>
      <c r="J326" s="6" t="n">
        <v>19039</v>
      </c>
      <c r="K326" s="6" t="n">
        <v>2531</v>
      </c>
      <c r="L326" s="6" t="n">
        <v>2332</v>
      </c>
      <c r="M326" s="6" t="n">
        <v>941</v>
      </c>
      <c r="N326" s="6" t="n">
        <v>902</v>
      </c>
      <c r="O326" s="6" t="n">
        <v>2187</v>
      </c>
      <c r="P326" s="6" t="n">
        <v>2115</v>
      </c>
      <c r="Q326" s="6" t="n">
        <v>1530</v>
      </c>
      <c r="R326" s="6" t="n">
        <v>1540</v>
      </c>
      <c r="S326" s="6" t="n">
        <v>705</v>
      </c>
      <c r="T326" s="6" t="n">
        <v>698</v>
      </c>
      <c r="U326" s="6" t="n">
        <v>2660</v>
      </c>
      <c r="V326" s="6" t="n">
        <v>2640</v>
      </c>
    </row>
    <row r="327" customFormat="false" ht="15" hidden="false" customHeight="false" outlineLevel="0" collapsed="false">
      <c r="A327" s="5" t="s">
        <v>78</v>
      </c>
      <c r="B327" s="6" t="s">
        <v>75</v>
      </c>
      <c r="C327" s="5" t="s">
        <v>36</v>
      </c>
      <c r="D327" s="5" t="s">
        <v>35</v>
      </c>
      <c r="E327" s="6" t="n">
        <v>112561</v>
      </c>
      <c r="F327" s="6" t="n">
        <v>117311</v>
      </c>
      <c r="G327" s="6" t="n">
        <v>62820</v>
      </c>
      <c r="H327" s="6" t="n">
        <v>68523</v>
      </c>
      <c r="I327" s="6" t="n">
        <v>17125</v>
      </c>
      <c r="J327" s="6" t="n">
        <v>17552</v>
      </c>
      <c r="K327" s="6" t="n">
        <v>2497</v>
      </c>
      <c r="L327" s="6" t="n">
        <v>2466</v>
      </c>
      <c r="M327" s="6" t="n">
        <v>1153</v>
      </c>
      <c r="N327" s="6" t="n">
        <v>925</v>
      </c>
      <c r="O327" s="6" t="n">
        <v>2857</v>
      </c>
      <c r="P327" s="6" t="n">
        <v>3130</v>
      </c>
      <c r="Q327" s="6" t="n">
        <v>1649</v>
      </c>
      <c r="R327" s="6" t="n">
        <v>1683</v>
      </c>
      <c r="S327" s="6" t="n">
        <v>995</v>
      </c>
      <c r="T327" s="6" t="n">
        <v>969</v>
      </c>
      <c r="U327" s="6" t="n">
        <v>3314</v>
      </c>
      <c r="V327" s="6" t="n">
        <v>3410</v>
      </c>
    </row>
    <row r="328" customFormat="false" ht="15" hidden="false" customHeight="false" outlineLevel="0" collapsed="false">
      <c r="A328" s="5" t="s">
        <v>78</v>
      </c>
      <c r="B328" s="6" t="s">
        <v>75</v>
      </c>
      <c r="C328" s="5" t="s">
        <v>37</v>
      </c>
      <c r="D328" s="5" t="s">
        <v>35</v>
      </c>
      <c r="E328" s="6" t="n">
        <v>113275</v>
      </c>
      <c r="F328" s="6" t="n">
        <v>118284</v>
      </c>
      <c r="G328" s="6" t="n">
        <v>65010</v>
      </c>
      <c r="H328" s="6" t="n">
        <v>70883</v>
      </c>
      <c r="I328" s="6" t="n">
        <v>17361</v>
      </c>
      <c r="J328" s="6" t="n">
        <v>18156</v>
      </c>
      <c r="K328" s="6" t="n">
        <v>3509</v>
      </c>
      <c r="L328" s="6" t="n">
        <v>3930</v>
      </c>
      <c r="M328" s="6" t="n">
        <v>1017</v>
      </c>
      <c r="N328" s="6" t="n">
        <v>1094</v>
      </c>
      <c r="O328" s="6" t="n">
        <v>2388</v>
      </c>
      <c r="P328" s="6" t="n">
        <v>2370</v>
      </c>
      <c r="Q328" s="6" t="n">
        <v>2121</v>
      </c>
      <c r="R328" s="6" t="n">
        <v>2110</v>
      </c>
      <c r="S328" s="6" t="n">
        <v>743</v>
      </c>
      <c r="T328" s="6" t="n">
        <v>619</v>
      </c>
      <c r="U328" s="6" t="n">
        <v>2992</v>
      </c>
      <c r="V328" s="6" t="n">
        <v>3007</v>
      </c>
    </row>
    <row r="329" customFormat="false" ht="15" hidden="false" customHeight="false" outlineLevel="0" collapsed="false">
      <c r="A329" s="5" t="s">
        <v>78</v>
      </c>
      <c r="B329" s="6" t="s">
        <v>75</v>
      </c>
      <c r="C329" s="5" t="s">
        <v>38</v>
      </c>
      <c r="D329" s="5" t="s">
        <v>35</v>
      </c>
      <c r="E329" s="6" t="n">
        <v>123741</v>
      </c>
      <c r="F329" s="6" t="n">
        <v>117593</v>
      </c>
      <c r="G329" s="6" t="n">
        <v>68884</v>
      </c>
      <c r="H329" s="6" t="n">
        <v>63242</v>
      </c>
      <c r="I329" s="6" t="n">
        <v>19322</v>
      </c>
      <c r="J329" s="6" t="n">
        <v>19689</v>
      </c>
      <c r="K329" s="6" t="n">
        <v>3721</v>
      </c>
      <c r="L329" s="6" t="n">
        <v>3260</v>
      </c>
      <c r="M329" s="6" t="n">
        <v>1433</v>
      </c>
      <c r="N329" s="6" t="n">
        <v>1286</v>
      </c>
      <c r="O329" s="6" t="n">
        <v>2621</v>
      </c>
      <c r="P329" s="6" t="n">
        <v>2697</v>
      </c>
      <c r="Q329" s="6" t="n">
        <v>2419</v>
      </c>
      <c r="R329" s="6" t="n">
        <v>2518</v>
      </c>
      <c r="S329" s="6" t="n">
        <v>1011</v>
      </c>
      <c r="T329" s="6" t="n">
        <v>899</v>
      </c>
      <c r="U329" s="6" t="n">
        <v>3531</v>
      </c>
      <c r="V329" s="6" t="n">
        <v>3503</v>
      </c>
    </row>
    <row r="330" customFormat="false" ht="15" hidden="false" customHeight="false" outlineLevel="0" collapsed="false">
      <c r="A330" s="5" t="s">
        <v>78</v>
      </c>
      <c r="B330" s="6" t="s">
        <v>75</v>
      </c>
      <c r="C330" s="5" t="s">
        <v>39</v>
      </c>
      <c r="D330" s="5" t="s">
        <v>35</v>
      </c>
      <c r="E330" s="6" t="n">
        <v>114579</v>
      </c>
      <c r="F330" s="6" t="n">
        <v>117618</v>
      </c>
      <c r="G330" s="6" t="n">
        <v>64288</v>
      </c>
      <c r="H330" s="6" t="n">
        <v>69390</v>
      </c>
      <c r="I330" s="6" t="n">
        <v>19046</v>
      </c>
      <c r="J330" s="6" t="n">
        <v>18658</v>
      </c>
      <c r="K330" s="6" t="n">
        <v>3543</v>
      </c>
      <c r="L330" s="6" t="n">
        <v>3484</v>
      </c>
      <c r="M330" s="6" t="n">
        <v>1713</v>
      </c>
      <c r="N330" s="6" t="n">
        <v>2059</v>
      </c>
      <c r="O330" s="6" t="n">
        <v>2393</v>
      </c>
      <c r="P330" s="6" t="n">
        <v>2549</v>
      </c>
      <c r="Q330" s="6" t="n">
        <v>2264</v>
      </c>
      <c r="R330" s="6" t="n">
        <v>2247</v>
      </c>
      <c r="S330" s="6" t="n">
        <v>1304</v>
      </c>
      <c r="T330" s="6" t="n">
        <v>1152</v>
      </c>
      <c r="U330" s="6" t="n">
        <v>2964</v>
      </c>
      <c r="V330" s="6" t="n">
        <v>2890</v>
      </c>
    </row>
    <row r="331" customFormat="false" ht="15" hidden="false" customHeight="false" outlineLevel="0" collapsed="false">
      <c r="A331" s="5" t="s">
        <v>78</v>
      </c>
      <c r="B331" s="6" t="s">
        <v>75</v>
      </c>
      <c r="C331" s="5" t="s">
        <v>40</v>
      </c>
      <c r="D331" s="5" t="s">
        <v>35</v>
      </c>
      <c r="E331" s="6" t="n">
        <v>128319</v>
      </c>
      <c r="F331" s="6" t="n">
        <v>128711</v>
      </c>
      <c r="G331" s="6" t="n">
        <v>75971</v>
      </c>
      <c r="H331" s="6" t="n">
        <v>79979</v>
      </c>
      <c r="I331" s="6" t="n">
        <v>18219</v>
      </c>
      <c r="J331" s="6" t="n">
        <v>19597</v>
      </c>
      <c r="K331" s="6" t="n">
        <v>4022</v>
      </c>
      <c r="L331" s="6" t="n">
        <v>3525</v>
      </c>
      <c r="M331" s="6" t="n">
        <v>1394</v>
      </c>
      <c r="N331" s="6" t="n">
        <v>1753</v>
      </c>
      <c r="O331" s="6" t="n">
        <v>2842</v>
      </c>
      <c r="P331" s="6" t="n">
        <v>2899</v>
      </c>
      <c r="Q331" s="6" t="n">
        <v>2269</v>
      </c>
      <c r="R331" s="6" t="n">
        <v>2327</v>
      </c>
      <c r="S331" s="6" t="n">
        <v>875</v>
      </c>
      <c r="T331" s="6" t="n">
        <v>798</v>
      </c>
      <c r="U331" s="6" t="n">
        <v>3056</v>
      </c>
      <c r="V331" s="6" t="n">
        <v>3066</v>
      </c>
    </row>
    <row r="332" customFormat="false" ht="15" hidden="false" customHeight="false" outlineLevel="0" collapsed="false">
      <c r="A332" s="5" t="s">
        <v>78</v>
      </c>
      <c r="B332" s="6" t="s">
        <v>75</v>
      </c>
      <c r="C332" s="5" t="s">
        <v>41</v>
      </c>
      <c r="D332" s="5" t="s">
        <v>35</v>
      </c>
      <c r="E332" s="6" t="n">
        <v>119850</v>
      </c>
      <c r="F332" s="6" t="n">
        <v>115335</v>
      </c>
      <c r="G332" s="6" t="n">
        <v>70721</v>
      </c>
      <c r="H332" s="6" t="n">
        <v>67502</v>
      </c>
      <c r="I332" s="6" t="n">
        <v>18790</v>
      </c>
      <c r="J332" s="6" t="n">
        <v>19184</v>
      </c>
      <c r="K332" s="6" t="n">
        <v>2445</v>
      </c>
      <c r="L332" s="6" t="n">
        <v>2080</v>
      </c>
      <c r="M332" s="6" t="n">
        <v>1179</v>
      </c>
      <c r="N332" s="6" t="n">
        <v>1507</v>
      </c>
      <c r="O332" s="6" t="n">
        <v>3157</v>
      </c>
      <c r="P332" s="6" t="n">
        <v>3173</v>
      </c>
      <c r="Q332" s="6" t="n">
        <v>2065</v>
      </c>
      <c r="R332" s="6" t="n">
        <v>2146</v>
      </c>
      <c r="S332" s="6" t="n">
        <v>1019</v>
      </c>
      <c r="T332" s="6" t="n">
        <v>1116</v>
      </c>
      <c r="U332" s="6" t="n">
        <v>3221</v>
      </c>
      <c r="V332" s="6" t="n">
        <v>3172</v>
      </c>
    </row>
    <row r="333" customFormat="false" ht="15" hidden="false" customHeight="false" outlineLevel="0" collapsed="false">
      <c r="A333" s="5" t="s">
        <v>78</v>
      </c>
      <c r="B333" s="6" t="s">
        <v>75</v>
      </c>
      <c r="C333" s="5" t="s">
        <v>42</v>
      </c>
      <c r="D333" s="5" t="s">
        <v>35</v>
      </c>
      <c r="E333" s="6" t="n">
        <v>111131</v>
      </c>
      <c r="F333" s="6" t="n">
        <v>114184</v>
      </c>
      <c r="G333" s="6" t="n">
        <v>66641</v>
      </c>
      <c r="H333" s="6" t="n">
        <v>66569</v>
      </c>
      <c r="I333" s="6" t="n">
        <v>18044</v>
      </c>
      <c r="J333" s="6" t="n">
        <v>18656</v>
      </c>
      <c r="K333" s="6" t="n">
        <v>3165</v>
      </c>
      <c r="L333" s="6" t="n">
        <v>3515</v>
      </c>
      <c r="M333" s="6" t="n">
        <v>1378</v>
      </c>
      <c r="N333" s="6" t="n">
        <v>1430</v>
      </c>
      <c r="O333" s="6" t="n">
        <v>2772</v>
      </c>
      <c r="P333" s="6" t="n">
        <v>2610</v>
      </c>
      <c r="Q333" s="6" t="n">
        <v>1789</v>
      </c>
      <c r="R333" s="6" t="n">
        <v>1802</v>
      </c>
      <c r="S333" s="6" t="n">
        <v>1230</v>
      </c>
      <c r="T333" s="6" t="n">
        <v>1104</v>
      </c>
      <c r="U333" s="6" t="n">
        <v>2288</v>
      </c>
      <c r="V333" s="6" t="n">
        <v>2263</v>
      </c>
    </row>
    <row r="334" customFormat="false" ht="15" hidden="false" customHeight="false" outlineLevel="0" collapsed="false">
      <c r="A334" s="5" t="s">
        <v>78</v>
      </c>
      <c r="B334" s="6" t="s">
        <v>75</v>
      </c>
      <c r="C334" s="5" t="s">
        <v>43</v>
      </c>
      <c r="D334" s="5" t="s">
        <v>35</v>
      </c>
      <c r="E334" s="6" t="n">
        <v>122731</v>
      </c>
      <c r="F334" s="6" t="n">
        <v>128345</v>
      </c>
      <c r="G334" s="6" t="n">
        <v>67477</v>
      </c>
      <c r="H334" s="6" t="n">
        <v>69747</v>
      </c>
      <c r="I334" s="6" t="n">
        <v>18727</v>
      </c>
      <c r="J334" s="6" t="n">
        <v>20044</v>
      </c>
      <c r="K334" s="6" t="n">
        <v>3110</v>
      </c>
      <c r="L334" s="6" t="n">
        <v>2914</v>
      </c>
      <c r="M334" s="6" t="n">
        <v>1437</v>
      </c>
      <c r="N334" s="6" t="n">
        <v>1822</v>
      </c>
      <c r="O334" s="6" t="n">
        <v>2840</v>
      </c>
      <c r="P334" s="6" t="n">
        <v>3005</v>
      </c>
      <c r="Q334" s="6" t="n">
        <v>1653</v>
      </c>
      <c r="R334" s="6" t="n">
        <v>1586</v>
      </c>
      <c r="S334" s="6" t="n">
        <v>1291</v>
      </c>
      <c r="T334" s="6" t="n">
        <v>1454</v>
      </c>
      <c r="U334" s="6" t="n">
        <v>3525</v>
      </c>
      <c r="V334" s="6" t="n">
        <v>3594</v>
      </c>
    </row>
    <row r="335" customFormat="false" ht="15" hidden="false" customHeight="false" outlineLevel="0" collapsed="false">
      <c r="A335" s="5" t="s">
        <v>78</v>
      </c>
      <c r="B335" s="6" t="s">
        <v>75</v>
      </c>
      <c r="C335" s="5" t="s">
        <v>44</v>
      </c>
      <c r="D335" s="5" t="s">
        <v>35</v>
      </c>
      <c r="E335" s="6" t="n">
        <v>115201</v>
      </c>
      <c r="F335" s="6" t="n">
        <v>118018</v>
      </c>
      <c r="G335" s="6" t="n">
        <v>66946</v>
      </c>
      <c r="H335" s="6" t="n">
        <v>70285</v>
      </c>
      <c r="I335" s="6" t="n">
        <v>16459</v>
      </c>
      <c r="J335" s="6" t="n">
        <v>17015</v>
      </c>
      <c r="K335" s="6" t="n">
        <v>3727</v>
      </c>
      <c r="L335" s="6" t="n">
        <v>3182</v>
      </c>
      <c r="M335" s="6" t="n">
        <v>1339</v>
      </c>
      <c r="N335" s="6" t="n">
        <v>1321</v>
      </c>
      <c r="O335" s="6" t="n">
        <v>2632</v>
      </c>
      <c r="P335" s="6" t="n">
        <v>2583</v>
      </c>
      <c r="Q335" s="6" t="n">
        <v>2222</v>
      </c>
      <c r="R335" s="6" t="n">
        <v>2134</v>
      </c>
      <c r="S335" s="6" t="n">
        <v>798</v>
      </c>
      <c r="T335" s="6" t="n">
        <v>744</v>
      </c>
      <c r="U335" s="6" t="n">
        <v>2521</v>
      </c>
      <c r="V335" s="6" t="n">
        <v>2581</v>
      </c>
    </row>
    <row r="336" customFormat="false" ht="15" hidden="false" customHeight="false" outlineLevel="0" collapsed="false">
      <c r="A336" s="5" t="s">
        <v>78</v>
      </c>
      <c r="B336" s="6" t="s">
        <v>75</v>
      </c>
      <c r="C336" s="5" t="s">
        <v>45</v>
      </c>
      <c r="D336" s="5" t="s">
        <v>35</v>
      </c>
      <c r="E336" s="6" t="n">
        <v>123926</v>
      </c>
      <c r="F336" s="6" t="n">
        <v>119186</v>
      </c>
      <c r="G336" s="6" t="n">
        <v>70829</v>
      </c>
      <c r="H336" s="6" t="n">
        <v>68907</v>
      </c>
      <c r="I336" s="6" t="n">
        <v>19399</v>
      </c>
      <c r="J336" s="6" t="n">
        <v>20431</v>
      </c>
      <c r="K336" s="6" t="n">
        <v>2690</v>
      </c>
      <c r="L336" s="6" t="n">
        <v>2658</v>
      </c>
      <c r="M336" s="6" t="n">
        <v>1058</v>
      </c>
      <c r="N336" s="6" t="n">
        <v>1280</v>
      </c>
      <c r="O336" s="6" t="n">
        <v>3375</v>
      </c>
      <c r="P336" s="6" t="n">
        <v>3396</v>
      </c>
      <c r="Q336" s="6" t="n">
        <v>1796</v>
      </c>
      <c r="R336" s="6" t="n">
        <v>1771</v>
      </c>
      <c r="S336" s="6" t="n">
        <v>1351</v>
      </c>
      <c r="T336" s="6" t="n">
        <v>1802</v>
      </c>
      <c r="U336" s="6" t="n">
        <v>3219</v>
      </c>
      <c r="V336" s="6" t="n">
        <v>3270</v>
      </c>
    </row>
    <row r="337" customFormat="false" ht="15" hidden="false" customHeight="false" outlineLevel="0" collapsed="false">
      <c r="A337" s="5" t="s">
        <v>78</v>
      </c>
      <c r="B337" s="6" t="s">
        <v>75</v>
      </c>
      <c r="C337" s="5" t="s">
        <v>46</v>
      </c>
      <c r="D337" s="5" t="s">
        <v>35</v>
      </c>
      <c r="E337" s="6" t="n">
        <v>134438</v>
      </c>
      <c r="F337" s="6" t="n">
        <v>131135</v>
      </c>
      <c r="G337" s="6" t="n">
        <v>72829</v>
      </c>
      <c r="H337" s="6" t="n">
        <v>73757</v>
      </c>
      <c r="I337" s="6" t="n">
        <v>19718</v>
      </c>
      <c r="J337" s="6" t="n">
        <v>20985</v>
      </c>
      <c r="K337" s="6" t="n">
        <v>2976</v>
      </c>
      <c r="L337" s="6" t="n">
        <v>2732</v>
      </c>
      <c r="M337" s="6" t="n">
        <v>1193</v>
      </c>
      <c r="N337" s="6" t="n">
        <v>1032</v>
      </c>
      <c r="O337" s="6" t="n">
        <v>2526</v>
      </c>
      <c r="P337" s="6" t="n">
        <v>2638</v>
      </c>
      <c r="Q337" s="6" t="n">
        <v>2456</v>
      </c>
      <c r="R337" s="6" t="n">
        <v>2352</v>
      </c>
      <c r="S337" s="6" t="n">
        <v>1432</v>
      </c>
      <c r="T337" s="6" t="n">
        <v>1796</v>
      </c>
      <c r="U337" s="6" t="n">
        <v>2746</v>
      </c>
      <c r="V337" s="6" t="n">
        <v>2681</v>
      </c>
    </row>
    <row r="338" customFormat="false" ht="15" hidden="false" customHeight="false" outlineLevel="0" collapsed="false">
      <c r="A338" s="5" t="s">
        <v>78</v>
      </c>
      <c r="B338" s="6" t="s">
        <v>75</v>
      </c>
      <c r="C338" s="5" t="s">
        <v>47</v>
      </c>
      <c r="D338" s="5" t="s">
        <v>48</v>
      </c>
      <c r="E338" s="6" t="n">
        <v>121298</v>
      </c>
      <c r="F338" s="6" t="n">
        <v>121102</v>
      </c>
      <c r="G338" s="6" t="n">
        <v>65932</v>
      </c>
      <c r="H338" s="6" t="n">
        <v>64124</v>
      </c>
      <c r="I338" s="6" t="n">
        <v>17902</v>
      </c>
      <c r="J338" s="6" t="n">
        <v>17495</v>
      </c>
      <c r="K338" s="6" t="n">
        <v>3641</v>
      </c>
      <c r="L338" s="6" t="n">
        <v>3919</v>
      </c>
      <c r="M338" s="6" t="n">
        <v>1635</v>
      </c>
      <c r="N338" s="6" t="n">
        <v>2060</v>
      </c>
      <c r="O338" s="6" t="n">
        <v>2433</v>
      </c>
      <c r="P338" s="6" t="n">
        <v>2633</v>
      </c>
      <c r="Q338" s="6" t="n">
        <v>1635</v>
      </c>
      <c r="R338" s="6" t="n">
        <v>1611</v>
      </c>
      <c r="S338" s="6" t="n">
        <v>794</v>
      </c>
      <c r="T338" s="6" t="n">
        <v>1038</v>
      </c>
      <c r="U338" s="6" t="n">
        <v>3568</v>
      </c>
      <c r="V338" s="6" t="n">
        <v>3664</v>
      </c>
    </row>
    <row r="339" customFormat="false" ht="15" hidden="false" customHeight="false" outlineLevel="0" collapsed="false">
      <c r="A339" s="5" t="s">
        <v>78</v>
      </c>
      <c r="B339" s="6" t="s">
        <v>75</v>
      </c>
      <c r="C339" s="5" t="s">
        <v>49</v>
      </c>
      <c r="D339" s="5" t="s">
        <v>48</v>
      </c>
      <c r="E339" s="6" t="n">
        <v>116077</v>
      </c>
      <c r="F339" s="6" t="n">
        <v>121006</v>
      </c>
      <c r="G339" s="6" t="n">
        <v>66168</v>
      </c>
      <c r="H339" s="6" t="n">
        <v>70966</v>
      </c>
      <c r="I339" s="6" t="n">
        <v>17093</v>
      </c>
      <c r="J339" s="6" t="n">
        <v>17652</v>
      </c>
      <c r="K339" s="6" t="n">
        <v>2494</v>
      </c>
      <c r="L339" s="6" t="n">
        <v>2552</v>
      </c>
      <c r="M339" s="6" t="n">
        <v>940</v>
      </c>
      <c r="N339" s="6" t="n">
        <v>854</v>
      </c>
      <c r="O339" s="6" t="n">
        <v>2312</v>
      </c>
      <c r="P339" s="6" t="n">
        <v>2244</v>
      </c>
      <c r="Q339" s="6" t="n">
        <v>2230</v>
      </c>
      <c r="R339" s="6" t="n">
        <v>2238</v>
      </c>
      <c r="S339" s="6" t="n">
        <v>1375</v>
      </c>
      <c r="T339" s="6" t="n">
        <v>1181</v>
      </c>
      <c r="U339" s="6" t="n">
        <v>2570</v>
      </c>
      <c r="V339" s="6" t="n">
        <v>2571</v>
      </c>
    </row>
    <row r="340" customFormat="false" ht="15" hidden="false" customHeight="false" outlineLevel="0" collapsed="false">
      <c r="A340" s="5" t="s">
        <v>78</v>
      </c>
      <c r="B340" s="6" t="s">
        <v>75</v>
      </c>
      <c r="C340" s="5" t="s">
        <v>50</v>
      </c>
      <c r="D340" s="5" t="s">
        <v>48</v>
      </c>
      <c r="E340" s="6" t="n">
        <v>120696</v>
      </c>
      <c r="F340" s="6" t="n">
        <v>122662</v>
      </c>
      <c r="G340" s="6" t="n">
        <v>69444</v>
      </c>
      <c r="H340" s="6" t="n">
        <v>70818</v>
      </c>
      <c r="I340" s="6" t="n">
        <v>20365</v>
      </c>
      <c r="J340" s="6" t="n">
        <v>20159</v>
      </c>
      <c r="K340" s="6" t="n">
        <v>3056</v>
      </c>
      <c r="L340" s="6" t="n">
        <v>2946</v>
      </c>
      <c r="M340" s="6" t="n">
        <v>1147</v>
      </c>
      <c r="N340" s="6" t="n">
        <v>1048</v>
      </c>
      <c r="O340" s="6" t="n">
        <v>2309</v>
      </c>
      <c r="P340" s="6" t="n">
        <v>2534</v>
      </c>
      <c r="Q340" s="6" t="n">
        <v>1568</v>
      </c>
      <c r="R340" s="6" t="n">
        <v>1507</v>
      </c>
      <c r="S340" s="6" t="n">
        <v>823</v>
      </c>
      <c r="T340" s="6" t="n">
        <v>1035</v>
      </c>
      <c r="U340" s="6" t="n">
        <v>3265</v>
      </c>
      <c r="V340" s="6" t="n">
        <v>3276</v>
      </c>
    </row>
    <row r="341" customFormat="false" ht="15" hidden="false" customHeight="false" outlineLevel="0" collapsed="false">
      <c r="A341" s="5" t="s">
        <v>78</v>
      </c>
      <c r="B341" s="6" t="s">
        <v>75</v>
      </c>
      <c r="C341" s="5" t="s">
        <v>51</v>
      </c>
      <c r="D341" s="5" t="s">
        <v>48</v>
      </c>
      <c r="E341" s="6" t="n">
        <v>118553</v>
      </c>
      <c r="F341" s="6" t="n">
        <v>121050</v>
      </c>
      <c r="G341" s="6" t="n">
        <v>64842</v>
      </c>
      <c r="H341" s="6" t="n">
        <v>65503</v>
      </c>
      <c r="I341" s="6" t="n">
        <v>18733</v>
      </c>
      <c r="J341" s="6" t="n">
        <v>18814</v>
      </c>
      <c r="K341" s="6" t="n">
        <v>4107</v>
      </c>
      <c r="L341" s="6" t="n">
        <v>4038</v>
      </c>
      <c r="M341" s="6" t="n">
        <v>1408</v>
      </c>
      <c r="N341" s="6" t="n">
        <v>1331</v>
      </c>
      <c r="O341" s="6" t="n">
        <v>3148</v>
      </c>
      <c r="P341" s="6" t="n">
        <v>3003</v>
      </c>
      <c r="Q341" s="6" t="n">
        <v>1489</v>
      </c>
      <c r="R341" s="6" t="n">
        <v>1540</v>
      </c>
      <c r="S341" s="6" t="n">
        <v>1050</v>
      </c>
      <c r="T341" s="6" t="n">
        <v>1268</v>
      </c>
      <c r="U341" s="6" t="n">
        <v>2584</v>
      </c>
      <c r="V341" s="6" t="n">
        <v>2661</v>
      </c>
    </row>
    <row r="342" customFormat="false" ht="15" hidden="false" customHeight="false" outlineLevel="0" collapsed="false">
      <c r="A342" s="5" t="s">
        <v>78</v>
      </c>
      <c r="B342" s="6" t="s">
        <v>75</v>
      </c>
      <c r="C342" s="5" t="s">
        <v>52</v>
      </c>
      <c r="D342" s="5" t="s">
        <v>48</v>
      </c>
      <c r="E342" s="6" t="n">
        <v>115891</v>
      </c>
      <c r="F342" s="6" t="n">
        <v>121655</v>
      </c>
      <c r="G342" s="6" t="n">
        <v>65627</v>
      </c>
      <c r="H342" s="6" t="n">
        <v>70464</v>
      </c>
      <c r="I342" s="6" t="n">
        <v>16520</v>
      </c>
      <c r="J342" s="6" t="n">
        <v>16285</v>
      </c>
      <c r="K342" s="6" t="n">
        <v>3014</v>
      </c>
      <c r="L342" s="6" t="n">
        <v>3096</v>
      </c>
      <c r="M342" s="6" t="n">
        <v>1010</v>
      </c>
      <c r="N342" s="6" t="n">
        <v>1275</v>
      </c>
      <c r="O342" s="6" t="n">
        <v>3219</v>
      </c>
      <c r="P342" s="6" t="n">
        <v>2999</v>
      </c>
      <c r="Q342" s="6" t="n">
        <v>2295</v>
      </c>
      <c r="R342" s="6" t="n">
        <v>2258</v>
      </c>
      <c r="S342" s="6" t="n">
        <v>1109</v>
      </c>
      <c r="T342" s="6" t="n">
        <v>1546</v>
      </c>
      <c r="U342" s="6" t="n">
        <v>2460</v>
      </c>
      <c r="V342" s="6" t="n">
        <v>2510</v>
      </c>
    </row>
    <row r="343" customFormat="false" ht="15" hidden="false" customHeight="false" outlineLevel="0" collapsed="false">
      <c r="A343" s="5" t="s">
        <v>78</v>
      </c>
      <c r="B343" s="6" t="s">
        <v>75</v>
      </c>
      <c r="C343" s="5" t="s">
        <v>53</v>
      </c>
      <c r="D343" s="5" t="s">
        <v>48</v>
      </c>
      <c r="E343" s="6" t="n">
        <v>132305</v>
      </c>
      <c r="F343" s="6" t="n">
        <v>135917</v>
      </c>
      <c r="G343" s="6" t="n">
        <v>77109</v>
      </c>
      <c r="H343" s="6" t="n">
        <v>80450</v>
      </c>
      <c r="I343" s="6" t="n">
        <v>19606</v>
      </c>
      <c r="J343" s="6" t="n">
        <v>20720</v>
      </c>
      <c r="K343" s="6" t="n">
        <v>3924</v>
      </c>
      <c r="L343" s="6" t="n">
        <v>3807</v>
      </c>
      <c r="M343" s="6" t="n">
        <v>1499</v>
      </c>
      <c r="N343" s="6" t="n">
        <v>1651</v>
      </c>
      <c r="O343" s="6" t="n">
        <v>2917</v>
      </c>
      <c r="P343" s="6" t="n">
        <v>2938</v>
      </c>
      <c r="Q343" s="6" t="n">
        <v>1883</v>
      </c>
      <c r="R343" s="6" t="n">
        <v>1933</v>
      </c>
      <c r="S343" s="6" t="n">
        <v>880</v>
      </c>
      <c r="T343" s="6" t="n">
        <v>836</v>
      </c>
      <c r="U343" s="6" t="n">
        <v>3304</v>
      </c>
      <c r="V343" s="6" t="n">
        <v>3329</v>
      </c>
    </row>
    <row r="344" customFormat="false" ht="15" hidden="false" customHeight="false" outlineLevel="0" collapsed="false">
      <c r="A344" s="5" t="s">
        <v>78</v>
      </c>
      <c r="B344" s="6" t="s">
        <v>75</v>
      </c>
      <c r="C344" s="5" t="s">
        <v>54</v>
      </c>
      <c r="D344" s="5" t="s">
        <v>48</v>
      </c>
      <c r="E344" s="6" t="n">
        <v>116376</v>
      </c>
      <c r="F344" s="6" t="n">
        <v>122250</v>
      </c>
      <c r="G344" s="6" t="n">
        <v>63212</v>
      </c>
      <c r="H344" s="6" t="n">
        <v>64375</v>
      </c>
      <c r="I344" s="6" t="n">
        <v>18660</v>
      </c>
      <c r="J344" s="6" t="n">
        <v>20095</v>
      </c>
      <c r="K344" s="6" t="n">
        <v>2995</v>
      </c>
      <c r="L344" s="6" t="n">
        <v>3156</v>
      </c>
      <c r="M344" s="6" t="n">
        <v>1055</v>
      </c>
      <c r="N344" s="6" t="n">
        <v>1172</v>
      </c>
      <c r="O344" s="6" t="n">
        <v>2207</v>
      </c>
      <c r="P344" s="6" t="n">
        <v>2061</v>
      </c>
      <c r="Q344" s="6" t="n">
        <v>2096</v>
      </c>
      <c r="R344" s="6" t="n">
        <v>2152</v>
      </c>
      <c r="S344" s="6" t="n">
        <v>1252</v>
      </c>
      <c r="T344" s="6" t="n">
        <v>1153</v>
      </c>
      <c r="U344" s="6" t="n">
        <v>3098</v>
      </c>
      <c r="V344" s="6" t="n">
        <v>3096</v>
      </c>
    </row>
    <row r="345" customFormat="false" ht="15" hidden="false" customHeight="false" outlineLevel="0" collapsed="false">
      <c r="A345" s="5" t="s">
        <v>78</v>
      </c>
      <c r="B345" s="6" t="s">
        <v>75</v>
      </c>
      <c r="C345" s="5" t="s">
        <v>55</v>
      </c>
      <c r="D345" s="5" t="s">
        <v>48</v>
      </c>
      <c r="E345" s="6" t="n">
        <v>119446</v>
      </c>
      <c r="F345" s="6" t="n">
        <v>121730</v>
      </c>
      <c r="G345" s="6" t="n">
        <v>70662</v>
      </c>
      <c r="H345" s="6" t="n">
        <v>72905</v>
      </c>
      <c r="I345" s="6" t="n">
        <v>20136</v>
      </c>
      <c r="J345" s="6" t="n">
        <v>19602</v>
      </c>
      <c r="K345" s="6" t="n">
        <v>3160</v>
      </c>
      <c r="L345" s="6" t="n">
        <v>3553</v>
      </c>
      <c r="M345" s="6" t="n">
        <v>1276</v>
      </c>
      <c r="N345" s="6" t="n">
        <v>1221</v>
      </c>
      <c r="O345" s="6" t="n">
        <v>2600</v>
      </c>
      <c r="P345" s="6" t="n">
        <v>2607</v>
      </c>
      <c r="Q345" s="6" t="n">
        <v>1465</v>
      </c>
      <c r="R345" s="6" t="n">
        <v>1473</v>
      </c>
      <c r="S345" s="6" t="n">
        <v>1333</v>
      </c>
      <c r="T345" s="6" t="n">
        <v>1309</v>
      </c>
      <c r="U345" s="6" t="n">
        <v>3232</v>
      </c>
      <c r="V345" s="6" t="n">
        <v>3230</v>
      </c>
    </row>
    <row r="346" customFormat="false" ht="15" hidden="false" customHeight="false" outlineLevel="0" collapsed="false">
      <c r="A346" s="5" t="s">
        <v>78</v>
      </c>
      <c r="B346" s="6" t="s">
        <v>75</v>
      </c>
      <c r="C346" s="5" t="s">
        <v>56</v>
      </c>
      <c r="D346" s="5" t="s">
        <v>48</v>
      </c>
      <c r="E346" s="6" t="n">
        <v>136254</v>
      </c>
      <c r="F346" s="6" t="n">
        <v>132816</v>
      </c>
      <c r="G346" s="6" t="n">
        <v>77562</v>
      </c>
      <c r="H346" s="6" t="n">
        <v>73675</v>
      </c>
      <c r="I346" s="6" t="n">
        <v>21835</v>
      </c>
      <c r="J346" s="6" t="n">
        <v>22765</v>
      </c>
      <c r="K346" s="6" t="n">
        <v>4126</v>
      </c>
      <c r="L346" s="6" t="n">
        <v>4215</v>
      </c>
      <c r="M346" s="6" t="n">
        <v>1544</v>
      </c>
      <c r="N346" s="6" t="n">
        <v>1895</v>
      </c>
      <c r="O346" s="6" t="n">
        <v>3143</v>
      </c>
      <c r="P346" s="6" t="n">
        <v>3113</v>
      </c>
      <c r="Q346" s="6" t="n">
        <v>2174</v>
      </c>
      <c r="R346" s="6" t="n">
        <v>2276</v>
      </c>
      <c r="S346" s="6" t="n">
        <v>1322</v>
      </c>
      <c r="T346" s="6" t="n">
        <v>1337</v>
      </c>
      <c r="U346" s="6" t="n">
        <v>4057</v>
      </c>
      <c r="V346" s="6" t="n">
        <v>4013</v>
      </c>
    </row>
    <row r="347" customFormat="false" ht="15" hidden="false" customHeight="false" outlineLevel="0" collapsed="false">
      <c r="A347" s="5" t="s">
        <v>78</v>
      </c>
      <c r="B347" s="6" t="s">
        <v>75</v>
      </c>
      <c r="C347" s="5" t="s">
        <v>57</v>
      </c>
      <c r="D347" s="5" t="s">
        <v>48</v>
      </c>
      <c r="E347" s="6" t="n">
        <v>112451</v>
      </c>
      <c r="F347" s="6" t="n">
        <v>118944</v>
      </c>
      <c r="G347" s="6" t="n">
        <v>66370</v>
      </c>
      <c r="H347" s="6" t="n">
        <v>69899</v>
      </c>
      <c r="I347" s="6" t="n">
        <v>18246</v>
      </c>
      <c r="J347" s="6" t="n">
        <v>17753</v>
      </c>
      <c r="K347" s="6" t="n">
        <v>3753</v>
      </c>
      <c r="L347" s="6" t="n">
        <v>3574</v>
      </c>
      <c r="M347" s="6" t="n">
        <v>976</v>
      </c>
      <c r="N347" s="6" t="n">
        <v>949</v>
      </c>
      <c r="O347" s="6" t="n">
        <v>2426</v>
      </c>
      <c r="P347" s="6" t="n">
        <v>2385</v>
      </c>
      <c r="Q347" s="6" t="n">
        <v>1944</v>
      </c>
      <c r="R347" s="6" t="n">
        <v>1895</v>
      </c>
      <c r="S347" s="6" t="n">
        <v>1112</v>
      </c>
      <c r="T347" s="6" t="n">
        <v>1285</v>
      </c>
      <c r="U347" s="6" t="n">
        <v>3273</v>
      </c>
      <c r="V347" s="6" t="n">
        <v>3188</v>
      </c>
    </row>
    <row r="348" customFormat="false" ht="15" hidden="false" customHeight="false" outlineLevel="0" collapsed="false">
      <c r="A348" s="5" t="s">
        <v>78</v>
      </c>
      <c r="B348" s="6" t="s">
        <v>75</v>
      </c>
      <c r="C348" s="5" t="s">
        <v>58</v>
      </c>
      <c r="D348" s="5" t="s">
        <v>48</v>
      </c>
      <c r="E348" s="6" t="n">
        <v>116333</v>
      </c>
      <c r="F348" s="6" t="n">
        <v>118645</v>
      </c>
      <c r="G348" s="6" t="n">
        <v>62957</v>
      </c>
      <c r="H348" s="6" t="n">
        <v>63770</v>
      </c>
      <c r="I348" s="6" t="n">
        <v>17895</v>
      </c>
      <c r="J348" s="6" t="n">
        <v>19058</v>
      </c>
      <c r="K348" s="6" t="n">
        <v>3318</v>
      </c>
      <c r="L348" s="6" t="n">
        <v>3718</v>
      </c>
      <c r="M348" s="6" t="n">
        <v>1148</v>
      </c>
      <c r="N348" s="6" t="n">
        <v>1318</v>
      </c>
      <c r="O348" s="6" t="n">
        <v>2778</v>
      </c>
      <c r="P348" s="6" t="n">
        <v>3049</v>
      </c>
      <c r="Q348" s="6" t="n">
        <v>1748</v>
      </c>
      <c r="R348" s="6" t="n">
        <v>1729</v>
      </c>
      <c r="S348" s="6" t="n">
        <v>1098</v>
      </c>
      <c r="T348" s="6" t="n">
        <v>1411</v>
      </c>
      <c r="U348" s="6" t="n">
        <v>2443</v>
      </c>
      <c r="V348" s="6" t="n">
        <v>2469</v>
      </c>
    </row>
    <row r="349" customFormat="false" ht="15" hidden="false" customHeight="false" outlineLevel="0" collapsed="false">
      <c r="A349" s="5" t="s">
        <v>78</v>
      </c>
      <c r="B349" s="6" t="s">
        <v>75</v>
      </c>
      <c r="C349" s="5" t="s">
        <v>59</v>
      </c>
      <c r="D349" s="5" t="s">
        <v>48</v>
      </c>
      <c r="E349" s="6" t="n">
        <v>130552</v>
      </c>
      <c r="F349" s="6" t="n">
        <v>130509</v>
      </c>
      <c r="G349" s="6" t="n">
        <v>76490</v>
      </c>
      <c r="H349" s="6" t="n">
        <v>76070</v>
      </c>
      <c r="I349" s="6" t="n">
        <v>20685</v>
      </c>
      <c r="J349" s="6" t="n">
        <v>20891</v>
      </c>
      <c r="K349" s="6" t="n">
        <v>3465</v>
      </c>
      <c r="L349" s="6" t="n">
        <v>3462</v>
      </c>
      <c r="M349" s="6" t="n">
        <v>1819</v>
      </c>
      <c r="N349" s="6" t="n">
        <v>2171</v>
      </c>
      <c r="O349" s="6" t="n">
        <v>3447</v>
      </c>
      <c r="P349" s="6" t="n">
        <v>3504</v>
      </c>
      <c r="Q349" s="6" t="n">
        <v>1867</v>
      </c>
      <c r="R349" s="6" t="n">
        <v>1783</v>
      </c>
      <c r="S349" s="6" t="n">
        <v>1564</v>
      </c>
      <c r="T349" s="6" t="n">
        <v>1628</v>
      </c>
      <c r="U349" s="6" t="n">
        <v>2906</v>
      </c>
      <c r="V349" s="6" t="n">
        <v>2948</v>
      </c>
    </row>
    <row r="350" customFormat="false" ht="15" hidden="false" customHeight="false" outlineLevel="0" collapsed="false">
      <c r="A350" s="5" t="s">
        <v>78</v>
      </c>
      <c r="B350" s="6" t="s">
        <v>75</v>
      </c>
      <c r="C350" s="5" t="s">
        <v>60</v>
      </c>
      <c r="D350" s="5" t="s">
        <v>61</v>
      </c>
      <c r="E350" s="6" t="n">
        <v>122022</v>
      </c>
      <c r="F350" s="6" t="n">
        <v>117182</v>
      </c>
      <c r="G350" s="6" t="n">
        <v>66585</v>
      </c>
      <c r="H350" s="6" t="n">
        <v>63574</v>
      </c>
      <c r="I350" s="6" t="n">
        <v>17329</v>
      </c>
      <c r="J350" s="6" t="n">
        <v>18336</v>
      </c>
      <c r="K350" s="6" t="n">
        <v>3310</v>
      </c>
      <c r="L350" s="6" t="n">
        <v>3022</v>
      </c>
      <c r="M350" s="6" t="n">
        <v>1656</v>
      </c>
      <c r="N350" s="6" t="n">
        <v>1864</v>
      </c>
      <c r="O350" s="6" t="n">
        <v>2565</v>
      </c>
      <c r="P350" s="6" t="n">
        <v>2731</v>
      </c>
      <c r="Q350" s="6" t="n">
        <v>1887</v>
      </c>
      <c r="R350" s="6" t="n">
        <v>1895</v>
      </c>
      <c r="S350" s="6" t="n">
        <v>879</v>
      </c>
      <c r="T350" s="6" t="n">
        <v>915</v>
      </c>
      <c r="U350" s="6" t="n">
        <v>3203</v>
      </c>
      <c r="V350" s="6" t="n">
        <v>3194</v>
      </c>
    </row>
    <row r="351" customFormat="false" ht="15" hidden="false" customHeight="false" outlineLevel="0" collapsed="false">
      <c r="A351" s="5" t="s">
        <v>78</v>
      </c>
      <c r="B351" s="6" t="s">
        <v>75</v>
      </c>
      <c r="C351" s="5" t="s">
        <v>62</v>
      </c>
      <c r="D351" s="5" t="s">
        <v>61</v>
      </c>
      <c r="E351" s="6" t="n">
        <v>114485</v>
      </c>
      <c r="F351" s="6" t="n">
        <v>119048</v>
      </c>
      <c r="G351" s="6" t="n">
        <v>61950</v>
      </c>
      <c r="H351" s="6" t="n">
        <v>66224</v>
      </c>
      <c r="I351" s="6" t="n">
        <v>18991</v>
      </c>
      <c r="J351" s="6" t="n">
        <v>19626</v>
      </c>
      <c r="K351" s="6" t="n">
        <v>2655</v>
      </c>
      <c r="L351" s="6" t="n">
        <v>3023</v>
      </c>
      <c r="M351" s="6" t="n">
        <v>1511</v>
      </c>
      <c r="N351" s="6" t="n">
        <v>1562</v>
      </c>
      <c r="O351" s="6" t="n">
        <v>3134</v>
      </c>
      <c r="P351" s="6" t="n">
        <v>3184</v>
      </c>
      <c r="Q351" s="6" t="n">
        <v>1937</v>
      </c>
      <c r="R351" s="6" t="n">
        <v>1989</v>
      </c>
      <c r="S351" s="6" t="n">
        <v>985</v>
      </c>
      <c r="T351" s="6" t="n">
        <v>1123</v>
      </c>
      <c r="U351" s="6" t="n">
        <v>3007</v>
      </c>
      <c r="V351" s="6" t="n">
        <v>3011</v>
      </c>
    </row>
    <row r="352" customFormat="false" ht="15" hidden="false" customHeight="false" outlineLevel="0" collapsed="false">
      <c r="A352" s="5" t="s">
        <v>78</v>
      </c>
      <c r="B352" s="6" t="s">
        <v>75</v>
      </c>
      <c r="C352" s="5" t="s">
        <v>63</v>
      </c>
      <c r="D352" s="5" t="s">
        <v>61</v>
      </c>
      <c r="E352" s="6" t="n">
        <v>114001</v>
      </c>
      <c r="F352" s="6" t="n">
        <v>119033</v>
      </c>
      <c r="G352" s="6" t="n">
        <v>62590</v>
      </c>
      <c r="H352" s="6" t="n">
        <v>67051</v>
      </c>
      <c r="I352" s="6" t="n">
        <v>16987</v>
      </c>
      <c r="J352" s="6" t="n">
        <v>17291</v>
      </c>
      <c r="K352" s="6" t="n">
        <v>2825</v>
      </c>
      <c r="L352" s="6" t="n">
        <v>3105</v>
      </c>
      <c r="M352" s="6" t="n">
        <v>963</v>
      </c>
      <c r="N352" s="6" t="n">
        <v>868</v>
      </c>
      <c r="O352" s="6" t="n">
        <v>2522</v>
      </c>
      <c r="P352" s="6" t="n">
        <v>2694</v>
      </c>
      <c r="Q352" s="6" t="n">
        <v>1957</v>
      </c>
      <c r="R352" s="6" t="n">
        <v>1909</v>
      </c>
      <c r="S352" s="6" t="n">
        <v>1095</v>
      </c>
      <c r="T352" s="6" t="n">
        <v>1143</v>
      </c>
      <c r="U352" s="6" t="n">
        <v>2409</v>
      </c>
      <c r="V352" s="6" t="n">
        <v>2364</v>
      </c>
    </row>
    <row r="353" customFormat="false" ht="15" hidden="false" customHeight="false" outlineLevel="0" collapsed="false">
      <c r="A353" s="5" t="s">
        <v>78</v>
      </c>
      <c r="B353" s="6" t="s">
        <v>75</v>
      </c>
      <c r="C353" s="5" t="s">
        <v>64</v>
      </c>
      <c r="D353" s="5" t="s">
        <v>61</v>
      </c>
      <c r="E353" s="6" t="n">
        <v>123101</v>
      </c>
      <c r="F353" s="6" t="n">
        <v>118450</v>
      </c>
      <c r="G353" s="6" t="n">
        <v>69903</v>
      </c>
      <c r="H353" s="6" t="n">
        <v>68208</v>
      </c>
      <c r="I353" s="6" t="n">
        <v>18845</v>
      </c>
      <c r="J353" s="6" t="n">
        <v>19621</v>
      </c>
      <c r="K353" s="6" t="n">
        <v>2530</v>
      </c>
      <c r="L353" s="6" t="n">
        <v>2271</v>
      </c>
      <c r="M353" s="6" t="n">
        <v>1102</v>
      </c>
      <c r="N353" s="6" t="n">
        <v>1024</v>
      </c>
      <c r="O353" s="6" t="n">
        <v>3205</v>
      </c>
      <c r="P353" s="6" t="n">
        <v>3329</v>
      </c>
      <c r="Q353" s="6" t="n">
        <v>1651</v>
      </c>
      <c r="R353" s="6" t="n">
        <v>1709</v>
      </c>
      <c r="S353" s="6" t="n">
        <v>1450</v>
      </c>
      <c r="T353" s="6" t="n">
        <v>1583</v>
      </c>
      <c r="U353" s="6" t="n">
        <v>2487</v>
      </c>
      <c r="V353" s="6" t="n">
        <v>2541</v>
      </c>
    </row>
    <row r="354" customFormat="false" ht="15" hidden="false" customHeight="false" outlineLevel="0" collapsed="false">
      <c r="A354" s="5" t="s">
        <v>78</v>
      </c>
      <c r="B354" s="6" t="s">
        <v>75</v>
      </c>
      <c r="C354" s="5" t="s">
        <v>65</v>
      </c>
      <c r="D354" s="5" t="s">
        <v>61</v>
      </c>
      <c r="E354" s="6" t="n">
        <v>118528</v>
      </c>
      <c r="F354" s="6" t="n">
        <v>117100</v>
      </c>
      <c r="G354" s="6" t="n">
        <v>70172</v>
      </c>
      <c r="H354" s="6" t="n">
        <v>72258</v>
      </c>
      <c r="I354" s="6" t="n">
        <v>18041</v>
      </c>
      <c r="J354" s="6" t="n">
        <v>18221</v>
      </c>
      <c r="K354" s="6" t="n">
        <v>3539</v>
      </c>
      <c r="L354" s="6" t="n">
        <v>3104</v>
      </c>
      <c r="M354" s="6" t="n">
        <v>1731</v>
      </c>
      <c r="N354" s="6" t="n">
        <v>2012</v>
      </c>
      <c r="O354" s="6" t="n">
        <v>2300</v>
      </c>
      <c r="P354" s="6" t="n">
        <v>2162</v>
      </c>
      <c r="Q354" s="6" t="n">
        <v>2119</v>
      </c>
      <c r="R354" s="6" t="n">
        <v>2211</v>
      </c>
      <c r="S354" s="6" t="n">
        <v>1082</v>
      </c>
      <c r="T354" s="6" t="n">
        <v>1404</v>
      </c>
      <c r="U354" s="6" t="n">
        <v>3496</v>
      </c>
      <c r="V354" s="6" t="n">
        <v>3587</v>
      </c>
    </row>
    <row r="355" customFormat="false" ht="15" hidden="false" customHeight="false" outlineLevel="0" collapsed="false">
      <c r="A355" s="5" t="s">
        <v>78</v>
      </c>
      <c r="B355" s="6" t="s">
        <v>75</v>
      </c>
      <c r="C355" s="5" t="s">
        <v>66</v>
      </c>
      <c r="D355" s="5" t="s">
        <v>61</v>
      </c>
      <c r="E355" s="6" t="n">
        <v>134296</v>
      </c>
      <c r="F355" s="6" t="n">
        <v>128372</v>
      </c>
      <c r="G355" s="6" t="n">
        <v>74438</v>
      </c>
      <c r="H355" s="6" t="n">
        <v>69372</v>
      </c>
      <c r="I355" s="6" t="n">
        <v>22051</v>
      </c>
      <c r="J355" s="6" t="n">
        <v>22188</v>
      </c>
      <c r="K355" s="6" t="n">
        <v>3863</v>
      </c>
      <c r="L355" s="6" t="n">
        <v>3735</v>
      </c>
      <c r="M355" s="6" t="n">
        <v>1778</v>
      </c>
      <c r="N355" s="6" t="n">
        <v>1632</v>
      </c>
      <c r="O355" s="6" t="n">
        <v>2985</v>
      </c>
      <c r="P355" s="6" t="n">
        <v>2824</v>
      </c>
      <c r="Q355" s="6" t="n">
        <v>1800</v>
      </c>
      <c r="R355" s="6" t="n">
        <v>1885</v>
      </c>
      <c r="S355" s="6" t="n">
        <v>1160</v>
      </c>
      <c r="T355" s="6" t="n">
        <v>1105</v>
      </c>
      <c r="U355" s="6" t="n">
        <v>3478</v>
      </c>
      <c r="V355" s="6" t="n">
        <v>3476</v>
      </c>
    </row>
    <row r="356" customFormat="false" ht="15" hidden="false" customHeight="false" outlineLevel="0" collapsed="false">
      <c r="A356" s="5" t="s">
        <v>78</v>
      </c>
      <c r="B356" s="6" t="s">
        <v>75</v>
      </c>
      <c r="C356" s="5" t="s">
        <v>67</v>
      </c>
      <c r="D356" s="5" t="s">
        <v>61</v>
      </c>
      <c r="E356" s="6" t="n">
        <v>122867</v>
      </c>
      <c r="F356" s="6" t="n">
        <v>116589</v>
      </c>
      <c r="G356" s="6" t="n">
        <v>68681</v>
      </c>
      <c r="H356" s="6" t="n">
        <v>65311</v>
      </c>
      <c r="I356" s="6" t="n">
        <v>19718</v>
      </c>
      <c r="J356" s="6" t="n">
        <v>21216</v>
      </c>
      <c r="K356" s="6" t="n">
        <v>4078</v>
      </c>
      <c r="L356" s="6" t="n">
        <v>4613</v>
      </c>
      <c r="M356" s="6" t="n">
        <v>1295</v>
      </c>
      <c r="N356" s="6" t="n">
        <v>1499</v>
      </c>
      <c r="O356" s="6" t="n">
        <v>3221</v>
      </c>
      <c r="P356" s="6" t="n">
        <v>2976</v>
      </c>
      <c r="Q356" s="6" t="n">
        <v>2425</v>
      </c>
      <c r="R356" s="6" t="n">
        <v>2451</v>
      </c>
      <c r="S356" s="6" t="n">
        <v>1358</v>
      </c>
      <c r="T356" s="6" t="n">
        <v>1626</v>
      </c>
      <c r="U356" s="6" t="n">
        <v>3613</v>
      </c>
      <c r="V356" s="6" t="n">
        <v>3654</v>
      </c>
    </row>
    <row r="357" customFormat="false" ht="15" hidden="false" customHeight="false" outlineLevel="0" collapsed="false">
      <c r="A357" s="5" t="s">
        <v>78</v>
      </c>
      <c r="B357" s="6" t="s">
        <v>75</v>
      </c>
      <c r="C357" s="5" t="s">
        <v>68</v>
      </c>
      <c r="D357" s="5" t="s">
        <v>61</v>
      </c>
      <c r="E357" s="6" t="n">
        <v>114861</v>
      </c>
      <c r="F357" s="6" t="n">
        <v>118565</v>
      </c>
      <c r="G357" s="6" t="n">
        <v>65834</v>
      </c>
      <c r="H357" s="6" t="n">
        <v>67419</v>
      </c>
      <c r="I357" s="6" t="n">
        <v>19383</v>
      </c>
      <c r="J357" s="6" t="n">
        <v>19575</v>
      </c>
      <c r="K357" s="6" t="n">
        <v>3697</v>
      </c>
      <c r="L357" s="6" t="n">
        <v>3278</v>
      </c>
      <c r="M357" s="6" t="n">
        <v>1616</v>
      </c>
      <c r="N357" s="6" t="n">
        <v>1986</v>
      </c>
      <c r="O357" s="6" t="n">
        <v>2514</v>
      </c>
      <c r="P357" s="6" t="n">
        <v>2725</v>
      </c>
      <c r="Q357" s="6" t="n">
        <v>1739</v>
      </c>
      <c r="R357" s="6" t="n">
        <v>1822</v>
      </c>
      <c r="S357" s="6" t="n">
        <v>865</v>
      </c>
      <c r="T357" s="6" t="n">
        <v>739</v>
      </c>
      <c r="U357" s="6" t="n">
        <v>3242</v>
      </c>
      <c r="V357" s="6" t="n">
        <v>3191</v>
      </c>
    </row>
    <row r="358" customFormat="false" ht="15" hidden="false" customHeight="false" outlineLevel="0" collapsed="false">
      <c r="A358" s="5" t="s">
        <v>78</v>
      </c>
      <c r="B358" s="6" t="s">
        <v>75</v>
      </c>
      <c r="C358" s="5" t="s">
        <v>69</v>
      </c>
      <c r="D358" s="5" t="s">
        <v>61</v>
      </c>
      <c r="E358" s="6" t="n">
        <v>135838</v>
      </c>
      <c r="F358" s="6" t="n">
        <v>129761</v>
      </c>
      <c r="G358" s="6" t="n">
        <v>80817</v>
      </c>
      <c r="H358" s="6" t="n">
        <v>78703</v>
      </c>
      <c r="I358" s="6" t="n">
        <v>22601</v>
      </c>
      <c r="J358" s="6" t="n">
        <v>23829</v>
      </c>
      <c r="K358" s="6" t="n">
        <v>3545</v>
      </c>
      <c r="L358" s="6" t="n">
        <v>3049</v>
      </c>
      <c r="M358" s="6" t="n">
        <v>1911</v>
      </c>
      <c r="N358" s="6" t="n">
        <v>2315</v>
      </c>
      <c r="O358" s="6" t="n">
        <v>3723</v>
      </c>
      <c r="P358" s="6" t="n">
        <v>3741</v>
      </c>
      <c r="Q358" s="6" t="n">
        <v>2079</v>
      </c>
      <c r="R358" s="6" t="n">
        <v>2150</v>
      </c>
      <c r="S358" s="6" t="n">
        <v>1400</v>
      </c>
      <c r="T358" s="6" t="n">
        <v>1856</v>
      </c>
      <c r="U358" s="6" t="n">
        <v>3831</v>
      </c>
      <c r="V358" s="6" t="n">
        <v>3906</v>
      </c>
    </row>
    <row r="359" customFormat="false" ht="15" hidden="false" customHeight="false" outlineLevel="0" collapsed="false">
      <c r="A359" s="5" t="s">
        <v>78</v>
      </c>
      <c r="B359" s="6" t="s">
        <v>75</v>
      </c>
      <c r="C359" s="5" t="s">
        <v>70</v>
      </c>
      <c r="D359" s="5" t="s">
        <v>61</v>
      </c>
      <c r="E359" s="6" t="n">
        <v>119475</v>
      </c>
      <c r="F359" s="6" t="n">
        <v>119384</v>
      </c>
      <c r="G359" s="6" t="n">
        <v>67039</v>
      </c>
      <c r="H359" s="6" t="n">
        <v>68194</v>
      </c>
      <c r="I359" s="6" t="n">
        <v>19642</v>
      </c>
      <c r="J359" s="6" t="n">
        <v>20647</v>
      </c>
      <c r="K359" s="6" t="n">
        <v>3202</v>
      </c>
      <c r="L359" s="6" t="n">
        <v>2748</v>
      </c>
      <c r="M359" s="6" t="n">
        <v>999</v>
      </c>
      <c r="N359" s="6" t="n">
        <v>1120</v>
      </c>
      <c r="O359" s="6" t="n">
        <v>2903</v>
      </c>
      <c r="P359" s="6" t="n">
        <v>3084</v>
      </c>
      <c r="Q359" s="6" t="n">
        <v>1564</v>
      </c>
      <c r="R359" s="6" t="n">
        <v>1548</v>
      </c>
      <c r="S359" s="6" t="n">
        <v>1167</v>
      </c>
      <c r="T359" s="6" t="n">
        <v>1153</v>
      </c>
      <c r="U359" s="6" t="n">
        <v>2488</v>
      </c>
      <c r="V359" s="6" t="n">
        <v>2437</v>
      </c>
    </row>
    <row r="360" customFormat="false" ht="15" hidden="false" customHeight="false" outlineLevel="0" collapsed="false">
      <c r="A360" s="5" t="s">
        <v>78</v>
      </c>
      <c r="B360" s="6" t="s">
        <v>75</v>
      </c>
      <c r="C360" s="5" t="s">
        <v>71</v>
      </c>
      <c r="D360" s="5" t="s">
        <v>61</v>
      </c>
      <c r="E360" s="6" t="n">
        <v>126868</v>
      </c>
      <c r="F360" s="6" t="n">
        <v>120099</v>
      </c>
      <c r="G360" s="6" t="n">
        <v>74831</v>
      </c>
      <c r="H360" s="6" t="n">
        <v>73020</v>
      </c>
      <c r="I360" s="6" t="n">
        <v>20985</v>
      </c>
      <c r="J360" s="6" t="n">
        <v>21938</v>
      </c>
      <c r="K360" s="6" t="n">
        <v>4046</v>
      </c>
      <c r="L360" s="6" t="n">
        <v>3827</v>
      </c>
      <c r="M360" s="6" t="n">
        <v>1440</v>
      </c>
      <c r="N360" s="6" t="n">
        <v>1681</v>
      </c>
      <c r="O360" s="6" t="n">
        <v>2614</v>
      </c>
      <c r="P360" s="6" t="n">
        <v>2728</v>
      </c>
      <c r="Q360" s="6" t="n">
        <v>2362</v>
      </c>
      <c r="R360" s="6" t="n">
        <v>2433</v>
      </c>
      <c r="S360" s="6" t="n">
        <v>912</v>
      </c>
      <c r="T360" s="6" t="n">
        <v>956</v>
      </c>
      <c r="U360" s="6" t="n">
        <v>2768</v>
      </c>
      <c r="V360" s="6" t="n">
        <v>2831</v>
      </c>
    </row>
    <row r="361" customFormat="false" ht="15" hidden="false" customHeight="false" outlineLevel="0" collapsed="false">
      <c r="A361" s="5" t="s">
        <v>78</v>
      </c>
      <c r="B361" s="6" t="s">
        <v>75</v>
      </c>
      <c r="C361" s="5" t="s">
        <v>72</v>
      </c>
      <c r="D361" s="5" t="s">
        <v>61</v>
      </c>
      <c r="E361" s="6" t="n">
        <v>141589</v>
      </c>
      <c r="F361" s="6" t="n">
        <v>135347</v>
      </c>
      <c r="G361" s="6" t="n">
        <v>78365</v>
      </c>
      <c r="H361" s="6" t="n">
        <v>78620</v>
      </c>
      <c r="I361" s="6" t="n">
        <v>23744</v>
      </c>
      <c r="J361" s="6" t="n">
        <v>24722</v>
      </c>
      <c r="K361" s="6" t="n">
        <v>4163</v>
      </c>
      <c r="L361" s="6" t="n">
        <v>4671</v>
      </c>
      <c r="M361" s="6" t="n">
        <v>2098</v>
      </c>
      <c r="N361" s="6" t="n">
        <v>1886</v>
      </c>
      <c r="O361" s="6" t="n">
        <v>3542</v>
      </c>
      <c r="P361" s="6" t="n">
        <v>3366</v>
      </c>
      <c r="Q361" s="6" t="n">
        <v>2153</v>
      </c>
      <c r="R361" s="6" t="n">
        <v>2138</v>
      </c>
      <c r="S361" s="6" t="n">
        <v>1071</v>
      </c>
      <c r="T361" s="6" t="n">
        <v>914</v>
      </c>
      <c r="U361" s="6" t="n">
        <v>3353</v>
      </c>
      <c r="V361" s="6" t="n">
        <v>3443</v>
      </c>
    </row>
    <row r="362" customFormat="false" ht="15" hidden="false" customHeight="false" outlineLevel="0" collapsed="false">
      <c r="A362" s="5" t="s">
        <v>78</v>
      </c>
      <c r="B362" s="6" t="s">
        <v>76</v>
      </c>
      <c r="C362" s="5" t="s">
        <v>34</v>
      </c>
      <c r="D362" s="5" t="s">
        <v>35</v>
      </c>
      <c r="E362" s="6" t="n">
        <v>111252</v>
      </c>
      <c r="F362" s="6" t="n">
        <v>105914</v>
      </c>
      <c r="G362" s="6" t="n">
        <v>63105</v>
      </c>
      <c r="H362" s="6" t="n">
        <v>61526</v>
      </c>
      <c r="I362" s="6" t="n">
        <v>15971</v>
      </c>
      <c r="J362" s="6" t="n">
        <v>16745</v>
      </c>
      <c r="K362" s="6" t="n">
        <v>2543</v>
      </c>
      <c r="L362" s="6" t="n">
        <v>2819</v>
      </c>
      <c r="M362" s="6" t="n">
        <v>1499</v>
      </c>
      <c r="N362" s="6" t="n">
        <v>1415</v>
      </c>
      <c r="O362" s="6" t="n">
        <v>2552</v>
      </c>
      <c r="P362" s="6" t="n">
        <v>2408</v>
      </c>
      <c r="Q362" s="6" t="n">
        <v>2097</v>
      </c>
      <c r="R362" s="6" t="n">
        <v>2118</v>
      </c>
      <c r="S362" s="6" t="n">
        <v>1332</v>
      </c>
      <c r="T362" s="6" t="n">
        <v>1292</v>
      </c>
      <c r="U362" s="6" t="n">
        <v>2978</v>
      </c>
      <c r="V362" s="6" t="n">
        <v>2963</v>
      </c>
    </row>
    <row r="363" customFormat="false" ht="15" hidden="false" customHeight="false" outlineLevel="0" collapsed="false">
      <c r="A363" s="5" t="s">
        <v>78</v>
      </c>
      <c r="B363" s="6" t="s">
        <v>76</v>
      </c>
      <c r="C363" s="5" t="s">
        <v>36</v>
      </c>
      <c r="D363" s="5" t="s">
        <v>35</v>
      </c>
      <c r="E363" s="6" t="n">
        <v>101542</v>
      </c>
      <c r="F363" s="6" t="n">
        <v>106048</v>
      </c>
      <c r="G363" s="6" t="n">
        <v>56601</v>
      </c>
      <c r="H363" s="6" t="n">
        <v>58380</v>
      </c>
      <c r="I363" s="6" t="n">
        <v>16097</v>
      </c>
      <c r="J363" s="6" t="n">
        <v>17221</v>
      </c>
      <c r="K363" s="6" t="n">
        <v>2594</v>
      </c>
      <c r="L363" s="6" t="n">
        <v>2737</v>
      </c>
      <c r="M363" s="6" t="n">
        <v>1138</v>
      </c>
      <c r="N363" s="6" t="n">
        <v>916</v>
      </c>
      <c r="O363" s="6" t="n">
        <v>1963</v>
      </c>
      <c r="P363" s="6" t="n">
        <v>1920</v>
      </c>
      <c r="Q363" s="6" t="n">
        <v>1781</v>
      </c>
      <c r="R363" s="6" t="n">
        <v>1814</v>
      </c>
      <c r="S363" s="6" t="n">
        <v>1044</v>
      </c>
      <c r="T363" s="6" t="n">
        <v>1279</v>
      </c>
      <c r="U363" s="6" t="n">
        <v>2778</v>
      </c>
      <c r="V363" s="6" t="n">
        <v>2737</v>
      </c>
    </row>
    <row r="364" customFormat="false" ht="15" hidden="false" customHeight="false" outlineLevel="0" collapsed="false">
      <c r="A364" s="5" t="s">
        <v>78</v>
      </c>
      <c r="B364" s="6" t="s">
        <v>76</v>
      </c>
      <c r="C364" s="5" t="s">
        <v>37</v>
      </c>
      <c r="D364" s="5" t="s">
        <v>35</v>
      </c>
      <c r="E364" s="6" t="n">
        <v>99294</v>
      </c>
      <c r="F364" s="6" t="n">
        <v>104846</v>
      </c>
      <c r="G364" s="6" t="n">
        <v>55602</v>
      </c>
      <c r="H364" s="6" t="n">
        <v>57845</v>
      </c>
      <c r="I364" s="6" t="n">
        <v>16607</v>
      </c>
      <c r="J364" s="6" t="n">
        <v>17930</v>
      </c>
      <c r="K364" s="6" t="n">
        <v>3385</v>
      </c>
      <c r="L364" s="6" t="n">
        <v>3859</v>
      </c>
      <c r="M364" s="6" t="n">
        <v>1210</v>
      </c>
      <c r="N364" s="6" t="n">
        <v>1421</v>
      </c>
      <c r="O364" s="6" t="n">
        <v>1832</v>
      </c>
      <c r="P364" s="6" t="n">
        <v>1769</v>
      </c>
      <c r="Q364" s="6" t="n">
        <v>1684</v>
      </c>
      <c r="R364" s="6" t="n">
        <v>1651</v>
      </c>
      <c r="S364" s="6" t="n">
        <v>831</v>
      </c>
      <c r="T364" s="6" t="n">
        <v>850</v>
      </c>
      <c r="U364" s="6" t="n">
        <v>2947</v>
      </c>
      <c r="V364" s="6" t="n">
        <v>2958</v>
      </c>
    </row>
    <row r="365" customFormat="false" ht="15" hidden="false" customHeight="false" outlineLevel="0" collapsed="false">
      <c r="A365" s="5" t="s">
        <v>78</v>
      </c>
      <c r="B365" s="6" t="s">
        <v>76</v>
      </c>
      <c r="C365" s="5" t="s">
        <v>38</v>
      </c>
      <c r="D365" s="5" t="s">
        <v>35</v>
      </c>
      <c r="E365" s="6" t="n">
        <v>102662</v>
      </c>
      <c r="F365" s="6" t="n">
        <v>105703</v>
      </c>
      <c r="G365" s="6" t="n">
        <v>58540</v>
      </c>
      <c r="H365" s="6" t="n">
        <v>63077</v>
      </c>
      <c r="I365" s="6" t="n">
        <v>17076</v>
      </c>
      <c r="J365" s="6" t="n">
        <v>16812</v>
      </c>
      <c r="K365" s="6" t="n">
        <v>2542</v>
      </c>
      <c r="L365" s="6" t="n">
        <v>2565</v>
      </c>
      <c r="M365" s="6" t="n">
        <v>923</v>
      </c>
      <c r="N365" s="6" t="n">
        <v>792</v>
      </c>
      <c r="O365" s="6" t="n">
        <v>1893</v>
      </c>
      <c r="P365" s="6" t="n">
        <v>1785</v>
      </c>
      <c r="Q365" s="6" t="n">
        <v>1948</v>
      </c>
      <c r="R365" s="6" t="n">
        <v>2013</v>
      </c>
      <c r="S365" s="6" t="n">
        <v>1077</v>
      </c>
      <c r="T365" s="6" t="n">
        <v>1460</v>
      </c>
      <c r="U365" s="6" t="n">
        <v>2344</v>
      </c>
      <c r="V365" s="6" t="n">
        <v>2397</v>
      </c>
    </row>
    <row r="366" customFormat="false" ht="15" hidden="false" customHeight="false" outlineLevel="0" collapsed="false">
      <c r="A366" s="5" t="s">
        <v>78</v>
      </c>
      <c r="B366" s="6" t="s">
        <v>76</v>
      </c>
      <c r="C366" s="5" t="s">
        <v>39</v>
      </c>
      <c r="D366" s="5" t="s">
        <v>35</v>
      </c>
      <c r="E366" s="6" t="n">
        <v>110054</v>
      </c>
      <c r="F366" s="6" t="n">
        <v>106705</v>
      </c>
      <c r="G366" s="6" t="n">
        <v>61171</v>
      </c>
      <c r="H366" s="6" t="n">
        <v>58845</v>
      </c>
      <c r="I366" s="6" t="n">
        <v>18355</v>
      </c>
      <c r="J366" s="6" t="n">
        <v>18441</v>
      </c>
      <c r="K366" s="6" t="n">
        <v>3843</v>
      </c>
      <c r="L366" s="6" t="n">
        <v>4147</v>
      </c>
      <c r="M366" s="6" t="n">
        <v>997</v>
      </c>
      <c r="N366" s="6" t="n">
        <v>1223</v>
      </c>
      <c r="O366" s="6" t="n">
        <v>2704</v>
      </c>
      <c r="P366" s="6" t="n">
        <v>2876</v>
      </c>
      <c r="Q366" s="6" t="n">
        <v>1368</v>
      </c>
      <c r="R366" s="6" t="n">
        <v>1320</v>
      </c>
      <c r="S366" s="6" t="n">
        <v>812</v>
      </c>
      <c r="T366" s="6" t="n">
        <v>667</v>
      </c>
      <c r="U366" s="6" t="n">
        <v>2487</v>
      </c>
      <c r="V366" s="6" t="n">
        <v>2518</v>
      </c>
    </row>
    <row r="367" customFormat="false" ht="15" hidden="false" customHeight="false" outlineLevel="0" collapsed="false">
      <c r="A367" s="5" t="s">
        <v>78</v>
      </c>
      <c r="B367" s="6" t="s">
        <v>76</v>
      </c>
      <c r="C367" s="5" t="s">
        <v>40</v>
      </c>
      <c r="D367" s="5" t="s">
        <v>35</v>
      </c>
      <c r="E367" s="6" t="n">
        <v>123224</v>
      </c>
      <c r="F367" s="6" t="n">
        <v>116312</v>
      </c>
      <c r="G367" s="6" t="n">
        <v>73396</v>
      </c>
      <c r="H367" s="6" t="n">
        <v>67190</v>
      </c>
      <c r="I367" s="6" t="n">
        <v>18569</v>
      </c>
      <c r="J367" s="6" t="n">
        <v>19460</v>
      </c>
      <c r="K367" s="6" t="n">
        <v>3361</v>
      </c>
      <c r="L367" s="6" t="n">
        <v>3354</v>
      </c>
      <c r="M367" s="6" t="n">
        <v>1715</v>
      </c>
      <c r="N367" s="6" t="n">
        <v>2115</v>
      </c>
      <c r="O367" s="6" t="n">
        <v>2370</v>
      </c>
      <c r="P367" s="6" t="n">
        <v>2220</v>
      </c>
      <c r="Q367" s="6" t="n">
        <v>2335</v>
      </c>
      <c r="R367" s="6" t="n">
        <v>2260</v>
      </c>
      <c r="S367" s="6" t="n">
        <v>864</v>
      </c>
      <c r="T367" s="6" t="n">
        <v>955</v>
      </c>
      <c r="U367" s="6" t="n">
        <v>2801</v>
      </c>
      <c r="V367" s="6" t="n">
        <v>2867</v>
      </c>
    </row>
    <row r="368" customFormat="false" ht="15" hidden="false" customHeight="false" outlineLevel="0" collapsed="false">
      <c r="A368" s="5" t="s">
        <v>78</v>
      </c>
      <c r="B368" s="6" t="s">
        <v>76</v>
      </c>
      <c r="C368" s="5" t="s">
        <v>41</v>
      </c>
      <c r="D368" s="5" t="s">
        <v>35</v>
      </c>
      <c r="E368" s="6" t="n">
        <v>108937</v>
      </c>
      <c r="F368" s="6" t="n">
        <v>107856</v>
      </c>
      <c r="G368" s="6" t="n">
        <v>65177</v>
      </c>
      <c r="H368" s="6" t="n">
        <v>65210</v>
      </c>
      <c r="I368" s="6" t="n">
        <v>17117</v>
      </c>
      <c r="J368" s="6" t="n">
        <v>17388</v>
      </c>
      <c r="K368" s="6" t="n">
        <v>2304</v>
      </c>
      <c r="L368" s="6" t="n">
        <v>2489</v>
      </c>
      <c r="M368" s="6" t="n">
        <v>1388</v>
      </c>
      <c r="N368" s="6" t="n">
        <v>1726</v>
      </c>
      <c r="O368" s="6" t="n">
        <v>1989</v>
      </c>
      <c r="P368" s="6" t="n">
        <v>2074</v>
      </c>
      <c r="Q368" s="6" t="n">
        <v>1900</v>
      </c>
      <c r="R368" s="6" t="n">
        <v>1880</v>
      </c>
      <c r="S368" s="6" t="n">
        <v>1039</v>
      </c>
      <c r="T368" s="6" t="n">
        <v>1424</v>
      </c>
      <c r="U368" s="6" t="n">
        <v>3091</v>
      </c>
      <c r="V368" s="6" t="n">
        <v>3027</v>
      </c>
    </row>
    <row r="369" customFormat="false" ht="15" hidden="false" customHeight="false" outlineLevel="0" collapsed="false">
      <c r="A369" s="5" t="s">
        <v>78</v>
      </c>
      <c r="B369" s="6" t="s">
        <v>76</v>
      </c>
      <c r="C369" s="5" t="s">
        <v>42</v>
      </c>
      <c r="D369" s="5" t="s">
        <v>35</v>
      </c>
      <c r="E369" s="6" t="n">
        <v>110802</v>
      </c>
      <c r="F369" s="6" t="n">
        <v>106573</v>
      </c>
      <c r="G369" s="6" t="n">
        <v>64218</v>
      </c>
      <c r="H369" s="6" t="n">
        <v>62055</v>
      </c>
      <c r="I369" s="6" t="n">
        <v>18687</v>
      </c>
      <c r="J369" s="6" t="n">
        <v>19348</v>
      </c>
      <c r="K369" s="6" t="n">
        <v>2226</v>
      </c>
      <c r="L369" s="6" t="n">
        <v>2540</v>
      </c>
      <c r="M369" s="6" t="n">
        <v>1395</v>
      </c>
      <c r="N369" s="6" t="n">
        <v>1779</v>
      </c>
      <c r="O369" s="6" t="n">
        <v>2354</v>
      </c>
      <c r="P369" s="6" t="n">
        <v>2476</v>
      </c>
      <c r="Q369" s="6" t="n">
        <v>1981</v>
      </c>
      <c r="R369" s="6" t="n">
        <v>2072</v>
      </c>
      <c r="S369" s="6" t="n">
        <v>1043</v>
      </c>
      <c r="T369" s="6" t="n">
        <v>967</v>
      </c>
      <c r="U369" s="6" t="n">
        <v>2270</v>
      </c>
      <c r="V369" s="6" t="n">
        <v>2290</v>
      </c>
    </row>
    <row r="370" customFormat="false" ht="15" hidden="false" customHeight="false" outlineLevel="0" collapsed="false">
      <c r="A370" s="5" t="s">
        <v>78</v>
      </c>
      <c r="B370" s="6" t="s">
        <v>76</v>
      </c>
      <c r="C370" s="5" t="s">
        <v>43</v>
      </c>
      <c r="D370" s="5" t="s">
        <v>35</v>
      </c>
      <c r="E370" s="6" t="n">
        <v>109472</v>
      </c>
      <c r="F370" s="6" t="n">
        <v>115640</v>
      </c>
      <c r="G370" s="6" t="n">
        <v>59579</v>
      </c>
      <c r="H370" s="6" t="n">
        <v>66127</v>
      </c>
      <c r="I370" s="6" t="n">
        <v>16579</v>
      </c>
      <c r="J370" s="6" t="n">
        <v>16809</v>
      </c>
      <c r="K370" s="6" t="n">
        <v>2482</v>
      </c>
      <c r="L370" s="6" t="n">
        <v>2828</v>
      </c>
      <c r="M370" s="6" t="n">
        <v>1539</v>
      </c>
      <c r="N370" s="6" t="n">
        <v>1300</v>
      </c>
      <c r="O370" s="6" t="n">
        <v>2904</v>
      </c>
      <c r="P370" s="6" t="n">
        <v>2757</v>
      </c>
      <c r="Q370" s="6" t="n">
        <v>1996</v>
      </c>
      <c r="R370" s="6" t="n">
        <v>1953</v>
      </c>
      <c r="S370" s="6" t="n">
        <v>1151</v>
      </c>
      <c r="T370" s="6" t="n">
        <v>1372</v>
      </c>
      <c r="U370" s="6" t="n">
        <v>2321</v>
      </c>
      <c r="V370" s="6" t="n">
        <v>2320</v>
      </c>
    </row>
    <row r="371" customFormat="false" ht="15" hidden="false" customHeight="false" outlineLevel="0" collapsed="false">
      <c r="A371" s="5" t="s">
        <v>78</v>
      </c>
      <c r="B371" s="6" t="s">
        <v>76</v>
      </c>
      <c r="C371" s="5" t="s">
        <v>44</v>
      </c>
      <c r="D371" s="5" t="s">
        <v>35</v>
      </c>
      <c r="E371" s="6" t="n">
        <v>110496</v>
      </c>
      <c r="F371" s="6" t="n">
        <v>106578</v>
      </c>
      <c r="G371" s="6" t="n">
        <v>61724</v>
      </c>
      <c r="H371" s="6" t="n">
        <v>61054</v>
      </c>
      <c r="I371" s="6" t="n">
        <v>15905</v>
      </c>
      <c r="J371" s="6" t="n">
        <v>16592</v>
      </c>
      <c r="K371" s="6" t="n">
        <v>3589</v>
      </c>
      <c r="L371" s="6" t="n">
        <v>3603</v>
      </c>
      <c r="M371" s="6" t="n">
        <v>1263</v>
      </c>
      <c r="N371" s="6" t="n">
        <v>1570</v>
      </c>
      <c r="O371" s="6" t="n">
        <v>2515</v>
      </c>
      <c r="P371" s="6" t="n">
        <v>2569</v>
      </c>
      <c r="Q371" s="6" t="n">
        <v>1700</v>
      </c>
      <c r="R371" s="6" t="n">
        <v>1744</v>
      </c>
      <c r="S371" s="6" t="n">
        <v>1201</v>
      </c>
      <c r="T371" s="6" t="n">
        <v>1403</v>
      </c>
      <c r="U371" s="6" t="n">
        <v>2690</v>
      </c>
      <c r="V371" s="6" t="n">
        <v>2678</v>
      </c>
    </row>
    <row r="372" customFormat="false" ht="15" hidden="false" customHeight="false" outlineLevel="0" collapsed="false">
      <c r="A372" s="5" t="s">
        <v>78</v>
      </c>
      <c r="B372" s="6" t="s">
        <v>76</v>
      </c>
      <c r="C372" s="5" t="s">
        <v>45</v>
      </c>
      <c r="D372" s="5" t="s">
        <v>35</v>
      </c>
      <c r="E372" s="6" t="n">
        <v>103138</v>
      </c>
      <c r="F372" s="6" t="n">
        <v>105135</v>
      </c>
      <c r="G372" s="6" t="n">
        <v>58563</v>
      </c>
      <c r="H372" s="6" t="n">
        <v>58773</v>
      </c>
      <c r="I372" s="6" t="n">
        <v>16563</v>
      </c>
      <c r="J372" s="6" t="n">
        <v>16349</v>
      </c>
      <c r="K372" s="6" t="n">
        <v>2829</v>
      </c>
      <c r="L372" s="6" t="n">
        <v>2939</v>
      </c>
      <c r="M372" s="6" t="n">
        <v>1204</v>
      </c>
      <c r="N372" s="6" t="n">
        <v>1138</v>
      </c>
      <c r="O372" s="6" t="n">
        <v>2308</v>
      </c>
      <c r="P372" s="6" t="n">
        <v>2500</v>
      </c>
      <c r="Q372" s="6" t="n">
        <v>1632</v>
      </c>
      <c r="R372" s="6" t="n">
        <v>1575</v>
      </c>
      <c r="S372" s="6" t="n">
        <v>698</v>
      </c>
      <c r="T372" s="6" t="n">
        <v>937</v>
      </c>
      <c r="U372" s="6" t="n">
        <v>2931</v>
      </c>
      <c r="V372" s="6" t="n">
        <v>2935</v>
      </c>
    </row>
    <row r="373" customFormat="false" ht="15" hidden="false" customHeight="false" outlineLevel="0" collapsed="false">
      <c r="A373" s="5" t="s">
        <v>78</v>
      </c>
      <c r="B373" s="6" t="s">
        <v>76</v>
      </c>
      <c r="C373" s="5" t="s">
        <v>46</v>
      </c>
      <c r="D373" s="5" t="s">
        <v>35</v>
      </c>
      <c r="E373" s="6" t="n">
        <v>107768</v>
      </c>
      <c r="F373" s="6" t="n">
        <v>113953</v>
      </c>
      <c r="G373" s="6" t="n">
        <v>58690</v>
      </c>
      <c r="H373" s="6" t="n">
        <v>60036</v>
      </c>
      <c r="I373" s="6" t="n">
        <v>15435</v>
      </c>
      <c r="J373" s="6" t="n">
        <v>15693</v>
      </c>
      <c r="K373" s="6" t="n">
        <v>2308</v>
      </c>
      <c r="L373" s="6" t="n">
        <v>2419</v>
      </c>
      <c r="M373" s="6" t="n">
        <v>1291</v>
      </c>
      <c r="N373" s="6" t="n">
        <v>1196</v>
      </c>
      <c r="O373" s="6" t="n">
        <v>2214</v>
      </c>
      <c r="P373" s="6" t="n">
        <v>2069</v>
      </c>
      <c r="Q373" s="6" t="n">
        <v>1727</v>
      </c>
      <c r="R373" s="6" t="n">
        <v>1660</v>
      </c>
      <c r="S373" s="6" t="n">
        <v>1074</v>
      </c>
      <c r="T373" s="6" t="n">
        <v>975</v>
      </c>
      <c r="U373" s="6" t="n">
        <v>2352</v>
      </c>
      <c r="V373" s="6" t="n">
        <v>2337</v>
      </c>
    </row>
    <row r="374" customFormat="false" ht="15" hidden="false" customHeight="false" outlineLevel="0" collapsed="false">
      <c r="A374" s="5" t="s">
        <v>78</v>
      </c>
      <c r="B374" s="6" t="s">
        <v>76</v>
      </c>
      <c r="C374" s="5" t="s">
        <v>47</v>
      </c>
      <c r="D374" s="5" t="s">
        <v>48</v>
      </c>
      <c r="E374" s="6" t="n">
        <v>108234</v>
      </c>
      <c r="F374" s="6" t="n">
        <v>103552</v>
      </c>
      <c r="G374" s="6" t="n">
        <v>60379</v>
      </c>
      <c r="H374" s="6" t="n">
        <v>58737</v>
      </c>
      <c r="I374" s="6" t="n">
        <v>16630</v>
      </c>
      <c r="J374" s="6" t="n">
        <v>17357</v>
      </c>
      <c r="K374" s="6" t="n">
        <v>3177</v>
      </c>
      <c r="L374" s="6" t="n">
        <v>2953</v>
      </c>
      <c r="M374" s="6" t="n">
        <v>1598</v>
      </c>
      <c r="N374" s="6" t="n">
        <v>1975</v>
      </c>
      <c r="O374" s="6" t="n">
        <v>2151</v>
      </c>
      <c r="P374" s="6" t="n">
        <v>2051</v>
      </c>
      <c r="Q374" s="6" t="n">
        <v>1946</v>
      </c>
      <c r="R374" s="6" t="n">
        <v>1966</v>
      </c>
      <c r="S374" s="6" t="n">
        <v>1215</v>
      </c>
      <c r="T374" s="6" t="n">
        <v>1050</v>
      </c>
      <c r="U374" s="6" t="n">
        <v>2743</v>
      </c>
      <c r="V374" s="6" t="n">
        <v>2662</v>
      </c>
    </row>
    <row r="375" customFormat="false" ht="15" hidden="false" customHeight="false" outlineLevel="0" collapsed="false">
      <c r="A375" s="5" t="s">
        <v>78</v>
      </c>
      <c r="B375" s="6" t="s">
        <v>76</v>
      </c>
      <c r="C375" s="5" t="s">
        <v>49</v>
      </c>
      <c r="D375" s="5" t="s">
        <v>48</v>
      </c>
      <c r="E375" s="6" t="n">
        <v>98432</v>
      </c>
      <c r="F375" s="6" t="n">
        <v>102468</v>
      </c>
      <c r="G375" s="6" t="n">
        <v>55971</v>
      </c>
      <c r="H375" s="6" t="n">
        <v>59761</v>
      </c>
      <c r="I375" s="6" t="n">
        <v>16346</v>
      </c>
      <c r="J375" s="6" t="n">
        <v>17592</v>
      </c>
      <c r="K375" s="6" t="n">
        <v>2857</v>
      </c>
      <c r="L375" s="6" t="n">
        <v>2846</v>
      </c>
      <c r="M375" s="6" t="n">
        <v>1214</v>
      </c>
      <c r="N375" s="6" t="n">
        <v>1562</v>
      </c>
      <c r="O375" s="6" t="n">
        <v>2127</v>
      </c>
      <c r="P375" s="6" t="n">
        <v>2215</v>
      </c>
      <c r="Q375" s="6" t="n">
        <v>1725</v>
      </c>
      <c r="R375" s="6" t="n">
        <v>1707</v>
      </c>
      <c r="S375" s="6" t="n">
        <v>769</v>
      </c>
      <c r="T375" s="6" t="n">
        <v>673</v>
      </c>
      <c r="U375" s="6" t="n">
        <v>1982</v>
      </c>
      <c r="V375" s="6" t="n">
        <v>1936</v>
      </c>
    </row>
    <row r="376" customFormat="false" ht="15" hidden="false" customHeight="false" outlineLevel="0" collapsed="false">
      <c r="A376" s="5" t="s">
        <v>78</v>
      </c>
      <c r="B376" s="6" t="s">
        <v>76</v>
      </c>
      <c r="C376" s="5" t="s">
        <v>50</v>
      </c>
      <c r="D376" s="5" t="s">
        <v>48</v>
      </c>
      <c r="E376" s="6" t="n">
        <v>106682</v>
      </c>
      <c r="F376" s="6" t="n">
        <v>100980</v>
      </c>
      <c r="G376" s="6" t="n">
        <v>63107</v>
      </c>
      <c r="H376" s="6" t="n">
        <v>58771</v>
      </c>
      <c r="I376" s="6" t="n">
        <v>17011</v>
      </c>
      <c r="J376" s="6" t="n">
        <v>17716</v>
      </c>
      <c r="K376" s="6" t="n">
        <v>2831</v>
      </c>
      <c r="L376" s="6" t="n">
        <v>2938</v>
      </c>
      <c r="M376" s="6" t="n">
        <v>1443</v>
      </c>
      <c r="N376" s="6" t="n">
        <v>1292</v>
      </c>
      <c r="O376" s="6" t="n">
        <v>2241</v>
      </c>
      <c r="P376" s="6" t="n">
        <v>2249</v>
      </c>
      <c r="Q376" s="6" t="n">
        <v>1685</v>
      </c>
      <c r="R376" s="6" t="n">
        <v>1604</v>
      </c>
      <c r="S376" s="6" t="n">
        <v>746</v>
      </c>
      <c r="T376" s="6" t="n">
        <v>665</v>
      </c>
      <c r="U376" s="6" t="n">
        <v>2883</v>
      </c>
      <c r="V376" s="6" t="n">
        <v>2963</v>
      </c>
    </row>
    <row r="377" customFormat="false" ht="15" hidden="false" customHeight="false" outlineLevel="0" collapsed="false">
      <c r="A377" s="5" t="s">
        <v>78</v>
      </c>
      <c r="B377" s="6" t="s">
        <v>76</v>
      </c>
      <c r="C377" s="5" t="s">
        <v>51</v>
      </c>
      <c r="D377" s="5" t="s">
        <v>48</v>
      </c>
      <c r="E377" s="6" t="n">
        <v>105739</v>
      </c>
      <c r="F377" s="6" t="n">
        <v>101363</v>
      </c>
      <c r="G377" s="6" t="n">
        <v>60812</v>
      </c>
      <c r="H377" s="6" t="n">
        <v>57288</v>
      </c>
      <c r="I377" s="6" t="n">
        <v>16610</v>
      </c>
      <c r="J377" s="6" t="n">
        <v>17635</v>
      </c>
      <c r="K377" s="6" t="n">
        <v>2196</v>
      </c>
      <c r="L377" s="6" t="n">
        <v>1872</v>
      </c>
      <c r="M377" s="6" t="n">
        <v>1313</v>
      </c>
      <c r="N377" s="6" t="n">
        <v>1519</v>
      </c>
      <c r="O377" s="6" t="n">
        <v>2939</v>
      </c>
      <c r="P377" s="6" t="n">
        <v>3153</v>
      </c>
      <c r="Q377" s="6" t="n">
        <v>1892</v>
      </c>
      <c r="R377" s="6" t="n">
        <v>1910</v>
      </c>
      <c r="S377" s="6" t="n">
        <v>986</v>
      </c>
      <c r="T377" s="6" t="n">
        <v>961</v>
      </c>
      <c r="U377" s="6" t="n">
        <v>2630</v>
      </c>
      <c r="V377" s="6" t="n">
        <v>2628</v>
      </c>
    </row>
    <row r="378" customFormat="false" ht="15" hidden="false" customHeight="false" outlineLevel="0" collapsed="false">
      <c r="A378" s="5" t="s">
        <v>78</v>
      </c>
      <c r="B378" s="6" t="s">
        <v>76</v>
      </c>
      <c r="C378" s="5" t="s">
        <v>52</v>
      </c>
      <c r="D378" s="5" t="s">
        <v>48</v>
      </c>
      <c r="E378" s="6" t="n">
        <v>103603</v>
      </c>
      <c r="F378" s="6" t="n">
        <v>102235</v>
      </c>
      <c r="G378" s="6" t="n">
        <v>60164</v>
      </c>
      <c r="H378" s="6" t="n">
        <v>61500</v>
      </c>
      <c r="I378" s="6" t="n">
        <v>16021</v>
      </c>
      <c r="J378" s="6" t="n">
        <v>16799</v>
      </c>
      <c r="K378" s="6" t="n">
        <v>2893</v>
      </c>
      <c r="L378" s="6" t="n">
        <v>2825</v>
      </c>
      <c r="M378" s="6" t="n">
        <v>1058</v>
      </c>
      <c r="N378" s="6" t="n">
        <v>880</v>
      </c>
      <c r="O378" s="6" t="n">
        <v>2790</v>
      </c>
      <c r="P378" s="6" t="n">
        <v>2776</v>
      </c>
      <c r="Q378" s="6" t="n">
        <v>1636</v>
      </c>
      <c r="R378" s="6" t="n">
        <v>1635</v>
      </c>
      <c r="S378" s="6" t="n">
        <v>1205</v>
      </c>
      <c r="T378" s="6" t="n">
        <v>1215</v>
      </c>
      <c r="U378" s="6" t="n">
        <v>2795</v>
      </c>
      <c r="V378" s="6" t="n">
        <v>2715</v>
      </c>
    </row>
    <row r="379" customFormat="false" ht="15" hidden="false" customHeight="false" outlineLevel="0" collapsed="false">
      <c r="A379" s="5" t="s">
        <v>78</v>
      </c>
      <c r="B379" s="6" t="s">
        <v>76</v>
      </c>
      <c r="C379" s="5" t="s">
        <v>53</v>
      </c>
      <c r="D379" s="5" t="s">
        <v>48</v>
      </c>
      <c r="E379" s="6" t="n">
        <v>106683</v>
      </c>
      <c r="F379" s="6" t="n">
        <v>110775</v>
      </c>
      <c r="G379" s="6" t="n">
        <v>59810</v>
      </c>
      <c r="H379" s="6" t="n">
        <v>61174</v>
      </c>
      <c r="I379" s="6" t="n">
        <v>15639</v>
      </c>
      <c r="J379" s="6" t="n">
        <v>16734</v>
      </c>
      <c r="K379" s="6" t="n">
        <v>2676</v>
      </c>
      <c r="L379" s="6" t="n">
        <v>2758</v>
      </c>
      <c r="M379" s="6" t="n">
        <v>1483</v>
      </c>
      <c r="N379" s="6" t="n">
        <v>1674</v>
      </c>
      <c r="O379" s="6" t="n">
        <v>2060</v>
      </c>
      <c r="P379" s="6" t="n">
        <v>2004</v>
      </c>
      <c r="Q379" s="6" t="n">
        <v>1887</v>
      </c>
      <c r="R379" s="6" t="n">
        <v>1974</v>
      </c>
      <c r="S379" s="6" t="n">
        <v>1173</v>
      </c>
      <c r="T379" s="6" t="n">
        <v>1412</v>
      </c>
      <c r="U379" s="6" t="n">
        <v>2917</v>
      </c>
      <c r="V379" s="6" t="n">
        <v>2969</v>
      </c>
    </row>
    <row r="380" customFormat="false" ht="15" hidden="false" customHeight="false" outlineLevel="0" collapsed="false">
      <c r="A380" s="5" t="s">
        <v>78</v>
      </c>
      <c r="B380" s="6" t="s">
        <v>76</v>
      </c>
      <c r="C380" s="5" t="s">
        <v>54</v>
      </c>
      <c r="D380" s="5" t="s">
        <v>48</v>
      </c>
      <c r="E380" s="6" t="n">
        <v>107882</v>
      </c>
      <c r="F380" s="6" t="n">
        <v>103599</v>
      </c>
      <c r="G380" s="6" t="n">
        <v>62281</v>
      </c>
      <c r="H380" s="6" t="n">
        <v>59200</v>
      </c>
      <c r="I380" s="6" t="n">
        <v>17528</v>
      </c>
      <c r="J380" s="6" t="n">
        <v>18288</v>
      </c>
      <c r="K380" s="6" t="n">
        <v>2367</v>
      </c>
      <c r="L380" s="6" t="n">
        <v>2154</v>
      </c>
      <c r="M380" s="6" t="n">
        <v>1321</v>
      </c>
      <c r="N380" s="6" t="n">
        <v>1123</v>
      </c>
      <c r="O380" s="6" t="n">
        <v>2391</v>
      </c>
      <c r="P380" s="6" t="n">
        <v>2627</v>
      </c>
      <c r="Q380" s="6" t="n">
        <v>1557</v>
      </c>
      <c r="R380" s="6" t="n">
        <v>1512</v>
      </c>
      <c r="S380" s="6" t="n">
        <v>678</v>
      </c>
      <c r="T380" s="6" t="n">
        <v>550</v>
      </c>
      <c r="U380" s="6" t="n">
        <v>3108</v>
      </c>
      <c r="V380" s="6" t="n">
        <v>3081</v>
      </c>
    </row>
    <row r="381" customFormat="false" ht="15" hidden="false" customHeight="false" outlineLevel="0" collapsed="false">
      <c r="A381" s="5" t="s">
        <v>78</v>
      </c>
      <c r="B381" s="6" t="s">
        <v>76</v>
      </c>
      <c r="C381" s="5" t="s">
        <v>55</v>
      </c>
      <c r="D381" s="5" t="s">
        <v>48</v>
      </c>
      <c r="E381" s="6" t="n">
        <v>106730</v>
      </c>
      <c r="F381" s="6" t="n">
        <v>102689</v>
      </c>
      <c r="G381" s="6" t="n">
        <v>63362</v>
      </c>
      <c r="H381" s="6" t="n">
        <v>59073</v>
      </c>
      <c r="I381" s="6" t="n">
        <v>15146</v>
      </c>
      <c r="J381" s="6" t="n">
        <v>15409</v>
      </c>
      <c r="K381" s="6" t="n">
        <v>3123</v>
      </c>
      <c r="L381" s="6" t="n">
        <v>2768</v>
      </c>
      <c r="M381" s="6" t="n">
        <v>1021</v>
      </c>
      <c r="N381" s="6" t="n">
        <v>948</v>
      </c>
      <c r="O381" s="6" t="n">
        <v>2284</v>
      </c>
      <c r="P381" s="6" t="n">
        <v>2247</v>
      </c>
      <c r="Q381" s="6" t="n">
        <v>1321</v>
      </c>
      <c r="R381" s="6" t="n">
        <v>1371</v>
      </c>
      <c r="S381" s="6" t="n">
        <v>812</v>
      </c>
      <c r="T381" s="6" t="n">
        <v>723</v>
      </c>
      <c r="U381" s="6" t="n">
        <v>2871</v>
      </c>
      <c r="V381" s="6" t="n">
        <v>2874</v>
      </c>
    </row>
    <row r="382" customFormat="false" ht="15" hidden="false" customHeight="false" outlineLevel="0" collapsed="false">
      <c r="A382" s="5" t="s">
        <v>78</v>
      </c>
      <c r="B382" s="6" t="s">
        <v>76</v>
      </c>
      <c r="C382" s="5" t="s">
        <v>56</v>
      </c>
      <c r="D382" s="5" t="s">
        <v>48</v>
      </c>
      <c r="E382" s="6" t="n">
        <v>115778</v>
      </c>
      <c r="F382" s="6" t="n">
        <v>112980</v>
      </c>
      <c r="G382" s="6" t="n">
        <v>68957</v>
      </c>
      <c r="H382" s="6" t="n">
        <v>67504</v>
      </c>
      <c r="I382" s="6" t="n">
        <v>17797</v>
      </c>
      <c r="J382" s="6" t="n">
        <v>18911</v>
      </c>
      <c r="K382" s="6" t="n">
        <v>2508</v>
      </c>
      <c r="L382" s="6" t="n">
        <v>2211</v>
      </c>
      <c r="M382" s="6" t="n">
        <v>1421</v>
      </c>
      <c r="N382" s="6" t="n">
        <v>1693</v>
      </c>
      <c r="O382" s="6" t="n">
        <v>3181</v>
      </c>
      <c r="P382" s="6" t="n">
        <v>3398</v>
      </c>
      <c r="Q382" s="6" t="n">
        <v>1428</v>
      </c>
      <c r="R382" s="6" t="n">
        <v>1372</v>
      </c>
      <c r="S382" s="6" t="n">
        <v>1132</v>
      </c>
      <c r="T382" s="6" t="n">
        <v>1497</v>
      </c>
      <c r="U382" s="6" t="n">
        <v>3370</v>
      </c>
      <c r="V382" s="6" t="n">
        <v>3301</v>
      </c>
    </row>
    <row r="383" customFormat="false" ht="15" hidden="false" customHeight="false" outlineLevel="0" collapsed="false">
      <c r="A383" s="5" t="s">
        <v>78</v>
      </c>
      <c r="B383" s="6" t="s">
        <v>76</v>
      </c>
      <c r="C383" s="5" t="s">
        <v>57</v>
      </c>
      <c r="D383" s="5" t="s">
        <v>48</v>
      </c>
      <c r="E383" s="6" t="n">
        <v>102814</v>
      </c>
      <c r="F383" s="6" t="n">
        <v>103541</v>
      </c>
      <c r="G383" s="6" t="n">
        <v>58640</v>
      </c>
      <c r="H383" s="6" t="n">
        <v>60777</v>
      </c>
      <c r="I383" s="6" t="n">
        <v>14700</v>
      </c>
      <c r="J383" s="6" t="n">
        <v>15305</v>
      </c>
      <c r="K383" s="6" t="n">
        <v>2572</v>
      </c>
      <c r="L383" s="6" t="n">
        <v>2293</v>
      </c>
      <c r="M383" s="6" t="n">
        <v>1433</v>
      </c>
      <c r="N383" s="6" t="n">
        <v>1461</v>
      </c>
      <c r="O383" s="6" t="n">
        <v>2278</v>
      </c>
      <c r="P383" s="6" t="n">
        <v>2411</v>
      </c>
      <c r="Q383" s="6" t="n">
        <v>1436</v>
      </c>
      <c r="R383" s="6" t="n">
        <v>1480</v>
      </c>
      <c r="S383" s="6" t="n">
        <v>827</v>
      </c>
      <c r="T383" s="6" t="n">
        <v>912</v>
      </c>
      <c r="U383" s="6" t="n">
        <v>2144</v>
      </c>
      <c r="V383" s="6" t="n">
        <v>2128</v>
      </c>
    </row>
    <row r="384" customFormat="false" ht="15" hidden="false" customHeight="false" outlineLevel="0" collapsed="false">
      <c r="A384" s="5" t="s">
        <v>78</v>
      </c>
      <c r="B384" s="6" t="s">
        <v>76</v>
      </c>
      <c r="C384" s="5" t="s">
        <v>58</v>
      </c>
      <c r="D384" s="5" t="s">
        <v>48</v>
      </c>
      <c r="E384" s="6" t="n">
        <v>103355</v>
      </c>
      <c r="F384" s="6" t="n">
        <v>105113</v>
      </c>
      <c r="G384" s="6" t="n">
        <v>59936</v>
      </c>
      <c r="H384" s="6" t="n">
        <v>59650</v>
      </c>
      <c r="I384" s="6" t="n">
        <v>16806</v>
      </c>
      <c r="J384" s="6" t="n">
        <v>17081</v>
      </c>
      <c r="K384" s="6" t="n">
        <v>2421</v>
      </c>
      <c r="L384" s="6" t="n">
        <v>2640</v>
      </c>
      <c r="M384" s="6" t="n">
        <v>1126</v>
      </c>
      <c r="N384" s="6" t="n">
        <v>1131</v>
      </c>
      <c r="O384" s="6" t="n">
        <v>2335</v>
      </c>
      <c r="P384" s="6" t="n">
        <v>2506</v>
      </c>
      <c r="Q384" s="6" t="n">
        <v>1897</v>
      </c>
      <c r="R384" s="6" t="n">
        <v>1871</v>
      </c>
      <c r="S384" s="6" t="n">
        <v>639</v>
      </c>
      <c r="T384" s="6" t="n">
        <v>567</v>
      </c>
      <c r="U384" s="6" t="n">
        <v>2077</v>
      </c>
      <c r="V384" s="6" t="n">
        <v>2115</v>
      </c>
    </row>
    <row r="385" customFormat="false" ht="15" hidden="false" customHeight="false" outlineLevel="0" collapsed="false">
      <c r="A385" s="5" t="s">
        <v>78</v>
      </c>
      <c r="B385" s="6" t="s">
        <v>76</v>
      </c>
      <c r="C385" s="5" t="s">
        <v>59</v>
      </c>
      <c r="D385" s="5" t="s">
        <v>48</v>
      </c>
      <c r="E385" s="6" t="n">
        <v>111081</v>
      </c>
      <c r="F385" s="6" t="n">
        <v>116906</v>
      </c>
      <c r="G385" s="6" t="n">
        <v>62082</v>
      </c>
      <c r="H385" s="6" t="n">
        <v>68739</v>
      </c>
      <c r="I385" s="6" t="n">
        <v>16099</v>
      </c>
      <c r="J385" s="6" t="n">
        <v>15725</v>
      </c>
      <c r="K385" s="6" t="n">
        <v>3487</v>
      </c>
      <c r="L385" s="6" t="n">
        <v>3655</v>
      </c>
      <c r="M385" s="6" t="n">
        <v>1387</v>
      </c>
      <c r="N385" s="6" t="n">
        <v>1735</v>
      </c>
      <c r="O385" s="6" t="n">
        <v>2064</v>
      </c>
      <c r="P385" s="6" t="n">
        <v>2134</v>
      </c>
      <c r="Q385" s="6" t="n">
        <v>1967</v>
      </c>
      <c r="R385" s="6" t="n">
        <v>1999</v>
      </c>
      <c r="S385" s="6" t="n">
        <v>1013</v>
      </c>
      <c r="T385" s="6" t="n">
        <v>990</v>
      </c>
      <c r="U385" s="6" t="n">
        <v>2668</v>
      </c>
      <c r="V385" s="6" t="n">
        <v>2697</v>
      </c>
    </row>
    <row r="386" customFormat="false" ht="15" hidden="false" customHeight="false" outlineLevel="0" collapsed="false">
      <c r="A386" s="5" t="s">
        <v>78</v>
      </c>
      <c r="B386" s="6" t="s">
        <v>76</v>
      </c>
      <c r="C386" s="5" t="s">
        <v>60</v>
      </c>
      <c r="D386" s="5" t="s">
        <v>61</v>
      </c>
      <c r="E386" s="6" t="n">
        <v>105727</v>
      </c>
      <c r="F386" s="6" t="n">
        <v>108269</v>
      </c>
      <c r="G386" s="6" t="n">
        <v>61804</v>
      </c>
      <c r="H386" s="6" t="n">
        <v>66047</v>
      </c>
      <c r="I386" s="6" t="n">
        <v>14827</v>
      </c>
      <c r="J386" s="6" t="n">
        <v>14839</v>
      </c>
      <c r="K386" s="6" t="n">
        <v>2952</v>
      </c>
      <c r="L386" s="6" t="n">
        <v>3324</v>
      </c>
      <c r="M386" s="6" t="n">
        <v>1364</v>
      </c>
      <c r="N386" s="6" t="n">
        <v>1396</v>
      </c>
      <c r="O386" s="6" t="n">
        <v>2120</v>
      </c>
      <c r="P386" s="6" t="n">
        <v>2158</v>
      </c>
      <c r="Q386" s="6" t="n">
        <v>1936</v>
      </c>
      <c r="R386" s="6" t="n">
        <v>1965</v>
      </c>
      <c r="S386" s="6" t="n">
        <v>1077</v>
      </c>
      <c r="T386" s="6" t="n">
        <v>1435</v>
      </c>
      <c r="U386" s="6" t="n">
        <v>2941</v>
      </c>
      <c r="V386" s="6" t="n">
        <v>2924</v>
      </c>
    </row>
    <row r="387" customFormat="false" ht="15" hidden="false" customHeight="false" outlineLevel="0" collapsed="false">
      <c r="A387" s="5" t="s">
        <v>78</v>
      </c>
      <c r="B387" s="6" t="s">
        <v>76</v>
      </c>
      <c r="C387" s="5" t="s">
        <v>62</v>
      </c>
      <c r="D387" s="5" t="s">
        <v>61</v>
      </c>
      <c r="E387" s="6" t="n">
        <v>104926</v>
      </c>
      <c r="F387" s="6" t="n">
        <v>107486</v>
      </c>
      <c r="G387" s="6" t="n">
        <v>56893</v>
      </c>
      <c r="H387" s="6" t="n">
        <v>57929</v>
      </c>
      <c r="I387" s="6" t="n">
        <v>16972</v>
      </c>
      <c r="J387" s="6" t="n">
        <v>17844</v>
      </c>
      <c r="K387" s="6" t="n">
        <v>2297</v>
      </c>
      <c r="L387" s="6" t="n">
        <v>2636</v>
      </c>
      <c r="M387" s="6" t="n">
        <v>1048</v>
      </c>
      <c r="N387" s="6" t="n">
        <v>887</v>
      </c>
      <c r="O387" s="6" t="n">
        <v>2468</v>
      </c>
      <c r="P387" s="6" t="n">
        <v>2502</v>
      </c>
      <c r="Q387" s="6" t="n">
        <v>1895</v>
      </c>
      <c r="R387" s="6" t="n">
        <v>1831</v>
      </c>
      <c r="S387" s="6" t="n">
        <v>647</v>
      </c>
      <c r="T387" s="6" t="n">
        <v>827</v>
      </c>
      <c r="U387" s="6" t="n">
        <v>2720</v>
      </c>
      <c r="V387" s="6" t="n">
        <v>2678</v>
      </c>
    </row>
    <row r="388" customFormat="false" ht="15" hidden="false" customHeight="false" outlineLevel="0" collapsed="false">
      <c r="A388" s="5" t="s">
        <v>78</v>
      </c>
      <c r="B388" s="6" t="s">
        <v>76</v>
      </c>
      <c r="C388" s="5" t="s">
        <v>63</v>
      </c>
      <c r="D388" s="5" t="s">
        <v>61</v>
      </c>
      <c r="E388" s="6" t="n">
        <v>112170</v>
      </c>
      <c r="F388" s="6" t="n">
        <v>109202</v>
      </c>
      <c r="G388" s="6" t="n">
        <v>67214</v>
      </c>
      <c r="H388" s="6" t="n">
        <v>63855</v>
      </c>
      <c r="I388" s="6" t="n">
        <v>15906</v>
      </c>
      <c r="J388" s="6" t="n">
        <v>16081</v>
      </c>
      <c r="K388" s="6" t="n">
        <v>3298</v>
      </c>
      <c r="L388" s="6" t="n">
        <v>3154</v>
      </c>
      <c r="M388" s="6" t="n">
        <v>935</v>
      </c>
      <c r="N388" s="6" t="n">
        <v>1052</v>
      </c>
      <c r="O388" s="6" t="n">
        <v>2159</v>
      </c>
      <c r="P388" s="6" t="n">
        <v>2102</v>
      </c>
      <c r="Q388" s="6" t="n">
        <v>2007</v>
      </c>
      <c r="R388" s="6" t="n">
        <v>1998</v>
      </c>
      <c r="S388" s="6" t="n">
        <v>1335</v>
      </c>
      <c r="T388" s="6" t="n">
        <v>1713</v>
      </c>
      <c r="U388" s="6" t="n">
        <v>3353</v>
      </c>
      <c r="V388" s="6" t="n">
        <v>3366</v>
      </c>
    </row>
    <row r="389" customFormat="false" ht="15" hidden="false" customHeight="false" outlineLevel="0" collapsed="false">
      <c r="A389" s="5" t="s">
        <v>78</v>
      </c>
      <c r="B389" s="6" t="s">
        <v>76</v>
      </c>
      <c r="C389" s="5" t="s">
        <v>64</v>
      </c>
      <c r="D389" s="5" t="s">
        <v>61</v>
      </c>
      <c r="E389" s="6" t="n">
        <v>113181</v>
      </c>
      <c r="F389" s="6" t="n">
        <v>111472</v>
      </c>
      <c r="G389" s="6" t="n">
        <v>64739</v>
      </c>
      <c r="H389" s="6" t="n">
        <v>64852</v>
      </c>
      <c r="I389" s="6" t="n">
        <v>17035</v>
      </c>
      <c r="J389" s="6" t="n">
        <v>17057</v>
      </c>
      <c r="K389" s="6" t="n">
        <v>3596</v>
      </c>
      <c r="L389" s="6" t="n">
        <v>3828</v>
      </c>
      <c r="M389" s="6" t="n">
        <v>1438</v>
      </c>
      <c r="N389" s="6" t="n">
        <v>1664</v>
      </c>
      <c r="O389" s="6" t="n">
        <v>2625</v>
      </c>
      <c r="P389" s="6" t="n">
        <v>2532</v>
      </c>
      <c r="Q389" s="6" t="n">
        <v>1655</v>
      </c>
      <c r="R389" s="6" t="n">
        <v>1669</v>
      </c>
      <c r="S389" s="6" t="n">
        <v>1238</v>
      </c>
      <c r="T389" s="6" t="n">
        <v>1259</v>
      </c>
      <c r="U389" s="6" t="n">
        <v>2375</v>
      </c>
      <c r="V389" s="6" t="n">
        <v>2405</v>
      </c>
    </row>
    <row r="390" customFormat="false" ht="15" hidden="false" customHeight="false" outlineLevel="0" collapsed="false">
      <c r="A390" s="5" t="s">
        <v>78</v>
      </c>
      <c r="B390" s="6" t="s">
        <v>76</v>
      </c>
      <c r="C390" s="5" t="s">
        <v>65</v>
      </c>
      <c r="D390" s="5" t="s">
        <v>61</v>
      </c>
      <c r="E390" s="6" t="n">
        <v>107800</v>
      </c>
      <c r="F390" s="6" t="n">
        <v>113494</v>
      </c>
      <c r="G390" s="6" t="n">
        <v>58614</v>
      </c>
      <c r="H390" s="6" t="n">
        <v>64482</v>
      </c>
      <c r="I390" s="6" t="n">
        <v>16632</v>
      </c>
      <c r="J390" s="6" t="n">
        <v>16949</v>
      </c>
      <c r="K390" s="6" t="n">
        <v>2753</v>
      </c>
      <c r="L390" s="6" t="n">
        <v>2775</v>
      </c>
      <c r="M390" s="6" t="n">
        <v>1306</v>
      </c>
      <c r="N390" s="6" t="n">
        <v>1384</v>
      </c>
      <c r="O390" s="6" t="n">
        <v>2366</v>
      </c>
      <c r="P390" s="6" t="n">
        <v>2289</v>
      </c>
      <c r="Q390" s="6" t="n">
        <v>1724</v>
      </c>
      <c r="R390" s="6" t="n">
        <v>1711</v>
      </c>
      <c r="S390" s="6" t="n">
        <v>931</v>
      </c>
      <c r="T390" s="6" t="n">
        <v>1265</v>
      </c>
      <c r="U390" s="6" t="n">
        <v>2684</v>
      </c>
      <c r="V390" s="6" t="n">
        <v>2760</v>
      </c>
    </row>
    <row r="391" customFormat="false" ht="15" hidden="false" customHeight="false" outlineLevel="0" collapsed="false">
      <c r="A391" s="5" t="s">
        <v>78</v>
      </c>
      <c r="B391" s="6" t="s">
        <v>76</v>
      </c>
      <c r="C391" s="5" t="s">
        <v>66</v>
      </c>
      <c r="D391" s="5" t="s">
        <v>61</v>
      </c>
      <c r="E391" s="6" t="n">
        <v>120272</v>
      </c>
      <c r="F391" s="6" t="n">
        <v>125634</v>
      </c>
      <c r="G391" s="6" t="n">
        <v>65864</v>
      </c>
      <c r="H391" s="6" t="n">
        <v>70755</v>
      </c>
      <c r="I391" s="6" t="n">
        <v>17305</v>
      </c>
      <c r="J391" s="6" t="n">
        <v>18127</v>
      </c>
      <c r="K391" s="6" t="n">
        <v>3963</v>
      </c>
      <c r="L391" s="6" t="n">
        <v>3509</v>
      </c>
      <c r="M391" s="6" t="n">
        <v>1141</v>
      </c>
      <c r="N391" s="6" t="n">
        <v>1183</v>
      </c>
      <c r="O391" s="6" t="n">
        <v>3063</v>
      </c>
      <c r="P391" s="6" t="n">
        <v>3338</v>
      </c>
      <c r="Q391" s="6" t="n">
        <v>1799</v>
      </c>
      <c r="R391" s="6" t="n">
        <v>1880</v>
      </c>
      <c r="S391" s="6" t="n">
        <v>1156</v>
      </c>
      <c r="T391" s="6" t="n">
        <v>1208</v>
      </c>
      <c r="U391" s="6" t="n">
        <v>2551</v>
      </c>
      <c r="V391" s="6" t="n">
        <v>2562</v>
      </c>
    </row>
    <row r="392" customFormat="false" ht="15" hidden="false" customHeight="false" outlineLevel="0" collapsed="false">
      <c r="A392" s="5" t="s">
        <v>78</v>
      </c>
      <c r="B392" s="6" t="s">
        <v>76</v>
      </c>
      <c r="C392" s="5" t="s">
        <v>67</v>
      </c>
      <c r="D392" s="5" t="s">
        <v>61</v>
      </c>
      <c r="E392" s="6" t="n">
        <v>109227</v>
      </c>
      <c r="F392" s="6" t="n">
        <v>113968</v>
      </c>
      <c r="G392" s="6" t="n">
        <v>61417</v>
      </c>
      <c r="H392" s="6" t="n">
        <v>67451</v>
      </c>
      <c r="I392" s="6" t="n">
        <v>16286</v>
      </c>
      <c r="J392" s="6" t="n">
        <v>16668</v>
      </c>
      <c r="K392" s="6" t="n">
        <v>3481</v>
      </c>
      <c r="L392" s="6" t="n">
        <v>3107</v>
      </c>
      <c r="M392" s="6" t="n">
        <v>1325</v>
      </c>
      <c r="N392" s="6" t="n">
        <v>1092</v>
      </c>
      <c r="O392" s="6" t="n">
        <v>2943</v>
      </c>
      <c r="P392" s="6" t="n">
        <v>3179</v>
      </c>
      <c r="Q392" s="6" t="n">
        <v>1499</v>
      </c>
      <c r="R392" s="6" t="n">
        <v>1547</v>
      </c>
      <c r="S392" s="6" t="n">
        <v>976</v>
      </c>
      <c r="T392" s="6" t="n">
        <v>852</v>
      </c>
      <c r="U392" s="6" t="n">
        <v>2565</v>
      </c>
      <c r="V392" s="6" t="n">
        <v>2622</v>
      </c>
    </row>
    <row r="393" customFormat="false" ht="15" hidden="false" customHeight="false" outlineLevel="0" collapsed="false">
      <c r="A393" s="5" t="s">
        <v>78</v>
      </c>
      <c r="B393" s="6" t="s">
        <v>76</v>
      </c>
      <c r="C393" s="5" t="s">
        <v>68</v>
      </c>
      <c r="D393" s="5" t="s">
        <v>61</v>
      </c>
      <c r="E393" s="6" t="n">
        <v>115154</v>
      </c>
      <c r="F393" s="6" t="n">
        <v>114153</v>
      </c>
      <c r="G393" s="6" t="n">
        <v>66092</v>
      </c>
      <c r="H393" s="6" t="n">
        <v>68373</v>
      </c>
      <c r="I393" s="6" t="n">
        <v>18821</v>
      </c>
      <c r="J393" s="6" t="n">
        <v>19240</v>
      </c>
      <c r="K393" s="6" t="n">
        <v>3547</v>
      </c>
      <c r="L393" s="6" t="n">
        <v>3659</v>
      </c>
      <c r="M393" s="6" t="n">
        <v>1535</v>
      </c>
      <c r="N393" s="6" t="n">
        <v>1615</v>
      </c>
      <c r="O393" s="6" t="n">
        <v>2604</v>
      </c>
      <c r="P393" s="6" t="n">
        <v>2607</v>
      </c>
      <c r="Q393" s="6" t="n">
        <v>1796</v>
      </c>
      <c r="R393" s="6" t="n">
        <v>1862</v>
      </c>
      <c r="S393" s="6" t="n">
        <v>916</v>
      </c>
      <c r="T393" s="6" t="n">
        <v>1172</v>
      </c>
      <c r="U393" s="6" t="n">
        <v>3068</v>
      </c>
      <c r="V393" s="6" t="n">
        <v>3051</v>
      </c>
    </row>
    <row r="394" customFormat="false" ht="15" hidden="false" customHeight="false" outlineLevel="0" collapsed="false">
      <c r="A394" s="5" t="s">
        <v>78</v>
      </c>
      <c r="B394" s="6" t="s">
        <v>76</v>
      </c>
      <c r="C394" s="5" t="s">
        <v>69</v>
      </c>
      <c r="D394" s="5" t="s">
        <v>61</v>
      </c>
      <c r="E394" s="6" t="n">
        <v>121865</v>
      </c>
      <c r="F394" s="6" t="n">
        <v>123414</v>
      </c>
      <c r="G394" s="6" t="n">
        <v>69763</v>
      </c>
      <c r="H394" s="6" t="n">
        <v>74093</v>
      </c>
      <c r="I394" s="6" t="n">
        <v>20315</v>
      </c>
      <c r="J394" s="6" t="n">
        <v>21350</v>
      </c>
      <c r="K394" s="6" t="n">
        <v>3618</v>
      </c>
      <c r="L394" s="6" t="n">
        <v>4015</v>
      </c>
      <c r="M394" s="6" t="n">
        <v>1578</v>
      </c>
      <c r="N394" s="6" t="n">
        <v>1714</v>
      </c>
      <c r="O394" s="6" t="n">
        <v>3164</v>
      </c>
      <c r="P394" s="6" t="n">
        <v>3314</v>
      </c>
      <c r="Q394" s="6" t="n">
        <v>2009</v>
      </c>
      <c r="R394" s="6" t="n">
        <v>1933</v>
      </c>
      <c r="S394" s="6" t="n">
        <v>1140</v>
      </c>
      <c r="T394" s="6" t="n">
        <v>1044</v>
      </c>
      <c r="U394" s="6" t="n">
        <v>3191</v>
      </c>
      <c r="V394" s="6" t="n">
        <v>3206</v>
      </c>
    </row>
    <row r="395" customFormat="false" ht="15" hidden="false" customHeight="false" outlineLevel="0" collapsed="false">
      <c r="A395" s="5" t="s">
        <v>78</v>
      </c>
      <c r="B395" s="6" t="s">
        <v>76</v>
      </c>
      <c r="C395" s="5" t="s">
        <v>70</v>
      </c>
      <c r="D395" s="5" t="s">
        <v>61</v>
      </c>
      <c r="E395" s="6" t="n">
        <v>112955</v>
      </c>
      <c r="F395" s="6" t="n">
        <v>112011</v>
      </c>
      <c r="G395" s="6" t="n">
        <v>62279</v>
      </c>
      <c r="H395" s="6" t="n">
        <v>62184</v>
      </c>
      <c r="I395" s="6" t="n">
        <v>18853</v>
      </c>
      <c r="J395" s="6" t="n">
        <v>18537</v>
      </c>
      <c r="K395" s="6" t="n">
        <v>3845</v>
      </c>
      <c r="L395" s="6" t="n">
        <v>3476</v>
      </c>
      <c r="M395" s="6" t="n">
        <v>919</v>
      </c>
      <c r="N395" s="6" t="n">
        <v>1097</v>
      </c>
      <c r="O395" s="6" t="n">
        <v>2310</v>
      </c>
      <c r="P395" s="6" t="n">
        <v>2419</v>
      </c>
      <c r="Q395" s="6" t="n">
        <v>2158</v>
      </c>
      <c r="R395" s="6" t="n">
        <v>2146</v>
      </c>
      <c r="S395" s="6" t="n">
        <v>1225</v>
      </c>
      <c r="T395" s="6" t="n">
        <v>1426</v>
      </c>
      <c r="U395" s="6" t="n">
        <v>2713</v>
      </c>
      <c r="V395" s="6" t="n">
        <v>2639</v>
      </c>
    </row>
    <row r="396" customFormat="false" ht="15" hidden="false" customHeight="false" outlineLevel="0" collapsed="false">
      <c r="A396" s="5" t="s">
        <v>78</v>
      </c>
      <c r="B396" s="6" t="s">
        <v>76</v>
      </c>
      <c r="C396" s="5" t="s">
        <v>71</v>
      </c>
      <c r="D396" s="5" t="s">
        <v>61</v>
      </c>
      <c r="E396" s="6" t="n">
        <v>107661</v>
      </c>
      <c r="F396" s="6" t="n">
        <v>114194</v>
      </c>
      <c r="G396" s="6" t="n">
        <v>60960</v>
      </c>
      <c r="H396" s="6" t="n">
        <v>64744</v>
      </c>
      <c r="I396" s="6" t="n">
        <v>17849</v>
      </c>
      <c r="J396" s="6" t="n">
        <v>17937</v>
      </c>
      <c r="K396" s="6" t="n">
        <v>2569</v>
      </c>
      <c r="L396" s="6" t="n">
        <v>2272</v>
      </c>
      <c r="M396" s="6" t="n">
        <v>936</v>
      </c>
      <c r="N396" s="6" t="n">
        <v>827</v>
      </c>
      <c r="O396" s="6" t="n">
        <v>2093</v>
      </c>
      <c r="P396" s="6" t="n">
        <v>2022</v>
      </c>
      <c r="Q396" s="6" t="n">
        <v>1369</v>
      </c>
      <c r="R396" s="6" t="n">
        <v>1343</v>
      </c>
      <c r="S396" s="6" t="n">
        <v>909</v>
      </c>
      <c r="T396" s="6" t="n">
        <v>819</v>
      </c>
      <c r="U396" s="6" t="n">
        <v>2815</v>
      </c>
      <c r="V396" s="6" t="n">
        <v>2785</v>
      </c>
    </row>
    <row r="397" customFormat="false" ht="15" hidden="false" customHeight="false" outlineLevel="0" collapsed="false">
      <c r="A397" s="5" t="s">
        <v>78</v>
      </c>
      <c r="B397" s="6" t="s">
        <v>76</v>
      </c>
      <c r="C397" s="5" t="s">
        <v>72</v>
      </c>
      <c r="D397" s="5" t="s">
        <v>61</v>
      </c>
      <c r="E397" s="6" t="n">
        <v>115946</v>
      </c>
      <c r="F397" s="6" t="n">
        <v>122432</v>
      </c>
      <c r="G397" s="6" t="n">
        <v>65324</v>
      </c>
      <c r="H397" s="6" t="n">
        <v>68488</v>
      </c>
      <c r="I397" s="6" t="n">
        <v>17668</v>
      </c>
      <c r="J397" s="6" t="n">
        <v>17768</v>
      </c>
      <c r="K397" s="6" t="n">
        <v>2972</v>
      </c>
      <c r="L397" s="6" t="n">
        <v>3264</v>
      </c>
      <c r="M397" s="6" t="n">
        <v>1026</v>
      </c>
      <c r="N397" s="6" t="n">
        <v>925</v>
      </c>
      <c r="O397" s="6" t="n">
        <v>2959</v>
      </c>
      <c r="P397" s="6" t="n">
        <v>3034</v>
      </c>
      <c r="Q397" s="6" t="n">
        <v>1849</v>
      </c>
      <c r="R397" s="6" t="n">
        <v>1896</v>
      </c>
      <c r="S397" s="6" t="n">
        <v>964</v>
      </c>
      <c r="T397" s="6" t="n">
        <v>838</v>
      </c>
      <c r="U397" s="6" t="n">
        <v>2389</v>
      </c>
      <c r="V397" s="6" t="n">
        <v>2384</v>
      </c>
    </row>
    <row r="398" customFormat="false" ht="15" hidden="false" customHeight="false" outlineLevel="0" collapsed="false">
      <c r="A398" s="5" t="s">
        <v>78</v>
      </c>
      <c r="B398" s="6" t="s">
        <v>77</v>
      </c>
      <c r="C398" s="5" t="s">
        <v>34</v>
      </c>
      <c r="D398" s="5" t="s">
        <v>35</v>
      </c>
      <c r="E398" s="6" t="n">
        <v>65559</v>
      </c>
      <c r="F398" s="6" t="n">
        <v>67723</v>
      </c>
      <c r="G398" s="6" t="n">
        <v>38888</v>
      </c>
      <c r="H398" s="6" t="n">
        <v>39728</v>
      </c>
      <c r="I398" s="6" t="n">
        <v>11073</v>
      </c>
      <c r="J398" s="6" t="n">
        <v>11563</v>
      </c>
      <c r="K398" s="6" t="n">
        <v>1553</v>
      </c>
      <c r="L398" s="6" t="n">
        <v>1578</v>
      </c>
      <c r="M398" s="6" t="n">
        <v>885</v>
      </c>
      <c r="N398" s="6" t="n">
        <v>843</v>
      </c>
      <c r="O398" s="6" t="n">
        <v>1447</v>
      </c>
      <c r="P398" s="6" t="n">
        <v>1353</v>
      </c>
      <c r="Q398" s="6" t="n">
        <v>1120</v>
      </c>
      <c r="R398" s="6" t="n">
        <v>1087</v>
      </c>
      <c r="S398" s="6" t="n">
        <v>774</v>
      </c>
      <c r="T398" s="6" t="n">
        <v>793</v>
      </c>
      <c r="U398" s="6" t="n">
        <v>1957</v>
      </c>
      <c r="V398" s="6" t="n">
        <v>1990</v>
      </c>
    </row>
    <row r="399" customFormat="false" ht="15" hidden="false" customHeight="false" outlineLevel="0" collapsed="false">
      <c r="A399" s="5" t="s">
        <v>78</v>
      </c>
      <c r="B399" s="6" t="s">
        <v>77</v>
      </c>
      <c r="C399" s="5" t="s">
        <v>36</v>
      </c>
      <c r="D399" s="5" t="s">
        <v>35</v>
      </c>
      <c r="E399" s="6" t="n">
        <v>67691</v>
      </c>
      <c r="F399" s="6" t="n">
        <v>68316</v>
      </c>
      <c r="G399" s="6" t="n">
        <v>40255</v>
      </c>
      <c r="H399" s="6" t="n">
        <v>40804</v>
      </c>
      <c r="I399" s="6" t="n">
        <v>9479</v>
      </c>
      <c r="J399" s="6" t="n">
        <v>9679</v>
      </c>
      <c r="K399" s="6" t="n">
        <v>2196</v>
      </c>
      <c r="L399" s="6" t="n">
        <v>2057</v>
      </c>
      <c r="M399" s="6" t="n">
        <v>1002</v>
      </c>
      <c r="N399" s="6" t="n">
        <v>802</v>
      </c>
      <c r="O399" s="6" t="n">
        <v>1850</v>
      </c>
      <c r="P399" s="6" t="n">
        <v>1863</v>
      </c>
      <c r="Q399" s="6" t="n">
        <v>1136</v>
      </c>
      <c r="R399" s="6" t="n">
        <v>1175</v>
      </c>
      <c r="S399" s="6" t="n">
        <v>561</v>
      </c>
      <c r="T399" s="6" t="n">
        <v>567</v>
      </c>
      <c r="U399" s="6" t="n">
        <v>1782</v>
      </c>
      <c r="V399" s="6" t="n">
        <v>1791</v>
      </c>
    </row>
    <row r="400" customFormat="false" ht="15" hidden="false" customHeight="false" outlineLevel="0" collapsed="false">
      <c r="A400" s="5" t="s">
        <v>78</v>
      </c>
      <c r="B400" s="6" t="s">
        <v>77</v>
      </c>
      <c r="C400" s="5" t="s">
        <v>37</v>
      </c>
      <c r="D400" s="5" t="s">
        <v>35</v>
      </c>
      <c r="E400" s="6" t="n">
        <v>65086</v>
      </c>
      <c r="F400" s="6" t="n">
        <v>68841</v>
      </c>
      <c r="G400" s="6" t="n">
        <v>38033</v>
      </c>
      <c r="H400" s="6" t="n">
        <v>40789</v>
      </c>
      <c r="I400" s="6" t="n">
        <v>9699</v>
      </c>
      <c r="J400" s="6" t="n">
        <v>9830</v>
      </c>
      <c r="K400" s="6" t="n">
        <v>1422</v>
      </c>
      <c r="L400" s="6" t="n">
        <v>1268</v>
      </c>
      <c r="M400" s="6" t="n">
        <v>774</v>
      </c>
      <c r="N400" s="6" t="n">
        <v>727</v>
      </c>
      <c r="O400" s="6" t="n">
        <v>1453</v>
      </c>
      <c r="P400" s="6" t="n">
        <v>1496</v>
      </c>
      <c r="Q400" s="6" t="n">
        <v>1280</v>
      </c>
      <c r="R400" s="6" t="n">
        <v>1257</v>
      </c>
      <c r="S400" s="6" t="n">
        <v>657</v>
      </c>
      <c r="T400" s="6" t="n">
        <v>661</v>
      </c>
      <c r="U400" s="6" t="n">
        <v>1472</v>
      </c>
      <c r="V400" s="6" t="n">
        <v>1494</v>
      </c>
    </row>
    <row r="401" customFormat="false" ht="15" hidden="false" customHeight="false" outlineLevel="0" collapsed="false">
      <c r="A401" s="5" t="s">
        <v>78</v>
      </c>
      <c r="B401" s="6" t="s">
        <v>77</v>
      </c>
      <c r="C401" s="5" t="s">
        <v>38</v>
      </c>
      <c r="D401" s="5" t="s">
        <v>35</v>
      </c>
      <c r="E401" s="6" t="n">
        <v>67099</v>
      </c>
      <c r="F401" s="6" t="n">
        <v>69209</v>
      </c>
      <c r="G401" s="6" t="n">
        <v>40191</v>
      </c>
      <c r="H401" s="6" t="n">
        <v>41253</v>
      </c>
      <c r="I401" s="6" t="n">
        <v>10319</v>
      </c>
      <c r="J401" s="6" t="n">
        <v>10690</v>
      </c>
      <c r="K401" s="6" t="n">
        <v>1358</v>
      </c>
      <c r="L401" s="6" t="n">
        <v>1436</v>
      </c>
      <c r="M401" s="6" t="n">
        <v>840</v>
      </c>
      <c r="N401" s="6" t="n">
        <v>673</v>
      </c>
      <c r="O401" s="6" t="n">
        <v>1528</v>
      </c>
      <c r="P401" s="6" t="n">
        <v>1654</v>
      </c>
      <c r="Q401" s="6" t="n">
        <v>1166</v>
      </c>
      <c r="R401" s="6" t="n">
        <v>1156</v>
      </c>
      <c r="S401" s="6" t="n">
        <v>763</v>
      </c>
      <c r="T401" s="6" t="n">
        <v>932</v>
      </c>
      <c r="U401" s="6" t="n">
        <v>1854</v>
      </c>
      <c r="V401" s="6" t="n">
        <v>1858</v>
      </c>
    </row>
    <row r="402" customFormat="false" ht="15" hidden="false" customHeight="false" outlineLevel="0" collapsed="false">
      <c r="A402" s="5" t="s">
        <v>78</v>
      </c>
      <c r="B402" s="6" t="s">
        <v>77</v>
      </c>
      <c r="C402" s="5" t="s">
        <v>39</v>
      </c>
      <c r="D402" s="5" t="s">
        <v>35</v>
      </c>
      <c r="E402" s="6" t="n">
        <v>71774</v>
      </c>
      <c r="F402" s="6" t="n">
        <v>70512</v>
      </c>
      <c r="G402" s="6" t="n">
        <v>39092</v>
      </c>
      <c r="H402" s="6" t="n">
        <v>37103</v>
      </c>
      <c r="I402" s="6" t="n">
        <v>11840</v>
      </c>
      <c r="J402" s="6" t="n">
        <v>12360</v>
      </c>
      <c r="K402" s="6" t="n">
        <v>2159</v>
      </c>
      <c r="L402" s="6" t="n">
        <v>2064</v>
      </c>
      <c r="M402" s="6" t="n">
        <v>983</v>
      </c>
      <c r="N402" s="6" t="n">
        <v>1193</v>
      </c>
      <c r="O402" s="6" t="n">
        <v>1549</v>
      </c>
      <c r="P402" s="6" t="n">
        <v>1474</v>
      </c>
      <c r="Q402" s="6" t="n">
        <v>1302</v>
      </c>
      <c r="R402" s="6" t="n">
        <v>1328</v>
      </c>
      <c r="S402" s="6" t="n">
        <v>434</v>
      </c>
      <c r="T402" s="6" t="n">
        <v>468</v>
      </c>
      <c r="U402" s="6" t="n">
        <v>2107</v>
      </c>
      <c r="V402" s="6" t="n">
        <v>2100</v>
      </c>
    </row>
    <row r="403" customFormat="false" ht="15" hidden="false" customHeight="false" outlineLevel="0" collapsed="false">
      <c r="A403" s="5" t="s">
        <v>78</v>
      </c>
      <c r="B403" s="6" t="s">
        <v>77</v>
      </c>
      <c r="C403" s="5" t="s">
        <v>40</v>
      </c>
      <c r="D403" s="5" t="s">
        <v>35</v>
      </c>
      <c r="E403" s="6" t="n">
        <v>70927</v>
      </c>
      <c r="F403" s="6" t="n">
        <v>75264</v>
      </c>
      <c r="G403" s="6" t="n">
        <v>39497</v>
      </c>
      <c r="H403" s="6" t="n">
        <v>43874</v>
      </c>
      <c r="I403" s="6" t="n">
        <v>10691</v>
      </c>
      <c r="J403" s="6" t="n">
        <v>10476</v>
      </c>
      <c r="K403" s="6" t="n">
        <v>2071</v>
      </c>
      <c r="L403" s="6" t="n">
        <v>1949</v>
      </c>
      <c r="M403" s="6" t="n">
        <v>924</v>
      </c>
      <c r="N403" s="6" t="n">
        <v>847</v>
      </c>
      <c r="O403" s="6" t="n">
        <v>1627</v>
      </c>
      <c r="P403" s="6" t="n">
        <v>1603</v>
      </c>
      <c r="Q403" s="6" t="n">
        <v>1010</v>
      </c>
      <c r="R403" s="6" t="n">
        <v>1051</v>
      </c>
      <c r="S403" s="6" t="n">
        <v>726</v>
      </c>
      <c r="T403" s="6" t="n">
        <v>672</v>
      </c>
      <c r="U403" s="6" t="n">
        <v>1558</v>
      </c>
      <c r="V403" s="6" t="n">
        <v>1588</v>
      </c>
    </row>
    <row r="404" customFormat="false" ht="15" hidden="false" customHeight="false" outlineLevel="0" collapsed="false">
      <c r="A404" s="5" t="s">
        <v>78</v>
      </c>
      <c r="B404" s="6" t="s">
        <v>77</v>
      </c>
      <c r="C404" s="5" t="s">
        <v>41</v>
      </c>
      <c r="D404" s="5" t="s">
        <v>35</v>
      </c>
      <c r="E404" s="6" t="n">
        <v>73576</v>
      </c>
      <c r="F404" s="6" t="n">
        <v>70449</v>
      </c>
      <c r="G404" s="6" t="n">
        <v>42243</v>
      </c>
      <c r="H404" s="6" t="n">
        <v>40779</v>
      </c>
      <c r="I404" s="6" t="n">
        <v>11519</v>
      </c>
      <c r="J404" s="6" t="n">
        <v>12010</v>
      </c>
      <c r="K404" s="6" t="n">
        <v>2096</v>
      </c>
      <c r="L404" s="6" t="n">
        <v>2211</v>
      </c>
      <c r="M404" s="6" t="n">
        <v>880</v>
      </c>
      <c r="N404" s="6" t="n">
        <v>733</v>
      </c>
      <c r="O404" s="6" t="n">
        <v>1419</v>
      </c>
      <c r="P404" s="6" t="n">
        <v>1322</v>
      </c>
      <c r="Q404" s="6" t="n">
        <v>1036</v>
      </c>
      <c r="R404" s="6" t="n">
        <v>1043</v>
      </c>
      <c r="S404" s="6" t="n">
        <v>542</v>
      </c>
      <c r="T404" s="6" t="n">
        <v>604</v>
      </c>
      <c r="U404" s="6" t="n">
        <v>2047</v>
      </c>
      <c r="V404" s="6" t="n">
        <v>2009</v>
      </c>
    </row>
    <row r="405" customFormat="false" ht="15" hidden="false" customHeight="false" outlineLevel="0" collapsed="false">
      <c r="A405" s="5" t="s">
        <v>78</v>
      </c>
      <c r="B405" s="6" t="s">
        <v>77</v>
      </c>
      <c r="C405" s="5" t="s">
        <v>42</v>
      </c>
      <c r="D405" s="5" t="s">
        <v>35</v>
      </c>
      <c r="E405" s="6" t="n">
        <v>75684</v>
      </c>
      <c r="F405" s="6" t="n">
        <v>71465</v>
      </c>
      <c r="G405" s="6" t="n">
        <v>44016</v>
      </c>
      <c r="H405" s="6" t="n">
        <v>42038</v>
      </c>
      <c r="I405" s="6" t="n">
        <v>11170</v>
      </c>
      <c r="J405" s="6" t="n">
        <v>11523</v>
      </c>
      <c r="K405" s="6" t="n">
        <v>2029</v>
      </c>
      <c r="L405" s="6" t="n">
        <v>2296</v>
      </c>
      <c r="M405" s="6" t="n">
        <v>945</v>
      </c>
      <c r="N405" s="6" t="n">
        <v>1202</v>
      </c>
      <c r="O405" s="6" t="n">
        <v>1402</v>
      </c>
      <c r="P405" s="6" t="n">
        <v>1527</v>
      </c>
      <c r="Q405" s="6" t="n">
        <v>1170</v>
      </c>
      <c r="R405" s="6" t="n">
        <v>1228</v>
      </c>
      <c r="S405" s="6" t="n">
        <v>579</v>
      </c>
      <c r="T405" s="6" t="n">
        <v>699</v>
      </c>
      <c r="U405" s="6" t="n">
        <v>1867</v>
      </c>
      <c r="V405" s="6" t="n">
        <v>1851</v>
      </c>
    </row>
    <row r="406" customFormat="false" ht="15" hidden="false" customHeight="false" outlineLevel="0" collapsed="false">
      <c r="A406" s="5" t="s">
        <v>78</v>
      </c>
      <c r="B406" s="6" t="s">
        <v>77</v>
      </c>
      <c r="C406" s="5" t="s">
        <v>43</v>
      </c>
      <c r="D406" s="5" t="s">
        <v>35</v>
      </c>
      <c r="E406" s="6" t="n">
        <v>81529</v>
      </c>
      <c r="F406" s="6" t="n">
        <v>77939</v>
      </c>
      <c r="G406" s="6" t="n">
        <v>45124</v>
      </c>
      <c r="H406" s="6" t="n">
        <v>42661</v>
      </c>
      <c r="I406" s="6" t="n">
        <v>12441</v>
      </c>
      <c r="J406" s="6" t="n">
        <v>12682</v>
      </c>
      <c r="K406" s="6" t="n">
        <v>1637</v>
      </c>
      <c r="L406" s="6" t="n">
        <v>1487</v>
      </c>
      <c r="M406" s="6" t="n">
        <v>699</v>
      </c>
      <c r="N406" s="6" t="n">
        <v>759</v>
      </c>
      <c r="O406" s="6" t="n">
        <v>1488</v>
      </c>
      <c r="P406" s="6" t="n">
        <v>1566</v>
      </c>
      <c r="Q406" s="6" t="n">
        <v>1616</v>
      </c>
      <c r="R406" s="6" t="n">
        <v>1604</v>
      </c>
      <c r="S406" s="6" t="n">
        <v>526</v>
      </c>
      <c r="T406" s="6" t="n">
        <v>500</v>
      </c>
      <c r="U406" s="6" t="n">
        <v>1765</v>
      </c>
      <c r="V406" s="6" t="n">
        <v>1745</v>
      </c>
    </row>
    <row r="407" customFormat="false" ht="15" hidden="false" customHeight="false" outlineLevel="0" collapsed="false">
      <c r="A407" s="5" t="s">
        <v>78</v>
      </c>
      <c r="B407" s="6" t="s">
        <v>77</v>
      </c>
      <c r="C407" s="5" t="s">
        <v>44</v>
      </c>
      <c r="D407" s="5" t="s">
        <v>35</v>
      </c>
      <c r="E407" s="6" t="n">
        <v>70063</v>
      </c>
      <c r="F407" s="6" t="n">
        <v>73626</v>
      </c>
      <c r="G407" s="6" t="n">
        <v>39852</v>
      </c>
      <c r="H407" s="6" t="n">
        <v>43381</v>
      </c>
      <c r="I407" s="6" t="n">
        <v>11054</v>
      </c>
      <c r="J407" s="6" t="n">
        <v>11484</v>
      </c>
      <c r="K407" s="6" t="n">
        <v>1753</v>
      </c>
      <c r="L407" s="6" t="n">
        <v>1622</v>
      </c>
      <c r="M407" s="6" t="n">
        <v>613</v>
      </c>
      <c r="N407" s="6" t="n">
        <v>563</v>
      </c>
      <c r="O407" s="6" t="n">
        <v>1500</v>
      </c>
      <c r="P407" s="6" t="n">
        <v>1395</v>
      </c>
      <c r="Q407" s="6" t="n">
        <v>1028</v>
      </c>
      <c r="R407" s="6" t="n">
        <v>1058</v>
      </c>
      <c r="S407" s="6" t="n">
        <v>817</v>
      </c>
      <c r="T407" s="6" t="n">
        <v>1034</v>
      </c>
      <c r="U407" s="6" t="n">
        <v>1835</v>
      </c>
      <c r="V407" s="6" t="n">
        <v>1864</v>
      </c>
    </row>
    <row r="408" customFormat="false" ht="15" hidden="false" customHeight="false" outlineLevel="0" collapsed="false">
      <c r="A408" s="5" t="s">
        <v>78</v>
      </c>
      <c r="B408" s="6" t="s">
        <v>77</v>
      </c>
      <c r="C408" s="5" t="s">
        <v>45</v>
      </c>
      <c r="D408" s="5" t="s">
        <v>35</v>
      </c>
      <c r="E408" s="6" t="n">
        <v>75238</v>
      </c>
      <c r="F408" s="6" t="n">
        <v>74532</v>
      </c>
      <c r="G408" s="6" t="n">
        <v>41015</v>
      </c>
      <c r="H408" s="6" t="n">
        <v>39365</v>
      </c>
      <c r="I408" s="6" t="n">
        <v>10609</v>
      </c>
      <c r="J408" s="6" t="n">
        <v>10656</v>
      </c>
      <c r="K408" s="6" t="n">
        <v>2461</v>
      </c>
      <c r="L408" s="6" t="n">
        <v>2140</v>
      </c>
      <c r="M408" s="6" t="n">
        <v>669</v>
      </c>
      <c r="N408" s="6" t="n">
        <v>843</v>
      </c>
      <c r="O408" s="6" t="n">
        <v>1687</v>
      </c>
      <c r="P408" s="6" t="n">
        <v>1644</v>
      </c>
      <c r="Q408" s="6" t="n">
        <v>1280</v>
      </c>
      <c r="R408" s="6" t="n">
        <v>1224</v>
      </c>
      <c r="S408" s="6" t="n">
        <v>757</v>
      </c>
      <c r="T408" s="6" t="n">
        <v>860</v>
      </c>
      <c r="U408" s="6" t="n">
        <v>1727</v>
      </c>
      <c r="V408" s="6" t="n">
        <v>1715</v>
      </c>
    </row>
    <row r="409" customFormat="false" ht="15" hidden="false" customHeight="false" outlineLevel="0" collapsed="false">
      <c r="A409" s="5" t="s">
        <v>78</v>
      </c>
      <c r="B409" s="6" t="s">
        <v>77</v>
      </c>
      <c r="C409" s="5" t="s">
        <v>46</v>
      </c>
      <c r="D409" s="5" t="s">
        <v>35</v>
      </c>
      <c r="E409" s="6" t="n">
        <v>81544</v>
      </c>
      <c r="F409" s="6" t="n">
        <v>79151</v>
      </c>
      <c r="G409" s="6" t="n">
        <v>45174</v>
      </c>
      <c r="H409" s="6" t="n">
        <v>44638</v>
      </c>
      <c r="I409" s="6" t="n">
        <v>13030</v>
      </c>
      <c r="J409" s="6" t="n">
        <v>12654</v>
      </c>
      <c r="K409" s="6" t="n">
        <v>2100</v>
      </c>
      <c r="L409" s="6" t="n">
        <v>2286</v>
      </c>
      <c r="M409" s="6" t="n">
        <v>1155</v>
      </c>
      <c r="N409" s="6" t="n">
        <v>1282</v>
      </c>
      <c r="O409" s="6" t="n">
        <v>1745</v>
      </c>
      <c r="P409" s="6" t="n">
        <v>1900</v>
      </c>
      <c r="Q409" s="6" t="n">
        <v>1489</v>
      </c>
      <c r="R409" s="6" t="n">
        <v>1482</v>
      </c>
      <c r="S409" s="6" t="n">
        <v>650</v>
      </c>
      <c r="T409" s="6" t="n">
        <v>595</v>
      </c>
      <c r="U409" s="6" t="n">
        <v>1715</v>
      </c>
      <c r="V409" s="6" t="n">
        <v>1725</v>
      </c>
    </row>
    <row r="410" customFormat="false" ht="15" hidden="false" customHeight="false" outlineLevel="0" collapsed="false">
      <c r="A410" s="5" t="s">
        <v>78</v>
      </c>
      <c r="B410" s="6" t="s">
        <v>77</v>
      </c>
      <c r="C410" s="5" t="s">
        <v>47</v>
      </c>
      <c r="D410" s="5" t="s">
        <v>48</v>
      </c>
      <c r="E410" s="6" t="n">
        <v>75648</v>
      </c>
      <c r="F410" s="6" t="n">
        <v>73109</v>
      </c>
      <c r="G410" s="6" t="n">
        <v>41729</v>
      </c>
      <c r="H410" s="6" t="n">
        <v>40961</v>
      </c>
      <c r="I410" s="6" t="n">
        <v>12037</v>
      </c>
      <c r="J410" s="6" t="n">
        <v>12015</v>
      </c>
      <c r="K410" s="6" t="n">
        <v>1991</v>
      </c>
      <c r="L410" s="6" t="n">
        <v>2125</v>
      </c>
      <c r="M410" s="6" t="n">
        <v>841</v>
      </c>
      <c r="N410" s="6" t="n">
        <v>775</v>
      </c>
      <c r="O410" s="6" t="n">
        <v>1965</v>
      </c>
      <c r="P410" s="6" t="n">
        <v>1829</v>
      </c>
      <c r="Q410" s="6" t="n">
        <v>1096</v>
      </c>
      <c r="R410" s="6" t="n">
        <v>1089</v>
      </c>
      <c r="S410" s="6" t="n">
        <v>890</v>
      </c>
      <c r="T410" s="6" t="n">
        <v>1115</v>
      </c>
      <c r="U410" s="6" t="n">
        <v>1748</v>
      </c>
      <c r="V410" s="6" t="n">
        <v>1788</v>
      </c>
    </row>
    <row r="411" customFormat="false" ht="15" hidden="false" customHeight="false" outlineLevel="0" collapsed="false">
      <c r="A411" s="5" t="s">
        <v>78</v>
      </c>
      <c r="B411" s="6" t="s">
        <v>77</v>
      </c>
      <c r="C411" s="5" t="s">
        <v>49</v>
      </c>
      <c r="D411" s="5" t="s">
        <v>48</v>
      </c>
      <c r="E411" s="6" t="n">
        <v>71301</v>
      </c>
      <c r="F411" s="6" t="n">
        <v>74451</v>
      </c>
      <c r="G411" s="6" t="n">
        <v>39823</v>
      </c>
      <c r="H411" s="6" t="n">
        <v>41370</v>
      </c>
      <c r="I411" s="6" t="n">
        <v>10771</v>
      </c>
      <c r="J411" s="6" t="n">
        <v>10457</v>
      </c>
      <c r="K411" s="6" t="n">
        <v>2053</v>
      </c>
      <c r="L411" s="6" t="n">
        <v>2163</v>
      </c>
      <c r="M411" s="6" t="n">
        <v>599</v>
      </c>
      <c r="N411" s="6" t="n">
        <v>631</v>
      </c>
      <c r="O411" s="6" t="n">
        <v>1879</v>
      </c>
      <c r="P411" s="6" t="n">
        <v>2019</v>
      </c>
      <c r="Q411" s="6" t="n">
        <v>1096</v>
      </c>
      <c r="R411" s="6" t="n">
        <v>1063</v>
      </c>
      <c r="S411" s="6" t="n">
        <v>514</v>
      </c>
      <c r="T411" s="6" t="n">
        <v>691</v>
      </c>
      <c r="U411" s="6" t="n">
        <v>1986</v>
      </c>
      <c r="V411" s="6" t="n">
        <v>1967</v>
      </c>
    </row>
    <row r="412" customFormat="false" ht="15" hidden="false" customHeight="false" outlineLevel="0" collapsed="false">
      <c r="A412" s="5" t="s">
        <v>78</v>
      </c>
      <c r="B412" s="6" t="s">
        <v>77</v>
      </c>
      <c r="C412" s="5" t="s">
        <v>50</v>
      </c>
      <c r="D412" s="5" t="s">
        <v>48</v>
      </c>
      <c r="E412" s="6" t="n">
        <v>77259</v>
      </c>
      <c r="F412" s="6" t="n">
        <v>75494</v>
      </c>
      <c r="G412" s="6" t="n">
        <v>46272</v>
      </c>
      <c r="H412" s="6" t="n">
        <v>45969</v>
      </c>
      <c r="I412" s="6" t="n">
        <v>11584</v>
      </c>
      <c r="J412" s="6" t="n">
        <v>11974</v>
      </c>
      <c r="K412" s="6" t="n">
        <v>2661</v>
      </c>
      <c r="L412" s="6" t="n">
        <v>2754</v>
      </c>
      <c r="M412" s="6" t="n">
        <v>845</v>
      </c>
      <c r="N412" s="6" t="n">
        <v>745</v>
      </c>
      <c r="O412" s="6" t="n">
        <v>1742</v>
      </c>
      <c r="P412" s="6" t="n">
        <v>1850</v>
      </c>
      <c r="Q412" s="6" t="n">
        <v>953</v>
      </c>
      <c r="R412" s="6" t="n">
        <v>926</v>
      </c>
      <c r="S412" s="6" t="n">
        <v>465</v>
      </c>
      <c r="T412" s="6" t="n">
        <v>434</v>
      </c>
      <c r="U412" s="6" t="n">
        <v>1723</v>
      </c>
      <c r="V412" s="6" t="n">
        <v>1736</v>
      </c>
    </row>
    <row r="413" customFormat="false" ht="15" hidden="false" customHeight="false" outlineLevel="0" collapsed="false">
      <c r="A413" s="5" t="s">
        <v>78</v>
      </c>
      <c r="B413" s="6" t="s">
        <v>77</v>
      </c>
      <c r="C413" s="5" t="s">
        <v>51</v>
      </c>
      <c r="D413" s="5" t="s">
        <v>48</v>
      </c>
      <c r="E413" s="6" t="n">
        <v>77366</v>
      </c>
      <c r="F413" s="6" t="n">
        <v>75248</v>
      </c>
      <c r="G413" s="6" t="n">
        <v>46200</v>
      </c>
      <c r="H413" s="6" t="n">
        <v>44677</v>
      </c>
      <c r="I413" s="6" t="n">
        <v>12549</v>
      </c>
      <c r="J413" s="6" t="n">
        <v>12456</v>
      </c>
      <c r="K413" s="6" t="n">
        <v>1761</v>
      </c>
      <c r="L413" s="6" t="n">
        <v>2020</v>
      </c>
      <c r="M413" s="6" t="n">
        <v>815</v>
      </c>
      <c r="N413" s="6" t="n">
        <v>682</v>
      </c>
      <c r="O413" s="6" t="n">
        <v>1416</v>
      </c>
      <c r="P413" s="6" t="n">
        <v>1332</v>
      </c>
      <c r="Q413" s="6" t="n">
        <v>1108</v>
      </c>
      <c r="R413" s="6" t="n">
        <v>1074</v>
      </c>
      <c r="S413" s="6" t="n">
        <v>736</v>
      </c>
      <c r="T413" s="6" t="n">
        <v>927</v>
      </c>
      <c r="U413" s="6" t="n">
        <v>1581</v>
      </c>
      <c r="V413" s="6" t="n">
        <v>1536</v>
      </c>
    </row>
    <row r="414" customFormat="false" ht="15" hidden="false" customHeight="false" outlineLevel="0" collapsed="false">
      <c r="A414" s="5" t="s">
        <v>78</v>
      </c>
      <c r="B414" s="6" t="s">
        <v>77</v>
      </c>
      <c r="C414" s="5" t="s">
        <v>52</v>
      </c>
      <c r="D414" s="5" t="s">
        <v>48</v>
      </c>
      <c r="E414" s="6" t="n">
        <v>71950</v>
      </c>
      <c r="F414" s="6" t="n">
        <v>74878</v>
      </c>
      <c r="G414" s="6" t="n">
        <v>42675</v>
      </c>
      <c r="H414" s="6" t="n">
        <v>45606</v>
      </c>
      <c r="I414" s="6" t="n">
        <v>10806</v>
      </c>
      <c r="J414" s="6" t="n">
        <v>11141</v>
      </c>
      <c r="K414" s="6" t="n">
        <v>1632</v>
      </c>
      <c r="L414" s="6" t="n">
        <v>1398</v>
      </c>
      <c r="M414" s="6" t="n">
        <v>1000</v>
      </c>
      <c r="N414" s="6" t="n">
        <v>1255</v>
      </c>
      <c r="O414" s="6" t="n">
        <v>1310</v>
      </c>
      <c r="P414" s="6" t="n">
        <v>1365</v>
      </c>
      <c r="Q414" s="6" t="n">
        <v>1082</v>
      </c>
      <c r="R414" s="6" t="n">
        <v>1113</v>
      </c>
      <c r="S414" s="6" t="n">
        <v>480</v>
      </c>
      <c r="T414" s="6" t="n">
        <v>654</v>
      </c>
      <c r="U414" s="6" t="n">
        <v>1658</v>
      </c>
      <c r="V414" s="6" t="n">
        <v>1632</v>
      </c>
    </row>
    <row r="415" customFormat="false" ht="15" hidden="false" customHeight="false" outlineLevel="0" collapsed="false">
      <c r="A415" s="5" t="s">
        <v>78</v>
      </c>
      <c r="B415" s="6" t="s">
        <v>77</v>
      </c>
      <c r="C415" s="5" t="s">
        <v>53</v>
      </c>
      <c r="D415" s="5" t="s">
        <v>48</v>
      </c>
      <c r="E415" s="6" t="n">
        <v>83405</v>
      </c>
      <c r="F415" s="6" t="n">
        <v>81825</v>
      </c>
      <c r="G415" s="6" t="n">
        <v>49749</v>
      </c>
      <c r="H415" s="6" t="n">
        <v>51167</v>
      </c>
      <c r="I415" s="6" t="n">
        <v>14173</v>
      </c>
      <c r="J415" s="6" t="n">
        <v>15122</v>
      </c>
      <c r="K415" s="6" t="n">
        <v>2767</v>
      </c>
      <c r="L415" s="6" t="n">
        <v>2406</v>
      </c>
      <c r="M415" s="6" t="n">
        <v>752</v>
      </c>
      <c r="N415" s="6" t="n">
        <v>949</v>
      </c>
      <c r="O415" s="6" t="n">
        <v>2164</v>
      </c>
      <c r="P415" s="6" t="n">
        <v>2066</v>
      </c>
      <c r="Q415" s="6" t="n">
        <v>1253</v>
      </c>
      <c r="R415" s="6" t="n">
        <v>1237</v>
      </c>
      <c r="S415" s="6" t="n">
        <v>800</v>
      </c>
      <c r="T415" s="6" t="n">
        <v>1109</v>
      </c>
      <c r="U415" s="6" t="n">
        <v>1872</v>
      </c>
      <c r="V415" s="6" t="n">
        <v>1821</v>
      </c>
    </row>
    <row r="416" customFormat="false" ht="15" hidden="false" customHeight="false" outlineLevel="0" collapsed="false">
      <c r="A416" s="5" t="s">
        <v>78</v>
      </c>
      <c r="B416" s="6" t="s">
        <v>77</v>
      </c>
      <c r="C416" s="5" t="s">
        <v>54</v>
      </c>
      <c r="D416" s="5" t="s">
        <v>48</v>
      </c>
      <c r="E416" s="6" t="n">
        <v>74383</v>
      </c>
      <c r="F416" s="6" t="n">
        <v>77266</v>
      </c>
      <c r="G416" s="6" t="n">
        <v>42557</v>
      </c>
      <c r="H416" s="6" t="n">
        <v>45711</v>
      </c>
      <c r="I416" s="6" t="n">
        <v>11145</v>
      </c>
      <c r="J416" s="6" t="n">
        <v>10876</v>
      </c>
      <c r="K416" s="6" t="n">
        <v>2375</v>
      </c>
      <c r="L416" s="6" t="n">
        <v>2641</v>
      </c>
      <c r="M416" s="6" t="n">
        <v>1038</v>
      </c>
      <c r="N416" s="6" t="n">
        <v>1333</v>
      </c>
      <c r="O416" s="6" t="n">
        <v>1998</v>
      </c>
      <c r="P416" s="6" t="n">
        <v>1913</v>
      </c>
      <c r="Q416" s="6" t="n">
        <v>941</v>
      </c>
      <c r="R416" s="6" t="n">
        <v>938</v>
      </c>
      <c r="S416" s="6" t="n">
        <v>742</v>
      </c>
      <c r="T416" s="6" t="n">
        <v>622</v>
      </c>
      <c r="U416" s="6" t="n">
        <v>1866</v>
      </c>
      <c r="V416" s="6" t="n">
        <v>1894</v>
      </c>
    </row>
    <row r="417" customFormat="false" ht="15" hidden="false" customHeight="false" outlineLevel="0" collapsed="false">
      <c r="A417" s="5" t="s">
        <v>78</v>
      </c>
      <c r="B417" s="6" t="s">
        <v>77</v>
      </c>
      <c r="C417" s="5" t="s">
        <v>55</v>
      </c>
      <c r="D417" s="5" t="s">
        <v>48</v>
      </c>
      <c r="E417" s="6" t="n">
        <v>78365</v>
      </c>
      <c r="F417" s="6" t="n">
        <v>78279</v>
      </c>
      <c r="G417" s="6" t="n">
        <v>44661</v>
      </c>
      <c r="H417" s="6" t="n">
        <v>44864</v>
      </c>
      <c r="I417" s="6" t="n">
        <v>11728</v>
      </c>
      <c r="J417" s="6" t="n">
        <v>11858</v>
      </c>
      <c r="K417" s="6" t="n">
        <v>2384</v>
      </c>
      <c r="L417" s="6" t="n">
        <v>2538</v>
      </c>
      <c r="M417" s="6" t="n">
        <v>898</v>
      </c>
      <c r="N417" s="6" t="n">
        <v>839</v>
      </c>
      <c r="O417" s="6" t="n">
        <v>1725</v>
      </c>
      <c r="P417" s="6" t="n">
        <v>1873</v>
      </c>
      <c r="Q417" s="6" t="n">
        <v>1306</v>
      </c>
      <c r="R417" s="6" t="n">
        <v>1245</v>
      </c>
      <c r="S417" s="6" t="n">
        <v>573</v>
      </c>
      <c r="T417" s="6" t="n">
        <v>528</v>
      </c>
      <c r="U417" s="6" t="n">
        <v>2244</v>
      </c>
      <c r="V417" s="6" t="n">
        <v>2230</v>
      </c>
    </row>
    <row r="418" customFormat="false" ht="15" hidden="false" customHeight="false" outlineLevel="0" collapsed="false">
      <c r="A418" s="5" t="s">
        <v>78</v>
      </c>
      <c r="B418" s="6" t="s">
        <v>77</v>
      </c>
      <c r="C418" s="5" t="s">
        <v>56</v>
      </c>
      <c r="D418" s="5" t="s">
        <v>48</v>
      </c>
      <c r="E418" s="6" t="n">
        <v>87750</v>
      </c>
      <c r="F418" s="6" t="n">
        <v>83839</v>
      </c>
      <c r="G418" s="6" t="n">
        <v>50393</v>
      </c>
      <c r="H418" s="6" t="n">
        <v>50392</v>
      </c>
      <c r="I418" s="6" t="n">
        <v>13270</v>
      </c>
      <c r="J418" s="6" t="n">
        <v>13676</v>
      </c>
      <c r="K418" s="6" t="n">
        <v>1932</v>
      </c>
      <c r="L418" s="6" t="n">
        <v>1691</v>
      </c>
      <c r="M418" s="6" t="n">
        <v>975</v>
      </c>
      <c r="N418" s="6" t="n">
        <v>951</v>
      </c>
      <c r="O418" s="6" t="n">
        <v>2092</v>
      </c>
      <c r="P418" s="6" t="n">
        <v>2100</v>
      </c>
      <c r="Q418" s="6" t="n">
        <v>1489</v>
      </c>
      <c r="R418" s="6" t="n">
        <v>1478</v>
      </c>
      <c r="S418" s="6" t="n">
        <v>773</v>
      </c>
      <c r="T418" s="6" t="n">
        <v>808</v>
      </c>
      <c r="U418" s="6" t="n">
        <v>2461</v>
      </c>
      <c r="V418" s="6" t="n">
        <v>2434</v>
      </c>
    </row>
    <row r="419" customFormat="false" ht="15" hidden="false" customHeight="false" outlineLevel="0" collapsed="false">
      <c r="A419" s="5" t="s">
        <v>78</v>
      </c>
      <c r="B419" s="6" t="s">
        <v>77</v>
      </c>
      <c r="C419" s="5" t="s">
        <v>57</v>
      </c>
      <c r="D419" s="5" t="s">
        <v>48</v>
      </c>
      <c r="E419" s="6" t="n">
        <v>75416</v>
      </c>
      <c r="F419" s="6" t="n">
        <v>78432</v>
      </c>
      <c r="G419" s="6" t="n">
        <v>41783</v>
      </c>
      <c r="H419" s="6" t="n">
        <v>44416</v>
      </c>
      <c r="I419" s="6" t="n">
        <v>11371</v>
      </c>
      <c r="J419" s="6" t="n">
        <v>11133</v>
      </c>
      <c r="K419" s="6" t="n">
        <v>2462</v>
      </c>
      <c r="L419" s="6" t="n">
        <v>2471</v>
      </c>
      <c r="M419" s="6" t="n">
        <v>943</v>
      </c>
      <c r="N419" s="6" t="n">
        <v>1125</v>
      </c>
      <c r="O419" s="6" t="n">
        <v>2056</v>
      </c>
      <c r="P419" s="6" t="n">
        <v>1928</v>
      </c>
      <c r="Q419" s="6" t="n">
        <v>948</v>
      </c>
      <c r="R419" s="6" t="n">
        <v>904</v>
      </c>
      <c r="S419" s="6" t="n">
        <v>543</v>
      </c>
      <c r="T419" s="6" t="n">
        <v>498</v>
      </c>
      <c r="U419" s="6" t="n">
        <v>1757</v>
      </c>
      <c r="V419" s="6" t="n">
        <v>1736</v>
      </c>
    </row>
    <row r="420" customFormat="false" ht="15" hidden="false" customHeight="false" outlineLevel="0" collapsed="false">
      <c r="A420" s="5" t="s">
        <v>78</v>
      </c>
      <c r="B420" s="6" t="s">
        <v>77</v>
      </c>
      <c r="C420" s="5" t="s">
        <v>58</v>
      </c>
      <c r="D420" s="5" t="s">
        <v>48</v>
      </c>
      <c r="E420" s="6" t="n">
        <v>81760</v>
      </c>
      <c r="F420" s="6" t="n">
        <v>79998</v>
      </c>
      <c r="G420" s="6" t="n">
        <v>45497</v>
      </c>
      <c r="H420" s="6" t="n">
        <v>45739</v>
      </c>
      <c r="I420" s="6" t="n">
        <v>13894</v>
      </c>
      <c r="J420" s="6" t="n">
        <v>15003</v>
      </c>
      <c r="K420" s="6" t="n">
        <v>2558</v>
      </c>
      <c r="L420" s="6" t="n">
        <v>2742</v>
      </c>
      <c r="M420" s="6" t="n">
        <v>1176</v>
      </c>
      <c r="N420" s="6" t="n">
        <v>946</v>
      </c>
      <c r="O420" s="6" t="n">
        <v>1717</v>
      </c>
      <c r="P420" s="6" t="n">
        <v>1834</v>
      </c>
      <c r="Q420" s="6" t="n">
        <v>1493</v>
      </c>
      <c r="R420" s="6" t="n">
        <v>1479</v>
      </c>
      <c r="S420" s="6" t="n">
        <v>690</v>
      </c>
      <c r="T420" s="6" t="n">
        <v>792</v>
      </c>
      <c r="U420" s="6" t="n">
        <v>2171</v>
      </c>
      <c r="V420" s="6" t="n">
        <v>2167</v>
      </c>
    </row>
    <row r="421" customFormat="false" ht="15" hidden="false" customHeight="false" outlineLevel="0" collapsed="false">
      <c r="A421" s="5" t="s">
        <v>78</v>
      </c>
      <c r="B421" s="6" t="s">
        <v>77</v>
      </c>
      <c r="C421" s="5" t="s">
        <v>59</v>
      </c>
      <c r="D421" s="5" t="s">
        <v>48</v>
      </c>
      <c r="E421" s="6" t="n">
        <v>89103</v>
      </c>
      <c r="F421" s="6" t="n">
        <v>86395</v>
      </c>
      <c r="G421" s="6" t="n">
        <v>48914</v>
      </c>
      <c r="H421" s="6" t="n">
        <v>47416</v>
      </c>
      <c r="I421" s="6" t="n">
        <v>13081</v>
      </c>
      <c r="J421" s="6" t="n">
        <v>13767</v>
      </c>
      <c r="K421" s="6" t="n">
        <v>2416</v>
      </c>
      <c r="L421" s="6" t="n">
        <v>2427</v>
      </c>
      <c r="M421" s="6" t="n">
        <v>1203</v>
      </c>
      <c r="N421" s="6" t="n">
        <v>1418</v>
      </c>
      <c r="O421" s="6" t="n">
        <v>2248</v>
      </c>
      <c r="P421" s="6" t="n">
        <v>2255</v>
      </c>
      <c r="Q421" s="6" t="n">
        <v>1634</v>
      </c>
      <c r="R421" s="6" t="n">
        <v>1603</v>
      </c>
      <c r="S421" s="6" t="n">
        <v>635</v>
      </c>
      <c r="T421" s="6" t="n">
        <v>801</v>
      </c>
      <c r="U421" s="6" t="n">
        <v>2404</v>
      </c>
      <c r="V421" s="6" t="n">
        <v>2362</v>
      </c>
    </row>
    <row r="422" customFormat="false" ht="15" hidden="false" customHeight="false" outlineLevel="0" collapsed="false">
      <c r="A422" s="5" t="s">
        <v>78</v>
      </c>
      <c r="B422" s="6" t="s">
        <v>77</v>
      </c>
      <c r="C422" s="5" t="s">
        <v>60</v>
      </c>
      <c r="D422" s="5" t="s">
        <v>61</v>
      </c>
      <c r="E422" s="6" t="n">
        <v>81610</v>
      </c>
      <c r="F422" s="6" t="n">
        <v>81042</v>
      </c>
      <c r="G422" s="6" t="n">
        <v>45904</v>
      </c>
      <c r="H422" s="6" t="n">
        <v>46304</v>
      </c>
      <c r="I422" s="6" t="n">
        <v>11740</v>
      </c>
      <c r="J422" s="6" t="n">
        <v>12606</v>
      </c>
      <c r="K422" s="6" t="n">
        <v>1644</v>
      </c>
      <c r="L422" s="6" t="n">
        <v>1797</v>
      </c>
      <c r="M422" s="6" t="n">
        <v>1129</v>
      </c>
      <c r="N422" s="6" t="n">
        <v>1095</v>
      </c>
      <c r="O422" s="6" t="n">
        <v>1811</v>
      </c>
      <c r="P422" s="6" t="n">
        <v>1890</v>
      </c>
      <c r="Q422" s="6" t="n">
        <v>1243</v>
      </c>
      <c r="R422" s="6" t="n">
        <v>1278</v>
      </c>
      <c r="S422" s="6" t="n">
        <v>753</v>
      </c>
      <c r="T422" s="6" t="n">
        <v>750</v>
      </c>
      <c r="U422" s="6" t="n">
        <v>1651</v>
      </c>
      <c r="V422" s="6" t="n">
        <v>1679</v>
      </c>
    </row>
    <row r="423" customFormat="false" ht="15" hidden="false" customHeight="false" outlineLevel="0" collapsed="false">
      <c r="A423" s="5" t="s">
        <v>78</v>
      </c>
      <c r="B423" s="6" t="s">
        <v>77</v>
      </c>
      <c r="C423" s="5" t="s">
        <v>62</v>
      </c>
      <c r="D423" s="5" t="s">
        <v>61</v>
      </c>
      <c r="E423" s="6" t="n">
        <v>79558</v>
      </c>
      <c r="F423" s="6" t="n">
        <v>83008</v>
      </c>
      <c r="G423" s="6" t="n">
        <v>47509</v>
      </c>
      <c r="H423" s="6" t="n">
        <v>49279</v>
      </c>
      <c r="I423" s="6" t="n">
        <v>12641</v>
      </c>
      <c r="J423" s="6" t="n">
        <v>13100</v>
      </c>
      <c r="K423" s="6" t="n">
        <v>2317</v>
      </c>
      <c r="L423" s="6" t="n">
        <v>2572</v>
      </c>
      <c r="M423" s="6" t="n">
        <v>1182</v>
      </c>
      <c r="N423" s="6" t="n">
        <v>1066</v>
      </c>
      <c r="O423" s="6" t="n">
        <v>1743</v>
      </c>
      <c r="P423" s="6" t="n">
        <v>1771</v>
      </c>
      <c r="Q423" s="6" t="n">
        <v>1075</v>
      </c>
      <c r="R423" s="6" t="n">
        <v>1033</v>
      </c>
      <c r="S423" s="6" t="n">
        <v>749</v>
      </c>
      <c r="T423" s="6" t="n">
        <v>802</v>
      </c>
      <c r="U423" s="6" t="n">
        <v>2303</v>
      </c>
      <c r="V423" s="6" t="n">
        <v>2247</v>
      </c>
    </row>
    <row r="424" customFormat="false" ht="15" hidden="false" customHeight="false" outlineLevel="0" collapsed="false">
      <c r="A424" s="5" t="s">
        <v>78</v>
      </c>
      <c r="B424" s="6" t="s">
        <v>77</v>
      </c>
      <c r="C424" s="5" t="s">
        <v>63</v>
      </c>
      <c r="D424" s="5" t="s">
        <v>61</v>
      </c>
      <c r="E424" s="6" t="n">
        <v>82809</v>
      </c>
      <c r="F424" s="6" t="n">
        <v>82287</v>
      </c>
      <c r="G424" s="6" t="n">
        <v>44876</v>
      </c>
      <c r="H424" s="6" t="n">
        <v>45782</v>
      </c>
      <c r="I424" s="6" t="n">
        <v>12807</v>
      </c>
      <c r="J424" s="6" t="n">
        <v>12686</v>
      </c>
      <c r="K424" s="6" t="n">
        <v>1742</v>
      </c>
      <c r="L424" s="6" t="n">
        <v>1984</v>
      </c>
      <c r="M424" s="6" t="n">
        <v>827</v>
      </c>
      <c r="N424" s="6" t="n">
        <v>758</v>
      </c>
      <c r="O424" s="6" t="n">
        <v>2037</v>
      </c>
      <c r="P424" s="6" t="n">
        <v>1900</v>
      </c>
      <c r="Q424" s="6" t="n">
        <v>1032</v>
      </c>
      <c r="R424" s="6" t="n">
        <v>1034</v>
      </c>
      <c r="S424" s="6" t="n">
        <v>582</v>
      </c>
      <c r="T424" s="6" t="n">
        <v>766</v>
      </c>
      <c r="U424" s="6" t="n">
        <v>1996</v>
      </c>
      <c r="V424" s="6" t="n">
        <v>1955</v>
      </c>
    </row>
    <row r="425" customFormat="false" ht="15" hidden="false" customHeight="false" outlineLevel="0" collapsed="false">
      <c r="A425" s="5" t="s">
        <v>78</v>
      </c>
      <c r="B425" s="6" t="s">
        <v>77</v>
      </c>
      <c r="C425" s="5" t="s">
        <v>64</v>
      </c>
      <c r="D425" s="5" t="s">
        <v>61</v>
      </c>
      <c r="E425" s="6" t="n">
        <v>81951</v>
      </c>
      <c r="F425" s="6" t="n">
        <v>81594</v>
      </c>
      <c r="G425" s="6" t="n">
        <v>46605</v>
      </c>
      <c r="H425" s="6" t="n">
        <v>45051</v>
      </c>
      <c r="I425" s="6" t="n">
        <v>13821</v>
      </c>
      <c r="J425" s="6" t="n">
        <v>14723</v>
      </c>
      <c r="K425" s="6" t="n">
        <v>1799</v>
      </c>
      <c r="L425" s="6" t="n">
        <v>1640</v>
      </c>
      <c r="M425" s="6" t="n">
        <v>904</v>
      </c>
      <c r="N425" s="6" t="n">
        <v>1044</v>
      </c>
      <c r="O425" s="6" t="n">
        <v>1864</v>
      </c>
      <c r="P425" s="6" t="n">
        <v>1917</v>
      </c>
      <c r="Q425" s="6" t="n">
        <v>1599</v>
      </c>
      <c r="R425" s="6" t="n">
        <v>1613</v>
      </c>
      <c r="S425" s="6" t="n">
        <v>739</v>
      </c>
      <c r="T425" s="6" t="n">
        <v>895</v>
      </c>
      <c r="U425" s="6" t="n">
        <v>1865</v>
      </c>
      <c r="V425" s="6" t="n">
        <v>1810</v>
      </c>
    </row>
    <row r="426" customFormat="false" ht="15" hidden="false" customHeight="false" outlineLevel="0" collapsed="false">
      <c r="A426" s="5" t="s">
        <v>78</v>
      </c>
      <c r="B426" s="6" t="s">
        <v>77</v>
      </c>
      <c r="C426" s="5" t="s">
        <v>65</v>
      </c>
      <c r="D426" s="5" t="s">
        <v>61</v>
      </c>
      <c r="E426" s="6" t="n">
        <v>76773</v>
      </c>
      <c r="F426" s="6" t="n">
        <v>81012</v>
      </c>
      <c r="G426" s="6" t="n">
        <v>43296</v>
      </c>
      <c r="H426" s="6" t="n">
        <v>47338</v>
      </c>
      <c r="I426" s="6" t="n">
        <v>11959</v>
      </c>
      <c r="J426" s="6" t="n">
        <v>12798</v>
      </c>
      <c r="K426" s="6" t="n">
        <v>2548</v>
      </c>
      <c r="L426" s="6" t="n">
        <v>2518</v>
      </c>
      <c r="M426" s="6" t="n">
        <v>924</v>
      </c>
      <c r="N426" s="6" t="n">
        <v>1080</v>
      </c>
      <c r="O426" s="6" t="n">
        <v>1603</v>
      </c>
      <c r="P426" s="6" t="n">
        <v>1729</v>
      </c>
      <c r="Q426" s="6" t="n">
        <v>1202</v>
      </c>
      <c r="R426" s="6" t="n">
        <v>1226</v>
      </c>
      <c r="S426" s="6" t="n">
        <v>788</v>
      </c>
      <c r="T426" s="6" t="n">
        <v>771</v>
      </c>
      <c r="U426" s="6" t="n">
        <v>2006</v>
      </c>
      <c r="V426" s="6" t="n">
        <v>2043</v>
      </c>
    </row>
    <row r="427" customFormat="false" ht="15" hidden="false" customHeight="false" outlineLevel="0" collapsed="false">
      <c r="A427" s="5" t="s">
        <v>78</v>
      </c>
      <c r="B427" s="6" t="s">
        <v>77</v>
      </c>
      <c r="C427" s="5" t="s">
        <v>66</v>
      </c>
      <c r="D427" s="5" t="s">
        <v>61</v>
      </c>
      <c r="E427" s="6" t="n">
        <v>83711</v>
      </c>
      <c r="F427" s="6" t="n">
        <v>86309</v>
      </c>
      <c r="G427" s="6" t="n">
        <v>49724</v>
      </c>
      <c r="H427" s="6" t="n">
        <v>52705</v>
      </c>
      <c r="I427" s="6" t="n">
        <v>12869</v>
      </c>
      <c r="J427" s="6" t="n">
        <v>13772</v>
      </c>
      <c r="K427" s="6" t="n">
        <v>1905</v>
      </c>
      <c r="L427" s="6" t="n">
        <v>1944</v>
      </c>
      <c r="M427" s="6" t="n">
        <v>900</v>
      </c>
      <c r="N427" s="6" t="n">
        <v>1146</v>
      </c>
      <c r="O427" s="6" t="n">
        <v>1707</v>
      </c>
      <c r="P427" s="6" t="n">
        <v>1838</v>
      </c>
      <c r="Q427" s="6" t="n">
        <v>1188</v>
      </c>
      <c r="R427" s="6" t="n">
        <v>1203</v>
      </c>
      <c r="S427" s="6" t="n">
        <v>649</v>
      </c>
      <c r="T427" s="6" t="n">
        <v>876</v>
      </c>
      <c r="U427" s="6" t="n">
        <v>2259</v>
      </c>
      <c r="V427" s="6" t="n">
        <v>2289</v>
      </c>
    </row>
    <row r="428" customFormat="false" ht="15" hidden="false" customHeight="false" outlineLevel="0" collapsed="false">
      <c r="A428" s="5" t="s">
        <v>78</v>
      </c>
      <c r="B428" s="6" t="s">
        <v>77</v>
      </c>
      <c r="C428" s="5" t="s">
        <v>67</v>
      </c>
      <c r="D428" s="5" t="s">
        <v>61</v>
      </c>
      <c r="E428" s="6" t="n">
        <v>80143</v>
      </c>
      <c r="F428" s="6" t="n">
        <v>80206</v>
      </c>
      <c r="G428" s="6" t="n">
        <v>48049</v>
      </c>
      <c r="H428" s="6" t="n">
        <v>48700</v>
      </c>
      <c r="I428" s="6" t="n">
        <v>13613</v>
      </c>
      <c r="J428" s="6" t="n">
        <v>13319</v>
      </c>
      <c r="K428" s="6" t="n">
        <v>1729</v>
      </c>
      <c r="L428" s="6" t="n">
        <v>1867</v>
      </c>
      <c r="M428" s="6" t="n">
        <v>824</v>
      </c>
      <c r="N428" s="6" t="n">
        <v>845</v>
      </c>
      <c r="O428" s="6" t="n">
        <v>1645</v>
      </c>
      <c r="P428" s="6" t="n">
        <v>1663</v>
      </c>
      <c r="Q428" s="6" t="n">
        <v>1258</v>
      </c>
      <c r="R428" s="6" t="n">
        <v>1204</v>
      </c>
      <c r="S428" s="6" t="n">
        <v>815</v>
      </c>
      <c r="T428" s="6" t="n">
        <v>1019</v>
      </c>
      <c r="U428" s="6" t="n">
        <v>1908</v>
      </c>
      <c r="V428" s="6" t="n">
        <v>1936</v>
      </c>
    </row>
    <row r="429" customFormat="false" ht="15" hidden="false" customHeight="false" outlineLevel="0" collapsed="false">
      <c r="A429" s="5" t="s">
        <v>78</v>
      </c>
      <c r="B429" s="6" t="s">
        <v>77</v>
      </c>
      <c r="C429" s="5" t="s">
        <v>68</v>
      </c>
      <c r="D429" s="5" t="s">
        <v>61</v>
      </c>
      <c r="E429" s="6" t="n">
        <v>80922</v>
      </c>
      <c r="F429" s="6" t="n">
        <v>81938</v>
      </c>
      <c r="G429" s="6" t="n">
        <v>43750</v>
      </c>
      <c r="H429" s="6" t="n">
        <v>43130</v>
      </c>
      <c r="I429" s="6" t="n">
        <v>13556</v>
      </c>
      <c r="J429" s="6" t="n">
        <v>13637</v>
      </c>
      <c r="K429" s="6" t="n">
        <v>2527</v>
      </c>
      <c r="L429" s="6" t="n">
        <v>2515</v>
      </c>
      <c r="M429" s="6" t="n">
        <v>686</v>
      </c>
      <c r="N429" s="6" t="n">
        <v>737</v>
      </c>
      <c r="O429" s="6" t="n">
        <v>1653</v>
      </c>
      <c r="P429" s="6" t="n">
        <v>1803</v>
      </c>
      <c r="Q429" s="6" t="n">
        <v>1062</v>
      </c>
      <c r="R429" s="6" t="n">
        <v>1096</v>
      </c>
      <c r="S429" s="6" t="n">
        <v>894</v>
      </c>
      <c r="T429" s="6" t="n">
        <v>807</v>
      </c>
      <c r="U429" s="6" t="n">
        <v>1633</v>
      </c>
      <c r="V429" s="6" t="n">
        <v>1594</v>
      </c>
    </row>
    <row r="430" customFormat="false" ht="15" hidden="false" customHeight="false" outlineLevel="0" collapsed="false">
      <c r="A430" s="5" t="s">
        <v>78</v>
      </c>
      <c r="B430" s="6" t="s">
        <v>77</v>
      </c>
      <c r="C430" s="5" t="s">
        <v>69</v>
      </c>
      <c r="D430" s="5" t="s">
        <v>61</v>
      </c>
      <c r="E430" s="6" t="n">
        <v>88081</v>
      </c>
      <c r="F430" s="6" t="n">
        <v>87716</v>
      </c>
      <c r="G430" s="6" t="n">
        <v>49629</v>
      </c>
      <c r="H430" s="6" t="n">
        <v>48010</v>
      </c>
      <c r="I430" s="6" t="n">
        <v>14349</v>
      </c>
      <c r="J430" s="6" t="n">
        <v>14988</v>
      </c>
      <c r="K430" s="6" t="n">
        <v>1964</v>
      </c>
      <c r="L430" s="6" t="n">
        <v>1880</v>
      </c>
      <c r="M430" s="6" t="n">
        <v>838</v>
      </c>
      <c r="N430" s="6" t="n">
        <v>685</v>
      </c>
      <c r="O430" s="6" t="n">
        <v>2180</v>
      </c>
      <c r="P430" s="6" t="n">
        <v>2090</v>
      </c>
      <c r="Q430" s="6" t="n">
        <v>1548</v>
      </c>
      <c r="R430" s="6" t="n">
        <v>1600</v>
      </c>
      <c r="S430" s="6" t="n">
        <v>957</v>
      </c>
      <c r="T430" s="6" t="n">
        <v>1134</v>
      </c>
      <c r="U430" s="6" t="n">
        <v>2393</v>
      </c>
      <c r="V430" s="6" t="n">
        <v>2450</v>
      </c>
    </row>
    <row r="431" customFormat="false" ht="15" hidden="false" customHeight="false" outlineLevel="0" collapsed="false">
      <c r="A431" s="5" t="s">
        <v>78</v>
      </c>
      <c r="B431" s="6" t="s">
        <v>77</v>
      </c>
      <c r="C431" s="5" t="s">
        <v>70</v>
      </c>
      <c r="D431" s="5" t="s">
        <v>61</v>
      </c>
      <c r="E431" s="6" t="n">
        <v>80198</v>
      </c>
      <c r="F431" s="6" t="n">
        <v>82086</v>
      </c>
      <c r="G431" s="6" t="n">
        <v>43559</v>
      </c>
      <c r="H431" s="6" t="n">
        <v>42962</v>
      </c>
      <c r="I431" s="6" t="n">
        <v>13086</v>
      </c>
      <c r="J431" s="6" t="n">
        <v>13798</v>
      </c>
      <c r="K431" s="6" t="n">
        <v>2721</v>
      </c>
      <c r="L431" s="6" t="n">
        <v>2619</v>
      </c>
      <c r="M431" s="6" t="n">
        <v>775</v>
      </c>
      <c r="N431" s="6" t="n">
        <v>655</v>
      </c>
      <c r="O431" s="6" t="n">
        <v>1782</v>
      </c>
      <c r="P431" s="6" t="n">
        <v>1957</v>
      </c>
      <c r="Q431" s="6" t="n">
        <v>1179</v>
      </c>
      <c r="R431" s="6" t="n">
        <v>1143</v>
      </c>
      <c r="S431" s="6" t="n">
        <v>803</v>
      </c>
      <c r="T431" s="6" t="n">
        <v>749</v>
      </c>
      <c r="U431" s="6" t="n">
        <v>2312</v>
      </c>
      <c r="V431" s="6" t="n">
        <v>2353</v>
      </c>
    </row>
    <row r="432" customFormat="false" ht="15" hidden="false" customHeight="false" outlineLevel="0" collapsed="false">
      <c r="A432" s="5" t="s">
        <v>78</v>
      </c>
      <c r="B432" s="6" t="s">
        <v>77</v>
      </c>
      <c r="C432" s="5" t="s">
        <v>71</v>
      </c>
      <c r="D432" s="5" t="s">
        <v>61</v>
      </c>
      <c r="E432" s="6" t="n">
        <v>80435</v>
      </c>
      <c r="F432" s="6" t="n">
        <v>83774</v>
      </c>
      <c r="G432" s="6" t="n">
        <v>44241</v>
      </c>
      <c r="H432" s="6" t="n">
        <v>46143</v>
      </c>
      <c r="I432" s="6" t="n">
        <v>11521</v>
      </c>
      <c r="J432" s="6" t="n">
        <v>11590</v>
      </c>
      <c r="K432" s="6" t="n">
        <v>2287</v>
      </c>
      <c r="L432" s="6" t="n">
        <v>2074</v>
      </c>
      <c r="M432" s="6" t="n">
        <v>760</v>
      </c>
      <c r="N432" s="6" t="n">
        <v>814</v>
      </c>
      <c r="O432" s="6" t="n">
        <v>2203</v>
      </c>
      <c r="P432" s="6" t="n">
        <v>2075</v>
      </c>
      <c r="Q432" s="6" t="n">
        <v>1103</v>
      </c>
      <c r="R432" s="6" t="n">
        <v>1087</v>
      </c>
      <c r="S432" s="6" t="n">
        <v>566</v>
      </c>
      <c r="T432" s="6" t="n">
        <v>589</v>
      </c>
      <c r="U432" s="6" t="n">
        <v>1863</v>
      </c>
      <c r="V432" s="6" t="n">
        <v>1851</v>
      </c>
    </row>
    <row r="433" customFormat="false" ht="15" hidden="false" customHeight="false" outlineLevel="0" collapsed="false">
      <c r="A433" s="5" t="s">
        <v>78</v>
      </c>
      <c r="B433" s="6" t="s">
        <v>77</v>
      </c>
      <c r="C433" s="5" t="s">
        <v>72</v>
      </c>
      <c r="D433" s="5" t="s">
        <v>61</v>
      </c>
      <c r="E433" s="6" t="n">
        <v>85576</v>
      </c>
      <c r="F433" s="6" t="n">
        <v>90278</v>
      </c>
      <c r="G433" s="6" t="n">
        <v>50396</v>
      </c>
      <c r="H433" s="6" t="n">
        <v>54293</v>
      </c>
      <c r="I433" s="6" t="n">
        <v>12928</v>
      </c>
      <c r="J433" s="6" t="n">
        <v>12636</v>
      </c>
      <c r="K433" s="6" t="n">
        <v>1992</v>
      </c>
      <c r="L433" s="6" t="n">
        <v>1873</v>
      </c>
      <c r="M433" s="6" t="n">
        <v>1043</v>
      </c>
      <c r="N433" s="6" t="n">
        <v>1347</v>
      </c>
      <c r="O433" s="6" t="n">
        <v>1627</v>
      </c>
      <c r="P433" s="6" t="n">
        <v>1654</v>
      </c>
      <c r="Q433" s="6" t="n">
        <v>1705</v>
      </c>
      <c r="R433" s="6" t="n">
        <v>1765</v>
      </c>
      <c r="S433" s="6" t="n">
        <v>601</v>
      </c>
      <c r="T433" s="6" t="n">
        <v>827</v>
      </c>
      <c r="U433" s="6" t="n">
        <v>2225</v>
      </c>
      <c r="V433" s="6" t="n">
        <v>2289</v>
      </c>
    </row>
    <row r="434" customFormat="false" ht="15" hidden="false" customHeight="false" outlineLevel="0" collapsed="false">
      <c r="A434" s="5" t="s">
        <v>79</v>
      </c>
      <c r="B434" s="6" t="s">
        <v>33</v>
      </c>
      <c r="C434" s="5" t="s">
        <v>34</v>
      </c>
      <c r="D434" s="5" t="s">
        <v>35</v>
      </c>
      <c r="E434" s="6" t="n">
        <v>323755</v>
      </c>
      <c r="F434" s="6" t="n">
        <v>316400</v>
      </c>
      <c r="G434" s="6" t="n">
        <v>181278</v>
      </c>
      <c r="H434" s="6" t="n">
        <v>180883</v>
      </c>
      <c r="I434" s="6" t="n">
        <v>53911</v>
      </c>
      <c r="J434" s="6" t="n">
        <v>54179</v>
      </c>
      <c r="K434" s="6" t="n">
        <v>10611</v>
      </c>
      <c r="L434" s="6" t="n">
        <v>10554</v>
      </c>
      <c r="M434" s="6" t="n">
        <v>3349</v>
      </c>
      <c r="N434" s="6" t="n">
        <v>3698</v>
      </c>
      <c r="O434" s="6" t="n">
        <v>7722</v>
      </c>
      <c r="P434" s="6" t="n">
        <v>7636</v>
      </c>
      <c r="Q434" s="6" t="n">
        <v>5544</v>
      </c>
      <c r="R434" s="6" t="n">
        <v>5396</v>
      </c>
      <c r="S434" s="6" t="n">
        <v>3084</v>
      </c>
      <c r="T434" s="6" t="n">
        <v>4296</v>
      </c>
      <c r="U434" s="6" t="n">
        <v>7228</v>
      </c>
      <c r="V434" s="6" t="n">
        <v>7278</v>
      </c>
    </row>
    <row r="435" customFormat="false" ht="15" hidden="false" customHeight="false" outlineLevel="0" collapsed="false">
      <c r="A435" s="5" t="s">
        <v>79</v>
      </c>
      <c r="B435" s="6" t="s">
        <v>33</v>
      </c>
      <c r="C435" s="5" t="s">
        <v>36</v>
      </c>
      <c r="D435" s="5" t="s">
        <v>35</v>
      </c>
      <c r="E435" s="6" t="n">
        <v>317055</v>
      </c>
      <c r="F435" s="6" t="n">
        <v>324498</v>
      </c>
      <c r="G435" s="6" t="n">
        <v>185247</v>
      </c>
      <c r="H435" s="6" t="n">
        <v>195392</v>
      </c>
      <c r="I435" s="6" t="n">
        <v>50283</v>
      </c>
      <c r="J435" s="6" t="n">
        <v>49106</v>
      </c>
      <c r="K435" s="6" t="n">
        <v>8122</v>
      </c>
      <c r="L435" s="6" t="n">
        <v>7626</v>
      </c>
      <c r="M435" s="6" t="n">
        <v>2873</v>
      </c>
      <c r="N435" s="6" t="n">
        <v>2592</v>
      </c>
      <c r="O435" s="6" t="n">
        <v>5827</v>
      </c>
      <c r="P435" s="6" t="n">
        <v>6329</v>
      </c>
      <c r="Q435" s="6" t="n">
        <v>5322</v>
      </c>
      <c r="R435" s="6" t="n">
        <v>5559</v>
      </c>
      <c r="S435" s="6" t="n">
        <v>3309</v>
      </c>
      <c r="T435" s="6" t="n">
        <v>3300</v>
      </c>
      <c r="U435" s="6" t="n">
        <v>7223</v>
      </c>
      <c r="V435" s="6" t="n">
        <v>7285</v>
      </c>
    </row>
    <row r="436" customFormat="false" ht="15" hidden="false" customHeight="false" outlineLevel="0" collapsed="false">
      <c r="A436" s="5" t="s">
        <v>79</v>
      </c>
      <c r="B436" s="6" t="s">
        <v>33</v>
      </c>
      <c r="C436" s="5" t="s">
        <v>37</v>
      </c>
      <c r="D436" s="5" t="s">
        <v>35</v>
      </c>
      <c r="E436" s="6" t="n">
        <v>331846</v>
      </c>
      <c r="F436" s="6" t="n">
        <v>331017</v>
      </c>
      <c r="G436" s="6" t="n">
        <v>198661</v>
      </c>
      <c r="H436" s="6" t="n">
        <v>202270</v>
      </c>
      <c r="I436" s="6" t="n">
        <v>49330</v>
      </c>
      <c r="J436" s="6" t="n">
        <v>47979</v>
      </c>
      <c r="K436" s="6" t="n">
        <v>10853</v>
      </c>
      <c r="L436" s="6" t="n">
        <v>10304</v>
      </c>
      <c r="M436" s="6" t="n">
        <v>3217</v>
      </c>
      <c r="N436" s="6" t="n">
        <v>3441</v>
      </c>
      <c r="O436" s="6" t="n">
        <v>8982</v>
      </c>
      <c r="P436" s="6" t="n">
        <v>9339</v>
      </c>
      <c r="Q436" s="6" t="n">
        <v>4641</v>
      </c>
      <c r="R436" s="6" t="n">
        <v>4728</v>
      </c>
      <c r="S436" s="6" t="n">
        <v>3424</v>
      </c>
      <c r="T436" s="6" t="n">
        <v>3988</v>
      </c>
      <c r="U436" s="6" t="n">
        <v>7903</v>
      </c>
      <c r="V436" s="6" t="n">
        <v>7818</v>
      </c>
    </row>
    <row r="437" customFormat="false" ht="15" hidden="false" customHeight="false" outlineLevel="0" collapsed="false">
      <c r="A437" s="5" t="s">
        <v>79</v>
      </c>
      <c r="B437" s="6" t="s">
        <v>33</v>
      </c>
      <c r="C437" s="5" t="s">
        <v>38</v>
      </c>
      <c r="D437" s="5" t="s">
        <v>35</v>
      </c>
      <c r="E437" s="6" t="n">
        <v>313651</v>
      </c>
      <c r="F437" s="6" t="n">
        <v>333414</v>
      </c>
      <c r="G437" s="6" t="n">
        <v>185742</v>
      </c>
      <c r="H437" s="6" t="n">
        <v>191944</v>
      </c>
      <c r="I437" s="6" t="n">
        <v>45722</v>
      </c>
      <c r="J437" s="6" t="n">
        <v>47541</v>
      </c>
      <c r="K437" s="6" t="n">
        <v>6939</v>
      </c>
      <c r="L437" s="6" t="n">
        <v>6323</v>
      </c>
      <c r="M437" s="6" t="n">
        <v>2711</v>
      </c>
      <c r="N437" s="6" t="n">
        <v>2972</v>
      </c>
      <c r="O437" s="6" t="n">
        <v>8253</v>
      </c>
      <c r="P437" s="6" t="n">
        <v>8977</v>
      </c>
      <c r="Q437" s="6" t="n">
        <v>4357</v>
      </c>
      <c r="R437" s="6" t="n">
        <v>4173</v>
      </c>
      <c r="S437" s="6" t="n">
        <v>3246</v>
      </c>
      <c r="T437" s="6" t="n">
        <v>3203</v>
      </c>
      <c r="U437" s="6" t="n">
        <v>8537</v>
      </c>
      <c r="V437" s="6" t="n">
        <v>8406</v>
      </c>
    </row>
    <row r="438" customFormat="false" ht="15" hidden="false" customHeight="false" outlineLevel="0" collapsed="false">
      <c r="A438" s="5" t="s">
        <v>79</v>
      </c>
      <c r="B438" s="6" t="s">
        <v>33</v>
      </c>
      <c r="C438" s="5" t="s">
        <v>39</v>
      </c>
      <c r="D438" s="5" t="s">
        <v>35</v>
      </c>
      <c r="E438" s="6" t="n">
        <v>322240</v>
      </c>
      <c r="F438" s="6" t="n">
        <v>332249</v>
      </c>
      <c r="G438" s="6" t="n">
        <v>179527</v>
      </c>
      <c r="H438" s="6" t="n">
        <v>185905</v>
      </c>
      <c r="I438" s="6" t="n">
        <v>51258</v>
      </c>
      <c r="J438" s="6" t="n">
        <v>51253</v>
      </c>
      <c r="K438" s="6" t="n">
        <v>10221</v>
      </c>
      <c r="L438" s="6" t="n">
        <v>8933</v>
      </c>
      <c r="M438" s="6" t="n">
        <v>4772</v>
      </c>
      <c r="N438" s="6" t="n">
        <v>4768</v>
      </c>
      <c r="O438" s="6" t="n">
        <v>6341</v>
      </c>
      <c r="P438" s="6" t="n">
        <v>6337</v>
      </c>
      <c r="Q438" s="6" t="n">
        <v>5169</v>
      </c>
      <c r="R438" s="6" t="n">
        <v>5290</v>
      </c>
      <c r="S438" s="6" t="n">
        <v>3403</v>
      </c>
      <c r="T438" s="6" t="n">
        <v>4396</v>
      </c>
      <c r="U438" s="6" t="n">
        <v>9002</v>
      </c>
      <c r="V438" s="6" t="n">
        <v>8743</v>
      </c>
    </row>
    <row r="439" customFormat="false" ht="15" hidden="false" customHeight="false" outlineLevel="0" collapsed="false">
      <c r="A439" s="5" t="s">
        <v>79</v>
      </c>
      <c r="B439" s="6" t="s">
        <v>33</v>
      </c>
      <c r="C439" s="5" t="s">
        <v>40</v>
      </c>
      <c r="D439" s="5" t="s">
        <v>35</v>
      </c>
      <c r="E439" s="6" t="n">
        <v>377493</v>
      </c>
      <c r="F439" s="6" t="n">
        <v>362109</v>
      </c>
      <c r="G439" s="6" t="n">
        <v>221034</v>
      </c>
      <c r="H439" s="6" t="n">
        <v>221469</v>
      </c>
      <c r="I439" s="6" t="n">
        <v>59589</v>
      </c>
      <c r="J439" s="6" t="n">
        <v>58803</v>
      </c>
      <c r="K439" s="6" t="n">
        <v>11664</v>
      </c>
      <c r="L439" s="6" t="n">
        <v>10815</v>
      </c>
      <c r="M439" s="6" t="n">
        <v>4245</v>
      </c>
      <c r="N439" s="6" t="n">
        <v>4359</v>
      </c>
      <c r="O439" s="6" t="n">
        <v>8211</v>
      </c>
      <c r="P439" s="6" t="n">
        <v>8450</v>
      </c>
      <c r="Q439" s="6" t="n">
        <v>4747</v>
      </c>
      <c r="R439" s="6" t="n">
        <v>4575</v>
      </c>
      <c r="S439" s="6" t="n">
        <v>3328</v>
      </c>
      <c r="T439" s="6" t="n">
        <v>2971</v>
      </c>
      <c r="U439" s="6" t="n">
        <v>8266</v>
      </c>
      <c r="V439" s="6" t="n">
        <v>8024</v>
      </c>
    </row>
    <row r="440" customFormat="false" ht="15" hidden="false" customHeight="false" outlineLevel="0" collapsed="false">
      <c r="A440" s="5" t="s">
        <v>79</v>
      </c>
      <c r="B440" s="6" t="s">
        <v>33</v>
      </c>
      <c r="C440" s="5" t="s">
        <v>41</v>
      </c>
      <c r="D440" s="5" t="s">
        <v>35</v>
      </c>
      <c r="E440" s="6" t="n">
        <v>346156</v>
      </c>
      <c r="F440" s="6" t="n">
        <v>337042</v>
      </c>
      <c r="G440" s="6" t="n">
        <v>197131</v>
      </c>
      <c r="H440" s="6" t="n">
        <v>200800</v>
      </c>
      <c r="I440" s="6" t="n">
        <v>58226</v>
      </c>
      <c r="J440" s="6" t="n">
        <v>62695</v>
      </c>
      <c r="K440" s="6" t="n">
        <v>8861</v>
      </c>
      <c r="L440" s="6" t="n">
        <v>8833</v>
      </c>
      <c r="M440" s="6" t="n">
        <v>4323</v>
      </c>
      <c r="N440" s="6" t="n">
        <v>4730</v>
      </c>
      <c r="O440" s="6" t="n">
        <v>7646</v>
      </c>
      <c r="P440" s="6" t="n">
        <v>7088</v>
      </c>
      <c r="Q440" s="6" t="n">
        <v>6706</v>
      </c>
      <c r="R440" s="6" t="n">
        <v>6629</v>
      </c>
      <c r="S440" s="6" t="n">
        <v>3252</v>
      </c>
      <c r="T440" s="6" t="n">
        <v>2981</v>
      </c>
      <c r="U440" s="6" t="n">
        <v>8433</v>
      </c>
      <c r="V440" s="6" t="n">
        <v>8309</v>
      </c>
    </row>
    <row r="441" customFormat="false" ht="15" hidden="false" customHeight="false" outlineLevel="0" collapsed="false">
      <c r="A441" s="5" t="s">
        <v>79</v>
      </c>
      <c r="B441" s="6" t="s">
        <v>33</v>
      </c>
      <c r="C441" s="5" t="s">
        <v>42</v>
      </c>
      <c r="D441" s="5" t="s">
        <v>35</v>
      </c>
      <c r="E441" s="6" t="n">
        <v>355115</v>
      </c>
      <c r="F441" s="6" t="n">
        <v>345890</v>
      </c>
      <c r="G441" s="6" t="n">
        <v>202620</v>
      </c>
      <c r="H441" s="6" t="n">
        <v>198889</v>
      </c>
      <c r="I441" s="6" t="n">
        <v>57051</v>
      </c>
      <c r="J441" s="6" t="n">
        <v>59710</v>
      </c>
      <c r="K441" s="6" t="n">
        <v>10569</v>
      </c>
      <c r="L441" s="6" t="n">
        <v>11921</v>
      </c>
      <c r="M441" s="6" t="n">
        <v>4670</v>
      </c>
      <c r="N441" s="6" t="n">
        <v>4302</v>
      </c>
      <c r="O441" s="6" t="n">
        <v>6515</v>
      </c>
      <c r="P441" s="6" t="n">
        <v>6947</v>
      </c>
      <c r="Q441" s="6" t="n">
        <v>6054</v>
      </c>
      <c r="R441" s="6" t="n">
        <v>6161</v>
      </c>
      <c r="S441" s="6" t="n">
        <v>3617</v>
      </c>
      <c r="T441" s="6" t="n">
        <v>4294</v>
      </c>
      <c r="U441" s="6" t="n">
        <v>8030</v>
      </c>
      <c r="V441" s="6" t="n">
        <v>8009</v>
      </c>
    </row>
    <row r="442" customFormat="false" ht="15" hidden="false" customHeight="false" outlineLevel="0" collapsed="false">
      <c r="A442" s="5" t="s">
        <v>79</v>
      </c>
      <c r="B442" s="6" t="s">
        <v>33</v>
      </c>
      <c r="C442" s="5" t="s">
        <v>43</v>
      </c>
      <c r="D442" s="5" t="s">
        <v>35</v>
      </c>
      <c r="E442" s="6" t="n">
        <v>370267</v>
      </c>
      <c r="F442" s="6" t="n">
        <v>381516</v>
      </c>
      <c r="G442" s="6" t="n">
        <v>213322</v>
      </c>
      <c r="H442" s="6" t="n">
        <v>230328</v>
      </c>
      <c r="I442" s="6" t="n">
        <v>61185</v>
      </c>
      <c r="J442" s="6" t="n">
        <v>59432</v>
      </c>
      <c r="K442" s="6" t="n">
        <v>11687</v>
      </c>
      <c r="L442" s="6" t="n">
        <v>12193</v>
      </c>
      <c r="M442" s="6" t="n">
        <v>5339</v>
      </c>
      <c r="N442" s="6" t="n">
        <v>5333</v>
      </c>
      <c r="O442" s="6" t="n">
        <v>8835</v>
      </c>
      <c r="P442" s="6" t="n">
        <v>9561</v>
      </c>
      <c r="Q442" s="6" t="n">
        <v>5979</v>
      </c>
      <c r="R442" s="6" t="n">
        <v>5793</v>
      </c>
      <c r="S442" s="6" t="n">
        <v>3161</v>
      </c>
      <c r="T442" s="6" t="n">
        <v>4103</v>
      </c>
      <c r="U442" s="6" t="n">
        <v>8342</v>
      </c>
      <c r="V442" s="6" t="n">
        <v>8243</v>
      </c>
    </row>
    <row r="443" customFormat="false" ht="15" hidden="false" customHeight="false" outlineLevel="0" collapsed="false">
      <c r="A443" s="5" t="s">
        <v>79</v>
      </c>
      <c r="B443" s="6" t="s">
        <v>33</v>
      </c>
      <c r="C443" s="5" t="s">
        <v>44</v>
      </c>
      <c r="D443" s="5" t="s">
        <v>35</v>
      </c>
      <c r="E443" s="6" t="n">
        <v>368619</v>
      </c>
      <c r="F443" s="6" t="n">
        <v>361739</v>
      </c>
      <c r="G443" s="6" t="n">
        <v>207520</v>
      </c>
      <c r="H443" s="6" t="n">
        <v>201983</v>
      </c>
      <c r="I443" s="6" t="n">
        <v>56158</v>
      </c>
      <c r="J443" s="6" t="n">
        <v>59887</v>
      </c>
      <c r="K443" s="6" t="n">
        <v>11396</v>
      </c>
      <c r="L443" s="6" t="n">
        <v>9990</v>
      </c>
      <c r="M443" s="6" t="n">
        <v>4591</v>
      </c>
      <c r="N443" s="6" t="n">
        <v>5456</v>
      </c>
      <c r="O443" s="6" t="n">
        <v>7905</v>
      </c>
      <c r="P443" s="6" t="n">
        <v>7476</v>
      </c>
      <c r="Q443" s="6" t="n">
        <v>6631</v>
      </c>
      <c r="R443" s="6" t="n">
        <v>6916</v>
      </c>
      <c r="S443" s="6" t="n">
        <v>3092</v>
      </c>
      <c r="T443" s="6" t="n">
        <v>3045</v>
      </c>
      <c r="U443" s="6" t="n">
        <v>11011</v>
      </c>
      <c r="V443" s="6" t="n">
        <v>11220</v>
      </c>
    </row>
    <row r="444" customFormat="false" ht="15" hidden="false" customHeight="false" outlineLevel="0" collapsed="false">
      <c r="A444" s="5" t="s">
        <v>79</v>
      </c>
      <c r="B444" s="6" t="s">
        <v>33</v>
      </c>
      <c r="C444" s="5" t="s">
        <v>45</v>
      </c>
      <c r="D444" s="5" t="s">
        <v>35</v>
      </c>
      <c r="E444" s="6" t="n">
        <v>339445</v>
      </c>
      <c r="F444" s="6" t="n">
        <v>357920</v>
      </c>
      <c r="G444" s="6" t="n">
        <v>197482</v>
      </c>
      <c r="H444" s="6" t="n">
        <v>210467</v>
      </c>
      <c r="I444" s="6" t="n">
        <v>54188</v>
      </c>
      <c r="J444" s="6" t="n">
        <v>56932</v>
      </c>
      <c r="K444" s="6" t="n">
        <v>7658</v>
      </c>
      <c r="L444" s="6" t="n">
        <v>7370</v>
      </c>
      <c r="M444" s="6" t="n">
        <v>4388</v>
      </c>
      <c r="N444" s="6" t="n">
        <v>3945</v>
      </c>
      <c r="O444" s="6" t="n">
        <v>6728</v>
      </c>
      <c r="P444" s="6" t="n">
        <v>7338</v>
      </c>
      <c r="Q444" s="6" t="n">
        <v>5297</v>
      </c>
      <c r="R444" s="6" t="n">
        <v>5464</v>
      </c>
      <c r="S444" s="6" t="n">
        <v>2415</v>
      </c>
      <c r="T444" s="6" t="n">
        <v>2017</v>
      </c>
      <c r="U444" s="6" t="n">
        <v>7409</v>
      </c>
      <c r="V444" s="6" t="n">
        <v>7524</v>
      </c>
    </row>
    <row r="445" customFormat="false" ht="15" hidden="false" customHeight="false" outlineLevel="0" collapsed="false">
      <c r="A445" s="5" t="s">
        <v>79</v>
      </c>
      <c r="B445" s="6" t="s">
        <v>33</v>
      </c>
      <c r="C445" s="5" t="s">
        <v>46</v>
      </c>
      <c r="D445" s="5" t="s">
        <v>35</v>
      </c>
      <c r="E445" s="6" t="n">
        <v>406912</v>
      </c>
      <c r="F445" s="6" t="n">
        <v>388174</v>
      </c>
      <c r="G445" s="6" t="n">
        <v>229713</v>
      </c>
      <c r="H445" s="6" t="n">
        <v>223538</v>
      </c>
      <c r="I445" s="6" t="n">
        <v>64590</v>
      </c>
      <c r="J445" s="6" t="n">
        <v>68822</v>
      </c>
      <c r="K445" s="6" t="n">
        <v>9152</v>
      </c>
      <c r="L445" s="6" t="n">
        <v>8584</v>
      </c>
      <c r="M445" s="6" t="n">
        <v>4331</v>
      </c>
      <c r="N445" s="6" t="n">
        <v>4064</v>
      </c>
      <c r="O445" s="6" t="n">
        <v>8717</v>
      </c>
      <c r="P445" s="6" t="n">
        <v>8939</v>
      </c>
      <c r="Q445" s="6" t="n">
        <v>6439</v>
      </c>
      <c r="R445" s="6" t="n">
        <v>6550</v>
      </c>
      <c r="S445" s="6" t="n">
        <v>2688</v>
      </c>
      <c r="T445" s="6" t="n">
        <v>2249</v>
      </c>
      <c r="U445" s="6" t="n">
        <v>11197</v>
      </c>
      <c r="V445" s="6" t="n">
        <v>10866</v>
      </c>
    </row>
    <row r="446" customFormat="false" ht="15" hidden="false" customHeight="false" outlineLevel="0" collapsed="false">
      <c r="A446" s="5" t="s">
        <v>79</v>
      </c>
      <c r="B446" s="6" t="s">
        <v>33</v>
      </c>
      <c r="C446" s="5" t="s">
        <v>47</v>
      </c>
      <c r="D446" s="5" t="s">
        <v>48</v>
      </c>
      <c r="E446" s="6" t="n">
        <v>383693</v>
      </c>
      <c r="F446" s="6" t="n">
        <v>362483</v>
      </c>
      <c r="G446" s="6" t="n">
        <v>209424</v>
      </c>
      <c r="H446" s="6" t="n">
        <v>200064</v>
      </c>
      <c r="I446" s="6" t="n">
        <v>53801</v>
      </c>
      <c r="J446" s="6" t="n">
        <v>55756</v>
      </c>
      <c r="K446" s="6" t="n">
        <v>13354</v>
      </c>
      <c r="L446" s="6" t="n">
        <v>14401</v>
      </c>
      <c r="M446" s="6" t="n">
        <v>5573</v>
      </c>
      <c r="N446" s="6" t="n">
        <v>5777</v>
      </c>
      <c r="O446" s="6" t="n">
        <v>8200</v>
      </c>
      <c r="P446" s="6" t="n">
        <v>8178</v>
      </c>
      <c r="Q446" s="6" t="n">
        <v>5742</v>
      </c>
      <c r="R446" s="6" t="n">
        <v>5966</v>
      </c>
      <c r="S446" s="6" t="n">
        <v>4603</v>
      </c>
      <c r="T446" s="6" t="n">
        <v>5938</v>
      </c>
      <c r="U446" s="6" t="n">
        <v>11284</v>
      </c>
      <c r="V446" s="6" t="n">
        <v>11396</v>
      </c>
    </row>
    <row r="447" customFormat="false" ht="15" hidden="false" customHeight="false" outlineLevel="0" collapsed="false">
      <c r="A447" s="5" t="s">
        <v>79</v>
      </c>
      <c r="B447" s="6" t="s">
        <v>33</v>
      </c>
      <c r="C447" s="5" t="s">
        <v>49</v>
      </c>
      <c r="D447" s="5" t="s">
        <v>48</v>
      </c>
      <c r="E447" s="6" t="n">
        <v>344824</v>
      </c>
      <c r="F447" s="6" t="n">
        <v>364173</v>
      </c>
      <c r="G447" s="6" t="n">
        <v>193571</v>
      </c>
      <c r="H447" s="6" t="n">
        <v>203163</v>
      </c>
      <c r="I447" s="6" t="n">
        <v>49312</v>
      </c>
      <c r="J447" s="6" t="n">
        <v>50311</v>
      </c>
      <c r="K447" s="6" t="n">
        <v>10508</v>
      </c>
      <c r="L447" s="6" t="n">
        <v>11218</v>
      </c>
      <c r="M447" s="6" t="n">
        <v>4902</v>
      </c>
      <c r="N447" s="6" t="n">
        <v>4262</v>
      </c>
      <c r="O447" s="6" t="n">
        <v>8282</v>
      </c>
      <c r="P447" s="6" t="n">
        <v>8915</v>
      </c>
      <c r="Q447" s="6" t="n">
        <v>4909</v>
      </c>
      <c r="R447" s="6" t="n">
        <v>5007</v>
      </c>
      <c r="S447" s="6" t="n">
        <v>3755</v>
      </c>
      <c r="T447" s="6" t="n">
        <v>3834</v>
      </c>
      <c r="U447" s="6" t="n">
        <v>9029</v>
      </c>
      <c r="V447" s="6" t="n">
        <v>9115</v>
      </c>
    </row>
    <row r="448" customFormat="false" ht="15" hidden="false" customHeight="false" outlineLevel="0" collapsed="false">
      <c r="A448" s="5" t="s">
        <v>79</v>
      </c>
      <c r="B448" s="6" t="s">
        <v>33</v>
      </c>
      <c r="C448" s="5" t="s">
        <v>50</v>
      </c>
      <c r="D448" s="5" t="s">
        <v>48</v>
      </c>
      <c r="E448" s="6" t="n">
        <v>363465</v>
      </c>
      <c r="F448" s="6" t="n">
        <v>367294</v>
      </c>
      <c r="G448" s="6" t="n">
        <v>200370</v>
      </c>
      <c r="H448" s="6" t="n">
        <v>213245</v>
      </c>
      <c r="I448" s="6" t="n">
        <v>61326</v>
      </c>
      <c r="J448" s="6" t="n">
        <v>64968</v>
      </c>
      <c r="K448" s="6" t="n">
        <v>7360</v>
      </c>
      <c r="L448" s="6" t="n">
        <v>7051</v>
      </c>
      <c r="M448" s="6" t="n">
        <v>3024</v>
      </c>
      <c r="N448" s="6" t="n">
        <v>3640</v>
      </c>
      <c r="O448" s="6" t="n">
        <v>7726</v>
      </c>
      <c r="P448" s="6" t="n">
        <v>7726</v>
      </c>
      <c r="Q448" s="6" t="n">
        <v>6126</v>
      </c>
      <c r="R448" s="6" t="n">
        <v>6065</v>
      </c>
      <c r="S448" s="6" t="n">
        <v>3517</v>
      </c>
      <c r="T448" s="6" t="n">
        <v>2985</v>
      </c>
      <c r="U448" s="6" t="n">
        <v>8825</v>
      </c>
      <c r="V448" s="6" t="n">
        <v>9053</v>
      </c>
    </row>
    <row r="449" customFormat="false" ht="15" hidden="false" customHeight="false" outlineLevel="0" collapsed="false">
      <c r="A449" s="5" t="s">
        <v>79</v>
      </c>
      <c r="B449" s="6" t="s">
        <v>33</v>
      </c>
      <c r="C449" s="5" t="s">
        <v>51</v>
      </c>
      <c r="D449" s="5" t="s">
        <v>48</v>
      </c>
      <c r="E449" s="6" t="n">
        <v>399237</v>
      </c>
      <c r="F449" s="6" t="n">
        <v>377199</v>
      </c>
      <c r="G449" s="6" t="n">
        <v>236119</v>
      </c>
      <c r="H449" s="6" t="n">
        <v>232613</v>
      </c>
      <c r="I449" s="6" t="n">
        <v>64688</v>
      </c>
      <c r="J449" s="6" t="n">
        <v>64838</v>
      </c>
      <c r="K449" s="6" t="n">
        <v>9153</v>
      </c>
      <c r="L449" s="6" t="n">
        <v>8173</v>
      </c>
      <c r="M449" s="6" t="n">
        <v>4647</v>
      </c>
      <c r="N449" s="6" t="n">
        <v>5046</v>
      </c>
      <c r="O449" s="6" t="n">
        <v>10607</v>
      </c>
      <c r="P449" s="6" t="n">
        <v>10722</v>
      </c>
      <c r="Q449" s="6" t="n">
        <v>5199</v>
      </c>
      <c r="R449" s="6" t="n">
        <v>5353</v>
      </c>
      <c r="S449" s="6" t="n">
        <v>3117</v>
      </c>
      <c r="T449" s="6" t="n">
        <v>3752</v>
      </c>
      <c r="U449" s="6" t="n">
        <v>10176</v>
      </c>
      <c r="V449" s="6" t="n">
        <v>10405</v>
      </c>
    </row>
    <row r="450" customFormat="false" ht="15" hidden="false" customHeight="false" outlineLevel="0" collapsed="false">
      <c r="A450" s="5" t="s">
        <v>79</v>
      </c>
      <c r="B450" s="6" t="s">
        <v>33</v>
      </c>
      <c r="C450" s="5" t="s">
        <v>52</v>
      </c>
      <c r="D450" s="5" t="s">
        <v>48</v>
      </c>
      <c r="E450" s="6" t="n">
        <v>373331</v>
      </c>
      <c r="F450" s="6" t="n">
        <v>375753</v>
      </c>
      <c r="G450" s="6" t="n">
        <v>204190</v>
      </c>
      <c r="H450" s="6" t="n">
        <v>210449</v>
      </c>
      <c r="I450" s="6" t="n">
        <v>54964</v>
      </c>
      <c r="J450" s="6" t="n">
        <v>54595</v>
      </c>
      <c r="K450" s="6" t="n">
        <v>11685</v>
      </c>
      <c r="L450" s="6" t="n">
        <v>12245</v>
      </c>
      <c r="M450" s="6" t="n">
        <v>3220</v>
      </c>
      <c r="N450" s="6" t="n">
        <v>3276</v>
      </c>
      <c r="O450" s="6" t="n">
        <v>9392</v>
      </c>
      <c r="P450" s="6" t="n">
        <v>8912</v>
      </c>
      <c r="Q450" s="6" t="n">
        <v>7254</v>
      </c>
      <c r="R450" s="6" t="n">
        <v>7546</v>
      </c>
      <c r="S450" s="6" t="n">
        <v>3957</v>
      </c>
      <c r="T450" s="6" t="n">
        <v>3689</v>
      </c>
      <c r="U450" s="6" t="n">
        <v>8428</v>
      </c>
      <c r="V450" s="6" t="n">
        <v>8416</v>
      </c>
    </row>
    <row r="451" customFormat="false" ht="15" hidden="false" customHeight="false" outlineLevel="0" collapsed="false">
      <c r="A451" s="5" t="s">
        <v>79</v>
      </c>
      <c r="B451" s="6" t="s">
        <v>33</v>
      </c>
      <c r="C451" s="5" t="s">
        <v>53</v>
      </c>
      <c r="D451" s="5" t="s">
        <v>48</v>
      </c>
      <c r="E451" s="6" t="n">
        <v>399112</v>
      </c>
      <c r="F451" s="6" t="n">
        <v>418018</v>
      </c>
      <c r="G451" s="6" t="n">
        <v>218771</v>
      </c>
      <c r="H451" s="6" t="n">
        <v>231947</v>
      </c>
      <c r="I451" s="6" t="n">
        <v>64561</v>
      </c>
      <c r="J451" s="6" t="n">
        <v>63266</v>
      </c>
      <c r="K451" s="6" t="n">
        <v>12124</v>
      </c>
      <c r="L451" s="6" t="n">
        <v>13477</v>
      </c>
      <c r="M451" s="6" t="n">
        <v>5796</v>
      </c>
      <c r="N451" s="6" t="n">
        <v>6858</v>
      </c>
      <c r="O451" s="6" t="n">
        <v>9581</v>
      </c>
      <c r="P451" s="6" t="n">
        <v>9925</v>
      </c>
      <c r="Q451" s="6" t="n">
        <v>5993</v>
      </c>
      <c r="R451" s="6" t="n">
        <v>6123</v>
      </c>
      <c r="S451" s="6" t="n">
        <v>4157</v>
      </c>
      <c r="T451" s="6" t="n">
        <v>4278</v>
      </c>
      <c r="U451" s="6" t="n">
        <v>10545</v>
      </c>
      <c r="V451" s="6" t="n">
        <v>10584</v>
      </c>
    </row>
    <row r="452" customFormat="false" ht="15" hidden="false" customHeight="false" outlineLevel="0" collapsed="false">
      <c r="A452" s="5" t="s">
        <v>79</v>
      </c>
      <c r="B452" s="6" t="s">
        <v>33</v>
      </c>
      <c r="C452" s="5" t="s">
        <v>54</v>
      </c>
      <c r="D452" s="5" t="s">
        <v>48</v>
      </c>
      <c r="E452" s="6" t="n">
        <v>409218</v>
      </c>
      <c r="F452" s="6" t="n">
        <v>394612</v>
      </c>
      <c r="G452" s="6" t="n">
        <v>226467</v>
      </c>
      <c r="H452" s="6" t="n">
        <v>212774</v>
      </c>
      <c r="I452" s="6" t="n">
        <v>58367</v>
      </c>
      <c r="J452" s="6" t="n">
        <v>57188</v>
      </c>
      <c r="K452" s="6" t="n">
        <v>12730</v>
      </c>
      <c r="L452" s="6" t="n">
        <v>14400</v>
      </c>
      <c r="M452" s="6" t="n">
        <v>5407</v>
      </c>
      <c r="N452" s="6" t="n">
        <v>4639</v>
      </c>
      <c r="O452" s="6" t="n">
        <v>8871</v>
      </c>
      <c r="P452" s="6" t="n">
        <v>9524</v>
      </c>
      <c r="Q452" s="6" t="n">
        <v>8034</v>
      </c>
      <c r="R452" s="6" t="n">
        <v>8096</v>
      </c>
      <c r="S452" s="6" t="n">
        <v>2459</v>
      </c>
      <c r="T452" s="6" t="n">
        <v>2059</v>
      </c>
      <c r="U452" s="6" t="n">
        <v>10376</v>
      </c>
      <c r="V452" s="6" t="n">
        <v>10592</v>
      </c>
    </row>
    <row r="453" customFormat="false" ht="15" hidden="false" customHeight="false" outlineLevel="0" collapsed="false">
      <c r="A453" s="5" t="s">
        <v>79</v>
      </c>
      <c r="B453" s="6" t="s">
        <v>33</v>
      </c>
      <c r="C453" s="5" t="s">
        <v>55</v>
      </c>
      <c r="D453" s="5" t="s">
        <v>48</v>
      </c>
      <c r="E453" s="6" t="n">
        <v>397247</v>
      </c>
      <c r="F453" s="6" t="n">
        <v>406035</v>
      </c>
      <c r="G453" s="6" t="n">
        <v>223214</v>
      </c>
      <c r="H453" s="6" t="n">
        <v>233822</v>
      </c>
      <c r="I453" s="6" t="n">
        <v>65108</v>
      </c>
      <c r="J453" s="6" t="n">
        <v>66877</v>
      </c>
      <c r="K453" s="6" t="n">
        <v>11530</v>
      </c>
      <c r="L453" s="6" t="n">
        <v>10569</v>
      </c>
      <c r="M453" s="6" t="n">
        <v>4277</v>
      </c>
      <c r="N453" s="6" t="n">
        <v>4573</v>
      </c>
      <c r="O453" s="6" t="n">
        <v>8980</v>
      </c>
      <c r="P453" s="6" t="n">
        <v>8495</v>
      </c>
      <c r="Q453" s="6" t="n">
        <v>7763</v>
      </c>
      <c r="R453" s="6" t="n">
        <v>8025</v>
      </c>
      <c r="S453" s="6" t="n">
        <v>3575</v>
      </c>
      <c r="T453" s="6" t="n">
        <v>3838</v>
      </c>
      <c r="U453" s="6" t="n">
        <v>10334</v>
      </c>
      <c r="V453" s="6" t="n">
        <v>10114</v>
      </c>
    </row>
    <row r="454" customFormat="false" ht="15" hidden="false" customHeight="false" outlineLevel="0" collapsed="false">
      <c r="A454" s="5" t="s">
        <v>79</v>
      </c>
      <c r="B454" s="6" t="s">
        <v>33</v>
      </c>
      <c r="C454" s="5" t="s">
        <v>56</v>
      </c>
      <c r="D454" s="5" t="s">
        <v>48</v>
      </c>
      <c r="E454" s="6" t="n">
        <v>463759</v>
      </c>
      <c r="F454" s="6" t="n">
        <v>447577</v>
      </c>
      <c r="G454" s="6" t="n">
        <v>269990</v>
      </c>
      <c r="H454" s="6" t="n">
        <v>265020</v>
      </c>
      <c r="I454" s="6" t="n">
        <v>69224</v>
      </c>
      <c r="J454" s="6" t="n">
        <v>74688</v>
      </c>
      <c r="K454" s="6" t="n">
        <v>10134</v>
      </c>
      <c r="L454" s="6" t="n">
        <v>11645</v>
      </c>
      <c r="M454" s="6" t="n">
        <v>6004</v>
      </c>
      <c r="N454" s="6" t="n">
        <v>6239</v>
      </c>
      <c r="O454" s="6" t="n">
        <v>12191</v>
      </c>
      <c r="P454" s="6" t="n">
        <v>12302</v>
      </c>
      <c r="Q454" s="6" t="n">
        <v>8178</v>
      </c>
      <c r="R454" s="6" t="n">
        <v>8077</v>
      </c>
      <c r="S454" s="6" t="n">
        <v>5513</v>
      </c>
      <c r="T454" s="6" t="n">
        <v>5512</v>
      </c>
      <c r="U454" s="6" t="n">
        <v>13115</v>
      </c>
      <c r="V454" s="6" t="n">
        <v>12887</v>
      </c>
    </row>
    <row r="455" customFormat="false" ht="15" hidden="false" customHeight="false" outlineLevel="0" collapsed="false">
      <c r="A455" s="5" t="s">
        <v>79</v>
      </c>
      <c r="B455" s="6" t="s">
        <v>33</v>
      </c>
      <c r="C455" s="5" t="s">
        <v>57</v>
      </c>
      <c r="D455" s="5" t="s">
        <v>48</v>
      </c>
      <c r="E455" s="6" t="n">
        <v>436120</v>
      </c>
      <c r="F455" s="6" t="n">
        <v>420458</v>
      </c>
      <c r="G455" s="6" t="n">
        <v>253833</v>
      </c>
      <c r="H455" s="6" t="n">
        <v>237413</v>
      </c>
      <c r="I455" s="6" t="n">
        <v>72380</v>
      </c>
      <c r="J455" s="6" t="n">
        <v>71634</v>
      </c>
      <c r="K455" s="6" t="n">
        <v>11912</v>
      </c>
      <c r="L455" s="6" t="n">
        <v>11525</v>
      </c>
      <c r="M455" s="6" t="n">
        <v>6494</v>
      </c>
      <c r="N455" s="6" t="n">
        <v>7336</v>
      </c>
      <c r="O455" s="6" t="n">
        <v>11551</v>
      </c>
      <c r="P455" s="6" t="n">
        <v>12688</v>
      </c>
      <c r="Q455" s="6" t="n">
        <v>7145</v>
      </c>
      <c r="R455" s="6" t="n">
        <v>7029</v>
      </c>
      <c r="S455" s="6" t="n">
        <v>4391</v>
      </c>
      <c r="T455" s="6" t="n">
        <v>6122</v>
      </c>
      <c r="U455" s="6" t="n">
        <v>12027</v>
      </c>
      <c r="V455" s="6" t="n">
        <v>11948</v>
      </c>
    </row>
    <row r="456" customFormat="false" ht="15" hidden="false" customHeight="false" outlineLevel="0" collapsed="false">
      <c r="A456" s="5" t="s">
        <v>79</v>
      </c>
      <c r="B456" s="6" t="s">
        <v>33</v>
      </c>
      <c r="C456" s="5" t="s">
        <v>58</v>
      </c>
      <c r="D456" s="5" t="s">
        <v>48</v>
      </c>
      <c r="E456" s="6" t="n">
        <v>413891</v>
      </c>
      <c r="F456" s="6" t="n">
        <v>424955</v>
      </c>
      <c r="G456" s="6" t="n">
        <v>240795</v>
      </c>
      <c r="H456" s="6" t="n">
        <v>242878</v>
      </c>
      <c r="I456" s="6" t="n">
        <v>68577</v>
      </c>
      <c r="J456" s="6" t="n">
        <v>69490</v>
      </c>
      <c r="K456" s="6" t="n">
        <v>9090</v>
      </c>
      <c r="L456" s="6" t="n">
        <v>9778</v>
      </c>
      <c r="M456" s="6" t="n">
        <v>4993</v>
      </c>
      <c r="N456" s="6" t="n">
        <v>6004</v>
      </c>
      <c r="O456" s="6" t="n">
        <v>10967</v>
      </c>
      <c r="P456" s="6" t="n">
        <v>11490</v>
      </c>
      <c r="Q456" s="6" t="n">
        <v>6482</v>
      </c>
      <c r="R456" s="6" t="n">
        <v>6264</v>
      </c>
      <c r="S456" s="6" t="n">
        <v>2825</v>
      </c>
      <c r="T456" s="6" t="n">
        <v>3440</v>
      </c>
      <c r="U456" s="6" t="n">
        <v>9483</v>
      </c>
      <c r="V456" s="6" t="n">
        <v>9281</v>
      </c>
    </row>
    <row r="457" customFormat="false" ht="15" hidden="false" customHeight="false" outlineLevel="0" collapsed="false">
      <c r="A457" s="5" t="s">
        <v>79</v>
      </c>
      <c r="B457" s="6" t="s">
        <v>33</v>
      </c>
      <c r="C457" s="5" t="s">
        <v>59</v>
      </c>
      <c r="D457" s="5" t="s">
        <v>48</v>
      </c>
      <c r="E457" s="6" t="n">
        <v>473822</v>
      </c>
      <c r="F457" s="6" t="n">
        <v>460108</v>
      </c>
      <c r="G457" s="6" t="n">
        <v>276768</v>
      </c>
      <c r="H457" s="6" t="n">
        <v>259766</v>
      </c>
      <c r="I457" s="6" t="n">
        <v>76654</v>
      </c>
      <c r="J457" s="6" t="n">
        <v>79208</v>
      </c>
      <c r="K457" s="6" t="n">
        <v>14297</v>
      </c>
      <c r="L457" s="6" t="n">
        <v>16392</v>
      </c>
      <c r="M457" s="6" t="n">
        <v>4280</v>
      </c>
      <c r="N457" s="6" t="n">
        <v>5458</v>
      </c>
      <c r="O457" s="6" t="n">
        <v>10553</v>
      </c>
      <c r="P457" s="6" t="n">
        <v>11308</v>
      </c>
      <c r="Q457" s="6" t="n">
        <v>9196</v>
      </c>
      <c r="R457" s="6" t="n">
        <v>8825</v>
      </c>
      <c r="S457" s="6" t="n">
        <v>5612</v>
      </c>
      <c r="T457" s="6" t="n">
        <v>5094</v>
      </c>
      <c r="U457" s="6" t="n">
        <v>9725</v>
      </c>
      <c r="V457" s="6" t="n">
        <v>10005</v>
      </c>
    </row>
    <row r="458" customFormat="false" ht="15" hidden="false" customHeight="false" outlineLevel="0" collapsed="false">
      <c r="A458" s="5" t="s">
        <v>79</v>
      </c>
      <c r="B458" s="6" t="s">
        <v>33</v>
      </c>
      <c r="C458" s="5" t="s">
        <v>60</v>
      </c>
      <c r="D458" s="5" t="s">
        <v>61</v>
      </c>
      <c r="E458" s="6" t="n">
        <v>435644</v>
      </c>
      <c r="F458" s="6" t="n">
        <v>430816</v>
      </c>
      <c r="G458" s="6" t="n">
        <v>260595</v>
      </c>
      <c r="H458" s="6" t="n">
        <v>262596</v>
      </c>
      <c r="I458" s="6" t="n">
        <v>66270</v>
      </c>
      <c r="J458" s="6" t="n">
        <v>64530</v>
      </c>
      <c r="K458" s="6" t="n">
        <v>10287</v>
      </c>
      <c r="L458" s="6" t="n">
        <v>10252</v>
      </c>
      <c r="M458" s="6" t="n">
        <v>5583</v>
      </c>
      <c r="N458" s="6" t="n">
        <v>7131</v>
      </c>
      <c r="O458" s="6" t="n">
        <v>10685</v>
      </c>
      <c r="P458" s="6" t="n">
        <v>10552</v>
      </c>
      <c r="Q458" s="6" t="n">
        <v>7639</v>
      </c>
      <c r="R458" s="6" t="n">
        <v>7865</v>
      </c>
      <c r="S458" s="6" t="n">
        <v>4335</v>
      </c>
      <c r="T458" s="6" t="n">
        <v>5491</v>
      </c>
      <c r="U458" s="6" t="n">
        <v>12481</v>
      </c>
      <c r="V458" s="6" t="n">
        <v>12594</v>
      </c>
    </row>
    <row r="459" customFormat="false" ht="15" hidden="false" customHeight="false" outlineLevel="0" collapsed="false">
      <c r="A459" s="5" t="s">
        <v>79</v>
      </c>
      <c r="B459" s="6" t="s">
        <v>33</v>
      </c>
      <c r="C459" s="5" t="s">
        <v>62</v>
      </c>
      <c r="D459" s="5" t="s">
        <v>61</v>
      </c>
      <c r="E459" s="6" t="n">
        <v>438952</v>
      </c>
      <c r="F459" s="6" t="n">
        <v>431028</v>
      </c>
      <c r="G459" s="6" t="n">
        <v>246708</v>
      </c>
      <c r="H459" s="6" t="n">
        <v>236220</v>
      </c>
      <c r="I459" s="6" t="n">
        <v>62541</v>
      </c>
      <c r="J459" s="6" t="n">
        <v>64030</v>
      </c>
      <c r="K459" s="6" t="n">
        <v>13183</v>
      </c>
      <c r="L459" s="6" t="n">
        <v>13222</v>
      </c>
      <c r="M459" s="6" t="n">
        <v>3582</v>
      </c>
      <c r="N459" s="6" t="n">
        <v>3892</v>
      </c>
      <c r="O459" s="6" t="n">
        <v>10415</v>
      </c>
      <c r="P459" s="6" t="n">
        <v>10095</v>
      </c>
      <c r="Q459" s="6" t="n">
        <v>7885</v>
      </c>
      <c r="R459" s="6" t="n">
        <v>8117</v>
      </c>
      <c r="S459" s="6" t="n">
        <v>3111</v>
      </c>
      <c r="T459" s="6" t="n">
        <v>3393</v>
      </c>
      <c r="U459" s="6" t="n">
        <v>11609</v>
      </c>
      <c r="V459" s="6" t="n">
        <v>11563</v>
      </c>
    </row>
    <row r="460" customFormat="false" ht="15" hidden="false" customHeight="false" outlineLevel="0" collapsed="false">
      <c r="A460" s="5" t="s">
        <v>79</v>
      </c>
      <c r="B460" s="6" t="s">
        <v>33</v>
      </c>
      <c r="C460" s="5" t="s">
        <v>63</v>
      </c>
      <c r="D460" s="5" t="s">
        <v>61</v>
      </c>
      <c r="E460" s="6" t="n">
        <v>415421</v>
      </c>
      <c r="F460" s="6" t="n">
        <v>436397</v>
      </c>
      <c r="G460" s="6" t="n">
        <v>225910</v>
      </c>
      <c r="H460" s="6" t="n">
        <v>248421</v>
      </c>
      <c r="I460" s="6" t="n">
        <v>68070</v>
      </c>
      <c r="J460" s="6" t="n">
        <v>67412</v>
      </c>
      <c r="K460" s="6" t="n">
        <v>13374</v>
      </c>
      <c r="L460" s="6" t="n">
        <v>11447</v>
      </c>
      <c r="M460" s="6" t="n">
        <v>4940</v>
      </c>
      <c r="N460" s="6" t="n">
        <v>5277</v>
      </c>
      <c r="O460" s="6" t="n">
        <v>10852</v>
      </c>
      <c r="P460" s="6" t="n">
        <v>10938</v>
      </c>
      <c r="Q460" s="6" t="n">
        <v>6710</v>
      </c>
      <c r="R460" s="6" t="n">
        <v>6767</v>
      </c>
      <c r="S460" s="6" t="n">
        <v>4272</v>
      </c>
      <c r="T460" s="6" t="n">
        <v>5443</v>
      </c>
      <c r="U460" s="6" t="n">
        <v>8824</v>
      </c>
      <c r="V460" s="6" t="n">
        <v>8958</v>
      </c>
    </row>
    <row r="461" customFormat="false" ht="15" hidden="false" customHeight="false" outlineLevel="0" collapsed="false">
      <c r="A461" s="5" t="s">
        <v>79</v>
      </c>
      <c r="B461" s="6" t="s">
        <v>33</v>
      </c>
      <c r="C461" s="5" t="s">
        <v>64</v>
      </c>
      <c r="D461" s="5" t="s">
        <v>61</v>
      </c>
      <c r="E461" s="6" t="n">
        <v>470192</v>
      </c>
      <c r="F461" s="6" t="n">
        <v>448780</v>
      </c>
      <c r="G461" s="6" t="n">
        <v>259000</v>
      </c>
      <c r="H461" s="6" t="n">
        <v>251674</v>
      </c>
      <c r="I461" s="6" t="n">
        <v>68365</v>
      </c>
      <c r="J461" s="6" t="n">
        <v>70486</v>
      </c>
      <c r="K461" s="6" t="n">
        <v>15050</v>
      </c>
      <c r="L461" s="6" t="n">
        <v>13348</v>
      </c>
      <c r="M461" s="6" t="n">
        <v>4186</v>
      </c>
      <c r="N461" s="6" t="n">
        <v>3780</v>
      </c>
      <c r="O461" s="6" t="n">
        <v>9221</v>
      </c>
      <c r="P461" s="6" t="n">
        <v>9417</v>
      </c>
      <c r="Q461" s="6" t="n">
        <v>8845</v>
      </c>
      <c r="R461" s="6" t="n">
        <v>8434</v>
      </c>
      <c r="S461" s="6" t="n">
        <v>5586</v>
      </c>
      <c r="T461" s="6" t="n">
        <v>6165</v>
      </c>
      <c r="U461" s="6" t="n">
        <v>11113</v>
      </c>
      <c r="V461" s="6" t="n">
        <v>11143</v>
      </c>
    </row>
    <row r="462" customFormat="false" ht="15" hidden="false" customHeight="false" outlineLevel="0" collapsed="false">
      <c r="A462" s="5" t="s">
        <v>79</v>
      </c>
      <c r="B462" s="6" t="s">
        <v>33</v>
      </c>
      <c r="C462" s="5" t="s">
        <v>65</v>
      </c>
      <c r="D462" s="5" t="s">
        <v>61</v>
      </c>
      <c r="E462" s="6" t="n">
        <v>475812</v>
      </c>
      <c r="F462" s="6" t="n">
        <v>451680</v>
      </c>
      <c r="G462" s="6" t="n">
        <v>256941</v>
      </c>
      <c r="H462" s="6" t="n">
        <v>241665</v>
      </c>
      <c r="I462" s="6" t="n">
        <v>80120</v>
      </c>
      <c r="J462" s="6" t="n">
        <v>82294</v>
      </c>
      <c r="K462" s="6" t="n">
        <v>15103</v>
      </c>
      <c r="L462" s="6" t="n">
        <v>15824</v>
      </c>
      <c r="M462" s="6" t="n">
        <v>5288</v>
      </c>
      <c r="N462" s="6" t="n">
        <v>5756</v>
      </c>
      <c r="O462" s="6" t="n">
        <v>11872</v>
      </c>
      <c r="P462" s="6" t="n">
        <v>12039</v>
      </c>
      <c r="Q462" s="6" t="n">
        <v>9463</v>
      </c>
      <c r="R462" s="6" t="n">
        <v>9323</v>
      </c>
      <c r="S462" s="6" t="n">
        <v>4391</v>
      </c>
      <c r="T462" s="6" t="n">
        <v>4066</v>
      </c>
      <c r="U462" s="6" t="n">
        <v>9987</v>
      </c>
      <c r="V462" s="6" t="n">
        <v>10179</v>
      </c>
    </row>
    <row r="463" customFormat="false" ht="15" hidden="false" customHeight="false" outlineLevel="0" collapsed="false">
      <c r="A463" s="5" t="s">
        <v>79</v>
      </c>
      <c r="B463" s="6" t="s">
        <v>33</v>
      </c>
      <c r="C463" s="5" t="s">
        <v>66</v>
      </c>
      <c r="D463" s="5" t="s">
        <v>61</v>
      </c>
      <c r="E463" s="6" t="n">
        <v>471099</v>
      </c>
      <c r="F463" s="6" t="n">
        <v>489419</v>
      </c>
      <c r="G463" s="6" t="n">
        <v>262865</v>
      </c>
      <c r="H463" s="6" t="n">
        <v>283674</v>
      </c>
      <c r="I463" s="6" t="n">
        <v>79485</v>
      </c>
      <c r="J463" s="6" t="n">
        <v>82365</v>
      </c>
      <c r="K463" s="6" t="n">
        <v>10949</v>
      </c>
      <c r="L463" s="6" t="n">
        <v>10486</v>
      </c>
      <c r="M463" s="6" t="n">
        <v>4193</v>
      </c>
      <c r="N463" s="6" t="n">
        <v>4659</v>
      </c>
      <c r="O463" s="6" t="n">
        <v>8830</v>
      </c>
      <c r="P463" s="6" t="n">
        <v>8529</v>
      </c>
      <c r="Q463" s="6" t="n">
        <v>7092</v>
      </c>
      <c r="R463" s="6" t="n">
        <v>7378</v>
      </c>
      <c r="S463" s="6" t="n">
        <v>3957</v>
      </c>
      <c r="T463" s="6" t="n">
        <v>3363</v>
      </c>
      <c r="U463" s="6" t="n">
        <v>10619</v>
      </c>
      <c r="V463" s="6" t="n">
        <v>10571</v>
      </c>
    </row>
    <row r="464" customFormat="false" ht="15" hidden="false" customHeight="false" outlineLevel="0" collapsed="false">
      <c r="A464" s="5" t="s">
        <v>79</v>
      </c>
      <c r="B464" s="6" t="s">
        <v>33</v>
      </c>
      <c r="C464" s="5" t="s">
        <v>67</v>
      </c>
      <c r="D464" s="5" t="s">
        <v>61</v>
      </c>
      <c r="E464" s="6" t="n">
        <v>461049</v>
      </c>
      <c r="F464" s="6" t="n">
        <v>459071</v>
      </c>
      <c r="G464" s="6" t="n">
        <v>250918</v>
      </c>
      <c r="H464" s="6" t="n">
        <v>257478</v>
      </c>
      <c r="I464" s="6" t="n">
        <v>78314</v>
      </c>
      <c r="J464" s="6" t="n">
        <v>81967</v>
      </c>
      <c r="K464" s="6" t="n">
        <v>10553</v>
      </c>
      <c r="L464" s="6" t="n">
        <v>10148</v>
      </c>
      <c r="M464" s="6" t="n">
        <v>5810</v>
      </c>
      <c r="N464" s="6" t="n">
        <v>7032</v>
      </c>
      <c r="O464" s="6" t="n">
        <v>11088</v>
      </c>
      <c r="P464" s="6" t="n">
        <v>11039</v>
      </c>
      <c r="Q464" s="6" t="n">
        <v>6099</v>
      </c>
      <c r="R464" s="6" t="n">
        <v>6399</v>
      </c>
      <c r="S464" s="6" t="n">
        <v>3966</v>
      </c>
      <c r="T464" s="6" t="n">
        <v>3234</v>
      </c>
      <c r="U464" s="6" t="n">
        <v>12004</v>
      </c>
      <c r="V464" s="6" t="n">
        <v>11700</v>
      </c>
    </row>
    <row r="465" customFormat="false" ht="15" hidden="false" customHeight="false" outlineLevel="0" collapsed="false">
      <c r="A465" s="5" t="s">
        <v>79</v>
      </c>
      <c r="B465" s="6" t="s">
        <v>33</v>
      </c>
      <c r="C465" s="5" t="s">
        <v>68</v>
      </c>
      <c r="D465" s="5" t="s">
        <v>61</v>
      </c>
      <c r="E465" s="6" t="n">
        <v>435140</v>
      </c>
      <c r="F465" s="6" t="n">
        <v>456505</v>
      </c>
      <c r="G465" s="6" t="n">
        <v>249293</v>
      </c>
      <c r="H465" s="6" t="n">
        <v>253908</v>
      </c>
      <c r="I465" s="6" t="n">
        <v>69277</v>
      </c>
      <c r="J465" s="6" t="n">
        <v>69964</v>
      </c>
      <c r="K465" s="6" t="n">
        <v>10880</v>
      </c>
      <c r="L465" s="6" t="n">
        <v>10140</v>
      </c>
      <c r="M465" s="6" t="n">
        <v>6128</v>
      </c>
      <c r="N465" s="6" t="n">
        <v>5594</v>
      </c>
      <c r="O465" s="6" t="n">
        <v>7875</v>
      </c>
      <c r="P465" s="6" t="n">
        <v>7780</v>
      </c>
      <c r="Q465" s="6" t="n">
        <v>8594</v>
      </c>
      <c r="R465" s="6" t="n">
        <v>8490</v>
      </c>
      <c r="S465" s="6" t="n">
        <v>2885</v>
      </c>
      <c r="T465" s="6" t="n">
        <v>3910</v>
      </c>
      <c r="U465" s="6" t="n">
        <v>9467</v>
      </c>
      <c r="V465" s="6" t="n">
        <v>9597</v>
      </c>
    </row>
    <row r="466" customFormat="false" ht="15" hidden="false" customHeight="false" outlineLevel="0" collapsed="false">
      <c r="A466" s="5" t="s">
        <v>79</v>
      </c>
      <c r="B466" s="6" t="s">
        <v>33</v>
      </c>
      <c r="C466" s="5" t="s">
        <v>69</v>
      </c>
      <c r="D466" s="5" t="s">
        <v>61</v>
      </c>
      <c r="E466" s="6" t="n">
        <v>515164</v>
      </c>
      <c r="F466" s="6" t="n">
        <v>496036</v>
      </c>
      <c r="G466" s="6" t="n">
        <v>293323</v>
      </c>
      <c r="H466" s="6" t="n">
        <v>285630</v>
      </c>
      <c r="I466" s="6" t="n">
        <v>82948</v>
      </c>
      <c r="J466" s="6" t="n">
        <v>88356</v>
      </c>
      <c r="K466" s="6" t="n">
        <v>14565</v>
      </c>
      <c r="L466" s="6" t="n">
        <v>15035</v>
      </c>
      <c r="M466" s="6" t="n">
        <v>7354</v>
      </c>
      <c r="N466" s="6" t="n">
        <v>6511</v>
      </c>
      <c r="O466" s="6" t="n">
        <v>14149</v>
      </c>
      <c r="P466" s="6" t="n">
        <v>14009</v>
      </c>
      <c r="Q466" s="6" t="n">
        <v>7605</v>
      </c>
      <c r="R466" s="6" t="n">
        <v>7789</v>
      </c>
      <c r="S466" s="6" t="n">
        <v>6083</v>
      </c>
      <c r="T466" s="6" t="n">
        <v>6807</v>
      </c>
      <c r="U466" s="6" t="n">
        <v>13367</v>
      </c>
      <c r="V466" s="6" t="n">
        <v>13647</v>
      </c>
    </row>
    <row r="467" customFormat="false" ht="15" hidden="false" customHeight="false" outlineLevel="0" collapsed="false">
      <c r="A467" s="5" t="s">
        <v>79</v>
      </c>
      <c r="B467" s="6" t="s">
        <v>33</v>
      </c>
      <c r="C467" s="5" t="s">
        <v>70</v>
      </c>
      <c r="D467" s="5" t="s">
        <v>61</v>
      </c>
      <c r="E467" s="6" t="n">
        <v>440643</v>
      </c>
      <c r="F467" s="6" t="n">
        <v>461257</v>
      </c>
      <c r="G467" s="6" t="n">
        <v>238198</v>
      </c>
      <c r="H467" s="6" t="n">
        <v>251961</v>
      </c>
      <c r="I467" s="6" t="n">
        <v>63746</v>
      </c>
      <c r="J467" s="6" t="n">
        <v>62720</v>
      </c>
      <c r="K467" s="6" t="n">
        <v>11317</v>
      </c>
      <c r="L467" s="6" t="n">
        <v>12116</v>
      </c>
      <c r="M467" s="6" t="n">
        <v>3688</v>
      </c>
      <c r="N467" s="6" t="n">
        <v>4288</v>
      </c>
      <c r="O467" s="6" t="n">
        <v>12226</v>
      </c>
      <c r="P467" s="6" t="n">
        <v>12805</v>
      </c>
      <c r="Q467" s="6" t="n">
        <v>6166</v>
      </c>
      <c r="R467" s="6" t="n">
        <v>6233</v>
      </c>
      <c r="S467" s="6" t="n">
        <v>4513</v>
      </c>
      <c r="T467" s="6" t="n">
        <v>4106</v>
      </c>
      <c r="U467" s="6" t="n">
        <v>13159</v>
      </c>
      <c r="V467" s="6" t="n">
        <v>13395</v>
      </c>
    </row>
    <row r="468" customFormat="false" ht="15" hidden="false" customHeight="false" outlineLevel="0" collapsed="false">
      <c r="A468" s="5" t="s">
        <v>79</v>
      </c>
      <c r="B468" s="6" t="s">
        <v>33</v>
      </c>
      <c r="C468" s="5" t="s">
        <v>71</v>
      </c>
      <c r="D468" s="5" t="s">
        <v>61</v>
      </c>
      <c r="E468" s="6" t="n">
        <v>453185</v>
      </c>
      <c r="F468" s="6" t="n">
        <v>465713</v>
      </c>
      <c r="G468" s="6" t="n">
        <v>256351</v>
      </c>
      <c r="H468" s="6" t="n">
        <v>276051</v>
      </c>
      <c r="I468" s="6" t="n">
        <v>75429</v>
      </c>
      <c r="J468" s="6" t="n">
        <v>79920</v>
      </c>
      <c r="K468" s="6" t="n">
        <v>11138</v>
      </c>
      <c r="L468" s="6" t="n">
        <v>12334</v>
      </c>
      <c r="M468" s="6" t="n">
        <v>6631</v>
      </c>
      <c r="N468" s="6" t="n">
        <v>6653</v>
      </c>
      <c r="O468" s="6" t="n">
        <v>9575</v>
      </c>
      <c r="P468" s="6" t="n">
        <v>8964</v>
      </c>
      <c r="Q468" s="6" t="n">
        <v>5726</v>
      </c>
      <c r="R468" s="6" t="n">
        <v>5858</v>
      </c>
      <c r="S468" s="6" t="n">
        <v>5288</v>
      </c>
      <c r="T468" s="6" t="n">
        <v>4754</v>
      </c>
      <c r="U468" s="6" t="n">
        <v>9324</v>
      </c>
      <c r="V468" s="6" t="n">
        <v>9460</v>
      </c>
    </row>
    <row r="469" customFormat="false" ht="15" hidden="false" customHeight="false" outlineLevel="0" collapsed="false">
      <c r="A469" s="5" t="s">
        <v>79</v>
      </c>
      <c r="B469" s="6" t="s">
        <v>33</v>
      </c>
      <c r="C469" s="5" t="s">
        <v>72</v>
      </c>
      <c r="D469" s="5" t="s">
        <v>61</v>
      </c>
      <c r="E469" s="6" t="n">
        <v>510654</v>
      </c>
      <c r="F469" s="6" t="n">
        <v>511092</v>
      </c>
      <c r="G469" s="6" t="n">
        <v>302543</v>
      </c>
      <c r="H469" s="6" t="n">
        <v>317168</v>
      </c>
      <c r="I469" s="6" t="n">
        <v>77987</v>
      </c>
      <c r="J469" s="6" t="n">
        <v>80011</v>
      </c>
      <c r="K469" s="6" t="n">
        <v>15811</v>
      </c>
      <c r="L469" s="6" t="n">
        <v>15715</v>
      </c>
      <c r="M469" s="6" t="n">
        <v>5926</v>
      </c>
      <c r="N469" s="6" t="n">
        <v>7698</v>
      </c>
      <c r="O469" s="6" t="n">
        <v>13727</v>
      </c>
      <c r="P469" s="6" t="n">
        <v>14353</v>
      </c>
      <c r="Q469" s="6" t="n">
        <v>7784</v>
      </c>
      <c r="R469" s="6" t="n">
        <v>7875</v>
      </c>
      <c r="S469" s="6" t="n">
        <v>5855</v>
      </c>
      <c r="T469" s="6" t="n">
        <v>7304</v>
      </c>
      <c r="U469" s="6" t="n">
        <v>13860</v>
      </c>
      <c r="V469" s="6" t="n">
        <v>14028</v>
      </c>
    </row>
    <row r="470" customFormat="false" ht="15" hidden="false" customHeight="false" outlineLevel="0" collapsed="false">
      <c r="A470" s="5" t="s">
        <v>79</v>
      </c>
      <c r="B470" s="6" t="s">
        <v>73</v>
      </c>
      <c r="C470" s="5" t="s">
        <v>34</v>
      </c>
      <c r="D470" s="5" t="s">
        <v>35</v>
      </c>
      <c r="E470" s="6" t="n">
        <v>237711</v>
      </c>
      <c r="F470" s="6" t="n">
        <v>225510</v>
      </c>
      <c r="G470" s="6" t="n">
        <v>140107</v>
      </c>
      <c r="H470" s="6" t="n">
        <v>138332</v>
      </c>
      <c r="I470" s="6" t="n">
        <v>37046</v>
      </c>
      <c r="J470" s="6" t="n">
        <v>38417</v>
      </c>
      <c r="K470" s="6" t="n">
        <v>6920</v>
      </c>
      <c r="L470" s="6" t="n">
        <v>7885</v>
      </c>
      <c r="M470" s="6" t="n">
        <v>3024</v>
      </c>
      <c r="N470" s="6" t="n">
        <v>3753</v>
      </c>
      <c r="O470" s="6" t="n">
        <v>5523</v>
      </c>
      <c r="P470" s="6" t="n">
        <v>5305</v>
      </c>
      <c r="Q470" s="6" t="n">
        <v>2995</v>
      </c>
      <c r="R470" s="6" t="n">
        <v>3097</v>
      </c>
      <c r="S470" s="6" t="n">
        <v>2159</v>
      </c>
      <c r="T470" s="6" t="n">
        <v>2961</v>
      </c>
      <c r="U470" s="6" t="n">
        <v>5759</v>
      </c>
      <c r="V470" s="6" t="n">
        <v>5717</v>
      </c>
    </row>
    <row r="471" customFormat="false" ht="15" hidden="false" customHeight="false" outlineLevel="0" collapsed="false">
      <c r="A471" s="5" t="s">
        <v>79</v>
      </c>
      <c r="B471" s="6" t="s">
        <v>73</v>
      </c>
      <c r="C471" s="5" t="s">
        <v>36</v>
      </c>
      <c r="D471" s="5" t="s">
        <v>35</v>
      </c>
      <c r="E471" s="6" t="n">
        <v>216093</v>
      </c>
      <c r="F471" s="6" t="n">
        <v>226610</v>
      </c>
      <c r="G471" s="6" t="n">
        <v>128541</v>
      </c>
      <c r="H471" s="6" t="n">
        <v>133095</v>
      </c>
      <c r="I471" s="6" t="n">
        <v>33748</v>
      </c>
      <c r="J471" s="6" t="n">
        <v>35581</v>
      </c>
      <c r="K471" s="6" t="n">
        <v>4704</v>
      </c>
      <c r="L471" s="6" t="n">
        <v>4421</v>
      </c>
      <c r="M471" s="6" t="n">
        <v>2173</v>
      </c>
      <c r="N471" s="6" t="n">
        <v>1970</v>
      </c>
      <c r="O471" s="6" t="n">
        <v>5484</v>
      </c>
      <c r="P471" s="6" t="n">
        <v>5607</v>
      </c>
      <c r="Q471" s="6" t="n">
        <v>2969</v>
      </c>
      <c r="R471" s="6" t="n">
        <v>2911</v>
      </c>
      <c r="S471" s="6" t="n">
        <v>2506</v>
      </c>
      <c r="T471" s="6" t="n">
        <v>2972</v>
      </c>
      <c r="U471" s="6" t="n">
        <v>6106</v>
      </c>
      <c r="V471" s="6" t="n">
        <v>5936</v>
      </c>
    </row>
    <row r="472" customFormat="false" ht="15" hidden="false" customHeight="false" outlineLevel="0" collapsed="false">
      <c r="A472" s="5" t="s">
        <v>79</v>
      </c>
      <c r="B472" s="6" t="s">
        <v>73</v>
      </c>
      <c r="C472" s="5" t="s">
        <v>37</v>
      </c>
      <c r="D472" s="5" t="s">
        <v>35</v>
      </c>
      <c r="E472" s="6" t="n">
        <v>231766</v>
      </c>
      <c r="F472" s="6" t="n">
        <v>228537</v>
      </c>
      <c r="G472" s="6" t="n">
        <v>131943</v>
      </c>
      <c r="H472" s="6" t="n">
        <v>129599</v>
      </c>
      <c r="I472" s="6" t="n">
        <v>36727</v>
      </c>
      <c r="J472" s="6" t="n">
        <v>36953</v>
      </c>
      <c r="K472" s="6" t="n">
        <v>5866</v>
      </c>
      <c r="L472" s="6" t="n">
        <v>4995</v>
      </c>
      <c r="M472" s="6" t="n">
        <v>3298</v>
      </c>
      <c r="N472" s="6" t="n">
        <v>2945</v>
      </c>
      <c r="O472" s="6" t="n">
        <v>4993</v>
      </c>
      <c r="P472" s="6" t="n">
        <v>4685</v>
      </c>
      <c r="Q472" s="6" t="n">
        <v>3694</v>
      </c>
      <c r="R472" s="6" t="n">
        <v>3541</v>
      </c>
      <c r="S472" s="6" t="n">
        <v>2106</v>
      </c>
      <c r="T472" s="6" t="n">
        <v>1879</v>
      </c>
      <c r="U472" s="6" t="n">
        <v>4922</v>
      </c>
      <c r="V472" s="6" t="n">
        <v>4918</v>
      </c>
    </row>
    <row r="473" customFormat="false" ht="15" hidden="false" customHeight="false" outlineLevel="0" collapsed="false">
      <c r="A473" s="5" t="s">
        <v>79</v>
      </c>
      <c r="B473" s="6" t="s">
        <v>73</v>
      </c>
      <c r="C473" s="5" t="s">
        <v>38</v>
      </c>
      <c r="D473" s="5" t="s">
        <v>35</v>
      </c>
      <c r="E473" s="6" t="n">
        <v>231921</v>
      </c>
      <c r="F473" s="6" t="n">
        <v>227642</v>
      </c>
      <c r="G473" s="6" t="n">
        <v>128384</v>
      </c>
      <c r="H473" s="6" t="n">
        <v>125962</v>
      </c>
      <c r="I473" s="6" t="n">
        <v>34551</v>
      </c>
      <c r="J473" s="6" t="n">
        <v>35142</v>
      </c>
      <c r="K473" s="6" t="n">
        <v>5272</v>
      </c>
      <c r="L473" s="6" t="n">
        <v>5765</v>
      </c>
      <c r="M473" s="6" t="n">
        <v>2032</v>
      </c>
      <c r="N473" s="6" t="n">
        <v>2071</v>
      </c>
      <c r="O473" s="6" t="n">
        <v>6121</v>
      </c>
      <c r="P473" s="6" t="n">
        <v>5810</v>
      </c>
      <c r="Q473" s="6" t="n">
        <v>3439</v>
      </c>
      <c r="R473" s="6" t="n">
        <v>3416</v>
      </c>
      <c r="S473" s="6" t="n">
        <v>1891</v>
      </c>
      <c r="T473" s="6" t="n">
        <v>2500</v>
      </c>
      <c r="U473" s="6" t="n">
        <v>5099</v>
      </c>
      <c r="V473" s="6" t="n">
        <v>5004</v>
      </c>
    </row>
    <row r="474" customFormat="false" ht="15" hidden="false" customHeight="false" outlineLevel="0" collapsed="false">
      <c r="A474" s="5" t="s">
        <v>79</v>
      </c>
      <c r="B474" s="6" t="s">
        <v>73</v>
      </c>
      <c r="C474" s="5" t="s">
        <v>39</v>
      </c>
      <c r="D474" s="5" t="s">
        <v>35</v>
      </c>
      <c r="E474" s="6" t="n">
        <v>222834</v>
      </c>
      <c r="F474" s="6" t="n">
        <v>225690</v>
      </c>
      <c r="G474" s="6" t="n">
        <v>130277</v>
      </c>
      <c r="H474" s="6" t="n">
        <v>137600</v>
      </c>
      <c r="I474" s="6" t="n">
        <v>32268</v>
      </c>
      <c r="J474" s="6" t="n">
        <v>32006</v>
      </c>
      <c r="K474" s="6" t="n">
        <v>6059</v>
      </c>
      <c r="L474" s="6" t="n">
        <v>6359</v>
      </c>
      <c r="M474" s="6" t="n">
        <v>2197</v>
      </c>
      <c r="N474" s="6" t="n">
        <v>2220</v>
      </c>
      <c r="O474" s="6" t="n">
        <v>5237</v>
      </c>
      <c r="P474" s="6" t="n">
        <v>5572</v>
      </c>
      <c r="Q474" s="6" t="n">
        <v>3947</v>
      </c>
      <c r="R474" s="6" t="n">
        <v>3878</v>
      </c>
      <c r="S474" s="6" t="n">
        <v>2359</v>
      </c>
      <c r="T474" s="6" t="n">
        <v>3135</v>
      </c>
      <c r="U474" s="6" t="n">
        <v>5575</v>
      </c>
      <c r="V474" s="6" t="n">
        <v>5717</v>
      </c>
    </row>
    <row r="475" customFormat="false" ht="15" hidden="false" customHeight="false" outlineLevel="0" collapsed="false">
      <c r="A475" s="5" t="s">
        <v>79</v>
      </c>
      <c r="B475" s="6" t="s">
        <v>73</v>
      </c>
      <c r="C475" s="5" t="s">
        <v>40</v>
      </c>
      <c r="D475" s="5" t="s">
        <v>35</v>
      </c>
      <c r="E475" s="6" t="n">
        <v>240664</v>
      </c>
      <c r="F475" s="6" t="n">
        <v>243917</v>
      </c>
      <c r="G475" s="6" t="n">
        <v>131543</v>
      </c>
      <c r="H475" s="6" t="n">
        <v>129758</v>
      </c>
      <c r="I475" s="6" t="n">
        <v>33846</v>
      </c>
      <c r="J475" s="6" t="n">
        <v>33410</v>
      </c>
      <c r="K475" s="6" t="n">
        <v>6618</v>
      </c>
      <c r="L475" s="6" t="n">
        <v>7149</v>
      </c>
      <c r="M475" s="6" t="n">
        <v>2324</v>
      </c>
      <c r="N475" s="6" t="n">
        <v>2647</v>
      </c>
      <c r="O475" s="6" t="n">
        <v>5155</v>
      </c>
      <c r="P475" s="6" t="n">
        <v>5649</v>
      </c>
      <c r="Q475" s="6" t="n">
        <v>4308</v>
      </c>
      <c r="R475" s="6" t="n">
        <v>4280</v>
      </c>
      <c r="S475" s="6" t="n">
        <v>1862</v>
      </c>
      <c r="T475" s="6" t="n">
        <v>2032</v>
      </c>
      <c r="U475" s="6" t="n">
        <v>6644</v>
      </c>
      <c r="V475" s="6" t="n">
        <v>6543</v>
      </c>
    </row>
    <row r="476" customFormat="false" ht="15" hidden="false" customHeight="false" outlineLevel="0" collapsed="false">
      <c r="A476" s="5" t="s">
        <v>79</v>
      </c>
      <c r="B476" s="6" t="s">
        <v>73</v>
      </c>
      <c r="C476" s="5" t="s">
        <v>41</v>
      </c>
      <c r="D476" s="5" t="s">
        <v>35</v>
      </c>
      <c r="E476" s="6" t="n">
        <v>230450</v>
      </c>
      <c r="F476" s="6" t="n">
        <v>230140</v>
      </c>
      <c r="G476" s="6" t="n">
        <v>127892</v>
      </c>
      <c r="H476" s="6" t="n">
        <v>131940</v>
      </c>
      <c r="I476" s="6" t="n">
        <v>38237</v>
      </c>
      <c r="J476" s="6" t="n">
        <v>41272</v>
      </c>
      <c r="K476" s="6" t="n">
        <v>5464</v>
      </c>
      <c r="L476" s="6" t="n">
        <v>5990</v>
      </c>
      <c r="M476" s="6" t="n">
        <v>2164</v>
      </c>
      <c r="N476" s="6" t="n">
        <v>2496</v>
      </c>
      <c r="O476" s="6" t="n">
        <v>6015</v>
      </c>
      <c r="P476" s="6" t="n">
        <v>6293</v>
      </c>
      <c r="Q476" s="6" t="n">
        <v>3692</v>
      </c>
      <c r="R476" s="6" t="n">
        <v>3574</v>
      </c>
      <c r="S476" s="6" t="n">
        <v>2755</v>
      </c>
      <c r="T476" s="6" t="n">
        <v>3181</v>
      </c>
      <c r="U476" s="6" t="n">
        <v>6071</v>
      </c>
      <c r="V476" s="6" t="n">
        <v>5972</v>
      </c>
    </row>
    <row r="477" customFormat="false" ht="15" hidden="false" customHeight="false" outlineLevel="0" collapsed="false">
      <c r="A477" s="5" t="s">
        <v>79</v>
      </c>
      <c r="B477" s="6" t="s">
        <v>73</v>
      </c>
      <c r="C477" s="5" t="s">
        <v>42</v>
      </c>
      <c r="D477" s="5" t="s">
        <v>35</v>
      </c>
      <c r="E477" s="6" t="n">
        <v>216335</v>
      </c>
      <c r="F477" s="6" t="n">
        <v>229022</v>
      </c>
      <c r="G477" s="6" t="n">
        <v>129676</v>
      </c>
      <c r="H477" s="6" t="n">
        <v>143340</v>
      </c>
      <c r="I477" s="6" t="n">
        <v>33054</v>
      </c>
      <c r="J477" s="6" t="n">
        <v>34304</v>
      </c>
      <c r="K477" s="6" t="n">
        <v>4622</v>
      </c>
      <c r="L477" s="6" t="n">
        <v>3999</v>
      </c>
      <c r="M477" s="6" t="n">
        <v>2347</v>
      </c>
      <c r="N477" s="6" t="n">
        <v>2237</v>
      </c>
      <c r="O477" s="6" t="n">
        <v>5264</v>
      </c>
      <c r="P477" s="6" t="n">
        <v>5062</v>
      </c>
      <c r="Q477" s="6" t="n">
        <v>3178</v>
      </c>
      <c r="R477" s="6" t="n">
        <v>3171</v>
      </c>
      <c r="S477" s="6" t="n">
        <v>1960</v>
      </c>
      <c r="T477" s="6" t="n">
        <v>2325</v>
      </c>
      <c r="U477" s="6" t="n">
        <v>4985</v>
      </c>
      <c r="V477" s="6" t="n">
        <v>4916</v>
      </c>
    </row>
    <row r="478" customFormat="false" ht="15" hidden="false" customHeight="false" outlineLevel="0" collapsed="false">
      <c r="A478" s="5" t="s">
        <v>79</v>
      </c>
      <c r="B478" s="6" t="s">
        <v>73</v>
      </c>
      <c r="C478" s="5" t="s">
        <v>43</v>
      </c>
      <c r="D478" s="5" t="s">
        <v>35</v>
      </c>
      <c r="E478" s="6" t="n">
        <v>237698</v>
      </c>
      <c r="F478" s="6" t="n">
        <v>242025</v>
      </c>
      <c r="G478" s="6" t="n">
        <v>134319</v>
      </c>
      <c r="H478" s="6" t="n">
        <v>135795</v>
      </c>
      <c r="I478" s="6" t="n">
        <v>33617</v>
      </c>
      <c r="J478" s="6" t="n">
        <v>32760</v>
      </c>
      <c r="K478" s="6" t="n">
        <v>4940</v>
      </c>
      <c r="L478" s="6" t="n">
        <v>5303</v>
      </c>
      <c r="M478" s="6" t="n">
        <v>2254</v>
      </c>
      <c r="N478" s="6" t="n">
        <v>2335</v>
      </c>
      <c r="O478" s="6" t="n">
        <v>6438</v>
      </c>
      <c r="P478" s="6" t="n">
        <v>6040</v>
      </c>
      <c r="Q478" s="6" t="n">
        <v>3204</v>
      </c>
      <c r="R478" s="6" t="n">
        <v>3348</v>
      </c>
      <c r="S478" s="6" t="n">
        <v>1945</v>
      </c>
      <c r="T478" s="6" t="n">
        <v>1911</v>
      </c>
      <c r="U478" s="6" t="n">
        <v>4984</v>
      </c>
      <c r="V478" s="6" t="n">
        <v>4839</v>
      </c>
    </row>
    <row r="479" customFormat="false" ht="15" hidden="false" customHeight="false" outlineLevel="0" collapsed="false">
      <c r="A479" s="5" t="s">
        <v>79</v>
      </c>
      <c r="B479" s="6" t="s">
        <v>73</v>
      </c>
      <c r="C479" s="5" t="s">
        <v>44</v>
      </c>
      <c r="D479" s="5" t="s">
        <v>35</v>
      </c>
      <c r="E479" s="6" t="n">
        <v>242133</v>
      </c>
      <c r="F479" s="6" t="n">
        <v>232053</v>
      </c>
      <c r="G479" s="6" t="n">
        <v>135564</v>
      </c>
      <c r="H479" s="6" t="n">
        <v>133880</v>
      </c>
      <c r="I479" s="6" t="n">
        <v>36524</v>
      </c>
      <c r="J479" s="6" t="n">
        <v>38557</v>
      </c>
      <c r="K479" s="6" t="n">
        <v>6763</v>
      </c>
      <c r="L479" s="6" t="n">
        <v>6502</v>
      </c>
      <c r="M479" s="6" t="n">
        <v>3039</v>
      </c>
      <c r="N479" s="6" t="n">
        <v>2750</v>
      </c>
      <c r="O479" s="6" t="n">
        <v>5288</v>
      </c>
      <c r="P479" s="6" t="n">
        <v>5709</v>
      </c>
      <c r="Q479" s="6" t="n">
        <v>3158</v>
      </c>
      <c r="R479" s="6" t="n">
        <v>3235</v>
      </c>
      <c r="S479" s="6" t="n">
        <v>1628</v>
      </c>
      <c r="T479" s="6" t="n">
        <v>1875</v>
      </c>
      <c r="U479" s="6" t="n">
        <v>7051</v>
      </c>
      <c r="V479" s="6" t="n">
        <v>7116</v>
      </c>
    </row>
    <row r="480" customFormat="false" ht="15" hidden="false" customHeight="false" outlineLevel="0" collapsed="false">
      <c r="A480" s="5" t="s">
        <v>79</v>
      </c>
      <c r="B480" s="6" t="s">
        <v>73</v>
      </c>
      <c r="C480" s="5" t="s">
        <v>45</v>
      </c>
      <c r="D480" s="5" t="s">
        <v>35</v>
      </c>
      <c r="E480" s="6" t="n">
        <v>237156</v>
      </c>
      <c r="F480" s="6" t="n">
        <v>231471</v>
      </c>
      <c r="G480" s="6" t="n">
        <v>141234</v>
      </c>
      <c r="H480" s="6" t="n">
        <v>134085</v>
      </c>
      <c r="I480" s="6" t="n">
        <v>37091</v>
      </c>
      <c r="J480" s="6" t="n">
        <v>37377</v>
      </c>
      <c r="K480" s="6" t="n">
        <v>7323</v>
      </c>
      <c r="L480" s="6" t="n">
        <v>8399</v>
      </c>
      <c r="M480" s="6" t="n">
        <v>2233</v>
      </c>
      <c r="N480" s="6" t="n">
        <v>2591</v>
      </c>
      <c r="O480" s="6" t="n">
        <v>4373</v>
      </c>
      <c r="P480" s="6" t="n">
        <v>4174</v>
      </c>
      <c r="Q480" s="6" t="n">
        <v>3890</v>
      </c>
      <c r="R480" s="6" t="n">
        <v>3794</v>
      </c>
      <c r="S480" s="6" t="n">
        <v>2671</v>
      </c>
      <c r="T480" s="6" t="n">
        <v>3505</v>
      </c>
      <c r="U480" s="6" t="n">
        <v>6894</v>
      </c>
      <c r="V480" s="6" t="n">
        <v>7091</v>
      </c>
    </row>
    <row r="481" customFormat="false" ht="15" hidden="false" customHeight="false" outlineLevel="0" collapsed="false">
      <c r="A481" s="5" t="s">
        <v>79</v>
      </c>
      <c r="B481" s="6" t="s">
        <v>73</v>
      </c>
      <c r="C481" s="5" t="s">
        <v>46</v>
      </c>
      <c r="D481" s="5" t="s">
        <v>35</v>
      </c>
      <c r="E481" s="6" t="n">
        <v>249127</v>
      </c>
      <c r="F481" s="6" t="n">
        <v>250677</v>
      </c>
      <c r="G481" s="6" t="n">
        <v>145251</v>
      </c>
      <c r="H481" s="6" t="n">
        <v>152558</v>
      </c>
      <c r="I481" s="6" t="n">
        <v>35384</v>
      </c>
      <c r="J481" s="6" t="n">
        <v>35953</v>
      </c>
      <c r="K481" s="6" t="n">
        <v>8463</v>
      </c>
      <c r="L481" s="6" t="n">
        <v>8473</v>
      </c>
      <c r="M481" s="6" t="n">
        <v>2031</v>
      </c>
      <c r="N481" s="6" t="n">
        <v>2233</v>
      </c>
      <c r="O481" s="6" t="n">
        <v>6220</v>
      </c>
      <c r="P481" s="6" t="n">
        <v>5867</v>
      </c>
      <c r="Q481" s="6" t="n">
        <v>3080</v>
      </c>
      <c r="R481" s="6" t="n">
        <v>3100</v>
      </c>
      <c r="S481" s="6" t="n">
        <v>2682</v>
      </c>
      <c r="T481" s="6" t="n">
        <v>3262</v>
      </c>
      <c r="U481" s="6" t="n">
        <v>6828</v>
      </c>
      <c r="V481" s="6" t="n">
        <v>6786</v>
      </c>
    </row>
    <row r="482" customFormat="false" ht="15" hidden="false" customHeight="false" outlineLevel="0" collapsed="false">
      <c r="A482" s="5" t="s">
        <v>79</v>
      </c>
      <c r="B482" s="6" t="s">
        <v>73</v>
      </c>
      <c r="C482" s="5" t="s">
        <v>47</v>
      </c>
      <c r="D482" s="5" t="s">
        <v>48</v>
      </c>
      <c r="E482" s="6" t="n">
        <v>252360</v>
      </c>
      <c r="F482" s="6" t="n">
        <v>241624</v>
      </c>
      <c r="G482" s="6" t="n">
        <v>150985</v>
      </c>
      <c r="H482" s="6" t="n">
        <v>141729</v>
      </c>
      <c r="I482" s="6" t="n">
        <v>41014</v>
      </c>
      <c r="J482" s="6" t="n">
        <v>41517</v>
      </c>
      <c r="K482" s="6" t="n">
        <v>7997</v>
      </c>
      <c r="L482" s="6" t="n">
        <v>7759</v>
      </c>
      <c r="M482" s="6" t="n">
        <v>2498</v>
      </c>
      <c r="N482" s="6" t="n">
        <v>2228</v>
      </c>
      <c r="O482" s="6" t="n">
        <v>4946</v>
      </c>
      <c r="P482" s="6" t="n">
        <v>4744</v>
      </c>
      <c r="Q482" s="6" t="n">
        <v>4435</v>
      </c>
      <c r="R482" s="6" t="n">
        <v>4603</v>
      </c>
      <c r="S482" s="6" t="n">
        <v>2711</v>
      </c>
      <c r="T482" s="6" t="n">
        <v>2910</v>
      </c>
      <c r="U482" s="6" t="n">
        <v>6833</v>
      </c>
      <c r="V482" s="6" t="n">
        <v>6843</v>
      </c>
    </row>
    <row r="483" customFormat="false" ht="15" hidden="false" customHeight="false" outlineLevel="0" collapsed="false">
      <c r="A483" s="5" t="s">
        <v>79</v>
      </c>
      <c r="B483" s="6" t="s">
        <v>73</v>
      </c>
      <c r="C483" s="5" t="s">
        <v>49</v>
      </c>
      <c r="D483" s="5" t="s">
        <v>48</v>
      </c>
      <c r="E483" s="6" t="n">
        <v>233996</v>
      </c>
      <c r="F483" s="6" t="n">
        <v>242121</v>
      </c>
      <c r="G483" s="6" t="n">
        <v>136302</v>
      </c>
      <c r="H483" s="6" t="n">
        <v>142876</v>
      </c>
      <c r="I483" s="6" t="n">
        <v>33961</v>
      </c>
      <c r="J483" s="6" t="n">
        <v>33113</v>
      </c>
      <c r="K483" s="6" t="n">
        <v>5516</v>
      </c>
      <c r="L483" s="6" t="n">
        <v>4753</v>
      </c>
      <c r="M483" s="6" t="n">
        <v>2115</v>
      </c>
      <c r="N483" s="6" t="n">
        <v>2626</v>
      </c>
      <c r="O483" s="6" t="n">
        <v>6382</v>
      </c>
      <c r="P483" s="6" t="n">
        <v>6182</v>
      </c>
      <c r="Q483" s="6" t="n">
        <v>4288</v>
      </c>
      <c r="R483" s="6" t="n">
        <v>4349</v>
      </c>
      <c r="S483" s="6" t="n">
        <v>1754</v>
      </c>
      <c r="T483" s="6" t="n">
        <v>2270</v>
      </c>
      <c r="U483" s="6" t="n">
        <v>5931</v>
      </c>
      <c r="V483" s="6" t="n">
        <v>5754</v>
      </c>
    </row>
    <row r="484" customFormat="false" ht="15" hidden="false" customHeight="false" outlineLevel="0" collapsed="false">
      <c r="A484" s="5" t="s">
        <v>79</v>
      </c>
      <c r="B484" s="6" t="s">
        <v>73</v>
      </c>
      <c r="C484" s="5" t="s">
        <v>50</v>
      </c>
      <c r="D484" s="5" t="s">
        <v>48</v>
      </c>
      <c r="E484" s="6" t="n">
        <v>246116</v>
      </c>
      <c r="F484" s="6" t="n">
        <v>243049</v>
      </c>
      <c r="G484" s="6" t="n">
        <v>138353</v>
      </c>
      <c r="H484" s="6" t="n">
        <v>132780</v>
      </c>
      <c r="I484" s="6" t="n">
        <v>39665</v>
      </c>
      <c r="J484" s="6" t="n">
        <v>40872</v>
      </c>
      <c r="K484" s="6" t="n">
        <v>7588</v>
      </c>
      <c r="L484" s="6" t="n">
        <v>7379</v>
      </c>
      <c r="M484" s="6" t="n">
        <v>3022</v>
      </c>
      <c r="N484" s="6" t="n">
        <v>2908</v>
      </c>
      <c r="O484" s="6" t="n">
        <v>4571</v>
      </c>
      <c r="P484" s="6" t="n">
        <v>4877</v>
      </c>
      <c r="Q484" s="6" t="n">
        <v>4576</v>
      </c>
      <c r="R484" s="6" t="n">
        <v>4448</v>
      </c>
      <c r="S484" s="6" t="n">
        <v>2902</v>
      </c>
      <c r="T484" s="6" t="n">
        <v>2629</v>
      </c>
      <c r="U484" s="6" t="n">
        <v>7314</v>
      </c>
      <c r="V484" s="6" t="n">
        <v>7330</v>
      </c>
    </row>
    <row r="485" customFormat="false" ht="15" hidden="false" customHeight="false" outlineLevel="0" collapsed="false">
      <c r="A485" s="5" t="s">
        <v>79</v>
      </c>
      <c r="B485" s="6" t="s">
        <v>73</v>
      </c>
      <c r="C485" s="5" t="s">
        <v>51</v>
      </c>
      <c r="D485" s="5" t="s">
        <v>48</v>
      </c>
      <c r="E485" s="6" t="n">
        <v>258532</v>
      </c>
      <c r="F485" s="6" t="n">
        <v>250180</v>
      </c>
      <c r="G485" s="6" t="n">
        <v>151715</v>
      </c>
      <c r="H485" s="6" t="n">
        <v>143141</v>
      </c>
      <c r="I485" s="6" t="n">
        <v>41979</v>
      </c>
      <c r="J485" s="6" t="n">
        <v>42483</v>
      </c>
      <c r="K485" s="6" t="n">
        <v>7706</v>
      </c>
      <c r="L485" s="6" t="n">
        <v>8561</v>
      </c>
      <c r="M485" s="6" t="n">
        <v>3216</v>
      </c>
      <c r="N485" s="6" t="n">
        <v>3459</v>
      </c>
      <c r="O485" s="6" t="n">
        <v>6765</v>
      </c>
      <c r="P485" s="6" t="n">
        <v>6492</v>
      </c>
      <c r="Q485" s="6" t="n">
        <v>3658</v>
      </c>
      <c r="R485" s="6" t="n">
        <v>3688</v>
      </c>
      <c r="S485" s="6" t="n">
        <v>2804</v>
      </c>
      <c r="T485" s="6" t="n">
        <v>3510</v>
      </c>
      <c r="U485" s="6" t="n">
        <v>5573</v>
      </c>
      <c r="V485" s="6" t="n">
        <v>5483</v>
      </c>
    </row>
    <row r="486" customFormat="false" ht="15" hidden="false" customHeight="false" outlineLevel="0" collapsed="false">
      <c r="A486" s="5" t="s">
        <v>79</v>
      </c>
      <c r="B486" s="6" t="s">
        <v>73</v>
      </c>
      <c r="C486" s="5" t="s">
        <v>52</v>
      </c>
      <c r="D486" s="5" t="s">
        <v>48</v>
      </c>
      <c r="E486" s="6" t="n">
        <v>250949</v>
      </c>
      <c r="F486" s="6" t="n">
        <v>254968</v>
      </c>
      <c r="G486" s="6" t="n">
        <v>149096</v>
      </c>
      <c r="H486" s="6" t="n">
        <v>147579</v>
      </c>
      <c r="I486" s="6" t="n">
        <v>36499</v>
      </c>
      <c r="J486" s="6" t="n">
        <v>36147</v>
      </c>
      <c r="K486" s="6" t="n">
        <v>8265</v>
      </c>
      <c r="L486" s="6" t="n">
        <v>7494</v>
      </c>
      <c r="M486" s="6" t="n">
        <v>2869</v>
      </c>
      <c r="N486" s="6" t="n">
        <v>3342</v>
      </c>
      <c r="O486" s="6" t="n">
        <v>6142</v>
      </c>
      <c r="P486" s="6" t="n">
        <v>5674</v>
      </c>
      <c r="Q486" s="6" t="n">
        <v>3338</v>
      </c>
      <c r="R486" s="6" t="n">
        <v>3230</v>
      </c>
      <c r="S486" s="6" t="n">
        <v>2099</v>
      </c>
      <c r="T486" s="6" t="n">
        <v>2445</v>
      </c>
      <c r="U486" s="6" t="n">
        <v>5193</v>
      </c>
      <c r="V486" s="6" t="n">
        <v>5060</v>
      </c>
    </row>
    <row r="487" customFormat="false" ht="15" hidden="false" customHeight="false" outlineLevel="0" collapsed="false">
      <c r="A487" s="5" t="s">
        <v>79</v>
      </c>
      <c r="B487" s="6" t="s">
        <v>73</v>
      </c>
      <c r="C487" s="5" t="s">
        <v>53</v>
      </c>
      <c r="D487" s="5" t="s">
        <v>48</v>
      </c>
      <c r="E487" s="6" t="n">
        <v>282270</v>
      </c>
      <c r="F487" s="6" t="n">
        <v>269060</v>
      </c>
      <c r="G487" s="6" t="n">
        <v>168860</v>
      </c>
      <c r="H487" s="6" t="n">
        <v>156925</v>
      </c>
      <c r="I487" s="6" t="n">
        <v>43979</v>
      </c>
      <c r="J487" s="6" t="n">
        <v>46175</v>
      </c>
      <c r="K487" s="6" t="n">
        <v>9066</v>
      </c>
      <c r="L487" s="6" t="n">
        <v>9347</v>
      </c>
      <c r="M487" s="6" t="n">
        <v>3005</v>
      </c>
      <c r="N487" s="6" t="n">
        <v>2435</v>
      </c>
      <c r="O487" s="6" t="n">
        <v>7414</v>
      </c>
      <c r="P487" s="6" t="n">
        <v>7840</v>
      </c>
      <c r="Q487" s="6" t="n">
        <v>4843</v>
      </c>
      <c r="R487" s="6" t="n">
        <v>4622</v>
      </c>
      <c r="S487" s="6" t="n">
        <v>2114</v>
      </c>
      <c r="T487" s="6" t="n">
        <v>1797</v>
      </c>
      <c r="U487" s="6" t="n">
        <v>6048</v>
      </c>
      <c r="V487" s="6" t="n">
        <v>6094</v>
      </c>
    </row>
    <row r="488" customFormat="false" ht="15" hidden="false" customHeight="false" outlineLevel="0" collapsed="false">
      <c r="A488" s="5" t="s">
        <v>79</v>
      </c>
      <c r="B488" s="6" t="s">
        <v>73</v>
      </c>
      <c r="C488" s="5" t="s">
        <v>54</v>
      </c>
      <c r="D488" s="5" t="s">
        <v>48</v>
      </c>
      <c r="E488" s="6" t="n">
        <v>266559</v>
      </c>
      <c r="F488" s="6" t="n">
        <v>252432</v>
      </c>
      <c r="G488" s="6" t="n">
        <v>159258</v>
      </c>
      <c r="H488" s="6" t="n">
        <v>147111</v>
      </c>
      <c r="I488" s="6" t="n">
        <v>43205</v>
      </c>
      <c r="J488" s="6" t="n">
        <v>43517</v>
      </c>
      <c r="K488" s="6" t="n">
        <v>8160</v>
      </c>
      <c r="L488" s="6" t="n">
        <v>7431</v>
      </c>
      <c r="M488" s="6" t="n">
        <v>3029</v>
      </c>
      <c r="N488" s="6" t="n">
        <v>3276</v>
      </c>
      <c r="O488" s="6" t="n">
        <v>5982</v>
      </c>
      <c r="P488" s="6" t="n">
        <v>5679</v>
      </c>
      <c r="Q488" s="6" t="n">
        <v>3906</v>
      </c>
      <c r="R488" s="6" t="n">
        <v>3771</v>
      </c>
      <c r="S488" s="6" t="n">
        <v>1689</v>
      </c>
      <c r="T488" s="6" t="n">
        <v>2053</v>
      </c>
      <c r="U488" s="6" t="n">
        <v>7004</v>
      </c>
      <c r="V488" s="6" t="n">
        <v>6846</v>
      </c>
    </row>
    <row r="489" customFormat="false" ht="15" hidden="false" customHeight="false" outlineLevel="0" collapsed="false">
      <c r="A489" s="5" t="s">
        <v>79</v>
      </c>
      <c r="B489" s="6" t="s">
        <v>73</v>
      </c>
      <c r="C489" s="5" t="s">
        <v>55</v>
      </c>
      <c r="D489" s="5" t="s">
        <v>48</v>
      </c>
      <c r="E489" s="6" t="n">
        <v>245959</v>
      </c>
      <c r="F489" s="6" t="n">
        <v>258269</v>
      </c>
      <c r="G489" s="6" t="n">
        <v>137197</v>
      </c>
      <c r="H489" s="6" t="n">
        <v>145504</v>
      </c>
      <c r="I489" s="6" t="n">
        <v>40606</v>
      </c>
      <c r="J489" s="6" t="n">
        <v>40021</v>
      </c>
      <c r="K489" s="6" t="n">
        <v>8285</v>
      </c>
      <c r="L489" s="6" t="n">
        <v>7102</v>
      </c>
      <c r="M489" s="6" t="n">
        <v>2703</v>
      </c>
      <c r="N489" s="6" t="n">
        <v>2362</v>
      </c>
      <c r="O489" s="6" t="n">
        <v>6039</v>
      </c>
      <c r="P489" s="6" t="n">
        <v>5801</v>
      </c>
      <c r="Q489" s="6" t="n">
        <v>4681</v>
      </c>
      <c r="R489" s="6" t="n">
        <v>4627</v>
      </c>
      <c r="S489" s="6" t="n">
        <v>2781</v>
      </c>
      <c r="T489" s="6" t="n">
        <v>3598</v>
      </c>
      <c r="U489" s="6" t="n">
        <v>5196</v>
      </c>
      <c r="V489" s="6" t="n">
        <v>5093</v>
      </c>
    </row>
    <row r="490" customFormat="false" ht="15" hidden="false" customHeight="false" outlineLevel="0" collapsed="false">
      <c r="A490" s="5" t="s">
        <v>79</v>
      </c>
      <c r="B490" s="6" t="s">
        <v>73</v>
      </c>
      <c r="C490" s="5" t="s">
        <v>56</v>
      </c>
      <c r="D490" s="5" t="s">
        <v>48</v>
      </c>
      <c r="E490" s="6" t="n">
        <v>258101</v>
      </c>
      <c r="F490" s="6" t="n">
        <v>271055</v>
      </c>
      <c r="G490" s="6" t="n">
        <v>154177</v>
      </c>
      <c r="H490" s="6" t="n">
        <v>161336</v>
      </c>
      <c r="I490" s="6" t="n">
        <v>40901</v>
      </c>
      <c r="J490" s="6" t="n">
        <v>40206</v>
      </c>
      <c r="K490" s="6" t="n">
        <v>8737</v>
      </c>
      <c r="L490" s="6" t="n">
        <v>9838</v>
      </c>
      <c r="M490" s="6" t="n">
        <v>3683</v>
      </c>
      <c r="N490" s="6" t="n">
        <v>4060</v>
      </c>
      <c r="O490" s="6" t="n">
        <v>5105</v>
      </c>
      <c r="P490" s="6" t="n">
        <v>5184</v>
      </c>
      <c r="Q490" s="6" t="n">
        <v>4335</v>
      </c>
      <c r="R490" s="6" t="n">
        <v>4413</v>
      </c>
      <c r="S490" s="6" t="n">
        <v>1781</v>
      </c>
      <c r="T490" s="6" t="n">
        <v>2138</v>
      </c>
      <c r="U490" s="6" t="n">
        <v>5940</v>
      </c>
      <c r="V490" s="6" t="n">
        <v>6053</v>
      </c>
    </row>
    <row r="491" customFormat="false" ht="15" hidden="false" customHeight="false" outlineLevel="0" collapsed="false">
      <c r="A491" s="5" t="s">
        <v>79</v>
      </c>
      <c r="B491" s="6" t="s">
        <v>73</v>
      </c>
      <c r="C491" s="5" t="s">
        <v>57</v>
      </c>
      <c r="D491" s="5" t="s">
        <v>48</v>
      </c>
      <c r="E491" s="6" t="n">
        <v>245526</v>
      </c>
      <c r="F491" s="6" t="n">
        <v>257778</v>
      </c>
      <c r="G491" s="6" t="n">
        <v>146082</v>
      </c>
      <c r="H491" s="6" t="n">
        <v>156745</v>
      </c>
      <c r="I491" s="6" t="n">
        <v>41245</v>
      </c>
      <c r="J491" s="6" t="n">
        <v>43686</v>
      </c>
      <c r="K491" s="6" t="n">
        <v>7530</v>
      </c>
      <c r="L491" s="6" t="n">
        <v>6573</v>
      </c>
      <c r="M491" s="6" t="n">
        <v>1968</v>
      </c>
      <c r="N491" s="6" t="n">
        <v>2493</v>
      </c>
      <c r="O491" s="6" t="n">
        <v>4784</v>
      </c>
      <c r="P491" s="6" t="n">
        <v>4966</v>
      </c>
      <c r="Q491" s="6" t="n">
        <v>3575</v>
      </c>
      <c r="R491" s="6" t="n">
        <v>3536</v>
      </c>
      <c r="S491" s="6" t="n">
        <v>2536</v>
      </c>
      <c r="T491" s="6" t="n">
        <v>3224</v>
      </c>
      <c r="U491" s="6" t="n">
        <v>6085</v>
      </c>
      <c r="V491" s="6" t="n">
        <v>5927</v>
      </c>
    </row>
    <row r="492" customFormat="false" ht="15" hidden="false" customHeight="false" outlineLevel="0" collapsed="false">
      <c r="A492" s="5" t="s">
        <v>79</v>
      </c>
      <c r="B492" s="6" t="s">
        <v>73</v>
      </c>
      <c r="C492" s="5" t="s">
        <v>58</v>
      </c>
      <c r="D492" s="5" t="s">
        <v>48</v>
      </c>
      <c r="E492" s="6" t="n">
        <v>275568</v>
      </c>
      <c r="F492" s="6" t="n">
        <v>261165</v>
      </c>
      <c r="G492" s="6" t="n">
        <v>153411</v>
      </c>
      <c r="H492" s="6" t="n">
        <v>141351</v>
      </c>
      <c r="I492" s="6" t="n">
        <v>46803</v>
      </c>
      <c r="J492" s="6" t="n">
        <v>46335</v>
      </c>
      <c r="K492" s="6" t="n">
        <v>7103</v>
      </c>
      <c r="L492" s="6" t="n">
        <v>6718</v>
      </c>
      <c r="M492" s="6" t="n">
        <v>3022</v>
      </c>
      <c r="N492" s="6" t="n">
        <v>3465</v>
      </c>
      <c r="O492" s="6" t="n">
        <v>6101</v>
      </c>
      <c r="P492" s="6" t="n">
        <v>6484</v>
      </c>
      <c r="Q492" s="6" t="n">
        <v>4042</v>
      </c>
      <c r="R492" s="6" t="n">
        <v>4164</v>
      </c>
      <c r="S492" s="6" t="n">
        <v>2735</v>
      </c>
      <c r="T492" s="6" t="n">
        <v>2592</v>
      </c>
      <c r="U492" s="6" t="n">
        <v>6665</v>
      </c>
      <c r="V492" s="6" t="n">
        <v>6664</v>
      </c>
    </row>
    <row r="493" customFormat="false" ht="15" hidden="false" customHeight="false" outlineLevel="0" collapsed="false">
      <c r="A493" s="5" t="s">
        <v>79</v>
      </c>
      <c r="B493" s="6" t="s">
        <v>73</v>
      </c>
      <c r="C493" s="5" t="s">
        <v>59</v>
      </c>
      <c r="D493" s="5" t="s">
        <v>48</v>
      </c>
      <c r="E493" s="6" t="n">
        <v>279900</v>
      </c>
      <c r="F493" s="6" t="n">
        <v>278813</v>
      </c>
      <c r="G493" s="6" t="n">
        <v>164941</v>
      </c>
      <c r="H493" s="6" t="n">
        <v>164086</v>
      </c>
      <c r="I493" s="6" t="n">
        <v>44064</v>
      </c>
      <c r="J493" s="6" t="n">
        <v>44787</v>
      </c>
      <c r="K493" s="6" t="n">
        <v>8024</v>
      </c>
      <c r="L493" s="6" t="n">
        <v>8490</v>
      </c>
      <c r="M493" s="6" t="n">
        <v>3705</v>
      </c>
      <c r="N493" s="6" t="n">
        <v>4266</v>
      </c>
      <c r="O493" s="6" t="n">
        <v>5697</v>
      </c>
      <c r="P493" s="6" t="n">
        <v>5244</v>
      </c>
      <c r="Q493" s="6" t="n">
        <v>5584</v>
      </c>
      <c r="R493" s="6" t="n">
        <v>5314</v>
      </c>
      <c r="S493" s="6" t="n">
        <v>2617</v>
      </c>
      <c r="T493" s="6" t="n">
        <v>3597</v>
      </c>
      <c r="U493" s="6" t="n">
        <v>8176</v>
      </c>
      <c r="V493" s="6" t="n">
        <v>7960</v>
      </c>
    </row>
    <row r="494" customFormat="false" ht="15" hidden="false" customHeight="false" outlineLevel="0" collapsed="false">
      <c r="A494" s="5" t="s">
        <v>79</v>
      </c>
      <c r="B494" s="6" t="s">
        <v>73</v>
      </c>
      <c r="C494" s="5" t="s">
        <v>60</v>
      </c>
      <c r="D494" s="5" t="s">
        <v>61</v>
      </c>
      <c r="E494" s="6" t="n">
        <v>276263</v>
      </c>
      <c r="F494" s="6" t="n">
        <v>265166</v>
      </c>
      <c r="G494" s="6" t="n">
        <v>163549</v>
      </c>
      <c r="H494" s="6" t="n">
        <v>162535</v>
      </c>
      <c r="I494" s="6" t="n">
        <v>41119</v>
      </c>
      <c r="J494" s="6" t="n">
        <v>40537</v>
      </c>
      <c r="K494" s="6" t="n">
        <v>9061</v>
      </c>
      <c r="L494" s="6" t="n">
        <v>10344</v>
      </c>
      <c r="M494" s="6" t="n">
        <v>3976</v>
      </c>
      <c r="N494" s="6" t="n">
        <v>3663</v>
      </c>
      <c r="O494" s="6" t="n">
        <v>7260</v>
      </c>
      <c r="P494" s="6" t="n">
        <v>6752</v>
      </c>
      <c r="Q494" s="6" t="n">
        <v>3620</v>
      </c>
      <c r="R494" s="6" t="n">
        <v>3787</v>
      </c>
      <c r="S494" s="6" t="n">
        <v>2824</v>
      </c>
      <c r="T494" s="6" t="n">
        <v>2899</v>
      </c>
      <c r="U494" s="6" t="n">
        <v>5598</v>
      </c>
      <c r="V494" s="6" t="n">
        <v>5754</v>
      </c>
    </row>
    <row r="495" customFormat="false" ht="15" hidden="false" customHeight="false" outlineLevel="0" collapsed="false">
      <c r="A495" s="5" t="s">
        <v>79</v>
      </c>
      <c r="B495" s="6" t="s">
        <v>73</v>
      </c>
      <c r="C495" s="5" t="s">
        <v>62</v>
      </c>
      <c r="D495" s="5" t="s">
        <v>61</v>
      </c>
      <c r="E495" s="6" t="n">
        <v>272881</v>
      </c>
      <c r="F495" s="6" t="n">
        <v>266442</v>
      </c>
      <c r="G495" s="6" t="n">
        <v>158207</v>
      </c>
      <c r="H495" s="6" t="n">
        <v>150128</v>
      </c>
      <c r="I495" s="6" t="n">
        <v>45059</v>
      </c>
      <c r="J495" s="6" t="n">
        <v>48022</v>
      </c>
      <c r="K495" s="6" t="n">
        <v>5581</v>
      </c>
      <c r="L495" s="6" t="n">
        <v>5355</v>
      </c>
      <c r="M495" s="6" t="n">
        <v>2334</v>
      </c>
      <c r="N495" s="6" t="n">
        <v>1957</v>
      </c>
      <c r="O495" s="6" t="n">
        <v>6465</v>
      </c>
      <c r="P495" s="6" t="n">
        <v>6895</v>
      </c>
      <c r="Q495" s="6" t="n">
        <v>3601</v>
      </c>
      <c r="R495" s="6" t="n">
        <v>3487</v>
      </c>
      <c r="S495" s="6" t="n">
        <v>2855</v>
      </c>
      <c r="T495" s="6" t="n">
        <v>3566</v>
      </c>
      <c r="U495" s="6" t="n">
        <v>7364</v>
      </c>
      <c r="V495" s="6" t="n">
        <v>7275</v>
      </c>
    </row>
    <row r="496" customFormat="false" ht="15" hidden="false" customHeight="false" outlineLevel="0" collapsed="false">
      <c r="A496" s="5" t="s">
        <v>79</v>
      </c>
      <c r="B496" s="6" t="s">
        <v>73</v>
      </c>
      <c r="C496" s="5" t="s">
        <v>63</v>
      </c>
      <c r="D496" s="5" t="s">
        <v>61</v>
      </c>
      <c r="E496" s="6" t="n">
        <v>262919</v>
      </c>
      <c r="F496" s="6" t="n">
        <v>268153</v>
      </c>
      <c r="G496" s="6" t="n">
        <v>154303</v>
      </c>
      <c r="H496" s="6" t="n">
        <v>161333</v>
      </c>
      <c r="I496" s="6" t="n">
        <v>39071</v>
      </c>
      <c r="J496" s="6" t="n">
        <v>38569</v>
      </c>
      <c r="K496" s="6" t="n">
        <v>8733</v>
      </c>
      <c r="L496" s="6" t="n">
        <v>7507</v>
      </c>
      <c r="M496" s="6" t="n">
        <v>3486</v>
      </c>
      <c r="N496" s="6" t="n">
        <v>3666</v>
      </c>
      <c r="O496" s="6" t="n">
        <v>4761</v>
      </c>
      <c r="P496" s="6" t="n">
        <v>5094</v>
      </c>
      <c r="Q496" s="6" t="n">
        <v>4585</v>
      </c>
      <c r="R496" s="6" t="n">
        <v>4757</v>
      </c>
      <c r="S496" s="6" t="n">
        <v>2452</v>
      </c>
      <c r="T496" s="6" t="n">
        <v>3182</v>
      </c>
      <c r="U496" s="6" t="n">
        <v>7675</v>
      </c>
      <c r="V496" s="6" t="n">
        <v>7676</v>
      </c>
    </row>
    <row r="497" customFormat="false" ht="15" hidden="false" customHeight="false" outlineLevel="0" collapsed="false">
      <c r="A497" s="5" t="s">
        <v>79</v>
      </c>
      <c r="B497" s="6" t="s">
        <v>73</v>
      </c>
      <c r="C497" s="5" t="s">
        <v>64</v>
      </c>
      <c r="D497" s="5" t="s">
        <v>61</v>
      </c>
      <c r="E497" s="6" t="n">
        <v>270601</v>
      </c>
      <c r="F497" s="6" t="n">
        <v>273102</v>
      </c>
      <c r="G497" s="6" t="n">
        <v>148670</v>
      </c>
      <c r="H497" s="6" t="n">
        <v>157870</v>
      </c>
      <c r="I497" s="6" t="n">
        <v>42118</v>
      </c>
      <c r="J497" s="6" t="n">
        <v>45385</v>
      </c>
      <c r="K497" s="6" t="n">
        <v>5920</v>
      </c>
      <c r="L497" s="6" t="n">
        <v>5408</v>
      </c>
      <c r="M497" s="6" t="n">
        <v>3337</v>
      </c>
      <c r="N497" s="6" t="n">
        <v>3035</v>
      </c>
      <c r="O497" s="6" t="n">
        <v>5368</v>
      </c>
      <c r="P497" s="6" t="n">
        <v>5659</v>
      </c>
      <c r="Q497" s="6" t="n">
        <v>4458</v>
      </c>
      <c r="R497" s="6" t="n">
        <v>4610</v>
      </c>
      <c r="S497" s="6" t="n">
        <v>2949</v>
      </c>
      <c r="T497" s="6" t="n">
        <v>3188</v>
      </c>
      <c r="U497" s="6" t="n">
        <v>6260</v>
      </c>
      <c r="V497" s="6" t="n">
        <v>6313</v>
      </c>
    </row>
    <row r="498" customFormat="false" ht="15" hidden="false" customHeight="false" outlineLevel="0" collapsed="false">
      <c r="A498" s="5" t="s">
        <v>79</v>
      </c>
      <c r="B498" s="6" t="s">
        <v>73</v>
      </c>
      <c r="C498" s="5" t="s">
        <v>65</v>
      </c>
      <c r="D498" s="5" t="s">
        <v>61</v>
      </c>
      <c r="E498" s="6" t="n">
        <v>268204</v>
      </c>
      <c r="F498" s="6" t="n">
        <v>279443</v>
      </c>
      <c r="G498" s="6" t="n">
        <v>157758</v>
      </c>
      <c r="H498" s="6" t="n">
        <v>167815</v>
      </c>
      <c r="I498" s="6" t="n">
        <v>39115</v>
      </c>
      <c r="J498" s="6" t="n">
        <v>38408</v>
      </c>
      <c r="K498" s="6" t="n">
        <v>5677</v>
      </c>
      <c r="L498" s="6" t="n">
        <v>5853</v>
      </c>
      <c r="M498" s="6" t="n">
        <v>3735</v>
      </c>
      <c r="N498" s="6" t="n">
        <v>3040</v>
      </c>
      <c r="O498" s="6" t="n">
        <v>5585</v>
      </c>
      <c r="P498" s="6" t="n">
        <v>5683</v>
      </c>
      <c r="Q498" s="6" t="n">
        <v>3359</v>
      </c>
      <c r="R498" s="6" t="n">
        <v>3392</v>
      </c>
      <c r="S498" s="6" t="n">
        <v>2827</v>
      </c>
      <c r="T498" s="6" t="n">
        <v>2786</v>
      </c>
      <c r="U498" s="6" t="n">
        <v>6844</v>
      </c>
      <c r="V498" s="6" t="n">
        <v>6901</v>
      </c>
    </row>
    <row r="499" customFormat="false" ht="15" hidden="false" customHeight="false" outlineLevel="0" collapsed="false">
      <c r="A499" s="5" t="s">
        <v>79</v>
      </c>
      <c r="B499" s="6" t="s">
        <v>73</v>
      </c>
      <c r="C499" s="5" t="s">
        <v>66</v>
      </c>
      <c r="D499" s="5" t="s">
        <v>61</v>
      </c>
      <c r="E499" s="6" t="n">
        <v>284252</v>
      </c>
      <c r="F499" s="6" t="n">
        <v>292350</v>
      </c>
      <c r="G499" s="6" t="n">
        <v>170153</v>
      </c>
      <c r="H499" s="6" t="n">
        <v>177410</v>
      </c>
      <c r="I499" s="6" t="n">
        <v>44603</v>
      </c>
      <c r="J499" s="6" t="n">
        <v>47142</v>
      </c>
      <c r="K499" s="6" t="n">
        <v>5880</v>
      </c>
      <c r="L499" s="6" t="n">
        <v>5553</v>
      </c>
      <c r="M499" s="6" t="n">
        <v>4151</v>
      </c>
      <c r="N499" s="6" t="n">
        <v>3338</v>
      </c>
      <c r="O499" s="6" t="n">
        <v>6130</v>
      </c>
      <c r="P499" s="6" t="n">
        <v>5951</v>
      </c>
      <c r="Q499" s="6" t="n">
        <v>4316</v>
      </c>
      <c r="R499" s="6" t="n">
        <v>4184</v>
      </c>
      <c r="S499" s="6" t="n">
        <v>2988</v>
      </c>
      <c r="T499" s="6" t="n">
        <v>3691</v>
      </c>
      <c r="U499" s="6" t="n">
        <v>8453</v>
      </c>
      <c r="V499" s="6" t="n">
        <v>8556</v>
      </c>
    </row>
    <row r="500" customFormat="false" ht="15" hidden="false" customHeight="false" outlineLevel="0" collapsed="false">
      <c r="A500" s="5" t="s">
        <v>79</v>
      </c>
      <c r="B500" s="6" t="s">
        <v>73</v>
      </c>
      <c r="C500" s="5" t="s">
        <v>67</v>
      </c>
      <c r="D500" s="5" t="s">
        <v>61</v>
      </c>
      <c r="E500" s="6" t="n">
        <v>272159</v>
      </c>
      <c r="F500" s="6" t="n">
        <v>275221</v>
      </c>
      <c r="G500" s="6" t="n">
        <v>159073</v>
      </c>
      <c r="H500" s="6" t="n">
        <v>156749</v>
      </c>
      <c r="I500" s="6" t="n">
        <v>44695</v>
      </c>
      <c r="J500" s="6" t="n">
        <v>44093</v>
      </c>
      <c r="K500" s="6" t="n">
        <v>7840</v>
      </c>
      <c r="L500" s="6" t="n">
        <v>7563</v>
      </c>
      <c r="M500" s="6" t="n">
        <v>3294</v>
      </c>
      <c r="N500" s="6" t="n">
        <v>4038</v>
      </c>
      <c r="O500" s="6" t="n">
        <v>5688</v>
      </c>
      <c r="P500" s="6" t="n">
        <v>5388</v>
      </c>
      <c r="Q500" s="6" t="n">
        <v>4274</v>
      </c>
      <c r="R500" s="6" t="n">
        <v>4439</v>
      </c>
      <c r="S500" s="6" t="n">
        <v>1785</v>
      </c>
      <c r="T500" s="6" t="n">
        <v>2197</v>
      </c>
      <c r="U500" s="6" t="n">
        <v>7850</v>
      </c>
      <c r="V500" s="6" t="n">
        <v>7995</v>
      </c>
    </row>
    <row r="501" customFormat="false" ht="15" hidden="false" customHeight="false" outlineLevel="0" collapsed="false">
      <c r="A501" s="5" t="s">
        <v>79</v>
      </c>
      <c r="B501" s="6" t="s">
        <v>73</v>
      </c>
      <c r="C501" s="5" t="s">
        <v>68</v>
      </c>
      <c r="D501" s="5" t="s">
        <v>61</v>
      </c>
      <c r="E501" s="6" t="n">
        <v>288710</v>
      </c>
      <c r="F501" s="6" t="n">
        <v>279688</v>
      </c>
      <c r="G501" s="6" t="n">
        <v>158693</v>
      </c>
      <c r="H501" s="6" t="n">
        <v>161617</v>
      </c>
      <c r="I501" s="6" t="n">
        <v>44891</v>
      </c>
      <c r="J501" s="6" t="n">
        <v>47143</v>
      </c>
      <c r="K501" s="6" t="n">
        <v>8595</v>
      </c>
      <c r="L501" s="6" t="n">
        <v>9704</v>
      </c>
      <c r="M501" s="6" t="n">
        <v>3000</v>
      </c>
      <c r="N501" s="6" t="n">
        <v>3578</v>
      </c>
      <c r="O501" s="6" t="n">
        <v>6176</v>
      </c>
      <c r="P501" s="6" t="n">
        <v>6082</v>
      </c>
      <c r="Q501" s="6" t="n">
        <v>5441</v>
      </c>
      <c r="R501" s="6" t="n">
        <v>5403</v>
      </c>
      <c r="S501" s="6" t="n">
        <v>3275</v>
      </c>
      <c r="T501" s="6" t="n">
        <v>4141</v>
      </c>
      <c r="U501" s="6" t="n">
        <v>6893</v>
      </c>
      <c r="V501" s="6" t="n">
        <v>6773</v>
      </c>
    </row>
    <row r="502" customFormat="false" ht="15" hidden="false" customHeight="false" outlineLevel="0" collapsed="false">
      <c r="A502" s="5" t="s">
        <v>79</v>
      </c>
      <c r="B502" s="6" t="s">
        <v>73</v>
      </c>
      <c r="C502" s="5" t="s">
        <v>69</v>
      </c>
      <c r="D502" s="5" t="s">
        <v>61</v>
      </c>
      <c r="E502" s="6" t="n">
        <v>284225</v>
      </c>
      <c r="F502" s="6" t="n">
        <v>299500</v>
      </c>
      <c r="G502" s="6" t="n">
        <v>156080</v>
      </c>
      <c r="H502" s="6" t="n">
        <v>167880</v>
      </c>
      <c r="I502" s="6" t="n">
        <v>44034</v>
      </c>
      <c r="J502" s="6" t="n">
        <v>46611</v>
      </c>
      <c r="K502" s="6" t="n">
        <v>6293</v>
      </c>
      <c r="L502" s="6" t="n">
        <v>6992</v>
      </c>
      <c r="M502" s="6" t="n">
        <v>3362</v>
      </c>
      <c r="N502" s="6" t="n">
        <v>4318</v>
      </c>
      <c r="O502" s="6" t="n">
        <v>7337</v>
      </c>
      <c r="P502" s="6" t="n">
        <v>6865</v>
      </c>
      <c r="Q502" s="6" t="n">
        <v>3625</v>
      </c>
      <c r="R502" s="6" t="n">
        <v>3557</v>
      </c>
      <c r="S502" s="6" t="n">
        <v>3298</v>
      </c>
      <c r="T502" s="6" t="n">
        <v>2958</v>
      </c>
      <c r="U502" s="6" t="n">
        <v>6481</v>
      </c>
      <c r="V502" s="6" t="n">
        <v>6428</v>
      </c>
    </row>
    <row r="503" customFormat="false" ht="15" hidden="false" customHeight="false" outlineLevel="0" collapsed="false">
      <c r="A503" s="5" t="s">
        <v>79</v>
      </c>
      <c r="B503" s="6" t="s">
        <v>73</v>
      </c>
      <c r="C503" s="5" t="s">
        <v>70</v>
      </c>
      <c r="D503" s="5" t="s">
        <v>61</v>
      </c>
      <c r="E503" s="6" t="n">
        <v>271008</v>
      </c>
      <c r="F503" s="6" t="n">
        <v>281859</v>
      </c>
      <c r="G503" s="6" t="n">
        <v>158896</v>
      </c>
      <c r="H503" s="6" t="n">
        <v>163257</v>
      </c>
      <c r="I503" s="6" t="n">
        <v>41789</v>
      </c>
      <c r="J503" s="6" t="n">
        <v>41712</v>
      </c>
      <c r="K503" s="6" t="n">
        <v>8984</v>
      </c>
      <c r="L503" s="6" t="n">
        <v>9389</v>
      </c>
      <c r="M503" s="6" t="n">
        <v>2435</v>
      </c>
      <c r="N503" s="6" t="n">
        <v>2099</v>
      </c>
      <c r="O503" s="6" t="n">
        <v>6419</v>
      </c>
      <c r="P503" s="6" t="n">
        <v>5951</v>
      </c>
      <c r="Q503" s="6" t="n">
        <v>5114</v>
      </c>
      <c r="R503" s="6" t="n">
        <v>5063</v>
      </c>
      <c r="S503" s="6" t="n">
        <v>3020</v>
      </c>
      <c r="T503" s="6" t="n">
        <v>4078</v>
      </c>
      <c r="U503" s="6" t="n">
        <v>5770</v>
      </c>
      <c r="V503" s="6" t="n">
        <v>5724</v>
      </c>
    </row>
    <row r="504" customFormat="false" ht="15" hidden="false" customHeight="false" outlineLevel="0" collapsed="false">
      <c r="A504" s="5" t="s">
        <v>79</v>
      </c>
      <c r="B504" s="6" t="s">
        <v>73</v>
      </c>
      <c r="C504" s="5" t="s">
        <v>71</v>
      </c>
      <c r="D504" s="5" t="s">
        <v>61</v>
      </c>
      <c r="E504" s="6" t="n">
        <v>304259</v>
      </c>
      <c r="F504" s="6" t="n">
        <v>288604</v>
      </c>
      <c r="G504" s="6" t="n">
        <v>171122</v>
      </c>
      <c r="H504" s="6" t="n">
        <v>166389</v>
      </c>
      <c r="I504" s="6" t="n">
        <v>47214</v>
      </c>
      <c r="J504" s="6" t="n">
        <v>47163</v>
      </c>
      <c r="K504" s="6" t="n">
        <v>10081</v>
      </c>
      <c r="L504" s="6" t="n">
        <v>10633</v>
      </c>
      <c r="M504" s="6" t="n">
        <v>3756</v>
      </c>
      <c r="N504" s="6" t="n">
        <v>4214</v>
      </c>
      <c r="O504" s="6" t="n">
        <v>7731</v>
      </c>
      <c r="P504" s="6" t="n">
        <v>7453</v>
      </c>
      <c r="Q504" s="6" t="n">
        <v>5650</v>
      </c>
      <c r="R504" s="6" t="n">
        <v>5372</v>
      </c>
      <c r="S504" s="6" t="n">
        <v>3383</v>
      </c>
      <c r="T504" s="6" t="n">
        <v>3296</v>
      </c>
      <c r="U504" s="6" t="n">
        <v>6567</v>
      </c>
      <c r="V504" s="6" t="n">
        <v>6527</v>
      </c>
    </row>
    <row r="505" customFormat="false" ht="15" hidden="false" customHeight="false" outlineLevel="0" collapsed="false">
      <c r="A505" s="5" t="s">
        <v>79</v>
      </c>
      <c r="B505" s="6" t="s">
        <v>73</v>
      </c>
      <c r="C505" s="5" t="s">
        <v>72</v>
      </c>
      <c r="D505" s="5" t="s">
        <v>61</v>
      </c>
      <c r="E505" s="6" t="n">
        <v>298377</v>
      </c>
      <c r="F505" s="6" t="n">
        <v>302434</v>
      </c>
      <c r="G505" s="6" t="n">
        <v>169400</v>
      </c>
      <c r="H505" s="6" t="n">
        <v>167068</v>
      </c>
      <c r="I505" s="6" t="n">
        <v>45943</v>
      </c>
      <c r="J505" s="6" t="n">
        <v>47812</v>
      </c>
      <c r="K505" s="6" t="n">
        <v>9996</v>
      </c>
      <c r="L505" s="6" t="n">
        <v>9891</v>
      </c>
      <c r="M505" s="6" t="n">
        <v>2566</v>
      </c>
      <c r="N505" s="6" t="n">
        <v>2992</v>
      </c>
      <c r="O505" s="6" t="n">
        <v>8108</v>
      </c>
      <c r="P505" s="6" t="n">
        <v>8806</v>
      </c>
      <c r="Q505" s="6" t="n">
        <v>5414</v>
      </c>
      <c r="R505" s="6" t="n">
        <v>5251</v>
      </c>
      <c r="S505" s="6" t="n">
        <v>2379</v>
      </c>
      <c r="T505" s="6" t="n">
        <v>2356</v>
      </c>
      <c r="U505" s="6" t="n">
        <v>8941</v>
      </c>
      <c r="V505" s="6" t="n">
        <v>8934</v>
      </c>
    </row>
    <row r="506" customFormat="false" ht="15" hidden="false" customHeight="false" outlineLevel="0" collapsed="false">
      <c r="A506" s="5" t="s">
        <v>79</v>
      </c>
      <c r="B506" s="6" t="s">
        <v>74</v>
      </c>
      <c r="C506" s="5" t="s">
        <v>34</v>
      </c>
      <c r="D506" s="5" t="s">
        <v>35</v>
      </c>
      <c r="E506" s="6" t="n">
        <v>229143</v>
      </c>
      <c r="F506" s="6" t="n">
        <v>242584</v>
      </c>
      <c r="G506" s="6" t="n">
        <v>125878</v>
      </c>
      <c r="H506" s="6" t="n">
        <v>134111</v>
      </c>
      <c r="I506" s="6" t="n">
        <v>36481</v>
      </c>
      <c r="J506" s="6" t="n">
        <v>36671</v>
      </c>
      <c r="K506" s="6" t="n">
        <v>4691</v>
      </c>
      <c r="L506" s="6" t="n">
        <v>4833</v>
      </c>
      <c r="M506" s="6" t="n">
        <v>2443</v>
      </c>
      <c r="N506" s="6" t="n">
        <v>3098</v>
      </c>
      <c r="O506" s="6" t="n">
        <v>4953</v>
      </c>
      <c r="P506" s="6" t="n">
        <v>4940</v>
      </c>
      <c r="Q506" s="6" t="n">
        <v>3618</v>
      </c>
      <c r="R506" s="6" t="n">
        <v>3457</v>
      </c>
      <c r="S506" s="6" t="n">
        <v>2568</v>
      </c>
      <c r="T506" s="6" t="n">
        <v>3522</v>
      </c>
      <c r="U506" s="6" t="n">
        <v>6149</v>
      </c>
      <c r="V506" s="6" t="n">
        <v>6064</v>
      </c>
    </row>
    <row r="507" customFormat="false" ht="15" hidden="false" customHeight="false" outlineLevel="0" collapsed="false">
      <c r="A507" s="5" t="s">
        <v>79</v>
      </c>
      <c r="B507" s="6" t="s">
        <v>74</v>
      </c>
      <c r="C507" s="5" t="s">
        <v>36</v>
      </c>
      <c r="D507" s="5" t="s">
        <v>35</v>
      </c>
      <c r="E507" s="6" t="n">
        <v>233942</v>
      </c>
      <c r="F507" s="6" t="n">
        <v>246247</v>
      </c>
      <c r="G507" s="6" t="n">
        <v>127301</v>
      </c>
      <c r="H507" s="6" t="n">
        <v>134059</v>
      </c>
      <c r="I507" s="6" t="n">
        <v>34846</v>
      </c>
      <c r="J507" s="6" t="n">
        <v>36531</v>
      </c>
      <c r="K507" s="6" t="n">
        <v>7736</v>
      </c>
      <c r="L507" s="6" t="n">
        <v>7794</v>
      </c>
      <c r="M507" s="6" t="n">
        <v>2968</v>
      </c>
      <c r="N507" s="6" t="n">
        <v>2759</v>
      </c>
      <c r="O507" s="6" t="n">
        <v>6154</v>
      </c>
      <c r="P507" s="6" t="n">
        <v>5764</v>
      </c>
      <c r="Q507" s="6" t="n">
        <v>4495</v>
      </c>
      <c r="R507" s="6" t="n">
        <v>4424</v>
      </c>
      <c r="S507" s="6" t="n">
        <v>2461</v>
      </c>
      <c r="T507" s="6" t="n">
        <v>2212</v>
      </c>
      <c r="U507" s="6" t="n">
        <v>5496</v>
      </c>
      <c r="V507" s="6" t="n">
        <v>5469</v>
      </c>
    </row>
    <row r="508" customFormat="false" ht="15" hidden="false" customHeight="false" outlineLevel="0" collapsed="false">
      <c r="A508" s="5" t="s">
        <v>79</v>
      </c>
      <c r="B508" s="6" t="s">
        <v>74</v>
      </c>
      <c r="C508" s="5" t="s">
        <v>37</v>
      </c>
      <c r="D508" s="5" t="s">
        <v>35</v>
      </c>
      <c r="E508" s="6" t="n">
        <v>254000</v>
      </c>
      <c r="F508" s="6" t="n">
        <v>248372</v>
      </c>
      <c r="G508" s="6" t="n">
        <v>139609</v>
      </c>
      <c r="H508" s="6" t="n">
        <v>140200</v>
      </c>
      <c r="I508" s="6" t="n">
        <v>38263</v>
      </c>
      <c r="J508" s="6" t="n">
        <v>40031</v>
      </c>
      <c r="K508" s="6" t="n">
        <v>6563</v>
      </c>
      <c r="L508" s="6" t="n">
        <v>5598</v>
      </c>
      <c r="M508" s="6" t="n">
        <v>3424</v>
      </c>
      <c r="N508" s="6" t="n">
        <v>3761</v>
      </c>
      <c r="O508" s="6" t="n">
        <v>4770</v>
      </c>
      <c r="P508" s="6" t="n">
        <v>4962</v>
      </c>
      <c r="Q508" s="6" t="n">
        <v>4301</v>
      </c>
      <c r="R508" s="6" t="n">
        <v>4225</v>
      </c>
      <c r="S508" s="6" t="n">
        <v>3027</v>
      </c>
      <c r="T508" s="6" t="n">
        <v>4127</v>
      </c>
      <c r="U508" s="6" t="n">
        <v>6967</v>
      </c>
      <c r="V508" s="6" t="n">
        <v>7066</v>
      </c>
    </row>
    <row r="509" customFormat="false" ht="15" hidden="false" customHeight="false" outlineLevel="0" collapsed="false">
      <c r="A509" s="5" t="s">
        <v>79</v>
      </c>
      <c r="B509" s="6" t="s">
        <v>74</v>
      </c>
      <c r="C509" s="5" t="s">
        <v>38</v>
      </c>
      <c r="D509" s="5" t="s">
        <v>35</v>
      </c>
      <c r="E509" s="6" t="n">
        <v>238480</v>
      </c>
      <c r="F509" s="6" t="n">
        <v>248920</v>
      </c>
      <c r="G509" s="6" t="n">
        <v>135342</v>
      </c>
      <c r="H509" s="6" t="n">
        <v>138124</v>
      </c>
      <c r="I509" s="6" t="n">
        <v>39571</v>
      </c>
      <c r="J509" s="6" t="n">
        <v>38878</v>
      </c>
      <c r="K509" s="6" t="n">
        <v>8239</v>
      </c>
      <c r="L509" s="6" t="n">
        <v>8008</v>
      </c>
      <c r="M509" s="6" t="n">
        <v>2777</v>
      </c>
      <c r="N509" s="6" t="n">
        <v>2227</v>
      </c>
      <c r="O509" s="6" t="n">
        <v>5367</v>
      </c>
      <c r="P509" s="6" t="n">
        <v>5742</v>
      </c>
      <c r="Q509" s="6" t="n">
        <v>3102</v>
      </c>
      <c r="R509" s="6" t="n">
        <v>3086</v>
      </c>
      <c r="S509" s="6" t="n">
        <v>2818</v>
      </c>
      <c r="T509" s="6" t="n">
        <v>2419</v>
      </c>
      <c r="U509" s="6" t="n">
        <v>5291</v>
      </c>
      <c r="V509" s="6" t="n">
        <v>5443</v>
      </c>
    </row>
    <row r="510" customFormat="false" ht="15" hidden="false" customHeight="false" outlineLevel="0" collapsed="false">
      <c r="A510" s="5" t="s">
        <v>79</v>
      </c>
      <c r="B510" s="6" t="s">
        <v>74</v>
      </c>
      <c r="C510" s="5" t="s">
        <v>39</v>
      </c>
      <c r="D510" s="5" t="s">
        <v>35</v>
      </c>
      <c r="E510" s="6" t="n">
        <v>251897</v>
      </c>
      <c r="F510" s="6" t="n">
        <v>250512</v>
      </c>
      <c r="G510" s="6" t="n">
        <v>138535</v>
      </c>
      <c r="H510" s="6" t="n">
        <v>137492</v>
      </c>
      <c r="I510" s="6" t="n">
        <v>37896</v>
      </c>
      <c r="J510" s="6" t="n">
        <v>40729</v>
      </c>
      <c r="K510" s="6" t="n">
        <v>8710</v>
      </c>
      <c r="L510" s="6" t="n">
        <v>8911</v>
      </c>
      <c r="M510" s="6" t="n">
        <v>2041</v>
      </c>
      <c r="N510" s="6" t="n">
        <v>2463</v>
      </c>
      <c r="O510" s="6" t="n">
        <v>4575</v>
      </c>
      <c r="P510" s="6" t="n">
        <v>4947</v>
      </c>
      <c r="Q510" s="6" t="n">
        <v>4035</v>
      </c>
      <c r="R510" s="6" t="n">
        <v>4183</v>
      </c>
      <c r="S510" s="6" t="n">
        <v>2568</v>
      </c>
      <c r="T510" s="6" t="n">
        <v>3054</v>
      </c>
      <c r="U510" s="6" t="n">
        <v>6187</v>
      </c>
      <c r="V510" s="6" t="n">
        <v>6154</v>
      </c>
    </row>
    <row r="511" customFormat="false" ht="15" hidden="false" customHeight="false" outlineLevel="0" collapsed="false">
      <c r="A511" s="5" t="s">
        <v>79</v>
      </c>
      <c r="B511" s="6" t="s">
        <v>74</v>
      </c>
      <c r="C511" s="5" t="s">
        <v>40</v>
      </c>
      <c r="D511" s="5" t="s">
        <v>35</v>
      </c>
      <c r="E511" s="6" t="n">
        <v>270675</v>
      </c>
      <c r="F511" s="6" t="n">
        <v>269303</v>
      </c>
      <c r="G511" s="6" t="n">
        <v>154661</v>
      </c>
      <c r="H511" s="6" t="n">
        <v>158793</v>
      </c>
      <c r="I511" s="6" t="n">
        <v>38815</v>
      </c>
      <c r="J511" s="6" t="n">
        <v>38401</v>
      </c>
      <c r="K511" s="6" t="n">
        <v>7153</v>
      </c>
      <c r="L511" s="6" t="n">
        <v>6460</v>
      </c>
      <c r="M511" s="6" t="n">
        <v>3293</v>
      </c>
      <c r="N511" s="6" t="n">
        <v>3528</v>
      </c>
      <c r="O511" s="6" t="n">
        <v>5905</v>
      </c>
      <c r="P511" s="6" t="n">
        <v>6331</v>
      </c>
      <c r="Q511" s="6" t="n">
        <v>4739</v>
      </c>
      <c r="R511" s="6" t="n">
        <v>4709</v>
      </c>
      <c r="S511" s="6" t="n">
        <v>2084</v>
      </c>
      <c r="T511" s="6" t="n">
        <v>2443</v>
      </c>
      <c r="U511" s="6" t="n">
        <v>7918</v>
      </c>
      <c r="V511" s="6" t="n">
        <v>8088</v>
      </c>
    </row>
    <row r="512" customFormat="false" ht="15" hidden="false" customHeight="false" outlineLevel="0" collapsed="false">
      <c r="A512" s="5" t="s">
        <v>79</v>
      </c>
      <c r="B512" s="6" t="s">
        <v>74</v>
      </c>
      <c r="C512" s="5" t="s">
        <v>41</v>
      </c>
      <c r="D512" s="5" t="s">
        <v>35</v>
      </c>
      <c r="E512" s="6" t="n">
        <v>268378</v>
      </c>
      <c r="F512" s="6" t="n">
        <v>258874</v>
      </c>
      <c r="G512" s="6" t="n">
        <v>146596</v>
      </c>
      <c r="H512" s="6" t="n">
        <v>144635</v>
      </c>
      <c r="I512" s="6" t="n">
        <v>42535</v>
      </c>
      <c r="J512" s="6" t="n">
        <v>43183</v>
      </c>
      <c r="K512" s="6" t="n">
        <v>7366</v>
      </c>
      <c r="L512" s="6" t="n">
        <v>7922</v>
      </c>
      <c r="M512" s="6" t="n">
        <v>3889</v>
      </c>
      <c r="N512" s="6" t="n">
        <v>3305</v>
      </c>
      <c r="O512" s="6" t="n">
        <v>6023</v>
      </c>
      <c r="P512" s="6" t="n">
        <v>6171</v>
      </c>
      <c r="Q512" s="6" t="n">
        <v>3291</v>
      </c>
      <c r="R512" s="6" t="n">
        <v>3222</v>
      </c>
      <c r="S512" s="6" t="n">
        <v>2288</v>
      </c>
      <c r="T512" s="6" t="n">
        <v>2136</v>
      </c>
      <c r="U512" s="6" t="n">
        <v>6588</v>
      </c>
      <c r="V512" s="6" t="n">
        <v>6541</v>
      </c>
    </row>
    <row r="513" customFormat="false" ht="15" hidden="false" customHeight="false" outlineLevel="0" collapsed="false">
      <c r="A513" s="5" t="s">
        <v>79</v>
      </c>
      <c r="B513" s="6" t="s">
        <v>74</v>
      </c>
      <c r="C513" s="5" t="s">
        <v>42</v>
      </c>
      <c r="D513" s="5" t="s">
        <v>35</v>
      </c>
      <c r="E513" s="6" t="n">
        <v>257238</v>
      </c>
      <c r="F513" s="6" t="n">
        <v>258181</v>
      </c>
      <c r="G513" s="6" t="n">
        <v>140829</v>
      </c>
      <c r="H513" s="6" t="n">
        <v>148673</v>
      </c>
      <c r="I513" s="6" t="n">
        <v>43067</v>
      </c>
      <c r="J513" s="6" t="n">
        <v>43731</v>
      </c>
      <c r="K513" s="6" t="n">
        <v>8310</v>
      </c>
      <c r="L513" s="6" t="n">
        <v>8818</v>
      </c>
      <c r="M513" s="6" t="n">
        <v>3392</v>
      </c>
      <c r="N513" s="6" t="n">
        <v>2726</v>
      </c>
      <c r="O513" s="6" t="n">
        <v>5594</v>
      </c>
      <c r="P513" s="6" t="n">
        <v>5372</v>
      </c>
      <c r="Q513" s="6" t="n">
        <v>3670</v>
      </c>
      <c r="R513" s="6" t="n">
        <v>3809</v>
      </c>
      <c r="S513" s="6" t="n">
        <v>1952</v>
      </c>
      <c r="T513" s="6" t="n">
        <v>2544</v>
      </c>
      <c r="U513" s="6" t="n">
        <v>7190</v>
      </c>
      <c r="V513" s="6" t="n">
        <v>7153</v>
      </c>
    </row>
    <row r="514" customFormat="false" ht="15" hidden="false" customHeight="false" outlineLevel="0" collapsed="false">
      <c r="A514" s="5" t="s">
        <v>79</v>
      </c>
      <c r="B514" s="6" t="s">
        <v>74</v>
      </c>
      <c r="C514" s="5" t="s">
        <v>43</v>
      </c>
      <c r="D514" s="5" t="s">
        <v>35</v>
      </c>
      <c r="E514" s="6" t="n">
        <v>289581</v>
      </c>
      <c r="F514" s="6" t="n">
        <v>276312</v>
      </c>
      <c r="G514" s="6" t="n">
        <v>163577</v>
      </c>
      <c r="H514" s="6" t="n">
        <v>150770</v>
      </c>
      <c r="I514" s="6" t="n">
        <v>41874</v>
      </c>
      <c r="J514" s="6" t="n">
        <v>42342</v>
      </c>
      <c r="K514" s="6" t="n">
        <v>9339</v>
      </c>
      <c r="L514" s="6" t="n">
        <v>10236</v>
      </c>
      <c r="M514" s="6" t="n">
        <v>3533</v>
      </c>
      <c r="N514" s="6" t="n">
        <v>3418</v>
      </c>
      <c r="O514" s="6" t="n">
        <v>7990</v>
      </c>
      <c r="P514" s="6" t="n">
        <v>8779</v>
      </c>
      <c r="Q514" s="6" t="n">
        <v>4035</v>
      </c>
      <c r="R514" s="6" t="n">
        <v>4226</v>
      </c>
      <c r="S514" s="6" t="n">
        <v>2072</v>
      </c>
      <c r="T514" s="6" t="n">
        <v>2459</v>
      </c>
      <c r="U514" s="6" t="n">
        <v>8191</v>
      </c>
      <c r="V514" s="6" t="n">
        <v>8339</v>
      </c>
    </row>
    <row r="515" customFormat="false" ht="15" hidden="false" customHeight="false" outlineLevel="0" collapsed="false">
      <c r="A515" s="5" t="s">
        <v>79</v>
      </c>
      <c r="B515" s="6" t="s">
        <v>74</v>
      </c>
      <c r="C515" s="5" t="s">
        <v>44</v>
      </c>
      <c r="D515" s="5" t="s">
        <v>35</v>
      </c>
      <c r="E515" s="6" t="n">
        <v>249627</v>
      </c>
      <c r="F515" s="6" t="n">
        <v>261262</v>
      </c>
      <c r="G515" s="6" t="n">
        <v>144328</v>
      </c>
      <c r="H515" s="6" t="n">
        <v>158598</v>
      </c>
      <c r="I515" s="6" t="n">
        <v>36249</v>
      </c>
      <c r="J515" s="6" t="n">
        <v>38767</v>
      </c>
      <c r="K515" s="6" t="n">
        <v>6929</v>
      </c>
      <c r="L515" s="6" t="n">
        <v>6799</v>
      </c>
      <c r="M515" s="6" t="n">
        <v>2171</v>
      </c>
      <c r="N515" s="6" t="n">
        <v>2606</v>
      </c>
      <c r="O515" s="6" t="n">
        <v>5752</v>
      </c>
      <c r="P515" s="6" t="n">
        <v>5946</v>
      </c>
      <c r="Q515" s="6" t="n">
        <v>4562</v>
      </c>
      <c r="R515" s="6" t="n">
        <v>4718</v>
      </c>
      <c r="S515" s="6" t="n">
        <v>2437</v>
      </c>
      <c r="T515" s="6" t="n">
        <v>2330</v>
      </c>
      <c r="U515" s="6" t="n">
        <v>6373</v>
      </c>
      <c r="V515" s="6" t="n">
        <v>6545</v>
      </c>
    </row>
    <row r="516" customFormat="false" ht="15" hidden="false" customHeight="false" outlineLevel="0" collapsed="false">
      <c r="A516" s="5" t="s">
        <v>79</v>
      </c>
      <c r="B516" s="6" t="s">
        <v>74</v>
      </c>
      <c r="C516" s="5" t="s">
        <v>45</v>
      </c>
      <c r="D516" s="5" t="s">
        <v>35</v>
      </c>
      <c r="E516" s="6" t="n">
        <v>247928</v>
      </c>
      <c r="F516" s="6" t="n">
        <v>260650</v>
      </c>
      <c r="G516" s="6" t="n">
        <v>140388</v>
      </c>
      <c r="H516" s="6" t="n">
        <v>150575</v>
      </c>
      <c r="I516" s="6" t="n">
        <v>39123</v>
      </c>
      <c r="J516" s="6" t="n">
        <v>38069</v>
      </c>
      <c r="K516" s="6" t="n">
        <v>7590</v>
      </c>
      <c r="L516" s="6" t="n">
        <v>8548</v>
      </c>
      <c r="M516" s="6" t="n">
        <v>2120</v>
      </c>
      <c r="N516" s="6" t="n">
        <v>2101</v>
      </c>
      <c r="O516" s="6" t="n">
        <v>6303</v>
      </c>
      <c r="P516" s="6" t="n">
        <v>5947</v>
      </c>
      <c r="Q516" s="6" t="n">
        <v>3875</v>
      </c>
      <c r="R516" s="6" t="n">
        <v>3926</v>
      </c>
      <c r="S516" s="6" t="n">
        <v>2020</v>
      </c>
      <c r="T516" s="6" t="n">
        <v>1907</v>
      </c>
      <c r="U516" s="6" t="n">
        <v>7185</v>
      </c>
      <c r="V516" s="6" t="n">
        <v>7097</v>
      </c>
    </row>
    <row r="517" customFormat="false" ht="15" hidden="false" customHeight="false" outlineLevel="0" collapsed="false">
      <c r="A517" s="5" t="s">
        <v>79</v>
      </c>
      <c r="B517" s="6" t="s">
        <v>74</v>
      </c>
      <c r="C517" s="5" t="s">
        <v>46</v>
      </c>
      <c r="D517" s="5" t="s">
        <v>35</v>
      </c>
      <c r="E517" s="6" t="n">
        <v>273638</v>
      </c>
      <c r="F517" s="6" t="n">
        <v>282267</v>
      </c>
      <c r="G517" s="6" t="n">
        <v>160571</v>
      </c>
      <c r="H517" s="6" t="n">
        <v>171083</v>
      </c>
      <c r="I517" s="6" t="n">
        <v>44634</v>
      </c>
      <c r="J517" s="6" t="n">
        <v>46532</v>
      </c>
      <c r="K517" s="6" t="n">
        <v>6601</v>
      </c>
      <c r="L517" s="6" t="n">
        <v>7462</v>
      </c>
      <c r="M517" s="6" t="n">
        <v>3391</v>
      </c>
      <c r="N517" s="6" t="n">
        <v>3795</v>
      </c>
      <c r="O517" s="6" t="n">
        <v>6511</v>
      </c>
      <c r="P517" s="6" t="n">
        <v>6111</v>
      </c>
      <c r="Q517" s="6" t="n">
        <v>4289</v>
      </c>
      <c r="R517" s="6" t="n">
        <v>4330</v>
      </c>
      <c r="S517" s="6" t="n">
        <v>1818</v>
      </c>
      <c r="T517" s="6" t="n">
        <v>1763</v>
      </c>
      <c r="U517" s="6" t="n">
        <v>7921</v>
      </c>
      <c r="V517" s="6" t="n">
        <v>7727</v>
      </c>
    </row>
    <row r="518" customFormat="false" ht="15" hidden="false" customHeight="false" outlineLevel="0" collapsed="false">
      <c r="A518" s="5" t="s">
        <v>79</v>
      </c>
      <c r="B518" s="6" t="s">
        <v>74</v>
      </c>
      <c r="C518" s="5" t="s">
        <v>47</v>
      </c>
      <c r="D518" s="5" t="s">
        <v>48</v>
      </c>
      <c r="E518" s="6" t="n">
        <v>261579</v>
      </c>
      <c r="F518" s="6" t="n">
        <v>266003</v>
      </c>
      <c r="G518" s="6" t="n">
        <v>154410</v>
      </c>
      <c r="H518" s="6" t="n">
        <v>156899</v>
      </c>
      <c r="I518" s="6" t="n">
        <v>40474</v>
      </c>
      <c r="J518" s="6" t="n">
        <v>39358</v>
      </c>
      <c r="K518" s="6" t="n">
        <v>5520</v>
      </c>
      <c r="L518" s="6" t="n">
        <v>6280</v>
      </c>
      <c r="M518" s="6" t="n">
        <v>2232</v>
      </c>
      <c r="N518" s="6" t="n">
        <v>2553</v>
      </c>
      <c r="O518" s="6" t="n">
        <v>5690</v>
      </c>
      <c r="P518" s="6" t="n">
        <v>5556</v>
      </c>
      <c r="Q518" s="6" t="n">
        <v>5040</v>
      </c>
      <c r="R518" s="6" t="n">
        <v>5196</v>
      </c>
      <c r="S518" s="6" t="n">
        <v>1852</v>
      </c>
      <c r="T518" s="6" t="n">
        <v>1493</v>
      </c>
      <c r="U518" s="6" t="n">
        <v>5699</v>
      </c>
      <c r="V518" s="6" t="n">
        <v>5722</v>
      </c>
    </row>
    <row r="519" customFormat="false" ht="15" hidden="false" customHeight="false" outlineLevel="0" collapsed="false">
      <c r="A519" s="5" t="s">
        <v>79</v>
      </c>
      <c r="B519" s="6" t="s">
        <v>74</v>
      </c>
      <c r="C519" s="5" t="s">
        <v>49</v>
      </c>
      <c r="D519" s="5" t="s">
        <v>48</v>
      </c>
      <c r="E519" s="6" t="n">
        <v>254542</v>
      </c>
      <c r="F519" s="6" t="n">
        <v>269707</v>
      </c>
      <c r="G519" s="6" t="n">
        <v>152357</v>
      </c>
      <c r="H519" s="6" t="n">
        <v>169441</v>
      </c>
      <c r="I519" s="6" t="n">
        <v>39331</v>
      </c>
      <c r="J519" s="6" t="n">
        <v>40808</v>
      </c>
      <c r="K519" s="6" t="n">
        <v>7177</v>
      </c>
      <c r="L519" s="6" t="n">
        <v>6441</v>
      </c>
      <c r="M519" s="6" t="n">
        <v>3358</v>
      </c>
      <c r="N519" s="6" t="n">
        <v>4242</v>
      </c>
      <c r="O519" s="6" t="n">
        <v>5073</v>
      </c>
      <c r="P519" s="6" t="n">
        <v>4694</v>
      </c>
      <c r="Q519" s="6" t="n">
        <v>3101</v>
      </c>
      <c r="R519" s="6" t="n">
        <v>3105</v>
      </c>
      <c r="S519" s="6" t="n">
        <v>1760</v>
      </c>
      <c r="T519" s="6" t="n">
        <v>2323</v>
      </c>
      <c r="U519" s="6" t="n">
        <v>5383</v>
      </c>
      <c r="V519" s="6" t="n">
        <v>5292</v>
      </c>
    </row>
    <row r="520" customFormat="false" ht="15" hidden="false" customHeight="false" outlineLevel="0" collapsed="false">
      <c r="A520" s="5" t="s">
        <v>79</v>
      </c>
      <c r="B520" s="6" t="s">
        <v>74</v>
      </c>
      <c r="C520" s="5" t="s">
        <v>50</v>
      </c>
      <c r="D520" s="5" t="s">
        <v>48</v>
      </c>
      <c r="E520" s="6" t="n">
        <v>261329</v>
      </c>
      <c r="F520" s="6" t="n">
        <v>270423</v>
      </c>
      <c r="G520" s="6" t="n">
        <v>152528</v>
      </c>
      <c r="H520" s="6" t="n">
        <v>165136</v>
      </c>
      <c r="I520" s="6" t="n">
        <v>38684</v>
      </c>
      <c r="J520" s="6" t="n">
        <v>39573</v>
      </c>
      <c r="K520" s="6" t="n">
        <v>8963</v>
      </c>
      <c r="L520" s="6" t="n">
        <v>8556</v>
      </c>
      <c r="M520" s="6" t="n">
        <v>3099</v>
      </c>
      <c r="N520" s="6" t="n">
        <v>2935</v>
      </c>
      <c r="O520" s="6" t="n">
        <v>6651</v>
      </c>
      <c r="P520" s="6" t="n">
        <v>6712</v>
      </c>
      <c r="Q520" s="6" t="n">
        <v>4208</v>
      </c>
      <c r="R520" s="6" t="n">
        <v>4166</v>
      </c>
      <c r="S520" s="6" t="n">
        <v>1871</v>
      </c>
      <c r="T520" s="6" t="n">
        <v>1691</v>
      </c>
      <c r="U520" s="6" t="n">
        <v>7022</v>
      </c>
      <c r="V520" s="6" t="n">
        <v>7185</v>
      </c>
    </row>
    <row r="521" customFormat="false" ht="15" hidden="false" customHeight="false" outlineLevel="0" collapsed="false">
      <c r="A521" s="5" t="s">
        <v>79</v>
      </c>
      <c r="B521" s="6" t="s">
        <v>74</v>
      </c>
      <c r="C521" s="5" t="s">
        <v>51</v>
      </c>
      <c r="D521" s="5" t="s">
        <v>48</v>
      </c>
      <c r="E521" s="6" t="n">
        <v>267152</v>
      </c>
      <c r="F521" s="6" t="n">
        <v>270633</v>
      </c>
      <c r="G521" s="6" t="n">
        <v>153617</v>
      </c>
      <c r="H521" s="6" t="n">
        <v>160578</v>
      </c>
      <c r="I521" s="6" t="n">
        <v>39898</v>
      </c>
      <c r="J521" s="6" t="n">
        <v>42186</v>
      </c>
      <c r="K521" s="6" t="n">
        <v>9165</v>
      </c>
      <c r="L521" s="6" t="n">
        <v>9132</v>
      </c>
      <c r="M521" s="6" t="n">
        <v>3788</v>
      </c>
      <c r="N521" s="6" t="n">
        <v>3833</v>
      </c>
      <c r="O521" s="6" t="n">
        <v>6805</v>
      </c>
      <c r="P521" s="6" t="n">
        <v>7260</v>
      </c>
      <c r="Q521" s="6" t="n">
        <v>4537</v>
      </c>
      <c r="R521" s="6" t="n">
        <v>4586</v>
      </c>
      <c r="S521" s="6" t="n">
        <v>2291</v>
      </c>
      <c r="T521" s="6" t="n">
        <v>2612</v>
      </c>
      <c r="U521" s="6" t="n">
        <v>6342</v>
      </c>
      <c r="V521" s="6" t="n">
        <v>6392</v>
      </c>
    </row>
    <row r="522" customFormat="false" ht="15" hidden="false" customHeight="false" outlineLevel="0" collapsed="false">
      <c r="A522" s="5" t="s">
        <v>79</v>
      </c>
      <c r="B522" s="6" t="s">
        <v>74</v>
      </c>
      <c r="C522" s="5" t="s">
        <v>52</v>
      </c>
      <c r="D522" s="5" t="s">
        <v>48</v>
      </c>
      <c r="E522" s="6" t="n">
        <v>257754</v>
      </c>
      <c r="F522" s="6" t="n">
        <v>268474</v>
      </c>
      <c r="G522" s="6" t="n">
        <v>139709</v>
      </c>
      <c r="H522" s="6" t="n">
        <v>147015</v>
      </c>
      <c r="I522" s="6" t="n">
        <v>40624</v>
      </c>
      <c r="J522" s="6" t="n">
        <v>40717</v>
      </c>
      <c r="K522" s="6" t="n">
        <v>8351</v>
      </c>
      <c r="L522" s="6" t="n">
        <v>8715</v>
      </c>
      <c r="M522" s="6" t="n">
        <v>3803</v>
      </c>
      <c r="N522" s="6" t="n">
        <v>3712</v>
      </c>
      <c r="O522" s="6" t="n">
        <v>4717</v>
      </c>
      <c r="P522" s="6" t="n">
        <v>4492</v>
      </c>
      <c r="Q522" s="6" t="n">
        <v>3758</v>
      </c>
      <c r="R522" s="6" t="n">
        <v>3867</v>
      </c>
      <c r="S522" s="6" t="n">
        <v>2100</v>
      </c>
      <c r="T522" s="6" t="n">
        <v>1772</v>
      </c>
      <c r="U522" s="6" t="n">
        <v>6848</v>
      </c>
      <c r="V522" s="6" t="n">
        <v>6795</v>
      </c>
    </row>
    <row r="523" customFormat="false" ht="15" hidden="false" customHeight="false" outlineLevel="0" collapsed="false">
      <c r="A523" s="5" t="s">
        <v>79</v>
      </c>
      <c r="B523" s="6" t="s">
        <v>74</v>
      </c>
      <c r="C523" s="5" t="s">
        <v>53</v>
      </c>
      <c r="D523" s="5" t="s">
        <v>48</v>
      </c>
      <c r="E523" s="6" t="n">
        <v>280269</v>
      </c>
      <c r="F523" s="6" t="n">
        <v>293575</v>
      </c>
      <c r="G523" s="6" t="n">
        <v>156703</v>
      </c>
      <c r="H523" s="6" t="n">
        <v>158431</v>
      </c>
      <c r="I523" s="6" t="n">
        <v>42003</v>
      </c>
      <c r="J523" s="6" t="n">
        <v>42893</v>
      </c>
      <c r="K523" s="6" t="n">
        <v>8949</v>
      </c>
      <c r="L523" s="6" t="n">
        <v>10020</v>
      </c>
      <c r="M523" s="6" t="n">
        <v>3344</v>
      </c>
      <c r="N523" s="6" t="n">
        <v>3320</v>
      </c>
      <c r="O523" s="6" t="n">
        <v>6732</v>
      </c>
      <c r="P523" s="6" t="n">
        <v>6832</v>
      </c>
      <c r="Q523" s="6" t="n">
        <v>3594</v>
      </c>
      <c r="R523" s="6" t="n">
        <v>3514</v>
      </c>
      <c r="S523" s="6" t="n">
        <v>2704</v>
      </c>
      <c r="T523" s="6" t="n">
        <v>3596</v>
      </c>
      <c r="U523" s="6" t="n">
        <v>8015</v>
      </c>
      <c r="V523" s="6" t="n">
        <v>7811</v>
      </c>
    </row>
    <row r="524" customFormat="false" ht="15" hidden="false" customHeight="false" outlineLevel="0" collapsed="false">
      <c r="A524" s="5" t="s">
        <v>79</v>
      </c>
      <c r="B524" s="6" t="s">
        <v>74</v>
      </c>
      <c r="C524" s="5" t="s">
        <v>54</v>
      </c>
      <c r="D524" s="5" t="s">
        <v>48</v>
      </c>
      <c r="E524" s="6" t="n">
        <v>278430</v>
      </c>
      <c r="F524" s="6" t="n">
        <v>281069</v>
      </c>
      <c r="G524" s="6" t="n">
        <v>162985</v>
      </c>
      <c r="H524" s="6" t="n">
        <v>163375</v>
      </c>
      <c r="I524" s="6" t="n">
        <v>41654</v>
      </c>
      <c r="J524" s="6" t="n">
        <v>41308</v>
      </c>
      <c r="K524" s="6" t="n">
        <v>8921</v>
      </c>
      <c r="L524" s="6" t="n">
        <v>8917</v>
      </c>
      <c r="M524" s="6" t="n">
        <v>4157</v>
      </c>
      <c r="N524" s="6" t="n">
        <v>4201</v>
      </c>
      <c r="O524" s="6" t="n">
        <v>5357</v>
      </c>
      <c r="P524" s="6" t="n">
        <v>5093</v>
      </c>
      <c r="Q524" s="6" t="n">
        <v>4069</v>
      </c>
      <c r="R524" s="6" t="n">
        <v>4021</v>
      </c>
      <c r="S524" s="6" t="n">
        <v>2634</v>
      </c>
      <c r="T524" s="6" t="n">
        <v>2558</v>
      </c>
      <c r="U524" s="6" t="n">
        <v>7361</v>
      </c>
      <c r="V524" s="6" t="n">
        <v>7518</v>
      </c>
    </row>
    <row r="525" customFormat="false" ht="15" hidden="false" customHeight="false" outlineLevel="0" collapsed="false">
      <c r="A525" s="5" t="s">
        <v>79</v>
      </c>
      <c r="B525" s="6" t="s">
        <v>74</v>
      </c>
      <c r="C525" s="5" t="s">
        <v>55</v>
      </c>
      <c r="D525" s="5" t="s">
        <v>48</v>
      </c>
      <c r="E525" s="6" t="n">
        <v>303602</v>
      </c>
      <c r="F525" s="6" t="n">
        <v>289311</v>
      </c>
      <c r="G525" s="6" t="n">
        <v>169125</v>
      </c>
      <c r="H525" s="6" t="n">
        <v>167553</v>
      </c>
      <c r="I525" s="6" t="n">
        <v>46173</v>
      </c>
      <c r="J525" s="6" t="n">
        <v>49338</v>
      </c>
      <c r="K525" s="6" t="n">
        <v>10253</v>
      </c>
      <c r="L525" s="6" t="n">
        <v>8835</v>
      </c>
      <c r="M525" s="6" t="n">
        <v>3799</v>
      </c>
      <c r="N525" s="6" t="n">
        <v>3171</v>
      </c>
      <c r="O525" s="6" t="n">
        <v>5754</v>
      </c>
      <c r="P525" s="6" t="n">
        <v>6125</v>
      </c>
      <c r="Q525" s="6" t="n">
        <v>5400</v>
      </c>
      <c r="R525" s="6" t="n">
        <v>5278</v>
      </c>
      <c r="S525" s="6" t="n">
        <v>3195</v>
      </c>
      <c r="T525" s="6" t="n">
        <v>3323</v>
      </c>
      <c r="U525" s="6" t="n">
        <v>7761</v>
      </c>
      <c r="V525" s="6" t="n">
        <v>7674</v>
      </c>
    </row>
    <row r="526" customFormat="false" ht="15" hidden="false" customHeight="false" outlineLevel="0" collapsed="false">
      <c r="A526" s="5" t="s">
        <v>79</v>
      </c>
      <c r="B526" s="6" t="s">
        <v>74</v>
      </c>
      <c r="C526" s="5" t="s">
        <v>56</v>
      </c>
      <c r="D526" s="5" t="s">
        <v>48</v>
      </c>
      <c r="E526" s="6" t="n">
        <v>310245</v>
      </c>
      <c r="F526" s="6" t="n">
        <v>314268</v>
      </c>
      <c r="G526" s="6" t="n">
        <v>180497</v>
      </c>
      <c r="H526" s="6" t="n">
        <v>183695</v>
      </c>
      <c r="I526" s="6" t="n">
        <v>51333</v>
      </c>
      <c r="J526" s="6" t="n">
        <v>55254</v>
      </c>
      <c r="K526" s="6" t="n">
        <v>6770</v>
      </c>
      <c r="L526" s="6" t="n">
        <v>6514</v>
      </c>
      <c r="M526" s="6" t="n">
        <v>3824</v>
      </c>
      <c r="N526" s="6" t="n">
        <v>3115</v>
      </c>
      <c r="O526" s="6" t="n">
        <v>5733</v>
      </c>
      <c r="P526" s="6" t="n">
        <v>5285</v>
      </c>
      <c r="Q526" s="6" t="n">
        <v>3984</v>
      </c>
      <c r="R526" s="6" t="n">
        <v>3913</v>
      </c>
      <c r="S526" s="6" t="n">
        <v>3141</v>
      </c>
      <c r="T526" s="6" t="n">
        <v>3334</v>
      </c>
      <c r="U526" s="6" t="n">
        <v>6733</v>
      </c>
      <c r="V526" s="6" t="n">
        <v>6608</v>
      </c>
    </row>
    <row r="527" customFormat="false" ht="15" hidden="false" customHeight="false" outlineLevel="0" collapsed="false">
      <c r="A527" s="5" t="s">
        <v>79</v>
      </c>
      <c r="B527" s="6" t="s">
        <v>74</v>
      </c>
      <c r="C527" s="5" t="s">
        <v>57</v>
      </c>
      <c r="D527" s="5" t="s">
        <v>48</v>
      </c>
      <c r="E527" s="6" t="n">
        <v>296259</v>
      </c>
      <c r="F527" s="6" t="n">
        <v>300995</v>
      </c>
      <c r="G527" s="6" t="n">
        <v>176029</v>
      </c>
      <c r="H527" s="6" t="n">
        <v>187716</v>
      </c>
      <c r="I527" s="6" t="n">
        <v>49778</v>
      </c>
      <c r="J527" s="6" t="n">
        <v>53038</v>
      </c>
      <c r="K527" s="6" t="n">
        <v>7079</v>
      </c>
      <c r="L527" s="6" t="n">
        <v>7684</v>
      </c>
      <c r="M527" s="6" t="n">
        <v>2600</v>
      </c>
      <c r="N527" s="6" t="n">
        <v>3311</v>
      </c>
      <c r="O527" s="6" t="n">
        <v>5555</v>
      </c>
      <c r="P527" s="6" t="n">
        <v>5440</v>
      </c>
      <c r="Q527" s="6" t="n">
        <v>5007</v>
      </c>
      <c r="R527" s="6" t="n">
        <v>5163</v>
      </c>
      <c r="S527" s="6" t="n">
        <v>2257</v>
      </c>
      <c r="T527" s="6" t="n">
        <v>2036</v>
      </c>
      <c r="U527" s="6" t="n">
        <v>6333</v>
      </c>
      <c r="V527" s="6" t="n">
        <v>6318</v>
      </c>
    </row>
    <row r="528" customFormat="false" ht="15" hidden="false" customHeight="false" outlineLevel="0" collapsed="false">
      <c r="A528" s="5" t="s">
        <v>79</v>
      </c>
      <c r="B528" s="6" t="s">
        <v>74</v>
      </c>
      <c r="C528" s="5" t="s">
        <v>58</v>
      </c>
      <c r="D528" s="5" t="s">
        <v>48</v>
      </c>
      <c r="E528" s="6" t="n">
        <v>312348</v>
      </c>
      <c r="F528" s="6" t="n">
        <v>299348</v>
      </c>
      <c r="G528" s="6" t="n">
        <v>182780</v>
      </c>
      <c r="H528" s="6" t="n">
        <v>182474</v>
      </c>
      <c r="I528" s="6" t="n">
        <v>52779</v>
      </c>
      <c r="J528" s="6" t="n">
        <v>53595</v>
      </c>
      <c r="K528" s="6" t="n">
        <v>8340</v>
      </c>
      <c r="L528" s="6" t="n">
        <v>7395</v>
      </c>
      <c r="M528" s="6" t="n">
        <v>3652</v>
      </c>
      <c r="N528" s="6" t="n">
        <v>3977</v>
      </c>
      <c r="O528" s="6" t="n">
        <v>7688</v>
      </c>
      <c r="P528" s="6" t="n">
        <v>8424</v>
      </c>
      <c r="Q528" s="6" t="n">
        <v>4553</v>
      </c>
      <c r="R528" s="6" t="n">
        <v>4658</v>
      </c>
      <c r="S528" s="6" t="n">
        <v>2297</v>
      </c>
      <c r="T528" s="6" t="n">
        <v>2201</v>
      </c>
      <c r="U528" s="6" t="n">
        <v>7172</v>
      </c>
      <c r="V528" s="6" t="n">
        <v>6992</v>
      </c>
    </row>
    <row r="529" customFormat="false" ht="15" hidden="false" customHeight="false" outlineLevel="0" collapsed="false">
      <c r="A529" s="5" t="s">
        <v>79</v>
      </c>
      <c r="B529" s="6" t="s">
        <v>74</v>
      </c>
      <c r="C529" s="5" t="s">
        <v>59</v>
      </c>
      <c r="D529" s="5" t="s">
        <v>48</v>
      </c>
      <c r="E529" s="6" t="n">
        <v>338991</v>
      </c>
      <c r="F529" s="6" t="n">
        <v>324473</v>
      </c>
      <c r="G529" s="6" t="n">
        <v>196469</v>
      </c>
      <c r="H529" s="6" t="n">
        <v>193494</v>
      </c>
      <c r="I529" s="6" t="n">
        <v>49553</v>
      </c>
      <c r="J529" s="6" t="n">
        <v>48492</v>
      </c>
      <c r="K529" s="6" t="n">
        <v>11721</v>
      </c>
      <c r="L529" s="6" t="n">
        <v>10175</v>
      </c>
      <c r="M529" s="6" t="n">
        <v>2743</v>
      </c>
      <c r="N529" s="6" t="n">
        <v>2491</v>
      </c>
      <c r="O529" s="6" t="n">
        <v>8877</v>
      </c>
      <c r="P529" s="6" t="n">
        <v>8467</v>
      </c>
      <c r="Q529" s="6" t="n">
        <v>4351</v>
      </c>
      <c r="R529" s="6" t="n">
        <v>4224</v>
      </c>
      <c r="S529" s="6" t="n">
        <v>3235</v>
      </c>
      <c r="T529" s="6" t="n">
        <v>3612</v>
      </c>
      <c r="U529" s="6" t="n">
        <v>9690</v>
      </c>
      <c r="V529" s="6" t="n">
        <v>9841</v>
      </c>
    </row>
    <row r="530" customFormat="false" ht="15" hidden="false" customHeight="false" outlineLevel="0" collapsed="false">
      <c r="A530" s="5" t="s">
        <v>79</v>
      </c>
      <c r="B530" s="6" t="s">
        <v>74</v>
      </c>
      <c r="C530" s="5" t="s">
        <v>60</v>
      </c>
      <c r="D530" s="5" t="s">
        <v>61</v>
      </c>
      <c r="E530" s="6" t="n">
        <v>301871</v>
      </c>
      <c r="F530" s="6" t="n">
        <v>303546</v>
      </c>
      <c r="G530" s="6" t="n">
        <v>165800</v>
      </c>
      <c r="H530" s="6" t="n">
        <v>168306</v>
      </c>
      <c r="I530" s="6" t="n">
        <v>50540</v>
      </c>
      <c r="J530" s="6" t="n">
        <v>50240</v>
      </c>
      <c r="K530" s="6" t="n">
        <v>7684</v>
      </c>
      <c r="L530" s="6" t="n">
        <v>8779</v>
      </c>
      <c r="M530" s="6" t="n">
        <v>4249</v>
      </c>
      <c r="N530" s="6" t="n">
        <v>4490</v>
      </c>
      <c r="O530" s="6" t="n">
        <v>7788</v>
      </c>
      <c r="P530" s="6" t="n">
        <v>7428</v>
      </c>
      <c r="Q530" s="6" t="n">
        <v>4293</v>
      </c>
      <c r="R530" s="6" t="n">
        <v>4149</v>
      </c>
      <c r="S530" s="6" t="n">
        <v>2368</v>
      </c>
      <c r="T530" s="6" t="n">
        <v>3130</v>
      </c>
      <c r="U530" s="6" t="n">
        <v>7995</v>
      </c>
      <c r="V530" s="6" t="n">
        <v>7826</v>
      </c>
    </row>
    <row r="531" customFormat="false" ht="15" hidden="false" customHeight="false" outlineLevel="0" collapsed="false">
      <c r="A531" s="5" t="s">
        <v>79</v>
      </c>
      <c r="B531" s="6" t="s">
        <v>74</v>
      </c>
      <c r="C531" s="5" t="s">
        <v>62</v>
      </c>
      <c r="D531" s="5" t="s">
        <v>61</v>
      </c>
      <c r="E531" s="6" t="n">
        <v>320224</v>
      </c>
      <c r="F531" s="6" t="n">
        <v>311077</v>
      </c>
      <c r="G531" s="6" t="n">
        <v>177543</v>
      </c>
      <c r="H531" s="6" t="n">
        <v>180157</v>
      </c>
      <c r="I531" s="6" t="n">
        <v>46628</v>
      </c>
      <c r="J531" s="6" t="n">
        <v>45376</v>
      </c>
      <c r="K531" s="6" t="n">
        <v>9584</v>
      </c>
      <c r="L531" s="6" t="n">
        <v>9448</v>
      </c>
      <c r="M531" s="6" t="n">
        <v>3157</v>
      </c>
      <c r="N531" s="6" t="n">
        <v>3989</v>
      </c>
      <c r="O531" s="6" t="n">
        <v>6033</v>
      </c>
      <c r="P531" s="6" t="n">
        <v>6019</v>
      </c>
      <c r="Q531" s="6" t="n">
        <v>4229</v>
      </c>
      <c r="R531" s="6" t="n">
        <v>4230</v>
      </c>
      <c r="S531" s="6" t="n">
        <v>2897</v>
      </c>
      <c r="T531" s="6" t="n">
        <v>2410</v>
      </c>
      <c r="U531" s="6" t="n">
        <v>7277</v>
      </c>
      <c r="V531" s="6" t="n">
        <v>7101</v>
      </c>
    </row>
    <row r="532" customFormat="false" ht="15" hidden="false" customHeight="false" outlineLevel="0" collapsed="false">
      <c r="A532" s="5" t="s">
        <v>79</v>
      </c>
      <c r="B532" s="6" t="s">
        <v>74</v>
      </c>
      <c r="C532" s="5" t="s">
        <v>63</v>
      </c>
      <c r="D532" s="5" t="s">
        <v>61</v>
      </c>
      <c r="E532" s="6" t="n">
        <v>324732</v>
      </c>
      <c r="F532" s="6" t="n">
        <v>315936</v>
      </c>
      <c r="G532" s="6" t="n">
        <v>183589</v>
      </c>
      <c r="H532" s="6" t="n">
        <v>176942</v>
      </c>
      <c r="I532" s="6" t="n">
        <v>49385</v>
      </c>
      <c r="J532" s="6" t="n">
        <v>51131</v>
      </c>
      <c r="K532" s="6" t="n">
        <v>9074</v>
      </c>
      <c r="L532" s="6" t="n">
        <v>9057</v>
      </c>
      <c r="M532" s="6" t="n">
        <v>3583</v>
      </c>
      <c r="N532" s="6" t="n">
        <v>4087</v>
      </c>
      <c r="O532" s="6" t="n">
        <v>7944</v>
      </c>
      <c r="P532" s="6" t="n">
        <v>8680</v>
      </c>
      <c r="Q532" s="6" t="n">
        <v>4467</v>
      </c>
      <c r="R532" s="6" t="n">
        <v>4267</v>
      </c>
      <c r="S532" s="6" t="n">
        <v>2018</v>
      </c>
      <c r="T532" s="6" t="n">
        <v>1937</v>
      </c>
      <c r="U532" s="6" t="n">
        <v>6708</v>
      </c>
      <c r="V532" s="6" t="n">
        <v>6547</v>
      </c>
    </row>
    <row r="533" customFormat="false" ht="15" hidden="false" customHeight="false" outlineLevel="0" collapsed="false">
      <c r="A533" s="5" t="s">
        <v>79</v>
      </c>
      <c r="B533" s="6" t="s">
        <v>74</v>
      </c>
      <c r="C533" s="5" t="s">
        <v>64</v>
      </c>
      <c r="D533" s="5" t="s">
        <v>61</v>
      </c>
      <c r="E533" s="6" t="n">
        <v>320036</v>
      </c>
      <c r="F533" s="6" t="n">
        <v>315485</v>
      </c>
      <c r="G533" s="6" t="n">
        <v>186565</v>
      </c>
      <c r="H533" s="6" t="n">
        <v>183784</v>
      </c>
      <c r="I533" s="6" t="n">
        <v>45778</v>
      </c>
      <c r="J533" s="6" t="n">
        <v>48100</v>
      </c>
      <c r="K533" s="6" t="n">
        <v>10623</v>
      </c>
      <c r="L533" s="6" t="n">
        <v>9884</v>
      </c>
      <c r="M533" s="6" t="n">
        <v>3021</v>
      </c>
      <c r="N533" s="6" t="n">
        <v>3604</v>
      </c>
      <c r="O533" s="6" t="n">
        <v>6873</v>
      </c>
      <c r="P533" s="6" t="n">
        <v>6679</v>
      </c>
      <c r="Q533" s="6" t="n">
        <v>5367</v>
      </c>
      <c r="R533" s="6" t="n">
        <v>5493</v>
      </c>
      <c r="S533" s="6" t="n">
        <v>2101</v>
      </c>
      <c r="T533" s="6" t="n">
        <v>2315</v>
      </c>
      <c r="U533" s="6" t="n">
        <v>8642</v>
      </c>
      <c r="V533" s="6" t="n">
        <v>8630</v>
      </c>
    </row>
    <row r="534" customFormat="false" ht="15" hidden="false" customHeight="false" outlineLevel="0" collapsed="false">
      <c r="A534" s="5" t="s">
        <v>79</v>
      </c>
      <c r="B534" s="6" t="s">
        <v>74</v>
      </c>
      <c r="C534" s="5" t="s">
        <v>65</v>
      </c>
      <c r="D534" s="5" t="s">
        <v>61</v>
      </c>
      <c r="E534" s="6" t="n">
        <v>331462</v>
      </c>
      <c r="F534" s="6" t="n">
        <v>316039</v>
      </c>
      <c r="G534" s="6" t="n">
        <v>183735</v>
      </c>
      <c r="H534" s="6" t="n">
        <v>173844</v>
      </c>
      <c r="I534" s="6" t="n">
        <v>47095</v>
      </c>
      <c r="J534" s="6" t="n">
        <v>46653</v>
      </c>
      <c r="K534" s="6" t="n">
        <v>11103</v>
      </c>
      <c r="L534" s="6" t="n">
        <v>9910</v>
      </c>
      <c r="M534" s="6" t="n">
        <v>2681</v>
      </c>
      <c r="N534" s="6" t="n">
        <v>2781</v>
      </c>
      <c r="O534" s="6" t="n">
        <v>7074</v>
      </c>
      <c r="P534" s="6" t="n">
        <v>6734</v>
      </c>
      <c r="Q534" s="6" t="n">
        <v>4677</v>
      </c>
      <c r="R534" s="6" t="n">
        <v>4479</v>
      </c>
      <c r="S534" s="6" t="n">
        <v>3340</v>
      </c>
      <c r="T534" s="6" t="n">
        <v>4382</v>
      </c>
      <c r="U534" s="6" t="n">
        <v>8598</v>
      </c>
      <c r="V534" s="6" t="n">
        <v>8840</v>
      </c>
    </row>
    <row r="535" customFormat="false" ht="15" hidden="false" customHeight="false" outlineLevel="0" collapsed="false">
      <c r="A535" s="5" t="s">
        <v>79</v>
      </c>
      <c r="B535" s="6" t="s">
        <v>74</v>
      </c>
      <c r="C535" s="5" t="s">
        <v>66</v>
      </c>
      <c r="D535" s="5" t="s">
        <v>61</v>
      </c>
      <c r="E535" s="6" t="n">
        <v>342422</v>
      </c>
      <c r="F535" s="6" t="n">
        <v>342903</v>
      </c>
      <c r="G535" s="6" t="n">
        <v>189993</v>
      </c>
      <c r="H535" s="6" t="n">
        <v>185277</v>
      </c>
      <c r="I535" s="6" t="n">
        <v>56352</v>
      </c>
      <c r="J535" s="6" t="n">
        <v>58178</v>
      </c>
      <c r="K535" s="6" t="n">
        <v>11936</v>
      </c>
      <c r="L535" s="6" t="n">
        <v>13137</v>
      </c>
      <c r="M535" s="6" t="n">
        <v>3998</v>
      </c>
      <c r="N535" s="6" t="n">
        <v>3533</v>
      </c>
      <c r="O535" s="6" t="n">
        <v>6666</v>
      </c>
      <c r="P535" s="6" t="n">
        <v>6245</v>
      </c>
      <c r="Q535" s="6" t="n">
        <v>4943</v>
      </c>
      <c r="R535" s="6" t="n">
        <v>5060</v>
      </c>
      <c r="S535" s="6" t="n">
        <v>2984</v>
      </c>
      <c r="T535" s="6" t="n">
        <v>3703</v>
      </c>
      <c r="U535" s="6" t="n">
        <v>10238</v>
      </c>
      <c r="V535" s="6" t="n">
        <v>10089</v>
      </c>
    </row>
    <row r="536" customFormat="false" ht="15" hidden="false" customHeight="false" outlineLevel="0" collapsed="false">
      <c r="A536" s="5" t="s">
        <v>79</v>
      </c>
      <c r="B536" s="6" t="s">
        <v>74</v>
      </c>
      <c r="C536" s="5" t="s">
        <v>67</v>
      </c>
      <c r="D536" s="5" t="s">
        <v>61</v>
      </c>
      <c r="E536" s="6" t="n">
        <v>317784</v>
      </c>
      <c r="F536" s="6" t="n">
        <v>323045</v>
      </c>
      <c r="G536" s="6" t="n">
        <v>171862</v>
      </c>
      <c r="H536" s="6" t="n">
        <v>173942</v>
      </c>
      <c r="I536" s="6" t="n">
        <v>51260</v>
      </c>
      <c r="J536" s="6" t="n">
        <v>54748</v>
      </c>
      <c r="K536" s="6" t="n">
        <v>10048</v>
      </c>
      <c r="L536" s="6" t="n">
        <v>11124</v>
      </c>
      <c r="M536" s="6" t="n">
        <v>4549</v>
      </c>
      <c r="N536" s="6" t="n">
        <v>4994</v>
      </c>
      <c r="O536" s="6" t="n">
        <v>6078</v>
      </c>
      <c r="P536" s="6" t="n">
        <v>6342</v>
      </c>
      <c r="Q536" s="6" t="n">
        <v>5665</v>
      </c>
      <c r="R536" s="6" t="n">
        <v>5393</v>
      </c>
      <c r="S536" s="6" t="n">
        <v>3773</v>
      </c>
      <c r="T536" s="6" t="n">
        <v>4957</v>
      </c>
      <c r="U536" s="6" t="n">
        <v>8451</v>
      </c>
      <c r="V536" s="6" t="n">
        <v>8269</v>
      </c>
    </row>
    <row r="537" customFormat="false" ht="15" hidden="false" customHeight="false" outlineLevel="0" collapsed="false">
      <c r="A537" s="5" t="s">
        <v>79</v>
      </c>
      <c r="B537" s="6" t="s">
        <v>74</v>
      </c>
      <c r="C537" s="5" t="s">
        <v>68</v>
      </c>
      <c r="D537" s="5" t="s">
        <v>61</v>
      </c>
      <c r="E537" s="6" t="n">
        <v>316120</v>
      </c>
      <c r="F537" s="6" t="n">
        <v>326124</v>
      </c>
      <c r="G537" s="6" t="n">
        <v>184760</v>
      </c>
      <c r="H537" s="6" t="n">
        <v>199955</v>
      </c>
      <c r="I537" s="6" t="n">
        <v>47665</v>
      </c>
      <c r="J537" s="6" t="n">
        <v>50138</v>
      </c>
      <c r="K537" s="6" t="n">
        <v>7242</v>
      </c>
      <c r="L537" s="6" t="n">
        <v>8230</v>
      </c>
      <c r="M537" s="6" t="n">
        <v>3942</v>
      </c>
      <c r="N537" s="6" t="n">
        <v>5057</v>
      </c>
      <c r="O537" s="6" t="n">
        <v>8463</v>
      </c>
      <c r="P537" s="6" t="n">
        <v>8820</v>
      </c>
      <c r="Q537" s="6" t="n">
        <v>6068</v>
      </c>
      <c r="R537" s="6" t="n">
        <v>6037</v>
      </c>
      <c r="S537" s="6" t="n">
        <v>3714</v>
      </c>
      <c r="T537" s="6" t="n">
        <v>4145</v>
      </c>
      <c r="U537" s="6" t="n">
        <v>7161</v>
      </c>
      <c r="V537" s="6" t="n">
        <v>7238</v>
      </c>
    </row>
    <row r="538" customFormat="false" ht="15" hidden="false" customHeight="false" outlineLevel="0" collapsed="false">
      <c r="A538" s="5" t="s">
        <v>79</v>
      </c>
      <c r="B538" s="6" t="s">
        <v>74</v>
      </c>
      <c r="C538" s="5" t="s">
        <v>69</v>
      </c>
      <c r="D538" s="5" t="s">
        <v>61</v>
      </c>
      <c r="E538" s="6" t="n">
        <v>353462</v>
      </c>
      <c r="F538" s="6" t="n">
        <v>358145</v>
      </c>
      <c r="G538" s="6" t="n">
        <v>199719</v>
      </c>
      <c r="H538" s="6" t="n">
        <v>213001</v>
      </c>
      <c r="I538" s="6" t="n">
        <v>52765</v>
      </c>
      <c r="J538" s="6" t="n">
        <v>51421</v>
      </c>
      <c r="K538" s="6" t="n">
        <v>9827</v>
      </c>
      <c r="L538" s="6" t="n">
        <v>9365</v>
      </c>
      <c r="M538" s="6" t="n">
        <v>4343</v>
      </c>
      <c r="N538" s="6" t="n">
        <v>4416</v>
      </c>
      <c r="O538" s="6" t="n">
        <v>7971</v>
      </c>
      <c r="P538" s="6" t="n">
        <v>8722</v>
      </c>
      <c r="Q538" s="6" t="n">
        <v>6482</v>
      </c>
      <c r="R538" s="6" t="n">
        <v>6345</v>
      </c>
      <c r="S538" s="6" t="n">
        <v>4177</v>
      </c>
      <c r="T538" s="6" t="n">
        <v>4592</v>
      </c>
      <c r="U538" s="6" t="n">
        <v>9492</v>
      </c>
      <c r="V538" s="6" t="n">
        <v>9473</v>
      </c>
    </row>
    <row r="539" customFormat="false" ht="15" hidden="false" customHeight="false" outlineLevel="0" collapsed="false">
      <c r="A539" s="5" t="s">
        <v>79</v>
      </c>
      <c r="B539" s="6" t="s">
        <v>74</v>
      </c>
      <c r="C539" s="5" t="s">
        <v>70</v>
      </c>
      <c r="D539" s="5" t="s">
        <v>61</v>
      </c>
      <c r="E539" s="6" t="n">
        <v>351504</v>
      </c>
      <c r="F539" s="6" t="n">
        <v>332863</v>
      </c>
      <c r="G539" s="6" t="n">
        <v>202968</v>
      </c>
      <c r="H539" s="6" t="n">
        <v>196603</v>
      </c>
      <c r="I539" s="6" t="n">
        <v>52413</v>
      </c>
      <c r="J539" s="6" t="n">
        <v>52503</v>
      </c>
      <c r="K539" s="6" t="n">
        <v>11247</v>
      </c>
      <c r="L539" s="6" t="n">
        <v>9613</v>
      </c>
      <c r="M539" s="6" t="n">
        <v>2913</v>
      </c>
      <c r="N539" s="6" t="n">
        <v>2743</v>
      </c>
      <c r="O539" s="6" t="n">
        <v>8412</v>
      </c>
      <c r="P539" s="6" t="n">
        <v>7820</v>
      </c>
      <c r="Q539" s="6" t="n">
        <v>5078</v>
      </c>
      <c r="R539" s="6" t="n">
        <v>5043</v>
      </c>
      <c r="S539" s="6" t="n">
        <v>3502</v>
      </c>
      <c r="T539" s="6" t="n">
        <v>2803</v>
      </c>
      <c r="U539" s="6" t="n">
        <v>7914</v>
      </c>
      <c r="V539" s="6" t="n">
        <v>7843</v>
      </c>
    </row>
    <row r="540" customFormat="false" ht="15" hidden="false" customHeight="false" outlineLevel="0" collapsed="false">
      <c r="A540" s="5" t="s">
        <v>79</v>
      </c>
      <c r="B540" s="6" t="s">
        <v>74</v>
      </c>
      <c r="C540" s="5" t="s">
        <v>71</v>
      </c>
      <c r="D540" s="5" t="s">
        <v>61</v>
      </c>
      <c r="E540" s="6" t="n">
        <v>347504</v>
      </c>
      <c r="F540" s="6" t="n">
        <v>333151</v>
      </c>
      <c r="G540" s="6" t="n">
        <v>201524</v>
      </c>
      <c r="H540" s="6" t="n">
        <v>199346</v>
      </c>
      <c r="I540" s="6" t="n">
        <v>50267</v>
      </c>
      <c r="J540" s="6" t="n">
        <v>49235</v>
      </c>
      <c r="K540" s="6" t="n">
        <v>8361</v>
      </c>
      <c r="L540" s="6" t="n">
        <v>9605</v>
      </c>
      <c r="M540" s="6" t="n">
        <v>3259</v>
      </c>
      <c r="N540" s="6" t="n">
        <v>3561</v>
      </c>
      <c r="O540" s="6" t="n">
        <v>6536</v>
      </c>
      <c r="P540" s="6" t="n">
        <v>6271</v>
      </c>
      <c r="Q540" s="6" t="n">
        <v>5485</v>
      </c>
      <c r="R540" s="6" t="n">
        <v>5405</v>
      </c>
      <c r="S540" s="6" t="n">
        <v>3777</v>
      </c>
      <c r="T540" s="6" t="n">
        <v>4465</v>
      </c>
      <c r="U540" s="6" t="n">
        <v>8419</v>
      </c>
      <c r="V540" s="6" t="n">
        <v>8655</v>
      </c>
    </row>
    <row r="541" customFormat="false" ht="15" hidden="false" customHeight="false" outlineLevel="0" collapsed="false">
      <c r="A541" s="5" t="s">
        <v>79</v>
      </c>
      <c r="B541" s="6" t="s">
        <v>74</v>
      </c>
      <c r="C541" s="5" t="s">
        <v>72</v>
      </c>
      <c r="D541" s="5" t="s">
        <v>61</v>
      </c>
      <c r="E541" s="6" t="n">
        <v>344325</v>
      </c>
      <c r="F541" s="6" t="n">
        <v>354480</v>
      </c>
      <c r="G541" s="6" t="n">
        <v>192175</v>
      </c>
      <c r="H541" s="6" t="n">
        <v>196261</v>
      </c>
      <c r="I541" s="6" t="n">
        <v>54031</v>
      </c>
      <c r="J541" s="6" t="n">
        <v>56445</v>
      </c>
      <c r="K541" s="6" t="n">
        <v>8552</v>
      </c>
      <c r="L541" s="6" t="n">
        <v>8753</v>
      </c>
      <c r="M541" s="6" t="n">
        <v>4402</v>
      </c>
      <c r="N541" s="6" t="n">
        <v>3961</v>
      </c>
      <c r="O541" s="6" t="n">
        <v>6665</v>
      </c>
      <c r="P541" s="6" t="n">
        <v>6797</v>
      </c>
      <c r="Q541" s="6" t="n">
        <v>4961</v>
      </c>
      <c r="R541" s="6" t="n">
        <v>4755</v>
      </c>
      <c r="S541" s="6" t="n">
        <v>3237</v>
      </c>
      <c r="T541" s="6" t="n">
        <v>3810</v>
      </c>
      <c r="U541" s="6" t="n">
        <v>8766</v>
      </c>
      <c r="V541" s="6" t="n">
        <v>8701</v>
      </c>
    </row>
    <row r="542" customFormat="false" ht="15" hidden="false" customHeight="false" outlineLevel="0" collapsed="false">
      <c r="A542" s="5" t="s">
        <v>79</v>
      </c>
      <c r="B542" s="6" t="s">
        <v>75</v>
      </c>
      <c r="C542" s="5" t="s">
        <v>34</v>
      </c>
      <c r="D542" s="5" t="s">
        <v>35</v>
      </c>
      <c r="E542" s="6" t="n">
        <v>130913</v>
      </c>
      <c r="F542" s="6" t="n">
        <v>131832</v>
      </c>
      <c r="G542" s="6" t="n">
        <v>73154</v>
      </c>
      <c r="H542" s="6" t="n">
        <v>77193</v>
      </c>
      <c r="I542" s="6" t="n">
        <v>21126</v>
      </c>
      <c r="J542" s="6" t="n">
        <v>21581</v>
      </c>
      <c r="K542" s="6" t="n">
        <v>3458</v>
      </c>
      <c r="L542" s="6" t="n">
        <v>3376</v>
      </c>
      <c r="M542" s="6" t="n">
        <v>1423</v>
      </c>
      <c r="N542" s="6" t="n">
        <v>1158</v>
      </c>
      <c r="O542" s="6" t="n">
        <v>3088</v>
      </c>
      <c r="P542" s="6" t="n">
        <v>3373</v>
      </c>
      <c r="Q542" s="6" t="n">
        <v>2012</v>
      </c>
      <c r="R542" s="6" t="n">
        <v>2063</v>
      </c>
      <c r="S542" s="6" t="n">
        <v>1269</v>
      </c>
      <c r="T542" s="6" t="n">
        <v>1245</v>
      </c>
      <c r="U542" s="6" t="n">
        <v>2936</v>
      </c>
      <c r="V542" s="6" t="n">
        <v>2938</v>
      </c>
    </row>
    <row r="543" customFormat="false" ht="15" hidden="false" customHeight="false" outlineLevel="0" collapsed="false">
      <c r="A543" s="5" t="s">
        <v>79</v>
      </c>
      <c r="B543" s="6" t="s">
        <v>75</v>
      </c>
      <c r="C543" s="5" t="s">
        <v>36</v>
      </c>
      <c r="D543" s="5" t="s">
        <v>35</v>
      </c>
      <c r="E543" s="6" t="n">
        <v>131978</v>
      </c>
      <c r="F543" s="6" t="n">
        <v>131296</v>
      </c>
      <c r="G543" s="6" t="n">
        <v>75747</v>
      </c>
      <c r="H543" s="6" t="n">
        <v>74655</v>
      </c>
      <c r="I543" s="6" t="n">
        <v>21468</v>
      </c>
      <c r="J543" s="6" t="n">
        <v>21751</v>
      </c>
      <c r="K543" s="6" t="n">
        <v>3437</v>
      </c>
      <c r="L543" s="6" t="n">
        <v>2928</v>
      </c>
      <c r="M543" s="6" t="n">
        <v>1802</v>
      </c>
      <c r="N543" s="6" t="n">
        <v>2230</v>
      </c>
      <c r="O543" s="6" t="n">
        <v>2983</v>
      </c>
      <c r="P543" s="6" t="n">
        <v>2774</v>
      </c>
      <c r="Q543" s="6" t="n">
        <v>1641</v>
      </c>
      <c r="R543" s="6" t="n">
        <v>1695</v>
      </c>
      <c r="S543" s="6" t="n">
        <v>1306</v>
      </c>
      <c r="T543" s="6" t="n">
        <v>1306</v>
      </c>
      <c r="U543" s="6" t="n">
        <v>2768</v>
      </c>
      <c r="V543" s="6" t="n">
        <v>2733</v>
      </c>
    </row>
    <row r="544" customFormat="false" ht="15" hidden="false" customHeight="false" outlineLevel="0" collapsed="false">
      <c r="A544" s="5" t="s">
        <v>79</v>
      </c>
      <c r="B544" s="6" t="s">
        <v>75</v>
      </c>
      <c r="C544" s="5" t="s">
        <v>37</v>
      </c>
      <c r="D544" s="5" t="s">
        <v>35</v>
      </c>
      <c r="E544" s="6" t="n">
        <v>129958</v>
      </c>
      <c r="F544" s="6" t="n">
        <v>132643</v>
      </c>
      <c r="G544" s="6" t="n">
        <v>70652</v>
      </c>
      <c r="H544" s="6" t="n">
        <v>74370</v>
      </c>
      <c r="I544" s="6" t="n">
        <v>20823</v>
      </c>
      <c r="J544" s="6" t="n">
        <v>21892</v>
      </c>
      <c r="K544" s="6" t="n">
        <v>2703</v>
      </c>
      <c r="L544" s="6" t="n">
        <v>2464</v>
      </c>
      <c r="M544" s="6" t="n">
        <v>1171</v>
      </c>
      <c r="N544" s="6" t="n">
        <v>1370</v>
      </c>
      <c r="O544" s="6" t="n">
        <v>2983</v>
      </c>
      <c r="P544" s="6" t="n">
        <v>2864</v>
      </c>
      <c r="Q544" s="6" t="n">
        <v>2262</v>
      </c>
      <c r="R544" s="6" t="n">
        <v>2342</v>
      </c>
      <c r="S544" s="6" t="n">
        <v>1014</v>
      </c>
      <c r="T544" s="6" t="n">
        <v>1000</v>
      </c>
      <c r="U544" s="6" t="n">
        <v>3885</v>
      </c>
      <c r="V544" s="6" t="n">
        <v>3770</v>
      </c>
    </row>
    <row r="545" customFormat="false" ht="15" hidden="false" customHeight="false" outlineLevel="0" collapsed="false">
      <c r="A545" s="5" t="s">
        <v>79</v>
      </c>
      <c r="B545" s="6" t="s">
        <v>75</v>
      </c>
      <c r="C545" s="5" t="s">
        <v>38</v>
      </c>
      <c r="D545" s="5" t="s">
        <v>35</v>
      </c>
      <c r="E545" s="6" t="n">
        <v>137043</v>
      </c>
      <c r="F545" s="6" t="n">
        <v>134023</v>
      </c>
      <c r="G545" s="6" t="n">
        <v>74946</v>
      </c>
      <c r="H545" s="6" t="n">
        <v>70615</v>
      </c>
      <c r="I545" s="6" t="n">
        <v>21668</v>
      </c>
      <c r="J545" s="6" t="n">
        <v>21306</v>
      </c>
      <c r="K545" s="6" t="n">
        <v>2940</v>
      </c>
      <c r="L545" s="6" t="n">
        <v>2679</v>
      </c>
      <c r="M545" s="6" t="n">
        <v>1551</v>
      </c>
      <c r="N545" s="6" t="n">
        <v>1887</v>
      </c>
      <c r="O545" s="6" t="n">
        <v>3075</v>
      </c>
      <c r="P545" s="6" t="n">
        <v>2860</v>
      </c>
      <c r="Q545" s="6" t="n">
        <v>1778</v>
      </c>
      <c r="R545" s="6" t="n">
        <v>1761</v>
      </c>
      <c r="S545" s="6" t="n">
        <v>1630</v>
      </c>
      <c r="T545" s="6" t="n">
        <v>2106</v>
      </c>
      <c r="U545" s="6" t="n">
        <v>3894</v>
      </c>
      <c r="V545" s="6" t="n">
        <v>3905</v>
      </c>
    </row>
    <row r="546" customFormat="false" ht="15" hidden="false" customHeight="false" outlineLevel="0" collapsed="false">
      <c r="A546" s="5" t="s">
        <v>79</v>
      </c>
      <c r="B546" s="6" t="s">
        <v>75</v>
      </c>
      <c r="C546" s="5" t="s">
        <v>39</v>
      </c>
      <c r="D546" s="5" t="s">
        <v>35</v>
      </c>
      <c r="E546" s="6" t="n">
        <v>140227</v>
      </c>
      <c r="F546" s="6" t="n">
        <v>137241</v>
      </c>
      <c r="G546" s="6" t="n">
        <v>82953</v>
      </c>
      <c r="H546" s="6" t="n">
        <v>82676</v>
      </c>
      <c r="I546" s="6" t="n">
        <v>21451</v>
      </c>
      <c r="J546" s="6" t="n">
        <v>22309</v>
      </c>
      <c r="K546" s="6" t="n">
        <v>3193</v>
      </c>
      <c r="L546" s="6" t="n">
        <v>3498</v>
      </c>
      <c r="M546" s="6" t="n">
        <v>1767</v>
      </c>
      <c r="N546" s="6" t="n">
        <v>1564</v>
      </c>
      <c r="O546" s="6" t="n">
        <v>3564</v>
      </c>
      <c r="P546" s="6" t="n">
        <v>3630</v>
      </c>
      <c r="Q546" s="6" t="n">
        <v>2217</v>
      </c>
      <c r="R546" s="6" t="n">
        <v>2170</v>
      </c>
      <c r="S546" s="6" t="n">
        <v>1403</v>
      </c>
      <c r="T546" s="6" t="n">
        <v>1930</v>
      </c>
      <c r="U546" s="6" t="n">
        <v>3496</v>
      </c>
      <c r="V546" s="6" t="n">
        <v>3531</v>
      </c>
    </row>
    <row r="547" customFormat="false" ht="15" hidden="false" customHeight="false" outlineLevel="0" collapsed="false">
      <c r="A547" s="5" t="s">
        <v>79</v>
      </c>
      <c r="B547" s="6" t="s">
        <v>75</v>
      </c>
      <c r="C547" s="5" t="s">
        <v>40</v>
      </c>
      <c r="D547" s="5" t="s">
        <v>35</v>
      </c>
      <c r="E547" s="6" t="n">
        <v>151107</v>
      </c>
      <c r="F547" s="6" t="n">
        <v>147606</v>
      </c>
      <c r="G547" s="6" t="n">
        <v>82571</v>
      </c>
      <c r="H547" s="6" t="n">
        <v>80783</v>
      </c>
      <c r="I547" s="6" t="n">
        <v>23081</v>
      </c>
      <c r="J547" s="6" t="n">
        <v>22460</v>
      </c>
      <c r="K547" s="6" t="n">
        <v>4058</v>
      </c>
      <c r="L547" s="6" t="n">
        <v>4136</v>
      </c>
      <c r="M547" s="6" t="n">
        <v>1221</v>
      </c>
      <c r="N547" s="6" t="n">
        <v>1162</v>
      </c>
      <c r="O547" s="6" t="n">
        <v>3695</v>
      </c>
      <c r="P547" s="6" t="n">
        <v>3993</v>
      </c>
      <c r="Q547" s="6" t="n">
        <v>2563</v>
      </c>
      <c r="R547" s="6" t="n">
        <v>2446</v>
      </c>
      <c r="S547" s="6" t="n">
        <v>1729</v>
      </c>
      <c r="T547" s="6" t="n">
        <v>2382</v>
      </c>
      <c r="U547" s="6" t="n">
        <v>3729</v>
      </c>
      <c r="V547" s="6" t="n">
        <v>3779</v>
      </c>
    </row>
    <row r="548" customFormat="false" ht="15" hidden="false" customHeight="false" outlineLevel="0" collapsed="false">
      <c r="A548" s="5" t="s">
        <v>79</v>
      </c>
      <c r="B548" s="6" t="s">
        <v>75</v>
      </c>
      <c r="C548" s="5" t="s">
        <v>41</v>
      </c>
      <c r="D548" s="5" t="s">
        <v>35</v>
      </c>
      <c r="E548" s="6" t="n">
        <v>146424</v>
      </c>
      <c r="F548" s="6" t="n">
        <v>138422</v>
      </c>
      <c r="G548" s="6" t="n">
        <v>82212</v>
      </c>
      <c r="H548" s="6" t="n">
        <v>80874</v>
      </c>
      <c r="I548" s="6" t="n">
        <v>22710</v>
      </c>
      <c r="J548" s="6" t="n">
        <v>22900</v>
      </c>
      <c r="K548" s="6" t="n">
        <v>4480</v>
      </c>
      <c r="L548" s="6" t="n">
        <v>4333</v>
      </c>
      <c r="M548" s="6" t="n">
        <v>1236</v>
      </c>
      <c r="N548" s="6" t="n">
        <v>1394</v>
      </c>
      <c r="O548" s="6" t="n">
        <v>3151</v>
      </c>
      <c r="P548" s="6" t="n">
        <v>3307</v>
      </c>
      <c r="Q548" s="6" t="n">
        <v>2155</v>
      </c>
      <c r="R548" s="6" t="n">
        <v>2201</v>
      </c>
      <c r="S548" s="6" t="n">
        <v>1570</v>
      </c>
      <c r="T548" s="6" t="n">
        <v>1518</v>
      </c>
      <c r="U548" s="6" t="n">
        <v>4045</v>
      </c>
      <c r="V548" s="6" t="n">
        <v>3997</v>
      </c>
    </row>
    <row r="549" customFormat="false" ht="15" hidden="false" customHeight="false" outlineLevel="0" collapsed="false">
      <c r="A549" s="5" t="s">
        <v>79</v>
      </c>
      <c r="B549" s="6" t="s">
        <v>75</v>
      </c>
      <c r="C549" s="5" t="s">
        <v>42</v>
      </c>
      <c r="D549" s="5" t="s">
        <v>35</v>
      </c>
      <c r="E549" s="6" t="n">
        <v>146311</v>
      </c>
      <c r="F549" s="6" t="n">
        <v>139352</v>
      </c>
      <c r="G549" s="6" t="n">
        <v>84671</v>
      </c>
      <c r="H549" s="6" t="n">
        <v>80481</v>
      </c>
      <c r="I549" s="6" t="n">
        <v>22554</v>
      </c>
      <c r="J549" s="6" t="n">
        <v>23512</v>
      </c>
      <c r="K549" s="6" t="n">
        <v>4190</v>
      </c>
      <c r="L549" s="6" t="n">
        <v>4727</v>
      </c>
      <c r="M549" s="6" t="n">
        <v>1965</v>
      </c>
      <c r="N549" s="6" t="n">
        <v>2088</v>
      </c>
      <c r="O549" s="6" t="n">
        <v>2823</v>
      </c>
      <c r="P549" s="6" t="n">
        <v>2762</v>
      </c>
      <c r="Q549" s="6" t="n">
        <v>2874</v>
      </c>
      <c r="R549" s="6" t="n">
        <v>2830</v>
      </c>
      <c r="S549" s="6" t="n">
        <v>1420</v>
      </c>
      <c r="T549" s="6" t="n">
        <v>1480</v>
      </c>
      <c r="U549" s="6" t="n">
        <v>2992</v>
      </c>
      <c r="V549" s="6" t="n">
        <v>3055</v>
      </c>
    </row>
    <row r="550" customFormat="false" ht="15" hidden="false" customHeight="false" outlineLevel="0" collapsed="false">
      <c r="A550" s="5" t="s">
        <v>79</v>
      </c>
      <c r="B550" s="6" t="s">
        <v>75</v>
      </c>
      <c r="C550" s="5" t="s">
        <v>43</v>
      </c>
      <c r="D550" s="5" t="s">
        <v>35</v>
      </c>
      <c r="E550" s="6" t="n">
        <v>141290</v>
      </c>
      <c r="F550" s="6" t="n">
        <v>148479</v>
      </c>
      <c r="G550" s="6" t="n">
        <v>77197</v>
      </c>
      <c r="H550" s="6" t="n">
        <v>85091</v>
      </c>
      <c r="I550" s="6" t="n">
        <v>21800</v>
      </c>
      <c r="J550" s="6" t="n">
        <v>22968</v>
      </c>
      <c r="K550" s="6" t="n">
        <v>4906</v>
      </c>
      <c r="L550" s="6" t="n">
        <v>5360</v>
      </c>
      <c r="M550" s="6" t="n">
        <v>1855</v>
      </c>
      <c r="N550" s="6" t="n">
        <v>1703</v>
      </c>
      <c r="O550" s="6" t="n">
        <v>3815</v>
      </c>
      <c r="P550" s="6" t="n">
        <v>3629</v>
      </c>
      <c r="Q550" s="6" t="n">
        <v>2704</v>
      </c>
      <c r="R550" s="6" t="n">
        <v>2773</v>
      </c>
      <c r="S550" s="6" t="n">
        <v>1204</v>
      </c>
      <c r="T550" s="6" t="n">
        <v>1010</v>
      </c>
      <c r="U550" s="6" t="n">
        <v>3690</v>
      </c>
      <c r="V550" s="6" t="n">
        <v>3605</v>
      </c>
    </row>
    <row r="551" customFormat="false" ht="15" hidden="false" customHeight="false" outlineLevel="0" collapsed="false">
      <c r="A551" s="5" t="s">
        <v>79</v>
      </c>
      <c r="B551" s="6" t="s">
        <v>75</v>
      </c>
      <c r="C551" s="5" t="s">
        <v>44</v>
      </c>
      <c r="D551" s="5" t="s">
        <v>35</v>
      </c>
      <c r="E551" s="6" t="n">
        <v>135143</v>
      </c>
      <c r="F551" s="6" t="n">
        <v>142444</v>
      </c>
      <c r="G551" s="6" t="n">
        <v>79167</v>
      </c>
      <c r="H551" s="6" t="n">
        <v>84915</v>
      </c>
      <c r="I551" s="6" t="n">
        <v>22328</v>
      </c>
      <c r="J551" s="6" t="n">
        <v>23926</v>
      </c>
      <c r="K551" s="6" t="n">
        <v>3354</v>
      </c>
      <c r="L551" s="6" t="n">
        <v>3554</v>
      </c>
      <c r="M551" s="6" t="n">
        <v>1438</v>
      </c>
      <c r="N551" s="6" t="n">
        <v>1861</v>
      </c>
      <c r="O551" s="6" t="n">
        <v>3208</v>
      </c>
      <c r="P551" s="6" t="n">
        <v>3067</v>
      </c>
      <c r="Q551" s="6" t="n">
        <v>1895</v>
      </c>
      <c r="R551" s="6" t="n">
        <v>1883</v>
      </c>
      <c r="S551" s="6" t="n">
        <v>1043</v>
      </c>
      <c r="T551" s="6" t="n">
        <v>960</v>
      </c>
      <c r="U551" s="6" t="n">
        <v>2922</v>
      </c>
      <c r="V551" s="6" t="n">
        <v>2977</v>
      </c>
    </row>
    <row r="552" customFormat="false" ht="15" hidden="false" customHeight="false" outlineLevel="0" collapsed="false">
      <c r="A552" s="5" t="s">
        <v>79</v>
      </c>
      <c r="B552" s="6" t="s">
        <v>75</v>
      </c>
      <c r="C552" s="5" t="s">
        <v>45</v>
      </c>
      <c r="D552" s="5" t="s">
        <v>35</v>
      </c>
      <c r="E552" s="6" t="n">
        <v>140407</v>
      </c>
      <c r="F552" s="6" t="n">
        <v>145790</v>
      </c>
      <c r="G552" s="6" t="n">
        <v>80724</v>
      </c>
      <c r="H552" s="6" t="n">
        <v>85489</v>
      </c>
      <c r="I552" s="6" t="n">
        <v>22474</v>
      </c>
      <c r="J552" s="6" t="n">
        <v>22303</v>
      </c>
      <c r="K552" s="6" t="n">
        <v>4514</v>
      </c>
      <c r="L552" s="6" t="n">
        <v>5047</v>
      </c>
      <c r="M552" s="6" t="n">
        <v>1477</v>
      </c>
      <c r="N552" s="6" t="n">
        <v>1483</v>
      </c>
      <c r="O552" s="6" t="n">
        <v>3295</v>
      </c>
      <c r="P552" s="6" t="n">
        <v>3074</v>
      </c>
      <c r="Q552" s="6" t="n">
        <v>1893</v>
      </c>
      <c r="R552" s="6" t="n">
        <v>1937</v>
      </c>
      <c r="S552" s="6" t="n">
        <v>1610</v>
      </c>
      <c r="T552" s="6" t="n">
        <v>1908</v>
      </c>
      <c r="U552" s="6" t="n">
        <v>3505</v>
      </c>
      <c r="V552" s="6" t="n">
        <v>3575</v>
      </c>
    </row>
    <row r="553" customFormat="false" ht="15" hidden="false" customHeight="false" outlineLevel="0" collapsed="false">
      <c r="A553" s="5" t="s">
        <v>79</v>
      </c>
      <c r="B553" s="6" t="s">
        <v>75</v>
      </c>
      <c r="C553" s="5" t="s">
        <v>46</v>
      </c>
      <c r="D553" s="5" t="s">
        <v>35</v>
      </c>
      <c r="E553" s="6" t="n">
        <v>157431</v>
      </c>
      <c r="F553" s="6" t="n">
        <v>157929</v>
      </c>
      <c r="G553" s="6" t="n">
        <v>88339</v>
      </c>
      <c r="H553" s="6" t="n">
        <v>90343</v>
      </c>
      <c r="I553" s="6" t="n">
        <v>24679</v>
      </c>
      <c r="J553" s="6" t="n">
        <v>24313</v>
      </c>
      <c r="K553" s="6" t="n">
        <v>3307</v>
      </c>
      <c r="L553" s="6" t="n">
        <v>3235</v>
      </c>
      <c r="M553" s="6" t="n">
        <v>1674</v>
      </c>
      <c r="N553" s="6" t="n">
        <v>1399</v>
      </c>
      <c r="O553" s="6" t="n">
        <v>2957</v>
      </c>
      <c r="P553" s="6" t="n">
        <v>3137</v>
      </c>
      <c r="Q553" s="6" t="n">
        <v>2265</v>
      </c>
      <c r="R553" s="6" t="n">
        <v>2178</v>
      </c>
      <c r="S553" s="6" t="n">
        <v>1162</v>
      </c>
      <c r="T553" s="6" t="n">
        <v>1349</v>
      </c>
      <c r="U553" s="6" t="n">
        <v>3670</v>
      </c>
      <c r="V553" s="6" t="n">
        <v>3609</v>
      </c>
    </row>
    <row r="554" customFormat="false" ht="15" hidden="false" customHeight="false" outlineLevel="0" collapsed="false">
      <c r="A554" s="5" t="s">
        <v>79</v>
      </c>
      <c r="B554" s="6" t="s">
        <v>75</v>
      </c>
      <c r="C554" s="5" t="s">
        <v>47</v>
      </c>
      <c r="D554" s="5" t="s">
        <v>48</v>
      </c>
      <c r="E554" s="6" t="n">
        <v>159776</v>
      </c>
      <c r="F554" s="6" t="n">
        <v>152070</v>
      </c>
      <c r="G554" s="6" t="n">
        <v>88689</v>
      </c>
      <c r="H554" s="6" t="n">
        <v>86717</v>
      </c>
      <c r="I554" s="6" t="n">
        <v>22694</v>
      </c>
      <c r="J554" s="6" t="n">
        <v>24189</v>
      </c>
      <c r="K554" s="6" t="n">
        <v>5516</v>
      </c>
      <c r="L554" s="6" t="n">
        <v>4812</v>
      </c>
      <c r="M554" s="6" t="n">
        <v>1922</v>
      </c>
      <c r="N554" s="6" t="n">
        <v>2358</v>
      </c>
      <c r="O554" s="6" t="n">
        <v>4365</v>
      </c>
      <c r="P554" s="6" t="n">
        <v>4409</v>
      </c>
      <c r="Q554" s="6" t="n">
        <v>2428</v>
      </c>
      <c r="R554" s="6" t="n">
        <v>2320</v>
      </c>
      <c r="S554" s="6" t="n">
        <v>1627</v>
      </c>
      <c r="T554" s="6" t="n">
        <v>1410</v>
      </c>
      <c r="U554" s="6" t="n">
        <v>3948</v>
      </c>
      <c r="V554" s="6" t="n">
        <v>4047</v>
      </c>
    </row>
    <row r="555" customFormat="false" ht="15" hidden="false" customHeight="false" outlineLevel="0" collapsed="false">
      <c r="A555" s="5" t="s">
        <v>79</v>
      </c>
      <c r="B555" s="6" t="s">
        <v>75</v>
      </c>
      <c r="C555" s="5" t="s">
        <v>49</v>
      </c>
      <c r="D555" s="5" t="s">
        <v>48</v>
      </c>
      <c r="E555" s="6" t="n">
        <v>143698</v>
      </c>
      <c r="F555" s="6" t="n">
        <v>152287</v>
      </c>
      <c r="G555" s="6" t="n">
        <v>80512</v>
      </c>
      <c r="H555" s="6" t="n">
        <v>84264</v>
      </c>
      <c r="I555" s="6" t="n">
        <v>21560</v>
      </c>
      <c r="J555" s="6" t="n">
        <v>22727</v>
      </c>
      <c r="K555" s="6" t="n">
        <v>3174</v>
      </c>
      <c r="L555" s="6" t="n">
        <v>3219</v>
      </c>
      <c r="M555" s="6" t="n">
        <v>1888</v>
      </c>
      <c r="N555" s="6" t="n">
        <v>2383</v>
      </c>
      <c r="O555" s="6" t="n">
        <v>3540</v>
      </c>
      <c r="P555" s="6" t="n">
        <v>3816</v>
      </c>
      <c r="Q555" s="6" t="n">
        <v>1995</v>
      </c>
      <c r="R555" s="6" t="n">
        <v>1910</v>
      </c>
      <c r="S555" s="6" t="n">
        <v>1680</v>
      </c>
      <c r="T555" s="6" t="n">
        <v>2256</v>
      </c>
      <c r="U555" s="6" t="n">
        <v>3884</v>
      </c>
      <c r="V555" s="6" t="n">
        <v>3946</v>
      </c>
    </row>
    <row r="556" customFormat="false" ht="15" hidden="false" customHeight="false" outlineLevel="0" collapsed="false">
      <c r="A556" s="5" t="s">
        <v>79</v>
      </c>
      <c r="B556" s="6" t="s">
        <v>75</v>
      </c>
      <c r="C556" s="5" t="s">
        <v>50</v>
      </c>
      <c r="D556" s="5" t="s">
        <v>48</v>
      </c>
      <c r="E556" s="6" t="n">
        <v>159825</v>
      </c>
      <c r="F556" s="6" t="n">
        <v>151102</v>
      </c>
      <c r="G556" s="6" t="n">
        <v>95415</v>
      </c>
      <c r="H556" s="6" t="n">
        <v>91704</v>
      </c>
      <c r="I556" s="6" t="n">
        <v>25312</v>
      </c>
      <c r="J556" s="6" t="n">
        <v>24777</v>
      </c>
      <c r="K556" s="6" t="n">
        <v>4518</v>
      </c>
      <c r="L556" s="6" t="n">
        <v>5123</v>
      </c>
      <c r="M556" s="6" t="n">
        <v>1581</v>
      </c>
      <c r="N556" s="6" t="n">
        <v>1298</v>
      </c>
      <c r="O556" s="6" t="n">
        <v>2934</v>
      </c>
      <c r="P556" s="6" t="n">
        <v>2967</v>
      </c>
      <c r="Q556" s="6" t="n">
        <v>2749</v>
      </c>
      <c r="R556" s="6" t="n">
        <v>2730</v>
      </c>
      <c r="S556" s="6" t="n">
        <v>1250</v>
      </c>
      <c r="T556" s="6" t="n">
        <v>1637</v>
      </c>
      <c r="U556" s="6" t="n">
        <v>4749</v>
      </c>
      <c r="V556" s="6" t="n">
        <v>4613</v>
      </c>
    </row>
    <row r="557" customFormat="false" ht="15" hidden="false" customHeight="false" outlineLevel="0" collapsed="false">
      <c r="A557" s="5" t="s">
        <v>79</v>
      </c>
      <c r="B557" s="6" t="s">
        <v>75</v>
      </c>
      <c r="C557" s="5" t="s">
        <v>51</v>
      </c>
      <c r="D557" s="5" t="s">
        <v>48</v>
      </c>
      <c r="E557" s="6" t="n">
        <v>154975</v>
      </c>
      <c r="F557" s="6" t="n">
        <v>150048</v>
      </c>
      <c r="G557" s="6" t="n">
        <v>91231</v>
      </c>
      <c r="H557" s="6" t="n">
        <v>89337</v>
      </c>
      <c r="I557" s="6" t="n">
        <v>25696</v>
      </c>
      <c r="J557" s="6" t="n">
        <v>26853</v>
      </c>
      <c r="K557" s="6" t="n">
        <v>4815</v>
      </c>
      <c r="L557" s="6" t="n">
        <v>4891</v>
      </c>
      <c r="M557" s="6" t="n">
        <v>1296</v>
      </c>
      <c r="N557" s="6" t="n">
        <v>1533</v>
      </c>
      <c r="O557" s="6" t="n">
        <v>3867</v>
      </c>
      <c r="P557" s="6" t="n">
        <v>3857</v>
      </c>
      <c r="Q557" s="6" t="n">
        <v>2389</v>
      </c>
      <c r="R557" s="6" t="n">
        <v>2302</v>
      </c>
      <c r="S557" s="6" t="n">
        <v>1337</v>
      </c>
      <c r="T557" s="6" t="n">
        <v>1789</v>
      </c>
      <c r="U557" s="6" t="n">
        <v>4622</v>
      </c>
      <c r="V557" s="6" t="n">
        <v>4585</v>
      </c>
    </row>
    <row r="558" customFormat="false" ht="15" hidden="false" customHeight="false" outlineLevel="0" collapsed="false">
      <c r="A558" s="5" t="s">
        <v>79</v>
      </c>
      <c r="B558" s="6" t="s">
        <v>75</v>
      </c>
      <c r="C558" s="5" t="s">
        <v>52</v>
      </c>
      <c r="D558" s="5" t="s">
        <v>48</v>
      </c>
      <c r="E558" s="6" t="n">
        <v>148700</v>
      </c>
      <c r="F558" s="6" t="n">
        <v>149841</v>
      </c>
      <c r="G558" s="6" t="n">
        <v>80815</v>
      </c>
      <c r="H558" s="6" t="n">
        <v>80176</v>
      </c>
      <c r="I558" s="6" t="n">
        <v>23444</v>
      </c>
      <c r="J558" s="6" t="n">
        <v>23326</v>
      </c>
      <c r="K558" s="6" t="n">
        <v>4641</v>
      </c>
      <c r="L558" s="6" t="n">
        <v>5182</v>
      </c>
      <c r="M558" s="6" t="n">
        <v>2015</v>
      </c>
      <c r="N558" s="6" t="n">
        <v>2184</v>
      </c>
      <c r="O558" s="6" t="n">
        <v>4150</v>
      </c>
      <c r="P558" s="6" t="n">
        <v>3829</v>
      </c>
      <c r="Q558" s="6" t="n">
        <v>2641</v>
      </c>
      <c r="R558" s="6" t="n">
        <v>2724</v>
      </c>
      <c r="S558" s="6" t="n">
        <v>961</v>
      </c>
      <c r="T558" s="6" t="n">
        <v>842</v>
      </c>
      <c r="U558" s="6" t="n">
        <v>3243</v>
      </c>
      <c r="V558" s="6" t="n">
        <v>3154</v>
      </c>
    </row>
    <row r="559" customFormat="false" ht="15" hidden="false" customHeight="false" outlineLevel="0" collapsed="false">
      <c r="A559" s="5" t="s">
        <v>79</v>
      </c>
      <c r="B559" s="6" t="s">
        <v>75</v>
      </c>
      <c r="C559" s="5" t="s">
        <v>53</v>
      </c>
      <c r="D559" s="5" t="s">
        <v>48</v>
      </c>
      <c r="E559" s="6" t="n">
        <v>163885</v>
      </c>
      <c r="F559" s="6" t="n">
        <v>160888</v>
      </c>
      <c r="G559" s="6" t="n">
        <v>90900</v>
      </c>
      <c r="H559" s="6" t="n">
        <v>88372</v>
      </c>
      <c r="I559" s="6" t="n">
        <v>25924</v>
      </c>
      <c r="J559" s="6" t="n">
        <v>26511</v>
      </c>
      <c r="K559" s="6" t="n">
        <v>3579</v>
      </c>
      <c r="L559" s="6" t="n">
        <v>3125</v>
      </c>
      <c r="M559" s="6" t="n">
        <v>1598</v>
      </c>
      <c r="N559" s="6" t="n">
        <v>1713</v>
      </c>
      <c r="O559" s="6" t="n">
        <v>3761</v>
      </c>
      <c r="P559" s="6" t="n">
        <v>3958</v>
      </c>
      <c r="Q559" s="6" t="n">
        <v>2435</v>
      </c>
      <c r="R559" s="6" t="n">
        <v>2536</v>
      </c>
      <c r="S559" s="6" t="n">
        <v>1200</v>
      </c>
      <c r="T559" s="6" t="n">
        <v>1473</v>
      </c>
      <c r="U559" s="6" t="n">
        <v>4821</v>
      </c>
      <c r="V559" s="6" t="n">
        <v>4902</v>
      </c>
    </row>
    <row r="560" customFormat="false" ht="15" hidden="false" customHeight="false" outlineLevel="0" collapsed="false">
      <c r="A560" s="5" t="s">
        <v>79</v>
      </c>
      <c r="B560" s="6" t="s">
        <v>75</v>
      </c>
      <c r="C560" s="5" t="s">
        <v>54</v>
      </c>
      <c r="D560" s="5" t="s">
        <v>48</v>
      </c>
      <c r="E560" s="6" t="n">
        <v>153758</v>
      </c>
      <c r="F560" s="6" t="n">
        <v>150974</v>
      </c>
      <c r="G560" s="6" t="n">
        <v>87890</v>
      </c>
      <c r="H560" s="6" t="n">
        <v>85298</v>
      </c>
      <c r="I560" s="6" t="n">
        <v>24745</v>
      </c>
      <c r="J560" s="6" t="n">
        <v>25373</v>
      </c>
      <c r="K560" s="6" t="n">
        <v>3200</v>
      </c>
      <c r="L560" s="6" t="n">
        <v>3584</v>
      </c>
      <c r="M560" s="6" t="n">
        <v>1989</v>
      </c>
      <c r="N560" s="6" t="n">
        <v>2210</v>
      </c>
      <c r="O560" s="6" t="n">
        <v>3198</v>
      </c>
      <c r="P560" s="6" t="n">
        <v>3059</v>
      </c>
      <c r="Q560" s="6" t="n">
        <v>2014</v>
      </c>
      <c r="R560" s="6" t="n">
        <v>2110</v>
      </c>
      <c r="S560" s="6" t="n">
        <v>1135</v>
      </c>
      <c r="T560" s="6" t="n">
        <v>1413</v>
      </c>
      <c r="U560" s="6" t="n">
        <v>3399</v>
      </c>
      <c r="V560" s="6" t="n">
        <v>3373</v>
      </c>
    </row>
    <row r="561" customFormat="false" ht="15" hidden="false" customHeight="false" outlineLevel="0" collapsed="false">
      <c r="A561" s="5" t="s">
        <v>79</v>
      </c>
      <c r="B561" s="6" t="s">
        <v>75</v>
      </c>
      <c r="C561" s="5" t="s">
        <v>55</v>
      </c>
      <c r="D561" s="5" t="s">
        <v>48</v>
      </c>
      <c r="E561" s="6" t="n">
        <v>147927</v>
      </c>
      <c r="F561" s="6" t="n">
        <v>154568</v>
      </c>
      <c r="G561" s="6" t="n">
        <v>88560</v>
      </c>
      <c r="H561" s="6" t="n">
        <v>94842</v>
      </c>
      <c r="I561" s="6" t="n">
        <v>23594</v>
      </c>
      <c r="J561" s="6" t="n">
        <v>24064</v>
      </c>
      <c r="K561" s="6" t="n">
        <v>3212</v>
      </c>
      <c r="L561" s="6" t="n">
        <v>3211</v>
      </c>
      <c r="M561" s="6" t="n">
        <v>1218</v>
      </c>
      <c r="N561" s="6" t="n">
        <v>1144</v>
      </c>
      <c r="O561" s="6" t="n">
        <v>3231</v>
      </c>
      <c r="P561" s="6" t="n">
        <v>3454</v>
      </c>
      <c r="Q561" s="6" t="n">
        <v>1875</v>
      </c>
      <c r="R561" s="6" t="n">
        <v>1834</v>
      </c>
      <c r="S561" s="6" t="n">
        <v>1429</v>
      </c>
      <c r="T561" s="6" t="n">
        <v>1568</v>
      </c>
      <c r="U561" s="6" t="n">
        <v>4235</v>
      </c>
      <c r="V561" s="6" t="n">
        <v>4206</v>
      </c>
    </row>
    <row r="562" customFormat="false" ht="15" hidden="false" customHeight="false" outlineLevel="0" collapsed="false">
      <c r="A562" s="5" t="s">
        <v>79</v>
      </c>
      <c r="B562" s="6" t="s">
        <v>75</v>
      </c>
      <c r="C562" s="5" t="s">
        <v>56</v>
      </c>
      <c r="D562" s="5" t="s">
        <v>48</v>
      </c>
      <c r="E562" s="6" t="n">
        <v>158136</v>
      </c>
      <c r="F562" s="6" t="n">
        <v>163925</v>
      </c>
      <c r="G562" s="6" t="n">
        <v>87143</v>
      </c>
      <c r="H562" s="6" t="n">
        <v>90588</v>
      </c>
      <c r="I562" s="6" t="n">
        <v>22387</v>
      </c>
      <c r="J562" s="6" t="n">
        <v>22467</v>
      </c>
      <c r="K562" s="6" t="n">
        <v>4447</v>
      </c>
      <c r="L562" s="6" t="n">
        <v>4244</v>
      </c>
      <c r="M562" s="6" t="n">
        <v>1294</v>
      </c>
      <c r="N562" s="6" t="n">
        <v>1429</v>
      </c>
      <c r="O562" s="6" t="n">
        <v>4259</v>
      </c>
      <c r="P562" s="6" t="n">
        <v>4626</v>
      </c>
      <c r="Q562" s="6" t="n">
        <v>3046</v>
      </c>
      <c r="R562" s="6" t="n">
        <v>3141</v>
      </c>
      <c r="S562" s="6" t="n">
        <v>1510</v>
      </c>
      <c r="T562" s="6" t="n">
        <v>1894</v>
      </c>
      <c r="U562" s="6" t="n">
        <v>3702</v>
      </c>
      <c r="V562" s="6" t="n">
        <v>3775</v>
      </c>
    </row>
    <row r="563" customFormat="false" ht="15" hidden="false" customHeight="false" outlineLevel="0" collapsed="false">
      <c r="A563" s="5" t="s">
        <v>79</v>
      </c>
      <c r="B563" s="6" t="s">
        <v>75</v>
      </c>
      <c r="C563" s="5" t="s">
        <v>57</v>
      </c>
      <c r="D563" s="5" t="s">
        <v>48</v>
      </c>
      <c r="E563" s="6" t="n">
        <v>153356</v>
      </c>
      <c r="F563" s="6" t="n">
        <v>154701</v>
      </c>
      <c r="G563" s="6" t="n">
        <v>89522</v>
      </c>
      <c r="H563" s="6" t="n">
        <v>92902</v>
      </c>
      <c r="I563" s="6" t="n">
        <v>21733</v>
      </c>
      <c r="J563" s="6" t="n">
        <v>21342</v>
      </c>
      <c r="K563" s="6" t="n">
        <v>3960</v>
      </c>
      <c r="L563" s="6" t="n">
        <v>4223</v>
      </c>
      <c r="M563" s="6" t="n">
        <v>1955</v>
      </c>
      <c r="N563" s="6" t="n">
        <v>2403</v>
      </c>
      <c r="O563" s="6" t="n">
        <v>4199</v>
      </c>
      <c r="P563" s="6" t="n">
        <v>4213</v>
      </c>
      <c r="Q563" s="6" t="n">
        <v>2543</v>
      </c>
      <c r="R563" s="6" t="n">
        <v>2560</v>
      </c>
      <c r="S563" s="6" t="n">
        <v>1398</v>
      </c>
      <c r="T563" s="6" t="n">
        <v>1255</v>
      </c>
      <c r="U563" s="6" t="n">
        <v>3652</v>
      </c>
      <c r="V563" s="6" t="n">
        <v>3706</v>
      </c>
    </row>
    <row r="564" customFormat="false" ht="15" hidden="false" customHeight="false" outlineLevel="0" collapsed="false">
      <c r="A564" s="5" t="s">
        <v>79</v>
      </c>
      <c r="B564" s="6" t="s">
        <v>75</v>
      </c>
      <c r="C564" s="5" t="s">
        <v>58</v>
      </c>
      <c r="D564" s="5" t="s">
        <v>48</v>
      </c>
      <c r="E564" s="6" t="n">
        <v>152034</v>
      </c>
      <c r="F564" s="6" t="n">
        <v>159061</v>
      </c>
      <c r="G564" s="6" t="n">
        <v>82237</v>
      </c>
      <c r="H564" s="6" t="n">
        <v>89216</v>
      </c>
      <c r="I564" s="6" t="n">
        <v>25622</v>
      </c>
      <c r="J564" s="6" t="n">
        <v>25094</v>
      </c>
      <c r="K564" s="6" t="n">
        <v>3611</v>
      </c>
      <c r="L564" s="6" t="n">
        <v>3657</v>
      </c>
      <c r="M564" s="6" t="n">
        <v>1575</v>
      </c>
      <c r="N564" s="6" t="n">
        <v>1571</v>
      </c>
      <c r="O564" s="6" t="n">
        <v>3672</v>
      </c>
      <c r="P564" s="6" t="n">
        <v>3617</v>
      </c>
      <c r="Q564" s="6" t="n">
        <v>2626</v>
      </c>
      <c r="R564" s="6" t="n">
        <v>2700</v>
      </c>
      <c r="S564" s="6" t="n">
        <v>1651</v>
      </c>
      <c r="T564" s="6" t="n">
        <v>1923</v>
      </c>
      <c r="U564" s="6" t="n">
        <v>3230</v>
      </c>
      <c r="V564" s="6" t="n">
        <v>3243</v>
      </c>
    </row>
    <row r="565" customFormat="false" ht="15" hidden="false" customHeight="false" outlineLevel="0" collapsed="false">
      <c r="A565" s="5" t="s">
        <v>79</v>
      </c>
      <c r="B565" s="6" t="s">
        <v>75</v>
      </c>
      <c r="C565" s="5" t="s">
        <v>59</v>
      </c>
      <c r="D565" s="5" t="s">
        <v>48</v>
      </c>
      <c r="E565" s="6" t="n">
        <v>165770</v>
      </c>
      <c r="F565" s="6" t="n">
        <v>170591</v>
      </c>
      <c r="G565" s="6" t="n">
        <v>91294</v>
      </c>
      <c r="H565" s="6" t="n">
        <v>94484</v>
      </c>
      <c r="I565" s="6" t="n">
        <v>25396</v>
      </c>
      <c r="J565" s="6" t="n">
        <v>25937</v>
      </c>
      <c r="K565" s="6" t="n">
        <v>5717</v>
      </c>
      <c r="L565" s="6" t="n">
        <v>5683</v>
      </c>
      <c r="M565" s="6" t="n">
        <v>2306</v>
      </c>
      <c r="N565" s="6" t="n">
        <v>2096</v>
      </c>
      <c r="O565" s="6" t="n">
        <v>3081</v>
      </c>
      <c r="P565" s="6" t="n">
        <v>3355</v>
      </c>
      <c r="Q565" s="6" t="n">
        <v>2356</v>
      </c>
      <c r="R565" s="6" t="n">
        <v>2382</v>
      </c>
      <c r="S565" s="6" t="n">
        <v>1307</v>
      </c>
      <c r="T565" s="6" t="n">
        <v>1096</v>
      </c>
      <c r="U565" s="6" t="n">
        <v>3613</v>
      </c>
      <c r="V565" s="6" t="n">
        <v>3671</v>
      </c>
    </row>
    <row r="566" customFormat="false" ht="15" hidden="false" customHeight="false" outlineLevel="0" collapsed="false">
      <c r="A566" s="5" t="s">
        <v>79</v>
      </c>
      <c r="B566" s="6" t="s">
        <v>75</v>
      </c>
      <c r="C566" s="5" t="s">
        <v>60</v>
      </c>
      <c r="D566" s="5" t="s">
        <v>61</v>
      </c>
      <c r="E566" s="6" t="n">
        <v>167057</v>
      </c>
      <c r="F566" s="6" t="n">
        <v>159972</v>
      </c>
      <c r="G566" s="6" t="n">
        <v>91486</v>
      </c>
      <c r="H566" s="6" t="n">
        <v>89448</v>
      </c>
      <c r="I566" s="6" t="n">
        <v>24124</v>
      </c>
      <c r="J566" s="6" t="n">
        <v>25040</v>
      </c>
      <c r="K566" s="6" t="n">
        <v>3465</v>
      </c>
      <c r="L566" s="6" t="n">
        <v>3064</v>
      </c>
      <c r="M566" s="6" t="n">
        <v>1381</v>
      </c>
      <c r="N566" s="6" t="n">
        <v>1577</v>
      </c>
      <c r="O566" s="6" t="n">
        <v>4445</v>
      </c>
      <c r="P566" s="6" t="n">
        <v>4553</v>
      </c>
      <c r="Q566" s="6" t="n">
        <v>2061</v>
      </c>
      <c r="R566" s="6" t="n">
        <v>2106</v>
      </c>
      <c r="S566" s="6" t="n">
        <v>1063</v>
      </c>
      <c r="T566" s="6" t="n">
        <v>1306</v>
      </c>
      <c r="U566" s="6" t="n">
        <v>3774</v>
      </c>
      <c r="V566" s="6" t="n">
        <v>3719</v>
      </c>
    </row>
    <row r="567" customFormat="false" ht="15" hidden="false" customHeight="false" outlineLevel="0" collapsed="false">
      <c r="A567" s="5" t="s">
        <v>79</v>
      </c>
      <c r="B567" s="6" t="s">
        <v>75</v>
      </c>
      <c r="C567" s="5" t="s">
        <v>62</v>
      </c>
      <c r="D567" s="5" t="s">
        <v>61</v>
      </c>
      <c r="E567" s="6" t="n">
        <v>169875</v>
      </c>
      <c r="F567" s="6" t="n">
        <v>162887</v>
      </c>
      <c r="G567" s="6" t="n">
        <v>95334</v>
      </c>
      <c r="H567" s="6" t="n">
        <v>94005</v>
      </c>
      <c r="I567" s="6" t="n">
        <v>26843</v>
      </c>
      <c r="J567" s="6" t="n">
        <v>27070</v>
      </c>
      <c r="K567" s="6" t="n">
        <v>3595</v>
      </c>
      <c r="L567" s="6" t="n">
        <v>3534</v>
      </c>
      <c r="M567" s="6" t="n">
        <v>1967</v>
      </c>
      <c r="N567" s="6" t="n">
        <v>1807</v>
      </c>
      <c r="O567" s="6" t="n">
        <v>3611</v>
      </c>
      <c r="P567" s="6" t="n">
        <v>3563</v>
      </c>
      <c r="Q567" s="6" t="n">
        <v>3157</v>
      </c>
      <c r="R567" s="6" t="n">
        <v>3130</v>
      </c>
      <c r="S567" s="6" t="n">
        <v>1673</v>
      </c>
      <c r="T567" s="6" t="n">
        <v>2218</v>
      </c>
      <c r="U567" s="6" t="n">
        <v>3641</v>
      </c>
      <c r="V567" s="6" t="n">
        <v>3603</v>
      </c>
    </row>
    <row r="568" customFormat="false" ht="15" hidden="false" customHeight="false" outlineLevel="0" collapsed="false">
      <c r="A568" s="5" t="s">
        <v>79</v>
      </c>
      <c r="B568" s="6" t="s">
        <v>75</v>
      </c>
      <c r="C568" s="5" t="s">
        <v>63</v>
      </c>
      <c r="D568" s="5" t="s">
        <v>61</v>
      </c>
      <c r="E568" s="6" t="n">
        <v>163279</v>
      </c>
      <c r="F568" s="6" t="n">
        <v>166578</v>
      </c>
      <c r="G568" s="6" t="n">
        <v>92169</v>
      </c>
      <c r="H568" s="6" t="n">
        <v>96130</v>
      </c>
      <c r="I568" s="6" t="n">
        <v>25165</v>
      </c>
      <c r="J568" s="6" t="n">
        <v>27105</v>
      </c>
      <c r="K568" s="6" t="n">
        <v>4789</v>
      </c>
      <c r="L568" s="6" t="n">
        <v>4301</v>
      </c>
      <c r="M568" s="6" t="n">
        <v>1357</v>
      </c>
      <c r="N568" s="6" t="n">
        <v>1717</v>
      </c>
      <c r="O568" s="6" t="n">
        <v>4428</v>
      </c>
      <c r="P568" s="6" t="n">
        <v>4094</v>
      </c>
      <c r="Q568" s="6" t="n">
        <v>2755</v>
      </c>
      <c r="R568" s="6" t="n">
        <v>2840</v>
      </c>
      <c r="S568" s="6" t="n">
        <v>1480</v>
      </c>
      <c r="T568" s="6" t="n">
        <v>1877</v>
      </c>
      <c r="U568" s="6" t="n">
        <v>4095</v>
      </c>
      <c r="V568" s="6" t="n">
        <v>4115</v>
      </c>
    </row>
    <row r="569" customFormat="false" ht="15" hidden="false" customHeight="false" outlineLevel="0" collapsed="false">
      <c r="A569" s="5" t="s">
        <v>79</v>
      </c>
      <c r="B569" s="6" t="s">
        <v>75</v>
      </c>
      <c r="C569" s="5" t="s">
        <v>64</v>
      </c>
      <c r="D569" s="5" t="s">
        <v>61</v>
      </c>
      <c r="E569" s="6" t="n">
        <v>161635</v>
      </c>
      <c r="F569" s="6" t="n">
        <v>167361</v>
      </c>
      <c r="G569" s="6" t="n">
        <v>95339</v>
      </c>
      <c r="H569" s="6" t="n">
        <v>95642</v>
      </c>
      <c r="I569" s="6" t="n">
        <v>26151</v>
      </c>
      <c r="J569" s="6" t="n">
        <v>26463</v>
      </c>
      <c r="K569" s="6" t="n">
        <v>5652</v>
      </c>
      <c r="L569" s="6" t="n">
        <v>4937</v>
      </c>
      <c r="M569" s="6" t="n">
        <v>1381</v>
      </c>
      <c r="N569" s="6" t="n">
        <v>1751</v>
      </c>
      <c r="O569" s="6" t="n">
        <v>3272</v>
      </c>
      <c r="P569" s="6" t="n">
        <v>3307</v>
      </c>
      <c r="Q569" s="6" t="n">
        <v>2682</v>
      </c>
      <c r="R569" s="6" t="n">
        <v>2695</v>
      </c>
      <c r="S569" s="6" t="n">
        <v>1375</v>
      </c>
      <c r="T569" s="6" t="n">
        <v>1705</v>
      </c>
      <c r="U569" s="6" t="n">
        <v>4603</v>
      </c>
      <c r="V569" s="6" t="n">
        <v>4611</v>
      </c>
    </row>
    <row r="570" customFormat="false" ht="15" hidden="false" customHeight="false" outlineLevel="0" collapsed="false">
      <c r="A570" s="5" t="s">
        <v>79</v>
      </c>
      <c r="B570" s="6" t="s">
        <v>75</v>
      </c>
      <c r="C570" s="5" t="s">
        <v>65</v>
      </c>
      <c r="D570" s="5" t="s">
        <v>61</v>
      </c>
      <c r="E570" s="6" t="n">
        <v>165616</v>
      </c>
      <c r="F570" s="6" t="n">
        <v>166168</v>
      </c>
      <c r="G570" s="6" t="n">
        <v>94644</v>
      </c>
      <c r="H570" s="6" t="n">
        <v>95300</v>
      </c>
      <c r="I570" s="6" t="n">
        <v>24524</v>
      </c>
      <c r="J570" s="6" t="n">
        <v>26044</v>
      </c>
      <c r="K570" s="6" t="n">
        <v>4040</v>
      </c>
      <c r="L570" s="6" t="n">
        <v>3730</v>
      </c>
      <c r="M570" s="6" t="n">
        <v>1607</v>
      </c>
      <c r="N570" s="6" t="n">
        <v>1902</v>
      </c>
      <c r="O570" s="6" t="n">
        <v>3581</v>
      </c>
      <c r="P570" s="6" t="n">
        <v>3588</v>
      </c>
      <c r="Q570" s="6" t="n">
        <v>2979</v>
      </c>
      <c r="R570" s="6" t="n">
        <v>2864</v>
      </c>
      <c r="S570" s="6" t="n">
        <v>1233</v>
      </c>
      <c r="T570" s="6" t="n">
        <v>1529</v>
      </c>
      <c r="U570" s="6" t="n">
        <v>4770</v>
      </c>
      <c r="V570" s="6" t="n">
        <v>4730</v>
      </c>
    </row>
    <row r="571" customFormat="false" ht="15" hidden="false" customHeight="false" outlineLevel="0" collapsed="false">
      <c r="A571" s="5" t="s">
        <v>79</v>
      </c>
      <c r="B571" s="6" t="s">
        <v>75</v>
      </c>
      <c r="C571" s="5" t="s">
        <v>66</v>
      </c>
      <c r="D571" s="5" t="s">
        <v>61</v>
      </c>
      <c r="E571" s="6" t="n">
        <v>178556</v>
      </c>
      <c r="F571" s="6" t="n">
        <v>178435</v>
      </c>
      <c r="G571" s="6" t="n">
        <v>106219</v>
      </c>
      <c r="H571" s="6" t="n">
        <v>108407</v>
      </c>
      <c r="I571" s="6" t="n">
        <v>28240</v>
      </c>
      <c r="J571" s="6" t="n">
        <v>28787</v>
      </c>
      <c r="K571" s="6" t="n">
        <v>4693</v>
      </c>
      <c r="L571" s="6" t="n">
        <v>4791</v>
      </c>
      <c r="M571" s="6" t="n">
        <v>2462</v>
      </c>
      <c r="N571" s="6" t="n">
        <v>2124</v>
      </c>
      <c r="O571" s="6" t="n">
        <v>4174</v>
      </c>
      <c r="P571" s="6" t="n">
        <v>4423</v>
      </c>
      <c r="Q571" s="6" t="n">
        <v>2725</v>
      </c>
      <c r="R571" s="6" t="n">
        <v>2748</v>
      </c>
      <c r="S571" s="6" t="n">
        <v>1219</v>
      </c>
      <c r="T571" s="6" t="n">
        <v>1166</v>
      </c>
      <c r="U571" s="6" t="n">
        <v>4083</v>
      </c>
      <c r="V571" s="6" t="n">
        <v>4037</v>
      </c>
    </row>
    <row r="572" customFormat="false" ht="15" hidden="false" customHeight="false" outlineLevel="0" collapsed="false">
      <c r="A572" s="5" t="s">
        <v>79</v>
      </c>
      <c r="B572" s="6" t="s">
        <v>75</v>
      </c>
      <c r="C572" s="5" t="s">
        <v>67</v>
      </c>
      <c r="D572" s="5" t="s">
        <v>61</v>
      </c>
      <c r="E572" s="6" t="n">
        <v>164441</v>
      </c>
      <c r="F572" s="6" t="n">
        <v>166014</v>
      </c>
      <c r="G572" s="6" t="n">
        <v>98499</v>
      </c>
      <c r="H572" s="6" t="n">
        <v>100903</v>
      </c>
      <c r="I572" s="6" t="n">
        <v>26143</v>
      </c>
      <c r="J572" s="6" t="n">
        <v>27581</v>
      </c>
      <c r="K572" s="6" t="n">
        <v>5508</v>
      </c>
      <c r="L572" s="6" t="n">
        <v>6130</v>
      </c>
      <c r="M572" s="6" t="n">
        <v>1333</v>
      </c>
      <c r="N572" s="6" t="n">
        <v>1147</v>
      </c>
      <c r="O572" s="6" t="n">
        <v>3393</v>
      </c>
      <c r="P572" s="6" t="n">
        <v>3460</v>
      </c>
      <c r="Q572" s="6" t="n">
        <v>3197</v>
      </c>
      <c r="R572" s="6" t="n">
        <v>3275</v>
      </c>
      <c r="S572" s="6" t="n">
        <v>1111</v>
      </c>
      <c r="T572" s="6" t="n">
        <v>912</v>
      </c>
      <c r="U572" s="6" t="n">
        <v>3998</v>
      </c>
      <c r="V572" s="6" t="n">
        <v>4044</v>
      </c>
    </row>
    <row r="573" customFormat="false" ht="15" hidden="false" customHeight="false" outlineLevel="0" collapsed="false">
      <c r="A573" s="5" t="s">
        <v>79</v>
      </c>
      <c r="B573" s="6" t="s">
        <v>75</v>
      </c>
      <c r="C573" s="5" t="s">
        <v>68</v>
      </c>
      <c r="D573" s="5" t="s">
        <v>61</v>
      </c>
      <c r="E573" s="6" t="n">
        <v>163581</v>
      </c>
      <c r="F573" s="6" t="n">
        <v>171130</v>
      </c>
      <c r="G573" s="6" t="n">
        <v>96842</v>
      </c>
      <c r="H573" s="6" t="n">
        <v>105749</v>
      </c>
      <c r="I573" s="6" t="n">
        <v>27339</v>
      </c>
      <c r="J573" s="6" t="n">
        <v>27585</v>
      </c>
      <c r="K573" s="6" t="n">
        <v>4259</v>
      </c>
      <c r="L573" s="6" t="n">
        <v>4332</v>
      </c>
      <c r="M573" s="6" t="n">
        <v>2124</v>
      </c>
      <c r="N573" s="6" t="n">
        <v>1826</v>
      </c>
      <c r="O573" s="6" t="n">
        <v>4412</v>
      </c>
      <c r="P573" s="6" t="n">
        <v>4772</v>
      </c>
      <c r="Q573" s="6" t="n">
        <v>2737</v>
      </c>
      <c r="R573" s="6" t="n">
        <v>2769</v>
      </c>
      <c r="S573" s="6" t="n">
        <v>1957</v>
      </c>
      <c r="T573" s="6" t="n">
        <v>1619</v>
      </c>
      <c r="U573" s="6" t="n">
        <v>4480</v>
      </c>
      <c r="V573" s="6" t="n">
        <v>4441</v>
      </c>
    </row>
    <row r="574" customFormat="false" ht="15" hidden="false" customHeight="false" outlineLevel="0" collapsed="false">
      <c r="A574" s="5" t="s">
        <v>79</v>
      </c>
      <c r="B574" s="6" t="s">
        <v>75</v>
      </c>
      <c r="C574" s="5" t="s">
        <v>69</v>
      </c>
      <c r="D574" s="5" t="s">
        <v>61</v>
      </c>
      <c r="E574" s="6" t="n">
        <v>182464</v>
      </c>
      <c r="F574" s="6" t="n">
        <v>184481</v>
      </c>
      <c r="G574" s="6" t="n">
        <v>103454</v>
      </c>
      <c r="H574" s="6" t="n">
        <v>108609</v>
      </c>
      <c r="I574" s="6" t="n">
        <v>27129</v>
      </c>
      <c r="J574" s="6" t="n">
        <v>27739</v>
      </c>
      <c r="K574" s="6" t="n">
        <v>4018</v>
      </c>
      <c r="L574" s="6" t="n">
        <v>3636</v>
      </c>
      <c r="M574" s="6" t="n">
        <v>2438</v>
      </c>
      <c r="N574" s="6" t="n">
        <v>3067</v>
      </c>
      <c r="O574" s="6" t="n">
        <v>4993</v>
      </c>
      <c r="P574" s="6" t="n">
        <v>4669</v>
      </c>
      <c r="Q574" s="6" t="n">
        <v>3497</v>
      </c>
      <c r="R574" s="6" t="n">
        <v>3530</v>
      </c>
      <c r="S574" s="6" t="n">
        <v>1500</v>
      </c>
      <c r="T574" s="6" t="n">
        <v>1784</v>
      </c>
      <c r="U574" s="6" t="n">
        <v>4342</v>
      </c>
      <c r="V574" s="6" t="n">
        <v>4326</v>
      </c>
    </row>
    <row r="575" customFormat="false" ht="15" hidden="false" customHeight="false" outlineLevel="0" collapsed="false">
      <c r="A575" s="5" t="s">
        <v>79</v>
      </c>
      <c r="B575" s="6" t="s">
        <v>75</v>
      </c>
      <c r="C575" s="5" t="s">
        <v>70</v>
      </c>
      <c r="D575" s="5" t="s">
        <v>61</v>
      </c>
      <c r="E575" s="6" t="n">
        <v>176468</v>
      </c>
      <c r="F575" s="6" t="n">
        <v>174622</v>
      </c>
      <c r="G575" s="6" t="n">
        <v>105296</v>
      </c>
      <c r="H575" s="6" t="n">
        <v>101548</v>
      </c>
      <c r="I575" s="6" t="n">
        <v>26280</v>
      </c>
      <c r="J575" s="6" t="n">
        <v>26478</v>
      </c>
      <c r="K575" s="6" t="n">
        <v>5023</v>
      </c>
      <c r="L575" s="6" t="n">
        <v>5622</v>
      </c>
      <c r="M575" s="6" t="n">
        <v>2128</v>
      </c>
      <c r="N575" s="6" t="n">
        <v>2600</v>
      </c>
      <c r="O575" s="6" t="n">
        <v>3929</v>
      </c>
      <c r="P575" s="6" t="n">
        <v>3843</v>
      </c>
      <c r="Q575" s="6" t="n">
        <v>2567</v>
      </c>
      <c r="R575" s="6" t="n">
        <v>2484</v>
      </c>
      <c r="S575" s="6" t="n">
        <v>1210</v>
      </c>
      <c r="T575" s="6" t="n">
        <v>1559</v>
      </c>
      <c r="U575" s="6" t="n">
        <v>4826</v>
      </c>
      <c r="V575" s="6" t="n">
        <v>4968</v>
      </c>
    </row>
    <row r="576" customFormat="false" ht="15" hidden="false" customHeight="false" outlineLevel="0" collapsed="false">
      <c r="A576" s="5" t="s">
        <v>79</v>
      </c>
      <c r="B576" s="6" t="s">
        <v>75</v>
      </c>
      <c r="C576" s="5" t="s">
        <v>71</v>
      </c>
      <c r="D576" s="5" t="s">
        <v>61</v>
      </c>
      <c r="E576" s="6" t="n">
        <v>174902</v>
      </c>
      <c r="F576" s="6" t="n">
        <v>174501</v>
      </c>
      <c r="G576" s="6" t="n">
        <v>100483</v>
      </c>
      <c r="H576" s="6" t="n">
        <v>102132</v>
      </c>
      <c r="I576" s="6" t="n">
        <v>25008</v>
      </c>
      <c r="J576" s="6" t="n">
        <v>25041</v>
      </c>
      <c r="K576" s="6" t="n">
        <v>3809</v>
      </c>
      <c r="L576" s="6" t="n">
        <v>3551</v>
      </c>
      <c r="M576" s="6" t="n">
        <v>1937</v>
      </c>
      <c r="N576" s="6" t="n">
        <v>2407</v>
      </c>
      <c r="O576" s="6" t="n">
        <v>3653</v>
      </c>
      <c r="P576" s="6" t="n">
        <v>3964</v>
      </c>
      <c r="Q576" s="6" t="n">
        <v>3482</v>
      </c>
      <c r="R576" s="6" t="n">
        <v>3570</v>
      </c>
      <c r="S576" s="6" t="n">
        <v>2020</v>
      </c>
      <c r="T576" s="6" t="n">
        <v>2424</v>
      </c>
      <c r="U576" s="6" t="n">
        <v>3745</v>
      </c>
      <c r="V576" s="6" t="n">
        <v>3679</v>
      </c>
    </row>
    <row r="577" customFormat="false" ht="15" hidden="false" customHeight="false" outlineLevel="0" collapsed="false">
      <c r="A577" s="5" t="s">
        <v>79</v>
      </c>
      <c r="B577" s="6" t="s">
        <v>75</v>
      </c>
      <c r="C577" s="5" t="s">
        <v>72</v>
      </c>
      <c r="D577" s="5" t="s">
        <v>61</v>
      </c>
      <c r="E577" s="6" t="n">
        <v>196897</v>
      </c>
      <c r="F577" s="6" t="n">
        <v>191054</v>
      </c>
      <c r="G577" s="6" t="n">
        <v>106647</v>
      </c>
      <c r="H577" s="6" t="n">
        <v>108283</v>
      </c>
      <c r="I577" s="6" t="n">
        <v>33235</v>
      </c>
      <c r="J577" s="6" t="n">
        <v>34211</v>
      </c>
      <c r="K577" s="6" t="n">
        <v>6298</v>
      </c>
      <c r="L577" s="6" t="n">
        <v>5366</v>
      </c>
      <c r="M577" s="6" t="n">
        <v>2723</v>
      </c>
      <c r="N577" s="6" t="n">
        <v>2213</v>
      </c>
      <c r="O577" s="6" t="n">
        <v>3944</v>
      </c>
      <c r="P577" s="6" t="n">
        <v>4297</v>
      </c>
      <c r="Q577" s="6" t="n">
        <v>3262</v>
      </c>
      <c r="R577" s="6" t="n">
        <v>3338</v>
      </c>
      <c r="S577" s="6" t="n">
        <v>1797</v>
      </c>
      <c r="T577" s="6" t="n">
        <v>2334</v>
      </c>
      <c r="U577" s="6" t="n">
        <v>4519</v>
      </c>
      <c r="V577" s="6" t="n">
        <v>4413</v>
      </c>
    </row>
    <row r="578" customFormat="false" ht="15" hidden="false" customHeight="false" outlineLevel="0" collapsed="false">
      <c r="A578" s="5" t="s">
        <v>79</v>
      </c>
      <c r="B578" s="6" t="s">
        <v>76</v>
      </c>
      <c r="C578" s="5" t="s">
        <v>34</v>
      </c>
      <c r="D578" s="5" t="s">
        <v>35</v>
      </c>
      <c r="E578" s="6" t="n">
        <v>120436</v>
      </c>
      <c r="F578" s="6" t="n">
        <v>121423</v>
      </c>
      <c r="G578" s="6" t="n">
        <v>66936</v>
      </c>
      <c r="H578" s="6" t="n">
        <v>70305</v>
      </c>
      <c r="I578" s="6" t="n">
        <v>20449</v>
      </c>
      <c r="J578" s="6" t="n">
        <v>21481</v>
      </c>
      <c r="K578" s="6" t="n">
        <v>2619</v>
      </c>
      <c r="L578" s="6" t="n">
        <v>2504</v>
      </c>
      <c r="M578" s="6" t="n">
        <v>1030</v>
      </c>
      <c r="N578" s="6" t="n">
        <v>1233</v>
      </c>
      <c r="O578" s="6" t="n">
        <v>3044</v>
      </c>
      <c r="P578" s="6" t="n">
        <v>2980</v>
      </c>
      <c r="Q578" s="6" t="n">
        <v>1934</v>
      </c>
      <c r="R578" s="6" t="n">
        <v>1891</v>
      </c>
      <c r="S578" s="6" t="n">
        <v>1178</v>
      </c>
      <c r="T578" s="6" t="n">
        <v>1305</v>
      </c>
      <c r="U578" s="6" t="n">
        <v>3345</v>
      </c>
      <c r="V578" s="6" t="n">
        <v>3387</v>
      </c>
    </row>
    <row r="579" customFormat="false" ht="15" hidden="false" customHeight="false" outlineLevel="0" collapsed="false">
      <c r="A579" s="5" t="s">
        <v>79</v>
      </c>
      <c r="B579" s="6" t="s">
        <v>76</v>
      </c>
      <c r="C579" s="5" t="s">
        <v>36</v>
      </c>
      <c r="D579" s="5" t="s">
        <v>35</v>
      </c>
      <c r="E579" s="6" t="n">
        <v>127888</v>
      </c>
      <c r="F579" s="6" t="n">
        <v>121686</v>
      </c>
      <c r="G579" s="6" t="n">
        <v>72385</v>
      </c>
      <c r="H579" s="6" t="n">
        <v>72114</v>
      </c>
      <c r="I579" s="6" t="n">
        <v>20951</v>
      </c>
      <c r="J579" s="6" t="n">
        <v>21054</v>
      </c>
      <c r="K579" s="6" t="n">
        <v>4172</v>
      </c>
      <c r="L579" s="6" t="n">
        <v>4374</v>
      </c>
      <c r="M579" s="6" t="n">
        <v>1809</v>
      </c>
      <c r="N579" s="6" t="n">
        <v>1479</v>
      </c>
      <c r="O579" s="6" t="n">
        <v>3113</v>
      </c>
      <c r="P579" s="6" t="n">
        <v>2868</v>
      </c>
      <c r="Q579" s="6" t="n">
        <v>1675</v>
      </c>
      <c r="R579" s="6" t="n">
        <v>1654</v>
      </c>
      <c r="S579" s="6" t="n">
        <v>1491</v>
      </c>
      <c r="T579" s="6" t="n">
        <v>1795</v>
      </c>
      <c r="U579" s="6" t="n">
        <v>2897</v>
      </c>
      <c r="V579" s="6" t="n">
        <v>2836</v>
      </c>
    </row>
    <row r="580" customFormat="false" ht="15" hidden="false" customHeight="false" outlineLevel="0" collapsed="false">
      <c r="A580" s="5" t="s">
        <v>79</v>
      </c>
      <c r="B580" s="6" t="s">
        <v>76</v>
      </c>
      <c r="C580" s="5" t="s">
        <v>37</v>
      </c>
      <c r="D580" s="5" t="s">
        <v>35</v>
      </c>
      <c r="E580" s="6" t="n">
        <v>127890</v>
      </c>
      <c r="F580" s="6" t="n">
        <v>124403</v>
      </c>
      <c r="G580" s="6" t="n">
        <v>71229</v>
      </c>
      <c r="H580" s="6" t="n">
        <v>68034</v>
      </c>
      <c r="I580" s="6" t="n">
        <v>21265</v>
      </c>
      <c r="J580" s="6" t="n">
        <v>22851</v>
      </c>
      <c r="K580" s="6" t="n">
        <v>4202</v>
      </c>
      <c r="L580" s="6" t="n">
        <v>4516</v>
      </c>
      <c r="M580" s="6" t="n">
        <v>1026</v>
      </c>
      <c r="N580" s="6" t="n">
        <v>855</v>
      </c>
      <c r="O580" s="6" t="n">
        <v>3015</v>
      </c>
      <c r="P580" s="6" t="n">
        <v>2887</v>
      </c>
      <c r="Q580" s="6" t="n">
        <v>1717</v>
      </c>
      <c r="R580" s="6" t="n">
        <v>1703</v>
      </c>
      <c r="S580" s="6" t="n">
        <v>969</v>
      </c>
      <c r="T580" s="6" t="n">
        <v>996</v>
      </c>
      <c r="U580" s="6" t="n">
        <v>3305</v>
      </c>
      <c r="V580" s="6" t="n">
        <v>3332</v>
      </c>
    </row>
    <row r="581" customFormat="false" ht="15" hidden="false" customHeight="false" outlineLevel="0" collapsed="false">
      <c r="A581" s="5" t="s">
        <v>79</v>
      </c>
      <c r="B581" s="6" t="s">
        <v>76</v>
      </c>
      <c r="C581" s="5" t="s">
        <v>38</v>
      </c>
      <c r="D581" s="5" t="s">
        <v>35</v>
      </c>
      <c r="E581" s="6" t="n">
        <v>127889</v>
      </c>
      <c r="F581" s="6" t="n">
        <v>125525</v>
      </c>
      <c r="G581" s="6" t="n">
        <v>70442</v>
      </c>
      <c r="H581" s="6" t="n">
        <v>68513</v>
      </c>
      <c r="I581" s="6" t="n">
        <v>18794</v>
      </c>
      <c r="J581" s="6" t="n">
        <v>18834</v>
      </c>
      <c r="K581" s="6" t="n">
        <v>3488</v>
      </c>
      <c r="L581" s="6" t="n">
        <v>3799</v>
      </c>
      <c r="M581" s="6" t="n">
        <v>1374</v>
      </c>
      <c r="N581" s="6" t="n">
        <v>1345</v>
      </c>
      <c r="O581" s="6" t="n">
        <v>2917</v>
      </c>
      <c r="P581" s="6" t="n">
        <v>2734</v>
      </c>
      <c r="Q581" s="6" t="n">
        <v>1650</v>
      </c>
      <c r="R581" s="6" t="n">
        <v>1713</v>
      </c>
      <c r="S581" s="6" t="n">
        <v>1347</v>
      </c>
      <c r="T581" s="6" t="n">
        <v>1310</v>
      </c>
      <c r="U581" s="6" t="n">
        <v>3797</v>
      </c>
      <c r="V581" s="6" t="n">
        <v>3757</v>
      </c>
    </row>
    <row r="582" customFormat="false" ht="15" hidden="false" customHeight="false" outlineLevel="0" collapsed="false">
      <c r="A582" s="5" t="s">
        <v>79</v>
      </c>
      <c r="B582" s="6" t="s">
        <v>76</v>
      </c>
      <c r="C582" s="5" t="s">
        <v>39</v>
      </c>
      <c r="D582" s="5" t="s">
        <v>35</v>
      </c>
      <c r="E582" s="6" t="n">
        <v>121678</v>
      </c>
      <c r="F582" s="6" t="n">
        <v>127559</v>
      </c>
      <c r="G582" s="6" t="n">
        <v>69099</v>
      </c>
      <c r="H582" s="6" t="n">
        <v>71922</v>
      </c>
      <c r="I582" s="6" t="n">
        <v>17449</v>
      </c>
      <c r="J582" s="6" t="n">
        <v>18263</v>
      </c>
      <c r="K582" s="6" t="n">
        <v>3720</v>
      </c>
      <c r="L582" s="6" t="n">
        <v>4025</v>
      </c>
      <c r="M582" s="6" t="n">
        <v>1385</v>
      </c>
      <c r="N582" s="6" t="n">
        <v>1665</v>
      </c>
      <c r="O582" s="6" t="n">
        <v>2785</v>
      </c>
      <c r="P582" s="6" t="n">
        <v>2769</v>
      </c>
      <c r="Q582" s="6" t="n">
        <v>1689</v>
      </c>
      <c r="R582" s="6" t="n">
        <v>1654</v>
      </c>
      <c r="S582" s="6" t="n">
        <v>1101</v>
      </c>
      <c r="T582" s="6" t="n">
        <v>1469</v>
      </c>
      <c r="U582" s="6" t="n">
        <v>3386</v>
      </c>
      <c r="V582" s="6" t="n">
        <v>3297</v>
      </c>
    </row>
    <row r="583" customFormat="false" ht="15" hidden="false" customHeight="false" outlineLevel="0" collapsed="false">
      <c r="A583" s="5" t="s">
        <v>79</v>
      </c>
      <c r="B583" s="6" t="s">
        <v>76</v>
      </c>
      <c r="C583" s="5" t="s">
        <v>40</v>
      </c>
      <c r="D583" s="5" t="s">
        <v>35</v>
      </c>
      <c r="E583" s="6" t="n">
        <v>138605</v>
      </c>
      <c r="F583" s="6" t="n">
        <v>142687</v>
      </c>
      <c r="G583" s="6" t="n">
        <v>77488</v>
      </c>
      <c r="H583" s="6" t="n">
        <v>79709</v>
      </c>
      <c r="I583" s="6" t="n">
        <v>21242</v>
      </c>
      <c r="J583" s="6" t="n">
        <v>21536</v>
      </c>
      <c r="K583" s="6" t="n">
        <v>4669</v>
      </c>
      <c r="L583" s="6" t="n">
        <v>4344</v>
      </c>
      <c r="M583" s="6" t="n">
        <v>1815</v>
      </c>
      <c r="N583" s="6" t="n">
        <v>1760</v>
      </c>
      <c r="O583" s="6" t="n">
        <v>3629</v>
      </c>
      <c r="P583" s="6" t="n">
        <v>3540</v>
      </c>
      <c r="Q583" s="6" t="n">
        <v>2118</v>
      </c>
      <c r="R583" s="6" t="n">
        <v>2133</v>
      </c>
      <c r="S583" s="6" t="n">
        <v>970</v>
      </c>
      <c r="T583" s="6" t="n">
        <v>896</v>
      </c>
      <c r="U583" s="6" t="n">
        <v>3639</v>
      </c>
      <c r="V583" s="6" t="n">
        <v>3737</v>
      </c>
    </row>
    <row r="584" customFormat="false" ht="15" hidden="false" customHeight="false" outlineLevel="0" collapsed="false">
      <c r="A584" s="5" t="s">
        <v>79</v>
      </c>
      <c r="B584" s="6" t="s">
        <v>76</v>
      </c>
      <c r="C584" s="5" t="s">
        <v>41</v>
      </c>
      <c r="D584" s="5" t="s">
        <v>35</v>
      </c>
      <c r="E584" s="6" t="n">
        <v>129344</v>
      </c>
      <c r="F584" s="6" t="n">
        <v>132043</v>
      </c>
      <c r="G584" s="6" t="n">
        <v>74541</v>
      </c>
      <c r="H584" s="6" t="n">
        <v>73587</v>
      </c>
      <c r="I584" s="6" t="n">
        <v>20911</v>
      </c>
      <c r="J584" s="6" t="n">
        <v>22129</v>
      </c>
      <c r="K584" s="6" t="n">
        <v>2762</v>
      </c>
      <c r="L584" s="6" t="n">
        <v>2932</v>
      </c>
      <c r="M584" s="6" t="n">
        <v>1861</v>
      </c>
      <c r="N584" s="6" t="n">
        <v>2202</v>
      </c>
      <c r="O584" s="6" t="n">
        <v>3043</v>
      </c>
      <c r="P584" s="6" t="n">
        <v>3158</v>
      </c>
      <c r="Q584" s="6" t="n">
        <v>2089</v>
      </c>
      <c r="R584" s="6" t="n">
        <v>2060</v>
      </c>
      <c r="S584" s="6" t="n">
        <v>930</v>
      </c>
      <c r="T584" s="6" t="n">
        <v>832</v>
      </c>
      <c r="U584" s="6" t="n">
        <v>3280</v>
      </c>
      <c r="V584" s="6" t="n">
        <v>3351</v>
      </c>
    </row>
    <row r="585" customFormat="false" ht="15" hidden="false" customHeight="false" outlineLevel="0" collapsed="false">
      <c r="A585" s="5" t="s">
        <v>79</v>
      </c>
      <c r="B585" s="6" t="s">
        <v>76</v>
      </c>
      <c r="C585" s="5" t="s">
        <v>42</v>
      </c>
      <c r="D585" s="5" t="s">
        <v>35</v>
      </c>
      <c r="E585" s="6" t="n">
        <v>136642</v>
      </c>
      <c r="F585" s="6" t="n">
        <v>131874</v>
      </c>
      <c r="G585" s="6" t="n">
        <v>81253</v>
      </c>
      <c r="H585" s="6" t="n">
        <v>77966</v>
      </c>
      <c r="I585" s="6" t="n">
        <v>20014</v>
      </c>
      <c r="J585" s="6" t="n">
        <v>21028</v>
      </c>
      <c r="K585" s="6" t="n">
        <v>4660</v>
      </c>
      <c r="L585" s="6" t="n">
        <v>4011</v>
      </c>
      <c r="M585" s="6" t="n">
        <v>1112</v>
      </c>
      <c r="N585" s="6" t="n">
        <v>1412</v>
      </c>
      <c r="O585" s="6" t="n">
        <v>2600</v>
      </c>
      <c r="P585" s="6" t="n">
        <v>2578</v>
      </c>
      <c r="Q585" s="6" t="n">
        <v>2170</v>
      </c>
      <c r="R585" s="6" t="n">
        <v>2096</v>
      </c>
      <c r="S585" s="6" t="n">
        <v>1067</v>
      </c>
      <c r="T585" s="6" t="n">
        <v>1001</v>
      </c>
      <c r="U585" s="6" t="n">
        <v>3788</v>
      </c>
      <c r="V585" s="6" t="n">
        <v>3731</v>
      </c>
    </row>
    <row r="586" customFormat="false" ht="15" hidden="false" customHeight="false" outlineLevel="0" collapsed="false">
      <c r="A586" s="5" t="s">
        <v>79</v>
      </c>
      <c r="B586" s="6" t="s">
        <v>76</v>
      </c>
      <c r="C586" s="5" t="s">
        <v>43</v>
      </c>
      <c r="D586" s="5" t="s">
        <v>35</v>
      </c>
      <c r="E586" s="6" t="n">
        <v>138068</v>
      </c>
      <c r="F586" s="6" t="n">
        <v>144599</v>
      </c>
      <c r="G586" s="6" t="n">
        <v>81052</v>
      </c>
      <c r="H586" s="6" t="n">
        <v>86731</v>
      </c>
      <c r="I586" s="6" t="n">
        <v>19873</v>
      </c>
      <c r="J586" s="6" t="n">
        <v>20896</v>
      </c>
      <c r="K586" s="6" t="n">
        <v>3321</v>
      </c>
      <c r="L586" s="6" t="n">
        <v>2907</v>
      </c>
      <c r="M586" s="6" t="n">
        <v>1176</v>
      </c>
      <c r="N586" s="6" t="n">
        <v>1365</v>
      </c>
      <c r="O586" s="6" t="n">
        <v>3538</v>
      </c>
      <c r="P586" s="6" t="n">
        <v>3519</v>
      </c>
      <c r="Q586" s="6" t="n">
        <v>1673</v>
      </c>
      <c r="R586" s="6" t="n">
        <v>1728</v>
      </c>
      <c r="S586" s="6" t="n">
        <v>1329</v>
      </c>
      <c r="T586" s="6" t="n">
        <v>1184</v>
      </c>
      <c r="U586" s="6" t="n">
        <v>3777</v>
      </c>
      <c r="V586" s="6" t="n">
        <v>3843</v>
      </c>
    </row>
    <row r="587" customFormat="false" ht="15" hidden="false" customHeight="false" outlineLevel="0" collapsed="false">
      <c r="A587" s="5" t="s">
        <v>79</v>
      </c>
      <c r="B587" s="6" t="s">
        <v>76</v>
      </c>
      <c r="C587" s="5" t="s">
        <v>44</v>
      </c>
      <c r="D587" s="5" t="s">
        <v>35</v>
      </c>
      <c r="E587" s="6" t="n">
        <v>133248</v>
      </c>
      <c r="F587" s="6" t="n">
        <v>131579</v>
      </c>
      <c r="G587" s="6" t="n">
        <v>74450</v>
      </c>
      <c r="H587" s="6" t="n">
        <v>73016</v>
      </c>
      <c r="I587" s="6" t="n">
        <v>20703</v>
      </c>
      <c r="J587" s="6" t="n">
        <v>20135</v>
      </c>
      <c r="K587" s="6" t="n">
        <v>3213</v>
      </c>
      <c r="L587" s="6" t="n">
        <v>2926</v>
      </c>
      <c r="M587" s="6" t="n">
        <v>1312</v>
      </c>
      <c r="N587" s="6" t="n">
        <v>1480</v>
      </c>
      <c r="O587" s="6" t="n">
        <v>3027</v>
      </c>
      <c r="P587" s="6" t="n">
        <v>2944</v>
      </c>
      <c r="Q587" s="6" t="n">
        <v>1698</v>
      </c>
      <c r="R587" s="6" t="n">
        <v>1777</v>
      </c>
      <c r="S587" s="6" t="n">
        <v>1248</v>
      </c>
      <c r="T587" s="6" t="n">
        <v>1360</v>
      </c>
      <c r="U587" s="6" t="n">
        <v>3874</v>
      </c>
      <c r="V587" s="6" t="n">
        <v>3882</v>
      </c>
    </row>
    <row r="588" customFormat="false" ht="15" hidden="false" customHeight="false" outlineLevel="0" collapsed="false">
      <c r="A588" s="5" t="s">
        <v>79</v>
      </c>
      <c r="B588" s="6" t="s">
        <v>76</v>
      </c>
      <c r="C588" s="5" t="s">
        <v>45</v>
      </c>
      <c r="D588" s="5" t="s">
        <v>35</v>
      </c>
      <c r="E588" s="6" t="n">
        <v>123873</v>
      </c>
      <c r="F588" s="6" t="n">
        <v>131491</v>
      </c>
      <c r="G588" s="6" t="n">
        <v>70586</v>
      </c>
      <c r="H588" s="6" t="n">
        <v>74885</v>
      </c>
      <c r="I588" s="6" t="n">
        <v>18727</v>
      </c>
      <c r="J588" s="6" t="n">
        <v>19291</v>
      </c>
      <c r="K588" s="6" t="n">
        <v>2679</v>
      </c>
      <c r="L588" s="6" t="n">
        <v>2457</v>
      </c>
      <c r="M588" s="6" t="n">
        <v>1837</v>
      </c>
      <c r="N588" s="6" t="n">
        <v>1835</v>
      </c>
      <c r="O588" s="6" t="n">
        <v>2517</v>
      </c>
      <c r="P588" s="6" t="n">
        <v>2483</v>
      </c>
      <c r="Q588" s="6" t="n">
        <v>2045</v>
      </c>
      <c r="R588" s="6" t="n">
        <v>2074</v>
      </c>
      <c r="S588" s="6" t="n">
        <v>990</v>
      </c>
      <c r="T588" s="6" t="n">
        <v>1273</v>
      </c>
      <c r="U588" s="6" t="n">
        <v>3686</v>
      </c>
      <c r="V588" s="6" t="n">
        <v>3597</v>
      </c>
    </row>
    <row r="589" customFormat="false" ht="15" hidden="false" customHeight="false" outlineLevel="0" collapsed="false">
      <c r="A589" s="5" t="s">
        <v>79</v>
      </c>
      <c r="B589" s="6" t="s">
        <v>76</v>
      </c>
      <c r="C589" s="5" t="s">
        <v>46</v>
      </c>
      <c r="D589" s="5" t="s">
        <v>35</v>
      </c>
      <c r="E589" s="6" t="n">
        <v>149865</v>
      </c>
      <c r="F589" s="6" t="n">
        <v>143579</v>
      </c>
      <c r="G589" s="6" t="n">
        <v>85331</v>
      </c>
      <c r="H589" s="6" t="n">
        <v>80675</v>
      </c>
      <c r="I589" s="6" t="n">
        <v>21617</v>
      </c>
      <c r="J589" s="6" t="n">
        <v>22434</v>
      </c>
      <c r="K589" s="6" t="n">
        <v>4062</v>
      </c>
      <c r="L589" s="6" t="n">
        <v>4334</v>
      </c>
      <c r="M589" s="6" t="n">
        <v>1793</v>
      </c>
      <c r="N589" s="6" t="n">
        <v>1643</v>
      </c>
      <c r="O589" s="6" t="n">
        <v>3848</v>
      </c>
      <c r="P589" s="6" t="n">
        <v>3715</v>
      </c>
      <c r="Q589" s="6" t="n">
        <v>2172</v>
      </c>
      <c r="R589" s="6" t="n">
        <v>2137</v>
      </c>
      <c r="S589" s="6" t="n">
        <v>1035</v>
      </c>
      <c r="T589" s="6" t="n">
        <v>1028</v>
      </c>
      <c r="U589" s="6" t="n">
        <v>3845</v>
      </c>
      <c r="V589" s="6" t="n">
        <v>3823</v>
      </c>
    </row>
    <row r="590" customFormat="false" ht="15" hidden="false" customHeight="false" outlineLevel="0" collapsed="false">
      <c r="A590" s="5" t="s">
        <v>79</v>
      </c>
      <c r="B590" s="6" t="s">
        <v>76</v>
      </c>
      <c r="C590" s="5" t="s">
        <v>47</v>
      </c>
      <c r="D590" s="5" t="s">
        <v>48</v>
      </c>
      <c r="E590" s="6" t="n">
        <v>132614</v>
      </c>
      <c r="F590" s="6" t="n">
        <v>129652</v>
      </c>
      <c r="G590" s="6" t="n">
        <v>77619</v>
      </c>
      <c r="H590" s="6" t="n">
        <v>78444</v>
      </c>
      <c r="I590" s="6" t="n">
        <v>20737</v>
      </c>
      <c r="J590" s="6" t="n">
        <v>20829</v>
      </c>
      <c r="K590" s="6" t="n">
        <v>3949</v>
      </c>
      <c r="L590" s="6" t="n">
        <v>3738</v>
      </c>
      <c r="M590" s="6" t="n">
        <v>1719</v>
      </c>
      <c r="N590" s="6" t="n">
        <v>1817</v>
      </c>
      <c r="O590" s="6" t="n">
        <v>3526</v>
      </c>
      <c r="P590" s="6" t="n">
        <v>3874</v>
      </c>
      <c r="Q590" s="6" t="n">
        <v>1678</v>
      </c>
      <c r="R590" s="6" t="n">
        <v>1612</v>
      </c>
      <c r="S590" s="6" t="n">
        <v>1352</v>
      </c>
      <c r="T590" s="6" t="n">
        <v>1386</v>
      </c>
      <c r="U590" s="6" t="n">
        <v>3656</v>
      </c>
      <c r="V590" s="6" t="n">
        <v>3582</v>
      </c>
    </row>
    <row r="591" customFormat="false" ht="15" hidden="false" customHeight="false" outlineLevel="0" collapsed="false">
      <c r="A591" s="5" t="s">
        <v>79</v>
      </c>
      <c r="B591" s="6" t="s">
        <v>76</v>
      </c>
      <c r="C591" s="5" t="s">
        <v>49</v>
      </c>
      <c r="D591" s="5" t="s">
        <v>48</v>
      </c>
      <c r="E591" s="6" t="n">
        <v>126907</v>
      </c>
      <c r="F591" s="6" t="n">
        <v>132203</v>
      </c>
      <c r="G591" s="6" t="n">
        <v>71862</v>
      </c>
      <c r="H591" s="6" t="n">
        <v>78641</v>
      </c>
      <c r="I591" s="6" t="n">
        <v>17916</v>
      </c>
      <c r="J591" s="6" t="n">
        <v>18214</v>
      </c>
      <c r="K591" s="6" t="n">
        <v>2863</v>
      </c>
      <c r="L591" s="6" t="n">
        <v>3123</v>
      </c>
      <c r="M591" s="6" t="n">
        <v>1448</v>
      </c>
      <c r="N591" s="6" t="n">
        <v>1701</v>
      </c>
      <c r="O591" s="6" t="n">
        <v>2979</v>
      </c>
      <c r="P591" s="6" t="n">
        <v>2955</v>
      </c>
      <c r="Q591" s="6" t="n">
        <v>1824</v>
      </c>
      <c r="R591" s="6" t="n">
        <v>1812</v>
      </c>
      <c r="S591" s="6" t="n">
        <v>985</v>
      </c>
      <c r="T591" s="6" t="n">
        <v>1333</v>
      </c>
      <c r="U591" s="6" t="n">
        <v>3397</v>
      </c>
      <c r="V591" s="6" t="n">
        <v>3402</v>
      </c>
    </row>
    <row r="592" customFormat="false" ht="15" hidden="false" customHeight="false" outlineLevel="0" collapsed="false">
      <c r="A592" s="5" t="s">
        <v>79</v>
      </c>
      <c r="B592" s="6" t="s">
        <v>76</v>
      </c>
      <c r="C592" s="5" t="s">
        <v>50</v>
      </c>
      <c r="D592" s="5" t="s">
        <v>48</v>
      </c>
      <c r="E592" s="6" t="n">
        <v>132027</v>
      </c>
      <c r="F592" s="6" t="n">
        <v>134093</v>
      </c>
      <c r="G592" s="6" t="n">
        <v>76445</v>
      </c>
      <c r="H592" s="6" t="n">
        <v>75909</v>
      </c>
      <c r="I592" s="6" t="n">
        <v>20556</v>
      </c>
      <c r="J592" s="6" t="n">
        <v>20402</v>
      </c>
      <c r="K592" s="6" t="n">
        <v>3857</v>
      </c>
      <c r="L592" s="6" t="n">
        <v>4105</v>
      </c>
      <c r="M592" s="6" t="n">
        <v>1536</v>
      </c>
      <c r="N592" s="6" t="n">
        <v>1422</v>
      </c>
      <c r="O592" s="6" t="n">
        <v>2988</v>
      </c>
      <c r="P592" s="6" t="n">
        <v>3252</v>
      </c>
      <c r="Q592" s="6" t="n">
        <v>2564</v>
      </c>
      <c r="R592" s="6" t="n">
        <v>2620</v>
      </c>
      <c r="S592" s="6" t="n">
        <v>1467</v>
      </c>
      <c r="T592" s="6" t="n">
        <v>1293</v>
      </c>
      <c r="U592" s="6" t="n">
        <v>3333</v>
      </c>
      <c r="V592" s="6" t="n">
        <v>3399</v>
      </c>
    </row>
    <row r="593" customFormat="false" ht="15" hidden="false" customHeight="false" outlineLevel="0" collapsed="false">
      <c r="A593" s="5" t="s">
        <v>79</v>
      </c>
      <c r="B593" s="6" t="s">
        <v>76</v>
      </c>
      <c r="C593" s="5" t="s">
        <v>51</v>
      </c>
      <c r="D593" s="5" t="s">
        <v>48</v>
      </c>
      <c r="E593" s="6" t="n">
        <v>131400</v>
      </c>
      <c r="F593" s="6" t="n">
        <v>132733</v>
      </c>
      <c r="G593" s="6" t="n">
        <v>72141</v>
      </c>
      <c r="H593" s="6" t="n">
        <v>70664</v>
      </c>
      <c r="I593" s="6" t="n">
        <v>22247</v>
      </c>
      <c r="J593" s="6" t="n">
        <v>22343</v>
      </c>
      <c r="K593" s="6" t="n">
        <v>2998</v>
      </c>
      <c r="L593" s="6" t="n">
        <v>3173</v>
      </c>
      <c r="M593" s="6" t="n">
        <v>1546</v>
      </c>
      <c r="N593" s="6" t="n">
        <v>1493</v>
      </c>
      <c r="O593" s="6" t="n">
        <v>2445</v>
      </c>
      <c r="P593" s="6" t="n">
        <v>2456</v>
      </c>
      <c r="Q593" s="6" t="n">
        <v>1741</v>
      </c>
      <c r="R593" s="6" t="n">
        <v>1715</v>
      </c>
      <c r="S593" s="6" t="n">
        <v>1229</v>
      </c>
      <c r="T593" s="6" t="n">
        <v>1150</v>
      </c>
      <c r="U593" s="6" t="n">
        <v>3454</v>
      </c>
      <c r="V593" s="6" t="n">
        <v>3543</v>
      </c>
    </row>
    <row r="594" customFormat="false" ht="15" hidden="false" customHeight="false" outlineLevel="0" collapsed="false">
      <c r="A594" s="5" t="s">
        <v>79</v>
      </c>
      <c r="B594" s="6" t="s">
        <v>76</v>
      </c>
      <c r="C594" s="5" t="s">
        <v>52</v>
      </c>
      <c r="D594" s="5" t="s">
        <v>48</v>
      </c>
      <c r="E594" s="6" t="n">
        <v>137917</v>
      </c>
      <c r="F594" s="6" t="n">
        <v>132805</v>
      </c>
      <c r="G594" s="6" t="n">
        <v>81659</v>
      </c>
      <c r="H594" s="6" t="n">
        <v>79857</v>
      </c>
      <c r="I594" s="6" t="n">
        <v>20573</v>
      </c>
      <c r="J594" s="6" t="n">
        <v>21369</v>
      </c>
      <c r="K594" s="6" t="n">
        <v>3593</v>
      </c>
      <c r="L594" s="6" t="n">
        <v>3329</v>
      </c>
      <c r="M594" s="6" t="n">
        <v>1626</v>
      </c>
      <c r="N594" s="6" t="n">
        <v>1837</v>
      </c>
      <c r="O594" s="6" t="n">
        <v>2589</v>
      </c>
      <c r="P594" s="6" t="n">
        <v>2453</v>
      </c>
      <c r="Q594" s="6" t="n">
        <v>2461</v>
      </c>
      <c r="R594" s="6" t="n">
        <v>2407</v>
      </c>
      <c r="S594" s="6" t="n">
        <v>1045</v>
      </c>
      <c r="T594" s="6" t="n">
        <v>900</v>
      </c>
      <c r="U594" s="6" t="n">
        <v>3857</v>
      </c>
      <c r="V594" s="6" t="n">
        <v>3877</v>
      </c>
    </row>
    <row r="595" customFormat="false" ht="15" hidden="false" customHeight="false" outlineLevel="0" collapsed="false">
      <c r="A595" s="5" t="s">
        <v>79</v>
      </c>
      <c r="B595" s="6" t="s">
        <v>76</v>
      </c>
      <c r="C595" s="5" t="s">
        <v>53</v>
      </c>
      <c r="D595" s="5" t="s">
        <v>48</v>
      </c>
      <c r="E595" s="6" t="n">
        <v>145495</v>
      </c>
      <c r="F595" s="6" t="n">
        <v>148522</v>
      </c>
      <c r="G595" s="6" t="n">
        <v>85306</v>
      </c>
      <c r="H595" s="6" t="n">
        <v>88508</v>
      </c>
      <c r="I595" s="6" t="n">
        <v>21579</v>
      </c>
      <c r="J595" s="6" t="n">
        <v>22848</v>
      </c>
      <c r="K595" s="6" t="n">
        <v>4812</v>
      </c>
      <c r="L595" s="6" t="n">
        <v>5055</v>
      </c>
      <c r="M595" s="6" t="n">
        <v>1646</v>
      </c>
      <c r="N595" s="6" t="n">
        <v>1455</v>
      </c>
      <c r="O595" s="6" t="n">
        <v>3759</v>
      </c>
      <c r="P595" s="6" t="n">
        <v>4128</v>
      </c>
      <c r="Q595" s="6" t="n">
        <v>1852</v>
      </c>
      <c r="R595" s="6" t="n">
        <v>1908</v>
      </c>
      <c r="S595" s="6" t="n">
        <v>1001</v>
      </c>
      <c r="T595" s="6" t="n">
        <v>900</v>
      </c>
      <c r="U595" s="6" t="n">
        <v>4182</v>
      </c>
      <c r="V595" s="6" t="n">
        <v>4138</v>
      </c>
    </row>
    <row r="596" customFormat="false" ht="15" hidden="false" customHeight="false" outlineLevel="0" collapsed="false">
      <c r="A596" s="5" t="s">
        <v>79</v>
      </c>
      <c r="B596" s="6" t="s">
        <v>76</v>
      </c>
      <c r="C596" s="5" t="s">
        <v>54</v>
      </c>
      <c r="D596" s="5" t="s">
        <v>48</v>
      </c>
      <c r="E596" s="6" t="n">
        <v>131520</v>
      </c>
      <c r="F596" s="6" t="n">
        <v>138989</v>
      </c>
      <c r="G596" s="6" t="n">
        <v>75059</v>
      </c>
      <c r="H596" s="6" t="n">
        <v>79597</v>
      </c>
      <c r="I596" s="6" t="n">
        <v>21036</v>
      </c>
      <c r="J596" s="6" t="n">
        <v>21162</v>
      </c>
      <c r="K596" s="6" t="n">
        <v>3618</v>
      </c>
      <c r="L596" s="6" t="n">
        <v>3203</v>
      </c>
      <c r="M596" s="6" t="n">
        <v>1568</v>
      </c>
      <c r="N596" s="6" t="n">
        <v>1550</v>
      </c>
      <c r="O596" s="6" t="n">
        <v>2874</v>
      </c>
      <c r="P596" s="6" t="n">
        <v>2890</v>
      </c>
      <c r="Q596" s="6" t="n">
        <v>1906</v>
      </c>
      <c r="R596" s="6" t="n">
        <v>1910</v>
      </c>
      <c r="S596" s="6" t="n">
        <v>1208</v>
      </c>
      <c r="T596" s="6" t="n">
        <v>1607</v>
      </c>
      <c r="U596" s="6" t="n">
        <v>3738</v>
      </c>
      <c r="V596" s="6" t="n">
        <v>3840</v>
      </c>
    </row>
    <row r="597" customFormat="false" ht="15" hidden="false" customHeight="false" outlineLevel="0" collapsed="false">
      <c r="A597" s="5" t="s">
        <v>79</v>
      </c>
      <c r="B597" s="6" t="s">
        <v>76</v>
      </c>
      <c r="C597" s="5" t="s">
        <v>55</v>
      </c>
      <c r="D597" s="5" t="s">
        <v>48</v>
      </c>
      <c r="E597" s="6" t="n">
        <v>148549</v>
      </c>
      <c r="F597" s="6" t="n">
        <v>142831</v>
      </c>
      <c r="G597" s="6" t="n">
        <v>86557</v>
      </c>
      <c r="H597" s="6" t="n">
        <v>86366</v>
      </c>
      <c r="I597" s="6" t="n">
        <v>23295</v>
      </c>
      <c r="J597" s="6" t="n">
        <v>23852</v>
      </c>
      <c r="K597" s="6" t="n">
        <v>4729</v>
      </c>
      <c r="L597" s="6" t="n">
        <v>4992</v>
      </c>
      <c r="M597" s="6" t="n">
        <v>1769</v>
      </c>
      <c r="N597" s="6" t="n">
        <v>1800</v>
      </c>
      <c r="O597" s="6" t="n">
        <v>3191</v>
      </c>
      <c r="P597" s="6" t="n">
        <v>2950</v>
      </c>
      <c r="Q597" s="6" t="n">
        <v>2217</v>
      </c>
      <c r="R597" s="6" t="n">
        <v>2209</v>
      </c>
      <c r="S597" s="6" t="n">
        <v>1488</v>
      </c>
      <c r="T597" s="6" t="n">
        <v>1841</v>
      </c>
      <c r="U597" s="6" t="n">
        <v>3289</v>
      </c>
      <c r="V597" s="6" t="n">
        <v>3301</v>
      </c>
    </row>
    <row r="598" customFormat="false" ht="15" hidden="false" customHeight="false" outlineLevel="0" collapsed="false">
      <c r="A598" s="5" t="s">
        <v>79</v>
      </c>
      <c r="B598" s="6" t="s">
        <v>76</v>
      </c>
      <c r="C598" s="5" t="s">
        <v>56</v>
      </c>
      <c r="D598" s="5" t="s">
        <v>48</v>
      </c>
      <c r="E598" s="6" t="n">
        <v>169699</v>
      </c>
      <c r="F598" s="6" t="n">
        <v>161199</v>
      </c>
      <c r="G598" s="6" t="n">
        <v>95532</v>
      </c>
      <c r="H598" s="6" t="n">
        <v>88965</v>
      </c>
      <c r="I598" s="6" t="n">
        <v>27564</v>
      </c>
      <c r="J598" s="6" t="n">
        <v>26769</v>
      </c>
      <c r="K598" s="6" t="n">
        <v>4519</v>
      </c>
      <c r="L598" s="6" t="n">
        <v>4554</v>
      </c>
      <c r="M598" s="6" t="n">
        <v>1364</v>
      </c>
      <c r="N598" s="6" t="n">
        <v>1303</v>
      </c>
      <c r="O598" s="6" t="n">
        <v>3214</v>
      </c>
      <c r="P598" s="6" t="n">
        <v>3170</v>
      </c>
      <c r="Q598" s="6" t="n">
        <v>2381</v>
      </c>
      <c r="R598" s="6" t="n">
        <v>2481</v>
      </c>
      <c r="S598" s="6" t="n">
        <v>1636</v>
      </c>
      <c r="T598" s="6" t="n">
        <v>1342</v>
      </c>
      <c r="U598" s="6" t="n">
        <v>3861</v>
      </c>
      <c r="V598" s="6" t="n">
        <v>3856</v>
      </c>
    </row>
    <row r="599" customFormat="false" ht="15" hidden="false" customHeight="false" outlineLevel="0" collapsed="false">
      <c r="A599" s="5" t="s">
        <v>79</v>
      </c>
      <c r="B599" s="6" t="s">
        <v>76</v>
      </c>
      <c r="C599" s="5" t="s">
        <v>57</v>
      </c>
      <c r="D599" s="5" t="s">
        <v>48</v>
      </c>
      <c r="E599" s="6" t="n">
        <v>149211</v>
      </c>
      <c r="F599" s="6" t="n">
        <v>145791</v>
      </c>
      <c r="G599" s="6" t="n">
        <v>82839</v>
      </c>
      <c r="H599" s="6" t="n">
        <v>82583</v>
      </c>
      <c r="I599" s="6" t="n">
        <v>25237</v>
      </c>
      <c r="J599" s="6" t="n">
        <v>26765</v>
      </c>
      <c r="K599" s="6" t="n">
        <v>4916</v>
      </c>
      <c r="L599" s="6" t="n">
        <v>5547</v>
      </c>
      <c r="M599" s="6" t="n">
        <v>2235</v>
      </c>
      <c r="N599" s="6" t="n">
        <v>2495</v>
      </c>
      <c r="O599" s="6" t="n">
        <v>3417</v>
      </c>
      <c r="P599" s="6" t="n">
        <v>3435</v>
      </c>
      <c r="Q599" s="6" t="n">
        <v>2835</v>
      </c>
      <c r="R599" s="6" t="n">
        <v>2906</v>
      </c>
      <c r="S599" s="6" t="n">
        <v>1618</v>
      </c>
      <c r="T599" s="6" t="n">
        <v>1331</v>
      </c>
      <c r="U599" s="6" t="n">
        <v>3027</v>
      </c>
      <c r="V599" s="6" t="n">
        <v>3099</v>
      </c>
    </row>
    <row r="600" customFormat="false" ht="15" hidden="false" customHeight="false" outlineLevel="0" collapsed="false">
      <c r="A600" s="5" t="s">
        <v>79</v>
      </c>
      <c r="B600" s="6" t="s">
        <v>76</v>
      </c>
      <c r="C600" s="5" t="s">
        <v>58</v>
      </c>
      <c r="D600" s="5" t="s">
        <v>48</v>
      </c>
      <c r="E600" s="6" t="n">
        <v>149270</v>
      </c>
      <c r="F600" s="6" t="n">
        <v>145156</v>
      </c>
      <c r="G600" s="6" t="n">
        <v>88406</v>
      </c>
      <c r="H600" s="6" t="n">
        <v>84022</v>
      </c>
      <c r="I600" s="6" t="n">
        <v>22777</v>
      </c>
      <c r="J600" s="6" t="n">
        <v>24213</v>
      </c>
      <c r="K600" s="6" t="n">
        <v>3111</v>
      </c>
      <c r="L600" s="6" t="n">
        <v>3239</v>
      </c>
      <c r="M600" s="6" t="n">
        <v>1259</v>
      </c>
      <c r="N600" s="6" t="n">
        <v>1069</v>
      </c>
      <c r="O600" s="6" t="n">
        <v>3499</v>
      </c>
      <c r="P600" s="6" t="n">
        <v>3838</v>
      </c>
      <c r="Q600" s="6" t="n">
        <v>2023</v>
      </c>
      <c r="R600" s="6" t="n">
        <v>2046</v>
      </c>
      <c r="S600" s="6" t="n">
        <v>911</v>
      </c>
      <c r="T600" s="6" t="n">
        <v>1186</v>
      </c>
      <c r="U600" s="6" t="n">
        <v>4252</v>
      </c>
      <c r="V600" s="6" t="n">
        <v>4205</v>
      </c>
    </row>
    <row r="601" customFormat="false" ht="15" hidden="false" customHeight="false" outlineLevel="0" collapsed="false">
      <c r="A601" s="5" t="s">
        <v>79</v>
      </c>
      <c r="B601" s="6" t="s">
        <v>76</v>
      </c>
      <c r="C601" s="5" t="s">
        <v>59</v>
      </c>
      <c r="D601" s="5" t="s">
        <v>48</v>
      </c>
      <c r="E601" s="6" t="n">
        <v>169856</v>
      </c>
      <c r="F601" s="6" t="n">
        <v>161970</v>
      </c>
      <c r="G601" s="6" t="n">
        <v>97703</v>
      </c>
      <c r="H601" s="6" t="n">
        <v>97575</v>
      </c>
      <c r="I601" s="6" t="n">
        <v>26411</v>
      </c>
      <c r="J601" s="6" t="n">
        <v>28351</v>
      </c>
      <c r="K601" s="6" t="n">
        <v>4424</v>
      </c>
      <c r="L601" s="6" t="n">
        <v>4872</v>
      </c>
      <c r="M601" s="6" t="n">
        <v>2155</v>
      </c>
      <c r="N601" s="6" t="n">
        <v>1794</v>
      </c>
      <c r="O601" s="6" t="n">
        <v>4459</v>
      </c>
      <c r="P601" s="6" t="n">
        <v>4505</v>
      </c>
      <c r="Q601" s="6" t="n">
        <v>3029</v>
      </c>
      <c r="R601" s="6" t="n">
        <v>2903</v>
      </c>
      <c r="S601" s="6" t="n">
        <v>1471</v>
      </c>
      <c r="T601" s="6" t="n">
        <v>1420</v>
      </c>
      <c r="U601" s="6" t="n">
        <v>3735</v>
      </c>
      <c r="V601" s="6" t="n">
        <v>3736</v>
      </c>
    </row>
    <row r="602" customFormat="false" ht="15" hidden="false" customHeight="false" outlineLevel="0" collapsed="false">
      <c r="A602" s="5" t="s">
        <v>79</v>
      </c>
      <c r="B602" s="6" t="s">
        <v>76</v>
      </c>
      <c r="C602" s="5" t="s">
        <v>60</v>
      </c>
      <c r="D602" s="5" t="s">
        <v>61</v>
      </c>
      <c r="E602" s="6" t="n">
        <v>151621</v>
      </c>
      <c r="F602" s="6" t="n">
        <v>147259</v>
      </c>
      <c r="G602" s="6" t="n">
        <v>89498</v>
      </c>
      <c r="H602" s="6" t="n">
        <v>84001</v>
      </c>
      <c r="I602" s="6" t="n">
        <v>22472</v>
      </c>
      <c r="J602" s="6" t="n">
        <v>22665</v>
      </c>
      <c r="K602" s="6" t="n">
        <v>3809</v>
      </c>
      <c r="L602" s="6" t="n">
        <v>3887</v>
      </c>
      <c r="M602" s="6" t="n">
        <v>1952</v>
      </c>
      <c r="N602" s="6" t="n">
        <v>2114</v>
      </c>
      <c r="O602" s="6" t="n">
        <v>3431</v>
      </c>
      <c r="P602" s="6" t="n">
        <v>3228</v>
      </c>
      <c r="Q602" s="6" t="n">
        <v>1929</v>
      </c>
      <c r="R602" s="6" t="n">
        <v>1973</v>
      </c>
      <c r="S602" s="6" t="n">
        <v>1079</v>
      </c>
      <c r="T602" s="6" t="n">
        <v>1246</v>
      </c>
      <c r="U602" s="6" t="n">
        <v>4497</v>
      </c>
      <c r="V602" s="6" t="n">
        <v>4569</v>
      </c>
    </row>
    <row r="603" customFormat="false" ht="15" hidden="false" customHeight="false" outlineLevel="0" collapsed="false">
      <c r="A603" s="5" t="s">
        <v>79</v>
      </c>
      <c r="B603" s="6" t="s">
        <v>76</v>
      </c>
      <c r="C603" s="5" t="s">
        <v>62</v>
      </c>
      <c r="D603" s="5" t="s">
        <v>61</v>
      </c>
      <c r="E603" s="6" t="n">
        <v>145299</v>
      </c>
      <c r="F603" s="6" t="n">
        <v>150397</v>
      </c>
      <c r="G603" s="6" t="n">
        <v>81727</v>
      </c>
      <c r="H603" s="6" t="n">
        <v>82197</v>
      </c>
      <c r="I603" s="6" t="n">
        <v>23499</v>
      </c>
      <c r="J603" s="6" t="n">
        <v>23432</v>
      </c>
      <c r="K603" s="6" t="n">
        <v>4731</v>
      </c>
      <c r="L603" s="6" t="n">
        <v>4933</v>
      </c>
      <c r="M603" s="6" t="n">
        <v>2079</v>
      </c>
      <c r="N603" s="6" t="n">
        <v>1862</v>
      </c>
      <c r="O603" s="6" t="n">
        <v>3714</v>
      </c>
      <c r="P603" s="6" t="n">
        <v>3506</v>
      </c>
      <c r="Q603" s="6" t="n">
        <v>1806</v>
      </c>
      <c r="R603" s="6" t="n">
        <v>1843</v>
      </c>
      <c r="S603" s="6" t="n">
        <v>1027</v>
      </c>
      <c r="T603" s="6" t="n">
        <v>908</v>
      </c>
      <c r="U603" s="6" t="n">
        <v>3364</v>
      </c>
      <c r="V603" s="6" t="n">
        <v>3309</v>
      </c>
    </row>
    <row r="604" customFormat="false" ht="15" hidden="false" customHeight="false" outlineLevel="0" collapsed="false">
      <c r="A604" s="5" t="s">
        <v>79</v>
      </c>
      <c r="B604" s="6" t="s">
        <v>76</v>
      </c>
      <c r="C604" s="5" t="s">
        <v>63</v>
      </c>
      <c r="D604" s="5" t="s">
        <v>61</v>
      </c>
      <c r="E604" s="6" t="n">
        <v>156857</v>
      </c>
      <c r="F604" s="6" t="n">
        <v>149955</v>
      </c>
      <c r="G604" s="6" t="n">
        <v>86370</v>
      </c>
      <c r="H604" s="6" t="n">
        <v>81781</v>
      </c>
      <c r="I604" s="6" t="n">
        <v>25242</v>
      </c>
      <c r="J604" s="6" t="n">
        <v>25219</v>
      </c>
      <c r="K604" s="6" t="n">
        <v>4290</v>
      </c>
      <c r="L604" s="6" t="n">
        <v>4391</v>
      </c>
      <c r="M604" s="6" t="n">
        <v>1638</v>
      </c>
      <c r="N604" s="6" t="n">
        <v>1836</v>
      </c>
      <c r="O604" s="6" t="n">
        <v>3529</v>
      </c>
      <c r="P604" s="6" t="n">
        <v>3648</v>
      </c>
      <c r="Q604" s="6" t="n">
        <v>2926</v>
      </c>
      <c r="R604" s="6" t="n">
        <v>2790</v>
      </c>
      <c r="S604" s="6" t="n">
        <v>1727</v>
      </c>
      <c r="T604" s="6" t="n">
        <v>1781</v>
      </c>
      <c r="U604" s="6" t="n">
        <v>3981</v>
      </c>
      <c r="V604" s="6" t="n">
        <v>3912</v>
      </c>
    </row>
    <row r="605" customFormat="false" ht="15" hidden="false" customHeight="false" outlineLevel="0" collapsed="false">
      <c r="A605" s="5" t="s">
        <v>79</v>
      </c>
      <c r="B605" s="6" t="s">
        <v>76</v>
      </c>
      <c r="C605" s="5" t="s">
        <v>64</v>
      </c>
      <c r="D605" s="5" t="s">
        <v>61</v>
      </c>
      <c r="E605" s="6" t="n">
        <v>149822</v>
      </c>
      <c r="F605" s="6" t="n">
        <v>152626</v>
      </c>
      <c r="G605" s="6" t="n">
        <v>88193</v>
      </c>
      <c r="H605" s="6" t="n">
        <v>92868</v>
      </c>
      <c r="I605" s="6" t="n">
        <v>21907</v>
      </c>
      <c r="J605" s="6" t="n">
        <v>22936</v>
      </c>
      <c r="K605" s="6" t="n">
        <v>4129</v>
      </c>
      <c r="L605" s="6" t="n">
        <v>4538</v>
      </c>
      <c r="M605" s="6" t="n">
        <v>2032</v>
      </c>
      <c r="N605" s="6" t="n">
        <v>1718</v>
      </c>
      <c r="O605" s="6" t="n">
        <v>3856</v>
      </c>
      <c r="P605" s="6" t="n">
        <v>3727</v>
      </c>
      <c r="Q605" s="6" t="n">
        <v>2358</v>
      </c>
      <c r="R605" s="6" t="n">
        <v>2248</v>
      </c>
      <c r="S605" s="6" t="n">
        <v>1003</v>
      </c>
      <c r="T605" s="6" t="n">
        <v>1199</v>
      </c>
      <c r="U605" s="6" t="n">
        <v>3276</v>
      </c>
      <c r="V605" s="6" t="n">
        <v>3205</v>
      </c>
    </row>
    <row r="606" customFormat="false" ht="15" hidden="false" customHeight="false" outlineLevel="0" collapsed="false">
      <c r="A606" s="5" t="s">
        <v>79</v>
      </c>
      <c r="B606" s="6" t="s">
        <v>76</v>
      </c>
      <c r="C606" s="5" t="s">
        <v>65</v>
      </c>
      <c r="D606" s="5" t="s">
        <v>61</v>
      </c>
      <c r="E606" s="6" t="n">
        <v>152265</v>
      </c>
      <c r="F606" s="6" t="n">
        <v>154635</v>
      </c>
      <c r="G606" s="6" t="n">
        <v>85676</v>
      </c>
      <c r="H606" s="6" t="n">
        <v>88466</v>
      </c>
      <c r="I606" s="6" t="n">
        <v>21472</v>
      </c>
      <c r="J606" s="6" t="n">
        <v>22484</v>
      </c>
      <c r="K606" s="6" t="n">
        <v>4483</v>
      </c>
      <c r="L606" s="6" t="n">
        <v>4980</v>
      </c>
      <c r="M606" s="6" t="n">
        <v>1227</v>
      </c>
      <c r="N606" s="6" t="n">
        <v>1240</v>
      </c>
      <c r="O606" s="6" t="n">
        <v>3250</v>
      </c>
      <c r="P606" s="6" t="n">
        <v>3369</v>
      </c>
      <c r="Q606" s="6" t="n">
        <v>1949</v>
      </c>
      <c r="R606" s="6" t="n">
        <v>2030</v>
      </c>
      <c r="S606" s="6" t="n">
        <v>1193</v>
      </c>
      <c r="T606" s="6" t="n">
        <v>1289</v>
      </c>
      <c r="U606" s="6" t="n">
        <v>3329</v>
      </c>
      <c r="V606" s="6" t="n">
        <v>3233</v>
      </c>
    </row>
    <row r="607" customFormat="false" ht="15" hidden="false" customHeight="false" outlineLevel="0" collapsed="false">
      <c r="A607" s="5" t="s">
        <v>79</v>
      </c>
      <c r="B607" s="6" t="s">
        <v>76</v>
      </c>
      <c r="C607" s="5" t="s">
        <v>66</v>
      </c>
      <c r="D607" s="5" t="s">
        <v>61</v>
      </c>
      <c r="E607" s="6" t="n">
        <v>172325</v>
      </c>
      <c r="F607" s="6" t="n">
        <v>173230</v>
      </c>
      <c r="G607" s="6" t="n">
        <v>99011</v>
      </c>
      <c r="H607" s="6" t="n">
        <v>99834</v>
      </c>
      <c r="I607" s="6" t="n">
        <v>26190</v>
      </c>
      <c r="J607" s="6" t="n">
        <v>27807</v>
      </c>
      <c r="K607" s="6" t="n">
        <v>4099</v>
      </c>
      <c r="L607" s="6" t="n">
        <v>3943</v>
      </c>
      <c r="M607" s="6" t="n">
        <v>1786</v>
      </c>
      <c r="N607" s="6" t="n">
        <v>2035</v>
      </c>
      <c r="O607" s="6" t="n">
        <v>3619</v>
      </c>
      <c r="P607" s="6" t="n">
        <v>3962</v>
      </c>
      <c r="Q607" s="6" t="n">
        <v>3278</v>
      </c>
      <c r="R607" s="6" t="n">
        <v>3364</v>
      </c>
      <c r="S607" s="6" t="n">
        <v>1965</v>
      </c>
      <c r="T607" s="6" t="n">
        <v>2170</v>
      </c>
      <c r="U607" s="6" t="n">
        <v>4172</v>
      </c>
      <c r="V607" s="6" t="n">
        <v>4241</v>
      </c>
    </row>
    <row r="608" customFormat="false" ht="15" hidden="false" customHeight="false" outlineLevel="0" collapsed="false">
      <c r="A608" s="5" t="s">
        <v>79</v>
      </c>
      <c r="B608" s="6" t="s">
        <v>76</v>
      </c>
      <c r="C608" s="5" t="s">
        <v>67</v>
      </c>
      <c r="D608" s="5" t="s">
        <v>61</v>
      </c>
      <c r="E608" s="6" t="n">
        <v>160546</v>
      </c>
      <c r="F608" s="6" t="n">
        <v>162481</v>
      </c>
      <c r="G608" s="6" t="n">
        <v>86970</v>
      </c>
      <c r="H608" s="6" t="n">
        <v>88930</v>
      </c>
      <c r="I608" s="6" t="n">
        <v>26919</v>
      </c>
      <c r="J608" s="6" t="n">
        <v>28737</v>
      </c>
      <c r="K608" s="6" t="n">
        <v>5535</v>
      </c>
      <c r="L608" s="6" t="n">
        <v>6270</v>
      </c>
      <c r="M608" s="6" t="n">
        <v>1507</v>
      </c>
      <c r="N608" s="6" t="n">
        <v>1938</v>
      </c>
      <c r="O608" s="6" t="n">
        <v>4097</v>
      </c>
      <c r="P608" s="6" t="n">
        <v>3865</v>
      </c>
      <c r="Q608" s="6" t="n">
        <v>2354</v>
      </c>
      <c r="R608" s="6" t="n">
        <v>2462</v>
      </c>
      <c r="S608" s="6" t="n">
        <v>1898</v>
      </c>
      <c r="T608" s="6" t="n">
        <v>1871</v>
      </c>
      <c r="U608" s="6" t="n">
        <v>4440</v>
      </c>
      <c r="V608" s="6" t="n">
        <v>4520</v>
      </c>
    </row>
    <row r="609" customFormat="false" ht="15" hidden="false" customHeight="false" outlineLevel="0" collapsed="false">
      <c r="A609" s="5" t="s">
        <v>79</v>
      </c>
      <c r="B609" s="6" t="s">
        <v>76</v>
      </c>
      <c r="C609" s="5" t="s">
        <v>68</v>
      </c>
      <c r="D609" s="5" t="s">
        <v>61</v>
      </c>
      <c r="E609" s="6" t="n">
        <v>157201</v>
      </c>
      <c r="F609" s="6" t="n">
        <v>163778</v>
      </c>
      <c r="G609" s="6" t="n">
        <v>84896</v>
      </c>
      <c r="H609" s="6" t="n">
        <v>86381</v>
      </c>
      <c r="I609" s="6" t="n">
        <v>26172</v>
      </c>
      <c r="J609" s="6" t="n">
        <v>26254</v>
      </c>
      <c r="K609" s="6" t="n">
        <v>3334</v>
      </c>
      <c r="L609" s="6" t="n">
        <v>3070</v>
      </c>
      <c r="M609" s="6" t="n">
        <v>1481</v>
      </c>
      <c r="N609" s="6" t="n">
        <v>1252</v>
      </c>
      <c r="O609" s="6" t="n">
        <v>3214</v>
      </c>
      <c r="P609" s="6" t="n">
        <v>3353</v>
      </c>
      <c r="Q609" s="6" t="n">
        <v>2950</v>
      </c>
      <c r="R609" s="6" t="n">
        <v>2913</v>
      </c>
      <c r="S609" s="6" t="n">
        <v>1393</v>
      </c>
      <c r="T609" s="6" t="n">
        <v>1403</v>
      </c>
      <c r="U609" s="6" t="n">
        <v>3884</v>
      </c>
      <c r="V609" s="6" t="n">
        <v>3928</v>
      </c>
    </row>
    <row r="610" customFormat="false" ht="15" hidden="false" customHeight="false" outlineLevel="0" collapsed="false">
      <c r="A610" s="5" t="s">
        <v>79</v>
      </c>
      <c r="B610" s="6" t="s">
        <v>76</v>
      </c>
      <c r="C610" s="5" t="s">
        <v>69</v>
      </c>
      <c r="D610" s="5" t="s">
        <v>61</v>
      </c>
      <c r="E610" s="6" t="n">
        <v>191722</v>
      </c>
      <c r="F610" s="6" t="n">
        <v>182672</v>
      </c>
      <c r="G610" s="6" t="n">
        <v>111219</v>
      </c>
      <c r="H610" s="6" t="n">
        <v>109909</v>
      </c>
      <c r="I610" s="6" t="n">
        <v>30903</v>
      </c>
      <c r="J610" s="6" t="n">
        <v>32570</v>
      </c>
      <c r="K610" s="6" t="n">
        <v>4110</v>
      </c>
      <c r="L610" s="6" t="n">
        <v>3652</v>
      </c>
      <c r="M610" s="6" t="n">
        <v>2558</v>
      </c>
      <c r="N610" s="6" t="n">
        <v>2217</v>
      </c>
      <c r="O610" s="6" t="n">
        <v>4934</v>
      </c>
      <c r="P610" s="6" t="n">
        <v>5337</v>
      </c>
      <c r="Q610" s="6" t="n">
        <v>3558</v>
      </c>
      <c r="R610" s="6" t="n">
        <v>3640</v>
      </c>
      <c r="S610" s="6" t="n">
        <v>1639</v>
      </c>
      <c r="T610" s="6" t="n">
        <v>1699</v>
      </c>
      <c r="U610" s="6" t="n">
        <v>3972</v>
      </c>
      <c r="V610" s="6" t="n">
        <v>3969</v>
      </c>
    </row>
    <row r="611" customFormat="false" ht="15" hidden="false" customHeight="false" outlineLevel="0" collapsed="false">
      <c r="A611" s="5" t="s">
        <v>79</v>
      </c>
      <c r="B611" s="6" t="s">
        <v>76</v>
      </c>
      <c r="C611" s="5" t="s">
        <v>70</v>
      </c>
      <c r="D611" s="5" t="s">
        <v>61</v>
      </c>
      <c r="E611" s="6" t="n">
        <v>171663</v>
      </c>
      <c r="F611" s="6" t="n">
        <v>169901</v>
      </c>
      <c r="G611" s="6" t="n">
        <v>94981</v>
      </c>
      <c r="H611" s="6" t="n">
        <v>95778</v>
      </c>
      <c r="I611" s="6" t="n">
        <v>27987</v>
      </c>
      <c r="J611" s="6" t="n">
        <v>28284</v>
      </c>
      <c r="K611" s="6" t="n">
        <v>4308</v>
      </c>
      <c r="L611" s="6" t="n">
        <v>4726</v>
      </c>
      <c r="M611" s="6" t="n">
        <v>2107</v>
      </c>
      <c r="N611" s="6" t="n">
        <v>2477</v>
      </c>
      <c r="O611" s="6" t="n">
        <v>4660</v>
      </c>
      <c r="P611" s="6" t="n">
        <v>4829</v>
      </c>
      <c r="Q611" s="6" t="n">
        <v>2250</v>
      </c>
      <c r="R611" s="6" t="n">
        <v>2180</v>
      </c>
      <c r="S611" s="6" t="n">
        <v>1248</v>
      </c>
      <c r="T611" s="6" t="n">
        <v>1324</v>
      </c>
      <c r="U611" s="6" t="n">
        <v>4016</v>
      </c>
      <c r="V611" s="6" t="n">
        <v>4053</v>
      </c>
    </row>
    <row r="612" customFormat="false" ht="15" hidden="false" customHeight="false" outlineLevel="0" collapsed="false">
      <c r="A612" s="5" t="s">
        <v>79</v>
      </c>
      <c r="B612" s="6" t="s">
        <v>76</v>
      </c>
      <c r="C612" s="5" t="s">
        <v>71</v>
      </c>
      <c r="D612" s="5" t="s">
        <v>61</v>
      </c>
      <c r="E612" s="6" t="n">
        <v>166617</v>
      </c>
      <c r="F612" s="6" t="n">
        <v>171030</v>
      </c>
      <c r="G612" s="6" t="n">
        <v>93840</v>
      </c>
      <c r="H612" s="6" t="n">
        <v>99928</v>
      </c>
      <c r="I612" s="6" t="n">
        <v>23500</v>
      </c>
      <c r="J612" s="6" t="n">
        <v>25273</v>
      </c>
      <c r="K612" s="6" t="n">
        <v>4386</v>
      </c>
      <c r="L612" s="6" t="n">
        <v>3943</v>
      </c>
      <c r="M612" s="6" t="n">
        <v>2129</v>
      </c>
      <c r="N612" s="6" t="n">
        <v>2591</v>
      </c>
      <c r="O612" s="6" t="n">
        <v>3774</v>
      </c>
      <c r="P612" s="6" t="n">
        <v>3528</v>
      </c>
      <c r="Q612" s="6" t="n">
        <v>2914</v>
      </c>
      <c r="R612" s="6" t="n">
        <v>2798</v>
      </c>
      <c r="S612" s="6" t="n">
        <v>1862</v>
      </c>
      <c r="T612" s="6" t="n">
        <v>2387</v>
      </c>
      <c r="U612" s="6" t="n">
        <v>3353</v>
      </c>
      <c r="V612" s="6" t="n">
        <v>3317</v>
      </c>
    </row>
    <row r="613" customFormat="false" ht="15" hidden="false" customHeight="false" outlineLevel="0" collapsed="false">
      <c r="A613" s="5" t="s">
        <v>79</v>
      </c>
      <c r="B613" s="6" t="s">
        <v>76</v>
      </c>
      <c r="C613" s="5" t="s">
        <v>72</v>
      </c>
      <c r="D613" s="5" t="s">
        <v>61</v>
      </c>
      <c r="E613" s="6" t="n">
        <v>187179</v>
      </c>
      <c r="F613" s="6" t="n">
        <v>189822</v>
      </c>
      <c r="G613" s="6" t="n">
        <v>106183</v>
      </c>
      <c r="H613" s="6" t="n">
        <v>108500</v>
      </c>
      <c r="I613" s="6" t="n">
        <v>31595</v>
      </c>
      <c r="J613" s="6" t="n">
        <v>32043</v>
      </c>
      <c r="K613" s="6" t="n">
        <v>5909</v>
      </c>
      <c r="L613" s="6" t="n">
        <v>5560</v>
      </c>
      <c r="M613" s="6" t="n">
        <v>1836</v>
      </c>
      <c r="N613" s="6" t="n">
        <v>2051</v>
      </c>
      <c r="O613" s="6" t="n">
        <v>4499</v>
      </c>
      <c r="P613" s="6" t="n">
        <v>4789</v>
      </c>
      <c r="Q613" s="6" t="n">
        <v>2920</v>
      </c>
      <c r="R613" s="6" t="n">
        <v>2883</v>
      </c>
      <c r="S613" s="6" t="n">
        <v>1655</v>
      </c>
      <c r="T613" s="6" t="n">
        <v>1657</v>
      </c>
      <c r="U613" s="6" t="n">
        <v>4745</v>
      </c>
      <c r="V613" s="6" t="n">
        <v>4707</v>
      </c>
    </row>
    <row r="614" customFormat="false" ht="15" hidden="false" customHeight="false" outlineLevel="0" collapsed="false">
      <c r="A614" s="5" t="s">
        <v>79</v>
      </c>
      <c r="B614" s="6" t="s">
        <v>77</v>
      </c>
      <c r="C614" s="5" t="s">
        <v>34</v>
      </c>
      <c r="D614" s="5" t="s">
        <v>35</v>
      </c>
      <c r="E614" s="6" t="n">
        <v>76343</v>
      </c>
      <c r="F614" s="6" t="n">
        <v>77426</v>
      </c>
      <c r="G614" s="6" t="n">
        <v>44316</v>
      </c>
      <c r="H614" s="6" t="n">
        <v>43978</v>
      </c>
      <c r="I614" s="6" t="n">
        <v>11460</v>
      </c>
      <c r="J614" s="6" t="n">
        <v>12294</v>
      </c>
      <c r="K614" s="6" t="n">
        <v>2203</v>
      </c>
      <c r="L614" s="6" t="n">
        <v>2003</v>
      </c>
      <c r="M614" s="6" t="n">
        <v>1045</v>
      </c>
      <c r="N614" s="6" t="n">
        <v>1216</v>
      </c>
      <c r="O614" s="6" t="n">
        <v>1722</v>
      </c>
      <c r="P614" s="6" t="n">
        <v>1599</v>
      </c>
      <c r="Q614" s="6" t="n">
        <v>1088</v>
      </c>
      <c r="R614" s="6" t="n">
        <v>1047</v>
      </c>
      <c r="S614" s="6" t="n">
        <v>682</v>
      </c>
      <c r="T614" s="6" t="n">
        <v>696</v>
      </c>
      <c r="U614" s="6" t="n">
        <v>2206</v>
      </c>
      <c r="V614" s="6" t="n">
        <v>2231</v>
      </c>
    </row>
    <row r="615" customFormat="false" ht="15" hidden="false" customHeight="false" outlineLevel="0" collapsed="false">
      <c r="A615" s="5" t="s">
        <v>79</v>
      </c>
      <c r="B615" s="6" t="s">
        <v>77</v>
      </c>
      <c r="C615" s="5" t="s">
        <v>36</v>
      </c>
      <c r="D615" s="5" t="s">
        <v>35</v>
      </c>
      <c r="E615" s="6" t="n">
        <v>75937</v>
      </c>
      <c r="F615" s="6" t="n">
        <v>77448</v>
      </c>
      <c r="G615" s="6" t="n">
        <v>42355</v>
      </c>
      <c r="H615" s="6" t="n">
        <v>44821</v>
      </c>
      <c r="I615" s="6" t="n">
        <v>11868</v>
      </c>
      <c r="J615" s="6" t="n">
        <v>11745</v>
      </c>
      <c r="K615" s="6" t="n">
        <v>1925</v>
      </c>
      <c r="L615" s="6" t="n">
        <v>1646</v>
      </c>
      <c r="M615" s="6" t="n">
        <v>780</v>
      </c>
      <c r="N615" s="6" t="n">
        <v>872</v>
      </c>
      <c r="O615" s="6" t="n">
        <v>1819</v>
      </c>
      <c r="P615" s="6" t="n">
        <v>1790</v>
      </c>
      <c r="Q615" s="6" t="n">
        <v>933</v>
      </c>
      <c r="R615" s="6" t="n">
        <v>955</v>
      </c>
      <c r="S615" s="6" t="n">
        <v>569</v>
      </c>
      <c r="T615" s="6" t="n">
        <v>484</v>
      </c>
      <c r="U615" s="6" t="n">
        <v>1591</v>
      </c>
      <c r="V615" s="6" t="n">
        <v>1613</v>
      </c>
    </row>
    <row r="616" customFormat="false" ht="15" hidden="false" customHeight="false" outlineLevel="0" collapsed="false">
      <c r="A616" s="5" t="s">
        <v>79</v>
      </c>
      <c r="B616" s="6" t="s">
        <v>77</v>
      </c>
      <c r="C616" s="5" t="s">
        <v>37</v>
      </c>
      <c r="D616" s="5" t="s">
        <v>35</v>
      </c>
      <c r="E616" s="6" t="n">
        <v>78010</v>
      </c>
      <c r="F616" s="6" t="n">
        <v>78660</v>
      </c>
      <c r="G616" s="6" t="n">
        <v>43411</v>
      </c>
      <c r="H616" s="6" t="n">
        <v>46022</v>
      </c>
      <c r="I616" s="6" t="n">
        <v>12534</v>
      </c>
      <c r="J616" s="6" t="n">
        <v>12495</v>
      </c>
      <c r="K616" s="6" t="n">
        <v>2526</v>
      </c>
      <c r="L616" s="6" t="n">
        <v>2780</v>
      </c>
      <c r="M616" s="6" t="n">
        <v>1024</v>
      </c>
      <c r="N616" s="6" t="n">
        <v>1087</v>
      </c>
      <c r="O616" s="6" t="n">
        <v>1762</v>
      </c>
      <c r="P616" s="6" t="n">
        <v>1645</v>
      </c>
      <c r="Q616" s="6" t="n">
        <v>1169</v>
      </c>
      <c r="R616" s="6" t="n">
        <v>1128</v>
      </c>
      <c r="S616" s="6" t="n">
        <v>925</v>
      </c>
      <c r="T616" s="6" t="n">
        <v>1094</v>
      </c>
      <c r="U616" s="6" t="n">
        <v>2248</v>
      </c>
      <c r="V616" s="6" t="n">
        <v>2232</v>
      </c>
    </row>
    <row r="617" customFormat="false" ht="15" hidden="false" customHeight="false" outlineLevel="0" collapsed="false">
      <c r="A617" s="5" t="s">
        <v>79</v>
      </c>
      <c r="B617" s="6" t="s">
        <v>77</v>
      </c>
      <c r="C617" s="5" t="s">
        <v>38</v>
      </c>
      <c r="D617" s="5" t="s">
        <v>35</v>
      </c>
      <c r="E617" s="6" t="n">
        <v>76902</v>
      </c>
      <c r="F617" s="6" t="n">
        <v>80996</v>
      </c>
      <c r="G617" s="6" t="n">
        <v>45806</v>
      </c>
      <c r="H617" s="6" t="n">
        <v>49659</v>
      </c>
      <c r="I617" s="6" t="n">
        <v>11741</v>
      </c>
      <c r="J617" s="6" t="n">
        <v>11418</v>
      </c>
      <c r="K617" s="6" t="n">
        <v>2634</v>
      </c>
      <c r="L617" s="6" t="n">
        <v>2442</v>
      </c>
      <c r="M617" s="6" t="n">
        <v>967</v>
      </c>
      <c r="N617" s="6" t="n">
        <v>1200</v>
      </c>
      <c r="O617" s="6" t="n">
        <v>2028</v>
      </c>
      <c r="P617" s="6" t="n">
        <v>2024</v>
      </c>
      <c r="Q617" s="6" t="n">
        <v>994</v>
      </c>
      <c r="R617" s="6" t="n">
        <v>963</v>
      </c>
      <c r="S617" s="6" t="n">
        <v>582</v>
      </c>
      <c r="T617" s="6" t="n">
        <v>571</v>
      </c>
      <c r="U617" s="6" t="n">
        <v>1933</v>
      </c>
      <c r="V617" s="6" t="n">
        <v>1974</v>
      </c>
    </row>
    <row r="618" customFormat="false" ht="15" hidden="false" customHeight="false" outlineLevel="0" collapsed="false">
      <c r="A618" s="5" t="s">
        <v>79</v>
      </c>
      <c r="B618" s="6" t="s">
        <v>77</v>
      </c>
      <c r="C618" s="5" t="s">
        <v>39</v>
      </c>
      <c r="D618" s="5" t="s">
        <v>35</v>
      </c>
      <c r="E618" s="6" t="n">
        <v>83895</v>
      </c>
      <c r="F618" s="6" t="n">
        <v>80990</v>
      </c>
      <c r="G618" s="6" t="n">
        <v>47187</v>
      </c>
      <c r="H618" s="6" t="n">
        <v>45848</v>
      </c>
      <c r="I618" s="6" t="n">
        <v>13660</v>
      </c>
      <c r="J618" s="6" t="n">
        <v>13907</v>
      </c>
      <c r="K618" s="6" t="n">
        <v>2618</v>
      </c>
      <c r="L618" s="6" t="n">
        <v>2837</v>
      </c>
      <c r="M618" s="6" t="n">
        <v>834</v>
      </c>
      <c r="N618" s="6" t="n">
        <v>947</v>
      </c>
      <c r="O618" s="6" t="n">
        <v>2017</v>
      </c>
      <c r="P618" s="6" t="n">
        <v>2186</v>
      </c>
      <c r="Q618" s="6" t="n">
        <v>1462</v>
      </c>
      <c r="R618" s="6" t="n">
        <v>1429</v>
      </c>
      <c r="S618" s="6" t="n">
        <v>708</v>
      </c>
      <c r="T618" s="6" t="n">
        <v>574</v>
      </c>
      <c r="U618" s="6" t="n">
        <v>2025</v>
      </c>
      <c r="V618" s="6" t="n">
        <v>1980</v>
      </c>
    </row>
    <row r="619" customFormat="false" ht="15" hidden="false" customHeight="false" outlineLevel="0" collapsed="false">
      <c r="A619" s="5" t="s">
        <v>79</v>
      </c>
      <c r="B619" s="6" t="s">
        <v>77</v>
      </c>
      <c r="C619" s="5" t="s">
        <v>40</v>
      </c>
      <c r="D619" s="5" t="s">
        <v>35</v>
      </c>
      <c r="E619" s="6" t="n">
        <v>90656</v>
      </c>
      <c r="F619" s="6" t="n">
        <v>89591</v>
      </c>
      <c r="G619" s="6" t="n">
        <v>54262</v>
      </c>
      <c r="H619" s="6" t="n">
        <v>53258</v>
      </c>
      <c r="I619" s="6" t="n">
        <v>13294</v>
      </c>
      <c r="J619" s="6" t="n">
        <v>12922</v>
      </c>
      <c r="K619" s="6" t="n">
        <v>2255</v>
      </c>
      <c r="L619" s="6" t="n">
        <v>1960</v>
      </c>
      <c r="M619" s="6" t="n">
        <v>908</v>
      </c>
      <c r="N619" s="6" t="n">
        <v>1050</v>
      </c>
      <c r="O619" s="6" t="n">
        <v>2382</v>
      </c>
      <c r="P619" s="6" t="n">
        <v>2444</v>
      </c>
      <c r="Q619" s="6" t="n">
        <v>1548</v>
      </c>
      <c r="R619" s="6" t="n">
        <v>1521</v>
      </c>
      <c r="S619" s="6" t="n">
        <v>756</v>
      </c>
      <c r="T619" s="6" t="n">
        <v>1027</v>
      </c>
      <c r="U619" s="6" t="n">
        <v>1825</v>
      </c>
      <c r="V619" s="6" t="n">
        <v>1808</v>
      </c>
    </row>
    <row r="620" customFormat="false" ht="15" hidden="false" customHeight="false" outlineLevel="0" collapsed="false">
      <c r="A620" s="5" t="s">
        <v>79</v>
      </c>
      <c r="B620" s="6" t="s">
        <v>77</v>
      </c>
      <c r="C620" s="5" t="s">
        <v>41</v>
      </c>
      <c r="D620" s="5" t="s">
        <v>35</v>
      </c>
      <c r="E620" s="6" t="n">
        <v>80848</v>
      </c>
      <c r="F620" s="6" t="n">
        <v>81391</v>
      </c>
      <c r="G620" s="6" t="n">
        <v>45899</v>
      </c>
      <c r="H620" s="6" t="n">
        <v>47601</v>
      </c>
      <c r="I620" s="6" t="n">
        <v>11830</v>
      </c>
      <c r="J620" s="6" t="n">
        <v>12383</v>
      </c>
      <c r="K620" s="6" t="n">
        <v>2433</v>
      </c>
      <c r="L620" s="6" t="n">
        <v>2255</v>
      </c>
      <c r="M620" s="6" t="n">
        <v>665</v>
      </c>
      <c r="N620" s="6" t="n">
        <v>815</v>
      </c>
      <c r="O620" s="6" t="n">
        <v>2238</v>
      </c>
      <c r="P620" s="6" t="n">
        <v>2313</v>
      </c>
      <c r="Q620" s="6" t="n">
        <v>1333</v>
      </c>
      <c r="R620" s="6" t="n">
        <v>1312</v>
      </c>
      <c r="S620" s="6" t="n">
        <v>586</v>
      </c>
      <c r="T620" s="6" t="n">
        <v>815</v>
      </c>
      <c r="U620" s="6" t="n">
        <v>1915</v>
      </c>
      <c r="V620" s="6" t="n">
        <v>1891</v>
      </c>
    </row>
    <row r="621" customFormat="false" ht="15" hidden="false" customHeight="false" outlineLevel="0" collapsed="false">
      <c r="A621" s="5" t="s">
        <v>79</v>
      </c>
      <c r="B621" s="6" t="s">
        <v>77</v>
      </c>
      <c r="C621" s="5" t="s">
        <v>42</v>
      </c>
      <c r="D621" s="5" t="s">
        <v>35</v>
      </c>
      <c r="E621" s="6" t="n">
        <v>83329</v>
      </c>
      <c r="F621" s="6" t="n">
        <v>81620</v>
      </c>
      <c r="G621" s="6" t="n">
        <v>45145</v>
      </c>
      <c r="H621" s="6" t="n">
        <v>45137</v>
      </c>
      <c r="I621" s="6" t="n">
        <v>12083</v>
      </c>
      <c r="J621" s="6" t="n">
        <v>12188</v>
      </c>
      <c r="K621" s="6" t="n">
        <v>2206</v>
      </c>
      <c r="L621" s="6" t="n">
        <v>2534</v>
      </c>
      <c r="M621" s="6" t="n">
        <v>680</v>
      </c>
      <c r="N621" s="6" t="n">
        <v>875</v>
      </c>
      <c r="O621" s="6" t="n">
        <v>1964</v>
      </c>
      <c r="P621" s="6" t="n">
        <v>1980</v>
      </c>
      <c r="Q621" s="6" t="n">
        <v>1156</v>
      </c>
      <c r="R621" s="6" t="n">
        <v>1205</v>
      </c>
      <c r="S621" s="6" t="n">
        <v>566</v>
      </c>
      <c r="T621" s="6" t="n">
        <v>659</v>
      </c>
      <c r="U621" s="6" t="n">
        <v>2375</v>
      </c>
      <c r="V621" s="6" t="n">
        <v>2318</v>
      </c>
    </row>
    <row r="622" customFormat="false" ht="15" hidden="false" customHeight="false" outlineLevel="0" collapsed="false">
      <c r="A622" s="5" t="s">
        <v>79</v>
      </c>
      <c r="B622" s="6" t="s">
        <v>77</v>
      </c>
      <c r="C622" s="5" t="s">
        <v>43</v>
      </c>
      <c r="D622" s="5" t="s">
        <v>35</v>
      </c>
      <c r="E622" s="6" t="n">
        <v>95433</v>
      </c>
      <c r="F622" s="6" t="n">
        <v>90111</v>
      </c>
      <c r="G622" s="6" t="n">
        <v>54802</v>
      </c>
      <c r="H622" s="6" t="n">
        <v>50748</v>
      </c>
      <c r="I622" s="6" t="n">
        <v>13816</v>
      </c>
      <c r="J622" s="6" t="n">
        <v>14583</v>
      </c>
      <c r="K622" s="6" t="n">
        <v>2960</v>
      </c>
      <c r="L622" s="6" t="n">
        <v>2872</v>
      </c>
      <c r="M622" s="6" t="n">
        <v>1036</v>
      </c>
      <c r="N622" s="6" t="n">
        <v>1218</v>
      </c>
      <c r="O622" s="6" t="n">
        <v>2117</v>
      </c>
      <c r="P622" s="6" t="n">
        <v>2176</v>
      </c>
      <c r="Q622" s="6" t="n">
        <v>1389</v>
      </c>
      <c r="R622" s="6" t="n">
        <v>1370</v>
      </c>
      <c r="S622" s="6" t="n">
        <v>633</v>
      </c>
      <c r="T622" s="6" t="n">
        <v>842</v>
      </c>
      <c r="U622" s="6" t="n">
        <v>2825</v>
      </c>
      <c r="V622" s="6" t="n">
        <v>2869</v>
      </c>
    </row>
    <row r="623" customFormat="false" ht="15" hidden="false" customHeight="false" outlineLevel="0" collapsed="false">
      <c r="A623" s="5" t="s">
        <v>79</v>
      </c>
      <c r="B623" s="6" t="s">
        <v>77</v>
      </c>
      <c r="C623" s="5" t="s">
        <v>44</v>
      </c>
      <c r="D623" s="5" t="s">
        <v>35</v>
      </c>
      <c r="E623" s="6" t="n">
        <v>82119</v>
      </c>
      <c r="F623" s="6" t="n">
        <v>81769</v>
      </c>
      <c r="G623" s="6" t="n">
        <v>46277</v>
      </c>
      <c r="H623" s="6" t="n">
        <v>47956</v>
      </c>
      <c r="I623" s="6" t="n">
        <v>12716</v>
      </c>
      <c r="J623" s="6" t="n">
        <v>12983</v>
      </c>
      <c r="K623" s="6" t="n">
        <v>2660</v>
      </c>
      <c r="L623" s="6" t="n">
        <v>2620</v>
      </c>
      <c r="M623" s="6" t="n">
        <v>1188</v>
      </c>
      <c r="N623" s="6" t="n">
        <v>1056</v>
      </c>
      <c r="O623" s="6" t="n">
        <v>1715</v>
      </c>
      <c r="P623" s="6" t="n">
        <v>1742</v>
      </c>
      <c r="Q623" s="6" t="n">
        <v>1205</v>
      </c>
      <c r="R623" s="6" t="n">
        <v>1201</v>
      </c>
      <c r="S623" s="6" t="n">
        <v>578</v>
      </c>
      <c r="T623" s="6" t="n">
        <v>777</v>
      </c>
      <c r="U623" s="6" t="n">
        <v>1957</v>
      </c>
      <c r="V623" s="6" t="n">
        <v>1975</v>
      </c>
    </row>
    <row r="624" customFormat="false" ht="15" hidden="false" customHeight="false" outlineLevel="0" collapsed="false">
      <c r="A624" s="5" t="s">
        <v>79</v>
      </c>
      <c r="B624" s="6" t="s">
        <v>77</v>
      </c>
      <c r="C624" s="5" t="s">
        <v>45</v>
      </c>
      <c r="D624" s="5" t="s">
        <v>35</v>
      </c>
      <c r="E624" s="6" t="n">
        <v>83271</v>
      </c>
      <c r="F624" s="6" t="n">
        <v>84177</v>
      </c>
      <c r="G624" s="6" t="n">
        <v>48146</v>
      </c>
      <c r="H624" s="6" t="n">
        <v>49591</v>
      </c>
      <c r="I624" s="6" t="n">
        <v>12004</v>
      </c>
      <c r="J624" s="6" t="n">
        <v>12462</v>
      </c>
      <c r="K624" s="6" t="n">
        <v>2913</v>
      </c>
      <c r="L624" s="6" t="n">
        <v>3000</v>
      </c>
      <c r="M624" s="6" t="n">
        <v>1093</v>
      </c>
      <c r="N624" s="6" t="n">
        <v>1391</v>
      </c>
      <c r="O624" s="6" t="n">
        <v>1770</v>
      </c>
      <c r="P624" s="6" t="n">
        <v>1708</v>
      </c>
      <c r="Q624" s="6" t="n">
        <v>1379</v>
      </c>
      <c r="R624" s="6" t="n">
        <v>1375</v>
      </c>
      <c r="S624" s="6" t="n">
        <v>545</v>
      </c>
      <c r="T624" s="6" t="n">
        <v>557</v>
      </c>
      <c r="U624" s="6" t="n">
        <v>2284</v>
      </c>
      <c r="V624" s="6" t="n">
        <v>2337</v>
      </c>
    </row>
    <row r="625" customFormat="false" ht="15" hidden="false" customHeight="false" outlineLevel="0" collapsed="false">
      <c r="A625" s="5" t="s">
        <v>79</v>
      </c>
      <c r="B625" s="6" t="s">
        <v>77</v>
      </c>
      <c r="C625" s="5" t="s">
        <v>46</v>
      </c>
      <c r="D625" s="5" t="s">
        <v>35</v>
      </c>
      <c r="E625" s="6" t="n">
        <v>95163</v>
      </c>
      <c r="F625" s="6" t="n">
        <v>94572</v>
      </c>
      <c r="G625" s="6" t="n">
        <v>56318</v>
      </c>
      <c r="H625" s="6" t="n">
        <v>58098</v>
      </c>
      <c r="I625" s="6" t="n">
        <v>13784</v>
      </c>
      <c r="J625" s="6" t="n">
        <v>13930</v>
      </c>
      <c r="K625" s="6" t="n">
        <v>3152</v>
      </c>
      <c r="L625" s="6" t="n">
        <v>2845</v>
      </c>
      <c r="M625" s="6" t="n">
        <v>1386</v>
      </c>
      <c r="N625" s="6" t="n">
        <v>1747</v>
      </c>
      <c r="O625" s="6" t="n">
        <v>2020</v>
      </c>
      <c r="P625" s="6" t="n">
        <v>1965</v>
      </c>
      <c r="Q625" s="6" t="n">
        <v>1823</v>
      </c>
      <c r="R625" s="6" t="n">
        <v>1770</v>
      </c>
      <c r="S625" s="6" t="n">
        <v>834</v>
      </c>
      <c r="T625" s="6" t="n">
        <v>790</v>
      </c>
      <c r="U625" s="6" t="n">
        <v>2477</v>
      </c>
      <c r="V625" s="6" t="n">
        <v>2550</v>
      </c>
    </row>
    <row r="626" customFormat="false" ht="15" hidden="false" customHeight="false" outlineLevel="0" collapsed="false">
      <c r="A626" s="5" t="s">
        <v>79</v>
      </c>
      <c r="B626" s="6" t="s">
        <v>77</v>
      </c>
      <c r="C626" s="5" t="s">
        <v>47</v>
      </c>
      <c r="D626" s="5" t="s">
        <v>48</v>
      </c>
      <c r="E626" s="6" t="n">
        <v>92436</v>
      </c>
      <c r="F626" s="6" t="n">
        <v>87473</v>
      </c>
      <c r="G626" s="6" t="n">
        <v>52690</v>
      </c>
      <c r="H626" s="6" t="n">
        <v>48597</v>
      </c>
      <c r="I626" s="6" t="n">
        <v>14616</v>
      </c>
      <c r="J626" s="6" t="n">
        <v>14710</v>
      </c>
      <c r="K626" s="6" t="n">
        <v>3125</v>
      </c>
      <c r="L626" s="6" t="n">
        <v>2806</v>
      </c>
      <c r="M626" s="6" t="n">
        <v>1039</v>
      </c>
      <c r="N626" s="6" t="n">
        <v>1331</v>
      </c>
      <c r="O626" s="6" t="n">
        <v>1670</v>
      </c>
      <c r="P626" s="6" t="n">
        <v>1546</v>
      </c>
      <c r="Q626" s="6" t="n">
        <v>1610</v>
      </c>
      <c r="R626" s="6" t="n">
        <v>1669</v>
      </c>
      <c r="S626" s="6" t="n">
        <v>1107</v>
      </c>
      <c r="T626" s="6" t="n">
        <v>1458</v>
      </c>
      <c r="U626" s="6" t="n">
        <v>1914</v>
      </c>
      <c r="V626" s="6" t="n">
        <v>1904</v>
      </c>
    </row>
    <row r="627" customFormat="false" ht="15" hidden="false" customHeight="false" outlineLevel="0" collapsed="false">
      <c r="A627" s="5" t="s">
        <v>79</v>
      </c>
      <c r="B627" s="6" t="s">
        <v>77</v>
      </c>
      <c r="C627" s="5" t="s">
        <v>49</v>
      </c>
      <c r="D627" s="5" t="s">
        <v>48</v>
      </c>
      <c r="E627" s="6" t="n">
        <v>89792</v>
      </c>
      <c r="F627" s="6" t="n">
        <v>87524</v>
      </c>
      <c r="G627" s="6" t="n">
        <v>49139</v>
      </c>
      <c r="H627" s="6" t="n">
        <v>49546</v>
      </c>
      <c r="I627" s="6" t="n">
        <v>14314</v>
      </c>
      <c r="J627" s="6" t="n">
        <v>14726</v>
      </c>
      <c r="K627" s="6" t="n">
        <v>1828</v>
      </c>
      <c r="L627" s="6" t="n">
        <v>1817</v>
      </c>
      <c r="M627" s="6" t="n">
        <v>1175</v>
      </c>
      <c r="N627" s="6" t="n">
        <v>1112</v>
      </c>
      <c r="O627" s="6" t="n">
        <v>1974</v>
      </c>
      <c r="P627" s="6" t="n">
        <v>2108</v>
      </c>
      <c r="Q627" s="6" t="n">
        <v>1630</v>
      </c>
      <c r="R627" s="6" t="n">
        <v>1608</v>
      </c>
      <c r="S627" s="6" t="n">
        <v>925</v>
      </c>
      <c r="T627" s="6" t="n">
        <v>1024</v>
      </c>
      <c r="U627" s="6" t="n">
        <v>2379</v>
      </c>
      <c r="V627" s="6" t="n">
        <v>2369</v>
      </c>
    </row>
    <row r="628" customFormat="false" ht="15" hidden="false" customHeight="false" outlineLevel="0" collapsed="false">
      <c r="A628" s="5" t="s">
        <v>79</v>
      </c>
      <c r="B628" s="6" t="s">
        <v>77</v>
      </c>
      <c r="C628" s="5" t="s">
        <v>50</v>
      </c>
      <c r="D628" s="5" t="s">
        <v>48</v>
      </c>
      <c r="E628" s="6" t="n">
        <v>83394</v>
      </c>
      <c r="F628" s="6" t="n">
        <v>87094</v>
      </c>
      <c r="G628" s="6" t="n">
        <v>46346</v>
      </c>
      <c r="H628" s="6" t="n">
        <v>50254</v>
      </c>
      <c r="I628" s="6" t="n">
        <v>13560</v>
      </c>
      <c r="J628" s="6" t="n">
        <v>13320</v>
      </c>
      <c r="K628" s="6" t="n">
        <v>1879</v>
      </c>
      <c r="L628" s="6" t="n">
        <v>1830</v>
      </c>
      <c r="M628" s="6" t="n">
        <v>866</v>
      </c>
      <c r="N628" s="6" t="n">
        <v>1088</v>
      </c>
      <c r="O628" s="6" t="n">
        <v>2165</v>
      </c>
      <c r="P628" s="6" t="n">
        <v>2074</v>
      </c>
      <c r="Q628" s="6" t="n">
        <v>1066</v>
      </c>
      <c r="R628" s="6" t="n">
        <v>1081</v>
      </c>
      <c r="S628" s="6" t="n">
        <v>537</v>
      </c>
      <c r="T628" s="6" t="n">
        <v>719</v>
      </c>
      <c r="U628" s="6" t="n">
        <v>2078</v>
      </c>
      <c r="V628" s="6" t="n">
        <v>2046</v>
      </c>
    </row>
    <row r="629" customFormat="false" ht="15" hidden="false" customHeight="false" outlineLevel="0" collapsed="false">
      <c r="A629" s="5" t="s">
        <v>79</v>
      </c>
      <c r="B629" s="6" t="s">
        <v>77</v>
      </c>
      <c r="C629" s="5" t="s">
        <v>51</v>
      </c>
      <c r="D629" s="5" t="s">
        <v>48</v>
      </c>
      <c r="E629" s="6" t="n">
        <v>85004</v>
      </c>
      <c r="F629" s="6" t="n">
        <v>87145</v>
      </c>
      <c r="G629" s="6" t="n">
        <v>48170</v>
      </c>
      <c r="H629" s="6" t="n">
        <v>51071</v>
      </c>
      <c r="I629" s="6" t="n">
        <v>13685</v>
      </c>
      <c r="J629" s="6" t="n">
        <v>14130</v>
      </c>
      <c r="K629" s="6" t="n">
        <v>2458</v>
      </c>
      <c r="L629" s="6" t="n">
        <v>2651</v>
      </c>
      <c r="M629" s="6" t="n">
        <v>768</v>
      </c>
      <c r="N629" s="6" t="n">
        <v>725</v>
      </c>
      <c r="O629" s="6" t="n">
        <v>1718</v>
      </c>
      <c r="P629" s="6" t="n">
        <v>1695</v>
      </c>
      <c r="Q629" s="6" t="n">
        <v>1267</v>
      </c>
      <c r="R629" s="6" t="n">
        <v>1241</v>
      </c>
      <c r="S629" s="6" t="n">
        <v>992</v>
      </c>
      <c r="T629" s="6" t="n">
        <v>888</v>
      </c>
      <c r="U629" s="6" t="n">
        <v>2239</v>
      </c>
      <c r="V629" s="6" t="n">
        <v>2236</v>
      </c>
    </row>
    <row r="630" customFormat="false" ht="15" hidden="false" customHeight="false" outlineLevel="0" collapsed="false">
      <c r="A630" s="5" t="s">
        <v>79</v>
      </c>
      <c r="B630" s="6" t="s">
        <v>77</v>
      </c>
      <c r="C630" s="5" t="s">
        <v>52</v>
      </c>
      <c r="D630" s="5" t="s">
        <v>48</v>
      </c>
      <c r="E630" s="6" t="n">
        <v>85668</v>
      </c>
      <c r="F630" s="6" t="n">
        <v>87830</v>
      </c>
      <c r="G630" s="6" t="n">
        <v>50084</v>
      </c>
      <c r="H630" s="6" t="n">
        <v>52643</v>
      </c>
      <c r="I630" s="6" t="n">
        <v>12370</v>
      </c>
      <c r="J630" s="6" t="n">
        <v>12397</v>
      </c>
      <c r="K630" s="6" t="n">
        <v>2207</v>
      </c>
      <c r="L630" s="6" t="n">
        <v>2298</v>
      </c>
      <c r="M630" s="6" t="n">
        <v>702</v>
      </c>
      <c r="N630" s="6" t="n">
        <v>636</v>
      </c>
      <c r="O630" s="6" t="n">
        <v>1802</v>
      </c>
      <c r="P630" s="6" t="n">
        <v>1847</v>
      </c>
      <c r="Q630" s="6" t="n">
        <v>1206</v>
      </c>
      <c r="R630" s="6" t="n">
        <v>1233</v>
      </c>
      <c r="S630" s="6" t="n">
        <v>897</v>
      </c>
      <c r="T630" s="6" t="n">
        <v>1254</v>
      </c>
      <c r="U630" s="6" t="n">
        <v>2061</v>
      </c>
      <c r="V630" s="6" t="n">
        <v>2076</v>
      </c>
    </row>
    <row r="631" customFormat="false" ht="15" hidden="false" customHeight="false" outlineLevel="0" collapsed="false">
      <c r="A631" s="5" t="s">
        <v>79</v>
      </c>
      <c r="B631" s="6" t="s">
        <v>77</v>
      </c>
      <c r="C631" s="5" t="s">
        <v>53</v>
      </c>
      <c r="D631" s="5" t="s">
        <v>48</v>
      </c>
      <c r="E631" s="6" t="n">
        <v>94970</v>
      </c>
      <c r="F631" s="6" t="n">
        <v>96779</v>
      </c>
      <c r="G631" s="6" t="n">
        <v>52172</v>
      </c>
      <c r="H631" s="6" t="n">
        <v>55356</v>
      </c>
      <c r="I631" s="6" t="n">
        <v>14191</v>
      </c>
      <c r="J631" s="6" t="n">
        <v>14350</v>
      </c>
      <c r="K631" s="6" t="n">
        <v>3132</v>
      </c>
      <c r="L631" s="6" t="n">
        <v>3118</v>
      </c>
      <c r="M631" s="6" t="n">
        <v>872</v>
      </c>
      <c r="N631" s="6" t="n">
        <v>927</v>
      </c>
      <c r="O631" s="6" t="n">
        <v>1876</v>
      </c>
      <c r="P631" s="6" t="n">
        <v>2029</v>
      </c>
      <c r="Q631" s="6" t="n">
        <v>1150</v>
      </c>
      <c r="R631" s="6" t="n">
        <v>1201</v>
      </c>
      <c r="S631" s="6" t="n">
        <v>765</v>
      </c>
      <c r="T631" s="6" t="n">
        <v>754</v>
      </c>
      <c r="U631" s="6" t="n">
        <v>2112</v>
      </c>
      <c r="V631" s="6" t="n">
        <v>2084</v>
      </c>
    </row>
    <row r="632" customFormat="false" ht="15" hidden="false" customHeight="false" outlineLevel="0" collapsed="false">
      <c r="A632" s="5" t="s">
        <v>79</v>
      </c>
      <c r="B632" s="6" t="s">
        <v>77</v>
      </c>
      <c r="C632" s="5" t="s">
        <v>54</v>
      </c>
      <c r="D632" s="5" t="s">
        <v>48</v>
      </c>
      <c r="E632" s="6" t="n">
        <v>92552</v>
      </c>
      <c r="F632" s="6" t="n">
        <v>89447</v>
      </c>
      <c r="G632" s="6" t="n">
        <v>53588</v>
      </c>
      <c r="H632" s="6" t="n">
        <v>51595</v>
      </c>
      <c r="I632" s="6" t="n">
        <v>14233</v>
      </c>
      <c r="J632" s="6" t="n">
        <v>15235</v>
      </c>
      <c r="K632" s="6" t="n">
        <v>3109</v>
      </c>
      <c r="L632" s="6" t="n">
        <v>3426</v>
      </c>
      <c r="M632" s="6" t="n">
        <v>1288</v>
      </c>
      <c r="N632" s="6" t="n">
        <v>1535</v>
      </c>
      <c r="O632" s="6" t="n">
        <v>2151</v>
      </c>
      <c r="P632" s="6" t="n">
        <v>2067</v>
      </c>
      <c r="Q632" s="6" t="n">
        <v>1261</v>
      </c>
      <c r="R632" s="6" t="n">
        <v>1282</v>
      </c>
      <c r="S632" s="6" t="n">
        <v>777</v>
      </c>
      <c r="T632" s="6" t="n">
        <v>668</v>
      </c>
      <c r="U632" s="6" t="n">
        <v>2156</v>
      </c>
      <c r="V632" s="6" t="n">
        <v>2100</v>
      </c>
    </row>
    <row r="633" customFormat="false" ht="15" hidden="false" customHeight="false" outlineLevel="0" collapsed="false">
      <c r="A633" s="5" t="s">
        <v>79</v>
      </c>
      <c r="B633" s="6" t="s">
        <v>77</v>
      </c>
      <c r="C633" s="5" t="s">
        <v>55</v>
      </c>
      <c r="D633" s="5" t="s">
        <v>48</v>
      </c>
      <c r="E633" s="6" t="n">
        <v>90938</v>
      </c>
      <c r="F633" s="6" t="n">
        <v>90560</v>
      </c>
      <c r="G633" s="6" t="n">
        <v>53151</v>
      </c>
      <c r="H633" s="6" t="n">
        <v>55070</v>
      </c>
      <c r="I633" s="6" t="n">
        <v>15379</v>
      </c>
      <c r="J633" s="6" t="n">
        <v>15012</v>
      </c>
      <c r="K633" s="6" t="n">
        <v>2592</v>
      </c>
      <c r="L633" s="6" t="n">
        <v>2396</v>
      </c>
      <c r="M633" s="6" t="n">
        <v>891</v>
      </c>
      <c r="N633" s="6" t="n">
        <v>1042</v>
      </c>
      <c r="O633" s="6" t="n">
        <v>2264</v>
      </c>
      <c r="P633" s="6" t="n">
        <v>2348</v>
      </c>
      <c r="Q633" s="6" t="n">
        <v>1270</v>
      </c>
      <c r="R633" s="6" t="n">
        <v>1294</v>
      </c>
      <c r="S633" s="6" t="n">
        <v>794</v>
      </c>
      <c r="T633" s="6" t="n">
        <v>654</v>
      </c>
      <c r="U633" s="6" t="n">
        <v>2373</v>
      </c>
      <c r="V633" s="6" t="n">
        <v>2380</v>
      </c>
    </row>
    <row r="634" customFormat="false" ht="15" hidden="false" customHeight="false" outlineLevel="0" collapsed="false">
      <c r="A634" s="5" t="s">
        <v>79</v>
      </c>
      <c r="B634" s="6" t="s">
        <v>77</v>
      </c>
      <c r="C634" s="5" t="s">
        <v>56</v>
      </c>
      <c r="D634" s="5" t="s">
        <v>48</v>
      </c>
      <c r="E634" s="6" t="n">
        <v>95767</v>
      </c>
      <c r="F634" s="6" t="n">
        <v>99467</v>
      </c>
      <c r="G634" s="6" t="n">
        <v>56487</v>
      </c>
      <c r="H634" s="6" t="n">
        <v>56997</v>
      </c>
      <c r="I634" s="6" t="n">
        <v>16002</v>
      </c>
      <c r="J634" s="6" t="n">
        <v>16442</v>
      </c>
      <c r="K634" s="6" t="n">
        <v>2003</v>
      </c>
      <c r="L634" s="6" t="n">
        <v>1839</v>
      </c>
      <c r="M634" s="6" t="n">
        <v>1159</v>
      </c>
      <c r="N634" s="6" t="n">
        <v>1264</v>
      </c>
      <c r="O634" s="6" t="n">
        <v>2168</v>
      </c>
      <c r="P634" s="6" t="n">
        <v>2204</v>
      </c>
      <c r="Q634" s="6" t="n">
        <v>1748</v>
      </c>
      <c r="R634" s="6" t="n">
        <v>1716</v>
      </c>
      <c r="S634" s="6" t="n">
        <v>939</v>
      </c>
      <c r="T634" s="6" t="n">
        <v>862</v>
      </c>
      <c r="U634" s="6" t="n">
        <v>2027</v>
      </c>
      <c r="V634" s="6" t="n">
        <v>1976</v>
      </c>
    </row>
    <row r="635" customFormat="false" ht="15" hidden="false" customHeight="false" outlineLevel="0" collapsed="false">
      <c r="A635" s="5" t="s">
        <v>79</v>
      </c>
      <c r="B635" s="6" t="s">
        <v>77</v>
      </c>
      <c r="C635" s="5" t="s">
        <v>57</v>
      </c>
      <c r="D635" s="5" t="s">
        <v>48</v>
      </c>
      <c r="E635" s="6" t="n">
        <v>90278</v>
      </c>
      <c r="F635" s="6" t="n">
        <v>89821</v>
      </c>
      <c r="G635" s="6" t="n">
        <v>49915</v>
      </c>
      <c r="H635" s="6" t="n">
        <v>50054</v>
      </c>
      <c r="I635" s="6" t="n">
        <v>14181</v>
      </c>
      <c r="J635" s="6" t="n">
        <v>14663</v>
      </c>
      <c r="K635" s="6" t="n">
        <v>2972</v>
      </c>
      <c r="L635" s="6" t="n">
        <v>2626</v>
      </c>
      <c r="M635" s="6" t="n">
        <v>1282</v>
      </c>
      <c r="N635" s="6" t="n">
        <v>1524</v>
      </c>
      <c r="O635" s="6" t="n">
        <v>1801</v>
      </c>
      <c r="P635" s="6" t="n">
        <v>1918</v>
      </c>
      <c r="Q635" s="6" t="n">
        <v>1527</v>
      </c>
      <c r="R635" s="6" t="n">
        <v>1520</v>
      </c>
      <c r="S635" s="6" t="n">
        <v>542</v>
      </c>
      <c r="T635" s="6" t="n">
        <v>679</v>
      </c>
      <c r="U635" s="6" t="n">
        <v>2348</v>
      </c>
      <c r="V635" s="6" t="n">
        <v>2347</v>
      </c>
    </row>
    <row r="636" customFormat="false" ht="15" hidden="false" customHeight="false" outlineLevel="0" collapsed="false">
      <c r="A636" s="5" t="s">
        <v>79</v>
      </c>
      <c r="B636" s="6" t="s">
        <v>77</v>
      </c>
      <c r="C636" s="5" t="s">
        <v>58</v>
      </c>
      <c r="D636" s="5" t="s">
        <v>48</v>
      </c>
      <c r="E636" s="6" t="n">
        <v>89648</v>
      </c>
      <c r="F636" s="6" t="n">
        <v>89570</v>
      </c>
      <c r="G636" s="6" t="n">
        <v>51176</v>
      </c>
      <c r="H636" s="6" t="n">
        <v>53601</v>
      </c>
      <c r="I636" s="6" t="n">
        <v>13357</v>
      </c>
      <c r="J636" s="6" t="n">
        <v>14231</v>
      </c>
      <c r="K636" s="6" t="n">
        <v>2128</v>
      </c>
      <c r="L636" s="6" t="n">
        <v>1985</v>
      </c>
      <c r="M636" s="6" t="n">
        <v>1069</v>
      </c>
      <c r="N636" s="6" t="n">
        <v>1020</v>
      </c>
      <c r="O636" s="6" t="n">
        <v>2008</v>
      </c>
      <c r="P636" s="6" t="n">
        <v>2201</v>
      </c>
      <c r="Q636" s="6" t="n">
        <v>1754</v>
      </c>
      <c r="R636" s="6" t="n">
        <v>1752</v>
      </c>
      <c r="S636" s="6" t="n">
        <v>710</v>
      </c>
      <c r="T636" s="6" t="n">
        <v>983</v>
      </c>
      <c r="U636" s="6" t="n">
        <v>2215</v>
      </c>
      <c r="V636" s="6" t="n">
        <v>2170</v>
      </c>
    </row>
    <row r="637" customFormat="false" ht="15" hidden="false" customHeight="false" outlineLevel="0" collapsed="false">
      <c r="A637" s="5" t="s">
        <v>79</v>
      </c>
      <c r="B637" s="6" t="s">
        <v>77</v>
      </c>
      <c r="C637" s="5" t="s">
        <v>59</v>
      </c>
      <c r="D637" s="5" t="s">
        <v>48</v>
      </c>
      <c r="E637" s="6" t="n">
        <v>97475</v>
      </c>
      <c r="F637" s="6" t="n">
        <v>98277</v>
      </c>
      <c r="G637" s="6" t="n">
        <v>54418</v>
      </c>
      <c r="H637" s="6" t="n">
        <v>57447</v>
      </c>
      <c r="I637" s="6" t="n">
        <v>14943</v>
      </c>
      <c r="J637" s="6" t="n">
        <v>15543</v>
      </c>
      <c r="K637" s="6" t="n">
        <v>2737</v>
      </c>
      <c r="L637" s="6" t="n">
        <v>2476</v>
      </c>
      <c r="M637" s="6" t="n">
        <v>1311</v>
      </c>
      <c r="N637" s="6" t="n">
        <v>1549</v>
      </c>
      <c r="O637" s="6" t="n">
        <v>1962</v>
      </c>
      <c r="P637" s="6" t="n">
        <v>1982</v>
      </c>
      <c r="Q637" s="6" t="n">
        <v>1419</v>
      </c>
      <c r="R637" s="6" t="n">
        <v>1423</v>
      </c>
      <c r="S637" s="6" t="n">
        <v>645</v>
      </c>
      <c r="T637" s="6" t="n">
        <v>632</v>
      </c>
      <c r="U637" s="6" t="n">
        <v>2544</v>
      </c>
      <c r="V637" s="6" t="n">
        <v>2555</v>
      </c>
    </row>
    <row r="638" customFormat="false" ht="15" hidden="false" customHeight="false" outlineLevel="0" collapsed="false">
      <c r="A638" s="5" t="s">
        <v>79</v>
      </c>
      <c r="B638" s="6" t="s">
        <v>77</v>
      </c>
      <c r="C638" s="5" t="s">
        <v>60</v>
      </c>
      <c r="D638" s="5" t="s">
        <v>61</v>
      </c>
      <c r="E638" s="6" t="n">
        <v>84939</v>
      </c>
      <c r="F638" s="6" t="n">
        <v>88592</v>
      </c>
      <c r="G638" s="6" t="n">
        <v>49773</v>
      </c>
      <c r="H638" s="6" t="n">
        <v>53622</v>
      </c>
      <c r="I638" s="6" t="n">
        <v>14063</v>
      </c>
      <c r="J638" s="6" t="n">
        <v>14585</v>
      </c>
      <c r="K638" s="6" t="n">
        <v>1899</v>
      </c>
      <c r="L638" s="6" t="n">
        <v>2159</v>
      </c>
      <c r="M638" s="6" t="n">
        <v>1263</v>
      </c>
      <c r="N638" s="6" t="n">
        <v>1423</v>
      </c>
      <c r="O638" s="6" t="n">
        <v>2199</v>
      </c>
      <c r="P638" s="6" t="n">
        <v>2332</v>
      </c>
      <c r="Q638" s="6" t="n">
        <v>1202</v>
      </c>
      <c r="R638" s="6" t="n">
        <v>1254</v>
      </c>
      <c r="S638" s="6" t="n">
        <v>750</v>
      </c>
      <c r="T638" s="6" t="n">
        <v>985</v>
      </c>
      <c r="U638" s="6" t="n">
        <v>1957</v>
      </c>
      <c r="V638" s="6" t="n">
        <v>1915</v>
      </c>
    </row>
    <row r="639" customFormat="false" ht="15" hidden="false" customHeight="false" outlineLevel="0" collapsed="false">
      <c r="A639" s="5" t="s">
        <v>79</v>
      </c>
      <c r="B639" s="6" t="s">
        <v>77</v>
      </c>
      <c r="C639" s="5" t="s">
        <v>62</v>
      </c>
      <c r="D639" s="5" t="s">
        <v>61</v>
      </c>
      <c r="E639" s="6" t="n">
        <v>87350</v>
      </c>
      <c r="F639" s="6" t="n">
        <v>88908</v>
      </c>
      <c r="G639" s="6" t="n">
        <v>51075</v>
      </c>
      <c r="H639" s="6" t="n">
        <v>52207</v>
      </c>
      <c r="I639" s="6" t="n">
        <v>13343</v>
      </c>
      <c r="J639" s="6" t="n">
        <v>13520</v>
      </c>
      <c r="K639" s="6" t="n">
        <v>2294</v>
      </c>
      <c r="L639" s="6" t="n">
        <v>2474</v>
      </c>
      <c r="M639" s="6" t="n">
        <v>946</v>
      </c>
      <c r="N639" s="6" t="n">
        <v>1215</v>
      </c>
      <c r="O639" s="6" t="n">
        <v>1881</v>
      </c>
      <c r="P639" s="6" t="n">
        <v>2003</v>
      </c>
      <c r="Q639" s="6" t="n">
        <v>1730</v>
      </c>
      <c r="R639" s="6" t="n">
        <v>1776</v>
      </c>
      <c r="S639" s="6" t="n">
        <v>534</v>
      </c>
      <c r="T639" s="6" t="n">
        <v>653</v>
      </c>
      <c r="U639" s="6" t="n">
        <v>1929</v>
      </c>
      <c r="V639" s="6" t="n">
        <v>1954</v>
      </c>
    </row>
    <row r="640" customFormat="false" ht="15" hidden="false" customHeight="false" outlineLevel="0" collapsed="false">
      <c r="A640" s="5" t="s">
        <v>79</v>
      </c>
      <c r="B640" s="6" t="s">
        <v>77</v>
      </c>
      <c r="C640" s="5" t="s">
        <v>63</v>
      </c>
      <c r="D640" s="5" t="s">
        <v>61</v>
      </c>
      <c r="E640" s="6" t="n">
        <v>87732</v>
      </c>
      <c r="F640" s="6" t="n">
        <v>89085</v>
      </c>
      <c r="G640" s="6" t="n">
        <v>49069</v>
      </c>
      <c r="H640" s="6" t="n">
        <v>51567</v>
      </c>
      <c r="I640" s="6" t="n">
        <v>13140</v>
      </c>
      <c r="J640" s="6" t="n">
        <v>13555</v>
      </c>
      <c r="K640" s="6" t="n">
        <v>2017</v>
      </c>
      <c r="L640" s="6" t="n">
        <v>1845</v>
      </c>
      <c r="M640" s="6" t="n">
        <v>1011</v>
      </c>
      <c r="N640" s="6" t="n">
        <v>1242</v>
      </c>
      <c r="O640" s="6" t="n">
        <v>1673</v>
      </c>
      <c r="P640" s="6" t="n">
        <v>1612</v>
      </c>
      <c r="Q640" s="6" t="n">
        <v>1281</v>
      </c>
      <c r="R640" s="6" t="n">
        <v>1278</v>
      </c>
      <c r="S640" s="6" t="n">
        <v>906</v>
      </c>
      <c r="T640" s="6" t="n">
        <v>980</v>
      </c>
      <c r="U640" s="6" t="n">
        <v>2607</v>
      </c>
      <c r="V640" s="6" t="n">
        <v>2536</v>
      </c>
    </row>
    <row r="641" customFormat="false" ht="15" hidden="false" customHeight="false" outlineLevel="0" collapsed="false">
      <c r="A641" s="5" t="s">
        <v>79</v>
      </c>
      <c r="B641" s="6" t="s">
        <v>77</v>
      </c>
      <c r="C641" s="5" t="s">
        <v>64</v>
      </c>
      <c r="D641" s="5" t="s">
        <v>61</v>
      </c>
      <c r="E641" s="6" t="n">
        <v>92616</v>
      </c>
      <c r="F641" s="6" t="n">
        <v>90575</v>
      </c>
      <c r="G641" s="6" t="n">
        <v>55063</v>
      </c>
      <c r="H641" s="6" t="n">
        <v>54244</v>
      </c>
      <c r="I641" s="6" t="n">
        <v>13745</v>
      </c>
      <c r="J641" s="6" t="n">
        <v>14250</v>
      </c>
      <c r="K641" s="6" t="n">
        <v>2373</v>
      </c>
      <c r="L641" s="6" t="n">
        <v>2089</v>
      </c>
      <c r="M641" s="6" t="n">
        <v>1156</v>
      </c>
      <c r="N641" s="6" t="n">
        <v>1084</v>
      </c>
      <c r="O641" s="6" t="n">
        <v>2009</v>
      </c>
      <c r="P641" s="6" t="n">
        <v>2182</v>
      </c>
      <c r="Q641" s="6" t="n">
        <v>1194</v>
      </c>
      <c r="R641" s="6" t="n">
        <v>1150</v>
      </c>
      <c r="S641" s="6" t="n">
        <v>972</v>
      </c>
      <c r="T641" s="6" t="n">
        <v>967</v>
      </c>
      <c r="U641" s="6" t="n">
        <v>2570</v>
      </c>
      <c r="V641" s="6" t="n">
        <v>2557</v>
      </c>
    </row>
    <row r="642" customFormat="false" ht="15" hidden="false" customHeight="false" outlineLevel="0" collapsed="false">
      <c r="A642" s="5" t="s">
        <v>79</v>
      </c>
      <c r="B642" s="6" t="s">
        <v>77</v>
      </c>
      <c r="C642" s="5" t="s">
        <v>65</v>
      </c>
      <c r="D642" s="5" t="s">
        <v>61</v>
      </c>
      <c r="E642" s="6" t="n">
        <v>86447</v>
      </c>
      <c r="F642" s="6" t="n">
        <v>90232</v>
      </c>
      <c r="G642" s="6" t="n">
        <v>48231</v>
      </c>
      <c r="H642" s="6" t="n">
        <v>49441</v>
      </c>
      <c r="I642" s="6" t="n">
        <v>12331</v>
      </c>
      <c r="J642" s="6" t="n">
        <v>12294</v>
      </c>
      <c r="K642" s="6" t="n">
        <v>2472</v>
      </c>
      <c r="L642" s="6" t="n">
        <v>2667</v>
      </c>
      <c r="M642" s="6" t="n">
        <v>849</v>
      </c>
      <c r="N642" s="6" t="n">
        <v>905</v>
      </c>
      <c r="O642" s="6" t="n">
        <v>1808</v>
      </c>
      <c r="P642" s="6" t="n">
        <v>1670</v>
      </c>
      <c r="Q642" s="6" t="n">
        <v>1571</v>
      </c>
      <c r="R642" s="6" t="n">
        <v>1503</v>
      </c>
      <c r="S642" s="6" t="n">
        <v>926</v>
      </c>
      <c r="T642" s="6" t="n">
        <v>1136</v>
      </c>
      <c r="U642" s="6" t="n">
        <v>2000</v>
      </c>
      <c r="V642" s="6" t="n">
        <v>2042</v>
      </c>
    </row>
    <row r="643" customFormat="false" ht="15" hidden="false" customHeight="false" outlineLevel="0" collapsed="false">
      <c r="A643" s="5" t="s">
        <v>79</v>
      </c>
      <c r="B643" s="6" t="s">
        <v>77</v>
      </c>
      <c r="C643" s="5" t="s">
        <v>66</v>
      </c>
      <c r="D643" s="5" t="s">
        <v>61</v>
      </c>
      <c r="E643" s="6" t="n">
        <v>101722</v>
      </c>
      <c r="F643" s="6" t="n">
        <v>102387</v>
      </c>
      <c r="G643" s="6" t="n">
        <v>60329</v>
      </c>
      <c r="H643" s="6" t="n">
        <v>59618</v>
      </c>
      <c r="I643" s="6" t="n">
        <v>15670</v>
      </c>
      <c r="J643" s="6" t="n">
        <v>15994</v>
      </c>
      <c r="K643" s="6" t="n">
        <v>2543</v>
      </c>
      <c r="L643" s="6" t="n">
        <v>2679</v>
      </c>
      <c r="M643" s="6" t="n">
        <v>1315</v>
      </c>
      <c r="N643" s="6" t="n">
        <v>1220</v>
      </c>
      <c r="O643" s="6" t="n">
        <v>2592</v>
      </c>
      <c r="P643" s="6" t="n">
        <v>2395</v>
      </c>
      <c r="Q643" s="6" t="n">
        <v>1318</v>
      </c>
      <c r="R643" s="6" t="n">
        <v>1306</v>
      </c>
      <c r="S643" s="6" t="n">
        <v>852</v>
      </c>
      <c r="T643" s="6" t="n">
        <v>930</v>
      </c>
      <c r="U643" s="6" t="n">
        <v>2083</v>
      </c>
      <c r="V643" s="6" t="n">
        <v>2087</v>
      </c>
    </row>
    <row r="644" customFormat="false" ht="15" hidden="false" customHeight="false" outlineLevel="0" collapsed="false">
      <c r="A644" s="5" t="s">
        <v>79</v>
      </c>
      <c r="B644" s="6" t="s">
        <v>77</v>
      </c>
      <c r="C644" s="5" t="s">
        <v>67</v>
      </c>
      <c r="D644" s="5" t="s">
        <v>61</v>
      </c>
      <c r="E644" s="6" t="n">
        <v>95276</v>
      </c>
      <c r="F644" s="6" t="n">
        <v>95136</v>
      </c>
      <c r="G644" s="6" t="n">
        <v>51542</v>
      </c>
      <c r="H644" s="6" t="n">
        <v>51643</v>
      </c>
      <c r="I644" s="6" t="n">
        <v>13430</v>
      </c>
      <c r="J644" s="6" t="n">
        <v>13772</v>
      </c>
      <c r="K644" s="6" t="n">
        <v>3046</v>
      </c>
      <c r="L644" s="6" t="n">
        <v>3311</v>
      </c>
      <c r="M644" s="6" t="n">
        <v>1090</v>
      </c>
      <c r="N644" s="6" t="n">
        <v>1185</v>
      </c>
      <c r="O644" s="6" t="n">
        <v>2319</v>
      </c>
      <c r="P644" s="6" t="n">
        <v>2440</v>
      </c>
      <c r="Q644" s="6" t="n">
        <v>1574</v>
      </c>
      <c r="R644" s="6" t="n">
        <v>1649</v>
      </c>
      <c r="S644" s="6" t="n">
        <v>1018</v>
      </c>
      <c r="T644" s="6" t="n">
        <v>1139</v>
      </c>
      <c r="U644" s="6" t="n">
        <v>2666</v>
      </c>
      <c r="V644" s="6" t="n">
        <v>2721</v>
      </c>
    </row>
    <row r="645" customFormat="false" ht="15" hidden="false" customHeight="false" outlineLevel="0" collapsed="false">
      <c r="A645" s="5" t="s">
        <v>79</v>
      </c>
      <c r="B645" s="6" t="s">
        <v>77</v>
      </c>
      <c r="C645" s="5" t="s">
        <v>68</v>
      </c>
      <c r="D645" s="5" t="s">
        <v>61</v>
      </c>
      <c r="E645" s="6" t="n">
        <v>99322</v>
      </c>
      <c r="F645" s="6" t="n">
        <v>94529</v>
      </c>
      <c r="G645" s="6" t="n">
        <v>57269</v>
      </c>
      <c r="H645" s="6" t="n">
        <v>57308</v>
      </c>
      <c r="I645" s="6" t="n">
        <v>16146</v>
      </c>
      <c r="J645" s="6" t="n">
        <v>17024</v>
      </c>
      <c r="K645" s="6" t="n">
        <v>2628</v>
      </c>
      <c r="L645" s="6" t="n">
        <v>2452</v>
      </c>
      <c r="M645" s="6" t="n">
        <v>1108</v>
      </c>
      <c r="N645" s="6" t="n">
        <v>1374</v>
      </c>
      <c r="O645" s="6" t="n">
        <v>2522</v>
      </c>
      <c r="P645" s="6" t="n">
        <v>2616</v>
      </c>
      <c r="Q645" s="6" t="n">
        <v>1250</v>
      </c>
      <c r="R645" s="6" t="n">
        <v>1268</v>
      </c>
      <c r="S645" s="6" t="n">
        <v>798</v>
      </c>
      <c r="T645" s="6" t="n">
        <v>891</v>
      </c>
      <c r="U645" s="6" t="n">
        <v>2674</v>
      </c>
      <c r="V645" s="6" t="n">
        <v>2725</v>
      </c>
    </row>
    <row r="646" customFormat="false" ht="15" hidden="false" customHeight="false" outlineLevel="0" collapsed="false">
      <c r="A646" s="5" t="s">
        <v>79</v>
      </c>
      <c r="B646" s="6" t="s">
        <v>77</v>
      </c>
      <c r="C646" s="5" t="s">
        <v>69</v>
      </c>
      <c r="D646" s="5" t="s">
        <v>61</v>
      </c>
      <c r="E646" s="6" t="n">
        <v>99222</v>
      </c>
      <c r="F646" s="6" t="n">
        <v>105267</v>
      </c>
      <c r="G646" s="6" t="n">
        <v>57001</v>
      </c>
      <c r="H646" s="6" t="n">
        <v>58402</v>
      </c>
      <c r="I646" s="6" t="n">
        <v>16356</v>
      </c>
      <c r="J646" s="6" t="n">
        <v>15899</v>
      </c>
      <c r="K646" s="6" t="n">
        <v>2320</v>
      </c>
      <c r="L646" s="6" t="n">
        <v>2269</v>
      </c>
      <c r="M646" s="6" t="n">
        <v>974</v>
      </c>
      <c r="N646" s="6" t="n">
        <v>888</v>
      </c>
      <c r="O646" s="6" t="n">
        <v>2455</v>
      </c>
      <c r="P646" s="6" t="n">
        <v>2403</v>
      </c>
      <c r="Q646" s="6" t="n">
        <v>1554</v>
      </c>
      <c r="R646" s="6" t="n">
        <v>1580</v>
      </c>
      <c r="S646" s="6" t="n">
        <v>1054</v>
      </c>
      <c r="T646" s="6" t="n">
        <v>1206</v>
      </c>
      <c r="U646" s="6" t="n">
        <v>2336</v>
      </c>
      <c r="V646" s="6" t="n">
        <v>2389</v>
      </c>
    </row>
    <row r="647" customFormat="false" ht="15" hidden="false" customHeight="false" outlineLevel="0" collapsed="false">
      <c r="A647" s="5" t="s">
        <v>79</v>
      </c>
      <c r="B647" s="6" t="s">
        <v>77</v>
      </c>
      <c r="C647" s="5" t="s">
        <v>70</v>
      </c>
      <c r="D647" s="5" t="s">
        <v>61</v>
      </c>
      <c r="E647" s="6" t="n">
        <v>93566</v>
      </c>
      <c r="F647" s="6" t="n">
        <v>97636</v>
      </c>
      <c r="G647" s="6" t="n">
        <v>54865</v>
      </c>
      <c r="H647" s="6" t="n">
        <v>56305</v>
      </c>
      <c r="I647" s="6" t="n">
        <v>13609</v>
      </c>
      <c r="J647" s="6" t="n">
        <v>13240</v>
      </c>
      <c r="K647" s="6" t="n">
        <v>2716</v>
      </c>
      <c r="L647" s="6" t="n">
        <v>2997</v>
      </c>
      <c r="M647" s="6" t="n">
        <v>1259</v>
      </c>
      <c r="N647" s="6" t="n">
        <v>1347</v>
      </c>
      <c r="O647" s="6" t="n">
        <v>2577</v>
      </c>
      <c r="P647" s="6" t="n">
        <v>2523</v>
      </c>
      <c r="Q647" s="6" t="n">
        <v>1359</v>
      </c>
      <c r="R647" s="6" t="n">
        <v>1322</v>
      </c>
      <c r="S647" s="6" t="n">
        <v>679</v>
      </c>
      <c r="T647" s="6" t="n">
        <v>667</v>
      </c>
      <c r="U647" s="6" t="n">
        <v>2268</v>
      </c>
      <c r="V647" s="6" t="n">
        <v>2237</v>
      </c>
    </row>
    <row r="648" customFormat="false" ht="15" hidden="false" customHeight="false" outlineLevel="0" collapsed="false">
      <c r="A648" s="5" t="s">
        <v>79</v>
      </c>
      <c r="B648" s="6" t="s">
        <v>77</v>
      </c>
      <c r="C648" s="5" t="s">
        <v>71</v>
      </c>
      <c r="D648" s="5" t="s">
        <v>61</v>
      </c>
      <c r="E648" s="6" t="n">
        <v>96957</v>
      </c>
      <c r="F648" s="6" t="n">
        <v>100362</v>
      </c>
      <c r="G648" s="6" t="n">
        <v>54424</v>
      </c>
      <c r="H648" s="6" t="n">
        <v>55017</v>
      </c>
      <c r="I648" s="6" t="n">
        <v>16189</v>
      </c>
      <c r="J648" s="6" t="n">
        <v>16486</v>
      </c>
      <c r="K648" s="6" t="n">
        <v>3152</v>
      </c>
      <c r="L648" s="6" t="n">
        <v>3034</v>
      </c>
      <c r="M648" s="6" t="n">
        <v>1077</v>
      </c>
      <c r="N648" s="6" t="n">
        <v>1262</v>
      </c>
      <c r="O648" s="6" t="n">
        <v>2463</v>
      </c>
      <c r="P648" s="6" t="n">
        <v>2435</v>
      </c>
      <c r="Q648" s="6" t="n">
        <v>1510</v>
      </c>
      <c r="R648" s="6" t="n">
        <v>1495</v>
      </c>
      <c r="S648" s="6" t="n">
        <v>701</v>
      </c>
      <c r="T648" s="6" t="n">
        <v>721</v>
      </c>
      <c r="U648" s="6" t="n">
        <v>2729</v>
      </c>
      <c r="V648" s="6" t="n">
        <v>2662</v>
      </c>
    </row>
    <row r="649" customFormat="false" ht="15" hidden="false" customHeight="false" outlineLevel="0" collapsed="false">
      <c r="A649" s="5" t="s">
        <v>79</v>
      </c>
      <c r="B649" s="6" t="s">
        <v>77</v>
      </c>
      <c r="C649" s="5" t="s">
        <v>72</v>
      </c>
      <c r="D649" s="5" t="s">
        <v>61</v>
      </c>
      <c r="E649" s="6" t="n">
        <v>116093</v>
      </c>
      <c r="F649" s="6" t="n">
        <v>110608</v>
      </c>
      <c r="G649" s="6" t="n">
        <v>67737</v>
      </c>
      <c r="H649" s="6" t="n">
        <v>62997</v>
      </c>
      <c r="I649" s="6" t="n">
        <v>18888</v>
      </c>
      <c r="J649" s="6" t="n">
        <v>18571</v>
      </c>
      <c r="K649" s="6" t="n">
        <v>3174</v>
      </c>
      <c r="L649" s="6" t="n">
        <v>3274</v>
      </c>
      <c r="M649" s="6" t="n">
        <v>1538</v>
      </c>
      <c r="N649" s="6" t="n">
        <v>1474</v>
      </c>
      <c r="O649" s="6" t="n">
        <v>2311</v>
      </c>
      <c r="P649" s="6" t="n">
        <v>2536</v>
      </c>
      <c r="Q649" s="6" t="n">
        <v>2136</v>
      </c>
      <c r="R649" s="6" t="n">
        <v>2106</v>
      </c>
      <c r="S649" s="6" t="n">
        <v>874</v>
      </c>
      <c r="T649" s="6" t="n">
        <v>758</v>
      </c>
      <c r="U649" s="6" t="n">
        <v>2852</v>
      </c>
      <c r="V649" s="6" t="n">
        <v>2768</v>
      </c>
    </row>
    <row r="650" customFormat="false" ht="15" hidden="false" customHeight="false" outlineLevel="0" collapsed="false">
      <c r="A650" s="5" t="s">
        <v>80</v>
      </c>
      <c r="B650" s="6" t="s">
        <v>33</v>
      </c>
      <c r="C650" s="5" t="s">
        <v>34</v>
      </c>
      <c r="D650" s="5" t="s">
        <v>35</v>
      </c>
      <c r="E650" s="6" t="n">
        <v>466587</v>
      </c>
      <c r="F650" s="6" t="n">
        <v>474868</v>
      </c>
      <c r="G650" s="6" t="n">
        <v>278433</v>
      </c>
      <c r="H650" s="6" t="n">
        <v>293739</v>
      </c>
      <c r="I650" s="6" t="n">
        <v>71399</v>
      </c>
      <c r="J650" s="6" t="n">
        <v>75916</v>
      </c>
      <c r="K650" s="6" t="n">
        <v>11436</v>
      </c>
      <c r="L650" s="6" t="n">
        <v>13150</v>
      </c>
      <c r="M650" s="6" t="n">
        <v>4009</v>
      </c>
      <c r="N650" s="6" t="n">
        <v>4497</v>
      </c>
      <c r="O650" s="6" t="n">
        <v>10217</v>
      </c>
      <c r="P650" s="6" t="n">
        <v>10267</v>
      </c>
      <c r="Q650" s="6" t="n">
        <v>9150</v>
      </c>
      <c r="R650" s="6" t="n">
        <v>8944</v>
      </c>
      <c r="S650" s="6" t="n">
        <v>4612</v>
      </c>
      <c r="T650" s="6" t="n">
        <v>4584</v>
      </c>
      <c r="U650" s="6" t="n">
        <v>9988</v>
      </c>
      <c r="V650" s="6" t="n">
        <v>9838</v>
      </c>
    </row>
    <row r="651" customFormat="false" ht="15" hidden="false" customHeight="false" outlineLevel="0" collapsed="false">
      <c r="A651" s="5" t="s">
        <v>80</v>
      </c>
      <c r="B651" s="6" t="s">
        <v>33</v>
      </c>
      <c r="C651" s="5" t="s">
        <v>36</v>
      </c>
      <c r="D651" s="5" t="s">
        <v>35</v>
      </c>
      <c r="E651" s="6" t="n">
        <v>459582</v>
      </c>
      <c r="F651" s="6" t="n">
        <v>481059</v>
      </c>
      <c r="G651" s="6" t="n">
        <v>252469</v>
      </c>
      <c r="H651" s="6" t="n">
        <v>271365</v>
      </c>
      <c r="I651" s="6" t="n">
        <v>74851</v>
      </c>
      <c r="J651" s="6" t="n">
        <v>73109</v>
      </c>
      <c r="K651" s="6" t="n">
        <v>14723</v>
      </c>
      <c r="L651" s="6" t="n">
        <v>16341</v>
      </c>
      <c r="M651" s="6" t="n">
        <v>5803</v>
      </c>
      <c r="N651" s="6" t="n">
        <v>5721</v>
      </c>
      <c r="O651" s="6" t="n">
        <v>10179</v>
      </c>
      <c r="P651" s="6" t="n">
        <v>9653</v>
      </c>
      <c r="Q651" s="6" t="n">
        <v>6149</v>
      </c>
      <c r="R651" s="6" t="n">
        <v>6417</v>
      </c>
      <c r="S651" s="6" t="n">
        <v>5419</v>
      </c>
      <c r="T651" s="6" t="n">
        <v>6748</v>
      </c>
      <c r="U651" s="6" t="n">
        <v>12916</v>
      </c>
      <c r="V651" s="6" t="n">
        <v>12669</v>
      </c>
    </row>
    <row r="652" customFormat="false" ht="15" hidden="false" customHeight="false" outlineLevel="0" collapsed="false">
      <c r="A652" s="5" t="s">
        <v>80</v>
      </c>
      <c r="B652" s="6" t="s">
        <v>33</v>
      </c>
      <c r="C652" s="5" t="s">
        <v>37</v>
      </c>
      <c r="D652" s="5" t="s">
        <v>35</v>
      </c>
      <c r="E652" s="6" t="n">
        <v>470317</v>
      </c>
      <c r="F652" s="6" t="n">
        <v>493446</v>
      </c>
      <c r="G652" s="6" t="n">
        <v>258553</v>
      </c>
      <c r="H652" s="6" t="n">
        <v>273675</v>
      </c>
      <c r="I652" s="6" t="n">
        <v>70163</v>
      </c>
      <c r="J652" s="6" t="n">
        <v>72884</v>
      </c>
      <c r="K652" s="6" t="n">
        <v>15819</v>
      </c>
      <c r="L652" s="6" t="n">
        <v>14705</v>
      </c>
      <c r="M652" s="6" t="n">
        <v>4820</v>
      </c>
      <c r="N652" s="6" t="n">
        <v>5744</v>
      </c>
      <c r="O652" s="6" t="n">
        <v>10025</v>
      </c>
      <c r="P652" s="6" t="n">
        <v>10827</v>
      </c>
      <c r="Q652" s="6" t="n">
        <v>5773</v>
      </c>
      <c r="R652" s="6" t="n">
        <v>5988</v>
      </c>
      <c r="S652" s="6" t="n">
        <v>5400</v>
      </c>
      <c r="T652" s="6" t="n">
        <v>4471</v>
      </c>
      <c r="U652" s="6" t="n">
        <v>11180</v>
      </c>
      <c r="V652" s="6" t="n">
        <v>11246</v>
      </c>
    </row>
    <row r="653" customFormat="false" ht="15" hidden="false" customHeight="false" outlineLevel="0" collapsed="false">
      <c r="A653" s="5" t="s">
        <v>80</v>
      </c>
      <c r="B653" s="6" t="s">
        <v>33</v>
      </c>
      <c r="C653" s="5" t="s">
        <v>38</v>
      </c>
      <c r="D653" s="5" t="s">
        <v>35</v>
      </c>
      <c r="E653" s="6" t="n">
        <v>478622</v>
      </c>
      <c r="F653" s="6" t="n">
        <v>499094</v>
      </c>
      <c r="G653" s="6" t="n">
        <v>258885</v>
      </c>
      <c r="H653" s="6" t="n">
        <v>282365</v>
      </c>
      <c r="I653" s="6" t="n">
        <v>68330</v>
      </c>
      <c r="J653" s="6" t="n">
        <v>73708</v>
      </c>
      <c r="K653" s="6" t="n">
        <v>10379</v>
      </c>
      <c r="L653" s="6" t="n">
        <v>10303</v>
      </c>
      <c r="M653" s="6" t="n">
        <v>7124</v>
      </c>
      <c r="N653" s="6" t="n">
        <v>8749</v>
      </c>
      <c r="O653" s="6" t="n">
        <v>11184</v>
      </c>
      <c r="P653" s="6" t="n">
        <v>10560</v>
      </c>
      <c r="Q653" s="6" t="n">
        <v>8053</v>
      </c>
      <c r="R653" s="6" t="n">
        <v>8163</v>
      </c>
      <c r="S653" s="6" t="n">
        <v>3766</v>
      </c>
      <c r="T653" s="6" t="n">
        <v>4074</v>
      </c>
      <c r="U653" s="6" t="n">
        <v>13894</v>
      </c>
      <c r="V653" s="6" t="n">
        <v>13584</v>
      </c>
    </row>
    <row r="654" customFormat="false" ht="15" hidden="false" customHeight="false" outlineLevel="0" collapsed="false">
      <c r="A654" s="5" t="s">
        <v>80</v>
      </c>
      <c r="B654" s="6" t="s">
        <v>33</v>
      </c>
      <c r="C654" s="5" t="s">
        <v>39</v>
      </c>
      <c r="D654" s="5" t="s">
        <v>35</v>
      </c>
      <c r="E654" s="6" t="n">
        <v>499267</v>
      </c>
      <c r="F654" s="6" t="n">
        <v>507452</v>
      </c>
      <c r="G654" s="6" t="n">
        <v>287985</v>
      </c>
      <c r="H654" s="6" t="n">
        <v>300732</v>
      </c>
      <c r="I654" s="6" t="n">
        <v>77054</v>
      </c>
      <c r="J654" s="6" t="n">
        <v>81088</v>
      </c>
      <c r="K654" s="6" t="n">
        <v>16366</v>
      </c>
      <c r="L654" s="6" t="n">
        <v>14875</v>
      </c>
      <c r="M654" s="6" t="n">
        <v>4761</v>
      </c>
      <c r="N654" s="6" t="n">
        <v>4118</v>
      </c>
      <c r="O654" s="6" t="n">
        <v>13691</v>
      </c>
      <c r="P654" s="6" t="n">
        <v>13152</v>
      </c>
      <c r="Q654" s="6" t="n">
        <v>6319</v>
      </c>
      <c r="R654" s="6" t="n">
        <v>6063</v>
      </c>
      <c r="S654" s="6" t="n">
        <v>4205</v>
      </c>
      <c r="T654" s="6" t="n">
        <v>5602</v>
      </c>
      <c r="U654" s="6" t="n">
        <v>10511</v>
      </c>
      <c r="V654" s="6" t="n">
        <v>10338</v>
      </c>
    </row>
    <row r="655" customFormat="false" ht="15" hidden="false" customHeight="false" outlineLevel="0" collapsed="false">
      <c r="A655" s="5" t="s">
        <v>80</v>
      </c>
      <c r="B655" s="6" t="s">
        <v>33</v>
      </c>
      <c r="C655" s="5" t="s">
        <v>40</v>
      </c>
      <c r="D655" s="5" t="s">
        <v>35</v>
      </c>
      <c r="E655" s="6" t="n">
        <v>550016</v>
      </c>
      <c r="F655" s="6" t="n">
        <v>539695</v>
      </c>
      <c r="G655" s="6" t="n">
        <v>307854</v>
      </c>
      <c r="H655" s="6" t="n">
        <v>317565</v>
      </c>
      <c r="I655" s="6" t="n">
        <v>88030</v>
      </c>
      <c r="J655" s="6" t="n">
        <v>90424</v>
      </c>
      <c r="K655" s="6" t="n">
        <v>15762</v>
      </c>
      <c r="L655" s="6" t="n">
        <v>17576</v>
      </c>
      <c r="M655" s="6" t="n">
        <v>7326</v>
      </c>
      <c r="N655" s="6" t="n">
        <v>6343</v>
      </c>
      <c r="O655" s="6" t="n">
        <v>12221</v>
      </c>
      <c r="P655" s="6" t="n">
        <v>12698</v>
      </c>
      <c r="Q655" s="6" t="n">
        <v>9149</v>
      </c>
      <c r="R655" s="6" t="n">
        <v>9547</v>
      </c>
      <c r="S655" s="6" t="n">
        <v>3413</v>
      </c>
      <c r="T655" s="6" t="n">
        <v>4586</v>
      </c>
      <c r="U655" s="6" t="n">
        <v>13118</v>
      </c>
      <c r="V655" s="6" t="n">
        <v>12762</v>
      </c>
    </row>
    <row r="656" customFormat="false" ht="15" hidden="false" customHeight="false" outlineLevel="0" collapsed="false">
      <c r="A656" s="5" t="s">
        <v>80</v>
      </c>
      <c r="B656" s="6" t="s">
        <v>33</v>
      </c>
      <c r="C656" s="5" t="s">
        <v>41</v>
      </c>
      <c r="D656" s="5" t="s">
        <v>35</v>
      </c>
      <c r="E656" s="6" t="n">
        <v>486098</v>
      </c>
      <c r="F656" s="6" t="n">
        <v>505373</v>
      </c>
      <c r="G656" s="6" t="n">
        <v>266662</v>
      </c>
      <c r="H656" s="6" t="n">
        <v>267991</v>
      </c>
      <c r="I656" s="6" t="n">
        <v>79644</v>
      </c>
      <c r="J656" s="6" t="n">
        <v>78673</v>
      </c>
      <c r="K656" s="6" t="n">
        <v>12074</v>
      </c>
      <c r="L656" s="6" t="n">
        <v>12335</v>
      </c>
      <c r="M656" s="6" t="n">
        <v>5535</v>
      </c>
      <c r="N656" s="6" t="n">
        <v>5380</v>
      </c>
      <c r="O656" s="6" t="n">
        <v>11806</v>
      </c>
      <c r="P656" s="6" t="n">
        <v>12598</v>
      </c>
      <c r="Q656" s="6" t="n">
        <v>8078</v>
      </c>
      <c r="R656" s="6" t="n">
        <v>8039</v>
      </c>
      <c r="S656" s="6" t="n">
        <v>3543</v>
      </c>
      <c r="T656" s="6" t="n">
        <v>4155</v>
      </c>
      <c r="U656" s="6" t="n">
        <v>12375</v>
      </c>
      <c r="V656" s="6" t="n">
        <v>12091</v>
      </c>
    </row>
    <row r="657" customFormat="false" ht="15" hidden="false" customHeight="false" outlineLevel="0" collapsed="false">
      <c r="A657" s="5" t="s">
        <v>80</v>
      </c>
      <c r="B657" s="6" t="s">
        <v>33</v>
      </c>
      <c r="C657" s="5" t="s">
        <v>42</v>
      </c>
      <c r="D657" s="5" t="s">
        <v>35</v>
      </c>
      <c r="E657" s="6" t="n">
        <v>522442</v>
      </c>
      <c r="F657" s="6" t="n">
        <v>506134</v>
      </c>
      <c r="G657" s="6" t="n">
        <v>311079</v>
      </c>
      <c r="H657" s="6" t="n">
        <v>299781</v>
      </c>
      <c r="I657" s="6" t="n">
        <v>87131</v>
      </c>
      <c r="J657" s="6" t="n">
        <v>86964</v>
      </c>
      <c r="K657" s="6" t="n">
        <v>16773</v>
      </c>
      <c r="L657" s="6" t="n">
        <v>16709</v>
      </c>
      <c r="M657" s="6" t="n">
        <v>6187</v>
      </c>
      <c r="N657" s="6" t="n">
        <v>7001</v>
      </c>
      <c r="O657" s="6" t="n">
        <v>12894</v>
      </c>
      <c r="P657" s="6" t="n">
        <v>12657</v>
      </c>
      <c r="Q657" s="6" t="n">
        <v>8439</v>
      </c>
      <c r="R657" s="6" t="n">
        <v>8070</v>
      </c>
      <c r="S657" s="6" t="n">
        <v>4280</v>
      </c>
      <c r="T657" s="6" t="n">
        <v>5073</v>
      </c>
      <c r="U657" s="6" t="n">
        <v>15489</v>
      </c>
      <c r="V657" s="6" t="n">
        <v>15142</v>
      </c>
    </row>
    <row r="658" customFormat="false" ht="15" hidden="false" customHeight="false" outlineLevel="0" collapsed="false">
      <c r="A658" s="5" t="s">
        <v>80</v>
      </c>
      <c r="B658" s="6" t="s">
        <v>33</v>
      </c>
      <c r="C658" s="5" t="s">
        <v>43</v>
      </c>
      <c r="D658" s="5" t="s">
        <v>35</v>
      </c>
      <c r="E658" s="6" t="n">
        <v>536466</v>
      </c>
      <c r="F658" s="6" t="n">
        <v>539220</v>
      </c>
      <c r="G658" s="6" t="n">
        <v>293269</v>
      </c>
      <c r="H658" s="6" t="n">
        <v>298831</v>
      </c>
      <c r="I658" s="6" t="n">
        <v>79864</v>
      </c>
      <c r="J658" s="6" t="n">
        <v>85140</v>
      </c>
      <c r="K658" s="6" t="n">
        <v>13200</v>
      </c>
      <c r="L658" s="6" t="n">
        <v>12947</v>
      </c>
      <c r="M658" s="6" t="n">
        <v>7988</v>
      </c>
      <c r="N658" s="6" t="n">
        <v>6722</v>
      </c>
      <c r="O658" s="6" t="n">
        <v>14307</v>
      </c>
      <c r="P658" s="6" t="n">
        <v>14462</v>
      </c>
      <c r="Q658" s="6" t="n">
        <v>8144</v>
      </c>
      <c r="R658" s="6" t="n">
        <v>8503</v>
      </c>
      <c r="S658" s="6" t="n">
        <v>6433</v>
      </c>
      <c r="T658" s="6" t="n">
        <v>5899</v>
      </c>
      <c r="U658" s="6" t="n">
        <v>15236</v>
      </c>
      <c r="V658" s="6" t="n">
        <v>14982</v>
      </c>
    </row>
    <row r="659" customFormat="false" ht="15" hidden="false" customHeight="false" outlineLevel="0" collapsed="false">
      <c r="A659" s="5" t="s">
        <v>80</v>
      </c>
      <c r="B659" s="6" t="s">
        <v>33</v>
      </c>
      <c r="C659" s="5" t="s">
        <v>44</v>
      </c>
      <c r="D659" s="5" t="s">
        <v>35</v>
      </c>
      <c r="E659" s="6" t="n">
        <v>515263</v>
      </c>
      <c r="F659" s="6" t="n">
        <v>501224</v>
      </c>
      <c r="G659" s="6" t="n">
        <v>289184</v>
      </c>
      <c r="H659" s="6" t="n">
        <v>286341</v>
      </c>
      <c r="I659" s="6" t="n">
        <v>74483</v>
      </c>
      <c r="J659" s="6" t="n">
        <v>79294</v>
      </c>
      <c r="K659" s="6" t="n">
        <v>14363</v>
      </c>
      <c r="L659" s="6" t="n">
        <v>15657</v>
      </c>
      <c r="M659" s="6" t="n">
        <v>5430</v>
      </c>
      <c r="N659" s="6" t="n">
        <v>4970</v>
      </c>
      <c r="O659" s="6" t="n">
        <v>14155</v>
      </c>
      <c r="P659" s="6" t="n">
        <v>14375</v>
      </c>
      <c r="Q659" s="6" t="n">
        <v>7727</v>
      </c>
      <c r="R659" s="6" t="n">
        <v>7418</v>
      </c>
      <c r="S659" s="6" t="n">
        <v>3604</v>
      </c>
      <c r="T659" s="6" t="n">
        <v>4255</v>
      </c>
      <c r="U659" s="6" t="n">
        <v>13491</v>
      </c>
      <c r="V659" s="6" t="n">
        <v>13769</v>
      </c>
    </row>
    <row r="660" customFormat="false" ht="15" hidden="false" customHeight="false" outlineLevel="0" collapsed="false">
      <c r="A660" s="5" t="s">
        <v>80</v>
      </c>
      <c r="B660" s="6" t="s">
        <v>33</v>
      </c>
      <c r="C660" s="5" t="s">
        <v>45</v>
      </c>
      <c r="D660" s="5" t="s">
        <v>35</v>
      </c>
      <c r="E660" s="6" t="n">
        <v>490178</v>
      </c>
      <c r="F660" s="6" t="n">
        <v>511537</v>
      </c>
      <c r="G660" s="6" t="n">
        <v>292407</v>
      </c>
      <c r="H660" s="6" t="n">
        <v>310511</v>
      </c>
      <c r="I660" s="6" t="n">
        <v>81246</v>
      </c>
      <c r="J660" s="6" t="n">
        <v>81297</v>
      </c>
      <c r="K660" s="6" t="n">
        <v>16855</v>
      </c>
      <c r="L660" s="6" t="n">
        <v>19125</v>
      </c>
      <c r="M660" s="6" t="n">
        <v>4939</v>
      </c>
      <c r="N660" s="6" t="n">
        <v>6176</v>
      </c>
      <c r="O660" s="6" t="n">
        <v>13588</v>
      </c>
      <c r="P660" s="6" t="n">
        <v>14687</v>
      </c>
      <c r="Q660" s="6" t="n">
        <v>7717</v>
      </c>
      <c r="R660" s="6" t="n">
        <v>7436</v>
      </c>
      <c r="S660" s="6" t="n">
        <v>5700</v>
      </c>
      <c r="T660" s="6" t="n">
        <v>4561</v>
      </c>
      <c r="U660" s="6" t="n">
        <v>11036</v>
      </c>
      <c r="V660" s="6" t="n">
        <v>11073</v>
      </c>
    </row>
    <row r="661" customFormat="false" ht="15" hidden="false" customHeight="false" outlineLevel="0" collapsed="false">
      <c r="A661" s="5" t="s">
        <v>80</v>
      </c>
      <c r="B661" s="6" t="s">
        <v>33</v>
      </c>
      <c r="C661" s="5" t="s">
        <v>46</v>
      </c>
      <c r="D661" s="5" t="s">
        <v>35</v>
      </c>
      <c r="E661" s="6" t="n">
        <v>574599</v>
      </c>
      <c r="F661" s="6" t="n">
        <v>546838</v>
      </c>
      <c r="G661" s="6" t="n">
        <v>331421</v>
      </c>
      <c r="H661" s="6" t="n">
        <v>330701</v>
      </c>
      <c r="I661" s="6" t="n">
        <v>81465</v>
      </c>
      <c r="J661" s="6" t="n">
        <v>82698</v>
      </c>
      <c r="K661" s="6" t="n">
        <v>12731</v>
      </c>
      <c r="L661" s="6" t="n">
        <v>13962</v>
      </c>
      <c r="M661" s="6" t="n">
        <v>7672</v>
      </c>
      <c r="N661" s="6" t="n">
        <v>9233</v>
      </c>
      <c r="O661" s="6" t="n">
        <v>15807</v>
      </c>
      <c r="P661" s="6" t="n">
        <v>15232</v>
      </c>
      <c r="Q661" s="6" t="n">
        <v>10510</v>
      </c>
      <c r="R661" s="6" t="n">
        <v>10664</v>
      </c>
      <c r="S661" s="6" t="n">
        <v>4796</v>
      </c>
      <c r="T661" s="6" t="n">
        <v>4393</v>
      </c>
      <c r="U661" s="6" t="n">
        <v>16286</v>
      </c>
      <c r="V661" s="6" t="n">
        <v>15866</v>
      </c>
    </row>
    <row r="662" customFormat="false" ht="15" hidden="false" customHeight="false" outlineLevel="0" collapsed="false">
      <c r="A662" s="5" t="s">
        <v>80</v>
      </c>
      <c r="B662" s="6" t="s">
        <v>33</v>
      </c>
      <c r="C662" s="5" t="s">
        <v>47</v>
      </c>
      <c r="D662" s="5" t="s">
        <v>48</v>
      </c>
      <c r="E662" s="6" t="n">
        <v>513755</v>
      </c>
      <c r="F662" s="6" t="n">
        <v>527932</v>
      </c>
      <c r="G662" s="6" t="n">
        <v>304944</v>
      </c>
      <c r="H662" s="6" t="n">
        <v>306059</v>
      </c>
      <c r="I662" s="6" t="n">
        <v>83326</v>
      </c>
      <c r="J662" s="6" t="n">
        <v>89482</v>
      </c>
      <c r="K662" s="6" t="n">
        <v>11445</v>
      </c>
      <c r="L662" s="6" t="n">
        <v>11251</v>
      </c>
      <c r="M662" s="6" t="n">
        <v>6528</v>
      </c>
      <c r="N662" s="6" t="n">
        <v>7705</v>
      </c>
      <c r="O662" s="6" t="n">
        <v>9303</v>
      </c>
      <c r="P662" s="6" t="n">
        <v>8755</v>
      </c>
      <c r="Q662" s="6" t="n">
        <v>7444</v>
      </c>
      <c r="R662" s="6" t="n">
        <v>7148</v>
      </c>
      <c r="S662" s="6" t="n">
        <v>5020</v>
      </c>
      <c r="T662" s="6" t="n">
        <v>5435</v>
      </c>
      <c r="U662" s="6" t="n">
        <v>13668</v>
      </c>
      <c r="V662" s="6" t="n">
        <v>13503</v>
      </c>
    </row>
    <row r="663" customFormat="false" ht="15" hidden="false" customHeight="false" outlineLevel="0" collapsed="false">
      <c r="A663" s="5" t="s">
        <v>80</v>
      </c>
      <c r="B663" s="6" t="s">
        <v>33</v>
      </c>
      <c r="C663" s="5" t="s">
        <v>49</v>
      </c>
      <c r="D663" s="5" t="s">
        <v>48</v>
      </c>
      <c r="E663" s="6" t="n">
        <v>540749</v>
      </c>
      <c r="F663" s="6" t="n">
        <v>525433</v>
      </c>
      <c r="G663" s="6" t="n">
        <v>306746</v>
      </c>
      <c r="H663" s="6" t="n">
        <v>289399</v>
      </c>
      <c r="I663" s="6" t="n">
        <v>91587</v>
      </c>
      <c r="J663" s="6" t="n">
        <v>98012</v>
      </c>
      <c r="K663" s="6" t="n">
        <v>13584</v>
      </c>
      <c r="L663" s="6" t="n">
        <v>12655</v>
      </c>
      <c r="M663" s="6" t="n">
        <v>8066</v>
      </c>
      <c r="N663" s="6" t="n">
        <v>7991</v>
      </c>
      <c r="O663" s="6" t="n">
        <v>14552</v>
      </c>
      <c r="P663" s="6" t="n">
        <v>13683</v>
      </c>
      <c r="Q663" s="6" t="n">
        <v>8507</v>
      </c>
      <c r="R663" s="6" t="n">
        <v>8579</v>
      </c>
      <c r="S663" s="6" t="n">
        <v>6087</v>
      </c>
      <c r="T663" s="6" t="n">
        <v>7395</v>
      </c>
      <c r="U663" s="6" t="n">
        <v>15111</v>
      </c>
      <c r="V663" s="6" t="n">
        <v>15345</v>
      </c>
    </row>
    <row r="664" customFormat="false" ht="15" hidden="false" customHeight="false" outlineLevel="0" collapsed="false">
      <c r="A664" s="5" t="s">
        <v>80</v>
      </c>
      <c r="B664" s="6" t="s">
        <v>33</v>
      </c>
      <c r="C664" s="5" t="s">
        <v>50</v>
      </c>
      <c r="D664" s="5" t="s">
        <v>48</v>
      </c>
      <c r="E664" s="6" t="n">
        <v>500053</v>
      </c>
      <c r="F664" s="6" t="n">
        <v>525064</v>
      </c>
      <c r="G664" s="6" t="n">
        <v>299960</v>
      </c>
      <c r="H664" s="6" t="n">
        <v>320301</v>
      </c>
      <c r="I664" s="6" t="n">
        <v>78994</v>
      </c>
      <c r="J664" s="6" t="n">
        <v>79774</v>
      </c>
      <c r="K664" s="6" t="n">
        <v>16522</v>
      </c>
      <c r="L664" s="6" t="n">
        <v>17339</v>
      </c>
      <c r="M664" s="6" t="n">
        <v>6929</v>
      </c>
      <c r="N664" s="6" t="n">
        <v>8880</v>
      </c>
      <c r="O664" s="6" t="n">
        <v>11110</v>
      </c>
      <c r="P664" s="6" t="n">
        <v>11497</v>
      </c>
      <c r="Q664" s="6" t="n">
        <v>9462</v>
      </c>
      <c r="R664" s="6" t="n">
        <v>9254</v>
      </c>
      <c r="S664" s="6" t="n">
        <v>5173</v>
      </c>
      <c r="T664" s="6" t="n">
        <v>4995</v>
      </c>
      <c r="U664" s="6" t="n">
        <v>11260</v>
      </c>
      <c r="V664" s="6" t="n">
        <v>11265</v>
      </c>
    </row>
    <row r="665" customFormat="false" ht="15" hidden="false" customHeight="false" outlineLevel="0" collapsed="false">
      <c r="A665" s="5" t="s">
        <v>80</v>
      </c>
      <c r="B665" s="6" t="s">
        <v>33</v>
      </c>
      <c r="C665" s="5" t="s">
        <v>51</v>
      </c>
      <c r="D665" s="5" t="s">
        <v>48</v>
      </c>
      <c r="E665" s="6" t="n">
        <v>550174</v>
      </c>
      <c r="F665" s="6" t="n">
        <v>528833</v>
      </c>
      <c r="G665" s="6" t="n">
        <v>329546</v>
      </c>
      <c r="H665" s="6" t="n">
        <v>308384</v>
      </c>
      <c r="I665" s="6" t="n">
        <v>78694</v>
      </c>
      <c r="J665" s="6" t="n">
        <v>83310</v>
      </c>
      <c r="K665" s="6" t="n">
        <v>13007</v>
      </c>
      <c r="L665" s="6" t="n">
        <v>12987</v>
      </c>
      <c r="M665" s="6" t="n">
        <v>6678</v>
      </c>
      <c r="N665" s="6" t="n">
        <v>7565</v>
      </c>
      <c r="O665" s="6" t="n">
        <v>10475</v>
      </c>
      <c r="P665" s="6" t="n">
        <v>11109</v>
      </c>
      <c r="Q665" s="6" t="n">
        <v>9721</v>
      </c>
      <c r="R665" s="6" t="n">
        <v>9780</v>
      </c>
      <c r="S665" s="6" t="n">
        <v>6065</v>
      </c>
      <c r="T665" s="6" t="n">
        <v>6220</v>
      </c>
      <c r="U665" s="6" t="n">
        <v>13859</v>
      </c>
      <c r="V665" s="6" t="n">
        <v>14213</v>
      </c>
    </row>
    <row r="666" customFormat="false" ht="15" hidden="false" customHeight="false" outlineLevel="0" collapsed="false">
      <c r="A666" s="5" t="s">
        <v>80</v>
      </c>
      <c r="B666" s="6" t="s">
        <v>33</v>
      </c>
      <c r="C666" s="5" t="s">
        <v>52</v>
      </c>
      <c r="D666" s="5" t="s">
        <v>48</v>
      </c>
      <c r="E666" s="6" t="n">
        <v>538326</v>
      </c>
      <c r="F666" s="6" t="n">
        <v>531838</v>
      </c>
      <c r="G666" s="6" t="n">
        <v>309764</v>
      </c>
      <c r="H666" s="6" t="n">
        <v>316497</v>
      </c>
      <c r="I666" s="6" t="n">
        <v>90774</v>
      </c>
      <c r="J666" s="6" t="n">
        <v>93798</v>
      </c>
      <c r="K666" s="6" t="n">
        <v>11715</v>
      </c>
      <c r="L666" s="6" t="n">
        <v>12643</v>
      </c>
      <c r="M666" s="6" t="n">
        <v>5666</v>
      </c>
      <c r="N666" s="6" t="n">
        <v>6438</v>
      </c>
      <c r="O666" s="6" t="n">
        <v>14555</v>
      </c>
      <c r="P666" s="6" t="n">
        <v>14496</v>
      </c>
      <c r="Q666" s="6" t="n">
        <v>8156</v>
      </c>
      <c r="R666" s="6" t="n">
        <v>8355</v>
      </c>
      <c r="S666" s="6" t="n">
        <v>4352</v>
      </c>
      <c r="T666" s="6" t="n">
        <v>5540</v>
      </c>
      <c r="U666" s="6" t="n">
        <v>15354</v>
      </c>
      <c r="V666" s="6" t="n">
        <v>15422</v>
      </c>
    </row>
    <row r="667" customFormat="false" ht="15" hidden="false" customHeight="false" outlineLevel="0" collapsed="false">
      <c r="A667" s="5" t="s">
        <v>80</v>
      </c>
      <c r="B667" s="6" t="s">
        <v>33</v>
      </c>
      <c r="C667" s="5" t="s">
        <v>53</v>
      </c>
      <c r="D667" s="5" t="s">
        <v>48</v>
      </c>
      <c r="E667" s="6" t="n">
        <v>603666</v>
      </c>
      <c r="F667" s="6" t="n">
        <v>573378</v>
      </c>
      <c r="G667" s="6" t="n">
        <v>355432</v>
      </c>
      <c r="H667" s="6" t="n">
        <v>344139</v>
      </c>
      <c r="I667" s="6" t="n">
        <v>98596</v>
      </c>
      <c r="J667" s="6" t="n">
        <v>102895</v>
      </c>
      <c r="K667" s="6" t="n">
        <v>12305</v>
      </c>
      <c r="L667" s="6" t="n">
        <v>12552</v>
      </c>
      <c r="M667" s="6" t="n">
        <v>4931</v>
      </c>
      <c r="N667" s="6" t="n">
        <v>6277</v>
      </c>
      <c r="O667" s="6" t="n">
        <v>11462</v>
      </c>
      <c r="P667" s="6" t="n">
        <v>12445</v>
      </c>
      <c r="Q667" s="6" t="n">
        <v>11117</v>
      </c>
      <c r="R667" s="6" t="n">
        <v>11372</v>
      </c>
      <c r="S667" s="6" t="n">
        <v>6699</v>
      </c>
      <c r="T667" s="6" t="n">
        <v>6378</v>
      </c>
      <c r="U667" s="6" t="n">
        <v>17014</v>
      </c>
      <c r="V667" s="6" t="n">
        <v>16855</v>
      </c>
    </row>
    <row r="668" customFormat="false" ht="15" hidden="false" customHeight="false" outlineLevel="0" collapsed="false">
      <c r="A668" s="5" t="s">
        <v>80</v>
      </c>
      <c r="B668" s="6" t="s">
        <v>33</v>
      </c>
      <c r="C668" s="5" t="s">
        <v>54</v>
      </c>
      <c r="D668" s="5" t="s">
        <v>48</v>
      </c>
      <c r="E668" s="6" t="n">
        <v>537077</v>
      </c>
      <c r="F668" s="6" t="n">
        <v>553777</v>
      </c>
      <c r="G668" s="6" t="n">
        <v>304394</v>
      </c>
      <c r="H668" s="6" t="n">
        <v>304107</v>
      </c>
      <c r="I668" s="6" t="n">
        <v>82574</v>
      </c>
      <c r="J668" s="6" t="n">
        <v>89098</v>
      </c>
      <c r="K668" s="6" t="n">
        <v>12862</v>
      </c>
      <c r="L668" s="6" t="n">
        <v>13995</v>
      </c>
      <c r="M668" s="6" t="n">
        <v>5084</v>
      </c>
      <c r="N668" s="6" t="n">
        <v>6027</v>
      </c>
      <c r="O668" s="6" t="n">
        <v>12607</v>
      </c>
      <c r="P668" s="6" t="n">
        <v>12329</v>
      </c>
      <c r="Q668" s="6" t="n">
        <v>8169</v>
      </c>
      <c r="R668" s="6" t="n">
        <v>8045</v>
      </c>
      <c r="S668" s="6" t="n">
        <v>5850</v>
      </c>
      <c r="T668" s="6" t="n">
        <v>7645</v>
      </c>
      <c r="U668" s="6" t="n">
        <v>15342</v>
      </c>
      <c r="V668" s="6" t="n">
        <v>15189</v>
      </c>
    </row>
    <row r="669" customFormat="false" ht="15" hidden="false" customHeight="false" outlineLevel="0" collapsed="false">
      <c r="A669" s="5" t="s">
        <v>80</v>
      </c>
      <c r="B669" s="6" t="s">
        <v>33</v>
      </c>
      <c r="C669" s="5" t="s">
        <v>55</v>
      </c>
      <c r="D669" s="5" t="s">
        <v>48</v>
      </c>
      <c r="E669" s="6" t="n">
        <v>578338</v>
      </c>
      <c r="F669" s="6" t="n">
        <v>562157</v>
      </c>
      <c r="G669" s="6" t="n">
        <v>341320</v>
      </c>
      <c r="H669" s="6" t="n">
        <v>326924</v>
      </c>
      <c r="I669" s="6" t="n">
        <v>95345</v>
      </c>
      <c r="J669" s="6" t="n">
        <v>93547</v>
      </c>
      <c r="K669" s="6" t="n">
        <v>17830</v>
      </c>
      <c r="L669" s="6" t="n">
        <v>18576</v>
      </c>
      <c r="M669" s="6" t="n">
        <v>5894</v>
      </c>
      <c r="N669" s="6" t="n">
        <v>6180</v>
      </c>
      <c r="O669" s="6" t="n">
        <v>11487</v>
      </c>
      <c r="P669" s="6" t="n">
        <v>11359</v>
      </c>
      <c r="Q669" s="6" t="n">
        <v>8165</v>
      </c>
      <c r="R669" s="6" t="n">
        <v>8334</v>
      </c>
      <c r="S669" s="6" t="n">
        <v>4687</v>
      </c>
      <c r="T669" s="6" t="n">
        <v>6016</v>
      </c>
      <c r="U669" s="6" t="n">
        <v>16747</v>
      </c>
      <c r="V669" s="6" t="n">
        <v>17003</v>
      </c>
    </row>
    <row r="670" customFormat="false" ht="15" hidden="false" customHeight="false" outlineLevel="0" collapsed="false">
      <c r="A670" s="5" t="s">
        <v>80</v>
      </c>
      <c r="B670" s="6" t="s">
        <v>33</v>
      </c>
      <c r="C670" s="5" t="s">
        <v>56</v>
      </c>
      <c r="D670" s="5" t="s">
        <v>48</v>
      </c>
      <c r="E670" s="6" t="n">
        <v>603523</v>
      </c>
      <c r="F670" s="6" t="n">
        <v>616638</v>
      </c>
      <c r="G670" s="6" t="n">
        <v>329939</v>
      </c>
      <c r="H670" s="6" t="n">
        <v>342716</v>
      </c>
      <c r="I670" s="6" t="n">
        <v>100948</v>
      </c>
      <c r="J670" s="6" t="n">
        <v>105695</v>
      </c>
      <c r="K670" s="6" t="n">
        <v>17144</v>
      </c>
      <c r="L670" s="6" t="n">
        <v>18465</v>
      </c>
      <c r="M670" s="6" t="n">
        <v>7102</v>
      </c>
      <c r="N670" s="6" t="n">
        <v>7095</v>
      </c>
      <c r="O670" s="6" t="n">
        <v>15062</v>
      </c>
      <c r="P670" s="6" t="n">
        <v>14396</v>
      </c>
      <c r="Q670" s="6" t="n">
        <v>7679</v>
      </c>
      <c r="R670" s="6" t="n">
        <v>7754</v>
      </c>
      <c r="S670" s="6" t="n">
        <v>6797</v>
      </c>
      <c r="T670" s="6" t="n">
        <v>7088</v>
      </c>
      <c r="U670" s="6" t="n">
        <v>13660</v>
      </c>
      <c r="V670" s="6" t="n">
        <v>13837</v>
      </c>
    </row>
    <row r="671" customFormat="false" ht="15" hidden="false" customHeight="false" outlineLevel="0" collapsed="false">
      <c r="A671" s="5" t="s">
        <v>80</v>
      </c>
      <c r="B671" s="6" t="s">
        <v>33</v>
      </c>
      <c r="C671" s="5" t="s">
        <v>57</v>
      </c>
      <c r="D671" s="5" t="s">
        <v>48</v>
      </c>
      <c r="E671" s="6" t="n">
        <v>578002</v>
      </c>
      <c r="F671" s="6" t="n">
        <v>585253</v>
      </c>
      <c r="G671" s="6" t="n">
        <v>344070</v>
      </c>
      <c r="H671" s="6" t="n">
        <v>339714</v>
      </c>
      <c r="I671" s="6" t="n">
        <v>97499</v>
      </c>
      <c r="J671" s="6" t="n">
        <v>103310</v>
      </c>
      <c r="K671" s="6" t="n">
        <v>19254</v>
      </c>
      <c r="L671" s="6" t="n">
        <v>18064</v>
      </c>
      <c r="M671" s="6" t="n">
        <v>6931</v>
      </c>
      <c r="N671" s="6" t="n">
        <v>5830</v>
      </c>
      <c r="O671" s="6" t="n">
        <v>16181</v>
      </c>
      <c r="P671" s="6" t="n">
        <v>16175</v>
      </c>
      <c r="Q671" s="6" t="n">
        <v>7125</v>
      </c>
      <c r="R671" s="6" t="n">
        <v>7159</v>
      </c>
      <c r="S671" s="6" t="n">
        <v>5783</v>
      </c>
      <c r="T671" s="6" t="n">
        <v>5576</v>
      </c>
      <c r="U671" s="6" t="n">
        <v>14418</v>
      </c>
      <c r="V671" s="6" t="n">
        <v>14706</v>
      </c>
    </row>
    <row r="672" customFormat="false" ht="15" hidden="false" customHeight="false" outlineLevel="0" collapsed="false">
      <c r="A672" s="5" t="s">
        <v>80</v>
      </c>
      <c r="B672" s="6" t="s">
        <v>33</v>
      </c>
      <c r="C672" s="5" t="s">
        <v>58</v>
      </c>
      <c r="D672" s="5" t="s">
        <v>48</v>
      </c>
      <c r="E672" s="6" t="n">
        <v>584367</v>
      </c>
      <c r="F672" s="6" t="n">
        <v>602787</v>
      </c>
      <c r="G672" s="6" t="n">
        <v>323476</v>
      </c>
      <c r="H672" s="6" t="n">
        <v>341144</v>
      </c>
      <c r="I672" s="6" t="n">
        <v>85598</v>
      </c>
      <c r="J672" s="6" t="n">
        <v>83147</v>
      </c>
      <c r="K672" s="6" t="n">
        <v>13823</v>
      </c>
      <c r="L672" s="6" t="n">
        <v>11836</v>
      </c>
      <c r="M672" s="6" t="n">
        <v>7179</v>
      </c>
      <c r="N672" s="6" t="n">
        <v>8751</v>
      </c>
      <c r="O672" s="6" t="n">
        <v>12941</v>
      </c>
      <c r="P672" s="6" t="n">
        <v>13190</v>
      </c>
      <c r="Q672" s="6" t="n">
        <v>9668</v>
      </c>
      <c r="R672" s="6" t="n">
        <v>9583</v>
      </c>
      <c r="S672" s="6" t="n">
        <v>6479</v>
      </c>
      <c r="T672" s="6" t="n">
        <v>7441</v>
      </c>
      <c r="U672" s="6" t="n">
        <v>15353</v>
      </c>
      <c r="V672" s="6" t="n">
        <v>15711</v>
      </c>
    </row>
    <row r="673" customFormat="false" ht="15" hidden="false" customHeight="false" outlineLevel="0" collapsed="false">
      <c r="A673" s="5" t="s">
        <v>80</v>
      </c>
      <c r="B673" s="6" t="s">
        <v>33</v>
      </c>
      <c r="C673" s="5" t="s">
        <v>59</v>
      </c>
      <c r="D673" s="5" t="s">
        <v>48</v>
      </c>
      <c r="E673" s="6" t="n">
        <v>681318</v>
      </c>
      <c r="F673" s="6" t="n">
        <v>661721</v>
      </c>
      <c r="G673" s="6" t="n">
        <v>396803</v>
      </c>
      <c r="H673" s="6" t="n">
        <v>404643</v>
      </c>
      <c r="I673" s="6" t="n">
        <v>111806</v>
      </c>
      <c r="J673" s="6" t="n">
        <v>111693</v>
      </c>
      <c r="K673" s="6" t="n">
        <v>17410</v>
      </c>
      <c r="L673" s="6" t="n">
        <v>19499</v>
      </c>
      <c r="M673" s="6" t="n">
        <v>9919</v>
      </c>
      <c r="N673" s="6" t="n">
        <v>9523</v>
      </c>
      <c r="O673" s="6" t="n">
        <v>14697</v>
      </c>
      <c r="P673" s="6" t="n">
        <v>16056</v>
      </c>
      <c r="Q673" s="6" t="n">
        <v>8909</v>
      </c>
      <c r="R673" s="6" t="n">
        <v>9230</v>
      </c>
      <c r="S673" s="6" t="n">
        <v>8120</v>
      </c>
      <c r="T673" s="6" t="n">
        <v>7699</v>
      </c>
      <c r="U673" s="6" t="n">
        <v>17294</v>
      </c>
      <c r="V673" s="6" t="n">
        <v>16909</v>
      </c>
    </row>
    <row r="674" customFormat="false" ht="15" hidden="false" customHeight="false" outlineLevel="0" collapsed="false">
      <c r="A674" s="5" t="s">
        <v>80</v>
      </c>
      <c r="B674" s="6" t="s">
        <v>33</v>
      </c>
      <c r="C674" s="5" t="s">
        <v>60</v>
      </c>
      <c r="D674" s="5" t="s">
        <v>61</v>
      </c>
      <c r="E674" s="6" t="n">
        <v>661090</v>
      </c>
      <c r="F674" s="6" t="n">
        <v>639286</v>
      </c>
      <c r="G674" s="6" t="n">
        <v>377117</v>
      </c>
      <c r="H674" s="6" t="n">
        <v>367100</v>
      </c>
      <c r="I674" s="6" t="n">
        <v>98770</v>
      </c>
      <c r="J674" s="6" t="n">
        <v>104577</v>
      </c>
      <c r="K674" s="6" t="n">
        <v>19212</v>
      </c>
      <c r="L674" s="6" t="n">
        <v>20481</v>
      </c>
      <c r="M674" s="6" t="n">
        <v>8609</v>
      </c>
      <c r="N674" s="6" t="n">
        <v>9663</v>
      </c>
      <c r="O674" s="6" t="n">
        <v>15563</v>
      </c>
      <c r="P674" s="6" t="n">
        <v>17077</v>
      </c>
      <c r="Q674" s="6" t="n">
        <v>10394</v>
      </c>
      <c r="R674" s="6" t="n">
        <v>10471</v>
      </c>
      <c r="S674" s="6" t="n">
        <v>4178</v>
      </c>
      <c r="T674" s="6" t="n">
        <v>4894</v>
      </c>
      <c r="U674" s="6" t="n">
        <v>16508</v>
      </c>
      <c r="V674" s="6" t="n">
        <v>16445</v>
      </c>
    </row>
    <row r="675" customFormat="false" ht="15" hidden="false" customHeight="false" outlineLevel="0" collapsed="false">
      <c r="A675" s="5" t="s">
        <v>80</v>
      </c>
      <c r="B675" s="6" t="s">
        <v>33</v>
      </c>
      <c r="C675" s="5" t="s">
        <v>62</v>
      </c>
      <c r="D675" s="5" t="s">
        <v>61</v>
      </c>
      <c r="E675" s="6" t="n">
        <v>631723</v>
      </c>
      <c r="F675" s="6" t="n">
        <v>657661</v>
      </c>
      <c r="G675" s="6" t="n">
        <v>362355</v>
      </c>
      <c r="H675" s="6" t="n">
        <v>382461</v>
      </c>
      <c r="I675" s="6" t="n">
        <v>89532</v>
      </c>
      <c r="J675" s="6" t="n">
        <v>90269</v>
      </c>
      <c r="K675" s="6" t="n">
        <v>20855</v>
      </c>
      <c r="L675" s="6" t="n">
        <v>18652</v>
      </c>
      <c r="M675" s="6" t="n">
        <v>8070</v>
      </c>
      <c r="N675" s="6" t="n">
        <v>6720</v>
      </c>
      <c r="O675" s="6" t="n">
        <v>15912</v>
      </c>
      <c r="P675" s="6" t="n">
        <v>16271</v>
      </c>
      <c r="Q675" s="6" t="n">
        <v>12368</v>
      </c>
      <c r="R675" s="6" t="n">
        <v>12650</v>
      </c>
      <c r="S675" s="6" t="n">
        <v>6495</v>
      </c>
      <c r="T675" s="6" t="n">
        <v>7109</v>
      </c>
      <c r="U675" s="6" t="n">
        <v>17083</v>
      </c>
      <c r="V675" s="6" t="n">
        <v>17537</v>
      </c>
    </row>
    <row r="676" customFormat="false" ht="15" hidden="false" customHeight="false" outlineLevel="0" collapsed="false">
      <c r="A676" s="5" t="s">
        <v>80</v>
      </c>
      <c r="B676" s="6" t="s">
        <v>33</v>
      </c>
      <c r="C676" s="5" t="s">
        <v>63</v>
      </c>
      <c r="D676" s="5" t="s">
        <v>61</v>
      </c>
      <c r="E676" s="6" t="n">
        <v>654291</v>
      </c>
      <c r="F676" s="6" t="n">
        <v>677443</v>
      </c>
      <c r="G676" s="6" t="n">
        <v>371066</v>
      </c>
      <c r="H676" s="6" t="n">
        <v>388884</v>
      </c>
      <c r="I676" s="6" t="n">
        <v>104844</v>
      </c>
      <c r="J676" s="6" t="n">
        <v>105511</v>
      </c>
      <c r="K676" s="6" t="n">
        <v>18679</v>
      </c>
      <c r="L676" s="6" t="n">
        <v>20786</v>
      </c>
      <c r="M676" s="6" t="n">
        <v>9568</v>
      </c>
      <c r="N676" s="6" t="n">
        <v>8344</v>
      </c>
      <c r="O676" s="6" t="n">
        <v>15308</v>
      </c>
      <c r="P676" s="6" t="n">
        <v>15961</v>
      </c>
      <c r="Q676" s="6" t="n">
        <v>9497</v>
      </c>
      <c r="R676" s="6" t="n">
        <v>9029</v>
      </c>
      <c r="S676" s="6" t="n">
        <v>6319</v>
      </c>
      <c r="T676" s="6" t="n">
        <v>7755</v>
      </c>
      <c r="U676" s="6" t="n">
        <v>15430</v>
      </c>
      <c r="V676" s="6" t="n">
        <v>15078</v>
      </c>
    </row>
    <row r="677" customFormat="false" ht="15" hidden="false" customHeight="false" outlineLevel="0" collapsed="false">
      <c r="A677" s="5" t="s">
        <v>80</v>
      </c>
      <c r="B677" s="6" t="s">
        <v>33</v>
      </c>
      <c r="C677" s="5" t="s">
        <v>64</v>
      </c>
      <c r="D677" s="5" t="s">
        <v>61</v>
      </c>
      <c r="E677" s="6" t="n">
        <v>707107</v>
      </c>
      <c r="F677" s="6" t="n">
        <v>697577</v>
      </c>
      <c r="G677" s="6" t="n">
        <v>404314</v>
      </c>
      <c r="H677" s="6" t="n">
        <v>410388</v>
      </c>
      <c r="I677" s="6" t="n">
        <v>114535</v>
      </c>
      <c r="J677" s="6" t="n">
        <v>114234</v>
      </c>
      <c r="K677" s="6" t="n">
        <v>20522</v>
      </c>
      <c r="L677" s="6" t="n">
        <v>22115</v>
      </c>
      <c r="M677" s="6" t="n">
        <v>6545</v>
      </c>
      <c r="N677" s="6" t="n">
        <v>5829</v>
      </c>
      <c r="O677" s="6" t="n">
        <v>17320</v>
      </c>
      <c r="P677" s="6" t="n">
        <v>17478</v>
      </c>
      <c r="Q677" s="6" t="n">
        <v>9161</v>
      </c>
      <c r="R677" s="6" t="n">
        <v>8785</v>
      </c>
      <c r="S677" s="6" t="n">
        <v>8257</v>
      </c>
      <c r="T677" s="6" t="n">
        <v>9449</v>
      </c>
      <c r="U677" s="6" t="n">
        <v>20853</v>
      </c>
      <c r="V677" s="6" t="n">
        <v>20712</v>
      </c>
    </row>
    <row r="678" customFormat="false" ht="15" hidden="false" customHeight="false" outlineLevel="0" collapsed="false">
      <c r="A678" s="5" t="s">
        <v>80</v>
      </c>
      <c r="B678" s="6" t="s">
        <v>33</v>
      </c>
      <c r="C678" s="5" t="s">
        <v>65</v>
      </c>
      <c r="D678" s="5" t="s">
        <v>61</v>
      </c>
      <c r="E678" s="6" t="n">
        <v>718797</v>
      </c>
      <c r="F678" s="6" t="n">
        <v>702245</v>
      </c>
      <c r="G678" s="6" t="n">
        <v>394124</v>
      </c>
      <c r="H678" s="6" t="n">
        <v>383057</v>
      </c>
      <c r="I678" s="6" t="n">
        <v>102699</v>
      </c>
      <c r="J678" s="6" t="n">
        <v>103630</v>
      </c>
      <c r="K678" s="6" t="n">
        <v>22002</v>
      </c>
      <c r="L678" s="6" t="n">
        <v>24504</v>
      </c>
      <c r="M678" s="6" t="n">
        <v>8265</v>
      </c>
      <c r="N678" s="6" t="n">
        <v>7375</v>
      </c>
      <c r="O678" s="6" t="n">
        <v>15824</v>
      </c>
      <c r="P678" s="6" t="n">
        <v>15204</v>
      </c>
      <c r="Q678" s="6" t="n">
        <v>14293</v>
      </c>
      <c r="R678" s="6" t="n">
        <v>14483</v>
      </c>
      <c r="S678" s="6" t="n">
        <v>5778</v>
      </c>
      <c r="T678" s="6" t="n">
        <v>7229</v>
      </c>
      <c r="U678" s="6" t="n">
        <v>18141</v>
      </c>
      <c r="V678" s="6" t="n">
        <v>17619</v>
      </c>
    </row>
    <row r="679" customFormat="false" ht="15" hidden="false" customHeight="false" outlineLevel="0" collapsed="false">
      <c r="A679" s="5" t="s">
        <v>80</v>
      </c>
      <c r="B679" s="6" t="s">
        <v>33</v>
      </c>
      <c r="C679" s="5" t="s">
        <v>66</v>
      </c>
      <c r="D679" s="5" t="s">
        <v>61</v>
      </c>
      <c r="E679" s="6" t="n">
        <v>803555</v>
      </c>
      <c r="F679" s="6" t="n">
        <v>759618</v>
      </c>
      <c r="G679" s="6" t="n">
        <v>436771</v>
      </c>
      <c r="H679" s="6" t="n">
        <v>411870</v>
      </c>
      <c r="I679" s="6" t="n">
        <v>116560</v>
      </c>
      <c r="J679" s="6" t="n">
        <v>125418</v>
      </c>
      <c r="K679" s="6" t="n">
        <v>22449</v>
      </c>
      <c r="L679" s="6" t="n">
        <v>19113</v>
      </c>
      <c r="M679" s="6" t="n">
        <v>8593</v>
      </c>
      <c r="N679" s="6" t="n">
        <v>6993</v>
      </c>
      <c r="O679" s="6" t="n">
        <v>21737</v>
      </c>
      <c r="P679" s="6" t="n">
        <v>22202</v>
      </c>
      <c r="Q679" s="6" t="n">
        <v>15167</v>
      </c>
      <c r="R679" s="6" t="n">
        <v>15858</v>
      </c>
      <c r="S679" s="6" t="n">
        <v>5730</v>
      </c>
      <c r="T679" s="6" t="n">
        <v>6719</v>
      </c>
      <c r="U679" s="6" t="n">
        <v>17532</v>
      </c>
      <c r="V679" s="6" t="n">
        <v>17236</v>
      </c>
    </row>
    <row r="680" customFormat="false" ht="15" hidden="false" customHeight="false" outlineLevel="0" collapsed="false">
      <c r="A680" s="5" t="s">
        <v>80</v>
      </c>
      <c r="B680" s="6" t="s">
        <v>33</v>
      </c>
      <c r="C680" s="5" t="s">
        <v>67</v>
      </c>
      <c r="D680" s="5" t="s">
        <v>61</v>
      </c>
      <c r="E680" s="6" t="n">
        <v>747505</v>
      </c>
      <c r="F680" s="6" t="n">
        <v>715554</v>
      </c>
      <c r="G680" s="6" t="n">
        <v>444584</v>
      </c>
      <c r="H680" s="6" t="n">
        <v>432726</v>
      </c>
      <c r="I680" s="6" t="n">
        <v>117522</v>
      </c>
      <c r="J680" s="6" t="n">
        <v>125520</v>
      </c>
      <c r="K680" s="6" t="n">
        <v>22870</v>
      </c>
      <c r="L680" s="6" t="n">
        <v>25475</v>
      </c>
      <c r="M680" s="6" t="n">
        <v>6909</v>
      </c>
      <c r="N680" s="6" t="n">
        <v>6041</v>
      </c>
      <c r="O680" s="6" t="n">
        <v>19577</v>
      </c>
      <c r="P680" s="6" t="n">
        <v>18118</v>
      </c>
      <c r="Q680" s="6" t="n">
        <v>9202</v>
      </c>
      <c r="R680" s="6" t="n">
        <v>9237</v>
      </c>
      <c r="S680" s="6" t="n">
        <v>8782</v>
      </c>
      <c r="T680" s="6" t="n">
        <v>11982</v>
      </c>
      <c r="U680" s="6" t="n">
        <v>20984</v>
      </c>
      <c r="V680" s="6" t="n">
        <v>20747</v>
      </c>
    </row>
    <row r="681" customFormat="false" ht="15" hidden="false" customHeight="false" outlineLevel="0" collapsed="false">
      <c r="A681" s="5" t="s">
        <v>80</v>
      </c>
      <c r="B681" s="6" t="s">
        <v>33</v>
      </c>
      <c r="C681" s="5" t="s">
        <v>68</v>
      </c>
      <c r="D681" s="5" t="s">
        <v>61</v>
      </c>
      <c r="E681" s="6" t="n">
        <v>703996</v>
      </c>
      <c r="F681" s="6" t="n">
        <v>716983</v>
      </c>
      <c r="G681" s="6" t="n">
        <v>387779</v>
      </c>
      <c r="H681" s="6" t="n">
        <v>399180</v>
      </c>
      <c r="I681" s="6" t="n">
        <v>117572</v>
      </c>
      <c r="J681" s="6" t="n">
        <v>120481</v>
      </c>
      <c r="K681" s="6" t="n">
        <v>20453</v>
      </c>
      <c r="L681" s="6" t="n">
        <v>23505</v>
      </c>
      <c r="M681" s="6" t="n">
        <v>10166</v>
      </c>
      <c r="N681" s="6" t="n">
        <v>12900</v>
      </c>
      <c r="O681" s="6" t="n">
        <v>19209</v>
      </c>
      <c r="P681" s="6" t="n">
        <v>19567</v>
      </c>
      <c r="Q681" s="6" t="n">
        <v>10638</v>
      </c>
      <c r="R681" s="6" t="n">
        <v>10583</v>
      </c>
      <c r="S681" s="6" t="n">
        <v>4716</v>
      </c>
      <c r="T681" s="6" t="n">
        <v>5342</v>
      </c>
      <c r="U681" s="6" t="n">
        <v>16462</v>
      </c>
      <c r="V681" s="6" t="n">
        <v>16329</v>
      </c>
    </row>
    <row r="682" customFormat="false" ht="15" hidden="false" customHeight="false" outlineLevel="0" collapsed="false">
      <c r="A682" s="5" t="s">
        <v>80</v>
      </c>
      <c r="B682" s="6" t="s">
        <v>33</v>
      </c>
      <c r="C682" s="5" t="s">
        <v>69</v>
      </c>
      <c r="D682" s="5" t="s">
        <v>61</v>
      </c>
      <c r="E682" s="6" t="n">
        <v>793357</v>
      </c>
      <c r="F682" s="6" t="n">
        <v>764232</v>
      </c>
      <c r="G682" s="6" t="n">
        <v>437378</v>
      </c>
      <c r="H682" s="6" t="n">
        <v>421485</v>
      </c>
      <c r="I682" s="6" t="n">
        <v>119598</v>
      </c>
      <c r="J682" s="6" t="n">
        <v>128069</v>
      </c>
      <c r="K682" s="6" t="n">
        <v>26829</v>
      </c>
      <c r="L682" s="6" t="n">
        <v>29331</v>
      </c>
      <c r="M682" s="6" t="n">
        <v>11399</v>
      </c>
      <c r="N682" s="6" t="n">
        <v>13152</v>
      </c>
      <c r="O682" s="6" t="n">
        <v>20937</v>
      </c>
      <c r="P682" s="6" t="n">
        <v>19634</v>
      </c>
      <c r="Q682" s="6" t="n">
        <v>12820</v>
      </c>
      <c r="R682" s="6" t="n">
        <v>13030</v>
      </c>
      <c r="S682" s="6" t="n">
        <v>6286</v>
      </c>
      <c r="T682" s="6" t="n">
        <v>7018</v>
      </c>
      <c r="U682" s="6" t="n">
        <v>20430</v>
      </c>
      <c r="V682" s="6" t="n">
        <v>20469</v>
      </c>
    </row>
    <row r="683" customFormat="false" ht="15" hidden="false" customHeight="false" outlineLevel="0" collapsed="false">
      <c r="A683" s="5" t="s">
        <v>80</v>
      </c>
      <c r="B683" s="6" t="s">
        <v>33</v>
      </c>
      <c r="C683" s="5" t="s">
        <v>70</v>
      </c>
      <c r="D683" s="5" t="s">
        <v>61</v>
      </c>
      <c r="E683" s="6" t="n">
        <v>725333</v>
      </c>
      <c r="F683" s="6" t="n">
        <v>721318</v>
      </c>
      <c r="G683" s="6" t="n">
        <v>400424</v>
      </c>
      <c r="H683" s="6" t="n">
        <v>395334</v>
      </c>
      <c r="I683" s="6" t="n">
        <v>111293</v>
      </c>
      <c r="J683" s="6" t="n">
        <v>110379</v>
      </c>
      <c r="K683" s="6" t="n">
        <v>24780</v>
      </c>
      <c r="L683" s="6" t="n">
        <v>24232</v>
      </c>
      <c r="M683" s="6" t="n">
        <v>8012</v>
      </c>
      <c r="N683" s="6" t="n">
        <v>6740</v>
      </c>
      <c r="O683" s="6" t="n">
        <v>13229</v>
      </c>
      <c r="P683" s="6" t="n">
        <v>12419</v>
      </c>
      <c r="Q683" s="6" t="n">
        <v>11961</v>
      </c>
      <c r="R683" s="6" t="n">
        <v>12092</v>
      </c>
      <c r="S683" s="6" t="n">
        <v>5683</v>
      </c>
      <c r="T683" s="6" t="n">
        <v>7930</v>
      </c>
      <c r="U683" s="6" t="n">
        <v>20097</v>
      </c>
      <c r="V683" s="6" t="n">
        <v>20424</v>
      </c>
    </row>
    <row r="684" customFormat="false" ht="15" hidden="false" customHeight="false" outlineLevel="0" collapsed="false">
      <c r="A684" s="5" t="s">
        <v>80</v>
      </c>
      <c r="B684" s="6" t="s">
        <v>33</v>
      </c>
      <c r="C684" s="5" t="s">
        <v>71</v>
      </c>
      <c r="D684" s="5" t="s">
        <v>61</v>
      </c>
      <c r="E684" s="6" t="n">
        <v>737067</v>
      </c>
      <c r="F684" s="6" t="n">
        <v>734638</v>
      </c>
      <c r="G684" s="6" t="n">
        <v>399857</v>
      </c>
      <c r="H684" s="6" t="n">
        <v>418624</v>
      </c>
      <c r="I684" s="6" t="n">
        <v>109980</v>
      </c>
      <c r="J684" s="6" t="n">
        <v>113788</v>
      </c>
      <c r="K684" s="6" t="n">
        <v>24695</v>
      </c>
      <c r="L684" s="6" t="n">
        <v>25012</v>
      </c>
      <c r="M684" s="6" t="n">
        <v>9203</v>
      </c>
      <c r="N684" s="6" t="n">
        <v>10764</v>
      </c>
      <c r="O684" s="6" t="n">
        <v>17205</v>
      </c>
      <c r="P684" s="6" t="n">
        <v>15975</v>
      </c>
      <c r="Q684" s="6" t="n">
        <v>10631</v>
      </c>
      <c r="R684" s="6" t="n">
        <v>10300</v>
      </c>
      <c r="S684" s="6" t="n">
        <v>8686</v>
      </c>
      <c r="T684" s="6" t="n">
        <v>7222</v>
      </c>
      <c r="U684" s="6" t="n">
        <v>20825</v>
      </c>
      <c r="V684" s="6" t="n">
        <v>21292</v>
      </c>
    </row>
    <row r="685" customFormat="false" ht="15" hidden="false" customHeight="false" outlineLevel="0" collapsed="false">
      <c r="A685" s="5" t="s">
        <v>80</v>
      </c>
      <c r="B685" s="6" t="s">
        <v>33</v>
      </c>
      <c r="C685" s="5" t="s">
        <v>72</v>
      </c>
      <c r="D685" s="5" t="s">
        <v>61</v>
      </c>
      <c r="E685" s="6" t="n">
        <v>801147</v>
      </c>
      <c r="F685" s="6" t="n">
        <v>798848</v>
      </c>
      <c r="G685" s="6" t="n">
        <v>441190</v>
      </c>
      <c r="H685" s="6" t="n">
        <v>438758</v>
      </c>
      <c r="I685" s="6" t="n">
        <v>128965</v>
      </c>
      <c r="J685" s="6" t="n">
        <v>138015</v>
      </c>
      <c r="K685" s="6" t="n">
        <v>17208</v>
      </c>
      <c r="L685" s="6" t="n">
        <v>19531</v>
      </c>
      <c r="M685" s="6" t="n">
        <v>11414</v>
      </c>
      <c r="N685" s="6" t="n">
        <v>13197</v>
      </c>
      <c r="O685" s="6" t="n">
        <v>15005</v>
      </c>
      <c r="P685" s="6" t="n">
        <v>14355</v>
      </c>
      <c r="Q685" s="6" t="n">
        <v>10939</v>
      </c>
      <c r="R685" s="6" t="n">
        <v>11093</v>
      </c>
      <c r="S685" s="6" t="n">
        <v>4882</v>
      </c>
      <c r="T685" s="6" t="n">
        <v>6607</v>
      </c>
      <c r="U685" s="6" t="n">
        <v>17674</v>
      </c>
      <c r="V685" s="6" t="n">
        <v>17875</v>
      </c>
    </row>
    <row r="686" customFormat="false" ht="15" hidden="false" customHeight="false" outlineLevel="0" collapsed="false">
      <c r="A686" s="5" t="s">
        <v>80</v>
      </c>
      <c r="B686" s="6" t="s">
        <v>73</v>
      </c>
      <c r="C686" s="5" t="s">
        <v>34</v>
      </c>
      <c r="D686" s="5" t="s">
        <v>35</v>
      </c>
      <c r="E686" s="6" t="n">
        <v>345791</v>
      </c>
      <c r="F686" s="6" t="n">
        <v>333249</v>
      </c>
      <c r="G686" s="6" t="n">
        <v>203975</v>
      </c>
      <c r="H686" s="6" t="n">
        <v>206314</v>
      </c>
      <c r="I686" s="6" t="n">
        <v>58650</v>
      </c>
      <c r="J686" s="6" t="n">
        <v>62223</v>
      </c>
      <c r="K686" s="6" t="n">
        <v>8844</v>
      </c>
      <c r="L686" s="6" t="n">
        <v>9740</v>
      </c>
      <c r="M686" s="6" t="n">
        <v>2875</v>
      </c>
      <c r="N686" s="6" t="n">
        <v>2504</v>
      </c>
      <c r="O686" s="6" t="n">
        <v>7075</v>
      </c>
      <c r="P686" s="6" t="n">
        <v>7360</v>
      </c>
      <c r="Q686" s="6" t="n">
        <v>6589</v>
      </c>
      <c r="R686" s="6" t="n">
        <v>6538</v>
      </c>
      <c r="S686" s="6" t="n">
        <v>3258</v>
      </c>
      <c r="T686" s="6" t="n">
        <v>4295</v>
      </c>
      <c r="U686" s="6" t="n">
        <v>9081</v>
      </c>
      <c r="V686" s="6" t="n">
        <v>8920</v>
      </c>
    </row>
    <row r="687" customFormat="false" ht="15" hidden="false" customHeight="false" outlineLevel="0" collapsed="false">
      <c r="A687" s="5" t="s">
        <v>80</v>
      </c>
      <c r="B687" s="6" t="s">
        <v>73</v>
      </c>
      <c r="C687" s="5" t="s">
        <v>36</v>
      </c>
      <c r="D687" s="5" t="s">
        <v>35</v>
      </c>
      <c r="E687" s="6" t="n">
        <v>351868</v>
      </c>
      <c r="F687" s="6" t="n">
        <v>342152</v>
      </c>
      <c r="G687" s="6" t="n">
        <v>195764</v>
      </c>
      <c r="H687" s="6" t="n">
        <v>195325</v>
      </c>
      <c r="I687" s="6" t="n">
        <v>53652</v>
      </c>
      <c r="J687" s="6" t="n">
        <v>54484</v>
      </c>
      <c r="K687" s="6" t="n">
        <v>8505</v>
      </c>
      <c r="L687" s="6" t="n">
        <v>9528</v>
      </c>
      <c r="M687" s="6" t="n">
        <v>4827</v>
      </c>
      <c r="N687" s="6" t="n">
        <v>5040</v>
      </c>
      <c r="O687" s="6" t="n">
        <v>8445</v>
      </c>
      <c r="P687" s="6" t="n">
        <v>8722</v>
      </c>
      <c r="Q687" s="6" t="n">
        <v>5336</v>
      </c>
      <c r="R687" s="6" t="n">
        <v>5441</v>
      </c>
      <c r="S687" s="6" t="n">
        <v>3059</v>
      </c>
      <c r="T687" s="6" t="n">
        <v>3664</v>
      </c>
      <c r="U687" s="6" t="n">
        <v>7822</v>
      </c>
      <c r="V687" s="6" t="n">
        <v>7887</v>
      </c>
    </row>
    <row r="688" customFormat="false" ht="15" hidden="false" customHeight="false" outlineLevel="0" collapsed="false">
      <c r="A688" s="5" t="s">
        <v>80</v>
      </c>
      <c r="B688" s="6" t="s">
        <v>73</v>
      </c>
      <c r="C688" s="5" t="s">
        <v>37</v>
      </c>
      <c r="D688" s="5" t="s">
        <v>35</v>
      </c>
      <c r="E688" s="6" t="n">
        <v>357170</v>
      </c>
      <c r="F688" s="6" t="n">
        <v>340725</v>
      </c>
      <c r="G688" s="6" t="n">
        <v>203341</v>
      </c>
      <c r="H688" s="6" t="n">
        <v>190288</v>
      </c>
      <c r="I688" s="6" t="n">
        <v>53512</v>
      </c>
      <c r="J688" s="6" t="n">
        <v>57460</v>
      </c>
      <c r="K688" s="6" t="n">
        <v>8518</v>
      </c>
      <c r="L688" s="6" t="n">
        <v>8980</v>
      </c>
      <c r="M688" s="6" t="n">
        <v>5184</v>
      </c>
      <c r="N688" s="6" t="n">
        <v>5179</v>
      </c>
      <c r="O688" s="6" t="n">
        <v>8344</v>
      </c>
      <c r="P688" s="6" t="n">
        <v>8104</v>
      </c>
      <c r="Q688" s="6" t="n">
        <v>5915</v>
      </c>
      <c r="R688" s="6" t="n">
        <v>5683</v>
      </c>
      <c r="S688" s="6" t="n">
        <v>2399</v>
      </c>
      <c r="T688" s="6" t="n">
        <v>3104</v>
      </c>
      <c r="U688" s="6" t="n">
        <v>10301</v>
      </c>
      <c r="V688" s="6" t="n">
        <v>10579</v>
      </c>
    </row>
    <row r="689" customFormat="false" ht="15" hidden="false" customHeight="false" outlineLevel="0" collapsed="false">
      <c r="A689" s="5" t="s">
        <v>80</v>
      </c>
      <c r="B689" s="6" t="s">
        <v>73</v>
      </c>
      <c r="C689" s="5" t="s">
        <v>38</v>
      </c>
      <c r="D689" s="5" t="s">
        <v>35</v>
      </c>
      <c r="E689" s="6" t="n">
        <v>345278</v>
      </c>
      <c r="F689" s="6" t="n">
        <v>345362</v>
      </c>
      <c r="G689" s="6" t="n">
        <v>189084</v>
      </c>
      <c r="H689" s="6" t="n">
        <v>199414</v>
      </c>
      <c r="I689" s="6" t="n">
        <v>53197</v>
      </c>
      <c r="J689" s="6" t="n">
        <v>52241</v>
      </c>
      <c r="K689" s="6" t="n">
        <v>8090</v>
      </c>
      <c r="L689" s="6" t="n">
        <v>8898</v>
      </c>
      <c r="M689" s="6" t="n">
        <v>3208</v>
      </c>
      <c r="N689" s="6" t="n">
        <v>3790</v>
      </c>
      <c r="O689" s="6" t="n">
        <v>8999</v>
      </c>
      <c r="P689" s="6" t="n">
        <v>8671</v>
      </c>
      <c r="Q689" s="6" t="n">
        <v>5843</v>
      </c>
      <c r="R689" s="6" t="n">
        <v>5807</v>
      </c>
      <c r="S689" s="6" t="n">
        <v>2367</v>
      </c>
      <c r="T689" s="6" t="n">
        <v>2741</v>
      </c>
      <c r="U689" s="6" t="n">
        <v>7047</v>
      </c>
      <c r="V689" s="6" t="n">
        <v>7230</v>
      </c>
    </row>
    <row r="690" customFormat="false" ht="15" hidden="false" customHeight="false" outlineLevel="0" collapsed="false">
      <c r="A690" s="5" t="s">
        <v>80</v>
      </c>
      <c r="B690" s="6" t="s">
        <v>73</v>
      </c>
      <c r="C690" s="5" t="s">
        <v>39</v>
      </c>
      <c r="D690" s="5" t="s">
        <v>35</v>
      </c>
      <c r="E690" s="6" t="n">
        <v>339849</v>
      </c>
      <c r="F690" s="6" t="n">
        <v>353025</v>
      </c>
      <c r="G690" s="6" t="n">
        <v>187809</v>
      </c>
      <c r="H690" s="6" t="n">
        <v>193642</v>
      </c>
      <c r="I690" s="6" t="n">
        <v>53378</v>
      </c>
      <c r="J690" s="6" t="n">
        <v>57346</v>
      </c>
      <c r="K690" s="6" t="n">
        <v>8537</v>
      </c>
      <c r="L690" s="6" t="n">
        <v>9691</v>
      </c>
      <c r="M690" s="6" t="n">
        <v>4912</v>
      </c>
      <c r="N690" s="6" t="n">
        <v>4789</v>
      </c>
      <c r="O690" s="6" t="n">
        <v>6799</v>
      </c>
      <c r="P690" s="6" t="n">
        <v>7043</v>
      </c>
      <c r="Q690" s="6" t="n">
        <v>5142</v>
      </c>
      <c r="R690" s="6" t="n">
        <v>4964</v>
      </c>
      <c r="S690" s="6" t="n">
        <v>2634</v>
      </c>
      <c r="T690" s="6" t="n">
        <v>2208</v>
      </c>
      <c r="U690" s="6" t="n">
        <v>7422</v>
      </c>
      <c r="V690" s="6" t="n">
        <v>7286</v>
      </c>
    </row>
    <row r="691" customFormat="false" ht="15" hidden="false" customHeight="false" outlineLevel="0" collapsed="false">
      <c r="A691" s="5" t="s">
        <v>80</v>
      </c>
      <c r="B691" s="6" t="s">
        <v>73</v>
      </c>
      <c r="C691" s="5" t="s">
        <v>40</v>
      </c>
      <c r="D691" s="5" t="s">
        <v>35</v>
      </c>
      <c r="E691" s="6" t="n">
        <v>370817</v>
      </c>
      <c r="F691" s="6" t="n">
        <v>373557</v>
      </c>
      <c r="G691" s="6" t="n">
        <v>219628</v>
      </c>
      <c r="H691" s="6" t="n">
        <v>215075</v>
      </c>
      <c r="I691" s="6" t="n">
        <v>54649</v>
      </c>
      <c r="J691" s="6" t="n">
        <v>56187</v>
      </c>
      <c r="K691" s="6" t="n">
        <v>10514</v>
      </c>
      <c r="L691" s="6" t="n">
        <v>9389</v>
      </c>
      <c r="M691" s="6" t="n">
        <v>5469</v>
      </c>
      <c r="N691" s="6" t="n">
        <v>4530</v>
      </c>
      <c r="O691" s="6" t="n">
        <v>9214</v>
      </c>
      <c r="P691" s="6" t="n">
        <v>9157</v>
      </c>
      <c r="Q691" s="6" t="n">
        <v>6035</v>
      </c>
      <c r="R691" s="6" t="n">
        <v>6107</v>
      </c>
      <c r="S691" s="6" t="n">
        <v>2603</v>
      </c>
      <c r="T691" s="6" t="n">
        <v>3539</v>
      </c>
      <c r="U691" s="6" t="n">
        <v>8790</v>
      </c>
      <c r="V691" s="6" t="n">
        <v>8602</v>
      </c>
    </row>
    <row r="692" customFormat="false" ht="15" hidden="false" customHeight="false" outlineLevel="0" collapsed="false">
      <c r="A692" s="5" t="s">
        <v>80</v>
      </c>
      <c r="B692" s="6" t="s">
        <v>73</v>
      </c>
      <c r="C692" s="5" t="s">
        <v>41</v>
      </c>
      <c r="D692" s="5" t="s">
        <v>35</v>
      </c>
      <c r="E692" s="6" t="n">
        <v>346209</v>
      </c>
      <c r="F692" s="6" t="n">
        <v>357639</v>
      </c>
      <c r="G692" s="6" t="n">
        <v>194872</v>
      </c>
      <c r="H692" s="6" t="n">
        <v>204215</v>
      </c>
      <c r="I692" s="6" t="n">
        <v>56921</v>
      </c>
      <c r="J692" s="6" t="n">
        <v>60026</v>
      </c>
      <c r="K692" s="6" t="n">
        <v>7545</v>
      </c>
      <c r="L692" s="6" t="n">
        <v>6921</v>
      </c>
      <c r="M692" s="6" t="n">
        <v>4292</v>
      </c>
      <c r="N692" s="6" t="n">
        <v>4643</v>
      </c>
      <c r="O692" s="6" t="n">
        <v>6488</v>
      </c>
      <c r="P692" s="6" t="n">
        <v>6727</v>
      </c>
      <c r="Q692" s="6" t="n">
        <v>6677</v>
      </c>
      <c r="R692" s="6" t="n">
        <v>6969</v>
      </c>
      <c r="S692" s="6" t="n">
        <v>3417</v>
      </c>
      <c r="T692" s="6" t="n">
        <v>3313</v>
      </c>
      <c r="U692" s="6" t="n">
        <v>9057</v>
      </c>
      <c r="V692" s="6" t="n">
        <v>9030</v>
      </c>
    </row>
    <row r="693" customFormat="false" ht="15" hidden="false" customHeight="false" outlineLevel="0" collapsed="false">
      <c r="A693" s="5" t="s">
        <v>80</v>
      </c>
      <c r="B693" s="6" t="s">
        <v>73</v>
      </c>
      <c r="C693" s="5" t="s">
        <v>42</v>
      </c>
      <c r="D693" s="5" t="s">
        <v>35</v>
      </c>
      <c r="E693" s="6" t="n">
        <v>373320</v>
      </c>
      <c r="F693" s="6" t="n">
        <v>365303</v>
      </c>
      <c r="G693" s="6" t="n">
        <v>215315</v>
      </c>
      <c r="H693" s="6" t="n">
        <v>209689</v>
      </c>
      <c r="I693" s="6" t="n">
        <v>63330</v>
      </c>
      <c r="J693" s="6" t="n">
        <v>64600</v>
      </c>
      <c r="K693" s="6" t="n">
        <v>12615</v>
      </c>
      <c r="L693" s="6" t="n">
        <v>11302</v>
      </c>
      <c r="M693" s="6" t="n">
        <v>4388</v>
      </c>
      <c r="N693" s="6" t="n">
        <v>4301</v>
      </c>
      <c r="O693" s="6" t="n">
        <v>7259</v>
      </c>
      <c r="P693" s="6" t="n">
        <v>7511</v>
      </c>
      <c r="Q693" s="6" t="n">
        <v>5001</v>
      </c>
      <c r="R693" s="6" t="n">
        <v>5235</v>
      </c>
      <c r="S693" s="6" t="n">
        <v>4478</v>
      </c>
      <c r="T693" s="6" t="n">
        <v>5952</v>
      </c>
      <c r="U693" s="6" t="n">
        <v>8841</v>
      </c>
      <c r="V693" s="6" t="n">
        <v>8587</v>
      </c>
    </row>
    <row r="694" customFormat="false" ht="15" hidden="false" customHeight="false" outlineLevel="0" collapsed="false">
      <c r="A694" s="5" t="s">
        <v>80</v>
      </c>
      <c r="B694" s="6" t="s">
        <v>73</v>
      </c>
      <c r="C694" s="5" t="s">
        <v>43</v>
      </c>
      <c r="D694" s="5" t="s">
        <v>35</v>
      </c>
      <c r="E694" s="6" t="n">
        <v>372204</v>
      </c>
      <c r="F694" s="6" t="n">
        <v>388815</v>
      </c>
      <c r="G694" s="6" t="n">
        <v>211261</v>
      </c>
      <c r="H694" s="6" t="n">
        <v>226730</v>
      </c>
      <c r="I694" s="6" t="n">
        <v>58155</v>
      </c>
      <c r="J694" s="6" t="n">
        <v>57862</v>
      </c>
      <c r="K694" s="6" t="n">
        <v>9690</v>
      </c>
      <c r="L694" s="6" t="n">
        <v>10679</v>
      </c>
      <c r="M694" s="6" t="n">
        <v>3897</v>
      </c>
      <c r="N694" s="6" t="n">
        <v>4953</v>
      </c>
      <c r="O694" s="6" t="n">
        <v>8267</v>
      </c>
      <c r="P694" s="6" t="n">
        <v>8227</v>
      </c>
      <c r="Q694" s="6" t="n">
        <v>6650</v>
      </c>
      <c r="R694" s="6" t="n">
        <v>6613</v>
      </c>
      <c r="S694" s="6" t="n">
        <v>3101</v>
      </c>
      <c r="T694" s="6" t="n">
        <v>3157</v>
      </c>
      <c r="U694" s="6" t="n">
        <v>8658</v>
      </c>
      <c r="V694" s="6" t="n">
        <v>8605</v>
      </c>
    </row>
    <row r="695" customFormat="false" ht="15" hidden="false" customHeight="false" outlineLevel="0" collapsed="false">
      <c r="A695" s="5" t="s">
        <v>80</v>
      </c>
      <c r="B695" s="6" t="s">
        <v>73</v>
      </c>
      <c r="C695" s="5" t="s">
        <v>44</v>
      </c>
      <c r="D695" s="5" t="s">
        <v>35</v>
      </c>
      <c r="E695" s="6" t="n">
        <v>368153</v>
      </c>
      <c r="F695" s="6" t="n">
        <v>381620</v>
      </c>
      <c r="G695" s="6" t="n">
        <v>203595</v>
      </c>
      <c r="H695" s="6" t="n">
        <v>207054</v>
      </c>
      <c r="I695" s="6" t="n">
        <v>53691</v>
      </c>
      <c r="J695" s="6" t="n">
        <v>57240</v>
      </c>
      <c r="K695" s="6" t="n">
        <v>11004</v>
      </c>
      <c r="L695" s="6" t="n">
        <v>11396</v>
      </c>
      <c r="M695" s="6" t="n">
        <v>5266</v>
      </c>
      <c r="N695" s="6" t="n">
        <v>5656</v>
      </c>
      <c r="O695" s="6" t="n">
        <v>9439</v>
      </c>
      <c r="P695" s="6" t="n">
        <v>9377</v>
      </c>
      <c r="Q695" s="6" t="n">
        <v>6315</v>
      </c>
      <c r="R695" s="6" t="n">
        <v>6134</v>
      </c>
      <c r="S695" s="6" t="n">
        <v>2521</v>
      </c>
      <c r="T695" s="6" t="n">
        <v>2181</v>
      </c>
      <c r="U695" s="6" t="n">
        <v>9764</v>
      </c>
      <c r="V695" s="6" t="n">
        <v>9647</v>
      </c>
    </row>
    <row r="696" customFormat="false" ht="15" hidden="false" customHeight="false" outlineLevel="0" collapsed="false">
      <c r="A696" s="5" t="s">
        <v>80</v>
      </c>
      <c r="B696" s="6" t="s">
        <v>73</v>
      </c>
      <c r="C696" s="5" t="s">
        <v>45</v>
      </c>
      <c r="D696" s="5" t="s">
        <v>35</v>
      </c>
      <c r="E696" s="6" t="n">
        <v>403994</v>
      </c>
      <c r="F696" s="6" t="n">
        <v>391107</v>
      </c>
      <c r="G696" s="6" t="n">
        <v>233273</v>
      </c>
      <c r="H696" s="6" t="n">
        <v>219004</v>
      </c>
      <c r="I696" s="6" t="n">
        <v>59191</v>
      </c>
      <c r="J696" s="6" t="n">
        <v>61007</v>
      </c>
      <c r="K696" s="6" t="n">
        <v>9030</v>
      </c>
      <c r="L696" s="6" t="n">
        <v>8717</v>
      </c>
      <c r="M696" s="6" t="n">
        <v>4695</v>
      </c>
      <c r="N696" s="6" t="n">
        <v>4179</v>
      </c>
      <c r="O696" s="6" t="n">
        <v>9062</v>
      </c>
      <c r="P696" s="6" t="n">
        <v>9469</v>
      </c>
      <c r="Q696" s="6" t="n">
        <v>6095</v>
      </c>
      <c r="R696" s="6" t="n">
        <v>6197</v>
      </c>
      <c r="S696" s="6" t="n">
        <v>3086</v>
      </c>
      <c r="T696" s="6" t="n">
        <v>3850</v>
      </c>
      <c r="U696" s="6" t="n">
        <v>10356</v>
      </c>
      <c r="V696" s="6" t="n">
        <v>10142</v>
      </c>
    </row>
    <row r="697" customFormat="false" ht="15" hidden="false" customHeight="false" outlineLevel="0" collapsed="false">
      <c r="A697" s="5" t="s">
        <v>80</v>
      </c>
      <c r="B697" s="6" t="s">
        <v>73</v>
      </c>
      <c r="C697" s="5" t="s">
        <v>46</v>
      </c>
      <c r="D697" s="5" t="s">
        <v>35</v>
      </c>
      <c r="E697" s="6" t="n">
        <v>423496</v>
      </c>
      <c r="F697" s="6" t="n">
        <v>409641</v>
      </c>
      <c r="G697" s="6" t="n">
        <v>233714</v>
      </c>
      <c r="H697" s="6" t="n">
        <v>226299</v>
      </c>
      <c r="I697" s="6" t="n">
        <v>65243</v>
      </c>
      <c r="J697" s="6" t="n">
        <v>69515</v>
      </c>
      <c r="K697" s="6" t="n">
        <v>9299</v>
      </c>
      <c r="L697" s="6" t="n">
        <v>10502</v>
      </c>
      <c r="M697" s="6" t="n">
        <v>4325</v>
      </c>
      <c r="N697" s="6" t="n">
        <v>5478</v>
      </c>
      <c r="O697" s="6" t="n">
        <v>10216</v>
      </c>
      <c r="P697" s="6" t="n">
        <v>10751</v>
      </c>
      <c r="Q697" s="6" t="n">
        <v>8050</v>
      </c>
      <c r="R697" s="6" t="n">
        <v>8192</v>
      </c>
      <c r="S697" s="6" t="n">
        <v>4541</v>
      </c>
      <c r="T697" s="6" t="n">
        <v>3866</v>
      </c>
      <c r="U697" s="6" t="n">
        <v>8507</v>
      </c>
      <c r="V697" s="6" t="n">
        <v>8692</v>
      </c>
    </row>
    <row r="698" customFormat="false" ht="15" hidden="false" customHeight="false" outlineLevel="0" collapsed="false">
      <c r="A698" s="5" t="s">
        <v>80</v>
      </c>
      <c r="B698" s="6" t="s">
        <v>73</v>
      </c>
      <c r="C698" s="5" t="s">
        <v>47</v>
      </c>
      <c r="D698" s="5" t="s">
        <v>48</v>
      </c>
      <c r="E698" s="6" t="n">
        <v>407932</v>
      </c>
      <c r="F698" s="6" t="n">
        <v>391372</v>
      </c>
      <c r="G698" s="6" t="n">
        <v>227951</v>
      </c>
      <c r="H698" s="6" t="n">
        <v>228517</v>
      </c>
      <c r="I698" s="6" t="n">
        <v>59595</v>
      </c>
      <c r="J698" s="6" t="n">
        <v>58794</v>
      </c>
      <c r="K698" s="6" t="n">
        <v>9462</v>
      </c>
      <c r="L698" s="6" t="n">
        <v>10429</v>
      </c>
      <c r="M698" s="6" t="n">
        <v>4300</v>
      </c>
      <c r="N698" s="6" t="n">
        <v>5395</v>
      </c>
      <c r="O698" s="6" t="n">
        <v>9723</v>
      </c>
      <c r="P698" s="6" t="n">
        <v>10395</v>
      </c>
      <c r="Q698" s="6" t="n">
        <v>6446</v>
      </c>
      <c r="R698" s="6" t="n">
        <v>6577</v>
      </c>
      <c r="S698" s="6" t="n">
        <v>3157</v>
      </c>
      <c r="T698" s="6" t="n">
        <v>2718</v>
      </c>
      <c r="U698" s="6" t="n">
        <v>10451</v>
      </c>
      <c r="V698" s="6" t="n">
        <v>10702</v>
      </c>
    </row>
    <row r="699" customFormat="false" ht="15" hidden="false" customHeight="false" outlineLevel="0" collapsed="false">
      <c r="A699" s="5" t="s">
        <v>80</v>
      </c>
      <c r="B699" s="6" t="s">
        <v>73</v>
      </c>
      <c r="C699" s="5" t="s">
        <v>49</v>
      </c>
      <c r="D699" s="5" t="s">
        <v>48</v>
      </c>
      <c r="E699" s="6" t="n">
        <v>386348</v>
      </c>
      <c r="F699" s="6" t="n">
        <v>390321</v>
      </c>
      <c r="G699" s="6" t="n">
        <v>220967</v>
      </c>
      <c r="H699" s="6" t="n">
        <v>227500</v>
      </c>
      <c r="I699" s="6" t="n">
        <v>55923</v>
      </c>
      <c r="J699" s="6" t="n">
        <v>57643</v>
      </c>
      <c r="K699" s="6" t="n">
        <v>10448</v>
      </c>
      <c r="L699" s="6" t="n">
        <v>11963</v>
      </c>
      <c r="M699" s="6" t="n">
        <v>4957</v>
      </c>
      <c r="N699" s="6" t="n">
        <v>6205</v>
      </c>
      <c r="O699" s="6" t="n">
        <v>10726</v>
      </c>
      <c r="P699" s="6" t="n">
        <v>11150</v>
      </c>
      <c r="Q699" s="6" t="n">
        <v>5089</v>
      </c>
      <c r="R699" s="6" t="n">
        <v>5061</v>
      </c>
      <c r="S699" s="6" t="n">
        <v>4070</v>
      </c>
      <c r="T699" s="6" t="n">
        <v>3587</v>
      </c>
      <c r="U699" s="6" t="n">
        <v>9199</v>
      </c>
      <c r="V699" s="6" t="n">
        <v>9132</v>
      </c>
    </row>
    <row r="700" customFormat="false" ht="15" hidden="false" customHeight="false" outlineLevel="0" collapsed="false">
      <c r="A700" s="5" t="s">
        <v>80</v>
      </c>
      <c r="B700" s="6" t="s">
        <v>73</v>
      </c>
      <c r="C700" s="5" t="s">
        <v>50</v>
      </c>
      <c r="D700" s="5" t="s">
        <v>48</v>
      </c>
      <c r="E700" s="6" t="n">
        <v>367124</v>
      </c>
      <c r="F700" s="6" t="n">
        <v>389565</v>
      </c>
      <c r="G700" s="6" t="n">
        <v>213405</v>
      </c>
      <c r="H700" s="6" t="n">
        <v>234590</v>
      </c>
      <c r="I700" s="6" t="n">
        <v>61650</v>
      </c>
      <c r="J700" s="6" t="n">
        <v>63767</v>
      </c>
      <c r="K700" s="6" t="n">
        <v>8344</v>
      </c>
      <c r="L700" s="6" t="n">
        <v>9330</v>
      </c>
      <c r="M700" s="6" t="n">
        <v>5431</v>
      </c>
      <c r="N700" s="6" t="n">
        <v>6915</v>
      </c>
      <c r="O700" s="6" t="n">
        <v>8689</v>
      </c>
      <c r="P700" s="6" t="n">
        <v>9379</v>
      </c>
      <c r="Q700" s="6" t="n">
        <v>7307</v>
      </c>
      <c r="R700" s="6" t="n">
        <v>7589</v>
      </c>
      <c r="S700" s="6" t="n">
        <v>2354</v>
      </c>
      <c r="T700" s="6" t="n">
        <v>2074</v>
      </c>
      <c r="U700" s="6" t="n">
        <v>8444</v>
      </c>
      <c r="V700" s="6" t="n">
        <v>8390</v>
      </c>
    </row>
    <row r="701" customFormat="false" ht="15" hidden="false" customHeight="false" outlineLevel="0" collapsed="false">
      <c r="A701" s="5" t="s">
        <v>80</v>
      </c>
      <c r="B701" s="6" t="s">
        <v>73</v>
      </c>
      <c r="C701" s="5" t="s">
        <v>51</v>
      </c>
      <c r="D701" s="5" t="s">
        <v>48</v>
      </c>
      <c r="E701" s="6" t="n">
        <v>411458</v>
      </c>
      <c r="F701" s="6" t="n">
        <v>388480</v>
      </c>
      <c r="G701" s="6" t="n">
        <v>241714</v>
      </c>
      <c r="H701" s="6" t="n">
        <v>233439</v>
      </c>
      <c r="I701" s="6" t="n">
        <v>69474</v>
      </c>
      <c r="J701" s="6" t="n">
        <v>69841</v>
      </c>
      <c r="K701" s="6" t="n">
        <v>12620</v>
      </c>
      <c r="L701" s="6" t="n">
        <v>14319</v>
      </c>
      <c r="M701" s="6" t="n">
        <v>3531</v>
      </c>
      <c r="N701" s="6" t="n">
        <v>3889</v>
      </c>
      <c r="O701" s="6" t="n">
        <v>10695</v>
      </c>
      <c r="P701" s="6" t="n">
        <v>9870</v>
      </c>
      <c r="Q701" s="6" t="n">
        <v>7871</v>
      </c>
      <c r="R701" s="6" t="n">
        <v>7806</v>
      </c>
      <c r="S701" s="6" t="n">
        <v>2886</v>
      </c>
      <c r="T701" s="6" t="n">
        <v>3783</v>
      </c>
      <c r="U701" s="6" t="n">
        <v>9019</v>
      </c>
      <c r="V701" s="6" t="n">
        <v>8900</v>
      </c>
    </row>
    <row r="702" customFormat="false" ht="15" hidden="false" customHeight="false" outlineLevel="0" collapsed="false">
      <c r="A702" s="5" t="s">
        <v>80</v>
      </c>
      <c r="B702" s="6" t="s">
        <v>73</v>
      </c>
      <c r="C702" s="5" t="s">
        <v>52</v>
      </c>
      <c r="D702" s="5" t="s">
        <v>48</v>
      </c>
      <c r="E702" s="6" t="n">
        <v>412854</v>
      </c>
      <c r="F702" s="6" t="n">
        <v>393228</v>
      </c>
      <c r="G702" s="6" t="n">
        <v>235069</v>
      </c>
      <c r="H702" s="6" t="n">
        <v>233840</v>
      </c>
      <c r="I702" s="6" t="n">
        <v>58444</v>
      </c>
      <c r="J702" s="6" t="n">
        <v>58226</v>
      </c>
      <c r="K702" s="6" t="n">
        <v>10156</v>
      </c>
      <c r="L702" s="6" t="n">
        <v>10000</v>
      </c>
      <c r="M702" s="6" t="n">
        <v>4554</v>
      </c>
      <c r="N702" s="6" t="n">
        <v>3735</v>
      </c>
      <c r="O702" s="6" t="n">
        <v>10528</v>
      </c>
      <c r="P702" s="6" t="n">
        <v>11126</v>
      </c>
      <c r="Q702" s="6" t="n">
        <v>6467</v>
      </c>
      <c r="R702" s="6" t="n">
        <v>6196</v>
      </c>
      <c r="S702" s="6" t="n">
        <v>3843</v>
      </c>
      <c r="T702" s="6" t="n">
        <v>3376</v>
      </c>
      <c r="U702" s="6" t="n">
        <v>12296</v>
      </c>
      <c r="V702" s="6" t="n">
        <v>12388</v>
      </c>
    </row>
    <row r="703" customFormat="false" ht="15" hidden="false" customHeight="false" outlineLevel="0" collapsed="false">
      <c r="A703" s="5" t="s">
        <v>80</v>
      </c>
      <c r="B703" s="6" t="s">
        <v>73</v>
      </c>
      <c r="C703" s="5" t="s">
        <v>53</v>
      </c>
      <c r="D703" s="5" t="s">
        <v>48</v>
      </c>
      <c r="E703" s="6" t="n">
        <v>393285</v>
      </c>
      <c r="F703" s="6" t="n">
        <v>417365</v>
      </c>
      <c r="G703" s="6" t="n">
        <v>221357</v>
      </c>
      <c r="H703" s="6" t="n">
        <v>245439</v>
      </c>
      <c r="I703" s="6" t="n">
        <v>59544</v>
      </c>
      <c r="J703" s="6" t="n">
        <v>57993</v>
      </c>
      <c r="K703" s="6" t="n">
        <v>11829</v>
      </c>
      <c r="L703" s="6" t="n">
        <v>12528</v>
      </c>
      <c r="M703" s="6" t="n">
        <v>4070</v>
      </c>
      <c r="N703" s="6" t="n">
        <v>4890</v>
      </c>
      <c r="O703" s="6" t="n">
        <v>10436</v>
      </c>
      <c r="P703" s="6" t="n">
        <v>11074</v>
      </c>
      <c r="Q703" s="6" t="n">
        <v>6001</v>
      </c>
      <c r="R703" s="6" t="n">
        <v>5906</v>
      </c>
      <c r="S703" s="6" t="n">
        <v>4585</v>
      </c>
      <c r="T703" s="6" t="n">
        <v>5646</v>
      </c>
      <c r="U703" s="6" t="n">
        <v>10038</v>
      </c>
      <c r="V703" s="6" t="n">
        <v>10031</v>
      </c>
    </row>
    <row r="704" customFormat="false" ht="15" hidden="false" customHeight="false" outlineLevel="0" collapsed="false">
      <c r="A704" s="5" t="s">
        <v>80</v>
      </c>
      <c r="B704" s="6" t="s">
        <v>73</v>
      </c>
      <c r="C704" s="5" t="s">
        <v>54</v>
      </c>
      <c r="D704" s="5" t="s">
        <v>48</v>
      </c>
      <c r="E704" s="6" t="n">
        <v>422178</v>
      </c>
      <c r="F704" s="6" t="n">
        <v>402226</v>
      </c>
      <c r="G704" s="6" t="n">
        <v>251249</v>
      </c>
      <c r="H704" s="6" t="n">
        <v>233036</v>
      </c>
      <c r="I704" s="6" t="n">
        <v>67543</v>
      </c>
      <c r="J704" s="6" t="n">
        <v>67884</v>
      </c>
      <c r="K704" s="6" t="n">
        <v>11666</v>
      </c>
      <c r="L704" s="6" t="n">
        <v>10313</v>
      </c>
      <c r="M704" s="6" t="n">
        <v>5773</v>
      </c>
      <c r="N704" s="6" t="n">
        <v>6946</v>
      </c>
      <c r="O704" s="6" t="n">
        <v>8051</v>
      </c>
      <c r="P704" s="6" t="n">
        <v>7515</v>
      </c>
      <c r="Q704" s="6" t="n">
        <v>6327</v>
      </c>
      <c r="R704" s="6" t="n">
        <v>6108</v>
      </c>
      <c r="S704" s="6" t="n">
        <v>4563</v>
      </c>
      <c r="T704" s="6" t="n">
        <v>5783</v>
      </c>
      <c r="U704" s="6" t="n">
        <v>12090</v>
      </c>
      <c r="V704" s="6" t="n">
        <v>11734</v>
      </c>
    </row>
    <row r="705" customFormat="false" ht="15" hidden="false" customHeight="false" outlineLevel="0" collapsed="false">
      <c r="A705" s="5" t="s">
        <v>80</v>
      </c>
      <c r="B705" s="6" t="s">
        <v>73</v>
      </c>
      <c r="C705" s="5" t="s">
        <v>55</v>
      </c>
      <c r="D705" s="5" t="s">
        <v>48</v>
      </c>
      <c r="E705" s="6" t="n">
        <v>413587</v>
      </c>
      <c r="F705" s="6" t="n">
        <v>398892</v>
      </c>
      <c r="G705" s="6" t="n">
        <v>244930</v>
      </c>
      <c r="H705" s="6" t="n">
        <v>240565</v>
      </c>
      <c r="I705" s="6" t="n">
        <v>59841</v>
      </c>
      <c r="J705" s="6" t="n">
        <v>62167</v>
      </c>
      <c r="K705" s="6" t="n">
        <v>13677</v>
      </c>
      <c r="L705" s="6" t="n">
        <v>13516</v>
      </c>
      <c r="M705" s="6" t="n">
        <v>5837</v>
      </c>
      <c r="N705" s="6" t="n">
        <v>6964</v>
      </c>
      <c r="O705" s="6" t="n">
        <v>7882</v>
      </c>
      <c r="P705" s="6" t="n">
        <v>7424</v>
      </c>
      <c r="Q705" s="6" t="n">
        <v>7293</v>
      </c>
      <c r="R705" s="6" t="n">
        <v>7074</v>
      </c>
      <c r="S705" s="6" t="n">
        <v>4333</v>
      </c>
      <c r="T705" s="6" t="n">
        <v>3677</v>
      </c>
      <c r="U705" s="6" t="n">
        <v>8651</v>
      </c>
      <c r="V705" s="6" t="n">
        <v>8885</v>
      </c>
    </row>
    <row r="706" customFormat="false" ht="15" hidden="false" customHeight="false" outlineLevel="0" collapsed="false">
      <c r="A706" s="5" t="s">
        <v>80</v>
      </c>
      <c r="B706" s="6" t="s">
        <v>73</v>
      </c>
      <c r="C706" s="5" t="s">
        <v>56</v>
      </c>
      <c r="D706" s="5" t="s">
        <v>48</v>
      </c>
      <c r="E706" s="6" t="n">
        <v>425501</v>
      </c>
      <c r="F706" s="6" t="n">
        <v>411116</v>
      </c>
      <c r="G706" s="6" t="n">
        <v>235721</v>
      </c>
      <c r="H706" s="6" t="n">
        <v>220557</v>
      </c>
      <c r="I706" s="6" t="n">
        <v>60584</v>
      </c>
      <c r="J706" s="6" t="n">
        <v>60902</v>
      </c>
      <c r="K706" s="6" t="n">
        <v>11888</v>
      </c>
      <c r="L706" s="6" t="n">
        <v>11803</v>
      </c>
      <c r="M706" s="6" t="n">
        <v>3992</v>
      </c>
      <c r="N706" s="6" t="n">
        <v>5166</v>
      </c>
      <c r="O706" s="6" t="n">
        <v>10235</v>
      </c>
      <c r="P706" s="6" t="n">
        <v>9759</v>
      </c>
      <c r="Q706" s="6" t="n">
        <v>6087</v>
      </c>
      <c r="R706" s="6" t="n">
        <v>6194</v>
      </c>
      <c r="S706" s="6" t="n">
        <v>4761</v>
      </c>
      <c r="T706" s="6" t="n">
        <v>3984</v>
      </c>
      <c r="U706" s="6" t="n">
        <v>9297</v>
      </c>
      <c r="V706" s="6" t="n">
        <v>9022</v>
      </c>
    </row>
    <row r="707" customFormat="false" ht="15" hidden="false" customHeight="false" outlineLevel="0" collapsed="false">
      <c r="A707" s="5" t="s">
        <v>80</v>
      </c>
      <c r="B707" s="6" t="s">
        <v>73</v>
      </c>
      <c r="C707" s="5" t="s">
        <v>57</v>
      </c>
      <c r="D707" s="5" t="s">
        <v>48</v>
      </c>
      <c r="E707" s="6" t="n">
        <v>380431</v>
      </c>
      <c r="F707" s="6" t="n">
        <v>394750</v>
      </c>
      <c r="G707" s="6" t="n">
        <v>208717</v>
      </c>
      <c r="H707" s="6" t="n">
        <v>219376</v>
      </c>
      <c r="I707" s="6" t="n">
        <v>64362</v>
      </c>
      <c r="J707" s="6" t="n">
        <v>67387</v>
      </c>
      <c r="K707" s="6" t="n">
        <v>11620</v>
      </c>
      <c r="L707" s="6" t="n">
        <v>10141</v>
      </c>
      <c r="M707" s="6" t="n">
        <v>3542</v>
      </c>
      <c r="N707" s="6" t="n">
        <v>3403</v>
      </c>
      <c r="O707" s="6" t="n">
        <v>10622</v>
      </c>
      <c r="P707" s="6" t="n">
        <v>10083</v>
      </c>
      <c r="Q707" s="6" t="n">
        <v>6499</v>
      </c>
      <c r="R707" s="6" t="n">
        <v>6559</v>
      </c>
      <c r="S707" s="6" t="n">
        <v>3656</v>
      </c>
      <c r="T707" s="6" t="n">
        <v>4036</v>
      </c>
      <c r="U707" s="6" t="n">
        <v>8694</v>
      </c>
      <c r="V707" s="6" t="n">
        <v>8656</v>
      </c>
    </row>
    <row r="708" customFormat="false" ht="15" hidden="false" customHeight="false" outlineLevel="0" collapsed="false">
      <c r="A708" s="5" t="s">
        <v>80</v>
      </c>
      <c r="B708" s="6" t="s">
        <v>73</v>
      </c>
      <c r="C708" s="5" t="s">
        <v>58</v>
      </c>
      <c r="D708" s="5" t="s">
        <v>48</v>
      </c>
      <c r="E708" s="6" t="n">
        <v>415856</v>
      </c>
      <c r="F708" s="6" t="n">
        <v>404430</v>
      </c>
      <c r="G708" s="6" t="n">
        <v>237800</v>
      </c>
      <c r="H708" s="6" t="n">
        <v>236420</v>
      </c>
      <c r="I708" s="6" t="n">
        <v>70298</v>
      </c>
      <c r="J708" s="6" t="n">
        <v>70135</v>
      </c>
      <c r="K708" s="6" t="n">
        <v>13022</v>
      </c>
      <c r="L708" s="6" t="n">
        <v>11321</v>
      </c>
      <c r="M708" s="6" t="n">
        <v>3510</v>
      </c>
      <c r="N708" s="6" t="n">
        <v>3412</v>
      </c>
      <c r="O708" s="6" t="n">
        <v>10533</v>
      </c>
      <c r="P708" s="6" t="n">
        <v>10866</v>
      </c>
      <c r="Q708" s="6" t="n">
        <v>7711</v>
      </c>
      <c r="R708" s="6" t="n">
        <v>7387</v>
      </c>
      <c r="S708" s="6" t="n">
        <v>4403</v>
      </c>
      <c r="T708" s="6" t="n">
        <v>5414</v>
      </c>
      <c r="U708" s="6" t="n">
        <v>8367</v>
      </c>
      <c r="V708" s="6" t="n">
        <v>8490</v>
      </c>
    </row>
    <row r="709" customFormat="false" ht="15" hidden="false" customHeight="false" outlineLevel="0" collapsed="false">
      <c r="A709" s="5" t="s">
        <v>80</v>
      </c>
      <c r="B709" s="6" t="s">
        <v>73</v>
      </c>
      <c r="C709" s="5" t="s">
        <v>59</v>
      </c>
      <c r="D709" s="5" t="s">
        <v>48</v>
      </c>
      <c r="E709" s="6" t="n">
        <v>422683</v>
      </c>
      <c r="F709" s="6" t="n">
        <v>418259</v>
      </c>
      <c r="G709" s="6" t="n">
        <v>251488</v>
      </c>
      <c r="H709" s="6" t="n">
        <v>248050</v>
      </c>
      <c r="I709" s="6" t="n">
        <v>67812</v>
      </c>
      <c r="J709" s="6" t="n">
        <v>70837</v>
      </c>
      <c r="K709" s="6" t="n">
        <v>8871</v>
      </c>
      <c r="L709" s="6" t="n">
        <v>8239</v>
      </c>
      <c r="M709" s="6" t="n">
        <v>5866</v>
      </c>
      <c r="N709" s="6" t="n">
        <v>6015</v>
      </c>
      <c r="O709" s="6" t="n">
        <v>10745</v>
      </c>
      <c r="P709" s="6" t="n">
        <v>10815</v>
      </c>
      <c r="Q709" s="6" t="n">
        <v>6762</v>
      </c>
      <c r="R709" s="6" t="n">
        <v>6940</v>
      </c>
      <c r="S709" s="6" t="n">
        <v>3331</v>
      </c>
      <c r="T709" s="6" t="n">
        <v>4662</v>
      </c>
      <c r="U709" s="6" t="n">
        <v>9258</v>
      </c>
      <c r="V709" s="6" t="n">
        <v>9306</v>
      </c>
    </row>
    <row r="710" customFormat="false" ht="15" hidden="false" customHeight="false" outlineLevel="0" collapsed="false">
      <c r="A710" s="5" t="s">
        <v>80</v>
      </c>
      <c r="B710" s="6" t="s">
        <v>73</v>
      </c>
      <c r="C710" s="5" t="s">
        <v>60</v>
      </c>
      <c r="D710" s="5" t="s">
        <v>61</v>
      </c>
      <c r="E710" s="6" t="n">
        <v>392391</v>
      </c>
      <c r="F710" s="6" t="n">
        <v>399442</v>
      </c>
      <c r="G710" s="6" t="n">
        <v>222838</v>
      </c>
      <c r="H710" s="6" t="n">
        <v>228073</v>
      </c>
      <c r="I710" s="6" t="n">
        <v>65805</v>
      </c>
      <c r="J710" s="6" t="n">
        <v>69958</v>
      </c>
      <c r="K710" s="6" t="n">
        <v>13571</v>
      </c>
      <c r="L710" s="6" t="n">
        <v>13423</v>
      </c>
      <c r="M710" s="6" t="n">
        <v>5609</v>
      </c>
      <c r="N710" s="6" t="n">
        <v>5755</v>
      </c>
      <c r="O710" s="6" t="n">
        <v>7621</v>
      </c>
      <c r="P710" s="6" t="n">
        <v>8041</v>
      </c>
      <c r="Q710" s="6" t="n">
        <v>6026</v>
      </c>
      <c r="R710" s="6" t="n">
        <v>5739</v>
      </c>
      <c r="S710" s="6" t="n">
        <v>2683</v>
      </c>
      <c r="T710" s="6" t="n">
        <v>2656</v>
      </c>
      <c r="U710" s="6" t="n">
        <v>11732</v>
      </c>
      <c r="V710" s="6" t="n">
        <v>11825</v>
      </c>
    </row>
    <row r="711" customFormat="false" ht="15" hidden="false" customHeight="false" outlineLevel="0" collapsed="false">
      <c r="A711" s="5" t="s">
        <v>80</v>
      </c>
      <c r="B711" s="6" t="s">
        <v>73</v>
      </c>
      <c r="C711" s="5" t="s">
        <v>62</v>
      </c>
      <c r="D711" s="5" t="s">
        <v>61</v>
      </c>
      <c r="E711" s="6" t="n">
        <v>378899</v>
      </c>
      <c r="F711" s="6" t="n">
        <v>402368</v>
      </c>
      <c r="G711" s="6" t="n">
        <v>222597</v>
      </c>
      <c r="H711" s="6" t="n">
        <v>241651</v>
      </c>
      <c r="I711" s="6" t="n">
        <v>55010</v>
      </c>
      <c r="J711" s="6" t="n">
        <v>56948</v>
      </c>
      <c r="K711" s="6" t="n">
        <v>8623</v>
      </c>
      <c r="L711" s="6" t="n">
        <v>7575</v>
      </c>
      <c r="M711" s="6" t="n">
        <v>4069</v>
      </c>
      <c r="N711" s="6" t="n">
        <v>3560</v>
      </c>
      <c r="O711" s="6" t="n">
        <v>8098</v>
      </c>
      <c r="P711" s="6" t="n">
        <v>7482</v>
      </c>
      <c r="Q711" s="6" t="n">
        <v>5736</v>
      </c>
      <c r="R711" s="6" t="n">
        <v>5623</v>
      </c>
      <c r="S711" s="6" t="n">
        <v>4445</v>
      </c>
      <c r="T711" s="6" t="n">
        <v>5021</v>
      </c>
      <c r="U711" s="6" t="n">
        <v>8441</v>
      </c>
      <c r="V711" s="6" t="n">
        <v>8434</v>
      </c>
    </row>
    <row r="712" customFormat="false" ht="15" hidden="false" customHeight="false" outlineLevel="0" collapsed="false">
      <c r="A712" s="5" t="s">
        <v>80</v>
      </c>
      <c r="B712" s="6" t="s">
        <v>73</v>
      </c>
      <c r="C712" s="5" t="s">
        <v>63</v>
      </c>
      <c r="D712" s="5" t="s">
        <v>61</v>
      </c>
      <c r="E712" s="6" t="n">
        <v>407287</v>
      </c>
      <c r="F712" s="6" t="n">
        <v>410595</v>
      </c>
      <c r="G712" s="6" t="n">
        <v>243085</v>
      </c>
      <c r="H712" s="6" t="n">
        <v>240129</v>
      </c>
      <c r="I712" s="6" t="n">
        <v>68861</v>
      </c>
      <c r="J712" s="6" t="n">
        <v>67248</v>
      </c>
      <c r="K712" s="6" t="n">
        <v>14019</v>
      </c>
      <c r="L712" s="6" t="n">
        <v>12198</v>
      </c>
      <c r="M712" s="6" t="n">
        <v>4180</v>
      </c>
      <c r="N712" s="6" t="n">
        <v>4340</v>
      </c>
      <c r="O712" s="6" t="n">
        <v>8510</v>
      </c>
      <c r="P712" s="6" t="n">
        <v>8189</v>
      </c>
      <c r="Q712" s="6" t="n">
        <v>7961</v>
      </c>
      <c r="R712" s="6" t="n">
        <v>8203</v>
      </c>
      <c r="S712" s="6" t="n">
        <v>3461</v>
      </c>
      <c r="T712" s="6" t="n">
        <v>2796</v>
      </c>
      <c r="U712" s="6" t="n">
        <v>9400</v>
      </c>
      <c r="V712" s="6" t="n">
        <v>9207</v>
      </c>
    </row>
    <row r="713" customFormat="false" ht="15" hidden="false" customHeight="false" outlineLevel="0" collapsed="false">
      <c r="A713" s="5" t="s">
        <v>80</v>
      </c>
      <c r="B713" s="6" t="s">
        <v>73</v>
      </c>
      <c r="C713" s="5" t="s">
        <v>64</v>
      </c>
      <c r="D713" s="5" t="s">
        <v>61</v>
      </c>
      <c r="E713" s="6" t="n">
        <v>426661</v>
      </c>
      <c r="F713" s="6" t="n">
        <v>417441</v>
      </c>
      <c r="G713" s="6" t="n">
        <v>241379</v>
      </c>
      <c r="H713" s="6" t="n">
        <v>230357</v>
      </c>
      <c r="I713" s="6" t="n">
        <v>61389</v>
      </c>
      <c r="J713" s="6" t="n">
        <v>61451</v>
      </c>
      <c r="K713" s="6" t="n">
        <v>13172</v>
      </c>
      <c r="L713" s="6" t="n">
        <v>14386</v>
      </c>
      <c r="M713" s="6" t="n">
        <v>5994</v>
      </c>
      <c r="N713" s="6" t="n">
        <v>5903</v>
      </c>
      <c r="O713" s="6" t="n">
        <v>11820</v>
      </c>
      <c r="P713" s="6" t="n">
        <v>11009</v>
      </c>
      <c r="Q713" s="6" t="n">
        <v>6646</v>
      </c>
      <c r="R713" s="6" t="n">
        <v>6591</v>
      </c>
      <c r="S713" s="6" t="n">
        <v>3096</v>
      </c>
      <c r="T713" s="6" t="n">
        <v>3083</v>
      </c>
      <c r="U713" s="6" t="n">
        <v>9529</v>
      </c>
      <c r="V713" s="6" t="n">
        <v>9742</v>
      </c>
    </row>
    <row r="714" customFormat="false" ht="15" hidden="false" customHeight="false" outlineLevel="0" collapsed="false">
      <c r="A714" s="5" t="s">
        <v>80</v>
      </c>
      <c r="B714" s="6" t="s">
        <v>73</v>
      </c>
      <c r="C714" s="5" t="s">
        <v>65</v>
      </c>
      <c r="D714" s="5" t="s">
        <v>61</v>
      </c>
      <c r="E714" s="6" t="n">
        <v>439936</v>
      </c>
      <c r="F714" s="6" t="n">
        <v>419031</v>
      </c>
      <c r="G714" s="6" t="n">
        <v>263236</v>
      </c>
      <c r="H714" s="6" t="n">
        <v>258832</v>
      </c>
      <c r="I714" s="6" t="n">
        <v>68916</v>
      </c>
      <c r="J714" s="6" t="n">
        <v>71224</v>
      </c>
      <c r="K714" s="6" t="n">
        <v>10983</v>
      </c>
      <c r="L714" s="6" t="n">
        <v>9976</v>
      </c>
      <c r="M714" s="6" t="n">
        <v>3911</v>
      </c>
      <c r="N714" s="6" t="n">
        <v>3758</v>
      </c>
      <c r="O714" s="6" t="n">
        <v>10702</v>
      </c>
      <c r="P714" s="6" t="n">
        <v>11717</v>
      </c>
      <c r="Q714" s="6" t="n">
        <v>6085</v>
      </c>
      <c r="R714" s="6" t="n">
        <v>6141</v>
      </c>
      <c r="S714" s="6" t="n">
        <v>3265</v>
      </c>
      <c r="T714" s="6" t="n">
        <v>4218</v>
      </c>
      <c r="U714" s="6" t="n">
        <v>10948</v>
      </c>
      <c r="V714" s="6" t="n">
        <v>10928</v>
      </c>
    </row>
    <row r="715" customFormat="false" ht="15" hidden="false" customHeight="false" outlineLevel="0" collapsed="false">
      <c r="A715" s="5" t="s">
        <v>80</v>
      </c>
      <c r="B715" s="6" t="s">
        <v>73</v>
      </c>
      <c r="C715" s="5" t="s">
        <v>66</v>
      </c>
      <c r="D715" s="5" t="s">
        <v>61</v>
      </c>
      <c r="E715" s="6" t="n">
        <v>432715</v>
      </c>
      <c r="F715" s="6" t="n">
        <v>432147</v>
      </c>
      <c r="G715" s="6" t="n">
        <v>236148</v>
      </c>
      <c r="H715" s="6" t="n">
        <v>243404</v>
      </c>
      <c r="I715" s="6" t="n">
        <v>68675</v>
      </c>
      <c r="J715" s="6" t="n">
        <v>67229</v>
      </c>
      <c r="K715" s="6" t="n">
        <v>11841</v>
      </c>
      <c r="L715" s="6" t="n">
        <v>12205</v>
      </c>
      <c r="M715" s="6" t="n">
        <v>6160</v>
      </c>
      <c r="N715" s="6" t="n">
        <v>7879</v>
      </c>
      <c r="O715" s="6" t="n">
        <v>8940</v>
      </c>
      <c r="P715" s="6" t="n">
        <v>8948</v>
      </c>
      <c r="Q715" s="6" t="n">
        <v>7884</v>
      </c>
      <c r="R715" s="6" t="n">
        <v>8114</v>
      </c>
      <c r="S715" s="6" t="n">
        <v>3313</v>
      </c>
      <c r="T715" s="6" t="n">
        <v>2935</v>
      </c>
      <c r="U715" s="6" t="n">
        <v>12323</v>
      </c>
      <c r="V715" s="6" t="n">
        <v>11997</v>
      </c>
    </row>
    <row r="716" customFormat="false" ht="15" hidden="false" customHeight="false" outlineLevel="0" collapsed="false">
      <c r="A716" s="5" t="s">
        <v>80</v>
      </c>
      <c r="B716" s="6" t="s">
        <v>73</v>
      </c>
      <c r="C716" s="5" t="s">
        <v>67</v>
      </c>
      <c r="D716" s="5" t="s">
        <v>61</v>
      </c>
      <c r="E716" s="6" t="n">
        <v>422779</v>
      </c>
      <c r="F716" s="6" t="n">
        <v>416134</v>
      </c>
      <c r="G716" s="6" t="n">
        <v>236601</v>
      </c>
      <c r="H716" s="6" t="n">
        <v>241722</v>
      </c>
      <c r="I716" s="6" t="n">
        <v>65309</v>
      </c>
      <c r="J716" s="6" t="n">
        <v>64399</v>
      </c>
      <c r="K716" s="6" t="n">
        <v>10185</v>
      </c>
      <c r="L716" s="6" t="n">
        <v>9635</v>
      </c>
      <c r="M716" s="6" t="n">
        <v>6298</v>
      </c>
      <c r="N716" s="6" t="n">
        <v>6943</v>
      </c>
      <c r="O716" s="6" t="n">
        <v>9877</v>
      </c>
      <c r="P716" s="6" t="n">
        <v>10552</v>
      </c>
      <c r="Q716" s="6" t="n">
        <v>7258</v>
      </c>
      <c r="R716" s="6" t="n">
        <v>7590</v>
      </c>
      <c r="S716" s="6" t="n">
        <v>4053</v>
      </c>
      <c r="T716" s="6" t="n">
        <v>3535</v>
      </c>
      <c r="U716" s="6" t="n">
        <v>11556</v>
      </c>
      <c r="V716" s="6" t="n">
        <v>11719</v>
      </c>
    </row>
    <row r="717" customFormat="false" ht="15" hidden="false" customHeight="false" outlineLevel="0" collapsed="false">
      <c r="A717" s="5" t="s">
        <v>80</v>
      </c>
      <c r="B717" s="6" t="s">
        <v>73</v>
      </c>
      <c r="C717" s="5" t="s">
        <v>68</v>
      </c>
      <c r="D717" s="5" t="s">
        <v>61</v>
      </c>
      <c r="E717" s="6" t="n">
        <v>430649</v>
      </c>
      <c r="F717" s="6" t="n">
        <v>415740</v>
      </c>
      <c r="G717" s="6" t="n">
        <v>239849</v>
      </c>
      <c r="H717" s="6" t="n">
        <v>239667</v>
      </c>
      <c r="I717" s="6" t="n">
        <v>65756</v>
      </c>
      <c r="J717" s="6" t="n">
        <v>69704</v>
      </c>
      <c r="K717" s="6" t="n">
        <v>8683</v>
      </c>
      <c r="L717" s="6" t="n">
        <v>8060</v>
      </c>
      <c r="M717" s="6" t="n">
        <v>3879</v>
      </c>
      <c r="N717" s="6" t="n">
        <v>3152</v>
      </c>
      <c r="O717" s="6" t="n">
        <v>10558</v>
      </c>
      <c r="P717" s="6" t="n">
        <v>11162</v>
      </c>
      <c r="Q717" s="6" t="n">
        <v>5439</v>
      </c>
      <c r="R717" s="6" t="n">
        <v>5420</v>
      </c>
      <c r="S717" s="6" t="n">
        <v>4935</v>
      </c>
      <c r="T717" s="6" t="n">
        <v>4385</v>
      </c>
      <c r="U717" s="6" t="n">
        <v>11308</v>
      </c>
      <c r="V717" s="6" t="n">
        <v>11345</v>
      </c>
    </row>
    <row r="718" customFormat="false" ht="15" hidden="false" customHeight="false" outlineLevel="0" collapsed="false">
      <c r="A718" s="5" t="s">
        <v>80</v>
      </c>
      <c r="B718" s="6" t="s">
        <v>73</v>
      </c>
      <c r="C718" s="5" t="s">
        <v>69</v>
      </c>
      <c r="D718" s="5" t="s">
        <v>61</v>
      </c>
      <c r="E718" s="6" t="n">
        <v>452406</v>
      </c>
      <c r="F718" s="6" t="n">
        <v>438797</v>
      </c>
      <c r="G718" s="6" t="n">
        <v>247224</v>
      </c>
      <c r="H718" s="6" t="n">
        <v>237013</v>
      </c>
      <c r="I718" s="6" t="n">
        <v>67082</v>
      </c>
      <c r="J718" s="6" t="n">
        <v>70281</v>
      </c>
      <c r="K718" s="6" t="n">
        <v>12124</v>
      </c>
      <c r="L718" s="6" t="n">
        <v>10898</v>
      </c>
      <c r="M718" s="6" t="n">
        <v>4026</v>
      </c>
      <c r="N718" s="6" t="n">
        <v>5145</v>
      </c>
      <c r="O718" s="6" t="n">
        <v>8704</v>
      </c>
      <c r="P718" s="6" t="n">
        <v>9367</v>
      </c>
      <c r="Q718" s="6" t="n">
        <v>7429</v>
      </c>
      <c r="R718" s="6" t="n">
        <v>7332</v>
      </c>
      <c r="S718" s="6" t="n">
        <v>3570</v>
      </c>
      <c r="T718" s="6" t="n">
        <v>4399</v>
      </c>
      <c r="U718" s="6" t="n">
        <v>11537</v>
      </c>
      <c r="V718" s="6" t="n">
        <v>11626</v>
      </c>
    </row>
    <row r="719" customFormat="false" ht="15" hidden="false" customHeight="false" outlineLevel="0" collapsed="false">
      <c r="A719" s="5" t="s">
        <v>80</v>
      </c>
      <c r="B719" s="6" t="s">
        <v>73</v>
      </c>
      <c r="C719" s="5" t="s">
        <v>70</v>
      </c>
      <c r="D719" s="5" t="s">
        <v>61</v>
      </c>
      <c r="E719" s="6" t="n">
        <v>423981</v>
      </c>
      <c r="F719" s="6" t="n">
        <v>429363</v>
      </c>
      <c r="G719" s="6" t="n">
        <v>237258</v>
      </c>
      <c r="H719" s="6" t="n">
        <v>249632</v>
      </c>
      <c r="I719" s="6" t="n">
        <v>59797</v>
      </c>
      <c r="J719" s="6" t="n">
        <v>59864</v>
      </c>
      <c r="K719" s="6" t="n">
        <v>12077</v>
      </c>
      <c r="L719" s="6" t="n">
        <v>12325</v>
      </c>
      <c r="M719" s="6" t="n">
        <v>6013</v>
      </c>
      <c r="N719" s="6" t="n">
        <v>4978</v>
      </c>
      <c r="O719" s="6" t="n">
        <v>10673</v>
      </c>
      <c r="P719" s="6" t="n">
        <v>10072</v>
      </c>
      <c r="Q719" s="6" t="n">
        <v>5304</v>
      </c>
      <c r="R719" s="6" t="n">
        <v>5075</v>
      </c>
      <c r="S719" s="6" t="n">
        <v>2929</v>
      </c>
      <c r="T719" s="6" t="n">
        <v>3262</v>
      </c>
      <c r="U719" s="6" t="n">
        <v>12466</v>
      </c>
      <c r="V719" s="6" t="n">
        <v>12268</v>
      </c>
    </row>
    <row r="720" customFormat="false" ht="15" hidden="false" customHeight="false" outlineLevel="0" collapsed="false">
      <c r="A720" s="5" t="s">
        <v>80</v>
      </c>
      <c r="B720" s="6" t="s">
        <v>73</v>
      </c>
      <c r="C720" s="5" t="s">
        <v>71</v>
      </c>
      <c r="D720" s="5" t="s">
        <v>61</v>
      </c>
      <c r="E720" s="6" t="n">
        <v>463543</v>
      </c>
      <c r="F720" s="6" t="n">
        <v>438679</v>
      </c>
      <c r="G720" s="6" t="n">
        <v>259718</v>
      </c>
      <c r="H720" s="6" t="n">
        <v>246065</v>
      </c>
      <c r="I720" s="6" t="n">
        <v>75338</v>
      </c>
      <c r="J720" s="6" t="n">
        <v>77159</v>
      </c>
      <c r="K720" s="6" t="n">
        <v>13061</v>
      </c>
      <c r="L720" s="6" t="n">
        <v>13158</v>
      </c>
      <c r="M720" s="6" t="n">
        <v>5791</v>
      </c>
      <c r="N720" s="6" t="n">
        <v>5779</v>
      </c>
      <c r="O720" s="6" t="n">
        <v>9062</v>
      </c>
      <c r="P720" s="6" t="n">
        <v>9679</v>
      </c>
      <c r="Q720" s="6" t="n">
        <v>8582</v>
      </c>
      <c r="R720" s="6" t="n">
        <v>8538</v>
      </c>
      <c r="S720" s="6" t="n">
        <v>3102</v>
      </c>
      <c r="T720" s="6" t="n">
        <v>4178</v>
      </c>
      <c r="U720" s="6" t="n">
        <v>10480</v>
      </c>
      <c r="V720" s="6" t="n">
        <v>10316</v>
      </c>
    </row>
    <row r="721" customFormat="false" ht="15" hidden="false" customHeight="false" outlineLevel="0" collapsed="false">
      <c r="A721" s="5" t="s">
        <v>80</v>
      </c>
      <c r="B721" s="6" t="s">
        <v>73</v>
      </c>
      <c r="C721" s="5" t="s">
        <v>72</v>
      </c>
      <c r="D721" s="5" t="s">
        <v>61</v>
      </c>
      <c r="E721" s="6" t="n">
        <v>467160</v>
      </c>
      <c r="F721" s="6" t="n">
        <v>463948</v>
      </c>
      <c r="G721" s="6" t="n">
        <v>253737</v>
      </c>
      <c r="H721" s="6" t="n">
        <v>262267</v>
      </c>
      <c r="I721" s="6" t="n">
        <v>68563</v>
      </c>
      <c r="J721" s="6" t="n">
        <v>66826</v>
      </c>
      <c r="K721" s="6" t="n">
        <v>10878</v>
      </c>
      <c r="L721" s="6" t="n">
        <v>10006</v>
      </c>
      <c r="M721" s="6" t="n">
        <v>4236</v>
      </c>
      <c r="N721" s="6" t="n">
        <v>5232</v>
      </c>
      <c r="O721" s="6" t="n">
        <v>10747</v>
      </c>
      <c r="P721" s="6" t="n">
        <v>10512</v>
      </c>
      <c r="Q721" s="6" t="n">
        <v>8431</v>
      </c>
      <c r="R721" s="6" t="n">
        <v>8575</v>
      </c>
      <c r="S721" s="6" t="n">
        <v>2857</v>
      </c>
      <c r="T721" s="6" t="n">
        <v>3598</v>
      </c>
      <c r="U721" s="6" t="n">
        <v>11643</v>
      </c>
      <c r="V721" s="6" t="n">
        <v>11762</v>
      </c>
    </row>
    <row r="722" customFormat="false" ht="15" hidden="false" customHeight="false" outlineLevel="0" collapsed="false">
      <c r="A722" s="5" t="s">
        <v>80</v>
      </c>
      <c r="B722" s="6" t="s">
        <v>74</v>
      </c>
      <c r="C722" s="5" t="s">
        <v>34</v>
      </c>
      <c r="D722" s="5" t="s">
        <v>35</v>
      </c>
      <c r="E722" s="6" t="n">
        <v>363830</v>
      </c>
      <c r="F722" s="6" t="n">
        <v>359957</v>
      </c>
      <c r="G722" s="6" t="n">
        <v>201027</v>
      </c>
      <c r="H722" s="6" t="n">
        <v>202176</v>
      </c>
      <c r="I722" s="6" t="n">
        <v>51014</v>
      </c>
      <c r="J722" s="6" t="n">
        <v>53422</v>
      </c>
      <c r="K722" s="6" t="n">
        <v>10451</v>
      </c>
      <c r="L722" s="6" t="n">
        <v>10038</v>
      </c>
      <c r="M722" s="6" t="n">
        <v>5199</v>
      </c>
      <c r="N722" s="6" t="n">
        <v>4586</v>
      </c>
      <c r="O722" s="6" t="n">
        <v>7323</v>
      </c>
      <c r="P722" s="6" t="n">
        <v>7444</v>
      </c>
      <c r="Q722" s="6" t="n">
        <v>7030</v>
      </c>
      <c r="R722" s="6" t="n">
        <v>7202</v>
      </c>
      <c r="S722" s="6" t="n">
        <v>2797</v>
      </c>
      <c r="T722" s="6" t="n">
        <v>3171</v>
      </c>
      <c r="U722" s="6" t="n">
        <v>9135</v>
      </c>
      <c r="V722" s="6" t="n">
        <v>8949</v>
      </c>
    </row>
    <row r="723" customFormat="false" ht="15" hidden="false" customHeight="false" outlineLevel="0" collapsed="false">
      <c r="A723" s="5" t="s">
        <v>80</v>
      </c>
      <c r="B723" s="6" t="s">
        <v>74</v>
      </c>
      <c r="C723" s="5" t="s">
        <v>36</v>
      </c>
      <c r="D723" s="5" t="s">
        <v>35</v>
      </c>
      <c r="E723" s="6" t="n">
        <v>363704</v>
      </c>
      <c r="F723" s="6" t="n">
        <v>359067</v>
      </c>
      <c r="G723" s="6" t="n">
        <v>203699</v>
      </c>
      <c r="H723" s="6" t="n">
        <v>199793</v>
      </c>
      <c r="I723" s="6" t="n">
        <v>53759</v>
      </c>
      <c r="J723" s="6" t="n">
        <v>52851</v>
      </c>
      <c r="K723" s="6" t="n">
        <v>8831</v>
      </c>
      <c r="L723" s="6" t="n">
        <v>7583</v>
      </c>
      <c r="M723" s="6" t="n">
        <v>4446</v>
      </c>
      <c r="N723" s="6" t="n">
        <v>5005</v>
      </c>
      <c r="O723" s="6" t="n">
        <v>8408</v>
      </c>
      <c r="P723" s="6" t="n">
        <v>8349</v>
      </c>
      <c r="Q723" s="6" t="n">
        <v>4902</v>
      </c>
      <c r="R723" s="6" t="n">
        <v>4677</v>
      </c>
      <c r="S723" s="6" t="n">
        <v>3938</v>
      </c>
      <c r="T723" s="6" t="n">
        <v>4906</v>
      </c>
      <c r="U723" s="6" t="n">
        <v>10454</v>
      </c>
      <c r="V723" s="6" t="n">
        <v>10266</v>
      </c>
    </row>
    <row r="724" customFormat="false" ht="15" hidden="false" customHeight="false" outlineLevel="0" collapsed="false">
      <c r="A724" s="5" t="s">
        <v>80</v>
      </c>
      <c r="B724" s="6" t="s">
        <v>74</v>
      </c>
      <c r="C724" s="5" t="s">
        <v>37</v>
      </c>
      <c r="D724" s="5" t="s">
        <v>35</v>
      </c>
      <c r="E724" s="6" t="n">
        <v>374311</v>
      </c>
      <c r="F724" s="6" t="n">
        <v>363524</v>
      </c>
      <c r="G724" s="6" t="n">
        <v>220834</v>
      </c>
      <c r="H724" s="6" t="n">
        <v>219454</v>
      </c>
      <c r="I724" s="6" t="n">
        <v>62360</v>
      </c>
      <c r="J724" s="6" t="n">
        <v>66099</v>
      </c>
      <c r="K724" s="6" t="n">
        <v>9513</v>
      </c>
      <c r="L724" s="6" t="n">
        <v>8241</v>
      </c>
      <c r="M724" s="6" t="n">
        <v>4635</v>
      </c>
      <c r="N724" s="6" t="n">
        <v>5022</v>
      </c>
      <c r="O724" s="6" t="n">
        <v>10048</v>
      </c>
      <c r="P724" s="6" t="n">
        <v>9701</v>
      </c>
      <c r="Q724" s="6" t="n">
        <v>6022</v>
      </c>
      <c r="R724" s="6" t="n">
        <v>5908</v>
      </c>
      <c r="S724" s="6" t="n">
        <v>2732</v>
      </c>
      <c r="T724" s="6" t="n">
        <v>2482</v>
      </c>
      <c r="U724" s="6" t="n">
        <v>8736</v>
      </c>
      <c r="V724" s="6" t="n">
        <v>8736</v>
      </c>
    </row>
    <row r="725" customFormat="false" ht="15" hidden="false" customHeight="false" outlineLevel="0" collapsed="false">
      <c r="A725" s="5" t="s">
        <v>80</v>
      </c>
      <c r="B725" s="6" t="s">
        <v>74</v>
      </c>
      <c r="C725" s="5" t="s">
        <v>38</v>
      </c>
      <c r="D725" s="5" t="s">
        <v>35</v>
      </c>
      <c r="E725" s="6" t="n">
        <v>380007</v>
      </c>
      <c r="F725" s="6" t="n">
        <v>370234</v>
      </c>
      <c r="G725" s="6" t="n">
        <v>215644</v>
      </c>
      <c r="H725" s="6" t="n">
        <v>209927</v>
      </c>
      <c r="I725" s="6" t="n">
        <v>61795</v>
      </c>
      <c r="J725" s="6" t="n">
        <v>66200</v>
      </c>
      <c r="K725" s="6" t="n">
        <v>10337</v>
      </c>
      <c r="L725" s="6" t="n">
        <v>10637</v>
      </c>
      <c r="M725" s="6" t="n">
        <v>5155</v>
      </c>
      <c r="N725" s="6" t="n">
        <v>5843</v>
      </c>
      <c r="O725" s="6" t="n">
        <v>10404</v>
      </c>
      <c r="P725" s="6" t="n">
        <v>9717</v>
      </c>
      <c r="Q725" s="6" t="n">
        <v>4886</v>
      </c>
      <c r="R725" s="6" t="n">
        <v>4642</v>
      </c>
      <c r="S725" s="6" t="n">
        <v>2351</v>
      </c>
      <c r="T725" s="6" t="n">
        <v>1951</v>
      </c>
      <c r="U725" s="6" t="n">
        <v>7643</v>
      </c>
      <c r="V725" s="6" t="n">
        <v>7539</v>
      </c>
    </row>
    <row r="726" customFormat="false" ht="15" hidden="false" customHeight="false" outlineLevel="0" collapsed="false">
      <c r="A726" s="5" t="s">
        <v>80</v>
      </c>
      <c r="B726" s="6" t="s">
        <v>74</v>
      </c>
      <c r="C726" s="5" t="s">
        <v>39</v>
      </c>
      <c r="D726" s="5" t="s">
        <v>35</v>
      </c>
      <c r="E726" s="6" t="n">
        <v>363889</v>
      </c>
      <c r="F726" s="6" t="n">
        <v>366304</v>
      </c>
      <c r="G726" s="6" t="n">
        <v>212411</v>
      </c>
      <c r="H726" s="6" t="n">
        <v>224099</v>
      </c>
      <c r="I726" s="6" t="n">
        <v>52006</v>
      </c>
      <c r="J726" s="6" t="n">
        <v>52551</v>
      </c>
      <c r="K726" s="6" t="n">
        <v>10803</v>
      </c>
      <c r="L726" s="6" t="n">
        <v>12329</v>
      </c>
      <c r="M726" s="6" t="n">
        <v>4801</v>
      </c>
      <c r="N726" s="6" t="n">
        <v>4736</v>
      </c>
      <c r="O726" s="6" t="n">
        <v>7569</v>
      </c>
      <c r="P726" s="6" t="n">
        <v>7854</v>
      </c>
      <c r="Q726" s="6" t="n">
        <v>5233</v>
      </c>
      <c r="R726" s="6" t="n">
        <v>4990</v>
      </c>
      <c r="S726" s="6" t="n">
        <v>2446</v>
      </c>
      <c r="T726" s="6" t="n">
        <v>2165</v>
      </c>
      <c r="U726" s="6" t="n">
        <v>8940</v>
      </c>
      <c r="V726" s="6" t="n">
        <v>9172</v>
      </c>
    </row>
    <row r="727" customFormat="false" ht="15" hidden="false" customHeight="false" outlineLevel="0" collapsed="false">
      <c r="A727" s="5" t="s">
        <v>80</v>
      </c>
      <c r="B727" s="6" t="s">
        <v>74</v>
      </c>
      <c r="C727" s="5" t="s">
        <v>40</v>
      </c>
      <c r="D727" s="5" t="s">
        <v>35</v>
      </c>
      <c r="E727" s="6" t="n">
        <v>425815</v>
      </c>
      <c r="F727" s="6" t="n">
        <v>405635</v>
      </c>
      <c r="G727" s="6" t="n">
        <v>233014</v>
      </c>
      <c r="H727" s="6" t="n">
        <v>226772</v>
      </c>
      <c r="I727" s="6" t="n">
        <v>71781</v>
      </c>
      <c r="J727" s="6" t="n">
        <v>75887</v>
      </c>
      <c r="K727" s="6" t="n">
        <v>14139</v>
      </c>
      <c r="L727" s="6" t="n">
        <v>15972</v>
      </c>
      <c r="M727" s="6" t="n">
        <v>3927</v>
      </c>
      <c r="N727" s="6" t="n">
        <v>3363</v>
      </c>
      <c r="O727" s="6" t="n">
        <v>10751</v>
      </c>
      <c r="P727" s="6" t="n">
        <v>10772</v>
      </c>
      <c r="Q727" s="6" t="n">
        <v>8129</v>
      </c>
      <c r="R727" s="6" t="n">
        <v>8287</v>
      </c>
      <c r="S727" s="6" t="n">
        <v>3253</v>
      </c>
      <c r="T727" s="6" t="n">
        <v>2646</v>
      </c>
      <c r="U727" s="6" t="n">
        <v>10915</v>
      </c>
      <c r="V727" s="6" t="n">
        <v>10629</v>
      </c>
    </row>
    <row r="728" customFormat="false" ht="15" hidden="false" customHeight="false" outlineLevel="0" collapsed="false">
      <c r="A728" s="5" t="s">
        <v>80</v>
      </c>
      <c r="B728" s="6" t="s">
        <v>74</v>
      </c>
      <c r="C728" s="5" t="s">
        <v>41</v>
      </c>
      <c r="D728" s="5" t="s">
        <v>35</v>
      </c>
      <c r="E728" s="6" t="n">
        <v>370397</v>
      </c>
      <c r="F728" s="6" t="n">
        <v>383491</v>
      </c>
      <c r="G728" s="6" t="n">
        <v>208849</v>
      </c>
      <c r="H728" s="6" t="n">
        <v>215799</v>
      </c>
      <c r="I728" s="6" t="n">
        <v>52269</v>
      </c>
      <c r="J728" s="6" t="n">
        <v>53188</v>
      </c>
      <c r="K728" s="6" t="n">
        <v>9995</v>
      </c>
      <c r="L728" s="6" t="n">
        <v>9021</v>
      </c>
      <c r="M728" s="6" t="n">
        <v>2998</v>
      </c>
      <c r="N728" s="6" t="n">
        <v>3744</v>
      </c>
      <c r="O728" s="6" t="n">
        <v>9099</v>
      </c>
      <c r="P728" s="6" t="n">
        <v>9942</v>
      </c>
      <c r="Q728" s="6" t="n">
        <v>7042</v>
      </c>
      <c r="R728" s="6" t="n">
        <v>7190</v>
      </c>
      <c r="S728" s="6" t="n">
        <v>3820</v>
      </c>
      <c r="T728" s="6" t="n">
        <v>3521</v>
      </c>
      <c r="U728" s="6" t="n">
        <v>8398</v>
      </c>
      <c r="V728" s="6" t="n">
        <v>8484</v>
      </c>
    </row>
    <row r="729" customFormat="false" ht="15" hidden="false" customHeight="false" outlineLevel="0" collapsed="false">
      <c r="A729" s="5" t="s">
        <v>80</v>
      </c>
      <c r="B729" s="6" t="s">
        <v>74</v>
      </c>
      <c r="C729" s="5" t="s">
        <v>42</v>
      </c>
      <c r="D729" s="5" t="s">
        <v>35</v>
      </c>
      <c r="E729" s="6" t="n">
        <v>379576</v>
      </c>
      <c r="F729" s="6" t="n">
        <v>394337</v>
      </c>
      <c r="G729" s="6" t="n">
        <v>220678</v>
      </c>
      <c r="H729" s="6" t="n">
        <v>237351</v>
      </c>
      <c r="I729" s="6" t="n">
        <v>64481</v>
      </c>
      <c r="J729" s="6" t="n">
        <v>62860</v>
      </c>
      <c r="K729" s="6" t="n">
        <v>10798</v>
      </c>
      <c r="L729" s="6" t="n">
        <v>11954</v>
      </c>
      <c r="M729" s="6" t="n">
        <v>4522</v>
      </c>
      <c r="N729" s="6" t="n">
        <v>5207</v>
      </c>
      <c r="O729" s="6" t="n">
        <v>9838</v>
      </c>
      <c r="P729" s="6" t="n">
        <v>10318</v>
      </c>
      <c r="Q729" s="6" t="n">
        <v>6810</v>
      </c>
      <c r="R729" s="6" t="n">
        <v>6665</v>
      </c>
      <c r="S729" s="6" t="n">
        <v>2479</v>
      </c>
      <c r="T729" s="6" t="n">
        <v>2530</v>
      </c>
      <c r="U729" s="6" t="n">
        <v>10707</v>
      </c>
      <c r="V729" s="6" t="n">
        <v>10736</v>
      </c>
    </row>
    <row r="730" customFormat="false" ht="15" hidden="false" customHeight="false" outlineLevel="0" collapsed="false">
      <c r="A730" s="5" t="s">
        <v>80</v>
      </c>
      <c r="B730" s="6" t="s">
        <v>74</v>
      </c>
      <c r="C730" s="5" t="s">
        <v>43</v>
      </c>
      <c r="D730" s="5" t="s">
        <v>35</v>
      </c>
      <c r="E730" s="6" t="n">
        <v>446776</v>
      </c>
      <c r="F730" s="6" t="n">
        <v>426224</v>
      </c>
      <c r="G730" s="6" t="n">
        <v>260726</v>
      </c>
      <c r="H730" s="6" t="n">
        <v>251732</v>
      </c>
      <c r="I730" s="6" t="n">
        <v>66847</v>
      </c>
      <c r="J730" s="6" t="n">
        <v>69543</v>
      </c>
      <c r="K730" s="6" t="n">
        <v>11663</v>
      </c>
      <c r="L730" s="6" t="n">
        <v>11944</v>
      </c>
      <c r="M730" s="6" t="n">
        <v>4738</v>
      </c>
      <c r="N730" s="6" t="n">
        <v>6120</v>
      </c>
      <c r="O730" s="6" t="n">
        <v>11470</v>
      </c>
      <c r="P730" s="6" t="n">
        <v>10857</v>
      </c>
      <c r="Q730" s="6" t="n">
        <v>7766</v>
      </c>
      <c r="R730" s="6" t="n">
        <v>8068</v>
      </c>
      <c r="S730" s="6" t="n">
        <v>4492</v>
      </c>
      <c r="T730" s="6" t="n">
        <v>4693</v>
      </c>
      <c r="U730" s="6" t="n">
        <v>13231</v>
      </c>
      <c r="V730" s="6" t="n">
        <v>12903</v>
      </c>
    </row>
    <row r="731" customFormat="false" ht="15" hidden="false" customHeight="false" outlineLevel="0" collapsed="false">
      <c r="A731" s="5" t="s">
        <v>80</v>
      </c>
      <c r="B731" s="6" t="s">
        <v>74</v>
      </c>
      <c r="C731" s="5" t="s">
        <v>44</v>
      </c>
      <c r="D731" s="5" t="s">
        <v>35</v>
      </c>
      <c r="E731" s="6" t="n">
        <v>378724</v>
      </c>
      <c r="F731" s="6" t="n">
        <v>395941</v>
      </c>
      <c r="G731" s="6" t="n">
        <v>225524</v>
      </c>
      <c r="H731" s="6" t="n">
        <v>240636</v>
      </c>
      <c r="I731" s="6" t="n">
        <v>58143</v>
      </c>
      <c r="J731" s="6" t="n">
        <v>59847</v>
      </c>
      <c r="K731" s="6" t="n">
        <v>11439</v>
      </c>
      <c r="L731" s="6" t="n">
        <v>12776</v>
      </c>
      <c r="M731" s="6" t="n">
        <v>3940</v>
      </c>
      <c r="N731" s="6" t="n">
        <v>4961</v>
      </c>
      <c r="O731" s="6" t="n">
        <v>10539</v>
      </c>
      <c r="P731" s="6" t="n">
        <v>9971</v>
      </c>
      <c r="Q731" s="6" t="n">
        <v>5580</v>
      </c>
      <c r="R731" s="6" t="n">
        <v>5654</v>
      </c>
      <c r="S731" s="6" t="n">
        <v>3965</v>
      </c>
      <c r="T731" s="6" t="n">
        <v>5197</v>
      </c>
      <c r="U731" s="6" t="n">
        <v>9747</v>
      </c>
      <c r="V731" s="6" t="n">
        <v>10026</v>
      </c>
    </row>
    <row r="732" customFormat="false" ht="15" hidden="false" customHeight="false" outlineLevel="0" collapsed="false">
      <c r="A732" s="5" t="s">
        <v>80</v>
      </c>
      <c r="B732" s="6" t="s">
        <v>74</v>
      </c>
      <c r="C732" s="5" t="s">
        <v>45</v>
      </c>
      <c r="D732" s="5" t="s">
        <v>35</v>
      </c>
      <c r="E732" s="6" t="n">
        <v>420164</v>
      </c>
      <c r="F732" s="6" t="n">
        <v>404407</v>
      </c>
      <c r="G732" s="6" t="n">
        <v>236880</v>
      </c>
      <c r="H732" s="6" t="n">
        <v>236559</v>
      </c>
      <c r="I732" s="6" t="n">
        <v>69924</v>
      </c>
      <c r="J732" s="6" t="n">
        <v>75445</v>
      </c>
      <c r="K732" s="6" t="n">
        <v>11832</v>
      </c>
      <c r="L732" s="6" t="n">
        <v>11901</v>
      </c>
      <c r="M732" s="6" t="n">
        <v>5054</v>
      </c>
      <c r="N732" s="6" t="n">
        <v>4687</v>
      </c>
      <c r="O732" s="6" t="n">
        <v>9876</v>
      </c>
      <c r="P732" s="6" t="n">
        <v>10761</v>
      </c>
      <c r="Q732" s="6" t="n">
        <v>7528</v>
      </c>
      <c r="R732" s="6" t="n">
        <v>7667</v>
      </c>
      <c r="S732" s="6" t="n">
        <v>4507</v>
      </c>
      <c r="T732" s="6" t="n">
        <v>4928</v>
      </c>
      <c r="U732" s="6" t="n">
        <v>9771</v>
      </c>
      <c r="V732" s="6" t="n">
        <v>9968</v>
      </c>
    </row>
    <row r="733" customFormat="false" ht="15" hidden="false" customHeight="false" outlineLevel="0" collapsed="false">
      <c r="A733" s="5" t="s">
        <v>80</v>
      </c>
      <c r="B733" s="6" t="s">
        <v>74</v>
      </c>
      <c r="C733" s="5" t="s">
        <v>46</v>
      </c>
      <c r="D733" s="5" t="s">
        <v>35</v>
      </c>
      <c r="E733" s="6" t="n">
        <v>460027</v>
      </c>
      <c r="F733" s="6" t="n">
        <v>437109</v>
      </c>
      <c r="G733" s="6" t="n">
        <v>262854</v>
      </c>
      <c r="H733" s="6" t="n">
        <v>258924</v>
      </c>
      <c r="I733" s="6" t="n">
        <v>67427</v>
      </c>
      <c r="J733" s="6" t="n">
        <v>68009</v>
      </c>
      <c r="K733" s="6" t="n">
        <v>12016</v>
      </c>
      <c r="L733" s="6" t="n">
        <v>12923</v>
      </c>
      <c r="M733" s="6" t="n">
        <v>4023</v>
      </c>
      <c r="N733" s="6" t="n">
        <v>4507</v>
      </c>
      <c r="O733" s="6" t="n">
        <v>10367</v>
      </c>
      <c r="P733" s="6" t="n">
        <v>11095</v>
      </c>
      <c r="Q733" s="6" t="n">
        <v>8815</v>
      </c>
      <c r="R733" s="6" t="n">
        <v>8540</v>
      </c>
      <c r="S733" s="6" t="n">
        <v>2762</v>
      </c>
      <c r="T733" s="6" t="n">
        <v>3525</v>
      </c>
      <c r="U733" s="6" t="n">
        <v>11521</v>
      </c>
      <c r="V733" s="6" t="n">
        <v>11250</v>
      </c>
    </row>
    <row r="734" customFormat="false" ht="15" hidden="false" customHeight="false" outlineLevel="0" collapsed="false">
      <c r="A734" s="5" t="s">
        <v>80</v>
      </c>
      <c r="B734" s="6" t="s">
        <v>74</v>
      </c>
      <c r="C734" s="5" t="s">
        <v>47</v>
      </c>
      <c r="D734" s="5" t="s">
        <v>48</v>
      </c>
      <c r="E734" s="6" t="n">
        <v>383514</v>
      </c>
      <c r="F734" s="6" t="n">
        <v>404267</v>
      </c>
      <c r="G734" s="6" t="n">
        <v>228960</v>
      </c>
      <c r="H734" s="6" t="n">
        <v>238153</v>
      </c>
      <c r="I734" s="6" t="n">
        <v>58365</v>
      </c>
      <c r="J734" s="6" t="n">
        <v>61912</v>
      </c>
      <c r="K734" s="6" t="n">
        <v>10788</v>
      </c>
      <c r="L734" s="6" t="n">
        <v>9482</v>
      </c>
      <c r="M734" s="6" t="n">
        <v>5255</v>
      </c>
      <c r="N734" s="6" t="n">
        <v>4266</v>
      </c>
      <c r="O734" s="6" t="n">
        <v>7023</v>
      </c>
      <c r="P734" s="6" t="n">
        <v>6614</v>
      </c>
      <c r="Q734" s="6" t="n">
        <v>5172</v>
      </c>
      <c r="R734" s="6" t="n">
        <v>5315</v>
      </c>
      <c r="S734" s="6" t="n">
        <v>2465</v>
      </c>
      <c r="T734" s="6" t="n">
        <v>2347</v>
      </c>
      <c r="U734" s="6" t="n">
        <v>11318</v>
      </c>
      <c r="V734" s="6" t="n">
        <v>11265</v>
      </c>
    </row>
    <row r="735" customFormat="false" ht="15" hidden="false" customHeight="false" outlineLevel="0" collapsed="false">
      <c r="A735" s="5" t="s">
        <v>80</v>
      </c>
      <c r="B735" s="6" t="s">
        <v>74</v>
      </c>
      <c r="C735" s="5" t="s">
        <v>49</v>
      </c>
      <c r="D735" s="5" t="s">
        <v>48</v>
      </c>
      <c r="E735" s="6" t="n">
        <v>401088</v>
      </c>
      <c r="F735" s="6" t="n">
        <v>405812</v>
      </c>
      <c r="G735" s="6" t="n">
        <v>233381</v>
      </c>
      <c r="H735" s="6" t="n">
        <v>234105</v>
      </c>
      <c r="I735" s="6" t="n">
        <v>60818</v>
      </c>
      <c r="J735" s="6" t="n">
        <v>60388</v>
      </c>
      <c r="K735" s="6" t="n">
        <v>10600</v>
      </c>
      <c r="L735" s="6" t="n">
        <v>10885</v>
      </c>
      <c r="M735" s="6" t="n">
        <v>4552</v>
      </c>
      <c r="N735" s="6" t="n">
        <v>5041</v>
      </c>
      <c r="O735" s="6" t="n">
        <v>7388</v>
      </c>
      <c r="P735" s="6" t="n">
        <v>7450</v>
      </c>
      <c r="Q735" s="6" t="n">
        <v>4914</v>
      </c>
      <c r="R735" s="6" t="n">
        <v>4825</v>
      </c>
      <c r="S735" s="6" t="n">
        <v>2481</v>
      </c>
      <c r="T735" s="6" t="n">
        <v>3028</v>
      </c>
      <c r="U735" s="6" t="n">
        <v>11476</v>
      </c>
      <c r="V735" s="6" t="n">
        <v>11396</v>
      </c>
    </row>
    <row r="736" customFormat="false" ht="15" hidden="false" customHeight="false" outlineLevel="0" collapsed="false">
      <c r="A736" s="5" t="s">
        <v>80</v>
      </c>
      <c r="B736" s="6" t="s">
        <v>74</v>
      </c>
      <c r="C736" s="5" t="s">
        <v>50</v>
      </c>
      <c r="D736" s="5" t="s">
        <v>48</v>
      </c>
      <c r="E736" s="6" t="n">
        <v>390544</v>
      </c>
      <c r="F736" s="6" t="n">
        <v>410338</v>
      </c>
      <c r="G736" s="6" t="n">
        <v>227029</v>
      </c>
      <c r="H736" s="6" t="n">
        <v>243054</v>
      </c>
      <c r="I736" s="6" t="n">
        <v>58789</v>
      </c>
      <c r="J736" s="6" t="n">
        <v>63307</v>
      </c>
      <c r="K736" s="6" t="n">
        <v>10683</v>
      </c>
      <c r="L736" s="6" t="n">
        <v>9168</v>
      </c>
      <c r="M736" s="6" t="n">
        <v>3230</v>
      </c>
      <c r="N736" s="6" t="n">
        <v>3371</v>
      </c>
      <c r="O736" s="6" t="n">
        <v>10568</v>
      </c>
      <c r="P736" s="6" t="n">
        <v>10626</v>
      </c>
      <c r="Q736" s="6" t="n">
        <v>6385</v>
      </c>
      <c r="R736" s="6" t="n">
        <v>6119</v>
      </c>
      <c r="S736" s="6" t="n">
        <v>4040</v>
      </c>
      <c r="T736" s="6" t="n">
        <v>4967</v>
      </c>
      <c r="U736" s="6" t="n">
        <v>11413</v>
      </c>
      <c r="V736" s="6" t="n">
        <v>11382</v>
      </c>
    </row>
    <row r="737" customFormat="false" ht="15" hidden="false" customHeight="false" outlineLevel="0" collapsed="false">
      <c r="A737" s="5" t="s">
        <v>80</v>
      </c>
      <c r="B737" s="6" t="s">
        <v>74</v>
      </c>
      <c r="C737" s="5" t="s">
        <v>51</v>
      </c>
      <c r="D737" s="5" t="s">
        <v>48</v>
      </c>
      <c r="E737" s="6" t="n">
        <v>405410</v>
      </c>
      <c r="F737" s="6" t="n">
        <v>418395</v>
      </c>
      <c r="G737" s="6" t="n">
        <v>242857</v>
      </c>
      <c r="H737" s="6" t="n">
        <v>242986</v>
      </c>
      <c r="I737" s="6" t="n">
        <v>60525</v>
      </c>
      <c r="J737" s="6" t="n">
        <v>63883</v>
      </c>
      <c r="K737" s="6" t="n">
        <v>13305</v>
      </c>
      <c r="L737" s="6" t="n">
        <v>12174</v>
      </c>
      <c r="M737" s="6" t="n">
        <v>4409</v>
      </c>
      <c r="N737" s="6" t="n">
        <v>3550</v>
      </c>
      <c r="O737" s="6" t="n">
        <v>7818</v>
      </c>
      <c r="P737" s="6" t="n">
        <v>8407</v>
      </c>
      <c r="Q737" s="6" t="n">
        <v>7397</v>
      </c>
      <c r="R737" s="6" t="n">
        <v>7719</v>
      </c>
      <c r="S737" s="6" t="n">
        <v>3514</v>
      </c>
      <c r="T737" s="6" t="n">
        <v>3870</v>
      </c>
      <c r="U737" s="6" t="n">
        <v>9986</v>
      </c>
      <c r="V737" s="6" t="n">
        <v>10104</v>
      </c>
    </row>
    <row r="738" customFormat="false" ht="15" hidden="false" customHeight="false" outlineLevel="0" collapsed="false">
      <c r="A738" s="5" t="s">
        <v>80</v>
      </c>
      <c r="B738" s="6" t="s">
        <v>74</v>
      </c>
      <c r="C738" s="5" t="s">
        <v>52</v>
      </c>
      <c r="D738" s="5" t="s">
        <v>48</v>
      </c>
      <c r="E738" s="6" t="n">
        <v>441958</v>
      </c>
      <c r="F738" s="6" t="n">
        <v>420513</v>
      </c>
      <c r="G738" s="6" t="n">
        <v>255992</v>
      </c>
      <c r="H738" s="6" t="n">
        <v>236184</v>
      </c>
      <c r="I738" s="6" t="n">
        <v>69639</v>
      </c>
      <c r="J738" s="6" t="n">
        <v>72898</v>
      </c>
      <c r="K738" s="6" t="n">
        <v>12095</v>
      </c>
      <c r="L738" s="6" t="n">
        <v>13555</v>
      </c>
      <c r="M738" s="6" t="n">
        <v>4443</v>
      </c>
      <c r="N738" s="6" t="n">
        <v>3916</v>
      </c>
      <c r="O738" s="6" t="n">
        <v>9238</v>
      </c>
      <c r="P738" s="6" t="n">
        <v>9050</v>
      </c>
      <c r="Q738" s="6" t="n">
        <v>5691</v>
      </c>
      <c r="R738" s="6" t="n">
        <v>5495</v>
      </c>
      <c r="S738" s="6" t="n">
        <v>4872</v>
      </c>
      <c r="T738" s="6" t="n">
        <v>4480</v>
      </c>
      <c r="U738" s="6" t="n">
        <v>10988</v>
      </c>
      <c r="V738" s="6" t="n">
        <v>10662</v>
      </c>
    </row>
    <row r="739" customFormat="false" ht="15" hidden="false" customHeight="false" outlineLevel="0" collapsed="false">
      <c r="A739" s="5" t="s">
        <v>80</v>
      </c>
      <c r="B739" s="6" t="s">
        <v>74</v>
      </c>
      <c r="C739" s="5" t="s">
        <v>53</v>
      </c>
      <c r="D739" s="5" t="s">
        <v>48</v>
      </c>
      <c r="E739" s="6" t="n">
        <v>478875</v>
      </c>
      <c r="F739" s="6" t="n">
        <v>461871</v>
      </c>
      <c r="G739" s="6" t="n">
        <v>284607</v>
      </c>
      <c r="H739" s="6" t="n">
        <v>283103</v>
      </c>
      <c r="I739" s="6" t="n">
        <v>67673</v>
      </c>
      <c r="J739" s="6" t="n">
        <v>67003</v>
      </c>
      <c r="K739" s="6" t="n">
        <v>12020</v>
      </c>
      <c r="L739" s="6" t="n">
        <v>12680</v>
      </c>
      <c r="M739" s="6" t="n">
        <v>6665</v>
      </c>
      <c r="N739" s="6" t="n">
        <v>6094</v>
      </c>
      <c r="O739" s="6" t="n">
        <v>10749</v>
      </c>
      <c r="P739" s="6" t="n">
        <v>11245</v>
      </c>
      <c r="Q739" s="6" t="n">
        <v>9239</v>
      </c>
      <c r="R739" s="6" t="n">
        <v>8871</v>
      </c>
      <c r="S739" s="6" t="n">
        <v>3273</v>
      </c>
      <c r="T739" s="6" t="n">
        <v>4072</v>
      </c>
      <c r="U739" s="6" t="n">
        <v>14111</v>
      </c>
      <c r="V739" s="6" t="n">
        <v>14164</v>
      </c>
    </row>
    <row r="740" customFormat="false" ht="15" hidden="false" customHeight="false" outlineLevel="0" collapsed="false">
      <c r="A740" s="5" t="s">
        <v>80</v>
      </c>
      <c r="B740" s="6" t="s">
        <v>74</v>
      </c>
      <c r="C740" s="5" t="s">
        <v>54</v>
      </c>
      <c r="D740" s="5" t="s">
        <v>48</v>
      </c>
      <c r="E740" s="6" t="n">
        <v>425344</v>
      </c>
      <c r="F740" s="6" t="n">
        <v>432260</v>
      </c>
      <c r="G740" s="6" t="n">
        <v>247523</v>
      </c>
      <c r="H740" s="6" t="n">
        <v>243346</v>
      </c>
      <c r="I740" s="6" t="n">
        <v>66250</v>
      </c>
      <c r="J740" s="6" t="n">
        <v>69319</v>
      </c>
      <c r="K740" s="6" t="n">
        <v>12557</v>
      </c>
      <c r="L740" s="6" t="n">
        <v>11074</v>
      </c>
      <c r="M740" s="6" t="n">
        <v>4813</v>
      </c>
      <c r="N740" s="6" t="n">
        <v>4522</v>
      </c>
      <c r="O740" s="6" t="n">
        <v>10027</v>
      </c>
      <c r="P740" s="6" t="n">
        <v>9987</v>
      </c>
      <c r="Q740" s="6" t="n">
        <v>5326</v>
      </c>
      <c r="R740" s="6" t="n">
        <v>5200</v>
      </c>
      <c r="S740" s="6" t="n">
        <v>4973</v>
      </c>
      <c r="T740" s="6" t="n">
        <v>5046</v>
      </c>
      <c r="U740" s="6" t="n">
        <v>10214</v>
      </c>
      <c r="V740" s="6" t="n">
        <v>10471</v>
      </c>
    </row>
    <row r="741" customFormat="false" ht="15" hidden="false" customHeight="false" outlineLevel="0" collapsed="false">
      <c r="A741" s="5" t="s">
        <v>80</v>
      </c>
      <c r="B741" s="6" t="s">
        <v>74</v>
      </c>
      <c r="C741" s="5" t="s">
        <v>55</v>
      </c>
      <c r="D741" s="5" t="s">
        <v>48</v>
      </c>
      <c r="E741" s="6" t="n">
        <v>463484</v>
      </c>
      <c r="F741" s="6" t="n">
        <v>443498</v>
      </c>
      <c r="G741" s="6" t="n">
        <v>253647</v>
      </c>
      <c r="H741" s="6" t="n">
        <v>237431</v>
      </c>
      <c r="I741" s="6" t="n">
        <v>72819</v>
      </c>
      <c r="J741" s="6" t="n">
        <v>75958</v>
      </c>
      <c r="K741" s="6" t="n">
        <v>12371</v>
      </c>
      <c r="L741" s="6" t="n">
        <v>14214</v>
      </c>
      <c r="M741" s="6" t="n">
        <v>4919</v>
      </c>
      <c r="N741" s="6" t="n">
        <v>4582</v>
      </c>
      <c r="O741" s="6" t="n">
        <v>8652</v>
      </c>
      <c r="P741" s="6" t="n">
        <v>9190</v>
      </c>
      <c r="Q741" s="6" t="n">
        <v>6250</v>
      </c>
      <c r="R741" s="6" t="n">
        <v>6196</v>
      </c>
      <c r="S741" s="6" t="n">
        <v>4337</v>
      </c>
      <c r="T741" s="6" t="n">
        <v>4074</v>
      </c>
      <c r="U741" s="6" t="n">
        <v>9953</v>
      </c>
      <c r="V741" s="6" t="n">
        <v>9734</v>
      </c>
    </row>
    <row r="742" customFormat="false" ht="15" hidden="false" customHeight="false" outlineLevel="0" collapsed="false">
      <c r="A742" s="5" t="s">
        <v>80</v>
      </c>
      <c r="B742" s="6" t="s">
        <v>74</v>
      </c>
      <c r="C742" s="5" t="s">
        <v>56</v>
      </c>
      <c r="D742" s="5" t="s">
        <v>48</v>
      </c>
      <c r="E742" s="6" t="n">
        <v>457196</v>
      </c>
      <c r="F742" s="6" t="n">
        <v>485685</v>
      </c>
      <c r="G742" s="6" t="n">
        <v>248532</v>
      </c>
      <c r="H742" s="6" t="n">
        <v>273443</v>
      </c>
      <c r="I742" s="6" t="n">
        <v>65554</v>
      </c>
      <c r="J742" s="6" t="n">
        <v>68389</v>
      </c>
      <c r="K742" s="6" t="n">
        <v>13160</v>
      </c>
      <c r="L742" s="6" t="n">
        <v>11221</v>
      </c>
      <c r="M742" s="6" t="n">
        <v>6475</v>
      </c>
      <c r="N742" s="6" t="n">
        <v>5624</v>
      </c>
      <c r="O742" s="6" t="n">
        <v>12439</v>
      </c>
      <c r="P742" s="6" t="n">
        <v>13371</v>
      </c>
      <c r="Q742" s="6" t="n">
        <v>8417</v>
      </c>
      <c r="R742" s="6" t="n">
        <v>8155</v>
      </c>
      <c r="S742" s="6" t="n">
        <v>4046</v>
      </c>
      <c r="T742" s="6" t="n">
        <v>4399</v>
      </c>
      <c r="U742" s="6" t="n">
        <v>9597</v>
      </c>
      <c r="V742" s="6" t="n">
        <v>9532</v>
      </c>
    </row>
    <row r="743" customFormat="false" ht="15" hidden="false" customHeight="false" outlineLevel="0" collapsed="false">
      <c r="A743" s="5" t="s">
        <v>80</v>
      </c>
      <c r="B743" s="6" t="s">
        <v>74</v>
      </c>
      <c r="C743" s="5" t="s">
        <v>57</v>
      </c>
      <c r="D743" s="5" t="s">
        <v>48</v>
      </c>
      <c r="E743" s="6" t="n">
        <v>460384</v>
      </c>
      <c r="F743" s="6" t="n">
        <v>458108</v>
      </c>
      <c r="G743" s="6" t="n">
        <v>270813</v>
      </c>
      <c r="H743" s="6" t="n">
        <v>263658</v>
      </c>
      <c r="I743" s="6" t="n">
        <v>66207</v>
      </c>
      <c r="J743" s="6" t="n">
        <v>67934</v>
      </c>
      <c r="K743" s="6" t="n">
        <v>15155</v>
      </c>
      <c r="L743" s="6" t="n">
        <v>13191</v>
      </c>
      <c r="M743" s="6" t="n">
        <v>5338</v>
      </c>
      <c r="N743" s="6" t="n">
        <v>6906</v>
      </c>
      <c r="O743" s="6" t="n">
        <v>10893</v>
      </c>
      <c r="P743" s="6" t="n">
        <v>10506</v>
      </c>
      <c r="Q743" s="6" t="n">
        <v>8299</v>
      </c>
      <c r="R743" s="6" t="n">
        <v>8581</v>
      </c>
      <c r="S743" s="6" t="n">
        <v>3761</v>
      </c>
      <c r="T743" s="6" t="n">
        <v>3517</v>
      </c>
      <c r="U743" s="6" t="n">
        <v>10416</v>
      </c>
      <c r="V743" s="6" t="n">
        <v>10141</v>
      </c>
    </row>
    <row r="744" customFormat="false" ht="15" hidden="false" customHeight="false" outlineLevel="0" collapsed="false">
      <c r="A744" s="5" t="s">
        <v>80</v>
      </c>
      <c r="B744" s="6" t="s">
        <v>74</v>
      </c>
      <c r="C744" s="5" t="s">
        <v>58</v>
      </c>
      <c r="D744" s="5" t="s">
        <v>48</v>
      </c>
      <c r="E744" s="6" t="n">
        <v>481751</v>
      </c>
      <c r="F744" s="6" t="n">
        <v>461235</v>
      </c>
      <c r="G744" s="6" t="n">
        <v>282710</v>
      </c>
      <c r="H744" s="6" t="n">
        <v>262083</v>
      </c>
      <c r="I744" s="6" t="n">
        <v>77152</v>
      </c>
      <c r="J744" s="6" t="n">
        <v>82737</v>
      </c>
      <c r="K744" s="6" t="n">
        <v>12459</v>
      </c>
      <c r="L744" s="6" t="n">
        <v>12857</v>
      </c>
      <c r="M744" s="6" t="n">
        <v>6778</v>
      </c>
      <c r="N744" s="6" t="n">
        <v>7959</v>
      </c>
      <c r="O744" s="6" t="n">
        <v>9285</v>
      </c>
      <c r="P744" s="6" t="n">
        <v>9570</v>
      </c>
      <c r="Q744" s="6" t="n">
        <v>8827</v>
      </c>
      <c r="R744" s="6" t="n">
        <v>9170</v>
      </c>
      <c r="S744" s="6" t="n">
        <v>4758</v>
      </c>
      <c r="T744" s="6" t="n">
        <v>5963</v>
      </c>
      <c r="U744" s="6" t="n">
        <v>10393</v>
      </c>
      <c r="V744" s="6" t="n">
        <v>10455</v>
      </c>
    </row>
    <row r="745" customFormat="false" ht="15" hidden="false" customHeight="false" outlineLevel="0" collapsed="false">
      <c r="A745" s="5" t="s">
        <v>80</v>
      </c>
      <c r="B745" s="6" t="s">
        <v>74</v>
      </c>
      <c r="C745" s="5" t="s">
        <v>59</v>
      </c>
      <c r="D745" s="5" t="s">
        <v>48</v>
      </c>
      <c r="E745" s="6" t="n">
        <v>513097</v>
      </c>
      <c r="F745" s="6" t="n">
        <v>496815</v>
      </c>
      <c r="G745" s="6" t="n">
        <v>290395</v>
      </c>
      <c r="H745" s="6" t="n">
        <v>272011</v>
      </c>
      <c r="I745" s="6" t="n">
        <v>72855</v>
      </c>
      <c r="J745" s="6" t="n">
        <v>71349</v>
      </c>
      <c r="K745" s="6" t="n">
        <v>17124</v>
      </c>
      <c r="L745" s="6" t="n">
        <v>15303</v>
      </c>
      <c r="M745" s="6" t="n">
        <v>6408</v>
      </c>
      <c r="N745" s="6" t="n">
        <v>6310</v>
      </c>
      <c r="O745" s="6" t="n">
        <v>11254</v>
      </c>
      <c r="P745" s="6" t="n">
        <v>11295</v>
      </c>
      <c r="Q745" s="6" t="n">
        <v>9469</v>
      </c>
      <c r="R745" s="6" t="n">
        <v>9864</v>
      </c>
      <c r="S745" s="6" t="n">
        <v>4013</v>
      </c>
      <c r="T745" s="6" t="n">
        <v>4499</v>
      </c>
      <c r="U745" s="6" t="n">
        <v>11940</v>
      </c>
      <c r="V745" s="6" t="n">
        <v>11803</v>
      </c>
    </row>
    <row r="746" customFormat="false" ht="15" hidden="false" customHeight="false" outlineLevel="0" collapsed="false">
      <c r="A746" s="5" t="s">
        <v>80</v>
      </c>
      <c r="B746" s="6" t="s">
        <v>74</v>
      </c>
      <c r="C746" s="5" t="s">
        <v>60</v>
      </c>
      <c r="D746" s="5" t="s">
        <v>61</v>
      </c>
      <c r="E746" s="6" t="n">
        <v>475131</v>
      </c>
      <c r="F746" s="6" t="n">
        <v>474480</v>
      </c>
      <c r="G746" s="6" t="n">
        <v>267577</v>
      </c>
      <c r="H746" s="6" t="n">
        <v>278389</v>
      </c>
      <c r="I746" s="6" t="n">
        <v>76331</v>
      </c>
      <c r="J746" s="6" t="n">
        <v>79879</v>
      </c>
      <c r="K746" s="6" t="n">
        <v>16084</v>
      </c>
      <c r="L746" s="6" t="n">
        <v>16592</v>
      </c>
      <c r="M746" s="6" t="n">
        <v>6000</v>
      </c>
      <c r="N746" s="6" t="n">
        <v>6522</v>
      </c>
      <c r="O746" s="6" t="n">
        <v>10782</v>
      </c>
      <c r="P746" s="6" t="n">
        <v>10096</v>
      </c>
      <c r="Q746" s="6" t="n">
        <v>7563</v>
      </c>
      <c r="R746" s="6" t="n">
        <v>7444</v>
      </c>
      <c r="S746" s="6" t="n">
        <v>4325</v>
      </c>
      <c r="T746" s="6" t="n">
        <v>5098</v>
      </c>
      <c r="U746" s="6" t="n">
        <v>10698</v>
      </c>
      <c r="V746" s="6" t="n">
        <v>10549</v>
      </c>
    </row>
    <row r="747" customFormat="false" ht="15" hidden="false" customHeight="false" outlineLevel="0" collapsed="false">
      <c r="A747" s="5" t="s">
        <v>80</v>
      </c>
      <c r="B747" s="6" t="s">
        <v>74</v>
      </c>
      <c r="C747" s="5" t="s">
        <v>62</v>
      </c>
      <c r="D747" s="5" t="s">
        <v>61</v>
      </c>
      <c r="E747" s="6" t="n">
        <v>462620</v>
      </c>
      <c r="F747" s="6" t="n">
        <v>474641</v>
      </c>
      <c r="G747" s="6" t="n">
        <v>264069</v>
      </c>
      <c r="H747" s="6" t="n">
        <v>268867</v>
      </c>
      <c r="I747" s="6" t="n">
        <v>77338</v>
      </c>
      <c r="J747" s="6" t="n">
        <v>82736</v>
      </c>
      <c r="K747" s="6" t="n">
        <v>13180</v>
      </c>
      <c r="L747" s="6" t="n">
        <v>12581</v>
      </c>
      <c r="M747" s="6" t="n">
        <v>4693</v>
      </c>
      <c r="N747" s="6" t="n">
        <v>5692</v>
      </c>
      <c r="O747" s="6" t="n">
        <v>10722</v>
      </c>
      <c r="P747" s="6" t="n">
        <v>10658</v>
      </c>
      <c r="Q747" s="6" t="n">
        <v>6528</v>
      </c>
      <c r="R747" s="6" t="n">
        <v>6478</v>
      </c>
      <c r="S747" s="6" t="n">
        <v>4605</v>
      </c>
      <c r="T747" s="6" t="n">
        <v>5807</v>
      </c>
      <c r="U747" s="6" t="n">
        <v>13372</v>
      </c>
      <c r="V747" s="6" t="n">
        <v>13083</v>
      </c>
    </row>
    <row r="748" customFormat="false" ht="15" hidden="false" customHeight="false" outlineLevel="0" collapsed="false">
      <c r="A748" s="5" t="s">
        <v>80</v>
      </c>
      <c r="B748" s="6" t="s">
        <v>74</v>
      </c>
      <c r="C748" s="5" t="s">
        <v>63</v>
      </c>
      <c r="D748" s="5" t="s">
        <v>61</v>
      </c>
      <c r="E748" s="6" t="n">
        <v>472446</v>
      </c>
      <c r="F748" s="6" t="n">
        <v>484360</v>
      </c>
      <c r="G748" s="6" t="n">
        <v>274598</v>
      </c>
      <c r="H748" s="6" t="n">
        <v>280590</v>
      </c>
      <c r="I748" s="6" t="n">
        <v>73835</v>
      </c>
      <c r="J748" s="6" t="n">
        <v>74228</v>
      </c>
      <c r="K748" s="6" t="n">
        <v>15104</v>
      </c>
      <c r="L748" s="6" t="n">
        <v>15474</v>
      </c>
      <c r="M748" s="6" t="n">
        <v>4353</v>
      </c>
      <c r="N748" s="6" t="n">
        <v>5059</v>
      </c>
      <c r="O748" s="6" t="n">
        <v>12643</v>
      </c>
      <c r="P748" s="6" t="n">
        <v>13085</v>
      </c>
      <c r="Q748" s="6" t="n">
        <v>6447</v>
      </c>
      <c r="R748" s="6" t="n">
        <v>6634</v>
      </c>
      <c r="S748" s="6" t="n">
        <v>5189</v>
      </c>
      <c r="T748" s="6" t="n">
        <v>4721</v>
      </c>
      <c r="U748" s="6" t="n">
        <v>12508</v>
      </c>
      <c r="V748" s="6" t="n">
        <v>12506</v>
      </c>
    </row>
    <row r="749" customFormat="false" ht="15" hidden="false" customHeight="false" outlineLevel="0" collapsed="false">
      <c r="A749" s="5" t="s">
        <v>80</v>
      </c>
      <c r="B749" s="6" t="s">
        <v>74</v>
      </c>
      <c r="C749" s="5" t="s">
        <v>64</v>
      </c>
      <c r="D749" s="5" t="s">
        <v>61</v>
      </c>
      <c r="E749" s="6" t="n">
        <v>483114</v>
      </c>
      <c r="F749" s="6" t="n">
        <v>484023</v>
      </c>
      <c r="G749" s="6" t="n">
        <v>268729</v>
      </c>
      <c r="H749" s="6" t="n">
        <v>273305</v>
      </c>
      <c r="I749" s="6" t="n">
        <v>75425</v>
      </c>
      <c r="J749" s="6" t="n">
        <v>74376</v>
      </c>
      <c r="K749" s="6" t="n">
        <v>14054</v>
      </c>
      <c r="L749" s="6" t="n">
        <v>13011</v>
      </c>
      <c r="M749" s="6" t="n">
        <v>7133</v>
      </c>
      <c r="N749" s="6" t="n">
        <v>8606</v>
      </c>
      <c r="O749" s="6" t="n">
        <v>13449</v>
      </c>
      <c r="P749" s="6" t="n">
        <v>12381</v>
      </c>
      <c r="Q749" s="6" t="n">
        <v>6528</v>
      </c>
      <c r="R749" s="6" t="n">
        <v>6811</v>
      </c>
      <c r="S749" s="6" t="n">
        <v>5588</v>
      </c>
      <c r="T749" s="6" t="n">
        <v>5995</v>
      </c>
      <c r="U749" s="6" t="n">
        <v>14449</v>
      </c>
      <c r="V749" s="6" t="n">
        <v>14521</v>
      </c>
    </row>
    <row r="750" customFormat="false" ht="15" hidden="false" customHeight="false" outlineLevel="0" collapsed="false">
      <c r="A750" s="5" t="s">
        <v>80</v>
      </c>
      <c r="B750" s="6" t="s">
        <v>74</v>
      </c>
      <c r="C750" s="5" t="s">
        <v>65</v>
      </c>
      <c r="D750" s="5" t="s">
        <v>61</v>
      </c>
      <c r="E750" s="6" t="n">
        <v>488222</v>
      </c>
      <c r="F750" s="6" t="n">
        <v>484302</v>
      </c>
      <c r="G750" s="6" t="n">
        <v>269475</v>
      </c>
      <c r="H750" s="6" t="n">
        <v>258860</v>
      </c>
      <c r="I750" s="6" t="n">
        <v>74616</v>
      </c>
      <c r="J750" s="6" t="n">
        <v>80435</v>
      </c>
      <c r="K750" s="6" t="n">
        <v>14124</v>
      </c>
      <c r="L750" s="6" t="n">
        <v>14024</v>
      </c>
      <c r="M750" s="6" t="n">
        <v>5228</v>
      </c>
      <c r="N750" s="6" t="n">
        <v>4495</v>
      </c>
      <c r="O750" s="6" t="n">
        <v>9672</v>
      </c>
      <c r="P750" s="6" t="n">
        <v>9527</v>
      </c>
      <c r="Q750" s="6" t="n">
        <v>8988</v>
      </c>
      <c r="R750" s="6" t="n">
        <v>8588</v>
      </c>
      <c r="S750" s="6" t="n">
        <v>5411</v>
      </c>
      <c r="T750" s="6" t="n">
        <v>5229</v>
      </c>
      <c r="U750" s="6" t="n">
        <v>12442</v>
      </c>
      <c r="V750" s="6" t="n">
        <v>12269</v>
      </c>
    </row>
    <row r="751" customFormat="false" ht="15" hidden="false" customHeight="false" outlineLevel="0" collapsed="false">
      <c r="A751" s="5" t="s">
        <v>80</v>
      </c>
      <c r="B751" s="6" t="s">
        <v>74</v>
      </c>
      <c r="C751" s="5" t="s">
        <v>66</v>
      </c>
      <c r="D751" s="5" t="s">
        <v>61</v>
      </c>
      <c r="E751" s="6" t="n">
        <v>559290</v>
      </c>
      <c r="F751" s="6" t="n">
        <v>532105</v>
      </c>
      <c r="G751" s="6" t="n">
        <v>325061</v>
      </c>
      <c r="H751" s="6" t="n">
        <v>304070</v>
      </c>
      <c r="I751" s="6" t="n">
        <v>93256</v>
      </c>
      <c r="J751" s="6" t="n">
        <v>96270</v>
      </c>
      <c r="K751" s="6" t="n">
        <v>11268</v>
      </c>
      <c r="L751" s="6" t="n">
        <v>10719</v>
      </c>
      <c r="M751" s="6" t="n">
        <v>6919</v>
      </c>
      <c r="N751" s="6" t="n">
        <v>6494</v>
      </c>
      <c r="O751" s="6" t="n">
        <v>12471</v>
      </c>
      <c r="P751" s="6" t="n">
        <v>11991</v>
      </c>
      <c r="Q751" s="6" t="n">
        <v>9478</v>
      </c>
      <c r="R751" s="6" t="n">
        <v>9545</v>
      </c>
      <c r="S751" s="6" t="n">
        <v>4251</v>
      </c>
      <c r="T751" s="6" t="n">
        <v>4810</v>
      </c>
      <c r="U751" s="6" t="n">
        <v>15888</v>
      </c>
      <c r="V751" s="6" t="n">
        <v>15556</v>
      </c>
    </row>
    <row r="752" customFormat="false" ht="15" hidden="false" customHeight="false" outlineLevel="0" collapsed="false">
      <c r="A752" s="5" t="s">
        <v>80</v>
      </c>
      <c r="B752" s="6" t="s">
        <v>74</v>
      </c>
      <c r="C752" s="5" t="s">
        <v>67</v>
      </c>
      <c r="D752" s="5" t="s">
        <v>61</v>
      </c>
      <c r="E752" s="6" t="n">
        <v>489296</v>
      </c>
      <c r="F752" s="6" t="n">
        <v>500300</v>
      </c>
      <c r="G752" s="6" t="n">
        <v>270675</v>
      </c>
      <c r="H752" s="6" t="n">
        <v>286911</v>
      </c>
      <c r="I752" s="6" t="n">
        <v>80613</v>
      </c>
      <c r="J752" s="6" t="n">
        <v>79996</v>
      </c>
      <c r="K752" s="6" t="n">
        <v>14309</v>
      </c>
      <c r="L752" s="6" t="n">
        <v>16260</v>
      </c>
      <c r="M752" s="6" t="n">
        <v>4227</v>
      </c>
      <c r="N752" s="6" t="n">
        <v>4947</v>
      </c>
      <c r="O752" s="6" t="n">
        <v>13596</v>
      </c>
      <c r="P752" s="6" t="n">
        <v>13168</v>
      </c>
      <c r="Q752" s="6" t="n">
        <v>7775</v>
      </c>
      <c r="R752" s="6" t="n">
        <v>7461</v>
      </c>
      <c r="S752" s="6" t="n">
        <v>5418</v>
      </c>
      <c r="T752" s="6" t="n">
        <v>5053</v>
      </c>
      <c r="U752" s="6" t="n">
        <v>12034</v>
      </c>
      <c r="V752" s="6" t="n">
        <v>11793</v>
      </c>
    </row>
    <row r="753" customFormat="false" ht="15" hidden="false" customHeight="false" outlineLevel="0" collapsed="false">
      <c r="A753" s="5" t="s">
        <v>80</v>
      </c>
      <c r="B753" s="6" t="s">
        <v>74</v>
      </c>
      <c r="C753" s="5" t="s">
        <v>68</v>
      </c>
      <c r="D753" s="5" t="s">
        <v>61</v>
      </c>
      <c r="E753" s="6" t="n">
        <v>481767</v>
      </c>
      <c r="F753" s="6" t="n">
        <v>498496</v>
      </c>
      <c r="G753" s="6" t="n">
        <v>263258</v>
      </c>
      <c r="H753" s="6" t="n">
        <v>268381</v>
      </c>
      <c r="I753" s="6" t="n">
        <v>71906</v>
      </c>
      <c r="J753" s="6" t="n">
        <v>74334</v>
      </c>
      <c r="K753" s="6" t="n">
        <v>13969</v>
      </c>
      <c r="L753" s="6" t="n">
        <v>13494</v>
      </c>
      <c r="M753" s="6" t="n">
        <v>4574</v>
      </c>
      <c r="N753" s="6" t="n">
        <v>3889</v>
      </c>
      <c r="O753" s="6" t="n">
        <v>9067</v>
      </c>
      <c r="P753" s="6" t="n">
        <v>9504</v>
      </c>
      <c r="Q753" s="6" t="n">
        <v>7487</v>
      </c>
      <c r="R753" s="6" t="n">
        <v>7666</v>
      </c>
      <c r="S753" s="6" t="n">
        <v>4002</v>
      </c>
      <c r="T753" s="6" t="n">
        <v>4678</v>
      </c>
      <c r="U753" s="6" t="n">
        <v>11467</v>
      </c>
      <c r="V753" s="6" t="n">
        <v>11495</v>
      </c>
    </row>
    <row r="754" customFormat="false" ht="15" hidden="false" customHeight="false" outlineLevel="0" collapsed="false">
      <c r="A754" s="5" t="s">
        <v>80</v>
      </c>
      <c r="B754" s="6" t="s">
        <v>74</v>
      </c>
      <c r="C754" s="5" t="s">
        <v>69</v>
      </c>
      <c r="D754" s="5" t="s">
        <v>61</v>
      </c>
      <c r="E754" s="6" t="n">
        <v>561192</v>
      </c>
      <c r="F754" s="6" t="n">
        <v>536606</v>
      </c>
      <c r="G754" s="6" t="n">
        <v>319594</v>
      </c>
      <c r="H754" s="6" t="n">
        <v>316045</v>
      </c>
      <c r="I754" s="6" t="n">
        <v>87388</v>
      </c>
      <c r="J754" s="6" t="n">
        <v>87862</v>
      </c>
      <c r="K754" s="6" t="n">
        <v>15425</v>
      </c>
      <c r="L754" s="6" t="n">
        <v>15960</v>
      </c>
      <c r="M754" s="6" t="n">
        <v>7782</v>
      </c>
      <c r="N754" s="6" t="n">
        <v>8586</v>
      </c>
      <c r="O754" s="6" t="n">
        <v>12194</v>
      </c>
      <c r="P754" s="6" t="n">
        <v>12763</v>
      </c>
      <c r="Q754" s="6" t="n">
        <v>9432</v>
      </c>
      <c r="R754" s="6" t="n">
        <v>9620</v>
      </c>
      <c r="S754" s="6" t="n">
        <v>4639</v>
      </c>
      <c r="T754" s="6" t="n">
        <v>5905</v>
      </c>
      <c r="U754" s="6" t="n">
        <v>12386</v>
      </c>
      <c r="V754" s="6" t="n">
        <v>12248</v>
      </c>
    </row>
    <row r="755" customFormat="false" ht="15" hidden="false" customHeight="false" outlineLevel="0" collapsed="false">
      <c r="A755" s="5" t="s">
        <v>80</v>
      </c>
      <c r="B755" s="6" t="s">
        <v>74</v>
      </c>
      <c r="C755" s="5" t="s">
        <v>70</v>
      </c>
      <c r="D755" s="5" t="s">
        <v>61</v>
      </c>
      <c r="E755" s="6" t="n">
        <v>486419</v>
      </c>
      <c r="F755" s="6" t="n">
        <v>501539</v>
      </c>
      <c r="G755" s="6" t="n">
        <v>271150</v>
      </c>
      <c r="H755" s="6" t="n">
        <v>275338</v>
      </c>
      <c r="I755" s="6" t="n">
        <v>76861</v>
      </c>
      <c r="J755" s="6" t="n">
        <v>78526</v>
      </c>
      <c r="K755" s="6" t="n">
        <v>9906</v>
      </c>
      <c r="L755" s="6" t="n">
        <v>11200</v>
      </c>
      <c r="M755" s="6" t="n">
        <v>4722</v>
      </c>
      <c r="N755" s="6" t="n">
        <v>5425</v>
      </c>
      <c r="O755" s="6" t="n">
        <v>10955</v>
      </c>
      <c r="P755" s="6" t="n">
        <v>11656</v>
      </c>
      <c r="Q755" s="6" t="n">
        <v>7350</v>
      </c>
      <c r="R755" s="6" t="n">
        <v>7236</v>
      </c>
      <c r="S755" s="6" t="n">
        <v>4030</v>
      </c>
      <c r="T755" s="6" t="n">
        <v>4411</v>
      </c>
      <c r="U755" s="6" t="n">
        <v>13251</v>
      </c>
      <c r="V755" s="6" t="n">
        <v>13576</v>
      </c>
    </row>
    <row r="756" customFormat="false" ht="15" hidden="false" customHeight="false" outlineLevel="0" collapsed="false">
      <c r="A756" s="5" t="s">
        <v>80</v>
      </c>
      <c r="B756" s="6" t="s">
        <v>74</v>
      </c>
      <c r="C756" s="5" t="s">
        <v>71</v>
      </c>
      <c r="D756" s="5" t="s">
        <v>61</v>
      </c>
      <c r="E756" s="6" t="n">
        <v>483382</v>
      </c>
      <c r="F756" s="6" t="n">
        <v>498028</v>
      </c>
      <c r="G756" s="6" t="n">
        <v>267655</v>
      </c>
      <c r="H756" s="6" t="n">
        <v>274933</v>
      </c>
      <c r="I756" s="6" t="n">
        <v>82133</v>
      </c>
      <c r="J756" s="6" t="n">
        <v>83992</v>
      </c>
      <c r="K756" s="6" t="n">
        <v>10890</v>
      </c>
      <c r="L756" s="6" t="n">
        <v>12045</v>
      </c>
      <c r="M756" s="6" t="n">
        <v>6050</v>
      </c>
      <c r="N756" s="6" t="n">
        <v>6652</v>
      </c>
      <c r="O756" s="6" t="n">
        <v>12617</v>
      </c>
      <c r="P756" s="6" t="n">
        <v>13529</v>
      </c>
      <c r="Q756" s="6" t="n">
        <v>9587</v>
      </c>
      <c r="R756" s="6" t="n">
        <v>9457</v>
      </c>
      <c r="S756" s="6" t="n">
        <v>5107</v>
      </c>
      <c r="T756" s="6" t="n">
        <v>4361</v>
      </c>
      <c r="U756" s="6" t="n">
        <v>14095</v>
      </c>
      <c r="V756" s="6" t="n">
        <v>13750</v>
      </c>
    </row>
    <row r="757" customFormat="false" ht="15" hidden="false" customHeight="false" outlineLevel="0" collapsed="false">
      <c r="A757" s="5" t="s">
        <v>80</v>
      </c>
      <c r="B757" s="6" t="s">
        <v>74</v>
      </c>
      <c r="C757" s="5" t="s">
        <v>72</v>
      </c>
      <c r="D757" s="5" t="s">
        <v>61</v>
      </c>
      <c r="E757" s="6" t="n">
        <v>515829</v>
      </c>
      <c r="F757" s="6" t="n">
        <v>545269</v>
      </c>
      <c r="G757" s="6" t="n">
        <v>281001</v>
      </c>
      <c r="H757" s="6" t="n">
        <v>311543</v>
      </c>
      <c r="I757" s="6" t="n">
        <v>79228</v>
      </c>
      <c r="J757" s="6" t="n">
        <v>79406</v>
      </c>
      <c r="K757" s="6" t="n">
        <v>16959</v>
      </c>
      <c r="L757" s="6" t="n">
        <v>15832</v>
      </c>
      <c r="M757" s="6" t="n">
        <v>7434</v>
      </c>
      <c r="N757" s="6" t="n">
        <v>6799</v>
      </c>
      <c r="O757" s="6" t="n">
        <v>10892</v>
      </c>
      <c r="P757" s="6" t="n">
        <v>11041</v>
      </c>
      <c r="Q757" s="6" t="n">
        <v>7147</v>
      </c>
      <c r="R757" s="6" t="n">
        <v>6856</v>
      </c>
      <c r="S757" s="6" t="n">
        <v>3256</v>
      </c>
      <c r="T757" s="6" t="n">
        <v>3884</v>
      </c>
      <c r="U757" s="6" t="n">
        <v>14362</v>
      </c>
      <c r="V757" s="6" t="n">
        <v>14753</v>
      </c>
    </row>
    <row r="758" customFormat="false" ht="15" hidden="false" customHeight="false" outlineLevel="0" collapsed="false">
      <c r="A758" s="5" t="s">
        <v>80</v>
      </c>
      <c r="B758" s="6" t="s">
        <v>75</v>
      </c>
      <c r="C758" s="5" t="s">
        <v>34</v>
      </c>
      <c r="D758" s="5" t="s">
        <v>35</v>
      </c>
      <c r="E758" s="6" t="n">
        <v>212649</v>
      </c>
      <c r="F758" s="6" t="n">
        <v>201938</v>
      </c>
      <c r="G758" s="6" t="n">
        <v>126249</v>
      </c>
      <c r="H758" s="6" t="n">
        <v>118236</v>
      </c>
      <c r="I758" s="6" t="n">
        <v>34924</v>
      </c>
      <c r="J758" s="6" t="n">
        <v>34627</v>
      </c>
      <c r="K758" s="6" t="n">
        <v>6526</v>
      </c>
      <c r="L758" s="6" t="n">
        <v>5679</v>
      </c>
      <c r="M758" s="6" t="n">
        <v>1852</v>
      </c>
      <c r="N758" s="6" t="n">
        <v>2238</v>
      </c>
      <c r="O758" s="6" t="n">
        <v>4208</v>
      </c>
      <c r="P758" s="6" t="n">
        <v>3965</v>
      </c>
      <c r="Q758" s="6" t="n">
        <v>3339</v>
      </c>
      <c r="R758" s="6" t="n">
        <v>3426</v>
      </c>
      <c r="S758" s="6" t="n">
        <v>2199</v>
      </c>
      <c r="T758" s="6" t="n">
        <v>1961</v>
      </c>
      <c r="U758" s="6" t="n">
        <v>6235</v>
      </c>
      <c r="V758" s="6" t="n">
        <v>6140</v>
      </c>
    </row>
    <row r="759" customFormat="false" ht="15" hidden="false" customHeight="false" outlineLevel="0" collapsed="false">
      <c r="A759" s="5" t="s">
        <v>80</v>
      </c>
      <c r="B759" s="6" t="s">
        <v>75</v>
      </c>
      <c r="C759" s="5" t="s">
        <v>36</v>
      </c>
      <c r="D759" s="5" t="s">
        <v>35</v>
      </c>
      <c r="E759" s="6" t="n">
        <v>208794</v>
      </c>
      <c r="F759" s="6" t="n">
        <v>200253</v>
      </c>
      <c r="G759" s="6" t="n">
        <v>122349</v>
      </c>
      <c r="H759" s="6" t="n">
        <v>118478</v>
      </c>
      <c r="I759" s="6" t="n">
        <v>29361</v>
      </c>
      <c r="J759" s="6" t="n">
        <v>30110</v>
      </c>
      <c r="K759" s="6" t="n">
        <v>4354</v>
      </c>
      <c r="L759" s="6" t="n">
        <v>3877</v>
      </c>
      <c r="M759" s="6" t="n">
        <v>1741</v>
      </c>
      <c r="N759" s="6" t="n">
        <v>1529</v>
      </c>
      <c r="O759" s="6" t="n">
        <v>4035</v>
      </c>
      <c r="P759" s="6" t="n">
        <v>4338</v>
      </c>
      <c r="Q759" s="6" t="n">
        <v>3899</v>
      </c>
      <c r="R759" s="6" t="n">
        <v>3928</v>
      </c>
      <c r="S759" s="6" t="n">
        <v>1603</v>
      </c>
      <c r="T759" s="6" t="n">
        <v>1519</v>
      </c>
      <c r="U759" s="6" t="n">
        <v>4542</v>
      </c>
      <c r="V759" s="6" t="n">
        <v>4436</v>
      </c>
    </row>
    <row r="760" customFormat="false" ht="15" hidden="false" customHeight="false" outlineLevel="0" collapsed="false">
      <c r="A760" s="5" t="s">
        <v>80</v>
      </c>
      <c r="B760" s="6" t="s">
        <v>75</v>
      </c>
      <c r="C760" s="5" t="s">
        <v>37</v>
      </c>
      <c r="D760" s="5" t="s">
        <v>35</v>
      </c>
      <c r="E760" s="6" t="n">
        <v>203894</v>
      </c>
      <c r="F760" s="6" t="n">
        <v>200522</v>
      </c>
      <c r="G760" s="6" t="n">
        <v>119333</v>
      </c>
      <c r="H760" s="6" t="n">
        <v>114022</v>
      </c>
      <c r="I760" s="6" t="n">
        <v>30854</v>
      </c>
      <c r="J760" s="6" t="n">
        <v>29930</v>
      </c>
      <c r="K760" s="6" t="n">
        <v>5487</v>
      </c>
      <c r="L760" s="6" t="n">
        <v>5979</v>
      </c>
      <c r="M760" s="6" t="n">
        <v>2598</v>
      </c>
      <c r="N760" s="6" t="n">
        <v>2592</v>
      </c>
      <c r="O760" s="6" t="n">
        <v>4774</v>
      </c>
      <c r="P760" s="6" t="n">
        <v>4739</v>
      </c>
      <c r="Q760" s="6" t="n">
        <v>3303</v>
      </c>
      <c r="R760" s="6" t="n">
        <v>3456</v>
      </c>
      <c r="S760" s="6" t="n">
        <v>2377</v>
      </c>
      <c r="T760" s="6" t="n">
        <v>2406</v>
      </c>
      <c r="U760" s="6" t="n">
        <v>5312</v>
      </c>
      <c r="V760" s="6" t="n">
        <v>5382</v>
      </c>
    </row>
    <row r="761" customFormat="false" ht="15" hidden="false" customHeight="false" outlineLevel="0" collapsed="false">
      <c r="A761" s="5" t="s">
        <v>80</v>
      </c>
      <c r="B761" s="6" t="s">
        <v>75</v>
      </c>
      <c r="C761" s="5" t="s">
        <v>38</v>
      </c>
      <c r="D761" s="5" t="s">
        <v>35</v>
      </c>
      <c r="E761" s="6" t="n">
        <v>211043</v>
      </c>
      <c r="F761" s="6" t="n">
        <v>204857</v>
      </c>
      <c r="G761" s="6" t="n">
        <v>120592</v>
      </c>
      <c r="H761" s="6" t="n">
        <v>117136</v>
      </c>
      <c r="I761" s="6" t="n">
        <v>32732</v>
      </c>
      <c r="J761" s="6" t="n">
        <v>33549</v>
      </c>
      <c r="K761" s="6" t="n">
        <v>6769</v>
      </c>
      <c r="L761" s="6" t="n">
        <v>6174</v>
      </c>
      <c r="M761" s="6" t="n">
        <v>2574</v>
      </c>
      <c r="N761" s="6" t="n">
        <v>2532</v>
      </c>
      <c r="O761" s="6" t="n">
        <v>4429</v>
      </c>
      <c r="P761" s="6" t="n">
        <v>4557</v>
      </c>
      <c r="Q761" s="6" t="n">
        <v>3229</v>
      </c>
      <c r="R761" s="6" t="n">
        <v>3189</v>
      </c>
      <c r="S761" s="6" t="n">
        <v>1739</v>
      </c>
      <c r="T761" s="6" t="n">
        <v>1719</v>
      </c>
      <c r="U761" s="6" t="n">
        <v>4640</v>
      </c>
      <c r="V761" s="6" t="n">
        <v>4505</v>
      </c>
    </row>
    <row r="762" customFormat="false" ht="15" hidden="false" customHeight="false" outlineLevel="0" collapsed="false">
      <c r="A762" s="5" t="s">
        <v>80</v>
      </c>
      <c r="B762" s="6" t="s">
        <v>75</v>
      </c>
      <c r="C762" s="5" t="s">
        <v>39</v>
      </c>
      <c r="D762" s="5" t="s">
        <v>35</v>
      </c>
      <c r="E762" s="6" t="n">
        <v>210120</v>
      </c>
      <c r="F762" s="6" t="n">
        <v>206686</v>
      </c>
      <c r="G762" s="6" t="n">
        <v>115320</v>
      </c>
      <c r="H762" s="6" t="n">
        <v>118243</v>
      </c>
      <c r="I762" s="6" t="n">
        <v>34400</v>
      </c>
      <c r="J762" s="6" t="n">
        <v>36203</v>
      </c>
      <c r="K762" s="6" t="n">
        <v>6248</v>
      </c>
      <c r="L762" s="6" t="n">
        <v>5877</v>
      </c>
      <c r="M762" s="6" t="n">
        <v>2041</v>
      </c>
      <c r="N762" s="6" t="n">
        <v>1650</v>
      </c>
      <c r="O762" s="6" t="n">
        <v>4259</v>
      </c>
      <c r="P762" s="6" t="n">
        <v>4255</v>
      </c>
      <c r="Q762" s="6" t="n">
        <v>3340</v>
      </c>
      <c r="R762" s="6" t="n">
        <v>3329</v>
      </c>
      <c r="S762" s="6" t="n">
        <v>1847</v>
      </c>
      <c r="T762" s="6" t="n">
        <v>2455</v>
      </c>
      <c r="U762" s="6" t="n">
        <v>5176</v>
      </c>
      <c r="V762" s="6" t="n">
        <v>5150</v>
      </c>
    </row>
    <row r="763" customFormat="false" ht="15" hidden="false" customHeight="false" outlineLevel="0" collapsed="false">
      <c r="A763" s="5" t="s">
        <v>80</v>
      </c>
      <c r="B763" s="6" t="s">
        <v>75</v>
      </c>
      <c r="C763" s="5" t="s">
        <v>40</v>
      </c>
      <c r="D763" s="5" t="s">
        <v>35</v>
      </c>
      <c r="E763" s="6" t="n">
        <v>227388</v>
      </c>
      <c r="F763" s="6" t="n">
        <v>215794</v>
      </c>
      <c r="G763" s="6" t="n">
        <v>135028</v>
      </c>
      <c r="H763" s="6" t="n">
        <v>133784</v>
      </c>
      <c r="I763" s="6" t="n">
        <v>33850</v>
      </c>
      <c r="J763" s="6" t="n">
        <v>33032</v>
      </c>
      <c r="K763" s="6" t="n">
        <v>6134</v>
      </c>
      <c r="L763" s="6" t="n">
        <v>5925</v>
      </c>
      <c r="M763" s="6" t="n">
        <v>2859</v>
      </c>
      <c r="N763" s="6" t="n">
        <v>2907</v>
      </c>
      <c r="O763" s="6" t="n">
        <v>5453</v>
      </c>
      <c r="P763" s="6" t="n">
        <v>5365</v>
      </c>
      <c r="Q763" s="6" t="n">
        <v>3661</v>
      </c>
      <c r="R763" s="6" t="n">
        <v>3653</v>
      </c>
      <c r="S763" s="6" t="n">
        <v>2639</v>
      </c>
      <c r="T763" s="6" t="n">
        <v>3487</v>
      </c>
      <c r="U763" s="6" t="n">
        <v>5638</v>
      </c>
      <c r="V763" s="6" t="n">
        <v>5588</v>
      </c>
    </row>
    <row r="764" customFormat="false" ht="15" hidden="false" customHeight="false" outlineLevel="0" collapsed="false">
      <c r="A764" s="5" t="s">
        <v>80</v>
      </c>
      <c r="B764" s="6" t="s">
        <v>75</v>
      </c>
      <c r="C764" s="5" t="s">
        <v>41</v>
      </c>
      <c r="D764" s="5" t="s">
        <v>35</v>
      </c>
      <c r="E764" s="6" t="n">
        <v>215526</v>
      </c>
      <c r="F764" s="6" t="n">
        <v>205138</v>
      </c>
      <c r="G764" s="6" t="n">
        <v>118530</v>
      </c>
      <c r="H764" s="6" t="n">
        <v>118890</v>
      </c>
      <c r="I764" s="6" t="n">
        <v>31117</v>
      </c>
      <c r="J764" s="6" t="n">
        <v>32618</v>
      </c>
      <c r="K764" s="6" t="n">
        <v>5182</v>
      </c>
      <c r="L764" s="6" t="n">
        <v>4443</v>
      </c>
      <c r="M764" s="6" t="n">
        <v>2054</v>
      </c>
      <c r="N764" s="6" t="n">
        <v>2178</v>
      </c>
      <c r="O764" s="6" t="n">
        <v>3931</v>
      </c>
      <c r="P764" s="6" t="n">
        <v>3902</v>
      </c>
      <c r="Q764" s="6" t="n">
        <v>3963</v>
      </c>
      <c r="R764" s="6" t="n">
        <v>3947</v>
      </c>
      <c r="S764" s="6" t="n">
        <v>2097</v>
      </c>
      <c r="T764" s="6" t="n">
        <v>2036</v>
      </c>
      <c r="U764" s="6" t="n">
        <v>4420</v>
      </c>
      <c r="V764" s="6" t="n">
        <v>4425</v>
      </c>
    </row>
    <row r="765" customFormat="false" ht="15" hidden="false" customHeight="false" outlineLevel="0" collapsed="false">
      <c r="A765" s="5" t="s">
        <v>80</v>
      </c>
      <c r="B765" s="6" t="s">
        <v>75</v>
      </c>
      <c r="C765" s="5" t="s">
        <v>42</v>
      </c>
      <c r="D765" s="5" t="s">
        <v>35</v>
      </c>
      <c r="E765" s="6" t="n">
        <v>202866</v>
      </c>
      <c r="F765" s="6" t="n">
        <v>204377</v>
      </c>
      <c r="G765" s="6" t="n">
        <v>115482</v>
      </c>
      <c r="H765" s="6" t="n">
        <v>120058</v>
      </c>
      <c r="I765" s="6" t="n">
        <v>28621</v>
      </c>
      <c r="J765" s="6" t="n">
        <v>30216</v>
      </c>
      <c r="K765" s="6" t="n">
        <v>6275</v>
      </c>
      <c r="L765" s="6" t="n">
        <v>6400</v>
      </c>
      <c r="M765" s="6" t="n">
        <v>1718</v>
      </c>
      <c r="N765" s="6" t="n">
        <v>2206</v>
      </c>
      <c r="O765" s="6" t="n">
        <v>5544</v>
      </c>
      <c r="P765" s="6" t="n">
        <v>5478</v>
      </c>
      <c r="Q765" s="6" t="n">
        <v>3507</v>
      </c>
      <c r="R765" s="6" t="n">
        <v>3486</v>
      </c>
      <c r="S765" s="6" t="n">
        <v>2097</v>
      </c>
      <c r="T765" s="6" t="n">
        <v>2014</v>
      </c>
      <c r="U765" s="6" t="n">
        <v>4346</v>
      </c>
      <c r="V765" s="6" t="n">
        <v>4454</v>
      </c>
    </row>
    <row r="766" customFormat="false" ht="15" hidden="false" customHeight="false" outlineLevel="0" collapsed="false">
      <c r="A766" s="5" t="s">
        <v>80</v>
      </c>
      <c r="B766" s="6" t="s">
        <v>75</v>
      </c>
      <c r="C766" s="5" t="s">
        <v>43</v>
      </c>
      <c r="D766" s="5" t="s">
        <v>35</v>
      </c>
      <c r="E766" s="6" t="n">
        <v>210770</v>
      </c>
      <c r="F766" s="6" t="n">
        <v>213748</v>
      </c>
      <c r="G766" s="6" t="n">
        <v>118803</v>
      </c>
      <c r="H766" s="6" t="n">
        <v>116655</v>
      </c>
      <c r="I766" s="6" t="n">
        <v>31423</v>
      </c>
      <c r="J766" s="6" t="n">
        <v>33776</v>
      </c>
      <c r="K766" s="6" t="n">
        <v>4830</v>
      </c>
      <c r="L766" s="6" t="n">
        <v>4930</v>
      </c>
      <c r="M766" s="6" t="n">
        <v>2302</v>
      </c>
      <c r="N766" s="6" t="n">
        <v>2792</v>
      </c>
      <c r="O766" s="6" t="n">
        <v>4113</v>
      </c>
      <c r="P766" s="6" t="n">
        <v>4189</v>
      </c>
      <c r="Q766" s="6" t="n">
        <v>2959</v>
      </c>
      <c r="R766" s="6" t="n">
        <v>3082</v>
      </c>
      <c r="S766" s="6" t="n">
        <v>1265</v>
      </c>
      <c r="T766" s="6" t="n">
        <v>1062</v>
      </c>
      <c r="U766" s="6" t="n">
        <v>6026</v>
      </c>
      <c r="V766" s="6" t="n">
        <v>5941</v>
      </c>
    </row>
    <row r="767" customFormat="false" ht="15" hidden="false" customHeight="false" outlineLevel="0" collapsed="false">
      <c r="A767" s="5" t="s">
        <v>80</v>
      </c>
      <c r="B767" s="6" t="s">
        <v>75</v>
      </c>
      <c r="C767" s="5" t="s">
        <v>44</v>
      </c>
      <c r="D767" s="5" t="s">
        <v>35</v>
      </c>
      <c r="E767" s="6" t="n">
        <v>194869</v>
      </c>
      <c r="F767" s="6" t="n">
        <v>205573</v>
      </c>
      <c r="G767" s="6" t="n">
        <v>110705</v>
      </c>
      <c r="H767" s="6" t="n">
        <v>122760</v>
      </c>
      <c r="I767" s="6" t="n">
        <v>32688</v>
      </c>
      <c r="J767" s="6" t="n">
        <v>33482</v>
      </c>
      <c r="K767" s="6" t="n">
        <v>4131</v>
      </c>
      <c r="L767" s="6" t="n">
        <v>4081</v>
      </c>
      <c r="M767" s="6" t="n">
        <v>2786</v>
      </c>
      <c r="N767" s="6" t="n">
        <v>3088</v>
      </c>
      <c r="O767" s="6" t="n">
        <v>5416</v>
      </c>
      <c r="P767" s="6" t="n">
        <v>5812</v>
      </c>
      <c r="Q767" s="6" t="n">
        <v>3828</v>
      </c>
      <c r="R767" s="6" t="n">
        <v>3735</v>
      </c>
      <c r="S767" s="6" t="n">
        <v>1822</v>
      </c>
      <c r="T767" s="6" t="n">
        <v>2430</v>
      </c>
      <c r="U767" s="6" t="n">
        <v>5484</v>
      </c>
      <c r="V767" s="6" t="n">
        <v>5428</v>
      </c>
    </row>
    <row r="768" customFormat="false" ht="15" hidden="false" customHeight="false" outlineLevel="0" collapsed="false">
      <c r="A768" s="5" t="s">
        <v>80</v>
      </c>
      <c r="B768" s="6" t="s">
        <v>75</v>
      </c>
      <c r="C768" s="5" t="s">
        <v>45</v>
      </c>
      <c r="D768" s="5" t="s">
        <v>35</v>
      </c>
      <c r="E768" s="6" t="n">
        <v>209986</v>
      </c>
      <c r="F768" s="6" t="n">
        <v>209315</v>
      </c>
      <c r="G768" s="6" t="n">
        <v>121806</v>
      </c>
      <c r="H768" s="6" t="n">
        <v>125973</v>
      </c>
      <c r="I768" s="6" t="n">
        <v>33113</v>
      </c>
      <c r="J768" s="6" t="n">
        <v>34606</v>
      </c>
      <c r="K768" s="6" t="n">
        <v>6739</v>
      </c>
      <c r="L768" s="6" t="n">
        <v>7302</v>
      </c>
      <c r="M768" s="6" t="n">
        <v>2040</v>
      </c>
      <c r="N768" s="6" t="n">
        <v>2463</v>
      </c>
      <c r="O768" s="6" t="n">
        <v>4691</v>
      </c>
      <c r="P768" s="6" t="n">
        <v>4546</v>
      </c>
      <c r="Q768" s="6" t="n">
        <v>4099</v>
      </c>
      <c r="R768" s="6" t="n">
        <v>4017</v>
      </c>
      <c r="S768" s="6" t="n">
        <v>2486</v>
      </c>
      <c r="T768" s="6" t="n">
        <v>3467</v>
      </c>
      <c r="U768" s="6" t="n">
        <v>4307</v>
      </c>
      <c r="V768" s="6" t="n">
        <v>4331</v>
      </c>
    </row>
    <row r="769" customFormat="false" ht="15" hidden="false" customHeight="false" outlineLevel="0" collapsed="false">
      <c r="A769" s="5" t="s">
        <v>80</v>
      </c>
      <c r="B769" s="6" t="s">
        <v>75</v>
      </c>
      <c r="C769" s="5" t="s">
        <v>46</v>
      </c>
      <c r="D769" s="5" t="s">
        <v>35</v>
      </c>
      <c r="E769" s="6" t="n">
        <v>218669</v>
      </c>
      <c r="F769" s="6" t="n">
        <v>225219</v>
      </c>
      <c r="G769" s="6" t="n">
        <v>128893</v>
      </c>
      <c r="H769" s="6" t="n">
        <v>134500</v>
      </c>
      <c r="I769" s="6" t="n">
        <v>36154</v>
      </c>
      <c r="J769" s="6" t="n">
        <v>35940</v>
      </c>
      <c r="K769" s="6" t="n">
        <v>7510</v>
      </c>
      <c r="L769" s="6" t="n">
        <v>7430</v>
      </c>
      <c r="M769" s="6" t="n">
        <v>1984</v>
      </c>
      <c r="N769" s="6" t="n">
        <v>1685</v>
      </c>
      <c r="O769" s="6" t="n">
        <v>5122</v>
      </c>
      <c r="P769" s="6" t="n">
        <v>5047</v>
      </c>
      <c r="Q769" s="6" t="n">
        <v>3923</v>
      </c>
      <c r="R769" s="6" t="n">
        <v>3891</v>
      </c>
      <c r="S769" s="6" t="n">
        <v>1747</v>
      </c>
      <c r="T769" s="6" t="n">
        <v>1483</v>
      </c>
      <c r="U769" s="6" t="n">
        <v>4729</v>
      </c>
      <c r="V769" s="6" t="n">
        <v>4724</v>
      </c>
    </row>
    <row r="770" customFormat="false" ht="15" hidden="false" customHeight="false" outlineLevel="0" collapsed="false">
      <c r="A770" s="5" t="s">
        <v>80</v>
      </c>
      <c r="B770" s="6" t="s">
        <v>75</v>
      </c>
      <c r="C770" s="5" t="s">
        <v>47</v>
      </c>
      <c r="D770" s="5" t="s">
        <v>48</v>
      </c>
      <c r="E770" s="6" t="n">
        <v>208996</v>
      </c>
      <c r="F770" s="6" t="n">
        <v>220470</v>
      </c>
      <c r="G770" s="6" t="n">
        <v>116795</v>
      </c>
      <c r="H770" s="6" t="n">
        <v>128601</v>
      </c>
      <c r="I770" s="6" t="n">
        <v>31991</v>
      </c>
      <c r="J770" s="6" t="n">
        <v>33899</v>
      </c>
      <c r="K770" s="6" t="n">
        <v>4663</v>
      </c>
      <c r="L770" s="6" t="n">
        <v>4625</v>
      </c>
      <c r="M770" s="6" t="n">
        <v>1717</v>
      </c>
      <c r="N770" s="6" t="n">
        <v>2179</v>
      </c>
      <c r="O770" s="6" t="n">
        <v>4009</v>
      </c>
      <c r="P770" s="6" t="n">
        <v>3858</v>
      </c>
      <c r="Q770" s="6" t="n">
        <v>3978</v>
      </c>
      <c r="R770" s="6" t="n">
        <v>3975</v>
      </c>
      <c r="S770" s="6" t="n">
        <v>2456</v>
      </c>
      <c r="T770" s="6" t="n">
        <v>2832</v>
      </c>
      <c r="U770" s="6" t="n">
        <v>5027</v>
      </c>
      <c r="V770" s="6" t="n">
        <v>5132</v>
      </c>
    </row>
    <row r="771" customFormat="false" ht="15" hidden="false" customHeight="false" outlineLevel="0" collapsed="false">
      <c r="A771" s="5" t="s">
        <v>80</v>
      </c>
      <c r="B771" s="6" t="s">
        <v>75</v>
      </c>
      <c r="C771" s="5" t="s">
        <v>49</v>
      </c>
      <c r="D771" s="5" t="s">
        <v>48</v>
      </c>
      <c r="E771" s="6" t="n">
        <v>224041</v>
      </c>
      <c r="F771" s="6" t="n">
        <v>221107</v>
      </c>
      <c r="G771" s="6" t="n">
        <v>123199</v>
      </c>
      <c r="H771" s="6" t="n">
        <v>118923</v>
      </c>
      <c r="I771" s="6" t="n">
        <v>33565</v>
      </c>
      <c r="J771" s="6" t="n">
        <v>33949</v>
      </c>
      <c r="K771" s="6" t="n">
        <v>4759</v>
      </c>
      <c r="L771" s="6" t="n">
        <v>4162</v>
      </c>
      <c r="M771" s="6" t="n">
        <v>3041</v>
      </c>
      <c r="N771" s="6" t="n">
        <v>2446</v>
      </c>
      <c r="O771" s="6" t="n">
        <v>5243</v>
      </c>
      <c r="P771" s="6" t="n">
        <v>5288</v>
      </c>
      <c r="Q771" s="6" t="n">
        <v>2854</v>
      </c>
      <c r="R771" s="6" t="n">
        <v>2988</v>
      </c>
      <c r="S771" s="6" t="n">
        <v>2431</v>
      </c>
      <c r="T771" s="6" t="n">
        <v>2890</v>
      </c>
      <c r="U771" s="6" t="n">
        <v>6703</v>
      </c>
      <c r="V771" s="6" t="n">
        <v>6503</v>
      </c>
    </row>
    <row r="772" customFormat="false" ht="15" hidden="false" customHeight="false" outlineLevel="0" collapsed="false">
      <c r="A772" s="5" t="s">
        <v>80</v>
      </c>
      <c r="B772" s="6" t="s">
        <v>75</v>
      </c>
      <c r="C772" s="5" t="s">
        <v>50</v>
      </c>
      <c r="D772" s="5" t="s">
        <v>48</v>
      </c>
      <c r="E772" s="6" t="n">
        <v>211063</v>
      </c>
      <c r="F772" s="6" t="n">
        <v>220773</v>
      </c>
      <c r="G772" s="6" t="n">
        <v>126431</v>
      </c>
      <c r="H772" s="6" t="n">
        <v>131881</v>
      </c>
      <c r="I772" s="6" t="n">
        <v>33890</v>
      </c>
      <c r="J772" s="6" t="n">
        <v>35955</v>
      </c>
      <c r="K772" s="6" t="n">
        <v>5352</v>
      </c>
      <c r="L772" s="6" t="n">
        <v>5468</v>
      </c>
      <c r="M772" s="6" t="n">
        <v>1748</v>
      </c>
      <c r="N772" s="6" t="n">
        <v>2179</v>
      </c>
      <c r="O772" s="6" t="n">
        <v>4496</v>
      </c>
      <c r="P772" s="6" t="n">
        <v>4168</v>
      </c>
      <c r="Q772" s="6" t="n">
        <v>3517</v>
      </c>
      <c r="R772" s="6" t="n">
        <v>3689</v>
      </c>
      <c r="S772" s="6" t="n">
        <v>2044</v>
      </c>
      <c r="T772" s="6" t="n">
        <v>2643</v>
      </c>
      <c r="U772" s="6" t="n">
        <v>4627</v>
      </c>
      <c r="V772" s="6" t="n">
        <v>4535</v>
      </c>
    </row>
    <row r="773" customFormat="false" ht="15" hidden="false" customHeight="false" outlineLevel="0" collapsed="false">
      <c r="A773" s="5" t="s">
        <v>80</v>
      </c>
      <c r="B773" s="6" t="s">
        <v>75</v>
      </c>
      <c r="C773" s="5" t="s">
        <v>51</v>
      </c>
      <c r="D773" s="5" t="s">
        <v>48</v>
      </c>
      <c r="E773" s="6" t="n">
        <v>235511</v>
      </c>
      <c r="F773" s="6" t="n">
        <v>222344</v>
      </c>
      <c r="G773" s="6" t="n">
        <v>128696</v>
      </c>
      <c r="H773" s="6" t="n">
        <v>123650</v>
      </c>
      <c r="I773" s="6" t="n">
        <v>37320</v>
      </c>
      <c r="J773" s="6" t="n">
        <v>38360</v>
      </c>
      <c r="K773" s="6" t="n">
        <v>7649</v>
      </c>
      <c r="L773" s="6" t="n">
        <v>7154</v>
      </c>
      <c r="M773" s="6" t="n">
        <v>1991</v>
      </c>
      <c r="N773" s="6" t="n">
        <v>2196</v>
      </c>
      <c r="O773" s="6" t="n">
        <v>4851</v>
      </c>
      <c r="P773" s="6" t="n">
        <v>5025</v>
      </c>
      <c r="Q773" s="6" t="n">
        <v>4145</v>
      </c>
      <c r="R773" s="6" t="n">
        <v>3978</v>
      </c>
      <c r="S773" s="6" t="n">
        <v>2270</v>
      </c>
      <c r="T773" s="6" t="n">
        <v>2754</v>
      </c>
      <c r="U773" s="6" t="n">
        <v>4786</v>
      </c>
      <c r="V773" s="6" t="n">
        <v>4887</v>
      </c>
    </row>
    <row r="774" customFormat="false" ht="15" hidden="false" customHeight="false" outlineLevel="0" collapsed="false">
      <c r="A774" s="5" t="s">
        <v>80</v>
      </c>
      <c r="B774" s="6" t="s">
        <v>75</v>
      </c>
      <c r="C774" s="5" t="s">
        <v>52</v>
      </c>
      <c r="D774" s="5" t="s">
        <v>48</v>
      </c>
      <c r="E774" s="6" t="n">
        <v>231687</v>
      </c>
      <c r="F774" s="6" t="n">
        <v>226392</v>
      </c>
      <c r="G774" s="6" t="n">
        <v>136375</v>
      </c>
      <c r="H774" s="6" t="n">
        <v>132791</v>
      </c>
      <c r="I774" s="6" t="n">
        <v>35973</v>
      </c>
      <c r="J774" s="6" t="n">
        <v>36056</v>
      </c>
      <c r="K774" s="6" t="n">
        <v>7086</v>
      </c>
      <c r="L774" s="6" t="n">
        <v>6876</v>
      </c>
      <c r="M774" s="6" t="n">
        <v>3162</v>
      </c>
      <c r="N774" s="6" t="n">
        <v>2901</v>
      </c>
      <c r="O774" s="6" t="n">
        <v>6452</v>
      </c>
      <c r="P774" s="6" t="n">
        <v>6295</v>
      </c>
      <c r="Q774" s="6" t="n">
        <v>3386</v>
      </c>
      <c r="R774" s="6" t="n">
        <v>3298</v>
      </c>
      <c r="S774" s="6" t="n">
        <v>1597</v>
      </c>
      <c r="T774" s="6" t="n">
        <v>1426</v>
      </c>
      <c r="U774" s="6" t="n">
        <v>4818</v>
      </c>
      <c r="V774" s="6" t="n">
        <v>4843</v>
      </c>
    </row>
    <row r="775" customFormat="false" ht="15" hidden="false" customHeight="false" outlineLevel="0" collapsed="false">
      <c r="A775" s="5" t="s">
        <v>80</v>
      </c>
      <c r="B775" s="6" t="s">
        <v>75</v>
      </c>
      <c r="C775" s="5" t="s">
        <v>53</v>
      </c>
      <c r="D775" s="5" t="s">
        <v>48</v>
      </c>
      <c r="E775" s="6" t="n">
        <v>225851</v>
      </c>
      <c r="F775" s="6" t="n">
        <v>237009</v>
      </c>
      <c r="G775" s="6" t="n">
        <v>128043</v>
      </c>
      <c r="H775" s="6" t="n">
        <v>131398</v>
      </c>
      <c r="I775" s="6" t="n">
        <v>32117</v>
      </c>
      <c r="J775" s="6" t="n">
        <v>33875</v>
      </c>
      <c r="K775" s="6" t="n">
        <v>6847</v>
      </c>
      <c r="L775" s="6" t="n">
        <v>7010</v>
      </c>
      <c r="M775" s="6" t="n">
        <v>2943</v>
      </c>
      <c r="N775" s="6" t="n">
        <v>2995</v>
      </c>
      <c r="O775" s="6" t="n">
        <v>4342</v>
      </c>
      <c r="P775" s="6" t="n">
        <v>4498</v>
      </c>
      <c r="Q775" s="6" t="n">
        <v>4413</v>
      </c>
      <c r="R775" s="6" t="n">
        <v>4436</v>
      </c>
      <c r="S775" s="6" t="n">
        <v>2151</v>
      </c>
      <c r="T775" s="6" t="n">
        <v>2931</v>
      </c>
      <c r="U775" s="6" t="n">
        <v>4991</v>
      </c>
      <c r="V775" s="6" t="n">
        <v>4983</v>
      </c>
    </row>
    <row r="776" customFormat="false" ht="15" hidden="false" customHeight="false" outlineLevel="0" collapsed="false">
      <c r="A776" s="5" t="s">
        <v>80</v>
      </c>
      <c r="B776" s="6" t="s">
        <v>75</v>
      </c>
      <c r="C776" s="5" t="s">
        <v>54</v>
      </c>
      <c r="D776" s="5" t="s">
        <v>48</v>
      </c>
      <c r="E776" s="6" t="n">
        <v>214623</v>
      </c>
      <c r="F776" s="6" t="n">
        <v>223849</v>
      </c>
      <c r="G776" s="6" t="n">
        <v>118362</v>
      </c>
      <c r="H776" s="6" t="n">
        <v>119713</v>
      </c>
      <c r="I776" s="6" t="n">
        <v>30249</v>
      </c>
      <c r="J776" s="6" t="n">
        <v>32180</v>
      </c>
      <c r="K776" s="6" t="n">
        <v>5104</v>
      </c>
      <c r="L776" s="6" t="n">
        <v>4624</v>
      </c>
      <c r="M776" s="6" t="n">
        <v>2465</v>
      </c>
      <c r="N776" s="6" t="n">
        <v>2783</v>
      </c>
      <c r="O776" s="6" t="n">
        <v>4716</v>
      </c>
      <c r="P776" s="6" t="n">
        <v>4941</v>
      </c>
      <c r="Q776" s="6" t="n">
        <v>3131</v>
      </c>
      <c r="R776" s="6" t="n">
        <v>3016</v>
      </c>
      <c r="S776" s="6" t="n">
        <v>1709</v>
      </c>
      <c r="T776" s="6" t="n">
        <v>2358</v>
      </c>
      <c r="U776" s="6" t="n">
        <v>5199</v>
      </c>
      <c r="V776" s="6" t="n">
        <v>5141</v>
      </c>
    </row>
    <row r="777" customFormat="false" ht="15" hidden="false" customHeight="false" outlineLevel="0" collapsed="false">
      <c r="A777" s="5" t="s">
        <v>80</v>
      </c>
      <c r="B777" s="6" t="s">
        <v>75</v>
      </c>
      <c r="C777" s="5" t="s">
        <v>55</v>
      </c>
      <c r="D777" s="5" t="s">
        <v>48</v>
      </c>
      <c r="E777" s="6" t="n">
        <v>232032</v>
      </c>
      <c r="F777" s="6" t="n">
        <v>230193</v>
      </c>
      <c r="G777" s="6" t="n">
        <v>135041</v>
      </c>
      <c r="H777" s="6" t="n">
        <v>129452</v>
      </c>
      <c r="I777" s="6" t="n">
        <v>37936</v>
      </c>
      <c r="J777" s="6" t="n">
        <v>40780</v>
      </c>
      <c r="K777" s="6" t="n">
        <v>6088</v>
      </c>
      <c r="L777" s="6" t="n">
        <v>6064</v>
      </c>
      <c r="M777" s="6" t="n">
        <v>3462</v>
      </c>
      <c r="N777" s="6" t="n">
        <v>3026</v>
      </c>
      <c r="O777" s="6" t="n">
        <v>6228</v>
      </c>
      <c r="P777" s="6" t="n">
        <v>5999</v>
      </c>
      <c r="Q777" s="6" t="n">
        <v>3905</v>
      </c>
      <c r="R777" s="6" t="n">
        <v>4083</v>
      </c>
      <c r="S777" s="6" t="n">
        <v>2655</v>
      </c>
      <c r="T777" s="6" t="n">
        <v>3272</v>
      </c>
      <c r="U777" s="6" t="n">
        <v>5610</v>
      </c>
      <c r="V777" s="6" t="n">
        <v>5701</v>
      </c>
    </row>
    <row r="778" customFormat="false" ht="15" hidden="false" customHeight="false" outlineLevel="0" collapsed="false">
      <c r="A778" s="5" t="s">
        <v>80</v>
      </c>
      <c r="B778" s="6" t="s">
        <v>75</v>
      </c>
      <c r="C778" s="5" t="s">
        <v>56</v>
      </c>
      <c r="D778" s="5" t="s">
        <v>48</v>
      </c>
      <c r="E778" s="6" t="n">
        <v>252258</v>
      </c>
      <c r="F778" s="6" t="n">
        <v>246018</v>
      </c>
      <c r="G778" s="6" t="n">
        <v>148331</v>
      </c>
      <c r="H778" s="6" t="n">
        <v>144330</v>
      </c>
      <c r="I778" s="6" t="n">
        <v>35337</v>
      </c>
      <c r="J778" s="6" t="n">
        <v>36154</v>
      </c>
      <c r="K778" s="6" t="n">
        <v>8164</v>
      </c>
      <c r="L778" s="6" t="n">
        <v>8167</v>
      </c>
      <c r="M778" s="6" t="n">
        <v>2391</v>
      </c>
      <c r="N778" s="6" t="n">
        <v>2310</v>
      </c>
      <c r="O778" s="6" t="n">
        <v>6202</v>
      </c>
      <c r="P778" s="6" t="n">
        <v>6528</v>
      </c>
      <c r="Q778" s="6" t="n">
        <v>4046</v>
      </c>
      <c r="R778" s="6" t="n">
        <v>4058</v>
      </c>
      <c r="S778" s="6" t="n">
        <v>2860</v>
      </c>
      <c r="T778" s="6" t="n">
        <v>3993</v>
      </c>
      <c r="U778" s="6" t="n">
        <v>6590</v>
      </c>
      <c r="V778" s="6" t="n">
        <v>6634</v>
      </c>
    </row>
    <row r="779" customFormat="false" ht="15" hidden="false" customHeight="false" outlineLevel="0" collapsed="false">
      <c r="A779" s="5" t="s">
        <v>80</v>
      </c>
      <c r="B779" s="6" t="s">
        <v>75</v>
      </c>
      <c r="C779" s="5" t="s">
        <v>57</v>
      </c>
      <c r="D779" s="5" t="s">
        <v>48</v>
      </c>
      <c r="E779" s="6" t="n">
        <v>248903</v>
      </c>
      <c r="F779" s="6" t="n">
        <v>236156</v>
      </c>
      <c r="G779" s="6" t="n">
        <v>146359</v>
      </c>
      <c r="H779" s="6" t="n">
        <v>139513</v>
      </c>
      <c r="I779" s="6" t="n">
        <v>40216</v>
      </c>
      <c r="J779" s="6" t="n">
        <v>41430</v>
      </c>
      <c r="K779" s="6" t="n">
        <v>6990</v>
      </c>
      <c r="L779" s="6" t="n">
        <v>7526</v>
      </c>
      <c r="M779" s="6" t="n">
        <v>2069</v>
      </c>
      <c r="N779" s="6" t="n">
        <v>1999</v>
      </c>
      <c r="O779" s="6" t="n">
        <v>5494</v>
      </c>
      <c r="P779" s="6" t="n">
        <v>5675</v>
      </c>
      <c r="Q779" s="6" t="n">
        <v>4564</v>
      </c>
      <c r="R779" s="6" t="n">
        <v>4552</v>
      </c>
      <c r="S779" s="6" t="n">
        <v>2805</v>
      </c>
      <c r="T779" s="6" t="n">
        <v>3808</v>
      </c>
      <c r="U779" s="6" t="n">
        <v>7253</v>
      </c>
      <c r="V779" s="6" t="n">
        <v>7300</v>
      </c>
    </row>
    <row r="780" customFormat="false" ht="15" hidden="false" customHeight="false" outlineLevel="0" collapsed="false">
      <c r="A780" s="5" t="s">
        <v>80</v>
      </c>
      <c r="B780" s="6" t="s">
        <v>75</v>
      </c>
      <c r="C780" s="5" t="s">
        <v>58</v>
      </c>
      <c r="D780" s="5" t="s">
        <v>48</v>
      </c>
      <c r="E780" s="6" t="n">
        <v>231068</v>
      </c>
      <c r="F780" s="6" t="n">
        <v>236309</v>
      </c>
      <c r="G780" s="6" t="n">
        <v>132969</v>
      </c>
      <c r="H780" s="6" t="n">
        <v>136567</v>
      </c>
      <c r="I780" s="6" t="n">
        <v>34431</v>
      </c>
      <c r="J780" s="6" t="n">
        <v>35868</v>
      </c>
      <c r="K780" s="6" t="n">
        <v>4756</v>
      </c>
      <c r="L780" s="6" t="n">
        <v>4370</v>
      </c>
      <c r="M780" s="6" t="n">
        <v>3311</v>
      </c>
      <c r="N780" s="6" t="n">
        <v>3070</v>
      </c>
      <c r="O780" s="6" t="n">
        <v>4772</v>
      </c>
      <c r="P780" s="6" t="n">
        <v>4846</v>
      </c>
      <c r="Q780" s="6" t="n">
        <v>2848</v>
      </c>
      <c r="R780" s="6" t="n">
        <v>2977</v>
      </c>
      <c r="S780" s="6" t="n">
        <v>2009</v>
      </c>
      <c r="T780" s="6" t="n">
        <v>2086</v>
      </c>
      <c r="U780" s="6" t="n">
        <v>5615</v>
      </c>
      <c r="V780" s="6" t="n">
        <v>5770</v>
      </c>
    </row>
    <row r="781" customFormat="false" ht="15" hidden="false" customHeight="false" outlineLevel="0" collapsed="false">
      <c r="A781" s="5" t="s">
        <v>80</v>
      </c>
      <c r="B781" s="6" t="s">
        <v>75</v>
      </c>
      <c r="C781" s="5" t="s">
        <v>59</v>
      </c>
      <c r="D781" s="5" t="s">
        <v>48</v>
      </c>
      <c r="E781" s="6" t="n">
        <v>247364</v>
      </c>
      <c r="F781" s="6" t="n">
        <v>254271</v>
      </c>
      <c r="G781" s="6" t="n">
        <v>145664</v>
      </c>
      <c r="H781" s="6" t="n">
        <v>151595</v>
      </c>
      <c r="I781" s="6" t="n">
        <v>37724</v>
      </c>
      <c r="J781" s="6" t="n">
        <v>38674</v>
      </c>
      <c r="K781" s="6" t="n">
        <v>8482</v>
      </c>
      <c r="L781" s="6" t="n">
        <v>9232</v>
      </c>
      <c r="M781" s="6" t="n">
        <v>3087</v>
      </c>
      <c r="N781" s="6" t="n">
        <v>2942</v>
      </c>
      <c r="O781" s="6" t="n">
        <v>5937</v>
      </c>
      <c r="P781" s="6" t="n">
        <v>5517</v>
      </c>
      <c r="Q781" s="6" t="n">
        <v>4925</v>
      </c>
      <c r="R781" s="6" t="n">
        <v>4784</v>
      </c>
      <c r="S781" s="6" t="n">
        <v>2466</v>
      </c>
      <c r="T781" s="6" t="n">
        <v>2398</v>
      </c>
      <c r="U781" s="6" t="n">
        <v>5234</v>
      </c>
      <c r="V781" s="6" t="n">
        <v>5151</v>
      </c>
    </row>
    <row r="782" customFormat="false" ht="15" hidden="false" customHeight="false" outlineLevel="0" collapsed="false">
      <c r="A782" s="5" t="s">
        <v>80</v>
      </c>
      <c r="B782" s="6" t="s">
        <v>75</v>
      </c>
      <c r="C782" s="5" t="s">
        <v>60</v>
      </c>
      <c r="D782" s="5" t="s">
        <v>61</v>
      </c>
      <c r="E782" s="6" t="n">
        <v>251323</v>
      </c>
      <c r="F782" s="6" t="n">
        <v>249504</v>
      </c>
      <c r="G782" s="6" t="n">
        <v>140669</v>
      </c>
      <c r="H782" s="6" t="n">
        <v>141461</v>
      </c>
      <c r="I782" s="6" t="n">
        <v>36695</v>
      </c>
      <c r="J782" s="6" t="n">
        <v>38359</v>
      </c>
      <c r="K782" s="6" t="n">
        <v>5327</v>
      </c>
      <c r="L782" s="6" t="n">
        <v>5562</v>
      </c>
      <c r="M782" s="6" t="n">
        <v>3676</v>
      </c>
      <c r="N782" s="6" t="n">
        <v>2979</v>
      </c>
      <c r="O782" s="6" t="n">
        <v>4850</v>
      </c>
      <c r="P782" s="6" t="n">
        <v>5116</v>
      </c>
      <c r="Q782" s="6" t="n">
        <v>3535</v>
      </c>
      <c r="R782" s="6" t="n">
        <v>3591</v>
      </c>
      <c r="S782" s="6" t="n">
        <v>2521</v>
      </c>
      <c r="T782" s="6" t="n">
        <v>2645</v>
      </c>
      <c r="U782" s="6" t="n">
        <v>7303</v>
      </c>
      <c r="V782" s="6" t="n">
        <v>7173</v>
      </c>
    </row>
    <row r="783" customFormat="false" ht="15" hidden="false" customHeight="false" outlineLevel="0" collapsed="false">
      <c r="A783" s="5" t="s">
        <v>80</v>
      </c>
      <c r="B783" s="6" t="s">
        <v>75</v>
      </c>
      <c r="C783" s="5" t="s">
        <v>62</v>
      </c>
      <c r="D783" s="5" t="s">
        <v>61</v>
      </c>
      <c r="E783" s="6" t="n">
        <v>236966</v>
      </c>
      <c r="F783" s="6" t="n">
        <v>248989</v>
      </c>
      <c r="G783" s="6" t="n">
        <v>141209</v>
      </c>
      <c r="H783" s="6" t="n">
        <v>147247</v>
      </c>
      <c r="I783" s="6" t="n">
        <v>37031</v>
      </c>
      <c r="J783" s="6" t="n">
        <v>38155</v>
      </c>
      <c r="K783" s="6" t="n">
        <v>4983</v>
      </c>
      <c r="L783" s="6" t="n">
        <v>5705</v>
      </c>
      <c r="M783" s="6" t="n">
        <v>3344</v>
      </c>
      <c r="N783" s="6" t="n">
        <v>4101</v>
      </c>
      <c r="O783" s="6" t="n">
        <v>4273</v>
      </c>
      <c r="P783" s="6" t="n">
        <v>4115</v>
      </c>
      <c r="Q783" s="6" t="n">
        <v>4320</v>
      </c>
      <c r="R783" s="6" t="n">
        <v>4447</v>
      </c>
      <c r="S783" s="6" t="n">
        <v>2764</v>
      </c>
      <c r="T783" s="6" t="n">
        <v>3812</v>
      </c>
      <c r="U783" s="6" t="n">
        <v>5008</v>
      </c>
      <c r="V783" s="6" t="n">
        <v>4993</v>
      </c>
    </row>
    <row r="784" customFormat="false" ht="15" hidden="false" customHeight="false" outlineLevel="0" collapsed="false">
      <c r="A784" s="5" t="s">
        <v>80</v>
      </c>
      <c r="B784" s="6" t="s">
        <v>75</v>
      </c>
      <c r="C784" s="5" t="s">
        <v>63</v>
      </c>
      <c r="D784" s="5" t="s">
        <v>61</v>
      </c>
      <c r="E784" s="6" t="n">
        <v>255964</v>
      </c>
      <c r="F784" s="6" t="n">
        <v>248046</v>
      </c>
      <c r="G784" s="6" t="n">
        <v>150193</v>
      </c>
      <c r="H784" s="6" t="n">
        <v>146356</v>
      </c>
      <c r="I784" s="6" t="n">
        <v>36773</v>
      </c>
      <c r="J784" s="6" t="n">
        <v>38372</v>
      </c>
      <c r="K784" s="6" t="n">
        <v>6188</v>
      </c>
      <c r="L784" s="6" t="n">
        <v>5414</v>
      </c>
      <c r="M784" s="6" t="n">
        <v>3461</v>
      </c>
      <c r="N784" s="6" t="n">
        <v>3380</v>
      </c>
      <c r="O784" s="6" t="n">
        <v>5600</v>
      </c>
      <c r="P784" s="6" t="n">
        <v>5343</v>
      </c>
      <c r="Q784" s="6" t="n">
        <v>5007</v>
      </c>
      <c r="R784" s="6" t="n">
        <v>5120</v>
      </c>
      <c r="S784" s="6" t="n">
        <v>2935</v>
      </c>
      <c r="T784" s="6" t="n">
        <v>3440</v>
      </c>
      <c r="U784" s="6" t="n">
        <v>7601</v>
      </c>
      <c r="V784" s="6" t="n">
        <v>7723</v>
      </c>
    </row>
    <row r="785" customFormat="false" ht="15" hidden="false" customHeight="false" outlineLevel="0" collapsed="false">
      <c r="A785" s="5" t="s">
        <v>80</v>
      </c>
      <c r="B785" s="6" t="s">
        <v>75</v>
      </c>
      <c r="C785" s="5" t="s">
        <v>64</v>
      </c>
      <c r="D785" s="5" t="s">
        <v>61</v>
      </c>
      <c r="E785" s="6" t="n">
        <v>245478</v>
      </c>
      <c r="F785" s="6" t="n">
        <v>255846</v>
      </c>
      <c r="G785" s="6" t="n">
        <v>137597</v>
      </c>
      <c r="H785" s="6" t="n">
        <v>144970</v>
      </c>
      <c r="I785" s="6" t="n">
        <v>39445</v>
      </c>
      <c r="J785" s="6" t="n">
        <v>39104</v>
      </c>
      <c r="K785" s="6" t="n">
        <v>8559</v>
      </c>
      <c r="L785" s="6" t="n">
        <v>9220</v>
      </c>
      <c r="M785" s="6" t="n">
        <v>2568</v>
      </c>
      <c r="N785" s="6" t="n">
        <v>2491</v>
      </c>
      <c r="O785" s="6" t="n">
        <v>5374</v>
      </c>
      <c r="P785" s="6" t="n">
        <v>5676</v>
      </c>
      <c r="Q785" s="6" t="n">
        <v>3149</v>
      </c>
      <c r="R785" s="6" t="n">
        <v>3153</v>
      </c>
      <c r="S785" s="6" t="n">
        <v>2669</v>
      </c>
      <c r="T785" s="6" t="n">
        <v>2475</v>
      </c>
      <c r="U785" s="6" t="n">
        <v>5376</v>
      </c>
      <c r="V785" s="6" t="n">
        <v>5420</v>
      </c>
    </row>
    <row r="786" customFormat="false" ht="15" hidden="false" customHeight="false" outlineLevel="0" collapsed="false">
      <c r="A786" s="5" t="s">
        <v>80</v>
      </c>
      <c r="B786" s="6" t="s">
        <v>75</v>
      </c>
      <c r="C786" s="5" t="s">
        <v>65</v>
      </c>
      <c r="D786" s="5" t="s">
        <v>61</v>
      </c>
      <c r="E786" s="6" t="n">
        <v>269405</v>
      </c>
      <c r="F786" s="6" t="n">
        <v>261627</v>
      </c>
      <c r="G786" s="6" t="n">
        <v>146560</v>
      </c>
      <c r="H786" s="6" t="n">
        <v>150086</v>
      </c>
      <c r="I786" s="6" t="n">
        <v>39549</v>
      </c>
      <c r="J786" s="6" t="n">
        <v>41221</v>
      </c>
      <c r="K786" s="6" t="n">
        <v>9077</v>
      </c>
      <c r="L786" s="6" t="n">
        <v>9062</v>
      </c>
      <c r="M786" s="6" t="n">
        <v>3609</v>
      </c>
      <c r="N786" s="6" t="n">
        <v>3586</v>
      </c>
      <c r="O786" s="6" t="n">
        <v>6580</v>
      </c>
      <c r="P786" s="6" t="n">
        <v>6289</v>
      </c>
      <c r="Q786" s="6" t="n">
        <v>3323</v>
      </c>
      <c r="R786" s="6" t="n">
        <v>3307</v>
      </c>
      <c r="S786" s="6" t="n">
        <v>1622</v>
      </c>
      <c r="T786" s="6" t="n">
        <v>1643</v>
      </c>
      <c r="U786" s="6" t="n">
        <v>8049</v>
      </c>
      <c r="V786" s="6" t="n">
        <v>8259</v>
      </c>
    </row>
    <row r="787" customFormat="false" ht="15" hidden="false" customHeight="false" outlineLevel="0" collapsed="false">
      <c r="A787" s="5" t="s">
        <v>80</v>
      </c>
      <c r="B787" s="6" t="s">
        <v>75</v>
      </c>
      <c r="C787" s="5" t="s">
        <v>66</v>
      </c>
      <c r="D787" s="5" t="s">
        <v>61</v>
      </c>
      <c r="E787" s="6" t="n">
        <v>276968</v>
      </c>
      <c r="F787" s="6" t="n">
        <v>279804</v>
      </c>
      <c r="G787" s="6" t="n">
        <v>163481</v>
      </c>
      <c r="H787" s="6" t="n">
        <v>173123</v>
      </c>
      <c r="I787" s="6" t="n">
        <v>45938</v>
      </c>
      <c r="J787" s="6" t="n">
        <v>44991</v>
      </c>
      <c r="K787" s="6" t="n">
        <v>9042</v>
      </c>
      <c r="L787" s="6" t="n">
        <v>9299</v>
      </c>
      <c r="M787" s="6" t="n">
        <v>3304</v>
      </c>
      <c r="N787" s="6" t="n">
        <v>2836</v>
      </c>
      <c r="O787" s="6" t="n">
        <v>5361</v>
      </c>
      <c r="P787" s="6" t="n">
        <v>5409</v>
      </c>
      <c r="Q787" s="6" t="n">
        <v>5531</v>
      </c>
      <c r="R787" s="6" t="n">
        <v>5656</v>
      </c>
      <c r="S787" s="6" t="n">
        <v>2228</v>
      </c>
      <c r="T787" s="6" t="n">
        <v>2618</v>
      </c>
      <c r="U787" s="6" t="n">
        <v>5629</v>
      </c>
      <c r="V787" s="6" t="n">
        <v>5742</v>
      </c>
    </row>
    <row r="788" customFormat="false" ht="15" hidden="false" customHeight="false" outlineLevel="0" collapsed="false">
      <c r="A788" s="5" t="s">
        <v>80</v>
      </c>
      <c r="B788" s="6" t="s">
        <v>75</v>
      </c>
      <c r="C788" s="5" t="s">
        <v>67</v>
      </c>
      <c r="D788" s="5" t="s">
        <v>61</v>
      </c>
      <c r="E788" s="6" t="n">
        <v>261289</v>
      </c>
      <c r="F788" s="6" t="n">
        <v>267318</v>
      </c>
      <c r="G788" s="6" t="n">
        <v>153985</v>
      </c>
      <c r="H788" s="6" t="n">
        <v>156114</v>
      </c>
      <c r="I788" s="6" t="n">
        <v>43311</v>
      </c>
      <c r="J788" s="6" t="n">
        <v>42273</v>
      </c>
      <c r="K788" s="6" t="n">
        <v>6402</v>
      </c>
      <c r="L788" s="6" t="n">
        <v>7293</v>
      </c>
      <c r="M788" s="6" t="n">
        <v>2341</v>
      </c>
      <c r="N788" s="6" t="n">
        <v>2175</v>
      </c>
      <c r="O788" s="6" t="n">
        <v>5695</v>
      </c>
      <c r="P788" s="6" t="n">
        <v>5396</v>
      </c>
      <c r="Q788" s="6" t="n">
        <v>3846</v>
      </c>
      <c r="R788" s="6" t="n">
        <v>3812</v>
      </c>
      <c r="S788" s="6" t="n">
        <v>1684</v>
      </c>
      <c r="T788" s="6" t="n">
        <v>1884</v>
      </c>
      <c r="U788" s="6" t="n">
        <v>5422</v>
      </c>
      <c r="V788" s="6" t="n">
        <v>5360</v>
      </c>
    </row>
    <row r="789" customFormat="false" ht="15" hidden="false" customHeight="false" outlineLevel="0" collapsed="false">
      <c r="A789" s="5" t="s">
        <v>80</v>
      </c>
      <c r="B789" s="6" t="s">
        <v>75</v>
      </c>
      <c r="C789" s="5" t="s">
        <v>68</v>
      </c>
      <c r="D789" s="5" t="s">
        <v>61</v>
      </c>
      <c r="E789" s="6" t="n">
        <v>252874</v>
      </c>
      <c r="F789" s="6" t="n">
        <v>268236</v>
      </c>
      <c r="G789" s="6" t="n">
        <v>151440</v>
      </c>
      <c r="H789" s="6" t="n">
        <v>159671</v>
      </c>
      <c r="I789" s="6" t="n">
        <v>40802</v>
      </c>
      <c r="J789" s="6" t="n">
        <v>43480</v>
      </c>
      <c r="K789" s="6" t="n">
        <v>8590</v>
      </c>
      <c r="L789" s="6" t="n">
        <v>8855</v>
      </c>
      <c r="M789" s="6" t="n">
        <v>3530</v>
      </c>
      <c r="N789" s="6" t="n">
        <v>3464</v>
      </c>
      <c r="O789" s="6" t="n">
        <v>4792</v>
      </c>
      <c r="P789" s="6" t="n">
        <v>4637</v>
      </c>
      <c r="Q789" s="6" t="n">
        <v>3710</v>
      </c>
      <c r="R789" s="6" t="n">
        <v>3854</v>
      </c>
      <c r="S789" s="6" t="n">
        <v>1794</v>
      </c>
      <c r="T789" s="6" t="n">
        <v>1664</v>
      </c>
      <c r="U789" s="6" t="n">
        <v>7081</v>
      </c>
      <c r="V789" s="6" t="n">
        <v>6967</v>
      </c>
    </row>
    <row r="790" customFormat="false" ht="15" hidden="false" customHeight="false" outlineLevel="0" collapsed="false">
      <c r="A790" s="5" t="s">
        <v>80</v>
      </c>
      <c r="B790" s="6" t="s">
        <v>75</v>
      </c>
      <c r="C790" s="5" t="s">
        <v>69</v>
      </c>
      <c r="D790" s="5" t="s">
        <v>61</v>
      </c>
      <c r="E790" s="6" t="n">
        <v>294207</v>
      </c>
      <c r="F790" s="6" t="n">
        <v>282626</v>
      </c>
      <c r="G790" s="6" t="n">
        <v>168584</v>
      </c>
      <c r="H790" s="6" t="n">
        <v>163945</v>
      </c>
      <c r="I790" s="6" t="n">
        <v>48773</v>
      </c>
      <c r="J790" s="6" t="n">
        <v>51664</v>
      </c>
      <c r="K790" s="6" t="n">
        <v>8307</v>
      </c>
      <c r="L790" s="6" t="n">
        <v>8500</v>
      </c>
      <c r="M790" s="6" t="n">
        <v>3776</v>
      </c>
      <c r="N790" s="6" t="n">
        <v>3582</v>
      </c>
      <c r="O790" s="6" t="n">
        <v>6921</v>
      </c>
      <c r="P790" s="6" t="n">
        <v>6738</v>
      </c>
      <c r="Q790" s="6" t="n">
        <v>5638</v>
      </c>
      <c r="R790" s="6" t="n">
        <v>5780</v>
      </c>
      <c r="S790" s="6" t="n">
        <v>1837</v>
      </c>
      <c r="T790" s="6" t="n">
        <v>2482</v>
      </c>
      <c r="U790" s="6" t="n">
        <v>7120</v>
      </c>
      <c r="V790" s="6" t="n">
        <v>7187</v>
      </c>
    </row>
    <row r="791" customFormat="false" ht="15" hidden="false" customHeight="false" outlineLevel="0" collapsed="false">
      <c r="A791" s="5" t="s">
        <v>80</v>
      </c>
      <c r="B791" s="6" t="s">
        <v>75</v>
      </c>
      <c r="C791" s="5" t="s">
        <v>70</v>
      </c>
      <c r="D791" s="5" t="s">
        <v>61</v>
      </c>
      <c r="E791" s="6" t="n">
        <v>255006</v>
      </c>
      <c r="F791" s="6" t="n">
        <v>269492</v>
      </c>
      <c r="G791" s="6" t="n">
        <v>138755</v>
      </c>
      <c r="H791" s="6" t="n">
        <v>154035</v>
      </c>
      <c r="I791" s="6" t="n">
        <v>40201</v>
      </c>
      <c r="J791" s="6" t="n">
        <v>39467</v>
      </c>
      <c r="K791" s="6" t="n">
        <v>6925</v>
      </c>
      <c r="L791" s="6" t="n">
        <v>6861</v>
      </c>
      <c r="M791" s="6" t="n">
        <v>2685</v>
      </c>
      <c r="N791" s="6" t="n">
        <v>2876</v>
      </c>
      <c r="O791" s="6" t="n">
        <v>5264</v>
      </c>
      <c r="P791" s="6" t="n">
        <v>5403</v>
      </c>
      <c r="Q791" s="6" t="n">
        <v>4205</v>
      </c>
      <c r="R791" s="6" t="n">
        <v>4329</v>
      </c>
      <c r="S791" s="6" t="n">
        <v>1656</v>
      </c>
      <c r="T791" s="6" t="n">
        <v>1492</v>
      </c>
      <c r="U791" s="6" t="n">
        <v>6754</v>
      </c>
      <c r="V791" s="6" t="n">
        <v>6782</v>
      </c>
    </row>
    <row r="792" customFormat="false" ht="15" hidden="false" customHeight="false" outlineLevel="0" collapsed="false">
      <c r="A792" s="5" t="s">
        <v>80</v>
      </c>
      <c r="B792" s="6" t="s">
        <v>75</v>
      </c>
      <c r="C792" s="5" t="s">
        <v>71</v>
      </c>
      <c r="D792" s="5" t="s">
        <v>61</v>
      </c>
      <c r="E792" s="6" t="n">
        <v>280941</v>
      </c>
      <c r="F792" s="6" t="n">
        <v>276598</v>
      </c>
      <c r="G792" s="6" t="n">
        <v>151992</v>
      </c>
      <c r="H792" s="6" t="n">
        <v>147131</v>
      </c>
      <c r="I792" s="6" t="n">
        <v>45300</v>
      </c>
      <c r="J792" s="6" t="n">
        <v>44785</v>
      </c>
      <c r="K792" s="6" t="n">
        <v>9653</v>
      </c>
      <c r="L792" s="6" t="n">
        <v>10707</v>
      </c>
      <c r="M792" s="6" t="n">
        <v>3250</v>
      </c>
      <c r="N792" s="6" t="n">
        <v>4208</v>
      </c>
      <c r="O792" s="6" t="n">
        <v>5072</v>
      </c>
      <c r="P792" s="6" t="n">
        <v>5144</v>
      </c>
      <c r="Q792" s="6" t="n">
        <v>3986</v>
      </c>
      <c r="R792" s="6" t="n">
        <v>4103</v>
      </c>
      <c r="S792" s="6" t="n">
        <v>2994</v>
      </c>
      <c r="T792" s="6" t="n">
        <v>2732</v>
      </c>
      <c r="U792" s="6" t="n">
        <v>7157</v>
      </c>
      <c r="V792" s="6" t="n">
        <v>6968</v>
      </c>
    </row>
    <row r="793" customFormat="false" ht="15" hidden="false" customHeight="false" outlineLevel="0" collapsed="false">
      <c r="A793" s="5" t="s">
        <v>80</v>
      </c>
      <c r="B793" s="6" t="s">
        <v>75</v>
      </c>
      <c r="C793" s="5" t="s">
        <v>72</v>
      </c>
      <c r="D793" s="5" t="s">
        <v>61</v>
      </c>
      <c r="E793" s="6" t="n">
        <v>296487</v>
      </c>
      <c r="F793" s="6" t="n">
        <v>290666</v>
      </c>
      <c r="G793" s="6" t="n">
        <v>163527</v>
      </c>
      <c r="H793" s="6" t="n">
        <v>162173</v>
      </c>
      <c r="I793" s="6" t="n">
        <v>44570</v>
      </c>
      <c r="J793" s="6" t="n">
        <v>45216</v>
      </c>
      <c r="K793" s="6" t="n">
        <v>8557</v>
      </c>
      <c r="L793" s="6" t="n">
        <v>9611</v>
      </c>
      <c r="M793" s="6" t="n">
        <v>2969</v>
      </c>
      <c r="N793" s="6" t="n">
        <v>2745</v>
      </c>
      <c r="O793" s="6" t="n">
        <v>7875</v>
      </c>
      <c r="P793" s="6" t="n">
        <v>7422</v>
      </c>
      <c r="Q793" s="6" t="n">
        <v>4555</v>
      </c>
      <c r="R793" s="6" t="n">
        <v>4623</v>
      </c>
      <c r="S793" s="6" t="n">
        <v>2664</v>
      </c>
      <c r="T793" s="6" t="n">
        <v>3694</v>
      </c>
      <c r="U793" s="6" t="n">
        <v>7132</v>
      </c>
      <c r="V793" s="6" t="n">
        <v>7000</v>
      </c>
    </row>
    <row r="794" customFormat="false" ht="15" hidden="false" customHeight="false" outlineLevel="0" collapsed="false">
      <c r="A794" s="5" t="s">
        <v>80</v>
      </c>
      <c r="B794" s="6" t="s">
        <v>76</v>
      </c>
      <c r="C794" s="5" t="s">
        <v>34</v>
      </c>
      <c r="D794" s="5" t="s">
        <v>35</v>
      </c>
      <c r="E794" s="6" t="n">
        <v>184629</v>
      </c>
      <c r="F794" s="6" t="n">
        <v>181561</v>
      </c>
      <c r="G794" s="6" t="n">
        <v>101029</v>
      </c>
      <c r="H794" s="6" t="n">
        <v>101810</v>
      </c>
      <c r="I794" s="6" t="n">
        <v>26582</v>
      </c>
      <c r="J794" s="6" t="n">
        <v>25902</v>
      </c>
      <c r="K794" s="6" t="n">
        <v>6457</v>
      </c>
      <c r="L794" s="6" t="n">
        <v>6931</v>
      </c>
      <c r="M794" s="6" t="n">
        <v>2422</v>
      </c>
      <c r="N794" s="6" t="n">
        <v>2766</v>
      </c>
      <c r="O794" s="6" t="n">
        <v>3569</v>
      </c>
      <c r="P794" s="6" t="n">
        <v>3424</v>
      </c>
      <c r="Q794" s="6" t="n">
        <v>3633</v>
      </c>
      <c r="R794" s="6" t="n">
        <v>3660</v>
      </c>
      <c r="S794" s="6" t="n">
        <v>1830</v>
      </c>
      <c r="T794" s="6" t="n">
        <v>2252</v>
      </c>
      <c r="U794" s="6" t="n">
        <v>5225</v>
      </c>
      <c r="V794" s="6" t="n">
        <v>5073</v>
      </c>
    </row>
    <row r="795" customFormat="false" ht="15" hidden="false" customHeight="false" outlineLevel="0" collapsed="false">
      <c r="A795" s="5" t="s">
        <v>80</v>
      </c>
      <c r="B795" s="6" t="s">
        <v>76</v>
      </c>
      <c r="C795" s="5" t="s">
        <v>36</v>
      </c>
      <c r="D795" s="5" t="s">
        <v>35</v>
      </c>
      <c r="E795" s="6" t="n">
        <v>173447</v>
      </c>
      <c r="F795" s="6" t="n">
        <v>179783</v>
      </c>
      <c r="G795" s="6" t="n">
        <v>95164</v>
      </c>
      <c r="H795" s="6" t="n">
        <v>101556</v>
      </c>
      <c r="I795" s="6" t="n">
        <v>28370</v>
      </c>
      <c r="J795" s="6" t="n">
        <v>30230</v>
      </c>
      <c r="K795" s="6" t="n">
        <v>4315</v>
      </c>
      <c r="L795" s="6" t="n">
        <v>4200</v>
      </c>
      <c r="M795" s="6" t="n">
        <v>2188</v>
      </c>
      <c r="N795" s="6" t="n">
        <v>2495</v>
      </c>
      <c r="O795" s="6" t="n">
        <v>3891</v>
      </c>
      <c r="P795" s="6" t="n">
        <v>3721</v>
      </c>
      <c r="Q795" s="6" t="n">
        <v>2963</v>
      </c>
      <c r="R795" s="6" t="n">
        <v>2876</v>
      </c>
      <c r="S795" s="6" t="n">
        <v>1408</v>
      </c>
      <c r="T795" s="6" t="n">
        <v>1861</v>
      </c>
      <c r="U795" s="6" t="n">
        <v>4957</v>
      </c>
      <c r="V795" s="6" t="n">
        <v>5005</v>
      </c>
    </row>
    <row r="796" customFormat="false" ht="15" hidden="false" customHeight="false" outlineLevel="0" collapsed="false">
      <c r="A796" s="5" t="s">
        <v>80</v>
      </c>
      <c r="B796" s="6" t="s">
        <v>76</v>
      </c>
      <c r="C796" s="5" t="s">
        <v>37</v>
      </c>
      <c r="D796" s="5" t="s">
        <v>35</v>
      </c>
      <c r="E796" s="6" t="n">
        <v>190537</v>
      </c>
      <c r="F796" s="6" t="n">
        <v>180793</v>
      </c>
      <c r="G796" s="6" t="n">
        <v>107891</v>
      </c>
      <c r="H796" s="6" t="n">
        <v>101037</v>
      </c>
      <c r="I796" s="6" t="n">
        <v>29152</v>
      </c>
      <c r="J796" s="6" t="n">
        <v>28786</v>
      </c>
      <c r="K796" s="6" t="n">
        <v>6044</v>
      </c>
      <c r="L796" s="6" t="n">
        <v>6649</v>
      </c>
      <c r="M796" s="6" t="n">
        <v>2522</v>
      </c>
      <c r="N796" s="6" t="n">
        <v>2679</v>
      </c>
      <c r="O796" s="6" t="n">
        <v>3818</v>
      </c>
      <c r="P796" s="6" t="n">
        <v>3588</v>
      </c>
      <c r="Q796" s="6" t="n">
        <v>2724</v>
      </c>
      <c r="R796" s="6" t="n">
        <v>2665</v>
      </c>
      <c r="S796" s="6" t="n">
        <v>1346</v>
      </c>
      <c r="T796" s="6" t="n">
        <v>1698</v>
      </c>
      <c r="U796" s="6" t="n">
        <v>4712</v>
      </c>
      <c r="V796" s="6" t="n">
        <v>4786</v>
      </c>
    </row>
    <row r="797" customFormat="false" ht="15" hidden="false" customHeight="false" outlineLevel="0" collapsed="false">
      <c r="A797" s="5" t="s">
        <v>80</v>
      </c>
      <c r="B797" s="6" t="s">
        <v>76</v>
      </c>
      <c r="C797" s="5" t="s">
        <v>38</v>
      </c>
      <c r="D797" s="5" t="s">
        <v>35</v>
      </c>
      <c r="E797" s="6" t="n">
        <v>177742</v>
      </c>
      <c r="F797" s="6" t="n">
        <v>178719</v>
      </c>
      <c r="G797" s="6" t="n">
        <v>99214</v>
      </c>
      <c r="H797" s="6" t="n">
        <v>98190</v>
      </c>
      <c r="I797" s="6" t="n">
        <v>25955</v>
      </c>
      <c r="J797" s="6" t="n">
        <v>27643</v>
      </c>
      <c r="K797" s="6" t="n">
        <v>5793</v>
      </c>
      <c r="L797" s="6" t="n">
        <v>6599</v>
      </c>
      <c r="M797" s="6" t="n">
        <v>1757</v>
      </c>
      <c r="N797" s="6" t="n">
        <v>1828</v>
      </c>
      <c r="O797" s="6" t="n">
        <v>3978</v>
      </c>
      <c r="P797" s="6" t="n">
        <v>3755</v>
      </c>
      <c r="Q797" s="6" t="n">
        <v>3243</v>
      </c>
      <c r="R797" s="6" t="n">
        <v>3290</v>
      </c>
      <c r="S797" s="6" t="n">
        <v>1477</v>
      </c>
      <c r="T797" s="6" t="n">
        <v>2056</v>
      </c>
      <c r="U797" s="6" t="n">
        <v>4536</v>
      </c>
      <c r="V797" s="6" t="n">
        <v>4575</v>
      </c>
    </row>
    <row r="798" customFormat="false" ht="15" hidden="false" customHeight="false" outlineLevel="0" collapsed="false">
      <c r="A798" s="5" t="s">
        <v>80</v>
      </c>
      <c r="B798" s="6" t="s">
        <v>76</v>
      </c>
      <c r="C798" s="5" t="s">
        <v>39</v>
      </c>
      <c r="D798" s="5" t="s">
        <v>35</v>
      </c>
      <c r="E798" s="6" t="n">
        <v>172299</v>
      </c>
      <c r="F798" s="6" t="n">
        <v>177240</v>
      </c>
      <c r="G798" s="6" t="n">
        <v>96875</v>
      </c>
      <c r="H798" s="6" t="n">
        <v>98367</v>
      </c>
      <c r="I798" s="6" t="n">
        <v>24633</v>
      </c>
      <c r="J798" s="6" t="n">
        <v>26230</v>
      </c>
      <c r="K798" s="6" t="n">
        <v>4781</v>
      </c>
      <c r="L798" s="6" t="n">
        <v>4509</v>
      </c>
      <c r="M798" s="6" t="n">
        <v>1865</v>
      </c>
      <c r="N798" s="6" t="n">
        <v>1551</v>
      </c>
      <c r="O798" s="6" t="n">
        <v>4751</v>
      </c>
      <c r="P798" s="6" t="n">
        <v>4463</v>
      </c>
      <c r="Q798" s="6" t="n">
        <v>3306</v>
      </c>
      <c r="R798" s="6" t="n">
        <v>3224</v>
      </c>
      <c r="S798" s="6" t="n">
        <v>1286</v>
      </c>
      <c r="T798" s="6" t="n">
        <v>1768</v>
      </c>
      <c r="U798" s="6" t="n">
        <v>5051</v>
      </c>
      <c r="V798" s="6" t="n">
        <v>5159</v>
      </c>
    </row>
    <row r="799" customFormat="false" ht="15" hidden="false" customHeight="false" outlineLevel="0" collapsed="false">
      <c r="A799" s="5" t="s">
        <v>80</v>
      </c>
      <c r="B799" s="6" t="s">
        <v>76</v>
      </c>
      <c r="C799" s="5" t="s">
        <v>40</v>
      </c>
      <c r="D799" s="5" t="s">
        <v>35</v>
      </c>
      <c r="E799" s="6" t="n">
        <v>196941</v>
      </c>
      <c r="F799" s="6" t="n">
        <v>187397</v>
      </c>
      <c r="G799" s="6" t="n">
        <v>117241</v>
      </c>
      <c r="H799" s="6" t="n">
        <v>113691</v>
      </c>
      <c r="I799" s="6" t="n">
        <v>33347</v>
      </c>
      <c r="J799" s="6" t="n">
        <v>32359</v>
      </c>
      <c r="K799" s="6" t="n">
        <v>6771</v>
      </c>
      <c r="L799" s="6" t="n">
        <v>6420</v>
      </c>
      <c r="M799" s="6" t="n">
        <v>2526</v>
      </c>
      <c r="N799" s="6" t="n">
        <v>2720</v>
      </c>
      <c r="O799" s="6" t="n">
        <v>4663</v>
      </c>
      <c r="P799" s="6" t="n">
        <v>4291</v>
      </c>
      <c r="Q799" s="6" t="n">
        <v>2668</v>
      </c>
      <c r="R799" s="6" t="n">
        <v>2564</v>
      </c>
      <c r="S799" s="6" t="n">
        <v>1544</v>
      </c>
      <c r="T799" s="6" t="n">
        <v>1943</v>
      </c>
      <c r="U799" s="6" t="n">
        <v>4433</v>
      </c>
      <c r="V799" s="6" t="n">
        <v>4514</v>
      </c>
    </row>
    <row r="800" customFormat="false" ht="15" hidden="false" customHeight="false" outlineLevel="0" collapsed="false">
      <c r="A800" s="5" t="s">
        <v>80</v>
      </c>
      <c r="B800" s="6" t="s">
        <v>76</v>
      </c>
      <c r="C800" s="5" t="s">
        <v>41</v>
      </c>
      <c r="D800" s="5" t="s">
        <v>35</v>
      </c>
      <c r="E800" s="6" t="n">
        <v>183327</v>
      </c>
      <c r="F800" s="6" t="n">
        <v>180536</v>
      </c>
      <c r="G800" s="6" t="n">
        <v>106365</v>
      </c>
      <c r="H800" s="6" t="n">
        <v>109806</v>
      </c>
      <c r="I800" s="6" t="n">
        <v>28774</v>
      </c>
      <c r="J800" s="6" t="n">
        <v>29040</v>
      </c>
      <c r="K800" s="6" t="n">
        <v>4711</v>
      </c>
      <c r="L800" s="6" t="n">
        <v>4887</v>
      </c>
      <c r="M800" s="6" t="n">
        <v>2609</v>
      </c>
      <c r="N800" s="6" t="n">
        <v>2511</v>
      </c>
      <c r="O800" s="6" t="n">
        <v>4872</v>
      </c>
      <c r="P800" s="6" t="n">
        <v>4795</v>
      </c>
      <c r="Q800" s="6" t="n">
        <v>3313</v>
      </c>
      <c r="R800" s="6" t="n">
        <v>3324</v>
      </c>
      <c r="S800" s="6" t="n">
        <v>1642</v>
      </c>
      <c r="T800" s="6" t="n">
        <v>1738</v>
      </c>
      <c r="U800" s="6" t="n">
        <v>4698</v>
      </c>
      <c r="V800" s="6" t="n">
        <v>4751</v>
      </c>
    </row>
    <row r="801" customFormat="false" ht="15" hidden="false" customHeight="false" outlineLevel="0" collapsed="false">
      <c r="A801" s="5" t="s">
        <v>80</v>
      </c>
      <c r="B801" s="6" t="s">
        <v>76</v>
      </c>
      <c r="C801" s="5" t="s">
        <v>42</v>
      </c>
      <c r="D801" s="5" t="s">
        <v>35</v>
      </c>
      <c r="E801" s="6" t="n">
        <v>187233</v>
      </c>
      <c r="F801" s="6" t="n">
        <v>178741</v>
      </c>
      <c r="G801" s="6" t="n">
        <v>103704</v>
      </c>
      <c r="H801" s="6" t="n">
        <v>103170</v>
      </c>
      <c r="I801" s="6" t="n">
        <v>27364</v>
      </c>
      <c r="J801" s="6" t="n">
        <v>27784</v>
      </c>
      <c r="K801" s="6" t="n">
        <v>6542</v>
      </c>
      <c r="L801" s="6" t="n">
        <v>5703</v>
      </c>
      <c r="M801" s="6" t="n">
        <v>2390</v>
      </c>
      <c r="N801" s="6" t="n">
        <v>3078</v>
      </c>
      <c r="O801" s="6" t="n">
        <v>4196</v>
      </c>
      <c r="P801" s="6" t="n">
        <v>3963</v>
      </c>
      <c r="Q801" s="6" t="n">
        <v>3352</v>
      </c>
      <c r="R801" s="6" t="n">
        <v>3258</v>
      </c>
      <c r="S801" s="6" t="n">
        <v>1232</v>
      </c>
      <c r="T801" s="6" t="n">
        <v>1175</v>
      </c>
      <c r="U801" s="6" t="n">
        <v>5464</v>
      </c>
      <c r="V801" s="6" t="n">
        <v>5434</v>
      </c>
    </row>
    <row r="802" customFormat="false" ht="15" hidden="false" customHeight="false" outlineLevel="0" collapsed="false">
      <c r="A802" s="5" t="s">
        <v>80</v>
      </c>
      <c r="B802" s="6" t="s">
        <v>76</v>
      </c>
      <c r="C802" s="5" t="s">
        <v>43</v>
      </c>
      <c r="D802" s="5" t="s">
        <v>35</v>
      </c>
      <c r="E802" s="6" t="n">
        <v>195423</v>
      </c>
      <c r="F802" s="6" t="n">
        <v>192126</v>
      </c>
      <c r="G802" s="6" t="n">
        <v>115962</v>
      </c>
      <c r="H802" s="6" t="n">
        <v>118742</v>
      </c>
      <c r="I802" s="6" t="n">
        <v>27907</v>
      </c>
      <c r="J802" s="6" t="n">
        <v>29905</v>
      </c>
      <c r="K802" s="6" t="n">
        <v>5702</v>
      </c>
      <c r="L802" s="6" t="n">
        <v>5007</v>
      </c>
      <c r="M802" s="6" t="n">
        <v>1906</v>
      </c>
      <c r="N802" s="6" t="n">
        <v>2095</v>
      </c>
      <c r="O802" s="6" t="n">
        <v>4976</v>
      </c>
      <c r="P802" s="6" t="n">
        <v>5418</v>
      </c>
      <c r="Q802" s="6" t="n">
        <v>2722</v>
      </c>
      <c r="R802" s="6" t="n">
        <v>2715</v>
      </c>
      <c r="S802" s="6" t="n">
        <v>1497</v>
      </c>
      <c r="T802" s="6" t="n">
        <v>1348</v>
      </c>
      <c r="U802" s="6" t="n">
        <v>5388</v>
      </c>
      <c r="V802" s="6" t="n">
        <v>5462</v>
      </c>
    </row>
    <row r="803" customFormat="false" ht="15" hidden="false" customHeight="false" outlineLevel="0" collapsed="false">
      <c r="A803" s="5" t="s">
        <v>80</v>
      </c>
      <c r="B803" s="6" t="s">
        <v>76</v>
      </c>
      <c r="C803" s="5" t="s">
        <v>44</v>
      </c>
      <c r="D803" s="5" t="s">
        <v>35</v>
      </c>
      <c r="E803" s="6" t="n">
        <v>187366</v>
      </c>
      <c r="F803" s="6" t="n">
        <v>187601</v>
      </c>
      <c r="G803" s="6" t="n">
        <v>112333</v>
      </c>
      <c r="H803" s="6" t="n">
        <v>116185</v>
      </c>
      <c r="I803" s="6" t="n">
        <v>31220</v>
      </c>
      <c r="J803" s="6" t="n">
        <v>30627</v>
      </c>
      <c r="K803" s="6" t="n">
        <v>5163</v>
      </c>
      <c r="L803" s="6" t="n">
        <v>4744</v>
      </c>
      <c r="M803" s="6" t="n">
        <v>2254</v>
      </c>
      <c r="N803" s="6" t="n">
        <v>1803</v>
      </c>
      <c r="O803" s="6" t="n">
        <v>4677</v>
      </c>
      <c r="P803" s="6" t="n">
        <v>5090</v>
      </c>
      <c r="Q803" s="6" t="n">
        <v>3378</v>
      </c>
      <c r="R803" s="6" t="n">
        <v>3397</v>
      </c>
      <c r="S803" s="6" t="n">
        <v>1309</v>
      </c>
      <c r="T803" s="6" t="n">
        <v>1628</v>
      </c>
      <c r="U803" s="6" t="n">
        <v>5585</v>
      </c>
      <c r="V803" s="6" t="n">
        <v>5609</v>
      </c>
    </row>
    <row r="804" customFormat="false" ht="15" hidden="false" customHeight="false" outlineLevel="0" collapsed="false">
      <c r="A804" s="5" t="s">
        <v>80</v>
      </c>
      <c r="B804" s="6" t="s">
        <v>76</v>
      </c>
      <c r="C804" s="5" t="s">
        <v>45</v>
      </c>
      <c r="D804" s="5" t="s">
        <v>35</v>
      </c>
      <c r="E804" s="6" t="n">
        <v>182984</v>
      </c>
      <c r="F804" s="6" t="n">
        <v>189994</v>
      </c>
      <c r="G804" s="6" t="n">
        <v>107840</v>
      </c>
      <c r="H804" s="6" t="n">
        <v>110396</v>
      </c>
      <c r="I804" s="6" t="n">
        <v>25866</v>
      </c>
      <c r="J804" s="6" t="n">
        <v>25600</v>
      </c>
      <c r="K804" s="6" t="n">
        <v>5930</v>
      </c>
      <c r="L804" s="6" t="n">
        <v>5392</v>
      </c>
      <c r="M804" s="6" t="n">
        <v>1842</v>
      </c>
      <c r="N804" s="6" t="n">
        <v>1530</v>
      </c>
      <c r="O804" s="6" t="n">
        <v>4116</v>
      </c>
      <c r="P804" s="6" t="n">
        <v>4245</v>
      </c>
      <c r="Q804" s="6" t="n">
        <v>2242</v>
      </c>
      <c r="R804" s="6" t="n">
        <v>2293</v>
      </c>
      <c r="S804" s="6" t="n">
        <v>1893</v>
      </c>
      <c r="T804" s="6" t="n">
        <v>1931</v>
      </c>
      <c r="U804" s="6" t="n">
        <v>5044</v>
      </c>
      <c r="V804" s="6" t="n">
        <v>5123</v>
      </c>
    </row>
    <row r="805" customFormat="false" ht="15" hidden="false" customHeight="false" outlineLevel="0" collapsed="false">
      <c r="A805" s="5" t="s">
        <v>80</v>
      </c>
      <c r="B805" s="6" t="s">
        <v>76</v>
      </c>
      <c r="C805" s="5" t="s">
        <v>46</v>
      </c>
      <c r="D805" s="5" t="s">
        <v>35</v>
      </c>
      <c r="E805" s="6" t="n">
        <v>201306</v>
      </c>
      <c r="F805" s="6" t="n">
        <v>202967</v>
      </c>
      <c r="G805" s="6" t="n">
        <v>117014</v>
      </c>
      <c r="H805" s="6" t="n">
        <v>122380</v>
      </c>
      <c r="I805" s="6" t="n">
        <v>29143</v>
      </c>
      <c r="J805" s="6" t="n">
        <v>29481</v>
      </c>
      <c r="K805" s="6" t="n">
        <v>4544</v>
      </c>
      <c r="L805" s="6" t="n">
        <v>3910</v>
      </c>
      <c r="M805" s="6" t="n">
        <v>1857</v>
      </c>
      <c r="N805" s="6" t="n">
        <v>2268</v>
      </c>
      <c r="O805" s="6" t="n">
        <v>4470</v>
      </c>
      <c r="P805" s="6" t="n">
        <v>4181</v>
      </c>
      <c r="Q805" s="6" t="n">
        <v>2669</v>
      </c>
      <c r="R805" s="6" t="n">
        <v>2555</v>
      </c>
      <c r="S805" s="6" t="n">
        <v>1709</v>
      </c>
      <c r="T805" s="6" t="n">
        <v>1813</v>
      </c>
      <c r="U805" s="6" t="n">
        <v>5435</v>
      </c>
      <c r="V805" s="6" t="n">
        <v>5326</v>
      </c>
    </row>
    <row r="806" customFormat="false" ht="15" hidden="false" customHeight="false" outlineLevel="0" collapsed="false">
      <c r="A806" s="5" t="s">
        <v>80</v>
      </c>
      <c r="B806" s="6" t="s">
        <v>76</v>
      </c>
      <c r="C806" s="5" t="s">
        <v>47</v>
      </c>
      <c r="D806" s="5" t="s">
        <v>48</v>
      </c>
      <c r="E806" s="6" t="n">
        <v>201570</v>
      </c>
      <c r="F806" s="6" t="n">
        <v>196530</v>
      </c>
      <c r="G806" s="6" t="n">
        <v>119537</v>
      </c>
      <c r="H806" s="6" t="n">
        <v>117834</v>
      </c>
      <c r="I806" s="6" t="n">
        <v>33668</v>
      </c>
      <c r="J806" s="6" t="n">
        <v>34849</v>
      </c>
      <c r="K806" s="6" t="n">
        <v>6940</v>
      </c>
      <c r="L806" s="6" t="n">
        <v>7118</v>
      </c>
      <c r="M806" s="6" t="n">
        <v>2078</v>
      </c>
      <c r="N806" s="6" t="n">
        <v>2133</v>
      </c>
      <c r="O806" s="6" t="n">
        <v>5299</v>
      </c>
      <c r="P806" s="6" t="n">
        <v>5442</v>
      </c>
      <c r="Q806" s="6" t="n">
        <v>3484</v>
      </c>
      <c r="R806" s="6" t="n">
        <v>3385</v>
      </c>
      <c r="S806" s="6" t="n">
        <v>1753</v>
      </c>
      <c r="T806" s="6" t="n">
        <v>1583</v>
      </c>
      <c r="U806" s="6" t="n">
        <v>5718</v>
      </c>
      <c r="V806" s="6" t="n">
        <v>5699</v>
      </c>
    </row>
    <row r="807" customFormat="false" ht="15" hidden="false" customHeight="false" outlineLevel="0" collapsed="false">
      <c r="A807" s="5" t="s">
        <v>80</v>
      </c>
      <c r="B807" s="6" t="s">
        <v>76</v>
      </c>
      <c r="C807" s="5" t="s">
        <v>49</v>
      </c>
      <c r="D807" s="5" t="s">
        <v>48</v>
      </c>
      <c r="E807" s="6" t="n">
        <v>198759</v>
      </c>
      <c r="F807" s="6" t="n">
        <v>196256</v>
      </c>
      <c r="G807" s="6" t="n">
        <v>118375</v>
      </c>
      <c r="H807" s="6" t="n">
        <v>120793</v>
      </c>
      <c r="I807" s="6" t="n">
        <v>32809</v>
      </c>
      <c r="J807" s="6" t="n">
        <v>32533</v>
      </c>
      <c r="K807" s="6" t="n">
        <v>4856</v>
      </c>
      <c r="L807" s="6" t="n">
        <v>5253</v>
      </c>
      <c r="M807" s="6" t="n">
        <v>2237</v>
      </c>
      <c r="N807" s="6" t="n">
        <v>1891</v>
      </c>
      <c r="O807" s="6" t="n">
        <v>4733</v>
      </c>
      <c r="P807" s="6" t="n">
        <v>5033</v>
      </c>
      <c r="Q807" s="6" t="n">
        <v>2587</v>
      </c>
      <c r="R807" s="6" t="n">
        <v>2472</v>
      </c>
      <c r="S807" s="6" t="n">
        <v>2071</v>
      </c>
      <c r="T807" s="6" t="n">
        <v>2320</v>
      </c>
      <c r="U807" s="6" t="n">
        <v>5679</v>
      </c>
      <c r="V807" s="6" t="n">
        <v>5699</v>
      </c>
    </row>
    <row r="808" customFormat="false" ht="15" hidden="false" customHeight="false" outlineLevel="0" collapsed="false">
      <c r="A808" s="5" t="s">
        <v>80</v>
      </c>
      <c r="B808" s="6" t="s">
        <v>76</v>
      </c>
      <c r="C808" s="5" t="s">
        <v>50</v>
      </c>
      <c r="D808" s="5" t="s">
        <v>48</v>
      </c>
      <c r="E808" s="6" t="n">
        <v>200137</v>
      </c>
      <c r="F808" s="6" t="n">
        <v>196606</v>
      </c>
      <c r="G808" s="6" t="n">
        <v>116629</v>
      </c>
      <c r="H808" s="6" t="n">
        <v>118668</v>
      </c>
      <c r="I808" s="6" t="n">
        <v>28336</v>
      </c>
      <c r="J808" s="6" t="n">
        <v>28046</v>
      </c>
      <c r="K808" s="6" t="n">
        <v>6632</v>
      </c>
      <c r="L808" s="6" t="n">
        <v>7227</v>
      </c>
      <c r="M808" s="6" t="n">
        <v>1938</v>
      </c>
      <c r="N808" s="6" t="n">
        <v>1600</v>
      </c>
      <c r="O808" s="6" t="n">
        <v>5320</v>
      </c>
      <c r="P808" s="6" t="n">
        <v>5415</v>
      </c>
      <c r="Q808" s="6" t="n">
        <v>2520</v>
      </c>
      <c r="R808" s="6" t="n">
        <v>2530</v>
      </c>
      <c r="S808" s="6" t="n">
        <v>1301</v>
      </c>
      <c r="T808" s="6" t="n">
        <v>1451</v>
      </c>
      <c r="U808" s="6" t="n">
        <v>4190</v>
      </c>
      <c r="V808" s="6" t="n">
        <v>4130</v>
      </c>
    </row>
    <row r="809" customFormat="false" ht="15" hidden="false" customHeight="false" outlineLevel="0" collapsed="false">
      <c r="A809" s="5" t="s">
        <v>80</v>
      </c>
      <c r="B809" s="6" t="s">
        <v>76</v>
      </c>
      <c r="C809" s="5" t="s">
        <v>51</v>
      </c>
      <c r="D809" s="5" t="s">
        <v>48</v>
      </c>
      <c r="E809" s="6" t="n">
        <v>205980</v>
      </c>
      <c r="F809" s="6" t="n">
        <v>198177</v>
      </c>
      <c r="G809" s="6" t="n">
        <v>111773</v>
      </c>
      <c r="H809" s="6" t="n">
        <v>108436</v>
      </c>
      <c r="I809" s="6" t="n">
        <v>34015</v>
      </c>
      <c r="J809" s="6" t="n">
        <v>33517</v>
      </c>
      <c r="K809" s="6" t="n">
        <v>6561</v>
      </c>
      <c r="L809" s="6" t="n">
        <v>6952</v>
      </c>
      <c r="M809" s="6" t="n">
        <v>1777</v>
      </c>
      <c r="N809" s="6" t="n">
        <v>1553</v>
      </c>
      <c r="O809" s="6" t="n">
        <v>4619</v>
      </c>
      <c r="P809" s="6" t="n">
        <v>4600</v>
      </c>
      <c r="Q809" s="6" t="n">
        <v>3516</v>
      </c>
      <c r="R809" s="6" t="n">
        <v>3368</v>
      </c>
      <c r="S809" s="6" t="n">
        <v>2175</v>
      </c>
      <c r="T809" s="6" t="n">
        <v>2341</v>
      </c>
      <c r="U809" s="6" t="n">
        <v>5523</v>
      </c>
      <c r="V809" s="6" t="n">
        <v>5686</v>
      </c>
    </row>
    <row r="810" customFormat="false" ht="15" hidden="false" customHeight="false" outlineLevel="0" collapsed="false">
      <c r="A810" s="5" t="s">
        <v>80</v>
      </c>
      <c r="B810" s="6" t="s">
        <v>76</v>
      </c>
      <c r="C810" s="5" t="s">
        <v>52</v>
      </c>
      <c r="D810" s="5" t="s">
        <v>48</v>
      </c>
      <c r="E810" s="6" t="n">
        <v>186978</v>
      </c>
      <c r="F810" s="6" t="n">
        <v>198076</v>
      </c>
      <c r="G810" s="6" t="n">
        <v>101097</v>
      </c>
      <c r="H810" s="6" t="n">
        <v>103407</v>
      </c>
      <c r="I810" s="6" t="n">
        <v>29906</v>
      </c>
      <c r="J810" s="6" t="n">
        <v>29088</v>
      </c>
      <c r="K810" s="6" t="n">
        <v>6010</v>
      </c>
      <c r="L810" s="6" t="n">
        <v>5163</v>
      </c>
      <c r="M810" s="6" t="n">
        <v>1918</v>
      </c>
      <c r="N810" s="6" t="n">
        <v>2261</v>
      </c>
      <c r="O810" s="6" t="n">
        <v>4876</v>
      </c>
      <c r="P810" s="6" t="n">
        <v>5000</v>
      </c>
      <c r="Q810" s="6" t="n">
        <v>2367</v>
      </c>
      <c r="R810" s="6" t="n">
        <v>2294</v>
      </c>
      <c r="S810" s="6" t="n">
        <v>2191</v>
      </c>
      <c r="T810" s="6" t="n">
        <v>1882</v>
      </c>
      <c r="U810" s="6" t="n">
        <v>5205</v>
      </c>
      <c r="V810" s="6" t="n">
        <v>5217</v>
      </c>
    </row>
    <row r="811" customFormat="false" ht="15" hidden="false" customHeight="false" outlineLevel="0" collapsed="false">
      <c r="A811" s="5" t="s">
        <v>80</v>
      </c>
      <c r="B811" s="6" t="s">
        <v>76</v>
      </c>
      <c r="C811" s="5" t="s">
        <v>53</v>
      </c>
      <c r="D811" s="5" t="s">
        <v>48</v>
      </c>
      <c r="E811" s="6" t="n">
        <v>214899</v>
      </c>
      <c r="F811" s="6" t="n">
        <v>207733</v>
      </c>
      <c r="G811" s="6" t="n">
        <v>125696</v>
      </c>
      <c r="H811" s="6" t="n">
        <v>123633</v>
      </c>
      <c r="I811" s="6" t="n">
        <v>34723</v>
      </c>
      <c r="J811" s="6" t="n">
        <v>37457</v>
      </c>
      <c r="K811" s="6" t="n">
        <v>5306</v>
      </c>
      <c r="L811" s="6" t="n">
        <v>5580</v>
      </c>
      <c r="M811" s="6" t="n">
        <v>2915</v>
      </c>
      <c r="N811" s="6" t="n">
        <v>3067</v>
      </c>
      <c r="O811" s="6" t="n">
        <v>4491</v>
      </c>
      <c r="P811" s="6" t="n">
        <v>4368</v>
      </c>
      <c r="Q811" s="6" t="n">
        <v>2853</v>
      </c>
      <c r="R811" s="6" t="n">
        <v>2866</v>
      </c>
      <c r="S811" s="6" t="n">
        <v>1480</v>
      </c>
      <c r="T811" s="6" t="n">
        <v>1777</v>
      </c>
      <c r="U811" s="6" t="n">
        <v>5458</v>
      </c>
      <c r="V811" s="6" t="n">
        <v>5388</v>
      </c>
    </row>
    <row r="812" customFormat="false" ht="15" hidden="false" customHeight="false" outlineLevel="0" collapsed="false">
      <c r="A812" s="5" t="s">
        <v>80</v>
      </c>
      <c r="B812" s="6" t="s">
        <v>76</v>
      </c>
      <c r="C812" s="5" t="s">
        <v>54</v>
      </c>
      <c r="D812" s="5" t="s">
        <v>48</v>
      </c>
      <c r="E812" s="6" t="n">
        <v>206036</v>
      </c>
      <c r="F812" s="6" t="n">
        <v>199617</v>
      </c>
      <c r="G812" s="6" t="n">
        <v>113121</v>
      </c>
      <c r="H812" s="6" t="n">
        <v>113832</v>
      </c>
      <c r="I812" s="6" t="n">
        <v>30631</v>
      </c>
      <c r="J812" s="6" t="n">
        <v>31807</v>
      </c>
      <c r="K812" s="6" t="n">
        <v>4252</v>
      </c>
      <c r="L812" s="6" t="n">
        <v>4098</v>
      </c>
      <c r="M812" s="6" t="n">
        <v>1707</v>
      </c>
      <c r="N812" s="6" t="n">
        <v>1737</v>
      </c>
      <c r="O812" s="6" t="n">
        <v>3763</v>
      </c>
      <c r="P812" s="6" t="n">
        <v>3868</v>
      </c>
      <c r="Q812" s="6" t="n">
        <v>2477</v>
      </c>
      <c r="R812" s="6" t="n">
        <v>2418</v>
      </c>
      <c r="S812" s="6" t="n">
        <v>1540</v>
      </c>
      <c r="T812" s="6" t="n">
        <v>1551</v>
      </c>
      <c r="U812" s="6" t="n">
        <v>4824</v>
      </c>
      <c r="V812" s="6" t="n">
        <v>4784</v>
      </c>
    </row>
    <row r="813" customFormat="false" ht="15" hidden="false" customHeight="false" outlineLevel="0" collapsed="false">
      <c r="A813" s="5" t="s">
        <v>80</v>
      </c>
      <c r="B813" s="6" t="s">
        <v>76</v>
      </c>
      <c r="C813" s="5" t="s">
        <v>55</v>
      </c>
      <c r="D813" s="5" t="s">
        <v>48</v>
      </c>
      <c r="E813" s="6" t="n">
        <v>201671</v>
      </c>
      <c r="F813" s="6" t="n">
        <v>200947</v>
      </c>
      <c r="G813" s="6" t="n">
        <v>113805</v>
      </c>
      <c r="H813" s="6" t="n">
        <v>115034</v>
      </c>
      <c r="I813" s="6" t="n">
        <v>29661</v>
      </c>
      <c r="J813" s="6" t="n">
        <v>29258</v>
      </c>
      <c r="K813" s="6" t="n">
        <v>4848</v>
      </c>
      <c r="L813" s="6" t="n">
        <v>4452</v>
      </c>
      <c r="M813" s="6" t="n">
        <v>2067</v>
      </c>
      <c r="N813" s="6" t="n">
        <v>2337</v>
      </c>
      <c r="O813" s="6" t="n">
        <v>4369</v>
      </c>
      <c r="P813" s="6" t="n">
        <v>4666</v>
      </c>
      <c r="Q813" s="6" t="n">
        <v>3687</v>
      </c>
      <c r="R813" s="6" t="n">
        <v>3641</v>
      </c>
      <c r="S813" s="6" t="n">
        <v>1261</v>
      </c>
      <c r="T813" s="6" t="n">
        <v>1549</v>
      </c>
      <c r="U813" s="6" t="n">
        <v>5294</v>
      </c>
      <c r="V813" s="6" t="n">
        <v>5152</v>
      </c>
    </row>
    <row r="814" customFormat="false" ht="15" hidden="false" customHeight="false" outlineLevel="0" collapsed="false">
      <c r="A814" s="5" t="s">
        <v>80</v>
      </c>
      <c r="B814" s="6" t="s">
        <v>76</v>
      </c>
      <c r="C814" s="5" t="s">
        <v>56</v>
      </c>
      <c r="D814" s="5" t="s">
        <v>48</v>
      </c>
      <c r="E814" s="6" t="n">
        <v>207101</v>
      </c>
      <c r="F814" s="6" t="n">
        <v>209357</v>
      </c>
      <c r="G814" s="6" t="n">
        <v>122472</v>
      </c>
      <c r="H814" s="6" t="n">
        <v>125462</v>
      </c>
      <c r="I814" s="6" t="n">
        <v>32834</v>
      </c>
      <c r="J814" s="6" t="n">
        <v>34690</v>
      </c>
      <c r="K814" s="6" t="n">
        <v>4195</v>
      </c>
      <c r="L814" s="6" t="n">
        <v>4352</v>
      </c>
      <c r="M814" s="6" t="n">
        <v>2579</v>
      </c>
      <c r="N814" s="6" t="n">
        <v>3274</v>
      </c>
      <c r="O814" s="6" t="n">
        <v>5643</v>
      </c>
      <c r="P814" s="6" t="n">
        <v>5379</v>
      </c>
      <c r="Q814" s="6" t="n">
        <v>2592</v>
      </c>
      <c r="R814" s="6" t="n">
        <v>2532</v>
      </c>
      <c r="S814" s="6" t="n">
        <v>1301</v>
      </c>
      <c r="T814" s="6" t="n">
        <v>1136</v>
      </c>
      <c r="U814" s="6" t="n">
        <v>4953</v>
      </c>
      <c r="V814" s="6" t="n">
        <v>5053</v>
      </c>
    </row>
    <row r="815" customFormat="false" ht="15" hidden="false" customHeight="false" outlineLevel="0" collapsed="false">
      <c r="A815" s="5" t="s">
        <v>80</v>
      </c>
      <c r="B815" s="6" t="s">
        <v>76</v>
      </c>
      <c r="C815" s="5" t="s">
        <v>57</v>
      </c>
      <c r="D815" s="5" t="s">
        <v>48</v>
      </c>
      <c r="E815" s="6" t="n">
        <v>199304</v>
      </c>
      <c r="F815" s="6" t="n">
        <v>197978</v>
      </c>
      <c r="G815" s="6" t="n">
        <v>113954</v>
      </c>
      <c r="H815" s="6" t="n">
        <v>109285</v>
      </c>
      <c r="I815" s="6" t="n">
        <v>31643</v>
      </c>
      <c r="J815" s="6" t="n">
        <v>31594</v>
      </c>
      <c r="K815" s="6" t="n">
        <v>6548</v>
      </c>
      <c r="L815" s="6" t="n">
        <v>5914</v>
      </c>
      <c r="M815" s="6" t="n">
        <v>2918</v>
      </c>
      <c r="N815" s="6" t="n">
        <v>3062</v>
      </c>
      <c r="O815" s="6" t="n">
        <v>5443</v>
      </c>
      <c r="P815" s="6" t="n">
        <v>5513</v>
      </c>
      <c r="Q815" s="6" t="n">
        <v>2994</v>
      </c>
      <c r="R815" s="6" t="n">
        <v>3073</v>
      </c>
      <c r="S815" s="6" t="n">
        <v>1828</v>
      </c>
      <c r="T815" s="6" t="n">
        <v>1533</v>
      </c>
      <c r="U815" s="6" t="n">
        <v>4520</v>
      </c>
      <c r="V815" s="6" t="n">
        <v>4426</v>
      </c>
    </row>
    <row r="816" customFormat="false" ht="15" hidden="false" customHeight="false" outlineLevel="0" collapsed="false">
      <c r="A816" s="5" t="s">
        <v>80</v>
      </c>
      <c r="B816" s="6" t="s">
        <v>76</v>
      </c>
      <c r="C816" s="5" t="s">
        <v>58</v>
      </c>
      <c r="D816" s="5" t="s">
        <v>48</v>
      </c>
      <c r="E816" s="6" t="n">
        <v>200327</v>
      </c>
      <c r="F816" s="6" t="n">
        <v>195709</v>
      </c>
      <c r="G816" s="6" t="n">
        <v>115618</v>
      </c>
      <c r="H816" s="6" t="n">
        <v>111926</v>
      </c>
      <c r="I816" s="6" t="n">
        <v>29073</v>
      </c>
      <c r="J816" s="6" t="n">
        <v>30028</v>
      </c>
      <c r="K816" s="6" t="n">
        <v>6018</v>
      </c>
      <c r="L816" s="6" t="n">
        <v>6434</v>
      </c>
      <c r="M816" s="6" t="n">
        <v>2174</v>
      </c>
      <c r="N816" s="6" t="n">
        <v>1912</v>
      </c>
      <c r="O816" s="6" t="n">
        <v>4092</v>
      </c>
      <c r="P816" s="6" t="n">
        <v>4074</v>
      </c>
      <c r="Q816" s="6" t="n">
        <v>3553</v>
      </c>
      <c r="R816" s="6" t="n">
        <v>3506</v>
      </c>
      <c r="S816" s="6" t="n">
        <v>2074</v>
      </c>
      <c r="T816" s="6" t="n">
        <v>2317</v>
      </c>
      <c r="U816" s="6" t="n">
        <v>4435</v>
      </c>
      <c r="V816" s="6" t="n">
        <v>4384</v>
      </c>
    </row>
    <row r="817" customFormat="false" ht="15" hidden="false" customHeight="false" outlineLevel="0" collapsed="false">
      <c r="A817" s="5" t="s">
        <v>80</v>
      </c>
      <c r="B817" s="6" t="s">
        <v>76</v>
      </c>
      <c r="C817" s="5" t="s">
        <v>59</v>
      </c>
      <c r="D817" s="5" t="s">
        <v>48</v>
      </c>
      <c r="E817" s="6" t="n">
        <v>198147</v>
      </c>
      <c r="F817" s="6" t="n">
        <v>208607</v>
      </c>
      <c r="G817" s="6" t="n">
        <v>117384</v>
      </c>
      <c r="H817" s="6" t="n">
        <v>127982</v>
      </c>
      <c r="I817" s="6" t="n">
        <v>29474</v>
      </c>
      <c r="J817" s="6" t="n">
        <v>31774</v>
      </c>
      <c r="K817" s="6" t="n">
        <v>5122</v>
      </c>
      <c r="L817" s="6" t="n">
        <v>4899</v>
      </c>
      <c r="M817" s="6" t="n">
        <v>2626</v>
      </c>
      <c r="N817" s="6" t="n">
        <v>3096</v>
      </c>
      <c r="O817" s="6" t="n">
        <v>5283</v>
      </c>
      <c r="P817" s="6" t="n">
        <v>4901</v>
      </c>
      <c r="Q817" s="6" t="n">
        <v>3017</v>
      </c>
      <c r="R817" s="6" t="n">
        <v>2935</v>
      </c>
      <c r="S817" s="6" t="n">
        <v>1992</v>
      </c>
      <c r="T817" s="6" t="n">
        <v>2000</v>
      </c>
      <c r="U817" s="6" t="n">
        <v>5317</v>
      </c>
      <c r="V817" s="6" t="n">
        <v>5251</v>
      </c>
    </row>
    <row r="818" customFormat="false" ht="15" hidden="false" customHeight="false" outlineLevel="0" collapsed="false">
      <c r="A818" s="5" t="s">
        <v>80</v>
      </c>
      <c r="B818" s="6" t="s">
        <v>76</v>
      </c>
      <c r="C818" s="5" t="s">
        <v>60</v>
      </c>
      <c r="D818" s="5" t="s">
        <v>61</v>
      </c>
      <c r="E818" s="6" t="n">
        <v>214028</v>
      </c>
      <c r="F818" s="6" t="n">
        <v>203958</v>
      </c>
      <c r="G818" s="6" t="n">
        <v>115874</v>
      </c>
      <c r="H818" s="6" t="n">
        <v>107206</v>
      </c>
      <c r="I818" s="6" t="n">
        <v>32386</v>
      </c>
      <c r="J818" s="6" t="n">
        <v>32879</v>
      </c>
      <c r="K818" s="6" t="n">
        <v>5179</v>
      </c>
      <c r="L818" s="6" t="n">
        <v>4854</v>
      </c>
      <c r="M818" s="6" t="n">
        <v>2575</v>
      </c>
      <c r="N818" s="6" t="n">
        <v>3109</v>
      </c>
      <c r="O818" s="6" t="n">
        <v>4934</v>
      </c>
      <c r="P818" s="6" t="n">
        <v>5355</v>
      </c>
      <c r="Q818" s="6" t="n">
        <v>3890</v>
      </c>
      <c r="R818" s="6" t="n">
        <v>3980</v>
      </c>
      <c r="S818" s="6" t="n">
        <v>1757</v>
      </c>
      <c r="T818" s="6" t="n">
        <v>1992</v>
      </c>
      <c r="U818" s="6" t="n">
        <v>5353</v>
      </c>
      <c r="V818" s="6" t="n">
        <v>5250</v>
      </c>
    </row>
    <row r="819" customFormat="false" ht="15" hidden="false" customHeight="false" outlineLevel="0" collapsed="false">
      <c r="A819" s="5" t="s">
        <v>80</v>
      </c>
      <c r="B819" s="6" t="s">
        <v>76</v>
      </c>
      <c r="C819" s="5" t="s">
        <v>62</v>
      </c>
      <c r="D819" s="5" t="s">
        <v>61</v>
      </c>
      <c r="E819" s="6" t="n">
        <v>204917</v>
      </c>
      <c r="F819" s="6" t="n">
        <v>209145</v>
      </c>
      <c r="G819" s="6" t="n">
        <v>122612</v>
      </c>
      <c r="H819" s="6" t="n">
        <v>125828</v>
      </c>
      <c r="I819" s="6" t="n">
        <v>33802</v>
      </c>
      <c r="J819" s="6" t="n">
        <v>33017</v>
      </c>
      <c r="K819" s="6" t="n">
        <v>6214</v>
      </c>
      <c r="L819" s="6" t="n">
        <v>5352</v>
      </c>
      <c r="M819" s="6" t="n">
        <v>2625</v>
      </c>
      <c r="N819" s="6" t="n">
        <v>2175</v>
      </c>
      <c r="O819" s="6" t="n">
        <v>5436</v>
      </c>
      <c r="P819" s="6" t="n">
        <v>5235</v>
      </c>
      <c r="Q819" s="6" t="n">
        <v>3961</v>
      </c>
      <c r="R819" s="6" t="n">
        <v>3846</v>
      </c>
      <c r="S819" s="6" t="n">
        <v>2170</v>
      </c>
      <c r="T819" s="6" t="n">
        <v>2198</v>
      </c>
      <c r="U819" s="6" t="n">
        <v>5796</v>
      </c>
      <c r="V819" s="6" t="n">
        <v>5712</v>
      </c>
    </row>
    <row r="820" customFormat="false" ht="15" hidden="false" customHeight="false" outlineLevel="0" collapsed="false">
      <c r="A820" s="5" t="s">
        <v>80</v>
      </c>
      <c r="B820" s="6" t="s">
        <v>76</v>
      </c>
      <c r="C820" s="5" t="s">
        <v>63</v>
      </c>
      <c r="D820" s="5" t="s">
        <v>61</v>
      </c>
      <c r="E820" s="6" t="n">
        <v>214083</v>
      </c>
      <c r="F820" s="6" t="n">
        <v>208848</v>
      </c>
      <c r="G820" s="6" t="n">
        <v>120675</v>
      </c>
      <c r="H820" s="6" t="n">
        <v>115864</v>
      </c>
      <c r="I820" s="6" t="n">
        <v>30880</v>
      </c>
      <c r="J820" s="6" t="n">
        <v>30301</v>
      </c>
      <c r="K820" s="6" t="n">
        <v>4585</v>
      </c>
      <c r="L820" s="6" t="n">
        <v>4722</v>
      </c>
      <c r="M820" s="6" t="n">
        <v>2501</v>
      </c>
      <c r="N820" s="6" t="n">
        <v>2903</v>
      </c>
      <c r="O820" s="6" t="n">
        <v>5539</v>
      </c>
      <c r="P820" s="6" t="n">
        <v>5639</v>
      </c>
      <c r="Q820" s="6" t="n">
        <v>3608</v>
      </c>
      <c r="R820" s="6" t="n">
        <v>3499</v>
      </c>
      <c r="S820" s="6" t="n">
        <v>2047</v>
      </c>
      <c r="T820" s="6" t="n">
        <v>2412</v>
      </c>
      <c r="U820" s="6" t="n">
        <v>4706</v>
      </c>
      <c r="V820" s="6" t="n">
        <v>4626</v>
      </c>
    </row>
    <row r="821" customFormat="false" ht="15" hidden="false" customHeight="false" outlineLevel="0" collapsed="false">
      <c r="A821" s="5" t="s">
        <v>80</v>
      </c>
      <c r="B821" s="6" t="s">
        <v>76</v>
      </c>
      <c r="C821" s="5" t="s">
        <v>64</v>
      </c>
      <c r="D821" s="5" t="s">
        <v>61</v>
      </c>
      <c r="E821" s="6" t="n">
        <v>204863</v>
      </c>
      <c r="F821" s="6" t="n">
        <v>209308</v>
      </c>
      <c r="G821" s="6" t="n">
        <v>113400</v>
      </c>
      <c r="H821" s="6" t="n">
        <v>120909</v>
      </c>
      <c r="I821" s="6" t="n">
        <v>33934</v>
      </c>
      <c r="J821" s="6" t="n">
        <v>35616</v>
      </c>
      <c r="K821" s="6" t="n">
        <v>7036</v>
      </c>
      <c r="L821" s="6" t="n">
        <v>7919</v>
      </c>
      <c r="M821" s="6" t="n">
        <v>2516</v>
      </c>
      <c r="N821" s="6" t="n">
        <v>2648</v>
      </c>
      <c r="O821" s="6" t="n">
        <v>5241</v>
      </c>
      <c r="P821" s="6" t="n">
        <v>5131</v>
      </c>
      <c r="Q821" s="6" t="n">
        <v>3096</v>
      </c>
      <c r="R821" s="6" t="n">
        <v>3084</v>
      </c>
      <c r="S821" s="6" t="n">
        <v>1845</v>
      </c>
      <c r="T821" s="6" t="n">
        <v>1927</v>
      </c>
      <c r="U821" s="6" t="n">
        <v>5229</v>
      </c>
      <c r="V821" s="6" t="n">
        <v>5343</v>
      </c>
    </row>
    <row r="822" customFormat="false" ht="15" hidden="false" customHeight="false" outlineLevel="0" collapsed="false">
      <c r="A822" s="5" t="s">
        <v>80</v>
      </c>
      <c r="B822" s="6" t="s">
        <v>76</v>
      </c>
      <c r="C822" s="5" t="s">
        <v>65</v>
      </c>
      <c r="D822" s="5" t="s">
        <v>61</v>
      </c>
      <c r="E822" s="6" t="n">
        <v>201311</v>
      </c>
      <c r="F822" s="6" t="n">
        <v>213869</v>
      </c>
      <c r="G822" s="6" t="n">
        <v>110940</v>
      </c>
      <c r="H822" s="6" t="n">
        <v>122356</v>
      </c>
      <c r="I822" s="6" t="n">
        <v>34206</v>
      </c>
      <c r="J822" s="6" t="n">
        <v>33290</v>
      </c>
      <c r="K822" s="6" t="n">
        <v>4349</v>
      </c>
      <c r="L822" s="6" t="n">
        <v>4713</v>
      </c>
      <c r="M822" s="6" t="n">
        <v>1768</v>
      </c>
      <c r="N822" s="6" t="n">
        <v>1527</v>
      </c>
      <c r="O822" s="6" t="n">
        <v>4826</v>
      </c>
      <c r="P822" s="6" t="n">
        <v>5243</v>
      </c>
      <c r="Q822" s="6" t="n">
        <v>2809</v>
      </c>
      <c r="R822" s="6" t="n">
        <v>2775</v>
      </c>
      <c r="S822" s="6" t="n">
        <v>1778</v>
      </c>
      <c r="T822" s="6" t="n">
        <v>2172</v>
      </c>
      <c r="U822" s="6" t="n">
        <v>4557</v>
      </c>
      <c r="V822" s="6" t="n">
        <v>4498</v>
      </c>
    </row>
    <row r="823" customFormat="false" ht="15" hidden="false" customHeight="false" outlineLevel="0" collapsed="false">
      <c r="A823" s="5" t="s">
        <v>80</v>
      </c>
      <c r="B823" s="6" t="s">
        <v>76</v>
      </c>
      <c r="C823" s="5" t="s">
        <v>66</v>
      </c>
      <c r="D823" s="5" t="s">
        <v>61</v>
      </c>
      <c r="E823" s="6" t="n">
        <v>219287</v>
      </c>
      <c r="F823" s="6" t="n">
        <v>229773</v>
      </c>
      <c r="G823" s="6" t="n">
        <v>127951</v>
      </c>
      <c r="H823" s="6" t="n">
        <v>134248</v>
      </c>
      <c r="I823" s="6" t="n">
        <v>30720</v>
      </c>
      <c r="J823" s="6" t="n">
        <v>31897</v>
      </c>
      <c r="K823" s="6" t="n">
        <v>5089</v>
      </c>
      <c r="L823" s="6" t="n">
        <v>4887</v>
      </c>
      <c r="M823" s="6" t="n">
        <v>2970</v>
      </c>
      <c r="N823" s="6" t="n">
        <v>2575</v>
      </c>
      <c r="O823" s="6" t="n">
        <v>4074</v>
      </c>
      <c r="P823" s="6" t="n">
        <v>3976</v>
      </c>
      <c r="Q823" s="6" t="n">
        <v>2756</v>
      </c>
      <c r="R823" s="6" t="n">
        <v>2652</v>
      </c>
      <c r="S823" s="6" t="n">
        <v>2008</v>
      </c>
      <c r="T823" s="6" t="n">
        <v>2536</v>
      </c>
      <c r="U823" s="6" t="n">
        <v>5015</v>
      </c>
      <c r="V823" s="6" t="n">
        <v>5027</v>
      </c>
    </row>
    <row r="824" customFormat="false" ht="15" hidden="false" customHeight="false" outlineLevel="0" collapsed="false">
      <c r="A824" s="5" t="s">
        <v>80</v>
      </c>
      <c r="B824" s="6" t="s">
        <v>76</v>
      </c>
      <c r="C824" s="5" t="s">
        <v>67</v>
      </c>
      <c r="D824" s="5" t="s">
        <v>61</v>
      </c>
      <c r="E824" s="6" t="n">
        <v>215484</v>
      </c>
      <c r="F824" s="6" t="n">
        <v>218181</v>
      </c>
      <c r="G824" s="6" t="n">
        <v>122533</v>
      </c>
      <c r="H824" s="6" t="n">
        <v>128845</v>
      </c>
      <c r="I824" s="6" t="n">
        <v>33960</v>
      </c>
      <c r="J824" s="6" t="n">
        <v>35767</v>
      </c>
      <c r="K824" s="6" t="n">
        <v>5626</v>
      </c>
      <c r="L824" s="6" t="n">
        <v>5070</v>
      </c>
      <c r="M824" s="6" t="n">
        <v>2814</v>
      </c>
      <c r="N824" s="6" t="n">
        <v>3576</v>
      </c>
      <c r="O824" s="6" t="n">
        <v>5186</v>
      </c>
      <c r="P824" s="6" t="n">
        <v>5243</v>
      </c>
      <c r="Q824" s="6" t="n">
        <v>2713</v>
      </c>
      <c r="R824" s="6" t="n">
        <v>2700</v>
      </c>
      <c r="S824" s="6" t="n">
        <v>1726</v>
      </c>
      <c r="T824" s="6" t="n">
        <v>1814</v>
      </c>
      <c r="U824" s="6" t="n">
        <v>4508</v>
      </c>
      <c r="V824" s="6" t="n">
        <v>4625</v>
      </c>
    </row>
    <row r="825" customFormat="false" ht="15" hidden="false" customHeight="false" outlineLevel="0" collapsed="false">
      <c r="A825" s="5" t="s">
        <v>80</v>
      </c>
      <c r="B825" s="6" t="s">
        <v>76</v>
      </c>
      <c r="C825" s="5" t="s">
        <v>68</v>
      </c>
      <c r="D825" s="5" t="s">
        <v>61</v>
      </c>
      <c r="E825" s="6" t="n">
        <v>230695</v>
      </c>
      <c r="F825" s="6" t="n">
        <v>221211</v>
      </c>
      <c r="G825" s="6" t="n">
        <v>128644</v>
      </c>
      <c r="H825" s="6" t="n">
        <v>124679</v>
      </c>
      <c r="I825" s="6" t="n">
        <v>35116</v>
      </c>
      <c r="J825" s="6" t="n">
        <v>36949</v>
      </c>
      <c r="K825" s="6" t="n">
        <v>7485</v>
      </c>
      <c r="L825" s="6" t="n">
        <v>7778</v>
      </c>
      <c r="M825" s="6" t="n">
        <v>3102</v>
      </c>
      <c r="N825" s="6" t="n">
        <v>3005</v>
      </c>
      <c r="O825" s="6" t="n">
        <v>5288</v>
      </c>
      <c r="P825" s="6" t="n">
        <v>5241</v>
      </c>
      <c r="Q825" s="6" t="n">
        <v>3572</v>
      </c>
      <c r="R825" s="6" t="n">
        <v>3676</v>
      </c>
      <c r="S825" s="6" t="n">
        <v>1448</v>
      </c>
      <c r="T825" s="6" t="n">
        <v>1761</v>
      </c>
      <c r="U825" s="6" t="n">
        <v>4883</v>
      </c>
      <c r="V825" s="6" t="n">
        <v>4774</v>
      </c>
    </row>
    <row r="826" customFormat="false" ht="15" hidden="false" customHeight="false" outlineLevel="0" collapsed="false">
      <c r="A826" s="5" t="s">
        <v>80</v>
      </c>
      <c r="B826" s="6" t="s">
        <v>76</v>
      </c>
      <c r="C826" s="5" t="s">
        <v>69</v>
      </c>
      <c r="D826" s="5" t="s">
        <v>61</v>
      </c>
      <c r="E826" s="6" t="n">
        <v>222168</v>
      </c>
      <c r="F826" s="6" t="n">
        <v>235808</v>
      </c>
      <c r="G826" s="6" t="n">
        <v>120533</v>
      </c>
      <c r="H826" s="6" t="n">
        <v>125491</v>
      </c>
      <c r="I826" s="6" t="n">
        <v>37704</v>
      </c>
      <c r="J826" s="6" t="n">
        <v>38731</v>
      </c>
      <c r="K826" s="6" t="n">
        <v>5120</v>
      </c>
      <c r="L826" s="6" t="n">
        <v>4952</v>
      </c>
      <c r="M826" s="6" t="n">
        <v>3153</v>
      </c>
      <c r="N826" s="6" t="n">
        <v>2662</v>
      </c>
      <c r="O826" s="6" t="n">
        <v>5935</v>
      </c>
      <c r="P826" s="6" t="n">
        <v>5489</v>
      </c>
      <c r="Q826" s="6" t="n">
        <v>2940</v>
      </c>
      <c r="R826" s="6" t="n">
        <v>2927</v>
      </c>
      <c r="S826" s="6" t="n">
        <v>1760</v>
      </c>
      <c r="T826" s="6" t="n">
        <v>2195</v>
      </c>
      <c r="U826" s="6" t="n">
        <v>4665</v>
      </c>
      <c r="V826" s="6" t="n">
        <v>4574</v>
      </c>
    </row>
    <row r="827" customFormat="false" ht="15" hidden="false" customHeight="false" outlineLevel="0" collapsed="false">
      <c r="A827" s="5" t="s">
        <v>80</v>
      </c>
      <c r="B827" s="6" t="s">
        <v>76</v>
      </c>
      <c r="C827" s="5" t="s">
        <v>70</v>
      </c>
      <c r="D827" s="5" t="s">
        <v>61</v>
      </c>
      <c r="E827" s="6" t="n">
        <v>234523</v>
      </c>
      <c r="F827" s="6" t="n">
        <v>223846</v>
      </c>
      <c r="G827" s="6" t="n">
        <v>131649</v>
      </c>
      <c r="H827" s="6" t="n">
        <v>130327</v>
      </c>
      <c r="I827" s="6" t="n">
        <v>36415</v>
      </c>
      <c r="J827" s="6" t="n">
        <v>36057</v>
      </c>
      <c r="K827" s="6" t="n">
        <v>6703</v>
      </c>
      <c r="L827" s="6" t="n">
        <v>6674</v>
      </c>
      <c r="M827" s="6" t="n">
        <v>3267</v>
      </c>
      <c r="N827" s="6" t="n">
        <v>3307</v>
      </c>
      <c r="O827" s="6" t="n">
        <v>5538</v>
      </c>
      <c r="P827" s="6" t="n">
        <v>5995</v>
      </c>
      <c r="Q827" s="6" t="n">
        <v>3980</v>
      </c>
      <c r="R827" s="6" t="n">
        <v>4173</v>
      </c>
      <c r="S827" s="6" t="n">
        <v>2577</v>
      </c>
      <c r="T827" s="6" t="n">
        <v>2511</v>
      </c>
      <c r="U827" s="6" t="n">
        <v>6949</v>
      </c>
      <c r="V827" s="6" t="n">
        <v>6789</v>
      </c>
    </row>
    <row r="828" customFormat="false" ht="15" hidden="false" customHeight="false" outlineLevel="0" collapsed="false">
      <c r="A828" s="5" t="s">
        <v>80</v>
      </c>
      <c r="B828" s="6" t="s">
        <v>76</v>
      </c>
      <c r="C828" s="5" t="s">
        <v>71</v>
      </c>
      <c r="D828" s="5" t="s">
        <v>61</v>
      </c>
      <c r="E828" s="6" t="n">
        <v>224891</v>
      </c>
      <c r="F828" s="6" t="n">
        <v>223429</v>
      </c>
      <c r="G828" s="6" t="n">
        <v>132152</v>
      </c>
      <c r="H828" s="6" t="n">
        <v>137830</v>
      </c>
      <c r="I828" s="6" t="n">
        <v>36749</v>
      </c>
      <c r="J828" s="6" t="n">
        <v>37031</v>
      </c>
      <c r="K828" s="6" t="n">
        <v>5299</v>
      </c>
      <c r="L828" s="6" t="n">
        <v>5876</v>
      </c>
      <c r="M828" s="6" t="n">
        <v>3236</v>
      </c>
      <c r="N828" s="6" t="n">
        <v>3781</v>
      </c>
      <c r="O828" s="6" t="n">
        <v>5237</v>
      </c>
      <c r="P828" s="6" t="n">
        <v>5202</v>
      </c>
      <c r="Q828" s="6" t="n">
        <v>3080</v>
      </c>
      <c r="R828" s="6" t="n">
        <v>3125</v>
      </c>
      <c r="S828" s="6" t="n">
        <v>2179</v>
      </c>
      <c r="T828" s="6" t="n">
        <v>1905</v>
      </c>
      <c r="U828" s="6" t="n">
        <v>4728</v>
      </c>
      <c r="V828" s="6" t="n">
        <v>4691</v>
      </c>
    </row>
    <row r="829" customFormat="false" ht="15" hidden="false" customHeight="false" outlineLevel="0" collapsed="false">
      <c r="A829" s="5" t="s">
        <v>80</v>
      </c>
      <c r="B829" s="6" t="s">
        <v>76</v>
      </c>
      <c r="C829" s="5" t="s">
        <v>72</v>
      </c>
      <c r="D829" s="5" t="s">
        <v>61</v>
      </c>
      <c r="E829" s="6" t="n">
        <v>223606</v>
      </c>
      <c r="F829" s="6" t="n">
        <v>237332</v>
      </c>
      <c r="G829" s="6" t="n">
        <v>131779</v>
      </c>
      <c r="H829" s="6" t="n">
        <v>141143</v>
      </c>
      <c r="I829" s="6" t="n">
        <v>37967</v>
      </c>
      <c r="J829" s="6" t="n">
        <v>39254</v>
      </c>
      <c r="K829" s="6" t="n">
        <v>4690</v>
      </c>
      <c r="L829" s="6" t="n">
        <v>4394</v>
      </c>
      <c r="M829" s="6" t="n">
        <v>2687</v>
      </c>
      <c r="N829" s="6" t="n">
        <v>3406</v>
      </c>
      <c r="O829" s="6" t="n">
        <v>5623</v>
      </c>
      <c r="P829" s="6" t="n">
        <v>5632</v>
      </c>
      <c r="Q829" s="6" t="n">
        <v>3140</v>
      </c>
      <c r="R829" s="6" t="n">
        <v>3237</v>
      </c>
      <c r="S829" s="6" t="n">
        <v>1882</v>
      </c>
      <c r="T829" s="6" t="n">
        <v>2181</v>
      </c>
      <c r="U829" s="6" t="n">
        <v>5753</v>
      </c>
      <c r="V829" s="6" t="n">
        <v>5906</v>
      </c>
    </row>
    <row r="830" customFormat="false" ht="15" hidden="false" customHeight="false" outlineLevel="0" collapsed="false">
      <c r="A830" s="5" t="s">
        <v>80</v>
      </c>
      <c r="B830" s="6" t="s">
        <v>77</v>
      </c>
      <c r="C830" s="5" t="s">
        <v>34</v>
      </c>
      <c r="D830" s="5" t="s">
        <v>35</v>
      </c>
      <c r="E830" s="6" t="n">
        <v>122944</v>
      </c>
      <c r="F830" s="6" t="n">
        <v>117723</v>
      </c>
      <c r="G830" s="6" t="n">
        <v>71235</v>
      </c>
      <c r="H830" s="6" t="n">
        <v>70742</v>
      </c>
      <c r="I830" s="6" t="n">
        <v>19579</v>
      </c>
      <c r="J830" s="6" t="n">
        <v>20627</v>
      </c>
      <c r="K830" s="6" t="n">
        <v>3835</v>
      </c>
      <c r="L830" s="6" t="n">
        <v>4037</v>
      </c>
      <c r="M830" s="6" t="n">
        <v>1639</v>
      </c>
      <c r="N830" s="6" t="n">
        <v>2011</v>
      </c>
      <c r="O830" s="6" t="n">
        <v>2323</v>
      </c>
      <c r="P830" s="6" t="n">
        <v>2356</v>
      </c>
      <c r="Q830" s="6" t="n">
        <v>1618</v>
      </c>
      <c r="R830" s="6" t="n">
        <v>1664</v>
      </c>
      <c r="S830" s="6" t="n">
        <v>1165</v>
      </c>
      <c r="T830" s="6" t="n">
        <v>1377</v>
      </c>
      <c r="U830" s="6" t="n">
        <v>3158</v>
      </c>
      <c r="V830" s="6" t="n">
        <v>3091</v>
      </c>
    </row>
    <row r="831" customFormat="false" ht="15" hidden="false" customHeight="false" outlineLevel="0" collapsed="false">
      <c r="A831" s="5" t="s">
        <v>80</v>
      </c>
      <c r="B831" s="6" t="s">
        <v>77</v>
      </c>
      <c r="C831" s="5" t="s">
        <v>36</v>
      </c>
      <c r="D831" s="5" t="s">
        <v>35</v>
      </c>
      <c r="E831" s="6" t="n">
        <v>115967</v>
      </c>
      <c r="F831" s="6" t="n">
        <v>118900</v>
      </c>
      <c r="G831" s="6" t="n">
        <v>67996</v>
      </c>
      <c r="H831" s="6" t="n">
        <v>72613</v>
      </c>
      <c r="I831" s="6" t="n">
        <v>18217</v>
      </c>
      <c r="J831" s="6" t="n">
        <v>19258</v>
      </c>
      <c r="K831" s="6" t="n">
        <v>3810</v>
      </c>
      <c r="L831" s="6" t="n">
        <v>4328</v>
      </c>
      <c r="M831" s="6" t="n">
        <v>1651</v>
      </c>
      <c r="N831" s="6" t="n">
        <v>1410</v>
      </c>
      <c r="O831" s="6" t="n">
        <v>3061</v>
      </c>
      <c r="P831" s="6" t="n">
        <v>3261</v>
      </c>
      <c r="Q831" s="6" t="n">
        <v>1599</v>
      </c>
      <c r="R831" s="6" t="n">
        <v>1644</v>
      </c>
      <c r="S831" s="6" t="n">
        <v>1236</v>
      </c>
      <c r="T831" s="6" t="n">
        <v>1308</v>
      </c>
      <c r="U831" s="6" t="n">
        <v>2973</v>
      </c>
      <c r="V831" s="6" t="n">
        <v>3055</v>
      </c>
    </row>
    <row r="832" customFormat="false" ht="15" hidden="false" customHeight="false" outlineLevel="0" collapsed="false">
      <c r="A832" s="5" t="s">
        <v>80</v>
      </c>
      <c r="B832" s="6" t="s">
        <v>77</v>
      </c>
      <c r="C832" s="5" t="s">
        <v>37</v>
      </c>
      <c r="D832" s="5" t="s">
        <v>35</v>
      </c>
      <c r="E832" s="6" t="n">
        <v>119368</v>
      </c>
      <c r="F832" s="6" t="n">
        <v>117643</v>
      </c>
      <c r="G832" s="6" t="n">
        <v>64623</v>
      </c>
      <c r="H832" s="6" t="n">
        <v>64618</v>
      </c>
      <c r="I832" s="6" t="n">
        <v>17267</v>
      </c>
      <c r="J832" s="6" t="n">
        <v>17965</v>
      </c>
      <c r="K832" s="6" t="n">
        <v>3206</v>
      </c>
      <c r="L832" s="6" t="n">
        <v>3127</v>
      </c>
      <c r="M832" s="6" t="n">
        <v>1700</v>
      </c>
      <c r="N832" s="6" t="n">
        <v>1906</v>
      </c>
      <c r="O832" s="6" t="n">
        <v>2356</v>
      </c>
      <c r="P832" s="6" t="n">
        <v>2259</v>
      </c>
      <c r="Q832" s="6" t="n">
        <v>1969</v>
      </c>
      <c r="R832" s="6" t="n">
        <v>2066</v>
      </c>
      <c r="S832" s="6" t="n">
        <v>880</v>
      </c>
      <c r="T832" s="6" t="n">
        <v>1024</v>
      </c>
      <c r="U832" s="6" t="n">
        <v>2776</v>
      </c>
      <c r="V832" s="6" t="n">
        <v>2803</v>
      </c>
    </row>
    <row r="833" customFormat="false" ht="15" hidden="false" customHeight="false" outlineLevel="0" collapsed="false">
      <c r="A833" s="5" t="s">
        <v>80</v>
      </c>
      <c r="B833" s="6" t="s">
        <v>77</v>
      </c>
      <c r="C833" s="5" t="s">
        <v>38</v>
      </c>
      <c r="D833" s="5" t="s">
        <v>35</v>
      </c>
      <c r="E833" s="6" t="n">
        <v>122614</v>
      </c>
      <c r="F833" s="6" t="n">
        <v>120443</v>
      </c>
      <c r="G833" s="6" t="n">
        <v>72822</v>
      </c>
      <c r="H833" s="6" t="n">
        <v>72256</v>
      </c>
      <c r="I833" s="6" t="n">
        <v>19584</v>
      </c>
      <c r="J833" s="6" t="n">
        <v>20205</v>
      </c>
      <c r="K833" s="6" t="n">
        <v>2484</v>
      </c>
      <c r="L833" s="6" t="n">
        <v>2722</v>
      </c>
      <c r="M833" s="6" t="n">
        <v>1225</v>
      </c>
      <c r="N833" s="6" t="n">
        <v>982</v>
      </c>
      <c r="O833" s="6" t="n">
        <v>2630</v>
      </c>
      <c r="P833" s="6" t="n">
        <v>2612</v>
      </c>
      <c r="Q833" s="6" t="n">
        <v>2122</v>
      </c>
      <c r="R833" s="6" t="n">
        <v>2224</v>
      </c>
      <c r="S833" s="6" t="n">
        <v>1399</v>
      </c>
      <c r="T833" s="6" t="n">
        <v>1595</v>
      </c>
      <c r="U833" s="6" t="n">
        <v>2985</v>
      </c>
      <c r="V833" s="6" t="n">
        <v>2901</v>
      </c>
    </row>
    <row r="834" customFormat="false" ht="15" hidden="false" customHeight="false" outlineLevel="0" collapsed="false">
      <c r="A834" s="5" t="s">
        <v>80</v>
      </c>
      <c r="B834" s="6" t="s">
        <v>77</v>
      </c>
      <c r="C834" s="5" t="s">
        <v>39</v>
      </c>
      <c r="D834" s="5" t="s">
        <v>35</v>
      </c>
      <c r="E834" s="6" t="n">
        <v>126994</v>
      </c>
      <c r="F834" s="6" t="n">
        <v>122808</v>
      </c>
      <c r="G834" s="6" t="n">
        <v>71672</v>
      </c>
      <c r="H834" s="6" t="n">
        <v>71539</v>
      </c>
      <c r="I834" s="6" t="n">
        <v>19854</v>
      </c>
      <c r="J834" s="6" t="n">
        <v>19579</v>
      </c>
      <c r="K834" s="6" t="n">
        <v>3799</v>
      </c>
      <c r="L834" s="6" t="n">
        <v>3336</v>
      </c>
      <c r="M834" s="6" t="n">
        <v>1505</v>
      </c>
      <c r="N834" s="6" t="n">
        <v>1635</v>
      </c>
      <c r="O834" s="6" t="n">
        <v>2724</v>
      </c>
      <c r="P834" s="6" t="n">
        <v>2815</v>
      </c>
      <c r="Q834" s="6" t="n">
        <v>2462</v>
      </c>
      <c r="R834" s="6" t="n">
        <v>2392</v>
      </c>
      <c r="S834" s="6" t="n">
        <v>1190</v>
      </c>
      <c r="T834" s="6" t="n">
        <v>1529</v>
      </c>
      <c r="U834" s="6" t="n">
        <v>2665</v>
      </c>
      <c r="V834" s="6" t="n">
        <v>2718</v>
      </c>
    </row>
    <row r="835" customFormat="false" ht="15" hidden="false" customHeight="false" outlineLevel="0" collapsed="false">
      <c r="A835" s="5" t="s">
        <v>80</v>
      </c>
      <c r="B835" s="6" t="s">
        <v>77</v>
      </c>
      <c r="C835" s="5" t="s">
        <v>40</v>
      </c>
      <c r="D835" s="5" t="s">
        <v>35</v>
      </c>
      <c r="E835" s="6" t="n">
        <v>140131</v>
      </c>
      <c r="F835" s="6" t="n">
        <v>135789</v>
      </c>
      <c r="G835" s="6" t="n">
        <v>82458</v>
      </c>
      <c r="H835" s="6" t="n">
        <v>79317</v>
      </c>
      <c r="I835" s="6" t="n">
        <v>21034</v>
      </c>
      <c r="J835" s="6" t="n">
        <v>22540</v>
      </c>
      <c r="K835" s="6" t="n">
        <v>3055</v>
      </c>
      <c r="L835" s="6" t="n">
        <v>3370</v>
      </c>
      <c r="M835" s="6" t="n">
        <v>1883</v>
      </c>
      <c r="N835" s="6" t="n">
        <v>1882</v>
      </c>
      <c r="O835" s="6" t="n">
        <v>2731</v>
      </c>
      <c r="P835" s="6" t="n">
        <v>2801</v>
      </c>
      <c r="Q835" s="6" t="n">
        <v>2548</v>
      </c>
      <c r="R835" s="6" t="n">
        <v>2637</v>
      </c>
      <c r="S835" s="6" t="n">
        <v>1069</v>
      </c>
      <c r="T835" s="6" t="n">
        <v>1432</v>
      </c>
      <c r="U835" s="6" t="n">
        <v>4000</v>
      </c>
      <c r="V835" s="6" t="n">
        <v>4080</v>
      </c>
    </row>
    <row r="836" customFormat="false" ht="15" hidden="false" customHeight="false" outlineLevel="0" collapsed="false">
      <c r="A836" s="5" t="s">
        <v>80</v>
      </c>
      <c r="B836" s="6" t="s">
        <v>77</v>
      </c>
      <c r="C836" s="5" t="s">
        <v>41</v>
      </c>
      <c r="D836" s="5" t="s">
        <v>35</v>
      </c>
      <c r="E836" s="6" t="n">
        <v>128611</v>
      </c>
      <c r="F836" s="6" t="n">
        <v>124831</v>
      </c>
      <c r="G836" s="6" t="n">
        <v>69457</v>
      </c>
      <c r="H836" s="6" t="n">
        <v>69087</v>
      </c>
      <c r="I836" s="6" t="n">
        <v>19988</v>
      </c>
      <c r="J836" s="6" t="n">
        <v>20708</v>
      </c>
      <c r="K836" s="6" t="n">
        <v>4323</v>
      </c>
      <c r="L836" s="6" t="n">
        <v>4179</v>
      </c>
      <c r="M836" s="6" t="n">
        <v>1928</v>
      </c>
      <c r="N836" s="6" t="n">
        <v>1655</v>
      </c>
      <c r="O836" s="6" t="n">
        <v>3575</v>
      </c>
      <c r="P836" s="6" t="n">
        <v>3538</v>
      </c>
      <c r="Q836" s="6" t="n">
        <v>1751</v>
      </c>
      <c r="R836" s="6" t="n">
        <v>1678</v>
      </c>
      <c r="S836" s="6" t="n">
        <v>921</v>
      </c>
      <c r="T836" s="6" t="n">
        <v>1075</v>
      </c>
      <c r="U836" s="6" t="n">
        <v>3631</v>
      </c>
      <c r="V836" s="6" t="n">
        <v>3701</v>
      </c>
    </row>
    <row r="837" customFormat="false" ht="15" hidden="false" customHeight="false" outlineLevel="0" collapsed="false">
      <c r="A837" s="5" t="s">
        <v>80</v>
      </c>
      <c r="B837" s="6" t="s">
        <v>77</v>
      </c>
      <c r="C837" s="5" t="s">
        <v>42</v>
      </c>
      <c r="D837" s="5" t="s">
        <v>35</v>
      </c>
      <c r="E837" s="6" t="n">
        <v>129956</v>
      </c>
      <c r="F837" s="6" t="n">
        <v>123363</v>
      </c>
      <c r="G837" s="6" t="n">
        <v>73102</v>
      </c>
      <c r="H837" s="6" t="n">
        <v>67271</v>
      </c>
      <c r="I837" s="6" t="n">
        <v>20721</v>
      </c>
      <c r="J837" s="6" t="n">
        <v>20282</v>
      </c>
      <c r="K837" s="6" t="n">
        <v>3827</v>
      </c>
      <c r="L837" s="6" t="n">
        <v>3337</v>
      </c>
      <c r="M837" s="6" t="n">
        <v>1711</v>
      </c>
      <c r="N837" s="6" t="n">
        <v>1415</v>
      </c>
      <c r="O837" s="6" t="n">
        <v>2869</v>
      </c>
      <c r="P837" s="6" t="n">
        <v>2731</v>
      </c>
      <c r="Q837" s="6" t="n">
        <v>2214</v>
      </c>
      <c r="R837" s="6" t="n">
        <v>2147</v>
      </c>
      <c r="S837" s="6" t="n">
        <v>1234</v>
      </c>
      <c r="T837" s="6" t="n">
        <v>1315</v>
      </c>
      <c r="U837" s="6" t="n">
        <v>3133</v>
      </c>
      <c r="V837" s="6" t="n">
        <v>3066</v>
      </c>
    </row>
    <row r="838" customFormat="false" ht="15" hidden="false" customHeight="false" outlineLevel="0" collapsed="false">
      <c r="A838" s="5" t="s">
        <v>80</v>
      </c>
      <c r="B838" s="6" t="s">
        <v>77</v>
      </c>
      <c r="C838" s="5" t="s">
        <v>43</v>
      </c>
      <c r="D838" s="5" t="s">
        <v>35</v>
      </c>
      <c r="E838" s="6" t="n">
        <v>131037</v>
      </c>
      <c r="F838" s="6" t="n">
        <v>135584</v>
      </c>
      <c r="G838" s="6" t="n">
        <v>72960</v>
      </c>
      <c r="H838" s="6" t="n">
        <v>72894</v>
      </c>
      <c r="I838" s="6" t="n">
        <v>20292</v>
      </c>
      <c r="J838" s="6" t="n">
        <v>20671</v>
      </c>
      <c r="K838" s="6" t="n">
        <v>3174</v>
      </c>
      <c r="L838" s="6" t="n">
        <v>2852</v>
      </c>
      <c r="M838" s="6" t="n">
        <v>1704</v>
      </c>
      <c r="N838" s="6" t="n">
        <v>1746</v>
      </c>
      <c r="O838" s="6" t="n">
        <v>2542</v>
      </c>
      <c r="P838" s="6" t="n">
        <v>2523</v>
      </c>
      <c r="Q838" s="6" t="n">
        <v>2477</v>
      </c>
      <c r="R838" s="6" t="n">
        <v>2519</v>
      </c>
      <c r="S838" s="6" t="n">
        <v>1255</v>
      </c>
      <c r="T838" s="6" t="n">
        <v>1263</v>
      </c>
      <c r="U838" s="6" t="n">
        <v>3349</v>
      </c>
      <c r="V838" s="6" t="n">
        <v>3267</v>
      </c>
    </row>
    <row r="839" customFormat="false" ht="15" hidden="false" customHeight="false" outlineLevel="0" collapsed="false">
      <c r="A839" s="5" t="s">
        <v>80</v>
      </c>
      <c r="B839" s="6" t="s">
        <v>77</v>
      </c>
      <c r="C839" s="5" t="s">
        <v>44</v>
      </c>
      <c r="D839" s="5" t="s">
        <v>35</v>
      </c>
      <c r="E839" s="6" t="n">
        <v>131683</v>
      </c>
      <c r="F839" s="6" t="n">
        <v>128221</v>
      </c>
      <c r="G839" s="6" t="n">
        <v>77635</v>
      </c>
      <c r="H839" s="6" t="n">
        <v>78946</v>
      </c>
      <c r="I839" s="6" t="n">
        <v>22082</v>
      </c>
      <c r="J839" s="6" t="n">
        <v>23805</v>
      </c>
      <c r="K839" s="6" t="n">
        <v>3751</v>
      </c>
      <c r="L839" s="6" t="n">
        <v>4238</v>
      </c>
      <c r="M839" s="6" t="n">
        <v>1115</v>
      </c>
      <c r="N839" s="6" t="n">
        <v>1326</v>
      </c>
      <c r="O839" s="6" t="n">
        <v>2400</v>
      </c>
      <c r="P839" s="6" t="n">
        <v>2613</v>
      </c>
      <c r="Q839" s="6" t="n">
        <v>2291</v>
      </c>
      <c r="R839" s="6" t="n">
        <v>2237</v>
      </c>
      <c r="S839" s="6" t="n">
        <v>1557</v>
      </c>
      <c r="T839" s="6" t="n">
        <v>1431</v>
      </c>
      <c r="U839" s="6" t="n">
        <v>3231</v>
      </c>
      <c r="V839" s="6" t="n">
        <v>3151</v>
      </c>
    </row>
    <row r="840" customFormat="false" ht="15" hidden="false" customHeight="false" outlineLevel="0" collapsed="false">
      <c r="A840" s="5" t="s">
        <v>80</v>
      </c>
      <c r="B840" s="6" t="s">
        <v>77</v>
      </c>
      <c r="C840" s="5" t="s">
        <v>45</v>
      </c>
      <c r="D840" s="5" t="s">
        <v>35</v>
      </c>
      <c r="E840" s="6" t="n">
        <v>133856</v>
      </c>
      <c r="F840" s="6" t="n">
        <v>127268</v>
      </c>
      <c r="G840" s="6" t="n">
        <v>75156</v>
      </c>
      <c r="H840" s="6" t="n">
        <v>74834</v>
      </c>
      <c r="I840" s="6" t="n">
        <v>19553</v>
      </c>
      <c r="J840" s="6" t="n">
        <v>20936</v>
      </c>
      <c r="K840" s="6" t="n">
        <v>3483</v>
      </c>
      <c r="L840" s="6" t="n">
        <v>3449</v>
      </c>
      <c r="M840" s="6" t="n">
        <v>1940</v>
      </c>
      <c r="N840" s="6" t="n">
        <v>2002</v>
      </c>
      <c r="O840" s="6" t="n">
        <v>2684</v>
      </c>
      <c r="P840" s="6" t="n">
        <v>2951</v>
      </c>
      <c r="Q840" s="6" t="n">
        <v>2578</v>
      </c>
      <c r="R840" s="6" t="n">
        <v>2624</v>
      </c>
      <c r="S840" s="6" t="n">
        <v>866</v>
      </c>
      <c r="T840" s="6" t="n">
        <v>778</v>
      </c>
      <c r="U840" s="6" t="n">
        <v>3186</v>
      </c>
      <c r="V840" s="6" t="n">
        <v>3132</v>
      </c>
    </row>
    <row r="841" customFormat="false" ht="15" hidden="false" customHeight="false" outlineLevel="0" collapsed="false">
      <c r="A841" s="5" t="s">
        <v>80</v>
      </c>
      <c r="B841" s="6" t="s">
        <v>77</v>
      </c>
      <c r="C841" s="5" t="s">
        <v>46</v>
      </c>
      <c r="D841" s="5" t="s">
        <v>35</v>
      </c>
      <c r="E841" s="6" t="n">
        <v>143558</v>
      </c>
      <c r="F841" s="6" t="n">
        <v>138167</v>
      </c>
      <c r="G841" s="6" t="n">
        <v>85959</v>
      </c>
      <c r="H841" s="6" t="n">
        <v>82162</v>
      </c>
      <c r="I841" s="6" t="n">
        <v>22113</v>
      </c>
      <c r="J841" s="6" t="n">
        <v>22778</v>
      </c>
      <c r="K841" s="6" t="n">
        <v>4974</v>
      </c>
      <c r="L841" s="6" t="n">
        <v>4789</v>
      </c>
      <c r="M841" s="6" t="n">
        <v>1340</v>
      </c>
      <c r="N841" s="6" t="n">
        <v>1372</v>
      </c>
      <c r="O841" s="6" t="n">
        <v>3864</v>
      </c>
      <c r="P841" s="6" t="n">
        <v>3934</v>
      </c>
      <c r="Q841" s="6" t="n">
        <v>2075</v>
      </c>
      <c r="R841" s="6" t="n">
        <v>2094</v>
      </c>
      <c r="S841" s="6" t="n">
        <v>1487</v>
      </c>
      <c r="T841" s="6" t="n">
        <v>1340</v>
      </c>
      <c r="U841" s="6" t="n">
        <v>3702</v>
      </c>
      <c r="V841" s="6" t="n">
        <v>3602</v>
      </c>
    </row>
    <row r="842" customFormat="false" ht="15" hidden="false" customHeight="false" outlineLevel="0" collapsed="false">
      <c r="A842" s="5" t="s">
        <v>80</v>
      </c>
      <c r="B842" s="6" t="s">
        <v>77</v>
      </c>
      <c r="C842" s="5" t="s">
        <v>47</v>
      </c>
      <c r="D842" s="5" t="s">
        <v>48</v>
      </c>
      <c r="E842" s="6" t="n">
        <v>127392</v>
      </c>
      <c r="F842" s="6" t="n">
        <v>130621</v>
      </c>
      <c r="G842" s="6" t="n">
        <v>69120</v>
      </c>
      <c r="H842" s="6" t="n">
        <v>73599</v>
      </c>
      <c r="I842" s="6" t="n">
        <v>19483</v>
      </c>
      <c r="J842" s="6" t="n">
        <v>19509</v>
      </c>
      <c r="K842" s="6" t="n">
        <v>2649</v>
      </c>
      <c r="L842" s="6" t="n">
        <v>2611</v>
      </c>
      <c r="M842" s="6" t="n">
        <v>1627</v>
      </c>
      <c r="N842" s="6" t="n">
        <v>1978</v>
      </c>
      <c r="O842" s="6" t="n">
        <v>2801</v>
      </c>
      <c r="P842" s="6" t="n">
        <v>2846</v>
      </c>
      <c r="Q842" s="6" t="n">
        <v>2474</v>
      </c>
      <c r="R842" s="6" t="n">
        <v>2574</v>
      </c>
      <c r="S842" s="6" t="n">
        <v>1331</v>
      </c>
      <c r="T842" s="6" t="n">
        <v>1464</v>
      </c>
      <c r="U842" s="6" t="n">
        <v>3202</v>
      </c>
      <c r="V842" s="6" t="n">
        <v>3282</v>
      </c>
    </row>
    <row r="843" customFormat="false" ht="15" hidden="false" customHeight="false" outlineLevel="0" collapsed="false">
      <c r="A843" s="5" t="s">
        <v>80</v>
      </c>
      <c r="B843" s="6" t="s">
        <v>77</v>
      </c>
      <c r="C843" s="5" t="s">
        <v>49</v>
      </c>
      <c r="D843" s="5" t="s">
        <v>48</v>
      </c>
      <c r="E843" s="6" t="n">
        <v>134532</v>
      </c>
      <c r="F843" s="6" t="n">
        <v>129348</v>
      </c>
      <c r="G843" s="6" t="n">
        <v>77806</v>
      </c>
      <c r="H843" s="6" t="n">
        <v>77900</v>
      </c>
      <c r="I843" s="6" t="n">
        <v>22444</v>
      </c>
      <c r="J843" s="6" t="n">
        <v>23225</v>
      </c>
      <c r="K843" s="6" t="n">
        <v>4360</v>
      </c>
      <c r="L843" s="6" t="n">
        <v>3840</v>
      </c>
      <c r="M843" s="6" t="n">
        <v>1258</v>
      </c>
      <c r="N843" s="6" t="n">
        <v>1333</v>
      </c>
      <c r="O843" s="6" t="n">
        <v>3731</v>
      </c>
      <c r="P843" s="6" t="n">
        <v>3548</v>
      </c>
      <c r="Q843" s="6" t="n">
        <v>2202</v>
      </c>
      <c r="R843" s="6" t="n">
        <v>2254</v>
      </c>
      <c r="S843" s="6" t="n">
        <v>1204</v>
      </c>
      <c r="T843" s="6" t="n">
        <v>1491</v>
      </c>
      <c r="U843" s="6" t="n">
        <v>3507</v>
      </c>
      <c r="V843" s="6" t="n">
        <v>3451</v>
      </c>
    </row>
    <row r="844" customFormat="false" ht="15" hidden="false" customHeight="false" outlineLevel="0" collapsed="false">
      <c r="A844" s="5" t="s">
        <v>80</v>
      </c>
      <c r="B844" s="6" t="s">
        <v>77</v>
      </c>
      <c r="C844" s="5" t="s">
        <v>50</v>
      </c>
      <c r="D844" s="5" t="s">
        <v>48</v>
      </c>
      <c r="E844" s="6" t="n">
        <v>135002</v>
      </c>
      <c r="F844" s="6" t="n">
        <v>129915</v>
      </c>
      <c r="G844" s="6" t="n">
        <v>79987</v>
      </c>
      <c r="H844" s="6" t="n">
        <v>77878</v>
      </c>
      <c r="I844" s="6" t="n">
        <v>22451</v>
      </c>
      <c r="J844" s="6" t="n">
        <v>23872</v>
      </c>
      <c r="K844" s="6" t="n">
        <v>3059</v>
      </c>
      <c r="L844" s="6" t="n">
        <v>3226</v>
      </c>
      <c r="M844" s="6" t="n">
        <v>1381</v>
      </c>
      <c r="N844" s="6" t="n">
        <v>1125</v>
      </c>
      <c r="O844" s="6" t="n">
        <v>2739</v>
      </c>
      <c r="P844" s="6" t="n">
        <v>2890</v>
      </c>
      <c r="Q844" s="6" t="n">
        <v>2657</v>
      </c>
      <c r="R844" s="6" t="n">
        <v>2530</v>
      </c>
      <c r="S844" s="6" t="n">
        <v>1446</v>
      </c>
      <c r="T844" s="6" t="n">
        <v>1667</v>
      </c>
      <c r="U844" s="6" t="n">
        <v>3671</v>
      </c>
      <c r="V844" s="6" t="n">
        <v>3655</v>
      </c>
    </row>
    <row r="845" customFormat="false" ht="15" hidden="false" customHeight="false" outlineLevel="0" collapsed="false">
      <c r="A845" s="5" t="s">
        <v>80</v>
      </c>
      <c r="B845" s="6" t="s">
        <v>77</v>
      </c>
      <c r="C845" s="5" t="s">
        <v>51</v>
      </c>
      <c r="D845" s="5" t="s">
        <v>48</v>
      </c>
      <c r="E845" s="6" t="n">
        <v>139640</v>
      </c>
      <c r="F845" s="6" t="n">
        <v>131818</v>
      </c>
      <c r="G845" s="6" t="n">
        <v>79206</v>
      </c>
      <c r="H845" s="6" t="n">
        <v>76747</v>
      </c>
      <c r="I845" s="6" t="n">
        <v>21236</v>
      </c>
      <c r="J845" s="6" t="n">
        <v>22791</v>
      </c>
      <c r="K845" s="6" t="n">
        <v>3287</v>
      </c>
      <c r="L845" s="6" t="n">
        <v>3193</v>
      </c>
      <c r="M845" s="6" t="n">
        <v>1879</v>
      </c>
      <c r="N845" s="6" t="n">
        <v>1641</v>
      </c>
      <c r="O845" s="6" t="n">
        <v>3620</v>
      </c>
      <c r="P845" s="6" t="n">
        <v>3568</v>
      </c>
      <c r="Q845" s="6" t="n">
        <v>1678</v>
      </c>
      <c r="R845" s="6" t="n">
        <v>1685</v>
      </c>
      <c r="S845" s="6" t="n">
        <v>909</v>
      </c>
      <c r="T845" s="6" t="n">
        <v>1186</v>
      </c>
      <c r="U845" s="6" t="n">
        <v>3045</v>
      </c>
      <c r="V845" s="6" t="n">
        <v>3069</v>
      </c>
    </row>
    <row r="846" customFormat="false" ht="15" hidden="false" customHeight="false" outlineLevel="0" collapsed="false">
      <c r="A846" s="5" t="s">
        <v>80</v>
      </c>
      <c r="B846" s="6" t="s">
        <v>77</v>
      </c>
      <c r="C846" s="5" t="s">
        <v>52</v>
      </c>
      <c r="D846" s="5" t="s">
        <v>48</v>
      </c>
      <c r="E846" s="6" t="n">
        <v>126482</v>
      </c>
      <c r="F846" s="6" t="n">
        <v>131875</v>
      </c>
      <c r="G846" s="6" t="n">
        <v>75830</v>
      </c>
      <c r="H846" s="6" t="n">
        <v>80901</v>
      </c>
      <c r="I846" s="6" t="n">
        <v>20210</v>
      </c>
      <c r="J846" s="6" t="n">
        <v>19637</v>
      </c>
      <c r="K846" s="6" t="n">
        <v>3165</v>
      </c>
      <c r="L846" s="6" t="n">
        <v>3629</v>
      </c>
      <c r="M846" s="6" t="n">
        <v>1842</v>
      </c>
      <c r="N846" s="6" t="n">
        <v>2106</v>
      </c>
      <c r="O846" s="6" t="n">
        <v>2789</v>
      </c>
      <c r="P846" s="6" t="n">
        <v>2641</v>
      </c>
      <c r="Q846" s="6" t="n">
        <v>1592</v>
      </c>
      <c r="R846" s="6" t="n">
        <v>1616</v>
      </c>
      <c r="S846" s="6" t="n">
        <v>1470</v>
      </c>
      <c r="T846" s="6" t="n">
        <v>1240</v>
      </c>
      <c r="U846" s="6" t="n">
        <v>3251</v>
      </c>
      <c r="V846" s="6" t="n">
        <v>3217</v>
      </c>
    </row>
    <row r="847" customFormat="false" ht="15" hidden="false" customHeight="false" outlineLevel="0" collapsed="false">
      <c r="A847" s="5" t="s">
        <v>80</v>
      </c>
      <c r="B847" s="6" t="s">
        <v>77</v>
      </c>
      <c r="C847" s="5" t="s">
        <v>53</v>
      </c>
      <c r="D847" s="5" t="s">
        <v>48</v>
      </c>
      <c r="E847" s="6" t="n">
        <v>142288</v>
      </c>
      <c r="F847" s="6" t="n">
        <v>143031</v>
      </c>
      <c r="G847" s="6" t="n">
        <v>81908</v>
      </c>
      <c r="H847" s="6" t="n">
        <v>79757</v>
      </c>
      <c r="I847" s="6" t="n">
        <v>22442</v>
      </c>
      <c r="J847" s="6" t="n">
        <v>23676</v>
      </c>
      <c r="K847" s="6" t="n">
        <v>3419</v>
      </c>
      <c r="L847" s="6" t="n">
        <v>3347</v>
      </c>
      <c r="M847" s="6" t="n">
        <v>1745</v>
      </c>
      <c r="N847" s="6" t="n">
        <v>1648</v>
      </c>
      <c r="O847" s="6" t="n">
        <v>3339</v>
      </c>
      <c r="P847" s="6" t="n">
        <v>3082</v>
      </c>
      <c r="Q847" s="6" t="n">
        <v>1888</v>
      </c>
      <c r="R847" s="6" t="n">
        <v>1962</v>
      </c>
      <c r="S847" s="6" t="n">
        <v>886</v>
      </c>
      <c r="T847" s="6" t="n">
        <v>885</v>
      </c>
      <c r="U847" s="6" t="n">
        <v>2894</v>
      </c>
      <c r="V847" s="6" t="n">
        <v>2912</v>
      </c>
    </row>
    <row r="848" customFormat="false" ht="15" hidden="false" customHeight="false" outlineLevel="0" collapsed="false">
      <c r="A848" s="5" t="s">
        <v>80</v>
      </c>
      <c r="B848" s="6" t="s">
        <v>77</v>
      </c>
      <c r="C848" s="5" t="s">
        <v>54</v>
      </c>
      <c r="D848" s="5" t="s">
        <v>48</v>
      </c>
      <c r="E848" s="6" t="n">
        <v>137122</v>
      </c>
      <c r="F848" s="6" t="n">
        <v>134502</v>
      </c>
      <c r="G848" s="6" t="n">
        <v>78507</v>
      </c>
      <c r="H848" s="6" t="n">
        <v>80874</v>
      </c>
      <c r="I848" s="6" t="n">
        <v>21658</v>
      </c>
      <c r="J848" s="6" t="n">
        <v>22655</v>
      </c>
      <c r="K848" s="6" t="n">
        <v>3786</v>
      </c>
      <c r="L848" s="6" t="n">
        <v>3550</v>
      </c>
      <c r="M848" s="6" t="n">
        <v>1222</v>
      </c>
      <c r="N848" s="6" t="n">
        <v>1517</v>
      </c>
      <c r="O848" s="6" t="n">
        <v>2931</v>
      </c>
      <c r="P848" s="6" t="n">
        <v>3085</v>
      </c>
      <c r="Q848" s="6" t="n">
        <v>2207</v>
      </c>
      <c r="R848" s="6" t="n">
        <v>2236</v>
      </c>
      <c r="S848" s="6" t="n">
        <v>1355</v>
      </c>
      <c r="T848" s="6" t="n">
        <v>1315</v>
      </c>
      <c r="U848" s="6" t="n">
        <v>3362</v>
      </c>
      <c r="V848" s="6" t="n">
        <v>3371</v>
      </c>
    </row>
    <row r="849" customFormat="false" ht="15" hidden="false" customHeight="false" outlineLevel="0" collapsed="false">
      <c r="A849" s="5" t="s">
        <v>80</v>
      </c>
      <c r="B849" s="6" t="s">
        <v>77</v>
      </c>
      <c r="C849" s="5" t="s">
        <v>55</v>
      </c>
      <c r="D849" s="5" t="s">
        <v>48</v>
      </c>
      <c r="E849" s="6" t="n">
        <v>140301</v>
      </c>
      <c r="F849" s="6" t="n">
        <v>135265</v>
      </c>
      <c r="G849" s="6" t="n">
        <v>83448</v>
      </c>
      <c r="H849" s="6" t="n">
        <v>82449</v>
      </c>
      <c r="I849" s="6" t="n">
        <v>21500</v>
      </c>
      <c r="J849" s="6" t="n">
        <v>21699</v>
      </c>
      <c r="K849" s="6" t="n">
        <v>3183</v>
      </c>
      <c r="L849" s="6" t="n">
        <v>3560</v>
      </c>
      <c r="M849" s="6" t="n">
        <v>1517</v>
      </c>
      <c r="N849" s="6" t="n">
        <v>1510</v>
      </c>
      <c r="O849" s="6" t="n">
        <v>2800</v>
      </c>
      <c r="P849" s="6" t="n">
        <v>2964</v>
      </c>
      <c r="Q849" s="6" t="n">
        <v>2421</v>
      </c>
      <c r="R849" s="6" t="n">
        <v>2306</v>
      </c>
      <c r="S849" s="6" t="n">
        <v>1360</v>
      </c>
      <c r="T849" s="6" t="n">
        <v>1312</v>
      </c>
      <c r="U849" s="6" t="n">
        <v>3901</v>
      </c>
      <c r="V849" s="6" t="n">
        <v>4009</v>
      </c>
    </row>
    <row r="850" customFormat="false" ht="15" hidden="false" customHeight="false" outlineLevel="0" collapsed="false">
      <c r="A850" s="5" t="s">
        <v>80</v>
      </c>
      <c r="B850" s="6" t="s">
        <v>77</v>
      </c>
      <c r="C850" s="5" t="s">
        <v>56</v>
      </c>
      <c r="D850" s="5" t="s">
        <v>48</v>
      </c>
      <c r="E850" s="6" t="n">
        <v>146957</v>
      </c>
      <c r="F850" s="6" t="n">
        <v>144737</v>
      </c>
      <c r="G850" s="6" t="n">
        <v>87939</v>
      </c>
      <c r="H850" s="6" t="n">
        <v>87298</v>
      </c>
      <c r="I850" s="6" t="n">
        <v>22920</v>
      </c>
      <c r="J850" s="6" t="n">
        <v>23202</v>
      </c>
      <c r="K850" s="6" t="n">
        <v>3270</v>
      </c>
      <c r="L850" s="6" t="n">
        <v>3391</v>
      </c>
      <c r="M850" s="6" t="n">
        <v>2117</v>
      </c>
      <c r="N850" s="6" t="n">
        <v>2229</v>
      </c>
      <c r="O850" s="6" t="n">
        <v>3701</v>
      </c>
      <c r="P850" s="6" t="n">
        <v>3507</v>
      </c>
      <c r="Q850" s="6" t="n">
        <v>2744</v>
      </c>
      <c r="R850" s="6" t="n">
        <v>2695</v>
      </c>
      <c r="S850" s="6" t="n">
        <v>1390</v>
      </c>
      <c r="T850" s="6" t="n">
        <v>1524</v>
      </c>
      <c r="U850" s="6" t="n">
        <v>4041</v>
      </c>
      <c r="V850" s="6" t="n">
        <v>4111</v>
      </c>
    </row>
    <row r="851" customFormat="false" ht="15" hidden="false" customHeight="false" outlineLevel="0" collapsed="false">
      <c r="A851" s="5" t="s">
        <v>80</v>
      </c>
      <c r="B851" s="6" t="s">
        <v>77</v>
      </c>
      <c r="C851" s="5" t="s">
        <v>57</v>
      </c>
      <c r="D851" s="5" t="s">
        <v>48</v>
      </c>
      <c r="E851" s="6" t="n">
        <v>137983</v>
      </c>
      <c r="F851" s="6" t="n">
        <v>135041</v>
      </c>
      <c r="G851" s="6" t="n">
        <v>74516</v>
      </c>
      <c r="H851" s="6" t="n">
        <v>74572</v>
      </c>
      <c r="I851" s="6" t="n">
        <v>22142</v>
      </c>
      <c r="J851" s="6" t="n">
        <v>23408</v>
      </c>
      <c r="K851" s="6" t="n">
        <v>3523</v>
      </c>
      <c r="L851" s="6" t="n">
        <v>3730</v>
      </c>
      <c r="M851" s="6" t="n">
        <v>1957</v>
      </c>
      <c r="N851" s="6" t="n">
        <v>2215</v>
      </c>
      <c r="O851" s="6" t="n">
        <v>3681</v>
      </c>
      <c r="P851" s="6" t="n">
        <v>3887</v>
      </c>
      <c r="Q851" s="6" t="n">
        <v>2086</v>
      </c>
      <c r="R851" s="6" t="n">
        <v>2133</v>
      </c>
      <c r="S851" s="6" t="n">
        <v>1103</v>
      </c>
      <c r="T851" s="6" t="n">
        <v>1185</v>
      </c>
      <c r="U851" s="6" t="n">
        <v>2813</v>
      </c>
      <c r="V851" s="6" t="n">
        <v>2842</v>
      </c>
    </row>
    <row r="852" customFormat="false" ht="15" hidden="false" customHeight="false" outlineLevel="0" collapsed="false">
      <c r="A852" s="5" t="s">
        <v>80</v>
      </c>
      <c r="B852" s="6" t="s">
        <v>77</v>
      </c>
      <c r="C852" s="5" t="s">
        <v>58</v>
      </c>
      <c r="D852" s="5" t="s">
        <v>48</v>
      </c>
      <c r="E852" s="6" t="n">
        <v>140668</v>
      </c>
      <c r="F852" s="6" t="n">
        <v>134229</v>
      </c>
      <c r="G852" s="6" t="n">
        <v>77445</v>
      </c>
      <c r="H852" s="6" t="n">
        <v>76226</v>
      </c>
      <c r="I852" s="6" t="n">
        <v>23291</v>
      </c>
      <c r="J852" s="6" t="n">
        <v>23280</v>
      </c>
      <c r="K852" s="6" t="n">
        <v>3199</v>
      </c>
      <c r="L852" s="6" t="n">
        <v>3222</v>
      </c>
      <c r="M852" s="6" t="n">
        <v>1579</v>
      </c>
      <c r="N852" s="6" t="n">
        <v>1574</v>
      </c>
      <c r="O852" s="6" t="n">
        <v>2729</v>
      </c>
      <c r="P852" s="6" t="n">
        <v>2917</v>
      </c>
      <c r="Q852" s="6" t="n">
        <v>2376</v>
      </c>
      <c r="R852" s="6" t="n">
        <v>2301</v>
      </c>
      <c r="S852" s="6" t="n">
        <v>1052</v>
      </c>
      <c r="T852" s="6" t="n">
        <v>1442</v>
      </c>
      <c r="U852" s="6" t="n">
        <v>3775</v>
      </c>
      <c r="V852" s="6" t="n">
        <v>3829</v>
      </c>
    </row>
    <row r="853" customFormat="false" ht="15" hidden="false" customHeight="false" outlineLevel="0" collapsed="false">
      <c r="A853" s="5" t="s">
        <v>80</v>
      </c>
      <c r="B853" s="6" t="s">
        <v>77</v>
      </c>
      <c r="C853" s="5" t="s">
        <v>59</v>
      </c>
      <c r="D853" s="5" t="s">
        <v>48</v>
      </c>
      <c r="E853" s="6" t="n">
        <v>153358</v>
      </c>
      <c r="F853" s="6" t="n">
        <v>148209</v>
      </c>
      <c r="G853" s="6" t="n">
        <v>90453</v>
      </c>
      <c r="H853" s="6" t="n">
        <v>86099</v>
      </c>
      <c r="I853" s="6" t="n">
        <v>25798</v>
      </c>
      <c r="J853" s="6" t="n">
        <v>26574</v>
      </c>
      <c r="K853" s="6" t="n">
        <v>5141</v>
      </c>
      <c r="L853" s="6" t="n">
        <v>5253</v>
      </c>
      <c r="M853" s="6" t="n">
        <v>1338</v>
      </c>
      <c r="N853" s="6" t="n">
        <v>1341</v>
      </c>
      <c r="O853" s="6" t="n">
        <v>3160</v>
      </c>
      <c r="P853" s="6" t="n">
        <v>3297</v>
      </c>
      <c r="Q853" s="6" t="n">
        <v>2964</v>
      </c>
      <c r="R853" s="6" t="n">
        <v>2871</v>
      </c>
      <c r="S853" s="6" t="n">
        <v>1621</v>
      </c>
      <c r="T853" s="6" t="n">
        <v>1999</v>
      </c>
      <c r="U853" s="6" t="n">
        <v>4497</v>
      </c>
      <c r="V853" s="6" t="n">
        <v>4410</v>
      </c>
    </row>
    <row r="854" customFormat="false" ht="15" hidden="false" customHeight="false" outlineLevel="0" collapsed="false">
      <c r="A854" s="5" t="s">
        <v>80</v>
      </c>
      <c r="B854" s="6" t="s">
        <v>77</v>
      </c>
      <c r="C854" s="5" t="s">
        <v>60</v>
      </c>
      <c r="D854" s="5" t="s">
        <v>61</v>
      </c>
      <c r="E854" s="6" t="n">
        <v>138691</v>
      </c>
      <c r="F854" s="6" t="n">
        <v>140562</v>
      </c>
      <c r="G854" s="6" t="n">
        <v>82954</v>
      </c>
      <c r="H854" s="6" t="n">
        <v>82469</v>
      </c>
      <c r="I854" s="6" t="n">
        <v>23353</v>
      </c>
      <c r="J854" s="6" t="n">
        <v>23222</v>
      </c>
      <c r="K854" s="6" t="n">
        <v>4219</v>
      </c>
      <c r="L854" s="6" t="n">
        <v>4021</v>
      </c>
      <c r="M854" s="6" t="n">
        <v>1700</v>
      </c>
      <c r="N854" s="6" t="n">
        <v>1943</v>
      </c>
      <c r="O854" s="6" t="n">
        <v>2638</v>
      </c>
      <c r="P854" s="6" t="n">
        <v>2836</v>
      </c>
      <c r="Q854" s="6" t="n">
        <v>2707</v>
      </c>
      <c r="R854" s="6" t="n">
        <v>2600</v>
      </c>
      <c r="S854" s="6" t="n">
        <v>1423</v>
      </c>
      <c r="T854" s="6" t="n">
        <v>1454</v>
      </c>
      <c r="U854" s="6" t="n">
        <v>2809</v>
      </c>
      <c r="V854" s="6" t="n">
        <v>2834</v>
      </c>
    </row>
    <row r="855" customFormat="false" ht="15" hidden="false" customHeight="false" outlineLevel="0" collapsed="false">
      <c r="A855" s="5" t="s">
        <v>80</v>
      </c>
      <c r="B855" s="6" t="s">
        <v>77</v>
      </c>
      <c r="C855" s="5" t="s">
        <v>62</v>
      </c>
      <c r="D855" s="5" t="s">
        <v>61</v>
      </c>
      <c r="E855" s="6" t="n">
        <v>149462</v>
      </c>
      <c r="F855" s="6" t="n">
        <v>141704</v>
      </c>
      <c r="G855" s="6" t="n">
        <v>89225</v>
      </c>
      <c r="H855" s="6" t="n">
        <v>85718</v>
      </c>
      <c r="I855" s="6" t="n">
        <v>20995</v>
      </c>
      <c r="J855" s="6" t="n">
        <v>21105</v>
      </c>
      <c r="K855" s="6" t="n">
        <v>4083</v>
      </c>
      <c r="L855" s="6" t="n">
        <v>4304</v>
      </c>
      <c r="M855" s="6" t="n">
        <v>2059</v>
      </c>
      <c r="N855" s="6" t="n">
        <v>1878</v>
      </c>
      <c r="O855" s="6" t="n">
        <v>2981</v>
      </c>
      <c r="P855" s="6" t="n">
        <v>3080</v>
      </c>
      <c r="Q855" s="6" t="n">
        <v>1937</v>
      </c>
      <c r="R855" s="6" t="n">
        <v>1971</v>
      </c>
      <c r="S855" s="6" t="n">
        <v>1356</v>
      </c>
      <c r="T855" s="6" t="n">
        <v>1554</v>
      </c>
      <c r="U855" s="6" t="n">
        <v>4374</v>
      </c>
      <c r="V855" s="6" t="n">
        <v>4272</v>
      </c>
    </row>
    <row r="856" customFormat="false" ht="15" hidden="false" customHeight="false" outlineLevel="0" collapsed="false">
      <c r="A856" s="5" t="s">
        <v>80</v>
      </c>
      <c r="B856" s="6" t="s">
        <v>77</v>
      </c>
      <c r="C856" s="5" t="s">
        <v>63</v>
      </c>
      <c r="D856" s="5" t="s">
        <v>61</v>
      </c>
      <c r="E856" s="6" t="n">
        <v>142371</v>
      </c>
      <c r="F856" s="6" t="n">
        <v>142641</v>
      </c>
      <c r="G856" s="6" t="n">
        <v>77281</v>
      </c>
      <c r="H856" s="6" t="n">
        <v>78294</v>
      </c>
      <c r="I856" s="6" t="n">
        <v>22942</v>
      </c>
      <c r="J856" s="6" t="n">
        <v>23722</v>
      </c>
      <c r="K856" s="6" t="n">
        <v>3422</v>
      </c>
      <c r="L856" s="6" t="n">
        <v>2947</v>
      </c>
      <c r="M856" s="6" t="n">
        <v>1975</v>
      </c>
      <c r="N856" s="6" t="n">
        <v>1788</v>
      </c>
      <c r="O856" s="6" t="n">
        <v>3001</v>
      </c>
      <c r="P856" s="6" t="n">
        <v>2937</v>
      </c>
      <c r="Q856" s="6" t="n">
        <v>2225</v>
      </c>
      <c r="R856" s="6" t="n">
        <v>2186</v>
      </c>
      <c r="S856" s="6" t="n">
        <v>1134</v>
      </c>
      <c r="T856" s="6" t="n">
        <v>980</v>
      </c>
      <c r="U856" s="6" t="n">
        <v>3885</v>
      </c>
      <c r="V856" s="6" t="n">
        <v>3854</v>
      </c>
    </row>
    <row r="857" customFormat="false" ht="15" hidden="false" customHeight="false" outlineLevel="0" collapsed="false">
      <c r="A857" s="5" t="s">
        <v>80</v>
      </c>
      <c r="B857" s="6" t="s">
        <v>77</v>
      </c>
      <c r="C857" s="5" t="s">
        <v>64</v>
      </c>
      <c r="D857" s="5" t="s">
        <v>61</v>
      </c>
      <c r="E857" s="6" t="n">
        <v>151471</v>
      </c>
      <c r="F857" s="6" t="n">
        <v>145911</v>
      </c>
      <c r="G857" s="6" t="n">
        <v>86119</v>
      </c>
      <c r="H857" s="6" t="n">
        <v>86211</v>
      </c>
      <c r="I857" s="6" t="n">
        <v>23589</v>
      </c>
      <c r="J857" s="6" t="n">
        <v>23499</v>
      </c>
      <c r="K857" s="6" t="n">
        <v>3998</v>
      </c>
      <c r="L857" s="6" t="n">
        <v>4420</v>
      </c>
      <c r="M857" s="6" t="n">
        <v>1260</v>
      </c>
      <c r="N857" s="6" t="n">
        <v>1613</v>
      </c>
      <c r="O857" s="6" t="n">
        <v>3129</v>
      </c>
      <c r="P857" s="6" t="n">
        <v>3356</v>
      </c>
      <c r="Q857" s="6" t="n">
        <v>2662</v>
      </c>
      <c r="R857" s="6" t="n">
        <v>2700</v>
      </c>
      <c r="S857" s="6" t="n">
        <v>1008</v>
      </c>
      <c r="T857" s="6" t="n">
        <v>1381</v>
      </c>
      <c r="U857" s="6" t="n">
        <v>4230</v>
      </c>
      <c r="V857" s="6" t="n">
        <v>4112</v>
      </c>
    </row>
    <row r="858" customFormat="false" ht="15" hidden="false" customHeight="false" outlineLevel="0" collapsed="false">
      <c r="A858" s="5" t="s">
        <v>80</v>
      </c>
      <c r="B858" s="6" t="s">
        <v>77</v>
      </c>
      <c r="C858" s="5" t="s">
        <v>65</v>
      </c>
      <c r="D858" s="5" t="s">
        <v>61</v>
      </c>
      <c r="E858" s="6" t="n">
        <v>145366</v>
      </c>
      <c r="F858" s="6" t="n">
        <v>146126</v>
      </c>
      <c r="G858" s="6" t="n">
        <v>83868</v>
      </c>
      <c r="H858" s="6" t="n">
        <v>88310</v>
      </c>
      <c r="I858" s="6" t="n">
        <v>20883</v>
      </c>
      <c r="J858" s="6" t="n">
        <v>21616</v>
      </c>
      <c r="K858" s="6" t="n">
        <v>3938</v>
      </c>
      <c r="L858" s="6" t="n">
        <v>3418</v>
      </c>
      <c r="M858" s="6" t="n">
        <v>1908</v>
      </c>
      <c r="N858" s="6" t="n">
        <v>1652</v>
      </c>
      <c r="O858" s="6" t="n">
        <v>3311</v>
      </c>
      <c r="P858" s="6" t="n">
        <v>3208</v>
      </c>
      <c r="Q858" s="6" t="n">
        <v>1895</v>
      </c>
      <c r="R858" s="6" t="n">
        <v>1960</v>
      </c>
      <c r="S858" s="6" t="n">
        <v>1332</v>
      </c>
      <c r="T858" s="6" t="n">
        <v>1750</v>
      </c>
      <c r="U858" s="6" t="n">
        <v>3414</v>
      </c>
      <c r="V858" s="6" t="n">
        <v>3345</v>
      </c>
    </row>
    <row r="859" customFormat="false" ht="15" hidden="false" customHeight="false" outlineLevel="0" collapsed="false">
      <c r="A859" s="5" t="s">
        <v>80</v>
      </c>
      <c r="B859" s="6" t="s">
        <v>77</v>
      </c>
      <c r="C859" s="5" t="s">
        <v>66</v>
      </c>
      <c r="D859" s="5" t="s">
        <v>61</v>
      </c>
      <c r="E859" s="6" t="n">
        <v>153644</v>
      </c>
      <c r="F859" s="6" t="n">
        <v>156826</v>
      </c>
      <c r="G859" s="6" t="n">
        <v>90427</v>
      </c>
      <c r="H859" s="6" t="n">
        <v>95509</v>
      </c>
      <c r="I859" s="6" t="n">
        <v>23484</v>
      </c>
      <c r="J859" s="6" t="n">
        <v>22930</v>
      </c>
      <c r="K859" s="6" t="n">
        <v>3821</v>
      </c>
      <c r="L859" s="6" t="n">
        <v>4134</v>
      </c>
      <c r="M859" s="6" t="n">
        <v>1774</v>
      </c>
      <c r="N859" s="6" t="n">
        <v>2122</v>
      </c>
      <c r="O859" s="6" t="n">
        <v>3457</v>
      </c>
      <c r="P859" s="6" t="n">
        <v>3456</v>
      </c>
      <c r="Q859" s="6" t="n">
        <v>2211</v>
      </c>
      <c r="R859" s="6" t="n">
        <v>2138</v>
      </c>
      <c r="S859" s="6" t="n">
        <v>1376</v>
      </c>
      <c r="T859" s="6" t="n">
        <v>1380</v>
      </c>
      <c r="U859" s="6" t="n">
        <v>3591</v>
      </c>
      <c r="V859" s="6" t="n">
        <v>3643</v>
      </c>
    </row>
    <row r="860" customFormat="false" ht="15" hidden="false" customHeight="false" outlineLevel="0" collapsed="false">
      <c r="A860" s="5" t="s">
        <v>80</v>
      </c>
      <c r="B860" s="6" t="s">
        <v>77</v>
      </c>
      <c r="C860" s="5" t="s">
        <v>67</v>
      </c>
      <c r="D860" s="5" t="s">
        <v>61</v>
      </c>
      <c r="E860" s="6" t="n">
        <v>147852</v>
      </c>
      <c r="F860" s="6" t="n">
        <v>147122</v>
      </c>
      <c r="G860" s="6" t="n">
        <v>82852</v>
      </c>
      <c r="H860" s="6" t="n">
        <v>83828</v>
      </c>
      <c r="I860" s="6" t="n">
        <v>24978</v>
      </c>
      <c r="J860" s="6" t="n">
        <v>26417</v>
      </c>
      <c r="K860" s="6" t="n">
        <v>3661</v>
      </c>
      <c r="L860" s="6" t="n">
        <v>3895</v>
      </c>
      <c r="M860" s="6" t="n">
        <v>1818</v>
      </c>
      <c r="N860" s="6" t="n">
        <v>1616</v>
      </c>
      <c r="O860" s="6" t="n">
        <v>2852</v>
      </c>
      <c r="P860" s="6" t="n">
        <v>3116</v>
      </c>
      <c r="Q860" s="6" t="n">
        <v>2851</v>
      </c>
      <c r="R860" s="6" t="n">
        <v>2984</v>
      </c>
      <c r="S860" s="6" t="n">
        <v>1608</v>
      </c>
      <c r="T860" s="6" t="n">
        <v>1699</v>
      </c>
      <c r="U860" s="6" t="n">
        <v>3448</v>
      </c>
      <c r="V860" s="6" t="n">
        <v>3373</v>
      </c>
    </row>
    <row r="861" customFormat="false" ht="15" hidden="false" customHeight="false" outlineLevel="0" collapsed="false">
      <c r="A861" s="5" t="s">
        <v>80</v>
      </c>
      <c r="B861" s="6" t="s">
        <v>77</v>
      </c>
      <c r="C861" s="5" t="s">
        <v>68</v>
      </c>
      <c r="D861" s="5" t="s">
        <v>61</v>
      </c>
      <c r="E861" s="6" t="n">
        <v>157185</v>
      </c>
      <c r="F861" s="6" t="n">
        <v>150287</v>
      </c>
      <c r="G861" s="6" t="n">
        <v>85284</v>
      </c>
      <c r="H861" s="6" t="n">
        <v>84560</v>
      </c>
      <c r="I861" s="6" t="n">
        <v>23762</v>
      </c>
      <c r="J861" s="6" t="n">
        <v>23649</v>
      </c>
      <c r="K861" s="6" t="n">
        <v>4670</v>
      </c>
      <c r="L861" s="6" t="n">
        <v>4295</v>
      </c>
      <c r="M861" s="6" t="n">
        <v>2312</v>
      </c>
      <c r="N861" s="6" t="n">
        <v>2001</v>
      </c>
      <c r="O861" s="6" t="n">
        <v>4208</v>
      </c>
      <c r="P861" s="6" t="n">
        <v>4540</v>
      </c>
      <c r="Q861" s="6" t="n">
        <v>2926</v>
      </c>
      <c r="R861" s="6" t="n">
        <v>3014</v>
      </c>
      <c r="S861" s="6" t="n">
        <v>1762</v>
      </c>
      <c r="T861" s="6" t="n">
        <v>1483</v>
      </c>
      <c r="U861" s="6" t="n">
        <v>3152</v>
      </c>
      <c r="V861" s="6" t="n">
        <v>3122</v>
      </c>
    </row>
    <row r="862" customFormat="false" ht="15" hidden="false" customHeight="false" outlineLevel="0" collapsed="false">
      <c r="A862" s="5" t="s">
        <v>80</v>
      </c>
      <c r="B862" s="6" t="s">
        <v>77</v>
      </c>
      <c r="C862" s="5" t="s">
        <v>69</v>
      </c>
      <c r="D862" s="5" t="s">
        <v>61</v>
      </c>
      <c r="E862" s="6" t="n">
        <v>154914</v>
      </c>
      <c r="F862" s="6" t="n">
        <v>160617</v>
      </c>
      <c r="G862" s="6" t="n">
        <v>89537</v>
      </c>
      <c r="H862" s="6" t="n">
        <v>94083</v>
      </c>
      <c r="I862" s="6" t="n">
        <v>22534</v>
      </c>
      <c r="J862" s="6" t="n">
        <v>22107</v>
      </c>
      <c r="K862" s="6" t="n">
        <v>3803</v>
      </c>
      <c r="L862" s="6" t="n">
        <v>4204</v>
      </c>
      <c r="M862" s="6" t="n">
        <v>1808</v>
      </c>
      <c r="N862" s="6" t="n">
        <v>1793</v>
      </c>
      <c r="O862" s="6" t="n">
        <v>3697</v>
      </c>
      <c r="P862" s="6" t="n">
        <v>4063</v>
      </c>
      <c r="Q862" s="6" t="n">
        <v>2467</v>
      </c>
      <c r="R862" s="6" t="n">
        <v>2467</v>
      </c>
      <c r="S862" s="6" t="n">
        <v>1720</v>
      </c>
      <c r="T862" s="6" t="n">
        <v>2398</v>
      </c>
      <c r="U862" s="6" t="n">
        <v>3442</v>
      </c>
      <c r="V862" s="6" t="n">
        <v>3431</v>
      </c>
    </row>
    <row r="863" customFormat="false" ht="15" hidden="false" customHeight="false" outlineLevel="0" collapsed="false">
      <c r="A863" s="5" t="s">
        <v>80</v>
      </c>
      <c r="B863" s="6" t="s">
        <v>77</v>
      </c>
      <c r="C863" s="5" t="s">
        <v>70</v>
      </c>
      <c r="D863" s="5" t="s">
        <v>61</v>
      </c>
      <c r="E863" s="6" t="n">
        <v>149423</v>
      </c>
      <c r="F863" s="6" t="n">
        <v>150487</v>
      </c>
      <c r="G863" s="6" t="n">
        <v>89201</v>
      </c>
      <c r="H863" s="6" t="n">
        <v>91665</v>
      </c>
      <c r="I863" s="6" t="n">
        <v>21590</v>
      </c>
      <c r="J863" s="6" t="n">
        <v>20957</v>
      </c>
      <c r="K863" s="6" t="n">
        <v>3809</v>
      </c>
      <c r="L863" s="6" t="n">
        <v>3826</v>
      </c>
      <c r="M863" s="6" t="n">
        <v>1968</v>
      </c>
      <c r="N863" s="6" t="n">
        <v>1739</v>
      </c>
      <c r="O863" s="6" t="n">
        <v>3241</v>
      </c>
      <c r="P863" s="6" t="n">
        <v>3104</v>
      </c>
      <c r="Q863" s="6" t="n">
        <v>2939</v>
      </c>
      <c r="R863" s="6" t="n">
        <v>2947</v>
      </c>
      <c r="S863" s="6" t="n">
        <v>1619</v>
      </c>
      <c r="T863" s="6" t="n">
        <v>1463</v>
      </c>
      <c r="U863" s="6" t="n">
        <v>3800</v>
      </c>
      <c r="V863" s="6" t="n">
        <v>3872</v>
      </c>
    </row>
    <row r="864" customFormat="false" ht="15" hidden="false" customHeight="false" outlineLevel="0" collapsed="false">
      <c r="A864" s="5" t="s">
        <v>80</v>
      </c>
      <c r="B864" s="6" t="s">
        <v>77</v>
      </c>
      <c r="C864" s="5" t="s">
        <v>71</v>
      </c>
      <c r="D864" s="5" t="s">
        <v>61</v>
      </c>
      <c r="E864" s="6" t="n">
        <v>147348</v>
      </c>
      <c r="F864" s="6" t="n">
        <v>153033</v>
      </c>
      <c r="G864" s="6" t="n">
        <v>80124</v>
      </c>
      <c r="H864" s="6" t="n">
        <v>81687</v>
      </c>
      <c r="I864" s="6" t="n">
        <v>21262</v>
      </c>
      <c r="J864" s="6" t="n">
        <v>22591</v>
      </c>
      <c r="K864" s="6" t="n">
        <v>2963</v>
      </c>
      <c r="L864" s="6" t="n">
        <v>2790</v>
      </c>
      <c r="M864" s="6" t="n">
        <v>1274</v>
      </c>
      <c r="N864" s="6" t="n">
        <v>1259</v>
      </c>
      <c r="O864" s="6" t="n">
        <v>2664</v>
      </c>
      <c r="P864" s="6" t="n">
        <v>2494</v>
      </c>
      <c r="Q864" s="6" t="n">
        <v>2057</v>
      </c>
      <c r="R864" s="6" t="n">
        <v>2008</v>
      </c>
      <c r="S864" s="6" t="n">
        <v>1026</v>
      </c>
      <c r="T864" s="6" t="n">
        <v>1263</v>
      </c>
      <c r="U864" s="6" t="n">
        <v>3629</v>
      </c>
      <c r="V864" s="6" t="n">
        <v>3525</v>
      </c>
    </row>
    <row r="865" customFormat="false" ht="15" hidden="false" customHeight="false" outlineLevel="0" collapsed="false">
      <c r="A865" s="5" t="s">
        <v>80</v>
      </c>
      <c r="B865" s="6" t="s">
        <v>77</v>
      </c>
      <c r="C865" s="5" t="s">
        <v>72</v>
      </c>
      <c r="D865" s="5" t="s">
        <v>61</v>
      </c>
      <c r="E865" s="6" t="n">
        <v>163868</v>
      </c>
      <c r="F865" s="6" t="n">
        <v>164427</v>
      </c>
      <c r="G865" s="6" t="n">
        <v>93588</v>
      </c>
      <c r="H865" s="6" t="n">
        <v>91335</v>
      </c>
      <c r="I865" s="6" t="n">
        <v>25183</v>
      </c>
      <c r="J865" s="6" t="n">
        <v>26607</v>
      </c>
      <c r="K865" s="6" t="n">
        <v>5489</v>
      </c>
      <c r="L865" s="6" t="n">
        <v>5456</v>
      </c>
      <c r="M865" s="6" t="n">
        <v>1679</v>
      </c>
      <c r="N865" s="6" t="n">
        <v>1970</v>
      </c>
      <c r="O865" s="6" t="n">
        <v>3545</v>
      </c>
      <c r="P865" s="6" t="n">
        <v>3662</v>
      </c>
      <c r="Q865" s="6" t="n">
        <v>2601</v>
      </c>
      <c r="R865" s="6" t="n">
        <v>2570</v>
      </c>
      <c r="S865" s="6" t="n">
        <v>1831</v>
      </c>
      <c r="T865" s="6" t="n">
        <v>2500</v>
      </c>
      <c r="U865" s="6" t="n">
        <v>3811</v>
      </c>
      <c r="V865" s="6" t="n">
        <v>3838</v>
      </c>
    </row>
    <row r="866" customFormat="false" ht="15" hidden="false" customHeight="false" outlineLevel="0" collapsed="false">
      <c r="A866" s="5" t="s">
        <v>81</v>
      </c>
      <c r="B866" s="6" t="s">
        <v>33</v>
      </c>
      <c r="C866" s="5" t="s">
        <v>34</v>
      </c>
      <c r="D866" s="5" t="s">
        <v>35</v>
      </c>
      <c r="E866" s="6" t="n">
        <v>210344</v>
      </c>
      <c r="F866" s="6" t="n">
        <v>211522</v>
      </c>
      <c r="G866" s="6" t="n">
        <v>124940</v>
      </c>
      <c r="H866" s="6" t="n">
        <v>127266</v>
      </c>
      <c r="I866" s="6" t="n">
        <v>34052</v>
      </c>
      <c r="J866" s="6" t="n">
        <v>34501</v>
      </c>
      <c r="K866" s="6" t="n">
        <v>5940</v>
      </c>
      <c r="L866" s="6" t="n">
        <v>5373</v>
      </c>
      <c r="M866" s="6" t="n">
        <v>2330</v>
      </c>
      <c r="N866" s="6" t="n">
        <v>2005</v>
      </c>
      <c r="O866" s="6" t="n">
        <v>4772</v>
      </c>
      <c r="P866" s="6" t="n">
        <v>4445</v>
      </c>
      <c r="Q866" s="6" t="n">
        <v>3681</v>
      </c>
      <c r="R866" s="6" t="n">
        <v>3570</v>
      </c>
      <c r="S866" s="6" t="n">
        <v>2256</v>
      </c>
      <c r="T866" s="6" t="n">
        <v>2791</v>
      </c>
      <c r="U866" s="6" t="n">
        <v>6154</v>
      </c>
      <c r="V866" s="6" t="n">
        <v>6211</v>
      </c>
    </row>
    <row r="867" customFormat="false" ht="15" hidden="false" customHeight="false" outlineLevel="0" collapsed="false">
      <c r="A867" s="5" t="s">
        <v>81</v>
      </c>
      <c r="B867" s="6" t="s">
        <v>33</v>
      </c>
      <c r="C867" s="5" t="s">
        <v>36</v>
      </c>
      <c r="D867" s="5" t="s">
        <v>35</v>
      </c>
      <c r="E867" s="6" t="n">
        <v>229116</v>
      </c>
      <c r="F867" s="6" t="n">
        <v>217212</v>
      </c>
      <c r="G867" s="6" t="n">
        <v>136454</v>
      </c>
      <c r="H867" s="6" t="n">
        <v>128558</v>
      </c>
      <c r="I867" s="6" t="n">
        <v>33262</v>
      </c>
      <c r="J867" s="6" t="n">
        <v>34374</v>
      </c>
      <c r="K867" s="6" t="n">
        <v>6531</v>
      </c>
      <c r="L867" s="6" t="n">
        <v>6756</v>
      </c>
      <c r="M867" s="6" t="n">
        <v>3021</v>
      </c>
      <c r="N867" s="6" t="n">
        <v>3748</v>
      </c>
      <c r="O867" s="6" t="n">
        <v>6313</v>
      </c>
      <c r="P867" s="6" t="n">
        <v>6641</v>
      </c>
      <c r="Q867" s="6" t="n">
        <v>4215</v>
      </c>
      <c r="R867" s="6" t="n">
        <v>4281</v>
      </c>
      <c r="S867" s="6" t="n">
        <v>2179</v>
      </c>
      <c r="T867" s="6" t="n">
        <v>2580</v>
      </c>
      <c r="U867" s="6" t="n">
        <v>5124</v>
      </c>
      <c r="V867" s="6" t="n">
        <v>5140</v>
      </c>
    </row>
    <row r="868" customFormat="false" ht="15" hidden="false" customHeight="false" outlineLevel="0" collapsed="false">
      <c r="A868" s="5" t="s">
        <v>81</v>
      </c>
      <c r="B868" s="6" t="s">
        <v>33</v>
      </c>
      <c r="C868" s="5" t="s">
        <v>37</v>
      </c>
      <c r="D868" s="5" t="s">
        <v>35</v>
      </c>
      <c r="E868" s="6" t="n">
        <v>207992</v>
      </c>
      <c r="F868" s="6" t="n">
        <v>216661</v>
      </c>
      <c r="G868" s="6" t="n">
        <v>120469</v>
      </c>
      <c r="H868" s="6" t="n">
        <v>128767</v>
      </c>
      <c r="I868" s="6" t="n">
        <v>30645</v>
      </c>
      <c r="J868" s="6" t="n">
        <v>31673</v>
      </c>
      <c r="K868" s="6" t="n">
        <v>6951</v>
      </c>
      <c r="L868" s="6" t="n">
        <v>6332</v>
      </c>
      <c r="M868" s="6" t="n">
        <v>2473</v>
      </c>
      <c r="N868" s="6" t="n">
        <v>2359</v>
      </c>
      <c r="O868" s="6" t="n">
        <v>4613</v>
      </c>
      <c r="P868" s="6" t="n">
        <v>4650</v>
      </c>
      <c r="Q868" s="6" t="n">
        <v>3568</v>
      </c>
      <c r="R868" s="6" t="n">
        <v>3653</v>
      </c>
      <c r="S868" s="6" t="n">
        <v>2349</v>
      </c>
      <c r="T868" s="6" t="n">
        <v>2188</v>
      </c>
      <c r="U868" s="6" t="n">
        <v>5841</v>
      </c>
      <c r="V868" s="6" t="n">
        <v>5767</v>
      </c>
    </row>
    <row r="869" customFormat="false" ht="15" hidden="false" customHeight="false" outlineLevel="0" collapsed="false">
      <c r="A869" s="5" t="s">
        <v>81</v>
      </c>
      <c r="B869" s="6" t="s">
        <v>33</v>
      </c>
      <c r="C869" s="5" t="s">
        <v>38</v>
      </c>
      <c r="D869" s="5" t="s">
        <v>35</v>
      </c>
      <c r="E869" s="6" t="n">
        <v>224169</v>
      </c>
      <c r="F869" s="6" t="n">
        <v>222274</v>
      </c>
      <c r="G869" s="6" t="n">
        <v>124562</v>
      </c>
      <c r="H869" s="6" t="n">
        <v>121886</v>
      </c>
      <c r="I869" s="6" t="n">
        <v>36836</v>
      </c>
      <c r="J869" s="6" t="n">
        <v>38871</v>
      </c>
      <c r="K869" s="6" t="n">
        <v>6539</v>
      </c>
      <c r="L869" s="6" t="n">
        <v>6980</v>
      </c>
      <c r="M869" s="6" t="n">
        <v>2077</v>
      </c>
      <c r="N869" s="6" t="n">
        <v>2126</v>
      </c>
      <c r="O869" s="6" t="n">
        <v>5884</v>
      </c>
      <c r="P869" s="6" t="n">
        <v>6325</v>
      </c>
      <c r="Q869" s="6" t="n">
        <v>3477</v>
      </c>
      <c r="R869" s="6" t="n">
        <v>3368</v>
      </c>
      <c r="S869" s="6" t="n">
        <v>1579</v>
      </c>
      <c r="T869" s="6" t="n">
        <v>1329</v>
      </c>
      <c r="U869" s="6" t="n">
        <v>4608</v>
      </c>
      <c r="V869" s="6" t="n">
        <v>4538</v>
      </c>
    </row>
    <row r="870" customFormat="false" ht="15" hidden="false" customHeight="false" outlineLevel="0" collapsed="false">
      <c r="A870" s="5" t="s">
        <v>81</v>
      </c>
      <c r="B870" s="6" t="s">
        <v>33</v>
      </c>
      <c r="C870" s="5" t="s">
        <v>39</v>
      </c>
      <c r="D870" s="5" t="s">
        <v>35</v>
      </c>
      <c r="E870" s="6" t="n">
        <v>226806</v>
      </c>
      <c r="F870" s="6" t="n">
        <v>227666</v>
      </c>
      <c r="G870" s="6" t="n">
        <v>129647</v>
      </c>
      <c r="H870" s="6" t="n">
        <v>131251</v>
      </c>
      <c r="I870" s="6" t="n">
        <v>32518</v>
      </c>
      <c r="J870" s="6" t="n">
        <v>33296</v>
      </c>
      <c r="K870" s="6" t="n">
        <v>7582</v>
      </c>
      <c r="L870" s="6" t="n">
        <v>7188</v>
      </c>
      <c r="M870" s="6" t="n">
        <v>2735</v>
      </c>
      <c r="N870" s="6" t="n">
        <v>2951</v>
      </c>
      <c r="O870" s="6" t="n">
        <v>6158</v>
      </c>
      <c r="P870" s="6" t="n">
        <v>5935</v>
      </c>
      <c r="Q870" s="6" t="n">
        <v>2992</v>
      </c>
      <c r="R870" s="6" t="n">
        <v>3085</v>
      </c>
      <c r="S870" s="6" t="n">
        <v>2385</v>
      </c>
      <c r="T870" s="6" t="n">
        <v>2049</v>
      </c>
      <c r="U870" s="6" t="n">
        <v>6335</v>
      </c>
      <c r="V870" s="6" t="n">
        <v>6296</v>
      </c>
    </row>
    <row r="871" customFormat="false" ht="15" hidden="false" customHeight="false" outlineLevel="0" collapsed="false">
      <c r="A871" s="5" t="s">
        <v>81</v>
      </c>
      <c r="B871" s="6" t="s">
        <v>33</v>
      </c>
      <c r="C871" s="5" t="s">
        <v>40</v>
      </c>
      <c r="D871" s="5" t="s">
        <v>35</v>
      </c>
      <c r="E871" s="6" t="n">
        <v>264407</v>
      </c>
      <c r="F871" s="6" t="n">
        <v>253371</v>
      </c>
      <c r="G871" s="6" t="n">
        <v>151473</v>
      </c>
      <c r="H871" s="6" t="n">
        <v>142278</v>
      </c>
      <c r="I871" s="6" t="n">
        <v>44024</v>
      </c>
      <c r="J871" s="6" t="n">
        <v>43988</v>
      </c>
      <c r="K871" s="6" t="n">
        <v>7486</v>
      </c>
      <c r="L871" s="6" t="n">
        <v>7725</v>
      </c>
      <c r="M871" s="6" t="n">
        <v>3855</v>
      </c>
      <c r="N871" s="6" t="n">
        <v>4790</v>
      </c>
      <c r="O871" s="6" t="n">
        <v>6131</v>
      </c>
      <c r="P871" s="6" t="n">
        <v>6199</v>
      </c>
      <c r="Q871" s="6" t="n">
        <v>4376</v>
      </c>
      <c r="R871" s="6" t="n">
        <v>4310</v>
      </c>
      <c r="S871" s="6" t="n">
        <v>1921</v>
      </c>
      <c r="T871" s="6" t="n">
        <v>2390</v>
      </c>
      <c r="U871" s="6" t="n">
        <v>7152</v>
      </c>
      <c r="V871" s="6" t="n">
        <v>7097</v>
      </c>
    </row>
    <row r="872" customFormat="false" ht="15" hidden="false" customHeight="false" outlineLevel="0" collapsed="false">
      <c r="A872" s="5" t="s">
        <v>81</v>
      </c>
      <c r="B872" s="6" t="s">
        <v>33</v>
      </c>
      <c r="C872" s="5" t="s">
        <v>41</v>
      </c>
      <c r="D872" s="5" t="s">
        <v>35</v>
      </c>
      <c r="E872" s="6" t="n">
        <v>225325</v>
      </c>
      <c r="F872" s="6" t="n">
        <v>234187</v>
      </c>
      <c r="G872" s="6" t="n">
        <v>130293</v>
      </c>
      <c r="H872" s="6" t="n">
        <v>135351</v>
      </c>
      <c r="I872" s="6" t="n">
        <v>31957</v>
      </c>
      <c r="J872" s="6" t="n">
        <v>33944</v>
      </c>
      <c r="K872" s="6" t="n">
        <v>7043</v>
      </c>
      <c r="L872" s="6" t="n">
        <v>8094</v>
      </c>
      <c r="M872" s="6" t="n">
        <v>3015</v>
      </c>
      <c r="N872" s="6" t="n">
        <v>2717</v>
      </c>
      <c r="O872" s="6" t="n">
        <v>4683</v>
      </c>
      <c r="P872" s="6" t="n">
        <v>4563</v>
      </c>
      <c r="Q872" s="6" t="n">
        <v>4367</v>
      </c>
      <c r="R872" s="6" t="n">
        <v>4430</v>
      </c>
      <c r="S872" s="6" t="n">
        <v>2453</v>
      </c>
      <c r="T872" s="6" t="n">
        <v>3221</v>
      </c>
      <c r="U872" s="6" t="n">
        <v>5800</v>
      </c>
      <c r="V872" s="6" t="n">
        <v>5664</v>
      </c>
    </row>
    <row r="873" customFormat="false" ht="15" hidden="false" customHeight="false" outlineLevel="0" collapsed="false">
      <c r="A873" s="5" t="s">
        <v>81</v>
      </c>
      <c r="B873" s="6" t="s">
        <v>33</v>
      </c>
      <c r="C873" s="5" t="s">
        <v>42</v>
      </c>
      <c r="D873" s="5" t="s">
        <v>35</v>
      </c>
      <c r="E873" s="6" t="n">
        <v>241317</v>
      </c>
      <c r="F873" s="6" t="n">
        <v>231986</v>
      </c>
      <c r="G873" s="6" t="n">
        <v>132671</v>
      </c>
      <c r="H873" s="6" t="n">
        <v>125338</v>
      </c>
      <c r="I873" s="6" t="n">
        <v>39054</v>
      </c>
      <c r="J873" s="6" t="n">
        <v>41742</v>
      </c>
      <c r="K873" s="6" t="n">
        <v>7967</v>
      </c>
      <c r="L873" s="6" t="n">
        <v>6827</v>
      </c>
      <c r="M873" s="6" t="n">
        <v>2183</v>
      </c>
      <c r="N873" s="6" t="n">
        <v>2376</v>
      </c>
      <c r="O873" s="6" t="n">
        <v>6224</v>
      </c>
      <c r="P873" s="6" t="n">
        <v>6544</v>
      </c>
      <c r="Q873" s="6" t="n">
        <v>4029</v>
      </c>
      <c r="R873" s="6" t="n">
        <v>3968</v>
      </c>
      <c r="S873" s="6" t="n">
        <v>1483</v>
      </c>
      <c r="T873" s="6" t="n">
        <v>1456</v>
      </c>
      <c r="U873" s="6" t="n">
        <v>5980</v>
      </c>
      <c r="V873" s="6" t="n">
        <v>6035</v>
      </c>
    </row>
    <row r="874" customFormat="false" ht="15" hidden="false" customHeight="false" outlineLevel="0" collapsed="false">
      <c r="A874" s="5" t="s">
        <v>81</v>
      </c>
      <c r="B874" s="6" t="s">
        <v>33</v>
      </c>
      <c r="C874" s="5" t="s">
        <v>43</v>
      </c>
      <c r="D874" s="5" t="s">
        <v>35</v>
      </c>
      <c r="E874" s="6" t="n">
        <v>248115</v>
      </c>
      <c r="F874" s="6" t="n">
        <v>257610</v>
      </c>
      <c r="G874" s="6" t="n">
        <v>143094</v>
      </c>
      <c r="H874" s="6" t="n">
        <v>145947</v>
      </c>
      <c r="I874" s="6" t="n">
        <v>34773</v>
      </c>
      <c r="J874" s="6" t="n">
        <v>35319</v>
      </c>
      <c r="K874" s="6" t="n">
        <v>6712</v>
      </c>
      <c r="L874" s="6" t="n">
        <v>6129</v>
      </c>
      <c r="M874" s="6" t="n">
        <v>3016</v>
      </c>
      <c r="N874" s="6" t="n">
        <v>2553</v>
      </c>
      <c r="O874" s="6" t="n">
        <v>6866</v>
      </c>
      <c r="P874" s="6" t="n">
        <v>6496</v>
      </c>
      <c r="Q874" s="6" t="n">
        <v>3073</v>
      </c>
      <c r="R874" s="6" t="n">
        <v>2966</v>
      </c>
      <c r="S874" s="6" t="n">
        <v>1715</v>
      </c>
      <c r="T874" s="6" t="n">
        <v>1585</v>
      </c>
      <c r="U874" s="6" t="n">
        <v>5255</v>
      </c>
      <c r="V874" s="6" t="n">
        <v>5314</v>
      </c>
    </row>
    <row r="875" customFormat="false" ht="15" hidden="false" customHeight="false" outlineLevel="0" collapsed="false">
      <c r="A875" s="5" t="s">
        <v>81</v>
      </c>
      <c r="B875" s="6" t="s">
        <v>33</v>
      </c>
      <c r="C875" s="5" t="s">
        <v>44</v>
      </c>
      <c r="D875" s="5" t="s">
        <v>35</v>
      </c>
      <c r="E875" s="6" t="n">
        <v>238736</v>
      </c>
      <c r="F875" s="6" t="n">
        <v>239877</v>
      </c>
      <c r="G875" s="6" t="n">
        <v>135600</v>
      </c>
      <c r="H875" s="6" t="n">
        <v>139369</v>
      </c>
      <c r="I875" s="6" t="n">
        <v>33806</v>
      </c>
      <c r="J875" s="6" t="n">
        <v>35045</v>
      </c>
      <c r="K875" s="6" t="n">
        <v>7446</v>
      </c>
      <c r="L875" s="6" t="n">
        <v>6528</v>
      </c>
      <c r="M875" s="6" t="n">
        <v>2098</v>
      </c>
      <c r="N875" s="6" t="n">
        <v>2101</v>
      </c>
      <c r="O875" s="6" t="n">
        <v>4606</v>
      </c>
      <c r="P875" s="6" t="n">
        <v>4387</v>
      </c>
      <c r="Q875" s="6" t="n">
        <v>3096</v>
      </c>
      <c r="R875" s="6" t="n">
        <v>3165</v>
      </c>
      <c r="S875" s="6" t="n">
        <v>2072</v>
      </c>
      <c r="T875" s="6" t="n">
        <v>2556</v>
      </c>
      <c r="U875" s="6" t="n">
        <v>6354</v>
      </c>
      <c r="V875" s="6" t="n">
        <v>6516</v>
      </c>
    </row>
    <row r="876" customFormat="false" ht="15" hidden="false" customHeight="false" outlineLevel="0" collapsed="false">
      <c r="A876" s="5" t="s">
        <v>81</v>
      </c>
      <c r="B876" s="6" t="s">
        <v>33</v>
      </c>
      <c r="C876" s="5" t="s">
        <v>45</v>
      </c>
      <c r="D876" s="5" t="s">
        <v>35</v>
      </c>
      <c r="E876" s="6" t="n">
        <v>257009</v>
      </c>
      <c r="F876" s="6" t="n">
        <v>244331</v>
      </c>
      <c r="G876" s="6" t="n">
        <v>141837</v>
      </c>
      <c r="H876" s="6" t="n">
        <v>137565</v>
      </c>
      <c r="I876" s="6" t="n">
        <v>41607</v>
      </c>
      <c r="J876" s="6" t="n">
        <v>40528</v>
      </c>
      <c r="K876" s="6" t="n">
        <v>7345</v>
      </c>
      <c r="L876" s="6" t="n">
        <v>7194</v>
      </c>
      <c r="M876" s="6" t="n">
        <v>2663</v>
      </c>
      <c r="N876" s="6" t="n">
        <v>2844</v>
      </c>
      <c r="O876" s="6" t="n">
        <v>6323</v>
      </c>
      <c r="P876" s="6" t="n">
        <v>6335</v>
      </c>
      <c r="Q876" s="6" t="n">
        <v>4887</v>
      </c>
      <c r="R876" s="6" t="n">
        <v>5039</v>
      </c>
      <c r="S876" s="6" t="n">
        <v>2740</v>
      </c>
      <c r="T876" s="6" t="n">
        <v>2362</v>
      </c>
      <c r="U876" s="6" t="n">
        <v>7105</v>
      </c>
      <c r="V876" s="6" t="n">
        <v>7012</v>
      </c>
    </row>
    <row r="877" customFormat="false" ht="15" hidden="false" customHeight="false" outlineLevel="0" collapsed="false">
      <c r="A877" s="5" t="s">
        <v>81</v>
      </c>
      <c r="B877" s="6" t="s">
        <v>33</v>
      </c>
      <c r="C877" s="5" t="s">
        <v>46</v>
      </c>
      <c r="D877" s="5" t="s">
        <v>35</v>
      </c>
      <c r="E877" s="6" t="n">
        <v>257656</v>
      </c>
      <c r="F877" s="6" t="n">
        <v>264497</v>
      </c>
      <c r="G877" s="6" t="n">
        <v>151345</v>
      </c>
      <c r="H877" s="6" t="n">
        <v>159106</v>
      </c>
      <c r="I877" s="6" t="n">
        <v>40906</v>
      </c>
      <c r="J877" s="6" t="n">
        <v>40312</v>
      </c>
      <c r="K877" s="6" t="n">
        <v>6456</v>
      </c>
      <c r="L877" s="6" t="n">
        <v>5505</v>
      </c>
      <c r="M877" s="6" t="n">
        <v>3260</v>
      </c>
      <c r="N877" s="6" t="n">
        <v>4209</v>
      </c>
      <c r="O877" s="6" t="n">
        <v>5025</v>
      </c>
      <c r="P877" s="6" t="n">
        <v>4882</v>
      </c>
      <c r="Q877" s="6" t="n">
        <v>3357</v>
      </c>
      <c r="R877" s="6" t="n">
        <v>3471</v>
      </c>
      <c r="S877" s="6" t="n">
        <v>2460</v>
      </c>
      <c r="T877" s="6" t="n">
        <v>3002</v>
      </c>
      <c r="U877" s="6" t="n">
        <v>6098</v>
      </c>
      <c r="V877" s="6" t="n">
        <v>6269</v>
      </c>
    </row>
    <row r="878" customFormat="false" ht="15" hidden="false" customHeight="false" outlineLevel="0" collapsed="false">
      <c r="A878" s="5" t="s">
        <v>81</v>
      </c>
      <c r="B878" s="6" t="s">
        <v>33</v>
      </c>
      <c r="C878" s="5" t="s">
        <v>47</v>
      </c>
      <c r="D878" s="5" t="s">
        <v>48</v>
      </c>
      <c r="E878" s="6" t="n">
        <v>256543</v>
      </c>
      <c r="F878" s="6" t="n">
        <v>246496</v>
      </c>
      <c r="G878" s="6" t="n">
        <v>139549</v>
      </c>
      <c r="H878" s="6" t="n">
        <v>138301</v>
      </c>
      <c r="I878" s="6" t="n">
        <v>40958</v>
      </c>
      <c r="J878" s="6" t="n">
        <v>43358</v>
      </c>
      <c r="K878" s="6" t="n">
        <v>5957</v>
      </c>
      <c r="L878" s="6" t="n">
        <v>6255</v>
      </c>
      <c r="M878" s="6" t="n">
        <v>3123</v>
      </c>
      <c r="N878" s="6" t="n">
        <v>2699</v>
      </c>
      <c r="O878" s="6" t="n">
        <v>6400</v>
      </c>
      <c r="P878" s="6" t="n">
        <v>6460</v>
      </c>
      <c r="Q878" s="6" t="n">
        <v>3114</v>
      </c>
      <c r="R878" s="6" t="n">
        <v>2989</v>
      </c>
      <c r="S878" s="6" t="n">
        <v>3031</v>
      </c>
      <c r="T878" s="6" t="n">
        <v>2641</v>
      </c>
      <c r="U878" s="6" t="n">
        <v>5838</v>
      </c>
      <c r="V878" s="6" t="n">
        <v>5811</v>
      </c>
    </row>
    <row r="879" customFormat="false" ht="15" hidden="false" customHeight="false" outlineLevel="0" collapsed="false">
      <c r="A879" s="5" t="s">
        <v>81</v>
      </c>
      <c r="B879" s="6" t="s">
        <v>33</v>
      </c>
      <c r="C879" s="5" t="s">
        <v>49</v>
      </c>
      <c r="D879" s="5" t="s">
        <v>48</v>
      </c>
      <c r="E879" s="6" t="n">
        <v>241948</v>
      </c>
      <c r="F879" s="6" t="n">
        <v>247088</v>
      </c>
      <c r="G879" s="6" t="n">
        <v>135975</v>
      </c>
      <c r="H879" s="6" t="n">
        <v>137714</v>
      </c>
      <c r="I879" s="6" t="n">
        <v>40580</v>
      </c>
      <c r="J879" s="6" t="n">
        <v>40309</v>
      </c>
      <c r="K879" s="6" t="n">
        <v>4937</v>
      </c>
      <c r="L879" s="6" t="n">
        <v>5591</v>
      </c>
      <c r="M879" s="6" t="n">
        <v>3440</v>
      </c>
      <c r="N879" s="6" t="n">
        <v>4091</v>
      </c>
      <c r="O879" s="6" t="n">
        <v>4417</v>
      </c>
      <c r="P879" s="6" t="n">
        <v>4851</v>
      </c>
      <c r="Q879" s="6" t="n">
        <v>4704</v>
      </c>
      <c r="R879" s="6" t="n">
        <v>4668</v>
      </c>
      <c r="S879" s="6" t="n">
        <v>1977</v>
      </c>
      <c r="T879" s="6" t="n">
        <v>1774</v>
      </c>
      <c r="U879" s="6" t="n">
        <v>5397</v>
      </c>
      <c r="V879" s="6" t="n">
        <v>5395</v>
      </c>
    </row>
    <row r="880" customFormat="false" ht="15" hidden="false" customHeight="false" outlineLevel="0" collapsed="false">
      <c r="A880" s="5" t="s">
        <v>81</v>
      </c>
      <c r="B880" s="6" t="s">
        <v>33</v>
      </c>
      <c r="C880" s="5" t="s">
        <v>50</v>
      </c>
      <c r="D880" s="5" t="s">
        <v>48</v>
      </c>
      <c r="E880" s="6" t="n">
        <v>247615</v>
      </c>
      <c r="F880" s="6" t="n">
        <v>244706</v>
      </c>
      <c r="G880" s="6" t="n">
        <v>134626</v>
      </c>
      <c r="H880" s="6" t="n">
        <v>136946</v>
      </c>
      <c r="I880" s="6" t="n">
        <v>41827</v>
      </c>
      <c r="J880" s="6" t="n">
        <v>42556</v>
      </c>
      <c r="K880" s="6" t="n">
        <v>8154</v>
      </c>
      <c r="L880" s="6" t="n">
        <v>6986</v>
      </c>
      <c r="M880" s="6" t="n">
        <v>2376</v>
      </c>
      <c r="N880" s="6" t="n">
        <v>2051</v>
      </c>
      <c r="O880" s="6" t="n">
        <v>5154</v>
      </c>
      <c r="P880" s="6" t="n">
        <v>5345</v>
      </c>
      <c r="Q880" s="6" t="n">
        <v>4756</v>
      </c>
      <c r="R880" s="6" t="n">
        <v>4681</v>
      </c>
      <c r="S880" s="6" t="n">
        <v>1874</v>
      </c>
      <c r="T880" s="6" t="n">
        <v>2471</v>
      </c>
      <c r="U880" s="6" t="n">
        <v>7002</v>
      </c>
      <c r="V880" s="6" t="n">
        <v>7079</v>
      </c>
    </row>
    <row r="881" customFormat="false" ht="15" hidden="false" customHeight="false" outlineLevel="0" collapsed="false">
      <c r="A881" s="5" t="s">
        <v>81</v>
      </c>
      <c r="B881" s="6" t="s">
        <v>33</v>
      </c>
      <c r="C881" s="5" t="s">
        <v>51</v>
      </c>
      <c r="D881" s="5" t="s">
        <v>48</v>
      </c>
      <c r="E881" s="6" t="n">
        <v>239806</v>
      </c>
      <c r="F881" s="6" t="n">
        <v>248087</v>
      </c>
      <c r="G881" s="6" t="n">
        <v>139716</v>
      </c>
      <c r="H881" s="6" t="n">
        <v>143120</v>
      </c>
      <c r="I881" s="6" t="n">
        <v>35369</v>
      </c>
      <c r="J881" s="6" t="n">
        <v>34793</v>
      </c>
      <c r="K881" s="6" t="n">
        <v>7012</v>
      </c>
      <c r="L881" s="6" t="n">
        <v>7870</v>
      </c>
      <c r="M881" s="6" t="n">
        <v>2599</v>
      </c>
      <c r="N881" s="6" t="n">
        <v>2724</v>
      </c>
      <c r="O881" s="6" t="n">
        <v>6509</v>
      </c>
      <c r="P881" s="6" t="n">
        <v>6738</v>
      </c>
      <c r="Q881" s="6" t="n">
        <v>3585</v>
      </c>
      <c r="R881" s="6" t="n">
        <v>3726</v>
      </c>
      <c r="S881" s="6" t="n">
        <v>1882</v>
      </c>
      <c r="T881" s="6" t="n">
        <v>1579</v>
      </c>
      <c r="U881" s="6" t="n">
        <v>5858</v>
      </c>
      <c r="V881" s="6" t="n">
        <v>5920</v>
      </c>
    </row>
    <row r="882" customFormat="false" ht="15" hidden="false" customHeight="false" outlineLevel="0" collapsed="false">
      <c r="A882" s="5" t="s">
        <v>81</v>
      </c>
      <c r="B882" s="6" t="s">
        <v>33</v>
      </c>
      <c r="C882" s="5" t="s">
        <v>52</v>
      </c>
      <c r="D882" s="5" t="s">
        <v>48</v>
      </c>
      <c r="E882" s="6" t="n">
        <v>251156</v>
      </c>
      <c r="F882" s="6" t="n">
        <v>255075</v>
      </c>
      <c r="G882" s="6" t="n">
        <v>142031</v>
      </c>
      <c r="H882" s="6" t="n">
        <v>141346</v>
      </c>
      <c r="I882" s="6" t="n">
        <v>37016</v>
      </c>
      <c r="J882" s="6" t="n">
        <v>37858</v>
      </c>
      <c r="K882" s="6" t="n">
        <v>5424</v>
      </c>
      <c r="L882" s="6" t="n">
        <v>5972</v>
      </c>
      <c r="M882" s="6" t="n">
        <v>2451</v>
      </c>
      <c r="N882" s="6" t="n">
        <v>2493</v>
      </c>
      <c r="O882" s="6" t="n">
        <v>4798</v>
      </c>
      <c r="P882" s="6" t="n">
        <v>4893</v>
      </c>
      <c r="Q882" s="6" t="n">
        <v>4559</v>
      </c>
      <c r="R882" s="6" t="n">
        <v>4695</v>
      </c>
      <c r="S882" s="6" t="n">
        <v>2282</v>
      </c>
      <c r="T882" s="6" t="n">
        <v>1879</v>
      </c>
      <c r="U882" s="6" t="n">
        <v>5090</v>
      </c>
      <c r="V882" s="6" t="n">
        <v>5216</v>
      </c>
    </row>
    <row r="883" customFormat="false" ht="15" hidden="false" customHeight="false" outlineLevel="0" collapsed="false">
      <c r="A883" s="5" t="s">
        <v>81</v>
      </c>
      <c r="B883" s="6" t="s">
        <v>33</v>
      </c>
      <c r="C883" s="5" t="s">
        <v>53</v>
      </c>
      <c r="D883" s="5" t="s">
        <v>48</v>
      </c>
      <c r="E883" s="6" t="n">
        <v>285730</v>
      </c>
      <c r="F883" s="6" t="n">
        <v>283896</v>
      </c>
      <c r="G883" s="6" t="n">
        <v>156015</v>
      </c>
      <c r="H883" s="6" t="n">
        <v>154994</v>
      </c>
      <c r="I883" s="6" t="n">
        <v>46546</v>
      </c>
      <c r="J883" s="6" t="n">
        <v>45610</v>
      </c>
      <c r="K883" s="6" t="n">
        <v>6408</v>
      </c>
      <c r="L883" s="6" t="n">
        <v>6439</v>
      </c>
      <c r="M883" s="6" t="n">
        <v>3375</v>
      </c>
      <c r="N883" s="6" t="n">
        <v>3572</v>
      </c>
      <c r="O883" s="6" t="n">
        <v>7464</v>
      </c>
      <c r="P883" s="6" t="n">
        <v>7767</v>
      </c>
      <c r="Q883" s="6" t="n">
        <v>4452</v>
      </c>
      <c r="R883" s="6" t="n">
        <v>4295</v>
      </c>
      <c r="S883" s="6" t="n">
        <v>1767</v>
      </c>
      <c r="T883" s="6" t="n">
        <v>2177</v>
      </c>
      <c r="U883" s="6" t="n">
        <v>8498</v>
      </c>
      <c r="V883" s="6" t="n">
        <v>8602</v>
      </c>
    </row>
    <row r="884" customFormat="false" ht="15" hidden="false" customHeight="false" outlineLevel="0" collapsed="false">
      <c r="A884" s="5" t="s">
        <v>81</v>
      </c>
      <c r="B884" s="6" t="s">
        <v>33</v>
      </c>
      <c r="C884" s="5" t="s">
        <v>54</v>
      </c>
      <c r="D884" s="5" t="s">
        <v>48</v>
      </c>
      <c r="E884" s="6" t="n">
        <v>252298</v>
      </c>
      <c r="F884" s="6" t="n">
        <v>261867</v>
      </c>
      <c r="G884" s="6" t="n">
        <v>136884</v>
      </c>
      <c r="H884" s="6" t="n">
        <v>142769</v>
      </c>
      <c r="I884" s="6" t="n">
        <v>37187</v>
      </c>
      <c r="J884" s="6" t="n">
        <v>37961</v>
      </c>
      <c r="K884" s="6" t="n">
        <v>5913</v>
      </c>
      <c r="L884" s="6" t="n">
        <v>5167</v>
      </c>
      <c r="M884" s="6" t="n">
        <v>2103</v>
      </c>
      <c r="N884" s="6" t="n">
        <v>2597</v>
      </c>
      <c r="O884" s="6" t="n">
        <v>5452</v>
      </c>
      <c r="P884" s="6" t="n">
        <v>5537</v>
      </c>
      <c r="Q884" s="6" t="n">
        <v>3584</v>
      </c>
      <c r="R884" s="6" t="n">
        <v>3512</v>
      </c>
      <c r="S884" s="6" t="n">
        <v>2726</v>
      </c>
      <c r="T884" s="6" t="n">
        <v>2467</v>
      </c>
      <c r="U884" s="6" t="n">
        <v>6822</v>
      </c>
      <c r="V884" s="6" t="n">
        <v>6627</v>
      </c>
    </row>
    <row r="885" customFormat="false" ht="15" hidden="false" customHeight="false" outlineLevel="0" collapsed="false">
      <c r="A885" s="5" t="s">
        <v>81</v>
      </c>
      <c r="B885" s="6" t="s">
        <v>33</v>
      </c>
      <c r="C885" s="5" t="s">
        <v>55</v>
      </c>
      <c r="D885" s="5" t="s">
        <v>48</v>
      </c>
      <c r="E885" s="6" t="n">
        <v>254564</v>
      </c>
      <c r="F885" s="6" t="n">
        <v>264673</v>
      </c>
      <c r="G885" s="6" t="n">
        <v>145586</v>
      </c>
      <c r="H885" s="6" t="n">
        <v>153062</v>
      </c>
      <c r="I885" s="6" t="n">
        <v>38353</v>
      </c>
      <c r="J885" s="6" t="n">
        <v>38999</v>
      </c>
      <c r="K885" s="6" t="n">
        <v>6731</v>
      </c>
      <c r="L885" s="6" t="n">
        <v>6234</v>
      </c>
      <c r="M885" s="6" t="n">
        <v>2089</v>
      </c>
      <c r="N885" s="6" t="n">
        <v>1797</v>
      </c>
      <c r="O885" s="6" t="n">
        <v>4596</v>
      </c>
      <c r="P885" s="6" t="n">
        <v>4393</v>
      </c>
      <c r="Q885" s="6" t="n">
        <v>4421</v>
      </c>
      <c r="R885" s="6" t="n">
        <v>4586</v>
      </c>
      <c r="S885" s="6" t="n">
        <v>1833</v>
      </c>
      <c r="T885" s="6" t="n">
        <v>1909</v>
      </c>
      <c r="U885" s="6" t="n">
        <v>7185</v>
      </c>
      <c r="V885" s="6" t="n">
        <v>7366</v>
      </c>
    </row>
    <row r="886" customFormat="false" ht="15" hidden="false" customHeight="false" outlineLevel="0" collapsed="false">
      <c r="A886" s="5" t="s">
        <v>81</v>
      </c>
      <c r="B886" s="6" t="s">
        <v>33</v>
      </c>
      <c r="C886" s="5" t="s">
        <v>56</v>
      </c>
      <c r="D886" s="5" t="s">
        <v>48</v>
      </c>
      <c r="E886" s="6" t="n">
        <v>281900</v>
      </c>
      <c r="F886" s="6" t="n">
        <v>290467</v>
      </c>
      <c r="G886" s="6" t="n">
        <v>159625</v>
      </c>
      <c r="H886" s="6" t="n">
        <v>164384</v>
      </c>
      <c r="I886" s="6" t="n">
        <v>46428</v>
      </c>
      <c r="J886" s="6" t="n">
        <v>45438</v>
      </c>
      <c r="K886" s="6" t="n">
        <v>8112</v>
      </c>
      <c r="L886" s="6" t="n">
        <v>8172</v>
      </c>
      <c r="M886" s="6" t="n">
        <v>3894</v>
      </c>
      <c r="N886" s="6" t="n">
        <v>4477</v>
      </c>
      <c r="O886" s="6" t="n">
        <v>6413</v>
      </c>
      <c r="P886" s="6" t="n">
        <v>5937</v>
      </c>
      <c r="Q886" s="6" t="n">
        <v>5592</v>
      </c>
      <c r="R886" s="6" t="n">
        <v>5538</v>
      </c>
      <c r="S886" s="6" t="n">
        <v>2411</v>
      </c>
      <c r="T886" s="6" t="n">
        <v>2378</v>
      </c>
      <c r="U886" s="6" t="n">
        <v>6569</v>
      </c>
      <c r="V886" s="6" t="n">
        <v>6604</v>
      </c>
    </row>
    <row r="887" customFormat="false" ht="15" hidden="false" customHeight="false" outlineLevel="0" collapsed="false">
      <c r="A887" s="5" t="s">
        <v>81</v>
      </c>
      <c r="B887" s="6" t="s">
        <v>33</v>
      </c>
      <c r="C887" s="5" t="s">
        <v>57</v>
      </c>
      <c r="D887" s="5" t="s">
        <v>48</v>
      </c>
      <c r="E887" s="6" t="n">
        <v>280657</v>
      </c>
      <c r="F887" s="6" t="n">
        <v>271058</v>
      </c>
      <c r="G887" s="6" t="n">
        <v>152406</v>
      </c>
      <c r="H887" s="6" t="n">
        <v>149749</v>
      </c>
      <c r="I887" s="6" t="n">
        <v>44904</v>
      </c>
      <c r="J887" s="6" t="n">
        <v>44171</v>
      </c>
      <c r="K887" s="6" t="n">
        <v>6675</v>
      </c>
      <c r="L887" s="6" t="n">
        <v>5713</v>
      </c>
      <c r="M887" s="6" t="n">
        <v>3532</v>
      </c>
      <c r="N887" s="6" t="n">
        <v>3860</v>
      </c>
      <c r="O887" s="6" t="n">
        <v>6578</v>
      </c>
      <c r="P887" s="6" t="n">
        <v>7167</v>
      </c>
      <c r="Q887" s="6" t="n">
        <v>3520</v>
      </c>
      <c r="R887" s="6" t="n">
        <v>3596</v>
      </c>
      <c r="S887" s="6" t="n">
        <v>2959</v>
      </c>
      <c r="T887" s="6" t="n">
        <v>3890</v>
      </c>
      <c r="U887" s="6" t="n">
        <v>7384</v>
      </c>
      <c r="V887" s="6" t="n">
        <v>7282</v>
      </c>
    </row>
    <row r="888" customFormat="false" ht="15" hidden="false" customHeight="false" outlineLevel="0" collapsed="false">
      <c r="A888" s="5" t="s">
        <v>81</v>
      </c>
      <c r="B888" s="6" t="s">
        <v>33</v>
      </c>
      <c r="C888" s="5" t="s">
        <v>58</v>
      </c>
      <c r="D888" s="5" t="s">
        <v>48</v>
      </c>
      <c r="E888" s="6" t="n">
        <v>259761</v>
      </c>
      <c r="F888" s="6" t="n">
        <v>267818</v>
      </c>
      <c r="G888" s="6" t="n">
        <v>155817</v>
      </c>
      <c r="H888" s="6" t="n">
        <v>156175</v>
      </c>
      <c r="I888" s="6" t="n">
        <v>42480</v>
      </c>
      <c r="J888" s="6" t="n">
        <v>41403</v>
      </c>
      <c r="K888" s="6" t="n">
        <v>7574</v>
      </c>
      <c r="L888" s="6" t="n">
        <v>7578</v>
      </c>
      <c r="M888" s="6" t="n">
        <v>3547</v>
      </c>
      <c r="N888" s="6" t="n">
        <v>3365</v>
      </c>
      <c r="O888" s="6" t="n">
        <v>6832</v>
      </c>
      <c r="P888" s="6" t="n">
        <v>7296</v>
      </c>
      <c r="Q888" s="6" t="n">
        <v>5048</v>
      </c>
      <c r="R888" s="6" t="n">
        <v>4995</v>
      </c>
      <c r="S888" s="6" t="n">
        <v>2503</v>
      </c>
      <c r="T888" s="6" t="n">
        <v>3489</v>
      </c>
      <c r="U888" s="6" t="n">
        <v>6855</v>
      </c>
      <c r="V888" s="6" t="n">
        <v>6916</v>
      </c>
    </row>
    <row r="889" customFormat="false" ht="15" hidden="false" customHeight="false" outlineLevel="0" collapsed="false">
      <c r="A889" s="5" t="s">
        <v>81</v>
      </c>
      <c r="B889" s="6" t="s">
        <v>33</v>
      </c>
      <c r="C889" s="5" t="s">
        <v>59</v>
      </c>
      <c r="D889" s="5" t="s">
        <v>48</v>
      </c>
      <c r="E889" s="6" t="n">
        <v>294235</v>
      </c>
      <c r="F889" s="6" t="n">
        <v>291080</v>
      </c>
      <c r="G889" s="6" t="n">
        <v>170983</v>
      </c>
      <c r="H889" s="6" t="n">
        <v>175170</v>
      </c>
      <c r="I889" s="6" t="n">
        <v>44567</v>
      </c>
      <c r="J889" s="6" t="n">
        <v>45958</v>
      </c>
      <c r="K889" s="6" t="n">
        <v>7176</v>
      </c>
      <c r="L889" s="6" t="n">
        <v>6984</v>
      </c>
      <c r="M889" s="6" t="n">
        <v>3141</v>
      </c>
      <c r="N889" s="6" t="n">
        <v>2669</v>
      </c>
      <c r="O889" s="6" t="n">
        <v>5933</v>
      </c>
      <c r="P889" s="6" t="n">
        <v>5764</v>
      </c>
      <c r="Q889" s="6" t="n">
        <v>3646</v>
      </c>
      <c r="R889" s="6" t="n">
        <v>3639</v>
      </c>
      <c r="S889" s="6" t="n">
        <v>2235</v>
      </c>
      <c r="T889" s="6" t="n">
        <v>2101</v>
      </c>
      <c r="U889" s="6" t="n">
        <v>6397</v>
      </c>
      <c r="V889" s="6" t="n">
        <v>6329</v>
      </c>
    </row>
    <row r="890" customFormat="false" ht="15" hidden="false" customHeight="false" outlineLevel="0" collapsed="false">
      <c r="A890" s="5" t="s">
        <v>81</v>
      </c>
      <c r="B890" s="6" t="s">
        <v>33</v>
      </c>
      <c r="C890" s="5" t="s">
        <v>60</v>
      </c>
      <c r="D890" s="5" t="s">
        <v>61</v>
      </c>
      <c r="E890" s="6" t="n">
        <v>273027</v>
      </c>
      <c r="F890" s="6" t="n">
        <v>265478</v>
      </c>
      <c r="G890" s="6" t="n">
        <v>163276</v>
      </c>
      <c r="H890" s="6" t="n">
        <v>162342</v>
      </c>
      <c r="I890" s="6" t="n">
        <v>43098</v>
      </c>
      <c r="J890" s="6" t="n">
        <v>44568</v>
      </c>
      <c r="K890" s="6" t="n">
        <v>9195</v>
      </c>
      <c r="L890" s="6" t="n">
        <v>10562</v>
      </c>
      <c r="M890" s="6" t="n">
        <v>3037</v>
      </c>
      <c r="N890" s="6" t="n">
        <v>2452</v>
      </c>
      <c r="O890" s="6" t="n">
        <v>6857</v>
      </c>
      <c r="P890" s="6" t="n">
        <v>7433</v>
      </c>
      <c r="Q890" s="6" t="n">
        <v>3637</v>
      </c>
      <c r="R890" s="6" t="n">
        <v>3612</v>
      </c>
      <c r="S890" s="6" t="n">
        <v>3257</v>
      </c>
      <c r="T890" s="6" t="n">
        <v>3896</v>
      </c>
      <c r="U890" s="6" t="n">
        <v>5532</v>
      </c>
      <c r="V890" s="6" t="n">
        <v>5521</v>
      </c>
    </row>
    <row r="891" customFormat="false" ht="15" hidden="false" customHeight="false" outlineLevel="0" collapsed="false">
      <c r="A891" s="5" t="s">
        <v>81</v>
      </c>
      <c r="B891" s="6" t="s">
        <v>33</v>
      </c>
      <c r="C891" s="5" t="s">
        <v>62</v>
      </c>
      <c r="D891" s="5" t="s">
        <v>61</v>
      </c>
      <c r="E891" s="6" t="n">
        <v>278069</v>
      </c>
      <c r="F891" s="6" t="n">
        <v>267792</v>
      </c>
      <c r="G891" s="6" t="n">
        <v>159176</v>
      </c>
      <c r="H891" s="6" t="n">
        <v>150234</v>
      </c>
      <c r="I891" s="6" t="n">
        <v>39672</v>
      </c>
      <c r="J891" s="6" t="n">
        <v>38722</v>
      </c>
      <c r="K891" s="6" t="n">
        <v>6222</v>
      </c>
      <c r="L891" s="6" t="n">
        <v>6531</v>
      </c>
      <c r="M891" s="6" t="n">
        <v>2278</v>
      </c>
      <c r="N891" s="6" t="n">
        <v>2737</v>
      </c>
      <c r="O891" s="6" t="n">
        <v>6751</v>
      </c>
      <c r="P891" s="6" t="n">
        <v>6326</v>
      </c>
      <c r="Q891" s="6" t="n">
        <v>5408</v>
      </c>
      <c r="R891" s="6" t="n">
        <v>5644</v>
      </c>
      <c r="S891" s="6" t="n">
        <v>3243</v>
      </c>
      <c r="T891" s="6" t="n">
        <v>4149</v>
      </c>
      <c r="U891" s="6" t="n">
        <v>6215</v>
      </c>
      <c r="V891" s="6" t="n">
        <v>6284</v>
      </c>
    </row>
    <row r="892" customFormat="false" ht="15" hidden="false" customHeight="false" outlineLevel="0" collapsed="false">
      <c r="A892" s="5" t="s">
        <v>81</v>
      </c>
      <c r="B892" s="6" t="s">
        <v>33</v>
      </c>
      <c r="C892" s="5" t="s">
        <v>63</v>
      </c>
      <c r="D892" s="5" t="s">
        <v>61</v>
      </c>
      <c r="E892" s="6" t="n">
        <v>275009</v>
      </c>
      <c r="F892" s="6" t="n">
        <v>272667</v>
      </c>
      <c r="G892" s="6" t="n">
        <v>158331</v>
      </c>
      <c r="H892" s="6" t="n">
        <v>163594</v>
      </c>
      <c r="I892" s="6" t="n">
        <v>44937</v>
      </c>
      <c r="J892" s="6" t="n">
        <v>45806</v>
      </c>
      <c r="K892" s="6" t="n">
        <v>6105</v>
      </c>
      <c r="L892" s="6" t="n">
        <v>5394</v>
      </c>
      <c r="M892" s="6" t="n">
        <v>4079</v>
      </c>
      <c r="N892" s="6" t="n">
        <v>5226</v>
      </c>
      <c r="O892" s="6" t="n">
        <v>6960</v>
      </c>
      <c r="P892" s="6" t="n">
        <v>7077</v>
      </c>
      <c r="Q892" s="6" t="n">
        <v>4677</v>
      </c>
      <c r="R892" s="6" t="n">
        <v>4894</v>
      </c>
      <c r="S892" s="6" t="n">
        <v>3181</v>
      </c>
      <c r="T892" s="6" t="n">
        <v>3515</v>
      </c>
      <c r="U892" s="6" t="n">
        <v>7742</v>
      </c>
      <c r="V892" s="6" t="n">
        <v>7905</v>
      </c>
    </row>
    <row r="893" customFormat="false" ht="15" hidden="false" customHeight="false" outlineLevel="0" collapsed="false">
      <c r="A893" s="5" t="s">
        <v>81</v>
      </c>
      <c r="B893" s="6" t="s">
        <v>33</v>
      </c>
      <c r="C893" s="5" t="s">
        <v>64</v>
      </c>
      <c r="D893" s="5" t="s">
        <v>61</v>
      </c>
      <c r="E893" s="6" t="n">
        <v>294431</v>
      </c>
      <c r="F893" s="6" t="n">
        <v>280045</v>
      </c>
      <c r="G893" s="6" t="n">
        <v>174789</v>
      </c>
      <c r="H893" s="6" t="n">
        <v>164906</v>
      </c>
      <c r="I893" s="6" t="n">
        <v>42441</v>
      </c>
      <c r="J893" s="6" t="n">
        <v>44706</v>
      </c>
      <c r="K893" s="6" t="n">
        <v>7882</v>
      </c>
      <c r="L893" s="6" t="n">
        <v>8781</v>
      </c>
      <c r="M893" s="6" t="n">
        <v>3089</v>
      </c>
      <c r="N893" s="6" t="n">
        <v>3264</v>
      </c>
      <c r="O893" s="6" t="n">
        <v>8029</v>
      </c>
      <c r="P893" s="6" t="n">
        <v>8212</v>
      </c>
      <c r="Q893" s="6" t="n">
        <v>4570</v>
      </c>
      <c r="R893" s="6" t="n">
        <v>4573</v>
      </c>
      <c r="S893" s="6" t="n">
        <v>2540</v>
      </c>
      <c r="T893" s="6" t="n">
        <v>2050</v>
      </c>
      <c r="U893" s="6" t="n">
        <v>6397</v>
      </c>
      <c r="V893" s="6" t="n">
        <v>6517</v>
      </c>
    </row>
    <row r="894" customFormat="false" ht="15" hidden="false" customHeight="false" outlineLevel="0" collapsed="false">
      <c r="A894" s="5" t="s">
        <v>81</v>
      </c>
      <c r="B894" s="6" t="s">
        <v>33</v>
      </c>
      <c r="C894" s="5" t="s">
        <v>65</v>
      </c>
      <c r="D894" s="5" t="s">
        <v>61</v>
      </c>
      <c r="E894" s="6" t="n">
        <v>264389</v>
      </c>
      <c r="F894" s="6" t="n">
        <v>279594</v>
      </c>
      <c r="G894" s="6" t="n">
        <v>150294</v>
      </c>
      <c r="H894" s="6" t="n">
        <v>159962</v>
      </c>
      <c r="I894" s="6" t="n">
        <v>37758</v>
      </c>
      <c r="J894" s="6" t="n">
        <v>40125</v>
      </c>
      <c r="K894" s="6" t="n">
        <v>8627</v>
      </c>
      <c r="L894" s="6" t="n">
        <v>8317</v>
      </c>
      <c r="M894" s="6" t="n">
        <v>2273</v>
      </c>
      <c r="N894" s="6" t="n">
        <v>2495</v>
      </c>
      <c r="O894" s="6" t="n">
        <v>5001</v>
      </c>
      <c r="P894" s="6" t="n">
        <v>5184</v>
      </c>
      <c r="Q894" s="6" t="n">
        <v>3350</v>
      </c>
      <c r="R894" s="6" t="n">
        <v>3235</v>
      </c>
      <c r="S894" s="6" t="n">
        <v>3000</v>
      </c>
      <c r="T894" s="6" t="n">
        <v>3614</v>
      </c>
      <c r="U894" s="6" t="n">
        <v>6849</v>
      </c>
      <c r="V894" s="6" t="n">
        <v>6969</v>
      </c>
    </row>
    <row r="895" customFormat="false" ht="15" hidden="false" customHeight="false" outlineLevel="0" collapsed="false">
      <c r="A895" s="5" t="s">
        <v>81</v>
      </c>
      <c r="B895" s="6" t="s">
        <v>33</v>
      </c>
      <c r="C895" s="5" t="s">
        <v>66</v>
      </c>
      <c r="D895" s="5" t="s">
        <v>61</v>
      </c>
      <c r="E895" s="6" t="n">
        <v>305980</v>
      </c>
      <c r="F895" s="6" t="n">
        <v>308816</v>
      </c>
      <c r="G895" s="6" t="n">
        <v>181822</v>
      </c>
      <c r="H895" s="6" t="n">
        <v>179654</v>
      </c>
      <c r="I895" s="6" t="n">
        <v>49503</v>
      </c>
      <c r="J895" s="6" t="n">
        <v>50153</v>
      </c>
      <c r="K895" s="6" t="n">
        <v>10449</v>
      </c>
      <c r="L895" s="6" t="n">
        <v>10983</v>
      </c>
      <c r="M895" s="6" t="n">
        <v>4264</v>
      </c>
      <c r="N895" s="6" t="n">
        <v>4828</v>
      </c>
      <c r="O895" s="6" t="n">
        <v>5661</v>
      </c>
      <c r="P895" s="6" t="n">
        <v>5252</v>
      </c>
      <c r="Q895" s="6" t="n">
        <v>4540</v>
      </c>
      <c r="R895" s="6" t="n">
        <v>4637</v>
      </c>
      <c r="S895" s="6" t="n">
        <v>2311</v>
      </c>
      <c r="T895" s="6" t="n">
        <v>2945</v>
      </c>
      <c r="U895" s="6" t="n">
        <v>8537</v>
      </c>
      <c r="V895" s="6" t="n">
        <v>8498</v>
      </c>
    </row>
    <row r="896" customFormat="false" ht="15" hidden="false" customHeight="false" outlineLevel="0" collapsed="false">
      <c r="A896" s="5" t="s">
        <v>81</v>
      </c>
      <c r="B896" s="6" t="s">
        <v>33</v>
      </c>
      <c r="C896" s="5" t="s">
        <v>67</v>
      </c>
      <c r="D896" s="5" t="s">
        <v>61</v>
      </c>
      <c r="E896" s="6" t="n">
        <v>268093</v>
      </c>
      <c r="F896" s="6" t="n">
        <v>283611</v>
      </c>
      <c r="G896" s="6" t="n">
        <v>159241</v>
      </c>
      <c r="H896" s="6" t="n">
        <v>171894</v>
      </c>
      <c r="I896" s="6" t="n">
        <v>38957</v>
      </c>
      <c r="J896" s="6" t="n">
        <v>39006</v>
      </c>
      <c r="K896" s="6" t="n">
        <v>8956</v>
      </c>
      <c r="L896" s="6" t="n">
        <v>9469</v>
      </c>
      <c r="M896" s="6" t="n">
        <v>3192</v>
      </c>
      <c r="N896" s="6" t="n">
        <v>3086</v>
      </c>
      <c r="O896" s="6" t="n">
        <v>5837</v>
      </c>
      <c r="P896" s="6" t="n">
        <v>5482</v>
      </c>
      <c r="Q896" s="6" t="n">
        <v>5214</v>
      </c>
      <c r="R896" s="6" t="n">
        <v>5256</v>
      </c>
      <c r="S896" s="6" t="n">
        <v>2990</v>
      </c>
      <c r="T896" s="6" t="n">
        <v>3574</v>
      </c>
      <c r="U896" s="6" t="n">
        <v>7081</v>
      </c>
      <c r="V896" s="6" t="n">
        <v>6946</v>
      </c>
    </row>
    <row r="897" customFormat="false" ht="15" hidden="false" customHeight="false" outlineLevel="0" collapsed="false">
      <c r="A897" s="5" t="s">
        <v>81</v>
      </c>
      <c r="B897" s="6" t="s">
        <v>33</v>
      </c>
      <c r="C897" s="5" t="s">
        <v>68</v>
      </c>
      <c r="D897" s="5" t="s">
        <v>61</v>
      </c>
      <c r="E897" s="6" t="n">
        <v>300781</v>
      </c>
      <c r="F897" s="6" t="n">
        <v>287506</v>
      </c>
      <c r="G897" s="6" t="n">
        <v>179137</v>
      </c>
      <c r="H897" s="6" t="n">
        <v>175572</v>
      </c>
      <c r="I897" s="6" t="n">
        <v>44663</v>
      </c>
      <c r="J897" s="6" t="n">
        <v>46319</v>
      </c>
      <c r="K897" s="6" t="n">
        <v>7747</v>
      </c>
      <c r="L897" s="6" t="n">
        <v>7163</v>
      </c>
      <c r="M897" s="6" t="n">
        <v>2964</v>
      </c>
      <c r="N897" s="6" t="n">
        <v>3278</v>
      </c>
      <c r="O897" s="6" t="n">
        <v>5491</v>
      </c>
      <c r="P897" s="6" t="n">
        <v>5500</v>
      </c>
      <c r="Q897" s="6" t="n">
        <v>4361</v>
      </c>
      <c r="R897" s="6" t="n">
        <v>4171</v>
      </c>
      <c r="S897" s="6" t="n">
        <v>1826</v>
      </c>
      <c r="T897" s="6" t="n">
        <v>2075</v>
      </c>
      <c r="U897" s="6" t="n">
        <v>6323</v>
      </c>
      <c r="V897" s="6" t="n">
        <v>6187</v>
      </c>
    </row>
    <row r="898" customFormat="false" ht="15" hidden="false" customHeight="false" outlineLevel="0" collapsed="false">
      <c r="A898" s="5" t="s">
        <v>81</v>
      </c>
      <c r="B898" s="6" t="s">
        <v>33</v>
      </c>
      <c r="C898" s="5" t="s">
        <v>69</v>
      </c>
      <c r="D898" s="5" t="s">
        <v>61</v>
      </c>
      <c r="E898" s="6" t="n">
        <v>316792</v>
      </c>
      <c r="F898" s="6" t="n">
        <v>322379</v>
      </c>
      <c r="G898" s="6" t="n">
        <v>185514</v>
      </c>
      <c r="H898" s="6" t="n">
        <v>195645</v>
      </c>
      <c r="I898" s="6" t="n">
        <v>48215</v>
      </c>
      <c r="J898" s="6" t="n">
        <v>49646</v>
      </c>
      <c r="K898" s="6" t="n">
        <v>6930</v>
      </c>
      <c r="L898" s="6" t="n">
        <v>6935</v>
      </c>
      <c r="M898" s="6" t="n">
        <v>3807</v>
      </c>
      <c r="N898" s="6" t="n">
        <v>4548</v>
      </c>
      <c r="O898" s="6" t="n">
        <v>6406</v>
      </c>
      <c r="P898" s="6" t="n">
        <v>6510</v>
      </c>
      <c r="Q898" s="6" t="n">
        <v>5152</v>
      </c>
      <c r="R898" s="6" t="n">
        <v>5153</v>
      </c>
      <c r="S898" s="6" t="n">
        <v>3068</v>
      </c>
      <c r="T898" s="6" t="n">
        <v>4075</v>
      </c>
      <c r="U898" s="6" t="n">
        <v>6771</v>
      </c>
      <c r="V898" s="6" t="n">
        <v>6673</v>
      </c>
    </row>
    <row r="899" customFormat="false" ht="15" hidden="false" customHeight="false" outlineLevel="0" collapsed="false">
      <c r="A899" s="5" t="s">
        <v>81</v>
      </c>
      <c r="B899" s="6" t="s">
        <v>33</v>
      </c>
      <c r="C899" s="5" t="s">
        <v>70</v>
      </c>
      <c r="D899" s="5" t="s">
        <v>61</v>
      </c>
      <c r="E899" s="6" t="n">
        <v>315074</v>
      </c>
      <c r="F899" s="6" t="n">
        <v>297556</v>
      </c>
      <c r="G899" s="6" t="n">
        <v>184373</v>
      </c>
      <c r="H899" s="6" t="n">
        <v>174794</v>
      </c>
      <c r="I899" s="6" t="n">
        <v>49552</v>
      </c>
      <c r="J899" s="6" t="n">
        <v>50382</v>
      </c>
      <c r="K899" s="6" t="n">
        <v>9247</v>
      </c>
      <c r="L899" s="6" t="n">
        <v>8036</v>
      </c>
      <c r="M899" s="6" t="n">
        <v>3182</v>
      </c>
      <c r="N899" s="6" t="n">
        <v>2887</v>
      </c>
      <c r="O899" s="6" t="n">
        <v>8285</v>
      </c>
      <c r="P899" s="6" t="n">
        <v>8497</v>
      </c>
      <c r="Q899" s="6" t="n">
        <v>5688</v>
      </c>
      <c r="R899" s="6" t="n">
        <v>5816</v>
      </c>
      <c r="S899" s="6" t="n">
        <v>2567</v>
      </c>
      <c r="T899" s="6" t="n">
        <v>3217</v>
      </c>
      <c r="U899" s="6" t="n">
        <v>8191</v>
      </c>
      <c r="V899" s="6" t="n">
        <v>8346</v>
      </c>
    </row>
    <row r="900" customFormat="false" ht="15" hidden="false" customHeight="false" outlineLevel="0" collapsed="false">
      <c r="A900" s="5" t="s">
        <v>81</v>
      </c>
      <c r="B900" s="6" t="s">
        <v>33</v>
      </c>
      <c r="C900" s="5" t="s">
        <v>71</v>
      </c>
      <c r="D900" s="5" t="s">
        <v>61</v>
      </c>
      <c r="E900" s="6" t="n">
        <v>319643</v>
      </c>
      <c r="F900" s="6" t="n">
        <v>305944</v>
      </c>
      <c r="G900" s="6" t="n">
        <v>186315</v>
      </c>
      <c r="H900" s="6" t="n">
        <v>173863</v>
      </c>
      <c r="I900" s="6" t="n">
        <v>46796</v>
      </c>
      <c r="J900" s="6" t="n">
        <v>49097</v>
      </c>
      <c r="K900" s="6" t="n">
        <v>10681</v>
      </c>
      <c r="L900" s="6" t="n">
        <v>10174</v>
      </c>
      <c r="M900" s="6" t="n">
        <v>4752</v>
      </c>
      <c r="N900" s="6" t="n">
        <v>3906</v>
      </c>
      <c r="O900" s="6" t="n">
        <v>6567</v>
      </c>
      <c r="P900" s="6" t="n">
        <v>6699</v>
      </c>
      <c r="Q900" s="6" t="n">
        <v>4077</v>
      </c>
      <c r="R900" s="6" t="n">
        <v>4009</v>
      </c>
      <c r="S900" s="6" t="n">
        <v>3510</v>
      </c>
      <c r="T900" s="6" t="n">
        <v>2854</v>
      </c>
      <c r="U900" s="6" t="n">
        <v>6922</v>
      </c>
      <c r="V900" s="6" t="n">
        <v>7091</v>
      </c>
    </row>
    <row r="901" customFormat="false" ht="15" hidden="false" customHeight="false" outlineLevel="0" collapsed="false">
      <c r="A901" s="5" t="s">
        <v>81</v>
      </c>
      <c r="B901" s="6" t="s">
        <v>33</v>
      </c>
      <c r="C901" s="5" t="s">
        <v>72</v>
      </c>
      <c r="D901" s="5" t="s">
        <v>61</v>
      </c>
      <c r="E901" s="6" t="n">
        <v>325669</v>
      </c>
      <c r="F901" s="6" t="n">
        <v>333592</v>
      </c>
      <c r="G901" s="6" t="n">
        <v>178688</v>
      </c>
      <c r="H901" s="6" t="n">
        <v>178441</v>
      </c>
      <c r="I901" s="6" t="n">
        <v>46545</v>
      </c>
      <c r="J901" s="6" t="n">
        <v>46776</v>
      </c>
      <c r="K901" s="6" t="n">
        <v>6668</v>
      </c>
      <c r="L901" s="6" t="n">
        <v>6054</v>
      </c>
      <c r="M901" s="6" t="n">
        <v>3265</v>
      </c>
      <c r="N901" s="6" t="n">
        <v>2658</v>
      </c>
      <c r="O901" s="6" t="n">
        <v>7709</v>
      </c>
      <c r="P901" s="6" t="n">
        <v>7650</v>
      </c>
      <c r="Q901" s="6" t="n">
        <v>4073</v>
      </c>
      <c r="R901" s="6" t="n">
        <v>4177</v>
      </c>
      <c r="S901" s="6" t="n">
        <v>2900</v>
      </c>
      <c r="T901" s="6" t="n">
        <v>3906</v>
      </c>
      <c r="U901" s="6" t="n">
        <v>8948</v>
      </c>
      <c r="V901" s="6" t="n">
        <v>9094</v>
      </c>
    </row>
    <row r="902" customFormat="false" ht="15" hidden="false" customHeight="false" outlineLevel="0" collapsed="false">
      <c r="A902" s="5" t="s">
        <v>81</v>
      </c>
      <c r="B902" s="6" t="s">
        <v>73</v>
      </c>
      <c r="C902" s="5" t="s">
        <v>34</v>
      </c>
      <c r="D902" s="5" t="s">
        <v>35</v>
      </c>
      <c r="E902" s="6" t="n">
        <v>155610</v>
      </c>
      <c r="F902" s="6" t="n">
        <v>151025</v>
      </c>
      <c r="G902" s="6" t="n">
        <v>89916</v>
      </c>
      <c r="H902" s="6" t="n">
        <v>88374</v>
      </c>
      <c r="I902" s="6" t="n">
        <v>26250</v>
      </c>
      <c r="J902" s="6" t="n">
        <v>27569</v>
      </c>
      <c r="K902" s="6" t="n">
        <v>5134</v>
      </c>
      <c r="L902" s="6" t="n">
        <v>5075</v>
      </c>
      <c r="M902" s="6" t="n">
        <v>1845</v>
      </c>
      <c r="N902" s="6" t="n">
        <v>1565</v>
      </c>
      <c r="O902" s="6" t="n">
        <v>2925</v>
      </c>
      <c r="P902" s="6" t="n">
        <v>2834</v>
      </c>
      <c r="Q902" s="6" t="n">
        <v>2511</v>
      </c>
      <c r="R902" s="6" t="n">
        <v>2635</v>
      </c>
      <c r="S902" s="6" t="n">
        <v>1669</v>
      </c>
      <c r="T902" s="6" t="n">
        <v>2176</v>
      </c>
      <c r="U902" s="6" t="n">
        <v>4081</v>
      </c>
      <c r="V902" s="6" t="n">
        <v>4184</v>
      </c>
    </row>
    <row r="903" customFormat="false" ht="15" hidden="false" customHeight="false" outlineLevel="0" collapsed="false">
      <c r="A903" s="5" t="s">
        <v>81</v>
      </c>
      <c r="B903" s="6" t="s">
        <v>73</v>
      </c>
      <c r="C903" s="5" t="s">
        <v>36</v>
      </c>
      <c r="D903" s="5" t="s">
        <v>35</v>
      </c>
      <c r="E903" s="6" t="n">
        <v>160737</v>
      </c>
      <c r="F903" s="6" t="n">
        <v>152551</v>
      </c>
      <c r="G903" s="6" t="n">
        <v>92063</v>
      </c>
      <c r="H903" s="6" t="n">
        <v>89025</v>
      </c>
      <c r="I903" s="6" t="n">
        <v>25099</v>
      </c>
      <c r="J903" s="6" t="n">
        <v>26568</v>
      </c>
      <c r="K903" s="6" t="n">
        <v>3815</v>
      </c>
      <c r="L903" s="6" t="n">
        <v>4359</v>
      </c>
      <c r="M903" s="6" t="n">
        <v>1731</v>
      </c>
      <c r="N903" s="6" t="n">
        <v>1920</v>
      </c>
      <c r="O903" s="6" t="n">
        <v>3601</v>
      </c>
      <c r="P903" s="6" t="n">
        <v>3916</v>
      </c>
      <c r="Q903" s="6" t="n">
        <v>2419</v>
      </c>
      <c r="R903" s="6" t="n">
        <v>2374</v>
      </c>
      <c r="S903" s="6" t="n">
        <v>1825</v>
      </c>
      <c r="T903" s="6" t="n">
        <v>1559</v>
      </c>
      <c r="U903" s="6" t="n">
        <v>3762</v>
      </c>
      <c r="V903" s="6" t="n">
        <v>3708</v>
      </c>
    </row>
    <row r="904" customFormat="false" ht="15" hidden="false" customHeight="false" outlineLevel="0" collapsed="false">
      <c r="A904" s="5" t="s">
        <v>81</v>
      </c>
      <c r="B904" s="6" t="s">
        <v>73</v>
      </c>
      <c r="C904" s="5" t="s">
        <v>37</v>
      </c>
      <c r="D904" s="5" t="s">
        <v>35</v>
      </c>
      <c r="E904" s="6" t="n">
        <v>155093</v>
      </c>
      <c r="F904" s="6" t="n">
        <v>152173</v>
      </c>
      <c r="G904" s="6" t="n">
        <v>84780</v>
      </c>
      <c r="H904" s="6" t="n">
        <v>84810</v>
      </c>
      <c r="I904" s="6" t="n">
        <v>25074</v>
      </c>
      <c r="J904" s="6" t="n">
        <v>26196</v>
      </c>
      <c r="K904" s="6" t="n">
        <v>3238</v>
      </c>
      <c r="L904" s="6" t="n">
        <v>3420</v>
      </c>
      <c r="M904" s="6" t="n">
        <v>1759</v>
      </c>
      <c r="N904" s="6" t="n">
        <v>1725</v>
      </c>
      <c r="O904" s="6" t="n">
        <v>3873</v>
      </c>
      <c r="P904" s="6" t="n">
        <v>3829</v>
      </c>
      <c r="Q904" s="6" t="n">
        <v>2723</v>
      </c>
      <c r="R904" s="6" t="n">
        <v>2682</v>
      </c>
      <c r="S904" s="6" t="n">
        <v>996</v>
      </c>
      <c r="T904" s="6" t="n">
        <v>844</v>
      </c>
      <c r="U904" s="6" t="n">
        <v>4161</v>
      </c>
      <c r="V904" s="6" t="n">
        <v>4052</v>
      </c>
    </row>
    <row r="905" customFormat="false" ht="15" hidden="false" customHeight="false" outlineLevel="0" collapsed="false">
      <c r="A905" s="5" t="s">
        <v>81</v>
      </c>
      <c r="B905" s="6" t="s">
        <v>73</v>
      </c>
      <c r="C905" s="5" t="s">
        <v>38</v>
      </c>
      <c r="D905" s="5" t="s">
        <v>35</v>
      </c>
      <c r="E905" s="6" t="n">
        <v>155673</v>
      </c>
      <c r="F905" s="6" t="n">
        <v>154970</v>
      </c>
      <c r="G905" s="6" t="n">
        <v>91268</v>
      </c>
      <c r="H905" s="6" t="n">
        <v>94013</v>
      </c>
      <c r="I905" s="6" t="n">
        <v>22762</v>
      </c>
      <c r="J905" s="6" t="n">
        <v>22866</v>
      </c>
      <c r="K905" s="6" t="n">
        <v>4073</v>
      </c>
      <c r="L905" s="6" t="n">
        <v>4329</v>
      </c>
      <c r="M905" s="6" t="n">
        <v>1382</v>
      </c>
      <c r="N905" s="6" t="n">
        <v>1461</v>
      </c>
      <c r="O905" s="6" t="n">
        <v>3207</v>
      </c>
      <c r="P905" s="6" t="n">
        <v>3165</v>
      </c>
      <c r="Q905" s="6" t="n">
        <v>1938</v>
      </c>
      <c r="R905" s="6" t="n">
        <v>1935</v>
      </c>
      <c r="S905" s="6" t="n">
        <v>980</v>
      </c>
      <c r="T905" s="6" t="n">
        <v>1133</v>
      </c>
      <c r="U905" s="6" t="n">
        <v>4127</v>
      </c>
      <c r="V905" s="6" t="n">
        <v>4078</v>
      </c>
    </row>
    <row r="906" customFormat="false" ht="15" hidden="false" customHeight="false" outlineLevel="0" collapsed="false">
      <c r="A906" s="5" t="s">
        <v>81</v>
      </c>
      <c r="B906" s="6" t="s">
        <v>73</v>
      </c>
      <c r="C906" s="5" t="s">
        <v>39</v>
      </c>
      <c r="D906" s="5" t="s">
        <v>35</v>
      </c>
      <c r="E906" s="6" t="n">
        <v>154037</v>
      </c>
      <c r="F906" s="6" t="n">
        <v>153478</v>
      </c>
      <c r="G906" s="6" t="n">
        <v>88544</v>
      </c>
      <c r="H906" s="6" t="n">
        <v>86526</v>
      </c>
      <c r="I906" s="6" t="n">
        <v>22921</v>
      </c>
      <c r="J906" s="6" t="n">
        <v>23182</v>
      </c>
      <c r="K906" s="6" t="n">
        <v>3947</v>
      </c>
      <c r="L906" s="6" t="n">
        <v>4379</v>
      </c>
      <c r="M906" s="6" t="n">
        <v>2079</v>
      </c>
      <c r="N906" s="6" t="n">
        <v>2433</v>
      </c>
      <c r="O906" s="6" t="n">
        <v>3630</v>
      </c>
      <c r="P906" s="6" t="n">
        <v>3624</v>
      </c>
      <c r="Q906" s="6" t="n">
        <v>2462</v>
      </c>
      <c r="R906" s="6" t="n">
        <v>2351</v>
      </c>
      <c r="S906" s="6" t="n">
        <v>1654</v>
      </c>
      <c r="T906" s="6" t="n">
        <v>1583</v>
      </c>
      <c r="U906" s="6" t="n">
        <v>3103</v>
      </c>
      <c r="V906" s="6" t="n">
        <v>3157</v>
      </c>
    </row>
    <row r="907" customFormat="false" ht="15" hidden="false" customHeight="false" outlineLevel="0" collapsed="false">
      <c r="A907" s="5" t="s">
        <v>81</v>
      </c>
      <c r="B907" s="6" t="s">
        <v>73</v>
      </c>
      <c r="C907" s="5" t="s">
        <v>40</v>
      </c>
      <c r="D907" s="5" t="s">
        <v>35</v>
      </c>
      <c r="E907" s="6" t="n">
        <v>160253</v>
      </c>
      <c r="F907" s="6" t="n">
        <v>161736</v>
      </c>
      <c r="G907" s="6" t="n">
        <v>90038</v>
      </c>
      <c r="H907" s="6" t="n">
        <v>93753</v>
      </c>
      <c r="I907" s="6" t="n">
        <v>24070</v>
      </c>
      <c r="J907" s="6" t="n">
        <v>25711</v>
      </c>
      <c r="K907" s="6" t="n">
        <v>4578</v>
      </c>
      <c r="L907" s="6" t="n">
        <v>4966</v>
      </c>
      <c r="M907" s="6" t="n">
        <v>1628</v>
      </c>
      <c r="N907" s="6" t="n">
        <v>1562</v>
      </c>
      <c r="O907" s="6" t="n">
        <v>3238</v>
      </c>
      <c r="P907" s="6" t="n">
        <v>3434</v>
      </c>
      <c r="Q907" s="6" t="n">
        <v>2955</v>
      </c>
      <c r="R907" s="6" t="n">
        <v>2816</v>
      </c>
      <c r="S907" s="6" t="n">
        <v>1087</v>
      </c>
      <c r="T907" s="6" t="n">
        <v>1429</v>
      </c>
      <c r="U907" s="6" t="n">
        <v>3797</v>
      </c>
      <c r="V907" s="6" t="n">
        <v>3865</v>
      </c>
    </row>
    <row r="908" customFormat="false" ht="15" hidden="false" customHeight="false" outlineLevel="0" collapsed="false">
      <c r="A908" s="5" t="s">
        <v>81</v>
      </c>
      <c r="B908" s="6" t="s">
        <v>73</v>
      </c>
      <c r="C908" s="5" t="s">
        <v>41</v>
      </c>
      <c r="D908" s="5" t="s">
        <v>35</v>
      </c>
      <c r="E908" s="6" t="n">
        <v>161469</v>
      </c>
      <c r="F908" s="6" t="n">
        <v>156161</v>
      </c>
      <c r="G908" s="6" t="n">
        <v>95470</v>
      </c>
      <c r="H908" s="6" t="n">
        <v>90647</v>
      </c>
      <c r="I908" s="6" t="n">
        <v>24634</v>
      </c>
      <c r="J908" s="6" t="n">
        <v>25793</v>
      </c>
      <c r="K908" s="6" t="n">
        <v>3361</v>
      </c>
      <c r="L908" s="6" t="n">
        <v>3257</v>
      </c>
      <c r="M908" s="6" t="n">
        <v>1669</v>
      </c>
      <c r="N908" s="6" t="n">
        <v>1843</v>
      </c>
      <c r="O908" s="6" t="n">
        <v>3276</v>
      </c>
      <c r="P908" s="6" t="n">
        <v>3046</v>
      </c>
      <c r="Q908" s="6" t="n">
        <v>2835</v>
      </c>
      <c r="R908" s="6" t="n">
        <v>2885</v>
      </c>
      <c r="S908" s="6" t="n">
        <v>1124</v>
      </c>
      <c r="T908" s="6" t="n">
        <v>1025</v>
      </c>
      <c r="U908" s="6" t="n">
        <v>3512</v>
      </c>
      <c r="V908" s="6" t="n">
        <v>3469</v>
      </c>
    </row>
    <row r="909" customFormat="false" ht="15" hidden="false" customHeight="false" outlineLevel="0" collapsed="false">
      <c r="A909" s="5" t="s">
        <v>81</v>
      </c>
      <c r="B909" s="6" t="s">
        <v>73</v>
      </c>
      <c r="C909" s="5" t="s">
        <v>42</v>
      </c>
      <c r="D909" s="5" t="s">
        <v>35</v>
      </c>
      <c r="E909" s="6" t="n">
        <v>165572</v>
      </c>
      <c r="F909" s="6" t="n">
        <v>159852</v>
      </c>
      <c r="G909" s="6" t="n">
        <v>93663</v>
      </c>
      <c r="H909" s="6" t="n">
        <v>94274</v>
      </c>
      <c r="I909" s="6" t="n">
        <v>26627</v>
      </c>
      <c r="J909" s="6" t="n">
        <v>27216</v>
      </c>
      <c r="K909" s="6" t="n">
        <v>4308</v>
      </c>
      <c r="L909" s="6" t="n">
        <v>4649</v>
      </c>
      <c r="M909" s="6" t="n">
        <v>2035</v>
      </c>
      <c r="N909" s="6" t="n">
        <v>2025</v>
      </c>
      <c r="O909" s="6" t="n">
        <v>3152</v>
      </c>
      <c r="P909" s="6" t="n">
        <v>3000</v>
      </c>
      <c r="Q909" s="6" t="n">
        <v>2926</v>
      </c>
      <c r="R909" s="6" t="n">
        <v>2809</v>
      </c>
      <c r="S909" s="6" t="n">
        <v>1363</v>
      </c>
      <c r="T909" s="6" t="n">
        <v>1886</v>
      </c>
      <c r="U909" s="6" t="n">
        <v>4145</v>
      </c>
      <c r="V909" s="6" t="n">
        <v>4259</v>
      </c>
    </row>
    <row r="910" customFormat="false" ht="15" hidden="false" customHeight="false" outlineLevel="0" collapsed="false">
      <c r="A910" s="5" t="s">
        <v>81</v>
      </c>
      <c r="B910" s="6" t="s">
        <v>73</v>
      </c>
      <c r="C910" s="5" t="s">
        <v>43</v>
      </c>
      <c r="D910" s="5" t="s">
        <v>35</v>
      </c>
      <c r="E910" s="6" t="n">
        <v>170313</v>
      </c>
      <c r="F910" s="6" t="n">
        <v>169965</v>
      </c>
      <c r="G910" s="6" t="n">
        <v>95936</v>
      </c>
      <c r="H910" s="6" t="n">
        <v>92851</v>
      </c>
      <c r="I910" s="6" t="n">
        <v>27729</v>
      </c>
      <c r="J910" s="6" t="n">
        <v>29885</v>
      </c>
      <c r="K910" s="6" t="n">
        <v>3445</v>
      </c>
      <c r="L910" s="6" t="n">
        <v>3419</v>
      </c>
      <c r="M910" s="6" t="n">
        <v>1978</v>
      </c>
      <c r="N910" s="6" t="n">
        <v>1974</v>
      </c>
      <c r="O910" s="6" t="n">
        <v>4277</v>
      </c>
      <c r="P910" s="6" t="n">
        <v>4698</v>
      </c>
      <c r="Q910" s="6" t="n">
        <v>2218</v>
      </c>
      <c r="R910" s="6" t="n">
        <v>2301</v>
      </c>
      <c r="S910" s="6" t="n">
        <v>1199</v>
      </c>
      <c r="T910" s="6" t="n">
        <v>1388</v>
      </c>
      <c r="U910" s="6" t="n">
        <v>5010</v>
      </c>
      <c r="V910" s="6" t="n">
        <v>4993</v>
      </c>
    </row>
    <row r="911" customFormat="false" ht="15" hidden="false" customHeight="false" outlineLevel="0" collapsed="false">
      <c r="A911" s="5" t="s">
        <v>81</v>
      </c>
      <c r="B911" s="6" t="s">
        <v>73</v>
      </c>
      <c r="C911" s="5" t="s">
        <v>44</v>
      </c>
      <c r="D911" s="5" t="s">
        <v>35</v>
      </c>
      <c r="E911" s="6" t="n">
        <v>153978</v>
      </c>
      <c r="F911" s="6" t="n">
        <v>163522</v>
      </c>
      <c r="G911" s="6" t="n">
        <v>90557</v>
      </c>
      <c r="H911" s="6" t="n">
        <v>96547</v>
      </c>
      <c r="I911" s="6" t="n">
        <v>26150</v>
      </c>
      <c r="J911" s="6" t="n">
        <v>26541</v>
      </c>
      <c r="K911" s="6" t="n">
        <v>3687</v>
      </c>
      <c r="L911" s="6" t="n">
        <v>3315</v>
      </c>
      <c r="M911" s="6" t="n">
        <v>2107</v>
      </c>
      <c r="N911" s="6" t="n">
        <v>1766</v>
      </c>
      <c r="O911" s="6" t="n">
        <v>3896</v>
      </c>
      <c r="P911" s="6" t="n">
        <v>4229</v>
      </c>
      <c r="Q911" s="6" t="n">
        <v>1914</v>
      </c>
      <c r="R911" s="6" t="n">
        <v>1920</v>
      </c>
      <c r="S911" s="6" t="n">
        <v>1135</v>
      </c>
      <c r="T911" s="6" t="n">
        <v>1425</v>
      </c>
      <c r="U911" s="6" t="n">
        <v>3817</v>
      </c>
      <c r="V911" s="6" t="n">
        <v>3755</v>
      </c>
    </row>
    <row r="912" customFormat="false" ht="15" hidden="false" customHeight="false" outlineLevel="0" collapsed="false">
      <c r="A912" s="5" t="s">
        <v>81</v>
      </c>
      <c r="B912" s="6" t="s">
        <v>73</v>
      </c>
      <c r="C912" s="5" t="s">
        <v>45</v>
      </c>
      <c r="D912" s="5" t="s">
        <v>35</v>
      </c>
      <c r="E912" s="6" t="n">
        <v>165067</v>
      </c>
      <c r="F912" s="6" t="n">
        <v>163328</v>
      </c>
      <c r="G912" s="6" t="n">
        <v>92958</v>
      </c>
      <c r="H912" s="6" t="n">
        <v>94858</v>
      </c>
      <c r="I912" s="6" t="n">
        <v>23348</v>
      </c>
      <c r="J912" s="6" t="n">
        <v>24071</v>
      </c>
      <c r="K912" s="6" t="n">
        <v>5712</v>
      </c>
      <c r="L912" s="6" t="n">
        <v>5944</v>
      </c>
      <c r="M912" s="6" t="n">
        <v>1746</v>
      </c>
      <c r="N912" s="6" t="n">
        <v>1628</v>
      </c>
      <c r="O912" s="6" t="n">
        <v>3820</v>
      </c>
      <c r="P912" s="6" t="n">
        <v>3727</v>
      </c>
      <c r="Q912" s="6" t="n">
        <v>2144</v>
      </c>
      <c r="R912" s="6" t="n">
        <v>2156</v>
      </c>
      <c r="S912" s="6" t="n">
        <v>1734</v>
      </c>
      <c r="T912" s="6" t="n">
        <v>1911</v>
      </c>
      <c r="U912" s="6" t="n">
        <v>4752</v>
      </c>
      <c r="V912" s="6" t="n">
        <v>4713</v>
      </c>
    </row>
    <row r="913" customFormat="false" ht="15" hidden="false" customHeight="false" outlineLevel="0" collapsed="false">
      <c r="A913" s="5" t="s">
        <v>81</v>
      </c>
      <c r="B913" s="6" t="s">
        <v>73</v>
      </c>
      <c r="C913" s="5" t="s">
        <v>46</v>
      </c>
      <c r="D913" s="5" t="s">
        <v>35</v>
      </c>
      <c r="E913" s="6" t="n">
        <v>184639</v>
      </c>
      <c r="F913" s="6" t="n">
        <v>175179</v>
      </c>
      <c r="G913" s="6" t="n">
        <v>100227</v>
      </c>
      <c r="H913" s="6" t="n">
        <v>97508</v>
      </c>
      <c r="I913" s="6" t="n">
        <v>28227</v>
      </c>
      <c r="J913" s="6" t="n">
        <v>28329</v>
      </c>
      <c r="K913" s="6" t="n">
        <v>4710</v>
      </c>
      <c r="L913" s="6" t="n">
        <v>4925</v>
      </c>
      <c r="M913" s="6" t="n">
        <v>1915</v>
      </c>
      <c r="N913" s="6" t="n">
        <v>1671</v>
      </c>
      <c r="O913" s="6" t="n">
        <v>3687</v>
      </c>
      <c r="P913" s="6" t="n">
        <v>3976</v>
      </c>
      <c r="Q913" s="6" t="n">
        <v>2380</v>
      </c>
      <c r="R913" s="6" t="n">
        <v>2486</v>
      </c>
      <c r="S913" s="6" t="n">
        <v>1279</v>
      </c>
      <c r="T913" s="6" t="n">
        <v>1570</v>
      </c>
      <c r="U913" s="6" t="n">
        <v>4519</v>
      </c>
      <c r="V913" s="6" t="n">
        <v>4592</v>
      </c>
    </row>
    <row r="914" customFormat="false" ht="15" hidden="false" customHeight="false" outlineLevel="0" collapsed="false">
      <c r="A914" s="5" t="s">
        <v>81</v>
      </c>
      <c r="B914" s="6" t="s">
        <v>73</v>
      </c>
      <c r="C914" s="5" t="s">
        <v>47</v>
      </c>
      <c r="D914" s="5" t="s">
        <v>48</v>
      </c>
      <c r="E914" s="6" t="n">
        <v>172151</v>
      </c>
      <c r="F914" s="6" t="n">
        <v>167401</v>
      </c>
      <c r="G914" s="6" t="n">
        <v>103055</v>
      </c>
      <c r="H914" s="6" t="n">
        <v>102573</v>
      </c>
      <c r="I914" s="6" t="n">
        <v>27307</v>
      </c>
      <c r="J914" s="6" t="n">
        <v>28938</v>
      </c>
      <c r="K914" s="6" t="n">
        <v>3662</v>
      </c>
      <c r="L914" s="6" t="n">
        <v>3594</v>
      </c>
      <c r="M914" s="6" t="n">
        <v>2309</v>
      </c>
      <c r="N914" s="6" t="n">
        <v>2729</v>
      </c>
      <c r="O914" s="6" t="n">
        <v>3517</v>
      </c>
      <c r="P914" s="6" t="n">
        <v>3421</v>
      </c>
      <c r="Q914" s="6" t="n">
        <v>2949</v>
      </c>
      <c r="R914" s="6" t="n">
        <v>3020</v>
      </c>
      <c r="S914" s="6" t="n">
        <v>1538</v>
      </c>
      <c r="T914" s="6" t="n">
        <v>1259</v>
      </c>
      <c r="U914" s="6" t="n">
        <v>4937</v>
      </c>
      <c r="V914" s="6" t="n">
        <v>4953</v>
      </c>
    </row>
    <row r="915" customFormat="false" ht="15" hidden="false" customHeight="false" outlineLevel="0" collapsed="false">
      <c r="A915" s="5" t="s">
        <v>81</v>
      </c>
      <c r="B915" s="6" t="s">
        <v>73</v>
      </c>
      <c r="C915" s="5" t="s">
        <v>49</v>
      </c>
      <c r="D915" s="5" t="s">
        <v>48</v>
      </c>
      <c r="E915" s="6" t="n">
        <v>160793</v>
      </c>
      <c r="F915" s="6" t="n">
        <v>167429</v>
      </c>
      <c r="G915" s="6" t="n">
        <v>87530</v>
      </c>
      <c r="H915" s="6" t="n">
        <v>91768</v>
      </c>
      <c r="I915" s="6" t="n">
        <v>25956</v>
      </c>
      <c r="J915" s="6" t="n">
        <v>27048</v>
      </c>
      <c r="K915" s="6" t="n">
        <v>3362</v>
      </c>
      <c r="L915" s="6" t="n">
        <v>3712</v>
      </c>
      <c r="M915" s="6" t="n">
        <v>1969</v>
      </c>
      <c r="N915" s="6" t="n">
        <v>1956</v>
      </c>
      <c r="O915" s="6" t="n">
        <v>3291</v>
      </c>
      <c r="P915" s="6" t="n">
        <v>3052</v>
      </c>
      <c r="Q915" s="6" t="n">
        <v>2353</v>
      </c>
      <c r="R915" s="6" t="n">
        <v>2385</v>
      </c>
      <c r="S915" s="6" t="n">
        <v>997</v>
      </c>
      <c r="T915" s="6" t="n">
        <v>1162</v>
      </c>
      <c r="U915" s="6" t="n">
        <v>4491</v>
      </c>
      <c r="V915" s="6" t="n">
        <v>4418</v>
      </c>
    </row>
    <row r="916" customFormat="false" ht="15" hidden="false" customHeight="false" outlineLevel="0" collapsed="false">
      <c r="A916" s="5" t="s">
        <v>81</v>
      </c>
      <c r="B916" s="6" t="s">
        <v>73</v>
      </c>
      <c r="C916" s="5" t="s">
        <v>50</v>
      </c>
      <c r="D916" s="5" t="s">
        <v>48</v>
      </c>
      <c r="E916" s="6" t="n">
        <v>169806</v>
      </c>
      <c r="F916" s="6" t="n">
        <v>169744</v>
      </c>
      <c r="G916" s="6" t="n">
        <v>93171</v>
      </c>
      <c r="H916" s="6" t="n">
        <v>95039</v>
      </c>
      <c r="I916" s="6" t="n">
        <v>24942</v>
      </c>
      <c r="J916" s="6" t="n">
        <v>26520</v>
      </c>
      <c r="K916" s="6" t="n">
        <v>5640</v>
      </c>
      <c r="L916" s="6" t="n">
        <v>4814</v>
      </c>
      <c r="M916" s="6" t="n">
        <v>2378</v>
      </c>
      <c r="N916" s="6" t="n">
        <v>2929</v>
      </c>
      <c r="O916" s="6" t="n">
        <v>4394</v>
      </c>
      <c r="P916" s="6" t="n">
        <v>4628</v>
      </c>
      <c r="Q916" s="6" t="n">
        <v>2737</v>
      </c>
      <c r="R916" s="6" t="n">
        <v>2796</v>
      </c>
      <c r="S916" s="6" t="n">
        <v>1423</v>
      </c>
      <c r="T916" s="6" t="n">
        <v>1543</v>
      </c>
      <c r="U916" s="6" t="n">
        <v>3883</v>
      </c>
      <c r="V916" s="6" t="n">
        <v>3977</v>
      </c>
    </row>
    <row r="917" customFormat="false" ht="15" hidden="false" customHeight="false" outlineLevel="0" collapsed="false">
      <c r="A917" s="5" t="s">
        <v>81</v>
      </c>
      <c r="B917" s="6" t="s">
        <v>73</v>
      </c>
      <c r="C917" s="5" t="s">
        <v>51</v>
      </c>
      <c r="D917" s="5" t="s">
        <v>48</v>
      </c>
      <c r="E917" s="6" t="n">
        <v>169724</v>
      </c>
      <c r="F917" s="6" t="n">
        <v>172933</v>
      </c>
      <c r="G917" s="6" t="n">
        <v>93405</v>
      </c>
      <c r="H917" s="6" t="n">
        <v>93910</v>
      </c>
      <c r="I917" s="6" t="n">
        <v>28429</v>
      </c>
      <c r="J917" s="6" t="n">
        <v>30564</v>
      </c>
      <c r="K917" s="6" t="n">
        <v>4061</v>
      </c>
      <c r="L917" s="6" t="n">
        <v>3973</v>
      </c>
      <c r="M917" s="6" t="n">
        <v>2339</v>
      </c>
      <c r="N917" s="6" t="n">
        <v>2117</v>
      </c>
      <c r="O917" s="6" t="n">
        <v>3963</v>
      </c>
      <c r="P917" s="6" t="n">
        <v>3904</v>
      </c>
      <c r="Q917" s="6" t="n">
        <v>2126</v>
      </c>
      <c r="R917" s="6" t="n">
        <v>2148</v>
      </c>
      <c r="S917" s="6" t="n">
        <v>1240</v>
      </c>
      <c r="T917" s="6" t="n">
        <v>1516</v>
      </c>
      <c r="U917" s="6" t="n">
        <v>4332</v>
      </c>
      <c r="V917" s="6" t="n">
        <v>4206</v>
      </c>
    </row>
    <row r="918" customFormat="false" ht="15" hidden="false" customHeight="false" outlineLevel="0" collapsed="false">
      <c r="A918" s="5" t="s">
        <v>81</v>
      </c>
      <c r="B918" s="6" t="s">
        <v>73</v>
      </c>
      <c r="C918" s="5" t="s">
        <v>52</v>
      </c>
      <c r="D918" s="5" t="s">
        <v>48</v>
      </c>
      <c r="E918" s="6" t="n">
        <v>180467</v>
      </c>
      <c r="F918" s="6" t="n">
        <v>175095</v>
      </c>
      <c r="G918" s="6" t="n">
        <v>106120</v>
      </c>
      <c r="H918" s="6" t="n">
        <v>105320</v>
      </c>
      <c r="I918" s="6" t="n">
        <v>26570</v>
      </c>
      <c r="J918" s="6" t="n">
        <v>27514</v>
      </c>
      <c r="K918" s="6" t="n">
        <v>4007</v>
      </c>
      <c r="L918" s="6" t="n">
        <v>3955</v>
      </c>
      <c r="M918" s="6" t="n">
        <v>2078</v>
      </c>
      <c r="N918" s="6" t="n">
        <v>2349</v>
      </c>
      <c r="O918" s="6" t="n">
        <v>4826</v>
      </c>
      <c r="P918" s="6" t="n">
        <v>5079</v>
      </c>
      <c r="Q918" s="6" t="n">
        <v>3326</v>
      </c>
      <c r="R918" s="6" t="n">
        <v>3349</v>
      </c>
      <c r="S918" s="6" t="n">
        <v>1544</v>
      </c>
      <c r="T918" s="6" t="n">
        <v>1778</v>
      </c>
      <c r="U918" s="6" t="n">
        <v>4538</v>
      </c>
      <c r="V918" s="6" t="n">
        <v>4444</v>
      </c>
    </row>
    <row r="919" customFormat="false" ht="15" hidden="false" customHeight="false" outlineLevel="0" collapsed="false">
      <c r="A919" s="5" t="s">
        <v>81</v>
      </c>
      <c r="B919" s="6" t="s">
        <v>73</v>
      </c>
      <c r="C919" s="5" t="s">
        <v>53</v>
      </c>
      <c r="D919" s="5" t="s">
        <v>48</v>
      </c>
      <c r="E919" s="6" t="n">
        <v>193117</v>
      </c>
      <c r="F919" s="6" t="n">
        <v>188799</v>
      </c>
      <c r="G919" s="6" t="n">
        <v>104989</v>
      </c>
      <c r="H919" s="6" t="n">
        <v>108241</v>
      </c>
      <c r="I919" s="6" t="n">
        <v>28858</v>
      </c>
      <c r="J919" s="6" t="n">
        <v>29830</v>
      </c>
      <c r="K919" s="6" t="n">
        <v>4247</v>
      </c>
      <c r="L919" s="6" t="n">
        <v>4221</v>
      </c>
      <c r="M919" s="6" t="n">
        <v>1916</v>
      </c>
      <c r="N919" s="6" t="n">
        <v>1963</v>
      </c>
      <c r="O919" s="6" t="n">
        <v>3742</v>
      </c>
      <c r="P919" s="6" t="n">
        <v>3696</v>
      </c>
      <c r="Q919" s="6" t="n">
        <v>2374</v>
      </c>
      <c r="R919" s="6" t="n">
        <v>2277</v>
      </c>
      <c r="S919" s="6" t="n">
        <v>2003</v>
      </c>
      <c r="T919" s="6" t="n">
        <v>2321</v>
      </c>
      <c r="U919" s="6" t="n">
        <v>5306</v>
      </c>
      <c r="V919" s="6" t="n">
        <v>5268</v>
      </c>
    </row>
    <row r="920" customFormat="false" ht="15" hidden="false" customHeight="false" outlineLevel="0" collapsed="false">
      <c r="A920" s="5" t="s">
        <v>81</v>
      </c>
      <c r="B920" s="6" t="s">
        <v>73</v>
      </c>
      <c r="C920" s="5" t="s">
        <v>54</v>
      </c>
      <c r="D920" s="5" t="s">
        <v>48</v>
      </c>
      <c r="E920" s="6" t="n">
        <v>172859</v>
      </c>
      <c r="F920" s="6" t="n">
        <v>177814</v>
      </c>
      <c r="G920" s="6" t="n">
        <v>102726</v>
      </c>
      <c r="H920" s="6" t="n">
        <v>109508</v>
      </c>
      <c r="I920" s="6" t="n">
        <v>27564</v>
      </c>
      <c r="J920" s="6" t="n">
        <v>28533</v>
      </c>
      <c r="K920" s="6" t="n">
        <v>3879</v>
      </c>
      <c r="L920" s="6" t="n">
        <v>3571</v>
      </c>
      <c r="M920" s="6" t="n">
        <v>2070</v>
      </c>
      <c r="N920" s="6" t="n">
        <v>1763</v>
      </c>
      <c r="O920" s="6" t="n">
        <v>4798</v>
      </c>
      <c r="P920" s="6" t="n">
        <v>5265</v>
      </c>
      <c r="Q920" s="6" t="n">
        <v>2986</v>
      </c>
      <c r="R920" s="6" t="n">
        <v>2986</v>
      </c>
      <c r="S920" s="6" t="n">
        <v>1444</v>
      </c>
      <c r="T920" s="6" t="n">
        <v>1863</v>
      </c>
      <c r="U920" s="6" t="n">
        <v>5088</v>
      </c>
      <c r="V920" s="6" t="n">
        <v>5108</v>
      </c>
    </row>
    <row r="921" customFormat="false" ht="15" hidden="false" customHeight="false" outlineLevel="0" collapsed="false">
      <c r="A921" s="5" t="s">
        <v>81</v>
      </c>
      <c r="B921" s="6" t="s">
        <v>73</v>
      </c>
      <c r="C921" s="5" t="s">
        <v>55</v>
      </c>
      <c r="D921" s="5" t="s">
        <v>48</v>
      </c>
      <c r="E921" s="6" t="n">
        <v>182534</v>
      </c>
      <c r="F921" s="6" t="n">
        <v>182161</v>
      </c>
      <c r="G921" s="6" t="n">
        <v>104205</v>
      </c>
      <c r="H921" s="6" t="n">
        <v>100799</v>
      </c>
      <c r="I921" s="6" t="n">
        <v>28720</v>
      </c>
      <c r="J921" s="6" t="n">
        <v>30778</v>
      </c>
      <c r="K921" s="6" t="n">
        <v>4110</v>
      </c>
      <c r="L921" s="6" t="n">
        <v>3643</v>
      </c>
      <c r="M921" s="6" t="n">
        <v>2503</v>
      </c>
      <c r="N921" s="6" t="n">
        <v>2021</v>
      </c>
      <c r="O921" s="6" t="n">
        <v>3705</v>
      </c>
      <c r="P921" s="6" t="n">
        <v>4001</v>
      </c>
      <c r="Q921" s="6" t="n">
        <v>2214</v>
      </c>
      <c r="R921" s="6" t="n">
        <v>2256</v>
      </c>
      <c r="S921" s="6" t="n">
        <v>1518</v>
      </c>
      <c r="T921" s="6" t="n">
        <v>1610</v>
      </c>
      <c r="U921" s="6" t="n">
        <v>3860</v>
      </c>
      <c r="V921" s="6" t="n">
        <v>3955</v>
      </c>
    </row>
    <row r="922" customFormat="false" ht="15" hidden="false" customHeight="false" outlineLevel="0" collapsed="false">
      <c r="A922" s="5" t="s">
        <v>81</v>
      </c>
      <c r="B922" s="6" t="s">
        <v>73</v>
      </c>
      <c r="C922" s="5" t="s">
        <v>56</v>
      </c>
      <c r="D922" s="5" t="s">
        <v>48</v>
      </c>
      <c r="E922" s="6" t="n">
        <v>196537</v>
      </c>
      <c r="F922" s="6" t="n">
        <v>193487</v>
      </c>
      <c r="G922" s="6" t="n">
        <v>114048</v>
      </c>
      <c r="H922" s="6" t="n">
        <v>113808</v>
      </c>
      <c r="I922" s="6" t="n">
        <v>32244</v>
      </c>
      <c r="J922" s="6" t="n">
        <v>32982</v>
      </c>
      <c r="K922" s="6" t="n">
        <v>5069</v>
      </c>
      <c r="L922" s="6" t="n">
        <v>4326</v>
      </c>
      <c r="M922" s="6" t="n">
        <v>1687</v>
      </c>
      <c r="N922" s="6" t="n">
        <v>1599</v>
      </c>
      <c r="O922" s="6" t="n">
        <v>4270</v>
      </c>
      <c r="P922" s="6" t="n">
        <v>4541</v>
      </c>
      <c r="Q922" s="6" t="n">
        <v>2812</v>
      </c>
      <c r="R922" s="6" t="n">
        <v>2929</v>
      </c>
      <c r="S922" s="6" t="n">
        <v>1457</v>
      </c>
      <c r="T922" s="6" t="n">
        <v>1649</v>
      </c>
      <c r="U922" s="6" t="n">
        <v>5756</v>
      </c>
      <c r="V922" s="6" t="n">
        <v>5808</v>
      </c>
    </row>
    <row r="923" customFormat="false" ht="15" hidden="false" customHeight="false" outlineLevel="0" collapsed="false">
      <c r="A923" s="5" t="s">
        <v>81</v>
      </c>
      <c r="B923" s="6" t="s">
        <v>73</v>
      </c>
      <c r="C923" s="5" t="s">
        <v>57</v>
      </c>
      <c r="D923" s="5" t="s">
        <v>48</v>
      </c>
      <c r="E923" s="6" t="n">
        <v>175874</v>
      </c>
      <c r="F923" s="6" t="n">
        <v>185090</v>
      </c>
      <c r="G923" s="6" t="n">
        <v>100357</v>
      </c>
      <c r="H923" s="6" t="n">
        <v>102353</v>
      </c>
      <c r="I923" s="6" t="n">
        <v>27169</v>
      </c>
      <c r="J923" s="6" t="n">
        <v>27613</v>
      </c>
      <c r="K923" s="6" t="n">
        <v>5499</v>
      </c>
      <c r="L923" s="6" t="n">
        <v>6087</v>
      </c>
      <c r="M923" s="6" t="n">
        <v>2197</v>
      </c>
      <c r="N923" s="6" t="n">
        <v>1972</v>
      </c>
      <c r="O923" s="6" t="n">
        <v>3710</v>
      </c>
      <c r="P923" s="6" t="n">
        <v>3992</v>
      </c>
      <c r="Q923" s="6" t="n">
        <v>2939</v>
      </c>
      <c r="R923" s="6" t="n">
        <v>3037</v>
      </c>
      <c r="S923" s="6" t="n">
        <v>1889</v>
      </c>
      <c r="T923" s="6" t="n">
        <v>1551</v>
      </c>
      <c r="U923" s="6" t="n">
        <v>3867</v>
      </c>
      <c r="V923" s="6" t="n">
        <v>3930</v>
      </c>
    </row>
    <row r="924" customFormat="false" ht="15" hidden="false" customHeight="false" outlineLevel="0" collapsed="false">
      <c r="A924" s="5" t="s">
        <v>81</v>
      </c>
      <c r="B924" s="6" t="s">
        <v>73</v>
      </c>
      <c r="C924" s="5" t="s">
        <v>58</v>
      </c>
      <c r="D924" s="5" t="s">
        <v>48</v>
      </c>
      <c r="E924" s="6" t="n">
        <v>189763</v>
      </c>
      <c r="F924" s="6" t="n">
        <v>182423</v>
      </c>
      <c r="G924" s="6" t="n">
        <v>107075</v>
      </c>
      <c r="H924" s="6" t="n">
        <v>100948</v>
      </c>
      <c r="I924" s="6" t="n">
        <v>28674</v>
      </c>
      <c r="J924" s="6" t="n">
        <v>30386</v>
      </c>
      <c r="K924" s="6" t="n">
        <v>6481</v>
      </c>
      <c r="L924" s="6" t="n">
        <v>7361</v>
      </c>
      <c r="M924" s="6" t="n">
        <v>2300</v>
      </c>
      <c r="N924" s="6" t="n">
        <v>2343</v>
      </c>
      <c r="O924" s="6" t="n">
        <v>3557</v>
      </c>
      <c r="P924" s="6" t="n">
        <v>3285</v>
      </c>
      <c r="Q924" s="6" t="n">
        <v>3323</v>
      </c>
      <c r="R924" s="6" t="n">
        <v>3302</v>
      </c>
      <c r="S924" s="6" t="n">
        <v>2246</v>
      </c>
      <c r="T924" s="6" t="n">
        <v>2698</v>
      </c>
      <c r="U924" s="6" t="n">
        <v>4596</v>
      </c>
      <c r="V924" s="6" t="n">
        <v>4483</v>
      </c>
    </row>
    <row r="925" customFormat="false" ht="15" hidden="false" customHeight="false" outlineLevel="0" collapsed="false">
      <c r="A925" s="5" t="s">
        <v>81</v>
      </c>
      <c r="B925" s="6" t="s">
        <v>73</v>
      </c>
      <c r="C925" s="5" t="s">
        <v>59</v>
      </c>
      <c r="D925" s="5" t="s">
        <v>48</v>
      </c>
      <c r="E925" s="6" t="n">
        <v>193288</v>
      </c>
      <c r="F925" s="6" t="n">
        <v>189931</v>
      </c>
      <c r="G925" s="6" t="n">
        <v>115000</v>
      </c>
      <c r="H925" s="6" t="n">
        <v>112045</v>
      </c>
      <c r="I925" s="6" t="n">
        <v>27562</v>
      </c>
      <c r="J925" s="6" t="n">
        <v>27009</v>
      </c>
      <c r="K925" s="6" t="n">
        <v>6303</v>
      </c>
      <c r="L925" s="6" t="n">
        <v>7235</v>
      </c>
      <c r="M925" s="6" t="n">
        <v>1850</v>
      </c>
      <c r="N925" s="6" t="n">
        <v>1741</v>
      </c>
      <c r="O925" s="6" t="n">
        <v>5040</v>
      </c>
      <c r="P925" s="6" t="n">
        <v>5128</v>
      </c>
      <c r="Q925" s="6" t="n">
        <v>2475</v>
      </c>
      <c r="R925" s="6" t="n">
        <v>2503</v>
      </c>
      <c r="S925" s="6" t="n">
        <v>2229</v>
      </c>
      <c r="T925" s="6" t="n">
        <v>2574</v>
      </c>
      <c r="U925" s="6" t="n">
        <v>5359</v>
      </c>
      <c r="V925" s="6" t="n">
        <v>5349</v>
      </c>
    </row>
    <row r="926" customFormat="false" ht="15" hidden="false" customHeight="false" outlineLevel="0" collapsed="false">
      <c r="A926" s="5" t="s">
        <v>81</v>
      </c>
      <c r="B926" s="6" t="s">
        <v>73</v>
      </c>
      <c r="C926" s="5" t="s">
        <v>60</v>
      </c>
      <c r="D926" s="5" t="s">
        <v>61</v>
      </c>
      <c r="E926" s="6" t="n">
        <v>170309</v>
      </c>
      <c r="F926" s="6" t="n">
        <v>180833</v>
      </c>
      <c r="G926" s="6" t="n">
        <v>99866</v>
      </c>
      <c r="H926" s="6" t="n">
        <v>109294</v>
      </c>
      <c r="I926" s="6" t="n">
        <v>26040</v>
      </c>
      <c r="J926" s="6" t="n">
        <v>26829</v>
      </c>
      <c r="K926" s="6" t="n">
        <v>4158</v>
      </c>
      <c r="L926" s="6" t="n">
        <v>3710</v>
      </c>
      <c r="M926" s="6" t="n">
        <v>1999</v>
      </c>
      <c r="N926" s="6" t="n">
        <v>2166</v>
      </c>
      <c r="O926" s="6" t="n">
        <v>4125</v>
      </c>
      <c r="P926" s="6" t="n">
        <v>3913</v>
      </c>
      <c r="Q926" s="6" t="n">
        <v>2871</v>
      </c>
      <c r="R926" s="6" t="n">
        <v>2953</v>
      </c>
      <c r="S926" s="6" t="n">
        <v>1561</v>
      </c>
      <c r="T926" s="6" t="n">
        <v>1755</v>
      </c>
      <c r="U926" s="6" t="n">
        <v>4357</v>
      </c>
      <c r="V926" s="6" t="n">
        <v>4362</v>
      </c>
    </row>
    <row r="927" customFormat="false" ht="15" hidden="false" customHeight="false" outlineLevel="0" collapsed="false">
      <c r="A927" s="5" t="s">
        <v>81</v>
      </c>
      <c r="B927" s="6" t="s">
        <v>73</v>
      </c>
      <c r="C927" s="5" t="s">
        <v>62</v>
      </c>
      <c r="D927" s="5" t="s">
        <v>61</v>
      </c>
      <c r="E927" s="6" t="n">
        <v>174354</v>
      </c>
      <c r="F927" s="6" t="n">
        <v>182723</v>
      </c>
      <c r="G927" s="6" t="n">
        <v>99687</v>
      </c>
      <c r="H927" s="6" t="n">
        <v>107049</v>
      </c>
      <c r="I927" s="6" t="n">
        <v>27762</v>
      </c>
      <c r="J927" s="6" t="n">
        <v>29316</v>
      </c>
      <c r="K927" s="6" t="n">
        <v>3677</v>
      </c>
      <c r="L927" s="6" t="n">
        <v>3159</v>
      </c>
      <c r="M927" s="6" t="n">
        <v>2375</v>
      </c>
      <c r="N927" s="6" t="n">
        <v>2409</v>
      </c>
      <c r="O927" s="6" t="n">
        <v>3771</v>
      </c>
      <c r="P927" s="6" t="n">
        <v>4042</v>
      </c>
      <c r="Q927" s="6" t="n">
        <v>2886</v>
      </c>
      <c r="R927" s="6" t="n">
        <v>3001</v>
      </c>
      <c r="S927" s="6" t="n">
        <v>1071</v>
      </c>
      <c r="T927" s="6" t="n">
        <v>1239</v>
      </c>
      <c r="U927" s="6" t="n">
        <v>3708</v>
      </c>
      <c r="V927" s="6" t="n">
        <v>3807</v>
      </c>
    </row>
    <row r="928" customFormat="false" ht="15" hidden="false" customHeight="false" outlineLevel="0" collapsed="false">
      <c r="A928" s="5" t="s">
        <v>81</v>
      </c>
      <c r="B928" s="6" t="s">
        <v>73</v>
      </c>
      <c r="C928" s="5" t="s">
        <v>63</v>
      </c>
      <c r="D928" s="5" t="s">
        <v>61</v>
      </c>
      <c r="E928" s="6" t="n">
        <v>189218</v>
      </c>
      <c r="F928" s="6" t="n">
        <v>180941</v>
      </c>
      <c r="G928" s="6" t="n">
        <v>110851</v>
      </c>
      <c r="H928" s="6" t="n">
        <v>105627</v>
      </c>
      <c r="I928" s="6" t="n">
        <v>31311</v>
      </c>
      <c r="J928" s="6" t="n">
        <v>32545</v>
      </c>
      <c r="K928" s="6" t="n">
        <v>5423</v>
      </c>
      <c r="L928" s="6" t="n">
        <v>5962</v>
      </c>
      <c r="M928" s="6" t="n">
        <v>1761</v>
      </c>
      <c r="N928" s="6" t="n">
        <v>1422</v>
      </c>
      <c r="O928" s="6" t="n">
        <v>5256</v>
      </c>
      <c r="P928" s="6" t="n">
        <v>5359</v>
      </c>
      <c r="Q928" s="6" t="n">
        <v>2279</v>
      </c>
      <c r="R928" s="6" t="n">
        <v>2380</v>
      </c>
      <c r="S928" s="6" t="n">
        <v>2154</v>
      </c>
      <c r="T928" s="6" t="n">
        <v>2200</v>
      </c>
      <c r="U928" s="6" t="n">
        <v>4048</v>
      </c>
      <c r="V928" s="6" t="n">
        <v>3944</v>
      </c>
    </row>
    <row r="929" customFormat="false" ht="15" hidden="false" customHeight="false" outlineLevel="0" collapsed="false">
      <c r="A929" s="5" t="s">
        <v>81</v>
      </c>
      <c r="B929" s="6" t="s">
        <v>73</v>
      </c>
      <c r="C929" s="5" t="s">
        <v>64</v>
      </c>
      <c r="D929" s="5" t="s">
        <v>61</v>
      </c>
      <c r="E929" s="6" t="n">
        <v>177983</v>
      </c>
      <c r="F929" s="6" t="n">
        <v>181565</v>
      </c>
      <c r="G929" s="6" t="n">
        <v>99468</v>
      </c>
      <c r="H929" s="6" t="n">
        <v>106529</v>
      </c>
      <c r="I929" s="6" t="n">
        <v>27377</v>
      </c>
      <c r="J929" s="6" t="n">
        <v>27932</v>
      </c>
      <c r="K929" s="6" t="n">
        <v>5445</v>
      </c>
      <c r="L929" s="6" t="n">
        <v>5724</v>
      </c>
      <c r="M929" s="6" t="n">
        <v>1596</v>
      </c>
      <c r="N929" s="6" t="n">
        <v>1514</v>
      </c>
      <c r="O929" s="6" t="n">
        <v>4275</v>
      </c>
      <c r="P929" s="6" t="n">
        <v>4536</v>
      </c>
      <c r="Q929" s="6" t="n">
        <v>2273</v>
      </c>
      <c r="R929" s="6" t="n">
        <v>2312</v>
      </c>
      <c r="S929" s="6" t="n">
        <v>1959</v>
      </c>
      <c r="T929" s="6" t="n">
        <v>2215</v>
      </c>
      <c r="U929" s="6" t="n">
        <v>4059</v>
      </c>
      <c r="V929" s="6" t="n">
        <v>4085</v>
      </c>
    </row>
    <row r="930" customFormat="false" ht="15" hidden="false" customHeight="false" outlineLevel="0" collapsed="false">
      <c r="A930" s="5" t="s">
        <v>81</v>
      </c>
      <c r="B930" s="6" t="s">
        <v>73</v>
      </c>
      <c r="C930" s="5" t="s">
        <v>65</v>
      </c>
      <c r="D930" s="5" t="s">
        <v>61</v>
      </c>
      <c r="E930" s="6" t="n">
        <v>192817</v>
      </c>
      <c r="F930" s="6" t="n">
        <v>183148</v>
      </c>
      <c r="G930" s="6" t="n">
        <v>109162</v>
      </c>
      <c r="H930" s="6" t="n">
        <v>101646</v>
      </c>
      <c r="I930" s="6" t="n">
        <v>27809</v>
      </c>
      <c r="J930" s="6" t="n">
        <v>29859</v>
      </c>
      <c r="K930" s="6" t="n">
        <v>4823</v>
      </c>
      <c r="L930" s="6" t="n">
        <v>4950</v>
      </c>
      <c r="M930" s="6" t="n">
        <v>2149</v>
      </c>
      <c r="N930" s="6" t="n">
        <v>2591</v>
      </c>
      <c r="O930" s="6" t="n">
        <v>5171</v>
      </c>
      <c r="P930" s="6" t="n">
        <v>5608</v>
      </c>
      <c r="Q930" s="6" t="n">
        <v>2722</v>
      </c>
      <c r="R930" s="6" t="n">
        <v>2785</v>
      </c>
      <c r="S930" s="6" t="n">
        <v>1465</v>
      </c>
      <c r="T930" s="6" t="n">
        <v>1288</v>
      </c>
      <c r="U930" s="6" t="n">
        <v>5444</v>
      </c>
      <c r="V930" s="6" t="n">
        <v>5394</v>
      </c>
    </row>
    <row r="931" customFormat="false" ht="15" hidden="false" customHeight="false" outlineLevel="0" collapsed="false">
      <c r="A931" s="5" t="s">
        <v>81</v>
      </c>
      <c r="B931" s="6" t="s">
        <v>73</v>
      </c>
      <c r="C931" s="5" t="s">
        <v>66</v>
      </c>
      <c r="D931" s="5" t="s">
        <v>61</v>
      </c>
      <c r="E931" s="6" t="n">
        <v>192547</v>
      </c>
      <c r="F931" s="6" t="n">
        <v>192869</v>
      </c>
      <c r="G931" s="6" t="n">
        <v>113622</v>
      </c>
      <c r="H931" s="6" t="n">
        <v>113031</v>
      </c>
      <c r="I931" s="6" t="n">
        <v>31459</v>
      </c>
      <c r="J931" s="6" t="n">
        <v>30953</v>
      </c>
      <c r="K931" s="6" t="n">
        <v>6291</v>
      </c>
      <c r="L931" s="6" t="n">
        <v>5614</v>
      </c>
      <c r="M931" s="6" t="n">
        <v>2679</v>
      </c>
      <c r="N931" s="6" t="n">
        <v>2635</v>
      </c>
      <c r="O931" s="6" t="n">
        <v>5065</v>
      </c>
      <c r="P931" s="6" t="n">
        <v>5307</v>
      </c>
      <c r="Q931" s="6" t="n">
        <v>2338</v>
      </c>
      <c r="R931" s="6" t="n">
        <v>2393</v>
      </c>
      <c r="S931" s="6" t="n">
        <v>1228</v>
      </c>
      <c r="T931" s="6" t="n">
        <v>1277</v>
      </c>
      <c r="U931" s="6" t="n">
        <v>5633</v>
      </c>
      <c r="V931" s="6" t="n">
        <v>5768</v>
      </c>
    </row>
    <row r="932" customFormat="false" ht="15" hidden="false" customHeight="false" outlineLevel="0" collapsed="false">
      <c r="A932" s="5" t="s">
        <v>81</v>
      </c>
      <c r="B932" s="6" t="s">
        <v>73</v>
      </c>
      <c r="C932" s="5" t="s">
        <v>67</v>
      </c>
      <c r="D932" s="5" t="s">
        <v>61</v>
      </c>
      <c r="E932" s="6" t="n">
        <v>192687</v>
      </c>
      <c r="F932" s="6" t="n">
        <v>182802</v>
      </c>
      <c r="G932" s="6" t="n">
        <v>109362</v>
      </c>
      <c r="H932" s="6" t="n">
        <v>102026</v>
      </c>
      <c r="I932" s="6" t="n">
        <v>27762</v>
      </c>
      <c r="J932" s="6" t="n">
        <v>29518</v>
      </c>
      <c r="K932" s="6" t="n">
        <v>5212</v>
      </c>
      <c r="L932" s="6" t="n">
        <v>4708</v>
      </c>
      <c r="M932" s="6" t="n">
        <v>1761</v>
      </c>
      <c r="N932" s="6" t="n">
        <v>1902</v>
      </c>
      <c r="O932" s="6" t="n">
        <v>4101</v>
      </c>
      <c r="P932" s="6" t="n">
        <v>4305</v>
      </c>
      <c r="Q932" s="6" t="n">
        <v>3526</v>
      </c>
      <c r="R932" s="6" t="n">
        <v>3351</v>
      </c>
      <c r="S932" s="6" t="n">
        <v>1259</v>
      </c>
      <c r="T932" s="6" t="n">
        <v>1400</v>
      </c>
      <c r="U932" s="6" t="n">
        <v>5675</v>
      </c>
      <c r="V932" s="6" t="n">
        <v>5783</v>
      </c>
    </row>
    <row r="933" customFormat="false" ht="15" hidden="false" customHeight="false" outlineLevel="0" collapsed="false">
      <c r="A933" s="5" t="s">
        <v>81</v>
      </c>
      <c r="B933" s="6" t="s">
        <v>73</v>
      </c>
      <c r="C933" s="5" t="s">
        <v>68</v>
      </c>
      <c r="D933" s="5" t="s">
        <v>61</v>
      </c>
      <c r="E933" s="6" t="n">
        <v>185499</v>
      </c>
      <c r="F933" s="6" t="n">
        <v>181388</v>
      </c>
      <c r="G933" s="6" t="n">
        <v>108150</v>
      </c>
      <c r="H933" s="6" t="n">
        <v>104306</v>
      </c>
      <c r="I933" s="6" t="n">
        <v>26728</v>
      </c>
      <c r="J933" s="6" t="n">
        <v>27160</v>
      </c>
      <c r="K933" s="6" t="n">
        <v>4794</v>
      </c>
      <c r="L933" s="6" t="n">
        <v>5418</v>
      </c>
      <c r="M933" s="6" t="n">
        <v>2684</v>
      </c>
      <c r="N933" s="6" t="n">
        <v>3214</v>
      </c>
      <c r="O933" s="6" t="n">
        <v>4031</v>
      </c>
      <c r="P933" s="6" t="n">
        <v>4058</v>
      </c>
      <c r="Q933" s="6" t="n">
        <v>2313</v>
      </c>
      <c r="R933" s="6" t="n">
        <v>2279</v>
      </c>
      <c r="S933" s="6" t="n">
        <v>1739</v>
      </c>
      <c r="T933" s="6" t="n">
        <v>2120</v>
      </c>
      <c r="U933" s="6" t="n">
        <v>5470</v>
      </c>
      <c r="V933" s="6" t="n">
        <v>5336</v>
      </c>
    </row>
    <row r="934" customFormat="false" ht="15" hidden="false" customHeight="false" outlineLevel="0" collapsed="false">
      <c r="A934" s="5" t="s">
        <v>81</v>
      </c>
      <c r="B934" s="6" t="s">
        <v>73</v>
      </c>
      <c r="C934" s="5" t="s">
        <v>69</v>
      </c>
      <c r="D934" s="5" t="s">
        <v>61</v>
      </c>
      <c r="E934" s="6" t="n">
        <v>204183</v>
      </c>
      <c r="F934" s="6" t="n">
        <v>193178</v>
      </c>
      <c r="G934" s="6" t="n">
        <v>117737</v>
      </c>
      <c r="H934" s="6" t="n">
        <v>115678</v>
      </c>
      <c r="I934" s="6" t="n">
        <v>34012</v>
      </c>
      <c r="J934" s="6" t="n">
        <v>33400</v>
      </c>
      <c r="K934" s="6" t="n">
        <v>6584</v>
      </c>
      <c r="L934" s="6" t="n">
        <v>5767</v>
      </c>
      <c r="M934" s="6" t="n">
        <v>1899</v>
      </c>
      <c r="N934" s="6" t="n">
        <v>1596</v>
      </c>
      <c r="O934" s="6" t="n">
        <v>5472</v>
      </c>
      <c r="P934" s="6" t="n">
        <v>5767</v>
      </c>
      <c r="Q934" s="6" t="n">
        <v>2822</v>
      </c>
      <c r="R934" s="6" t="n">
        <v>2911</v>
      </c>
      <c r="S934" s="6" t="n">
        <v>2198</v>
      </c>
      <c r="T934" s="6" t="n">
        <v>1829</v>
      </c>
      <c r="U934" s="6" t="n">
        <v>5247</v>
      </c>
      <c r="V934" s="6" t="n">
        <v>5152</v>
      </c>
    </row>
    <row r="935" customFormat="false" ht="15" hidden="false" customHeight="false" outlineLevel="0" collapsed="false">
      <c r="A935" s="5" t="s">
        <v>81</v>
      </c>
      <c r="B935" s="6" t="s">
        <v>73</v>
      </c>
      <c r="C935" s="5" t="s">
        <v>70</v>
      </c>
      <c r="D935" s="5" t="s">
        <v>61</v>
      </c>
      <c r="E935" s="6" t="n">
        <v>171036</v>
      </c>
      <c r="F935" s="6" t="n">
        <v>180322</v>
      </c>
      <c r="G935" s="6" t="n">
        <v>96774</v>
      </c>
      <c r="H935" s="6" t="n">
        <v>101252</v>
      </c>
      <c r="I935" s="6" t="n">
        <v>24020</v>
      </c>
      <c r="J935" s="6" t="n">
        <v>25828</v>
      </c>
      <c r="K935" s="6" t="n">
        <v>4079</v>
      </c>
      <c r="L935" s="6" t="n">
        <v>4325</v>
      </c>
      <c r="M935" s="6" t="n">
        <v>2551</v>
      </c>
      <c r="N935" s="6" t="n">
        <v>2151</v>
      </c>
      <c r="O935" s="6" t="n">
        <v>3941</v>
      </c>
      <c r="P935" s="6" t="n">
        <v>4183</v>
      </c>
      <c r="Q935" s="6" t="n">
        <v>2821</v>
      </c>
      <c r="R935" s="6" t="n">
        <v>2772</v>
      </c>
      <c r="S935" s="6" t="n">
        <v>1327</v>
      </c>
      <c r="T935" s="6" t="n">
        <v>1707</v>
      </c>
      <c r="U935" s="6" t="n">
        <v>3662</v>
      </c>
      <c r="V935" s="6" t="n">
        <v>3677</v>
      </c>
    </row>
    <row r="936" customFormat="false" ht="15" hidden="false" customHeight="false" outlineLevel="0" collapsed="false">
      <c r="A936" s="5" t="s">
        <v>81</v>
      </c>
      <c r="B936" s="6" t="s">
        <v>73</v>
      </c>
      <c r="C936" s="5" t="s">
        <v>71</v>
      </c>
      <c r="D936" s="5" t="s">
        <v>61</v>
      </c>
      <c r="E936" s="6" t="n">
        <v>183019</v>
      </c>
      <c r="F936" s="6" t="n">
        <v>180997</v>
      </c>
      <c r="G936" s="6" t="n">
        <v>105123</v>
      </c>
      <c r="H936" s="6" t="n">
        <v>108172</v>
      </c>
      <c r="I936" s="6" t="n">
        <v>27885</v>
      </c>
      <c r="J936" s="6" t="n">
        <v>27452</v>
      </c>
      <c r="K936" s="6" t="n">
        <v>4366</v>
      </c>
      <c r="L936" s="6" t="n">
        <v>4964</v>
      </c>
      <c r="M936" s="6" t="n">
        <v>2445</v>
      </c>
      <c r="N936" s="6" t="n">
        <v>2461</v>
      </c>
      <c r="O936" s="6" t="n">
        <v>4635</v>
      </c>
      <c r="P936" s="6" t="n">
        <v>5065</v>
      </c>
      <c r="Q936" s="6" t="n">
        <v>3357</v>
      </c>
      <c r="R936" s="6" t="n">
        <v>3362</v>
      </c>
      <c r="S936" s="6" t="n">
        <v>1253</v>
      </c>
      <c r="T936" s="6" t="n">
        <v>1359</v>
      </c>
      <c r="U936" s="6" t="n">
        <v>5133</v>
      </c>
      <c r="V936" s="6" t="n">
        <v>5229</v>
      </c>
    </row>
    <row r="937" customFormat="false" ht="15" hidden="false" customHeight="false" outlineLevel="0" collapsed="false">
      <c r="A937" s="5" t="s">
        <v>81</v>
      </c>
      <c r="B937" s="6" t="s">
        <v>73</v>
      </c>
      <c r="C937" s="5" t="s">
        <v>72</v>
      </c>
      <c r="D937" s="5" t="s">
        <v>61</v>
      </c>
      <c r="E937" s="6" t="n">
        <v>198091</v>
      </c>
      <c r="F937" s="6" t="n">
        <v>188981</v>
      </c>
      <c r="G937" s="6" t="n">
        <v>115590</v>
      </c>
      <c r="H937" s="6" t="n">
        <v>107163</v>
      </c>
      <c r="I937" s="6" t="n">
        <v>29265</v>
      </c>
      <c r="J937" s="6" t="n">
        <v>28533</v>
      </c>
      <c r="K937" s="6" t="n">
        <v>5007</v>
      </c>
      <c r="L937" s="6" t="n">
        <v>5099</v>
      </c>
      <c r="M937" s="6" t="n">
        <v>2432</v>
      </c>
      <c r="N937" s="6" t="n">
        <v>2215</v>
      </c>
      <c r="O937" s="6" t="n">
        <v>3928</v>
      </c>
      <c r="P937" s="6" t="n">
        <v>3945</v>
      </c>
      <c r="Q937" s="6" t="n">
        <v>2847</v>
      </c>
      <c r="R937" s="6" t="n">
        <v>2981</v>
      </c>
      <c r="S937" s="6" t="n">
        <v>2120</v>
      </c>
      <c r="T937" s="6" t="n">
        <v>2622</v>
      </c>
      <c r="U937" s="6" t="n">
        <v>4829</v>
      </c>
      <c r="V937" s="6" t="n">
        <v>4836</v>
      </c>
    </row>
    <row r="938" customFormat="false" ht="15" hidden="false" customHeight="false" outlineLevel="0" collapsed="false">
      <c r="A938" s="5" t="s">
        <v>81</v>
      </c>
      <c r="B938" s="6" t="s">
        <v>74</v>
      </c>
      <c r="C938" s="5" t="s">
        <v>34</v>
      </c>
      <c r="D938" s="5" t="s">
        <v>35</v>
      </c>
      <c r="E938" s="6" t="n">
        <v>162306</v>
      </c>
      <c r="F938" s="6" t="n">
        <v>169392</v>
      </c>
      <c r="G938" s="6" t="n">
        <v>92806</v>
      </c>
      <c r="H938" s="6" t="n">
        <v>96905</v>
      </c>
      <c r="I938" s="6" t="n">
        <v>24052</v>
      </c>
      <c r="J938" s="6" t="n">
        <v>24774</v>
      </c>
      <c r="K938" s="6" t="n">
        <v>3341</v>
      </c>
      <c r="L938" s="6" t="n">
        <v>3270</v>
      </c>
      <c r="M938" s="6" t="n">
        <v>1519</v>
      </c>
      <c r="N938" s="6" t="n">
        <v>1631</v>
      </c>
      <c r="O938" s="6" t="n">
        <v>4528</v>
      </c>
      <c r="P938" s="6" t="n">
        <v>4978</v>
      </c>
      <c r="Q938" s="6" t="n">
        <v>3105</v>
      </c>
      <c r="R938" s="6" t="n">
        <v>3239</v>
      </c>
      <c r="S938" s="6" t="n">
        <v>1464</v>
      </c>
      <c r="T938" s="6" t="n">
        <v>1652</v>
      </c>
      <c r="U938" s="6" t="n">
        <v>4817</v>
      </c>
      <c r="V938" s="6" t="n">
        <v>4764</v>
      </c>
    </row>
    <row r="939" customFormat="false" ht="15" hidden="false" customHeight="false" outlineLevel="0" collapsed="false">
      <c r="A939" s="5" t="s">
        <v>81</v>
      </c>
      <c r="B939" s="6" t="s">
        <v>74</v>
      </c>
      <c r="C939" s="5" t="s">
        <v>36</v>
      </c>
      <c r="D939" s="5" t="s">
        <v>35</v>
      </c>
      <c r="E939" s="6" t="n">
        <v>177961</v>
      </c>
      <c r="F939" s="6" t="n">
        <v>169400</v>
      </c>
      <c r="G939" s="6" t="n">
        <v>104618</v>
      </c>
      <c r="H939" s="6" t="n">
        <v>101538</v>
      </c>
      <c r="I939" s="6" t="n">
        <v>29452</v>
      </c>
      <c r="J939" s="6" t="n">
        <v>29883</v>
      </c>
      <c r="K939" s="6" t="n">
        <v>3927</v>
      </c>
      <c r="L939" s="6" t="n">
        <v>3394</v>
      </c>
      <c r="M939" s="6" t="n">
        <v>1840</v>
      </c>
      <c r="N939" s="6" t="n">
        <v>1882</v>
      </c>
      <c r="O939" s="6" t="n">
        <v>3994</v>
      </c>
      <c r="P939" s="6" t="n">
        <v>3873</v>
      </c>
      <c r="Q939" s="6" t="n">
        <v>2207</v>
      </c>
      <c r="R939" s="6" t="n">
        <v>2176</v>
      </c>
      <c r="S939" s="6" t="n">
        <v>1730</v>
      </c>
      <c r="T939" s="6" t="n">
        <v>1750</v>
      </c>
      <c r="U939" s="6" t="n">
        <v>4207</v>
      </c>
      <c r="V939" s="6" t="n">
        <v>4181</v>
      </c>
    </row>
    <row r="940" customFormat="false" ht="15" hidden="false" customHeight="false" outlineLevel="0" collapsed="false">
      <c r="A940" s="5" t="s">
        <v>81</v>
      </c>
      <c r="B940" s="6" t="s">
        <v>74</v>
      </c>
      <c r="C940" s="5" t="s">
        <v>37</v>
      </c>
      <c r="D940" s="5" t="s">
        <v>35</v>
      </c>
      <c r="E940" s="6" t="n">
        <v>162814</v>
      </c>
      <c r="F940" s="6" t="n">
        <v>169257</v>
      </c>
      <c r="G940" s="6" t="n">
        <v>95975</v>
      </c>
      <c r="H940" s="6" t="n">
        <v>101416</v>
      </c>
      <c r="I940" s="6" t="n">
        <v>25436</v>
      </c>
      <c r="J940" s="6" t="n">
        <v>25605</v>
      </c>
      <c r="K940" s="6" t="n">
        <v>5126</v>
      </c>
      <c r="L940" s="6" t="n">
        <v>4522</v>
      </c>
      <c r="M940" s="6" t="n">
        <v>1865</v>
      </c>
      <c r="N940" s="6" t="n">
        <v>2145</v>
      </c>
      <c r="O940" s="6" t="n">
        <v>4120</v>
      </c>
      <c r="P940" s="6" t="n">
        <v>4284</v>
      </c>
      <c r="Q940" s="6" t="n">
        <v>2735</v>
      </c>
      <c r="R940" s="6" t="n">
        <v>2842</v>
      </c>
      <c r="S940" s="6" t="n">
        <v>1074</v>
      </c>
      <c r="T940" s="6" t="n">
        <v>913</v>
      </c>
      <c r="U940" s="6" t="n">
        <v>3419</v>
      </c>
      <c r="V940" s="6" t="n">
        <v>3476</v>
      </c>
    </row>
    <row r="941" customFormat="false" ht="15" hidden="false" customHeight="false" outlineLevel="0" collapsed="false">
      <c r="A941" s="5" t="s">
        <v>81</v>
      </c>
      <c r="B941" s="6" t="s">
        <v>74</v>
      </c>
      <c r="C941" s="5" t="s">
        <v>38</v>
      </c>
      <c r="D941" s="5" t="s">
        <v>35</v>
      </c>
      <c r="E941" s="6" t="n">
        <v>165680</v>
      </c>
      <c r="F941" s="6" t="n">
        <v>174149</v>
      </c>
      <c r="G941" s="6" t="n">
        <v>99272</v>
      </c>
      <c r="H941" s="6" t="n">
        <v>101029</v>
      </c>
      <c r="I941" s="6" t="n">
        <v>24828</v>
      </c>
      <c r="J941" s="6" t="n">
        <v>24889</v>
      </c>
      <c r="K941" s="6" t="n">
        <v>5656</v>
      </c>
      <c r="L941" s="6" t="n">
        <v>5965</v>
      </c>
      <c r="M941" s="6" t="n">
        <v>1388</v>
      </c>
      <c r="N941" s="6" t="n">
        <v>1598</v>
      </c>
      <c r="O941" s="6" t="n">
        <v>3261</v>
      </c>
      <c r="P941" s="6" t="n">
        <v>3014</v>
      </c>
      <c r="Q941" s="6" t="n">
        <v>2939</v>
      </c>
      <c r="R941" s="6" t="n">
        <v>2901</v>
      </c>
      <c r="S941" s="6" t="n">
        <v>1227</v>
      </c>
      <c r="T941" s="6" t="n">
        <v>1583</v>
      </c>
      <c r="U941" s="6" t="n">
        <v>4858</v>
      </c>
      <c r="V941" s="6" t="n">
        <v>4916</v>
      </c>
    </row>
    <row r="942" customFormat="false" ht="15" hidden="false" customHeight="false" outlineLevel="0" collapsed="false">
      <c r="A942" s="5" t="s">
        <v>81</v>
      </c>
      <c r="B942" s="6" t="s">
        <v>74</v>
      </c>
      <c r="C942" s="5" t="s">
        <v>39</v>
      </c>
      <c r="D942" s="5" t="s">
        <v>35</v>
      </c>
      <c r="E942" s="6" t="n">
        <v>166430</v>
      </c>
      <c r="F942" s="6" t="n">
        <v>173138</v>
      </c>
      <c r="G942" s="6" t="n">
        <v>89879</v>
      </c>
      <c r="H942" s="6" t="n">
        <v>90754</v>
      </c>
      <c r="I942" s="6" t="n">
        <v>23975</v>
      </c>
      <c r="J942" s="6" t="n">
        <v>24410</v>
      </c>
      <c r="K942" s="6" t="n">
        <v>4112</v>
      </c>
      <c r="L942" s="6" t="n">
        <v>4475</v>
      </c>
      <c r="M942" s="6" t="n">
        <v>1991</v>
      </c>
      <c r="N942" s="6" t="n">
        <v>2461</v>
      </c>
      <c r="O942" s="6" t="n">
        <v>3095</v>
      </c>
      <c r="P942" s="6" t="n">
        <v>2935</v>
      </c>
      <c r="Q942" s="6" t="n">
        <v>2553</v>
      </c>
      <c r="R942" s="6" t="n">
        <v>2633</v>
      </c>
      <c r="S942" s="6" t="n">
        <v>1916</v>
      </c>
      <c r="T942" s="6" t="n">
        <v>1624</v>
      </c>
      <c r="U942" s="6" t="n">
        <v>3513</v>
      </c>
      <c r="V942" s="6" t="n">
        <v>3453</v>
      </c>
    </row>
    <row r="943" customFormat="false" ht="15" hidden="false" customHeight="false" outlineLevel="0" collapsed="false">
      <c r="A943" s="5" t="s">
        <v>81</v>
      </c>
      <c r="B943" s="6" t="s">
        <v>74</v>
      </c>
      <c r="C943" s="5" t="s">
        <v>40</v>
      </c>
      <c r="D943" s="5" t="s">
        <v>35</v>
      </c>
      <c r="E943" s="6" t="n">
        <v>179288</v>
      </c>
      <c r="F943" s="6" t="n">
        <v>186376</v>
      </c>
      <c r="G943" s="6" t="n">
        <v>106266</v>
      </c>
      <c r="H943" s="6" t="n">
        <v>115747</v>
      </c>
      <c r="I943" s="6" t="n">
        <v>28622</v>
      </c>
      <c r="J943" s="6" t="n">
        <v>29924</v>
      </c>
      <c r="K943" s="6" t="n">
        <v>4284</v>
      </c>
      <c r="L943" s="6" t="n">
        <v>4456</v>
      </c>
      <c r="M943" s="6" t="n">
        <v>2209</v>
      </c>
      <c r="N943" s="6" t="n">
        <v>1803</v>
      </c>
      <c r="O943" s="6" t="n">
        <v>3734</v>
      </c>
      <c r="P943" s="6" t="n">
        <v>4078</v>
      </c>
      <c r="Q943" s="6" t="n">
        <v>2858</v>
      </c>
      <c r="R943" s="6" t="n">
        <v>2934</v>
      </c>
      <c r="S943" s="6" t="n">
        <v>1833</v>
      </c>
      <c r="T943" s="6" t="n">
        <v>2395</v>
      </c>
      <c r="U943" s="6" t="n">
        <v>4417</v>
      </c>
      <c r="V943" s="6" t="n">
        <v>4430</v>
      </c>
    </row>
    <row r="944" customFormat="false" ht="15" hidden="false" customHeight="false" outlineLevel="0" collapsed="false">
      <c r="A944" s="5" t="s">
        <v>81</v>
      </c>
      <c r="B944" s="6" t="s">
        <v>74</v>
      </c>
      <c r="C944" s="5" t="s">
        <v>41</v>
      </c>
      <c r="D944" s="5" t="s">
        <v>35</v>
      </c>
      <c r="E944" s="6" t="n">
        <v>186155</v>
      </c>
      <c r="F944" s="6" t="n">
        <v>181615</v>
      </c>
      <c r="G944" s="6" t="n">
        <v>107112</v>
      </c>
      <c r="H944" s="6" t="n">
        <v>104193</v>
      </c>
      <c r="I944" s="6" t="n">
        <v>26218</v>
      </c>
      <c r="J944" s="6" t="n">
        <v>26097</v>
      </c>
      <c r="K944" s="6" t="n">
        <v>5820</v>
      </c>
      <c r="L944" s="6" t="n">
        <v>5062</v>
      </c>
      <c r="M944" s="6" t="n">
        <v>1502</v>
      </c>
      <c r="N944" s="6" t="n">
        <v>1496</v>
      </c>
      <c r="O944" s="6" t="n">
        <v>5133</v>
      </c>
      <c r="P944" s="6" t="n">
        <v>5297</v>
      </c>
      <c r="Q944" s="6" t="n">
        <v>3678</v>
      </c>
      <c r="R944" s="6" t="n">
        <v>3778</v>
      </c>
      <c r="S944" s="6" t="n">
        <v>1131</v>
      </c>
      <c r="T944" s="6" t="n">
        <v>1373</v>
      </c>
      <c r="U944" s="6" t="n">
        <v>4801</v>
      </c>
      <c r="V944" s="6" t="n">
        <v>4658</v>
      </c>
    </row>
    <row r="945" customFormat="false" ht="15" hidden="false" customHeight="false" outlineLevel="0" collapsed="false">
      <c r="A945" s="5" t="s">
        <v>81</v>
      </c>
      <c r="B945" s="6" t="s">
        <v>74</v>
      </c>
      <c r="C945" s="5" t="s">
        <v>42</v>
      </c>
      <c r="D945" s="5" t="s">
        <v>35</v>
      </c>
      <c r="E945" s="6" t="n">
        <v>192093</v>
      </c>
      <c r="F945" s="6" t="n">
        <v>182507</v>
      </c>
      <c r="G945" s="6" t="n">
        <v>113853</v>
      </c>
      <c r="H945" s="6" t="n">
        <v>108431</v>
      </c>
      <c r="I945" s="6" t="n">
        <v>29812</v>
      </c>
      <c r="J945" s="6" t="n">
        <v>31209</v>
      </c>
      <c r="K945" s="6" t="n">
        <v>6033</v>
      </c>
      <c r="L945" s="6" t="n">
        <v>5245</v>
      </c>
      <c r="M945" s="6" t="n">
        <v>2267</v>
      </c>
      <c r="N945" s="6" t="n">
        <v>2524</v>
      </c>
      <c r="O945" s="6" t="n">
        <v>5205</v>
      </c>
      <c r="P945" s="6" t="n">
        <v>5684</v>
      </c>
      <c r="Q945" s="6" t="n">
        <v>3827</v>
      </c>
      <c r="R945" s="6" t="n">
        <v>3765</v>
      </c>
      <c r="S945" s="6" t="n">
        <v>1862</v>
      </c>
      <c r="T945" s="6" t="n">
        <v>2486</v>
      </c>
      <c r="U945" s="6" t="n">
        <v>5686</v>
      </c>
      <c r="V945" s="6" t="n">
        <v>5638</v>
      </c>
    </row>
    <row r="946" customFormat="false" ht="15" hidden="false" customHeight="false" outlineLevel="0" collapsed="false">
      <c r="A946" s="5" t="s">
        <v>81</v>
      </c>
      <c r="B946" s="6" t="s">
        <v>74</v>
      </c>
      <c r="C946" s="5" t="s">
        <v>43</v>
      </c>
      <c r="D946" s="5" t="s">
        <v>35</v>
      </c>
      <c r="E946" s="6" t="n">
        <v>190723</v>
      </c>
      <c r="F946" s="6" t="n">
        <v>196777</v>
      </c>
      <c r="G946" s="6" t="n">
        <v>107268</v>
      </c>
      <c r="H946" s="6" t="n">
        <v>112317</v>
      </c>
      <c r="I946" s="6" t="n">
        <v>27539</v>
      </c>
      <c r="J946" s="6" t="n">
        <v>27807</v>
      </c>
      <c r="K946" s="6" t="n">
        <v>4017</v>
      </c>
      <c r="L946" s="6" t="n">
        <v>3486</v>
      </c>
      <c r="M946" s="6" t="n">
        <v>2812</v>
      </c>
      <c r="N946" s="6" t="n">
        <v>3050</v>
      </c>
      <c r="O946" s="6" t="n">
        <v>4535</v>
      </c>
      <c r="P946" s="6" t="n">
        <v>4698</v>
      </c>
      <c r="Q946" s="6" t="n">
        <v>2896</v>
      </c>
      <c r="R946" s="6" t="n">
        <v>2875</v>
      </c>
      <c r="S946" s="6" t="n">
        <v>2190</v>
      </c>
      <c r="T946" s="6" t="n">
        <v>2835</v>
      </c>
      <c r="U946" s="6" t="n">
        <v>3927</v>
      </c>
      <c r="V946" s="6" t="n">
        <v>3938</v>
      </c>
    </row>
    <row r="947" customFormat="false" ht="15" hidden="false" customHeight="false" outlineLevel="0" collapsed="false">
      <c r="A947" s="5" t="s">
        <v>81</v>
      </c>
      <c r="B947" s="6" t="s">
        <v>74</v>
      </c>
      <c r="C947" s="5" t="s">
        <v>44</v>
      </c>
      <c r="D947" s="5" t="s">
        <v>35</v>
      </c>
      <c r="E947" s="6" t="n">
        <v>189627</v>
      </c>
      <c r="F947" s="6" t="n">
        <v>190140</v>
      </c>
      <c r="G947" s="6" t="n">
        <v>102900</v>
      </c>
      <c r="H947" s="6" t="n">
        <v>105987</v>
      </c>
      <c r="I947" s="6" t="n">
        <v>27922</v>
      </c>
      <c r="J947" s="6" t="n">
        <v>28555</v>
      </c>
      <c r="K947" s="6" t="n">
        <v>4552</v>
      </c>
      <c r="L947" s="6" t="n">
        <v>4798</v>
      </c>
      <c r="M947" s="6" t="n">
        <v>2468</v>
      </c>
      <c r="N947" s="6" t="n">
        <v>3155</v>
      </c>
      <c r="O947" s="6" t="n">
        <v>4669</v>
      </c>
      <c r="P947" s="6" t="n">
        <v>4775</v>
      </c>
      <c r="Q947" s="6" t="n">
        <v>2714</v>
      </c>
      <c r="R947" s="6" t="n">
        <v>2736</v>
      </c>
      <c r="S947" s="6" t="n">
        <v>2234</v>
      </c>
      <c r="T947" s="6" t="n">
        <v>2290</v>
      </c>
      <c r="U947" s="6" t="n">
        <v>4219</v>
      </c>
      <c r="V947" s="6" t="n">
        <v>4093</v>
      </c>
    </row>
    <row r="948" customFormat="false" ht="15" hidden="false" customHeight="false" outlineLevel="0" collapsed="false">
      <c r="A948" s="5" t="s">
        <v>81</v>
      </c>
      <c r="B948" s="6" t="s">
        <v>74</v>
      </c>
      <c r="C948" s="5" t="s">
        <v>45</v>
      </c>
      <c r="D948" s="5" t="s">
        <v>35</v>
      </c>
      <c r="E948" s="6" t="n">
        <v>189334</v>
      </c>
      <c r="F948" s="6" t="n">
        <v>192171</v>
      </c>
      <c r="G948" s="6" t="n">
        <v>111874</v>
      </c>
      <c r="H948" s="6" t="n">
        <v>111218</v>
      </c>
      <c r="I948" s="6" t="n">
        <v>28370</v>
      </c>
      <c r="J948" s="6" t="n">
        <v>28199</v>
      </c>
      <c r="K948" s="6" t="n">
        <v>5584</v>
      </c>
      <c r="L948" s="6" t="n">
        <v>6134</v>
      </c>
      <c r="M948" s="6" t="n">
        <v>1611</v>
      </c>
      <c r="N948" s="6" t="n">
        <v>1460</v>
      </c>
      <c r="O948" s="6" t="n">
        <v>4127</v>
      </c>
      <c r="P948" s="6" t="n">
        <v>3986</v>
      </c>
      <c r="Q948" s="6" t="n">
        <v>3633</v>
      </c>
      <c r="R948" s="6" t="n">
        <v>3518</v>
      </c>
      <c r="S948" s="6" t="n">
        <v>1256</v>
      </c>
      <c r="T948" s="6" t="n">
        <v>1410</v>
      </c>
      <c r="U948" s="6" t="n">
        <v>4135</v>
      </c>
      <c r="V948" s="6" t="n">
        <v>4026</v>
      </c>
    </row>
    <row r="949" customFormat="false" ht="15" hidden="false" customHeight="false" outlineLevel="0" collapsed="false">
      <c r="A949" s="5" t="s">
        <v>81</v>
      </c>
      <c r="B949" s="6" t="s">
        <v>74</v>
      </c>
      <c r="C949" s="5" t="s">
        <v>46</v>
      </c>
      <c r="D949" s="5" t="s">
        <v>35</v>
      </c>
      <c r="E949" s="6" t="n">
        <v>213356</v>
      </c>
      <c r="F949" s="6" t="n">
        <v>202494</v>
      </c>
      <c r="G949" s="6" t="n">
        <v>124205</v>
      </c>
      <c r="H949" s="6" t="n">
        <v>115345</v>
      </c>
      <c r="I949" s="6" t="n">
        <v>34922</v>
      </c>
      <c r="J949" s="6" t="n">
        <v>35056</v>
      </c>
      <c r="K949" s="6" t="n">
        <v>7007</v>
      </c>
      <c r="L949" s="6" t="n">
        <v>6103</v>
      </c>
      <c r="M949" s="6" t="n">
        <v>2808</v>
      </c>
      <c r="N949" s="6" t="n">
        <v>2291</v>
      </c>
      <c r="O949" s="6" t="n">
        <v>3925</v>
      </c>
      <c r="P949" s="6" t="n">
        <v>4243</v>
      </c>
      <c r="Q949" s="6" t="n">
        <v>3280</v>
      </c>
      <c r="R949" s="6" t="n">
        <v>3338</v>
      </c>
      <c r="S949" s="6" t="n">
        <v>1736</v>
      </c>
      <c r="T949" s="6" t="n">
        <v>1395</v>
      </c>
      <c r="U949" s="6" t="n">
        <v>5898</v>
      </c>
      <c r="V949" s="6" t="n">
        <v>5913</v>
      </c>
    </row>
    <row r="950" customFormat="false" ht="15" hidden="false" customHeight="false" outlineLevel="0" collapsed="false">
      <c r="A950" s="5" t="s">
        <v>81</v>
      </c>
      <c r="B950" s="6" t="s">
        <v>74</v>
      </c>
      <c r="C950" s="5" t="s">
        <v>47</v>
      </c>
      <c r="D950" s="5" t="s">
        <v>48</v>
      </c>
      <c r="E950" s="6" t="n">
        <v>197436</v>
      </c>
      <c r="F950" s="6" t="n">
        <v>197189</v>
      </c>
      <c r="G950" s="6" t="n">
        <v>109494</v>
      </c>
      <c r="H950" s="6" t="n">
        <v>106906</v>
      </c>
      <c r="I950" s="6" t="n">
        <v>32989</v>
      </c>
      <c r="J950" s="6" t="n">
        <v>32320</v>
      </c>
      <c r="K950" s="6" t="n">
        <v>5111</v>
      </c>
      <c r="L950" s="6" t="n">
        <v>4682</v>
      </c>
      <c r="M950" s="6" t="n">
        <v>1768</v>
      </c>
      <c r="N950" s="6" t="n">
        <v>2234</v>
      </c>
      <c r="O950" s="6" t="n">
        <v>4110</v>
      </c>
      <c r="P950" s="6" t="n">
        <v>4283</v>
      </c>
      <c r="Q950" s="6" t="n">
        <v>3882</v>
      </c>
      <c r="R950" s="6" t="n">
        <v>4046</v>
      </c>
      <c r="S950" s="6" t="n">
        <v>1725</v>
      </c>
      <c r="T950" s="6" t="n">
        <v>2161</v>
      </c>
      <c r="U950" s="6" t="n">
        <v>5915</v>
      </c>
      <c r="V950" s="6" t="n">
        <v>5935</v>
      </c>
    </row>
    <row r="951" customFormat="false" ht="15" hidden="false" customHeight="false" outlineLevel="0" collapsed="false">
      <c r="A951" s="5" t="s">
        <v>81</v>
      </c>
      <c r="B951" s="6" t="s">
        <v>74</v>
      </c>
      <c r="C951" s="5" t="s">
        <v>49</v>
      </c>
      <c r="D951" s="5" t="s">
        <v>48</v>
      </c>
      <c r="E951" s="6" t="n">
        <v>202021</v>
      </c>
      <c r="F951" s="6" t="n">
        <v>203212</v>
      </c>
      <c r="G951" s="6" t="n">
        <v>119482</v>
      </c>
      <c r="H951" s="6" t="n">
        <v>124867</v>
      </c>
      <c r="I951" s="6" t="n">
        <v>28815</v>
      </c>
      <c r="J951" s="6" t="n">
        <v>29831</v>
      </c>
      <c r="K951" s="6" t="n">
        <v>5839</v>
      </c>
      <c r="L951" s="6" t="n">
        <v>5705</v>
      </c>
      <c r="M951" s="6" t="n">
        <v>1853</v>
      </c>
      <c r="N951" s="6" t="n">
        <v>1525</v>
      </c>
      <c r="O951" s="6" t="n">
        <v>5562</v>
      </c>
      <c r="P951" s="6" t="n">
        <v>5358</v>
      </c>
      <c r="Q951" s="6" t="n">
        <v>3509</v>
      </c>
      <c r="R951" s="6" t="n">
        <v>3643</v>
      </c>
      <c r="S951" s="6" t="n">
        <v>2179</v>
      </c>
      <c r="T951" s="6" t="n">
        <v>2900</v>
      </c>
      <c r="U951" s="6" t="n">
        <v>4326</v>
      </c>
      <c r="V951" s="6" t="n">
        <v>4292</v>
      </c>
    </row>
    <row r="952" customFormat="false" ht="15" hidden="false" customHeight="false" outlineLevel="0" collapsed="false">
      <c r="A952" s="5" t="s">
        <v>81</v>
      </c>
      <c r="B952" s="6" t="s">
        <v>74</v>
      </c>
      <c r="C952" s="5" t="s">
        <v>50</v>
      </c>
      <c r="D952" s="5" t="s">
        <v>48</v>
      </c>
      <c r="E952" s="6" t="n">
        <v>195208</v>
      </c>
      <c r="F952" s="6" t="n">
        <v>205627</v>
      </c>
      <c r="G952" s="6" t="n">
        <v>110823</v>
      </c>
      <c r="H952" s="6" t="n">
        <v>117389</v>
      </c>
      <c r="I952" s="6" t="n">
        <v>27474</v>
      </c>
      <c r="J952" s="6" t="n">
        <v>28450</v>
      </c>
      <c r="K952" s="6" t="n">
        <v>3907</v>
      </c>
      <c r="L952" s="6" t="n">
        <v>3842</v>
      </c>
      <c r="M952" s="6" t="n">
        <v>1686</v>
      </c>
      <c r="N952" s="6" t="n">
        <v>1639</v>
      </c>
      <c r="O952" s="6" t="n">
        <v>3830</v>
      </c>
      <c r="P952" s="6" t="n">
        <v>4016</v>
      </c>
      <c r="Q952" s="6" t="n">
        <v>3203</v>
      </c>
      <c r="R952" s="6" t="n">
        <v>3101</v>
      </c>
      <c r="S952" s="6" t="n">
        <v>1677</v>
      </c>
      <c r="T952" s="6" t="n">
        <v>2305</v>
      </c>
      <c r="U952" s="6" t="n">
        <v>4097</v>
      </c>
      <c r="V952" s="6" t="n">
        <v>4170</v>
      </c>
    </row>
    <row r="953" customFormat="false" ht="15" hidden="false" customHeight="false" outlineLevel="0" collapsed="false">
      <c r="A953" s="5" t="s">
        <v>81</v>
      </c>
      <c r="B953" s="6" t="s">
        <v>74</v>
      </c>
      <c r="C953" s="5" t="s">
        <v>51</v>
      </c>
      <c r="D953" s="5" t="s">
        <v>48</v>
      </c>
      <c r="E953" s="6" t="n">
        <v>201491</v>
      </c>
      <c r="F953" s="6" t="n">
        <v>209775</v>
      </c>
      <c r="G953" s="6" t="n">
        <v>113068</v>
      </c>
      <c r="H953" s="6" t="n">
        <v>123069</v>
      </c>
      <c r="I953" s="6" t="n">
        <v>32958</v>
      </c>
      <c r="J953" s="6" t="n">
        <v>33863</v>
      </c>
      <c r="K953" s="6" t="n">
        <v>6780</v>
      </c>
      <c r="L953" s="6" t="n">
        <v>7233</v>
      </c>
      <c r="M953" s="6" t="n">
        <v>2580</v>
      </c>
      <c r="N953" s="6" t="n">
        <v>2794</v>
      </c>
      <c r="O953" s="6" t="n">
        <v>4501</v>
      </c>
      <c r="P953" s="6" t="n">
        <v>4767</v>
      </c>
      <c r="Q953" s="6" t="n">
        <v>3229</v>
      </c>
      <c r="R953" s="6" t="n">
        <v>3136</v>
      </c>
      <c r="S953" s="6" t="n">
        <v>1658</v>
      </c>
      <c r="T953" s="6" t="n">
        <v>1874</v>
      </c>
      <c r="U953" s="6" t="n">
        <v>4194</v>
      </c>
      <c r="V953" s="6" t="n">
        <v>4216</v>
      </c>
    </row>
    <row r="954" customFormat="false" ht="15" hidden="false" customHeight="false" outlineLevel="0" collapsed="false">
      <c r="A954" s="5" t="s">
        <v>81</v>
      </c>
      <c r="B954" s="6" t="s">
        <v>74</v>
      </c>
      <c r="C954" s="5" t="s">
        <v>52</v>
      </c>
      <c r="D954" s="5" t="s">
        <v>48</v>
      </c>
      <c r="E954" s="6" t="n">
        <v>216812</v>
      </c>
      <c r="F954" s="6" t="n">
        <v>210506</v>
      </c>
      <c r="G954" s="6" t="n">
        <v>126058</v>
      </c>
      <c r="H954" s="6" t="n">
        <v>123133</v>
      </c>
      <c r="I954" s="6" t="n">
        <v>34933</v>
      </c>
      <c r="J954" s="6" t="n">
        <v>34247</v>
      </c>
      <c r="K954" s="6" t="n">
        <v>6144</v>
      </c>
      <c r="L954" s="6" t="n">
        <v>5304</v>
      </c>
      <c r="M954" s="6" t="n">
        <v>1811</v>
      </c>
      <c r="N954" s="6" t="n">
        <v>2347</v>
      </c>
      <c r="O954" s="6" t="n">
        <v>4639</v>
      </c>
      <c r="P954" s="6" t="n">
        <v>4465</v>
      </c>
      <c r="Q954" s="6" t="n">
        <v>3530</v>
      </c>
      <c r="R954" s="6" t="n">
        <v>3639</v>
      </c>
      <c r="S954" s="6" t="n">
        <v>2086</v>
      </c>
      <c r="T954" s="6" t="n">
        <v>1939</v>
      </c>
      <c r="U954" s="6" t="n">
        <v>5523</v>
      </c>
      <c r="V954" s="6" t="n">
        <v>5482</v>
      </c>
    </row>
    <row r="955" customFormat="false" ht="15" hidden="false" customHeight="false" outlineLevel="0" collapsed="false">
      <c r="A955" s="5" t="s">
        <v>81</v>
      </c>
      <c r="B955" s="6" t="s">
        <v>74</v>
      </c>
      <c r="C955" s="5" t="s">
        <v>53</v>
      </c>
      <c r="D955" s="5" t="s">
        <v>48</v>
      </c>
      <c r="E955" s="6" t="n">
        <v>228840</v>
      </c>
      <c r="F955" s="6" t="n">
        <v>228606</v>
      </c>
      <c r="G955" s="6" t="n">
        <v>131563</v>
      </c>
      <c r="H955" s="6" t="n">
        <v>137135</v>
      </c>
      <c r="I955" s="6" t="n">
        <v>37555</v>
      </c>
      <c r="J955" s="6" t="n">
        <v>37569</v>
      </c>
      <c r="K955" s="6" t="n">
        <v>7877</v>
      </c>
      <c r="L955" s="6" t="n">
        <v>7430</v>
      </c>
      <c r="M955" s="6" t="n">
        <v>1916</v>
      </c>
      <c r="N955" s="6" t="n">
        <v>1625</v>
      </c>
      <c r="O955" s="6" t="n">
        <v>5295</v>
      </c>
      <c r="P955" s="6" t="n">
        <v>5032</v>
      </c>
      <c r="Q955" s="6" t="n">
        <v>4126</v>
      </c>
      <c r="R955" s="6" t="n">
        <v>3987</v>
      </c>
      <c r="S955" s="6" t="n">
        <v>1447</v>
      </c>
      <c r="T955" s="6" t="n">
        <v>1636</v>
      </c>
      <c r="U955" s="6" t="n">
        <v>5984</v>
      </c>
      <c r="V955" s="6" t="n">
        <v>5997</v>
      </c>
    </row>
    <row r="956" customFormat="false" ht="15" hidden="false" customHeight="false" outlineLevel="0" collapsed="false">
      <c r="A956" s="5" t="s">
        <v>81</v>
      </c>
      <c r="B956" s="6" t="s">
        <v>74</v>
      </c>
      <c r="C956" s="5" t="s">
        <v>54</v>
      </c>
      <c r="D956" s="5" t="s">
        <v>48</v>
      </c>
      <c r="E956" s="6" t="n">
        <v>229036</v>
      </c>
      <c r="F956" s="6" t="n">
        <v>220091</v>
      </c>
      <c r="G956" s="6" t="n">
        <v>126821</v>
      </c>
      <c r="H956" s="6" t="n">
        <v>124757</v>
      </c>
      <c r="I956" s="6" t="n">
        <v>33133</v>
      </c>
      <c r="J956" s="6" t="n">
        <v>33057</v>
      </c>
      <c r="K956" s="6" t="n">
        <v>5534</v>
      </c>
      <c r="L956" s="6" t="n">
        <v>5513</v>
      </c>
      <c r="M956" s="6" t="n">
        <v>2279</v>
      </c>
      <c r="N956" s="6" t="n">
        <v>2064</v>
      </c>
      <c r="O956" s="6" t="n">
        <v>4424</v>
      </c>
      <c r="P956" s="6" t="n">
        <v>4667</v>
      </c>
      <c r="Q956" s="6" t="n">
        <v>3710</v>
      </c>
      <c r="R956" s="6" t="n">
        <v>3565</v>
      </c>
      <c r="S956" s="6" t="n">
        <v>1953</v>
      </c>
      <c r="T956" s="6" t="n">
        <v>2680</v>
      </c>
      <c r="U956" s="6" t="n">
        <v>5405</v>
      </c>
      <c r="V956" s="6" t="n">
        <v>5438</v>
      </c>
    </row>
    <row r="957" customFormat="false" ht="15" hidden="false" customHeight="false" outlineLevel="0" collapsed="false">
      <c r="A957" s="5" t="s">
        <v>81</v>
      </c>
      <c r="B957" s="6" t="s">
        <v>74</v>
      </c>
      <c r="C957" s="5" t="s">
        <v>55</v>
      </c>
      <c r="D957" s="5" t="s">
        <v>48</v>
      </c>
      <c r="E957" s="6" t="n">
        <v>206900</v>
      </c>
      <c r="F957" s="6" t="n">
        <v>219820</v>
      </c>
      <c r="G957" s="6" t="n">
        <v>113297</v>
      </c>
      <c r="H957" s="6" t="n">
        <v>122870</v>
      </c>
      <c r="I957" s="6" t="n">
        <v>29047</v>
      </c>
      <c r="J957" s="6" t="n">
        <v>28291</v>
      </c>
      <c r="K957" s="6" t="n">
        <v>4783</v>
      </c>
      <c r="L957" s="6" t="n">
        <v>4138</v>
      </c>
      <c r="M957" s="6" t="n">
        <v>3012</v>
      </c>
      <c r="N957" s="6" t="n">
        <v>3458</v>
      </c>
      <c r="O957" s="6" t="n">
        <v>4177</v>
      </c>
      <c r="P957" s="6" t="n">
        <v>3941</v>
      </c>
      <c r="Q957" s="6" t="n">
        <v>3669</v>
      </c>
      <c r="R957" s="6" t="n">
        <v>3668</v>
      </c>
      <c r="S957" s="6" t="n">
        <v>2297</v>
      </c>
      <c r="T957" s="6" t="n">
        <v>2013</v>
      </c>
      <c r="U957" s="6" t="n">
        <v>5950</v>
      </c>
      <c r="V957" s="6" t="n">
        <v>5859</v>
      </c>
    </row>
    <row r="958" customFormat="false" ht="15" hidden="false" customHeight="false" outlineLevel="0" collapsed="false">
      <c r="A958" s="5" t="s">
        <v>81</v>
      </c>
      <c r="B958" s="6" t="s">
        <v>74</v>
      </c>
      <c r="C958" s="5" t="s">
        <v>56</v>
      </c>
      <c r="D958" s="5" t="s">
        <v>48</v>
      </c>
      <c r="E958" s="6" t="n">
        <v>223592</v>
      </c>
      <c r="F958" s="6" t="n">
        <v>236612</v>
      </c>
      <c r="G958" s="6" t="n">
        <v>131161</v>
      </c>
      <c r="H958" s="6" t="n">
        <v>135612</v>
      </c>
      <c r="I958" s="6" t="n">
        <v>31930</v>
      </c>
      <c r="J958" s="6" t="n">
        <v>32150</v>
      </c>
      <c r="K958" s="6" t="n">
        <v>4630</v>
      </c>
      <c r="L958" s="6" t="n">
        <v>4288</v>
      </c>
      <c r="M958" s="6" t="n">
        <v>2097</v>
      </c>
      <c r="N958" s="6" t="n">
        <v>2393</v>
      </c>
      <c r="O958" s="6" t="n">
        <v>5869</v>
      </c>
      <c r="P958" s="6" t="n">
        <v>5763</v>
      </c>
      <c r="Q958" s="6" t="n">
        <v>4102</v>
      </c>
      <c r="R958" s="6" t="n">
        <v>3992</v>
      </c>
      <c r="S958" s="6" t="n">
        <v>2453</v>
      </c>
      <c r="T958" s="6" t="n">
        <v>2635</v>
      </c>
      <c r="U958" s="6" t="n">
        <v>5268</v>
      </c>
      <c r="V958" s="6" t="n">
        <v>5395</v>
      </c>
    </row>
    <row r="959" customFormat="false" ht="15" hidden="false" customHeight="false" outlineLevel="0" collapsed="false">
      <c r="A959" s="5" t="s">
        <v>81</v>
      </c>
      <c r="B959" s="6" t="s">
        <v>74</v>
      </c>
      <c r="C959" s="5" t="s">
        <v>57</v>
      </c>
      <c r="D959" s="5" t="s">
        <v>48</v>
      </c>
      <c r="E959" s="6" t="n">
        <v>223997</v>
      </c>
      <c r="F959" s="6" t="n">
        <v>223000</v>
      </c>
      <c r="G959" s="6" t="n">
        <v>122733</v>
      </c>
      <c r="H959" s="6" t="n">
        <v>118518</v>
      </c>
      <c r="I959" s="6" t="n">
        <v>31514</v>
      </c>
      <c r="J959" s="6" t="n">
        <v>31130</v>
      </c>
      <c r="K959" s="6" t="n">
        <v>6490</v>
      </c>
      <c r="L959" s="6" t="n">
        <v>6326</v>
      </c>
      <c r="M959" s="6" t="n">
        <v>3177</v>
      </c>
      <c r="N959" s="6" t="n">
        <v>3631</v>
      </c>
      <c r="O959" s="6" t="n">
        <v>5695</v>
      </c>
      <c r="P959" s="6" t="n">
        <v>5721</v>
      </c>
      <c r="Q959" s="6" t="n">
        <v>3366</v>
      </c>
      <c r="R959" s="6" t="n">
        <v>3402</v>
      </c>
      <c r="S959" s="6" t="n">
        <v>2501</v>
      </c>
      <c r="T959" s="6" t="n">
        <v>2240</v>
      </c>
      <c r="U959" s="6" t="n">
        <v>6158</v>
      </c>
      <c r="V959" s="6" t="n">
        <v>6169</v>
      </c>
    </row>
    <row r="960" customFormat="false" ht="15" hidden="false" customHeight="false" outlineLevel="0" collapsed="false">
      <c r="A960" s="5" t="s">
        <v>81</v>
      </c>
      <c r="B960" s="6" t="s">
        <v>74</v>
      </c>
      <c r="C960" s="5" t="s">
        <v>58</v>
      </c>
      <c r="D960" s="5" t="s">
        <v>48</v>
      </c>
      <c r="E960" s="6" t="n">
        <v>229629</v>
      </c>
      <c r="F960" s="6" t="n">
        <v>222031</v>
      </c>
      <c r="G960" s="6" t="n">
        <v>127632</v>
      </c>
      <c r="H960" s="6" t="n">
        <v>128318</v>
      </c>
      <c r="I960" s="6" t="n">
        <v>37259</v>
      </c>
      <c r="J960" s="6" t="n">
        <v>39507</v>
      </c>
      <c r="K960" s="6" t="n">
        <v>4823</v>
      </c>
      <c r="L960" s="6" t="n">
        <v>4660</v>
      </c>
      <c r="M960" s="6" t="n">
        <v>2098</v>
      </c>
      <c r="N960" s="6" t="n">
        <v>2274</v>
      </c>
      <c r="O960" s="6" t="n">
        <v>5974</v>
      </c>
      <c r="P960" s="6" t="n">
        <v>5714</v>
      </c>
      <c r="Q960" s="6" t="n">
        <v>2973</v>
      </c>
      <c r="R960" s="6" t="n">
        <v>2969</v>
      </c>
      <c r="S960" s="6" t="n">
        <v>2068</v>
      </c>
      <c r="T960" s="6" t="n">
        <v>2110</v>
      </c>
      <c r="U960" s="6" t="n">
        <v>5872</v>
      </c>
      <c r="V960" s="6" t="n">
        <v>5826</v>
      </c>
    </row>
    <row r="961" customFormat="false" ht="15" hidden="false" customHeight="false" outlineLevel="0" collapsed="false">
      <c r="A961" s="5" t="s">
        <v>81</v>
      </c>
      <c r="B961" s="6" t="s">
        <v>74</v>
      </c>
      <c r="C961" s="5" t="s">
        <v>59</v>
      </c>
      <c r="D961" s="5" t="s">
        <v>48</v>
      </c>
      <c r="E961" s="6" t="n">
        <v>250001</v>
      </c>
      <c r="F961" s="6" t="n">
        <v>240161</v>
      </c>
      <c r="G961" s="6" t="n">
        <v>148612</v>
      </c>
      <c r="H961" s="6" t="n">
        <v>143489</v>
      </c>
      <c r="I961" s="6" t="n">
        <v>40649</v>
      </c>
      <c r="J961" s="6" t="n">
        <v>43413</v>
      </c>
      <c r="K961" s="6" t="n">
        <v>6437</v>
      </c>
      <c r="L961" s="6" t="n">
        <v>6824</v>
      </c>
      <c r="M961" s="6" t="n">
        <v>3627</v>
      </c>
      <c r="N961" s="6" t="n">
        <v>3054</v>
      </c>
      <c r="O961" s="6" t="n">
        <v>5780</v>
      </c>
      <c r="P961" s="6" t="n">
        <v>5727</v>
      </c>
      <c r="Q961" s="6" t="n">
        <v>3723</v>
      </c>
      <c r="R961" s="6" t="n">
        <v>3650</v>
      </c>
      <c r="S961" s="6" t="n">
        <v>1930</v>
      </c>
      <c r="T961" s="6" t="n">
        <v>2428</v>
      </c>
      <c r="U961" s="6" t="n">
        <v>5637</v>
      </c>
      <c r="V961" s="6" t="n">
        <v>5690</v>
      </c>
    </row>
    <row r="962" customFormat="false" ht="15" hidden="false" customHeight="false" outlineLevel="0" collapsed="false">
      <c r="A962" s="5" t="s">
        <v>81</v>
      </c>
      <c r="B962" s="6" t="s">
        <v>74</v>
      </c>
      <c r="C962" s="5" t="s">
        <v>60</v>
      </c>
      <c r="D962" s="5" t="s">
        <v>61</v>
      </c>
      <c r="E962" s="6" t="n">
        <v>227633</v>
      </c>
      <c r="F962" s="6" t="n">
        <v>229520</v>
      </c>
      <c r="G962" s="6" t="n">
        <v>136302</v>
      </c>
      <c r="H962" s="6" t="n">
        <v>140701</v>
      </c>
      <c r="I962" s="6" t="n">
        <v>35998</v>
      </c>
      <c r="J962" s="6" t="n">
        <v>35665</v>
      </c>
      <c r="K962" s="6" t="n">
        <v>5320</v>
      </c>
      <c r="L962" s="6" t="n">
        <v>5187</v>
      </c>
      <c r="M962" s="6" t="n">
        <v>1835</v>
      </c>
      <c r="N962" s="6" t="n">
        <v>2062</v>
      </c>
      <c r="O962" s="6" t="n">
        <v>4955</v>
      </c>
      <c r="P962" s="6" t="n">
        <v>4963</v>
      </c>
      <c r="Q962" s="6" t="n">
        <v>2967</v>
      </c>
      <c r="R962" s="6" t="n">
        <v>2869</v>
      </c>
      <c r="S962" s="6" t="n">
        <v>1550</v>
      </c>
      <c r="T962" s="6" t="n">
        <v>2060</v>
      </c>
      <c r="U962" s="6" t="n">
        <v>4820</v>
      </c>
      <c r="V962" s="6" t="n">
        <v>4761</v>
      </c>
    </row>
    <row r="963" customFormat="false" ht="15" hidden="false" customHeight="false" outlineLevel="0" collapsed="false">
      <c r="A963" s="5" t="s">
        <v>81</v>
      </c>
      <c r="B963" s="6" t="s">
        <v>74</v>
      </c>
      <c r="C963" s="5" t="s">
        <v>62</v>
      </c>
      <c r="D963" s="5" t="s">
        <v>61</v>
      </c>
      <c r="E963" s="6" t="n">
        <v>220994</v>
      </c>
      <c r="F963" s="6" t="n">
        <v>228779</v>
      </c>
      <c r="G963" s="6" t="n">
        <v>124786</v>
      </c>
      <c r="H963" s="6" t="n">
        <v>126178</v>
      </c>
      <c r="I963" s="6" t="n">
        <v>36434</v>
      </c>
      <c r="J963" s="6" t="n">
        <v>36718</v>
      </c>
      <c r="K963" s="6" t="n">
        <v>6590</v>
      </c>
      <c r="L963" s="6" t="n">
        <v>6976</v>
      </c>
      <c r="M963" s="6" t="n">
        <v>2180</v>
      </c>
      <c r="N963" s="6" t="n">
        <v>1909</v>
      </c>
      <c r="O963" s="6" t="n">
        <v>5479</v>
      </c>
      <c r="P963" s="6" t="n">
        <v>5879</v>
      </c>
      <c r="Q963" s="6" t="n">
        <v>3777</v>
      </c>
      <c r="R963" s="6" t="n">
        <v>3949</v>
      </c>
      <c r="S963" s="6" t="n">
        <v>2034</v>
      </c>
      <c r="T963" s="6" t="n">
        <v>2229</v>
      </c>
      <c r="U963" s="6" t="n">
        <v>6600</v>
      </c>
      <c r="V963" s="6" t="n">
        <v>6778</v>
      </c>
    </row>
    <row r="964" customFormat="false" ht="15" hidden="false" customHeight="false" outlineLevel="0" collapsed="false">
      <c r="A964" s="5" t="s">
        <v>81</v>
      </c>
      <c r="B964" s="6" t="s">
        <v>74</v>
      </c>
      <c r="C964" s="5" t="s">
        <v>63</v>
      </c>
      <c r="D964" s="5" t="s">
        <v>61</v>
      </c>
      <c r="E964" s="6" t="n">
        <v>239086</v>
      </c>
      <c r="F964" s="6" t="n">
        <v>232396</v>
      </c>
      <c r="G964" s="6" t="n">
        <v>142452</v>
      </c>
      <c r="H964" s="6" t="n">
        <v>135532</v>
      </c>
      <c r="I964" s="6" t="n">
        <v>35194</v>
      </c>
      <c r="J964" s="6" t="n">
        <v>35343</v>
      </c>
      <c r="K964" s="6" t="n">
        <v>7725</v>
      </c>
      <c r="L964" s="6" t="n">
        <v>6762</v>
      </c>
      <c r="M964" s="6" t="n">
        <v>2918</v>
      </c>
      <c r="N964" s="6" t="n">
        <v>3330</v>
      </c>
      <c r="O964" s="6" t="n">
        <v>4934</v>
      </c>
      <c r="P964" s="6" t="n">
        <v>4718</v>
      </c>
      <c r="Q964" s="6" t="n">
        <v>3517</v>
      </c>
      <c r="R964" s="6" t="n">
        <v>3425</v>
      </c>
      <c r="S964" s="6" t="n">
        <v>1627</v>
      </c>
      <c r="T964" s="6" t="n">
        <v>2244</v>
      </c>
      <c r="U964" s="6" t="n">
        <v>7147</v>
      </c>
      <c r="V964" s="6" t="n">
        <v>7339</v>
      </c>
    </row>
    <row r="965" customFormat="false" ht="15" hidden="false" customHeight="false" outlineLevel="0" collapsed="false">
      <c r="A965" s="5" t="s">
        <v>81</v>
      </c>
      <c r="B965" s="6" t="s">
        <v>74</v>
      </c>
      <c r="C965" s="5" t="s">
        <v>64</v>
      </c>
      <c r="D965" s="5" t="s">
        <v>61</v>
      </c>
      <c r="E965" s="6" t="n">
        <v>230418</v>
      </c>
      <c r="F965" s="6" t="n">
        <v>239420</v>
      </c>
      <c r="G965" s="6" t="n">
        <v>129481</v>
      </c>
      <c r="H965" s="6" t="n">
        <v>130440</v>
      </c>
      <c r="I965" s="6" t="n">
        <v>35933</v>
      </c>
      <c r="J965" s="6" t="n">
        <v>35744</v>
      </c>
      <c r="K965" s="6" t="n">
        <v>5510</v>
      </c>
      <c r="L965" s="6" t="n">
        <v>5018</v>
      </c>
      <c r="M965" s="6" t="n">
        <v>3158</v>
      </c>
      <c r="N965" s="6" t="n">
        <v>3804</v>
      </c>
      <c r="O965" s="6" t="n">
        <v>4703</v>
      </c>
      <c r="P965" s="6" t="n">
        <v>4393</v>
      </c>
      <c r="Q965" s="6" t="n">
        <v>4303</v>
      </c>
      <c r="R965" s="6" t="n">
        <v>4453</v>
      </c>
      <c r="S965" s="6" t="n">
        <v>2114</v>
      </c>
      <c r="T965" s="6" t="n">
        <v>2206</v>
      </c>
      <c r="U965" s="6" t="n">
        <v>5470</v>
      </c>
      <c r="V965" s="6" t="n">
        <v>5542</v>
      </c>
    </row>
    <row r="966" customFormat="false" ht="15" hidden="false" customHeight="false" outlineLevel="0" collapsed="false">
      <c r="A966" s="5" t="s">
        <v>81</v>
      </c>
      <c r="B966" s="6" t="s">
        <v>74</v>
      </c>
      <c r="C966" s="5" t="s">
        <v>65</v>
      </c>
      <c r="D966" s="5" t="s">
        <v>61</v>
      </c>
      <c r="E966" s="6" t="n">
        <v>239849</v>
      </c>
      <c r="F966" s="6" t="n">
        <v>240805</v>
      </c>
      <c r="G966" s="6" t="n">
        <v>139992</v>
      </c>
      <c r="H966" s="6" t="n">
        <v>146764</v>
      </c>
      <c r="I966" s="6" t="n">
        <v>37635</v>
      </c>
      <c r="J966" s="6" t="n">
        <v>37618</v>
      </c>
      <c r="K966" s="6" t="n">
        <v>5987</v>
      </c>
      <c r="L966" s="6" t="n">
        <v>5904</v>
      </c>
      <c r="M966" s="6" t="n">
        <v>2904</v>
      </c>
      <c r="N966" s="6" t="n">
        <v>3623</v>
      </c>
      <c r="O966" s="6" t="n">
        <v>6230</v>
      </c>
      <c r="P966" s="6" t="n">
        <v>6032</v>
      </c>
      <c r="Q966" s="6" t="n">
        <v>4360</v>
      </c>
      <c r="R966" s="6" t="n">
        <v>4535</v>
      </c>
      <c r="S966" s="6" t="n">
        <v>2354</v>
      </c>
      <c r="T966" s="6" t="n">
        <v>3221</v>
      </c>
      <c r="U966" s="6" t="n">
        <v>5662</v>
      </c>
      <c r="V966" s="6" t="n">
        <v>5574</v>
      </c>
    </row>
    <row r="967" customFormat="false" ht="15" hidden="false" customHeight="false" outlineLevel="0" collapsed="false">
      <c r="A967" s="5" t="s">
        <v>81</v>
      </c>
      <c r="B967" s="6" t="s">
        <v>74</v>
      </c>
      <c r="C967" s="5" t="s">
        <v>66</v>
      </c>
      <c r="D967" s="5" t="s">
        <v>61</v>
      </c>
      <c r="E967" s="6" t="n">
        <v>254778</v>
      </c>
      <c r="F967" s="6" t="n">
        <v>255631</v>
      </c>
      <c r="G967" s="6" t="n">
        <v>150685</v>
      </c>
      <c r="H967" s="6" t="n">
        <v>151100</v>
      </c>
      <c r="I967" s="6" t="n">
        <v>42786</v>
      </c>
      <c r="J967" s="6" t="n">
        <v>44301</v>
      </c>
      <c r="K967" s="6" t="n">
        <v>7017</v>
      </c>
      <c r="L967" s="6" t="n">
        <v>7990</v>
      </c>
      <c r="M967" s="6" t="n">
        <v>2152</v>
      </c>
      <c r="N967" s="6" t="n">
        <v>1946</v>
      </c>
      <c r="O967" s="6" t="n">
        <v>5300</v>
      </c>
      <c r="P967" s="6" t="n">
        <v>4951</v>
      </c>
      <c r="Q967" s="6" t="n">
        <v>3757</v>
      </c>
      <c r="R967" s="6" t="n">
        <v>3708</v>
      </c>
      <c r="S967" s="6" t="n">
        <v>2347</v>
      </c>
      <c r="T967" s="6" t="n">
        <v>3157</v>
      </c>
      <c r="U967" s="6" t="n">
        <v>6555</v>
      </c>
      <c r="V967" s="6" t="n">
        <v>6722</v>
      </c>
    </row>
    <row r="968" customFormat="false" ht="15" hidden="false" customHeight="false" outlineLevel="0" collapsed="false">
      <c r="A968" s="5" t="s">
        <v>81</v>
      </c>
      <c r="B968" s="6" t="s">
        <v>74</v>
      </c>
      <c r="C968" s="5" t="s">
        <v>67</v>
      </c>
      <c r="D968" s="5" t="s">
        <v>61</v>
      </c>
      <c r="E968" s="6" t="n">
        <v>261632</v>
      </c>
      <c r="F968" s="6" t="n">
        <v>249162</v>
      </c>
      <c r="G968" s="6" t="n">
        <v>146090</v>
      </c>
      <c r="H968" s="6" t="n">
        <v>135235</v>
      </c>
      <c r="I968" s="6" t="n">
        <v>39310</v>
      </c>
      <c r="J968" s="6" t="n">
        <v>41419</v>
      </c>
      <c r="K968" s="6" t="n">
        <v>7571</v>
      </c>
      <c r="L968" s="6" t="n">
        <v>7169</v>
      </c>
      <c r="M968" s="6" t="n">
        <v>3815</v>
      </c>
      <c r="N968" s="6" t="n">
        <v>4150</v>
      </c>
      <c r="O968" s="6" t="n">
        <v>5748</v>
      </c>
      <c r="P968" s="6" t="n">
        <v>6162</v>
      </c>
      <c r="Q968" s="6" t="n">
        <v>3520</v>
      </c>
      <c r="R968" s="6" t="n">
        <v>3644</v>
      </c>
      <c r="S968" s="6" t="n">
        <v>1946</v>
      </c>
      <c r="T968" s="6" t="n">
        <v>2086</v>
      </c>
      <c r="U968" s="6" t="n">
        <v>7799</v>
      </c>
      <c r="V968" s="6" t="n">
        <v>7629</v>
      </c>
    </row>
    <row r="969" customFormat="false" ht="15" hidden="false" customHeight="false" outlineLevel="0" collapsed="false">
      <c r="A969" s="5" t="s">
        <v>81</v>
      </c>
      <c r="B969" s="6" t="s">
        <v>74</v>
      </c>
      <c r="C969" s="5" t="s">
        <v>68</v>
      </c>
      <c r="D969" s="5" t="s">
        <v>61</v>
      </c>
      <c r="E969" s="6" t="n">
        <v>257122</v>
      </c>
      <c r="F969" s="6" t="n">
        <v>250585</v>
      </c>
      <c r="G969" s="6" t="n">
        <v>154077</v>
      </c>
      <c r="H969" s="6" t="n">
        <v>148477</v>
      </c>
      <c r="I969" s="6" t="n">
        <v>38965</v>
      </c>
      <c r="J969" s="6" t="n">
        <v>41796</v>
      </c>
      <c r="K969" s="6" t="n">
        <v>6245</v>
      </c>
      <c r="L969" s="6" t="n">
        <v>7177</v>
      </c>
      <c r="M969" s="6" t="n">
        <v>3773</v>
      </c>
      <c r="N969" s="6" t="n">
        <v>4246</v>
      </c>
      <c r="O969" s="6" t="n">
        <v>6129</v>
      </c>
      <c r="P969" s="6" t="n">
        <v>5912</v>
      </c>
      <c r="Q969" s="6" t="n">
        <v>4931</v>
      </c>
      <c r="R969" s="6" t="n">
        <v>5148</v>
      </c>
      <c r="S969" s="6" t="n">
        <v>2802</v>
      </c>
      <c r="T969" s="6" t="n">
        <v>2748</v>
      </c>
      <c r="U969" s="6" t="n">
        <v>5957</v>
      </c>
      <c r="V969" s="6" t="n">
        <v>5889</v>
      </c>
    </row>
    <row r="970" customFormat="false" ht="15" hidden="false" customHeight="false" outlineLevel="0" collapsed="false">
      <c r="A970" s="5" t="s">
        <v>81</v>
      </c>
      <c r="B970" s="6" t="s">
        <v>74</v>
      </c>
      <c r="C970" s="5" t="s">
        <v>69</v>
      </c>
      <c r="D970" s="5" t="s">
        <v>61</v>
      </c>
      <c r="E970" s="6" t="n">
        <v>255356</v>
      </c>
      <c r="F970" s="6" t="n">
        <v>269733</v>
      </c>
      <c r="G970" s="6" t="n">
        <v>146573</v>
      </c>
      <c r="H970" s="6" t="n">
        <v>152398</v>
      </c>
      <c r="I970" s="6" t="n">
        <v>41651</v>
      </c>
      <c r="J970" s="6" t="n">
        <v>41437</v>
      </c>
      <c r="K970" s="6" t="n">
        <v>8788</v>
      </c>
      <c r="L970" s="6" t="n">
        <v>9264</v>
      </c>
      <c r="M970" s="6" t="n">
        <v>2075</v>
      </c>
      <c r="N970" s="6" t="n">
        <v>2214</v>
      </c>
      <c r="O970" s="6" t="n">
        <v>6349</v>
      </c>
      <c r="P970" s="6" t="n">
        <v>5980</v>
      </c>
      <c r="Q970" s="6" t="n">
        <v>4985</v>
      </c>
      <c r="R970" s="6" t="n">
        <v>5145</v>
      </c>
      <c r="S970" s="6" t="n">
        <v>2941</v>
      </c>
      <c r="T970" s="6" t="n">
        <v>2604</v>
      </c>
      <c r="U970" s="6" t="n">
        <v>5414</v>
      </c>
      <c r="V970" s="6" t="n">
        <v>5371</v>
      </c>
    </row>
    <row r="971" customFormat="false" ht="15" hidden="false" customHeight="false" outlineLevel="0" collapsed="false">
      <c r="A971" s="5" t="s">
        <v>81</v>
      </c>
      <c r="B971" s="6" t="s">
        <v>74</v>
      </c>
      <c r="C971" s="5" t="s">
        <v>70</v>
      </c>
      <c r="D971" s="5" t="s">
        <v>61</v>
      </c>
      <c r="E971" s="6" t="n">
        <v>246234</v>
      </c>
      <c r="F971" s="6" t="n">
        <v>258898</v>
      </c>
      <c r="G971" s="6" t="n">
        <v>146744</v>
      </c>
      <c r="H971" s="6" t="n">
        <v>152748</v>
      </c>
      <c r="I971" s="6" t="n">
        <v>35628</v>
      </c>
      <c r="J971" s="6" t="n">
        <v>35981</v>
      </c>
      <c r="K971" s="6" t="n">
        <v>8505</v>
      </c>
      <c r="L971" s="6" t="n">
        <v>7942</v>
      </c>
      <c r="M971" s="6" t="n">
        <v>3515</v>
      </c>
      <c r="N971" s="6" t="n">
        <v>3573</v>
      </c>
      <c r="O971" s="6" t="n">
        <v>6663</v>
      </c>
      <c r="P971" s="6" t="n">
        <v>7086</v>
      </c>
      <c r="Q971" s="6" t="n">
        <v>3467</v>
      </c>
      <c r="R971" s="6" t="n">
        <v>3586</v>
      </c>
      <c r="S971" s="6" t="n">
        <v>2438</v>
      </c>
      <c r="T971" s="6" t="n">
        <v>2943</v>
      </c>
      <c r="U971" s="6" t="n">
        <v>5044</v>
      </c>
      <c r="V971" s="6" t="n">
        <v>5043</v>
      </c>
    </row>
    <row r="972" customFormat="false" ht="15" hidden="false" customHeight="false" outlineLevel="0" collapsed="false">
      <c r="A972" s="5" t="s">
        <v>81</v>
      </c>
      <c r="B972" s="6" t="s">
        <v>74</v>
      </c>
      <c r="C972" s="5" t="s">
        <v>71</v>
      </c>
      <c r="D972" s="5" t="s">
        <v>61</v>
      </c>
      <c r="E972" s="6" t="n">
        <v>252627</v>
      </c>
      <c r="F972" s="6" t="n">
        <v>263254</v>
      </c>
      <c r="G972" s="6" t="n">
        <v>146242</v>
      </c>
      <c r="H972" s="6" t="n">
        <v>157868</v>
      </c>
      <c r="I972" s="6" t="n">
        <v>35560</v>
      </c>
      <c r="J972" s="6" t="n">
        <v>36563</v>
      </c>
      <c r="K972" s="6" t="n">
        <v>8071</v>
      </c>
      <c r="L972" s="6" t="n">
        <v>8980</v>
      </c>
      <c r="M972" s="6" t="n">
        <v>3472</v>
      </c>
      <c r="N972" s="6" t="n">
        <v>3164</v>
      </c>
      <c r="O972" s="6" t="n">
        <v>5671</v>
      </c>
      <c r="P972" s="6" t="n">
        <v>5680</v>
      </c>
      <c r="Q972" s="6" t="n">
        <v>4198</v>
      </c>
      <c r="R972" s="6" t="n">
        <v>4156</v>
      </c>
      <c r="S972" s="6" t="n">
        <v>2007</v>
      </c>
      <c r="T972" s="6" t="n">
        <v>1832</v>
      </c>
      <c r="U972" s="6" t="n">
        <v>6235</v>
      </c>
      <c r="V972" s="6" t="n">
        <v>6090</v>
      </c>
    </row>
    <row r="973" customFormat="false" ht="15" hidden="false" customHeight="false" outlineLevel="0" collapsed="false">
      <c r="A973" s="5" t="s">
        <v>81</v>
      </c>
      <c r="B973" s="6" t="s">
        <v>74</v>
      </c>
      <c r="C973" s="5" t="s">
        <v>72</v>
      </c>
      <c r="D973" s="5" t="s">
        <v>61</v>
      </c>
      <c r="E973" s="6" t="n">
        <v>290526</v>
      </c>
      <c r="F973" s="6" t="n">
        <v>285534</v>
      </c>
      <c r="G973" s="6" t="n">
        <v>157697</v>
      </c>
      <c r="H973" s="6" t="n">
        <v>160173</v>
      </c>
      <c r="I973" s="6" t="n">
        <v>46777</v>
      </c>
      <c r="J973" s="6" t="n">
        <v>49569</v>
      </c>
      <c r="K973" s="6" t="n">
        <v>9356</v>
      </c>
      <c r="L973" s="6" t="n">
        <v>10570</v>
      </c>
      <c r="M973" s="6" t="n">
        <v>2452</v>
      </c>
      <c r="N973" s="6" t="n">
        <v>3099</v>
      </c>
      <c r="O973" s="6" t="n">
        <v>6297</v>
      </c>
      <c r="P973" s="6" t="n">
        <v>6529</v>
      </c>
      <c r="Q973" s="6" t="n">
        <v>5016</v>
      </c>
      <c r="R973" s="6" t="n">
        <v>4788</v>
      </c>
      <c r="S973" s="6" t="n">
        <v>1787</v>
      </c>
      <c r="T973" s="6" t="n">
        <v>1593</v>
      </c>
      <c r="U973" s="6" t="n">
        <v>8298</v>
      </c>
      <c r="V973" s="6" t="n">
        <v>8138</v>
      </c>
    </row>
    <row r="974" customFormat="false" ht="15" hidden="false" customHeight="false" outlineLevel="0" collapsed="false">
      <c r="A974" s="5" t="s">
        <v>81</v>
      </c>
      <c r="B974" s="6" t="s">
        <v>75</v>
      </c>
      <c r="C974" s="5" t="s">
        <v>34</v>
      </c>
      <c r="D974" s="5" t="s">
        <v>35</v>
      </c>
      <c r="E974" s="6" t="n">
        <v>91507</v>
      </c>
      <c r="F974" s="6" t="n">
        <v>89756</v>
      </c>
      <c r="G974" s="6" t="n">
        <v>54604</v>
      </c>
      <c r="H974" s="6" t="n">
        <v>52302</v>
      </c>
      <c r="I974" s="6" t="n">
        <v>12884</v>
      </c>
      <c r="J974" s="6" t="n">
        <v>12924</v>
      </c>
      <c r="K974" s="6" t="n">
        <v>3158</v>
      </c>
      <c r="L974" s="6" t="n">
        <v>3340</v>
      </c>
      <c r="M974" s="6" t="n">
        <v>811</v>
      </c>
      <c r="N974" s="6" t="n">
        <v>1021</v>
      </c>
      <c r="O974" s="6" t="n">
        <v>2345</v>
      </c>
      <c r="P974" s="6" t="n">
        <v>2381</v>
      </c>
      <c r="Q974" s="6" t="n">
        <v>1557</v>
      </c>
      <c r="R974" s="6" t="n">
        <v>1493</v>
      </c>
      <c r="S974" s="6" t="n">
        <v>1094</v>
      </c>
      <c r="T974" s="6" t="n">
        <v>1471</v>
      </c>
      <c r="U974" s="6" t="n">
        <v>2012</v>
      </c>
      <c r="V974" s="6" t="n">
        <v>1976</v>
      </c>
    </row>
    <row r="975" customFormat="false" ht="15" hidden="false" customHeight="false" outlineLevel="0" collapsed="false">
      <c r="A975" s="5" t="s">
        <v>81</v>
      </c>
      <c r="B975" s="6" t="s">
        <v>75</v>
      </c>
      <c r="C975" s="5" t="s">
        <v>36</v>
      </c>
      <c r="D975" s="5" t="s">
        <v>35</v>
      </c>
      <c r="E975" s="6" t="n">
        <v>89029</v>
      </c>
      <c r="F975" s="6" t="n">
        <v>90649</v>
      </c>
      <c r="G975" s="6" t="n">
        <v>48899</v>
      </c>
      <c r="H975" s="6" t="n">
        <v>51491</v>
      </c>
      <c r="I975" s="6" t="n">
        <v>12934</v>
      </c>
      <c r="J975" s="6" t="n">
        <v>13572</v>
      </c>
      <c r="K975" s="6" t="n">
        <v>2583</v>
      </c>
      <c r="L975" s="6" t="n">
        <v>2340</v>
      </c>
      <c r="M975" s="6" t="n">
        <v>1165</v>
      </c>
      <c r="N975" s="6" t="n">
        <v>1431</v>
      </c>
      <c r="O975" s="6" t="n">
        <v>2301</v>
      </c>
      <c r="P975" s="6" t="n">
        <v>2259</v>
      </c>
      <c r="Q975" s="6" t="n">
        <v>1581</v>
      </c>
      <c r="R975" s="6" t="n">
        <v>1655</v>
      </c>
      <c r="S975" s="6" t="n">
        <v>722</v>
      </c>
      <c r="T975" s="6" t="n">
        <v>965</v>
      </c>
      <c r="U975" s="6" t="n">
        <v>2368</v>
      </c>
      <c r="V975" s="6" t="n">
        <v>2327</v>
      </c>
    </row>
    <row r="976" customFormat="false" ht="15" hidden="false" customHeight="false" outlineLevel="0" collapsed="false">
      <c r="A976" s="5" t="s">
        <v>81</v>
      </c>
      <c r="B976" s="6" t="s">
        <v>75</v>
      </c>
      <c r="C976" s="5" t="s">
        <v>37</v>
      </c>
      <c r="D976" s="5" t="s">
        <v>35</v>
      </c>
      <c r="E976" s="6" t="n">
        <v>86557</v>
      </c>
      <c r="F976" s="6" t="n">
        <v>90138</v>
      </c>
      <c r="G976" s="6" t="n">
        <v>50064</v>
      </c>
      <c r="H976" s="6" t="n">
        <v>53807</v>
      </c>
      <c r="I976" s="6" t="n">
        <v>13268</v>
      </c>
      <c r="J976" s="6" t="n">
        <v>13891</v>
      </c>
      <c r="K976" s="6" t="n">
        <v>1978</v>
      </c>
      <c r="L976" s="6" t="n">
        <v>1991</v>
      </c>
      <c r="M976" s="6" t="n">
        <v>1061</v>
      </c>
      <c r="N976" s="6" t="n">
        <v>850</v>
      </c>
      <c r="O976" s="6" t="n">
        <v>1873</v>
      </c>
      <c r="P976" s="6" t="n">
        <v>1883</v>
      </c>
      <c r="Q976" s="6" t="n">
        <v>1519</v>
      </c>
      <c r="R976" s="6" t="n">
        <v>1579</v>
      </c>
      <c r="S976" s="6" t="n">
        <v>951</v>
      </c>
      <c r="T976" s="6" t="n">
        <v>1207</v>
      </c>
      <c r="U976" s="6" t="n">
        <v>1926</v>
      </c>
      <c r="V976" s="6" t="n">
        <v>1894</v>
      </c>
    </row>
    <row r="977" customFormat="false" ht="15" hidden="false" customHeight="false" outlineLevel="0" collapsed="false">
      <c r="A977" s="5" t="s">
        <v>81</v>
      </c>
      <c r="B977" s="6" t="s">
        <v>75</v>
      </c>
      <c r="C977" s="5" t="s">
        <v>38</v>
      </c>
      <c r="D977" s="5" t="s">
        <v>35</v>
      </c>
      <c r="E977" s="6" t="n">
        <v>90404</v>
      </c>
      <c r="F977" s="6" t="n">
        <v>90325</v>
      </c>
      <c r="G977" s="6" t="n">
        <v>54090</v>
      </c>
      <c r="H977" s="6" t="n">
        <v>54357</v>
      </c>
      <c r="I977" s="6" t="n">
        <v>12905</v>
      </c>
      <c r="J977" s="6" t="n">
        <v>12587</v>
      </c>
      <c r="K977" s="6" t="n">
        <v>3132</v>
      </c>
      <c r="L977" s="6" t="n">
        <v>2705</v>
      </c>
      <c r="M977" s="6" t="n">
        <v>842</v>
      </c>
      <c r="N977" s="6" t="n">
        <v>929</v>
      </c>
      <c r="O977" s="6" t="n">
        <v>2340</v>
      </c>
      <c r="P977" s="6" t="n">
        <v>2204</v>
      </c>
      <c r="Q977" s="6" t="n">
        <v>1451</v>
      </c>
      <c r="R977" s="6" t="n">
        <v>1401</v>
      </c>
      <c r="S977" s="6" t="n">
        <v>1005</v>
      </c>
      <c r="T977" s="6" t="n">
        <v>1034</v>
      </c>
      <c r="U977" s="6" t="n">
        <v>1897</v>
      </c>
      <c r="V977" s="6" t="n">
        <v>1896</v>
      </c>
    </row>
    <row r="978" customFormat="false" ht="15" hidden="false" customHeight="false" outlineLevel="0" collapsed="false">
      <c r="A978" s="5" t="s">
        <v>81</v>
      </c>
      <c r="B978" s="6" t="s">
        <v>75</v>
      </c>
      <c r="C978" s="5" t="s">
        <v>39</v>
      </c>
      <c r="D978" s="5" t="s">
        <v>35</v>
      </c>
      <c r="E978" s="6" t="n">
        <v>85230</v>
      </c>
      <c r="F978" s="6" t="n">
        <v>89530</v>
      </c>
      <c r="G978" s="6" t="n">
        <v>49322</v>
      </c>
      <c r="H978" s="6" t="n">
        <v>54282</v>
      </c>
      <c r="I978" s="6" t="n">
        <v>14439</v>
      </c>
      <c r="J978" s="6" t="n">
        <v>14359</v>
      </c>
      <c r="K978" s="6" t="n">
        <v>2935</v>
      </c>
      <c r="L978" s="6" t="n">
        <v>3092</v>
      </c>
      <c r="M978" s="6" t="n">
        <v>1059</v>
      </c>
      <c r="N978" s="6" t="n">
        <v>944</v>
      </c>
      <c r="O978" s="6" t="n">
        <v>1611</v>
      </c>
      <c r="P978" s="6" t="n">
        <v>1731</v>
      </c>
      <c r="Q978" s="6" t="n">
        <v>1477</v>
      </c>
      <c r="R978" s="6" t="n">
        <v>1527</v>
      </c>
      <c r="S978" s="6" t="n">
        <v>734</v>
      </c>
      <c r="T978" s="6" t="n">
        <v>899</v>
      </c>
      <c r="U978" s="6" t="n">
        <v>1928</v>
      </c>
      <c r="V978" s="6" t="n">
        <v>1970</v>
      </c>
    </row>
    <row r="979" customFormat="false" ht="15" hidden="false" customHeight="false" outlineLevel="0" collapsed="false">
      <c r="A979" s="5" t="s">
        <v>81</v>
      </c>
      <c r="B979" s="6" t="s">
        <v>75</v>
      </c>
      <c r="C979" s="5" t="s">
        <v>40</v>
      </c>
      <c r="D979" s="5" t="s">
        <v>35</v>
      </c>
      <c r="E979" s="6" t="n">
        <v>96187</v>
      </c>
      <c r="F979" s="6" t="n">
        <v>96436</v>
      </c>
      <c r="G979" s="6" t="n">
        <v>53813</v>
      </c>
      <c r="H979" s="6" t="n">
        <v>55658</v>
      </c>
      <c r="I979" s="6" t="n">
        <v>13844</v>
      </c>
      <c r="J979" s="6" t="n">
        <v>13748</v>
      </c>
      <c r="K979" s="6" t="n">
        <v>3323</v>
      </c>
      <c r="L979" s="6" t="n">
        <v>3041</v>
      </c>
      <c r="M979" s="6" t="n">
        <v>1235</v>
      </c>
      <c r="N979" s="6" t="n">
        <v>1082</v>
      </c>
      <c r="O979" s="6" t="n">
        <v>2647</v>
      </c>
      <c r="P979" s="6" t="n">
        <v>2873</v>
      </c>
      <c r="Q979" s="6" t="n">
        <v>1545</v>
      </c>
      <c r="R979" s="6" t="n">
        <v>1566</v>
      </c>
      <c r="S979" s="6" t="n">
        <v>1012</v>
      </c>
      <c r="T979" s="6" t="n">
        <v>987</v>
      </c>
      <c r="U979" s="6" t="n">
        <v>2883</v>
      </c>
      <c r="V979" s="6" t="n">
        <v>2856</v>
      </c>
    </row>
    <row r="980" customFormat="false" ht="15" hidden="false" customHeight="false" outlineLevel="0" collapsed="false">
      <c r="A980" s="5" t="s">
        <v>81</v>
      </c>
      <c r="B980" s="6" t="s">
        <v>75</v>
      </c>
      <c r="C980" s="5" t="s">
        <v>41</v>
      </c>
      <c r="D980" s="5" t="s">
        <v>35</v>
      </c>
      <c r="E980" s="6" t="n">
        <v>97242</v>
      </c>
      <c r="F980" s="6" t="n">
        <v>93236</v>
      </c>
      <c r="G980" s="6" t="n">
        <v>55813</v>
      </c>
      <c r="H980" s="6" t="n">
        <v>54994</v>
      </c>
      <c r="I980" s="6" t="n">
        <v>15554</v>
      </c>
      <c r="J980" s="6" t="n">
        <v>16260</v>
      </c>
      <c r="K980" s="6" t="n">
        <v>3200</v>
      </c>
      <c r="L980" s="6" t="n">
        <v>2891</v>
      </c>
      <c r="M980" s="6" t="n">
        <v>1430</v>
      </c>
      <c r="N980" s="6" t="n">
        <v>1434</v>
      </c>
      <c r="O980" s="6" t="n">
        <v>2117</v>
      </c>
      <c r="P980" s="6" t="n">
        <v>2261</v>
      </c>
      <c r="Q980" s="6" t="n">
        <v>1648</v>
      </c>
      <c r="R980" s="6" t="n">
        <v>1729</v>
      </c>
      <c r="S980" s="6" t="n">
        <v>707</v>
      </c>
      <c r="T980" s="6" t="n">
        <v>844</v>
      </c>
      <c r="U980" s="6" t="n">
        <v>2820</v>
      </c>
      <c r="V980" s="6" t="n">
        <v>2776</v>
      </c>
    </row>
    <row r="981" customFormat="false" ht="15" hidden="false" customHeight="false" outlineLevel="0" collapsed="false">
      <c r="A981" s="5" t="s">
        <v>81</v>
      </c>
      <c r="B981" s="6" t="s">
        <v>75</v>
      </c>
      <c r="C981" s="5" t="s">
        <v>42</v>
      </c>
      <c r="D981" s="5" t="s">
        <v>35</v>
      </c>
      <c r="E981" s="6" t="n">
        <v>98510</v>
      </c>
      <c r="F981" s="6" t="n">
        <v>95193</v>
      </c>
      <c r="G981" s="6" t="n">
        <v>56025</v>
      </c>
      <c r="H981" s="6" t="n">
        <v>56037</v>
      </c>
      <c r="I981" s="6" t="n">
        <v>13988</v>
      </c>
      <c r="J981" s="6" t="n">
        <v>14565</v>
      </c>
      <c r="K981" s="6" t="n">
        <v>2756</v>
      </c>
      <c r="L981" s="6" t="n">
        <v>2567</v>
      </c>
      <c r="M981" s="6" t="n">
        <v>1260</v>
      </c>
      <c r="N981" s="6" t="n">
        <v>1318</v>
      </c>
      <c r="O981" s="6" t="n">
        <v>1876</v>
      </c>
      <c r="P981" s="6" t="n">
        <v>1806</v>
      </c>
      <c r="Q981" s="6" t="n">
        <v>1565</v>
      </c>
      <c r="R981" s="6" t="n">
        <v>1536</v>
      </c>
      <c r="S981" s="6" t="n">
        <v>1097</v>
      </c>
      <c r="T981" s="6" t="n">
        <v>1503</v>
      </c>
      <c r="U981" s="6" t="n">
        <v>2731</v>
      </c>
      <c r="V981" s="6" t="n">
        <v>2756</v>
      </c>
    </row>
    <row r="982" customFormat="false" ht="15" hidden="false" customHeight="false" outlineLevel="0" collapsed="false">
      <c r="A982" s="5" t="s">
        <v>81</v>
      </c>
      <c r="B982" s="6" t="s">
        <v>75</v>
      </c>
      <c r="C982" s="5" t="s">
        <v>43</v>
      </c>
      <c r="D982" s="5" t="s">
        <v>35</v>
      </c>
      <c r="E982" s="6" t="n">
        <v>94811</v>
      </c>
      <c r="F982" s="6" t="n">
        <v>100689</v>
      </c>
      <c r="G982" s="6" t="n">
        <v>54952</v>
      </c>
      <c r="H982" s="6" t="n">
        <v>57452</v>
      </c>
      <c r="I982" s="6" t="n">
        <v>14370</v>
      </c>
      <c r="J982" s="6" t="n">
        <v>14573</v>
      </c>
      <c r="K982" s="6" t="n">
        <v>1978</v>
      </c>
      <c r="L982" s="6" t="n">
        <v>2147</v>
      </c>
      <c r="M982" s="6" t="n">
        <v>1199</v>
      </c>
      <c r="N982" s="6" t="n">
        <v>1097</v>
      </c>
      <c r="O982" s="6" t="n">
        <v>2492</v>
      </c>
      <c r="P982" s="6" t="n">
        <v>2505</v>
      </c>
      <c r="Q982" s="6" t="n">
        <v>1415</v>
      </c>
      <c r="R982" s="6" t="n">
        <v>1353</v>
      </c>
      <c r="S982" s="6" t="n">
        <v>984</v>
      </c>
      <c r="T982" s="6" t="n">
        <v>1254</v>
      </c>
      <c r="U982" s="6" t="n">
        <v>1939</v>
      </c>
      <c r="V982" s="6" t="n">
        <v>1918</v>
      </c>
    </row>
    <row r="983" customFormat="false" ht="15" hidden="false" customHeight="false" outlineLevel="0" collapsed="false">
      <c r="A983" s="5" t="s">
        <v>81</v>
      </c>
      <c r="B983" s="6" t="s">
        <v>75</v>
      </c>
      <c r="C983" s="5" t="s">
        <v>44</v>
      </c>
      <c r="D983" s="5" t="s">
        <v>35</v>
      </c>
      <c r="E983" s="6" t="n">
        <v>99175</v>
      </c>
      <c r="F983" s="6" t="n">
        <v>95737</v>
      </c>
      <c r="G983" s="6" t="n">
        <v>59129</v>
      </c>
      <c r="H983" s="6" t="n">
        <v>58322</v>
      </c>
      <c r="I983" s="6" t="n">
        <v>14980</v>
      </c>
      <c r="J983" s="6" t="n">
        <v>15236</v>
      </c>
      <c r="K983" s="6" t="n">
        <v>3055</v>
      </c>
      <c r="L983" s="6" t="n">
        <v>2663</v>
      </c>
      <c r="M983" s="6" t="n">
        <v>1186</v>
      </c>
      <c r="N983" s="6" t="n">
        <v>1493</v>
      </c>
      <c r="O983" s="6" t="n">
        <v>2125</v>
      </c>
      <c r="P983" s="6" t="n">
        <v>2119</v>
      </c>
      <c r="Q983" s="6" t="n">
        <v>1204</v>
      </c>
      <c r="R983" s="6" t="n">
        <v>1256</v>
      </c>
      <c r="S983" s="6" t="n">
        <v>649</v>
      </c>
      <c r="T983" s="6" t="n">
        <v>800</v>
      </c>
      <c r="U983" s="6" t="n">
        <v>2571</v>
      </c>
      <c r="V983" s="6" t="n">
        <v>2526</v>
      </c>
    </row>
    <row r="984" customFormat="false" ht="15" hidden="false" customHeight="false" outlineLevel="0" collapsed="false">
      <c r="A984" s="5" t="s">
        <v>81</v>
      </c>
      <c r="B984" s="6" t="s">
        <v>75</v>
      </c>
      <c r="C984" s="5" t="s">
        <v>45</v>
      </c>
      <c r="D984" s="5" t="s">
        <v>35</v>
      </c>
      <c r="E984" s="6" t="n">
        <v>96069</v>
      </c>
      <c r="F984" s="6" t="n">
        <v>95529</v>
      </c>
      <c r="G984" s="6" t="n">
        <v>53939</v>
      </c>
      <c r="H984" s="6" t="n">
        <v>52609</v>
      </c>
      <c r="I984" s="6" t="n">
        <v>14825</v>
      </c>
      <c r="J984" s="6" t="n">
        <v>14381</v>
      </c>
      <c r="K984" s="6" t="n">
        <v>2119</v>
      </c>
      <c r="L984" s="6" t="n">
        <v>1962</v>
      </c>
      <c r="M984" s="6" t="n">
        <v>1061</v>
      </c>
      <c r="N984" s="6" t="n">
        <v>933</v>
      </c>
      <c r="O984" s="6" t="n">
        <v>1744</v>
      </c>
      <c r="P984" s="6" t="n">
        <v>1800</v>
      </c>
      <c r="Q984" s="6" t="n">
        <v>1654</v>
      </c>
      <c r="R984" s="6" t="n">
        <v>1587</v>
      </c>
      <c r="S984" s="6" t="n">
        <v>997</v>
      </c>
      <c r="T984" s="6" t="n">
        <v>851</v>
      </c>
      <c r="U984" s="6" t="n">
        <v>2217</v>
      </c>
      <c r="V984" s="6" t="n">
        <v>2276</v>
      </c>
    </row>
    <row r="985" customFormat="false" ht="15" hidden="false" customHeight="false" outlineLevel="0" collapsed="false">
      <c r="A985" s="5" t="s">
        <v>81</v>
      </c>
      <c r="B985" s="6" t="s">
        <v>75</v>
      </c>
      <c r="C985" s="5" t="s">
        <v>46</v>
      </c>
      <c r="D985" s="5" t="s">
        <v>35</v>
      </c>
      <c r="E985" s="6" t="n">
        <v>105138</v>
      </c>
      <c r="F985" s="6" t="n">
        <v>102053</v>
      </c>
      <c r="G985" s="6" t="n">
        <v>59487</v>
      </c>
      <c r="H985" s="6" t="n">
        <v>60531</v>
      </c>
      <c r="I985" s="6" t="n">
        <v>15992</v>
      </c>
      <c r="J985" s="6" t="n">
        <v>16448</v>
      </c>
      <c r="K985" s="6" t="n">
        <v>3124</v>
      </c>
      <c r="L985" s="6" t="n">
        <v>3036</v>
      </c>
      <c r="M985" s="6" t="n">
        <v>1258</v>
      </c>
      <c r="N985" s="6" t="n">
        <v>1336</v>
      </c>
      <c r="O985" s="6" t="n">
        <v>2119</v>
      </c>
      <c r="P985" s="6" t="n">
        <v>2012</v>
      </c>
      <c r="Q985" s="6" t="n">
        <v>1674</v>
      </c>
      <c r="R985" s="6" t="n">
        <v>1671</v>
      </c>
      <c r="S985" s="6" t="n">
        <v>681</v>
      </c>
      <c r="T985" s="6" t="n">
        <v>791</v>
      </c>
      <c r="U985" s="6" t="n">
        <v>2913</v>
      </c>
      <c r="V985" s="6" t="n">
        <v>2849</v>
      </c>
    </row>
    <row r="986" customFormat="false" ht="15" hidden="false" customHeight="false" outlineLevel="0" collapsed="false">
      <c r="A986" s="5" t="s">
        <v>81</v>
      </c>
      <c r="B986" s="6" t="s">
        <v>75</v>
      </c>
      <c r="C986" s="5" t="s">
        <v>47</v>
      </c>
      <c r="D986" s="5" t="s">
        <v>48</v>
      </c>
      <c r="E986" s="6" t="n">
        <v>99400</v>
      </c>
      <c r="F986" s="6" t="n">
        <v>97356</v>
      </c>
      <c r="G986" s="6" t="n">
        <v>53845</v>
      </c>
      <c r="H986" s="6" t="n">
        <v>55459</v>
      </c>
      <c r="I986" s="6" t="n">
        <v>15990</v>
      </c>
      <c r="J986" s="6" t="n">
        <v>17206</v>
      </c>
      <c r="K986" s="6" t="n">
        <v>2785</v>
      </c>
      <c r="L986" s="6" t="n">
        <v>2764</v>
      </c>
      <c r="M986" s="6" t="n">
        <v>1174</v>
      </c>
      <c r="N986" s="6" t="n">
        <v>1146</v>
      </c>
      <c r="O986" s="6" t="n">
        <v>2625</v>
      </c>
      <c r="P986" s="6" t="n">
        <v>2857</v>
      </c>
      <c r="Q986" s="6" t="n">
        <v>1941</v>
      </c>
      <c r="R986" s="6" t="n">
        <v>1977</v>
      </c>
      <c r="S986" s="6" t="n">
        <v>1133</v>
      </c>
      <c r="T986" s="6" t="n">
        <v>1381</v>
      </c>
      <c r="U986" s="6" t="n">
        <v>2295</v>
      </c>
      <c r="V986" s="6" t="n">
        <v>2242</v>
      </c>
    </row>
    <row r="987" customFormat="false" ht="15" hidden="false" customHeight="false" outlineLevel="0" collapsed="false">
      <c r="A987" s="5" t="s">
        <v>81</v>
      </c>
      <c r="B987" s="6" t="s">
        <v>75</v>
      </c>
      <c r="C987" s="5" t="s">
        <v>49</v>
      </c>
      <c r="D987" s="5" t="s">
        <v>48</v>
      </c>
      <c r="E987" s="6" t="n">
        <v>99365</v>
      </c>
      <c r="F987" s="6" t="n">
        <v>96247</v>
      </c>
      <c r="G987" s="6" t="n">
        <v>55617</v>
      </c>
      <c r="H987" s="6" t="n">
        <v>52854</v>
      </c>
      <c r="I987" s="6" t="n">
        <v>16754</v>
      </c>
      <c r="J987" s="6" t="n">
        <v>17490</v>
      </c>
      <c r="K987" s="6" t="n">
        <v>3158</v>
      </c>
      <c r="L987" s="6" t="n">
        <v>3288</v>
      </c>
      <c r="M987" s="6" t="n">
        <v>921</v>
      </c>
      <c r="N987" s="6" t="n">
        <v>794</v>
      </c>
      <c r="O987" s="6" t="n">
        <v>1834</v>
      </c>
      <c r="P987" s="6" t="n">
        <v>1727</v>
      </c>
      <c r="Q987" s="6" t="n">
        <v>1247</v>
      </c>
      <c r="R987" s="6" t="n">
        <v>1290</v>
      </c>
      <c r="S987" s="6" t="n">
        <v>1058</v>
      </c>
      <c r="T987" s="6" t="n">
        <v>1155</v>
      </c>
      <c r="U987" s="6" t="n">
        <v>2363</v>
      </c>
      <c r="V987" s="6" t="n">
        <v>2433</v>
      </c>
    </row>
    <row r="988" customFormat="false" ht="15" hidden="false" customHeight="false" outlineLevel="0" collapsed="false">
      <c r="A988" s="5" t="s">
        <v>81</v>
      </c>
      <c r="B988" s="6" t="s">
        <v>75</v>
      </c>
      <c r="C988" s="5" t="s">
        <v>50</v>
      </c>
      <c r="D988" s="5" t="s">
        <v>48</v>
      </c>
      <c r="E988" s="6" t="n">
        <v>96464</v>
      </c>
      <c r="F988" s="6" t="n">
        <v>96975</v>
      </c>
      <c r="G988" s="6" t="n">
        <v>57425</v>
      </c>
      <c r="H988" s="6" t="n">
        <v>58117</v>
      </c>
      <c r="I988" s="6" t="n">
        <v>15562</v>
      </c>
      <c r="J988" s="6" t="n">
        <v>15097</v>
      </c>
      <c r="K988" s="6" t="n">
        <v>2538</v>
      </c>
      <c r="L988" s="6" t="n">
        <v>2585</v>
      </c>
      <c r="M988" s="6" t="n">
        <v>1039</v>
      </c>
      <c r="N988" s="6" t="n">
        <v>992</v>
      </c>
      <c r="O988" s="6" t="n">
        <v>2378</v>
      </c>
      <c r="P988" s="6" t="n">
        <v>2374</v>
      </c>
      <c r="Q988" s="6" t="n">
        <v>1467</v>
      </c>
      <c r="R988" s="6" t="n">
        <v>1478</v>
      </c>
      <c r="S988" s="6" t="n">
        <v>922</v>
      </c>
      <c r="T988" s="6" t="n">
        <v>1248</v>
      </c>
      <c r="U988" s="6" t="n">
        <v>2783</v>
      </c>
      <c r="V988" s="6" t="n">
        <v>2714</v>
      </c>
    </row>
    <row r="989" customFormat="false" ht="15" hidden="false" customHeight="false" outlineLevel="0" collapsed="false">
      <c r="A989" s="5" t="s">
        <v>81</v>
      </c>
      <c r="B989" s="6" t="s">
        <v>75</v>
      </c>
      <c r="C989" s="5" t="s">
        <v>51</v>
      </c>
      <c r="D989" s="5" t="s">
        <v>48</v>
      </c>
      <c r="E989" s="6" t="n">
        <v>97341</v>
      </c>
      <c r="F989" s="6" t="n">
        <v>98695</v>
      </c>
      <c r="G989" s="6" t="n">
        <v>54594</v>
      </c>
      <c r="H989" s="6" t="n">
        <v>56788</v>
      </c>
      <c r="I989" s="6" t="n">
        <v>13726</v>
      </c>
      <c r="J989" s="6" t="n">
        <v>14610</v>
      </c>
      <c r="K989" s="6" t="n">
        <v>1995</v>
      </c>
      <c r="L989" s="6" t="n">
        <v>1939</v>
      </c>
      <c r="M989" s="6" t="n">
        <v>1019</v>
      </c>
      <c r="N989" s="6" t="n">
        <v>1171</v>
      </c>
      <c r="O989" s="6" t="n">
        <v>2210</v>
      </c>
      <c r="P989" s="6" t="n">
        <v>2048</v>
      </c>
      <c r="Q989" s="6" t="n">
        <v>1744</v>
      </c>
      <c r="R989" s="6" t="n">
        <v>1827</v>
      </c>
      <c r="S989" s="6" t="n">
        <v>914</v>
      </c>
      <c r="T989" s="6" t="n">
        <v>1069</v>
      </c>
      <c r="U989" s="6" t="n">
        <v>2884</v>
      </c>
      <c r="V989" s="6" t="n">
        <v>2874</v>
      </c>
    </row>
    <row r="990" customFormat="false" ht="15" hidden="false" customHeight="false" outlineLevel="0" collapsed="false">
      <c r="A990" s="5" t="s">
        <v>81</v>
      </c>
      <c r="B990" s="6" t="s">
        <v>75</v>
      </c>
      <c r="C990" s="5" t="s">
        <v>52</v>
      </c>
      <c r="D990" s="5" t="s">
        <v>48</v>
      </c>
      <c r="E990" s="6" t="n">
        <v>99225</v>
      </c>
      <c r="F990" s="6" t="n">
        <v>97643</v>
      </c>
      <c r="G990" s="6" t="n">
        <v>57452</v>
      </c>
      <c r="H990" s="6" t="n">
        <v>55253</v>
      </c>
      <c r="I990" s="6" t="n">
        <v>15963</v>
      </c>
      <c r="J990" s="6" t="n">
        <v>15875</v>
      </c>
      <c r="K990" s="6" t="n">
        <v>2291</v>
      </c>
      <c r="L990" s="6" t="n">
        <v>2425</v>
      </c>
      <c r="M990" s="6" t="n">
        <v>1206</v>
      </c>
      <c r="N990" s="6" t="n">
        <v>1398</v>
      </c>
      <c r="O990" s="6" t="n">
        <v>1964</v>
      </c>
      <c r="P990" s="6" t="n">
        <v>1931</v>
      </c>
      <c r="Q990" s="6" t="n">
        <v>1319</v>
      </c>
      <c r="R990" s="6" t="n">
        <v>1274</v>
      </c>
      <c r="S990" s="6" t="n">
        <v>842</v>
      </c>
      <c r="T990" s="6" t="n">
        <v>778</v>
      </c>
      <c r="U990" s="6" t="n">
        <v>2282</v>
      </c>
      <c r="V990" s="6" t="n">
        <v>2349</v>
      </c>
    </row>
    <row r="991" customFormat="false" ht="15" hidden="false" customHeight="false" outlineLevel="0" collapsed="false">
      <c r="A991" s="5" t="s">
        <v>81</v>
      </c>
      <c r="B991" s="6" t="s">
        <v>75</v>
      </c>
      <c r="C991" s="5" t="s">
        <v>53</v>
      </c>
      <c r="D991" s="5" t="s">
        <v>48</v>
      </c>
      <c r="E991" s="6" t="n">
        <v>106927</v>
      </c>
      <c r="F991" s="6" t="n">
        <v>105483</v>
      </c>
      <c r="G991" s="6" t="n">
        <v>63618</v>
      </c>
      <c r="H991" s="6" t="n">
        <v>63924</v>
      </c>
      <c r="I991" s="6" t="n">
        <v>16765</v>
      </c>
      <c r="J991" s="6" t="n">
        <v>17313</v>
      </c>
      <c r="K991" s="6" t="n">
        <v>2676</v>
      </c>
      <c r="L991" s="6" t="n">
        <v>2590</v>
      </c>
      <c r="M991" s="6" t="n">
        <v>1546</v>
      </c>
      <c r="N991" s="6" t="n">
        <v>1557</v>
      </c>
      <c r="O991" s="6" t="n">
        <v>2389</v>
      </c>
      <c r="P991" s="6" t="n">
        <v>2326</v>
      </c>
      <c r="Q991" s="6" t="n">
        <v>1566</v>
      </c>
      <c r="R991" s="6" t="n">
        <v>1529</v>
      </c>
      <c r="S991" s="6" t="n">
        <v>1220</v>
      </c>
      <c r="T991" s="6" t="n">
        <v>1652</v>
      </c>
      <c r="U991" s="6" t="n">
        <v>2935</v>
      </c>
      <c r="V991" s="6" t="n">
        <v>2901</v>
      </c>
    </row>
    <row r="992" customFormat="false" ht="15" hidden="false" customHeight="false" outlineLevel="0" collapsed="false">
      <c r="A992" s="5" t="s">
        <v>81</v>
      </c>
      <c r="B992" s="6" t="s">
        <v>75</v>
      </c>
      <c r="C992" s="5" t="s">
        <v>54</v>
      </c>
      <c r="D992" s="5" t="s">
        <v>48</v>
      </c>
      <c r="E992" s="6" t="n">
        <v>93975</v>
      </c>
      <c r="F992" s="6" t="n">
        <v>99050</v>
      </c>
      <c r="G992" s="6" t="n">
        <v>55802</v>
      </c>
      <c r="H992" s="6" t="n">
        <v>59866</v>
      </c>
      <c r="I992" s="6" t="n">
        <v>14272</v>
      </c>
      <c r="J992" s="6" t="n">
        <v>15301</v>
      </c>
      <c r="K992" s="6" t="n">
        <v>2710</v>
      </c>
      <c r="L992" s="6" t="n">
        <v>2916</v>
      </c>
      <c r="M992" s="6" t="n">
        <v>911</v>
      </c>
      <c r="N992" s="6" t="n">
        <v>1050</v>
      </c>
      <c r="O992" s="6" t="n">
        <v>2498</v>
      </c>
      <c r="P992" s="6" t="n">
        <v>2422</v>
      </c>
      <c r="Q992" s="6" t="n">
        <v>1467</v>
      </c>
      <c r="R992" s="6" t="n">
        <v>1427</v>
      </c>
      <c r="S992" s="6" t="n">
        <v>1061</v>
      </c>
      <c r="T992" s="6" t="n">
        <v>1407</v>
      </c>
      <c r="U992" s="6" t="n">
        <v>2127</v>
      </c>
      <c r="V992" s="6" t="n">
        <v>2130</v>
      </c>
    </row>
    <row r="993" customFormat="false" ht="15" hidden="false" customHeight="false" outlineLevel="0" collapsed="false">
      <c r="A993" s="5" t="s">
        <v>81</v>
      </c>
      <c r="B993" s="6" t="s">
        <v>75</v>
      </c>
      <c r="C993" s="5" t="s">
        <v>55</v>
      </c>
      <c r="D993" s="5" t="s">
        <v>48</v>
      </c>
      <c r="E993" s="6" t="n">
        <v>102141</v>
      </c>
      <c r="F993" s="6" t="n">
        <v>100248</v>
      </c>
      <c r="G993" s="6" t="n">
        <v>58596</v>
      </c>
      <c r="H993" s="6" t="n">
        <v>56238</v>
      </c>
      <c r="I993" s="6" t="n">
        <v>14446</v>
      </c>
      <c r="J993" s="6" t="n">
        <v>14534</v>
      </c>
      <c r="K993" s="6" t="n">
        <v>2687</v>
      </c>
      <c r="L993" s="6" t="n">
        <v>2772</v>
      </c>
      <c r="M993" s="6" t="n">
        <v>1158</v>
      </c>
      <c r="N993" s="6" t="n">
        <v>1468</v>
      </c>
      <c r="O993" s="6" t="n">
        <v>2848</v>
      </c>
      <c r="P993" s="6" t="n">
        <v>2963</v>
      </c>
      <c r="Q993" s="6" t="n">
        <v>1661</v>
      </c>
      <c r="R993" s="6" t="n">
        <v>1706</v>
      </c>
      <c r="S993" s="6" t="n">
        <v>933</v>
      </c>
      <c r="T993" s="6" t="n">
        <v>1227</v>
      </c>
      <c r="U993" s="6" t="n">
        <v>2318</v>
      </c>
      <c r="V993" s="6" t="n">
        <v>2283</v>
      </c>
    </row>
    <row r="994" customFormat="false" ht="15" hidden="false" customHeight="false" outlineLevel="0" collapsed="false">
      <c r="A994" s="5" t="s">
        <v>81</v>
      </c>
      <c r="B994" s="6" t="s">
        <v>75</v>
      </c>
      <c r="C994" s="5" t="s">
        <v>56</v>
      </c>
      <c r="D994" s="5" t="s">
        <v>48</v>
      </c>
      <c r="E994" s="6" t="n">
        <v>98890</v>
      </c>
      <c r="F994" s="6" t="n">
        <v>105095</v>
      </c>
      <c r="G994" s="6" t="n">
        <v>58706</v>
      </c>
      <c r="H994" s="6" t="n">
        <v>63289</v>
      </c>
      <c r="I994" s="6" t="n">
        <v>14228</v>
      </c>
      <c r="J994" s="6" t="n">
        <v>14883</v>
      </c>
      <c r="K994" s="6" t="n">
        <v>2149</v>
      </c>
      <c r="L994" s="6" t="n">
        <v>2135</v>
      </c>
      <c r="M994" s="6" t="n">
        <v>821</v>
      </c>
      <c r="N994" s="6" t="n">
        <v>791</v>
      </c>
      <c r="O994" s="6" t="n">
        <v>2669</v>
      </c>
      <c r="P994" s="6" t="n">
        <v>2705</v>
      </c>
      <c r="Q994" s="6" t="n">
        <v>1339</v>
      </c>
      <c r="R994" s="6" t="n">
        <v>1356</v>
      </c>
      <c r="S994" s="6" t="n">
        <v>1059</v>
      </c>
      <c r="T994" s="6" t="n">
        <v>1083</v>
      </c>
      <c r="U994" s="6" t="n">
        <v>2445</v>
      </c>
      <c r="V994" s="6" t="n">
        <v>2458</v>
      </c>
    </row>
    <row r="995" customFormat="false" ht="15" hidden="false" customHeight="false" outlineLevel="0" collapsed="false">
      <c r="A995" s="5" t="s">
        <v>81</v>
      </c>
      <c r="B995" s="6" t="s">
        <v>75</v>
      </c>
      <c r="C995" s="5" t="s">
        <v>57</v>
      </c>
      <c r="D995" s="5" t="s">
        <v>48</v>
      </c>
      <c r="E995" s="6" t="n">
        <v>96543</v>
      </c>
      <c r="F995" s="6" t="n">
        <v>101084</v>
      </c>
      <c r="G995" s="6" t="n">
        <v>53549</v>
      </c>
      <c r="H995" s="6" t="n">
        <v>54263</v>
      </c>
      <c r="I995" s="6" t="n">
        <v>14322</v>
      </c>
      <c r="J995" s="6" t="n">
        <v>14574</v>
      </c>
      <c r="K995" s="6" t="n">
        <v>2372</v>
      </c>
      <c r="L995" s="6" t="n">
        <v>2677</v>
      </c>
      <c r="M995" s="6" t="n">
        <v>873</v>
      </c>
      <c r="N995" s="6" t="n">
        <v>965</v>
      </c>
      <c r="O995" s="6" t="n">
        <v>2285</v>
      </c>
      <c r="P995" s="6" t="n">
        <v>2441</v>
      </c>
      <c r="Q995" s="6" t="n">
        <v>1268</v>
      </c>
      <c r="R995" s="6" t="n">
        <v>1298</v>
      </c>
      <c r="S995" s="6" t="n">
        <v>785</v>
      </c>
      <c r="T995" s="6" t="n">
        <v>692</v>
      </c>
      <c r="U995" s="6" t="n">
        <v>2042</v>
      </c>
      <c r="V995" s="6" t="n">
        <v>2071</v>
      </c>
    </row>
    <row r="996" customFormat="false" ht="15" hidden="false" customHeight="false" outlineLevel="0" collapsed="false">
      <c r="A996" s="5" t="s">
        <v>81</v>
      </c>
      <c r="B996" s="6" t="s">
        <v>75</v>
      </c>
      <c r="C996" s="5" t="s">
        <v>58</v>
      </c>
      <c r="D996" s="5" t="s">
        <v>48</v>
      </c>
      <c r="E996" s="6" t="n">
        <v>105799</v>
      </c>
      <c r="F996" s="6" t="n">
        <v>101436</v>
      </c>
      <c r="G996" s="6" t="n">
        <v>62618</v>
      </c>
      <c r="H996" s="6" t="n">
        <v>60689</v>
      </c>
      <c r="I996" s="6" t="n">
        <v>16700</v>
      </c>
      <c r="J996" s="6" t="n">
        <v>16549</v>
      </c>
      <c r="K996" s="6" t="n">
        <v>3040</v>
      </c>
      <c r="L996" s="6" t="n">
        <v>3157</v>
      </c>
      <c r="M996" s="6" t="n">
        <v>1468</v>
      </c>
      <c r="N996" s="6" t="n">
        <v>1882</v>
      </c>
      <c r="O996" s="6" t="n">
        <v>2492</v>
      </c>
      <c r="P996" s="6" t="n">
        <v>2486</v>
      </c>
      <c r="Q996" s="6" t="n">
        <v>1952</v>
      </c>
      <c r="R996" s="6" t="n">
        <v>2035</v>
      </c>
      <c r="S996" s="6" t="n">
        <v>1022</v>
      </c>
      <c r="T996" s="6" t="n">
        <v>1397</v>
      </c>
      <c r="U996" s="6" t="n">
        <v>2392</v>
      </c>
      <c r="V996" s="6" t="n">
        <v>2372</v>
      </c>
    </row>
    <row r="997" customFormat="false" ht="15" hidden="false" customHeight="false" outlineLevel="0" collapsed="false">
      <c r="A997" s="5" t="s">
        <v>81</v>
      </c>
      <c r="B997" s="6" t="s">
        <v>75</v>
      </c>
      <c r="C997" s="5" t="s">
        <v>59</v>
      </c>
      <c r="D997" s="5" t="s">
        <v>48</v>
      </c>
      <c r="E997" s="6" t="n">
        <v>104087</v>
      </c>
      <c r="F997" s="6" t="n">
        <v>107182</v>
      </c>
      <c r="G997" s="6" t="n">
        <v>58251</v>
      </c>
      <c r="H997" s="6" t="n">
        <v>59918</v>
      </c>
      <c r="I997" s="6" t="n">
        <v>14836</v>
      </c>
      <c r="J997" s="6" t="n">
        <v>14755</v>
      </c>
      <c r="K997" s="6" t="n">
        <v>2928</v>
      </c>
      <c r="L997" s="6" t="n">
        <v>2815</v>
      </c>
      <c r="M997" s="6" t="n">
        <v>1478</v>
      </c>
      <c r="N997" s="6" t="n">
        <v>1402</v>
      </c>
      <c r="O997" s="6" t="n">
        <v>2065</v>
      </c>
      <c r="P997" s="6" t="n">
        <v>2208</v>
      </c>
      <c r="Q997" s="6" t="n">
        <v>1380</v>
      </c>
      <c r="R997" s="6" t="n">
        <v>1404</v>
      </c>
      <c r="S997" s="6" t="n">
        <v>709</v>
      </c>
      <c r="T997" s="6" t="n">
        <v>932</v>
      </c>
      <c r="U997" s="6" t="n">
        <v>2285</v>
      </c>
      <c r="V997" s="6" t="n">
        <v>2279</v>
      </c>
    </row>
    <row r="998" customFormat="false" ht="15" hidden="false" customHeight="false" outlineLevel="0" collapsed="false">
      <c r="A998" s="5" t="s">
        <v>81</v>
      </c>
      <c r="B998" s="6" t="s">
        <v>75</v>
      </c>
      <c r="C998" s="5" t="s">
        <v>60</v>
      </c>
      <c r="D998" s="5" t="s">
        <v>61</v>
      </c>
      <c r="E998" s="6" t="n">
        <v>99218</v>
      </c>
      <c r="F998" s="6" t="n">
        <v>100343</v>
      </c>
      <c r="G998" s="6" t="n">
        <v>57483</v>
      </c>
      <c r="H998" s="6" t="n">
        <v>56222</v>
      </c>
      <c r="I998" s="6" t="n">
        <v>14581</v>
      </c>
      <c r="J998" s="6" t="n">
        <v>14867</v>
      </c>
      <c r="K998" s="6" t="n">
        <v>2847</v>
      </c>
      <c r="L998" s="6" t="n">
        <v>2851</v>
      </c>
      <c r="M998" s="6" t="n">
        <v>1275</v>
      </c>
      <c r="N998" s="6" t="n">
        <v>1531</v>
      </c>
      <c r="O998" s="6" t="n">
        <v>2179</v>
      </c>
      <c r="P998" s="6" t="n">
        <v>2327</v>
      </c>
      <c r="Q998" s="6" t="n">
        <v>1850</v>
      </c>
      <c r="R998" s="6" t="n">
        <v>1764</v>
      </c>
      <c r="S998" s="6" t="n">
        <v>1066</v>
      </c>
      <c r="T998" s="6" t="n">
        <v>1485</v>
      </c>
      <c r="U998" s="6" t="n">
        <v>2630</v>
      </c>
      <c r="V998" s="6" t="n">
        <v>2663</v>
      </c>
    </row>
    <row r="999" customFormat="false" ht="15" hidden="false" customHeight="false" outlineLevel="0" collapsed="false">
      <c r="A999" s="5" t="s">
        <v>81</v>
      </c>
      <c r="B999" s="6" t="s">
        <v>75</v>
      </c>
      <c r="C999" s="5" t="s">
        <v>62</v>
      </c>
      <c r="D999" s="5" t="s">
        <v>61</v>
      </c>
      <c r="E999" s="6" t="n">
        <v>103298</v>
      </c>
      <c r="F999" s="6" t="n">
        <v>102449</v>
      </c>
      <c r="G999" s="6" t="n">
        <v>57520</v>
      </c>
      <c r="H999" s="6" t="n">
        <v>58857</v>
      </c>
      <c r="I999" s="6" t="n">
        <v>17434</v>
      </c>
      <c r="J999" s="6" t="n">
        <v>17204</v>
      </c>
      <c r="K999" s="6" t="n">
        <v>3313</v>
      </c>
      <c r="L999" s="6" t="n">
        <v>2905</v>
      </c>
      <c r="M999" s="6" t="n">
        <v>1306</v>
      </c>
      <c r="N999" s="6" t="n">
        <v>1363</v>
      </c>
      <c r="O999" s="6" t="n">
        <v>2778</v>
      </c>
      <c r="P999" s="6" t="n">
        <v>2588</v>
      </c>
      <c r="Q999" s="6" t="n">
        <v>1457</v>
      </c>
      <c r="R999" s="6" t="n">
        <v>1529</v>
      </c>
      <c r="S999" s="6" t="n">
        <v>807</v>
      </c>
      <c r="T999" s="6" t="n">
        <v>1053</v>
      </c>
      <c r="U999" s="6" t="n">
        <v>2126</v>
      </c>
      <c r="V999" s="6" t="n">
        <v>2091</v>
      </c>
    </row>
    <row r="1000" customFormat="false" ht="15" hidden="false" customHeight="false" outlineLevel="0" collapsed="false">
      <c r="A1000" s="5" t="s">
        <v>81</v>
      </c>
      <c r="B1000" s="6" t="s">
        <v>75</v>
      </c>
      <c r="C1000" s="5" t="s">
        <v>63</v>
      </c>
      <c r="D1000" s="5" t="s">
        <v>61</v>
      </c>
      <c r="E1000" s="6" t="n">
        <v>108358</v>
      </c>
      <c r="F1000" s="6" t="n">
        <v>104174</v>
      </c>
      <c r="G1000" s="6" t="n">
        <v>64672</v>
      </c>
      <c r="H1000" s="6" t="n">
        <v>60942</v>
      </c>
      <c r="I1000" s="6" t="n">
        <v>17820</v>
      </c>
      <c r="J1000" s="6" t="n">
        <v>18480</v>
      </c>
      <c r="K1000" s="6" t="n">
        <v>2623</v>
      </c>
      <c r="L1000" s="6" t="n">
        <v>2537</v>
      </c>
      <c r="M1000" s="6" t="n">
        <v>1004</v>
      </c>
      <c r="N1000" s="6" t="n">
        <v>1181</v>
      </c>
      <c r="O1000" s="6" t="n">
        <v>2741</v>
      </c>
      <c r="P1000" s="6" t="n">
        <v>2894</v>
      </c>
      <c r="Q1000" s="6" t="n">
        <v>1958</v>
      </c>
      <c r="R1000" s="6" t="n">
        <v>1899</v>
      </c>
      <c r="S1000" s="6" t="n">
        <v>737</v>
      </c>
      <c r="T1000" s="6" t="n">
        <v>1029</v>
      </c>
      <c r="U1000" s="6" t="n">
        <v>2843</v>
      </c>
      <c r="V1000" s="6" t="n">
        <v>2798</v>
      </c>
    </row>
    <row r="1001" customFormat="false" ht="15" hidden="false" customHeight="false" outlineLevel="0" collapsed="false">
      <c r="A1001" s="5" t="s">
        <v>81</v>
      </c>
      <c r="B1001" s="6" t="s">
        <v>75</v>
      </c>
      <c r="C1001" s="5" t="s">
        <v>64</v>
      </c>
      <c r="D1001" s="5" t="s">
        <v>61</v>
      </c>
      <c r="E1001" s="6" t="n">
        <v>98649</v>
      </c>
      <c r="F1001" s="6" t="n">
        <v>103175</v>
      </c>
      <c r="G1001" s="6" t="n">
        <v>55646</v>
      </c>
      <c r="H1001" s="6" t="n">
        <v>61250</v>
      </c>
      <c r="I1001" s="6" t="n">
        <v>14449</v>
      </c>
      <c r="J1001" s="6" t="n">
        <v>15411</v>
      </c>
      <c r="K1001" s="6" t="n">
        <v>2313</v>
      </c>
      <c r="L1001" s="6" t="n">
        <v>2118</v>
      </c>
      <c r="M1001" s="6" t="n">
        <v>964</v>
      </c>
      <c r="N1001" s="6" t="n">
        <v>997</v>
      </c>
      <c r="O1001" s="6" t="n">
        <v>1842</v>
      </c>
      <c r="P1001" s="6" t="n">
        <v>1924</v>
      </c>
      <c r="Q1001" s="6" t="n">
        <v>1713</v>
      </c>
      <c r="R1001" s="6" t="n">
        <v>1701</v>
      </c>
      <c r="S1001" s="6" t="n">
        <v>862</v>
      </c>
      <c r="T1001" s="6" t="n">
        <v>1172</v>
      </c>
      <c r="U1001" s="6" t="n">
        <v>1984</v>
      </c>
      <c r="V1001" s="6" t="n">
        <v>2026</v>
      </c>
    </row>
    <row r="1002" customFormat="false" ht="15" hidden="false" customHeight="false" outlineLevel="0" collapsed="false">
      <c r="A1002" s="5" t="s">
        <v>81</v>
      </c>
      <c r="B1002" s="6" t="s">
        <v>75</v>
      </c>
      <c r="C1002" s="5" t="s">
        <v>65</v>
      </c>
      <c r="D1002" s="5" t="s">
        <v>61</v>
      </c>
      <c r="E1002" s="6" t="n">
        <v>101943</v>
      </c>
      <c r="F1002" s="6" t="n">
        <v>102208</v>
      </c>
      <c r="G1002" s="6" t="n">
        <v>58780</v>
      </c>
      <c r="H1002" s="6" t="n">
        <v>60726</v>
      </c>
      <c r="I1002" s="6" t="n">
        <v>15236</v>
      </c>
      <c r="J1002" s="6" t="n">
        <v>16285</v>
      </c>
      <c r="K1002" s="6" t="n">
        <v>2126</v>
      </c>
      <c r="L1002" s="6" t="n">
        <v>1984</v>
      </c>
      <c r="M1002" s="6" t="n">
        <v>1080</v>
      </c>
      <c r="N1002" s="6" t="n">
        <v>894</v>
      </c>
      <c r="O1002" s="6" t="n">
        <v>2795</v>
      </c>
      <c r="P1002" s="6" t="n">
        <v>2658</v>
      </c>
      <c r="Q1002" s="6" t="n">
        <v>1412</v>
      </c>
      <c r="R1002" s="6" t="n">
        <v>1424</v>
      </c>
      <c r="S1002" s="6" t="n">
        <v>1082</v>
      </c>
      <c r="T1002" s="6" t="n">
        <v>1395</v>
      </c>
      <c r="U1002" s="6" t="n">
        <v>2213</v>
      </c>
      <c r="V1002" s="6" t="n">
        <v>2150</v>
      </c>
    </row>
    <row r="1003" customFormat="false" ht="15" hidden="false" customHeight="false" outlineLevel="0" collapsed="false">
      <c r="A1003" s="5" t="s">
        <v>81</v>
      </c>
      <c r="B1003" s="6" t="s">
        <v>75</v>
      </c>
      <c r="C1003" s="5" t="s">
        <v>66</v>
      </c>
      <c r="D1003" s="5" t="s">
        <v>61</v>
      </c>
      <c r="E1003" s="6" t="n">
        <v>113288</v>
      </c>
      <c r="F1003" s="6" t="n">
        <v>107878</v>
      </c>
      <c r="G1003" s="6" t="n">
        <v>66562</v>
      </c>
      <c r="H1003" s="6" t="n">
        <v>61477</v>
      </c>
      <c r="I1003" s="6" t="n">
        <v>17696</v>
      </c>
      <c r="J1003" s="6" t="n">
        <v>18058</v>
      </c>
      <c r="K1003" s="6" t="n">
        <v>3874</v>
      </c>
      <c r="L1003" s="6" t="n">
        <v>4222</v>
      </c>
      <c r="M1003" s="6" t="n">
        <v>1548</v>
      </c>
      <c r="N1003" s="6" t="n">
        <v>1855</v>
      </c>
      <c r="O1003" s="6" t="n">
        <v>3078</v>
      </c>
      <c r="P1003" s="6" t="n">
        <v>2841</v>
      </c>
      <c r="Q1003" s="6" t="n">
        <v>1771</v>
      </c>
      <c r="R1003" s="6" t="n">
        <v>1711</v>
      </c>
      <c r="S1003" s="6" t="n">
        <v>791</v>
      </c>
      <c r="T1003" s="6" t="n">
        <v>1011</v>
      </c>
      <c r="U1003" s="6" t="n">
        <v>2597</v>
      </c>
      <c r="V1003" s="6" t="n">
        <v>2656</v>
      </c>
    </row>
    <row r="1004" customFormat="false" ht="15" hidden="false" customHeight="false" outlineLevel="0" collapsed="false">
      <c r="A1004" s="5" t="s">
        <v>81</v>
      </c>
      <c r="B1004" s="6" t="s">
        <v>75</v>
      </c>
      <c r="C1004" s="5" t="s">
        <v>67</v>
      </c>
      <c r="D1004" s="5" t="s">
        <v>61</v>
      </c>
      <c r="E1004" s="6" t="n">
        <v>104275</v>
      </c>
      <c r="F1004" s="6" t="n">
        <v>100485</v>
      </c>
      <c r="G1004" s="6" t="n">
        <v>60827</v>
      </c>
      <c r="H1004" s="6" t="n">
        <v>61210</v>
      </c>
      <c r="I1004" s="6" t="n">
        <v>15409</v>
      </c>
      <c r="J1004" s="6" t="n">
        <v>16444</v>
      </c>
      <c r="K1004" s="6" t="n">
        <v>2809</v>
      </c>
      <c r="L1004" s="6" t="n">
        <v>3042</v>
      </c>
      <c r="M1004" s="6" t="n">
        <v>908</v>
      </c>
      <c r="N1004" s="6" t="n">
        <v>1143</v>
      </c>
      <c r="O1004" s="6" t="n">
        <v>2547</v>
      </c>
      <c r="P1004" s="6" t="n">
        <v>2660</v>
      </c>
      <c r="Q1004" s="6" t="n">
        <v>1519</v>
      </c>
      <c r="R1004" s="6" t="n">
        <v>1483</v>
      </c>
      <c r="S1004" s="6" t="n">
        <v>692</v>
      </c>
      <c r="T1004" s="6" t="n">
        <v>880</v>
      </c>
      <c r="U1004" s="6" t="n">
        <v>2712</v>
      </c>
      <c r="V1004" s="6" t="n">
        <v>2771</v>
      </c>
    </row>
    <row r="1005" customFormat="false" ht="15" hidden="false" customHeight="false" outlineLevel="0" collapsed="false">
      <c r="A1005" s="5" t="s">
        <v>81</v>
      </c>
      <c r="B1005" s="6" t="s">
        <v>75</v>
      </c>
      <c r="C1005" s="5" t="s">
        <v>68</v>
      </c>
      <c r="D1005" s="5" t="s">
        <v>61</v>
      </c>
      <c r="E1005" s="6" t="n">
        <v>97163</v>
      </c>
      <c r="F1005" s="6" t="n">
        <v>102709</v>
      </c>
      <c r="G1005" s="6" t="n">
        <v>54565</v>
      </c>
      <c r="H1005" s="6" t="n">
        <v>58407</v>
      </c>
      <c r="I1005" s="6" t="n">
        <v>15168</v>
      </c>
      <c r="J1005" s="6" t="n">
        <v>16249</v>
      </c>
      <c r="K1005" s="6" t="n">
        <v>2168</v>
      </c>
      <c r="L1005" s="6" t="n">
        <v>2284</v>
      </c>
      <c r="M1005" s="6" t="n">
        <v>1205</v>
      </c>
      <c r="N1005" s="6" t="n">
        <v>1169</v>
      </c>
      <c r="O1005" s="6" t="n">
        <v>2596</v>
      </c>
      <c r="P1005" s="6" t="n">
        <v>2418</v>
      </c>
      <c r="Q1005" s="6" t="n">
        <v>1287</v>
      </c>
      <c r="R1005" s="6" t="n">
        <v>1300</v>
      </c>
      <c r="S1005" s="6" t="n">
        <v>1051</v>
      </c>
      <c r="T1005" s="6" t="n">
        <v>1210</v>
      </c>
      <c r="U1005" s="6" t="n">
        <v>2612</v>
      </c>
      <c r="V1005" s="6" t="n">
        <v>2594</v>
      </c>
    </row>
    <row r="1006" customFormat="false" ht="15" hidden="false" customHeight="false" outlineLevel="0" collapsed="false">
      <c r="A1006" s="5" t="s">
        <v>81</v>
      </c>
      <c r="B1006" s="6" t="s">
        <v>75</v>
      </c>
      <c r="C1006" s="5" t="s">
        <v>69</v>
      </c>
      <c r="D1006" s="5" t="s">
        <v>61</v>
      </c>
      <c r="E1006" s="6" t="n">
        <v>107645</v>
      </c>
      <c r="F1006" s="6" t="n">
        <v>110540</v>
      </c>
      <c r="G1006" s="6" t="n">
        <v>59773</v>
      </c>
      <c r="H1006" s="6" t="n">
        <v>61973</v>
      </c>
      <c r="I1006" s="6" t="n">
        <v>17458</v>
      </c>
      <c r="J1006" s="6" t="n">
        <v>18753</v>
      </c>
      <c r="K1006" s="6" t="n">
        <v>2937</v>
      </c>
      <c r="L1006" s="6" t="n">
        <v>3049</v>
      </c>
      <c r="M1006" s="6" t="n">
        <v>1201</v>
      </c>
      <c r="N1006" s="6" t="n">
        <v>1423</v>
      </c>
      <c r="O1006" s="6" t="n">
        <v>2020</v>
      </c>
      <c r="P1006" s="6" t="n">
        <v>1926</v>
      </c>
      <c r="Q1006" s="6" t="n">
        <v>1404</v>
      </c>
      <c r="R1006" s="6" t="n">
        <v>1346</v>
      </c>
      <c r="S1006" s="6" t="n">
        <v>676</v>
      </c>
      <c r="T1006" s="6" t="n">
        <v>756</v>
      </c>
      <c r="U1006" s="6" t="n">
        <v>3193</v>
      </c>
      <c r="V1006" s="6" t="n">
        <v>3105</v>
      </c>
    </row>
    <row r="1007" customFormat="false" ht="15" hidden="false" customHeight="false" outlineLevel="0" collapsed="false">
      <c r="A1007" s="5" t="s">
        <v>81</v>
      </c>
      <c r="B1007" s="6" t="s">
        <v>75</v>
      </c>
      <c r="C1007" s="5" t="s">
        <v>70</v>
      </c>
      <c r="D1007" s="5" t="s">
        <v>61</v>
      </c>
      <c r="E1007" s="6" t="n">
        <v>111758</v>
      </c>
      <c r="F1007" s="6" t="n">
        <v>105641</v>
      </c>
      <c r="G1007" s="6" t="n">
        <v>64056</v>
      </c>
      <c r="H1007" s="6" t="n">
        <v>62702</v>
      </c>
      <c r="I1007" s="6" t="n">
        <v>18136</v>
      </c>
      <c r="J1007" s="6" t="n">
        <v>17692</v>
      </c>
      <c r="K1007" s="6" t="n">
        <v>3771</v>
      </c>
      <c r="L1007" s="6" t="n">
        <v>4309</v>
      </c>
      <c r="M1007" s="6" t="n">
        <v>952</v>
      </c>
      <c r="N1007" s="6" t="n">
        <v>1169</v>
      </c>
      <c r="O1007" s="6" t="n">
        <v>2976</v>
      </c>
      <c r="P1007" s="6" t="n">
        <v>2998</v>
      </c>
      <c r="Q1007" s="6" t="n">
        <v>1961</v>
      </c>
      <c r="R1007" s="6" t="n">
        <v>2019</v>
      </c>
      <c r="S1007" s="6" t="n">
        <v>1296</v>
      </c>
      <c r="T1007" s="6" t="n">
        <v>1502</v>
      </c>
      <c r="U1007" s="6" t="n">
        <v>2629</v>
      </c>
      <c r="V1007" s="6" t="n">
        <v>2643</v>
      </c>
    </row>
    <row r="1008" customFormat="false" ht="15" hidden="false" customHeight="false" outlineLevel="0" collapsed="false">
      <c r="A1008" s="5" t="s">
        <v>81</v>
      </c>
      <c r="B1008" s="6" t="s">
        <v>75</v>
      </c>
      <c r="C1008" s="5" t="s">
        <v>71</v>
      </c>
      <c r="D1008" s="5" t="s">
        <v>61</v>
      </c>
      <c r="E1008" s="6" t="n">
        <v>103502</v>
      </c>
      <c r="F1008" s="6" t="n">
        <v>106679</v>
      </c>
      <c r="G1008" s="6" t="n">
        <v>58095</v>
      </c>
      <c r="H1008" s="6" t="n">
        <v>60936</v>
      </c>
      <c r="I1008" s="6" t="n">
        <v>16773</v>
      </c>
      <c r="J1008" s="6" t="n">
        <v>17926</v>
      </c>
      <c r="K1008" s="6" t="n">
        <v>2240</v>
      </c>
      <c r="L1008" s="6" t="n">
        <v>1973</v>
      </c>
      <c r="M1008" s="6" t="n">
        <v>955</v>
      </c>
      <c r="N1008" s="6" t="n">
        <v>1196</v>
      </c>
      <c r="O1008" s="6" t="n">
        <v>2841</v>
      </c>
      <c r="P1008" s="6" t="n">
        <v>2996</v>
      </c>
      <c r="Q1008" s="6" t="n">
        <v>1449</v>
      </c>
      <c r="R1008" s="6" t="n">
        <v>1457</v>
      </c>
      <c r="S1008" s="6" t="n">
        <v>734</v>
      </c>
      <c r="T1008" s="6" t="n">
        <v>597</v>
      </c>
      <c r="U1008" s="6" t="n">
        <v>2957</v>
      </c>
      <c r="V1008" s="6" t="n">
        <v>2895</v>
      </c>
    </row>
    <row r="1009" customFormat="false" ht="15" hidden="false" customHeight="false" outlineLevel="0" collapsed="false">
      <c r="A1009" s="5" t="s">
        <v>81</v>
      </c>
      <c r="B1009" s="6" t="s">
        <v>75</v>
      </c>
      <c r="C1009" s="5" t="s">
        <v>72</v>
      </c>
      <c r="D1009" s="5" t="s">
        <v>61</v>
      </c>
      <c r="E1009" s="6" t="n">
        <v>107532</v>
      </c>
      <c r="F1009" s="6" t="n">
        <v>111880</v>
      </c>
      <c r="G1009" s="6" t="n">
        <v>62449</v>
      </c>
      <c r="H1009" s="6" t="n">
        <v>66569</v>
      </c>
      <c r="I1009" s="6" t="n">
        <v>15895</v>
      </c>
      <c r="J1009" s="6" t="n">
        <v>16955</v>
      </c>
      <c r="K1009" s="6" t="n">
        <v>2768</v>
      </c>
      <c r="L1009" s="6" t="n">
        <v>3148</v>
      </c>
      <c r="M1009" s="6" t="n">
        <v>1544</v>
      </c>
      <c r="N1009" s="6" t="n">
        <v>1807</v>
      </c>
      <c r="O1009" s="6" t="n">
        <v>1937</v>
      </c>
      <c r="P1009" s="6" t="n">
        <v>1970</v>
      </c>
      <c r="Q1009" s="6" t="n">
        <v>1459</v>
      </c>
      <c r="R1009" s="6" t="n">
        <v>1528</v>
      </c>
      <c r="S1009" s="6" t="n">
        <v>835</v>
      </c>
      <c r="T1009" s="6" t="n">
        <v>890</v>
      </c>
      <c r="U1009" s="6" t="n">
        <v>3124</v>
      </c>
      <c r="V1009" s="6" t="n">
        <v>3034</v>
      </c>
    </row>
    <row r="1010" customFormat="false" ht="15" hidden="false" customHeight="false" outlineLevel="0" collapsed="false">
      <c r="A1010" s="5" t="s">
        <v>81</v>
      </c>
      <c r="B1010" s="6" t="s">
        <v>76</v>
      </c>
      <c r="C1010" s="5" t="s">
        <v>34</v>
      </c>
      <c r="D1010" s="5" t="s">
        <v>35</v>
      </c>
      <c r="E1010" s="6" t="n">
        <v>83682</v>
      </c>
      <c r="F1010" s="6" t="n">
        <v>82885</v>
      </c>
      <c r="G1010" s="6" t="n">
        <v>46848</v>
      </c>
      <c r="H1010" s="6" t="n">
        <v>45867</v>
      </c>
      <c r="I1010" s="6" t="n">
        <v>11768</v>
      </c>
      <c r="J1010" s="6" t="n">
        <v>11630</v>
      </c>
      <c r="K1010" s="6" t="n">
        <v>2753</v>
      </c>
      <c r="L1010" s="6" t="n">
        <v>2847</v>
      </c>
      <c r="M1010" s="6" t="n">
        <v>891</v>
      </c>
      <c r="N1010" s="6" t="n">
        <v>939</v>
      </c>
      <c r="O1010" s="6" t="n">
        <v>1799</v>
      </c>
      <c r="P1010" s="6" t="n">
        <v>1853</v>
      </c>
      <c r="Q1010" s="6" t="n">
        <v>1590</v>
      </c>
      <c r="R1010" s="6" t="n">
        <v>1541</v>
      </c>
      <c r="S1010" s="6" t="n">
        <v>844</v>
      </c>
      <c r="T1010" s="6" t="n">
        <v>927</v>
      </c>
      <c r="U1010" s="6" t="n">
        <v>2196</v>
      </c>
      <c r="V1010" s="6" t="n">
        <v>2249</v>
      </c>
    </row>
    <row r="1011" customFormat="false" ht="15" hidden="false" customHeight="false" outlineLevel="0" collapsed="false">
      <c r="A1011" s="5" t="s">
        <v>81</v>
      </c>
      <c r="B1011" s="6" t="s">
        <v>76</v>
      </c>
      <c r="C1011" s="5" t="s">
        <v>36</v>
      </c>
      <c r="D1011" s="5" t="s">
        <v>35</v>
      </c>
      <c r="E1011" s="6" t="n">
        <v>84551</v>
      </c>
      <c r="F1011" s="6" t="n">
        <v>83206</v>
      </c>
      <c r="G1011" s="6" t="n">
        <v>46719</v>
      </c>
      <c r="H1011" s="6" t="n">
        <v>48254</v>
      </c>
      <c r="I1011" s="6" t="n">
        <v>13353</v>
      </c>
      <c r="J1011" s="6" t="n">
        <v>13417</v>
      </c>
      <c r="K1011" s="6" t="n">
        <v>1987</v>
      </c>
      <c r="L1011" s="6" t="n">
        <v>1799</v>
      </c>
      <c r="M1011" s="6" t="n">
        <v>1222</v>
      </c>
      <c r="N1011" s="6" t="n">
        <v>1267</v>
      </c>
      <c r="O1011" s="6" t="n">
        <v>2194</v>
      </c>
      <c r="P1011" s="6" t="n">
        <v>2082</v>
      </c>
      <c r="Q1011" s="6" t="n">
        <v>1257</v>
      </c>
      <c r="R1011" s="6" t="n">
        <v>1213</v>
      </c>
      <c r="S1011" s="6" t="n">
        <v>720</v>
      </c>
      <c r="T1011" s="6" t="n">
        <v>959</v>
      </c>
      <c r="U1011" s="6" t="n">
        <v>1986</v>
      </c>
      <c r="V1011" s="6" t="n">
        <v>1936</v>
      </c>
    </row>
    <row r="1012" customFormat="false" ht="15" hidden="false" customHeight="false" outlineLevel="0" collapsed="false">
      <c r="A1012" s="5" t="s">
        <v>81</v>
      </c>
      <c r="B1012" s="6" t="s">
        <v>76</v>
      </c>
      <c r="C1012" s="5" t="s">
        <v>37</v>
      </c>
      <c r="D1012" s="5" t="s">
        <v>35</v>
      </c>
      <c r="E1012" s="6" t="n">
        <v>81180</v>
      </c>
      <c r="F1012" s="6" t="n">
        <v>84911</v>
      </c>
      <c r="G1012" s="6" t="n">
        <v>47023</v>
      </c>
      <c r="H1012" s="6" t="n">
        <v>49918</v>
      </c>
      <c r="I1012" s="6" t="n">
        <v>13624</v>
      </c>
      <c r="J1012" s="6" t="n">
        <v>13441</v>
      </c>
      <c r="K1012" s="6" t="n">
        <v>1972</v>
      </c>
      <c r="L1012" s="6" t="n">
        <v>1718</v>
      </c>
      <c r="M1012" s="6" t="n">
        <v>1175</v>
      </c>
      <c r="N1012" s="6" t="n">
        <v>1501</v>
      </c>
      <c r="O1012" s="6" t="n">
        <v>2085</v>
      </c>
      <c r="P1012" s="6" t="n">
        <v>2000</v>
      </c>
      <c r="Q1012" s="6" t="n">
        <v>1073</v>
      </c>
      <c r="R1012" s="6" t="n">
        <v>1053</v>
      </c>
      <c r="S1012" s="6" t="n">
        <v>856</v>
      </c>
      <c r="T1012" s="6" t="n">
        <v>1045</v>
      </c>
      <c r="U1012" s="6" t="n">
        <v>1950</v>
      </c>
      <c r="V1012" s="6" t="n">
        <v>1942</v>
      </c>
    </row>
    <row r="1013" customFormat="false" ht="15" hidden="false" customHeight="false" outlineLevel="0" collapsed="false">
      <c r="A1013" s="5" t="s">
        <v>81</v>
      </c>
      <c r="B1013" s="6" t="s">
        <v>76</v>
      </c>
      <c r="C1013" s="5" t="s">
        <v>38</v>
      </c>
      <c r="D1013" s="5" t="s">
        <v>35</v>
      </c>
      <c r="E1013" s="6" t="n">
        <v>87725</v>
      </c>
      <c r="F1013" s="6" t="n">
        <v>85467</v>
      </c>
      <c r="G1013" s="6" t="n">
        <v>48183</v>
      </c>
      <c r="H1013" s="6" t="n">
        <v>46980</v>
      </c>
      <c r="I1013" s="6" t="n">
        <v>14457</v>
      </c>
      <c r="J1013" s="6" t="n">
        <v>15173</v>
      </c>
      <c r="K1013" s="6" t="n">
        <v>2628</v>
      </c>
      <c r="L1013" s="6" t="n">
        <v>2986</v>
      </c>
      <c r="M1013" s="6" t="n">
        <v>728</v>
      </c>
      <c r="N1013" s="6" t="n">
        <v>720</v>
      </c>
      <c r="O1013" s="6" t="n">
        <v>1873</v>
      </c>
      <c r="P1013" s="6" t="n">
        <v>1811</v>
      </c>
      <c r="Q1013" s="6" t="n">
        <v>1414</v>
      </c>
      <c r="R1013" s="6" t="n">
        <v>1435</v>
      </c>
      <c r="S1013" s="6" t="n">
        <v>816</v>
      </c>
      <c r="T1013" s="6" t="n">
        <v>700</v>
      </c>
      <c r="U1013" s="6" t="n">
        <v>1934</v>
      </c>
      <c r="V1013" s="6" t="n">
        <v>1888</v>
      </c>
    </row>
    <row r="1014" customFormat="false" ht="15" hidden="false" customHeight="false" outlineLevel="0" collapsed="false">
      <c r="A1014" s="5" t="s">
        <v>81</v>
      </c>
      <c r="B1014" s="6" t="s">
        <v>76</v>
      </c>
      <c r="C1014" s="5" t="s">
        <v>39</v>
      </c>
      <c r="D1014" s="5" t="s">
        <v>35</v>
      </c>
      <c r="E1014" s="6" t="n">
        <v>89393</v>
      </c>
      <c r="F1014" s="6" t="n">
        <v>86685</v>
      </c>
      <c r="G1014" s="6" t="n">
        <v>48489</v>
      </c>
      <c r="H1014" s="6" t="n">
        <v>46468</v>
      </c>
      <c r="I1014" s="6" t="n">
        <v>13948</v>
      </c>
      <c r="J1014" s="6" t="n">
        <v>14835</v>
      </c>
      <c r="K1014" s="6" t="n">
        <v>2732</v>
      </c>
      <c r="L1014" s="6" t="n">
        <v>2451</v>
      </c>
      <c r="M1014" s="6" t="n">
        <v>1228</v>
      </c>
      <c r="N1014" s="6" t="n">
        <v>1034</v>
      </c>
      <c r="O1014" s="6" t="n">
        <v>2369</v>
      </c>
      <c r="P1014" s="6" t="n">
        <v>2220</v>
      </c>
      <c r="Q1014" s="6" t="n">
        <v>1665</v>
      </c>
      <c r="R1014" s="6" t="n">
        <v>1712</v>
      </c>
      <c r="S1014" s="6" t="n">
        <v>736</v>
      </c>
      <c r="T1014" s="6" t="n">
        <v>720</v>
      </c>
      <c r="U1014" s="6" t="n">
        <v>2380</v>
      </c>
      <c r="V1014" s="6" t="n">
        <v>2435</v>
      </c>
    </row>
    <row r="1015" customFormat="false" ht="15" hidden="false" customHeight="false" outlineLevel="0" collapsed="false">
      <c r="A1015" s="5" t="s">
        <v>81</v>
      </c>
      <c r="B1015" s="6" t="s">
        <v>76</v>
      </c>
      <c r="C1015" s="5" t="s">
        <v>40</v>
      </c>
      <c r="D1015" s="5" t="s">
        <v>35</v>
      </c>
      <c r="E1015" s="6" t="n">
        <v>95069</v>
      </c>
      <c r="F1015" s="6" t="n">
        <v>94634</v>
      </c>
      <c r="G1015" s="6" t="n">
        <v>56298</v>
      </c>
      <c r="H1015" s="6" t="n">
        <v>56719</v>
      </c>
      <c r="I1015" s="6" t="n">
        <v>14838</v>
      </c>
      <c r="J1015" s="6" t="n">
        <v>16011</v>
      </c>
      <c r="K1015" s="6" t="n">
        <v>2326</v>
      </c>
      <c r="L1015" s="6" t="n">
        <v>1983</v>
      </c>
      <c r="M1015" s="6" t="n">
        <v>1269</v>
      </c>
      <c r="N1015" s="6" t="n">
        <v>1085</v>
      </c>
      <c r="O1015" s="6" t="n">
        <v>2022</v>
      </c>
      <c r="P1015" s="6" t="n">
        <v>2063</v>
      </c>
      <c r="Q1015" s="6" t="n">
        <v>1185</v>
      </c>
      <c r="R1015" s="6" t="n">
        <v>1162</v>
      </c>
      <c r="S1015" s="6" t="n">
        <v>745</v>
      </c>
      <c r="T1015" s="6" t="n">
        <v>656</v>
      </c>
      <c r="U1015" s="6" t="n">
        <v>2697</v>
      </c>
      <c r="V1015" s="6" t="n">
        <v>2616</v>
      </c>
    </row>
    <row r="1016" customFormat="false" ht="15" hidden="false" customHeight="false" outlineLevel="0" collapsed="false">
      <c r="A1016" s="5" t="s">
        <v>81</v>
      </c>
      <c r="B1016" s="6" t="s">
        <v>76</v>
      </c>
      <c r="C1016" s="5" t="s">
        <v>41</v>
      </c>
      <c r="D1016" s="5" t="s">
        <v>35</v>
      </c>
      <c r="E1016" s="6" t="n">
        <v>86395</v>
      </c>
      <c r="F1016" s="6" t="n">
        <v>89871</v>
      </c>
      <c r="G1016" s="6" t="n">
        <v>51464</v>
      </c>
      <c r="H1016" s="6" t="n">
        <v>55851</v>
      </c>
      <c r="I1016" s="6" t="n">
        <v>13386</v>
      </c>
      <c r="J1016" s="6" t="n">
        <v>13924</v>
      </c>
      <c r="K1016" s="6" t="n">
        <v>2351</v>
      </c>
      <c r="L1016" s="6" t="n">
        <v>2585</v>
      </c>
      <c r="M1016" s="6" t="n">
        <v>1006</v>
      </c>
      <c r="N1016" s="6" t="n">
        <v>1195</v>
      </c>
      <c r="O1016" s="6" t="n">
        <v>2384</v>
      </c>
      <c r="P1016" s="6" t="n">
        <v>2467</v>
      </c>
      <c r="Q1016" s="6" t="n">
        <v>1231</v>
      </c>
      <c r="R1016" s="6" t="n">
        <v>1277</v>
      </c>
      <c r="S1016" s="6" t="n">
        <v>907</v>
      </c>
      <c r="T1016" s="6" t="n">
        <v>1147</v>
      </c>
      <c r="U1016" s="6" t="n">
        <v>1830</v>
      </c>
      <c r="V1016" s="6" t="n">
        <v>1823</v>
      </c>
    </row>
    <row r="1017" customFormat="false" ht="15" hidden="false" customHeight="false" outlineLevel="0" collapsed="false">
      <c r="A1017" s="5" t="s">
        <v>81</v>
      </c>
      <c r="B1017" s="6" t="s">
        <v>76</v>
      </c>
      <c r="C1017" s="5" t="s">
        <v>42</v>
      </c>
      <c r="D1017" s="5" t="s">
        <v>35</v>
      </c>
      <c r="E1017" s="6" t="n">
        <v>87066</v>
      </c>
      <c r="F1017" s="6" t="n">
        <v>89249</v>
      </c>
      <c r="G1017" s="6" t="n">
        <v>47957</v>
      </c>
      <c r="H1017" s="6" t="n">
        <v>50099</v>
      </c>
      <c r="I1017" s="6" t="n">
        <v>14056</v>
      </c>
      <c r="J1017" s="6" t="n">
        <v>14309</v>
      </c>
      <c r="K1017" s="6" t="n">
        <v>1930</v>
      </c>
      <c r="L1017" s="6" t="n">
        <v>1684</v>
      </c>
      <c r="M1017" s="6" t="n">
        <v>808</v>
      </c>
      <c r="N1017" s="6" t="n">
        <v>770</v>
      </c>
      <c r="O1017" s="6" t="n">
        <v>1623</v>
      </c>
      <c r="P1017" s="6" t="n">
        <v>1576</v>
      </c>
      <c r="Q1017" s="6" t="n">
        <v>1471</v>
      </c>
      <c r="R1017" s="6" t="n">
        <v>1476</v>
      </c>
      <c r="S1017" s="6" t="n">
        <v>938</v>
      </c>
      <c r="T1017" s="6" t="n">
        <v>814</v>
      </c>
      <c r="U1017" s="6" t="n">
        <v>2379</v>
      </c>
      <c r="V1017" s="6" t="n">
        <v>2441</v>
      </c>
    </row>
    <row r="1018" customFormat="false" ht="15" hidden="false" customHeight="false" outlineLevel="0" collapsed="false">
      <c r="A1018" s="5" t="s">
        <v>81</v>
      </c>
      <c r="B1018" s="6" t="s">
        <v>76</v>
      </c>
      <c r="C1018" s="5" t="s">
        <v>43</v>
      </c>
      <c r="D1018" s="5" t="s">
        <v>35</v>
      </c>
      <c r="E1018" s="6" t="n">
        <v>99035</v>
      </c>
      <c r="F1018" s="6" t="n">
        <v>98229</v>
      </c>
      <c r="G1018" s="6" t="n">
        <v>58600</v>
      </c>
      <c r="H1018" s="6" t="n">
        <v>60411</v>
      </c>
      <c r="I1018" s="6" t="n">
        <v>14132</v>
      </c>
      <c r="J1018" s="6" t="n">
        <v>15049</v>
      </c>
      <c r="K1018" s="6" t="n">
        <v>2644</v>
      </c>
      <c r="L1018" s="6" t="n">
        <v>2902</v>
      </c>
      <c r="M1018" s="6" t="n">
        <v>1074</v>
      </c>
      <c r="N1018" s="6" t="n">
        <v>1186</v>
      </c>
      <c r="O1018" s="6" t="n">
        <v>2750</v>
      </c>
      <c r="P1018" s="6" t="n">
        <v>2667</v>
      </c>
      <c r="Q1018" s="6" t="n">
        <v>1736</v>
      </c>
      <c r="R1018" s="6" t="n">
        <v>1666</v>
      </c>
      <c r="S1018" s="6" t="n">
        <v>690</v>
      </c>
      <c r="T1018" s="6" t="n">
        <v>841</v>
      </c>
      <c r="U1018" s="6" t="n">
        <v>2091</v>
      </c>
      <c r="V1018" s="6" t="n">
        <v>2097</v>
      </c>
    </row>
    <row r="1019" customFormat="false" ht="15" hidden="false" customHeight="false" outlineLevel="0" collapsed="false">
      <c r="A1019" s="5" t="s">
        <v>81</v>
      </c>
      <c r="B1019" s="6" t="s">
        <v>76</v>
      </c>
      <c r="C1019" s="5" t="s">
        <v>44</v>
      </c>
      <c r="D1019" s="5" t="s">
        <v>35</v>
      </c>
      <c r="E1019" s="6" t="n">
        <v>94642</v>
      </c>
      <c r="F1019" s="6" t="n">
        <v>90565</v>
      </c>
      <c r="G1019" s="6" t="n">
        <v>53504</v>
      </c>
      <c r="H1019" s="6" t="n">
        <v>49483</v>
      </c>
      <c r="I1019" s="6" t="n">
        <v>15204</v>
      </c>
      <c r="J1019" s="6" t="n">
        <v>15029</v>
      </c>
      <c r="K1019" s="6" t="n">
        <v>1896</v>
      </c>
      <c r="L1019" s="6" t="n">
        <v>1615</v>
      </c>
      <c r="M1019" s="6" t="n">
        <v>1377</v>
      </c>
      <c r="N1019" s="6" t="n">
        <v>1617</v>
      </c>
      <c r="O1019" s="6" t="n">
        <v>2214</v>
      </c>
      <c r="P1019" s="6" t="n">
        <v>2114</v>
      </c>
      <c r="Q1019" s="6" t="n">
        <v>1436</v>
      </c>
      <c r="R1019" s="6" t="n">
        <v>1490</v>
      </c>
      <c r="S1019" s="6" t="n">
        <v>570</v>
      </c>
      <c r="T1019" s="6" t="n">
        <v>672</v>
      </c>
      <c r="U1019" s="6" t="n">
        <v>2202</v>
      </c>
      <c r="V1019" s="6" t="n">
        <v>2160</v>
      </c>
    </row>
    <row r="1020" customFormat="false" ht="15" hidden="false" customHeight="false" outlineLevel="0" collapsed="false">
      <c r="A1020" s="5" t="s">
        <v>81</v>
      </c>
      <c r="B1020" s="6" t="s">
        <v>76</v>
      </c>
      <c r="C1020" s="5" t="s">
        <v>45</v>
      </c>
      <c r="D1020" s="5" t="s">
        <v>35</v>
      </c>
      <c r="E1020" s="6" t="n">
        <v>90676</v>
      </c>
      <c r="F1020" s="6" t="n">
        <v>90357</v>
      </c>
      <c r="G1020" s="6" t="n">
        <v>50243</v>
      </c>
      <c r="H1020" s="6" t="n">
        <v>51466</v>
      </c>
      <c r="I1020" s="6" t="n">
        <v>15239</v>
      </c>
      <c r="J1020" s="6" t="n">
        <v>15709</v>
      </c>
      <c r="K1020" s="6" t="n">
        <v>2034</v>
      </c>
      <c r="L1020" s="6" t="n">
        <v>1984</v>
      </c>
      <c r="M1020" s="6" t="n">
        <v>1240</v>
      </c>
      <c r="N1020" s="6" t="n">
        <v>1098</v>
      </c>
      <c r="O1020" s="6" t="n">
        <v>2338</v>
      </c>
      <c r="P1020" s="6" t="n">
        <v>2474</v>
      </c>
      <c r="Q1020" s="6" t="n">
        <v>1133</v>
      </c>
      <c r="R1020" s="6" t="n">
        <v>1127</v>
      </c>
      <c r="S1020" s="6" t="n">
        <v>835</v>
      </c>
      <c r="T1020" s="6" t="n">
        <v>885</v>
      </c>
      <c r="U1020" s="6" t="n">
        <v>2559</v>
      </c>
      <c r="V1020" s="6" t="n">
        <v>2598</v>
      </c>
    </row>
    <row r="1021" customFormat="false" ht="15" hidden="false" customHeight="false" outlineLevel="0" collapsed="false">
      <c r="A1021" s="5" t="s">
        <v>81</v>
      </c>
      <c r="B1021" s="6" t="s">
        <v>76</v>
      </c>
      <c r="C1021" s="5" t="s">
        <v>46</v>
      </c>
      <c r="D1021" s="5" t="s">
        <v>35</v>
      </c>
      <c r="E1021" s="6" t="n">
        <v>103786</v>
      </c>
      <c r="F1021" s="6" t="n">
        <v>99513</v>
      </c>
      <c r="G1021" s="6" t="n">
        <v>57149</v>
      </c>
      <c r="H1021" s="6" t="n">
        <v>55571</v>
      </c>
      <c r="I1021" s="6" t="n">
        <v>17300</v>
      </c>
      <c r="J1021" s="6" t="n">
        <v>18459</v>
      </c>
      <c r="K1021" s="6" t="n">
        <v>2857</v>
      </c>
      <c r="L1021" s="6" t="n">
        <v>3194</v>
      </c>
      <c r="M1021" s="6" t="n">
        <v>1319</v>
      </c>
      <c r="N1021" s="6" t="n">
        <v>1637</v>
      </c>
      <c r="O1021" s="6" t="n">
        <v>2080</v>
      </c>
      <c r="P1021" s="6" t="n">
        <v>2219</v>
      </c>
      <c r="Q1021" s="6" t="n">
        <v>1584</v>
      </c>
      <c r="R1021" s="6" t="n">
        <v>1623</v>
      </c>
      <c r="S1021" s="6" t="n">
        <v>938</v>
      </c>
      <c r="T1021" s="6" t="n">
        <v>1108</v>
      </c>
      <c r="U1021" s="6" t="n">
        <v>2992</v>
      </c>
      <c r="V1021" s="6" t="n">
        <v>3075</v>
      </c>
    </row>
    <row r="1022" customFormat="false" ht="15" hidden="false" customHeight="false" outlineLevel="0" collapsed="false">
      <c r="A1022" s="5" t="s">
        <v>81</v>
      </c>
      <c r="B1022" s="6" t="s">
        <v>76</v>
      </c>
      <c r="C1022" s="5" t="s">
        <v>47</v>
      </c>
      <c r="D1022" s="5" t="s">
        <v>48</v>
      </c>
      <c r="E1022" s="6" t="n">
        <v>97796</v>
      </c>
      <c r="F1022" s="6" t="n">
        <v>94947</v>
      </c>
      <c r="G1022" s="6" t="n">
        <v>57316</v>
      </c>
      <c r="H1022" s="6" t="n">
        <v>54588</v>
      </c>
      <c r="I1022" s="6" t="n">
        <v>15026</v>
      </c>
      <c r="J1022" s="6" t="n">
        <v>14985</v>
      </c>
      <c r="K1022" s="6" t="n">
        <v>2766</v>
      </c>
      <c r="L1022" s="6" t="n">
        <v>3152</v>
      </c>
      <c r="M1022" s="6" t="n">
        <v>857</v>
      </c>
      <c r="N1022" s="6" t="n">
        <v>1103</v>
      </c>
      <c r="O1022" s="6" t="n">
        <v>1946</v>
      </c>
      <c r="P1022" s="6" t="n">
        <v>2023</v>
      </c>
      <c r="Q1022" s="6" t="n">
        <v>1792</v>
      </c>
      <c r="R1022" s="6" t="n">
        <v>1738</v>
      </c>
      <c r="S1022" s="6" t="n">
        <v>719</v>
      </c>
      <c r="T1022" s="6" t="n">
        <v>838</v>
      </c>
      <c r="U1022" s="6" t="n">
        <v>2053</v>
      </c>
      <c r="V1022" s="6" t="n">
        <v>2058</v>
      </c>
    </row>
    <row r="1023" customFormat="false" ht="15" hidden="false" customHeight="false" outlineLevel="0" collapsed="false">
      <c r="A1023" s="5" t="s">
        <v>81</v>
      </c>
      <c r="B1023" s="6" t="s">
        <v>76</v>
      </c>
      <c r="C1023" s="5" t="s">
        <v>49</v>
      </c>
      <c r="D1023" s="5" t="s">
        <v>48</v>
      </c>
      <c r="E1023" s="6" t="n">
        <v>101148</v>
      </c>
      <c r="F1023" s="6" t="n">
        <v>95739</v>
      </c>
      <c r="G1023" s="6" t="n">
        <v>56740</v>
      </c>
      <c r="H1023" s="6" t="n">
        <v>52685</v>
      </c>
      <c r="I1023" s="6" t="n">
        <v>16398</v>
      </c>
      <c r="J1023" s="6" t="n">
        <v>17220</v>
      </c>
      <c r="K1023" s="6" t="n">
        <v>2119</v>
      </c>
      <c r="L1023" s="6" t="n">
        <v>2104</v>
      </c>
      <c r="M1023" s="6" t="n">
        <v>1311</v>
      </c>
      <c r="N1023" s="6" t="n">
        <v>1550</v>
      </c>
      <c r="O1023" s="6" t="n">
        <v>2772</v>
      </c>
      <c r="P1023" s="6" t="n">
        <v>2560</v>
      </c>
      <c r="Q1023" s="6" t="n">
        <v>1985</v>
      </c>
      <c r="R1023" s="6" t="n">
        <v>1981</v>
      </c>
      <c r="S1023" s="6" t="n">
        <v>841</v>
      </c>
      <c r="T1023" s="6" t="n">
        <v>1001</v>
      </c>
      <c r="U1023" s="6" t="n">
        <v>2450</v>
      </c>
      <c r="V1023" s="6" t="n">
        <v>2469</v>
      </c>
    </row>
    <row r="1024" customFormat="false" ht="15" hidden="false" customHeight="false" outlineLevel="0" collapsed="false">
      <c r="A1024" s="5" t="s">
        <v>81</v>
      </c>
      <c r="B1024" s="6" t="s">
        <v>76</v>
      </c>
      <c r="C1024" s="5" t="s">
        <v>50</v>
      </c>
      <c r="D1024" s="5" t="s">
        <v>48</v>
      </c>
      <c r="E1024" s="6" t="n">
        <v>96951</v>
      </c>
      <c r="F1024" s="6" t="n">
        <v>96006</v>
      </c>
      <c r="G1024" s="6" t="n">
        <v>52390</v>
      </c>
      <c r="H1024" s="6" t="n">
        <v>54274</v>
      </c>
      <c r="I1024" s="6" t="n">
        <v>15139</v>
      </c>
      <c r="J1024" s="6" t="n">
        <v>14852</v>
      </c>
      <c r="K1024" s="6" t="n">
        <v>2890</v>
      </c>
      <c r="L1024" s="6" t="n">
        <v>2687</v>
      </c>
      <c r="M1024" s="6" t="n">
        <v>1298</v>
      </c>
      <c r="N1024" s="6" t="n">
        <v>1442</v>
      </c>
      <c r="O1024" s="6" t="n">
        <v>2198</v>
      </c>
      <c r="P1024" s="6" t="n">
        <v>2198</v>
      </c>
      <c r="Q1024" s="6" t="n">
        <v>1481</v>
      </c>
      <c r="R1024" s="6" t="n">
        <v>1475</v>
      </c>
      <c r="S1024" s="6" t="n">
        <v>874</v>
      </c>
      <c r="T1024" s="6" t="n">
        <v>757</v>
      </c>
      <c r="U1024" s="6" t="n">
        <v>2879</v>
      </c>
      <c r="V1024" s="6" t="n">
        <v>2865</v>
      </c>
    </row>
    <row r="1025" customFormat="false" ht="15" hidden="false" customHeight="false" outlineLevel="0" collapsed="false">
      <c r="A1025" s="5" t="s">
        <v>81</v>
      </c>
      <c r="B1025" s="6" t="s">
        <v>76</v>
      </c>
      <c r="C1025" s="5" t="s">
        <v>51</v>
      </c>
      <c r="D1025" s="5" t="s">
        <v>48</v>
      </c>
      <c r="E1025" s="6" t="n">
        <v>99830</v>
      </c>
      <c r="F1025" s="6" t="n">
        <v>98143</v>
      </c>
      <c r="G1025" s="6" t="n">
        <v>57149</v>
      </c>
      <c r="H1025" s="6" t="n">
        <v>55687</v>
      </c>
      <c r="I1025" s="6" t="n">
        <v>15955</v>
      </c>
      <c r="J1025" s="6" t="n">
        <v>15789</v>
      </c>
      <c r="K1025" s="6" t="n">
        <v>3008</v>
      </c>
      <c r="L1025" s="6" t="n">
        <v>3451</v>
      </c>
      <c r="M1025" s="6" t="n">
        <v>1373</v>
      </c>
      <c r="N1025" s="6" t="n">
        <v>1202</v>
      </c>
      <c r="O1025" s="6" t="n">
        <v>2187</v>
      </c>
      <c r="P1025" s="6" t="n">
        <v>2157</v>
      </c>
      <c r="Q1025" s="6" t="n">
        <v>1959</v>
      </c>
      <c r="R1025" s="6" t="n">
        <v>1939</v>
      </c>
      <c r="S1025" s="6" t="n">
        <v>829</v>
      </c>
      <c r="T1025" s="6" t="n">
        <v>748</v>
      </c>
      <c r="U1025" s="6" t="n">
        <v>2865</v>
      </c>
      <c r="V1025" s="6" t="n">
        <v>2878</v>
      </c>
    </row>
    <row r="1026" customFormat="false" ht="15" hidden="false" customHeight="false" outlineLevel="0" collapsed="false">
      <c r="A1026" s="5" t="s">
        <v>81</v>
      </c>
      <c r="B1026" s="6" t="s">
        <v>76</v>
      </c>
      <c r="C1026" s="5" t="s">
        <v>52</v>
      </c>
      <c r="D1026" s="5" t="s">
        <v>48</v>
      </c>
      <c r="E1026" s="6" t="n">
        <v>95265</v>
      </c>
      <c r="F1026" s="6" t="n">
        <v>97324</v>
      </c>
      <c r="G1026" s="6" t="n">
        <v>52610</v>
      </c>
      <c r="H1026" s="6" t="n">
        <v>54802</v>
      </c>
      <c r="I1026" s="6" t="n">
        <v>15032</v>
      </c>
      <c r="J1026" s="6" t="n">
        <v>16055</v>
      </c>
      <c r="K1026" s="6" t="n">
        <v>2138</v>
      </c>
      <c r="L1026" s="6" t="n">
        <v>2026</v>
      </c>
      <c r="M1026" s="6" t="n">
        <v>1164</v>
      </c>
      <c r="N1026" s="6" t="n">
        <v>1322</v>
      </c>
      <c r="O1026" s="6" t="n">
        <v>2313</v>
      </c>
      <c r="P1026" s="6" t="n">
        <v>2132</v>
      </c>
      <c r="Q1026" s="6" t="n">
        <v>1482</v>
      </c>
      <c r="R1026" s="6" t="n">
        <v>1452</v>
      </c>
      <c r="S1026" s="6" t="n">
        <v>650</v>
      </c>
      <c r="T1026" s="6" t="n">
        <v>856</v>
      </c>
      <c r="U1026" s="6" t="n">
        <v>1927</v>
      </c>
      <c r="V1026" s="6" t="n">
        <v>1900</v>
      </c>
    </row>
    <row r="1027" customFormat="false" ht="15" hidden="false" customHeight="false" outlineLevel="0" collapsed="false">
      <c r="A1027" s="5" t="s">
        <v>81</v>
      </c>
      <c r="B1027" s="6" t="s">
        <v>76</v>
      </c>
      <c r="C1027" s="5" t="s">
        <v>53</v>
      </c>
      <c r="D1027" s="5" t="s">
        <v>48</v>
      </c>
      <c r="E1027" s="6" t="n">
        <v>108599</v>
      </c>
      <c r="F1027" s="6" t="n">
        <v>105254</v>
      </c>
      <c r="G1027" s="6" t="n">
        <v>61328</v>
      </c>
      <c r="H1027" s="6" t="n">
        <v>60440</v>
      </c>
      <c r="I1027" s="6" t="n">
        <v>18452</v>
      </c>
      <c r="J1027" s="6" t="n">
        <v>18026</v>
      </c>
      <c r="K1027" s="6" t="n">
        <v>2885</v>
      </c>
      <c r="L1027" s="6" t="n">
        <v>2988</v>
      </c>
      <c r="M1027" s="6" t="n">
        <v>1237</v>
      </c>
      <c r="N1027" s="6" t="n">
        <v>1337</v>
      </c>
      <c r="O1027" s="6" t="n">
        <v>2556</v>
      </c>
      <c r="P1027" s="6" t="n">
        <v>2625</v>
      </c>
      <c r="Q1027" s="6" t="n">
        <v>1570</v>
      </c>
      <c r="R1027" s="6" t="n">
        <v>1598</v>
      </c>
      <c r="S1027" s="6" t="n">
        <v>818</v>
      </c>
      <c r="T1027" s="6" t="n">
        <v>827</v>
      </c>
      <c r="U1027" s="6" t="n">
        <v>2843</v>
      </c>
      <c r="V1027" s="6" t="n">
        <v>2855</v>
      </c>
    </row>
    <row r="1028" customFormat="false" ht="15" hidden="false" customHeight="false" outlineLevel="0" collapsed="false">
      <c r="A1028" s="5" t="s">
        <v>81</v>
      </c>
      <c r="B1028" s="6" t="s">
        <v>76</v>
      </c>
      <c r="C1028" s="5" t="s">
        <v>54</v>
      </c>
      <c r="D1028" s="5" t="s">
        <v>48</v>
      </c>
      <c r="E1028" s="6" t="n">
        <v>93404</v>
      </c>
      <c r="F1028" s="6" t="n">
        <v>98420</v>
      </c>
      <c r="G1028" s="6" t="n">
        <v>53291</v>
      </c>
      <c r="H1028" s="6" t="n">
        <v>58135</v>
      </c>
      <c r="I1028" s="6" t="n">
        <v>15324</v>
      </c>
      <c r="J1028" s="6" t="n">
        <v>16292</v>
      </c>
      <c r="K1028" s="6" t="n">
        <v>2026</v>
      </c>
      <c r="L1028" s="6" t="n">
        <v>2003</v>
      </c>
      <c r="M1028" s="6" t="n">
        <v>936</v>
      </c>
      <c r="N1028" s="6" t="n">
        <v>963</v>
      </c>
      <c r="O1028" s="6" t="n">
        <v>2563</v>
      </c>
      <c r="P1028" s="6" t="n">
        <v>2516</v>
      </c>
      <c r="Q1028" s="6" t="n">
        <v>1419</v>
      </c>
      <c r="R1028" s="6" t="n">
        <v>1431</v>
      </c>
      <c r="S1028" s="6" t="n">
        <v>1013</v>
      </c>
      <c r="T1028" s="6" t="n">
        <v>875</v>
      </c>
      <c r="U1028" s="6" t="n">
        <v>2224</v>
      </c>
      <c r="V1028" s="6" t="n">
        <v>2261</v>
      </c>
    </row>
    <row r="1029" customFormat="false" ht="15" hidden="false" customHeight="false" outlineLevel="0" collapsed="false">
      <c r="A1029" s="5" t="s">
        <v>81</v>
      </c>
      <c r="B1029" s="6" t="s">
        <v>76</v>
      </c>
      <c r="C1029" s="5" t="s">
        <v>55</v>
      </c>
      <c r="D1029" s="5" t="s">
        <v>48</v>
      </c>
      <c r="E1029" s="6" t="n">
        <v>96544</v>
      </c>
      <c r="F1029" s="6" t="n">
        <v>99343</v>
      </c>
      <c r="G1029" s="6" t="n">
        <v>53964</v>
      </c>
      <c r="H1029" s="6" t="n">
        <v>57478</v>
      </c>
      <c r="I1029" s="6" t="n">
        <v>13999</v>
      </c>
      <c r="J1029" s="6" t="n">
        <v>14565</v>
      </c>
      <c r="K1029" s="6" t="n">
        <v>3098</v>
      </c>
      <c r="L1029" s="6" t="n">
        <v>3447</v>
      </c>
      <c r="M1029" s="6" t="n">
        <v>993</v>
      </c>
      <c r="N1029" s="6" t="n">
        <v>879</v>
      </c>
      <c r="O1029" s="6" t="n">
        <v>2545</v>
      </c>
      <c r="P1029" s="6" t="n">
        <v>2793</v>
      </c>
      <c r="Q1029" s="6" t="n">
        <v>1285</v>
      </c>
      <c r="R1029" s="6" t="n">
        <v>1239</v>
      </c>
      <c r="S1029" s="6" t="n">
        <v>845</v>
      </c>
      <c r="T1029" s="6" t="n">
        <v>877</v>
      </c>
      <c r="U1029" s="6" t="n">
        <v>2211</v>
      </c>
      <c r="V1029" s="6" t="n">
        <v>2225</v>
      </c>
    </row>
    <row r="1030" customFormat="false" ht="15" hidden="false" customHeight="false" outlineLevel="0" collapsed="false">
      <c r="A1030" s="5" t="s">
        <v>81</v>
      </c>
      <c r="B1030" s="6" t="s">
        <v>76</v>
      </c>
      <c r="C1030" s="5" t="s">
        <v>56</v>
      </c>
      <c r="D1030" s="5" t="s">
        <v>48</v>
      </c>
      <c r="E1030" s="6" t="n">
        <v>109966</v>
      </c>
      <c r="F1030" s="6" t="n">
        <v>105657</v>
      </c>
      <c r="G1030" s="6" t="n">
        <v>60564</v>
      </c>
      <c r="H1030" s="6" t="n">
        <v>58902</v>
      </c>
      <c r="I1030" s="6" t="n">
        <v>16229</v>
      </c>
      <c r="J1030" s="6" t="n">
        <v>16671</v>
      </c>
      <c r="K1030" s="6" t="n">
        <v>3470</v>
      </c>
      <c r="L1030" s="6" t="n">
        <v>2950</v>
      </c>
      <c r="M1030" s="6" t="n">
        <v>1555</v>
      </c>
      <c r="N1030" s="6" t="n">
        <v>1690</v>
      </c>
      <c r="O1030" s="6" t="n">
        <v>2188</v>
      </c>
      <c r="P1030" s="6" t="n">
        <v>2275</v>
      </c>
      <c r="Q1030" s="6" t="n">
        <v>1356</v>
      </c>
      <c r="R1030" s="6" t="n">
        <v>1354</v>
      </c>
      <c r="S1030" s="6" t="n">
        <v>1100</v>
      </c>
      <c r="T1030" s="6" t="n">
        <v>1237</v>
      </c>
      <c r="U1030" s="6" t="n">
        <v>2460</v>
      </c>
      <c r="V1030" s="6" t="n">
        <v>2474</v>
      </c>
    </row>
    <row r="1031" customFormat="false" ht="15" hidden="false" customHeight="false" outlineLevel="0" collapsed="false">
      <c r="A1031" s="5" t="s">
        <v>81</v>
      </c>
      <c r="B1031" s="6" t="s">
        <v>76</v>
      </c>
      <c r="C1031" s="5" t="s">
        <v>57</v>
      </c>
      <c r="D1031" s="5" t="s">
        <v>48</v>
      </c>
      <c r="E1031" s="6" t="n">
        <v>103030</v>
      </c>
      <c r="F1031" s="6" t="n">
        <v>99066</v>
      </c>
      <c r="G1031" s="6" t="n">
        <v>60232</v>
      </c>
      <c r="H1031" s="6" t="n">
        <v>56459</v>
      </c>
      <c r="I1031" s="6" t="n">
        <v>15499</v>
      </c>
      <c r="J1031" s="6" t="n">
        <v>16712</v>
      </c>
      <c r="K1031" s="6" t="n">
        <v>2426</v>
      </c>
      <c r="L1031" s="6" t="n">
        <v>2171</v>
      </c>
      <c r="M1031" s="6" t="n">
        <v>1517</v>
      </c>
      <c r="N1031" s="6" t="n">
        <v>1812</v>
      </c>
      <c r="O1031" s="6" t="n">
        <v>2797</v>
      </c>
      <c r="P1031" s="6" t="n">
        <v>2597</v>
      </c>
      <c r="Q1031" s="6" t="n">
        <v>1412</v>
      </c>
      <c r="R1031" s="6" t="n">
        <v>1437</v>
      </c>
      <c r="S1031" s="6" t="n">
        <v>1063</v>
      </c>
      <c r="T1031" s="6" t="n">
        <v>1335</v>
      </c>
      <c r="U1031" s="6" t="n">
        <v>2476</v>
      </c>
      <c r="V1031" s="6" t="n">
        <v>2490</v>
      </c>
    </row>
    <row r="1032" customFormat="false" ht="15" hidden="false" customHeight="false" outlineLevel="0" collapsed="false">
      <c r="A1032" s="5" t="s">
        <v>81</v>
      </c>
      <c r="B1032" s="6" t="s">
        <v>76</v>
      </c>
      <c r="C1032" s="5" t="s">
        <v>58</v>
      </c>
      <c r="D1032" s="5" t="s">
        <v>48</v>
      </c>
      <c r="E1032" s="6" t="n">
        <v>102509</v>
      </c>
      <c r="F1032" s="6" t="n">
        <v>101336</v>
      </c>
      <c r="G1032" s="6" t="n">
        <v>59322</v>
      </c>
      <c r="H1032" s="6" t="n">
        <v>56704</v>
      </c>
      <c r="I1032" s="6" t="n">
        <v>17329</v>
      </c>
      <c r="J1032" s="6" t="n">
        <v>17490</v>
      </c>
      <c r="K1032" s="6" t="n">
        <v>2500</v>
      </c>
      <c r="L1032" s="6" t="n">
        <v>2543</v>
      </c>
      <c r="M1032" s="6" t="n">
        <v>1371</v>
      </c>
      <c r="N1032" s="6" t="n">
        <v>1228</v>
      </c>
      <c r="O1032" s="6" t="n">
        <v>2294</v>
      </c>
      <c r="P1032" s="6" t="n">
        <v>2334</v>
      </c>
      <c r="Q1032" s="6" t="n">
        <v>1923</v>
      </c>
      <c r="R1032" s="6" t="n">
        <v>2017</v>
      </c>
      <c r="S1032" s="6" t="n">
        <v>881</v>
      </c>
      <c r="T1032" s="6" t="n">
        <v>1006</v>
      </c>
      <c r="U1032" s="6" t="n">
        <v>2565</v>
      </c>
      <c r="V1032" s="6" t="n">
        <v>2562</v>
      </c>
    </row>
    <row r="1033" customFormat="false" ht="15" hidden="false" customHeight="false" outlineLevel="0" collapsed="false">
      <c r="A1033" s="5" t="s">
        <v>81</v>
      </c>
      <c r="B1033" s="6" t="s">
        <v>76</v>
      </c>
      <c r="C1033" s="5" t="s">
        <v>59</v>
      </c>
      <c r="D1033" s="5" t="s">
        <v>48</v>
      </c>
      <c r="E1033" s="6" t="n">
        <v>104291</v>
      </c>
      <c r="F1033" s="6" t="n">
        <v>110672</v>
      </c>
      <c r="G1033" s="6" t="n">
        <v>57057</v>
      </c>
      <c r="H1033" s="6" t="n">
        <v>60948</v>
      </c>
      <c r="I1033" s="6" t="n">
        <v>15897</v>
      </c>
      <c r="J1033" s="6" t="n">
        <v>16544</v>
      </c>
      <c r="K1033" s="6" t="n">
        <v>2140</v>
      </c>
      <c r="L1033" s="6" t="n">
        <v>1892</v>
      </c>
      <c r="M1033" s="6" t="n">
        <v>1382</v>
      </c>
      <c r="N1033" s="6" t="n">
        <v>1401</v>
      </c>
      <c r="O1033" s="6" t="n">
        <v>2804</v>
      </c>
      <c r="P1033" s="6" t="n">
        <v>2642</v>
      </c>
      <c r="Q1033" s="6" t="n">
        <v>1444</v>
      </c>
      <c r="R1033" s="6" t="n">
        <v>1504</v>
      </c>
      <c r="S1033" s="6" t="n">
        <v>815</v>
      </c>
      <c r="T1033" s="6" t="n">
        <v>1126</v>
      </c>
      <c r="U1033" s="6" t="n">
        <v>2223</v>
      </c>
      <c r="V1033" s="6" t="n">
        <v>2236</v>
      </c>
    </row>
    <row r="1034" customFormat="false" ht="15" hidden="false" customHeight="false" outlineLevel="0" collapsed="false">
      <c r="A1034" s="5" t="s">
        <v>81</v>
      </c>
      <c r="B1034" s="6" t="s">
        <v>76</v>
      </c>
      <c r="C1034" s="5" t="s">
        <v>60</v>
      </c>
      <c r="D1034" s="5" t="s">
        <v>61</v>
      </c>
      <c r="E1034" s="6" t="n">
        <v>101784</v>
      </c>
      <c r="F1034" s="6" t="n">
        <v>101980</v>
      </c>
      <c r="G1034" s="6" t="n">
        <v>59026</v>
      </c>
      <c r="H1034" s="6" t="n">
        <v>61968</v>
      </c>
      <c r="I1034" s="6" t="n">
        <v>15956</v>
      </c>
      <c r="J1034" s="6" t="n">
        <v>17108</v>
      </c>
      <c r="K1034" s="6" t="n">
        <v>3285</v>
      </c>
      <c r="L1034" s="6" t="n">
        <v>3161</v>
      </c>
      <c r="M1034" s="6" t="n">
        <v>1029</v>
      </c>
      <c r="N1034" s="6" t="n">
        <v>843</v>
      </c>
      <c r="O1034" s="6" t="n">
        <v>1976</v>
      </c>
      <c r="P1034" s="6" t="n">
        <v>2095</v>
      </c>
      <c r="Q1034" s="6" t="n">
        <v>1317</v>
      </c>
      <c r="R1034" s="6" t="n">
        <v>1371</v>
      </c>
      <c r="S1034" s="6" t="n">
        <v>984</v>
      </c>
      <c r="T1034" s="6" t="n">
        <v>1045</v>
      </c>
      <c r="U1034" s="6" t="n">
        <v>2522</v>
      </c>
      <c r="V1034" s="6" t="n">
        <v>2494</v>
      </c>
    </row>
    <row r="1035" customFormat="false" ht="15" hidden="false" customHeight="false" outlineLevel="0" collapsed="false">
      <c r="A1035" s="5" t="s">
        <v>81</v>
      </c>
      <c r="B1035" s="6" t="s">
        <v>76</v>
      </c>
      <c r="C1035" s="5" t="s">
        <v>62</v>
      </c>
      <c r="D1035" s="5" t="s">
        <v>61</v>
      </c>
      <c r="E1035" s="6" t="n">
        <v>98534</v>
      </c>
      <c r="F1035" s="6" t="n">
        <v>102491</v>
      </c>
      <c r="G1035" s="6" t="n">
        <v>58759</v>
      </c>
      <c r="H1035" s="6" t="n">
        <v>59996</v>
      </c>
      <c r="I1035" s="6" t="n">
        <v>15595</v>
      </c>
      <c r="J1035" s="6" t="n">
        <v>15696</v>
      </c>
      <c r="K1035" s="6" t="n">
        <v>2289</v>
      </c>
      <c r="L1035" s="6" t="n">
        <v>2382</v>
      </c>
      <c r="M1035" s="6" t="n">
        <v>1243</v>
      </c>
      <c r="N1035" s="6" t="n">
        <v>1268</v>
      </c>
      <c r="O1035" s="6" t="n">
        <v>1803</v>
      </c>
      <c r="P1035" s="6" t="n">
        <v>1821</v>
      </c>
      <c r="Q1035" s="6" t="n">
        <v>1561</v>
      </c>
      <c r="R1035" s="6" t="n">
        <v>1544</v>
      </c>
      <c r="S1035" s="6" t="n">
        <v>911</v>
      </c>
      <c r="T1035" s="6" t="n">
        <v>1103</v>
      </c>
      <c r="U1035" s="6" t="n">
        <v>2292</v>
      </c>
      <c r="V1035" s="6" t="n">
        <v>2305</v>
      </c>
    </row>
    <row r="1036" customFormat="false" ht="15" hidden="false" customHeight="false" outlineLevel="0" collapsed="false">
      <c r="A1036" s="5" t="s">
        <v>81</v>
      </c>
      <c r="B1036" s="6" t="s">
        <v>76</v>
      </c>
      <c r="C1036" s="5" t="s">
        <v>63</v>
      </c>
      <c r="D1036" s="5" t="s">
        <v>61</v>
      </c>
      <c r="E1036" s="6" t="n">
        <v>101567</v>
      </c>
      <c r="F1036" s="6" t="n">
        <v>103730</v>
      </c>
      <c r="G1036" s="6" t="n">
        <v>55434</v>
      </c>
      <c r="H1036" s="6" t="n">
        <v>58814</v>
      </c>
      <c r="I1036" s="6" t="n">
        <v>14926</v>
      </c>
      <c r="J1036" s="6" t="n">
        <v>14848</v>
      </c>
      <c r="K1036" s="6" t="n">
        <v>2041</v>
      </c>
      <c r="L1036" s="6" t="n">
        <v>2243</v>
      </c>
      <c r="M1036" s="6" t="n">
        <v>1502</v>
      </c>
      <c r="N1036" s="6" t="n">
        <v>1417</v>
      </c>
      <c r="O1036" s="6" t="n">
        <v>2568</v>
      </c>
      <c r="P1036" s="6" t="n">
        <v>2463</v>
      </c>
      <c r="Q1036" s="6" t="n">
        <v>1354</v>
      </c>
      <c r="R1036" s="6" t="n">
        <v>1399</v>
      </c>
      <c r="S1036" s="6" t="n">
        <v>1158</v>
      </c>
      <c r="T1036" s="6" t="n">
        <v>966</v>
      </c>
      <c r="U1036" s="6" t="n">
        <v>2784</v>
      </c>
      <c r="V1036" s="6" t="n">
        <v>2766</v>
      </c>
    </row>
    <row r="1037" customFormat="false" ht="15" hidden="false" customHeight="false" outlineLevel="0" collapsed="false">
      <c r="A1037" s="5" t="s">
        <v>81</v>
      </c>
      <c r="B1037" s="6" t="s">
        <v>76</v>
      </c>
      <c r="C1037" s="5" t="s">
        <v>64</v>
      </c>
      <c r="D1037" s="5" t="s">
        <v>61</v>
      </c>
      <c r="E1037" s="6" t="n">
        <v>110862</v>
      </c>
      <c r="F1037" s="6" t="n">
        <v>105224</v>
      </c>
      <c r="G1037" s="6" t="n">
        <v>66055</v>
      </c>
      <c r="H1037" s="6" t="n">
        <v>60949</v>
      </c>
      <c r="I1037" s="6" t="n">
        <v>17906</v>
      </c>
      <c r="J1037" s="6" t="n">
        <v>18299</v>
      </c>
      <c r="K1037" s="6" t="n">
        <v>3752</v>
      </c>
      <c r="L1037" s="6" t="n">
        <v>3910</v>
      </c>
      <c r="M1037" s="6" t="n">
        <v>1378</v>
      </c>
      <c r="N1037" s="6" t="n">
        <v>1422</v>
      </c>
      <c r="O1037" s="6" t="n">
        <v>2170</v>
      </c>
      <c r="P1037" s="6" t="n">
        <v>2298</v>
      </c>
      <c r="Q1037" s="6" t="n">
        <v>1806</v>
      </c>
      <c r="R1037" s="6" t="n">
        <v>1814</v>
      </c>
      <c r="S1037" s="6" t="n">
        <v>829</v>
      </c>
      <c r="T1037" s="6" t="n">
        <v>836</v>
      </c>
      <c r="U1037" s="6" t="n">
        <v>2573</v>
      </c>
      <c r="V1037" s="6" t="n">
        <v>2600</v>
      </c>
    </row>
    <row r="1038" customFormat="false" ht="15" hidden="false" customHeight="false" outlineLevel="0" collapsed="false">
      <c r="A1038" s="5" t="s">
        <v>81</v>
      </c>
      <c r="B1038" s="6" t="s">
        <v>76</v>
      </c>
      <c r="C1038" s="5" t="s">
        <v>65</v>
      </c>
      <c r="D1038" s="5" t="s">
        <v>61</v>
      </c>
      <c r="E1038" s="6" t="n">
        <v>102100</v>
      </c>
      <c r="F1038" s="6" t="n">
        <v>106297</v>
      </c>
      <c r="G1038" s="6" t="n">
        <v>58714</v>
      </c>
      <c r="H1038" s="6" t="n">
        <v>60624</v>
      </c>
      <c r="I1038" s="6" t="n">
        <v>16381</v>
      </c>
      <c r="J1038" s="6" t="n">
        <v>16514</v>
      </c>
      <c r="K1038" s="6" t="n">
        <v>3134</v>
      </c>
      <c r="L1038" s="6" t="n">
        <v>2958</v>
      </c>
      <c r="M1038" s="6" t="n">
        <v>1107</v>
      </c>
      <c r="N1038" s="6" t="n">
        <v>1427</v>
      </c>
      <c r="O1038" s="6" t="n">
        <v>2172</v>
      </c>
      <c r="P1038" s="6" t="n">
        <v>2142</v>
      </c>
      <c r="Q1038" s="6" t="n">
        <v>1294</v>
      </c>
      <c r="R1038" s="6" t="n">
        <v>1238</v>
      </c>
      <c r="S1038" s="6" t="n">
        <v>818</v>
      </c>
      <c r="T1038" s="6" t="n">
        <v>680</v>
      </c>
      <c r="U1038" s="6" t="n">
        <v>2912</v>
      </c>
      <c r="V1038" s="6" t="n">
        <v>2833</v>
      </c>
    </row>
    <row r="1039" customFormat="false" ht="15" hidden="false" customHeight="false" outlineLevel="0" collapsed="false">
      <c r="A1039" s="5" t="s">
        <v>81</v>
      </c>
      <c r="B1039" s="6" t="s">
        <v>76</v>
      </c>
      <c r="C1039" s="5" t="s">
        <v>66</v>
      </c>
      <c r="D1039" s="5" t="s">
        <v>61</v>
      </c>
      <c r="E1039" s="6" t="n">
        <v>108610</v>
      </c>
      <c r="F1039" s="6" t="n">
        <v>114191</v>
      </c>
      <c r="G1039" s="6" t="n">
        <v>61570</v>
      </c>
      <c r="H1039" s="6" t="n">
        <v>64205</v>
      </c>
      <c r="I1039" s="6" t="n">
        <v>16742</v>
      </c>
      <c r="J1039" s="6" t="n">
        <v>17648</v>
      </c>
      <c r="K1039" s="6" t="n">
        <v>3213</v>
      </c>
      <c r="L1039" s="6" t="n">
        <v>3075</v>
      </c>
      <c r="M1039" s="6" t="n">
        <v>976</v>
      </c>
      <c r="N1039" s="6" t="n">
        <v>995</v>
      </c>
      <c r="O1039" s="6" t="n">
        <v>2529</v>
      </c>
      <c r="P1039" s="6" t="n">
        <v>2665</v>
      </c>
      <c r="Q1039" s="6" t="n">
        <v>1940</v>
      </c>
      <c r="R1039" s="6" t="n">
        <v>1865</v>
      </c>
      <c r="S1039" s="6" t="n">
        <v>1166</v>
      </c>
      <c r="T1039" s="6" t="n">
        <v>1255</v>
      </c>
      <c r="U1039" s="6" t="n">
        <v>2559</v>
      </c>
      <c r="V1039" s="6" t="n">
        <v>2528</v>
      </c>
    </row>
    <row r="1040" customFormat="false" ht="15" hidden="false" customHeight="false" outlineLevel="0" collapsed="false">
      <c r="A1040" s="5" t="s">
        <v>81</v>
      </c>
      <c r="B1040" s="6" t="s">
        <v>76</v>
      </c>
      <c r="C1040" s="5" t="s">
        <v>67</v>
      </c>
      <c r="D1040" s="5" t="s">
        <v>61</v>
      </c>
      <c r="E1040" s="6" t="n">
        <v>109417</v>
      </c>
      <c r="F1040" s="6" t="n">
        <v>108492</v>
      </c>
      <c r="G1040" s="6" t="n">
        <v>60394</v>
      </c>
      <c r="H1040" s="6" t="n">
        <v>59284</v>
      </c>
      <c r="I1040" s="6" t="n">
        <v>18277</v>
      </c>
      <c r="J1040" s="6" t="n">
        <v>18137</v>
      </c>
      <c r="K1040" s="6" t="n">
        <v>2735</v>
      </c>
      <c r="L1040" s="6" t="n">
        <v>2725</v>
      </c>
      <c r="M1040" s="6" t="n">
        <v>1285</v>
      </c>
      <c r="N1040" s="6" t="n">
        <v>1171</v>
      </c>
      <c r="O1040" s="6" t="n">
        <v>2106</v>
      </c>
      <c r="P1040" s="6" t="n">
        <v>2020</v>
      </c>
      <c r="Q1040" s="6" t="n">
        <v>1386</v>
      </c>
      <c r="R1040" s="6" t="n">
        <v>1426</v>
      </c>
      <c r="S1040" s="6" t="n">
        <v>1108</v>
      </c>
      <c r="T1040" s="6" t="n">
        <v>1046</v>
      </c>
      <c r="U1040" s="6" t="n">
        <v>2893</v>
      </c>
      <c r="V1040" s="6" t="n">
        <v>2966</v>
      </c>
    </row>
    <row r="1041" customFormat="false" ht="15" hidden="false" customHeight="false" outlineLevel="0" collapsed="false">
      <c r="A1041" s="5" t="s">
        <v>81</v>
      </c>
      <c r="B1041" s="6" t="s">
        <v>76</v>
      </c>
      <c r="C1041" s="5" t="s">
        <v>68</v>
      </c>
      <c r="D1041" s="5" t="s">
        <v>61</v>
      </c>
      <c r="E1041" s="6" t="n">
        <v>110488</v>
      </c>
      <c r="F1041" s="6" t="n">
        <v>111463</v>
      </c>
      <c r="G1041" s="6" t="n">
        <v>59912</v>
      </c>
      <c r="H1041" s="6" t="n">
        <v>60855</v>
      </c>
      <c r="I1041" s="6" t="n">
        <v>17241</v>
      </c>
      <c r="J1041" s="6" t="n">
        <v>17056</v>
      </c>
      <c r="K1041" s="6" t="n">
        <v>3724</v>
      </c>
      <c r="L1041" s="6" t="n">
        <v>3242</v>
      </c>
      <c r="M1041" s="6" t="n">
        <v>1498</v>
      </c>
      <c r="N1041" s="6" t="n">
        <v>1558</v>
      </c>
      <c r="O1041" s="6" t="n">
        <v>2514</v>
      </c>
      <c r="P1041" s="6" t="n">
        <v>2317</v>
      </c>
      <c r="Q1041" s="6" t="n">
        <v>2057</v>
      </c>
      <c r="R1041" s="6" t="n">
        <v>2044</v>
      </c>
      <c r="S1041" s="6" t="n">
        <v>872</v>
      </c>
      <c r="T1041" s="6" t="n">
        <v>730</v>
      </c>
      <c r="U1041" s="6" t="n">
        <v>2410</v>
      </c>
      <c r="V1041" s="6" t="n">
        <v>2402</v>
      </c>
    </row>
    <row r="1042" customFormat="false" ht="15" hidden="false" customHeight="false" outlineLevel="0" collapsed="false">
      <c r="A1042" s="5" t="s">
        <v>81</v>
      </c>
      <c r="B1042" s="6" t="s">
        <v>76</v>
      </c>
      <c r="C1042" s="5" t="s">
        <v>69</v>
      </c>
      <c r="D1042" s="5" t="s">
        <v>61</v>
      </c>
      <c r="E1042" s="6" t="n">
        <v>117238</v>
      </c>
      <c r="F1042" s="6" t="n">
        <v>119728</v>
      </c>
      <c r="G1042" s="6" t="n">
        <v>67957</v>
      </c>
      <c r="H1042" s="6" t="n">
        <v>72553</v>
      </c>
      <c r="I1042" s="6" t="n">
        <v>18977</v>
      </c>
      <c r="J1042" s="6" t="n">
        <v>19415</v>
      </c>
      <c r="K1042" s="6" t="n">
        <v>3762</v>
      </c>
      <c r="L1042" s="6" t="n">
        <v>3775</v>
      </c>
      <c r="M1042" s="6" t="n">
        <v>1021</v>
      </c>
      <c r="N1042" s="6" t="n">
        <v>1105</v>
      </c>
      <c r="O1042" s="6" t="n">
        <v>2236</v>
      </c>
      <c r="P1042" s="6" t="n">
        <v>2228</v>
      </c>
      <c r="Q1042" s="6" t="n">
        <v>1856</v>
      </c>
      <c r="R1042" s="6" t="n">
        <v>1817</v>
      </c>
      <c r="S1042" s="6" t="n">
        <v>1315</v>
      </c>
      <c r="T1042" s="6" t="n">
        <v>1444</v>
      </c>
      <c r="U1042" s="6" t="n">
        <v>3207</v>
      </c>
      <c r="V1042" s="6" t="n">
        <v>3196</v>
      </c>
    </row>
    <row r="1043" customFormat="false" ht="15" hidden="false" customHeight="false" outlineLevel="0" collapsed="false">
      <c r="A1043" s="5" t="s">
        <v>81</v>
      </c>
      <c r="B1043" s="6" t="s">
        <v>76</v>
      </c>
      <c r="C1043" s="5" t="s">
        <v>70</v>
      </c>
      <c r="D1043" s="5" t="s">
        <v>61</v>
      </c>
      <c r="E1043" s="6" t="n">
        <v>107306</v>
      </c>
      <c r="F1043" s="6" t="n">
        <v>111834</v>
      </c>
      <c r="G1043" s="6" t="n">
        <v>63154</v>
      </c>
      <c r="H1043" s="6" t="n">
        <v>66875</v>
      </c>
      <c r="I1043" s="6" t="n">
        <v>15233</v>
      </c>
      <c r="J1043" s="6" t="n">
        <v>15296</v>
      </c>
      <c r="K1043" s="6" t="n">
        <v>2484</v>
      </c>
      <c r="L1043" s="6" t="n">
        <v>2407</v>
      </c>
      <c r="M1043" s="6" t="n">
        <v>1300</v>
      </c>
      <c r="N1043" s="6" t="n">
        <v>1414</v>
      </c>
      <c r="O1043" s="6" t="n">
        <v>2885</v>
      </c>
      <c r="P1043" s="6" t="n">
        <v>2981</v>
      </c>
      <c r="Q1043" s="6" t="n">
        <v>1657</v>
      </c>
      <c r="R1043" s="6" t="n">
        <v>1735</v>
      </c>
      <c r="S1043" s="6" t="n">
        <v>864</v>
      </c>
      <c r="T1043" s="6" t="n">
        <v>1007</v>
      </c>
      <c r="U1043" s="6" t="n">
        <v>2763</v>
      </c>
      <c r="V1043" s="6" t="n">
        <v>2811</v>
      </c>
    </row>
    <row r="1044" customFormat="false" ht="15" hidden="false" customHeight="false" outlineLevel="0" collapsed="false">
      <c r="A1044" s="5" t="s">
        <v>81</v>
      </c>
      <c r="B1044" s="6" t="s">
        <v>76</v>
      </c>
      <c r="C1044" s="5" t="s">
        <v>71</v>
      </c>
      <c r="D1044" s="5" t="s">
        <v>61</v>
      </c>
      <c r="E1044" s="6" t="n">
        <v>108299</v>
      </c>
      <c r="F1044" s="6" t="n">
        <v>113585</v>
      </c>
      <c r="G1044" s="6" t="n">
        <v>61940</v>
      </c>
      <c r="H1044" s="6" t="n">
        <v>65839</v>
      </c>
      <c r="I1044" s="6" t="n">
        <v>16720</v>
      </c>
      <c r="J1044" s="6" t="n">
        <v>17280</v>
      </c>
      <c r="K1044" s="6" t="n">
        <v>3029</v>
      </c>
      <c r="L1044" s="6" t="n">
        <v>2787</v>
      </c>
      <c r="M1044" s="6" t="n">
        <v>1572</v>
      </c>
      <c r="N1044" s="6" t="n">
        <v>1815</v>
      </c>
      <c r="O1044" s="6" t="n">
        <v>2127</v>
      </c>
      <c r="P1044" s="6" t="n">
        <v>2226</v>
      </c>
      <c r="Q1044" s="6" t="n">
        <v>1768</v>
      </c>
      <c r="R1044" s="6" t="n">
        <v>1752</v>
      </c>
      <c r="S1044" s="6" t="n">
        <v>989</v>
      </c>
      <c r="T1044" s="6" t="n">
        <v>1328</v>
      </c>
      <c r="U1044" s="6" t="n">
        <v>2350</v>
      </c>
      <c r="V1044" s="6" t="n">
        <v>2321</v>
      </c>
    </row>
    <row r="1045" customFormat="false" ht="15" hidden="false" customHeight="false" outlineLevel="0" collapsed="false">
      <c r="A1045" s="5" t="s">
        <v>81</v>
      </c>
      <c r="B1045" s="6" t="s">
        <v>76</v>
      </c>
      <c r="C1045" s="5" t="s">
        <v>72</v>
      </c>
      <c r="D1045" s="5" t="s">
        <v>61</v>
      </c>
      <c r="E1045" s="6" t="n">
        <v>128269</v>
      </c>
      <c r="F1045" s="6" t="n">
        <v>121865</v>
      </c>
      <c r="G1045" s="6" t="n">
        <v>75241</v>
      </c>
      <c r="H1045" s="6" t="n">
        <v>70860</v>
      </c>
      <c r="I1045" s="6" t="n">
        <v>20848</v>
      </c>
      <c r="J1045" s="6" t="n">
        <v>22289</v>
      </c>
      <c r="K1045" s="6" t="n">
        <v>3854</v>
      </c>
      <c r="L1045" s="6" t="n">
        <v>4113</v>
      </c>
      <c r="M1045" s="6" t="n">
        <v>1549</v>
      </c>
      <c r="N1045" s="6" t="n">
        <v>1578</v>
      </c>
      <c r="O1045" s="6" t="n">
        <v>3028</v>
      </c>
      <c r="P1045" s="6" t="n">
        <v>3264</v>
      </c>
      <c r="Q1045" s="6" t="n">
        <v>2385</v>
      </c>
      <c r="R1045" s="6" t="n">
        <v>2478</v>
      </c>
      <c r="S1045" s="6" t="n">
        <v>1023</v>
      </c>
      <c r="T1045" s="6" t="n">
        <v>1254</v>
      </c>
      <c r="U1045" s="6" t="n">
        <v>3012</v>
      </c>
      <c r="V1045" s="6" t="n">
        <v>3016</v>
      </c>
    </row>
    <row r="1046" customFormat="false" ht="15" hidden="false" customHeight="false" outlineLevel="0" collapsed="false">
      <c r="A1046" s="5" t="s">
        <v>81</v>
      </c>
      <c r="B1046" s="6" t="s">
        <v>77</v>
      </c>
      <c r="C1046" s="5" t="s">
        <v>34</v>
      </c>
      <c r="D1046" s="5" t="s">
        <v>35</v>
      </c>
      <c r="E1046" s="6" t="n">
        <v>50577</v>
      </c>
      <c r="F1046" s="6" t="n">
        <v>53455</v>
      </c>
      <c r="G1046" s="6" t="n">
        <v>27747</v>
      </c>
      <c r="H1046" s="6" t="n">
        <v>29436</v>
      </c>
      <c r="I1046" s="6" t="n">
        <v>7967</v>
      </c>
      <c r="J1046" s="6" t="n">
        <v>8369</v>
      </c>
      <c r="K1046" s="6" t="n">
        <v>1474</v>
      </c>
      <c r="L1046" s="6" t="n">
        <v>1650</v>
      </c>
      <c r="M1046" s="6" t="n">
        <v>704</v>
      </c>
      <c r="N1046" s="6" t="n">
        <v>858</v>
      </c>
      <c r="O1046" s="6" t="n">
        <v>1325</v>
      </c>
      <c r="P1046" s="6" t="n">
        <v>1290</v>
      </c>
      <c r="Q1046" s="6" t="n">
        <v>826</v>
      </c>
      <c r="R1046" s="6" t="n">
        <v>838</v>
      </c>
      <c r="S1046" s="6" t="n">
        <v>579</v>
      </c>
      <c r="T1046" s="6" t="n">
        <v>620</v>
      </c>
      <c r="U1046" s="6" t="n">
        <v>1053</v>
      </c>
      <c r="V1046" s="6" t="n">
        <v>1022</v>
      </c>
    </row>
    <row r="1047" customFormat="false" ht="15" hidden="false" customHeight="false" outlineLevel="0" collapsed="false">
      <c r="A1047" s="5" t="s">
        <v>81</v>
      </c>
      <c r="B1047" s="6" t="s">
        <v>77</v>
      </c>
      <c r="C1047" s="5" t="s">
        <v>36</v>
      </c>
      <c r="D1047" s="5" t="s">
        <v>35</v>
      </c>
      <c r="E1047" s="6" t="n">
        <v>54220</v>
      </c>
      <c r="F1047" s="6" t="n">
        <v>53701</v>
      </c>
      <c r="G1047" s="6" t="n">
        <v>30252</v>
      </c>
      <c r="H1047" s="6" t="n">
        <v>31481</v>
      </c>
      <c r="I1047" s="6" t="n">
        <v>9096</v>
      </c>
      <c r="J1047" s="6" t="n">
        <v>9634</v>
      </c>
      <c r="K1047" s="6" t="n">
        <v>1727</v>
      </c>
      <c r="L1047" s="6" t="n">
        <v>1880</v>
      </c>
      <c r="M1047" s="6" t="n">
        <v>512</v>
      </c>
      <c r="N1047" s="6" t="n">
        <v>537</v>
      </c>
      <c r="O1047" s="6" t="n">
        <v>1450</v>
      </c>
      <c r="P1047" s="6" t="n">
        <v>1471</v>
      </c>
      <c r="Q1047" s="6" t="n">
        <v>820</v>
      </c>
      <c r="R1047" s="6" t="n">
        <v>822</v>
      </c>
      <c r="S1047" s="6" t="n">
        <v>352</v>
      </c>
      <c r="T1047" s="6" t="n">
        <v>435</v>
      </c>
      <c r="U1047" s="6" t="n">
        <v>1430</v>
      </c>
      <c r="V1047" s="6" t="n">
        <v>1405</v>
      </c>
    </row>
    <row r="1048" customFormat="false" ht="15" hidden="false" customHeight="false" outlineLevel="0" collapsed="false">
      <c r="A1048" s="5" t="s">
        <v>81</v>
      </c>
      <c r="B1048" s="6" t="s">
        <v>77</v>
      </c>
      <c r="C1048" s="5" t="s">
        <v>37</v>
      </c>
      <c r="D1048" s="5" t="s">
        <v>35</v>
      </c>
      <c r="E1048" s="6" t="n">
        <v>55971</v>
      </c>
      <c r="F1048" s="6" t="n">
        <v>54328</v>
      </c>
      <c r="G1048" s="6" t="n">
        <v>33075</v>
      </c>
      <c r="H1048" s="6" t="n">
        <v>31328</v>
      </c>
      <c r="I1048" s="6" t="n">
        <v>7973</v>
      </c>
      <c r="J1048" s="6" t="n">
        <v>7949</v>
      </c>
      <c r="K1048" s="6" t="n">
        <v>1947</v>
      </c>
      <c r="L1048" s="6" t="n">
        <v>1942</v>
      </c>
      <c r="M1048" s="6" t="n">
        <v>659</v>
      </c>
      <c r="N1048" s="6" t="n">
        <v>618</v>
      </c>
      <c r="O1048" s="6" t="n">
        <v>1520</v>
      </c>
      <c r="P1048" s="6" t="n">
        <v>1556</v>
      </c>
      <c r="Q1048" s="6" t="n">
        <v>1069</v>
      </c>
      <c r="R1048" s="6" t="n">
        <v>1018</v>
      </c>
      <c r="S1048" s="6" t="n">
        <v>603</v>
      </c>
      <c r="T1048" s="6" t="n">
        <v>720</v>
      </c>
      <c r="U1048" s="6" t="n">
        <v>1604</v>
      </c>
      <c r="V1048" s="6" t="n">
        <v>1637</v>
      </c>
    </row>
    <row r="1049" customFormat="false" ht="15" hidden="false" customHeight="false" outlineLevel="0" collapsed="false">
      <c r="A1049" s="5" t="s">
        <v>81</v>
      </c>
      <c r="B1049" s="6" t="s">
        <v>77</v>
      </c>
      <c r="C1049" s="5" t="s">
        <v>38</v>
      </c>
      <c r="D1049" s="5" t="s">
        <v>35</v>
      </c>
      <c r="E1049" s="6" t="n">
        <v>57404</v>
      </c>
      <c r="F1049" s="6" t="n">
        <v>55116</v>
      </c>
      <c r="G1049" s="6" t="n">
        <v>33869</v>
      </c>
      <c r="H1049" s="6" t="n">
        <v>32643</v>
      </c>
      <c r="I1049" s="6" t="n">
        <v>9030</v>
      </c>
      <c r="J1049" s="6" t="n">
        <v>9127</v>
      </c>
      <c r="K1049" s="6" t="n">
        <v>1275</v>
      </c>
      <c r="L1049" s="6" t="n">
        <v>1413</v>
      </c>
      <c r="M1049" s="6" t="n">
        <v>831</v>
      </c>
      <c r="N1049" s="6" t="n">
        <v>908</v>
      </c>
      <c r="O1049" s="6" t="n">
        <v>1160</v>
      </c>
      <c r="P1049" s="6" t="n">
        <v>1232</v>
      </c>
      <c r="Q1049" s="6" t="n">
        <v>730</v>
      </c>
      <c r="R1049" s="6" t="n">
        <v>754</v>
      </c>
      <c r="S1049" s="6" t="n">
        <v>452</v>
      </c>
      <c r="T1049" s="6" t="n">
        <v>498</v>
      </c>
      <c r="U1049" s="6" t="n">
        <v>1579</v>
      </c>
      <c r="V1049" s="6" t="n">
        <v>1603</v>
      </c>
    </row>
    <row r="1050" customFormat="false" ht="15" hidden="false" customHeight="false" outlineLevel="0" collapsed="false">
      <c r="A1050" s="5" t="s">
        <v>81</v>
      </c>
      <c r="B1050" s="6" t="s">
        <v>77</v>
      </c>
      <c r="C1050" s="5" t="s">
        <v>39</v>
      </c>
      <c r="D1050" s="5" t="s">
        <v>35</v>
      </c>
      <c r="E1050" s="6" t="n">
        <v>57339</v>
      </c>
      <c r="F1050" s="6" t="n">
        <v>55675</v>
      </c>
      <c r="G1050" s="6" t="n">
        <v>33608</v>
      </c>
      <c r="H1050" s="6" t="n">
        <v>33381</v>
      </c>
      <c r="I1050" s="6" t="n">
        <v>8363</v>
      </c>
      <c r="J1050" s="6" t="n">
        <v>8732</v>
      </c>
      <c r="K1050" s="6" t="n">
        <v>1164</v>
      </c>
      <c r="L1050" s="6" t="n">
        <v>1249</v>
      </c>
      <c r="M1050" s="6" t="n">
        <v>508</v>
      </c>
      <c r="N1050" s="6" t="n">
        <v>468</v>
      </c>
      <c r="O1050" s="6" t="n">
        <v>1367</v>
      </c>
      <c r="P1050" s="6" t="n">
        <v>1260</v>
      </c>
      <c r="Q1050" s="6" t="n">
        <v>1128</v>
      </c>
      <c r="R1050" s="6" t="n">
        <v>1132</v>
      </c>
      <c r="S1050" s="6" t="n">
        <v>637</v>
      </c>
      <c r="T1050" s="6" t="n">
        <v>886</v>
      </c>
      <c r="U1050" s="6" t="n">
        <v>1323</v>
      </c>
      <c r="V1050" s="6" t="n">
        <v>1335</v>
      </c>
    </row>
    <row r="1051" customFormat="false" ht="15" hidden="false" customHeight="false" outlineLevel="0" collapsed="false">
      <c r="A1051" s="5" t="s">
        <v>81</v>
      </c>
      <c r="B1051" s="6" t="s">
        <v>77</v>
      </c>
      <c r="C1051" s="5" t="s">
        <v>40</v>
      </c>
      <c r="D1051" s="5" t="s">
        <v>35</v>
      </c>
      <c r="E1051" s="6" t="n">
        <v>58112</v>
      </c>
      <c r="F1051" s="6" t="n">
        <v>60879</v>
      </c>
      <c r="G1051" s="6" t="n">
        <v>33903</v>
      </c>
      <c r="H1051" s="6" t="n">
        <v>34429</v>
      </c>
      <c r="I1051" s="6" t="n">
        <v>8239</v>
      </c>
      <c r="J1051" s="6" t="n">
        <v>8473</v>
      </c>
      <c r="K1051" s="6" t="n">
        <v>1883</v>
      </c>
      <c r="L1051" s="6" t="n">
        <v>2051</v>
      </c>
      <c r="M1051" s="6" t="n">
        <v>813</v>
      </c>
      <c r="N1051" s="6" t="n">
        <v>942</v>
      </c>
      <c r="O1051" s="6" t="n">
        <v>1071</v>
      </c>
      <c r="P1051" s="6" t="n">
        <v>1049</v>
      </c>
      <c r="Q1051" s="6" t="n">
        <v>1106</v>
      </c>
      <c r="R1051" s="6" t="n">
        <v>1084</v>
      </c>
      <c r="S1051" s="6" t="n">
        <v>598</v>
      </c>
      <c r="T1051" s="6" t="n">
        <v>553</v>
      </c>
      <c r="U1051" s="6" t="n">
        <v>1203</v>
      </c>
      <c r="V1051" s="6" t="n">
        <v>1192</v>
      </c>
    </row>
    <row r="1052" customFormat="false" ht="15" hidden="false" customHeight="false" outlineLevel="0" collapsed="false">
      <c r="A1052" s="5" t="s">
        <v>81</v>
      </c>
      <c r="B1052" s="6" t="s">
        <v>77</v>
      </c>
      <c r="C1052" s="5" t="s">
        <v>41</v>
      </c>
      <c r="D1052" s="5" t="s">
        <v>35</v>
      </c>
      <c r="E1052" s="6" t="n">
        <v>58958</v>
      </c>
      <c r="F1052" s="6" t="n">
        <v>56995</v>
      </c>
      <c r="G1052" s="6" t="n">
        <v>33593</v>
      </c>
      <c r="H1052" s="6" t="n">
        <v>32415</v>
      </c>
      <c r="I1052" s="6" t="n">
        <v>8965</v>
      </c>
      <c r="J1052" s="6" t="n">
        <v>9598</v>
      </c>
      <c r="K1052" s="6" t="n">
        <v>1249</v>
      </c>
      <c r="L1052" s="6" t="n">
        <v>1320</v>
      </c>
      <c r="M1052" s="6" t="n">
        <v>682</v>
      </c>
      <c r="N1052" s="6" t="n">
        <v>750</v>
      </c>
      <c r="O1052" s="6" t="n">
        <v>1396</v>
      </c>
      <c r="P1052" s="6" t="n">
        <v>1337</v>
      </c>
      <c r="Q1052" s="6" t="n">
        <v>822</v>
      </c>
      <c r="R1052" s="6" t="n">
        <v>832</v>
      </c>
      <c r="S1052" s="6" t="n">
        <v>603</v>
      </c>
      <c r="T1052" s="6" t="n">
        <v>709</v>
      </c>
      <c r="U1052" s="6" t="n">
        <v>1500</v>
      </c>
      <c r="V1052" s="6" t="n">
        <v>1543</v>
      </c>
    </row>
    <row r="1053" customFormat="false" ht="15" hidden="false" customHeight="false" outlineLevel="0" collapsed="false">
      <c r="A1053" s="5" t="s">
        <v>81</v>
      </c>
      <c r="B1053" s="6" t="s">
        <v>77</v>
      </c>
      <c r="C1053" s="5" t="s">
        <v>42</v>
      </c>
      <c r="D1053" s="5" t="s">
        <v>35</v>
      </c>
      <c r="E1053" s="6" t="n">
        <v>61161</v>
      </c>
      <c r="F1053" s="6" t="n">
        <v>58753</v>
      </c>
      <c r="G1053" s="6" t="n">
        <v>34606</v>
      </c>
      <c r="H1053" s="6" t="n">
        <v>33145</v>
      </c>
      <c r="I1053" s="6" t="n">
        <v>10316</v>
      </c>
      <c r="J1053" s="6" t="n">
        <v>10518</v>
      </c>
      <c r="K1053" s="6" t="n">
        <v>1449</v>
      </c>
      <c r="L1053" s="6" t="n">
        <v>1514</v>
      </c>
      <c r="M1053" s="6" t="n">
        <v>858</v>
      </c>
      <c r="N1053" s="6" t="n">
        <v>1038</v>
      </c>
      <c r="O1053" s="6" t="n">
        <v>1247</v>
      </c>
      <c r="P1053" s="6" t="n">
        <v>1257</v>
      </c>
      <c r="Q1053" s="6" t="n">
        <v>825</v>
      </c>
      <c r="R1053" s="6" t="n">
        <v>812</v>
      </c>
      <c r="S1053" s="6" t="n">
        <v>689</v>
      </c>
      <c r="T1053" s="6" t="n">
        <v>593</v>
      </c>
      <c r="U1053" s="6" t="n">
        <v>1401</v>
      </c>
      <c r="V1053" s="6" t="n">
        <v>1392</v>
      </c>
    </row>
    <row r="1054" customFormat="false" ht="15" hidden="false" customHeight="false" outlineLevel="0" collapsed="false">
      <c r="A1054" s="5" t="s">
        <v>81</v>
      </c>
      <c r="B1054" s="6" t="s">
        <v>77</v>
      </c>
      <c r="C1054" s="5" t="s">
        <v>43</v>
      </c>
      <c r="D1054" s="5" t="s">
        <v>35</v>
      </c>
      <c r="E1054" s="6" t="n">
        <v>61608</v>
      </c>
      <c r="F1054" s="6" t="n">
        <v>65186</v>
      </c>
      <c r="G1054" s="6" t="n">
        <v>33764</v>
      </c>
      <c r="H1054" s="6" t="n">
        <v>36077</v>
      </c>
      <c r="I1054" s="6" t="n">
        <v>9069</v>
      </c>
      <c r="J1054" s="6" t="n">
        <v>9282</v>
      </c>
      <c r="K1054" s="6" t="n">
        <v>1654</v>
      </c>
      <c r="L1054" s="6" t="n">
        <v>1830</v>
      </c>
      <c r="M1054" s="6" t="n">
        <v>728</v>
      </c>
      <c r="N1054" s="6" t="n">
        <v>736</v>
      </c>
      <c r="O1054" s="6" t="n">
        <v>1581</v>
      </c>
      <c r="P1054" s="6" t="n">
        <v>1562</v>
      </c>
      <c r="Q1054" s="6" t="n">
        <v>742</v>
      </c>
      <c r="R1054" s="6" t="n">
        <v>773</v>
      </c>
      <c r="S1054" s="6" t="n">
        <v>479</v>
      </c>
      <c r="T1054" s="6" t="n">
        <v>533</v>
      </c>
      <c r="U1054" s="6" t="n">
        <v>1465</v>
      </c>
      <c r="V1054" s="6" t="n">
        <v>1443</v>
      </c>
    </row>
    <row r="1055" customFormat="false" ht="15" hidden="false" customHeight="false" outlineLevel="0" collapsed="false">
      <c r="A1055" s="5" t="s">
        <v>81</v>
      </c>
      <c r="B1055" s="6" t="s">
        <v>77</v>
      </c>
      <c r="C1055" s="5" t="s">
        <v>44</v>
      </c>
      <c r="D1055" s="5" t="s">
        <v>35</v>
      </c>
      <c r="E1055" s="6" t="n">
        <v>60967</v>
      </c>
      <c r="F1055" s="6" t="n">
        <v>59505</v>
      </c>
      <c r="G1055" s="6" t="n">
        <v>34430</v>
      </c>
      <c r="H1055" s="6" t="n">
        <v>32518</v>
      </c>
      <c r="I1055" s="6" t="n">
        <v>8727</v>
      </c>
      <c r="J1055" s="6" t="n">
        <v>9424</v>
      </c>
      <c r="K1055" s="6" t="n">
        <v>1642</v>
      </c>
      <c r="L1055" s="6" t="n">
        <v>1863</v>
      </c>
      <c r="M1055" s="6" t="n">
        <v>759</v>
      </c>
      <c r="N1055" s="6" t="n">
        <v>685</v>
      </c>
      <c r="O1055" s="6" t="n">
        <v>1424</v>
      </c>
      <c r="P1055" s="6" t="n">
        <v>1520</v>
      </c>
      <c r="Q1055" s="6" t="n">
        <v>1180</v>
      </c>
      <c r="R1055" s="6" t="n">
        <v>1169</v>
      </c>
      <c r="S1055" s="6" t="n">
        <v>463</v>
      </c>
      <c r="T1055" s="6" t="n">
        <v>641</v>
      </c>
      <c r="U1055" s="6" t="n">
        <v>1807</v>
      </c>
      <c r="V1055" s="6" t="n">
        <v>1757</v>
      </c>
    </row>
    <row r="1056" customFormat="false" ht="15" hidden="false" customHeight="false" outlineLevel="0" collapsed="false">
      <c r="A1056" s="5" t="s">
        <v>81</v>
      </c>
      <c r="B1056" s="6" t="s">
        <v>77</v>
      </c>
      <c r="C1056" s="5" t="s">
        <v>45</v>
      </c>
      <c r="D1056" s="5" t="s">
        <v>35</v>
      </c>
      <c r="E1056" s="6" t="n">
        <v>60942</v>
      </c>
      <c r="F1056" s="6" t="n">
        <v>60601</v>
      </c>
      <c r="G1056" s="6" t="n">
        <v>33404</v>
      </c>
      <c r="H1056" s="6" t="n">
        <v>34975</v>
      </c>
      <c r="I1056" s="6" t="n">
        <v>8547</v>
      </c>
      <c r="J1056" s="6" t="n">
        <v>8425</v>
      </c>
      <c r="K1056" s="6" t="n">
        <v>1602</v>
      </c>
      <c r="L1056" s="6" t="n">
        <v>1565</v>
      </c>
      <c r="M1056" s="6" t="n">
        <v>886</v>
      </c>
      <c r="N1056" s="6" t="n">
        <v>934</v>
      </c>
      <c r="O1056" s="6" t="n">
        <v>1159</v>
      </c>
      <c r="P1056" s="6" t="n">
        <v>1198</v>
      </c>
      <c r="Q1056" s="6" t="n">
        <v>1061</v>
      </c>
      <c r="R1056" s="6" t="n">
        <v>1056</v>
      </c>
      <c r="S1056" s="6" t="n">
        <v>559</v>
      </c>
      <c r="T1056" s="6" t="n">
        <v>641</v>
      </c>
      <c r="U1056" s="6" t="n">
        <v>1580</v>
      </c>
      <c r="V1056" s="6" t="n">
        <v>1608</v>
      </c>
    </row>
    <row r="1057" customFormat="false" ht="15" hidden="false" customHeight="false" outlineLevel="0" collapsed="false">
      <c r="A1057" s="5" t="s">
        <v>81</v>
      </c>
      <c r="B1057" s="6" t="s">
        <v>77</v>
      </c>
      <c r="C1057" s="5" t="s">
        <v>46</v>
      </c>
      <c r="D1057" s="5" t="s">
        <v>35</v>
      </c>
      <c r="E1057" s="6" t="n">
        <v>68511</v>
      </c>
      <c r="F1057" s="6" t="n">
        <v>67897</v>
      </c>
      <c r="G1057" s="6" t="n">
        <v>39360</v>
      </c>
      <c r="H1057" s="6" t="n">
        <v>37802</v>
      </c>
      <c r="I1057" s="6" t="n">
        <v>10610</v>
      </c>
      <c r="J1057" s="6" t="n">
        <v>10595</v>
      </c>
      <c r="K1057" s="6" t="n">
        <v>2147</v>
      </c>
      <c r="L1057" s="6" t="n">
        <v>2416</v>
      </c>
      <c r="M1057" s="6" t="n">
        <v>961</v>
      </c>
      <c r="N1057" s="6" t="n">
        <v>1070</v>
      </c>
      <c r="O1057" s="6" t="n">
        <v>1707</v>
      </c>
      <c r="P1057" s="6" t="n">
        <v>1572</v>
      </c>
      <c r="Q1057" s="6" t="n">
        <v>917</v>
      </c>
      <c r="R1057" s="6" t="n">
        <v>918</v>
      </c>
      <c r="S1057" s="6" t="n">
        <v>725</v>
      </c>
      <c r="T1057" s="6" t="n">
        <v>701</v>
      </c>
      <c r="U1057" s="6" t="n">
        <v>1791</v>
      </c>
      <c r="V1057" s="6" t="n">
        <v>1786</v>
      </c>
    </row>
    <row r="1058" customFormat="false" ht="15" hidden="false" customHeight="false" outlineLevel="0" collapsed="false">
      <c r="A1058" s="5" t="s">
        <v>81</v>
      </c>
      <c r="B1058" s="6" t="s">
        <v>77</v>
      </c>
      <c r="C1058" s="5" t="s">
        <v>47</v>
      </c>
      <c r="D1058" s="5" t="s">
        <v>48</v>
      </c>
      <c r="E1058" s="6" t="n">
        <v>61137</v>
      </c>
      <c r="F1058" s="6" t="n">
        <v>62487</v>
      </c>
      <c r="G1058" s="6" t="n">
        <v>36539</v>
      </c>
      <c r="H1058" s="6" t="n">
        <v>36445</v>
      </c>
      <c r="I1058" s="6" t="n">
        <v>9856</v>
      </c>
      <c r="J1058" s="6" t="n">
        <v>10461</v>
      </c>
      <c r="K1058" s="6" t="n">
        <v>1926</v>
      </c>
      <c r="L1058" s="6" t="n">
        <v>1948</v>
      </c>
      <c r="M1058" s="6" t="n">
        <v>871</v>
      </c>
      <c r="N1058" s="6" t="n">
        <v>756</v>
      </c>
      <c r="O1058" s="6" t="n">
        <v>1401</v>
      </c>
      <c r="P1058" s="6" t="n">
        <v>1403</v>
      </c>
      <c r="Q1058" s="6" t="n">
        <v>1168</v>
      </c>
      <c r="R1058" s="6" t="n">
        <v>1112</v>
      </c>
      <c r="S1058" s="6" t="n">
        <v>722</v>
      </c>
      <c r="T1058" s="6" t="n">
        <v>927</v>
      </c>
      <c r="U1058" s="6" t="n">
        <v>1810</v>
      </c>
      <c r="V1058" s="6" t="n">
        <v>1863</v>
      </c>
    </row>
    <row r="1059" customFormat="false" ht="15" hidden="false" customHeight="false" outlineLevel="0" collapsed="false">
      <c r="A1059" s="5" t="s">
        <v>81</v>
      </c>
      <c r="B1059" s="6" t="s">
        <v>77</v>
      </c>
      <c r="C1059" s="5" t="s">
        <v>49</v>
      </c>
      <c r="D1059" s="5" t="s">
        <v>48</v>
      </c>
      <c r="E1059" s="6" t="n">
        <v>65916</v>
      </c>
      <c r="F1059" s="6" t="n">
        <v>63940</v>
      </c>
      <c r="G1059" s="6" t="n">
        <v>38913</v>
      </c>
      <c r="H1059" s="6" t="n">
        <v>39092</v>
      </c>
      <c r="I1059" s="6" t="n">
        <v>10762</v>
      </c>
      <c r="J1059" s="6" t="n">
        <v>11346</v>
      </c>
      <c r="K1059" s="6" t="n">
        <v>1353</v>
      </c>
      <c r="L1059" s="6" t="n">
        <v>1274</v>
      </c>
      <c r="M1059" s="6" t="n">
        <v>623</v>
      </c>
      <c r="N1059" s="6" t="n">
        <v>655</v>
      </c>
      <c r="O1059" s="6" t="n">
        <v>1531</v>
      </c>
      <c r="P1059" s="6" t="n">
        <v>1426</v>
      </c>
      <c r="Q1059" s="6" t="n">
        <v>1051</v>
      </c>
      <c r="R1059" s="6" t="n">
        <v>1056</v>
      </c>
      <c r="S1059" s="6" t="n">
        <v>571</v>
      </c>
      <c r="T1059" s="6" t="n">
        <v>713</v>
      </c>
      <c r="U1059" s="6" t="n">
        <v>1952</v>
      </c>
      <c r="V1059" s="6" t="n">
        <v>1919</v>
      </c>
    </row>
    <row r="1060" customFormat="false" ht="15" hidden="false" customHeight="false" outlineLevel="0" collapsed="false">
      <c r="A1060" s="5" t="s">
        <v>81</v>
      </c>
      <c r="B1060" s="6" t="s">
        <v>77</v>
      </c>
      <c r="C1060" s="5" t="s">
        <v>50</v>
      </c>
      <c r="D1060" s="5" t="s">
        <v>48</v>
      </c>
      <c r="E1060" s="6" t="n">
        <v>63259</v>
      </c>
      <c r="F1060" s="6" t="n">
        <v>63991</v>
      </c>
      <c r="G1060" s="6" t="n">
        <v>37048</v>
      </c>
      <c r="H1060" s="6" t="n">
        <v>37635</v>
      </c>
      <c r="I1060" s="6" t="n">
        <v>10430</v>
      </c>
      <c r="J1060" s="6" t="n">
        <v>10225</v>
      </c>
      <c r="K1060" s="6" t="n">
        <v>1946</v>
      </c>
      <c r="L1060" s="6" t="n">
        <v>2007</v>
      </c>
      <c r="M1060" s="6" t="n">
        <v>782</v>
      </c>
      <c r="N1060" s="6" t="n">
        <v>670</v>
      </c>
      <c r="O1060" s="6" t="n">
        <v>1741</v>
      </c>
      <c r="P1060" s="6" t="n">
        <v>1662</v>
      </c>
      <c r="Q1060" s="6" t="n">
        <v>1177</v>
      </c>
      <c r="R1060" s="6" t="n">
        <v>1221</v>
      </c>
      <c r="S1060" s="6" t="n">
        <v>747</v>
      </c>
      <c r="T1060" s="6" t="n">
        <v>681</v>
      </c>
      <c r="U1060" s="6" t="n">
        <v>1346</v>
      </c>
      <c r="V1060" s="6" t="n">
        <v>1316</v>
      </c>
    </row>
    <row r="1061" customFormat="false" ht="15" hidden="false" customHeight="false" outlineLevel="0" collapsed="false">
      <c r="A1061" s="5" t="s">
        <v>81</v>
      </c>
      <c r="B1061" s="6" t="s">
        <v>77</v>
      </c>
      <c r="C1061" s="5" t="s">
        <v>51</v>
      </c>
      <c r="D1061" s="5" t="s">
        <v>48</v>
      </c>
      <c r="E1061" s="6" t="n">
        <v>61559</v>
      </c>
      <c r="F1061" s="6" t="n">
        <v>64122</v>
      </c>
      <c r="G1061" s="6" t="n">
        <v>33388</v>
      </c>
      <c r="H1061" s="6" t="n">
        <v>34335</v>
      </c>
      <c r="I1061" s="6" t="n">
        <v>9828</v>
      </c>
      <c r="J1061" s="6" t="n">
        <v>9717</v>
      </c>
      <c r="K1061" s="6" t="n">
        <v>2034</v>
      </c>
      <c r="L1061" s="6" t="n">
        <v>2275</v>
      </c>
      <c r="M1061" s="6" t="n">
        <v>756</v>
      </c>
      <c r="N1061" s="6" t="n">
        <v>879</v>
      </c>
      <c r="O1061" s="6" t="n">
        <v>1327</v>
      </c>
      <c r="P1061" s="6" t="n">
        <v>1331</v>
      </c>
      <c r="Q1061" s="6" t="n">
        <v>742</v>
      </c>
      <c r="R1061" s="6" t="n">
        <v>761</v>
      </c>
      <c r="S1061" s="6" t="n">
        <v>394</v>
      </c>
      <c r="T1061" s="6" t="n">
        <v>329</v>
      </c>
      <c r="U1061" s="6" t="n">
        <v>1656</v>
      </c>
      <c r="V1061" s="6" t="n">
        <v>1675</v>
      </c>
    </row>
    <row r="1062" customFormat="false" ht="15" hidden="false" customHeight="false" outlineLevel="0" collapsed="false">
      <c r="A1062" s="5" t="s">
        <v>81</v>
      </c>
      <c r="B1062" s="6" t="s">
        <v>77</v>
      </c>
      <c r="C1062" s="5" t="s">
        <v>52</v>
      </c>
      <c r="D1062" s="5" t="s">
        <v>48</v>
      </c>
      <c r="E1062" s="6" t="n">
        <v>63944</v>
      </c>
      <c r="F1062" s="6" t="n">
        <v>65742</v>
      </c>
      <c r="G1062" s="6" t="n">
        <v>36698</v>
      </c>
      <c r="H1062" s="6" t="n">
        <v>36939</v>
      </c>
      <c r="I1062" s="6" t="n">
        <v>9664</v>
      </c>
      <c r="J1062" s="6" t="n">
        <v>10204</v>
      </c>
      <c r="K1062" s="6" t="n">
        <v>2085</v>
      </c>
      <c r="L1062" s="6" t="n">
        <v>2175</v>
      </c>
      <c r="M1062" s="6" t="n">
        <v>538</v>
      </c>
      <c r="N1062" s="6" t="n">
        <v>560</v>
      </c>
      <c r="O1062" s="6" t="n">
        <v>1545</v>
      </c>
      <c r="P1062" s="6" t="n">
        <v>1449</v>
      </c>
      <c r="Q1062" s="6" t="n">
        <v>1092</v>
      </c>
      <c r="R1062" s="6" t="n">
        <v>1053</v>
      </c>
      <c r="S1062" s="6" t="n">
        <v>672</v>
      </c>
      <c r="T1062" s="6" t="n">
        <v>757</v>
      </c>
      <c r="U1062" s="6" t="n">
        <v>1577</v>
      </c>
      <c r="V1062" s="6" t="n">
        <v>1585</v>
      </c>
    </row>
    <row r="1063" customFormat="false" ht="15" hidden="false" customHeight="false" outlineLevel="0" collapsed="false">
      <c r="A1063" s="5" t="s">
        <v>81</v>
      </c>
      <c r="B1063" s="6" t="s">
        <v>77</v>
      </c>
      <c r="C1063" s="5" t="s">
        <v>53</v>
      </c>
      <c r="D1063" s="5" t="s">
        <v>48</v>
      </c>
      <c r="E1063" s="6" t="n">
        <v>72882</v>
      </c>
      <c r="F1063" s="6" t="n">
        <v>73104</v>
      </c>
      <c r="G1063" s="6" t="n">
        <v>42612</v>
      </c>
      <c r="H1063" s="6" t="n">
        <v>44872</v>
      </c>
      <c r="I1063" s="6" t="n">
        <v>12096</v>
      </c>
      <c r="J1063" s="6" t="n">
        <v>12497</v>
      </c>
      <c r="K1063" s="6" t="n">
        <v>1681</v>
      </c>
      <c r="L1063" s="6" t="n">
        <v>1518</v>
      </c>
      <c r="M1063" s="6" t="n">
        <v>623</v>
      </c>
      <c r="N1063" s="6" t="n">
        <v>653</v>
      </c>
      <c r="O1063" s="6" t="n">
        <v>1529</v>
      </c>
      <c r="P1063" s="6" t="n">
        <v>1446</v>
      </c>
      <c r="Q1063" s="6" t="n">
        <v>1043</v>
      </c>
      <c r="R1063" s="6" t="n">
        <v>1018</v>
      </c>
      <c r="S1063" s="6" t="n">
        <v>827</v>
      </c>
      <c r="T1063" s="6" t="n">
        <v>982</v>
      </c>
      <c r="U1063" s="6" t="n">
        <v>1614</v>
      </c>
      <c r="V1063" s="6" t="n">
        <v>1606</v>
      </c>
    </row>
    <row r="1064" customFormat="false" ht="15" hidden="false" customHeight="false" outlineLevel="0" collapsed="false">
      <c r="A1064" s="5" t="s">
        <v>81</v>
      </c>
      <c r="B1064" s="6" t="s">
        <v>77</v>
      </c>
      <c r="C1064" s="5" t="s">
        <v>54</v>
      </c>
      <c r="D1064" s="5" t="s">
        <v>48</v>
      </c>
      <c r="E1064" s="6" t="n">
        <v>69474</v>
      </c>
      <c r="F1064" s="6" t="n">
        <v>66840</v>
      </c>
      <c r="G1064" s="6" t="n">
        <v>37731</v>
      </c>
      <c r="H1064" s="6" t="n">
        <v>35607</v>
      </c>
      <c r="I1064" s="6" t="n">
        <v>10524</v>
      </c>
      <c r="J1064" s="6" t="n">
        <v>10708</v>
      </c>
      <c r="K1064" s="6" t="n">
        <v>2106</v>
      </c>
      <c r="L1064" s="6" t="n">
        <v>1926</v>
      </c>
      <c r="M1064" s="6" t="n">
        <v>787</v>
      </c>
      <c r="N1064" s="6" t="n">
        <v>688</v>
      </c>
      <c r="O1064" s="6" t="n">
        <v>1528</v>
      </c>
      <c r="P1064" s="6" t="n">
        <v>1597</v>
      </c>
      <c r="Q1064" s="6" t="n">
        <v>928</v>
      </c>
      <c r="R1064" s="6" t="n">
        <v>968</v>
      </c>
      <c r="S1064" s="6" t="n">
        <v>480</v>
      </c>
      <c r="T1064" s="6" t="n">
        <v>394</v>
      </c>
      <c r="U1064" s="6" t="n">
        <v>1803</v>
      </c>
      <c r="V1064" s="6" t="n">
        <v>1833</v>
      </c>
    </row>
    <row r="1065" customFormat="false" ht="15" hidden="false" customHeight="false" outlineLevel="0" collapsed="false">
      <c r="A1065" s="5" t="s">
        <v>81</v>
      </c>
      <c r="B1065" s="6" t="s">
        <v>77</v>
      </c>
      <c r="C1065" s="5" t="s">
        <v>55</v>
      </c>
      <c r="D1065" s="5" t="s">
        <v>48</v>
      </c>
      <c r="E1065" s="6" t="n">
        <v>70057</v>
      </c>
      <c r="F1065" s="6" t="n">
        <v>66900</v>
      </c>
      <c r="G1065" s="6" t="n">
        <v>39571</v>
      </c>
      <c r="H1065" s="6" t="n">
        <v>36904</v>
      </c>
      <c r="I1065" s="6" t="n">
        <v>11009</v>
      </c>
      <c r="J1065" s="6" t="n">
        <v>10917</v>
      </c>
      <c r="K1065" s="6" t="n">
        <v>2408</v>
      </c>
      <c r="L1065" s="6" t="n">
        <v>2468</v>
      </c>
      <c r="M1065" s="6" t="n">
        <v>565</v>
      </c>
      <c r="N1065" s="6" t="n">
        <v>583</v>
      </c>
      <c r="O1065" s="6" t="n">
        <v>1685</v>
      </c>
      <c r="P1065" s="6" t="n">
        <v>1559</v>
      </c>
      <c r="Q1065" s="6" t="n">
        <v>894</v>
      </c>
      <c r="R1065" s="6" t="n">
        <v>871</v>
      </c>
      <c r="S1065" s="6" t="n">
        <v>561</v>
      </c>
      <c r="T1065" s="6" t="n">
        <v>717</v>
      </c>
      <c r="U1065" s="6" t="n">
        <v>2078</v>
      </c>
      <c r="V1065" s="6" t="n">
        <v>2019</v>
      </c>
    </row>
    <row r="1066" customFormat="false" ht="15" hidden="false" customHeight="false" outlineLevel="0" collapsed="false">
      <c r="A1066" s="5" t="s">
        <v>81</v>
      </c>
      <c r="B1066" s="6" t="s">
        <v>77</v>
      </c>
      <c r="C1066" s="5" t="s">
        <v>56</v>
      </c>
      <c r="D1066" s="5" t="s">
        <v>48</v>
      </c>
      <c r="E1066" s="6" t="n">
        <v>74602</v>
      </c>
      <c r="F1066" s="6" t="n">
        <v>73584</v>
      </c>
      <c r="G1066" s="6" t="n">
        <v>40686</v>
      </c>
      <c r="H1066" s="6" t="n">
        <v>41428</v>
      </c>
      <c r="I1066" s="6" t="n">
        <v>10522</v>
      </c>
      <c r="J1066" s="6" t="n">
        <v>10729</v>
      </c>
      <c r="K1066" s="6" t="n">
        <v>1671</v>
      </c>
      <c r="L1066" s="6" t="n">
        <v>1475</v>
      </c>
      <c r="M1066" s="6" t="n">
        <v>879</v>
      </c>
      <c r="N1066" s="6" t="n">
        <v>871</v>
      </c>
      <c r="O1066" s="6" t="n">
        <v>1374</v>
      </c>
      <c r="P1066" s="6" t="n">
        <v>1390</v>
      </c>
      <c r="Q1066" s="6" t="n">
        <v>1423</v>
      </c>
      <c r="R1066" s="6" t="n">
        <v>1445</v>
      </c>
      <c r="S1066" s="6" t="n">
        <v>669</v>
      </c>
      <c r="T1066" s="6" t="n">
        <v>610</v>
      </c>
      <c r="U1066" s="6" t="n">
        <v>1511</v>
      </c>
      <c r="V1066" s="6" t="n">
        <v>1540</v>
      </c>
    </row>
    <row r="1067" customFormat="false" ht="15" hidden="false" customHeight="false" outlineLevel="0" collapsed="false">
      <c r="A1067" s="5" t="s">
        <v>81</v>
      </c>
      <c r="B1067" s="6" t="s">
        <v>77</v>
      </c>
      <c r="C1067" s="5" t="s">
        <v>57</v>
      </c>
      <c r="D1067" s="5" t="s">
        <v>48</v>
      </c>
      <c r="E1067" s="6" t="n">
        <v>71284</v>
      </c>
      <c r="F1067" s="6" t="n">
        <v>67848</v>
      </c>
      <c r="G1067" s="6" t="n">
        <v>41802</v>
      </c>
      <c r="H1067" s="6" t="n">
        <v>40952</v>
      </c>
      <c r="I1067" s="6" t="n">
        <v>11674</v>
      </c>
      <c r="J1067" s="6" t="n">
        <v>12606</v>
      </c>
      <c r="K1067" s="6" t="n">
        <v>1544</v>
      </c>
      <c r="L1067" s="6" t="n">
        <v>1390</v>
      </c>
      <c r="M1067" s="6" t="n">
        <v>973</v>
      </c>
      <c r="N1067" s="6" t="n">
        <v>1248</v>
      </c>
      <c r="O1067" s="6" t="n">
        <v>1621</v>
      </c>
      <c r="P1067" s="6" t="n">
        <v>1493</v>
      </c>
      <c r="Q1067" s="6" t="n">
        <v>1002</v>
      </c>
      <c r="R1067" s="6" t="n">
        <v>976</v>
      </c>
      <c r="S1067" s="6" t="n">
        <v>451</v>
      </c>
      <c r="T1067" s="6" t="n">
        <v>626</v>
      </c>
      <c r="U1067" s="6" t="n">
        <v>2014</v>
      </c>
      <c r="V1067" s="6" t="n">
        <v>2045</v>
      </c>
    </row>
    <row r="1068" customFormat="false" ht="15" hidden="false" customHeight="false" outlineLevel="0" collapsed="false">
      <c r="A1068" s="5" t="s">
        <v>81</v>
      </c>
      <c r="B1068" s="6" t="s">
        <v>77</v>
      </c>
      <c r="C1068" s="5" t="s">
        <v>58</v>
      </c>
      <c r="D1068" s="5" t="s">
        <v>48</v>
      </c>
      <c r="E1068" s="6" t="n">
        <v>70404</v>
      </c>
      <c r="F1068" s="6" t="n">
        <v>68064</v>
      </c>
      <c r="G1068" s="6" t="n">
        <v>41830</v>
      </c>
      <c r="H1068" s="6" t="n">
        <v>39704</v>
      </c>
      <c r="I1068" s="6" t="n">
        <v>10161</v>
      </c>
      <c r="J1068" s="6" t="n">
        <v>10580</v>
      </c>
      <c r="K1068" s="6" t="n">
        <v>1424</v>
      </c>
      <c r="L1068" s="6" t="n">
        <v>1357</v>
      </c>
      <c r="M1068" s="6" t="n">
        <v>669</v>
      </c>
      <c r="N1068" s="6" t="n">
        <v>732</v>
      </c>
      <c r="O1068" s="6" t="n">
        <v>1799</v>
      </c>
      <c r="P1068" s="6" t="n">
        <v>1701</v>
      </c>
      <c r="Q1068" s="6" t="n">
        <v>1257</v>
      </c>
      <c r="R1068" s="6" t="n">
        <v>1312</v>
      </c>
      <c r="S1068" s="6" t="n">
        <v>731</v>
      </c>
      <c r="T1068" s="6" t="n">
        <v>841</v>
      </c>
      <c r="U1068" s="6" t="n">
        <v>1623</v>
      </c>
      <c r="V1068" s="6" t="n">
        <v>1654</v>
      </c>
    </row>
    <row r="1069" customFormat="false" ht="15" hidden="false" customHeight="false" outlineLevel="0" collapsed="false">
      <c r="A1069" s="5" t="s">
        <v>81</v>
      </c>
      <c r="B1069" s="6" t="s">
        <v>77</v>
      </c>
      <c r="C1069" s="5" t="s">
        <v>59</v>
      </c>
      <c r="D1069" s="5" t="s">
        <v>48</v>
      </c>
      <c r="E1069" s="6" t="n">
        <v>75641</v>
      </c>
      <c r="F1069" s="6" t="n">
        <v>75874</v>
      </c>
      <c r="G1069" s="6" t="n">
        <v>41664</v>
      </c>
      <c r="H1069" s="6" t="n">
        <v>42616</v>
      </c>
      <c r="I1069" s="6" t="n">
        <v>11062</v>
      </c>
      <c r="J1069" s="6" t="n">
        <v>10952</v>
      </c>
      <c r="K1069" s="6" t="n">
        <v>2241</v>
      </c>
      <c r="L1069" s="6" t="n">
        <v>2142</v>
      </c>
      <c r="M1069" s="6" t="n">
        <v>655</v>
      </c>
      <c r="N1069" s="6" t="n">
        <v>826</v>
      </c>
      <c r="O1069" s="6" t="n">
        <v>1717</v>
      </c>
      <c r="P1069" s="6" t="n">
        <v>1604</v>
      </c>
      <c r="Q1069" s="6" t="n">
        <v>1189</v>
      </c>
      <c r="R1069" s="6" t="n">
        <v>1227</v>
      </c>
      <c r="S1069" s="6" t="n">
        <v>781</v>
      </c>
      <c r="T1069" s="6" t="n">
        <v>636</v>
      </c>
      <c r="U1069" s="6" t="n">
        <v>2247</v>
      </c>
      <c r="V1069" s="6" t="n">
        <v>2198</v>
      </c>
    </row>
    <row r="1070" customFormat="false" ht="15" hidden="false" customHeight="false" outlineLevel="0" collapsed="false">
      <c r="A1070" s="5" t="s">
        <v>81</v>
      </c>
      <c r="B1070" s="6" t="s">
        <v>77</v>
      </c>
      <c r="C1070" s="5" t="s">
        <v>60</v>
      </c>
      <c r="D1070" s="5" t="s">
        <v>61</v>
      </c>
      <c r="E1070" s="6" t="n">
        <v>74556</v>
      </c>
      <c r="F1070" s="6" t="n">
        <v>71740</v>
      </c>
      <c r="G1070" s="6" t="n">
        <v>41867</v>
      </c>
      <c r="H1070" s="6" t="n">
        <v>40788</v>
      </c>
      <c r="I1070" s="6" t="n">
        <v>10688</v>
      </c>
      <c r="J1070" s="6" t="n">
        <v>10411</v>
      </c>
      <c r="K1070" s="6" t="n">
        <v>1609</v>
      </c>
      <c r="L1070" s="6" t="n">
        <v>1645</v>
      </c>
      <c r="M1070" s="6" t="n">
        <v>654</v>
      </c>
      <c r="N1070" s="6" t="n">
        <v>836</v>
      </c>
      <c r="O1070" s="6" t="n">
        <v>1742</v>
      </c>
      <c r="P1070" s="6" t="n">
        <v>1892</v>
      </c>
      <c r="Q1070" s="6" t="n">
        <v>949</v>
      </c>
      <c r="R1070" s="6" t="n">
        <v>978</v>
      </c>
      <c r="S1070" s="6" t="n">
        <v>689</v>
      </c>
      <c r="T1070" s="6" t="n">
        <v>718</v>
      </c>
      <c r="U1070" s="6" t="n">
        <v>2056</v>
      </c>
      <c r="V1070" s="6" t="n">
        <v>2030</v>
      </c>
    </row>
    <row r="1071" customFormat="false" ht="15" hidden="false" customHeight="false" outlineLevel="0" collapsed="false">
      <c r="A1071" s="5" t="s">
        <v>81</v>
      </c>
      <c r="B1071" s="6" t="s">
        <v>77</v>
      </c>
      <c r="C1071" s="5" t="s">
        <v>62</v>
      </c>
      <c r="D1071" s="5" t="s">
        <v>61</v>
      </c>
      <c r="E1071" s="6" t="n">
        <v>73194</v>
      </c>
      <c r="F1071" s="6" t="n">
        <v>72880</v>
      </c>
      <c r="G1071" s="6" t="n">
        <v>41341</v>
      </c>
      <c r="H1071" s="6" t="n">
        <v>41452</v>
      </c>
      <c r="I1071" s="6" t="n">
        <v>11187</v>
      </c>
      <c r="J1071" s="6" t="n">
        <v>11933</v>
      </c>
      <c r="K1071" s="6" t="n">
        <v>2541</v>
      </c>
      <c r="L1071" s="6" t="n">
        <v>2674</v>
      </c>
      <c r="M1071" s="6" t="n">
        <v>651</v>
      </c>
      <c r="N1071" s="6" t="n">
        <v>672</v>
      </c>
      <c r="O1071" s="6" t="n">
        <v>2049</v>
      </c>
      <c r="P1071" s="6" t="n">
        <v>2220</v>
      </c>
      <c r="Q1071" s="6" t="n">
        <v>1171</v>
      </c>
      <c r="R1071" s="6" t="n">
        <v>1144</v>
      </c>
      <c r="S1071" s="6" t="n">
        <v>640</v>
      </c>
      <c r="T1071" s="6" t="n">
        <v>521</v>
      </c>
      <c r="U1071" s="6" t="n">
        <v>2012</v>
      </c>
      <c r="V1071" s="6" t="n">
        <v>2005</v>
      </c>
    </row>
    <row r="1072" customFormat="false" ht="15" hidden="false" customHeight="false" outlineLevel="0" collapsed="false">
      <c r="A1072" s="5" t="s">
        <v>81</v>
      </c>
      <c r="B1072" s="6" t="s">
        <v>77</v>
      </c>
      <c r="C1072" s="5" t="s">
        <v>63</v>
      </c>
      <c r="D1072" s="5" t="s">
        <v>61</v>
      </c>
      <c r="E1072" s="6" t="n">
        <v>78427</v>
      </c>
      <c r="F1072" s="6" t="n">
        <v>74186</v>
      </c>
      <c r="G1072" s="6" t="n">
        <v>46947</v>
      </c>
      <c r="H1072" s="6" t="n">
        <v>43331</v>
      </c>
      <c r="I1072" s="6" t="n">
        <v>11056</v>
      </c>
      <c r="J1072" s="6" t="n">
        <v>11079</v>
      </c>
      <c r="K1072" s="6" t="n">
        <v>2564</v>
      </c>
      <c r="L1072" s="6" t="n">
        <v>2280</v>
      </c>
      <c r="M1072" s="6" t="n">
        <v>867</v>
      </c>
      <c r="N1072" s="6" t="n">
        <v>713</v>
      </c>
      <c r="O1072" s="6" t="n">
        <v>1728</v>
      </c>
      <c r="P1072" s="6" t="n">
        <v>1819</v>
      </c>
      <c r="Q1072" s="6" t="n">
        <v>1421</v>
      </c>
      <c r="R1072" s="6" t="n">
        <v>1483</v>
      </c>
      <c r="S1072" s="6" t="n">
        <v>832</v>
      </c>
      <c r="T1072" s="6" t="n">
        <v>1136</v>
      </c>
      <c r="U1072" s="6" t="n">
        <v>1727</v>
      </c>
      <c r="V1072" s="6" t="n">
        <v>1738</v>
      </c>
    </row>
    <row r="1073" customFormat="false" ht="15" hidden="false" customHeight="false" outlineLevel="0" collapsed="false">
      <c r="A1073" s="5" t="s">
        <v>81</v>
      </c>
      <c r="B1073" s="6" t="s">
        <v>77</v>
      </c>
      <c r="C1073" s="5" t="s">
        <v>64</v>
      </c>
      <c r="D1073" s="5" t="s">
        <v>61</v>
      </c>
      <c r="E1073" s="6" t="n">
        <v>72354</v>
      </c>
      <c r="F1073" s="6" t="n">
        <v>75736</v>
      </c>
      <c r="G1073" s="6" t="n">
        <v>39928</v>
      </c>
      <c r="H1073" s="6" t="n">
        <v>41514</v>
      </c>
      <c r="I1073" s="6" t="n">
        <v>10630</v>
      </c>
      <c r="J1073" s="6" t="n">
        <v>10943</v>
      </c>
      <c r="K1073" s="6" t="n">
        <v>2000</v>
      </c>
      <c r="L1073" s="6" t="n">
        <v>1862</v>
      </c>
      <c r="M1073" s="6" t="n">
        <v>1057</v>
      </c>
      <c r="N1073" s="6" t="n">
        <v>866</v>
      </c>
      <c r="O1073" s="6" t="n">
        <v>1416</v>
      </c>
      <c r="P1073" s="6" t="n">
        <v>1360</v>
      </c>
      <c r="Q1073" s="6" t="n">
        <v>1427</v>
      </c>
      <c r="R1073" s="6" t="n">
        <v>1414</v>
      </c>
      <c r="S1073" s="6" t="n">
        <v>553</v>
      </c>
      <c r="T1073" s="6" t="n">
        <v>505</v>
      </c>
      <c r="U1073" s="6" t="n">
        <v>1964</v>
      </c>
      <c r="V1073" s="6" t="n">
        <v>1906</v>
      </c>
    </row>
    <row r="1074" customFormat="false" ht="15" hidden="false" customHeight="false" outlineLevel="0" collapsed="false">
      <c r="A1074" s="5" t="s">
        <v>81</v>
      </c>
      <c r="B1074" s="6" t="s">
        <v>77</v>
      </c>
      <c r="C1074" s="5" t="s">
        <v>65</v>
      </c>
      <c r="D1074" s="5" t="s">
        <v>61</v>
      </c>
      <c r="E1074" s="6" t="n">
        <v>72268</v>
      </c>
      <c r="F1074" s="6" t="n">
        <v>75281</v>
      </c>
      <c r="G1074" s="6" t="n">
        <v>42249</v>
      </c>
      <c r="H1074" s="6" t="n">
        <v>44355</v>
      </c>
      <c r="I1074" s="6" t="n">
        <v>12153</v>
      </c>
      <c r="J1074" s="6" t="n">
        <v>11987</v>
      </c>
      <c r="K1074" s="6" t="n">
        <v>1461</v>
      </c>
      <c r="L1074" s="6" t="n">
        <v>1637</v>
      </c>
      <c r="M1074" s="6" t="n">
        <v>579</v>
      </c>
      <c r="N1074" s="6" t="n">
        <v>523</v>
      </c>
      <c r="O1074" s="6" t="n">
        <v>1458</v>
      </c>
      <c r="P1074" s="6" t="n">
        <v>1357</v>
      </c>
      <c r="Q1074" s="6" t="n">
        <v>878</v>
      </c>
      <c r="R1074" s="6" t="n">
        <v>880</v>
      </c>
      <c r="S1074" s="6" t="n">
        <v>541</v>
      </c>
      <c r="T1074" s="6" t="n">
        <v>527</v>
      </c>
      <c r="U1074" s="6" t="n">
        <v>1962</v>
      </c>
      <c r="V1074" s="6" t="n">
        <v>1951</v>
      </c>
    </row>
    <row r="1075" customFormat="false" ht="15" hidden="false" customHeight="false" outlineLevel="0" collapsed="false">
      <c r="A1075" s="5" t="s">
        <v>81</v>
      </c>
      <c r="B1075" s="6" t="s">
        <v>77</v>
      </c>
      <c r="C1075" s="5" t="s">
        <v>66</v>
      </c>
      <c r="D1075" s="5" t="s">
        <v>61</v>
      </c>
      <c r="E1075" s="6" t="n">
        <v>78237</v>
      </c>
      <c r="F1075" s="6" t="n">
        <v>82066</v>
      </c>
      <c r="G1075" s="6" t="n">
        <v>42271</v>
      </c>
      <c r="H1075" s="6" t="n">
        <v>44816</v>
      </c>
      <c r="I1075" s="6" t="n">
        <v>12295</v>
      </c>
      <c r="J1075" s="6" t="n">
        <v>12979</v>
      </c>
      <c r="K1075" s="6" t="n">
        <v>2737</v>
      </c>
      <c r="L1075" s="6" t="n">
        <v>2426</v>
      </c>
      <c r="M1075" s="6" t="n">
        <v>691</v>
      </c>
      <c r="N1075" s="6" t="n">
        <v>829</v>
      </c>
      <c r="O1075" s="6" t="n">
        <v>1426</v>
      </c>
      <c r="P1075" s="6" t="n">
        <v>1557</v>
      </c>
      <c r="Q1075" s="6" t="n">
        <v>1471</v>
      </c>
      <c r="R1075" s="6" t="n">
        <v>1454</v>
      </c>
      <c r="S1075" s="6" t="n">
        <v>823</v>
      </c>
      <c r="T1075" s="6" t="n">
        <v>968</v>
      </c>
      <c r="U1075" s="6" t="n">
        <v>2207</v>
      </c>
      <c r="V1075" s="6" t="n">
        <v>2159</v>
      </c>
    </row>
    <row r="1076" customFormat="false" ht="15" hidden="false" customHeight="false" outlineLevel="0" collapsed="false">
      <c r="A1076" s="5" t="s">
        <v>81</v>
      </c>
      <c r="B1076" s="6" t="s">
        <v>77</v>
      </c>
      <c r="C1076" s="5" t="s">
        <v>67</v>
      </c>
      <c r="D1076" s="5" t="s">
        <v>61</v>
      </c>
      <c r="E1076" s="6" t="n">
        <v>80179</v>
      </c>
      <c r="F1076" s="6" t="n">
        <v>76212</v>
      </c>
      <c r="G1076" s="6" t="n">
        <v>46867</v>
      </c>
      <c r="H1076" s="6" t="n">
        <v>45242</v>
      </c>
      <c r="I1076" s="6" t="n">
        <v>12505</v>
      </c>
      <c r="J1076" s="6" t="n">
        <v>13194</v>
      </c>
      <c r="K1076" s="6" t="n">
        <v>2478</v>
      </c>
      <c r="L1076" s="6" t="n">
        <v>2656</v>
      </c>
      <c r="M1076" s="6" t="n">
        <v>988</v>
      </c>
      <c r="N1076" s="6" t="n">
        <v>982</v>
      </c>
      <c r="O1076" s="6" t="n">
        <v>1878</v>
      </c>
      <c r="P1076" s="6" t="n">
        <v>1976</v>
      </c>
      <c r="Q1076" s="6" t="n">
        <v>1155</v>
      </c>
      <c r="R1076" s="6" t="n">
        <v>1211</v>
      </c>
      <c r="S1076" s="6" t="n">
        <v>939</v>
      </c>
      <c r="T1076" s="6" t="n">
        <v>1282</v>
      </c>
      <c r="U1076" s="6" t="n">
        <v>2298</v>
      </c>
      <c r="V1076" s="6" t="n">
        <v>2305</v>
      </c>
    </row>
    <row r="1077" customFormat="false" ht="15" hidden="false" customHeight="false" outlineLevel="0" collapsed="false">
      <c r="A1077" s="5" t="s">
        <v>81</v>
      </c>
      <c r="B1077" s="6" t="s">
        <v>77</v>
      </c>
      <c r="C1077" s="5" t="s">
        <v>68</v>
      </c>
      <c r="D1077" s="5" t="s">
        <v>61</v>
      </c>
      <c r="E1077" s="6" t="n">
        <v>74795</v>
      </c>
      <c r="F1077" s="6" t="n">
        <v>77032</v>
      </c>
      <c r="G1077" s="6" t="n">
        <v>41489</v>
      </c>
      <c r="H1077" s="6" t="n">
        <v>41384</v>
      </c>
      <c r="I1077" s="6" t="n">
        <v>12539</v>
      </c>
      <c r="J1077" s="6" t="n">
        <v>13288</v>
      </c>
      <c r="K1077" s="6" t="n">
        <v>2587</v>
      </c>
      <c r="L1077" s="6" t="n">
        <v>2599</v>
      </c>
      <c r="M1077" s="6" t="n">
        <v>957</v>
      </c>
      <c r="N1077" s="6" t="n">
        <v>885</v>
      </c>
      <c r="O1077" s="6" t="n">
        <v>1435</v>
      </c>
      <c r="P1077" s="6" t="n">
        <v>1345</v>
      </c>
      <c r="Q1077" s="6" t="n">
        <v>1397</v>
      </c>
      <c r="R1077" s="6" t="n">
        <v>1460</v>
      </c>
      <c r="S1077" s="6" t="n">
        <v>486</v>
      </c>
      <c r="T1077" s="6" t="n">
        <v>417</v>
      </c>
      <c r="U1077" s="6" t="n">
        <v>2156</v>
      </c>
      <c r="V1077" s="6" t="n">
        <v>2133</v>
      </c>
    </row>
    <row r="1078" customFormat="false" ht="15" hidden="false" customHeight="false" outlineLevel="0" collapsed="false">
      <c r="A1078" s="5" t="s">
        <v>81</v>
      </c>
      <c r="B1078" s="6" t="s">
        <v>77</v>
      </c>
      <c r="C1078" s="5" t="s">
        <v>69</v>
      </c>
      <c r="D1078" s="5" t="s">
        <v>61</v>
      </c>
      <c r="E1078" s="6" t="n">
        <v>85976</v>
      </c>
      <c r="F1078" s="6" t="n">
        <v>85409</v>
      </c>
      <c r="G1078" s="6" t="n">
        <v>48333</v>
      </c>
      <c r="H1078" s="6" t="n">
        <v>47412</v>
      </c>
      <c r="I1078" s="6" t="n">
        <v>13330</v>
      </c>
      <c r="J1078" s="6" t="n">
        <v>14043</v>
      </c>
      <c r="K1078" s="6" t="n">
        <v>2961</v>
      </c>
      <c r="L1078" s="6" t="n">
        <v>2791</v>
      </c>
      <c r="M1078" s="6" t="n">
        <v>1273</v>
      </c>
      <c r="N1078" s="6" t="n">
        <v>1139</v>
      </c>
      <c r="O1078" s="6" t="n">
        <v>1771</v>
      </c>
      <c r="P1078" s="6" t="n">
        <v>1900</v>
      </c>
      <c r="Q1078" s="6" t="n">
        <v>1040</v>
      </c>
      <c r="R1078" s="6" t="n">
        <v>1026</v>
      </c>
      <c r="S1078" s="6" t="n">
        <v>683</v>
      </c>
      <c r="T1078" s="6" t="n">
        <v>644</v>
      </c>
      <c r="U1078" s="6" t="n">
        <v>2074</v>
      </c>
      <c r="V1078" s="6" t="n">
        <v>2016</v>
      </c>
    </row>
    <row r="1079" customFormat="false" ht="15" hidden="false" customHeight="false" outlineLevel="0" collapsed="false">
      <c r="A1079" s="5" t="s">
        <v>81</v>
      </c>
      <c r="B1079" s="6" t="s">
        <v>77</v>
      </c>
      <c r="C1079" s="5" t="s">
        <v>70</v>
      </c>
      <c r="D1079" s="5" t="s">
        <v>61</v>
      </c>
      <c r="E1079" s="6" t="n">
        <v>82961</v>
      </c>
      <c r="F1079" s="6" t="n">
        <v>78769</v>
      </c>
      <c r="G1079" s="6" t="n">
        <v>47821</v>
      </c>
      <c r="H1079" s="6" t="n">
        <v>44816</v>
      </c>
      <c r="I1079" s="6" t="n">
        <v>13063</v>
      </c>
      <c r="J1079" s="6" t="n">
        <v>13683</v>
      </c>
      <c r="K1079" s="6" t="n">
        <v>2733</v>
      </c>
      <c r="L1079" s="6" t="n">
        <v>2677</v>
      </c>
      <c r="M1079" s="6" t="n">
        <v>750</v>
      </c>
      <c r="N1079" s="6" t="n">
        <v>620</v>
      </c>
      <c r="O1079" s="6" t="n">
        <v>1542</v>
      </c>
      <c r="P1079" s="6" t="n">
        <v>1457</v>
      </c>
      <c r="Q1079" s="6" t="n">
        <v>1580</v>
      </c>
      <c r="R1079" s="6" t="n">
        <v>1615</v>
      </c>
      <c r="S1079" s="6" t="n">
        <v>901</v>
      </c>
      <c r="T1079" s="6" t="n">
        <v>1103</v>
      </c>
      <c r="U1079" s="6" t="n">
        <v>2106</v>
      </c>
      <c r="V1079" s="6" t="n">
        <v>2054</v>
      </c>
    </row>
    <row r="1080" customFormat="false" ht="15" hidden="false" customHeight="false" outlineLevel="0" collapsed="false">
      <c r="A1080" s="5" t="s">
        <v>81</v>
      </c>
      <c r="B1080" s="6" t="s">
        <v>77</v>
      </c>
      <c r="C1080" s="5" t="s">
        <v>71</v>
      </c>
      <c r="D1080" s="5" t="s">
        <v>61</v>
      </c>
      <c r="E1080" s="6" t="n">
        <v>83725</v>
      </c>
      <c r="F1080" s="6" t="n">
        <v>79702</v>
      </c>
      <c r="G1080" s="6" t="n">
        <v>48490</v>
      </c>
      <c r="H1080" s="6" t="n">
        <v>46612</v>
      </c>
      <c r="I1080" s="6" t="n">
        <v>13220</v>
      </c>
      <c r="J1080" s="6" t="n">
        <v>13939</v>
      </c>
      <c r="K1080" s="6" t="n">
        <v>2890</v>
      </c>
      <c r="L1080" s="6" t="n">
        <v>2586</v>
      </c>
      <c r="M1080" s="6" t="n">
        <v>1192</v>
      </c>
      <c r="N1080" s="6" t="n">
        <v>1037</v>
      </c>
      <c r="O1080" s="6" t="n">
        <v>1952</v>
      </c>
      <c r="P1080" s="6" t="n">
        <v>1972</v>
      </c>
      <c r="Q1080" s="6" t="n">
        <v>1052</v>
      </c>
      <c r="R1080" s="6" t="n">
        <v>1027</v>
      </c>
      <c r="S1080" s="6" t="n">
        <v>665</v>
      </c>
      <c r="T1080" s="6" t="n">
        <v>586</v>
      </c>
      <c r="U1080" s="6" t="n">
        <v>1865</v>
      </c>
      <c r="V1080" s="6" t="n">
        <v>1911</v>
      </c>
    </row>
    <row r="1081" customFormat="false" ht="15" hidden="false" customHeight="false" outlineLevel="0" collapsed="false">
      <c r="A1081" s="5" t="s">
        <v>81</v>
      </c>
      <c r="B1081" s="6" t="s">
        <v>77</v>
      </c>
      <c r="C1081" s="5" t="s">
        <v>72</v>
      </c>
      <c r="D1081" s="5" t="s">
        <v>61</v>
      </c>
      <c r="E1081" s="6" t="n">
        <v>85026</v>
      </c>
      <c r="F1081" s="6" t="n">
        <v>88282</v>
      </c>
      <c r="G1081" s="6" t="n">
        <v>47504</v>
      </c>
      <c r="H1081" s="6" t="n">
        <v>51755</v>
      </c>
      <c r="I1081" s="6" t="n">
        <v>12471</v>
      </c>
      <c r="J1081" s="6" t="n">
        <v>13463</v>
      </c>
      <c r="K1081" s="6" t="n">
        <v>1723</v>
      </c>
      <c r="L1081" s="6" t="n">
        <v>1617</v>
      </c>
      <c r="M1081" s="6" t="n">
        <v>775</v>
      </c>
      <c r="N1081" s="6" t="n">
        <v>657</v>
      </c>
      <c r="O1081" s="6" t="n">
        <v>2187</v>
      </c>
      <c r="P1081" s="6" t="n">
        <v>2386</v>
      </c>
      <c r="Q1081" s="6" t="n">
        <v>1396</v>
      </c>
      <c r="R1081" s="6" t="n">
        <v>1373</v>
      </c>
      <c r="S1081" s="6" t="n">
        <v>790</v>
      </c>
      <c r="T1081" s="6" t="n">
        <v>957</v>
      </c>
      <c r="U1081" s="6" t="n">
        <v>2498</v>
      </c>
      <c r="V1081" s="6" t="n">
        <v>2517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3" min="1" style="0" width="16"/>
  </cols>
  <sheetData>
    <row r="1" customFormat="false" ht="23.85" hidden="false" customHeight="false" outlineLevel="0" collapsed="false">
      <c r="A1" s="4" t="s">
        <v>10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82</v>
      </c>
      <c r="G1" s="4" t="s">
        <v>83</v>
      </c>
      <c r="H1" s="4" t="s">
        <v>16</v>
      </c>
      <c r="I1" s="4" t="s">
        <v>17</v>
      </c>
      <c r="J1" s="4" t="s">
        <v>84</v>
      </c>
      <c r="K1" s="4" t="s">
        <v>85</v>
      </c>
      <c r="L1" s="4" t="s">
        <v>86</v>
      </c>
      <c r="M1" s="4" t="s">
        <v>87</v>
      </c>
      <c r="N1" s="4" t="s">
        <v>88</v>
      </c>
      <c r="O1" s="4" t="s">
        <v>89</v>
      </c>
      <c r="P1" s="4" t="s">
        <v>90</v>
      </c>
      <c r="Q1" s="4" t="s">
        <v>91</v>
      </c>
      <c r="R1" s="4" t="s">
        <v>92</v>
      </c>
      <c r="S1" s="4" t="s">
        <v>93</v>
      </c>
      <c r="T1" s="4" t="s">
        <v>94</v>
      </c>
      <c r="U1" s="4" t="s">
        <v>95</v>
      </c>
      <c r="V1" s="4" t="s">
        <v>96</v>
      </c>
      <c r="W1" s="4" t="s">
        <v>97</v>
      </c>
    </row>
    <row r="2" customFormat="false" ht="15" hidden="false" customHeight="false" outlineLevel="0" collapsed="false">
      <c r="A2" s="5" t="str">
        <f aca="false">01_Data!A2</f>
        <v>Banking &amp; Financial Services</v>
      </c>
      <c r="B2" s="5" t="str">
        <f aca="false">01_Data!C2</f>
        <v>2023-04</v>
      </c>
      <c r="C2" s="5" t="str">
        <f aca="false">01_Data!D2</f>
        <v>FY23</v>
      </c>
      <c r="D2" s="7" t="n">
        <f aca="false">01_Data!E2</f>
        <v>388849</v>
      </c>
      <c r="E2" s="7" t="n">
        <f aca="false">01_Data!F2</f>
        <v>402208</v>
      </c>
      <c r="F2" s="7" t="n">
        <f aca="false">E2-D2</f>
        <v>13359</v>
      </c>
      <c r="G2" s="8" t="n">
        <f aca="false">IFERROR(F2/D2,0)</f>
        <v>0.0343552381515704</v>
      </c>
      <c r="H2" s="7" t="n">
        <f aca="false">01_Data!G2</f>
        <v>227161</v>
      </c>
      <c r="I2" s="7" t="n">
        <f aca="false">01_Data!H2</f>
        <v>240530</v>
      </c>
      <c r="J2" s="7" t="n">
        <f aca="false">H2-I2</f>
        <v>-13369</v>
      </c>
      <c r="K2" s="8" t="n">
        <f aca="false">IFERROR(J2/H2,0)</f>
        <v>-0.0588525319046843</v>
      </c>
      <c r="L2" s="7" t="n">
        <f aca="false">D2-H2</f>
        <v>161688</v>
      </c>
      <c r="M2" s="7" t="n">
        <f aca="false">E2-I2</f>
        <v>161678</v>
      </c>
      <c r="N2" s="7" t="n">
        <f aca="false">IFERROR(L2/D2,0)</f>
        <v>0.415811793266795</v>
      </c>
      <c r="O2" s="7" t="n">
        <f aca="false">IFERROR(M2/E2,0)</f>
        <v>0.401976091972313</v>
      </c>
      <c r="P2" s="7" t="n">
        <f aca="false">01_Data!I2+01_Data!K2+01_Data!M2+01_Data!O2+01_Data!Q2+01_Data!S2+01_Data!U2</f>
        <v>106352</v>
      </c>
      <c r="Q2" s="7" t="n">
        <f aca="false">01_Data!J2+01_Data!L2+01_Data!N2+01_Data!P2+01_Data!R2+01_Data!T2+01_Data!V2</f>
        <v>103608</v>
      </c>
      <c r="R2" s="7" t="n">
        <f aca="false">P2-Q2</f>
        <v>2744</v>
      </c>
      <c r="S2" s="7" t="n">
        <f aca="false">L2-P2</f>
        <v>55336</v>
      </c>
      <c r="T2" s="7" t="n">
        <f aca="false">M2-Q2</f>
        <v>58070</v>
      </c>
      <c r="U2" s="7" t="n">
        <f aca="false">T2-S2</f>
        <v>2734</v>
      </c>
      <c r="V2" s="8" t="n">
        <f aca="false">IFERROR(U2/S2,0)</f>
        <v>0.0494072574815672</v>
      </c>
      <c r="W2" s="5" t="str">
        <f aca="false">IF(V2&lt;-0.1,"ADVERSE &gt;10%","")</f>
        <v/>
      </c>
    </row>
    <row r="3" customFormat="false" ht="15" hidden="false" customHeight="false" outlineLevel="0" collapsed="false">
      <c r="A3" s="5" t="str">
        <f aca="false">01_Data!A3</f>
        <v>Banking &amp; Financial Services</v>
      </c>
      <c r="B3" s="5" t="str">
        <f aca="false">01_Data!C3</f>
        <v>2023-05</v>
      </c>
      <c r="C3" s="5" t="str">
        <f aca="false">01_Data!D3</f>
        <v>FY23</v>
      </c>
      <c r="D3" s="7" t="n">
        <f aca="false">01_Data!E3</f>
        <v>420607</v>
      </c>
      <c r="E3" s="7" t="n">
        <f aca="false">01_Data!F3</f>
        <v>410839</v>
      </c>
      <c r="F3" s="7" t="n">
        <f aca="false">E3-D3</f>
        <v>-9768</v>
      </c>
      <c r="G3" s="8" t="n">
        <f aca="false">IFERROR(F3/D3,0)</f>
        <v>-0.0232235792556947</v>
      </c>
      <c r="H3" s="7" t="n">
        <f aca="false">01_Data!G3</f>
        <v>235714</v>
      </c>
      <c r="I3" s="7" t="n">
        <f aca="false">01_Data!H3</f>
        <v>225217</v>
      </c>
      <c r="J3" s="7" t="n">
        <f aca="false">H3-I3</f>
        <v>10497</v>
      </c>
      <c r="K3" s="8" t="n">
        <f aca="false">IFERROR(J3/H3,0)</f>
        <v>0.0445327812518561</v>
      </c>
      <c r="L3" s="7" t="n">
        <f aca="false">D3-H3</f>
        <v>184893</v>
      </c>
      <c r="M3" s="7" t="n">
        <f aca="false">E3-I3</f>
        <v>185622</v>
      </c>
      <c r="N3" s="7" t="n">
        <f aca="false">IFERROR(L3/D3,0)</f>
        <v>0.439586121961831</v>
      </c>
      <c r="O3" s="7" t="n">
        <f aca="false">IFERROR(M3/E3,0)</f>
        <v>0.451812023688111</v>
      </c>
      <c r="P3" s="7" t="n">
        <f aca="false">01_Data!I3+01_Data!K3+01_Data!M3+01_Data!O3+01_Data!Q3+01_Data!S3+01_Data!U3</f>
        <v>119018</v>
      </c>
      <c r="Q3" s="7" t="n">
        <f aca="false">01_Data!J3+01_Data!L3+01_Data!N3+01_Data!P3+01_Data!R3+01_Data!T3+01_Data!V3</f>
        <v>120454</v>
      </c>
      <c r="R3" s="7" t="n">
        <f aca="false">P3-Q3</f>
        <v>-1436</v>
      </c>
      <c r="S3" s="7" t="n">
        <f aca="false">L3-P3</f>
        <v>65875</v>
      </c>
      <c r="T3" s="7" t="n">
        <f aca="false">M3-Q3</f>
        <v>65168</v>
      </c>
      <c r="U3" s="7" t="n">
        <f aca="false">T3-S3</f>
        <v>-707</v>
      </c>
      <c r="V3" s="8" t="n">
        <f aca="false">IFERROR(U3/S3,0)</f>
        <v>-0.0107324478178368</v>
      </c>
      <c r="W3" s="5" t="str">
        <f aca="false">IF(V3&lt;-0.1,"ADVERSE &gt;10%","")</f>
        <v/>
      </c>
    </row>
    <row r="4" customFormat="false" ht="15" hidden="false" customHeight="false" outlineLevel="0" collapsed="false">
      <c r="A4" s="5" t="str">
        <f aca="false">01_Data!A4</f>
        <v>Banking &amp; Financial Services</v>
      </c>
      <c r="B4" s="5" t="str">
        <f aca="false">01_Data!C4</f>
        <v>2023-06</v>
      </c>
      <c r="C4" s="5" t="str">
        <f aca="false">01_Data!D4</f>
        <v>FY23</v>
      </c>
      <c r="D4" s="7" t="n">
        <f aca="false">01_Data!E4</f>
        <v>424486</v>
      </c>
      <c r="E4" s="7" t="n">
        <f aca="false">01_Data!F4</f>
        <v>420582</v>
      </c>
      <c r="F4" s="7" t="n">
        <f aca="false">E4-D4</f>
        <v>-3904</v>
      </c>
      <c r="G4" s="8" t="n">
        <f aca="false">IFERROR(F4/D4,0)</f>
        <v>-0.00919700531937449</v>
      </c>
      <c r="H4" s="7" t="n">
        <f aca="false">01_Data!G4</f>
        <v>247167</v>
      </c>
      <c r="I4" s="7" t="n">
        <f aca="false">01_Data!H4</f>
        <v>237446</v>
      </c>
      <c r="J4" s="7" t="n">
        <f aca="false">H4-I4</f>
        <v>9721</v>
      </c>
      <c r="K4" s="8" t="n">
        <f aca="false">IFERROR(J4/H4,0)</f>
        <v>0.0393296839788483</v>
      </c>
      <c r="L4" s="7" t="n">
        <f aca="false">D4-H4</f>
        <v>177319</v>
      </c>
      <c r="M4" s="7" t="n">
        <f aca="false">E4-I4</f>
        <v>183136</v>
      </c>
      <c r="N4" s="7" t="n">
        <f aca="false">IFERROR(L4/D4,0)</f>
        <v>0.417726379668587</v>
      </c>
      <c r="O4" s="7" t="n">
        <f aca="false">IFERROR(M4/E4,0)</f>
        <v>0.43543470714391</v>
      </c>
      <c r="P4" s="7" t="n">
        <f aca="false">01_Data!I4+01_Data!K4+01_Data!M4+01_Data!O4+01_Data!Q4+01_Data!S4+01_Data!U4</f>
        <v>106182</v>
      </c>
      <c r="Q4" s="7" t="n">
        <f aca="false">01_Data!J4+01_Data!L4+01_Data!N4+01_Data!P4+01_Data!R4+01_Data!T4+01_Data!V4</f>
        <v>106259</v>
      </c>
      <c r="R4" s="7" t="n">
        <f aca="false">P4-Q4</f>
        <v>-77</v>
      </c>
      <c r="S4" s="7" t="n">
        <f aca="false">L4-P4</f>
        <v>71137</v>
      </c>
      <c r="T4" s="7" t="n">
        <f aca="false">M4-Q4</f>
        <v>76877</v>
      </c>
      <c r="U4" s="7" t="n">
        <f aca="false">T4-S4</f>
        <v>5740</v>
      </c>
      <c r="V4" s="8" t="n">
        <f aca="false">IFERROR(U4/S4,0)</f>
        <v>0.0806893740247691</v>
      </c>
      <c r="W4" s="5" t="str">
        <f aca="false">IF(V4&lt;-0.1,"ADVERSE &gt;10%","")</f>
        <v/>
      </c>
    </row>
    <row r="5" customFormat="false" ht="15" hidden="false" customHeight="false" outlineLevel="0" collapsed="false">
      <c r="A5" s="5" t="str">
        <f aca="false">01_Data!A5</f>
        <v>Banking &amp; Financial Services</v>
      </c>
      <c r="B5" s="5" t="str">
        <f aca="false">01_Data!C5</f>
        <v>2023-07</v>
      </c>
      <c r="C5" s="5" t="str">
        <f aca="false">01_Data!D5</f>
        <v>FY23</v>
      </c>
      <c r="D5" s="7" t="n">
        <f aca="false">01_Data!E5</f>
        <v>430349</v>
      </c>
      <c r="E5" s="7" t="n">
        <f aca="false">01_Data!F5</f>
        <v>418833</v>
      </c>
      <c r="F5" s="7" t="n">
        <f aca="false">E5-D5</f>
        <v>-11516</v>
      </c>
      <c r="G5" s="8" t="n">
        <f aca="false">IFERROR(F5/D5,0)</f>
        <v>-0.0267596764486498</v>
      </c>
      <c r="H5" s="7" t="n">
        <f aca="false">01_Data!G5</f>
        <v>236608</v>
      </c>
      <c r="I5" s="7" t="n">
        <f aca="false">01_Data!H5</f>
        <v>229846</v>
      </c>
      <c r="J5" s="7" t="n">
        <f aca="false">H5-I5</f>
        <v>6762</v>
      </c>
      <c r="K5" s="8" t="n">
        <f aca="false">IFERROR(J5/H5,0)</f>
        <v>0.0285789153367595</v>
      </c>
      <c r="L5" s="7" t="n">
        <f aca="false">D5-H5</f>
        <v>193741</v>
      </c>
      <c r="M5" s="7" t="n">
        <f aca="false">E5-I5</f>
        <v>188987</v>
      </c>
      <c r="N5" s="7" t="n">
        <f aca="false">IFERROR(L5/D5,0)</f>
        <v>0.45019507423045</v>
      </c>
      <c r="O5" s="7" t="n">
        <f aca="false">IFERROR(M5/E5,0)</f>
        <v>0.451222802405732</v>
      </c>
      <c r="P5" s="7" t="n">
        <f aca="false">01_Data!I5+01_Data!K5+01_Data!M5+01_Data!O5+01_Data!Q5+01_Data!S5+01_Data!U5</f>
        <v>121695</v>
      </c>
      <c r="Q5" s="7" t="n">
        <f aca="false">01_Data!J5+01_Data!L5+01_Data!N5+01_Data!P5+01_Data!R5+01_Data!T5+01_Data!V5</f>
        <v>126659</v>
      </c>
      <c r="R5" s="7" t="n">
        <f aca="false">P5-Q5</f>
        <v>-4964</v>
      </c>
      <c r="S5" s="7" t="n">
        <f aca="false">L5-P5</f>
        <v>72046</v>
      </c>
      <c r="T5" s="7" t="n">
        <f aca="false">M5-Q5</f>
        <v>62328</v>
      </c>
      <c r="U5" s="7" t="n">
        <f aca="false">T5-S5</f>
        <v>-9718</v>
      </c>
      <c r="V5" s="8" t="n">
        <f aca="false">IFERROR(U5/S5,0)</f>
        <v>-0.134886045026788</v>
      </c>
      <c r="W5" s="5" t="str">
        <f aca="false">IF(V5&lt;-0.1,"ADVERSE &gt;10%","")</f>
        <v>ADVERSE &gt;10%</v>
      </c>
    </row>
    <row r="6" customFormat="false" ht="15" hidden="false" customHeight="false" outlineLevel="0" collapsed="false">
      <c r="A6" s="5" t="str">
        <f aca="false">01_Data!A6</f>
        <v>Banking &amp; Financial Services</v>
      </c>
      <c r="B6" s="5" t="str">
        <f aca="false">01_Data!C6</f>
        <v>2023-08</v>
      </c>
      <c r="C6" s="5" t="str">
        <f aca="false">01_Data!D6</f>
        <v>FY23</v>
      </c>
      <c r="D6" s="7" t="n">
        <f aca="false">01_Data!E6</f>
        <v>419953</v>
      </c>
      <c r="E6" s="7" t="n">
        <f aca="false">01_Data!F6</f>
        <v>425279</v>
      </c>
      <c r="F6" s="7" t="n">
        <f aca="false">E6-D6</f>
        <v>5326</v>
      </c>
      <c r="G6" s="8" t="n">
        <f aca="false">IFERROR(F6/D6,0)</f>
        <v>0.0126823715987265</v>
      </c>
      <c r="H6" s="7" t="n">
        <f aca="false">01_Data!G6</f>
        <v>249819</v>
      </c>
      <c r="I6" s="7" t="n">
        <f aca="false">01_Data!H6</f>
        <v>254238</v>
      </c>
      <c r="J6" s="7" t="n">
        <f aca="false">H6-I6</f>
        <v>-4419</v>
      </c>
      <c r="K6" s="8" t="n">
        <f aca="false">IFERROR(J6/H6,0)</f>
        <v>-0.0176888066960479</v>
      </c>
      <c r="L6" s="7" t="n">
        <f aca="false">D6-H6</f>
        <v>170134</v>
      </c>
      <c r="M6" s="7" t="n">
        <f aca="false">E6-I6</f>
        <v>171041</v>
      </c>
      <c r="N6" s="7" t="n">
        <f aca="false">IFERROR(L6/D6,0)</f>
        <v>0.405126287941746</v>
      </c>
      <c r="O6" s="7" t="n">
        <f aca="false">IFERROR(M6/E6,0)</f>
        <v>0.402185388885884</v>
      </c>
      <c r="P6" s="7" t="n">
        <f aca="false">01_Data!I6+01_Data!K6+01_Data!M6+01_Data!O6+01_Data!Q6+01_Data!S6+01_Data!U6</f>
        <v>108380</v>
      </c>
      <c r="Q6" s="7" t="n">
        <f aca="false">01_Data!J6+01_Data!L6+01_Data!N6+01_Data!P6+01_Data!R6+01_Data!T6+01_Data!V6</f>
        <v>107846</v>
      </c>
      <c r="R6" s="7" t="n">
        <f aca="false">P6-Q6</f>
        <v>534</v>
      </c>
      <c r="S6" s="7" t="n">
        <f aca="false">L6-P6</f>
        <v>61754</v>
      </c>
      <c r="T6" s="7" t="n">
        <f aca="false">M6-Q6</f>
        <v>63195</v>
      </c>
      <c r="U6" s="7" t="n">
        <f aca="false">T6-S6</f>
        <v>1441</v>
      </c>
      <c r="V6" s="8" t="n">
        <f aca="false">IFERROR(U6/S6,0)</f>
        <v>0.0233345208407553</v>
      </c>
      <c r="W6" s="5" t="str">
        <f aca="false">IF(V6&lt;-0.1,"ADVERSE &gt;10%","")</f>
        <v/>
      </c>
    </row>
    <row r="7" customFormat="false" ht="15" hidden="false" customHeight="false" outlineLevel="0" collapsed="false">
      <c r="A7" s="5" t="str">
        <f aca="false">01_Data!A7</f>
        <v>Banking &amp; Financial Services</v>
      </c>
      <c r="B7" s="5" t="str">
        <f aca="false">01_Data!C7</f>
        <v>2023-09</v>
      </c>
      <c r="C7" s="5" t="str">
        <f aca="false">01_Data!D7</f>
        <v>FY23</v>
      </c>
      <c r="D7" s="7" t="n">
        <f aca="false">01_Data!E7</f>
        <v>447752</v>
      </c>
      <c r="E7" s="7" t="n">
        <f aca="false">01_Data!F7</f>
        <v>451974</v>
      </c>
      <c r="F7" s="7" t="n">
        <f aca="false">E7-D7</f>
        <v>4222</v>
      </c>
      <c r="G7" s="8" t="n">
        <f aca="false">IFERROR(F7/D7,0)</f>
        <v>0.00942932694884668</v>
      </c>
      <c r="H7" s="7" t="n">
        <f aca="false">01_Data!G7</f>
        <v>243493</v>
      </c>
      <c r="I7" s="7" t="n">
        <f aca="false">01_Data!H7</f>
        <v>245373</v>
      </c>
      <c r="J7" s="7" t="n">
        <f aca="false">H7-I7</f>
        <v>-1880</v>
      </c>
      <c r="K7" s="8" t="n">
        <f aca="false">IFERROR(J7/H7,0)</f>
        <v>-0.00772096117752872</v>
      </c>
      <c r="L7" s="7" t="n">
        <f aca="false">D7-H7</f>
        <v>204259</v>
      </c>
      <c r="M7" s="7" t="n">
        <f aca="false">E7-I7</f>
        <v>206601</v>
      </c>
      <c r="N7" s="7" t="n">
        <f aca="false">IFERROR(L7/D7,0)</f>
        <v>0.456187800389501</v>
      </c>
      <c r="O7" s="7" t="n">
        <f aca="false">IFERROR(M7/E7,0)</f>
        <v>0.457108152238846</v>
      </c>
      <c r="P7" s="7" t="n">
        <f aca="false">01_Data!I7+01_Data!K7+01_Data!M7+01_Data!O7+01_Data!Q7+01_Data!S7+01_Data!U7</f>
        <v>126575</v>
      </c>
      <c r="Q7" s="7" t="n">
        <f aca="false">01_Data!J7+01_Data!L7+01_Data!N7+01_Data!P7+01_Data!R7+01_Data!T7+01_Data!V7</f>
        <v>131730</v>
      </c>
      <c r="R7" s="7" t="n">
        <f aca="false">P7-Q7</f>
        <v>-5155</v>
      </c>
      <c r="S7" s="7" t="n">
        <f aca="false">L7-P7</f>
        <v>77684</v>
      </c>
      <c r="T7" s="7" t="n">
        <f aca="false">M7-Q7</f>
        <v>74871</v>
      </c>
      <c r="U7" s="7" t="n">
        <f aca="false">T7-S7</f>
        <v>-2813</v>
      </c>
      <c r="V7" s="8" t="n">
        <f aca="false">IFERROR(U7/S7,0)</f>
        <v>-0.0362108027393028</v>
      </c>
      <c r="W7" s="5" t="str">
        <f aca="false">IF(V7&lt;-0.1,"ADVERSE &gt;10%","")</f>
        <v/>
      </c>
    </row>
    <row r="8" customFormat="false" ht="15" hidden="false" customHeight="false" outlineLevel="0" collapsed="false">
      <c r="A8" s="5" t="str">
        <f aca="false">01_Data!A8</f>
        <v>Banking &amp; Financial Services</v>
      </c>
      <c r="B8" s="5" t="str">
        <f aca="false">01_Data!C8</f>
        <v>2023-10</v>
      </c>
      <c r="C8" s="5" t="str">
        <f aca="false">01_Data!D8</f>
        <v>FY23</v>
      </c>
      <c r="D8" s="7" t="n">
        <f aca="false">01_Data!E8</f>
        <v>432087</v>
      </c>
      <c r="E8" s="7" t="n">
        <f aca="false">01_Data!F8</f>
        <v>444714</v>
      </c>
      <c r="F8" s="7" t="n">
        <f aca="false">E8-D8</f>
        <v>12627</v>
      </c>
      <c r="G8" s="8" t="n">
        <f aca="false">IFERROR(F8/D8,0)</f>
        <v>0.0292232814224913</v>
      </c>
      <c r="H8" s="7" t="n">
        <f aca="false">01_Data!G8</f>
        <v>246305</v>
      </c>
      <c r="I8" s="7" t="n">
        <f aca="false">01_Data!H8</f>
        <v>248581</v>
      </c>
      <c r="J8" s="7" t="n">
        <f aca="false">H8-I8</f>
        <v>-2276</v>
      </c>
      <c r="K8" s="8" t="n">
        <f aca="false">IFERROR(J8/H8,0)</f>
        <v>-0.00924057570897871</v>
      </c>
      <c r="L8" s="7" t="n">
        <f aca="false">D8-H8</f>
        <v>185782</v>
      </c>
      <c r="M8" s="7" t="n">
        <f aca="false">E8-I8</f>
        <v>196133</v>
      </c>
      <c r="N8" s="7" t="n">
        <f aca="false">IFERROR(L8/D8,0)</f>
        <v>0.42996433588606</v>
      </c>
      <c r="O8" s="7" t="n">
        <f aca="false">IFERROR(M8/E8,0)</f>
        <v>0.441031764234991</v>
      </c>
      <c r="P8" s="7" t="n">
        <f aca="false">01_Data!I8+01_Data!K8+01_Data!M8+01_Data!O8+01_Data!Q8+01_Data!S8+01_Data!U8</f>
        <v>118466</v>
      </c>
      <c r="Q8" s="7" t="n">
        <f aca="false">01_Data!J8+01_Data!L8+01_Data!N8+01_Data!P8+01_Data!R8+01_Data!T8+01_Data!V8</f>
        <v>123432</v>
      </c>
      <c r="R8" s="7" t="n">
        <f aca="false">P8-Q8</f>
        <v>-4966</v>
      </c>
      <c r="S8" s="7" t="n">
        <f aca="false">L8-P8</f>
        <v>67316</v>
      </c>
      <c r="T8" s="7" t="n">
        <f aca="false">M8-Q8</f>
        <v>72701</v>
      </c>
      <c r="U8" s="7" t="n">
        <f aca="false">T8-S8</f>
        <v>5385</v>
      </c>
      <c r="V8" s="8" t="n">
        <f aca="false">IFERROR(U8/S8,0)</f>
        <v>0.0799958405133995</v>
      </c>
      <c r="W8" s="5" t="str">
        <f aca="false">IF(V8&lt;-0.1,"ADVERSE &gt;10%","")</f>
        <v/>
      </c>
    </row>
    <row r="9" customFormat="false" ht="15" hidden="false" customHeight="false" outlineLevel="0" collapsed="false">
      <c r="A9" s="5" t="str">
        <f aca="false">01_Data!A9</f>
        <v>Banking &amp; Financial Services</v>
      </c>
      <c r="B9" s="5" t="str">
        <f aca="false">01_Data!C9</f>
        <v>2023-11</v>
      </c>
      <c r="C9" s="5" t="str">
        <f aca="false">01_Data!D9</f>
        <v>FY23</v>
      </c>
      <c r="D9" s="7" t="n">
        <f aca="false">01_Data!E9</f>
        <v>473697</v>
      </c>
      <c r="E9" s="7" t="n">
        <f aca="false">01_Data!F9</f>
        <v>455566</v>
      </c>
      <c r="F9" s="7" t="n">
        <f aca="false">E9-D9</f>
        <v>-18131</v>
      </c>
      <c r="G9" s="8" t="n">
        <f aca="false">IFERROR(F9/D9,0)</f>
        <v>-0.0382755221164584</v>
      </c>
      <c r="H9" s="7" t="n">
        <f aca="false">01_Data!G9</f>
        <v>264536</v>
      </c>
      <c r="I9" s="7" t="n">
        <f aca="false">01_Data!H9</f>
        <v>246619</v>
      </c>
      <c r="J9" s="7" t="n">
        <f aca="false">H9-I9</f>
        <v>17917</v>
      </c>
      <c r="K9" s="8" t="n">
        <f aca="false">IFERROR(J9/H9,0)</f>
        <v>0.0677299119968549</v>
      </c>
      <c r="L9" s="7" t="n">
        <f aca="false">D9-H9</f>
        <v>209161</v>
      </c>
      <c r="M9" s="7" t="n">
        <f aca="false">E9-I9</f>
        <v>208947</v>
      </c>
      <c r="N9" s="7" t="n">
        <f aca="false">IFERROR(L9/D9,0)</f>
        <v>0.441550189256001</v>
      </c>
      <c r="O9" s="7" t="n">
        <f aca="false">IFERROR(M9/E9,0)</f>
        <v>0.458653630867975</v>
      </c>
      <c r="P9" s="7" t="n">
        <f aca="false">01_Data!I9+01_Data!K9+01_Data!M9+01_Data!O9+01_Data!Q9+01_Data!S9+01_Data!U9</f>
        <v>127610</v>
      </c>
      <c r="Q9" s="7" t="n">
        <f aca="false">01_Data!J9+01_Data!L9+01_Data!N9+01_Data!P9+01_Data!R9+01_Data!T9+01_Data!V9</f>
        <v>134448</v>
      </c>
      <c r="R9" s="7" t="n">
        <f aca="false">P9-Q9</f>
        <v>-6838</v>
      </c>
      <c r="S9" s="7" t="n">
        <f aca="false">L9-P9</f>
        <v>81551</v>
      </c>
      <c r="T9" s="7" t="n">
        <f aca="false">M9-Q9</f>
        <v>74499</v>
      </c>
      <c r="U9" s="7" t="n">
        <f aca="false">T9-S9</f>
        <v>-7052</v>
      </c>
      <c r="V9" s="8" t="n">
        <f aca="false">IFERROR(U9/S9,0)</f>
        <v>-0.0864734951134873</v>
      </c>
      <c r="W9" s="5" t="str">
        <f aca="false">IF(V9&lt;-0.1,"ADVERSE &gt;10%","")</f>
        <v/>
      </c>
    </row>
    <row r="10" customFormat="false" ht="15" hidden="false" customHeight="false" outlineLevel="0" collapsed="false">
      <c r="A10" s="5" t="str">
        <f aca="false">01_Data!A10</f>
        <v>Banking &amp; Financial Services</v>
      </c>
      <c r="B10" s="5" t="str">
        <f aca="false">01_Data!C10</f>
        <v>2023-12</v>
      </c>
      <c r="C10" s="5" t="str">
        <f aca="false">01_Data!D10</f>
        <v>FY23</v>
      </c>
      <c r="D10" s="7" t="n">
        <f aca="false">01_Data!E10</f>
        <v>492549</v>
      </c>
      <c r="E10" s="7" t="n">
        <f aca="false">01_Data!F10</f>
        <v>479324</v>
      </c>
      <c r="F10" s="7" t="n">
        <f aca="false">E10-D10</f>
        <v>-13225</v>
      </c>
      <c r="G10" s="8" t="n">
        <f aca="false">IFERROR(F10/D10,0)</f>
        <v>-0.0268501204956258</v>
      </c>
      <c r="H10" s="7" t="n">
        <f aca="false">01_Data!G10</f>
        <v>271921</v>
      </c>
      <c r="I10" s="7" t="n">
        <f aca="false">01_Data!H10</f>
        <v>262504</v>
      </c>
      <c r="J10" s="7" t="n">
        <f aca="false">H10-I10</f>
        <v>9417</v>
      </c>
      <c r="K10" s="8" t="n">
        <f aca="false">IFERROR(J10/H10,0)</f>
        <v>0.0346313819087161</v>
      </c>
      <c r="L10" s="7" t="n">
        <f aca="false">D10-H10</f>
        <v>220628</v>
      </c>
      <c r="M10" s="7" t="n">
        <f aca="false">E10-I10</f>
        <v>216820</v>
      </c>
      <c r="N10" s="7" t="n">
        <f aca="false">IFERROR(L10/D10,0)</f>
        <v>0.447931068787065</v>
      </c>
      <c r="O10" s="7" t="n">
        <f aca="false">IFERROR(M10/E10,0)</f>
        <v>0.452345386419207</v>
      </c>
      <c r="P10" s="7" t="n">
        <f aca="false">01_Data!I10+01_Data!K10+01_Data!M10+01_Data!O10+01_Data!Q10+01_Data!S10+01_Data!U10</f>
        <v>132600</v>
      </c>
      <c r="Q10" s="7" t="n">
        <f aca="false">01_Data!J10+01_Data!L10+01_Data!N10+01_Data!P10+01_Data!R10+01_Data!T10+01_Data!V10</f>
        <v>136672</v>
      </c>
      <c r="R10" s="7" t="n">
        <f aca="false">P10-Q10</f>
        <v>-4072</v>
      </c>
      <c r="S10" s="7" t="n">
        <f aca="false">L10-P10</f>
        <v>88028</v>
      </c>
      <c r="T10" s="7" t="n">
        <f aca="false">M10-Q10</f>
        <v>80148</v>
      </c>
      <c r="U10" s="7" t="n">
        <f aca="false">T10-S10</f>
        <v>-7880</v>
      </c>
      <c r="V10" s="8" t="n">
        <f aca="false">IFERROR(U10/S10,0)</f>
        <v>-0.089516971872586</v>
      </c>
      <c r="W10" s="5" t="str">
        <f aca="false">IF(V10&lt;-0.1,"ADVERSE &gt;10%","")</f>
        <v/>
      </c>
    </row>
    <row r="11" customFormat="false" ht="15" hidden="false" customHeight="false" outlineLevel="0" collapsed="false">
      <c r="A11" s="5" t="str">
        <f aca="false">01_Data!A11</f>
        <v>Banking &amp; Financial Services</v>
      </c>
      <c r="B11" s="5" t="str">
        <f aca="false">01_Data!C11</f>
        <v>2024-01</v>
      </c>
      <c r="C11" s="5" t="str">
        <f aca="false">01_Data!D11</f>
        <v>FY23</v>
      </c>
      <c r="D11" s="7" t="n">
        <f aca="false">01_Data!E11</f>
        <v>447050</v>
      </c>
      <c r="E11" s="7" t="n">
        <f aca="false">01_Data!F11</f>
        <v>471322</v>
      </c>
      <c r="F11" s="7" t="n">
        <f aca="false">E11-D11</f>
        <v>24272</v>
      </c>
      <c r="G11" s="8" t="n">
        <f aca="false">IFERROR(F11/D11,0)</f>
        <v>0.0542937031651941</v>
      </c>
      <c r="H11" s="7" t="n">
        <f aca="false">01_Data!G11</f>
        <v>247791</v>
      </c>
      <c r="I11" s="7" t="n">
        <f aca="false">01_Data!H11</f>
        <v>267583</v>
      </c>
      <c r="J11" s="7" t="n">
        <f aca="false">H11-I11</f>
        <v>-19792</v>
      </c>
      <c r="K11" s="8" t="n">
        <f aca="false">IFERROR(J11/H11,0)</f>
        <v>-0.079873764583863</v>
      </c>
      <c r="L11" s="7" t="n">
        <f aca="false">D11-H11</f>
        <v>199259</v>
      </c>
      <c r="M11" s="7" t="n">
        <f aca="false">E11-I11</f>
        <v>203739</v>
      </c>
      <c r="N11" s="7" t="n">
        <f aca="false">IFERROR(L11/D11,0)</f>
        <v>0.445719718152332</v>
      </c>
      <c r="O11" s="7" t="n">
        <f aca="false">IFERROR(M11/E11,0)</f>
        <v>0.432271355888331</v>
      </c>
      <c r="P11" s="7" t="n">
        <f aca="false">01_Data!I11+01_Data!K11+01_Data!M11+01_Data!O11+01_Data!Q11+01_Data!S11+01_Data!U11</f>
        <v>119116</v>
      </c>
      <c r="Q11" s="7" t="n">
        <f aca="false">01_Data!J11+01_Data!L11+01_Data!N11+01_Data!P11+01_Data!R11+01_Data!T11+01_Data!V11</f>
        <v>119262</v>
      </c>
      <c r="R11" s="7" t="n">
        <f aca="false">P11-Q11</f>
        <v>-146</v>
      </c>
      <c r="S11" s="7" t="n">
        <f aca="false">L11-P11</f>
        <v>80143</v>
      </c>
      <c r="T11" s="7" t="n">
        <f aca="false">M11-Q11</f>
        <v>84477</v>
      </c>
      <c r="U11" s="7" t="n">
        <f aca="false">T11-S11</f>
        <v>4334</v>
      </c>
      <c r="V11" s="8" t="n">
        <f aca="false">IFERROR(U11/S11,0)</f>
        <v>0.05407833497623</v>
      </c>
      <c r="W11" s="5" t="str">
        <f aca="false">IF(V11&lt;-0.1,"ADVERSE &gt;10%","")</f>
        <v/>
      </c>
    </row>
    <row r="12" customFormat="false" ht="15" hidden="false" customHeight="false" outlineLevel="0" collapsed="false">
      <c r="A12" s="5" t="str">
        <f aca="false">01_Data!A12</f>
        <v>Banking &amp; Financial Services</v>
      </c>
      <c r="B12" s="5" t="str">
        <f aca="false">01_Data!C12</f>
        <v>2024-02</v>
      </c>
      <c r="C12" s="5" t="str">
        <f aca="false">01_Data!D12</f>
        <v>FY23</v>
      </c>
      <c r="D12" s="7" t="n">
        <f aca="false">01_Data!E12</f>
        <v>461465</v>
      </c>
      <c r="E12" s="7" t="n">
        <f aca="false">01_Data!F12</f>
        <v>484829</v>
      </c>
      <c r="F12" s="7" t="n">
        <f aca="false">E12-D12</f>
        <v>23364</v>
      </c>
      <c r="G12" s="8" t="n">
        <f aca="false">IFERROR(F12/D12,0)</f>
        <v>0.0506300586176633</v>
      </c>
      <c r="H12" s="7" t="n">
        <f aca="false">01_Data!G12</f>
        <v>260339</v>
      </c>
      <c r="I12" s="7" t="n">
        <f aca="false">01_Data!H12</f>
        <v>272048</v>
      </c>
      <c r="J12" s="7" t="n">
        <f aca="false">H12-I12</f>
        <v>-11709</v>
      </c>
      <c r="K12" s="8" t="n">
        <f aca="false">IFERROR(J12/H12,0)</f>
        <v>-0.0449759736343767</v>
      </c>
      <c r="L12" s="7" t="n">
        <f aca="false">D12-H12</f>
        <v>201126</v>
      </c>
      <c r="M12" s="7" t="n">
        <f aca="false">E12-I12</f>
        <v>212781</v>
      </c>
      <c r="N12" s="7" t="n">
        <f aca="false">IFERROR(L12/D12,0)</f>
        <v>0.435842371577476</v>
      </c>
      <c r="O12" s="7" t="n">
        <f aca="false">IFERROR(M12/E12,0)</f>
        <v>0.438878449927706</v>
      </c>
      <c r="P12" s="7" t="n">
        <f aca="false">01_Data!I12+01_Data!K12+01_Data!M12+01_Data!O12+01_Data!Q12+01_Data!S12+01_Data!U12</f>
        <v>126901</v>
      </c>
      <c r="Q12" s="7" t="n">
        <f aca="false">01_Data!J12+01_Data!L12+01_Data!N12+01_Data!P12+01_Data!R12+01_Data!T12+01_Data!V12</f>
        <v>126853</v>
      </c>
      <c r="R12" s="7" t="n">
        <f aca="false">P12-Q12</f>
        <v>48</v>
      </c>
      <c r="S12" s="7" t="n">
        <f aca="false">L12-P12</f>
        <v>74225</v>
      </c>
      <c r="T12" s="7" t="n">
        <f aca="false">M12-Q12</f>
        <v>85928</v>
      </c>
      <c r="U12" s="7" t="n">
        <f aca="false">T12-S12</f>
        <v>11703</v>
      </c>
      <c r="V12" s="8" t="n">
        <f aca="false">IFERROR(U12/S12,0)</f>
        <v>0.157669248905355</v>
      </c>
      <c r="W12" s="5" t="str">
        <f aca="false">IF(V12&lt;-0.1,"ADVERSE &gt;10%","")</f>
        <v/>
      </c>
    </row>
    <row r="13" customFormat="false" ht="15" hidden="false" customHeight="false" outlineLevel="0" collapsed="false">
      <c r="A13" s="5" t="str">
        <f aca="false">01_Data!A13</f>
        <v>Banking &amp; Financial Services</v>
      </c>
      <c r="B13" s="5" t="str">
        <f aca="false">01_Data!C13</f>
        <v>2024-03</v>
      </c>
      <c r="C13" s="5" t="str">
        <f aca="false">01_Data!D13</f>
        <v>FY23</v>
      </c>
      <c r="D13" s="7" t="n">
        <f aca="false">01_Data!E13</f>
        <v>545415</v>
      </c>
      <c r="E13" s="7" t="n">
        <f aca="false">01_Data!F13</f>
        <v>518868</v>
      </c>
      <c r="F13" s="7" t="n">
        <f aca="false">E13-D13</f>
        <v>-26547</v>
      </c>
      <c r="G13" s="8" t="n">
        <f aca="false">IFERROR(F13/D13,0)</f>
        <v>-0.0486730287945876</v>
      </c>
      <c r="H13" s="7" t="n">
        <f aca="false">01_Data!G13</f>
        <v>322298</v>
      </c>
      <c r="I13" s="7" t="n">
        <f aca="false">01_Data!H13</f>
        <v>300548</v>
      </c>
      <c r="J13" s="7" t="n">
        <f aca="false">H13-I13</f>
        <v>21750</v>
      </c>
      <c r="K13" s="8" t="n">
        <f aca="false">IFERROR(J13/H13,0)</f>
        <v>0.0674841295943506</v>
      </c>
      <c r="L13" s="7" t="n">
        <f aca="false">D13-H13</f>
        <v>223117</v>
      </c>
      <c r="M13" s="7" t="n">
        <f aca="false">E13-I13</f>
        <v>218320</v>
      </c>
      <c r="N13" s="7" t="n">
        <f aca="false">IFERROR(L13/D13,0)</f>
        <v>0.409077491451464</v>
      </c>
      <c r="O13" s="7" t="n">
        <f aca="false">IFERROR(M13/E13,0)</f>
        <v>0.420762120616419</v>
      </c>
      <c r="P13" s="7" t="n">
        <f aca="false">01_Data!I13+01_Data!K13+01_Data!M13+01_Data!O13+01_Data!Q13+01_Data!S13+01_Data!U13</f>
        <v>144442</v>
      </c>
      <c r="Q13" s="7" t="n">
        <f aca="false">01_Data!J13+01_Data!L13+01_Data!N13+01_Data!P13+01_Data!R13+01_Data!T13+01_Data!V13</f>
        <v>147066</v>
      </c>
      <c r="R13" s="7" t="n">
        <f aca="false">P13-Q13</f>
        <v>-2624</v>
      </c>
      <c r="S13" s="7" t="n">
        <f aca="false">L13-P13</f>
        <v>78675</v>
      </c>
      <c r="T13" s="7" t="n">
        <f aca="false">M13-Q13</f>
        <v>71254</v>
      </c>
      <c r="U13" s="7" t="n">
        <f aca="false">T13-S13</f>
        <v>-7421</v>
      </c>
      <c r="V13" s="8" t="n">
        <f aca="false">IFERROR(U13/S13,0)</f>
        <v>-0.0943247537337147</v>
      </c>
      <c r="W13" s="5" t="str">
        <f aca="false">IF(V13&lt;-0.1,"ADVERSE &gt;10%","")</f>
        <v/>
      </c>
    </row>
    <row r="14" customFormat="false" ht="15" hidden="false" customHeight="false" outlineLevel="0" collapsed="false">
      <c r="A14" s="5" t="str">
        <f aca="false">01_Data!A14</f>
        <v>Banking &amp; Financial Services</v>
      </c>
      <c r="B14" s="5" t="str">
        <f aca="false">01_Data!C14</f>
        <v>2024-04</v>
      </c>
      <c r="C14" s="5" t="str">
        <f aca="false">01_Data!D14</f>
        <v>FY24</v>
      </c>
      <c r="D14" s="7" t="n">
        <f aca="false">01_Data!E14</f>
        <v>483924</v>
      </c>
      <c r="E14" s="7" t="n">
        <f aca="false">01_Data!F14</f>
        <v>496025</v>
      </c>
      <c r="F14" s="7" t="n">
        <f aca="false">E14-D14</f>
        <v>12101</v>
      </c>
      <c r="G14" s="8" t="n">
        <f aca="false">IFERROR(F14/D14,0)</f>
        <v>0.025005992676536</v>
      </c>
      <c r="H14" s="7" t="n">
        <f aca="false">01_Data!G14</f>
        <v>289446</v>
      </c>
      <c r="I14" s="7" t="n">
        <f aca="false">01_Data!H14</f>
        <v>301128</v>
      </c>
      <c r="J14" s="7" t="n">
        <f aca="false">H14-I14</f>
        <v>-11682</v>
      </c>
      <c r="K14" s="8" t="n">
        <f aca="false">IFERROR(J14/H14,0)</f>
        <v>-0.0403598598702349</v>
      </c>
      <c r="L14" s="7" t="n">
        <f aca="false">D14-H14</f>
        <v>194478</v>
      </c>
      <c r="M14" s="7" t="n">
        <f aca="false">E14-I14</f>
        <v>194897</v>
      </c>
      <c r="N14" s="7" t="n">
        <f aca="false">IFERROR(L14/D14,0)</f>
        <v>0.401877154263893</v>
      </c>
      <c r="O14" s="7" t="n">
        <f aca="false">IFERROR(M14/E14,0)</f>
        <v>0.392917695680661</v>
      </c>
      <c r="P14" s="7" t="n">
        <f aca="false">01_Data!I14+01_Data!K14+01_Data!M14+01_Data!O14+01_Data!Q14+01_Data!S14+01_Data!U14</f>
        <v>122326</v>
      </c>
      <c r="Q14" s="7" t="n">
        <f aca="false">01_Data!J14+01_Data!L14+01_Data!N14+01_Data!P14+01_Data!R14+01_Data!T14+01_Data!V14</f>
        <v>129187</v>
      </c>
      <c r="R14" s="7" t="n">
        <f aca="false">P14-Q14</f>
        <v>-6861</v>
      </c>
      <c r="S14" s="7" t="n">
        <f aca="false">L14-P14</f>
        <v>72152</v>
      </c>
      <c r="T14" s="7" t="n">
        <f aca="false">M14-Q14</f>
        <v>65710</v>
      </c>
      <c r="U14" s="7" t="n">
        <f aca="false">T14-S14</f>
        <v>-6442</v>
      </c>
      <c r="V14" s="8" t="n">
        <f aca="false">IFERROR(U14/S14,0)</f>
        <v>-0.0892837343386185</v>
      </c>
      <c r="W14" s="5" t="str">
        <f aca="false">IF(V14&lt;-0.1,"ADVERSE &gt;10%","")</f>
        <v/>
      </c>
    </row>
    <row r="15" customFormat="false" ht="15" hidden="false" customHeight="false" outlineLevel="0" collapsed="false">
      <c r="A15" s="5" t="str">
        <f aca="false">01_Data!A15</f>
        <v>Banking &amp; Financial Services</v>
      </c>
      <c r="B15" s="5" t="str">
        <f aca="false">01_Data!C15</f>
        <v>2024-05</v>
      </c>
      <c r="C15" s="5" t="str">
        <f aca="false">01_Data!D15</f>
        <v>FY24</v>
      </c>
      <c r="D15" s="7" t="n">
        <f aca="false">01_Data!E15</f>
        <v>492879</v>
      </c>
      <c r="E15" s="7" t="n">
        <f aca="false">01_Data!F15</f>
        <v>508361</v>
      </c>
      <c r="F15" s="7" t="n">
        <f aca="false">E15-D15</f>
        <v>15482</v>
      </c>
      <c r="G15" s="8" t="n">
        <f aca="false">IFERROR(F15/D15,0)</f>
        <v>0.0314113605976315</v>
      </c>
      <c r="H15" s="7" t="n">
        <f aca="false">01_Data!G15</f>
        <v>283736</v>
      </c>
      <c r="I15" s="7" t="n">
        <f aca="false">01_Data!H15</f>
        <v>298225</v>
      </c>
      <c r="J15" s="7" t="n">
        <f aca="false">H15-I15</f>
        <v>-14489</v>
      </c>
      <c r="K15" s="8" t="n">
        <f aca="false">IFERROR(J15/H15,0)</f>
        <v>-0.0510650745763668</v>
      </c>
      <c r="L15" s="7" t="n">
        <f aca="false">D15-H15</f>
        <v>209143</v>
      </c>
      <c r="M15" s="7" t="n">
        <f aca="false">E15-I15</f>
        <v>210136</v>
      </c>
      <c r="N15" s="7" t="n">
        <f aca="false">IFERROR(L15/D15,0)</f>
        <v>0.424329297860124</v>
      </c>
      <c r="O15" s="7" t="n">
        <f aca="false">IFERROR(M15/E15,0)</f>
        <v>0.413359797466761</v>
      </c>
      <c r="P15" s="7" t="n">
        <f aca="false">01_Data!I15+01_Data!K15+01_Data!M15+01_Data!O15+01_Data!Q15+01_Data!S15+01_Data!U15</f>
        <v>126291</v>
      </c>
      <c r="Q15" s="7" t="n">
        <f aca="false">01_Data!J15+01_Data!L15+01_Data!N15+01_Data!P15+01_Data!R15+01_Data!T15+01_Data!V15</f>
        <v>132080</v>
      </c>
      <c r="R15" s="7" t="n">
        <f aca="false">P15-Q15</f>
        <v>-5789</v>
      </c>
      <c r="S15" s="7" t="n">
        <f aca="false">L15-P15</f>
        <v>82852</v>
      </c>
      <c r="T15" s="7" t="n">
        <f aca="false">M15-Q15</f>
        <v>78056</v>
      </c>
      <c r="U15" s="7" t="n">
        <f aca="false">T15-S15</f>
        <v>-4796</v>
      </c>
      <c r="V15" s="8" t="n">
        <f aca="false">IFERROR(U15/S15,0)</f>
        <v>-0.057886351566649</v>
      </c>
      <c r="W15" s="5" t="str">
        <f aca="false">IF(V15&lt;-0.1,"ADVERSE &gt;10%","")</f>
        <v/>
      </c>
    </row>
    <row r="16" customFormat="false" ht="15" hidden="false" customHeight="false" outlineLevel="0" collapsed="false">
      <c r="A16" s="5" t="str">
        <f aca="false">01_Data!A16</f>
        <v>Banking &amp; Financial Services</v>
      </c>
      <c r="B16" s="5" t="str">
        <f aca="false">01_Data!C16</f>
        <v>2024-06</v>
      </c>
      <c r="C16" s="5" t="str">
        <f aca="false">01_Data!D16</f>
        <v>FY24</v>
      </c>
      <c r="D16" s="7" t="n">
        <f aca="false">01_Data!E16</f>
        <v>554371</v>
      </c>
      <c r="E16" s="7" t="n">
        <f aca="false">01_Data!F16</f>
        <v>523223</v>
      </c>
      <c r="F16" s="7" t="n">
        <f aca="false">E16-D16</f>
        <v>-31148</v>
      </c>
      <c r="G16" s="8" t="n">
        <f aca="false">IFERROR(F16/D16,0)</f>
        <v>-0.0561862002161008</v>
      </c>
      <c r="H16" s="7" t="n">
        <f aca="false">01_Data!G16</f>
        <v>301797</v>
      </c>
      <c r="I16" s="7" t="n">
        <f aca="false">01_Data!H16</f>
        <v>279952</v>
      </c>
      <c r="J16" s="7" t="n">
        <f aca="false">H16-I16</f>
        <v>21845</v>
      </c>
      <c r="K16" s="8" t="n">
        <f aca="false">IFERROR(J16/H16,0)</f>
        <v>0.0723830919459107</v>
      </c>
      <c r="L16" s="7" t="n">
        <f aca="false">D16-H16</f>
        <v>252574</v>
      </c>
      <c r="M16" s="7" t="n">
        <f aca="false">E16-I16</f>
        <v>243271</v>
      </c>
      <c r="N16" s="7" t="n">
        <f aca="false">IFERROR(L16/D16,0)</f>
        <v>0.455604640213864</v>
      </c>
      <c r="O16" s="7" t="n">
        <f aca="false">IFERROR(M16/E16,0)</f>
        <v>0.464947068458382</v>
      </c>
      <c r="P16" s="7" t="n">
        <f aca="false">01_Data!I16+01_Data!K16+01_Data!M16+01_Data!O16+01_Data!Q16+01_Data!S16+01_Data!U16</f>
        <v>151388</v>
      </c>
      <c r="Q16" s="7" t="n">
        <f aca="false">01_Data!J16+01_Data!L16+01_Data!N16+01_Data!P16+01_Data!R16+01_Data!T16+01_Data!V16</f>
        <v>158607</v>
      </c>
      <c r="R16" s="7" t="n">
        <f aca="false">P16-Q16</f>
        <v>-7219</v>
      </c>
      <c r="S16" s="7" t="n">
        <f aca="false">L16-P16</f>
        <v>101186</v>
      </c>
      <c r="T16" s="7" t="n">
        <f aca="false">M16-Q16</f>
        <v>84664</v>
      </c>
      <c r="U16" s="7" t="n">
        <f aca="false">T16-S16</f>
        <v>-16522</v>
      </c>
      <c r="V16" s="8" t="n">
        <f aca="false">IFERROR(U16/S16,0)</f>
        <v>-0.163283458185915</v>
      </c>
      <c r="W16" s="5" t="str">
        <f aca="false">IF(V16&lt;-0.1,"ADVERSE &gt;10%","")</f>
        <v>ADVERSE &gt;10%</v>
      </c>
    </row>
    <row r="17" customFormat="false" ht="15" hidden="false" customHeight="false" outlineLevel="0" collapsed="false">
      <c r="A17" s="5" t="str">
        <f aca="false">01_Data!A17</f>
        <v>Banking &amp; Financial Services</v>
      </c>
      <c r="B17" s="5" t="str">
        <f aca="false">01_Data!C17</f>
        <v>2024-07</v>
      </c>
      <c r="C17" s="5" t="str">
        <f aca="false">01_Data!D17</f>
        <v>FY24</v>
      </c>
      <c r="D17" s="7" t="n">
        <f aca="false">01_Data!E17</f>
        <v>559435</v>
      </c>
      <c r="E17" s="7" t="n">
        <f aca="false">01_Data!F17</f>
        <v>531443</v>
      </c>
      <c r="F17" s="7" t="n">
        <f aca="false">E17-D17</f>
        <v>-27992</v>
      </c>
      <c r="G17" s="8" t="n">
        <f aca="false">IFERROR(F17/D17,0)</f>
        <v>-0.05003619723471</v>
      </c>
      <c r="H17" s="7" t="n">
        <f aca="false">01_Data!G17</f>
        <v>306603</v>
      </c>
      <c r="I17" s="7" t="n">
        <f aca="false">01_Data!H17</f>
        <v>283700</v>
      </c>
      <c r="J17" s="7" t="n">
        <f aca="false">H17-I17</f>
        <v>22903</v>
      </c>
      <c r="K17" s="8" t="n">
        <f aca="false">IFERROR(J17/H17,0)</f>
        <v>0.0746992038564528</v>
      </c>
      <c r="L17" s="7" t="n">
        <f aca="false">D17-H17</f>
        <v>252832</v>
      </c>
      <c r="M17" s="7" t="n">
        <f aca="false">E17-I17</f>
        <v>247743</v>
      </c>
      <c r="N17" s="7" t="n">
        <f aca="false">IFERROR(L17/D17,0)</f>
        <v>0.451941691170556</v>
      </c>
      <c r="O17" s="7" t="n">
        <f aca="false">IFERROR(M17/E17,0)</f>
        <v>0.46617040773893</v>
      </c>
      <c r="P17" s="7" t="n">
        <f aca="false">01_Data!I17+01_Data!K17+01_Data!M17+01_Data!O17+01_Data!Q17+01_Data!S17+01_Data!U17</f>
        <v>143150</v>
      </c>
      <c r="Q17" s="7" t="n">
        <f aca="false">01_Data!J17+01_Data!L17+01_Data!N17+01_Data!P17+01_Data!R17+01_Data!T17+01_Data!V17</f>
        <v>144172</v>
      </c>
      <c r="R17" s="7" t="n">
        <f aca="false">P17-Q17</f>
        <v>-1022</v>
      </c>
      <c r="S17" s="7" t="n">
        <f aca="false">L17-P17</f>
        <v>109682</v>
      </c>
      <c r="T17" s="7" t="n">
        <f aca="false">M17-Q17</f>
        <v>103571</v>
      </c>
      <c r="U17" s="7" t="n">
        <f aca="false">T17-S17</f>
        <v>-6111</v>
      </c>
      <c r="V17" s="8" t="n">
        <f aca="false">IFERROR(U17/S17,0)</f>
        <v>-0.0557156142302292</v>
      </c>
      <c r="W17" s="5" t="str">
        <f aca="false">IF(V17&lt;-0.1,"ADVERSE &gt;10%","")</f>
        <v/>
      </c>
    </row>
    <row r="18" customFormat="false" ht="15" hidden="false" customHeight="false" outlineLevel="0" collapsed="false">
      <c r="A18" s="5" t="str">
        <f aca="false">01_Data!A18</f>
        <v>Banking &amp; Financial Services</v>
      </c>
      <c r="B18" s="5" t="str">
        <f aca="false">01_Data!C18</f>
        <v>2024-08</v>
      </c>
      <c r="C18" s="5" t="str">
        <f aca="false">01_Data!D18</f>
        <v>FY24</v>
      </c>
      <c r="D18" s="7" t="n">
        <f aca="false">01_Data!E18</f>
        <v>542739</v>
      </c>
      <c r="E18" s="7" t="n">
        <f aca="false">01_Data!F18</f>
        <v>525638</v>
      </c>
      <c r="F18" s="7" t="n">
        <f aca="false">E18-D18</f>
        <v>-17101</v>
      </c>
      <c r="G18" s="8" t="n">
        <f aca="false">IFERROR(F18/D18,0)</f>
        <v>-0.0315086993932627</v>
      </c>
      <c r="H18" s="7" t="n">
        <f aca="false">01_Data!G18</f>
        <v>313826</v>
      </c>
      <c r="I18" s="7" t="n">
        <f aca="false">01_Data!H18</f>
        <v>300310</v>
      </c>
      <c r="J18" s="7" t="n">
        <f aca="false">H18-I18</f>
        <v>13516</v>
      </c>
      <c r="K18" s="8" t="n">
        <f aca="false">IFERROR(J18/H18,0)</f>
        <v>0.0430684519447082</v>
      </c>
      <c r="L18" s="7" t="n">
        <f aca="false">D18-H18</f>
        <v>228913</v>
      </c>
      <c r="M18" s="7" t="n">
        <f aca="false">E18-I18</f>
        <v>225328</v>
      </c>
      <c r="N18" s="7" t="n">
        <f aca="false">IFERROR(L18/D18,0)</f>
        <v>0.421773633367051</v>
      </c>
      <c r="O18" s="7" t="n">
        <f aca="false">IFERROR(M18/E18,0)</f>
        <v>0.428675247984354</v>
      </c>
      <c r="P18" s="7" t="n">
        <f aca="false">01_Data!I18+01_Data!K18+01_Data!M18+01_Data!O18+01_Data!Q18+01_Data!S18+01_Data!U18</f>
        <v>148096</v>
      </c>
      <c r="Q18" s="7" t="n">
        <f aca="false">01_Data!J18+01_Data!L18+01_Data!N18+01_Data!P18+01_Data!R18+01_Data!T18+01_Data!V18</f>
        <v>149996</v>
      </c>
      <c r="R18" s="7" t="n">
        <f aca="false">P18-Q18</f>
        <v>-1900</v>
      </c>
      <c r="S18" s="7" t="n">
        <f aca="false">L18-P18</f>
        <v>80817</v>
      </c>
      <c r="T18" s="7" t="n">
        <f aca="false">M18-Q18</f>
        <v>75332</v>
      </c>
      <c r="U18" s="7" t="n">
        <f aca="false">T18-S18</f>
        <v>-5485</v>
      </c>
      <c r="V18" s="8" t="n">
        <f aca="false">IFERROR(U18/S18,0)</f>
        <v>-0.0678693839167502</v>
      </c>
      <c r="W18" s="5" t="str">
        <f aca="false">IF(V18&lt;-0.1,"ADVERSE &gt;10%","")</f>
        <v/>
      </c>
    </row>
    <row r="19" customFormat="false" ht="15" hidden="false" customHeight="false" outlineLevel="0" collapsed="false">
      <c r="A19" s="5" t="str">
        <f aca="false">01_Data!A19</f>
        <v>Banking &amp; Financial Services</v>
      </c>
      <c r="B19" s="5" t="str">
        <f aca="false">01_Data!C19</f>
        <v>2024-09</v>
      </c>
      <c r="C19" s="5" t="str">
        <f aca="false">01_Data!D19</f>
        <v>FY24</v>
      </c>
      <c r="D19" s="7" t="n">
        <f aca="false">01_Data!E19</f>
        <v>582907</v>
      </c>
      <c r="E19" s="7" t="n">
        <f aca="false">01_Data!F19</f>
        <v>558723</v>
      </c>
      <c r="F19" s="7" t="n">
        <f aca="false">E19-D19</f>
        <v>-24184</v>
      </c>
      <c r="G19" s="8" t="n">
        <f aca="false">IFERROR(F19/D19,0)</f>
        <v>-0.0414886079597603</v>
      </c>
      <c r="H19" s="7" t="n">
        <f aca="false">01_Data!G19</f>
        <v>346209</v>
      </c>
      <c r="I19" s="7" t="n">
        <f aca="false">01_Data!H19</f>
        <v>326540</v>
      </c>
      <c r="J19" s="7" t="n">
        <f aca="false">H19-I19</f>
        <v>19669</v>
      </c>
      <c r="K19" s="8" t="n">
        <f aca="false">IFERROR(J19/H19,0)</f>
        <v>0.056812503430009</v>
      </c>
      <c r="L19" s="7" t="n">
        <f aca="false">D19-H19</f>
        <v>236698</v>
      </c>
      <c r="M19" s="7" t="n">
        <f aca="false">E19-I19</f>
        <v>232183</v>
      </c>
      <c r="N19" s="7" t="n">
        <f aca="false">IFERROR(L19/D19,0)</f>
        <v>0.406064775341521</v>
      </c>
      <c r="O19" s="7" t="n">
        <f aca="false">IFERROR(M19/E19,0)</f>
        <v>0.415560125500472</v>
      </c>
      <c r="P19" s="7" t="n">
        <f aca="false">01_Data!I19+01_Data!K19+01_Data!M19+01_Data!O19+01_Data!Q19+01_Data!S19+01_Data!U19</f>
        <v>151327</v>
      </c>
      <c r="Q19" s="7" t="n">
        <f aca="false">01_Data!J19+01_Data!L19+01_Data!N19+01_Data!P19+01_Data!R19+01_Data!T19+01_Data!V19</f>
        <v>156319</v>
      </c>
      <c r="R19" s="7" t="n">
        <f aca="false">P19-Q19</f>
        <v>-4992</v>
      </c>
      <c r="S19" s="7" t="n">
        <f aca="false">L19-P19</f>
        <v>85371</v>
      </c>
      <c r="T19" s="7" t="n">
        <f aca="false">M19-Q19</f>
        <v>75864</v>
      </c>
      <c r="U19" s="7" t="n">
        <f aca="false">T19-S19</f>
        <v>-9507</v>
      </c>
      <c r="V19" s="8" t="n">
        <f aca="false">IFERROR(U19/S19,0)</f>
        <v>-0.111361000808237</v>
      </c>
      <c r="W19" s="5" t="str">
        <f aca="false">IF(V19&lt;-0.1,"ADVERSE &gt;10%","")</f>
        <v>ADVERSE &gt;10%</v>
      </c>
    </row>
    <row r="20" customFormat="false" ht="15" hidden="false" customHeight="false" outlineLevel="0" collapsed="false">
      <c r="A20" s="5" t="str">
        <f aca="false">01_Data!A20</f>
        <v>Banking &amp; Financial Services</v>
      </c>
      <c r="B20" s="5" t="str">
        <f aca="false">01_Data!C20</f>
        <v>2024-10</v>
      </c>
      <c r="C20" s="5" t="str">
        <f aca="false">01_Data!D20</f>
        <v>FY24</v>
      </c>
      <c r="D20" s="7" t="n">
        <f aca="false">01_Data!E20</f>
        <v>565781</v>
      </c>
      <c r="E20" s="7" t="n">
        <f aca="false">01_Data!F20</f>
        <v>537969</v>
      </c>
      <c r="F20" s="7" t="n">
        <f aca="false">E20-D20</f>
        <v>-27812</v>
      </c>
      <c r="G20" s="8" t="n">
        <f aca="false">IFERROR(F20/D20,0)</f>
        <v>-0.0491568292325122</v>
      </c>
      <c r="H20" s="7" t="n">
        <f aca="false">01_Data!G20</f>
        <v>332755</v>
      </c>
      <c r="I20" s="7" t="n">
        <f aca="false">01_Data!H20</f>
        <v>328881</v>
      </c>
      <c r="J20" s="7" t="n">
        <f aca="false">H20-I20</f>
        <v>3874</v>
      </c>
      <c r="K20" s="8" t="n">
        <f aca="false">IFERROR(J20/H20,0)</f>
        <v>0.0116421992156391</v>
      </c>
      <c r="L20" s="7" t="n">
        <f aca="false">D20-H20</f>
        <v>233026</v>
      </c>
      <c r="M20" s="7" t="n">
        <f aca="false">E20-I20</f>
        <v>209088</v>
      </c>
      <c r="N20" s="7" t="n">
        <f aca="false">IFERROR(L20/D20,0)</f>
        <v>0.411866075389594</v>
      </c>
      <c r="O20" s="7" t="n">
        <f aca="false">IFERROR(M20/E20,0)</f>
        <v>0.388661800215254</v>
      </c>
      <c r="P20" s="7" t="n">
        <f aca="false">01_Data!I20+01_Data!K20+01_Data!M20+01_Data!O20+01_Data!Q20+01_Data!S20+01_Data!U20</f>
        <v>156810</v>
      </c>
      <c r="Q20" s="7" t="n">
        <f aca="false">01_Data!J20+01_Data!L20+01_Data!N20+01_Data!P20+01_Data!R20+01_Data!T20+01_Data!V20</f>
        <v>156459</v>
      </c>
      <c r="R20" s="7" t="n">
        <f aca="false">P20-Q20</f>
        <v>351</v>
      </c>
      <c r="S20" s="7" t="n">
        <f aca="false">L20-P20</f>
        <v>76216</v>
      </c>
      <c r="T20" s="7" t="n">
        <f aca="false">M20-Q20</f>
        <v>52629</v>
      </c>
      <c r="U20" s="7" t="n">
        <f aca="false">T20-S20</f>
        <v>-23587</v>
      </c>
      <c r="V20" s="8" t="n">
        <f aca="false">IFERROR(U20/S20,0)</f>
        <v>-0.309475700640286</v>
      </c>
      <c r="W20" s="5" t="str">
        <f aca="false">IF(V20&lt;-0.1,"ADVERSE &gt;10%","")</f>
        <v>ADVERSE &gt;10%</v>
      </c>
    </row>
    <row r="21" customFormat="false" ht="15" hidden="false" customHeight="false" outlineLevel="0" collapsed="false">
      <c r="A21" s="5" t="str">
        <f aca="false">01_Data!A21</f>
        <v>Banking &amp; Financial Services</v>
      </c>
      <c r="B21" s="5" t="str">
        <f aca="false">01_Data!C21</f>
        <v>2024-11</v>
      </c>
      <c r="C21" s="5" t="str">
        <f aca="false">01_Data!D21</f>
        <v>FY24</v>
      </c>
      <c r="D21" s="7" t="n">
        <f aca="false">01_Data!E21</f>
        <v>562717</v>
      </c>
      <c r="E21" s="7" t="n">
        <f aca="false">01_Data!F21</f>
        <v>539144</v>
      </c>
      <c r="F21" s="7" t="n">
        <f aca="false">E21-D21</f>
        <v>-23573</v>
      </c>
      <c r="G21" s="8" t="n">
        <f aca="false">IFERROR(F21/D21,0)</f>
        <v>-0.0418913947863669</v>
      </c>
      <c r="H21" s="7" t="n">
        <f aca="false">01_Data!G21</f>
        <v>336512</v>
      </c>
      <c r="I21" s="7" t="n">
        <f aca="false">01_Data!H21</f>
        <v>319157</v>
      </c>
      <c r="J21" s="7" t="n">
        <f aca="false">H21-I21</f>
        <v>17355</v>
      </c>
      <c r="K21" s="8" t="n">
        <f aca="false">IFERROR(J21/H21,0)</f>
        <v>0.0515731979840243</v>
      </c>
      <c r="L21" s="7" t="n">
        <f aca="false">D21-H21</f>
        <v>226205</v>
      </c>
      <c r="M21" s="7" t="n">
        <f aca="false">E21-I21</f>
        <v>219987</v>
      </c>
      <c r="N21" s="7" t="n">
        <f aca="false">IFERROR(L21/D21,0)</f>
        <v>0.401987144514916</v>
      </c>
      <c r="O21" s="7" t="n">
        <f aca="false">IFERROR(M21/E21,0)</f>
        <v>0.408030136661078</v>
      </c>
      <c r="P21" s="7" t="n">
        <f aca="false">01_Data!I21+01_Data!K21+01_Data!M21+01_Data!O21+01_Data!Q21+01_Data!S21+01_Data!U21</f>
        <v>163119</v>
      </c>
      <c r="Q21" s="7" t="n">
        <f aca="false">01_Data!J21+01_Data!L21+01_Data!N21+01_Data!P21+01_Data!R21+01_Data!T21+01_Data!V21</f>
        <v>162464</v>
      </c>
      <c r="R21" s="7" t="n">
        <f aca="false">P21-Q21</f>
        <v>655</v>
      </c>
      <c r="S21" s="7" t="n">
        <f aca="false">L21-P21</f>
        <v>63086</v>
      </c>
      <c r="T21" s="7" t="n">
        <f aca="false">M21-Q21</f>
        <v>57523</v>
      </c>
      <c r="U21" s="7" t="n">
        <f aca="false">T21-S21</f>
        <v>-5563</v>
      </c>
      <c r="V21" s="8" t="n">
        <f aca="false">IFERROR(U21/S21,0)</f>
        <v>-0.0881812129474051</v>
      </c>
      <c r="W21" s="5" t="str">
        <f aca="false">IF(V21&lt;-0.1,"ADVERSE &gt;10%","")</f>
        <v/>
      </c>
    </row>
    <row r="22" customFormat="false" ht="15" hidden="false" customHeight="false" outlineLevel="0" collapsed="false">
      <c r="A22" s="5" t="str">
        <f aca="false">01_Data!A22</f>
        <v>Banking &amp; Financial Services</v>
      </c>
      <c r="B22" s="5" t="str">
        <f aca="false">01_Data!C22</f>
        <v>2024-12</v>
      </c>
      <c r="C22" s="5" t="str">
        <f aca="false">01_Data!D22</f>
        <v>FY24</v>
      </c>
      <c r="D22" s="7" t="n">
        <f aca="false">01_Data!E22</f>
        <v>569556</v>
      </c>
      <c r="E22" s="7" t="n">
        <f aca="false">01_Data!F22</f>
        <v>568776</v>
      </c>
      <c r="F22" s="7" t="n">
        <f aca="false">E22-D22</f>
        <v>-780</v>
      </c>
      <c r="G22" s="8" t="n">
        <f aca="false">IFERROR(F22/D22,0)</f>
        <v>-0.00136948781155848</v>
      </c>
      <c r="H22" s="7" t="n">
        <f aca="false">01_Data!G22</f>
        <v>320724</v>
      </c>
      <c r="I22" s="7" t="n">
        <f aca="false">01_Data!H22</f>
        <v>325306</v>
      </c>
      <c r="J22" s="7" t="n">
        <f aca="false">H22-I22</f>
        <v>-4582</v>
      </c>
      <c r="K22" s="8" t="n">
        <f aca="false">IFERROR(J22/H22,0)</f>
        <v>-0.0142864269590053</v>
      </c>
      <c r="L22" s="7" t="n">
        <f aca="false">D22-H22</f>
        <v>248832</v>
      </c>
      <c r="M22" s="7" t="n">
        <f aca="false">E22-I22</f>
        <v>243470</v>
      </c>
      <c r="N22" s="7" t="n">
        <f aca="false">IFERROR(L22/D22,0)</f>
        <v>0.436887680930409</v>
      </c>
      <c r="O22" s="7" t="n">
        <f aca="false">IFERROR(M22/E22,0)</f>
        <v>0.428059552442438</v>
      </c>
      <c r="P22" s="7" t="n">
        <f aca="false">01_Data!I22+01_Data!K22+01_Data!M22+01_Data!O22+01_Data!Q22+01_Data!S22+01_Data!U22</f>
        <v>144037</v>
      </c>
      <c r="Q22" s="7" t="n">
        <f aca="false">01_Data!J22+01_Data!L22+01_Data!N22+01_Data!P22+01_Data!R22+01_Data!T22+01_Data!V22</f>
        <v>151085</v>
      </c>
      <c r="R22" s="7" t="n">
        <f aca="false">P22-Q22</f>
        <v>-7048</v>
      </c>
      <c r="S22" s="7" t="n">
        <f aca="false">L22-P22</f>
        <v>104795</v>
      </c>
      <c r="T22" s="7" t="n">
        <f aca="false">M22-Q22</f>
        <v>92385</v>
      </c>
      <c r="U22" s="7" t="n">
        <f aca="false">T22-S22</f>
        <v>-12410</v>
      </c>
      <c r="V22" s="8" t="n">
        <f aca="false">IFERROR(U22/S22,0)</f>
        <v>-0.118421680423684</v>
      </c>
      <c r="W22" s="5" t="str">
        <f aca="false">IF(V22&lt;-0.1,"ADVERSE &gt;10%","")</f>
        <v>ADVERSE &gt;10%</v>
      </c>
    </row>
    <row r="23" customFormat="false" ht="15" hidden="false" customHeight="false" outlineLevel="0" collapsed="false">
      <c r="A23" s="5" t="str">
        <f aca="false">01_Data!A23</f>
        <v>Banking &amp; Financial Services</v>
      </c>
      <c r="B23" s="5" t="str">
        <f aca="false">01_Data!C23</f>
        <v>2025-01</v>
      </c>
      <c r="C23" s="5" t="str">
        <f aca="false">01_Data!D23</f>
        <v>FY24</v>
      </c>
      <c r="D23" s="7" t="n">
        <f aca="false">01_Data!E23</f>
        <v>542869</v>
      </c>
      <c r="E23" s="7" t="n">
        <f aca="false">01_Data!F23</f>
        <v>556196</v>
      </c>
      <c r="F23" s="7" t="n">
        <f aca="false">E23-D23</f>
        <v>13327</v>
      </c>
      <c r="G23" s="8" t="n">
        <f aca="false">IFERROR(F23/D23,0)</f>
        <v>0.0245492006358808</v>
      </c>
      <c r="H23" s="7" t="n">
        <f aca="false">01_Data!G23</f>
        <v>303223</v>
      </c>
      <c r="I23" s="7" t="n">
        <f aca="false">01_Data!H23</f>
        <v>310901</v>
      </c>
      <c r="J23" s="7" t="n">
        <f aca="false">H23-I23</f>
        <v>-7678</v>
      </c>
      <c r="K23" s="8" t="n">
        <f aca="false">IFERROR(J23/H23,0)</f>
        <v>-0.0253212981864832</v>
      </c>
      <c r="L23" s="7" t="n">
        <f aca="false">D23-H23</f>
        <v>239646</v>
      </c>
      <c r="M23" s="7" t="n">
        <f aca="false">E23-I23</f>
        <v>245295</v>
      </c>
      <c r="N23" s="7" t="n">
        <f aca="false">IFERROR(L23/D23,0)</f>
        <v>0.441443515838996</v>
      </c>
      <c r="O23" s="7" t="n">
        <f aca="false">IFERROR(M23/E23,0)</f>
        <v>0.441022589159217</v>
      </c>
      <c r="P23" s="7" t="n">
        <f aca="false">01_Data!I23+01_Data!K23+01_Data!M23+01_Data!O23+01_Data!Q23+01_Data!S23+01_Data!U23</f>
        <v>141309</v>
      </c>
      <c r="Q23" s="7" t="n">
        <f aca="false">01_Data!J23+01_Data!L23+01_Data!N23+01_Data!P23+01_Data!R23+01_Data!T23+01_Data!V23</f>
        <v>142792</v>
      </c>
      <c r="R23" s="7" t="n">
        <f aca="false">P23-Q23</f>
        <v>-1483</v>
      </c>
      <c r="S23" s="7" t="n">
        <f aca="false">L23-P23</f>
        <v>98337</v>
      </c>
      <c r="T23" s="7" t="n">
        <f aca="false">M23-Q23</f>
        <v>102503</v>
      </c>
      <c r="U23" s="7" t="n">
        <f aca="false">T23-S23</f>
        <v>4166</v>
      </c>
      <c r="V23" s="8" t="n">
        <f aca="false">IFERROR(U23/S23,0)</f>
        <v>0.0423645220008745</v>
      </c>
      <c r="W23" s="5" t="str">
        <f aca="false">IF(V23&lt;-0.1,"ADVERSE &gt;10%","")</f>
        <v/>
      </c>
    </row>
    <row r="24" customFormat="false" ht="15" hidden="false" customHeight="false" outlineLevel="0" collapsed="false">
      <c r="A24" s="5" t="str">
        <f aca="false">01_Data!A24</f>
        <v>Banking &amp; Financial Services</v>
      </c>
      <c r="B24" s="5" t="str">
        <f aca="false">01_Data!C24</f>
        <v>2025-02</v>
      </c>
      <c r="C24" s="5" t="str">
        <f aca="false">01_Data!D24</f>
        <v>FY24</v>
      </c>
      <c r="D24" s="7" t="n">
        <f aca="false">01_Data!E24</f>
        <v>562367</v>
      </c>
      <c r="E24" s="7" t="n">
        <f aca="false">01_Data!F24</f>
        <v>564740</v>
      </c>
      <c r="F24" s="7" t="n">
        <f aca="false">E24-D24</f>
        <v>2373</v>
      </c>
      <c r="G24" s="8" t="n">
        <f aca="false">IFERROR(F24/D24,0)</f>
        <v>0.00421966438286742</v>
      </c>
      <c r="H24" s="7" t="n">
        <f aca="false">01_Data!G24</f>
        <v>318598</v>
      </c>
      <c r="I24" s="7" t="n">
        <f aca="false">01_Data!H24</f>
        <v>314681</v>
      </c>
      <c r="J24" s="7" t="n">
        <f aca="false">H24-I24</f>
        <v>3917</v>
      </c>
      <c r="K24" s="8" t="n">
        <f aca="false">IFERROR(J24/H24,0)</f>
        <v>0.0122944902353436</v>
      </c>
      <c r="L24" s="7" t="n">
        <f aca="false">D24-H24</f>
        <v>243769</v>
      </c>
      <c r="M24" s="7" t="n">
        <f aca="false">E24-I24</f>
        <v>250059</v>
      </c>
      <c r="N24" s="7" t="n">
        <f aca="false">IFERROR(L24/D24,0)</f>
        <v>0.433469602590479</v>
      </c>
      <c r="O24" s="7" t="n">
        <f aca="false">IFERROR(M24/E24,0)</f>
        <v>0.442786060842157</v>
      </c>
      <c r="P24" s="7" t="n">
        <f aca="false">01_Data!I24+01_Data!K24+01_Data!M24+01_Data!O24+01_Data!Q24+01_Data!S24+01_Data!U24</f>
        <v>151633</v>
      </c>
      <c r="Q24" s="7" t="n">
        <f aca="false">01_Data!J24+01_Data!L24+01_Data!N24+01_Data!P24+01_Data!R24+01_Data!T24+01_Data!V24</f>
        <v>155399</v>
      </c>
      <c r="R24" s="7" t="n">
        <f aca="false">P24-Q24</f>
        <v>-3766</v>
      </c>
      <c r="S24" s="7" t="n">
        <f aca="false">L24-P24</f>
        <v>92136</v>
      </c>
      <c r="T24" s="7" t="n">
        <f aca="false">M24-Q24</f>
        <v>94660</v>
      </c>
      <c r="U24" s="7" t="n">
        <f aca="false">T24-S24</f>
        <v>2524</v>
      </c>
      <c r="V24" s="8" t="n">
        <f aca="false">IFERROR(U24/S24,0)</f>
        <v>0.0273942867066076</v>
      </c>
      <c r="W24" s="5" t="str">
        <f aca="false">IF(V24&lt;-0.1,"ADVERSE &gt;10%","")</f>
        <v/>
      </c>
    </row>
    <row r="25" customFormat="false" ht="15" hidden="false" customHeight="false" outlineLevel="0" collapsed="false">
      <c r="A25" s="5" t="str">
        <f aca="false">01_Data!A25</f>
        <v>Banking &amp; Financial Services</v>
      </c>
      <c r="B25" s="5" t="str">
        <f aca="false">01_Data!C25</f>
        <v>2025-03</v>
      </c>
      <c r="C25" s="5" t="str">
        <f aca="false">01_Data!D25</f>
        <v>FY24</v>
      </c>
      <c r="D25" s="7" t="n">
        <f aca="false">01_Data!E25</f>
        <v>585452</v>
      </c>
      <c r="E25" s="7" t="n">
        <f aca="false">01_Data!F25</f>
        <v>587204</v>
      </c>
      <c r="F25" s="7" t="n">
        <f aca="false">E25-D25</f>
        <v>1752</v>
      </c>
      <c r="G25" s="8" t="n">
        <f aca="false">IFERROR(F25/D25,0)</f>
        <v>0.00299255959497961</v>
      </c>
      <c r="H25" s="7" t="n">
        <f aca="false">01_Data!G25</f>
        <v>345993</v>
      </c>
      <c r="I25" s="7" t="n">
        <f aca="false">01_Data!H25</f>
        <v>337422</v>
      </c>
      <c r="J25" s="7" t="n">
        <f aca="false">H25-I25</f>
        <v>8571</v>
      </c>
      <c r="K25" s="8" t="n">
        <f aca="false">IFERROR(J25/H25,0)</f>
        <v>0.0247721774717986</v>
      </c>
      <c r="L25" s="7" t="n">
        <f aca="false">D25-H25</f>
        <v>239459</v>
      </c>
      <c r="M25" s="7" t="n">
        <f aca="false">E25-I25</f>
        <v>249782</v>
      </c>
      <c r="N25" s="7" t="n">
        <f aca="false">IFERROR(L25/D25,0)</f>
        <v>0.409015598204464</v>
      </c>
      <c r="O25" s="7" t="n">
        <f aca="false">IFERROR(M25/E25,0)</f>
        <v>0.425375167744089</v>
      </c>
      <c r="P25" s="7" t="n">
        <f aca="false">01_Data!I25+01_Data!K25+01_Data!M25+01_Data!O25+01_Data!Q25+01_Data!S25+01_Data!U25</f>
        <v>150917</v>
      </c>
      <c r="Q25" s="7" t="n">
        <f aca="false">01_Data!J25+01_Data!L25+01_Data!N25+01_Data!P25+01_Data!R25+01_Data!T25+01_Data!V25</f>
        <v>154402</v>
      </c>
      <c r="R25" s="7" t="n">
        <f aca="false">P25-Q25</f>
        <v>-3485</v>
      </c>
      <c r="S25" s="7" t="n">
        <f aca="false">L25-P25</f>
        <v>88542</v>
      </c>
      <c r="T25" s="7" t="n">
        <f aca="false">M25-Q25</f>
        <v>95380</v>
      </c>
      <c r="U25" s="7" t="n">
        <f aca="false">T25-S25</f>
        <v>6838</v>
      </c>
      <c r="V25" s="8" t="n">
        <f aca="false">IFERROR(U25/S25,0)</f>
        <v>0.0772288857265479</v>
      </c>
      <c r="W25" s="5" t="str">
        <f aca="false">IF(V25&lt;-0.1,"ADVERSE &gt;10%","")</f>
        <v/>
      </c>
    </row>
    <row r="26" customFormat="false" ht="15" hidden="false" customHeight="false" outlineLevel="0" collapsed="false">
      <c r="A26" s="5" t="str">
        <f aca="false">01_Data!A26</f>
        <v>Banking &amp; Financial Services</v>
      </c>
      <c r="B26" s="5" t="str">
        <f aca="false">01_Data!C26</f>
        <v>2025-04</v>
      </c>
      <c r="C26" s="5" t="str">
        <f aca="false">01_Data!D26</f>
        <v>FY25</v>
      </c>
      <c r="D26" s="7" t="n">
        <f aca="false">01_Data!E26</f>
        <v>538877</v>
      </c>
      <c r="E26" s="7" t="n">
        <f aca="false">01_Data!F26</f>
        <v>569622</v>
      </c>
      <c r="F26" s="7" t="n">
        <f aca="false">E26-D26</f>
        <v>30745</v>
      </c>
      <c r="G26" s="8" t="n">
        <f aca="false">IFERROR(F26/D26,0)</f>
        <v>0.0570538360330836</v>
      </c>
      <c r="H26" s="7" t="n">
        <f aca="false">01_Data!G26</f>
        <v>299051</v>
      </c>
      <c r="I26" s="7" t="n">
        <f aca="false">01_Data!H26</f>
        <v>328882</v>
      </c>
      <c r="J26" s="7" t="n">
        <f aca="false">H26-I26</f>
        <v>-29831</v>
      </c>
      <c r="K26" s="8" t="n">
        <f aca="false">IFERROR(J26/H26,0)</f>
        <v>-0.0997522161771738</v>
      </c>
      <c r="L26" s="7" t="n">
        <f aca="false">D26-H26</f>
        <v>239826</v>
      </c>
      <c r="M26" s="7" t="n">
        <f aca="false">E26-I26</f>
        <v>240740</v>
      </c>
      <c r="N26" s="7" t="n">
        <f aca="false">IFERROR(L26/D26,0)</f>
        <v>0.445047756723705</v>
      </c>
      <c r="O26" s="7" t="n">
        <f aca="false">IFERROR(M26/E26,0)</f>
        <v>0.422631148375589</v>
      </c>
      <c r="P26" s="7" t="n">
        <f aca="false">01_Data!I26+01_Data!K26+01_Data!M26+01_Data!O26+01_Data!Q26+01_Data!S26+01_Data!U26</f>
        <v>151154</v>
      </c>
      <c r="Q26" s="7" t="n">
        <f aca="false">01_Data!J26+01_Data!L26+01_Data!N26+01_Data!P26+01_Data!R26+01_Data!T26+01_Data!V26</f>
        <v>161575</v>
      </c>
      <c r="R26" s="7" t="n">
        <f aca="false">P26-Q26</f>
        <v>-10421</v>
      </c>
      <c r="S26" s="7" t="n">
        <f aca="false">L26-P26</f>
        <v>88672</v>
      </c>
      <c r="T26" s="7" t="n">
        <f aca="false">M26-Q26</f>
        <v>79165</v>
      </c>
      <c r="U26" s="7" t="n">
        <f aca="false">T26-S26</f>
        <v>-9507</v>
      </c>
      <c r="V26" s="8" t="n">
        <f aca="false">IFERROR(U26/S26,0)</f>
        <v>-0.10721535546734</v>
      </c>
      <c r="W26" s="5" t="str">
        <f aca="false">IF(V26&lt;-0.1,"ADVERSE &gt;10%","")</f>
        <v>ADVERSE &gt;10%</v>
      </c>
    </row>
    <row r="27" customFormat="false" ht="15" hidden="false" customHeight="false" outlineLevel="0" collapsed="false">
      <c r="A27" s="5" t="str">
        <f aca="false">01_Data!A27</f>
        <v>Banking &amp; Financial Services</v>
      </c>
      <c r="B27" s="5" t="str">
        <f aca="false">01_Data!C27</f>
        <v>2025-05</v>
      </c>
      <c r="C27" s="5" t="str">
        <f aca="false">01_Data!D27</f>
        <v>FY25</v>
      </c>
      <c r="D27" s="7" t="n">
        <f aca="false">01_Data!E27</f>
        <v>557638</v>
      </c>
      <c r="E27" s="7" t="n">
        <f aca="false">01_Data!F27</f>
        <v>574232</v>
      </c>
      <c r="F27" s="7" t="n">
        <f aca="false">E27-D27</f>
        <v>16594</v>
      </c>
      <c r="G27" s="8" t="n">
        <f aca="false">IFERROR(F27/D27,0)</f>
        <v>0.0297576564007474</v>
      </c>
      <c r="H27" s="7" t="n">
        <f aca="false">01_Data!G27</f>
        <v>309397</v>
      </c>
      <c r="I27" s="7" t="n">
        <f aca="false">01_Data!H27</f>
        <v>325427</v>
      </c>
      <c r="J27" s="7" t="n">
        <f aca="false">H27-I27</f>
        <v>-16030</v>
      </c>
      <c r="K27" s="8" t="n">
        <f aca="false">IFERROR(J27/H27,0)</f>
        <v>-0.0518104571149688</v>
      </c>
      <c r="L27" s="7" t="n">
        <f aca="false">D27-H27</f>
        <v>248241</v>
      </c>
      <c r="M27" s="7" t="n">
        <f aca="false">E27-I27</f>
        <v>248805</v>
      </c>
      <c r="N27" s="7" t="n">
        <f aca="false">IFERROR(L27/D27,0)</f>
        <v>0.445165142978061</v>
      </c>
      <c r="O27" s="7" t="n">
        <f aca="false">IFERROR(M27/E27,0)</f>
        <v>0.433283063291492</v>
      </c>
      <c r="P27" s="7" t="n">
        <f aca="false">01_Data!I27+01_Data!K27+01_Data!M27+01_Data!O27+01_Data!Q27+01_Data!S27+01_Data!U27</f>
        <v>151906</v>
      </c>
      <c r="Q27" s="7" t="n">
        <f aca="false">01_Data!J27+01_Data!L27+01_Data!N27+01_Data!P27+01_Data!R27+01_Data!T27+01_Data!V27</f>
        <v>152918</v>
      </c>
      <c r="R27" s="7" t="n">
        <f aca="false">P27-Q27</f>
        <v>-1012</v>
      </c>
      <c r="S27" s="7" t="n">
        <f aca="false">L27-P27</f>
        <v>96335</v>
      </c>
      <c r="T27" s="7" t="n">
        <f aca="false">M27-Q27</f>
        <v>95887</v>
      </c>
      <c r="U27" s="7" t="n">
        <f aca="false">T27-S27</f>
        <v>-448</v>
      </c>
      <c r="V27" s="8" t="n">
        <f aca="false">IFERROR(U27/S27,0)</f>
        <v>-0.0046504385737271</v>
      </c>
      <c r="W27" s="5" t="str">
        <f aca="false">IF(V27&lt;-0.1,"ADVERSE &gt;10%","")</f>
        <v/>
      </c>
    </row>
    <row r="28" customFormat="false" ht="15" hidden="false" customHeight="false" outlineLevel="0" collapsed="false">
      <c r="A28" s="5" t="str">
        <f aca="false">01_Data!A28</f>
        <v>Banking &amp; Financial Services</v>
      </c>
      <c r="B28" s="5" t="str">
        <f aca="false">01_Data!C28</f>
        <v>2025-06</v>
      </c>
      <c r="C28" s="5" t="str">
        <f aca="false">01_Data!D28</f>
        <v>FY25</v>
      </c>
      <c r="D28" s="7" t="n">
        <f aca="false">01_Data!E28</f>
        <v>580276</v>
      </c>
      <c r="E28" s="7" t="n">
        <f aca="false">01_Data!F28</f>
        <v>577324</v>
      </c>
      <c r="F28" s="7" t="n">
        <f aca="false">E28-D28</f>
        <v>-2952</v>
      </c>
      <c r="G28" s="8" t="n">
        <f aca="false">IFERROR(F28/D28,0)</f>
        <v>-0.00508723435055043</v>
      </c>
      <c r="H28" s="7" t="n">
        <f aca="false">01_Data!G28</f>
        <v>327825</v>
      </c>
      <c r="I28" s="7" t="n">
        <f aca="false">01_Data!H28</f>
        <v>320581</v>
      </c>
      <c r="J28" s="7" t="n">
        <f aca="false">H28-I28</f>
        <v>7244</v>
      </c>
      <c r="K28" s="8" t="n">
        <f aca="false">IFERROR(J28/H28,0)</f>
        <v>0.0220971554945474</v>
      </c>
      <c r="L28" s="7" t="n">
        <f aca="false">D28-H28</f>
        <v>252451</v>
      </c>
      <c r="M28" s="7" t="n">
        <f aca="false">E28-I28</f>
        <v>256743</v>
      </c>
      <c r="N28" s="7" t="n">
        <f aca="false">IFERROR(L28/D28,0)</f>
        <v>0.43505331945488</v>
      </c>
      <c r="O28" s="7" t="n">
        <f aca="false">IFERROR(M28/E28,0)</f>
        <v>0.444712154699961</v>
      </c>
      <c r="P28" s="7" t="n">
        <f aca="false">01_Data!I28+01_Data!K28+01_Data!M28+01_Data!O28+01_Data!Q28+01_Data!S28+01_Data!U28</f>
        <v>155102</v>
      </c>
      <c r="Q28" s="7" t="n">
        <f aca="false">01_Data!J28+01_Data!L28+01_Data!N28+01_Data!P28+01_Data!R28+01_Data!T28+01_Data!V28</f>
        <v>165551</v>
      </c>
      <c r="R28" s="7" t="n">
        <f aca="false">P28-Q28</f>
        <v>-10449</v>
      </c>
      <c r="S28" s="7" t="n">
        <f aca="false">L28-P28</f>
        <v>97349</v>
      </c>
      <c r="T28" s="7" t="n">
        <f aca="false">M28-Q28</f>
        <v>91192</v>
      </c>
      <c r="U28" s="7" t="n">
        <f aca="false">T28-S28</f>
        <v>-6157</v>
      </c>
      <c r="V28" s="8" t="n">
        <f aca="false">IFERROR(U28/S28,0)</f>
        <v>-0.0632466692005054</v>
      </c>
      <c r="W28" s="5" t="str">
        <f aca="false">IF(V28&lt;-0.1,"ADVERSE &gt;10%","")</f>
        <v/>
      </c>
    </row>
    <row r="29" customFormat="false" ht="15" hidden="false" customHeight="false" outlineLevel="0" collapsed="false">
      <c r="A29" s="5" t="str">
        <f aca="false">01_Data!A29</f>
        <v>Banking &amp; Financial Services</v>
      </c>
      <c r="B29" s="5" t="str">
        <f aca="false">01_Data!C29</f>
        <v>2025-07</v>
      </c>
      <c r="C29" s="5" t="str">
        <f aca="false">01_Data!D29</f>
        <v>FY25</v>
      </c>
      <c r="D29" s="7" t="n">
        <f aca="false">01_Data!E29</f>
        <v>590894</v>
      </c>
      <c r="E29" s="7" t="n">
        <f aca="false">01_Data!F29</f>
        <v>583662</v>
      </c>
      <c r="F29" s="7" t="n">
        <f aca="false">E29-D29</f>
        <v>-7232</v>
      </c>
      <c r="G29" s="8" t="n">
        <f aca="false">IFERROR(F29/D29,0)</f>
        <v>-0.012239081798089</v>
      </c>
      <c r="H29" s="7" t="n">
        <f aca="false">01_Data!G29</f>
        <v>326902</v>
      </c>
      <c r="I29" s="7" t="n">
        <f aca="false">01_Data!H29</f>
        <v>317631</v>
      </c>
      <c r="J29" s="7" t="n">
        <f aca="false">H29-I29</f>
        <v>9271</v>
      </c>
      <c r="K29" s="8" t="n">
        <f aca="false">IFERROR(J29/H29,0)</f>
        <v>0.0283601813387498</v>
      </c>
      <c r="L29" s="7" t="n">
        <f aca="false">D29-H29</f>
        <v>263992</v>
      </c>
      <c r="M29" s="7" t="n">
        <f aca="false">E29-I29</f>
        <v>266031</v>
      </c>
      <c r="N29" s="7" t="n">
        <f aca="false">IFERROR(L29/D29,0)</f>
        <v>0.446767102052145</v>
      </c>
      <c r="O29" s="7" t="n">
        <f aca="false">IFERROR(M29/E29,0)</f>
        <v>0.455796334179714</v>
      </c>
      <c r="P29" s="7" t="n">
        <f aca="false">01_Data!I29+01_Data!K29+01_Data!M29+01_Data!O29+01_Data!Q29+01_Data!S29+01_Data!U29</f>
        <v>151998</v>
      </c>
      <c r="Q29" s="7" t="n">
        <f aca="false">01_Data!J29+01_Data!L29+01_Data!N29+01_Data!P29+01_Data!R29+01_Data!T29+01_Data!V29</f>
        <v>149165</v>
      </c>
      <c r="R29" s="7" t="n">
        <f aca="false">P29-Q29</f>
        <v>2833</v>
      </c>
      <c r="S29" s="7" t="n">
        <f aca="false">L29-P29</f>
        <v>111994</v>
      </c>
      <c r="T29" s="7" t="n">
        <f aca="false">M29-Q29</f>
        <v>116866</v>
      </c>
      <c r="U29" s="7" t="n">
        <f aca="false">T29-S29</f>
        <v>4872</v>
      </c>
      <c r="V29" s="8" t="n">
        <f aca="false">IFERROR(U29/S29,0)</f>
        <v>0.0435023304819901</v>
      </c>
      <c r="W29" s="5" t="str">
        <f aca="false">IF(V29&lt;-0.1,"ADVERSE &gt;10%","")</f>
        <v/>
      </c>
    </row>
    <row r="30" customFormat="false" ht="15" hidden="false" customHeight="false" outlineLevel="0" collapsed="false">
      <c r="A30" s="5" t="str">
        <f aca="false">01_Data!A30</f>
        <v>Banking &amp; Financial Services</v>
      </c>
      <c r="B30" s="5" t="str">
        <f aca="false">01_Data!C30</f>
        <v>2025-08</v>
      </c>
      <c r="C30" s="5" t="str">
        <f aca="false">01_Data!D30</f>
        <v>FY25</v>
      </c>
      <c r="D30" s="7" t="n">
        <f aca="false">01_Data!E30</f>
        <v>577731</v>
      </c>
      <c r="E30" s="7" t="n">
        <f aca="false">01_Data!F30</f>
        <v>580399</v>
      </c>
      <c r="F30" s="7" t="n">
        <f aca="false">E30-D30</f>
        <v>2668</v>
      </c>
      <c r="G30" s="8" t="n">
        <f aca="false">IFERROR(F30/D30,0)</f>
        <v>0.00461806619343605</v>
      </c>
      <c r="H30" s="7" t="n">
        <f aca="false">01_Data!G30</f>
        <v>313718</v>
      </c>
      <c r="I30" s="7" t="n">
        <f aca="false">01_Data!H30</f>
        <v>314560</v>
      </c>
      <c r="J30" s="7" t="n">
        <f aca="false">H30-I30</f>
        <v>-842</v>
      </c>
      <c r="K30" s="8" t="n">
        <f aca="false">IFERROR(J30/H30,0)</f>
        <v>-0.00268393907904551</v>
      </c>
      <c r="L30" s="7" t="n">
        <f aca="false">D30-H30</f>
        <v>264013</v>
      </c>
      <c r="M30" s="7" t="n">
        <f aca="false">E30-I30</f>
        <v>265839</v>
      </c>
      <c r="N30" s="7" t="n">
        <f aca="false">IFERROR(L30/D30,0)</f>
        <v>0.456982574935394</v>
      </c>
      <c r="O30" s="7" t="n">
        <f aca="false">IFERROR(M30/E30,0)</f>
        <v>0.458028011764321</v>
      </c>
      <c r="P30" s="7" t="n">
        <f aca="false">01_Data!I30+01_Data!K30+01_Data!M30+01_Data!O30+01_Data!Q30+01_Data!S30+01_Data!U30</f>
        <v>151487</v>
      </c>
      <c r="Q30" s="7" t="n">
        <f aca="false">01_Data!J30+01_Data!L30+01_Data!N30+01_Data!P30+01_Data!R30+01_Data!T30+01_Data!V30</f>
        <v>152568</v>
      </c>
      <c r="R30" s="7" t="n">
        <f aca="false">P30-Q30</f>
        <v>-1081</v>
      </c>
      <c r="S30" s="7" t="n">
        <f aca="false">L30-P30</f>
        <v>112526</v>
      </c>
      <c r="T30" s="7" t="n">
        <f aca="false">M30-Q30</f>
        <v>113271</v>
      </c>
      <c r="U30" s="7" t="n">
        <f aca="false">T30-S30</f>
        <v>745</v>
      </c>
      <c r="V30" s="8" t="n">
        <f aca="false">IFERROR(U30/S30,0)</f>
        <v>0.00662069210671312</v>
      </c>
      <c r="W30" s="5" t="str">
        <f aca="false">IF(V30&lt;-0.1,"ADVERSE &gt;10%","")</f>
        <v/>
      </c>
    </row>
    <row r="31" customFormat="false" ht="15" hidden="false" customHeight="false" outlineLevel="0" collapsed="false">
      <c r="A31" s="5" t="str">
        <f aca="false">01_Data!A31</f>
        <v>Banking &amp; Financial Services</v>
      </c>
      <c r="B31" s="5" t="str">
        <f aca="false">01_Data!C31</f>
        <v>2025-09</v>
      </c>
      <c r="C31" s="5" t="str">
        <f aca="false">01_Data!D31</f>
        <v>FY25</v>
      </c>
      <c r="D31" s="7" t="n">
        <f aca="false">01_Data!E31</f>
        <v>632124</v>
      </c>
      <c r="E31" s="7" t="n">
        <f aca="false">01_Data!F31</f>
        <v>613410</v>
      </c>
      <c r="F31" s="7" t="n">
        <f aca="false">E31-D31</f>
        <v>-18714</v>
      </c>
      <c r="G31" s="8" t="n">
        <f aca="false">IFERROR(F31/D31,0)</f>
        <v>-0.0296049509273497</v>
      </c>
      <c r="H31" s="7" t="n">
        <f aca="false">01_Data!G31</f>
        <v>377363</v>
      </c>
      <c r="I31" s="7" t="n">
        <f aca="false">01_Data!H31</f>
        <v>360038</v>
      </c>
      <c r="J31" s="7" t="n">
        <f aca="false">H31-I31</f>
        <v>17325</v>
      </c>
      <c r="K31" s="8" t="n">
        <f aca="false">IFERROR(J31/H31,0)</f>
        <v>0.0459107013671187</v>
      </c>
      <c r="L31" s="7" t="n">
        <f aca="false">D31-H31</f>
        <v>254761</v>
      </c>
      <c r="M31" s="7" t="n">
        <f aca="false">E31-I31</f>
        <v>253372</v>
      </c>
      <c r="N31" s="7" t="n">
        <f aca="false">IFERROR(L31/D31,0)</f>
        <v>0.40302377381653</v>
      </c>
      <c r="O31" s="7" t="n">
        <f aca="false">IFERROR(M31/E31,0)</f>
        <v>0.413054889877896</v>
      </c>
      <c r="P31" s="7" t="n">
        <f aca="false">01_Data!I31+01_Data!K31+01_Data!M31+01_Data!O31+01_Data!Q31+01_Data!S31+01_Data!U31</f>
        <v>158959</v>
      </c>
      <c r="Q31" s="7" t="n">
        <f aca="false">01_Data!J31+01_Data!L31+01_Data!N31+01_Data!P31+01_Data!R31+01_Data!T31+01_Data!V31</f>
        <v>158433</v>
      </c>
      <c r="R31" s="7" t="n">
        <f aca="false">P31-Q31</f>
        <v>526</v>
      </c>
      <c r="S31" s="7" t="n">
        <f aca="false">L31-P31</f>
        <v>95802</v>
      </c>
      <c r="T31" s="7" t="n">
        <f aca="false">M31-Q31</f>
        <v>94939</v>
      </c>
      <c r="U31" s="7" t="n">
        <f aca="false">T31-S31</f>
        <v>-863</v>
      </c>
      <c r="V31" s="8" t="n">
        <f aca="false">IFERROR(U31/S31,0)</f>
        <v>-0.00900816266883781</v>
      </c>
      <c r="W31" s="5" t="str">
        <f aca="false">IF(V31&lt;-0.1,"ADVERSE &gt;10%","")</f>
        <v/>
      </c>
    </row>
    <row r="32" customFormat="false" ht="15" hidden="false" customHeight="false" outlineLevel="0" collapsed="false">
      <c r="A32" s="5" t="str">
        <f aca="false">01_Data!A32</f>
        <v>Banking &amp; Financial Services</v>
      </c>
      <c r="B32" s="5" t="str">
        <f aca="false">01_Data!C32</f>
        <v>2025-10</v>
      </c>
      <c r="C32" s="5" t="str">
        <f aca="false">01_Data!D32</f>
        <v>FY25</v>
      </c>
      <c r="D32" s="7" t="n">
        <f aca="false">01_Data!E32</f>
        <v>551981</v>
      </c>
      <c r="E32" s="7" t="n">
        <f aca="false">01_Data!F32</f>
        <v>585295</v>
      </c>
      <c r="F32" s="7" t="n">
        <f aca="false">E32-D32</f>
        <v>33314</v>
      </c>
      <c r="G32" s="8" t="n">
        <f aca="false">IFERROR(F32/D32,0)</f>
        <v>0.0603535266612438</v>
      </c>
      <c r="H32" s="7" t="n">
        <f aca="false">01_Data!G32</f>
        <v>308401</v>
      </c>
      <c r="I32" s="7" t="n">
        <f aca="false">01_Data!H32</f>
        <v>335131</v>
      </c>
      <c r="J32" s="7" t="n">
        <f aca="false">H32-I32</f>
        <v>-26730</v>
      </c>
      <c r="K32" s="8" t="n">
        <f aca="false">IFERROR(J32/H32,0)</f>
        <v>-0.086672870710536</v>
      </c>
      <c r="L32" s="7" t="n">
        <f aca="false">D32-H32</f>
        <v>243580</v>
      </c>
      <c r="M32" s="7" t="n">
        <f aca="false">E32-I32</f>
        <v>250164</v>
      </c>
      <c r="N32" s="7" t="n">
        <f aca="false">IFERROR(L32/D32,0)</f>
        <v>0.441283305041297</v>
      </c>
      <c r="O32" s="7" t="n">
        <f aca="false">IFERROR(M32/E32,0)</f>
        <v>0.427415235052409</v>
      </c>
      <c r="P32" s="7" t="n">
        <f aca="false">01_Data!I32+01_Data!K32+01_Data!M32+01_Data!O32+01_Data!Q32+01_Data!S32+01_Data!U32</f>
        <v>157138</v>
      </c>
      <c r="Q32" s="7" t="n">
        <f aca="false">01_Data!J32+01_Data!L32+01_Data!N32+01_Data!P32+01_Data!R32+01_Data!T32+01_Data!V32</f>
        <v>159088</v>
      </c>
      <c r="R32" s="7" t="n">
        <f aca="false">P32-Q32</f>
        <v>-1950</v>
      </c>
      <c r="S32" s="7" t="n">
        <f aca="false">L32-P32</f>
        <v>86442</v>
      </c>
      <c r="T32" s="7" t="n">
        <f aca="false">M32-Q32</f>
        <v>91076</v>
      </c>
      <c r="U32" s="7" t="n">
        <f aca="false">T32-S32</f>
        <v>4634</v>
      </c>
      <c r="V32" s="8" t="n">
        <f aca="false">IFERROR(U32/S32,0)</f>
        <v>0.0536081997177298</v>
      </c>
      <c r="W32" s="5" t="str">
        <f aca="false">IF(V32&lt;-0.1,"ADVERSE &gt;10%","")</f>
        <v/>
      </c>
    </row>
    <row r="33" customFormat="false" ht="15" hidden="false" customHeight="false" outlineLevel="0" collapsed="false">
      <c r="A33" s="5" t="str">
        <f aca="false">01_Data!A33</f>
        <v>Banking &amp; Financial Services</v>
      </c>
      <c r="B33" s="5" t="str">
        <f aca="false">01_Data!C33</f>
        <v>2025-11</v>
      </c>
      <c r="C33" s="5" t="str">
        <f aca="false">01_Data!D33</f>
        <v>FY25</v>
      </c>
      <c r="D33" s="7" t="n">
        <f aca="false">01_Data!E33</f>
        <v>579791</v>
      </c>
      <c r="E33" s="7" t="n">
        <f aca="false">01_Data!F33</f>
        <v>588938</v>
      </c>
      <c r="F33" s="7" t="n">
        <f aca="false">E33-D33</f>
        <v>9147</v>
      </c>
      <c r="G33" s="8" t="n">
        <f aca="false">IFERROR(F33/D33,0)</f>
        <v>0.015776374590154</v>
      </c>
      <c r="H33" s="7" t="n">
        <f aca="false">01_Data!G33</f>
        <v>330688</v>
      </c>
      <c r="I33" s="7" t="n">
        <f aca="false">01_Data!H33</f>
        <v>334175</v>
      </c>
      <c r="J33" s="7" t="n">
        <f aca="false">H33-I33</f>
        <v>-3487</v>
      </c>
      <c r="K33" s="8" t="n">
        <f aca="false">IFERROR(J33/H33,0)</f>
        <v>-0.0105446826011225</v>
      </c>
      <c r="L33" s="7" t="n">
        <f aca="false">D33-H33</f>
        <v>249103</v>
      </c>
      <c r="M33" s="7" t="n">
        <f aca="false">E33-I33</f>
        <v>254763</v>
      </c>
      <c r="N33" s="7" t="n">
        <f aca="false">IFERROR(L33/D33,0)</f>
        <v>0.429642750577363</v>
      </c>
      <c r="O33" s="7" t="n">
        <f aca="false">IFERROR(M33/E33,0)</f>
        <v>0.432580339526402</v>
      </c>
      <c r="P33" s="7" t="n">
        <f aca="false">01_Data!I33+01_Data!K33+01_Data!M33+01_Data!O33+01_Data!Q33+01_Data!S33+01_Data!U33</f>
        <v>159712</v>
      </c>
      <c r="Q33" s="7" t="n">
        <f aca="false">01_Data!J33+01_Data!L33+01_Data!N33+01_Data!P33+01_Data!R33+01_Data!T33+01_Data!V33</f>
        <v>170493</v>
      </c>
      <c r="R33" s="7" t="n">
        <f aca="false">P33-Q33</f>
        <v>-10781</v>
      </c>
      <c r="S33" s="7" t="n">
        <f aca="false">L33-P33</f>
        <v>89391</v>
      </c>
      <c r="T33" s="7" t="n">
        <f aca="false">M33-Q33</f>
        <v>84270</v>
      </c>
      <c r="U33" s="7" t="n">
        <f aca="false">T33-S33</f>
        <v>-5121</v>
      </c>
      <c r="V33" s="8" t="n">
        <f aca="false">IFERROR(U33/S33,0)</f>
        <v>-0.0572876464073564</v>
      </c>
      <c r="W33" s="5" t="str">
        <f aca="false">IF(V33&lt;-0.1,"ADVERSE &gt;10%","")</f>
        <v/>
      </c>
    </row>
    <row r="34" customFormat="false" ht="15" hidden="false" customHeight="false" outlineLevel="0" collapsed="false">
      <c r="A34" s="5" t="str">
        <f aca="false">01_Data!A34</f>
        <v>Banking &amp; Financial Services</v>
      </c>
      <c r="B34" s="5" t="str">
        <f aca="false">01_Data!C34</f>
        <v>2025-12</v>
      </c>
      <c r="C34" s="5" t="str">
        <f aca="false">01_Data!D34</f>
        <v>FY25</v>
      </c>
      <c r="D34" s="7" t="n">
        <f aca="false">01_Data!E34</f>
        <v>634193</v>
      </c>
      <c r="E34" s="7" t="n">
        <f aca="false">01_Data!F34</f>
        <v>617085</v>
      </c>
      <c r="F34" s="7" t="n">
        <f aca="false">E34-D34</f>
        <v>-17108</v>
      </c>
      <c r="G34" s="8" t="n">
        <f aca="false">IFERROR(F34/D34,0)</f>
        <v>-0.0269760151878056</v>
      </c>
      <c r="H34" s="7" t="n">
        <f aca="false">01_Data!G34</f>
        <v>352677</v>
      </c>
      <c r="I34" s="7" t="n">
        <f aca="false">01_Data!H34</f>
        <v>357101</v>
      </c>
      <c r="J34" s="7" t="n">
        <f aca="false">H34-I34</f>
        <v>-4424</v>
      </c>
      <c r="K34" s="8" t="n">
        <f aca="false">IFERROR(J34/H34,0)</f>
        <v>-0.0125440558925022</v>
      </c>
      <c r="L34" s="7" t="n">
        <f aca="false">D34-H34</f>
        <v>281516</v>
      </c>
      <c r="M34" s="7" t="n">
        <f aca="false">E34-I34</f>
        <v>259984</v>
      </c>
      <c r="N34" s="7" t="n">
        <f aca="false">IFERROR(L34/D34,0)</f>
        <v>0.443896416390594</v>
      </c>
      <c r="O34" s="7" t="n">
        <f aca="false">IFERROR(M34/E34,0)</f>
        <v>0.421309868170511</v>
      </c>
      <c r="P34" s="7" t="n">
        <f aca="false">01_Data!I34+01_Data!K34+01_Data!M34+01_Data!O34+01_Data!Q34+01_Data!S34+01_Data!U34</f>
        <v>178001</v>
      </c>
      <c r="Q34" s="7" t="n">
        <f aca="false">01_Data!J34+01_Data!L34+01_Data!N34+01_Data!P34+01_Data!R34+01_Data!T34+01_Data!V34</f>
        <v>175202</v>
      </c>
      <c r="R34" s="7" t="n">
        <f aca="false">P34-Q34</f>
        <v>2799</v>
      </c>
      <c r="S34" s="7" t="n">
        <f aca="false">L34-P34</f>
        <v>103515</v>
      </c>
      <c r="T34" s="7" t="n">
        <f aca="false">M34-Q34</f>
        <v>84782</v>
      </c>
      <c r="U34" s="7" t="n">
        <f aca="false">T34-S34</f>
        <v>-18733</v>
      </c>
      <c r="V34" s="8" t="n">
        <f aca="false">IFERROR(U34/S34,0)</f>
        <v>-0.180968941699271</v>
      </c>
      <c r="W34" s="5" t="str">
        <f aca="false">IF(V34&lt;-0.1,"ADVERSE &gt;10%","")</f>
        <v>ADVERSE &gt;10%</v>
      </c>
    </row>
    <row r="35" customFormat="false" ht="15" hidden="false" customHeight="false" outlineLevel="0" collapsed="false">
      <c r="A35" s="5" t="str">
        <f aca="false">01_Data!A35</f>
        <v>Banking &amp; Financial Services</v>
      </c>
      <c r="B35" s="5" t="str">
        <f aca="false">01_Data!C35</f>
        <v>2026-01</v>
      </c>
      <c r="C35" s="5" t="str">
        <f aca="false">01_Data!D35</f>
        <v>FY25</v>
      </c>
      <c r="D35" s="7" t="n">
        <f aca="false">01_Data!E35</f>
        <v>586803</v>
      </c>
      <c r="E35" s="7" t="n">
        <f aca="false">01_Data!F35</f>
        <v>602992</v>
      </c>
      <c r="F35" s="7" t="n">
        <f aca="false">E35-D35</f>
        <v>16189</v>
      </c>
      <c r="G35" s="8" t="n">
        <f aca="false">IFERROR(F35/D35,0)</f>
        <v>0.0275884751782114</v>
      </c>
      <c r="H35" s="7" t="n">
        <f aca="false">01_Data!G35</f>
        <v>317231</v>
      </c>
      <c r="I35" s="7" t="n">
        <f aca="false">01_Data!H35</f>
        <v>342507</v>
      </c>
      <c r="J35" s="7" t="n">
        <f aca="false">H35-I35</f>
        <v>-25276</v>
      </c>
      <c r="K35" s="8" t="n">
        <f aca="false">IFERROR(J35/H35,0)</f>
        <v>-0.0796769546481901</v>
      </c>
      <c r="L35" s="7" t="n">
        <f aca="false">D35-H35</f>
        <v>269572</v>
      </c>
      <c r="M35" s="7" t="n">
        <f aca="false">E35-I35</f>
        <v>260485</v>
      </c>
      <c r="N35" s="7" t="n">
        <f aca="false">IFERROR(L35/D35,0)</f>
        <v>0.459390971075472</v>
      </c>
      <c r="O35" s="7" t="n">
        <f aca="false">IFERROR(M35/E35,0)</f>
        <v>0.431987489054581</v>
      </c>
      <c r="P35" s="7" t="n">
        <f aca="false">01_Data!I35+01_Data!K35+01_Data!M35+01_Data!O35+01_Data!Q35+01_Data!S35+01_Data!U35</f>
        <v>149254</v>
      </c>
      <c r="Q35" s="7" t="n">
        <f aca="false">01_Data!J35+01_Data!L35+01_Data!N35+01_Data!P35+01_Data!R35+01_Data!T35+01_Data!V35</f>
        <v>156053</v>
      </c>
      <c r="R35" s="7" t="n">
        <f aca="false">P35-Q35</f>
        <v>-6799</v>
      </c>
      <c r="S35" s="7" t="n">
        <f aca="false">L35-P35</f>
        <v>120318</v>
      </c>
      <c r="T35" s="7" t="n">
        <f aca="false">M35-Q35</f>
        <v>104432</v>
      </c>
      <c r="U35" s="7" t="n">
        <f aca="false">T35-S35</f>
        <v>-15886</v>
      </c>
      <c r="V35" s="8" t="n">
        <f aca="false">IFERROR(U35/S35,0)</f>
        <v>-0.132033444704865</v>
      </c>
      <c r="W35" s="5" t="str">
        <f aca="false">IF(V35&lt;-0.1,"ADVERSE &gt;10%","")</f>
        <v>ADVERSE &gt;10%</v>
      </c>
    </row>
    <row r="36" customFormat="false" ht="15" hidden="false" customHeight="false" outlineLevel="0" collapsed="false">
      <c r="A36" s="5" t="str">
        <f aca="false">01_Data!A36</f>
        <v>Banking &amp; Financial Services</v>
      </c>
      <c r="B36" s="5" t="str">
        <f aca="false">01_Data!C36</f>
        <v>2026-02</v>
      </c>
      <c r="C36" s="5" t="str">
        <f aca="false">01_Data!D36</f>
        <v>FY25</v>
      </c>
      <c r="D36" s="7" t="n">
        <f aca="false">01_Data!E36</f>
        <v>603796</v>
      </c>
      <c r="E36" s="7" t="n">
        <f aca="false">01_Data!F36</f>
        <v>609242</v>
      </c>
      <c r="F36" s="7" t="n">
        <f aca="false">E36-D36</f>
        <v>5446</v>
      </c>
      <c r="G36" s="8" t="n">
        <f aca="false">IFERROR(F36/D36,0)</f>
        <v>0.00901960264725172</v>
      </c>
      <c r="H36" s="7" t="n">
        <f aca="false">01_Data!G36</f>
        <v>353073</v>
      </c>
      <c r="I36" s="7" t="n">
        <f aca="false">01_Data!H36</f>
        <v>354150</v>
      </c>
      <c r="J36" s="7" t="n">
        <f aca="false">H36-I36</f>
        <v>-1077</v>
      </c>
      <c r="K36" s="8" t="n">
        <f aca="false">IFERROR(J36/H36,0)</f>
        <v>-0.00305036069028218</v>
      </c>
      <c r="L36" s="7" t="n">
        <f aca="false">D36-H36</f>
        <v>250723</v>
      </c>
      <c r="M36" s="7" t="n">
        <f aca="false">E36-I36</f>
        <v>255092</v>
      </c>
      <c r="N36" s="7" t="n">
        <f aca="false">IFERROR(L36/D36,0)</f>
        <v>0.415244552795977</v>
      </c>
      <c r="O36" s="7" t="n">
        <f aca="false">IFERROR(M36/E36,0)</f>
        <v>0.41870389763017</v>
      </c>
      <c r="P36" s="7" t="n">
        <f aca="false">01_Data!I36+01_Data!K36+01_Data!M36+01_Data!O36+01_Data!Q36+01_Data!S36+01_Data!U36</f>
        <v>162854</v>
      </c>
      <c r="Q36" s="7" t="n">
        <f aca="false">01_Data!J36+01_Data!L36+01_Data!N36+01_Data!P36+01_Data!R36+01_Data!T36+01_Data!V36</f>
        <v>162276</v>
      </c>
      <c r="R36" s="7" t="n">
        <f aca="false">P36-Q36</f>
        <v>578</v>
      </c>
      <c r="S36" s="7" t="n">
        <f aca="false">L36-P36</f>
        <v>87869</v>
      </c>
      <c r="T36" s="7" t="n">
        <f aca="false">M36-Q36</f>
        <v>92816</v>
      </c>
      <c r="U36" s="7" t="n">
        <f aca="false">T36-S36</f>
        <v>4947</v>
      </c>
      <c r="V36" s="8" t="n">
        <f aca="false">IFERROR(U36/S36,0)</f>
        <v>0.0562997188997257</v>
      </c>
      <c r="W36" s="5" t="str">
        <f aca="false">IF(V36&lt;-0.1,"ADVERSE &gt;10%","")</f>
        <v/>
      </c>
    </row>
    <row r="37" customFormat="false" ht="15" hidden="false" customHeight="false" outlineLevel="0" collapsed="false">
      <c r="A37" s="5" t="str">
        <f aca="false">01_Data!A37</f>
        <v>Banking &amp; Financial Services</v>
      </c>
      <c r="B37" s="5" t="str">
        <f aca="false">01_Data!C37</f>
        <v>2026-03</v>
      </c>
      <c r="C37" s="5" t="str">
        <f aca="false">01_Data!D37</f>
        <v>FY25</v>
      </c>
      <c r="D37" s="7" t="n">
        <f aca="false">01_Data!E37</f>
        <v>604039</v>
      </c>
      <c r="E37" s="7" t="n">
        <f aca="false">01_Data!F37</f>
        <v>634453</v>
      </c>
      <c r="F37" s="7" t="n">
        <f aca="false">E37-D37</f>
        <v>30414</v>
      </c>
      <c r="G37" s="8" t="n">
        <f aca="false">IFERROR(F37/D37,0)</f>
        <v>0.0503510534915792</v>
      </c>
      <c r="H37" s="7" t="n">
        <f aca="false">01_Data!G37</f>
        <v>333216</v>
      </c>
      <c r="I37" s="7" t="n">
        <f aca="false">01_Data!H37</f>
        <v>344521</v>
      </c>
      <c r="J37" s="7" t="n">
        <f aca="false">H37-I37</f>
        <v>-11305</v>
      </c>
      <c r="K37" s="8" t="n">
        <f aca="false">IFERROR(J37/H37,0)</f>
        <v>-0.0339269422836839</v>
      </c>
      <c r="L37" s="7" t="n">
        <f aca="false">D37-H37</f>
        <v>270823</v>
      </c>
      <c r="M37" s="7" t="n">
        <f aca="false">E37-I37</f>
        <v>289932</v>
      </c>
      <c r="N37" s="7" t="n">
        <f aca="false">IFERROR(L37/D37,0)</f>
        <v>0.448353500353454</v>
      </c>
      <c r="O37" s="7" t="n">
        <f aca="false">IFERROR(M37/E37,0)</f>
        <v>0.456979476809157</v>
      </c>
      <c r="P37" s="7" t="n">
        <f aca="false">01_Data!I37+01_Data!K37+01_Data!M37+01_Data!O37+01_Data!Q37+01_Data!S37+01_Data!U37</f>
        <v>161922</v>
      </c>
      <c r="Q37" s="7" t="n">
        <f aca="false">01_Data!J37+01_Data!L37+01_Data!N37+01_Data!P37+01_Data!R37+01_Data!T37+01_Data!V37</f>
        <v>159017</v>
      </c>
      <c r="R37" s="7" t="n">
        <f aca="false">P37-Q37</f>
        <v>2905</v>
      </c>
      <c r="S37" s="7" t="n">
        <f aca="false">L37-P37</f>
        <v>108901</v>
      </c>
      <c r="T37" s="7" t="n">
        <f aca="false">M37-Q37</f>
        <v>130915</v>
      </c>
      <c r="U37" s="7" t="n">
        <f aca="false">T37-S37</f>
        <v>22014</v>
      </c>
      <c r="V37" s="8" t="n">
        <f aca="false">IFERROR(U37/S37,0)</f>
        <v>0.202146904068833</v>
      </c>
      <c r="W37" s="5" t="str">
        <f aca="false">IF(V37&lt;-0.1,"ADVERSE &gt;10%","")</f>
        <v/>
      </c>
    </row>
    <row r="38" customFormat="false" ht="15" hidden="false" customHeight="false" outlineLevel="0" collapsed="false">
      <c r="A38" s="5" t="str">
        <f aca="false">01_Data!A38</f>
        <v>Banking &amp; Financial Services</v>
      </c>
      <c r="B38" s="5" t="str">
        <f aca="false">01_Data!C38</f>
        <v>2023-04</v>
      </c>
      <c r="C38" s="5" t="str">
        <f aca="false">01_Data!D38</f>
        <v>FY23</v>
      </c>
      <c r="D38" s="7" t="n">
        <f aca="false">01_Data!E38</f>
        <v>293048</v>
      </c>
      <c r="E38" s="7" t="n">
        <f aca="false">01_Data!F38</f>
        <v>293833</v>
      </c>
      <c r="F38" s="7" t="n">
        <f aca="false">E38-D38</f>
        <v>785</v>
      </c>
      <c r="G38" s="8" t="n">
        <f aca="false">IFERROR(F38/D38,0)</f>
        <v>0.00267874204908411</v>
      </c>
      <c r="H38" s="7" t="n">
        <f aca="false">01_Data!G38</f>
        <v>172701</v>
      </c>
      <c r="I38" s="7" t="n">
        <f aca="false">01_Data!H38</f>
        <v>173174</v>
      </c>
      <c r="J38" s="7" t="n">
        <f aca="false">H38-I38</f>
        <v>-473</v>
      </c>
      <c r="K38" s="8" t="n">
        <f aca="false">IFERROR(J38/H38,0)</f>
        <v>-0.0027388376442522</v>
      </c>
      <c r="L38" s="7" t="n">
        <f aca="false">D38-H38</f>
        <v>120347</v>
      </c>
      <c r="M38" s="7" t="n">
        <f aca="false">E38-I38</f>
        <v>120659</v>
      </c>
      <c r="N38" s="7" t="n">
        <f aca="false">IFERROR(L38/D38,0)</f>
        <v>0.410673336791242</v>
      </c>
      <c r="O38" s="7" t="n">
        <f aca="false">IFERROR(M38/E38,0)</f>
        <v>0.410638015471373</v>
      </c>
      <c r="P38" s="7" t="n">
        <f aca="false">01_Data!I38+01_Data!K38+01_Data!M38+01_Data!O38+01_Data!Q38+01_Data!S38+01_Data!U38</f>
        <v>75312</v>
      </c>
      <c r="Q38" s="7" t="n">
        <f aca="false">01_Data!J38+01_Data!L38+01_Data!N38+01_Data!P38+01_Data!R38+01_Data!T38+01_Data!V38</f>
        <v>75488</v>
      </c>
      <c r="R38" s="7" t="n">
        <f aca="false">P38-Q38</f>
        <v>-176</v>
      </c>
      <c r="S38" s="7" t="n">
        <f aca="false">L38-P38</f>
        <v>45035</v>
      </c>
      <c r="T38" s="7" t="n">
        <f aca="false">M38-Q38</f>
        <v>45171</v>
      </c>
      <c r="U38" s="7" t="n">
        <f aca="false">T38-S38</f>
        <v>136</v>
      </c>
      <c r="V38" s="8" t="n">
        <f aca="false">IFERROR(U38/S38,0)</f>
        <v>0.00301987343177529</v>
      </c>
      <c r="W38" s="5" t="str">
        <f aca="false">IF(V38&lt;-0.1,"ADVERSE &gt;10%","")</f>
        <v/>
      </c>
    </row>
    <row r="39" customFormat="false" ht="15" hidden="false" customHeight="false" outlineLevel="0" collapsed="false">
      <c r="A39" s="5" t="str">
        <f aca="false">01_Data!A39</f>
        <v>Banking &amp; Financial Services</v>
      </c>
      <c r="B39" s="5" t="str">
        <f aca="false">01_Data!C39</f>
        <v>2023-05</v>
      </c>
      <c r="C39" s="5" t="str">
        <f aca="false">01_Data!D39</f>
        <v>FY23</v>
      </c>
      <c r="D39" s="7" t="n">
        <f aca="false">01_Data!E39</f>
        <v>307505</v>
      </c>
      <c r="E39" s="7" t="n">
        <f aca="false">01_Data!F39</f>
        <v>294765</v>
      </c>
      <c r="F39" s="7" t="n">
        <f aca="false">E39-D39</f>
        <v>-12740</v>
      </c>
      <c r="G39" s="8" t="n">
        <f aca="false">IFERROR(F39/D39,0)</f>
        <v>-0.0414302206468188</v>
      </c>
      <c r="H39" s="7" t="n">
        <f aca="false">01_Data!G39</f>
        <v>184319</v>
      </c>
      <c r="I39" s="7" t="n">
        <f aca="false">01_Data!H39</f>
        <v>175288</v>
      </c>
      <c r="J39" s="7" t="n">
        <f aca="false">H39-I39</f>
        <v>9031</v>
      </c>
      <c r="K39" s="8" t="n">
        <f aca="false">IFERROR(J39/H39,0)</f>
        <v>0.0489965765873296</v>
      </c>
      <c r="L39" s="7" t="n">
        <f aca="false">D39-H39</f>
        <v>123186</v>
      </c>
      <c r="M39" s="7" t="n">
        <f aca="false">E39-I39</f>
        <v>119477</v>
      </c>
      <c r="N39" s="7" t="n">
        <f aca="false">IFERROR(L39/D39,0)</f>
        <v>0.40059836425424</v>
      </c>
      <c r="O39" s="7" t="n">
        <f aca="false">IFERROR(M39/E39,0)</f>
        <v>0.405329669397656</v>
      </c>
      <c r="P39" s="7" t="n">
        <f aca="false">01_Data!I39+01_Data!K39+01_Data!M39+01_Data!O39+01_Data!Q39+01_Data!S39+01_Data!U39</f>
        <v>82761</v>
      </c>
      <c r="Q39" s="7" t="n">
        <f aca="false">01_Data!J39+01_Data!L39+01_Data!N39+01_Data!P39+01_Data!R39+01_Data!T39+01_Data!V39</f>
        <v>85042</v>
      </c>
      <c r="R39" s="7" t="n">
        <f aca="false">P39-Q39</f>
        <v>-2281</v>
      </c>
      <c r="S39" s="7" t="n">
        <f aca="false">L39-P39</f>
        <v>40425</v>
      </c>
      <c r="T39" s="7" t="n">
        <f aca="false">M39-Q39</f>
        <v>34435</v>
      </c>
      <c r="U39" s="7" t="n">
        <f aca="false">T39-S39</f>
        <v>-5990</v>
      </c>
      <c r="V39" s="8" t="n">
        <f aca="false">IFERROR(U39/S39,0)</f>
        <v>-0.14817563388992</v>
      </c>
      <c r="W39" s="5" t="str">
        <f aca="false">IF(V39&lt;-0.1,"ADVERSE &gt;10%","")</f>
        <v>ADVERSE &gt;10%</v>
      </c>
    </row>
    <row r="40" customFormat="false" ht="15" hidden="false" customHeight="false" outlineLevel="0" collapsed="false">
      <c r="A40" s="5" t="str">
        <f aca="false">01_Data!A40</f>
        <v>Banking &amp; Financial Services</v>
      </c>
      <c r="B40" s="5" t="str">
        <f aca="false">01_Data!C40</f>
        <v>2023-06</v>
      </c>
      <c r="C40" s="5" t="str">
        <f aca="false">01_Data!D40</f>
        <v>FY23</v>
      </c>
      <c r="D40" s="7" t="n">
        <f aca="false">01_Data!E40</f>
        <v>300476</v>
      </c>
      <c r="E40" s="7" t="n">
        <f aca="false">01_Data!F40</f>
        <v>293195</v>
      </c>
      <c r="F40" s="7" t="n">
        <f aca="false">E40-D40</f>
        <v>-7281</v>
      </c>
      <c r="G40" s="8" t="n">
        <f aca="false">IFERROR(F40/D40,0)</f>
        <v>-0.0242315526032029</v>
      </c>
      <c r="H40" s="7" t="n">
        <f aca="false">01_Data!G40</f>
        <v>174931</v>
      </c>
      <c r="I40" s="7" t="n">
        <f aca="false">01_Data!H40</f>
        <v>171484</v>
      </c>
      <c r="J40" s="7" t="n">
        <f aca="false">H40-I40</f>
        <v>3447</v>
      </c>
      <c r="K40" s="8" t="n">
        <f aca="false">IFERROR(J40/H40,0)</f>
        <v>0.0197049122225335</v>
      </c>
      <c r="L40" s="7" t="n">
        <f aca="false">D40-H40</f>
        <v>125545</v>
      </c>
      <c r="M40" s="7" t="n">
        <f aca="false">E40-I40</f>
        <v>121711</v>
      </c>
      <c r="N40" s="7" t="n">
        <f aca="false">IFERROR(L40/D40,0)</f>
        <v>0.417820391645256</v>
      </c>
      <c r="O40" s="7" t="n">
        <f aca="false">IFERROR(M40/E40,0)</f>
        <v>0.415119630280189</v>
      </c>
      <c r="P40" s="7" t="n">
        <f aca="false">01_Data!I40+01_Data!K40+01_Data!M40+01_Data!O40+01_Data!Q40+01_Data!S40+01_Data!U40</f>
        <v>83267</v>
      </c>
      <c r="Q40" s="7" t="n">
        <f aca="false">01_Data!J40+01_Data!L40+01_Data!N40+01_Data!P40+01_Data!R40+01_Data!T40+01_Data!V40</f>
        <v>87833</v>
      </c>
      <c r="R40" s="7" t="n">
        <f aca="false">P40-Q40</f>
        <v>-4566</v>
      </c>
      <c r="S40" s="7" t="n">
        <f aca="false">L40-P40</f>
        <v>42278</v>
      </c>
      <c r="T40" s="7" t="n">
        <f aca="false">M40-Q40</f>
        <v>33878</v>
      </c>
      <c r="U40" s="7" t="n">
        <f aca="false">T40-S40</f>
        <v>-8400</v>
      </c>
      <c r="V40" s="8" t="n">
        <f aca="false">IFERROR(U40/S40,0)</f>
        <v>-0.198684895217371</v>
      </c>
      <c r="W40" s="5" t="str">
        <f aca="false">IF(V40&lt;-0.1,"ADVERSE &gt;10%","")</f>
        <v>ADVERSE &gt;10%</v>
      </c>
    </row>
    <row r="41" customFormat="false" ht="15" hidden="false" customHeight="false" outlineLevel="0" collapsed="false">
      <c r="A41" s="5" t="str">
        <f aca="false">01_Data!A41</f>
        <v>Banking &amp; Financial Services</v>
      </c>
      <c r="B41" s="5" t="str">
        <f aca="false">01_Data!C41</f>
        <v>2023-07</v>
      </c>
      <c r="C41" s="5" t="str">
        <f aca="false">01_Data!D41</f>
        <v>FY23</v>
      </c>
      <c r="D41" s="7" t="n">
        <f aca="false">01_Data!E41</f>
        <v>300209</v>
      </c>
      <c r="E41" s="7" t="n">
        <f aca="false">01_Data!F41</f>
        <v>297736</v>
      </c>
      <c r="F41" s="7" t="n">
        <f aca="false">E41-D41</f>
        <v>-2473</v>
      </c>
      <c r="G41" s="8" t="n">
        <f aca="false">IFERROR(F41/D41,0)</f>
        <v>-0.00823759447584849</v>
      </c>
      <c r="H41" s="7" t="n">
        <f aca="false">01_Data!G41</f>
        <v>167311</v>
      </c>
      <c r="I41" s="7" t="n">
        <f aca="false">01_Data!H41</f>
        <v>161830</v>
      </c>
      <c r="J41" s="7" t="n">
        <f aca="false">H41-I41</f>
        <v>5481</v>
      </c>
      <c r="K41" s="8" t="n">
        <f aca="false">IFERROR(J41/H41,0)</f>
        <v>0.0327593523438387</v>
      </c>
      <c r="L41" s="7" t="n">
        <f aca="false">D41-H41</f>
        <v>132898</v>
      </c>
      <c r="M41" s="7" t="n">
        <f aca="false">E41-I41</f>
        <v>135906</v>
      </c>
      <c r="N41" s="7" t="n">
        <f aca="false">IFERROR(L41/D41,0)</f>
        <v>0.442684929499116</v>
      </c>
      <c r="O41" s="7" t="n">
        <f aca="false">IFERROR(M41/E41,0)</f>
        <v>0.456464787597066</v>
      </c>
      <c r="P41" s="7" t="n">
        <f aca="false">01_Data!I41+01_Data!K41+01_Data!M41+01_Data!O41+01_Data!Q41+01_Data!S41+01_Data!U41</f>
        <v>82300</v>
      </c>
      <c r="Q41" s="7" t="n">
        <f aca="false">01_Data!J41+01_Data!L41+01_Data!N41+01_Data!P41+01_Data!R41+01_Data!T41+01_Data!V41</f>
        <v>84675</v>
      </c>
      <c r="R41" s="7" t="n">
        <f aca="false">P41-Q41</f>
        <v>-2375</v>
      </c>
      <c r="S41" s="7" t="n">
        <f aca="false">L41-P41</f>
        <v>50598</v>
      </c>
      <c r="T41" s="7" t="n">
        <f aca="false">M41-Q41</f>
        <v>51231</v>
      </c>
      <c r="U41" s="7" t="n">
        <f aca="false">T41-S41</f>
        <v>633</v>
      </c>
      <c r="V41" s="8" t="n">
        <f aca="false">IFERROR(U41/S41,0)</f>
        <v>0.0125103759041859</v>
      </c>
      <c r="W41" s="5" t="str">
        <f aca="false">IF(V41&lt;-0.1,"ADVERSE &gt;10%","")</f>
        <v/>
      </c>
    </row>
    <row r="42" customFormat="false" ht="15" hidden="false" customHeight="false" outlineLevel="0" collapsed="false">
      <c r="A42" s="5" t="str">
        <f aca="false">01_Data!A42</f>
        <v>Banking &amp; Financial Services</v>
      </c>
      <c r="B42" s="5" t="str">
        <f aca="false">01_Data!C42</f>
        <v>2023-08</v>
      </c>
      <c r="C42" s="5" t="str">
        <f aca="false">01_Data!D42</f>
        <v>FY23</v>
      </c>
      <c r="D42" s="7" t="n">
        <f aca="false">01_Data!E42</f>
        <v>323034</v>
      </c>
      <c r="E42" s="7" t="n">
        <f aca="false">01_Data!F42</f>
        <v>304764</v>
      </c>
      <c r="F42" s="7" t="n">
        <f aca="false">E42-D42</f>
        <v>-18270</v>
      </c>
      <c r="G42" s="8" t="n">
        <f aca="false">IFERROR(F42/D42,0)</f>
        <v>-0.0565575140697264</v>
      </c>
      <c r="H42" s="7" t="n">
        <f aca="false">01_Data!G42</f>
        <v>187469</v>
      </c>
      <c r="I42" s="7" t="n">
        <f aca="false">01_Data!H42</f>
        <v>174877</v>
      </c>
      <c r="J42" s="7" t="n">
        <f aca="false">H42-I42</f>
        <v>12592</v>
      </c>
      <c r="K42" s="8" t="n">
        <f aca="false">IFERROR(J42/H42,0)</f>
        <v>0.0671684385151678</v>
      </c>
      <c r="L42" s="7" t="n">
        <f aca="false">D42-H42</f>
        <v>135565</v>
      </c>
      <c r="M42" s="7" t="n">
        <f aca="false">E42-I42</f>
        <v>129887</v>
      </c>
      <c r="N42" s="7" t="n">
        <f aca="false">IFERROR(L42/D42,0)</f>
        <v>0.419661707436369</v>
      </c>
      <c r="O42" s="7" t="n">
        <f aca="false">IFERROR(M42/E42,0)</f>
        <v>0.426188788702078</v>
      </c>
      <c r="P42" s="7" t="n">
        <f aca="false">01_Data!I42+01_Data!K42+01_Data!M42+01_Data!O42+01_Data!Q42+01_Data!S42+01_Data!U42</f>
        <v>83101</v>
      </c>
      <c r="Q42" s="7" t="n">
        <f aca="false">01_Data!J42+01_Data!L42+01_Data!N42+01_Data!P42+01_Data!R42+01_Data!T42+01_Data!V42</f>
        <v>85654</v>
      </c>
      <c r="R42" s="7" t="n">
        <f aca="false">P42-Q42</f>
        <v>-2553</v>
      </c>
      <c r="S42" s="7" t="n">
        <f aca="false">L42-P42</f>
        <v>52464</v>
      </c>
      <c r="T42" s="7" t="n">
        <f aca="false">M42-Q42</f>
        <v>44233</v>
      </c>
      <c r="U42" s="7" t="n">
        <f aca="false">T42-S42</f>
        <v>-8231</v>
      </c>
      <c r="V42" s="8" t="n">
        <f aca="false">IFERROR(U42/S42,0)</f>
        <v>-0.156888533089357</v>
      </c>
      <c r="W42" s="5" t="str">
        <f aca="false">IF(V42&lt;-0.1,"ADVERSE &gt;10%","")</f>
        <v>ADVERSE &gt;10%</v>
      </c>
    </row>
    <row r="43" customFormat="false" ht="15" hidden="false" customHeight="false" outlineLevel="0" collapsed="false">
      <c r="A43" s="5" t="str">
        <f aca="false">01_Data!A43</f>
        <v>Banking &amp; Financial Services</v>
      </c>
      <c r="B43" s="5" t="str">
        <f aca="false">01_Data!C43</f>
        <v>2023-09</v>
      </c>
      <c r="C43" s="5" t="str">
        <f aca="false">01_Data!D43</f>
        <v>FY23</v>
      </c>
      <c r="D43" s="7" t="n">
        <f aca="false">01_Data!E43</f>
        <v>324735</v>
      </c>
      <c r="E43" s="7" t="n">
        <f aca="false">01_Data!F43</f>
        <v>317359</v>
      </c>
      <c r="F43" s="7" t="n">
        <f aca="false">E43-D43</f>
        <v>-7376</v>
      </c>
      <c r="G43" s="8" t="n">
        <f aca="false">IFERROR(F43/D43,0)</f>
        <v>-0.0227139051842271</v>
      </c>
      <c r="H43" s="7" t="n">
        <f aca="false">01_Data!G43</f>
        <v>180973</v>
      </c>
      <c r="I43" s="7" t="n">
        <f aca="false">01_Data!H43</f>
        <v>185513</v>
      </c>
      <c r="J43" s="7" t="n">
        <f aca="false">H43-I43</f>
        <v>-4540</v>
      </c>
      <c r="K43" s="8" t="n">
        <f aca="false">IFERROR(J43/H43,0)</f>
        <v>-0.0250866151304338</v>
      </c>
      <c r="L43" s="7" t="n">
        <f aca="false">D43-H43</f>
        <v>143762</v>
      </c>
      <c r="M43" s="7" t="n">
        <f aca="false">E43-I43</f>
        <v>131846</v>
      </c>
      <c r="N43" s="7" t="n">
        <f aca="false">IFERROR(L43/D43,0)</f>
        <v>0.442705590712427</v>
      </c>
      <c r="O43" s="7" t="n">
        <f aca="false">IFERROR(M43/E43,0)</f>
        <v>0.415447490066455</v>
      </c>
      <c r="P43" s="7" t="n">
        <f aca="false">01_Data!I43+01_Data!K43+01_Data!M43+01_Data!O43+01_Data!Q43+01_Data!S43+01_Data!U43</f>
        <v>89164</v>
      </c>
      <c r="Q43" s="7" t="n">
        <f aca="false">01_Data!J43+01_Data!L43+01_Data!N43+01_Data!P43+01_Data!R43+01_Data!T43+01_Data!V43</f>
        <v>91535</v>
      </c>
      <c r="R43" s="7" t="n">
        <f aca="false">P43-Q43</f>
        <v>-2371</v>
      </c>
      <c r="S43" s="7" t="n">
        <f aca="false">L43-P43</f>
        <v>54598</v>
      </c>
      <c r="T43" s="7" t="n">
        <f aca="false">M43-Q43</f>
        <v>40311</v>
      </c>
      <c r="U43" s="7" t="n">
        <f aca="false">T43-S43</f>
        <v>-14287</v>
      </c>
      <c r="V43" s="8" t="n">
        <f aca="false">IFERROR(U43/S43,0)</f>
        <v>-0.261676251877358</v>
      </c>
      <c r="W43" s="5" t="str">
        <f aca="false">IF(V43&lt;-0.1,"ADVERSE &gt;10%","")</f>
        <v>ADVERSE &gt;10%</v>
      </c>
    </row>
    <row r="44" customFormat="false" ht="15" hidden="false" customHeight="false" outlineLevel="0" collapsed="false">
      <c r="A44" s="5" t="str">
        <f aca="false">01_Data!A44</f>
        <v>Banking &amp; Financial Services</v>
      </c>
      <c r="B44" s="5" t="str">
        <f aca="false">01_Data!C44</f>
        <v>2023-10</v>
      </c>
      <c r="C44" s="5" t="str">
        <f aca="false">01_Data!D44</f>
        <v>FY23</v>
      </c>
      <c r="D44" s="7" t="n">
        <f aca="false">01_Data!E44</f>
        <v>313804</v>
      </c>
      <c r="E44" s="7" t="n">
        <f aca="false">01_Data!F44</f>
        <v>309152</v>
      </c>
      <c r="F44" s="7" t="n">
        <f aca="false">E44-D44</f>
        <v>-4652</v>
      </c>
      <c r="G44" s="8" t="n">
        <f aca="false">IFERROR(F44/D44,0)</f>
        <v>-0.0148245401588253</v>
      </c>
      <c r="H44" s="7" t="n">
        <f aca="false">01_Data!G44</f>
        <v>183763</v>
      </c>
      <c r="I44" s="7" t="n">
        <f aca="false">01_Data!H44</f>
        <v>178003</v>
      </c>
      <c r="J44" s="7" t="n">
        <f aca="false">H44-I44</f>
        <v>5760</v>
      </c>
      <c r="K44" s="8" t="n">
        <f aca="false">IFERROR(J44/H44,0)</f>
        <v>0.0313447211897934</v>
      </c>
      <c r="L44" s="7" t="n">
        <f aca="false">D44-H44</f>
        <v>130041</v>
      </c>
      <c r="M44" s="7" t="n">
        <f aca="false">E44-I44</f>
        <v>131149</v>
      </c>
      <c r="N44" s="7" t="n">
        <f aca="false">IFERROR(L44/D44,0)</f>
        <v>0.414401983403653</v>
      </c>
      <c r="O44" s="7" t="n">
        <f aca="false">IFERROR(M44/E44,0)</f>
        <v>0.424221742055688</v>
      </c>
      <c r="P44" s="7" t="n">
        <f aca="false">01_Data!I44+01_Data!K44+01_Data!M44+01_Data!O44+01_Data!Q44+01_Data!S44+01_Data!U44</f>
        <v>84253</v>
      </c>
      <c r="Q44" s="7" t="n">
        <f aca="false">01_Data!J44+01_Data!L44+01_Data!N44+01_Data!P44+01_Data!R44+01_Data!T44+01_Data!V44</f>
        <v>88637</v>
      </c>
      <c r="R44" s="7" t="n">
        <f aca="false">P44-Q44</f>
        <v>-4384</v>
      </c>
      <c r="S44" s="7" t="n">
        <f aca="false">L44-P44</f>
        <v>45788</v>
      </c>
      <c r="T44" s="7" t="n">
        <f aca="false">M44-Q44</f>
        <v>42512</v>
      </c>
      <c r="U44" s="7" t="n">
        <f aca="false">T44-S44</f>
        <v>-3276</v>
      </c>
      <c r="V44" s="8" t="n">
        <f aca="false">IFERROR(U44/S44,0)</f>
        <v>-0.0715471302524679</v>
      </c>
      <c r="W44" s="5" t="str">
        <f aca="false">IF(V44&lt;-0.1,"ADVERSE &gt;10%","")</f>
        <v/>
      </c>
    </row>
    <row r="45" customFormat="false" ht="15" hidden="false" customHeight="false" outlineLevel="0" collapsed="false">
      <c r="A45" s="5" t="str">
        <f aca="false">01_Data!A45</f>
        <v>Banking &amp; Financial Services</v>
      </c>
      <c r="B45" s="5" t="str">
        <f aca="false">01_Data!C45</f>
        <v>2023-11</v>
      </c>
      <c r="C45" s="5" t="str">
        <f aca="false">01_Data!D45</f>
        <v>FY23</v>
      </c>
      <c r="D45" s="7" t="n">
        <f aca="false">01_Data!E45</f>
        <v>296118</v>
      </c>
      <c r="E45" s="7" t="n">
        <f aca="false">01_Data!F45</f>
        <v>310365</v>
      </c>
      <c r="F45" s="7" t="n">
        <f aca="false">E45-D45</f>
        <v>14247</v>
      </c>
      <c r="G45" s="8" t="n">
        <f aca="false">IFERROR(F45/D45,0)</f>
        <v>0.0481125767430551</v>
      </c>
      <c r="H45" s="7" t="n">
        <f aca="false">01_Data!G45</f>
        <v>174688</v>
      </c>
      <c r="I45" s="7" t="n">
        <f aca="false">01_Data!H45</f>
        <v>184620</v>
      </c>
      <c r="J45" s="7" t="n">
        <f aca="false">H45-I45</f>
        <v>-9932</v>
      </c>
      <c r="K45" s="8" t="n">
        <f aca="false">IFERROR(J45/H45,0)</f>
        <v>-0.0568556512181718</v>
      </c>
      <c r="L45" s="7" t="n">
        <f aca="false">D45-H45</f>
        <v>121430</v>
      </c>
      <c r="M45" s="7" t="n">
        <f aca="false">E45-I45</f>
        <v>125745</v>
      </c>
      <c r="N45" s="7" t="n">
        <f aca="false">IFERROR(L45/D45,0)</f>
        <v>0.410073011434631</v>
      </c>
      <c r="O45" s="7" t="n">
        <f aca="false">IFERROR(M45/E45,0)</f>
        <v>0.405151998453434</v>
      </c>
      <c r="P45" s="7" t="n">
        <f aca="false">01_Data!I45+01_Data!K45+01_Data!M45+01_Data!O45+01_Data!Q45+01_Data!S45+01_Data!U45</f>
        <v>82139</v>
      </c>
      <c r="Q45" s="7" t="n">
        <f aca="false">01_Data!J45+01_Data!L45+01_Data!N45+01_Data!P45+01_Data!R45+01_Data!T45+01_Data!V45</f>
        <v>84863</v>
      </c>
      <c r="R45" s="7" t="n">
        <f aca="false">P45-Q45</f>
        <v>-2724</v>
      </c>
      <c r="S45" s="7" t="n">
        <f aca="false">L45-P45</f>
        <v>39291</v>
      </c>
      <c r="T45" s="7" t="n">
        <f aca="false">M45-Q45</f>
        <v>40882</v>
      </c>
      <c r="U45" s="7" t="n">
        <f aca="false">T45-S45</f>
        <v>1591</v>
      </c>
      <c r="V45" s="8" t="n">
        <f aca="false">IFERROR(U45/S45,0)</f>
        <v>0.0404927337049197</v>
      </c>
      <c r="W45" s="5" t="str">
        <f aca="false">IF(V45&lt;-0.1,"ADVERSE &gt;10%","")</f>
        <v/>
      </c>
    </row>
    <row r="46" customFormat="false" ht="15" hidden="false" customHeight="false" outlineLevel="0" collapsed="false">
      <c r="A46" s="5" t="str">
        <f aca="false">01_Data!A46</f>
        <v>Banking &amp; Financial Services</v>
      </c>
      <c r="B46" s="5" t="str">
        <f aca="false">01_Data!C46</f>
        <v>2023-12</v>
      </c>
      <c r="C46" s="5" t="str">
        <f aca="false">01_Data!D46</f>
        <v>FY23</v>
      </c>
      <c r="D46" s="7" t="n">
        <f aca="false">01_Data!E46</f>
        <v>341199</v>
      </c>
      <c r="E46" s="7" t="n">
        <f aca="false">01_Data!F46</f>
        <v>324300</v>
      </c>
      <c r="F46" s="7" t="n">
        <f aca="false">E46-D46</f>
        <v>-16899</v>
      </c>
      <c r="G46" s="8" t="n">
        <f aca="false">IFERROR(F46/D46,0)</f>
        <v>-0.0495282811497103</v>
      </c>
      <c r="H46" s="7" t="n">
        <f aca="false">01_Data!G46</f>
        <v>194642</v>
      </c>
      <c r="I46" s="7" t="n">
        <f aca="false">01_Data!H46</f>
        <v>191821</v>
      </c>
      <c r="J46" s="7" t="n">
        <f aca="false">H46-I46</f>
        <v>2821</v>
      </c>
      <c r="K46" s="8" t="n">
        <f aca="false">IFERROR(J46/H46,0)</f>
        <v>0.0144932748327699</v>
      </c>
      <c r="L46" s="7" t="n">
        <f aca="false">D46-H46</f>
        <v>146557</v>
      </c>
      <c r="M46" s="7" t="n">
        <f aca="false">E46-I46</f>
        <v>132479</v>
      </c>
      <c r="N46" s="7" t="n">
        <f aca="false">IFERROR(L46/D46,0)</f>
        <v>0.429535256551162</v>
      </c>
      <c r="O46" s="7" t="n">
        <f aca="false">IFERROR(M46/E46,0)</f>
        <v>0.408507554733272</v>
      </c>
      <c r="P46" s="7" t="n">
        <f aca="false">01_Data!I46+01_Data!K46+01_Data!M46+01_Data!O46+01_Data!Q46+01_Data!S46+01_Data!U46</f>
        <v>88417</v>
      </c>
      <c r="Q46" s="7" t="n">
        <f aca="false">01_Data!J46+01_Data!L46+01_Data!N46+01_Data!P46+01_Data!R46+01_Data!T46+01_Data!V46</f>
        <v>89490</v>
      </c>
      <c r="R46" s="7" t="n">
        <f aca="false">P46-Q46</f>
        <v>-1073</v>
      </c>
      <c r="S46" s="7" t="n">
        <f aca="false">L46-P46</f>
        <v>58140</v>
      </c>
      <c r="T46" s="7" t="n">
        <f aca="false">M46-Q46</f>
        <v>42989</v>
      </c>
      <c r="U46" s="7" t="n">
        <f aca="false">T46-S46</f>
        <v>-15151</v>
      </c>
      <c r="V46" s="8" t="n">
        <f aca="false">IFERROR(U46/S46,0)</f>
        <v>-0.260595115239078</v>
      </c>
      <c r="W46" s="5" t="str">
        <f aca="false">IF(V46&lt;-0.1,"ADVERSE &gt;10%","")</f>
        <v>ADVERSE &gt;10%</v>
      </c>
    </row>
    <row r="47" customFormat="false" ht="15" hidden="false" customHeight="false" outlineLevel="0" collapsed="false">
      <c r="A47" s="5" t="str">
        <f aca="false">01_Data!A47</f>
        <v>Banking &amp; Financial Services</v>
      </c>
      <c r="B47" s="5" t="str">
        <f aca="false">01_Data!C47</f>
        <v>2024-01</v>
      </c>
      <c r="C47" s="5" t="str">
        <f aca="false">01_Data!D47</f>
        <v>FY23</v>
      </c>
      <c r="D47" s="7" t="n">
        <f aca="false">01_Data!E47</f>
        <v>303576</v>
      </c>
      <c r="E47" s="7" t="n">
        <f aca="false">01_Data!F47</f>
        <v>313603</v>
      </c>
      <c r="F47" s="7" t="n">
        <f aca="false">E47-D47</f>
        <v>10027</v>
      </c>
      <c r="G47" s="8" t="n">
        <f aca="false">IFERROR(F47/D47,0)</f>
        <v>0.0330296202598361</v>
      </c>
      <c r="H47" s="7" t="n">
        <f aca="false">01_Data!G47</f>
        <v>178057</v>
      </c>
      <c r="I47" s="7" t="n">
        <f aca="false">01_Data!H47</f>
        <v>178351</v>
      </c>
      <c r="J47" s="7" t="n">
        <f aca="false">H47-I47</f>
        <v>-294</v>
      </c>
      <c r="K47" s="8" t="n">
        <f aca="false">IFERROR(J47/H47,0)</f>
        <v>-0.00165115665208332</v>
      </c>
      <c r="L47" s="7" t="n">
        <f aca="false">D47-H47</f>
        <v>125519</v>
      </c>
      <c r="M47" s="7" t="n">
        <f aca="false">E47-I47</f>
        <v>135252</v>
      </c>
      <c r="N47" s="7" t="n">
        <f aca="false">IFERROR(L47/D47,0)</f>
        <v>0.413468126597623</v>
      </c>
      <c r="O47" s="7" t="n">
        <f aca="false">IFERROR(M47/E47,0)</f>
        <v>0.431284139501217</v>
      </c>
      <c r="P47" s="7" t="n">
        <f aca="false">01_Data!I47+01_Data!K47+01_Data!M47+01_Data!O47+01_Data!Q47+01_Data!S47+01_Data!U47</f>
        <v>86684</v>
      </c>
      <c r="Q47" s="7" t="n">
        <f aca="false">01_Data!J47+01_Data!L47+01_Data!N47+01_Data!P47+01_Data!R47+01_Data!T47+01_Data!V47</f>
        <v>90482</v>
      </c>
      <c r="R47" s="7" t="n">
        <f aca="false">P47-Q47</f>
        <v>-3798</v>
      </c>
      <c r="S47" s="7" t="n">
        <f aca="false">L47-P47</f>
        <v>38835</v>
      </c>
      <c r="T47" s="7" t="n">
        <f aca="false">M47-Q47</f>
        <v>44770</v>
      </c>
      <c r="U47" s="7" t="n">
        <f aca="false">T47-S47</f>
        <v>5935</v>
      </c>
      <c r="V47" s="8" t="n">
        <f aca="false">IFERROR(U47/S47,0)</f>
        <v>0.152826058967426</v>
      </c>
      <c r="W47" s="5" t="str">
        <f aca="false">IF(V47&lt;-0.1,"ADVERSE &gt;10%","")</f>
        <v/>
      </c>
    </row>
    <row r="48" customFormat="false" ht="15" hidden="false" customHeight="false" outlineLevel="0" collapsed="false">
      <c r="A48" s="5" t="str">
        <f aca="false">01_Data!A48</f>
        <v>Banking &amp; Financial Services</v>
      </c>
      <c r="B48" s="5" t="str">
        <f aca="false">01_Data!C48</f>
        <v>2024-02</v>
      </c>
      <c r="C48" s="5" t="str">
        <f aca="false">01_Data!D48</f>
        <v>FY23</v>
      </c>
      <c r="D48" s="7" t="n">
        <f aca="false">01_Data!E48</f>
        <v>314016</v>
      </c>
      <c r="E48" s="7" t="n">
        <f aca="false">01_Data!F48</f>
        <v>315647</v>
      </c>
      <c r="F48" s="7" t="n">
        <f aca="false">E48-D48</f>
        <v>1631</v>
      </c>
      <c r="G48" s="8" t="n">
        <f aca="false">IFERROR(F48/D48,0)</f>
        <v>0.00519400285335779</v>
      </c>
      <c r="H48" s="7" t="n">
        <f aca="false">01_Data!G48</f>
        <v>183180</v>
      </c>
      <c r="I48" s="7" t="n">
        <f aca="false">01_Data!H48</f>
        <v>184289</v>
      </c>
      <c r="J48" s="7" t="n">
        <f aca="false">H48-I48</f>
        <v>-1109</v>
      </c>
      <c r="K48" s="8" t="n">
        <f aca="false">IFERROR(J48/H48,0)</f>
        <v>-0.00605415438366634</v>
      </c>
      <c r="L48" s="7" t="n">
        <f aca="false">D48-H48</f>
        <v>130836</v>
      </c>
      <c r="M48" s="7" t="n">
        <f aca="false">E48-I48</f>
        <v>131358</v>
      </c>
      <c r="N48" s="7" t="n">
        <f aca="false">IFERROR(L48/D48,0)</f>
        <v>0.416653928462244</v>
      </c>
      <c r="O48" s="7" t="n">
        <f aca="false">IFERROR(M48/E48,0)</f>
        <v>0.4161547551537</v>
      </c>
      <c r="P48" s="7" t="n">
        <f aca="false">01_Data!I48+01_Data!K48+01_Data!M48+01_Data!O48+01_Data!Q48+01_Data!S48+01_Data!U48</f>
        <v>86618</v>
      </c>
      <c r="Q48" s="7" t="n">
        <f aca="false">01_Data!J48+01_Data!L48+01_Data!N48+01_Data!P48+01_Data!R48+01_Data!T48+01_Data!V48</f>
        <v>88520</v>
      </c>
      <c r="R48" s="7" t="n">
        <f aca="false">P48-Q48</f>
        <v>-1902</v>
      </c>
      <c r="S48" s="7" t="n">
        <f aca="false">L48-P48</f>
        <v>44218</v>
      </c>
      <c r="T48" s="7" t="n">
        <f aca="false">M48-Q48</f>
        <v>42838</v>
      </c>
      <c r="U48" s="7" t="n">
        <f aca="false">T48-S48</f>
        <v>-1380</v>
      </c>
      <c r="V48" s="8" t="n">
        <f aca="false">IFERROR(U48/S48,0)</f>
        <v>-0.0312090099054684</v>
      </c>
      <c r="W48" s="5" t="str">
        <f aca="false">IF(V48&lt;-0.1,"ADVERSE &gt;10%","")</f>
        <v/>
      </c>
    </row>
    <row r="49" customFormat="false" ht="15" hidden="false" customHeight="false" outlineLevel="0" collapsed="false">
      <c r="A49" s="5" t="str">
        <f aca="false">01_Data!A49</f>
        <v>Banking &amp; Financial Services</v>
      </c>
      <c r="B49" s="5" t="str">
        <f aca="false">01_Data!C49</f>
        <v>2024-03</v>
      </c>
      <c r="C49" s="5" t="str">
        <f aca="false">01_Data!D49</f>
        <v>FY23</v>
      </c>
      <c r="D49" s="7" t="n">
        <f aca="false">01_Data!E49</f>
        <v>317169</v>
      </c>
      <c r="E49" s="7" t="n">
        <f aca="false">01_Data!F49</f>
        <v>335875</v>
      </c>
      <c r="F49" s="7" t="n">
        <f aca="false">E49-D49</f>
        <v>18706</v>
      </c>
      <c r="G49" s="8" t="n">
        <f aca="false">IFERROR(F49/D49,0)</f>
        <v>0.0589780211811369</v>
      </c>
      <c r="H49" s="7" t="n">
        <f aca="false">01_Data!G49</f>
        <v>172573</v>
      </c>
      <c r="I49" s="7" t="n">
        <f aca="false">01_Data!H49</f>
        <v>186633</v>
      </c>
      <c r="J49" s="7" t="n">
        <f aca="false">H49-I49</f>
        <v>-14060</v>
      </c>
      <c r="K49" s="8" t="n">
        <f aca="false">IFERROR(J49/H49,0)</f>
        <v>-0.0814727680459863</v>
      </c>
      <c r="L49" s="7" t="n">
        <f aca="false">D49-H49</f>
        <v>144596</v>
      </c>
      <c r="M49" s="7" t="n">
        <f aca="false">E49-I49</f>
        <v>149242</v>
      </c>
      <c r="N49" s="7" t="n">
        <f aca="false">IFERROR(L49/D49,0)</f>
        <v>0.4558957527375</v>
      </c>
      <c r="O49" s="7" t="n">
        <f aca="false">IFERROR(M49/E49,0)</f>
        <v>0.444337923334574</v>
      </c>
      <c r="P49" s="7" t="n">
        <f aca="false">01_Data!I49+01_Data!K49+01_Data!M49+01_Data!O49+01_Data!Q49+01_Data!S49+01_Data!U49</f>
        <v>89127</v>
      </c>
      <c r="Q49" s="7" t="n">
        <f aca="false">01_Data!J49+01_Data!L49+01_Data!N49+01_Data!P49+01_Data!R49+01_Data!T49+01_Data!V49</f>
        <v>94213</v>
      </c>
      <c r="R49" s="7" t="n">
        <f aca="false">P49-Q49</f>
        <v>-5086</v>
      </c>
      <c r="S49" s="7" t="n">
        <f aca="false">L49-P49</f>
        <v>55469</v>
      </c>
      <c r="T49" s="7" t="n">
        <f aca="false">M49-Q49</f>
        <v>55029</v>
      </c>
      <c r="U49" s="7" t="n">
        <f aca="false">T49-S49</f>
        <v>-440</v>
      </c>
      <c r="V49" s="8" t="n">
        <f aca="false">IFERROR(U49/S49,0)</f>
        <v>-0.00793235861472174</v>
      </c>
      <c r="W49" s="5" t="str">
        <f aca="false">IF(V49&lt;-0.1,"ADVERSE &gt;10%","")</f>
        <v/>
      </c>
    </row>
    <row r="50" customFormat="false" ht="15" hidden="false" customHeight="false" outlineLevel="0" collapsed="false">
      <c r="A50" s="5" t="str">
        <f aca="false">01_Data!A50</f>
        <v>Banking &amp; Financial Services</v>
      </c>
      <c r="B50" s="5" t="str">
        <f aca="false">01_Data!C50</f>
        <v>2024-04</v>
      </c>
      <c r="C50" s="5" t="str">
        <f aca="false">01_Data!D50</f>
        <v>FY24</v>
      </c>
      <c r="D50" s="7" t="n">
        <f aca="false">01_Data!E50</f>
        <v>320469</v>
      </c>
      <c r="E50" s="7" t="n">
        <f aca="false">01_Data!F50</f>
        <v>319275</v>
      </c>
      <c r="F50" s="7" t="n">
        <f aca="false">E50-D50</f>
        <v>-1194</v>
      </c>
      <c r="G50" s="8" t="n">
        <f aca="false">IFERROR(F50/D50,0)</f>
        <v>-0.00372578938992539</v>
      </c>
      <c r="H50" s="7" t="n">
        <f aca="false">01_Data!G50</f>
        <v>183935</v>
      </c>
      <c r="I50" s="7" t="n">
        <f aca="false">01_Data!H50</f>
        <v>189516</v>
      </c>
      <c r="J50" s="7" t="n">
        <f aca="false">H50-I50</f>
        <v>-5581</v>
      </c>
      <c r="K50" s="8" t="n">
        <f aca="false">IFERROR(J50/H50,0)</f>
        <v>-0.0303422404653818</v>
      </c>
      <c r="L50" s="7" t="n">
        <f aca="false">D50-H50</f>
        <v>136534</v>
      </c>
      <c r="M50" s="7" t="n">
        <f aca="false">E50-I50</f>
        <v>129759</v>
      </c>
      <c r="N50" s="7" t="n">
        <f aca="false">IFERROR(L50/D50,0)</f>
        <v>0.426044328780631</v>
      </c>
      <c r="O50" s="7" t="n">
        <f aca="false">IFERROR(M50/E50,0)</f>
        <v>0.406417665022316</v>
      </c>
      <c r="P50" s="7" t="n">
        <f aca="false">01_Data!I50+01_Data!K50+01_Data!M50+01_Data!O50+01_Data!Q50+01_Data!S50+01_Data!U50</f>
        <v>82162</v>
      </c>
      <c r="Q50" s="7" t="n">
        <f aca="false">01_Data!J50+01_Data!L50+01_Data!N50+01_Data!P50+01_Data!R50+01_Data!T50+01_Data!V50</f>
        <v>82905</v>
      </c>
      <c r="R50" s="7" t="n">
        <f aca="false">P50-Q50</f>
        <v>-743</v>
      </c>
      <c r="S50" s="7" t="n">
        <f aca="false">L50-P50</f>
        <v>54372</v>
      </c>
      <c r="T50" s="7" t="n">
        <f aca="false">M50-Q50</f>
        <v>46854</v>
      </c>
      <c r="U50" s="7" t="n">
        <f aca="false">T50-S50</f>
        <v>-7518</v>
      </c>
      <c r="V50" s="8" t="n">
        <f aca="false">IFERROR(U50/S50,0)</f>
        <v>-0.13826969763849</v>
      </c>
      <c r="W50" s="5" t="str">
        <f aca="false">IF(V50&lt;-0.1,"ADVERSE &gt;10%","")</f>
        <v>ADVERSE &gt;10%</v>
      </c>
    </row>
    <row r="51" customFormat="false" ht="15" hidden="false" customHeight="false" outlineLevel="0" collapsed="false">
      <c r="A51" s="5" t="str">
        <f aca="false">01_Data!A51</f>
        <v>Banking &amp; Financial Services</v>
      </c>
      <c r="B51" s="5" t="str">
        <f aca="false">01_Data!C51</f>
        <v>2024-05</v>
      </c>
      <c r="C51" s="5" t="str">
        <f aca="false">01_Data!D51</f>
        <v>FY24</v>
      </c>
      <c r="D51" s="7" t="n">
        <f aca="false">01_Data!E51</f>
        <v>314417</v>
      </c>
      <c r="E51" s="7" t="n">
        <f aca="false">01_Data!F51</f>
        <v>316631</v>
      </c>
      <c r="F51" s="7" t="n">
        <f aca="false">E51-D51</f>
        <v>2214</v>
      </c>
      <c r="G51" s="8" t="n">
        <f aca="false">IFERROR(F51/D51,0)</f>
        <v>0.00704160398451738</v>
      </c>
      <c r="H51" s="7" t="n">
        <f aca="false">01_Data!G51</f>
        <v>176304</v>
      </c>
      <c r="I51" s="7" t="n">
        <f aca="false">01_Data!H51</f>
        <v>180515</v>
      </c>
      <c r="J51" s="7" t="n">
        <f aca="false">H51-I51</f>
        <v>-4211</v>
      </c>
      <c r="K51" s="8" t="n">
        <f aca="false">IFERROR(J51/H51,0)</f>
        <v>-0.023884880660677</v>
      </c>
      <c r="L51" s="7" t="n">
        <f aca="false">D51-H51</f>
        <v>138113</v>
      </c>
      <c r="M51" s="7" t="n">
        <f aca="false">E51-I51</f>
        <v>136116</v>
      </c>
      <c r="N51" s="7" t="n">
        <f aca="false">IFERROR(L51/D51,0)</f>
        <v>0.439266960755939</v>
      </c>
      <c r="O51" s="7" t="n">
        <f aca="false">IFERROR(M51/E51,0)</f>
        <v>0.429888419011404</v>
      </c>
      <c r="P51" s="7" t="n">
        <f aca="false">01_Data!I51+01_Data!K51+01_Data!M51+01_Data!O51+01_Data!Q51+01_Data!S51+01_Data!U51</f>
        <v>85980</v>
      </c>
      <c r="Q51" s="7" t="n">
        <f aca="false">01_Data!J51+01_Data!L51+01_Data!N51+01_Data!P51+01_Data!R51+01_Data!T51+01_Data!V51</f>
        <v>87339</v>
      </c>
      <c r="R51" s="7" t="n">
        <f aca="false">P51-Q51</f>
        <v>-1359</v>
      </c>
      <c r="S51" s="7" t="n">
        <f aca="false">L51-P51</f>
        <v>52133</v>
      </c>
      <c r="T51" s="7" t="n">
        <f aca="false">M51-Q51</f>
        <v>48777</v>
      </c>
      <c r="U51" s="7" t="n">
        <f aca="false">T51-S51</f>
        <v>-3356</v>
      </c>
      <c r="V51" s="8" t="n">
        <f aca="false">IFERROR(U51/S51,0)</f>
        <v>-0.0643738131317975</v>
      </c>
      <c r="W51" s="5" t="str">
        <f aca="false">IF(V51&lt;-0.1,"ADVERSE &gt;10%","")</f>
        <v/>
      </c>
    </row>
    <row r="52" customFormat="false" ht="15" hidden="false" customHeight="false" outlineLevel="0" collapsed="false">
      <c r="A52" s="5" t="str">
        <f aca="false">01_Data!A52</f>
        <v>Banking &amp; Financial Services</v>
      </c>
      <c r="B52" s="5" t="str">
        <f aca="false">01_Data!C52</f>
        <v>2024-06</v>
      </c>
      <c r="C52" s="5" t="str">
        <f aca="false">01_Data!D52</f>
        <v>FY24</v>
      </c>
      <c r="D52" s="7" t="n">
        <f aca="false">01_Data!E52</f>
        <v>317989</v>
      </c>
      <c r="E52" s="7" t="n">
        <f aca="false">01_Data!F52</f>
        <v>315493</v>
      </c>
      <c r="F52" s="7" t="n">
        <f aca="false">E52-D52</f>
        <v>-2496</v>
      </c>
      <c r="G52" s="8" t="n">
        <f aca="false">IFERROR(F52/D52,0)</f>
        <v>-0.00784932812141301</v>
      </c>
      <c r="H52" s="7" t="n">
        <f aca="false">01_Data!G52</f>
        <v>184799</v>
      </c>
      <c r="I52" s="7" t="n">
        <f aca="false">01_Data!H52</f>
        <v>188785</v>
      </c>
      <c r="J52" s="7" t="n">
        <f aca="false">H52-I52</f>
        <v>-3986</v>
      </c>
      <c r="K52" s="8" t="n">
        <f aca="false">IFERROR(J52/H52,0)</f>
        <v>-0.0215693807866926</v>
      </c>
      <c r="L52" s="7" t="n">
        <f aca="false">D52-H52</f>
        <v>133190</v>
      </c>
      <c r="M52" s="7" t="n">
        <f aca="false">E52-I52</f>
        <v>126708</v>
      </c>
      <c r="N52" s="7" t="n">
        <f aca="false">IFERROR(L52/D52,0)</f>
        <v>0.418850966542868</v>
      </c>
      <c r="O52" s="7" t="n">
        <f aca="false">IFERROR(M52/E52,0)</f>
        <v>0.401619053354591</v>
      </c>
      <c r="P52" s="7" t="n">
        <f aca="false">01_Data!I52+01_Data!K52+01_Data!M52+01_Data!O52+01_Data!Q52+01_Data!S52+01_Data!U52</f>
        <v>81642</v>
      </c>
      <c r="Q52" s="7" t="n">
        <f aca="false">01_Data!J52+01_Data!L52+01_Data!N52+01_Data!P52+01_Data!R52+01_Data!T52+01_Data!V52</f>
        <v>85840</v>
      </c>
      <c r="R52" s="7" t="n">
        <f aca="false">P52-Q52</f>
        <v>-4198</v>
      </c>
      <c r="S52" s="7" t="n">
        <f aca="false">L52-P52</f>
        <v>51548</v>
      </c>
      <c r="T52" s="7" t="n">
        <f aca="false">M52-Q52</f>
        <v>40868</v>
      </c>
      <c r="U52" s="7" t="n">
        <f aca="false">T52-S52</f>
        <v>-10680</v>
      </c>
      <c r="V52" s="8" t="n">
        <f aca="false">IFERROR(U52/S52,0)</f>
        <v>-0.207185535811283</v>
      </c>
      <c r="W52" s="5" t="str">
        <f aca="false">IF(V52&lt;-0.1,"ADVERSE &gt;10%","")</f>
        <v>ADVERSE &gt;10%</v>
      </c>
    </row>
    <row r="53" customFormat="false" ht="15" hidden="false" customHeight="false" outlineLevel="0" collapsed="false">
      <c r="A53" s="5" t="str">
        <f aca="false">01_Data!A53</f>
        <v>Banking &amp; Financial Services</v>
      </c>
      <c r="B53" s="5" t="str">
        <f aca="false">01_Data!C53</f>
        <v>2024-07</v>
      </c>
      <c r="C53" s="5" t="str">
        <f aca="false">01_Data!D53</f>
        <v>FY24</v>
      </c>
      <c r="D53" s="7" t="n">
        <f aca="false">01_Data!E53</f>
        <v>334282</v>
      </c>
      <c r="E53" s="7" t="n">
        <f aca="false">01_Data!F53</f>
        <v>318847</v>
      </c>
      <c r="F53" s="7" t="n">
        <f aca="false">E53-D53</f>
        <v>-15435</v>
      </c>
      <c r="G53" s="8" t="n">
        <f aca="false">IFERROR(F53/D53,0)</f>
        <v>-0.0461735899629654</v>
      </c>
      <c r="H53" s="7" t="n">
        <f aca="false">01_Data!G53</f>
        <v>193476</v>
      </c>
      <c r="I53" s="7" t="n">
        <f aca="false">01_Data!H53</f>
        <v>183091</v>
      </c>
      <c r="J53" s="7" t="n">
        <f aca="false">H53-I53</f>
        <v>10385</v>
      </c>
      <c r="K53" s="8" t="n">
        <f aca="false">IFERROR(J53/H53,0)</f>
        <v>0.0536759081229713</v>
      </c>
      <c r="L53" s="7" t="n">
        <f aca="false">D53-H53</f>
        <v>140806</v>
      </c>
      <c r="M53" s="7" t="n">
        <f aca="false">E53-I53</f>
        <v>135756</v>
      </c>
      <c r="N53" s="7" t="n">
        <f aca="false">IFERROR(L53/D53,0)</f>
        <v>0.421219210127976</v>
      </c>
      <c r="O53" s="7" t="n">
        <f aca="false">IFERROR(M53/E53,0)</f>
        <v>0.425771608326251</v>
      </c>
      <c r="P53" s="7" t="n">
        <f aca="false">01_Data!I53+01_Data!K53+01_Data!M53+01_Data!O53+01_Data!Q53+01_Data!S53+01_Data!U53</f>
        <v>89533</v>
      </c>
      <c r="Q53" s="7" t="n">
        <f aca="false">01_Data!J53+01_Data!L53+01_Data!N53+01_Data!P53+01_Data!R53+01_Data!T53+01_Data!V53</f>
        <v>91390</v>
      </c>
      <c r="R53" s="7" t="n">
        <f aca="false">P53-Q53</f>
        <v>-1857</v>
      </c>
      <c r="S53" s="7" t="n">
        <f aca="false">L53-P53</f>
        <v>51273</v>
      </c>
      <c r="T53" s="7" t="n">
        <f aca="false">M53-Q53</f>
        <v>44366</v>
      </c>
      <c r="U53" s="7" t="n">
        <f aca="false">T53-S53</f>
        <v>-6907</v>
      </c>
      <c r="V53" s="8" t="n">
        <f aca="false">IFERROR(U53/S53,0)</f>
        <v>-0.134710276363778</v>
      </c>
      <c r="W53" s="5" t="str">
        <f aca="false">IF(V53&lt;-0.1,"ADVERSE &gt;10%","")</f>
        <v>ADVERSE &gt;10%</v>
      </c>
    </row>
    <row r="54" customFormat="false" ht="15" hidden="false" customHeight="false" outlineLevel="0" collapsed="false">
      <c r="A54" s="5" t="str">
        <f aca="false">01_Data!A54</f>
        <v>Banking &amp; Financial Services</v>
      </c>
      <c r="B54" s="5" t="str">
        <f aca="false">01_Data!C54</f>
        <v>2024-08</v>
      </c>
      <c r="C54" s="5" t="str">
        <f aca="false">01_Data!D54</f>
        <v>FY24</v>
      </c>
      <c r="D54" s="7" t="n">
        <f aca="false">01_Data!E54</f>
        <v>324050</v>
      </c>
      <c r="E54" s="7" t="n">
        <f aca="false">01_Data!F54</f>
        <v>324757</v>
      </c>
      <c r="F54" s="7" t="n">
        <f aca="false">E54-D54</f>
        <v>707</v>
      </c>
      <c r="G54" s="8" t="n">
        <f aca="false">IFERROR(F54/D54,0)</f>
        <v>0.00218176207375405</v>
      </c>
      <c r="H54" s="7" t="n">
        <f aca="false">01_Data!G54</f>
        <v>190668</v>
      </c>
      <c r="I54" s="7" t="n">
        <f aca="false">01_Data!H54</f>
        <v>196711</v>
      </c>
      <c r="J54" s="7" t="n">
        <f aca="false">H54-I54</f>
        <v>-6043</v>
      </c>
      <c r="K54" s="8" t="n">
        <f aca="false">IFERROR(J54/H54,0)</f>
        <v>-0.031693834308851</v>
      </c>
      <c r="L54" s="7" t="n">
        <f aca="false">D54-H54</f>
        <v>133382</v>
      </c>
      <c r="M54" s="7" t="n">
        <f aca="false">E54-I54</f>
        <v>128046</v>
      </c>
      <c r="N54" s="7" t="n">
        <f aca="false">IFERROR(L54/D54,0)</f>
        <v>0.411609319549452</v>
      </c>
      <c r="O54" s="7" t="n">
        <f aca="false">IFERROR(M54/E54,0)</f>
        <v>0.394282494295735</v>
      </c>
      <c r="P54" s="7" t="n">
        <f aca="false">01_Data!I54+01_Data!K54+01_Data!M54+01_Data!O54+01_Data!Q54+01_Data!S54+01_Data!U54</f>
        <v>88363</v>
      </c>
      <c r="Q54" s="7" t="n">
        <f aca="false">01_Data!J54+01_Data!L54+01_Data!N54+01_Data!P54+01_Data!R54+01_Data!T54+01_Data!V54</f>
        <v>89144</v>
      </c>
      <c r="R54" s="7" t="n">
        <f aca="false">P54-Q54</f>
        <v>-781</v>
      </c>
      <c r="S54" s="7" t="n">
        <f aca="false">L54-P54</f>
        <v>45019</v>
      </c>
      <c r="T54" s="7" t="n">
        <f aca="false">M54-Q54</f>
        <v>38902</v>
      </c>
      <c r="U54" s="7" t="n">
        <f aca="false">T54-S54</f>
        <v>-6117</v>
      </c>
      <c r="V54" s="8" t="n">
        <f aca="false">IFERROR(U54/S54,0)</f>
        <v>-0.135875963482085</v>
      </c>
      <c r="W54" s="5" t="str">
        <f aca="false">IF(V54&lt;-0.1,"ADVERSE &gt;10%","")</f>
        <v>ADVERSE &gt;10%</v>
      </c>
    </row>
    <row r="55" customFormat="false" ht="15" hidden="false" customHeight="false" outlineLevel="0" collapsed="false">
      <c r="A55" s="5" t="str">
        <f aca="false">01_Data!A55</f>
        <v>Banking &amp; Financial Services</v>
      </c>
      <c r="B55" s="5" t="str">
        <f aca="false">01_Data!C55</f>
        <v>2024-09</v>
      </c>
      <c r="C55" s="5" t="str">
        <f aca="false">01_Data!D55</f>
        <v>FY24</v>
      </c>
      <c r="D55" s="7" t="n">
        <f aca="false">01_Data!E55</f>
        <v>346930</v>
      </c>
      <c r="E55" s="7" t="n">
        <f aca="false">01_Data!F55</f>
        <v>339881</v>
      </c>
      <c r="F55" s="7" t="n">
        <f aca="false">E55-D55</f>
        <v>-7049</v>
      </c>
      <c r="G55" s="8" t="n">
        <f aca="false">IFERROR(F55/D55,0)</f>
        <v>-0.0203182198137953</v>
      </c>
      <c r="H55" s="7" t="n">
        <f aca="false">01_Data!G55</f>
        <v>201338</v>
      </c>
      <c r="I55" s="7" t="n">
        <f aca="false">01_Data!H55</f>
        <v>200383</v>
      </c>
      <c r="J55" s="7" t="n">
        <f aca="false">H55-I55</f>
        <v>955</v>
      </c>
      <c r="K55" s="8" t="n">
        <f aca="false">IFERROR(J55/H55,0)</f>
        <v>0.00474326754015635</v>
      </c>
      <c r="L55" s="7" t="n">
        <f aca="false">D55-H55</f>
        <v>145592</v>
      </c>
      <c r="M55" s="7" t="n">
        <f aca="false">E55-I55</f>
        <v>139498</v>
      </c>
      <c r="N55" s="7" t="n">
        <f aca="false">IFERROR(L55/D55,0)</f>
        <v>0.419658144294238</v>
      </c>
      <c r="O55" s="7" t="n">
        <f aca="false">IFERROR(M55/E55,0)</f>
        <v>0.410431886454377</v>
      </c>
      <c r="P55" s="7" t="n">
        <f aca="false">01_Data!I55+01_Data!K55+01_Data!M55+01_Data!O55+01_Data!Q55+01_Data!S55+01_Data!U55</f>
        <v>92222</v>
      </c>
      <c r="Q55" s="7" t="n">
        <f aca="false">01_Data!J55+01_Data!L55+01_Data!N55+01_Data!P55+01_Data!R55+01_Data!T55+01_Data!V55</f>
        <v>98258</v>
      </c>
      <c r="R55" s="7" t="n">
        <f aca="false">P55-Q55</f>
        <v>-6036</v>
      </c>
      <c r="S55" s="7" t="n">
        <f aca="false">L55-P55</f>
        <v>53370</v>
      </c>
      <c r="T55" s="7" t="n">
        <f aca="false">M55-Q55</f>
        <v>41240</v>
      </c>
      <c r="U55" s="7" t="n">
        <f aca="false">T55-S55</f>
        <v>-12130</v>
      </c>
      <c r="V55" s="8" t="n">
        <f aca="false">IFERROR(U55/S55,0)</f>
        <v>-0.227281244144651</v>
      </c>
      <c r="W55" s="5" t="str">
        <f aca="false">IF(V55&lt;-0.1,"ADVERSE &gt;10%","")</f>
        <v>ADVERSE &gt;10%</v>
      </c>
    </row>
    <row r="56" customFormat="false" ht="15" hidden="false" customHeight="false" outlineLevel="0" collapsed="false">
      <c r="A56" s="5" t="str">
        <f aca="false">01_Data!A56</f>
        <v>Banking &amp; Financial Services</v>
      </c>
      <c r="B56" s="5" t="str">
        <f aca="false">01_Data!C56</f>
        <v>2024-10</v>
      </c>
      <c r="C56" s="5" t="str">
        <f aca="false">01_Data!D56</f>
        <v>FY24</v>
      </c>
      <c r="D56" s="7" t="n">
        <f aca="false">01_Data!E56</f>
        <v>340303</v>
      </c>
      <c r="E56" s="7" t="n">
        <f aca="false">01_Data!F56</f>
        <v>323006</v>
      </c>
      <c r="F56" s="7" t="n">
        <f aca="false">E56-D56</f>
        <v>-17297</v>
      </c>
      <c r="G56" s="8" t="n">
        <f aca="false">IFERROR(F56/D56,0)</f>
        <v>-0.0508282324869308</v>
      </c>
      <c r="H56" s="7" t="n">
        <f aca="false">01_Data!G56</f>
        <v>189978</v>
      </c>
      <c r="I56" s="7" t="n">
        <f aca="false">01_Data!H56</f>
        <v>181818</v>
      </c>
      <c r="J56" s="7" t="n">
        <f aca="false">H56-I56</f>
        <v>8160</v>
      </c>
      <c r="K56" s="8" t="n">
        <f aca="false">IFERROR(J56/H56,0)</f>
        <v>0.042952341850109</v>
      </c>
      <c r="L56" s="7" t="n">
        <f aca="false">D56-H56</f>
        <v>150325</v>
      </c>
      <c r="M56" s="7" t="n">
        <f aca="false">E56-I56</f>
        <v>141188</v>
      </c>
      <c r="N56" s="7" t="n">
        <f aca="false">IFERROR(L56/D56,0)</f>
        <v>0.441738685818227</v>
      </c>
      <c r="O56" s="7" t="n">
        <f aca="false">IFERROR(M56/E56,0)</f>
        <v>0.437106431459478</v>
      </c>
      <c r="P56" s="7" t="n">
        <f aca="false">01_Data!I56+01_Data!K56+01_Data!M56+01_Data!O56+01_Data!Q56+01_Data!S56+01_Data!U56</f>
        <v>87263</v>
      </c>
      <c r="Q56" s="7" t="n">
        <f aca="false">01_Data!J56+01_Data!L56+01_Data!N56+01_Data!P56+01_Data!R56+01_Data!T56+01_Data!V56</f>
        <v>90481</v>
      </c>
      <c r="R56" s="7" t="n">
        <f aca="false">P56-Q56</f>
        <v>-3218</v>
      </c>
      <c r="S56" s="7" t="n">
        <f aca="false">L56-P56</f>
        <v>63062</v>
      </c>
      <c r="T56" s="7" t="n">
        <f aca="false">M56-Q56</f>
        <v>50707</v>
      </c>
      <c r="U56" s="7" t="n">
        <f aca="false">T56-S56</f>
        <v>-12355</v>
      </c>
      <c r="V56" s="8" t="n">
        <f aca="false">IFERROR(U56/S56,0)</f>
        <v>-0.195918302622816</v>
      </c>
      <c r="W56" s="5" t="str">
        <f aca="false">IF(V56&lt;-0.1,"ADVERSE &gt;10%","")</f>
        <v>ADVERSE &gt;10%</v>
      </c>
    </row>
    <row r="57" customFormat="false" ht="15" hidden="false" customHeight="false" outlineLevel="0" collapsed="false">
      <c r="A57" s="5" t="str">
        <f aca="false">01_Data!A57</f>
        <v>Banking &amp; Financial Services</v>
      </c>
      <c r="B57" s="5" t="str">
        <f aca="false">01_Data!C57</f>
        <v>2024-11</v>
      </c>
      <c r="C57" s="5" t="str">
        <f aca="false">01_Data!D57</f>
        <v>FY24</v>
      </c>
      <c r="D57" s="7" t="n">
        <f aca="false">01_Data!E57</f>
        <v>312101</v>
      </c>
      <c r="E57" s="7" t="n">
        <f aca="false">01_Data!F57</f>
        <v>330641</v>
      </c>
      <c r="F57" s="7" t="n">
        <f aca="false">E57-D57</f>
        <v>18540</v>
      </c>
      <c r="G57" s="8" t="n">
        <f aca="false">IFERROR(F57/D57,0)</f>
        <v>0.0594038468316346</v>
      </c>
      <c r="H57" s="7" t="n">
        <f aca="false">01_Data!G57</f>
        <v>175473</v>
      </c>
      <c r="I57" s="7" t="n">
        <f aca="false">01_Data!H57</f>
        <v>186614</v>
      </c>
      <c r="J57" s="7" t="n">
        <f aca="false">H57-I57</f>
        <v>-11141</v>
      </c>
      <c r="K57" s="8" t="n">
        <f aca="false">IFERROR(J57/H57,0)</f>
        <v>-0.0634912493659993</v>
      </c>
      <c r="L57" s="7" t="n">
        <f aca="false">D57-H57</f>
        <v>136628</v>
      </c>
      <c r="M57" s="7" t="n">
        <f aca="false">E57-I57</f>
        <v>144027</v>
      </c>
      <c r="N57" s="7" t="n">
        <f aca="false">IFERROR(L57/D57,0)</f>
        <v>0.437768542875544</v>
      </c>
      <c r="O57" s="7" t="n">
        <f aca="false">IFERROR(M57/E57,0)</f>
        <v>0.435599335835544</v>
      </c>
      <c r="P57" s="7" t="n">
        <f aca="false">01_Data!I57+01_Data!K57+01_Data!M57+01_Data!O57+01_Data!Q57+01_Data!S57+01_Data!U57</f>
        <v>85715</v>
      </c>
      <c r="Q57" s="7" t="n">
        <f aca="false">01_Data!J57+01_Data!L57+01_Data!N57+01_Data!P57+01_Data!R57+01_Data!T57+01_Data!V57</f>
        <v>90633</v>
      </c>
      <c r="R57" s="7" t="n">
        <f aca="false">P57-Q57</f>
        <v>-4918</v>
      </c>
      <c r="S57" s="7" t="n">
        <f aca="false">L57-P57</f>
        <v>50913</v>
      </c>
      <c r="T57" s="7" t="n">
        <f aca="false">M57-Q57</f>
        <v>53394</v>
      </c>
      <c r="U57" s="7" t="n">
        <f aca="false">T57-S57</f>
        <v>2481</v>
      </c>
      <c r="V57" s="8" t="n">
        <f aca="false">IFERROR(U57/S57,0)</f>
        <v>0.0487301867892287</v>
      </c>
      <c r="W57" s="5" t="str">
        <f aca="false">IF(V57&lt;-0.1,"ADVERSE &gt;10%","")</f>
        <v/>
      </c>
    </row>
    <row r="58" customFormat="false" ht="15" hidden="false" customHeight="false" outlineLevel="0" collapsed="false">
      <c r="A58" s="5" t="str">
        <f aca="false">01_Data!A58</f>
        <v>Banking &amp; Financial Services</v>
      </c>
      <c r="B58" s="5" t="str">
        <f aca="false">01_Data!C58</f>
        <v>2024-12</v>
      </c>
      <c r="C58" s="5" t="str">
        <f aca="false">01_Data!D58</f>
        <v>FY24</v>
      </c>
      <c r="D58" s="7" t="n">
        <f aca="false">01_Data!E58</f>
        <v>328024</v>
      </c>
      <c r="E58" s="7" t="n">
        <f aca="false">01_Data!F58</f>
        <v>348013</v>
      </c>
      <c r="F58" s="7" t="n">
        <f aca="false">E58-D58</f>
        <v>19989</v>
      </c>
      <c r="G58" s="8" t="n">
        <f aca="false">IFERROR(F58/D58,0)</f>
        <v>0.0609376143209034</v>
      </c>
      <c r="H58" s="7" t="n">
        <f aca="false">01_Data!G58</f>
        <v>192618</v>
      </c>
      <c r="I58" s="7" t="n">
        <f aca="false">01_Data!H58</f>
        <v>201634</v>
      </c>
      <c r="J58" s="7" t="n">
        <f aca="false">H58-I58</f>
        <v>-9016</v>
      </c>
      <c r="K58" s="8" t="n">
        <f aca="false">IFERROR(J58/H58,0)</f>
        <v>-0.0468076711418455</v>
      </c>
      <c r="L58" s="7" t="n">
        <f aca="false">D58-H58</f>
        <v>135406</v>
      </c>
      <c r="M58" s="7" t="n">
        <f aca="false">E58-I58</f>
        <v>146379</v>
      </c>
      <c r="N58" s="7" t="n">
        <f aca="false">IFERROR(L58/D58,0)</f>
        <v>0.412792966368315</v>
      </c>
      <c r="O58" s="7" t="n">
        <f aca="false">IFERROR(M58/E58,0)</f>
        <v>0.420613597767899</v>
      </c>
      <c r="P58" s="7" t="n">
        <f aca="false">01_Data!I58+01_Data!K58+01_Data!M58+01_Data!O58+01_Data!Q58+01_Data!S58+01_Data!U58</f>
        <v>79250</v>
      </c>
      <c r="Q58" s="7" t="n">
        <f aca="false">01_Data!J58+01_Data!L58+01_Data!N58+01_Data!P58+01_Data!R58+01_Data!T58+01_Data!V58</f>
        <v>81484</v>
      </c>
      <c r="R58" s="7" t="n">
        <f aca="false">P58-Q58</f>
        <v>-2234</v>
      </c>
      <c r="S58" s="7" t="n">
        <f aca="false">L58-P58</f>
        <v>56156</v>
      </c>
      <c r="T58" s="7" t="n">
        <f aca="false">M58-Q58</f>
        <v>64895</v>
      </c>
      <c r="U58" s="7" t="n">
        <f aca="false">T58-S58</f>
        <v>8739</v>
      </c>
      <c r="V58" s="8" t="n">
        <f aca="false">IFERROR(U58/S58,0)</f>
        <v>0.155620058408719</v>
      </c>
      <c r="W58" s="5" t="str">
        <f aca="false">IF(V58&lt;-0.1,"ADVERSE &gt;10%","")</f>
        <v/>
      </c>
    </row>
    <row r="59" customFormat="false" ht="15" hidden="false" customHeight="false" outlineLevel="0" collapsed="false">
      <c r="A59" s="5" t="str">
        <f aca="false">01_Data!A59</f>
        <v>Banking &amp; Financial Services</v>
      </c>
      <c r="B59" s="5" t="str">
        <f aca="false">01_Data!C59</f>
        <v>2025-01</v>
      </c>
      <c r="C59" s="5" t="str">
        <f aca="false">01_Data!D59</f>
        <v>FY24</v>
      </c>
      <c r="D59" s="7" t="n">
        <f aca="false">01_Data!E59</f>
        <v>319246</v>
      </c>
      <c r="E59" s="7" t="n">
        <f aca="false">01_Data!F59</f>
        <v>332223</v>
      </c>
      <c r="F59" s="7" t="n">
        <f aca="false">E59-D59</f>
        <v>12977</v>
      </c>
      <c r="G59" s="8" t="n">
        <f aca="false">IFERROR(F59/D59,0)</f>
        <v>0.0406489039800029</v>
      </c>
      <c r="H59" s="7" t="n">
        <f aca="false">01_Data!G59</f>
        <v>185055</v>
      </c>
      <c r="I59" s="7" t="n">
        <f aca="false">01_Data!H59</f>
        <v>186361</v>
      </c>
      <c r="J59" s="7" t="n">
        <f aca="false">H59-I59</f>
        <v>-1306</v>
      </c>
      <c r="K59" s="8" t="n">
        <f aca="false">IFERROR(J59/H59,0)</f>
        <v>-0.00705736132501148</v>
      </c>
      <c r="L59" s="7" t="n">
        <f aca="false">D59-H59</f>
        <v>134191</v>
      </c>
      <c r="M59" s="7" t="n">
        <f aca="false">E59-I59</f>
        <v>145862</v>
      </c>
      <c r="N59" s="7" t="n">
        <f aca="false">IFERROR(L59/D59,0)</f>
        <v>0.420337294750757</v>
      </c>
      <c r="O59" s="7" t="n">
        <f aca="false">IFERROR(M59/E59,0)</f>
        <v>0.439048470455086</v>
      </c>
      <c r="P59" s="7" t="n">
        <f aca="false">01_Data!I59+01_Data!K59+01_Data!M59+01_Data!O59+01_Data!Q59+01_Data!S59+01_Data!U59</f>
        <v>79292</v>
      </c>
      <c r="Q59" s="7" t="n">
        <f aca="false">01_Data!J59+01_Data!L59+01_Data!N59+01_Data!P59+01_Data!R59+01_Data!T59+01_Data!V59</f>
        <v>81409</v>
      </c>
      <c r="R59" s="7" t="n">
        <f aca="false">P59-Q59</f>
        <v>-2117</v>
      </c>
      <c r="S59" s="7" t="n">
        <f aca="false">L59-P59</f>
        <v>54899</v>
      </c>
      <c r="T59" s="7" t="n">
        <f aca="false">M59-Q59</f>
        <v>64453</v>
      </c>
      <c r="U59" s="7" t="n">
        <f aca="false">T59-S59</f>
        <v>9554</v>
      </c>
      <c r="V59" s="8" t="n">
        <f aca="false">IFERROR(U59/S59,0)</f>
        <v>0.174028670831891</v>
      </c>
      <c r="W59" s="5" t="str">
        <f aca="false">IF(V59&lt;-0.1,"ADVERSE &gt;10%","")</f>
        <v/>
      </c>
    </row>
    <row r="60" customFormat="false" ht="15" hidden="false" customHeight="false" outlineLevel="0" collapsed="false">
      <c r="A60" s="5" t="str">
        <f aca="false">01_Data!A60</f>
        <v>Banking &amp; Financial Services</v>
      </c>
      <c r="B60" s="5" t="str">
        <f aca="false">01_Data!C60</f>
        <v>2025-02</v>
      </c>
      <c r="C60" s="5" t="str">
        <f aca="false">01_Data!D60</f>
        <v>FY24</v>
      </c>
      <c r="D60" s="7" t="n">
        <f aca="false">01_Data!E60</f>
        <v>321363</v>
      </c>
      <c r="E60" s="7" t="n">
        <f aca="false">01_Data!F60</f>
        <v>339993</v>
      </c>
      <c r="F60" s="7" t="n">
        <f aca="false">E60-D60</f>
        <v>18630</v>
      </c>
      <c r="G60" s="8" t="n">
        <f aca="false">IFERROR(F60/D60,0)</f>
        <v>0.0579718262525555</v>
      </c>
      <c r="H60" s="7" t="n">
        <f aca="false">01_Data!G60</f>
        <v>188638</v>
      </c>
      <c r="I60" s="7" t="n">
        <f aca="false">01_Data!H60</f>
        <v>207512</v>
      </c>
      <c r="J60" s="7" t="n">
        <f aca="false">H60-I60</f>
        <v>-18874</v>
      </c>
      <c r="K60" s="8" t="n">
        <f aca="false">IFERROR(J60/H60,0)</f>
        <v>-0.1000540718201</v>
      </c>
      <c r="L60" s="7" t="n">
        <f aca="false">D60-H60</f>
        <v>132725</v>
      </c>
      <c r="M60" s="7" t="n">
        <f aca="false">E60-I60</f>
        <v>132481</v>
      </c>
      <c r="N60" s="7" t="n">
        <f aca="false">IFERROR(L60/D60,0)</f>
        <v>0.413006475543233</v>
      </c>
      <c r="O60" s="7" t="n">
        <f aca="false">IFERROR(M60/E60,0)</f>
        <v>0.389658022371049</v>
      </c>
      <c r="P60" s="7" t="n">
        <f aca="false">01_Data!I60+01_Data!K60+01_Data!M60+01_Data!O60+01_Data!Q60+01_Data!S60+01_Data!U60</f>
        <v>87646</v>
      </c>
      <c r="Q60" s="7" t="n">
        <f aca="false">01_Data!J60+01_Data!L60+01_Data!N60+01_Data!P60+01_Data!R60+01_Data!T60+01_Data!V60</f>
        <v>87266</v>
      </c>
      <c r="R60" s="7" t="n">
        <f aca="false">P60-Q60</f>
        <v>380</v>
      </c>
      <c r="S60" s="7" t="n">
        <f aca="false">L60-P60</f>
        <v>45079</v>
      </c>
      <c r="T60" s="7" t="n">
        <f aca="false">M60-Q60</f>
        <v>45215</v>
      </c>
      <c r="U60" s="7" t="n">
        <f aca="false">T60-S60</f>
        <v>136</v>
      </c>
      <c r="V60" s="8" t="n">
        <f aca="false">IFERROR(U60/S60,0)</f>
        <v>0.00301692584130083</v>
      </c>
      <c r="W60" s="5" t="str">
        <f aca="false">IF(V60&lt;-0.1,"ADVERSE &gt;10%","")</f>
        <v/>
      </c>
    </row>
    <row r="61" customFormat="false" ht="15" hidden="false" customHeight="false" outlineLevel="0" collapsed="false">
      <c r="A61" s="5" t="str">
        <f aca="false">01_Data!A61</f>
        <v>Banking &amp; Financial Services</v>
      </c>
      <c r="B61" s="5" t="str">
        <f aca="false">01_Data!C61</f>
        <v>2025-03</v>
      </c>
      <c r="C61" s="5" t="str">
        <f aca="false">01_Data!D61</f>
        <v>FY24</v>
      </c>
      <c r="D61" s="7" t="n">
        <f aca="false">01_Data!E61</f>
        <v>360449</v>
      </c>
      <c r="E61" s="7" t="n">
        <f aca="false">01_Data!F61</f>
        <v>358369</v>
      </c>
      <c r="F61" s="7" t="n">
        <f aca="false">E61-D61</f>
        <v>-2080</v>
      </c>
      <c r="G61" s="8" t="n">
        <f aca="false">IFERROR(F61/D61,0)</f>
        <v>-0.00577058058144148</v>
      </c>
      <c r="H61" s="7" t="n">
        <f aca="false">01_Data!G61</f>
        <v>201675</v>
      </c>
      <c r="I61" s="7" t="n">
        <f aca="false">01_Data!H61</f>
        <v>211166</v>
      </c>
      <c r="J61" s="7" t="n">
        <f aca="false">H61-I61</f>
        <v>-9491</v>
      </c>
      <c r="K61" s="8" t="n">
        <f aca="false">IFERROR(J61/H61,0)</f>
        <v>-0.0470608652535019</v>
      </c>
      <c r="L61" s="7" t="n">
        <f aca="false">D61-H61</f>
        <v>158774</v>
      </c>
      <c r="M61" s="7" t="n">
        <f aca="false">E61-I61</f>
        <v>147203</v>
      </c>
      <c r="N61" s="7" t="n">
        <f aca="false">IFERROR(L61/D61,0)</f>
        <v>0.440489500595091</v>
      </c>
      <c r="O61" s="7" t="n">
        <f aca="false">IFERROR(M61/E61,0)</f>
        <v>0.410758184999261</v>
      </c>
      <c r="P61" s="7" t="n">
        <f aca="false">01_Data!I61+01_Data!K61+01_Data!M61+01_Data!O61+01_Data!Q61+01_Data!S61+01_Data!U61</f>
        <v>98144</v>
      </c>
      <c r="Q61" s="7" t="n">
        <f aca="false">01_Data!J61+01_Data!L61+01_Data!N61+01_Data!P61+01_Data!R61+01_Data!T61+01_Data!V61</f>
        <v>99170</v>
      </c>
      <c r="R61" s="7" t="n">
        <f aca="false">P61-Q61</f>
        <v>-1026</v>
      </c>
      <c r="S61" s="7" t="n">
        <f aca="false">L61-P61</f>
        <v>60630</v>
      </c>
      <c r="T61" s="7" t="n">
        <f aca="false">M61-Q61</f>
        <v>48033</v>
      </c>
      <c r="U61" s="7" t="n">
        <f aca="false">T61-S61</f>
        <v>-12597</v>
      </c>
      <c r="V61" s="8" t="n">
        <f aca="false">IFERROR(U61/S61,0)</f>
        <v>-0.20776843146957</v>
      </c>
      <c r="W61" s="5" t="str">
        <f aca="false">IF(V61&lt;-0.1,"ADVERSE &gt;10%","")</f>
        <v>ADVERSE &gt;10%</v>
      </c>
    </row>
    <row r="62" customFormat="false" ht="15" hidden="false" customHeight="false" outlineLevel="0" collapsed="false">
      <c r="A62" s="5" t="str">
        <f aca="false">01_Data!A62</f>
        <v>Banking &amp; Financial Services</v>
      </c>
      <c r="B62" s="5" t="str">
        <f aca="false">01_Data!C62</f>
        <v>2025-04</v>
      </c>
      <c r="C62" s="5" t="str">
        <f aca="false">01_Data!D62</f>
        <v>FY25</v>
      </c>
      <c r="D62" s="7" t="n">
        <f aca="false">01_Data!E62</f>
        <v>327661</v>
      </c>
      <c r="E62" s="7" t="n">
        <f aca="false">01_Data!F62</f>
        <v>344395</v>
      </c>
      <c r="F62" s="7" t="n">
        <f aca="false">E62-D62</f>
        <v>16734</v>
      </c>
      <c r="G62" s="8" t="n">
        <f aca="false">IFERROR(F62/D62,0)</f>
        <v>0.0510710765089529</v>
      </c>
      <c r="H62" s="7" t="n">
        <f aca="false">01_Data!G62</f>
        <v>185327</v>
      </c>
      <c r="I62" s="7" t="n">
        <f aca="false">01_Data!H62</f>
        <v>199357</v>
      </c>
      <c r="J62" s="7" t="n">
        <f aca="false">H62-I62</f>
        <v>-14030</v>
      </c>
      <c r="K62" s="8" t="n">
        <f aca="false">IFERROR(J62/H62,0)</f>
        <v>-0.0757040258569987</v>
      </c>
      <c r="L62" s="7" t="n">
        <f aca="false">D62-H62</f>
        <v>142334</v>
      </c>
      <c r="M62" s="7" t="n">
        <f aca="false">E62-I62</f>
        <v>145038</v>
      </c>
      <c r="N62" s="7" t="n">
        <f aca="false">IFERROR(L62/D62,0)</f>
        <v>0.434394084129634</v>
      </c>
      <c r="O62" s="7" t="n">
        <f aca="false">IFERROR(M62/E62,0)</f>
        <v>0.421138518271171</v>
      </c>
      <c r="P62" s="7" t="n">
        <f aca="false">01_Data!I62+01_Data!K62+01_Data!M62+01_Data!O62+01_Data!Q62+01_Data!S62+01_Data!U62</f>
        <v>88197</v>
      </c>
      <c r="Q62" s="7" t="n">
        <f aca="false">01_Data!J62+01_Data!L62+01_Data!N62+01_Data!P62+01_Data!R62+01_Data!T62+01_Data!V62</f>
        <v>86024</v>
      </c>
      <c r="R62" s="7" t="n">
        <f aca="false">P62-Q62</f>
        <v>2173</v>
      </c>
      <c r="S62" s="7" t="n">
        <f aca="false">L62-P62</f>
        <v>54137</v>
      </c>
      <c r="T62" s="7" t="n">
        <f aca="false">M62-Q62</f>
        <v>59014</v>
      </c>
      <c r="U62" s="7" t="n">
        <f aca="false">T62-S62</f>
        <v>4877</v>
      </c>
      <c r="V62" s="8" t="n">
        <f aca="false">IFERROR(U62/S62,0)</f>
        <v>0.0900862626299943</v>
      </c>
      <c r="W62" s="5" t="str">
        <f aca="false">IF(V62&lt;-0.1,"ADVERSE &gt;10%","")</f>
        <v/>
      </c>
    </row>
    <row r="63" customFormat="false" ht="15" hidden="false" customHeight="false" outlineLevel="0" collapsed="false">
      <c r="A63" s="5" t="str">
        <f aca="false">01_Data!A63</f>
        <v>Banking &amp; Financial Services</v>
      </c>
      <c r="B63" s="5" t="str">
        <f aca="false">01_Data!C63</f>
        <v>2025-05</v>
      </c>
      <c r="C63" s="5" t="str">
        <f aca="false">01_Data!D63</f>
        <v>FY25</v>
      </c>
      <c r="D63" s="7" t="n">
        <f aca="false">01_Data!E63</f>
        <v>351083</v>
      </c>
      <c r="E63" s="7" t="n">
        <f aca="false">01_Data!F63</f>
        <v>344253</v>
      </c>
      <c r="F63" s="7" t="n">
        <f aca="false">E63-D63</f>
        <v>-6830</v>
      </c>
      <c r="G63" s="8" t="n">
        <f aca="false">IFERROR(F63/D63,0)</f>
        <v>-0.0194540892039774</v>
      </c>
      <c r="H63" s="7" t="n">
        <f aca="false">01_Data!G63</f>
        <v>205390</v>
      </c>
      <c r="I63" s="7" t="n">
        <f aca="false">01_Data!H63</f>
        <v>209451</v>
      </c>
      <c r="J63" s="7" t="n">
        <f aca="false">H63-I63</f>
        <v>-4061</v>
      </c>
      <c r="K63" s="8" t="n">
        <f aca="false">IFERROR(J63/H63,0)</f>
        <v>-0.0197721408052972</v>
      </c>
      <c r="L63" s="7" t="n">
        <f aca="false">D63-H63</f>
        <v>145693</v>
      </c>
      <c r="M63" s="7" t="n">
        <f aca="false">E63-I63</f>
        <v>134802</v>
      </c>
      <c r="N63" s="7" t="n">
        <f aca="false">IFERROR(L63/D63,0)</f>
        <v>0.414981642517581</v>
      </c>
      <c r="O63" s="7" t="n">
        <f aca="false">IFERROR(M63/E63,0)</f>
        <v>0.391578286899461</v>
      </c>
      <c r="P63" s="7" t="n">
        <f aca="false">01_Data!I63+01_Data!K63+01_Data!M63+01_Data!O63+01_Data!Q63+01_Data!S63+01_Data!U63</f>
        <v>96219</v>
      </c>
      <c r="Q63" s="7" t="n">
        <f aca="false">01_Data!J63+01_Data!L63+01_Data!N63+01_Data!P63+01_Data!R63+01_Data!T63+01_Data!V63</f>
        <v>100435</v>
      </c>
      <c r="R63" s="7" t="n">
        <f aca="false">P63-Q63</f>
        <v>-4216</v>
      </c>
      <c r="S63" s="7" t="n">
        <f aca="false">L63-P63</f>
        <v>49474</v>
      </c>
      <c r="T63" s="7" t="n">
        <f aca="false">M63-Q63</f>
        <v>34367</v>
      </c>
      <c r="U63" s="7" t="n">
        <f aca="false">T63-S63</f>
        <v>-15107</v>
      </c>
      <c r="V63" s="8" t="n">
        <f aca="false">IFERROR(U63/S63,0)</f>
        <v>-0.305352306261875</v>
      </c>
      <c r="W63" s="5" t="str">
        <f aca="false">IF(V63&lt;-0.1,"ADVERSE &gt;10%","")</f>
        <v>ADVERSE &gt;10%</v>
      </c>
    </row>
    <row r="64" customFormat="false" ht="15" hidden="false" customHeight="false" outlineLevel="0" collapsed="false">
      <c r="A64" s="5" t="str">
        <f aca="false">01_Data!A64</f>
        <v>Banking &amp; Financial Services</v>
      </c>
      <c r="B64" s="5" t="str">
        <f aca="false">01_Data!C64</f>
        <v>2025-06</v>
      </c>
      <c r="C64" s="5" t="str">
        <f aca="false">01_Data!D64</f>
        <v>FY25</v>
      </c>
      <c r="D64" s="7" t="n">
        <f aca="false">01_Data!E64</f>
        <v>370899</v>
      </c>
      <c r="E64" s="7" t="n">
        <f aca="false">01_Data!F64</f>
        <v>350916</v>
      </c>
      <c r="F64" s="7" t="n">
        <f aca="false">E64-D64</f>
        <v>-19983</v>
      </c>
      <c r="G64" s="8" t="n">
        <f aca="false">IFERROR(F64/D64,0)</f>
        <v>-0.0538772010709115</v>
      </c>
      <c r="H64" s="7" t="n">
        <f aca="false">01_Data!G64</f>
        <v>218499</v>
      </c>
      <c r="I64" s="7" t="n">
        <f aca="false">01_Data!H64</f>
        <v>210474</v>
      </c>
      <c r="J64" s="7" t="n">
        <f aca="false">H64-I64</f>
        <v>8025</v>
      </c>
      <c r="K64" s="8" t="n">
        <f aca="false">IFERROR(J64/H64,0)</f>
        <v>0.0367278568780635</v>
      </c>
      <c r="L64" s="7" t="n">
        <f aca="false">D64-H64</f>
        <v>152400</v>
      </c>
      <c r="M64" s="7" t="n">
        <f aca="false">E64-I64</f>
        <v>140442</v>
      </c>
      <c r="N64" s="7" t="n">
        <f aca="false">IFERROR(L64/D64,0)</f>
        <v>0.410893531662258</v>
      </c>
      <c r="O64" s="7" t="n">
        <f aca="false">IFERROR(M64/E64,0)</f>
        <v>0.400215436172759</v>
      </c>
      <c r="P64" s="7" t="n">
        <f aca="false">01_Data!I64+01_Data!K64+01_Data!M64+01_Data!O64+01_Data!Q64+01_Data!S64+01_Data!U64</f>
        <v>103132</v>
      </c>
      <c r="Q64" s="7" t="n">
        <f aca="false">01_Data!J64+01_Data!L64+01_Data!N64+01_Data!P64+01_Data!R64+01_Data!T64+01_Data!V64</f>
        <v>102267</v>
      </c>
      <c r="R64" s="7" t="n">
        <f aca="false">P64-Q64</f>
        <v>865</v>
      </c>
      <c r="S64" s="7" t="n">
        <f aca="false">L64-P64</f>
        <v>49268</v>
      </c>
      <c r="T64" s="7" t="n">
        <f aca="false">M64-Q64</f>
        <v>38175</v>
      </c>
      <c r="U64" s="7" t="n">
        <f aca="false">T64-S64</f>
        <v>-11093</v>
      </c>
      <c r="V64" s="8" t="n">
        <f aca="false">IFERROR(U64/S64,0)</f>
        <v>-0.225156288057157</v>
      </c>
      <c r="W64" s="5" t="str">
        <f aca="false">IF(V64&lt;-0.1,"ADVERSE &gt;10%","")</f>
        <v>ADVERSE &gt;10%</v>
      </c>
    </row>
    <row r="65" customFormat="false" ht="15" hidden="false" customHeight="false" outlineLevel="0" collapsed="false">
      <c r="A65" s="5" t="str">
        <f aca="false">01_Data!A65</f>
        <v>Banking &amp; Financial Services</v>
      </c>
      <c r="B65" s="5" t="str">
        <f aca="false">01_Data!C65</f>
        <v>2025-07</v>
      </c>
      <c r="C65" s="5" t="str">
        <f aca="false">01_Data!D65</f>
        <v>FY25</v>
      </c>
      <c r="D65" s="7" t="n">
        <f aca="false">01_Data!E65</f>
        <v>334739</v>
      </c>
      <c r="E65" s="7" t="n">
        <f aca="false">01_Data!F65</f>
        <v>354717</v>
      </c>
      <c r="F65" s="7" t="n">
        <f aca="false">E65-D65</f>
        <v>19978</v>
      </c>
      <c r="G65" s="8" t="n">
        <f aca="false">IFERROR(F65/D65,0)</f>
        <v>0.0596823196580022</v>
      </c>
      <c r="H65" s="7" t="n">
        <f aca="false">01_Data!G65</f>
        <v>195744</v>
      </c>
      <c r="I65" s="7" t="n">
        <f aca="false">01_Data!H65</f>
        <v>204148</v>
      </c>
      <c r="J65" s="7" t="n">
        <f aca="false">H65-I65</f>
        <v>-8404</v>
      </c>
      <c r="K65" s="8" t="n">
        <f aca="false">IFERROR(J65/H65,0)</f>
        <v>-0.0429336275952264</v>
      </c>
      <c r="L65" s="7" t="n">
        <f aca="false">D65-H65</f>
        <v>138995</v>
      </c>
      <c r="M65" s="7" t="n">
        <f aca="false">E65-I65</f>
        <v>150569</v>
      </c>
      <c r="N65" s="7" t="n">
        <f aca="false">IFERROR(L65/D65,0)</f>
        <v>0.415233958397438</v>
      </c>
      <c r="O65" s="7" t="n">
        <f aca="false">IFERROR(M65/E65,0)</f>
        <v>0.42447641359168</v>
      </c>
      <c r="P65" s="7" t="n">
        <f aca="false">01_Data!I65+01_Data!K65+01_Data!M65+01_Data!O65+01_Data!Q65+01_Data!S65+01_Data!U65</f>
        <v>87151</v>
      </c>
      <c r="Q65" s="7" t="n">
        <f aca="false">01_Data!J65+01_Data!L65+01_Data!N65+01_Data!P65+01_Data!R65+01_Data!T65+01_Data!V65</f>
        <v>87955</v>
      </c>
      <c r="R65" s="7" t="n">
        <f aca="false">P65-Q65</f>
        <v>-804</v>
      </c>
      <c r="S65" s="7" t="n">
        <f aca="false">L65-P65</f>
        <v>51844</v>
      </c>
      <c r="T65" s="7" t="n">
        <f aca="false">M65-Q65</f>
        <v>62614</v>
      </c>
      <c r="U65" s="7" t="n">
        <f aca="false">T65-S65</f>
        <v>10770</v>
      </c>
      <c r="V65" s="8" t="n">
        <f aca="false">IFERROR(U65/S65,0)</f>
        <v>0.207738600416635</v>
      </c>
      <c r="W65" s="5" t="str">
        <f aca="false">IF(V65&lt;-0.1,"ADVERSE &gt;10%","")</f>
        <v/>
      </c>
    </row>
    <row r="66" customFormat="false" ht="15" hidden="false" customHeight="false" outlineLevel="0" collapsed="false">
      <c r="A66" s="5" t="str">
        <f aca="false">01_Data!A66</f>
        <v>Banking &amp; Financial Services</v>
      </c>
      <c r="B66" s="5" t="str">
        <f aca="false">01_Data!C66</f>
        <v>2025-08</v>
      </c>
      <c r="C66" s="5" t="str">
        <f aca="false">01_Data!D66</f>
        <v>FY25</v>
      </c>
      <c r="D66" s="7" t="n">
        <f aca="false">01_Data!E66</f>
        <v>346146</v>
      </c>
      <c r="E66" s="7" t="n">
        <f aca="false">01_Data!F66</f>
        <v>355832</v>
      </c>
      <c r="F66" s="7" t="n">
        <f aca="false">E66-D66</f>
        <v>9686</v>
      </c>
      <c r="G66" s="8" t="n">
        <f aca="false">IFERROR(F66/D66,0)</f>
        <v>0.0279824120457842</v>
      </c>
      <c r="H66" s="7" t="n">
        <f aca="false">01_Data!G66</f>
        <v>202598</v>
      </c>
      <c r="I66" s="7" t="n">
        <f aca="false">01_Data!H66</f>
        <v>203176</v>
      </c>
      <c r="J66" s="7" t="n">
        <f aca="false">H66-I66</f>
        <v>-578</v>
      </c>
      <c r="K66" s="8" t="n">
        <f aca="false">IFERROR(J66/H66,0)</f>
        <v>-0.00285294030543243</v>
      </c>
      <c r="L66" s="7" t="n">
        <f aca="false">D66-H66</f>
        <v>143548</v>
      </c>
      <c r="M66" s="7" t="n">
        <f aca="false">E66-I66</f>
        <v>152656</v>
      </c>
      <c r="N66" s="7" t="n">
        <f aca="false">IFERROR(L66/D66,0)</f>
        <v>0.414703622170991</v>
      </c>
      <c r="O66" s="7" t="n">
        <f aca="false">IFERROR(M66/E66,0)</f>
        <v>0.429011443602599</v>
      </c>
      <c r="P66" s="7" t="n">
        <f aca="false">01_Data!I66+01_Data!K66+01_Data!M66+01_Data!O66+01_Data!Q66+01_Data!S66+01_Data!U66</f>
        <v>89854</v>
      </c>
      <c r="Q66" s="7" t="n">
        <f aca="false">01_Data!J66+01_Data!L66+01_Data!N66+01_Data!P66+01_Data!R66+01_Data!T66+01_Data!V66</f>
        <v>88847</v>
      </c>
      <c r="R66" s="7" t="n">
        <f aca="false">P66-Q66</f>
        <v>1007</v>
      </c>
      <c r="S66" s="7" t="n">
        <f aca="false">L66-P66</f>
        <v>53694</v>
      </c>
      <c r="T66" s="7" t="n">
        <f aca="false">M66-Q66</f>
        <v>63809</v>
      </c>
      <c r="U66" s="7" t="n">
        <f aca="false">T66-S66</f>
        <v>10115</v>
      </c>
      <c r="V66" s="8" t="n">
        <f aca="false">IFERROR(U66/S66,0)</f>
        <v>0.188382314597534</v>
      </c>
      <c r="W66" s="5" t="str">
        <f aca="false">IF(V66&lt;-0.1,"ADVERSE &gt;10%","")</f>
        <v/>
      </c>
    </row>
    <row r="67" customFormat="false" ht="15" hidden="false" customHeight="false" outlineLevel="0" collapsed="false">
      <c r="A67" s="5" t="str">
        <f aca="false">01_Data!A67</f>
        <v>Banking &amp; Financial Services</v>
      </c>
      <c r="B67" s="5" t="str">
        <f aca="false">01_Data!C67</f>
        <v>2025-09</v>
      </c>
      <c r="C67" s="5" t="str">
        <f aca="false">01_Data!D67</f>
        <v>FY25</v>
      </c>
      <c r="D67" s="7" t="n">
        <f aca="false">01_Data!E67</f>
        <v>376573</v>
      </c>
      <c r="E67" s="7" t="n">
        <f aca="false">01_Data!F67</f>
        <v>365732</v>
      </c>
      <c r="F67" s="7" t="n">
        <f aca="false">E67-D67</f>
        <v>-10841</v>
      </c>
      <c r="G67" s="8" t="n">
        <f aca="false">IFERROR(F67/D67,0)</f>
        <v>-0.0287885748579957</v>
      </c>
      <c r="H67" s="7" t="n">
        <f aca="false">01_Data!G67</f>
        <v>207319</v>
      </c>
      <c r="I67" s="7" t="n">
        <f aca="false">01_Data!H67</f>
        <v>200989</v>
      </c>
      <c r="J67" s="7" t="n">
        <f aca="false">H67-I67</f>
        <v>6330</v>
      </c>
      <c r="K67" s="8" t="n">
        <f aca="false">IFERROR(J67/H67,0)</f>
        <v>0.0305326574023606</v>
      </c>
      <c r="L67" s="7" t="n">
        <f aca="false">D67-H67</f>
        <v>169254</v>
      </c>
      <c r="M67" s="7" t="n">
        <f aca="false">E67-I67</f>
        <v>164743</v>
      </c>
      <c r="N67" s="7" t="n">
        <f aca="false">IFERROR(L67/D67,0)</f>
        <v>0.449458670695987</v>
      </c>
      <c r="O67" s="7" t="n">
        <f aca="false">IFERROR(M67/E67,0)</f>
        <v>0.450447322082837</v>
      </c>
      <c r="P67" s="7" t="n">
        <f aca="false">01_Data!I67+01_Data!K67+01_Data!M67+01_Data!O67+01_Data!Q67+01_Data!S67+01_Data!U67</f>
        <v>104107</v>
      </c>
      <c r="Q67" s="7" t="n">
        <f aca="false">01_Data!J67+01_Data!L67+01_Data!N67+01_Data!P67+01_Data!R67+01_Data!T67+01_Data!V67</f>
        <v>107685</v>
      </c>
      <c r="R67" s="7" t="n">
        <f aca="false">P67-Q67</f>
        <v>-3578</v>
      </c>
      <c r="S67" s="7" t="n">
        <f aca="false">L67-P67</f>
        <v>65147</v>
      </c>
      <c r="T67" s="7" t="n">
        <f aca="false">M67-Q67</f>
        <v>57058</v>
      </c>
      <c r="U67" s="7" t="n">
        <f aca="false">T67-S67</f>
        <v>-8089</v>
      </c>
      <c r="V67" s="8" t="n">
        <f aca="false">IFERROR(U67/S67,0)</f>
        <v>-0.124165349133498</v>
      </c>
      <c r="W67" s="5" t="str">
        <f aca="false">IF(V67&lt;-0.1,"ADVERSE &gt;10%","")</f>
        <v>ADVERSE &gt;10%</v>
      </c>
    </row>
    <row r="68" customFormat="false" ht="15" hidden="false" customHeight="false" outlineLevel="0" collapsed="false">
      <c r="A68" s="5" t="str">
        <f aca="false">01_Data!A68</f>
        <v>Banking &amp; Financial Services</v>
      </c>
      <c r="B68" s="5" t="str">
        <f aca="false">01_Data!C68</f>
        <v>2025-10</v>
      </c>
      <c r="C68" s="5" t="str">
        <f aca="false">01_Data!D68</f>
        <v>FY25</v>
      </c>
      <c r="D68" s="7" t="n">
        <f aca="false">01_Data!E68</f>
        <v>327262</v>
      </c>
      <c r="E68" s="7" t="n">
        <f aca="false">01_Data!F68</f>
        <v>347227</v>
      </c>
      <c r="F68" s="7" t="n">
        <f aca="false">E68-D68</f>
        <v>19965</v>
      </c>
      <c r="G68" s="8" t="n">
        <f aca="false">IFERROR(F68/D68,0)</f>
        <v>0.0610061663132292</v>
      </c>
      <c r="H68" s="7" t="n">
        <f aca="false">01_Data!G68</f>
        <v>183099</v>
      </c>
      <c r="I68" s="7" t="n">
        <f aca="false">01_Data!H68</f>
        <v>201236</v>
      </c>
      <c r="J68" s="7" t="n">
        <f aca="false">H68-I68</f>
        <v>-18137</v>
      </c>
      <c r="K68" s="8" t="n">
        <f aca="false">IFERROR(J68/H68,0)</f>
        <v>-0.0990557021065107</v>
      </c>
      <c r="L68" s="7" t="n">
        <f aca="false">D68-H68</f>
        <v>144163</v>
      </c>
      <c r="M68" s="7" t="n">
        <f aca="false">E68-I68</f>
        <v>145991</v>
      </c>
      <c r="N68" s="7" t="n">
        <f aca="false">IFERROR(L68/D68,0)</f>
        <v>0.440512494576211</v>
      </c>
      <c r="O68" s="7" t="n">
        <f aca="false">IFERROR(M68/E68,0)</f>
        <v>0.420448294631466</v>
      </c>
      <c r="P68" s="7" t="n">
        <f aca="false">01_Data!I68+01_Data!K68+01_Data!M68+01_Data!O68+01_Data!Q68+01_Data!S68+01_Data!U68</f>
        <v>90004</v>
      </c>
      <c r="Q68" s="7" t="n">
        <f aca="false">01_Data!J68+01_Data!L68+01_Data!N68+01_Data!P68+01_Data!R68+01_Data!T68+01_Data!V68</f>
        <v>91494</v>
      </c>
      <c r="R68" s="7" t="n">
        <f aca="false">P68-Q68</f>
        <v>-1490</v>
      </c>
      <c r="S68" s="7" t="n">
        <f aca="false">L68-P68</f>
        <v>54159</v>
      </c>
      <c r="T68" s="7" t="n">
        <f aca="false">M68-Q68</f>
        <v>54497</v>
      </c>
      <c r="U68" s="7" t="n">
        <f aca="false">T68-S68</f>
        <v>338</v>
      </c>
      <c r="V68" s="8" t="n">
        <f aca="false">IFERROR(U68/S68,0)</f>
        <v>0.00624088332502447</v>
      </c>
      <c r="W68" s="5" t="str">
        <f aca="false">IF(V68&lt;-0.1,"ADVERSE &gt;10%","")</f>
        <v/>
      </c>
    </row>
    <row r="69" customFormat="false" ht="15" hidden="false" customHeight="false" outlineLevel="0" collapsed="false">
      <c r="A69" s="5" t="str">
        <f aca="false">01_Data!A69</f>
        <v>Banking &amp; Financial Services</v>
      </c>
      <c r="B69" s="5" t="str">
        <f aca="false">01_Data!C69</f>
        <v>2025-11</v>
      </c>
      <c r="C69" s="5" t="str">
        <f aca="false">01_Data!D69</f>
        <v>FY25</v>
      </c>
      <c r="D69" s="7" t="n">
        <f aca="false">01_Data!E69</f>
        <v>344149</v>
      </c>
      <c r="E69" s="7" t="n">
        <f aca="false">01_Data!F69</f>
        <v>343738</v>
      </c>
      <c r="F69" s="7" t="n">
        <f aca="false">E69-D69</f>
        <v>-411</v>
      </c>
      <c r="G69" s="8" t="n">
        <f aca="false">IFERROR(F69/D69,0)</f>
        <v>-0.00119425016489951</v>
      </c>
      <c r="H69" s="7" t="n">
        <f aca="false">01_Data!G69</f>
        <v>204547</v>
      </c>
      <c r="I69" s="7" t="n">
        <f aca="false">01_Data!H69</f>
        <v>203432</v>
      </c>
      <c r="J69" s="7" t="n">
        <f aca="false">H69-I69</f>
        <v>1115</v>
      </c>
      <c r="K69" s="8" t="n">
        <f aca="false">IFERROR(J69/H69,0)</f>
        <v>0.00545106992524945</v>
      </c>
      <c r="L69" s="7" t="n">
        <f aca="false">D69-H69</f>
        <v>139602</v>
      </c>
      <c r="M69" s="7" t="n">
        <f aca="false">E69-I69</f>
        <v>140306</v>
      </c>
      <c r="N69" s="7" t="n">
        <f aca="false">IFERROR(L69/D69,0)</f>
        <v>0.405644066959369</v>
      </c>
      <c r="O69" s="7" t="n">
        <f aca="false">IFERROR(M69/E69,0)</f>
        <v>0.408177158184431</v>
      </c>
      <c r="P69" s="7" t="n">
        <f aca="false">01_Data!I69+01_Data!K69+01_Data!M69+01_Data!O69+01_Data!Q69+01_Data!S69+01_Data!U69</f>
        <v>97230</v>
      </c>
      <c r="Q69" s="7" t="n">
        <f aca="false">01_Data!J69+01_Data!L69+01_Data!N69+01_Data!P69+01_Data!R69+01_Data!T69+01_Data!V69</f>
        <v>100163</v>
      </c>
      <c r="R69" s="7" t="n">
        <f aca="false">P69-Q69</f>
        <v>-2933</v>
      </c>
      <c r="S69" s="7" t="n">
        <f aca="false">L69-P69</f>
        <v>42372</v>
      </c>
      <c r="T69" s="7" t="n">
        <f aca="false">M69-Q69</f>
        <v>40143</v>
      </c>
      <c r="U69" s="7" t="n">
        <f aca="false">T69-S69</f>
        <v>-2229</v>
      </c>
      <c r="V69" s="8" t="n">
        <f aca="false">IFERROR(U69/S69,0)</f>
        <v>-0.0526054941942792</v>
      </c>
      <c r="W69" s="5" t="str">
        <f aca="false">IF(V69&lt;-0.1,"ADVERSE &gt;10%","")</f>
        <v/>
      </c>
    </row>
    <row r="70" customFormat="false" ht="15" hidden="false" customHeight="false" outlineLevel="0" collapsed="false">
      <c r="A70" s="5" t="str">
        <f aca="false">01_Data!A70</f>
        <v>Banking &amp; Financial Services</v>
      </c>
      <c r="B70" s="5" t="str">
        <f aca="false">01_Data!C70</f>
        <v>2025-12</v>
      </c>
      <c r="C70" s="5" t="str">
        <f aca="false">01_Data!D70</f>
        <v>FY25</v>
      </c>
      <c r="D70" s="7" t="n">
        <f aca="false">01_Data!E70</f>
        <v>377967</v>
      </c>
      <c r="E70" s="7" t="n">
        <f aca="false">01_Data!F70</f>
        <v>359661</v>
      </c>
      <c r="F70" s="7" t="n">
        <f aca="false">E70-D70</f>
        <v>-18306</v>
      </c>
      <c r="G70" s="8" t="n">
        <f aca="false">IFERROR(F70/D70,0)</f>
        <v>-0.0484327996888617</v>
      </c>
      <c r="H70" s="7" t="n">
        <f aca="false">01_Data!G70</f>
        <v>216904</v>
      </c>
      <c r="I70" s="7" t="n">
        <f aca="false">01_Data!H70</f>
        <v>210630</v>
      </c>
      <c r="J70" s="7" t="n">
        <f aca="false">H70-I70</f>
        <v>6274</v>
      </c>
      <c r="K70" s="8" t="n">
        <f aca="false">IFERROR(J70/H70,0)</f>
        <v>0.0289252388153284</v>
      </c>
      <c r="L70" s="7" t="n">
        <f aca="false">D70-H70</f>
        <v>161063</v>
      </c>
      <c r="M70" s="7" t="n">
        <f aca="false">E70-I70</f>
        <v>149031</v>
      </c>
      <c r="N70" s="7" t="n">
        <f aca="false">IFERROR(L70/D70,0)</f>
        <v>0.42612979440004</v>
      </c>
      <c r="O70" s="7" t="n">
        <f aca="false">IFERROR(M70/E70,0)</f>
        <v>0.414365193890914</v>
      </c>
      <c r="P70" s="7" t="n">
        <f aca="false">01_Data!I70+01_Data!K70+01_Data!M70+01_Data!O70+01_Data!Q70+01_Data!S70+01_Data!U70</f>
        <v>97715</v>
      </c>
      <c r="Q70" s="7" t="n">
        <f aca="false">01_Data!J70+01_Data!L70+01_Data!N70+01_Data!P70+01_Data!R70+01_Data!T70+01_Data!V70</f>
        <v>100649</v>
      </c>
      <c r="R70" s="7" t="n">
        <f aca="false">P70-Q70</f>
        <v>-2934</v>
      </c>
      <c r="S70" s="7" t="n">
        <f aca="false">L70-P70</f>
        <v>63348</v>
      </c>
      <c r="T70" s="7" t="n">
        <f aca="false">M70-Q70</f>
        <v>48382</v>
      </c>
      <c r="U70" s="7" t="n">
        <f aca="false">T70-S70</f>
        <v>-14966</v>
      </c>
      <c r="V70" s="8" t="n">
        <f aca="false">IFERROR(U70/S70,0)</f>
        <v>-0.236250552503631</v>
      </c>
      <c r="W70" s="5" t="str">
        <f aca="false">IF(V70&lt;-0.1,"ADVERSE &gt;10%","")</f>
        <v>ADVERSE &gt;10%</v>
      </c>
    </row>
    <row r="71" customFormat="false" ht="15" hidden="false" customHeight="false" outlineLevel="0" collapsed="false">
      <c r="A71" s="5" t="str">
        <f aca="false">01_Data!A71</f>
        <v>Banking &amp; Financial Services</v>
      </c>
      <c r="B71" s="5" t="str">
        <f aca="false">01_Data!C71</f>
        <v>2026-01</v>
      </c>
      <c r="C71" s="5" t="str">
        <f aca="false">01_Data!D71</f>
        <v>FY25</v>
      </c>
      <c r="D71" s="7" t="n">
        <f aca="false">01_Data!E71</f>
        <v>355832</v>
      </c>
      <c r="E71" s="7" t="n">
        <f aca="false">01_Data!F71</f>
        <v>340930</v>
      </c>
      <c r="F71" s="7" t="n">
        <f aca="false">E71-D71</f>
        <v>-14902</v>
      </c>
      <c r="G71" s="8" t="n">
        <f aca="false">IFERROR(F71/D71,0)</f>
        <v>-0.0418793138334945</v>
      </c>
      <c r="H71" s="7" t="n">
        <f aca="false">01_Data!G71</f>
        <v>210410</v>
      </c>
      <c r="I71" s="7" t="n">
        <f aca="false">01_Data!H71</f>
        <v>205263</v>
      </c>
      <c r="J71" s="7" t="n">
        <f aca="false">H71-I71</f>
        <v>5147</v>
      </c>
      <c r="K71" s="8" t="n">
        <f aca="false">IFERROR(J71/H71,0)</f>
        <v>0.0244617651252317</v>
      </c>
      <c r="L71" s="7" t="n">
        <f aca="false">D71-H71</f>
        <v>145422</v>
      </c>
      <c r="M71" s="7" t="n">
        <f aca="false">E71-I71</f>
        <v>135667</v>
      </c>
      <c r="N71" s="7" t="n">
        <f aca="false">IFERROR(L71/D71,0)</f>
        <v>0.408681625036534</v>
      </c>
      <c r="O71" s="7" t="n">
        <f aca="false">IFERROR(M71/E71,0)</f>
        <v>0.397932126829555</v>
      </c>
      <c r="P71" s="7" t="n">
        <f aca="false">01_Data!I71+01_Data!K71+01_Data!M71+01_Data!O71+01_Data!Q71+01_Data!S71+01_Data!U71</f>
        <v>94796</v>
      </c>
      <c r="Q71" s="7" t="n">
        <f aca="false">01_Data!J71+01_Data!L71+01_Data!N71+01_Data!P71+01_Data!R71+01_Data!T71+01_Data!V71</f>
        <v>97071</v>
      </c>
      <c r="R71" s="7" t="n">
        <f aca="false">P71-Q71</f>
        <v>-2275</v>
      </c>
      <c r="S71" s="7" t="n">
        <f aca="false">L71-P71</f>
        <v>50626</v>
      </c>
      <c r="T71" s="7" t="n">
        <f aca="false">M71-Q71</f>
        <v>38596</v>
      </c>
      <c r="U71" s="7" t="n">
        <f aca="false">T71-S71</f>
        <v>-12030</v>
      </c>
      <c r="V71" s="8" t="n">
        <f aca="false">IFERROR(U71/S71,0)</f>
        <v>-0.237624935803737</v>
      </c>
      <c r="W71" s="5" t="str">
        <f aca="false">IF(V71&lt;-0.1,"ADVERSE &gt;10%","")</f>
        <v>ADVERSE &gt;10%</v>
      </c>
    </row>
    <row r="72" customFormat="false" ht="15" hidden="false" customHeight="false" outlineLevel="0" collapsed="false">
      <c r="A72" s="5" t="str">
        <f aca="false">01_Data!A72</f>
        <v>Banking &amp; Financial Services</v>
      </c>
      <c r="B72" s="5" t="str">
        <f aca="false">01_Data!C72</f>
        <v>2026-02</v>
      </c>
      <c r="C72" s="5" t="str">
        <f aca="false">01_Data!D72</f>
        <v>FY25</v>
      </c>
      <c r="D72" s="7" t="n">
        <f aca="false">01_Data!E72</f>
        <v>349411</v>
      </c>
      <c r="E72" s="7" t="n">
        <f aca="false">01_Data!F72</f>
        <v>340650</v>
      </c>
      <c r="F72" s="7" t="n">
        <f aca="false">E72-D72</f>
        <v>-8761</v>
      </c>
      <c r="G72" s="8" t="n">
        <f aca="false">IFERROR(F72/D72,0)</f>
        <v>-0.0250736238985035</v>
      </c>
      <c r="H72" s="7" t="n">
        <f aca="false">01_Data!G72</f>
        <v>199260</v>
      </c>
      <c r="I72" s="7" t="n">
        <f aca="false">01_Data!H72</f>
        <v>190390</v>
      </c>
      <c r="J72" s="7" t="n">
        <f aca="false">H72-I72</f>
        <v>8870</v>
      </c>
      <c r="K72" s="8" t="n">
        <f aca="false">IFERROR(J72/H72,0)</f>
        <v>0.0445147044063033</v>
      </c>
      <c r="L72" s="7" t="n">
        <f aca="false">D72-H72</f>
        <v>150151</v>
      </c>
      <c r="M72" s="7" t="n">
        <f aca="false">E72-I72</f>
        <v>150260</v>
      </c>
      <c r="N72" s="7" t="n">
        <f aca="false">IFERROR(L72/D72,0)</f>
        <v>0.429726024652916</v>
      </c>
      <c r="O72" s="7" t="n">
        <f aca="false">IFERROR(M72/E72,0)</f>
        <v>0.441097901071481</v>
      </c>
      <c r="P72" s="7" t="n">
        <f aca="false">01_Data!I72+01_Data!K72+01_Data!M72+01_Data!O72+01_Data!Q72+01_Data!S72+01_Data!U72</f>
        <v>87376</v>
      </c>
      <c r="Q72" s="7" t="n">
        <f aca="false">01_Data!J72+01_Data!L72+01_Data!N72+01_Data!P72+01_Data!R72+01_Data!T72+01_Data!V72</f>
        <v>88865</v>
      </c>
      <c r="R72" s="7" t="n">
        <f aca="false">P72-Q72</f>
        <v>-1489</v>
      </c>
      <c r="S72" s="7" t="n">
        <f aca="false">L72-P72</f>
        <v>62775</v>
      </c>
      <c r="T72" s="7" t="n">
        <f aca="false">M72-Q72</f>
        <v>61395</v>
      </c>
      <c r="U72" s="7" t="n">
        <f aca="false">T72-S72</f>
        <v>-1380</v>
      </c>
      <c r="V72" s="8" t="n">
        <f aca="false">IFERROR(U72/S72,0)</f>
        <v>-0.0219832735961768</v>
      </c>
      <c r="W72" s="5" t="str">
        <f aca="false">IF(V72&lt;-0.1,"ADVERSE &gt;10%","")</f>
        <v/>
      </c>
    </row>
    <row r="73" customFormat="false" ht="15" hidden="false" customHeight="false" outlineLevel="0" collapsed="false">
      <c r="A73" s="5" t="str">
        <f aca="false">01_Data!A73</f>
        <v>Banking &amp; Financial Services</v>
      </c>
      <c r="B73" s="5" t="str">
        <f aca="false">01_Data!C73</f>
        <v>2026-03</v>
      </c>
      <c r="C73" s="5" t="str">
        <f aca="false">01_Data!D73</f>
        <v>FY25</v>
      </c>
      <c r="D73" s="7" t="n">
        <f aca="false">01_Data!E73</f>
        <v>350392</v>
      </c>
      <c r="E73" s="7" t="n">
        <f aca="false">01_Data!F73</f>
        <v>359709</v>
      </c>
      <c r="F73" s="7" t="n">
        <f aca="false">E73-D73</f>
        <v>9317</v>
      </c>
      <c r="G73" s="8" t="n">
        <f aca="false">IFERROR(F73/D73,0)</f>
        <v>0.0265902189547707</v>
      </c>
      <c r="H73" s="7" t="n">
        <f aca="false">01_Data!G73</f>
        <v>204427</v>
      </c>
      <c r="I73" s="7" t="n">
        <f aca="false">01_Data!H73</f>
        <v>214477</v>
      </c>
      <c r="J73" s="7" t="n">
        <f aca="false">H73-I73</f>
        <v>-10050</v>
      </c>
      <c r="K73" s="8" t="n">
        <f aca="false">IFERROR(J73/H73,0)</f>
        <v>-0.0491618034799708</v>
      </c>
      <c r="L73" s="7" t="n">
        <f aca="false">D73-H73</f>
        <v>145965</v>
      </c>
      <c r="M73" s="7" t="n">
        <f aca="false">E73-I73</f>
        <v>145232</v>
      </c>
      <c r="N73" s="7" t="n">
        <f aca="false">IFERROR(L73/D73,0)</f>
        <v>0.416576291696157</v>
      </c>
      <c r="O73" s="7" t="n">
        <f aca="false">IFERROR(M73/E73,0)</f>
        <v>0.403748585662299</v>
      </c>
      <c r="P73" s="7" t="n">
        <f aca="false">01_Data!I73+01_Data!K73+01_Data!M73+01_Data!O73+01_Data!Q73+01_Data!S73+01_Data!U73</f>
        <v>97895</v>
      </c>
      <c r="Q73" s="7" t="n">
        <f aca="false">01_Data!J73+01_Data!L73+01_Data!N73+01_Data!P73+01_Data!R73+01_Data!T73+01_Data!V73</f>
        <v>102484</v>
      </c>
      <c r="R73" s="7" t="n">
        <f aca="false">P73-Q73</f>
        <v>-4589</v>
      </c>
      <c r="S73" s="7" t="n">
        <f aca="false">L73-P73</f>
        <v>48070</v>
      </c>
      <c r="T73" s="7" t="n">
        <f aca="false">M73-Q73</f>
        <v>42748</v>
      </c>
      <c r="U73" s="7" t="n">
        <f aca="false">T73-S73</f>
        <v>-5322</v>
      </c>
      <c r="V73" s="8" t="n">
        <f aca="false">IFERROR(U73/S73,0)</f>
        <v>-0.110713542750156</v>
      </c>
      <c r="W73" s="5" t="str">
        <f aca="false">IF(V73&lt;-0.1,"ADVERSE &gt;10%","")</f>
        <v>ADVERSE &gt;10%</v>
      </c>
    </row>
    <row r="74" customFormat="false" ht="15" hidden="false" customHeight="false" outlineLevel="0" collapsed="false">
      <c r="A74" s="5" t="str">
        <f aca="false">01_Data!A74</f>
        <v>Banking &amp; Financial Services</v>
      </c>
      <c r="B74" s="5" t="str">
        <f aca="false">01_Data!C74</f>
        <v>2023-04</v>
      </c>
      <c r="C74" s="5" t="str">
        <f aca="false">01_Data!D74</f>
        <v>FY23</v>
      </c>
      <c r="D74" s="7" t="n">
        <f aca="false">01_Data!E74</f>
        <v>329551</v>
      </c>
      <c r="E74" s="7" t="n">
        <f aca="false">01_Data!F74</f>
        <v>320371</v>
      </c>
      <c r="F74" s="7" t="n">
        <f aca="false">E74-D74</f>
        <v>-9180</v>
      </c>
      <c r="G74" s="8" t="n">
        <f aca="false">IFERROR(F74/D74,0)</f>
        <v>-0.0278560829735003</v>
      </c>
      <c r="H74" s="7" t="n">
        <f aca="false">01_Data!G74</f>
        <v>191510</v>
      </c>
      <c r="I74" s="7" t="n">
        <f aca="false">01_Data!H74</f>
        <v>188200</v>
      </c>
      <c r="J74" s="7" t="n">
        <f aca="false">H74-I74</f>
        <v>3310</v>
      </c>
      <c r="K74" s="8" t="n">
        <f aca="false">IFERROR(J74/H74,0)</f>
        <v>0.0172836927575584</v>
      </c>
      <c r="L74" s="7" t="n">
        <f aca="false">D74-H74</f>
        <v>138041</v>
      </c>
      <c r="M74" s="7" t="n">
        <f aca="false">E74-I74</f>
        <v>132171</v>
      </c>
      <c r="N74" s="7" t="n">
        <f aca="false">IFERROR(L74/D74,0)</f>
        <v>0.418875985810997</v>
      </c>
      <c r="O74" s="7" t="n">
        <f aca="false">IFERROR(M74/E74,0)</f>
        <v>0.412556067808884</v>
      </c>
      <c r="P74" s="7" t="n">
        <f aca="false">01_Data!I74+01_Data!K74+01_Data!M74+01_Data!O74+01_Data!Q74+01_Data!S74+01_Data!U74</f>
        <v>86617</v>
      </c>
      <c r="Q74" s="7" t="n">
        <f aca="false">01_Data!J74+01_Data!L74+01_Data!N74+01_Data!P74+01_Data!R74+01_Data!T74+01_Data!V74</f>
        <v>87528</v>
      </c>
      <c r="R74" s="7" t="n">
        <f aca="false">P74-Q74</f>
        <v>-911</v>
      </c>
      <c r="S74" s="7" t="n">
        <f aca="false">L74-P74</f>
        <v>51424</v>
      </c>
      <c r="T74" s="7" t="n">
        <f aca="false">M74-Q74</f>
        <v>44643</v>
      </c>
      <c r="U74" s="7" t="n">
        <f aca="false">T74-S74</f>
        <v>-6781</v>
      </c>
      <c r="V74" s="8" t="n">
        <f aca="false">IFERROR(U74/S74,0)</f>
        <v>-0.131864499066584</v>
      </c>
      <c r="W74" s="5" t="str">
        <f aca="false">IF(V74&lt;-0.1,"ADVERSE &gt;10%","")</f>
        <v>ADVERSE &gt;10%</v>
      </c>
    </row>
    <row r="75" customFormat="false" ht="15" hidden="false" customHeight="false" outlineLevel="0" collapsed="false">
      <c r="A75" s="5" t="str">
        <f aca="false">01_Data!A75</f>
        <v>Banking &amp; Financial Services</v>
      </c>
      <c r="B75" s="5" t="str">
        <f aca="false">01_Data!C75</f>
        <v>2023-05</v>
      </c>
      <c r="C75" s="5" t="str">
        <f aca="false">01_Data!D75</f>
        <v>FY23</v>
      </c>
      <c r="D75" s="7" t="n">
        <f aca="false">01_Data!E75</f>
        <v>343181</v>
      </c>
      <c r="E75" s="7" t="n">
        <f aca="false">01_Data!F75</f>
        <v>328076</v>
      </c>
      <c r="F75" s="7" t="n">
        <f aca="false">E75-D75</f>
        <v>-15105</v>
      </c>
      <c r="G75" s="8" t="n">
        <f aca="false">IFERROR(F75/D75,0)</f>
        <v>-0.0440146744720716</v>
      </c>
      <c r="H75" s="7" t="n">
        <f aca="false">01_Data!G75</f>
        <v>186095</v>
      </c>
      <c r="I75" s="7" t="n">
        <f aca="false">01_Data!H75</f>
        <v>176867</v>
      </c>
      <c r="J75" s="7" t="n">
        <f aca="false">H75-I75</f>
        <v>9228</v>
      </c>
      <c r="K75" s="8" t="n">
        <f aca="false">IFERROR(J75/H75,0)</f>
        <v>0.049587576237943</v>
      </c>
      <c r="L75" s="7" t="n">
        <f aca="false">D75-H75</f>
        <v>157086</v>
      </c>
      <c r="M75" s="7" t="n">
        <f aca="false">E75-I75</f>
        <v>151209</v>
      </c>
      <c r="N75" s="7" t="n">
        <f aca="false">IFERROR(L75/D75,0)</f>
        <v>0.457735131024153</v>
      </c>
      <c r="O75" s="7" t="n">
        <f aca="false">IFERROR(M75/E75,0)</f>
        <v>0.46089625574562</v>
      </c>
      <c r="P75" s="7" t="n">
        <f aca="false">01_Data!I75+01_Data!K75+01_Data!M75+01_Data!O75+01_Data!Q75+01_Data!S75+01_Data!U75</f>
        <v>95595</v>
      </c>
      <c r="Q75" s="7" t="n">
        <f aca="false">01_Data!J75+01_Data!L75+01_Data!N75+01_Data!P75+01_Data!R75+01_Data!T75+01_Data!V75</f>
        <v>93908</v>
      </c>
      <c r="R75" s="7" t="n">
        <f aca="false">P75-Q75</f>
        <v>1687</v>
      </c>
      <c r="S75" s="7" t="n">
        <f aca="false">L75-P75</f>
        <v>61491</v>
      </c>
      <c r="T75" s="7" t="n">
        <f aca="false">M75-Q75</f>
        <v>57301</v>
      </c>
      <c r="U75" s="7" t="n">
        <f aca="false">T75-S75</f>
        <v>-4190</v>
      </c>
      <c r="V75" s="8" t="n">
        <f aca="false">IFERROR(U75/S75,0)</f>
        <v>-0.0681400530158885</v>
      </c>
      <c r="W75" s="5" t="str">
        <f aca="false">IF(V75&lt;-0.1,"ADVERSE &gt;10%","")</f>
        <v/>
      </c>
    </row>
    <row r="76" customFormat="false" ht="15" hidden="false" customHeight="false" outlineLevel="0" collapsed="false">
      <c r="A76" s="5" t="str">
        <f aca="false">01_Data!A76</f>
        <v>Banking &amp; Financial Services</v>
      </c>
      <c r="B76" s="5" t="str">
        <f aca="false">01_Data!C76</f>
        <v>2023-06</v>
      </c>
      <c r="C76" s="5" t="str">
        <f aca="false">01_Data!D76</f>
        <v>FY23</v>
      </c>
      <c r="D76" s="7" t="n">
        <f aca="false">01_Data!E76</f>
        <v>332766</v>
      </c>
      <c r="E76" s="7" t="n">
        <f aca="false">01_Data!F76</f>
        <v>334818</v>
      </c>
      <c r="F76" s="7" t="n">
        <f aca="false">E76-D76</f>
        <v>2052</v>
      </c>
      <c r="G76" s="8" t="n">
        <f aca="false">IFERROR(F76/D76,0)</f>
        <v>0.00616649537512847</v>
      </c>
      <c r="H76" s="7" t="n">
        <f aca="false">01_Data!G76</f>
        <v>190356</v>
      </c>
      <c r="I76" s="7" t="n">
        <f aca="false">01_Data!H76</f>
        <v>190014</v>
      </c>
      <c r="J76" s="7" t="n">
        <f aca="false">H76-I76</f>
        <v>342</v>
      </c>
      <c r="K76" s="8" t="n">
        <f aca="false">IFERROR(J76/H76,0)</f>
        <v>0.00179663367584946</v>
      </c>
      <c r="L76" s="7" t="n">
        <f aca="false">D76-H76</f>
        <v>142410</v>
      </c>
      <c r="M76" s="7" t="n">
        <f aca="false">E76-I76</f>
        <v>144804</v>
      </c>
      <c r="N76" s="7" t="n">
        <f aca="false">IFERROR(L76/D76,0)</f>
        <v>0.427958385171562</v>
      </c>
      <c r="O76" s="7" t="n">
        <f aca="false">IFERROR(M76/E76,0)</f>
        <v>0.432485708653657</v>
      </c>
      <c r="P76" s="7" t="n">
        <f aca="false">01_Data!I76+01_Data!K76+01_Data!M76+01_Data!O76+01_Data!Q76+01_Data!S76+01_Data!U76</f>
        <v>96136</v>
      </c>
      <c r="Q76" s="7" t="n">
        <f aca="false">01_Data!J76+01_Data!L76+01_Data!N76+01_Data!P76+01_Data!R76+01_Data!T76+01_Data!V76</f>
        <v>99041</v>
      </c>
      <c r="R76" s="7" t="n">
        <f aca="false">P76-Q76</f>
        <v>-2905</v>
      </c>
      <c r="S76" s="7" t="n">
        <f aca="false">L76-P76</f>
        <v>46274</v>
      </c>
      <c r="T76" s="7" t="n">
        <f aca="false">M76-Q76</f>
        <v>45763</v>
      </c>
      <c r="U76" s="7" t="n">
        <f aca="false">T76-S76</f>
        <v>-511</v>
      </c>
      <c r="V76" s="8" t="n">
        <f aca="false">IFERROR(U76/S76,0)</f>
        <v>-0.0110429182694386</v>
      </c>
      <c r="W76" s="5" t="str">
        <f aca="false">IF(V76&lt;-0.1,"ADVERSE &gt;10%","")</f>
        <v/>
      </c>
    </row>
    <row r="77" customFormat="false" ht="15" hidden="false" customHeight="false" outlineLevel="0" collapsed="false">
      <c r="A77" s="5" t="str">
        <f aca="false">01_Data!A77</f>
        <v>Banking &amp; Financial Services</v>
      </c>
      <c r="B77" s="5" t="str">
        <f aca="false">01_Data!C77</f>
        <v>2023-07</v>
      </c>
      <c r="C77" s="5" t="str">
        <f aca="false">01_Data!D77</f>
        <v>FY23</v>
      </c>
      <c r="D77" s="7" t="n">
        <f aca="false">01_Data!E77</f>
        <v>340627</v>
      </c>
      <c r="E77" s="7" t="n">
        <f aca="false">01_Data!F77</f>
        <v>334952</v>
      </c>
      <c r="F77" s="7" t="n">
        <f aca="false">E77-D77</f>
        <v>-5675</v>
      </c>
      <c r="G77" s="8" t="n">
        <f aca="false">IFERROR(F77/D77,0)</f>
        <v>-0.0166604526358744</v>
      </c>
      <c r="H77" s="7" t="n">
        <f aca="false">01_Data!G77</f>
        <v>201803</v>
      </c>
      <c r="I77" s="7" t="n">
        <f aca="false">01_Data!H77</f>
        <v>201029</v>
      </c>
      <c r="J77" s="7" t="n">
        <f aca="false">H77-I77</f>
        <v>774</v>
      </c>
      <c r="K77" s="8" t="n">
        <f aca="false">IFERROR(J77/H77,0)</f>
        <v>0.00383542365574347</v>
      </c>
      <c r="L77" s="7" t="n">
        <f aca="false">D77-H77</f>
        <v>138824</v>
      </c>
      <c r="M77" s="7" t="n">
        <f aca="false">E77-I77</f>
        <v>133923</v>
      </c>
      <c r="N77" s="7" t="n">
        <f aca="false">IFERROR(L77/D77,0)</f>
        <v>0.407554304268305</v>
      </c>
      <c r="O77" s="7" t="n">
        <f aca="false">IFERROR(M77/E77,0)</f>
        <v>0.39982743796126</v>
      </c>
      <c r="P77" s="7" t="n">
        <f aca="false">01_Data!I77+01_Data!K77+01_Data!M77+01_Data!O77+01_Data!Q77+01_Data!S77+01_Data!U77</f>
        <v>89438</v>
      </c>
      <c r="Q77" s="7" t="n">
        <f aca="false">01_Data!J77+01_Data!L77+01_Data!N77+01_Data!P77+01_Data!R77+01_Data!T77+01_Data!V77</f>
        <v>91195</v>
      </c>
      <c r="R77" s="7" t="n">
        <f aca="false">P77-Q77</f>
        <v>-1757</v>
      </c>
      <c r="S77" s="7" t="n">
        <f aca="false">L77-P77</f>
        <v>49386</v>
      </c>
      <c r="T77" s="7" t="n">
        <f aca="false">M77-Q77</f>
        <v>42728</v>
      </c>
      <c r="U77" s="7" t="n">
        <f aca="false">T77-S77</f>
        <v>-6658</v>
      </c>
      <c r="V77" s="8" t="n">
        <f aca="false">IFERROR(U77/S77,0)</f>
        <v>-0.134815534766938</v>
      </c>
      <c r="W77" s="5" t="str">
        <f aca="false">IF(V77&lt;-0.1,"ADVERSE &gt;10%","")</f>
        <v>ADVERSE &gt;10%</v>
      </c>
    </row>
    <row r="78" customFormat="false" ht="15" hidden="false" customHeight="false" outlineLevel="0" collapsed="false">
      <c r="A78" s="5" t="str">
        <f aca="false">01_Data!A78</f>
        <v>Banking &amp; Financial Services</v>
      </c>
      <c r="B78" s="5" t="str">
        <f aca="false">01_Data!C78</f>
        <v>2023-08</v>
      </c>
      <c r="C78" s="5" t="str">
        <f aca="false">01_Data!D78</f>
        <v>FY23</v>
      </c>
      <c r="D78" s="7" t="n">
        <f aca="false">01_Data!E78</f>
        <v>332503</v>
      </c>
      <c r="E78" s="7" t="n">
        <f aca="false">01_Data!F78</f>
        <v>332423</v>
      </c>
      <c r="F78" s="7" t="n">
        <f aca="false">E78-D78</f>
        <v>-80</v>
      </c>
      <c r="G78" s="8" t="n">
        <f aca="false">IFERROR(F78/D78,0)</f>
        <v>-0.000240599332938349</v>
      </c>
      <c r="H78" s="7" t="n">
        <f aca="false">01_Data!G78</f>
        <v>184255</v>
      </c>
      <c r="I78" s="7" t="n">
        <f aca="false">01_Data!H78</f>
        <v>194093</v>
      </c>
      <c r="J78" s="7" t="n">
        <f aca="false">H78-I78</f>
        <v>-9838</v>
      </c>
      <c r="K78" s="8" t="n">
        <f aca="false">IFERROR(J78/H78,0)</f>
        <v>-0.0533933950232015</v>
      </c>
      <c r="L78" s="7" t="n">
        <f aca="false">D78-H78</f>
        <v>148248</v>
      </c>
      <c r="M78" s="7" t="n">
        <f aca="false">E78-I78</f>
        <v>138330</v>
      </c>
      <c r="N78" s="7" t="n">
        <f aca="false">IFERROR(L78/D78,0)</f>
        <v>0.445854623868055</v>
      </c>
      <c r="O78" s="7" t="n">
        <f aca="false">IFERROR(M78/E78,0)</f>
        <v>0.416126441311221</v>
      </c>
      <c r="P78" s="7" t="n">
        <f aca="false">01_Data!I78+01_Data!K78+01_Data!M78+01_Data!O78+01_Data!Q78+01_Data!S78+01_Data!U78</f>
        <v>88810</v>
      </c>
      <c r="Q78" s="7" t="n">
        <f aca="false">01_Data!J78+01_Data!L78+01_Data!N78+01_Data!P78+01_Data!R78+01_Data!T78+01_Data!V78</f>
        <v>89627</v>
      </c>
      <c r="R78" s="7" t="n">
        <f aca="false">P78-Q78</f>
        <v>-817</v>
      </c>
      <c r="S78" s="7" t="n">
        <f aca="false">L78-P78</f>
        <v>59438</v>
      </c>
      <c r="T78" s="7" t="n">
        <f aca="false">M78-Q78</f>
        <v>48703</v>
      </c>
      <c r="U78" s="7" t="n">
        <f aca="false">T78-S78</f>
        <v>-10735</v>
      </c>
      <c r="V78" s="8" t="n">
        <f aca="false">IFERROR(U78/S78,0)</f>
        <v>-0.180608365019011</v>
      </c>
      <c r="W78" s="5" t="str">
        <f aca="false">IF(V78&lt;-0.1,"ADVERSE &gt;10%","")</f>
        <v>ADVERSE &gt;10%</v>
      </c>
    </row>
    <row r="79" customFormat="false" ht="15" hidden="false" customHeight="false" outlineLevel="0" collapsed="false">
      <c r="A79" s="5" t="str">
        <f aca="false">01_Data!A79</f>
        <v>Banking &amp; Financial Services</v>
      </c>
      <c r="B79" s="5" t="str">
        <f aca="false">01_Data!C79</f>
        <v>2023-09</v>
      </c>
      <c r="C79" s="5" t="str">
        <f aca="false">01_Data!D79</f>
        <v>FY23</v>
      </c>
      <c r="D79" s="7" t="n">
        <f aca="false">01_Data!E79</f>
        <v>347570</v>
      </c>
      <c r="E79" s="7" t="n">
        <f aca="false">01_Data!F79</f>
        <v>358057</v>
      </c>
      <c r="F79" s="7" t="n">
        <f aca="false">E79-D79</f>
        <v>10487</v>
      </c>
      <c r="G79" s="8" t="n">
        <f aca="false">IFERROR(F79/D79,0)</f>
        <v>0.0301723393848721</v>
      </c>
      <c r="H79" s="7" t="n">
        <f aca="false">01_Data!G79</f>
        <v>205100</v>
      </c>
      <c r="I79" s="7" t="n">
        <f aca="false">01_Data!H79</f>
        <v>213953</v>
      </c>
      <c r="J79" s="7" t="n">
        <f aca="false">H79-I79</f>
        <v>-8853</v>
      </c>
      <c r="K79" s="8" t="n">
        <f aca="false">IFERROR(J79/H79,0)</f>
        <v>-0.0431643100926377</v>
      </c>
      <c r="L79" s="7" t="n">
        <f aca="false">D79-H79</f>
        <v>142470</v>
      </c>
      <c r="M79" s="7" t="n">
        <f aca="false">E79-I79</f>
        <v>144104</v>
      </c>
      <c r="N79" s="7" t="n">
        <f aca="false">IFERROR(L79/D79,0)</f>
        <v>0.40990304111402</v>
      </c>
      <c r="O79" s="7" t="n">
        <f aca="false">IFERROR(M79/E79,0)</f>
        <v>0.402461060669111</v>
      </c>
      <c r="P79" s="7" t="n">
        <f aca="false">01_Data!I79+01_Data!K79+01_Data!M79+01_Data!O79+01_Data!Q79+01_Data!S79+01_Data!U79</f>
        <v>91426</v>
      </c>
      <c r="Q79" s="7" t="n">
        <f aca="false">01_Data!J79+01_Data!L79+01_Data!N79+01_Data!P79+01_Data!R79+01_Data!T79+01_Data!V79</f>
        <v>92813</v>
      </c>
      <c r="R79" s="7" t="n">
        <f aca="false">P79-Q79</f>
        <v>-1387</v>
      </c>
      <c r="S79" s="7" t="n">
        <f aca="false">L79-P79</f>
        <v>51044</v>
      </c>
      <c r="T79" s="7" t="n">
        <f aca="false">M79-Q79</f>
        <v>51291</v>
      </c>
      <c r="U79" s="7" t="n">
        <f aca="false">T79-S79</f>
        <v>247</v>
      </c>
      <c r="V79" s="8" t="n">
        <f aca="false">IFERROR(U79/S79,0)</f>
        <v>0.00483896246375676</v>
      </c>
      <c r="W79" s="5" t="str">
        <f aca="false">IF(V79&lt;-0.1,"ADVERSE &gt;10%","")</f>
        <v/>
      </c>
    </row>
    <row r="80" customFormat="false" ht="15" hidden="false" customHeight="false" outlineLevel="0" collapsed="false">
      <c r="A80" s="5" t="str">
        <f aca="false">01_Data!A80</f>
        <v>Banking &amp; Financial Services</v>
      </c>
      <c r="B80" s="5" t="str">
        <f aca="false">01_Data!C80</f>
        <v>2023-10</v>
      </c>
      <c r="C80" s="5" t="str">
        <f aca="false">01_Data!D80</f>
        <v>FY23</v>
      </c>
      <c r="D80" s="7" t="n">
        <f aca="false">01_Data!E80</f>
        <v>316159</v>
      </c>
      <c r="E80" s="7" t="n">
        <f aca="false">01_Data!F80</f>
        <v>330286</v>
      </c>
      <c r="F80" s="7" t="n">
        <f aca="false">E80-D80</f>
        <v>14127</v>
      </c>
      <c r="G80" s="8" t="n">
        <f aca="false">IFERROR(F80/D80,0)</f>
        <v>0.0446832131933616</v>
      </c>
      <c r="H80" s="7" t="n">
        <f aca="false">01_Data!G80</f>
        <v>178868</v>
      </c>
      <c r="I80" s="7" t="n">
        <f aca="false">01_Data!H80</f>
        <v>190408</v>
      </c>
      <c r="J80" s="7" t="n">
        <f aca="false">H80-I80</f>
        <v>-11540</v>
      </c>
      <c r="K80" s="8" t="n">
        <f aca="false">IFERROR(J80/H80,0)</f>
        <v>-0.0645168504148311</v>
      </c>
      <c r="L80" s="7" t="n">
        <f aca="false">D80-H80</f>
        <v>137291</v>
      </c>
      <c r="M80" s="7" t="n">
        <f aca="false">E80-I80</f>
        <v>139878</v>
      </c>
      <c r="N80" s="7" t="n">
        <f aca="false">IFERROR(L80/D80,0)</f>
        <v>0.43424669232886</v>
      </c>
      <c r="O80" s="7" t="n">
        <f aca="false">IFERROR(M80/E80,0)</f>
        <v>0.42350568900892</v>
      </c>
      <c r="P80" s="7" t="n">
        <f aca="false">01_Data!I80+01_Data!K80+01_Data!M80+01_Data!O80+01_Data!Q80+01_Data!S80+01_Data!U80</f>
        <v>85323</v>
      </c>
      <c r="Q80" s="7" t="n">
        <f aca="false">01_Data!J80+01_Data!L80+01_Data!N80+01_Data!P80+01_Data!R80+01_Data!T80+01_Data!V80</f>
        <v>84677</v>
      </c>
      <c r="R80" s="7" t="n">
        <f aca="false">P80-Q80</f>
        <v>646</v>
      </c>
      <c r="S80" s="7" t="n">
        <f aca="false">L80-P80</f>
        <v>51968</v>
      </c>
      <c r="T80" s="7" t="n">
        <f aca="false">M80-Q80</f>
        <v>55201</v>
      </c>
      <c r="U80" s="7" t="n">
        <f aca="false">T80-S80</f>
        <v>3233</v>
      </c>
      <c r="V80" s="8" t="n">
        <f aca="false">IFERROR(U80/S80,0)</f>
        <v>0.0622113608374384</v>
      </c>
      <c r="W80" s="5" t="str">
        <f aca="false">IF(V80&lt;-0.1,"ADVERSE &gt;10%","")</f>
        <v/>
      </c>
    </row>
    <row r="81" customFormat="false" ht="15" hidden="false" customHeight="false" outlineLevel="0" collapsed="false">
      <c r="A81" s="5" t="str">
        <f aca="false">01_Data!A81</f>
        <v>Banking &amp; Financial Services</v>
      </c>
      <c r="B81" s="5" t="str">
        <f aca="false">01_Data!C81</f>
        <v>2023-11</v>
      </c>
      <c r="C81" s="5" t="str">
        <f aca="false">01_Data!D81</f>
        <v>FY23</v>
      </c>
      <c r="D81" s="7" t="n">
        <f aca="false">01_Data!E81</f>
        <v>311283</v>
      </c>
      <c r="E81" s="7" t="n">
        <f aca="false">01_Data!F81</f>
        <v>330467</v>
      </c>
      <c r="F81" s="7" t="n">
        <f aca="false">E81-D81</f>
        <v>19184</v>
      </c>
      <c r="G81" s="8" t="n">
        <f aca="false">IFERROR(F81/D81,0)</f>
        <v>0.0616288072268643</v>
      </c>
      <c r="H81" s="7" t="n">
        <f aca="false">01_Data!G81</f>
        <v>182820</v>
      </c>
      <c r="I81" s="7" t="n">
        <f aca="false">01_Data!H81</f>
        <v>193175</v>
      </c>
      <c r="J81" s="7" t="n">
        <f aca="false">H81-I81</f>
        <v>-10355</v>
      </c>
      <c r="K81" s="8" t="n">
        <f aca="false">IFERROR(J81/H81,0)</f>
        <v>-0.0566404113335521</v>
      </c>
      <c r="L81" s="7" t="n">
        <f aca="false">D81-H81</f>
        <v>128463</v>
      </c>
      <c r="M81" s="7" t="n">
        <f aca="false">E81-I81</f>
        <v>137292</v>
      </c>
      <c r="N81" s="7" t="n">
        <f aca="false">IFERROR(L81/D81,0)</f>
        <v>0.412688775166007</v>
      </c>
      <c r="O81" s="7" t="n">
        <f aca="false">IFERROR(M81/E81,0)</f>
        <v>0.415448441145409</v>
      </c>
      <c r="P81" s="7" t="n">
        <f aca="false">01_Data!I81+01_Data!K81+01_Data!M81+01_Data!O81+01_Data!Q81+01_Data!S81+01_Data!U81</f>
        <v>85868</v>
      </c>
      <c r="Q81" s="7" t="n">
        <f aca="false">01_Data!J81+01_Data!L81+01_Data!N81+01_Data!P81+01_Data!R81+01_Data!T81+01_Data!V81</f>
        <v>89309</v>
      </c>
      <c r="R81" s="7" t="n">
        <f aca="false">P81-Q81</f>
        <v>-3441</v>
      </c>
      <c r="S81" s="7" t="n">
        <f aca="false">L81-P81</f>
        <v>42595</v>
      </c>
      <c r="T81" s="7" t="n">
        <f aca="false">M81-Q81</f>
        <v>47983</v>
      </c>
      <c r="U81" s="7" t="n">
        <f aca="false">T81-S81</f>
        <v>5388</v>
      </c>
      <c r="V81" s="8" t="n">
        <f aca="false">IFERROR(U81/S81,0)</f>
        <v>0.126493719920178</v>
      </c>
      <c r="W81" s="5" t="str">
        <f aca="false">IF(V81&lt;-0.1,"ADVERSE &gt;10%","")</f>
        <v/>
      </c>
    </row>
    <row r="82" customFormat="false" ht="15" hidden="false" customHeight="false" outlineLevel="0" collapsed="false">
      <c r="A82" s="5" t="str">
        <f aca="false">01_Data!A82</f>
        <v>Banking &amp; Financial Services</v>
      </c>
      <c r="B82" s="5" t="str">
        <f aca="false">01_Data!C82</f>
        <v>2023-12</v>
      </c>
      <c r="C82" s="5" t="str">
        <f aca="false">01_Data!D82</f>
        <v>FY23</v>
      </c>
      <c r="D82" s="7" t="n">
        <f aca="false">01_Data!E82</f>
        <v>367505</v>
      </c>
      <c r="E82" s="7" t="n">
        <f aca="false">01_Data!F82</f>
        <v>355716</v>
      </c>
      <c r="F82" s="7" t="n">
        <f aca="false">E82-D82</f>
        <v>-11789</v>
      </c>
      <c r="G82" s="8" t="n">
        <f aca="false">IFERROR(F82/D82,0)</f>
        <v>-0.0320784751227874</v>
      </c>
      <c r="H82" s="7" t="n">
        <f aca="false">01_Data!G82</f>
        <v>208545</v>
      </c>
      <c r="I82" s="7" t="n">
        <f aca="false">01_Data!H82</f>
        <v>199960</v>
      </c>
      <c r="J82" s="7" t="n">
        <f aca="false">H82-I82</f>
        <v>8585</v>
      </c>
      <c r="K82" s="8" t="n">
        <f aca="false">IFERROR(J82/H82,0)</f>
        <v>0.0411661751660313</v>
      </c>
      <c r="L82" s="7" t="n">
        <f aca="false">D82-H82</f>
        <v>158960</v>
      </c>
      <c r="M82" s="7" t="n">
        <f aca="false">E82-I82</f>
        <v>155756</v>
      </c>
      <c r="N82" s="7" t="n">
        <f aca="false">IFERROR(L82/D82,0)</f>
        <v>0.432538332811799</v>
      </c>
      <c r="O82" s="7" t="n">
        <f aca="false">IFERROR(M82/E82,0)</f>
        <v>0.437866162893994</v>
      </c>
      <c r="P82" s="7" t="n">
        <f aca="false">01_Data!I82+01_Data!K82+01_Data!M82+01_Data!O82+01_Data!Q82+01_Data!S82+01_Data!U82</f>
        <v>92541</v>
      </c>
      <c r="Q82" s="7" t="n">
        <f aca="false">01_Data!J82+01_Data!L82+01_Data!N82+01_Data!P82+01_Data!R82+01_Data!T82+01_Data!V82</f>
        <v>94561</v>
      </c>
      <c r="R82" s="7" t="n">
        <f aca="false">P82-Q82</f>
        <v>-2020</v>
      </c>
      <c r="S82" s="7" t="n">
        <f aca="false">L82-P82</f>
        <v>66419</v>
      </c>
      <c r="T82" s="7" t="n">
        <f aca="false">M82-Q82</f>
        <v>61195</v>
      </c>
      <c r="U82" s="7" t="n">
        <f aca="false">T82-S82</f>
        <v>-5224</v>
      </c>
      <c r="V82" s="8" t="n">
        <f aca="false">IFERROR(U82/S82,0)</f>
        <v>-0.0786521928966109</v>
      </c>
      <c r="W82" s="5" t="str">
        <f aca="false">IF(V82&lt;-0.1,"ADVERSE &gt;10%","")</f>
        <v/>
      </c>
    </row>
    <row r="83" customFormat="false" ht="15" hidden="false" customHeight="false" outlineLevel="0" collapsed="false">
      <c r="A83" s="5" t="str">
        <f aca="false">01_Data!A83</f>
        <v>Banking &amp; Financial Services</v>
      </c>
      <c r="B83" s="5" t="str">
        <f aca="false">01_Data!C83</f>
        <v>2024-01</v>
      </c>
      <c r="C83" s="5" t="str">
        <f aca="false">01_Data!D83</f>
        <v>FY23</v>
      </c>
      <c r="D83" s="7" t="n">
        <f aca="false">01_Data!E83</f>
        <v>321398</v>
      </c>
      <c r="E83" s="7" t="n">
        <f aca="false">01_Data!F83</f>
        <v>326570</v>
      </c>
      <c r="F83" s="7" t="n">
        <f aca="false">E83-D83</f>
        <v>5172</v>
      </c>
      <c r="G83" s="8" t="n">
        <f aca="false">IFERROR(F83/D83,0)</f>
        <v>0.0160921972134239</v>
      </c>
      <c r="H83" s="7" t="n">
        <f aca="false">01_Data!G83</f>
        <v>190708</v>
      </c>
      <c r="I83" s="7" t="n">
        <f aca="false">01_Data!H83</f>
        <v>199382</v>
      </c>
      <c r="J83" s="7" t="n">
        <f aca="false">H83-I83</f>
        <v>-8674</v>
      </c>
      <c r="K83" s="8" t="n">
        <f aca="false">IFERROR(J83/H83,0)</f>
        <v>-0.0454831470100887</v>
      </c>
      <c r="L83" s="7" t="n">
        <f aca="false">D83-H83</f>
        <v>130690</v>
      </c>
      <c r="M83" s="7" t="n">
        <f aca="false">E83-I83</f>
        <v>127188</v>
      </c>
      <c r="N83" s="7" t="n">
        <f aca="false">IFERROR(L83/D83,0)</f>
        <v>0.40662978612188</v>
      </c>
      <c r="O83" s="7" t="n">
        <f aca="false">IFERROR(M83/E83,0)</f>
        <v>0.389466270631105</v>
      </c>
      <c r="P83" s="7" t="n">
        <f aca="false">01_Data!I83+01_Data!K83+01_Data!M83+01_Data!O83+01_Data!Q83+01_Data!S83+01_Data!U83</f>
        <v>92886</v>
      </c>
      <c r="Q83" s="7" t="n">
        <f aca="false">01_Data!J83+01_Data!L83+01_Data!N83+01_Data!P83+01_Data!R83+01_Data!T83+01_Data!V83</f>
        <v>95570</v>
      </c>
      <c r="R83" s="7" t="n">
        <f aca="false">P83-Q83</f>
        <v>-2684</v>
      </c>
      <c r="S83" s="7" t="n">
        <f aca="false">L83-P83</f>
        <v>37804</v>
      </c>
      <c r="T83" s="7" t="n">
        <f aca="false">M83-Q83</f>
        <v>31618</v>
      </c>
      <c r="U83" s="7" t="n">
        <f aca="false">T83-S83</f>
        <v>-6186</v>
      </c>
      <c r="V83" s="8" t="n">
        <f aca="false">IFERROR(U83/S83,0)</f>
        <v>-0.163633477938842</v>
      </c>
      <c r="W83" s="5" t="str">
        <f aca="false">IF(V83&lt;-0.1,"ADVERSE &gt;10%","")</f>
        <v>ADVERSE &gt;10%</v>
      </c>
    </row>
    <row r="84" customFormat="false" ht="15" hidden="false" customHeight="false" outlineLevel="0" collapsed="false">
      <c r="A84" s="5" t="str">
        <f aca="false">01_Data!A84</f>
        <v>Banking &amp; Financial Services</v>
      </c>
      <c r="B84" s="5" t="str">
        <f aca="false">01_Data!C84</f>
        <v>2024-02</v>
      </c>
      <c r="C84" s="5" t="str">
        <f aca="false">01_Data!D84</f>
        <v>FY23</v>
      </c>
      <c r="D84" s="7" t="n">
        <f aca="false">01_Data!E84</f>
        <v>330722</v>
      </c>
      <c r="E84" s="7" t="n">
        <f aca="false">01_Data!F84</f>
        <v>324457</v>
      </c>
      <c r="F84" s="7" t="n">
        <f aca="false">E84-D84</f>
        <v>-6265</v>
      </c>
      <c r="G84" s="8" t="n">
        <f aca="false">IFERROR(F84/D84,0)</f>
        <v>-0.0189434026160945</v>
      </c>
      <c r="H84" s="7" t="n">
        <f aca="false">01_Data!G84</f>
        <v>184672</v>
      </c>
      <c r="I84" s="7" t="n">
        <f aca="false">01_Data!H84</f>
        <v>184461</v>
      </c>
      <c r="J84" s="7" t="n">
        <f aca="false">H84-I84</f>
        <v>211</v>
      </c>
      <c r="K84" s="8" t="n">
        <f aca="false">IFERROR(J84/H84,0)</f>
        <v>0.00114256627967423</v>
      </c>
      <c r="L84" s="7" t="n">
        <f aca="false">D84-H84</f>
        <v>146050</v>
      </c>
      <c r="M84" s="7" t="n">
        <f aca="false">E84-I84</f>
        <v>139996</v>
      </c>
      <c r="N84" s="7" t="n">
        <f aca="false">IFERROR(L84/D84,0)</f>
        <v>0.441609569366417</v>
      </c>
      <c r="O84" s="7" t="n">
        <f aca="false">IFERROR(M84/E84,0)</f>
        <v>0.431477822947263</v>
      </c>
      <c r="P84" s="7" t="n">
        <f aca="false">01_Data!I84+01_Data!K84+01_Data!M84+01_Data!O84+01_Data!Q84+01_Data!S84+01_Data!U84</f>
        <v>89312</v>
      </c>
      <c r="Q84" s="7" t="n">
        <f aca="false">01_Data!J84+01_Data!L84+01_Data!N84+01_Data!P84+01_Data!R84+01_Data!T84+01_Data!V84</f>
        <v>90913</v>
      </c>
      <c r="R84" s="7" t="n">
        <f aca="false">P84-Q84</f>
        <v>-1601</v>
      </c>
      <c r="S84" s="7" t="n">
        <f aca="false">L84-P84</f>
        <v>56738</v>
      </c>
      <c r="T84" s="7" t="n">
        <f aca="false">M84-Q84</f>
        <v>49083</v>
      </c>
      <c r="U84" s="7" t="n">
        <f aca="false">T84-S84</f>
        <v>-7655</v>
      </c>
      <c r="V84" s="8" t="n">
        <f aca="false">IFERROR(U84/S84,0)</f>
        <v>-0.134918396841623</v>
      </c>
      <c r="W84" s="5" t="str">
        <f aca="false">IF(V84&lt;-0.1,"ADVERSE &gt;10%","")</f>
        <v>ADVERSE &gt;10%</v>
      </c>
    </row>
    <row r="85" customFormat="false" ht="15" hidden="false" customHeight="false" outlineLevel="0" collapsed="false">
      <c r="A85" s="5" t="str">
        <f aca="false">01_Data!A85</f>
        <v>Banking &amp; Financial Services</v>
      </c>
      <c r="B85" s="5" t="str">
        <f aca="false">01_Data!C85</f>
        <v>2024-03</v>
      </c>
      <c r="C85" s="5" t="str">
        <f aca="false">01_Data!D85</f>
        <v>FY23</v>
      </c>
      <c r="D85" s="7" t="n">
        <f aca="false">01_Data!E85</f>
        <v>377462</v>
      </c>
      <c r="E85" s="7" t="n">
        <f aca="false">01_Data!F85</f>
        <v>358010</v>
      </c>
      <c r="F85" s="7" t="n">
        <f aca="false">E85-D85</f>
        <v>-19452</v>
      </c>
      <c r="G85" s="8" t="n">
        <f aca="false">IFERROR(F85/D85,0)</f>
        <v>-0.0515336643158782</v>
      </c>
      <c r="H85" s="7" t="n">
        <f aca="false">01_Data!G85</f>
        <v>207063</v>
      </c>
      <c r="I85" s="7" t="n">
        <f aca="false">01_Data!H85</f>
        <v>200108</v>
      </c>
      <c r="J85" s="7" t="n">
        <f aca="false">H85-I85</f>
        <v>6955</v>
      </c>
      <c r="K85" s="8" t="n">
        <f aca="false">IFERROR(J85/H85,0)</f>
        <v>0.0335888111347754</v>
      </c>
      <c r="L85" s="7" t="n">
        <f aca="false">D85-H85</f>
        <v>170399</v>
      </c>
      <c r="M85" s="7" t="n">
        <f aca="false">E85-I85</f>
        <v>157902</v>
      </c>
      <c r="N85" s="7" t="n">
        <f aca="false">IFERROR(L85/D85,0)</f>
        <v>0.451433521784974</v>
      </c>
      <c r="O85" s="7" t="n">
        <f aca="false">IFERROR(M85/E85,0)</f>
        <v>0.441054719141923</v>
      </c>
      <c r="P85" s="7" t="n">
        <f aca="false">01_Data!I85+01_Data!K85+01_Data!M85+01_Data!O85+01_Data!Q85+01_Data!S85+01_Data!U85</f>
        <v>101948</v>
      </c>
      <c r="Q85" s="7" t="n">
        <f aca="false">01_Data!J85+01_Data!L85+01_Data!N85+01_Data!P85+01_Data!R85+01_Data!T85+01_Data!V85</f>
        <v>102333</v>
      </c>
      <c r="R85" s="7" t="n">
        <f aca="false">P85-Q85</f>
        <v>-385</v>
      </c>
      <c r="S85" s="7" t="n">
        <f aca="false">L85-P85</f>
        <v>68451</v>
      </c>
      <c r="T85" s="7" t="n">
        <f aca="false">M85-Q85</f>
        <v>55569</v>
      </c>
      <c r="U85" s="7" t="n">
        <f aca="false">T85-S85</f>
        <v>-12882</v>
      </c>
      <c r="V85" s="8" t="n">
        <f aca="false">IFERROR(U85/S85,0)</f>
        <v>-0.188193013980804</v>
      </c>
      <c r="W85" s="5" t="str">
        <f aca="false">IF(V85&lt;-0.1,"ADVERSE &gt;10%","")</f>
        <v>ADVERSE &gt;10%</v>
      </c>
    </row>
    <row r="86" customFormat="false" ht="15" hidden="false" customHeight="false" outlineLevel="0" collapsed="false">
      <c r="A86" s="5" t="str">
        <f aca="false">01_Data!A86</f>
        <v>Banking &amp; Financial Services</v>
      </c>
      <c r="B86" s="5" t="str">
        <f aca="false">01_Data!C86</f>
        <v>2024-04</v>
      </c>
      <c r="C86" s="5" t="str">
        <f aca="false">01_Data!D86</f>
        <v>FY24</v>
      </c>
      <c r="D86" s="7" t="n">
        <f aca="false">01_Data!E86</f>
        <v>338291</v>
      </c>
      <c r="E86" s="7" t="n">
        <f aca="false">01_Data!F86</f>
        <v>332327</v>
      </c>
      <c r="F86" s="7" t="n">
        <f aca="false">E86-D86</f>
        <v>-5964</v>
      </c>
      <c r="G86" s="8" t="n">
        <f aca="false">IFERROR(F86/D86,0)</f>
        <v>-0.017629792102066</v>
      </c>
      <c r="H86" s="7" t="n">
        <f aca="false">01_Data!G86</f>
        <v>187744</v>
      </c>
      <c r="I86" s="7" t="n">
        <f aca="false">01_Data!H86</f>
        <v>179672</v>
      </c>
      <c r="J86" s="7" t="n">
        <f aca="false">H86-I86</f>
        <v>8072</v>
      </c>
      <c r="K86" s="8" t="n">
        <f aca="false">IFERROR(J86/H86,0)</f>
        <v>0.0429947162093063</v>
      </c>
      <c r="L86" s="7" t="n">
        <f aca="false">D86-H86</f>
        <v>150547</v>
      </c>
      <c r="M86" s="7" t="n">
        <f aca="false">E86-I86</f>
        <v>152655</v>
      </c>
      <c r="N86" s="7" t="n">
        <f aca="false">IFERROR(L86/D86,0)</f>
        <v>0.445022185041872</v>
      </c>
      <c r="O86" s="7" t="n">
        <f aca="false">IFERROR(M86/E86,0)</f>
        <v>0.459351783032977</v>
      </c>
      <c r="P86" s="7" t="n">
        <f aca="false">01_Data!I86+01_Data!K86+01_Data!M86+01_Data!O86+01_Data!Q86+01_Data!S86+01_Data!U86</f>
        <v>91992</v>
      </c>
      <c r="Q86" s="7" t="n">
        <f aca="false">01_Data!J86+01_Data!L86+01_Data!N86+01_Data!P86+01_Data!R86+01_Data!T86+01_Data!V86</f>
        <v>93832</v>
      </c>
      <c r="R86" s="7" t="n">
        <f aca="false">P86-Q86</f>
        <v>-1840</v>
      </c>
      <c r="S86" s="7" t="n">
        <f aca="false">L86-P86</f>
        <v>58555</v>
      </c>
      <c r="T86" s="7" t="n">
        <f aca="false">M86-Q86</f>
        <v>58823</v>
      </c>
      <c r="U86" s="7" t="n">
        <f aca="false">T86-S86</f>
        <v>268</v>
      </c>
      <c r="V86" s="8" t="n">
        <f aca="false">IFERROR(U86/S86,0)</f>
        <v>0.00457689351891384</v>
      </c>
      <c r="W86" s="5" t="str">
        <f aca="false">IF(V86&lt;-0.1,"ADVERSE &gt;10%","")</f>
        <v/>
      </c>
    </row>
    <row r="87" customFormat="false" ht="15" hidden="false" customHeight="false" outlineLevel="0" collapsed="false">
      <c r="A87" s="5" t="str">
        <f aca="false">01_Data!A87</f>
        <v>Banking &amp; Financial Services</v>
      </c>
      <c r="B87" s="5" t="str">
        <f aca="false">01_Data!C87</f>
        <v>2024-05</v>
      </c>
      <c r="C87" s="5" t="str">
        <f aca="false">01_Data!D87</f>
        <v>FY24</v>
      </c>
      <c r="D87" s="7" t="n">
        <f aca="false">01_Data!E87</f>
        <v>338926</v>
      </c>
      <c r="E87" s="7" t="n">
        <f aca="false">01_Data!F87</f>
        <v>341173</v>
      </c>
      <c r="F87" s="7" t="n">
        <f aca="false">E87-D87</f>
        <v>2247</v>
      </c>
      <c r="G87" s="8" t="n">
        <f aca="false">IFERROR(F87/D87,0)</f>
        <v>0.00662976578958239</v>
      </c>
      <c r="H87" s="7" t="n">
        <f aca="false">01_Data!G87</f>
        <v>184805</v>
      </c>
      <c r="I87" s="7" t="n">
        <f aca="false">01_Data!H87</f>
        <v>190840</v>
      </c>
      <c r="J87" s="7" t="n">
        <f aca="false">H87-I87</f>
        <v>-6035</v>
      </c>
      <c r="K87" s="8" t="n">
        <f aca="false">IFERROR(J87/H87,0)</f>
        <v>-0.0326560428559833</v>
      </c>
      <c r="L87" s="7" t="n">
        <f aca="false">D87-H87</f>
        <v>154121</v>
      </c>
      <c r="M87" s="7" t="n">
        <f aca="false">E87-I87</f>
        <v>150333</v>
      </c>
      <c r="N87" s="7" t="n">
        <f aca="false">IFERROR(L87/D87,0)</f>
        <v>0.454733481644961</v>
      </c>
      <c r="O87" s="7" t="n">
        <f aca="false">IFERROR(M87/E87,0)</f>
        <v>0.440635689225115</v>
      </c>
      <c r="P87" s="7" t="n">
        <f aca="false">01_Data!I87+01_Data!K87+01_Data!M87+01_Data!O87+01_Data!Q87+01_Data!S87+01_Data!U87</f>
        <v>94995</v>
      </c>
      <c r="Q87" s="7" t="n">
        <f aca="false">01_Data!J87+01_Data!L87+01_Data!N87+01_Data!P87+01_Data!R87+01_Data!T87+01_Data!V87</f>
        <v>95929</v>
      </c>
      <c r="R87" s="7" t="n">
        <f aca="false">P87-Q87</f>
        <v>-934</v>
      </c>
      <c r="S87" s="7" t="n">
        <f aca="false">L87-P87</f>
        <v>59126</v>
      </c>
      <c r="T87" s="7" t="n">
        <f aca="false">M87-Q87</f>
        <v>54404</v>
      </c>
      <c r="U87" s="7" t="n">
        <f aca="false">T87-S87</f>
        <v>-4722</v>
      </c>
      <c r="V87" s="8" t="n">
        <f aca="false">IFERROR(U87/S87,0)</f>
        <v>-0.0798633426918784</v>
      </c>
      <c r="W87" s="5" t="str">
        <f aca="false">IF(V87&lt;-0.1,"ADVERSE &gt;10%","")</f>
        <v/>
      </c>
    </row>
    <row r="88" customFormat="false" ht="15" hidden="false" customHeight="false" outlineLevel="0" collapsed="false">
      <c r="A88" s="5" t="str">
        <f aca="false">01_Data!A88</f>
        <v>Banking &amp; Financial Services</v>
      </c>
      <c r="B88" s="5" t="str">
        <f aca="false">01_Data!C88</f>
        <v>2024-06</v>
      </c>
      <c r="C88" s="5" t="str">
        <f aca="false">01_Data!D88</f>
        <v>FY24</v>
      </c>
      <c r="D88" s="7" t="n">
        <f aca="false">01_Data!E88</f>
        <v>351617</v>
      </c>
      <c r="E88" s="7" t="n">
        <f aca="false">01_Data!F88</f>
        <v>339778</v>
      </c>
      <c r="F88" s="7" t="n">
        <f aca="false">E88-D88</f>
        <v>-11839</v>
      </c>
      <c r="G88" s="8" t="n">
        <f aca="false">IFERROR(F88/D88,0)</f>
        <v>-0.033670158155038</v>
      </c>
      <c r="H88" s="7" t="n">
        <f aca="false">01_Data!G88</f>
        <v>190428</v>
      </c>
      <c r="I88" s="7" t="n">
        <f aca="false">01_Data!H88</f>
        <v>186633</v>
      </c>
      <c r="J88" s="7" t="n">
        <f aca="false">H88-I88</f>
        <v>3795</v>
      </c>
      <c r="K88" s="8" t="n">
        <f aca="false">IFERROR(J88/H88,0)</f>
        <v>0.019928791984372</v>
      </c>
      <c r="L88" s="7" t="n">
        <f aca="false">D88-H88</f>
        <v>161189</v>
      </c>
      <c r="M88" s="7" t="n">
        <f aca="false">E88-I88</f>
        <v>153145</v>
      </c>
      <c r="N88" s="7" t="n">
        <f aca="false">IFERROR(L88/D88,0)</f>
        <v>0.458422089944457</v>
      </c>
      <c r="O88" s="7" t="n">
        <f aca="false">IFERROR(M88/E88,0)</f>
        <v>0.450720764734621</v>
      </c>
      <c r="P88" s="7" t="n">
        <f aca="false">01_Data!I88+01_Data!K88+01_Data!M88+01_Data!O88+01_Data!Q88+01_Data!S88+01_Data!U88</f>
        <v>95925</v>
      </c>
      <c r="Q88" s="7" t="n">
        <f aca="false">01_Data!J88+01_Data!L88+01_Data!N88+01_Data!P88+01_Data!R88+01_Data!T88+01_Data!V88</f>
        <v>99353</v>
      </c>
      <c r="R88" s="7" t="n">
        <f aca="false">P88-Q88</f>
        <v>-3428</v>
      </c>
      <c r="S88" s="7" t="n">
        <f aca="false">L88-P88</f>
        <v>65264</v>
      </c>
      <c r="T88" s="7" t="n">
        <f aca="false">M88-Q88</f>
        <v>53792</v>
      </c>
      <c r="U88" s="7" t="n">
        <f aca="false">T88-S88</f>
        <v>-11472</v>
      </c>
      <c r="V88" s="8" t="n">
        <f aca="false">IFERROR(U88/S88,0)</f>
        <v>-0.175778377053199</v>
      </c>
      <c r="W88" s="5" t="str">
        <f aca="false">IF(V88&lt;-0.1,"ADVERSE &gt;10%","")</f>
        <v>ADVERSE &gt;10%</v>
      </c>
    </row>
    <row r="89" customFormat="false" ht="15" hidden="false" customHeight="false" outlineLevel="0" collapsed="false">
      <c r="A89" s="5" t="str">
        <f aca="false">01_Data!A89</f>
        <v>Banking &amp; Financial Services</v>
      </c>
      <c r="B89" s="5" t="str">
        <f aca="false">01_Data!C89</f>
        <v>2024-07</v>
      </c>
      <c r="C89" s="5" t="str">
        <f aca="false">01_Data!D89</f>
        <v>FY24</v>
      </c>
      <c r="D89" s="7" t="n">
        <f aca="false">01_Data!E89</f>
        <v>350066</v>
      </c>
      <c r="E89" s="7" t="n">
        <f aca="false">01_Data!F89</f>
        <v>342660</v>
      </c>
      <c r="F89" s="7" t="n">
        <f aca="false">E89-D89</f>
        <v>-7406</v>
      </c>
      <c r="G89" s="8" t="n">
        <f aca="false">IFERROR(F89/D89,0)</f>
        <v>-0.0211560105808619</v>
      </c>
      <c r="H89" s="7" t="n">
        <f aca="false">01_Data!G89</f>
        <v>196272</v>
      </c>
      <c r="I89" s="7" t="n">
        <f aca="false">01_Data!H89</f>
        <v>200308</v>
      </c>
      <c r="J89" s="7" t="n">
        <f aca="false">H89-I89</f>
        <v>-4036</v>
      </c>
      <c r="K89" s="8" t="n">
        <f aca="false">IFERROR(J89/H89,0)</f>
        <v>-0.0205632999103285</v>
      </c>
      <c r="L89" s="7" t="n">
        <f aca="false">D89-H89</f>
        <v>153794</v>
      </c>
      <c r="M89" s="7" t="n">
        <f aca="false">E89-I89</f>
        <v>142352</v>
      </c>
      <c r="N89" s="7" t="n">
        <f aca="false">IFERROR(L89/D89,0)</f>
        <v>0.439328583752778</v>
      </c>
      <c r="O89" s="7" t="n">
        <f aca="false">IFERROR(M89/E89,0)</f>
        <v>0.415432206852273</v>
      </c>
      <c r="P89" s="7" t="n">
        <f aca="false">01_Data!I89+01_Data!K89+01_Data!M89+01_Data!O89+01_Data!Q89+01_Data!S89+01_Data!U89</f>
        <v>91137</v>
      </c>
      <c r="Q89" s="7" t="n">
        <f aca="false">01_Data!J89+01_Data!L89+01_Data!N89+01_Data!P89+01_Data!R89+01_Data!T89+01_Data!V89</f>
        <v>95861</v>
      </c>
      <c r="R89" s="7" t="n">
        <f aca="false">P89-Q89</f>
        <v>-4724</v>
      </c>
      <c r="S89" s="7" t="n">
        <f aca="false">L89-P89</f>
        <v>62657</v>
      </c>
      <c r="T89" s="7" t="n">
        <f aca="false">M89-Q89</f>
        <v>46491</v>
      </c>
      <c r="U89" s="7" t="n">
        <f aca="false">T89-S89</f>
        <v>-16166</v>
      </c>
      <c r="V89" s="8" t="n">
        <f aca="false">IFERROR(U89/S89,0)</f>
        <v>-0.258007884194902</v>
      </c>
      <c r="W89" s="5" t="str">
        <f aca="false">IF(V89&lt;-0.1,"ADVERSE &gt;10%","")</f>
        <v>ADVERSE &gt;10%</v>
      </c>
    </row>
    <row r="90" customFormat="false" ht="15" hidden="false" customHeight="false" outlineLevel="0" collapsed="false">
      <c r="A90" s="5" t="str">
        <f aca="false">01_Data!A90</f>
        <v>Banking &amp; Financial Services</v>
      </c>
      <c r="B90" s="5" t="str">
        <f aca="false">01_Data!C90</f>
        <v>2024-08</v>
      </c>
      <c r="C90" s="5" t="str">
        <f aca="false">01_Data!D90</f>
        <v>FY24</v>
      </c>
      <c r="D90" s="7" t="n">
        <f aca="false">01_Data!E90</f>
        <v>366331</v>
      </c>
      <c r="E90" s="7" t="n">
        <f aca="false">01_Data!F90</f>
        <v>351730</v>
      </c>
      <c r="F90" s="7" t="n">
        <f aca="false">E90-D90</f>
        <v>-14601</v>
      </c>
      <c r="G90" s="8" t="n">
        <f aca="false">IFERROR(F90/D90,0)</f>
        <v>-0.0398573967259118</v>
      </c>
      <c r="H90" s="7" t="n">
        <f aca="false">01_Data!G90</f>
        <v>203327</v>
      </c>
      <c r="I90" s="7" t="n">
        <f aca="false">01_Data!H90</f>
        <v>199357</v>
      </c>
      <c r="J90" s="7" t="n">
        <f aca="false">H90-I90</f>
        <v>3970</v>
      </c>
      <c r="K90" s="8" t="n">
        <f aca="false">IFERROR(J90/H90,0)</f>
        <v>0.0195251983258495</v>
      </c>
      <c r="L90" s="7" t="n">
        <f aca="false">D90-H90</f>
        <v>163004</v>
      </c>
      <c r="M90" s="7" t="n">
        <f aca="false">E90-I90</f>
        <v>152373</v>
      </c>
      <c r="N90" s="7" t="n">
        <f aca="false">IFERROR(L90/D90,0)</f>
        <v>0.444963707685126</v>
      </c>
      <c r="O90" s="7" t="n">
        <f aca="false">IFERROR(M90/E90,0)</f>
        <v>0.433210132772297</v>
      </c>
      <c r="P90" s="7" t="n">
        <f aca="false">01_Data!I90+01_Data!K90+01_Data!M90+01_Data!O90+01_Data!Q90+01_Data!S90+01_Data!U90</f>
        <v>99838</v>
      </c>
      <c r="Q90" s="7" t="n">
        <f aca="false">01_Data!J90+01_Data!L90+01_Data!N90+01_Data!P90+01_Data!R90+01_Data!T90+01_Data!V90</f>
        <v>99385</v>
      </c>
      <c r="R90" s="7" t="n">
        <f aca="false">P90-Q90</f>
        <v>453</v>
      </c>
      <c r="S90" s="7" t="n">
        <f aca="false">L90-P90</f>
        <v>63166</v>
      </c>
      <c r="T90" s="7" t="n">
        <f aca="false">M90-Q90</f>
        <v>52988</v>
      </c>
      <c r="U90" s="7" t="n">
        <f aca="false">T90-S90</f>
        <v>-10178</v>
      </c>
      <c r="V90" s="8" t="n">
        <f aca="false">IFERROR(U90/S90,0)</f>
        <v>-0.161130988189849</v>
      </c>
      <c r="W90" s="5" t="str">
        <f aca="false">IF(V90&lt;-0.1,"ADVERSE &gt;10%","")</f>
        <v>ADVERSE &gt;10%</v>
      </c>
    </row>
    <row r="91" customFormat="false" ht="15" hidden="false" customHeight="false" outlineLevel="0" collapsed="false">
      <c r="A91" s="5" t="str">
        <f aca="false">01_Data!A91</f>
        <v>Banking &amp; Financial Services</v>
      </c>
      <c r="B91" s="5" t="str">
        <f aca="false">01_Data!C91</f>
        <v>2024-09</v>
      </c>
      <c r="C91" s="5" t="str">
        <f aca="false">01_Data!D91</f>
        <v>FY24</v>
      </c>
      <c r="D91" s="7" t="n">
        <f aca="false">01_Data!E91</f>
        <v>357446</v>
      </c>
      <c r="E91" s="7" t="n">
        <f aca="false">01_Data!F91</f>
        <v>378068</v>
      </c>
      <c r="F91" s="7" t="n">
        <f aca="false">E91-D91</f>
        <v>20622</v>
      </c>
      <c r="G91" s="8" t="n">
        <f aca="false">IFERROR(F91/D91,0)</f>
        <v>0.0576926304952356</v>
      </c>
      <c r="H91" s="7" t="n">
        <f aca="false">01_Data!G91</f>
        <v>206778</v>
      </c>
      <c r="I91" s="7" t="n">
        <f aca="false">01_Data!H91</f>
        <v>222049</v>
      </c>
      <c r="J91" s="7" t="n">
        <f aca="false">H91-I91</f>
        <v>-15271</v>
      </c>
      <c r="K91" s="8" t="n">
        <f aca="false">IFERROR(J91/H91,0)</f>
        <v>-0.0738521506156361</v>
      </c>
      <c r="L91" s="7" t="n">
        <f aca="false">D91-H91</f>
        <v>150668</v>
      </c>
      <c r="M91" s="7" t="n">
        <f aca="false">E91-I91</f>
        <v>156019</v>
      </c>
      <c r="N91" s="7" t="n">
        <f aca="false">IFERROR(L91/D91,0)</f>
        <v>0.421512620088069</v>
      </c>
      <c r="O91" s="7" t="n">
        <f aca="false">IFERROR(M91/E91,0)</f>
        <v>0.412674439518817</v>
      </c>
      <c r="P91" s="7" t="n">
        <f aca="false">01_Data!I91+01_Data!K91+01_Data!M91+01_Data!O91+01_Data!Q91+01_Data!S91+01_Data!U91</f>
        <v>94677</v>
      </c>
      <c r="Q91" s="7" t="n">
        <f aca="false">01_Data!J91+01_Data!L91+01_Data!N91+01_Data!P91+01_Data!R91+01_Data!T91+01_Data!V91</f>
        <v>99222</v>
      </c>
      <c r="R91" s="7" t="n">
        <f aca="false">P91-Q91</f>
        <v>-4545</v>
      </c>
      <c r="S91" s="7" t="n">
        <f aca="false">L91-P91</f>
        <v>55991</v>
      </c>
      <c r="T91" s="7" t="n">
        <f aca="false">M91-Q91</f>
        <v>56797</v>
      </c>
      <c r="U91" s="7" t="n">
        <f aca="false">T91-S91</f>
        <v>806</v>
      </c>
      <c r="V91" s="8" t="n">
        <f aca="false">IFERROR(U91/S91,0)</f>
        <v>0.0143951706524263</v>
      </c>
      <c r="W91" s="5" t="str">
        <f aca="false">IF(V91&lt;-0.1,"ADVERSE &gt;10%","")</f>
        <v/>
      </c>
    </row>
    <row r="92" customFormat="false" ht="15" hidden="false" customHeight="false" outlineLevel="0" collapsed="false">
      <c r="A92" s="5" t="str">
        <f aca="false">01_Data!A92</f>
        <v>Banking &amp; Financial Services</v>
      </c>
      <c r="B92" s="5" t="str">
        <f aca="false">01_Data!C92</f>
        <v>2024-10</v>
      </c>
      <c r="C92" s="5" t="str">
        <f aca="false">01_Data!D92</f>
        <v>FY24</v>
      </c>
      <c r="D92" s="7" t="n">
        <f aca="false">01_Data!E92</f>
        <v>350868</v>
      </c>
      <c r="E92" s="7" t="n">
        <f aca="false">01_Data!F92</f>
        <v>351532</v>
      </c>
      <c r="F92" s="7" t="n">
        <f aca="false">E92-D92</f>
        <v>664</v>
      </c>
      <c r="G92" s="8" t="n">
        <f aca="false">IFERROR(F92/D92,0)</f>
        <v>0.00189244958217905</v>
      </c>
      <c r="H92" s="7" t="n">
        <f aca="false">01_Data!G92</f>
        <v>193764</v>
      </c>
      <c r="I92" s="7" t="n">
        <f aca="false">01_Data!H92</f>
        <v>197763</v>
      </c>
      <c r="J92" s="7" t="n">
        <f aca="false">H92-I92</f>
        <v>-3999</v>
      </c>
      <c r="K92" s="8" t="n">
        <f aca="false">IFERROR(J92/H92,0)</f>
        <v>-0.0206385087013067</v>
      </c>
      <c r="L92" s="7" t="n">
        <f aca="false">D92-H92</f>
        <v>157104</v>
      </c>
      <c r="M92" s="7" t="n">
        <f aca="false">E92-I92</f>
        <v>153769</v>
      </c>
      <c r="N92" s="7" t="n">
        <f aca="false">IFERROR(L92/D92,0)</f>
        <v>0.447758131263039</v>
      </c>
      <c r="O92" s="7" t="n">
        <f aca="false">IFERROR(M92/E92,0)</f>
        <v>0.437425326855023</v>
      </c>
      <c r="P92" s="7" t="n">
        <f aca="false">01_Data!I92+01_Data!K92+01_Data!M92+01_Data!O92+01_Data!Q92+01_Data!S92+01_Data!U92</f>
        <v>91243</v>
      </c>
      <c r="Q92" s="7" t="n">
        <f aca="false">01_Data!J92+01_Data!L92+01_Data!N92+01_Data!P92+01_Data!R92+01_Data!T92+01_Data!V92</f>
        <v>94204</v>
      </c>
      <c r="R92" s="7" t="n">
        <f aca="false">P92-Q92</f>
        <v>-2961</v>
      </c>
      <c r="S92" s="7" t="n">
        <f aca="false">L92-P92</f>
        <v>65861</v>
      </c>
      <c r="T92" s="7" t="n">
        <f aca="false">M92-Q92</f>
        <v>59565</v>
      </c>
      <c r="U92" s="7" t="n">
        <f aca="false">T92-S92</f>
        <v>-6296</v>
      </c>
      <c r="V92" s="8" t="n">
        <f aca="false">IFERROR(U92/S92,0)</f>
        <v>-0.0955952688237348</v>
      </c>
      <c r="W92" s="5" t="str">
        <f aca="false">IF(V92&lt;-0.1,"ADVERSE &gt;10%","")</f>
        <v/>
      </c>
    </row>
    <row r="93" customFormat="false" ht="15" hidden="false" customHeight="false" outlineLevel="0" collapsed="false">
      <c r="A93" s="5" t="str">
        <f aca="false">01_Data!A93</f>
        <v>Banking &amp; Financial Services</v>
      </c>
      <c r="B93" s="5" t="str">
        <f aca="false">01_Data!C93</f>
        <v>2024-11</v>
      </c>
      <c r="C93" s="5" t="str">
        <f aca="false">01_Data!D93</f>
        <v>FY24</v>
      </c>
      <c r="D93" s="7" t="n">
        <f aca="false">01_Data!E93</f>
        <v>358474</v>
      </c>
      <c r="E93" s="7" t="n">
        <f aca="false">01_Data!F93</f>
        <v>353579</v>
      </c>
      <c r="F93" s="7" t="n">
        <f aca="false">E93-D93</f>
        <v>-4895</v>
      </c>
      <c r="G93" s="8" t="n">
        <f aca="false">IFERROR(F93/D93,0)</f>
        <v>-0.0136551046937853</v>
      </c>
      <c r="H93" s="7" t="n">
        <f aca="false">01_Data!G93</f>
        <v>198916</v>
      </c>
      <c r="I93" s="7" t="n">
        <f aca="false">01_Data!H93</f>
        <v>204426</v>
      </c>
      <c r="J93" s="7" t="n">
        <f aca="false">H93-I93</f>
        <v>-5510</v>
      </c>
      <c r="K93" s="8" t="n">
        <f aca="false">IFERROR(J93/H93,0)</f>
        <v>-0.0277001347302379</v>
      </c>
      <c r="L93" s="7" t="n">
        <f aca="false">D93-H93</f>
        <v>159558</v>
      </c>
      <c r="M93" s="7" t="n">
        <f aca="false">E93-I93</f>
        <v>149153</v>
      </c>
      <c r="N93" s="7" t="n">
        <f aca="false">IFERROR(L93/D93,0)</f>
        <v>0.44510341056813</v>
      </c>
      <c r="O93" s="7" t="n">
        <f aca="false">IFERROR(M93/E93,0)</f>
        <v>0.421837835391808</v>
      </c>
      <c r="P93" s="7" t="n">
        <f aca="false">01_Data!I93+01_Data!K93+01_Data!M93+01_Data!O93+01_Data!Q93+01_Data!S93+01_Data!U93</f>
        <v>95267</v>
      </c>
      <c r="Q93" s="7" t="n">
        <f aca="false">01_Data!J93+01_Data!L93+01_Data!N93+01_Data!P93+01_Data!R93+01_Data!T93+01_Data!V93</f>
        <v>95321</v>
      </c>
      <c r="R93" s="7" t="n">
        <f aca="false">P93-Q93</f>
        <v>-54</v>
      </c>
      <c r="S93" s="7" t="n">
        <f aca="false">L93-P93</f>
        <v>64291</v>
      </c>
      <c r="T93" s="7" t="n">
        <f aca="false">M93-Q93</f>
        <v>53832</v>
      </c>
      <c r="U93" s="7" t="n">
        <f aca="false">T93-S93</f>
        <v>-10459</v>
      </c>
      <c r="V93" s="8" t="n">
        <f aca="false">IFERROR(U93/S93,0)</f>
        <v>-0.162682179465244</v>
      </c>
      <c r="W93" s="5" t="str">
        <f aca="false">IF(V93&lt;-0.1,"ADVERSE &gt;10%","")</f>
        <v>ADVERSE &gt;10%</v>
      </c>
    </row>
    <row r="94" customFormat="false" ht="15" hidden="false" customHeight="false" outlineLevel="0" collapsed="false">
      <c r="A94" s="5" t="str">
        <f aca="false">01_Data!A94</f>
        <v>Banking &amp; Financial Services</v>
      </c>
      <c r="B94" s="5" t="str">
        <f aca="false">01_Data!C94</f>
        <v>2024-12</v>
      </c>
      <c r="C94" s="5" t="str">
        <f aca="false">01_Data!D94</f>
        <v>FY24</v>
      </c>
      <c r="D94" s="7" t="n">
        <f aca="false">01_Data!E94</f>
        <v>364314</v>
      </c>
      <c r="E94" s="7" t="n">
        <f aca="false">01_Data!F94</f>
        <v>385084</v>
      </c>
      <c r="F94" s="7" t="n">
        <f aca="false">E94-D94</f>
        <v>20770</v>
      </c>
      <c r="G94" s="8" t="n">
        <f aca="false">IFERROR(F94/D94,0)</f>
        <v>0.0570112595178884</v>
      </c>
      <c r="H94" s="7" t="n">
        <f aca="false">01_Data!G94</f>
        <v>207547</v>
      </c>
      <c r="I94" s="7" t="n">
        <f aca="false">01_Data!H94</f>
        <v>228667</v>
      </c>
      <c r="J94" s="7" t="n">
        <f aca="false">H94-I94</f>
        <v>-21120</v>
      </c>
      <c r="K94" s="8" t="n">
        <f aca="false">IFERROR(J94/H94,0)</f>
        <v>-0.10176008325825</v>
      </c>
      <c r="L94" s="7" t="n">
        <f aca="false">D94-H94</f>
        <v>156767</v>
      </c>
      <c r="M94" s="7" t="n">
        <f aca="false">E94-I94</f>
        <v>156417</v>
      </c>
      <c r="N94" s="7" t="n">
        <f aca="false">IFERROR(L94/D94,0)</f>
        <v>0.430307372211883</v>
      </c>
      <c r="O94" s="7" t="n">
        <f aca="false">IFERROR(M94/E94,0)</f>
        <v>0.406189298958149</v>
      </c>
      <c r="P94" s="7" t="n">
        <f aca="false">01_Data!I94+01_Data!K94+01_Data!M94+01_Data!O94+01_Data!Q94+01_Data!S94+01_Data!U94</f>
        <v>99767</v>
      </c>
      <c r="Q94" s="7" t="n">
        <f aca="false">01_Data!J94+01_Data!L94+01_Data!N94+01_Data!P94+01_Data!R94+01_Data!T94+01_Data!V94</f>
        <v>103016</v>
      </c>
      <c r="R94" s="7" t="n">
        <f aca="false">P94-Q94</f>
        <v>-3249</v>
      </c>
      <c r="S94" s="7" t="n">
        <f aca="false">L94-P94</f>
        <v>57000</v>
      </c>
      <c r="T94" s="7" t="n">
        <f aca="false">M94-Q94</f>
        <v>53401</v>
      </c>
      <c r="U94" s="7" t="n">
        <f aca="false">T94-S94</f>
        <v>-3599</v>
      </c>
      <c r="V94" s="8" t="n">
        <f aca="false">IFERROR(U94/S94,0)</f>
        <v>-0.063140350877193</v>
      </c>
      <c r="W94" s="5" t="str">
        <f aca="false">IF(V94&lt;-0.1,"ADVERSE &gt;10%","")</f>
        <v/>
      </c>
    </row>
    <row r="95" customFormat="false" ht="15" hidden="false" customHeight="false" outlineLevel="0" collapsed="false">
      <c r="A95" s="5" t="str">
        <f aca="false">01_Data!A95</f>
        <v>Banking &amp; Financial Services</v>
      </c>
      <c r="B95" s="5" t="str">
        <f aca="false">01_Data!C95</f>
        <v>2025-01</v>
      </c>
      <c r="C95" s="5" t="str">
        <f aca="false">01_Data!D95</f>
        <v>FY24</v>
      </c>
      <c r="D95" s="7" t="n">
        <f aca="false">01_Data!E95</f>
        <v>370373</v>
      </c>
      <c r="E95" s="7" t="n">
        <f aca="false">01_Data!F95</f>
        <v>358983</v>
      </c>
      <c r="F95" s="7" t="n">
        <f aca="false">E95-D95</f>
        <v>-11390</v>
      </c>
      <c r="G95" s="8" t="n">
        <f aca="false">IFERROR(F95/D95,0)</f>
        <v>-0.0307527816552502</v>
      </c>
      <c r="H95" s="7" t="n">
        <f aca="false">01_Data!G95</f>
        <v>206217</v>
      </c>
      <c r="I95" s="7" t="n">
        <f aca="false">01_Data!H95</f>
        <v>210449</v>
      </c>
      <c r="J95" s="7" t="n">
        <f aca="false">H95-I95</f>
        <v>-4232</v>
      </c>
      <c r="K95" s="8" t="n">
        <f aca="false">IFERROR(J95/H95,0)</f>
        <v>-0.0205220714102135</v>
      </c>
      <c r="L95" s="7" t="n">
        <f aca="false">D95-H95</f>
        <v>164156</v>
      </c>
      <c r="M95" s="7" t="n">
        <f aca="false">E95-I95</f>
        <v>148534</v>
      </c>
      <c r="N95" s="7" t="n">
        <f aca="false">IFERROR(L95/D95,0)</f>
        <v>0.443218053151823</v>
      </c>
      <c r="O95" s="7" t="n">
        <f aca="false">IFERROR(M95/E95,0)</f>
        <v>0.413763325839942</v>
      </c>
      <c r="P95" s="7" t="n">
        <f aca="false">01_Data!I95+01_Data!K95+01_Data!M95+01_Data!O95+01_Data!Q95+01_Data!S95+01_Data!U95</f>
        <v>103688</v>
      </c>
      <c r="Q95" s="7" t="n">
        <f aca="false">01_Data!J95+01_Data!L95+01_Data!N95+01_Data!P95+01_Data!R95+01_Data!T95+01_Data!V95</f>
        <v>102038</v>
      </c>
      <c r="R95" s="7" t="n">
        <f aca="false">P95-Q95</f>
        <v>1650</v>
      </c>
      <c r="S95" s="7" t="n">
        <f aca="false">L95-P95</f>
        <v>60468</v>
      </c>
      <c r="T95" s="7" t="n">
        <f aca="false">M95-Q95</f>
        <v>46496</v>
      </c>
      <c r="U95" s="7" t="n">
        <f aca="false">T95-S95</f>
        <v>-13972</v>
      </c>
      <c r="V95" s="8" t="n">
        <f aca="false">IFERROR(U95/S95,0)</f>
        <v>-0.23106436462261</v>
      </c>
      <c r="W95" s="5" t="str">
        <f aca="false">IF(V95&lt;-0.1,"ADVERSE &gt;10%","")</f>
        <v>ADVERSE &gt;10%</v>
      </c>
    </row>
    <row r="96" customFormat="false" ht="15" hidden="false" customHeight="false" outlineLevel="0" collapsed="false">
      <c r="A96" s="5" t="str">
        <f aca="false">01_Data!A96</f>
        <v>Banking &amp; Financial Services</v>
      </c>
      <c r="B96" s="5" t="str">
        <f aca="false">01_Data!C96</f>
        <v>2025-02</v>
      </c>
      <c r="C96" s="5" t="str">
        <f aca="false">01_Data!D96</f>
        <v>FY24</v>
      </c>
      <c r="D96" s="7" t="n">
        <f aca="false">01_Data!E96</f>
        <v>360504</v>
      </c>
      <c r="E96" s="7" t="n">
        <f aca="false">01_Data!F96</f>
        <v>362374</v>
      </c>
      <c r="F96" s="7" t="n">
        <f aca="false">E96-D96</f>
        <v>1870</v>
      </c>
      <c r="G96" s="8" t="n">
        <f aca="false">IFERROR(F96/D96,0)</f>
        <v>0.00518718238909971</v>
      </c>
      <c r="H96" s="7" t="n">
        <f aca="false">01_Data!G96</f>
        <v>207786</v>
      </c>
      <c r="I96" s="7" t="n">
        <f aca="false">01_Data!H96</f>
        <v>210956</v>
      </c>
      <c r="J96" s="7" t="n">
        <f aca="false">H96-I96</f>
        <v>-3170</v>
      </c>
      <c r="K96" s="8" t="n">
        <f aca="false">IFERROR(J96/H96,0)</f>
        <v>-0.0152560807754132</v>
      </c>
      <c r="L96" s="7" t="n">
        <f aca="false">D96-H96</f>
        <v>152718</v>
      </c>
      <c r="M96" s="7" t="n">
        <f aca="false">E96-I96</f>
        <v>151418</v>
      </c>
      <c r="N96" s="7" t="n">
        <f aca="false">IFERROR(L96/D96,0)</f>
        <v>0.423623593635577</v>
      </c>
      <c r="O96" s="7" t="n">
        <f aca="false">IFERROR(M96/E96,0)</f>
        <v>0.417850066505875</v>
      </c>
      <c r="P96" s="7" t="n">
        <f aca="false">01_Data!I96+01_Data!K96+01_Data!M96+01_Data!O96+01_Data!Q96+01_Data!S96+01_Data!U96</f>
        <v>91769</v>
      </c>
      <c r="Q96" s="7" t="n">
        <f aca="false">01_Data!J96+01_Data!L96+01_Data!N96+01_Data!P96+01_Data!R96+01_Data!T96+01_Data!V96</f>
        <v>96300</v>
      </c>
      <c r="R96" s="7" t="n">
        <f aca="false">P96-Q96</f>
        <v>-4531</v>
      </c>
      <c r="S96" s="7" t="n">
        <f aca="false">L96-P96</f>
        <v>60949</v>
      </c>
      <c r="T96" s="7" t="n">
        <f aca="false">M96-Q96</f>
        <v>55118</v>
      </c>
      <c r="U96" s="7" t="n">
        <f aca="false">T96-S96</f>
        <v>-5831</v>
      </c>
      <c r="V96" s="8" t="n">
        <f aca="false">IFERROR(U96/S96,0)</f>
        <v>-0.095670150453658</v>
      </c>
      <c r="W96" s="5" t="str">
        <f aca="false">IF(V96&lt;-0.1,"ADVERSE &gt;10%","")</f>
        <v/>
      </c>
    </row>
    <row r="97" customFormat="false" ht="15" hidden="false" customHeight="false" outlineLevel="0" collapsed="false">
      <c r="A97" s="5" t="str">
        <f aca="false">01_Data!A97</f>
        <v>Banking &amp; Financial Services</v>
      </c>
      <c r="B97" s="5" t="str">
        <f aca="false">01_Data!C97</f>
        <v>2025-03</v>
      </c>
      <c r="C97" s="5" t="str">
        <f aca="false">01_Data!D97</f>
        <v>FY24</v>
      </c>
      <c r="D97" s="7" t="n">
        <f aca="false">01_Data!E97</f>
        <v>408684</v>
      </c>
      <c r="E97" s="7" t="n">
        <f aca="false">01_Data!F97</f>
        <v>404620</v>
      </c>
      <c r="F97" s="7" t="n">
        <f aca="false">E97-D97</f>
        <v>-4064</v>
      </c>
      <c r="G97" s="8" t="n">
        <f aca="false">IFERROR(F97/D97,0)</f>
        <v>-0.00994411330025154</v>
      </c>
      <c r="H97" s="7" t="n">
        <f aca="false">01_Data!G97</f>
        <v>240227</v>
      </c>
      <c r="I97" s="7" t="n">
        <f aca="false">01_Data!H97</f>
        <v>244419</v>
      </c>
      <c r="J97" s="7" t="n">
        <f aca="false">H97-I97</f>
        <v>-4192</v>
      </c>
      <c r="K97" s="8" t="n">
        <f aca="false">IFERROR(J97/H97,0)</f>
        <v>-0.0174501617220379</v>
      </c>
      <c r="L97" s="7" t="n">
        <f aca="false">D97-H97</f>
        <v>168457</v>
      </c>
      <c r="M97" s="7" t="n">
        <f aca="false">E97-I97</f>
        <v>160201</v>
      </c>
      <c r="N97" s="7" t="n">
        <f aca="false">IFERROR(L97/D97,0)</f>
        <v>0.412193773184172</v>
      </c>
      <c r="O97" s="7" t="n">
        <f aca="false">IFERROR(M97/E97,0)</f>
        <v>0.395929514112006</v>
      </c>
      <c r="P97" s="7" t="n">
        <f aca="false">01_Data!I97+01_Data!K97+01_Data!M97+01_Data!O97+01_Data!Q97+01_Data!S97+01_Data!U97</f>
        <v>114379</v>
      </c>
      <c r="Q97" s="7" t="n">
        <f aca="false">01_Data!J97+01_Data!L97+01_Data!N97+01_Data!P97+01_Data!R97+01_Data!T97+01_Data!V97</f>
        <v>115893</v>
      </c>
      <c r="R97" s="7" t="n">
        <f aca="false">P97-Q97</f>
        <v>-1514</v>
      </c>
      <c r="S97" s="7" t="n">
        <f aca="false">L97-P97</f>
        <v>54078</v>
      </c>
      <c r="T97" s="7" t="n">
        <f aca="false">M97-Q97</f>
        <v>44308</v>
      </c>
      <c r="U97" s="7" t="n">
        <f aca="false">T97-S97</f>
        <v>-9770</v>
      </c>
      <c r="V97" s="8" t="n">
        <f aca="false">IFERROR(U97/S97,0)</f>
        <v>-0.180664965420319</v>
      </c>
      <c r="W97" s="5" t="str">
        <f aca="false">IF(V97&lt;-0.1,"ADVERSE &gt;10%","")</f>
        <v>ADVERSE &gt;10%</v>
      </c>
    </row>
    <row r="98" customFormat="false" ht="15" hidden="false" customHeight="false" outlineLevel="0" collapsed="false">
      <c r="A98" s="5" t="str">
        <f aca="false">01_Data!A98</f>
        <v>Banking &amp; Financial Services</v>
      </c>
      <c r="B98" s="5" t="str">
        <f aca="false">01_Data!C98</f>
        <v>2025-04</v>
      </c>
      <c r="C98" s="5" t="str">
        <f aca="false">01_Data!D98</f>
        <v>FY25</v>
      </c>
      <c r="D98" s="7" t="n">
        <f aca="false">01_Data!E98</f>
        <v>358505</v>
      </c>
      <c r="E98" s="7" t="n">
        <f aca="false">01_Data!F98</f>
        <v>379857</v>
      </c>
      <c r="F98" s="7" t="n">
        <f aca="false">E98-D98</f>
        <v>21352</v>
      </c>
      <c r="G98" s="8" t="n">
        <f aca="false">IFERROR(F98/D98,0)</f>
        <v>0.0595584440942246</v>
      </c>
      <c r="H98" s="7" t="n">
        <f aca="false">01_Data!G98</f>
        <v>213989</v>
      </c>
      <c r="I98" s="7" t="n">
        <f aca="false">01_Data!H98</f>
        <v>221224</v>
      </c>
      <c r="J98" s="7" t="n">
        <f aca="false">H98-I98</f>
        <v>-7235</v>
      </c>
      <c r="K98" s="8" t="n">
        <f aca="false">IFERROR(J98/H98,0)</f>
        <v>-0.0338101491198146</v>
      </c>
      <c r="L98" s="7" t="n">
        <f aca="false">D98-H98</f>
        <v>144516</v>
      </c>
      <c r="M98" s="7" t="n">
        <f aca="false">E98-I98</f>
        <v>158633</v>
      </c>
      <c r="N98" s="7" t="n">
        <f aca="false">IFERROR(L98/D98,0)</f>
        <v>0.403107348572544</v>
      </c>
      <c r="O98" s="7" t="n">
        <f aca="false">IFERROR(M98/E98,0)</f>
        <v>0.417612417304407</v>
      </c>
      <c r="P98" s="7" t="n">
        <f aca="false">01_Data!I98+01_Data!K98+01_Data!M98+01_Data!O98+01_Data!Q98+01_Data!S98+01_Data!U98</f>
        <v>89224</v>
      </c>
      <c r="Q98" s="7" t="n">
        <f aca="false">01_Data!J98+01_Data!L98+01_Data!N98+01_Data!P98+01_Data!R98+01_Data!T98+01_Data!V98</f>
        <v>91005</v>
      </c>
      <c r="R98" s="7" t="n">
        <f aca="false">P98-Q98</f>
        <v>-1781</v>
      </c>
      <c r="S98" s="7" t="n">
        <f aca="false">L98-P98</f>
        <v>55292</v>
      </c>
      <c r="T98" s="7" t="n">
        <f aca="false">M98-Q98</f>
        <v>67628</v>
      </c>
      <c r="U98" s="7" t="n">
        <f aca="false">T98-S98</f>
        <v>12336</v>
      </c>
      <c r="V98" s="8" t="n">
        <f aca="false">IFERROR(U98/S98,0)</f>
        <v>0.223106416841496</v>
      </c>
      <c r="W98" s="5" t="str">
        <f aca="false">IF(V98&lt;-0.1,"ADVERSE &gt;10%","")</f>
        <v/>
      </c>
    </row>
    <row r="99" customFormat="false" ht="15" hidden="false" customHeight="false" outlineLevel="0" collapsed="false">
      <c r="A99" s="5" t="str">
        <f aca="false">01_Data!A99</f>
        <v>Banking &amp; Financial Services</v>
      </c>
      <c r="B99" s="5" t="str">
        <f aca="false">01_Data!C99</f>
        <v>2025-05</v>
      </c>
      <c r="C99" s="5" t="str">
        <f aca="false">01_Data!D99</f>
        <v>FY25</v>
      </c>
      <c r="D99" s="7" t="n">
        <f aca="false">01_Data!E99</f>
        <v>375651</v>
      </c>
      <c r="E99" s="7" t="n">
        <f aca="false">01_Data!F99</f>
        <v>384239</v>
      </c>
      <c r="F99" s="7" t="n">
        <f aca="false">E99-D99</f>
        <v>8588</v>
      </c>
      <c r="G99" s="8" t="n">
        <f aca="false">IFERROR(F99/D99,0)</f>
        <v>0.0228616455167163</v>
      </c>
      <c r="H99" s="7" t="n">
        <f aca="false">01_Data!G99</f>
        <v>206755</v>
      </c>
      <c r="I99" s="7" t="n">
        <f aca="false">01_Data!H99</f>
        <v>221321</v>
      </c>
      <c r="J99" s="7" t="n">
        <f aca="false">H99-I99</f>
        <v>-14566</v>
      </c>
      <c r="K99" s="8" t="n">
        <f aca="false">IFERROR(J99/H99,0)</f>
        <v>-0.0704505332398249</v>
      </c>
      <c r="L99" s="7" t="n">
        <f aca="false">D99-H99</f>
        <v>168896</v>
      </c>
      <c r="M99" s="7" t="n">
        <f aca="false">E99-I99</f>
        <v>162918</v>
      </c>
      <c r="N99" s="7" t="n">
        <f aca="false">IFERROR(L99/D99,0)</f>
        <v>0.449608812434946</v>
      </c>
      <c r="O99" s="7" t="n">
        <f aca="false">IFERROR(M99/E99,0)</f>
        <v>0.42400172809111</v>
      </c>
      <c r="P99" s="7" t="n">
        <f aca="false">01_Data!I99+01_Data!K99+01_Data!M99+01_Data!O99+01_Data!Q99+01_Data!S99+01_Data!U99</f>
        <v>98703</v>
      </c>
      <c r="Q99" s="7" t="n">
        <f aca="false">01_Data!J99+01_Data!L99+01_Data!N99+01_Data!P99+01_Data!R99+01_Data!T99+01_Data!V99</f>
        <v>101254</v>
      </c>
      <c r="R99" s="7" t="n">
        <f aca="false">P99-Q99</f>
        <v>-2551</v>
      </c>
      <c r="S99" s="7" t="n">
        <f aca="false">L99-P99</f>
        <v>70193</v>
      </c>
      <c r="T99" s="7" t="n">
        <f aca="false">M99-Q99</f>
        <v>61664</v>
      </c>
      <c r="U99" s="7" t="n">
        <f aca="false">T99-S99</f>
        <v>-8529</v>
      </c>
      <c r="V99" s="8" t="n">
        <f aca="false">IFERROR(U99/S99,0)</f>
        <v>-0.121507842662374</v>
      </c>
      <c r="W99" s="5" t="str">
        <f aca="false">IF(V99&lt;-0.1,"ADVERSE &gt;10%","")</f>
        <v>ADVERSE &gt;10%</v>
      </c>
    </row>
    <row r="100" customFormat="false" ht="15" hidden="false" customHeight="false" outlineLevel="0" collapsed="false">
      <c r="A100" s="5" t="str">
        <f aca="false">01_Data!A100</f>
        <v>Banking &amp; Financial Services</v>
      </c>
      <c r="B100" s="5" t="str">
        <f aca="false">01_Data!C100</f>
        <v>2025-06</v>
      </c>
      <c r="C100" s="5" t="str">
        <f aca="false">01_Data!D100</f>
        <v>FY25</v>
      </c>
      <c r="D100" s="7" t="n">
        <f aca="false">01_Data!E100</f>
        <v>393168</v>
      </c>
      <c r="E100" s="7" t="n">
        <f aca="false">01_Data!F100</f>
        <v>383729</v>
      </c>
      <c r="F100" s="7" t="n">
        <f aca="false">E100-D100</f>
        <v>-9439</v>
      </c>
      <c r="G100" s="8" t="n">
        <f aca="false">IFERROR(F100/D100,0)</f>
        <v>-0.0240075489358239</v>
      </c>
      <c r="H100" s="7" t="n">
        <f aca="false">01_Data!G100</f>
        <v>219790</v>
      </c>
      <c r="I100" s="7" t="n">
        <f aca="false">01_Data!H100</f>
        <v>213531</v>
      </c>
      <c r="J100" s="7" t="n">
        <f aca="false">H100-I100</f>
        <v>6259</v>
      </c>
      <c r="K100" s="8" t="n">
        <f aca="false">IFERROR(J100/H100,0)</f>
        <v>0.0284771827653669</v>
      </c>
      <c r="L100" s="7" t="n">
        <f aca="false">D100-H100</f>
        <v>173378</v>
      </c>
      <c r="M100" s="7" t="n">
        <f aca="false">E100-I100</f>
        <v>170198</v>
      </c>
      <c r="N100" s="7" t="n">
        <f aca="false">IFERROR(L100/D100,0)</f>
        <v>0.440976885199202</v>
      </c>
      <c r="O100" s="7" t="n">
        <f aca="false">IFERROR(M100/E100,0)</f>
        <v>0.443536975313307</v>
      </c>
      <c r="P100" s="7" t="n">
        <f aca="false">01_Data!I100+01_Data!K100+01_Data!M100+01_Data!O100+01_Data!Q100+01_Data!S100+01_Data!U100</f>
        <v>112908</v>
      </c>
      <c r="Q100" s="7" t="n">
        <f aca="false">01_Data!J100+01_Data!L100+01_Data!N100+01_Data!P100+01_Data!R100+01_Data!T100+01_Data!V100</f>
        <v>116370</v>
      </c>
      <c r="R100" s="7" t="n">
        <f aca="false">P100-Q100</f>
        <v>-3462</v>
      </c>
      <c r="S100" s="7" t="n">
        <f aca="false">L100-P100</f>
        <v>60470</v>
      </c>
      <c r="T100" s="7" t="n">
        <f aca="false">M100-Q100</f>
        <v>53828</v>
      </c>
      <c r="U100" s="7" t="n">
        <f aca="false">T100-S100</f>
        <v>-6642</v>
      </c>
      <c r="V100" s="8" t="n">
        <f aca="false">IFERROR(U100/S100,0)</f>
        <v>-0.109839589879279</v>
      </c>
      <c r="W100" s="5" t="str">
        <f aca="false">IF(V100&lt;-0.1,"ADVERSE &gt;10%","")</f>
        <v>ADVERSE &gt;10%</v>
      </c>
    </row>
    <row r="101" customFormat="false" ht="15" hidden="false" customHeight="false" outlineLevel="0" collapsed="false">
      <c r="A101" s="5" t="str">
        <f aca="false">01_Data!A101</f>
        <v>Banking &amp; Financial Services</v>
      </c>
      <c r="B101" s="5" t="str">
        <f aca="false">01_Data!C101</f>
        <v>2025-07</v>
      </c>
      <c r="C101" s="5" t="str">
        <f aca="false">01_Data!D101</f>
        <v>FY25</v>
      </c>
      <c r="D101" s="7" t="n">
        <f aca="false">01_Data!E101</f>
        <v>375560</v>
      </c>
      <c r="E101" s="7" t="n">
        <f aca="false">01_Data!F101</f>
        <v>386867</v>
      </c>
      <c r="F101" s="7" t="n">
        <f aca="false">E101-D101</f>
        <v>11307</v>
      </c>
      <c r="G101" s="8" t="n">
        <f aca="false">IFERROR(F101/D101,0)</f>
        <v>0.030107040153371</v>
      </c>
      <c r="H101" s="7" t="n">
        <f aca="false">01_Data!G101</f>
        <v>213598</v>
      </c>
      <c r="I101" s="7" t="n">
        <f aca="false">01_Data!H101</f>
        <v>216200</v>
      </c>
      <c r="J101" s="7" t="n">
        <f aca="false">H101-I101</f>
        <v>-2602</v>
      </c>
      <c r="K101" s="8" t="n">
        <f aca="false">IFERROR(J101/H101,0)</f>
        <v>-0.0121817620015169</v>
      </c>
      <c r="L101" s="7" t="n">
        <f aca="false">D101-H101</f>
        <v>161962</v>
      </c>
      <c r="M101" s="7" t="n">
        <f aca="false">E101-I101</f>
        <v>170667</v>
      </c>
      <c r="N101" s="7" t="n">
        <f aca="false">IFERROR(L101/D101,0)</f>
        <v>0.431254659708169</v>
      </c>
      <c r="O101" s="7" t="n">
        <f aca="false">IFERROR(M101/E101,0)</f>
        <v>0.441151610243314</v>
      </c>
      <c r="P101" s="7" t="n">
        <f aca="false">01_Data!I101+01_Data!K101+01_Data!M101+01_Data!O101+01_Data!Q101+01_Data!S101+01_Data!U101</f>
        <v>101052</v>
      </c>
      <c r="Q101" s="7" t="n">
        <f aca="false">01_Data!J101+01_Data!L101+01_Data!N101+01_Data!P101+01_Data!R101+01_Data!T101+01_Data!V101</f>
        <v>104764</v>
      </c>
      <c r="R101" s="7" t="n">
        <f aca="false">P101-Q101</f>
        <v>-3712</v>
      </c>
      <c r="S101" s="7" t="n">
        <f aca="false">L101-P101</f>
        <v>60910</v>
      </c>
      <c r="T101" s="7" t="n">
        <f aca="false">M101-Q101</f>
        <v>65903</v>
      </c>
      <c r="U101" s="7" t="n">
        <f aca="false">T101-S101</f>
        <v>4993</v>
      </c>
      <c r="V101" s="8" t="n">
        <f aca="false">IFERROR(U101/S101,0)</f>
        <v>0.0819734033820391</v>
      </c>
      <c r="W101" s="5" t="str">
        <f aca="false">IF(V101&lt;-0.1,"ADVERSE &gt;10%","")</f>
        <v/>
      </c>
    </row>
    <row r="102" customFormat="false" ht="15" hidden="false" customHeight="false" outlineLevel="0" collapsed="false">
      <c r="A102" s="5" t="str">
        <f aca="false">01_Data!A102</f>
        <v>Banking &amp; Financial Services</v>
      </c>
      <c r="B102" s="5" t="str">
        <f aca="false">01_Data!C102</f>
        <v>2025-08</v>
      </c>
      <c r="C102" s="5" t="str">
        <f aca="false">01_Data!D102</f>
        <v>FY25</v>
      </c>
      <c r="D102" s="7" t="n">
        <f aca="false">01_Data!E102</f>
        <v>371701</v>
      </c>
      <c r="E102" s="7" t="n">
        <f aca="false">01_Data!F102</f>
        <v>395165</v>
      </c>
      <c r="F102" s="7" t="n">
        <f aca="false">E102-D102</f>
        <v>23464</v>
      </c>
      <c r="G102" s="8" t="n">
        <f aca="false">IFERROR(F102/D102,0)</f>
        <v>0.0631260071939543</v>
      </c>
      <c r="H102" s="7" t="n">
        <f aca="false">01_Data!G102</f>
        <v>212993</v>
      </c>
      <c r="I102" s="7" t="n">
        <f aca="false">01_Data!H102</f>
        <v>236892</v>
      </c>
      <c r="J102" s="7" t="n">
        <f aca="false">H102-I102</f>
        <v>-23899</v>
      </c>
      <c r="K102" s="8" t="n">
        <f aca="false">IFERROR(J102/H102,0)</f>
        <v>-0.112205565441118</v>
      </c>
      <c r="L102" s="7" t="n">
        <f aca="false">D102-H102</f>
        <v>158708</v>
      </c>
      <c r="M102" s="7" t="n">
        <f aca="false">E102-I102</f>
        <v>158273</v>
      </c>
      <c r="N102" s="7" t="n">
        <f aca="false">IFERROR(L102/D102,0)</f>
        <v>0.426977597585156</v>
      </c>
      <c r="O102" s="7" t="n">
        <f aca="false">IFERROR(M102/E102,0)</f>
        <v>0.400523831817089</v>
      </c>
      <c r="P102" s="7" t="n">
        <f aca="false">01_Data!I102+01_Data!K102+01_Data!M102+01_Data!O102+01_Data!Q102+01_Data!S102+01_Data!U102</f>
        <v>101078</v>
      </c>
      <c r="Q102" s="7" t="n">
        <f aca="false">01_Data!J102+01_Data!L102+01_Data!N102+01_Data!P102+01_Data!R102+01_Data!T102+01_Data!V102</f>
        <v>106784</v>
      </c>
      <c r="R102" s="7" t="n">
        <f aca="false">P102-Q102</f>
        <v>-5706</v>
      </c>
      <c r="S102" s="7" t="n">
        <f aca="false">L102-P102</f>
        <v>57630</v>
      </c>
      <c r="T102" s="7" t="n">
        <f aca="false">M102-Q102</f>
        <v>51489</v>
      </c>
      <c r="U102" s="7" t="n">
        <f aca="false">T102-S102</f>
        <v>-6141</v>
      </c>
      <c r="V102" s="8" t="n">
        <f aca="false">IFERROR(U102/S102,0)</f>
        <v>-0.106559083810515</v>
      </c>
      <c r="W102" s="5" t="str">
        <f aca="false">IF(V102&lt;-0.1,"ADVERSE &gt;10%","")</f>
        <v>ADVERSE &gt;10%</v>
      </c>
    </row>
    <row r="103" customFormat="false" ht="15" hidden="false" customHeight="false" outlineLevel="0" collapsed="false">
      <c r="A103" s="5" t="str">
        <f aca="false">01_Data!A103</f>
        <v>Banking &amp; Financial Services</v>
      </c>
      <c r="B103" s="5" t="str">
        <f aca="false">01_Data!C103</f>
        <v>2025-09</v>
      </c>
      <c r="C103" s="5" t="str">
        <f aca="false">01_Data!D103</f>
        <v>FY25</v>
      </c>
      <c r="D103" s="7" t="n">
        <f aca="false">01_Data!E103</f>
        <v>422919</v>
      </c>
      <c r="E103" s="7" t="n">
        <f aca="false">01_Data!F103</f>
        <v>440079</v>
      </c>
      <c r="F103" s="7" t="n">
        <f aca="false">E103-D103</f>
        <v>17160</v>
      </c>
      <c r="G103" s="8" t="n">
        <f aca="false">IFERROR(F103/D103,0)</f>
        <v>0.0405751455952558</v>
      </c>
      <c r="H103" s="7" t="n">
        <f aca="false">01_Data!G103</f>
        <v>250763</v>
      </c>
      <c r="I103" s="7" t="n">
        <f aca="false">01_Data!H103</f>
        <v>256005</v>
      </c>
      <c r="J103" s="7" t="n">
        <f aca="false">H103-I103</f>
        <v>-5242</v>
      </c>
      <c r="K103" s="8" t="n">
        <f aca="false">IFERROR(J103/H103,0)</f>
        <v>-0.0209042003804389</v>
      </c>
      <c r="L103" s="7" t="n">
        <f aca="false">D103-H103</f>
        <v>172156</v>
      </c>
      <c r="M103" s="7" t="n">
        <f aca="false">E103-I103</f>
        <v>184074</v>
      </c>
      <c r="N103" s="7" t="n">
        <f aca="false">IFERROR(L103/D103,0)</f>
        <v>0.407066128502148</v>
      </c>
      <c r="O103" s="7" t="n">
        <f aca="false">IFERROR(M103/E103,0)</f>
        <v>0.418274900642839</v>
      </c>
      <c r="P103" s="7" t="n">
        <f aca="false">01_Data!I103+01_Data!K103+01_Data!M103+01_Data!O103+01_Data!Q103+01_Data!S103+01_Data!U103</f>
        <v>117117</v>
      </c>
      <c r="Q103" s="7" t="n">
        <f aca="false">01_Data!J103+01_Data!L103+01_Data!N103+01_Data!P103+01_Data!R103+01_Data!T103+01_Data!V103</f>
        <v>126791</v>
      </c>
      <c r="R103" s="7" t="n">
        <f aca="false">P103-Q103</f>
        <v>-9674</v>
      </c>
      <c r="S103" s="7" t="n">
        <f aca="false">L103-P103</f>
        <v>55039</v>
      </c>
      <c r="T103" s="7" t="n">
        <f aca="false">M103-Q103</f>
        <v>57283</v>
      </c>
      <c r="U103" s="7" t="n">
        <f aca="false">T103-S103</f>
        <v>2244</v>
      </c>
      <c r="V103" s="8" t="n">
        <f aca="false">IFERROR(U103/S103,0)</f>
        <v>0.0407710895910173</v>
      </c>
      <c r="W103" s="5" t="str">
        <f aca="false">IF(V103&lt;-0.1,"ADVERSE &gt;10%","")</f>
        <v/>
      </c>
    </row>
    <row r="104" customFormat="false" ht="15" hidden="false" customHeight="false" outlineLevel="0" collapsed="false">
      <c r="A104" s="5" t="str">
        <f aca="false">01_Data!A104</f>
        <v>Banking &amp; Financial Services</v>
      </c>
      <c r="B104" s="5" t="str">
        <f aca="false">01_Data!C104</f>
        <v>2025-10</v>
      </c>
      <c r="C104" s="5" t="str">
        <f aca="false">01_Data!D104</f>
        <v>FY25</v>
      </c>
      <c r="D104" s="7" t="n">
        <f aca="false">01_Data!E104</f>
        <v>410591</v>
      </c>
      <c r="E104" s="7" t="n">
        <f aca="false">01_Data!F104</f>
        <v>410891</v>
      </c>
      <c r="F104" s="7" t="n">
        <f aca="false">E104-D104</f>
        <v>300</v>
      </c>
      <c r="G104" s="8" t="n">
        <f aca="false">IFERROR(F104/D104,0)</f>
        <v>0.000730654105910748</v>
      </c>
      <c r="H104" s="7" t="n">
        <f aca="false">01_Data!G104</f>
        <v>244841</v>
      </c>
      <c r="I104" s="7" t="n">
        <f aca="false">01_Data!H104</f>
        <v>254287</v>
      </c>
      <c r="J104" s="7" t="n">
        <f aca="false">H104-I104</f>
        <v>-9446</v>
      </c>
      <c r="K104" s="8" t="n">
        <f aca="false">IFERROR(J104/H104,0)</f>
        <v>-0.0385801397641735</v>
      </c>
      <c r="L104" s="7" t="n">
        <f aca="false">D104-H104</f>
        <v>165750</v>
      </c>
      <c r="M104" s="7" t="n">
        <f aca="false">E104-I104</f>
        <v>156604</v>
      </c>
      <c r="N104" s="7" t="n">
        <f aca="false">IFERROR(L104/D104,0)</f>
        <v>0.403686393515688</v>
      </c>
      <c r="O104" s="7" t="n">
        <f aca="false">IFERROR(M104/E104,0)</f>
        <v>0.38113270916131</v>
      </c>
      <c r="P104" s="7" t="n">
        <f aca="false">01_Data!I104+01_Data!K104+01_Data!M104+01_Data!O104+01_Data!Q104+01_Data!S104+01_Data!U104</f>
        <v>108494</v>
      </c>
      <c r="Q104" s="7" t="n">
        <f aca="false">01_Data!J104+01_Data!L104+01_Data!N104+01_Data!P104+01_Data!R104+01_Data!T104+01_Data!V104</f>
        <v>107056</v>
      </c>
      <c r="R104" s="7" t="n">
        <f aca="false">P104-Q104</f>
        <v>1438</v>
      </c>
      <c r="S104" s="7" t="n">
        <f aca="false">L104-P104</f>
        <v>57256</v>
      </c>
      <c r="T104" s="7" t="n">
        <f aca="false">M104-Q104</f>
        <v>49548</v>
      </c>
      <c r="U104" s="7" t="n">
        <f aca="false">T104-S104</f>
        <v>-7708</v>
      </c>
      <c r="V104" s="8" t="n">
        <f aca="false">IFERROR(U104/S104,0)</f>
        <v>-0.134623445577756</v>
      </c>
      <c r="W104" s="5" t="str">
        <f aca="false">IF(V104&lt;-0.1,"ADVERSE &gt;10%","")</f>
        <v>ADVERSE &gt;10%</v>
      </c>
    </row>
    <row r="105" customFormat="false" ht="15" hidden="false" customHeight="false" outlineLevel="0" collapsed="false">
      <c r="A105" s="5" t="str">
        <f aca="false">01_Data!A105</f>
        <v>Banking &amp; Financial Services</v>
      </c>
      <c r="B105" s="5" t="str">
        <f aca="false">01_Data!C105</f>
        <v>2025-11</v>
      </c>
      <c r="C105" s="5" t="str">
        <f aca="false">01_Data!D105</f>
        <v>FY25</v>
      </c>
      <c r="D105" s="7" t="n">
        <f aca="false">01_Data!E105</f>
        <v>421410</v>
      </c>
      <c r="E105" s="7" t="n">
        <f aca="false">01_Data!F105</f>
        <v>420639</v>
      </c>
      <c r="F105" s="7" t="n">
        <f aca="false">E105-D105</f>
        <v>-771</v>
      </c>
      <c r="G105" s="8" t="n">
        <f aca="false">IFERROR(F105/D105,0)</f>
        <v>-0.00182957215063715</v>
      </c>
      <c r="H105" s="7" t="n">
        <f aca="false">01_Data!G105</f>
        <v>229755</v>
      </c>
      <c r="I105" s="7" t="n">
        <f aca="false">01_Data!H105</f>
        <v>234997</v>
      </c>
      <c r="J105" s="7" t="n">
        <f aca="false">H105-I105</f>
        <v>-5242</v>
      </c>
      <c r="K105" s="8" t="n">
        <f aca="false">IFERROR(J105/H105,0)</f>
        <v>-0.0228156079301865</v>
      </c>
      <c r="L105" s="7" t="n">
        <f aca="false">D105-H105</f>
        <v>191655</v>
      </c>
      <c r="M105" s="7" t="n">
        <f aca="false">E105-I105</f>
        <v>185642</v>
      </c>
      <c r="N105" s="7" t="n">
        <f aca="false">IFERROR(L105/D105,0)</f>
        <v>0.454794618067915</v>
      </c>
      <c r="O105" s="7" t="n">
        <f aca="false">IFERROR(M105/E105,0)</f>
        <v>0.441333304805308</v>
      </c>
      <c r="P105" s="7" t="n">
        <f aca="false">01_Data!I105+01_Data!K105+01_Data!M105+01_Data!O105+01_Data!Q105+01_Data!S105+01_Data!U105</f>
        <v>106690</v>
      </c>
      <c r="Q105" s="7" t="n">
        <f aca="false">01_Data!J105+01_Data!L105+01_Data!N105+01_Data!P105+01_Data!R105+01_Data!T105+01_Data!V105</f>
        <v>105981</v>
      </c>
      <c r="R105" s="7" t="n">
        <f aca="false">P105-Q105</f>
        <v>709</v>
      </c>
      <c r="S105" s="7" t="n">
        <f aca="false">L105-P105</f>
        <v>84965</v>
      </c>
      <c r="T105" s="7" t="n">
        <f aca="false">M105-Q105</f>
        <v>79661</v>
      </c>
      <c r="U105" s="7" t="n">
        <f aca="false">T105-S105</f>
        <v>-5304</v>
      </c>
      <c r="V105" s="8" t="n">
        <f aca="false">IFERROR(U105/S105,0)</f>
        <v>-0.0624257047019361</v>
      </c>
      <c r="W105" s="5" t="str">
        <f aca="false">IF(V105&lt;-0.1,"ADVERSE &gt;10%","")</f>
        <v/>
      </c>
    </row>
    <row r="106" customFormat="false" ht="15" hidden="false" customHeight="false" outlineLevel="0" collapsed="false">
      <c r="A106" s="5" t="str">
        <f aca="false">01_Data!A106</f>
        <v>Banking &amp; Financial Services</v>
      </c>
      <c r="B106" s="5" t="str">
        <f aca="false">01_Data!C106</f>
        <v>2025-12</v>
      </c>
      <c r="C106" s="5" t="str">
        <f aca="false">01_Data!D106</f>
        <v>FY25</v>
      </c>
      <c r="D106" s="7" t="n">
        <f aca="false">01_Data!E106</f>
        <v>443274</v>
      </c>
      <c r="E106" s="7" t="n">
        <f aca="false">01_Data!F106</f>
        <v>453794</v>
      </c>
      <c r="F106" s="7" t="n">
        <f aca="false">E106-D106</f>
        <v>10520</v>
      </c>
      <c r="G106" s="8" t="n">
        <f aca="false">IFERROR(F106/D106,0)</f>
        <v>0.0237324995375321</v>
      </c>
      <c r="H106" s="7" t="n">
        <f aca="false">01_Data!G106</f>
        <v>250151</v>
      </c>
      <c r="I106" s="7" t="n">
        <f aca="false">01_Data!H106</f>
        <v>258413</v>
      </c>
      <c r="J106" s="7" t="n">
        <f aca="false">H106-I106</f>
        <v>-8262</v>
      </c>
      <c r="K106" s="8" t="n">
        <f aca="false">IFERROR(J106/H106,0)</f>
        <v>-0.0330280510571615</v>
      </c>
      <c r="L106" s="7" t="n">
        <f aca="false">D106-H106</f>
        <v>193123</v>
      </c>
      <c r="M106" s="7" t="n">
        <f aca="false">E106-I106</f>
        <v>195381</v>
      </c>
      <c r="N106" s="7" t="n">
        <f aca="false">IFERROR(L106/D106,0)</f>
        <v>0.435674097736389</v>
      </c>
      <c r="O106" s="7" t="n">
        <f aca="false">IFERROR(M106/E106,0)</f>
        <v>0.430549985235591</v>
      </c>
      <c r="P106" s="7" t="n">
        <f aca="false">01_Data!I106+01_Data!K106+01_Data!M106+01_Data!O106+01_Data!Q106+01_Data!S106+01_Data!U106</f>
        <v>123137</v>
      </c>
      <c r="Q106" s="7" t="n">
        <f aca="false">01_Data!J106+01_Data!L106+01_Data!N106+01_Data!P106+01_Data!R106+01_Data!T106+01_Data!V106</f>
        <v>125209</v>
      </c>
      <c r="R106" s="7" t="n">
        <f aca="false">P106-Q106</f>
        <v>-2072</v>
      </c>
      <c r="S106" s="7" t="n">
        <f aca="false">L106-P106</f>
        <v>69986</v>
      </c>
      <c r="T106" s="7" t="n">
        <f aca="false">M106-Q106</f>
        <v>70172</v>
      </c>
      <c r="U106" s="7" t="n">
        <f aca="false">T106-S106</f>
        <v>186</v>
      </c>
      <c r="V106" s="8" t="n">
        <f aca="false">IFERROR(U106/S106,0)</f>
        <v>0.00265767439202126</v>
      </c>
      <c r="W106" s="5" t="str">
        <f aca="false">IF(V106&lt;-0.1,"ADVERSE &gt;10%","")</f>
        <v/>
      </c>
    </row>
    <row r="107" customFormat="false" ht="15" hidden="false" customHeight="false" outlineLevel="0" collapsed="false">
      <c r="A107" s="5" t="str">
        <f aca="false">01_Data!A107</f>
        <v>Banking &amp; Financial Services</v>
      </c>
      <c r="B107" s="5" t="str">
        <f aca="false">01_Data!C107</f>
        <v>2026-01</v>
      </c>
      <c r="C107" s="5" t="str">
        <f aca="false">01_Data!D107</f>
        <v>FY25</v>
      </c>
      <c r="D107" s="7" t="n">
        <f aca="false">01_Data!E107</f>
        <v>424372</v>
      </c>
      <c r="E107" s="7" t="n">
        <f aca="false">01_Data!F107</f>
        <v>422470</v>
      </c>
      <c r="F107" s="7" t="n">
        <f aca="false">E107-D107</f>
        <v>-1902</v>
      </c>
      <c r="G107" s="8" t="n">
        <f aca="false">IFERROR(F107/D107,0)</f>
        <v>-0.00448191680883753</v>
      </c>
      <c r="H107" s="7" t="n">
        <f aca="false">01_Data!G107</f>
        <v>246070</v>
      </c>
      <c r="I107" s="7" t="n">
        <f aca="false">01_Data!H107</f>
        <v>241132</v>
      </c>
      <c r="J107" s="7" t="n">
        <f aca="false">H107-I107</f>
        <v>4938</v>
      </c>
      <c r="K107" s="8" t="n">
        <f aca="false">IFERROR(J107/H107,0)</f>
        <v>0.0200674604787256</v>
      </c>
      <c r="L107" s="7" t="n">
        <f aca="false">D107-H107</f>
        <v>178302</v>
      </c>
      <c r="M107" s="7" t="n">
        <f aca="false">E107-I107</f>
        <v>181338</v>
      </c>
      <c r="N107" s="7" t="n">
        <f aca="false">IFERROR(L107/D107,0)</f>
        <v>0.420154958385567</v>
      </c>
      <c r="O107" s="7" t="n">
        <f aca="false">IFERROR(M107/E107,0)</f>
        <v>0.429232844935735</v>
      </c>
      <c r="P107" s="7" t="n">
        <f aca="false">01_Data!I107+01_Data!K107+01_Data!M107+01_Data!O107+01_Data!Q107+01_Data!S107+01_Data!U107</f>
        <v>107558</v>
      </c>
      <c r="Q107" s="7" t="n">
        <f aca="false">01_Data!J107+01_Data!L107+01_Data!N107+01_Data!P107+01_Data!R107+01_Data!T107+01_Data!V107</f>
        <v>110483</v>
      </c>
      <c r="R107" s="7" t="n">
        <f aca="false">P107-Q107</f>
        <v>-2925</v>
      </c>
      <c r="S107" s="7" t="n">
        <f aca="false">L107-P107</f>
        <v>70744</v>
      </c>
      <c r="T107" s="7" t="n">
        <f aca="false">M107-Q107</f>
        <v>70855</v>
      </c>
      <c r="U107" s="7" t="n">
        <f aca="false">T107-S107</f>
        <v>111</v>
      </c>
      <c r="V107" s="8" t="n">
        <f aca="false">IFERROR(U107/S107,0)</f>
        <v>0.00156903765690377</v>
      </c>
      <c r="W107" s="5" t="str">
        <f aca="false">IF(V107&lt;-0.1,"ADVERSE &gt;10%","")</f>
        <v/>
      </c>
    </row>
    <row r="108" customFormat="false" ht="15" hidden="false" customHeight="false" outlineLevel="0" collapsed="false">
      <c r="A108" s="5" t="str">
        <f aca="false">01_Data!A108</f>
        <v>Banking &amp; Financial Services</v>
      </c>
      <c r="B108" s="5" t="str">
        <f aca="false">01_Data!C108</f>
        <v>2026-02</v>
      </c>
      <c r="C108" s="5" t="str">
        <f aca="false">01_Data!D108</f>
        <v>FY25</v>
      </c>
      <c r="D108" s="7" t="n">
        <f aca="false">01_Data!E108</f>
        <v>407580</v>
      </c>
      <c r="E108" s="7" t="n">
        <f aca="false">01_Data!F108</f>
        <v>427256</v>
      </c>
      <c r="F108" s="7" t="n">
        <f aca="false">E108-D108</f>
        <v>19676</v>
      </c>
      <c r="G108" s="8" t="n">
        <f aca="false">IFERROR(F108/D108,0)</f>
        <v>0.0482751852397075</v>
      </c>
      <c r="H108" s="7" t="n">
        <f aca="false">01_Data!G108</f>
        <v>225116</v>
      </c>
      <c r="I108" s="7" t="n">
        <f aca="false">01_Data!H108</f>
        <v>239896</v>
      </c>
      <c r="J108" s="7" t="n">
        <f aca="false">H108-I108</f>
        <v>-14780</v>
      </c>
      <c r="K108" s="8" t="n">
        <f aca="false">IFERROR(J108/H108,0)</f>
        <v>-0.0656550400682315</v>
      </c>
      <c r="L108" s="7" t="n">
        <f aca="false">D108-H108</f>
        <v>182464</v>
      </c>
      <c r="M108" s="7" t="n">
        <f aca="false">E108-I108</f>
        <v>187360</v>
      </c>
      <c r="N108" s="7" t="n">
        <f aca="false">IFERROR(L108/D108,0)</f>
        <v>0.447676529761029</v>
      </c>
      <c r="O108" s="7" t="n">
        <f aca="false">IFERROR(M108/E108,0)</f>
        <v>0.438519295223473</v>
      </c>
      <c r="P108" s="7" t="n">
        <f aca="false">01_Data!I108+01_Data!K108+01_Data!M108+01_Data!O108+01_Data!Q108+01_Data!S108+01_Data!U108</f>
        <v>105693</v>
      </c>
      <c r="Q108" s="7" t="n">
        <f aca="false">01_Data!J108+01_Data!L108+01_Data!N108+01_Data!P108+01_Data!R108+01_Data!T108+01_Data!V108</f>
        <v>108400</v>
      </c>
      <c r="R108" s="7" t="n">
        <f aca="false">P108-Q108</f>
        <v>-2707</v>
      </c>
      <c r="S108" s="7" t="n">
        <f aca="false">L108-P108</f>
        <v>76771</v>
      </c>
      <c r="T108" s="7" t="n">
        <f aca="false">M108-Q108</f>
        <v>78960</v>
      </c>
      <c r="U108" s="7" t="n">
        <f aca="false">T108-S108</f>
        <v>2189</v>
      </c>
      <c r="V108" s="8" t="n">
        <f aca="false">IFERROR(U108/S108,0)</f>
        <v>0.0285133709343372</v>
      </c>
      <c r="W108" s="5" t="str">
        <f aca="false">IF(V108&lt;-0.1,"ADVERSE &gt;10%","")</f>
        <v/>
      </c>
    </row>
    <row r="109" customFormat="false" ht="15" hidden="false" customHeight="false" outlineLevel="0" collapsed="false">
      <c r="A109" s="5" t="str">
        <f aca="false">01_Data!A109</f>
        <v>Banking &amp; Financial Services</v>
      </c>
      <c r="B109" s="5" t="str">
        <f aca="false">01_Data!C109</f>
        <v>2026-03</v>
      </c>
      <c r="C109" s="5" t="str">
        <f aca="false">01_Data!D109</f>
        <v>FY25</v>
      </c>
      <c r="D109" s="7" t="n">
        <f aca="false">01_Data!E109</f>
        <v>450993</v>
      </c>
      <c r="E109" s="7" t="n">
        <f aca="false">01_Data!F109</f>
        <v>459567</v>
      </c>
      <c r="F109" s="7" t="n">
        <f aca="false">E109-D109</f>
        <v>8574</v>
      </c>
      <c r="G109" s="8" t="n">
        <f aca="false">IFERROR(F109/D109,0)</f>
        <v>0.0190113815513766</v>
      </c>
      <c r="H109" s="7" t="n">
        <f aca="false">01_Data!G109</f>
        <v>245262</v>
      </c>
      <c r="I109" s="7" t="n">
        <f aca="false">01_Data!H109</f>
        <v>263576</v>
      </c>
      <c r="J109" s="7" t="n">
        <f aca="false">H109-I109</f>
        <v>-18314</v>
      </c>
      <c r="K109" s="8" t="n">
        <f aca="false">IFERROR(J109/H109,0)</f>
        <v>-0.0746711679754711</v>
      </c>
      <c r="L109" s="7" t="n">
        <f aca="false">D109-H109</f>
        <v>205731</v>
      </c>
      <c r="M109" s="7" t="n">
        <f aca="false">E109-I109</f>
        <v>195991</v>
      </c>
      <c r="N109" s="7" t="n">
        <f aca="false">IFERROR(L109/D109,0)</f>
        <v>0.45617337741384</v>
      </c>
      <c r="O109" s="7" t="n">
        <f aca="false">IFERROR(M109/E109,0)</f>
        <v>0.426468828266608</v>
      </c>
      <c r="P109" s="7" t="n">
        <f aca="false">01_Data!I109+01_Data!K109+01_Data!M109+01_Data!O109+01_Data!Q109+01_Data!S109+01_Data!U109</f>
        <v>133669</v>
      </c>
      <c r="Q109" s="7" t="n">
        <f aca="false">01_Data!J109+01_Data!L109+01_Data!N109+01_Data!P109+01_Data!R109+01_Data!T109+01_Data!V109</f>
        <v>132245</v>
      </c>
      <c r="R109" s="7" t="n">
        <f aca="false">P109-Q109</f>
        <v>1424</v>
      </c>
      <c r="S109" s="7" t="n">
        <f aca="false">L109-P109</f>
        <v>72062</v>
      </c>
      <c r="T109" s="7" t="n">
        <f aca="false">M109-Q109</f>
        <v>63746</v>
      </c>
      <c r="U109" s="7" t="n">
        <f aca="false">T109-S109</f>
        <v>-8316</v>
      </c>
      <c r="V109" s="8" t="n">
        <f aca="false">IFERROR(U109/S109,0)</f>
        <v>-0.115400627237656</v>
      </c>
      <c r="W109" s="5" t="str">
        <f aca="false">IF(V109&lt;-0.1,"ADVERSE &gt;10%","")</f>
        <v>ADVERSE &gt;10%</v>
      </c>
    </row>
    <row r="110" customFormat="false" ht="15" hidden="false" customHeight="false" outlineLevel="0" collapsed="false">
      <c r="A110" s="5" t="str">
        <f aca="false">01_Data!A110</f>
        <v>Banking &amp; Financial Services</v>
      </c>
      <c r="B110" s="5" t="str">
        <f aca="false">01_Data!C110</f>
        <v>2023-04</v>
      </c>
      <c r="C110" s="5" t="str">
        <f aca="false">01_Data!D110</f>
        <v>FY23</v>
      </c>
      <c r="D110" s="7" t="n">
        <f aca="false">01_Data!E110</f>
        <v>173776</v>
      </c>
      <c r="E110" s="7" t="n">
        <f aca="false">01_Data!F110</f>
        <v>172960</v>
      </c>
      <c r="F110" s="7" t="n">
        <f aca="false">E110-D110</f>
        <v>-816</v>
      </c>
      <c r="G110" s="8" t="n">
        <f aca="false">IFERROR(F110/D110,0)</f>
        <v>-0.00469570021176687</v>
      </c>
      <c r="H110" s="7" t="n">
        <f aca="false">01_Data!G110</f>
        <v>100653</v>
      </c>
      <c r="I110" s="7" t="n">
        <f aca="false">01_Data!H110</f>
        <v>99729</v>
      </c>
      <c r="J110" s="7" t="n">
        <f aca="false">H110-I110</f>
        <v>924</v>
      </c>
      <c r="K110" s="8" t="n">
        <f aca="false">IFERROR(J110/H110,0)</f>
        <v>0.00918005424577509</v>
      </c>
      <c r="L110" s="7" t="n">
        <f aca="false">D110-H110</f>
        <v>73123</v>
      </c>
      <c r="M110" s="7" t="n">
        <f aca="false">E110-I110</f>
        <v>73231</v>
      </c>
      <c r="N110" s="7" t="n">
        <f aca="false">IFERROR(L110/D110,0)</f>
        <v>0.4207888315993</v>
      </c>
      <c r="O110" s="7" t="n">
        <f aca="false">IFERROR(M110/E110,0)</f>
        <v>0.423398473635523</v>
      </c>
      <c r="P110" s="7" t="n">
        <f aca="false">01_Data!I110+01_Data!K110+01_Data!M110+01_Data!O110+01_Data!Q110+01_Data!S110+01_Data!U110</f>
        <v>43466</v>
      </c>
      <c r="Q110" s="7" t="n">
        <f aca="false">01_Data!J110+01_Data!L110+01_Data!N110+01_Data!P110+01_Data!R110+01_Data!T110+01_Data!V110</f>
        <v>44568</v>
      </c>
      <c r="R110" s="7" t="n">
        <f aca="false">P110-Q110</f>
        <v>-1102</v>
      </c>
      <c r="S110" s="7" t="n">
        <f aca="false">L110-P110</f>
        <v>29657</v>
      </c>
      <c r="T110" s="7" t="n">
        <f aca="false">M110-Q110</f>
        <v>28663</v>
      </c>
      <c r="U110" s="7" t="n">
        <f aca="false">T110-S110</f>
        <v>-994</v>
      </c>
      <c r="V110" s="8" t="n">
        <f aca="false">IFERROR(U110/S110,0)</f>
        <v>-0.0335165390970091</v>
      </c>
      <c r="W110" s="5" t="str">
        <f aca="false">IF(V110&lt;-0.1,"ADVERSE &gt;10%","")</f>
        <v/>
      </c>
    </row>
    <row r="111" customFormat="false" ht="15" hidden="false" customHeight="false" outlineLevel="0" collapsed="false">
      <c r="A111" s="5" t="str">
        <f aca="false">01_Data!A111</f>
        <v>Banking &amp; Financial Services</v>
      </c>
      <c r="B111" s="5" t="str">
        <f aca="false">01_Data!C111</f>
        <v>2023-05</v>
      </c>
      <c r="C111" s="5" t="str">
        <f aca="false">01_Data!D111</f>
        <v>FY23</v>
      </c>
      <c r="D111" s="7" t="n">
        <f aca="false">01_Data!E111</f>
        <v>181668</v>
      </c>
      <c r="E111" s="7" t="n">
        <f aca="false">01_Data!F111</f>
        <v>172608</v>
      </c>
      <c r="F111" s="7" t="n">
        <f aca="false">E111-D111</f>
        <v>-9060</v>
      </c>
      <c r="G111" s="8" t="n">
        <f aca="false">IFERROR(F111/D111,0)</f>
        <v>-0.0498711936059185</v>
      </c>
      <c r="H111" s="7" t="n">
        <f aca="false">01_Data!G111</f>
        <v>106004</v>
      </c>
      <c r="I111" s="7" t="n">
        <f aca="false">01_Data!H111</f>
        <v>98239</v>
      </c>
      <c r="J111" s="7" t="n">
        <f aca="false">H111-I111</f>
        <v>7765</v>
      </c>
      <c r="K111" s="8" t="n">
        <f aca="false">IFERROR(J111/H111,0)</f>
        <v>0.0732519527564998</v>
      </c>
      <c r="L111" s="7" t="n">
        <f aca="false">D111-H111</f>
        <v>75664</v>
      </c>
      <c r="M111" s="7" t="n">
        <f aca="false">E111-I111</f>
        <v>74369</v>
      </c>
      <c r="N111" s="7" t="n">
        <f aca="false">IFERROR(L111/D111,0)</f>
        <v>0.416496025717242</v>
      </c>
      <c r="O111" s="7" t="n">
        <f aca="false">IFERROR(M111/E111,0)</f>
        <v>0.430854885057471</v>
      </c>
      <c r="P111" s="7" t="n">
        <f aca="false">01_Data!I111+01_Data!K111+01_Data!M111+01_Data!O111+01_Data!Q111+01_Data!S111+01_Data!U111</f>
        <v>49048</v>
      </c>
      <c r="Q111" s="7" t="n">
        <f aca="false">01_Data!J111+01_Data!L111+01_Data!N111+01_Data!P111+01_Data!R111+01_Data!T111+01_Data!V111</f>
        <v>50061</v>
      </c>
      <c r="R111" s="7" t="n">
        <f aca="false">P111-Q111</f>
        <v>-1013</v>
      </c>
      <c r="S111" s="7" t="n">
        <f aca="false">L111-P111</f>
        <v>26616</v>
      </c>
      <c r="T111" s="7" t="n">
        <f aca="false">M111-Q111</f>
        <v>24308</v>
      </c>
      <c r="U111" s="7" t="n">
        <f aca="false">T111-S111</f>
        <v>-2308</v>
      </c>
      <c r="V111" s="8" t="n">
        <f aca="false">IFERROR(U111/S111,0)</f>
        <v>-0.0867147580402765</v>
      </c>
      <c r="W111" s="5" t="str">
        <f aca="false">IF(V111&lt;-0.1,"ADVERSE &gt;10%","")</f>
        <v/>
      </c>
    </row>
    <row r="112" customFormat="false" ht="15" hidden="false" customHeight="false" outlineLevel="0" collapsed="false">
      <c r="A112" s="5" t="str">
        <f aca="false">01_Data!A112</f>
        <v>Banking &amp; Financial Services</v>
      </c>
      <c r="B112" s="5" t="str">
        <f aca="false">01_Data!C112</f>
        <v>2023-06</v>
      </c>
      <c r="C112" s="5" t="str">
        <f aca="false">01_Data!D112</f>
        <v>FY23</v>
      </c>
      <c r="D112" s="7" t="n">
        <f aca="false">01_Data!E112</f>
        <v>179353</v>
      </c>
      <c r="E112" s="7" t="n">
        <f aca="false">01_Data!F112</f>
        <v>171852</v>
      </c>
      <c r="F112" s="7" t="n">
        <f aca="false">E112-D112</f>
        <v>-7501</v>
      </c>
      <c r="G112" s="8" t="n">
        <f aca="false">IFERROR(F112/D112,0)</f>
        <v>-0.041822551058527</v>
      </c>
      <c r="H112" s="7" t="n">
        <f aca="false">01_Data!G112</f>
        <v>97458</v>
      </c>
      <c r="I112" s="7" t="n">
        <f aca="false">01_Data!H112</f>
        <v>94275</v>
      </c>
      <c r="J112" s="7" t="n">
        <f aca="false">H112-I112</f>
        <v>3183</v>
      </c>
      <c r="K112" s="8" t="n">
        <f aca="false">IFERROR(J112/H112,0)</f>
        <v>0.0326602228652343</v>
      </c>
      <c r="L112" s="7" t="n">
        <f aca="false">D112-H112</f>
        <v>81895</v>
      </c>
      <c r="M112" s="7" t="n">
        <f aca="false">E112-I112</f>
        <v>77577</v>
      </c>
      <c r="N112" s="7" t="n">
        <f aca="false">IFERROR(L112/D112,0)</f>
        <v>0.456613494059202</v>
      </c>
      <c r="O112" s="7" t="n">
        <f aca="false">IFERROR(M112/E112,0)</f>
        <v>0.451417498778018</v>
      </c>
      <c r="P112" s="7" t="n">
        <f aca="false">01_Data!I112+01_Data!K112+01_Data!M112+01_Data!O112+01_Data!Q112+01_Data!S112+01_Data!U112</f>
        <v>45577</v>
      </c>
      <c r="Q112" s="7" t="n">
        <f aca="false">01_Data!J112+01_Data!L112+01_Data!N112+01_Data!P112+01_Data!R112+01_Data!T112+01_Data!V112</f>
        <v>47179</v>
      </c>
      <c r="R112" s="7" t="n">
        <f aca="false">P112-Q112</f>
        <v>-1602</v>
      </c>
      <c r="S112" s="7" t="n">
        <f aca="false">L112-P112</f>
        <v>36318</v>
      </c>
      <c r="T112" s="7" t="n">
        <f aca="false">M112-Q112</f>
        <v>30398</v>
      </c>
      <c r="U112" s="7" t="n">
        <f aca="false">T112-S112</f>
        <v>-5920</v>
      </c>
      <c r="V112" s="8" t="n">
        <f aca="false">IFERROR(U112/S112,0)</f>
        <v>-0.163004570736274</v>
      </c>
      <c r="W112" s="5" t="str">
        <f aca="false">IF(V112&lt;-0.1,"ADVERSE &gt;10%","")</f>
        <v>ADVERSE &gt;10%</v>
      </c>
    </row>
    <row r="113" customFormat="false" ht="15" hidden="false" customHeight="false" outlineLevel="0" collapsed="false">
      <c r="A113" s="5" t="str">
        <f aca="false">01_Data!A113</f>
        <v>Banking &amp; Financial Services</v>
      </c>
      <c r="B113" s="5" t="str">
        <f aca="false">01_Data!C113</f>
        <v>2023-07</v>
      </c>
      <c r="C113" s="5" t="str">
        <f aca="false">01_Data!D113</f>
        <v>FY23</v>
      </c>
      <c r="D113" s="7" t="n">
        <f aca="false">01_Data!E113</f>
        <v>184361</v>
      </c>
      <c r="E113" s="7" t="n">
        <f aca="false">01_Data!F113</f>
        <v>175684</v>
      </c>
      <c r="F113" s="7" t="n">
        <f aca="false">E113-D113</f>
        <v>-8677</v>
      </c>
      <c r="G113" s="8" t="n">
        <f aca="false">IFERROR(F113/D113,0)</f>
        <v>-0.0470652686848086</v>
      </c>
      <c r="H113" s="7" t="n">
        <f aca="false">01_Data!G113</f>
        <v>106479</v>
      </c>
      <c r="I113" s="7" t="n">
        <f aca="false">01_Data!H113</f>
        <v>101707</v>
      </c>
      <c r="J113" s="7" t="n">
        <f aca="false">H113-I113</f>
        <v>4772</v>
      </c>
      <c r="K113" s="8" t="n">
        <f aca="false">IFERROR(J113/H113,0)</f>
        <v>0.044816348763606</v>
      </c>
      <c r="L113" s="7" t="n">
        <f aca="false">D113-H113</f>
        <v>77882</v>
      </c>
      <c r="M113" s="7" t="n">
        <f aca="false">E113-I113</f>
        <v>73977</v>
      </c>
      <c r="N113" s="7" t="n">
        <f aca="false">IFERROR(L113/D113,0)</f>
        <v>0.422442924479689</v>
      </c>
      <c r="O113" s="7" t="n">
        <f aca="false">IFERROR(M113/E113,0)</f>
        <v>0.421079893445049</v>
      </c>
      <c r="P113" s="7" t="n">
        <f aca="false">01_Data!I113+01_Data!K113+01_Data!M113+01_Data!O113+01_Data!Q113+01_Data!S113+01_Data!U113</f>
        <v>50058</v>
      </c>
      <c r="Q113" s="7" t="n">
        <f aca="false">01_Data!J113+01_Data!L113+01_Data!N113+01_Data!P113+01_Data!R113+01_Data!T113+01_Data!V113</f>
        <v>52888</v>
      </c>
      <c r="R113" s="7" t="n">
        <f aca="false">P113-Q113</f>
        <v>-2830</v>
      </c>
      <c r="S113" s="7" t="n">
        <f aca="false">L113-P113</f>
        <v>27824</v>
      </c>
      <c r="T113" s="7" t="n">
        <f aca="false">M113-Q113</f>
        <v>21089</v>
      </c>
      <c r="U113" s="7" t="n">
        <f aca="false">T113-S113</f>
        <v>-6735</v>
      </c>
      <c r="V113" s="8" t="n">
        <f aca="false">IFERROR(U113/S113,0)</f>
        <v>-0.242057216791259</v>
      </c>
      <c r="W113" s="5" t="str">
        <f aca="false">IF(V113&lt;-0.1,"ADVERSE &gt;10%","")</f>
        <v>ADVERSE &gt;10%</v>
      </c>
    </row>
    <row r="114" customFormat="false" ht="15" hidden="false" customHeight="false" outlineLevel="0" collapsed="false">
      <c r="A114" s="5" t="str">
        <f aca="false">01_Data!A114</f>
        <v>Banking &amp; Financial Services</v>
      </c>
      <c r="B114" s="5" t="str">
        <f aca="false">01_Data!C114</f>
        <v>2023-08</v>
      </c>
      <c r="C114" s="5" t="str">
        <f aca="false">01_Data!D114</f>
        <v>FY23</v>
      </c>
      <c r="D114" s="7" t="n">
        <f aca="false">01_Data!E114</f>
        <v>187992</v>
      </c>
      <c r="E114" s="7" t="n">
        <f aca="false">01_Data!F114</f>
        <v>179079</v>
      </c>
      <c r="F114" s="7" t="n">
        <f aca="false">E114-D114</f>
        <v>-8913</v>
      </c>
      <c r="G114" s="8" t="n">
        <f aca="false">IFERROR(F114/D114,0)</f>
        <v>-0.0474115919826376</v>
      </c>
      <c r="H114" s="7" t="n">
        <f aca="false">01_Data!G114</f>
        <v>107859</v>
      </c>
      <c r="I114" s="7" t="n">
        <f aca="false">01_Data!H114</f>
        <v>107829</v>
      </c>
      <c r="J114" s="7" t="n">
        <f aca="false">H114-I114</f>
        <v>30</v>
      </c>
      <c r="K114" s="8" t="n">
        <f aca="false">IFERROR(J114/H114,0)</f>
        <v>0.000278140906183072</v>
      </c>
      <c r="L114" s="7" t="n">
        <f aca="false">D114-H114</f>
        <v>80133</v>
      </c>
      <c r="M114" s="7" t="n">
        <f aca="false">E114-I114</f>
        <v>71250</v>
      </c>
      <c r="N114" s="7" t="n">
        <f aca="false">IFERROR(L114/D114,0)</f>
        <v>0.426257500319163</v>
      </c>
      <c r="O114" s="7" t="n">
        <f aca="false">IFERROR(M114/E114,0)</f>
        <v>0.397869096879031</v>
      </c>
      <c r="P114" s="7" t="n">
        <f aca="false">01_Data!I114+01_Data!K114+01_Data!M114+01_Data!O114+01_Data!Q114+01_Data!S114+01_Data!U114</f>
        <v>50908</v>
      </c>
      <c r="Q114" s="7" t="n">
        <f aca="false">01_Data!J114+01_Data!L114+01_Data!N114+01_Data!P114+01_Data!R114+01_Data!T114+01_Data!V114</f>
        <v>50661</v>
      </c>
      <c r="R114" s="7" t="n">
        <f aca="false">P114-Q114</f>
        <v>247</v>
      </c>
      <c r="S114" s="7" t="n">
        <f aca="false">L114-P114</f>
        <v>29225</v>
      </c>
      <c r="T114" s="7" t="n">
        <f aca="false">M114-Q114</f>
        <v>20589</v>
      </c>
      <c r="U114" s="7" t="n">
        <f aca="false">T114-S114</f>
        <v>-8636</v>
      </c>
      <c r="V114" s="8" t="n">
        <f aca="false">IFERROR(U114/S114,0)</f>
        <v>-0.295500427715997</v>
      </c>
      <c r="W114" s="5" t="str">
        <f aca="false">IF(V114&lt;-0.1,"ADVERSE &gt;10%","")</f>
        <v>ADVERSE &gt;10%</v>
      </c>
    </row>
    <row r="115" customFormat="false" ht="15" hidden="false" customHeight="false" outlineLevel="0" collapsed="false">
      <c r="A115" s="5" t="str">
        <f aca="false">01_Data!A115</f>
        <v>Banking &amp; Financial Services</v>
      </c>
      <c r="B115" s="5" t="str">
        <f aca="false">01_Data!C115</f>
        <v>2023-09</v>
      </c>
      <c r="C115" s="5" t="str">
        <f aca="false">01_Data!D115</f>
        <v>FY23</v>
      </c>
      <c r="D115" s="7" t="n">
        <f aca="false">01_Data!E115</f>
        <v>199291</v>
      </c>
      <c r="E115" s="7" t="n">
        <f aca="false">01_Data!F115</f>
        <v>193223</v>
      </c>
      <c r="F115" s="7" t="n">
        <f aca="false">E115-D115</f>
        <v>-6068</v>
      </c>
      <c r="G115" s="8" t="n">
        <f aca="false">IFERROR(F115/D115,0)</f>
        <v>-0.0304479379399973</v>
      </c>
      <c r="H115" s="7" t="n">
        <f aca="false">01_Data!G115</f>
        <v>116278</v>
      </c>
      <c r="I115" s="7" t="n">
        <f aca="false">01_Data!H115</f>
        <v>114272</v>
      </c>
      <c r="J115" s="7" t="n">
        <f aca="false">H115-I115</f>
        <v>2006</v>
      </c>
      <c r="K115" s="8" t="n">
        <f aca="false">IFERROR(J115/H115,0)</f>
        <v>0.0172517587161802</v>
      </c>
      <c r="L115" s="7" t="n">
        <f aca="false">D115-H115</f>
        <v>83013</v>
      </c>
      <c r="M115" s="7" t="n">
        <f aca="false">E115-I115</f>
        <v>78951</v>
      </c>
      <c r="N115" s="7" t="n">
        <f aca="false">IFERROR(L115/D115,0)</f>
        <v>0.416541640114205</v>
      </c>
      <c r="O115" s="7" t="n">
        <f aca="false">IFERROR(M115/E115,0)</f>
        <v>0.408600425415194</v>
      </c>
      <c r="P115" s="7" t="n">
        <f aca="false">01_Data!I115+01_Data!K115+01_Data!M115+01_Data!O115+01_Data!Q115+01_Data!S115+01_Data!U115</f>
        <v>52733</v>
      </c>
      <c r="Q115" s="7" t="n">
        <f aca="false">01_Data!J115+01_Data!L115+01_Data!N115+01_Data!P115+01_Data!R115+01_Data!T115+01_Data!V115</f>
        <v>55889</v>
      </c>
      <c r="R115" s="7" t="n">
        <f aca="false">P115-Q115</f>
        <v>-3156</v>
      </c>
      <c r="S115" s="7" t="n">
        <f aca="false">L115-P115</f>
        <v>30280</v>
      </c>
      <c r="T115" s="7" t="n">
        <f aca="false">M115-Q115</f>
        <v>23062</v>
      </c>
      <c r="U115" s="7" t="n">
        <f aca="false">T115-S115</f>
        <v>-7218</v>
      </c>
      <c r="V115" s="8" t="n">
        <f aca="false">IFERROR(U115/S115,0)</f>
        <v>-0.238375165125495</v>
      </c>
      <c r="W115" s="5" t="str">
        <f aca="false">IF(V115&lt;-0.1,"ADVERSE &gt;10%","")</f>
        <v>ADVERSE &gt;10%</v>
      </c>
    </row>
    <row r="116" customFormat="false" ht="15" hidden="false" customHeight="false" outlineLevel="0" collapsed="false">
      <c r="A116" s="5" t="str">
        <f aca="false">01_Data!A116</f>
        <v>Banking &amp; Financial Services</v>
      </c>
      <c r="B116" s="5" t="str">
        <f aca="false">01_Data!C116</f>
        <v>2023-10</v>
      </c>
      <c r="C116" s="5" t="str">
        <f aca="false">01_Data!D116</f>
        <v>FY23</v>
      </c>
      <c r="D116" s="7" t="n">
        <f aca="false">01_Data!E116</f>
        <v>185646</v>
      </c>
      <c r="E116" s="7" t="n">
        <f aca="false">01_Data!F116</f>
        <v>179705</v>
      </c>
      <c r="F116" s="7" t="n">
        <f aca="false">E116-D116</f>
        <v>-5941</v>
      </c>
      <c r="G116" s="8" t="n">
        <f aca="false">IFERROR(F116/D116,0)</f>
        <v>-0.0320017668034862</v>
      </c>
      <c r="H116" s="7" t="n">
        <f aca="false">01_Data!G116</f>
        <v>104489</v>
      </c>
      <c r="I116" s="7" t="n">
        <f aca="false">01_Data!H116</f>
        <v>102346</v>
      </c>
      <c r="J116" s="7" t="n">
        <f aca="false">H116-I116</f>
        <v>2143</v>
      </c>
      <c r="K116" s="8" t="n">
        <f aca="false">IFERROR(J116/H116,0)</f>
        <v>0.0205093359109571</v>
      </c>
      <c r="L116" s="7" t="n">
        <f aca="false">D116-H116</f>
        <v>81157</v>
      </c>
      <c r="M116" s="7" t="n">
        <f aca="false">E116-I116</f>
        <v>77359</v>
      </c>
      <c r="N116" s="7" t="n">
        <f aca="false">IFERROR(L116/D116,0)</f>
        <v>0.437159971127846</v>
      </c>
      <c r="O116" s="7" t="n">
        <f aca="false">IFERROR(M116/E116,0)</f>
        <v>0.43047772738655</v>
      </c>
      <c r="P116" s="7" t="n">
        <f aca="false">01_Data!I116+01_Data!K116+01_Data!M116+01_Data!O116+01_Data!Q116+01_Data!S116+01_Data!U116</f>
        <v>48243</v>
      </c>
      <c r="Q116" s="7" t="n">
        <f aca="false">01_Data!J116+01_Data!L116+01_Data!N116+01_Data!P116+01_Data!R116+01_Data!T116+01_Data!V116</f>
        <v>49057</v>
      </c>
      <c r="R116" s="7" t="n">
        <f aca="false">P116-Q116</f>
        <v>-814</v>
      </c>
      <c r="S116" s="7" t="n">
        <f aca="false">L116-P116</f>
        <v>32914</v>
      </c>
      <c r="T116" s="7" t="n">
        <f aca="false">M116-Q116</f>
        <v>28302</v>
      </c>
      <c r="U116" s="7" t="n">
        <f aca="false">T116-S116</f>
        <v>-4612</v>
      </c>
      <c r="V116" s="8" t="n">
        <f aca="false">IFERROR(U116/S116,0)</f>
        <v>-0.140122744121043</v>
      </c>
      <c r="W116" s="5" t="str">
        <f aca="false">IF(V116&lt;-0.1,"ADVERSE &gt;10%","")</f>
        <v>ADVERSE &gt;10%</v>
      </c>
    </row>
    <row r="117" customFormat="false" ht="15" hidden="false" customHeight="false" outlineLevel="0" collapsed="false">
      <c r="A117" s="5" t="str">
        <f aca="false">01_Data!A117</f>
        <v>Banking &amp; Financial Services</v>
      </c>
      <c r="B117" s="5" t="str">
        <f aca="false">01_Data!C117</f>
        <v>2023-11</v>
      </c>
      <c r="C117" s="5" t="str">
        <f aca="false">01_Data!D117</f>
        <v>FY23</v>
      </c>
      <c r="D117" s="7" t="n">
        <f aca="false">01_Data!E117</f>
        <v>188583</v>
      </c>
      <c r="E117" s="7" t="n">
        <f aca="false">01_Data!F117</f>
        <v>179232</v>
      </c>
      <c r="F117" s="7" t="n">
        <f aca="false">E117-D117</f>
        <v>-9351</v>
      </c>
      <c r="G117" s="8" t="n">
        <f aca="false">IFERROR(F117/D117,0)</f>
        <v>-0.0495855936113011</v>
      </c>
      <c r="H117" s="7" t="n">
        <f aca="false">01_Data!G117</f>
        <v>108388</v>
      </c>
      <c r="I117" s="7" t="n">
        <f aca="false">01_Data!H117</f>
        <v>103171</v>
      </c>
      <c r="J117" s="7" t="n">
        <f aca="false">H117-I117</f>
        <v>5217</v>
      </c>
      <c r="K117" s="8" t="n">
        <f aca="false">IFERROR(J117/H117,0)</f>
        <v>0.0481326346089973</v>
      </c>
      <c r="L117" s="7" t="n">
        <f aca="false">D117-H117</f>
        <v>80195</v>
      </c>
      <c r="M117" s="7" t="n">
        <f aca="false">E117-I117</f>
        <v>76061</v>
      </c>
      <c r="N117" s="7" t="n">
        <f aca="false">IFERROR(L117/D117,0)</f>
        <v>0.425250420239364</v>
      </c>
      <c r="O117" s="7" t="n">
        <f aca="false">IFERROR(M117/E117,0)</f>
        <v>0.42437176397072</v>
      </c>
      <c r="P117" s="7" t="n">
        <f aca="false">01_Data!I117+01_Data!K117+01_Data!M117+01_Data!O117+01_Data!Q117+01_Data!S117+01_Data!U117</f>
        <v>48414</v>
      </c>
      <c r="Q117" s="7" t="n">
        <f aca="false">01_Data!J117+01_Data!L117+01_Data!N117+01_Data!P117+01_Data!R117+01_Data!T117+01_Data!V117</f>
        <v>49598</v>
      </c>
      <c r="R117" s="7" t="n">
        <f aca="false">P117-Q117</f>
        <v>-1184</v>
      </c>
      <c r="S117" s="7" t="n">
        <f aca="false">L117-P117</f>
        <v>31781</v>
      </c>
      <c r="T117" s="7" t="n">
        <f aca="false">M117-Q117</f>
        <v>26463</v>
      </c>
      <c r="U117" s="7" t="n">
        <f aca="false">T117-S117</f>
        <v>-5318</v>
      </c>
      <c r="V117" s="8" t="n">
        <f aca="false">IFERROR(U117/S117,0)</f>
        <v>-0.167332683049621</v>
      </c>
      <c r="W117" s="5" t="str">
        <f aca="false">IF(V117&lt;-0.1,"ADVERSE &gt;10%","")</f>
        <v>ADVERSE &gt;10%</v>
      </c>
    </row>
    <row r="118" customFormat="false" ht="15" hidden="false" customHeight="false" outlineLevel="0" collapsed="false">
      <c r="A118" s="5" t="str">
        <f aca="false">01_Data!A118</f>
        <v>Banking &amp; Financial Services</v>
      </c>
      <c r="B118" s="5" t="str">
        <f aca="false">01_Data!C118</f>
        <v>2023-12</v>
      </c>
      <c r="C118" s="5" t="str">
        <f aca="false">01_Data!D118</f>
        <v>FY23</v>
      </c>
      <c r="D118" s="7" t="n">
        <f aca="false">01_Data!E118</f>
        <v>198350</v>
      </c>
      <c r="E118" s="7" t="n">
        <f aca="false">01_Data!F118</f>
        <v>193241</v>
      </c>
      <c r="F118" s="7" t="n">
        <f aca="false">E118-D118</f>
        <v>-5109</v>
      </c>
      <c r="G118" s="8" t="n">
        <f aca="false">IFERROR(F118/D118,0)</f>
        <v>-0.0257574993698009</v>
      </c>
      <c r="H118" s="7" t="n">
        <f aca="false">01_Data!G118</f>
        <v>112920</v>
      </c>
      <c r="I118" s="7" t="n">
        <f aca="false">01_Data!H118</f>
        <v>115006</v>
      </c>
      <c r="J118" s="7" t="n">
        <f aca="false">H118-I118</f>
        <v>-2086</v>
      </c>
      <c r="K118" s="8" t="n">
        <f aca="false">IFERROR(J118/H118,0)</f>
        <v>-0.0184732554020546</v>
      </c>
      <c r="L118" s="7" t="n">
        <f aca="false">D118-H118</f>
        <v>85430</v>
      </c>
      <c r="M118" s="7" t="n">
        <f aca="false">E118-I118</f>
        <v>78235</v>
      </c>
      <c r="N118" s="7" t="n">
        <f aca="false">IFERROR(L118/D118,0)</f>
        <v>0.430703302243509</v>
      </c>
      <c r="O118" s="7" t="n">
        <f aca="false">IFERROR(M118/E118,0)</f>
        <v>0.404857147292759</v>
      </c>
      <c r="P118" s="7" t="n">
        <f aca="false">01_Data!I118+01_Data!K118+01_Data!M118+01_Data!O118+01_Data!Q118+01_Data!S118+01_Data!U118</f>
        <v>51281</v>
      </c>
      <c r="Q118" s="7" t="n">
        <f aca="false">01_Data!J118+01_Data!L118+01_Data!N118+01_Data!P118+01_Data!R118+01_Data!T118+01_Data!V118</f>
        <v>53429</v>
      </c>
      <c r="R118" s="7" t="n">
        <f aca="false">P118-Q118</f>
        <v>-2148</v>
      </c>
      <c r="S118" s="7" t="n">
        <f aca="false">L118-P118</f>
        <v>34149</v>
      </c>
      <c r="T118" s="7" t="n">
        <f aca="false">M118-Q118</f>
        <v>24806</v>
      </c>
      <c r="U118" s="7" t="n">
        <f aca="false">T118-S118</f>
        <v>-9343</v>
      </c>
      <c r="V118" s="8" t="n">
        <f aca="false">IFERROR(U118/S118,0)</f>
        <v>-0.273595127236522</v>
      </c>
      <c r="W118" s="5" t="str">
        <f aca="false">IF(V118&lt;-0.1,"ADVERSE &gt;10%","")</f>
        <v>ADVERSE &gt;10%</v>
      </c>
    </row>
    <row r="119" customFormat="false" ht="15" hidden="false" customHeight="false" outlineLevel="0" collapsed="false">
      <c r="A119" s="5" t="str">
        <f aca="false">01_Data!A119</f>
        <v>Banking &amp; Financial Services</v>
      </c>
      <c r="B119" s="5" t="str">
        <f aca="false">01_Data!C119</f>
        <v>2024-01</v>
      </c>
      <c r="C119" s="5" t="str">
        <f aca="false">01_Data!D119</f>
        <v>FY23</v>
      </c>
      <c r="D119" s="7" t="n">
        <f aca="false">01_Data!E119</f>
        <v>180961</v>
      </c>
      <c r="E119" s="7" t="n">
        <f aca="false">01_Data!F119</f>
        <v>178438</v>
      </c>
      <c r="F119" s="7" t="n">
        <f aca="false">E119-D119</f>
        <v>-2523</v>
      </c>
      <c r="G119" s="8" t="n">
        <f aca="false">IFERROR(F119/D119,0)</f>
        <v>-0.0139422306463824</v>
      </c>
      <c r="H119" s="7" t="n">
        <f aca="false">01_Data!G119</f>
        <v>104958</v>
      </c>
      <c r="I119" s="7" t="n">
        <f aca="false">01_Data!H119</f>
        <v>105427</v>
      </c>
      <c r="J119" s="7" t="n">
        <f aca="false">H119-I119</f>
        <v>-469</v>
      </c>
      <c r="K119" s="8" t="n">
        <f aca="false">IFERROR(J119/H119,0)</f>
        <v>-0.00446845404828598</v>
      </c>
      <c r="L119" s="7" t="n">
        <f aca="false">D119-H119</f>
        <v>76003</v>
      </c>
      <c r="M119" s="7" t="n">
        <f aca="false">E119-I119</f>
        <v>73011</v>
      </c>
      <c r="N119" s="7" t="n">
        <f aca="false">IFERROR(L119/D119,0)</f>
        <v>0.419996573847404</v>
      </c>
      <c r="O119" s="7" t="n">
        <f aca="false">IFERROR(M119/E119,0)</f>
        <v>0.409167329828848</v>
      </c>
      <c r="P119" s="7" t="n">
        <f aca="false">01_Data!I119+01_Data!K119+01_Data!M119+01_Data!O119+01_Data!Q119+01_Data!S119+01_Data!U119</f>
        <v>46092</v>
      </c>
      <c r="Q119" s="7" t="n">
        <f aca="false">01_Data!J119+01_Data!L119+01_Data!N119+01_Data!P119+01_Data!R119+01_Data!T119+01_Data!V119</f>
        <v>47726</v>
      </c>
      <c r="R119" s="7" t="n">
        <f aca="false">P119-Q119</f>
        <v>-1634</v>
      </c>
      <c r="S119" s="7" t="n">
        <f aca="false">L119-P119</f>
        <v>29911</v>
      </c>
      <c r="T119" s="7" t="n">
        <f aca="false">M119-Q119</f>
        <v>25285</v>
      </c>
      <c r="U119" s="7" t="n">
        <f aca="false">T119-S119</f>
        <v>-4626</v>
      </c>
      <c r="V119" s="8" t="n">
        <f aca="false">IFERROR(U119/S119,0)</f>
        <v>-0.154658821169469</v>
      </c>
      <c r="W119" s="5" t="str">
        <f aca="false">IF(V119&lt;-0.1,"ADVERSE &gt;10%","")</f>
        <v>ADVERSE &gt;10%</v>
      </c>
    </row>
    <row r="120" customFormat="false" ht="15" hidden="false" customHeight="false" outlineLevel="0" collapsed="false">
      <c r="A120" s="5" t="str">
        <f aca="false">01_Data!A120</f>
        <v>Banking &amp; Financial Services</v>
      </c>
      <c r="B120" s="5" t="str">
        <f aca="false">01_Data!C120</f>
        <v>2024-02</v>
      </c>
      <c r="C120" s="5" t="str">
        <f aca="false">01_Data!D120</f>
        <v>FY23</v>
      </c>
      <c r="D120" s="7" t="n">
        <f aca="false">01_Data!E120</f>
        <v>169338</v>
      </c>
      <c r="E120" s="7" t="n">
        <f aca="false">01_Data!F120</f>
        <v>176786</v>
      </c>
      <c r="F120" s="7" t="n">
        <f aca="false">E120-D120</f>
        <v>7448</v>
      </c>
      <c r="G120" s="8" t="n">
        <f aca="false">IFERROR(F120/D120,0)</f>
        <v>0.0439830398374848</v>
      </c>
      <c r="H120" s="7" t="n">
        <f aca="false">01_Data!G120</f>
        <v>93393</v>
      </c>
      <c r="I120" s="7" t="n">
        <f aca="false">01_Data!H120</f>
        <v>98618</v>
      </c>
      <c r="J120" s="7" t="n">
        <f aca="false">H120-I120</f>
        <v>-5225</v>
      </c>
      <c r="K120" s="8" t="n">
        <f aca="false">IFERROR(J120/H120,0)</f>
        <v>-0.0559463771374728</v>
      </c>
      <c r="L120" s="7" t="n">
        <f aca="false">D120-H120</f>
        <v>75945</v>
      </c>
      <c r="M120" s="7" t="n">
        <f aca="false">E120-I120</f>
        <v>78168</v>
      </c>
      <c r="N120" s="7" t="n">
        <f aca="false">IFERROR(L120/D120,0)</f>
        <v>0.448481734755341</v>
      </c>
      <c r="O120" s="7" t="n">
        <f aca="false">IFERROR(M120/E120,0)</f>
        <v>0.442161709637641</v>
      </c>
      <c r="P120" s="7" t="n">
        <f aca="false">01_Data!I120+01_Data!K120+01_Data!M120+01_Data!O120+01_Data!Q120+01_Data!S120+01_Data!U120</f>
        <v>48117</v>
      </c>
      <c r="Q120" s="7" t="n">
        <f aca="false">01_Data!J120+01_Data!L120+01_Data!N120+01_Data!P120+01_Data!R120+01_Data!T120+01_Data!V120</f>
        <v>48416</v>
      </c>
      <c r="R120" s="7" t="n">
        <f aca="false">P120-Q120</f>
        <v>-299</v>
      </c>
      <c r="S120" s="7" t="n">
        <f aca="false">L120-P120</f>
        <v>27828</v>
      </c>
      <c r="T120" s="7" t="n">
        <f aca="false">M120-Q120</f>
        <v>29752</v>
      </c>
      <c r="U120" s="7" t="n">
        <f aca="false">T120-S120</f>
        <v>1924</v>
      </c>
      <c r="V120" s="8" t="n">
        <f aca="false">IFERROR(U120/S120,0)</f>
        <v>0.0691389966939773</v>
      </c>
      <c r="W120" s="5" t="str">
        <f aca="false">IF(V120&lt;-0.1,"ADVERSE &gt;10%","")</f>
        <v/>
      </c>
    </row>
    <row r="121" customFormat="false" ht="15" hidden="false" customHeight="false" outlineLevel="0" collapsed="false">
      <c r="A121" s="5" t="str">
        <f aca="false">01_Data!A121</f>
        <v>Banking &amp; Financial Services</v>
      </c>
      <c r="B121" s="5" t="str">
        <f aca="false">01_Data!C121</f>
        <v>2024-03</v>
      </c>
      <c r="C121" s="5" t="str">
        <f aca="false">01_Data!D121</f>
        <v>FY23</v>
      </c>
      <c r="D121" s="7" t="n">
        <f aca="false">01_Data!E121</f>
        <v>193442</v>
      </c>
      <c r="E121" s="7" t="n">
        <f aca="false">01_Data!F121</f>
        <v>192226</v>
      </c>
      <c r="F121" s="7" t="n">
        <f aca="false">E121-D121</f>
        <v>-1216</v>
      </c>
      <c r="G121" s="8" t="n">
        <f aca="false">IFERROR(F121/D121,0)</f>
        <v>-0.00628612193835878</v>
      </c>
      <c r="H121" s="7" t="n">
        <f aca="false">01_Data!G121</f>
        <v>105110</v>
      </c>
      <c r="I121" s="7" t="n">
        <f aca="false">01_Data!H121</f>
        <v>100696</v>
      </c>
      <c r="J121" s="7" t="n">
        <f aca="false">H121-I121</f>
        <v>4414</v>
      </c>
      <c r="K121" s="8" t="n">
        <f aca="false">IFERROR(J121/H121,0)</f>
        <v>0.0419941014175626</v>
      </c>
      <c r="L121" s="7" t="n">
        <f aca="false">D121-H121</f>
        <v>88332</v>
      </c>
      <c r="M121" s="7" t="n">
        <f aca="false">E121-I121</f>
        <v>91530</v>
      </c>
      <c r="N121" s="7" t="n">
        <f aca="false">IFERROR(L121/D121,0)</f>
        <v>0.456632995936767</v>
      </c>
      <c r="O121" s="7" t="n">
        <f aca="false">IFERROR(M121/E121,0)</f>
        <v>0.47615827203396</v>
      </c>
      <c r="P121" s="7" t="n">
        <f aca="false">01_Data!I121+01_Data!K121+01_Data!M121+01_Data!O121+01_Data!Q121+01_Data!S121+01_Data!U121</f>
        <v>48528</v>
      </c>
      <c r="Q121" s="7" t="n">
        <f aca="false">01_Data!J121+01_Data!L121+01_Data!N121+01_Data!P121+01_Data!R121+01_Data!T121+01_Data!V121</f>
        <v>50773</v>
      </c>
      <c r="R121" s="7" t="n">
        <f aca="false">P121-Q121</f>
        <v>-2245</v>
      </c>
      <c r="S121" s="7" t="n">
        <f aca="false">L121-P121</f>
        <v>39804</v>
      </c>
      <c r="T121" s="7" t="n">
        <f aca="false">M121-Q121</f>
        <v>40757</v>
      </c>
      <c r="U121" s="7" t="n">
        <f aca="false">T121-S121</f>
        <v>953</v>
      </c>
      <c r="V121" s="8" t="n">
        <f aca="false">IFERROR(U121/S121,0)</f>
        <v>0.0239423173550397</v>
      </c>
      <c r="W121" s="5" t="str">
        <f aca="false">IF(V121&lt;-0.1,"ADVERSE &gt;10%","")</f>
        <v/>
      </c>
    </row>
    <row r="122" customFormat="false" ht="15" hidden="false" customHeight="false" outlineLevel="0" collapsed="false">
      <c r="A122" s="5" t="str">
        <f aca="false">01_Data!A122</f>
        <v>Banking &amp; Financial Services</v>
      </c>
      <c r="B122" s="5" t="str">
        <f aca="false">01_Data!C122</f>
        <v>2024-04</v>
      </c>
      <c r="C122" s="5" t="str">
        <f aca="false">01_Data!D122</f>
        <v>FY24</v>
      </c>
      <c r="D122" s="7" t="n">
        <f aca="false">01_Data!E122</f>
        <v>184324</v>
      </c>
      <c r="E122" s="7" t="n">
        <f aca="false">01_Data!F122</f>
        <v>175368</v>
      </c>
      <c r="F122" s="7" t="n">
        <f aca="false">E122-D122</f>
        <v>-8956</v>
      </c>
      <c r="G122" s="8" t="n">
        <f aca="false">IFERROR(F122/D122,0)</f>
        <v>-0.0485883552874287</v>
      </c>
      <c r="H122" s="7" t="n">
        <f aca="false">01_Data!G122</f>
        <v>109481</v>
      </c>
      <c r="I122" s="7" t="n">
        <f aca="false">01_Data!H122</f>
        <v>105595</v>
      </c>
      <c r="J122" s="7" t="n">
        <f aca="false">H122-I122</f>
        <v>3886</v>
      </c>
      <c r="K122" s="8" t="n">
        <f aca="false">IFERROR(J122/H122,0)</f>
        <v>0.0354947433801299</v>
      </c>
      <c r="L122" s="7" t="n">
        <f aca="false">D122-H122</f>
        <v>74843</v>
      </c>
      <c r="M122" s="7" t="n">
        <f aca="false">E122-I122</f>
        <v>69773</v>
      </c>
      <c r="N122" s="7" t="n">
        <f aca="false">IFERROR(L122/D122,0)</f>
        <v>0.406040450511057</v>
      </c>
      <c r="O122" s="7" t="n">
        <f aca="false">IFERROR(M122/E122,0)</f>
        <v>0.397866201359427</v>
      </c>
      <c r="P122" s="7" t="n">
        <f aca="false">01_Data!I122+01_Data!K122+01_Data!M122+01_Data!O122+01_Data!Q122+01_Data!S122+01_Data!U122</f>
        <v>45508</v>
      </c>
      <c r="Q122" s="7" t="n">
        <f aca="false">01_Data!J122+01_Data!L122+01_Data!N122+01_Data!P122+01_Data!R122+01_Data!T122+01_Data!V122</f>
        <v>48809</v>
      </c>
      <c r="R122" s="7" t="n">
        <f aca="false">P122-Q122</f>
        <v>-3301</v>
      </c>
      <c r="S122" s="7" t="n">
        <f aca="false">L122-P122</f>
        <v>29335</v>
      </c>
      <c r="T122" s="7" t="n">
        <f aca="false">M122-Q122</f>
        <v>20964</v>
      </c>
      <c r="U122" s="7" t="n">
        <f aca="false">T122-S122</f>
        <v>-8371</v>
      </c>
      <c r="V122" s="8" t="n">
        <f aca="false">IFERROR(U122/S122,0)</f>
        <v>-0.285358786432589</v>
      </c>
      <c r="W122" s="5" t="str">
        <f aca="false">IF(V122&lt;-0.1,"ADVERSE &gt;10%","")</f>
        <v>ADVERSE &gt;10%</v>
      </c>
    </row>
    <row r="123" customFormat="false" ht="15" hidden="false" customHeight="false" outlineLevel="0" collapsed="false">
      <c r="A123" s="5" t="str">
        <f aca="false">01_Data!A123</f>
        <v>Banking &amp; Financial Services</v>
      </c>
      <c r="B123" s="5" t="str">
        <f aca="false">01_Data!C123</f>
        <v>2024-05</v>
      </c>
      <c r="C123" s="5" t="str">
        <f aca="false">01_Data!D123</f>
        <v>FY24</v>
      </c>
      <c r="D123" s="7" t="n">
        <f aca="false">01_Data!E123</f>
        <v>180788</v>
      </c>
      <c r="E123" s="7" t="n">
        <f aca="false">01_Data!F123</f>
        <v>175408</v>
      </c>
      <c r="F123" s="7" t="n">
        <f aca="false">E123-D123</f>
        <v>-5380</v>
      </c>
      <c r="G123" s="8" t="n">
        <f aca="false">IFERROR(F123/D123,0)</f>
        <v>-0.0297586122972764</v>
      </c>
      <c r="H123" s="7" t="n">
        <f aca="false">01_Data!G123</f>
        <v>99144</v>
      </c>
      <c r="I123" s="7" t="n">
        <f aca="false">01_Data!H123</f>
        <v>101354</v>
      </c>
      <c r="J123" s="7" t="n">
        <f aca="false">H123-I123</f>
        <v>-2210</v>
      </c>
      <c r="K123" s="8" t="n">
        <f aca="false">IFERROR(J123/H123,0)</f>
        <v>-0.0222908093278464</v>
      </c>
      <c r="L123" s="7" t="n">
        <f aca="false">D123-H123</f>
        <v>81644</v>
      </c>
      <c r="M123" s="7" t="n">
        <f aca="false">E123-I123</f>
        <v>74054</v>
      </c>
      <c r="N123" s="7" t="n">
        <f aca="false">IFERROR(L123/D123,0)</f>
        <v>0.451600769962608</v>
      </c>
      <c r="O123" s="7" t="n">
        <f aca="false">IFERROR(M123/E123,0)</f>
        <v>0.42218142844112</v>
      </c>
      <c r="P123" s="7" t="n">
        <f aca="false">01_Data!I123+01_Data!K123+01_Data!M123+01_Data!O123+01_Data!Q123+01_Data!S123+01_Data!U123</f>
        <v>50949</v>
      </c>
      <c r="Q123" s="7" t="n">
        <f aca="false">01_Data!J123+01_Data!L123+01_Data!N123+01_Data!P123+01_Data!R123+01_Data!T123+01_Data!V123</f>
        <v>51241</v>
      </c>
      <c r="R123" s="7" t="n">
        <f aca="false">P123-Q123</f>
        <v>-292</v>
      </c>
      <c r="S123" s="7" t="n">
        <f aca="false">L123-P123</f>
        <v>30695</v>
      </c>
      <c r="T123" s="7" t="n">
        <f aca="false">M123-Q123</f>
        <v>22813</v>
      </c>
      <c r="U123" s="7" t="n">
        <f aca="false">T123-S123</f>
        <v>-7882</v>
      </c>
      <c r="V123" s="8" t="n">
        <f aca="false">IFERROR(U123/S123,0)</f>
        <v>-0.256784492588369</v>
      </c>
      <c r="W123" s="5" t="str">
        <f aca="false">IF(V123&lt;-0.1,"ADVERSE &gt;10%","")</f>
        <v>ADVERSE &gt;10%</v>
      </c>
    </row>
    <row r="124" customFormat="false" ht="15" hidden="false" customHeight="false" outlineLevel="0" collapsed="false">
      <c r="A124" s="5" t="str">
        <f aca="false">01_Data!A124</f>
        <v>Banking &amp; Financial Services</v>
      </c>
      <c r="B124" s="5" t="str">
        <f aca="false">01_Data!C124</f>
        <v>2024-06</v>
      </c>
      <c r="C124" s="5" t="str">
        <f aca="false">01_Data!D124</f>
        <v>FY24</v>
      </c>
      <c r="D124" s="7" t="n">
        <f aca="false">01_Data!E124</f>
        <v>173516</v>
      </c>
      <c r="E124" s="7" t="n">
        <f aca="false">01_Data!F124</f>
        <v>176571</v>
      </c>
      <c r="F124" s="7" t="n">
        <f aca="false">E124-D124</f>
        <v>3055</v>
      </c>
      <c r="G124" s="8" t="n">
        <f aca="false">IFERROR(F124/D124,0)</f>
        <v>0.017606445515111</v>
      </c>
      <c r="H124" s="7" t="n">
        <f aca="false">01_Data!G124</f>
        <v>103497</v>
      </c>
      <c r="I124" s="7" t="n">
        <f aca="false">01_Data!H124</f>
        <v>105600</v>
      </c>
      <c r="J124" s="7" t="n">
        <f aca="false">H124-I124</f>
        <v>-2103</v>
      </c>
      <c r="K124" s="8" t="n">
        <f aca="false">IFERROR(J124/H124,0)</f>
        <v>-0.0203194295486826</v>
      </c>
      <c r="L124" s="7" t="n">
        <f aca="false">D124-H124</f>
        <v>70019</v>
      </c>
      <c r="M124" s="7" t="n">
        <f aca="false">E124-I124</f>
        <v>70971</v>
      </c>
      <c r="N124" s="7" t="n">
        <f aca="false">IFERROR(L124/D124,0)</f>
        <v>0.403530510154683</v>
      </c>
      <c r="O124" s="7" t="n">
        <f aca="false">IFERROR(M124/E124,0)</f>
        <v>0.401940295971592</v>
      </c>
      <c r="P124" s="7" t="n">
        <f aca="false">01_Data!I124+01_Data!K124+01_Data!M124+01_Data!O124+01_Data!Q124+01_Data!S124+01_Data!U124</f>
        <v>45682</v>
      </c>
      <c r="Q124" s="7" t="n">
        <f aca="false">01_Data!J124+01_Data!L124+01_Data!N124+01_Data!P124+01_Data!R124+01_Data!T124+01_Data!V124</f>
        <v>47113</v>
      </c>
      <c r="R124" s="7" t="n">
        <f aca="false">P124-Q124</f>
        <v>-1431</v>
      </c>
      <c r="S124" s="7" t="n">
        <f aca="false">L124-P124</f>
        <v>24337</v>
      </c>
      <c r="T124" s="7" t="n">
        <f aca="false">M124-Q124</f>
        <v>23858</v>
      </c>
      <c r="U124" s="7" t="n">
        <f aca="false">T124-S124</f>
        <v>-479</v>
      </c>
      <c r="V124" s="8" t="n">
        <f aca="false">IFERROR(U124/S124,0)</f>
        <v>-0.0196819657311912</v>
      </c>
      <c r="W124" s="5" t="str">
        <f aca="false">IF(V124&lt;-0.1,"ADVERSE &gt;10%","")</f>
        <v/>
      </c>
    </row>
    <row r="125" customFormat="false" ht="15" hidden="false" customHeight="false" outlineLevel="0" collapsed="false">
      <c r="A125" s="5" t="str">
        <f aca="false">01_Data!A125</f>
        <v>Banking &amp; Financial Services</v>
      </c>
      <c r="B125" s="5" t="str">
        <f aca="false">01_Data!C125</f>
        <v>2024-07</v>
      </c>
      <c r="C125" s="5" t="str">
        <f aca="false">01_Data!D125</f>
        <v>FY24</v>
      </c>
      <c r="D125" s="7" t="n">
        <f aca="false">01_Data!E125</f>
        <v>173478</v>
      </c>
      <c r="E125" s="7" t="n">
        <f aca="false">01_Data!F125</f>
        <v>176444</v>
      </c>
      <c r="F125" s="7" t="n">
        <f aca="false">E125-D125</f>
        <v>2966</v>
      </c>
      <c r="G125" s="8" t="n">
        <f aca="false">IFERROR(F125/D125,0)</f>
        <v>0.0170972688179481</v>
      </c>
      <c r="H125" s="7" t="n">
        <f aca="false">01_Data!G125</f>
        <v>96486</v>
      </c>
      <c r="I125" s="7" t="n">
        <f aca="false">01_Data!H125</f>
        <v>95776</v>
      </c>
      <c r="J125" s="7" t="n">
        <f aca="false">H125-I125</f>
        <v>710</v>
      </c>
      <c r="K125" s="8" t="n">
        <f aca="false">IFERROR(J125/H125,0)</f>
        <v>0.0073585805194536</v>
      </c>
      <c r="L125" s="7" t="n">
        <f aca="false">D125-H125</f>
        <v>76992</v>
      </c>
      <c r="M125" s="7" t="n">
        <f aca="false">E125-I125</f>
        <v>80668</v>
      </c>
      <c r="N125" s="7" t="n">
        <f aca="false">IFERROR(L125/D125,0)</f>
        <v>0.443814201224363</v>
      </c>
      <c r="O125" s="7" t="n">
        <f aca="false">IFERROR(M125/E125,0)</f>
        <v>0.457187549590805</v>
      </c>
      <c r="P125" s="7" t="n">
        <f aca="false">01_Data!I125+01_Data!K125+01_Data!M125+01_Data!O125+01_Data!Q125+01_Data!S125+01_Data!U125</f>
        <v>42372</v>
      </c>
      <c r="Q125" s="7" t="n">
        <f aca="false">01_Data!J125+01_Data!L125+01_Data!N125+01_Data!P125+01_Data!R125+01_Data!T125+01_Data!V125</f>
        <v>42885</v>
      </c>
      <c r="R125" s="7" t="n">
        <f aca="false">P125-Q125</f>
        <v>-513</v>
      </c>
      <c r="S125" s="7" t="n">
        <f aca="false">L125-P125</f>
        <v>34620</v>
      </c>
      <c r="T125" s="7" t="n">
        <f aca="false">M125-Q125</f>
        <v>37783</v>
      </c>
      <c r="U125" s="7" t="n">
        <f aca="false">T125-S125</f>
        <v>3163</v>
      </c>
      <c r="V125" s="8" t="n">
        <f aca="false">IFERROR(U125/S125,0)</f>
        <v>0.0913633737723859</v>
      </c>
      <c r="W125" s="5" t="str">
        <f aca="false">IF(V125&lt;-0.1,"ADVERSE &gt;10%","")</f>
        <v/>
      </c>
    </row>
    <row r="126" customFormat="false" ht="15" hidden="false" customHeight="false" outlineLevel="0" collapsed="false">
      <c r="A126" s="5" t="str">
        <f aca="false">01_Data!A126</f>
        <v>Banking &amp; Financial Services</v>
      </c>
      <c r="B126" s="5" t="str">
        <f aca="false">01_Data!C126</f>
        <v>2024-08</v>
      </c>
      <c r="C126" s="5" t="str">
        <f aca="false">01_Data!D126</f>
        <v>FY24</v>
      </c>
      <c r="D126" s="7" t="n">
        <f aca="false">01_Data!E126</f>
        <v>190921</v>
      </c>
      <c r="E126" s="7" t="n">
        <f aca="false">01_Data!F126</f>
        <v>180560</v>
      </c>
      <c r="F126" s="7" t="n">
        <f aca="false">E126-D126</f>
        <v>-10361</v>
      </c>
      <c r="G126" s="8" t="n">
        <f aca="false">IFERROR(F126/D126,0)</f>
        <v>-0.0542685194399778</v>
      </c>
      <c r="H126" s="7" t="n">
        <f aca="false">01_Data!G126</f>
        <v>109649</v>
      </c>
      <c r="I126" s="7" t="n">
        <f aca="false">01_Data!H126</f>
        <v>101619</v>
      </c>
      <c r="J126" s="7" t="n">
        <f aca="false">H126-I126</f>
        <v>8030</v>
      </c>
      <c r="K126" s="8" t="n">
        <f aca="false">IFERROR(J126/H126,0)</f>
        <v>0.0732336820217239</v>
      </c>
      <c r="L126" s="7" t="n">
        <f aca="false">D126-H126</f>
        <v>81272</v>
      </c>
      <c r="M126" s="7" t="n">
        <f aca="false">E126-I126</f>
        <v>78941</v>
      </c>
      <c r="N126" s="7" t="n">
        <f aca="false">IFERROR(L126/D126,0)</f>
        <v>0.425683921622032</v>
      </c>
      <c r="O126" s="7" t="n">
        <f aca="false">IFERROR(M126/E126,0)</f>
        <v>0.437200930438635</v>
      </c>
      <c r="P126" s="7" t="n">
        <f aca="false">01_Data!I126+01_Data!K126+01_Data!M126+01_Data!O126+01_Data!Q126+01_Data!S126+01_Data!U126</f>
        <v>48233</v>
      </c>
      <c r="Q126" s="7" t="n">
        <f aca="false">01_Data!J126+01_Data!L126+01_Data!N126+01_Data!P126+01_Data!R126+01_Data!T126+01_Data!V126</f>
        <v>47955</v>
      </c>
      <c r="R126" s="7" t="n">
        <f aca="false">P126-Q126</f>
        <v>278</v>
      </c>
      <c r="S126" s="7" t="n">
        <f aca="false">L126-P126</f>
        <v>33039</v>
      </c>
      <c r="T126" s="7" t="n">
        <f aca="false">M126-Q126</f>
        <v>30986</v>
      </c>
      <c r="U126" s="7" t="n">
        <f aca="false">T126-S126</f>
        <v>-2053</v>
      </c>
      <c r="V126" s="8" t="n">
        <f aca="false">IFERROR(U126/S126,0)</f>
        <v>-0.0621386845848845</v>
      </c>
      <c r="W126" s="5" t="str">
        <f aca="false">IF(V126&lt;-0.1,"ADVERSE &gt;10%","")</f>
        <v/>
      </c>
    </row>
    <row r="127" customFormat="false" ht="15" hidden="false" customHeight="false" outlineLevel="0" collapsed="false">
      <c r="A127" s="5" t="str">
        <f aca="false">01_Data!A127</f>
        <v>Banking &amp; Financial Services</v>
      </c>
      <c r="B127" s="5" t="str">
        <f aca="false">01_Data!C127</f>
        <v>2024-09</v>
      </c>
      <c r="C127" s="5" t="str">
        <f aca="false">01_Data!D127</f>
        <v>FY24</v>
      </c>
      <c r="D127" s="7" t="n">
        <f aca="false">01_Data!E127</f>
        <v>189629</v>
      </c>
      <c r="E127" s="7" t="n">
        <f aca="false">01_Data!F127</f>
        <v>194181</v>
      </c>
      <c r="F127" s="7" t="n">
        <f aca="false">E127-D127</f>
        <v>4552</v>
      </c>
      <c r="G127" s="8" t="n">
        <f aca="false">IFERROR(F127/D127,0)</f>
        <v>0.0240047672033286</v>
      </c>
      <c r="H127" s="7" t="n">
        <f aca="false">01_Data!G127</f>
        <v>113195</v>
      </c>
      <c r="I127" s="7" t="n">
        <f aca="false">01_Data!H127</f>
        <v>115254</v>
      </c>
      <c r="J127" s="7" t="n">
        <f aca="false">H127-I127</f>
        <v>-2059</v>
      </c>
      <c r="K127" s="8" t="n">
        <f aca="false">IFERROR(J127/H127,0)</f>
        <v>-0.0181898493749724</v>
      </c>
      <c r="L127" s="7" t="n">
        <f aca="false">D127-H127</f>
        <v>76434</v>
      </c>
      <c r="M127" s="7" t="n">
        <f aca="false">E127-I127</f>
        <v>78927</v>
      </c>
      <c r="N127" s="7" t="n">
        <f aca="false">IFERROR(L127/D127,0)</f>
        <v>0.403071260197544</v>
      </c>
      <c r="O127" s="7" t="n">
        <f aca="false">IFERROR(M127/E127,0)</f>
        <v>0.40646098227942</v>
      </c>
      <c r="P127" s="7" t="n">
        <f aca="false">01_Data!I127+01_Data!K127+01_Data!M127+01_Data!O127+01_Data!Q127+01_Data!S127+01_Data!U127</f>
        <v>52416</v>
      </c>
      <c r="Q127" s="7" t="n">
        <f aca="false">01_Data!J127+01_Data!L127+01_Data!N127+01_Data!P127+01_Data!R127+01_Data!T127+01_Data!V127</f>
        <v>54510</v>
      </c>
      <c r="R127" s="7" t="n">
        <f aca="false">P127-Q127</f>
        <v>-2094</v>
      </c>
      <c r="S127" s="7" t="n">
        <f aca="false">L127-P127</f>
        <v>24018</v>
      </c>
      <c r="T127" s="7" t="n">
        <f aca="false">M127-Q127</f>
        <v>24417</v>
      </c>
      <c r="U127" s="7" t="n">
        <f aca="false">T127-S127</f>
        <v>399</v>
      </c>
      <c r="V127" s="8" t="n">
        <f aca="false">IFERROR(U127/S127,0)</f>
        <v>0.0166125405945541</v>
      </c>
      <c r="W127" s="5" t="str">
        <f aca="false">IF(V127&lt;-0.1,"ADVERSE &gt;10%","")</f>
        <v/>
      </c>
    </row>
    <row r="128" customFormat="false" ht="15" hidden="false" customHeight="false" outlineLevel="0" collapsed="false">
      <c r="A128" s="5" t="str">
        <f aca="false">01_Data!A128</f>
        <v>Banking &amp; Financial Services</v>
      </c>
      <c r="B128" s="5" t="str">
        <f aca="false">01_Data!C128</f>
        <v>2024-10</v>
      </c>
      <c r="C128" s="5" t="str">
        <f aca="false">01_Data!D128</f>
        <v>FY24</v>
      </c>
      <c r="D128" s="7" t="n">
        <f aca="false">01_Data!E128</f>
        <v>182897</v>
      </c>
      <c r="E128" s="7" t="n">
        <f aca="false">01_Data!F128</f>
        <v>178716</v>
      </c>
      <c r="F128" s="7" t="n">
        <f aca="false">E128-D128</f>
        <v>-4181</v>
      </c>
      <c r="G128" s="8" t="n">
        <f aca="false">IFERROR(F128/D128,0)</f>
        <v>-0.0228598610146695</v>
      </c>
      <c r="H128" s="7" t="n">
        <f aca="false">01_Data!G128</f>
        <v>104153</v>
      </c>
      <c r="I128" s="7" t="n">
        <f aca="false">01_Data!H128</f>
        <v>103343</v>
      </c>
      <c r="J128" s="7" t="n">
        <f aca="false">H128-I128</f>
        <v>810</v>
      </c>
      <c r="K128" s="8" t="n">
        <f aca="false">IFERROR(J128/H128,0)</f>
        <v>0.00777702034506927</v>
      </c>
      <c r="L128" s="7" t="n">
        <f aca="false">D128-H128</f>
        <v>78744</v>
      </c>
      <c r="M128" s="7" t="n">
        <f aca="false">E128-I128</f>
        <v>75373</v>
      </c>
      <c r="N128" s="7" t="n">
        <f aca="false">IFERROR(L128/D128,0)</f>
        <v>0.430537406299721</v>
      </c>
      <c r="O128" s="7" t="n">
        <f aca="false">IFERROR(M128/E128,0)</f>
        <v>0.421747353342734</v>
      </c>
      <c r="P128" s="7" t="n">
        <f aca="false">01_Data!I128+01_Data!K128+01_Data!M128+01_Data!O128+01_Data!Q128+01_Data!S128+01_Data!U128</f>
        <v>49107</v>
      </c>
      <c r="Q128" s="7" t="n">
        <f aca="false">01_Data!J128+01_Data!L128+01_Data!N128+01_Data!P128+01_Data!R128+01_Data!T128+01_Data!V128</f>
        <v>49599</v>
      </c>
      <c r="R128" s="7" t="n">
        <f aca="false">P128-Q128</f>
        <v>-492</v>
      </c>
      <c r="S128" s="7" t="n">
        <f aca="false">L128-P128</f>
        <v>29637</v>
      </c>
      <c r="T128" s="7" t="n">
        <f aca="false">M128-Q128</f>
        <v>25774</v>
      </c>
      <c r="U128" s="7" t="n">
        <f aca="false">T128-S128</f>
        <v>-3863</v>
      </c>
      <c r="V128" s="8" t="n">
        <f aca="false">IFERROR(U128/S128,0)</f>
        <v>-0.13034382697304</v>
      </c>
      <c r="W128" s="5" t="str">
        <f aca="false">IF(V128&lt;-0.1,"ADVERSE &gt;10%","")</f>
        <v>ADVERSE &gt;10%</v>
      </c>
    </row>
    <row r="129" customFormat="false" ht="15" hidden="false" customHeight="false" outlineLevel="0" collapsed="false">
      <c r="A129" s="5" t="str">
        <f aca="false">01_Data!A129</f>
        <v>Banking &amp; Financial Services</v>
      </c>
      <c r="B129" s="5" t="str">
        <f aca="false">01_Data!C129</f>
        <v>2024-11</v>
      </c>
      <c r="C129" s="5" t="str">
        <f aca="false">01_Data!D129</f>
        <v>FY24</v>
      </c>
      <c r="D129" s="7" t="n">
        <f aca="false">01_Data!E129</f>
        <v>182596</v>
      </c>
      <c r="E129" s="7" t="n">
        <f aca="false">01_Data!F129</f>
        <v>178466</v>
      </c>
      <c r="F129" s="7" t="n">
        <f aca="false">E129-D129</f>
        <v>-4130</v>
      </c>
      <c r="G129" s="8" t="n">
        <f aca="false">IFERROR(F129/D129,0)</f>
        <v>-0.0226182391728187</v>
      </c>
      <c r="H129" s="7" t="n">
        <f aca="false">01_Data!G129</f>
        <v>107574</v>
      </c>
      <c r="I129" s="7" t="n">
        <f aca="false">01_Data!H129</f>
        <v>108672</v>
      </c>
      <c r="J129" s="7" t="n">
        <f aca="false">H129-I129</f>
        <v>-1098</v>
      </c>
      <c r="K129" s="8" t="n">
        <f aca="false">IFERROR(J129/H129,0)</f>
        <v>-0.0102069273244464</v>
      </c>
      <c r="L129" s="7" t="n">
        <f aca="false">D129-H129</f>
        <v>75022</v>
      </c>
      <c r="M129" s="7" t="n">
        <f aca="false">E129-I129</f>
        <v>69794</v>
      </c>
      <c r="N129" s="7" t="n">
        <f aca="false">IFERROR(L129/D129,0)</f>
        <v>0.410863326688427</v>
      </c>
      <c r="O129" s="7" t="n">
        <f aca="false">IFERROR(M129/E129,0)</f>
        <v>0.391077292033216</v>
      </c>
      <c r="P129" s="7" t="n">
        <f aca="false">01_Data!I129+01_Data!K129+01_Data!M129+01_Data!O129+01_Data!Q129+01_Data!S129+01_Data!U129</f>
        <v>50729</v>
      </c>
      <c r="Q129" s="7" t="n">
        <f aca="false">01_Data!J129+01_Data!L129+01_Data!N129+01_Data!P129+01_Data!R129+01_Data!T129+01_Data!V129</f>
        <v>51266</v>
      </c>
      <c r="R129" s="7" t="n">
        <f aca="false">P129-Q129</f>
        <v>-537</v>
      </c>
      <c r="S129" s="7" t="n">
        <f aca="false">L129-P129</f>
        <v>24293</v>
      </c>
      <c r="T129" s="7" t="n">
        <f aca="false">M129-Q129</f>
        <v>18528</v>
      </c>
      <c r="U129" s="7" t="n">
        <f aca="false">T129-S129</f>
        <v>-5765</v>
      </c>
      <c r="V129" s="8" t="n">
        <f aca="false">IFERROR(U129/S129,0)</f>
        <v>-0.237311159593299</v>
      </c>
      <c r="W129" s="5" t="str">
        <f aca="false">IF(V129&lt;-0.1,"ADVERSE &gt;10%","")</f>
        <v>ADVERSE &gt;10%</v>
      </c>
    </row>
    <row r="130" customFormat="false" ht="15" hidden="false" customHeight="false" outlineLevel="0" collapsed="false">
      <c r="A130" s="5" t="str">
        <f aca="false">01_Data!A130</f>
        <v>Banking &amp; Financial Services</v>
      </c>
      <c r="B130" s="5" t="str">
        <f aca="false">01_Data!C130</f>
        <v>2024-12</v>
      </c>
      <c r="C130" s="5" t="str">
        <f aca="false">01_Data!D130</f>
        <v>FY24</v>
      </c>
      <c r="D130" s="7" t="n">
        <f aca="false">01_Data!E130</f>
        <v>202150</v>
      </c>
      <c r="E130" s="7" t="n">
        <f aca="false">01_Data!F130</f>
        <v>195335</v>
      </c>
      <c r="F130" s="7" t="n">
        <f aca="false">E130-D130</f>
        <v>-6815</v>
      </c>
      <c r="G130" s="8" t="n">
        <f aca="false">IFERROR(F130/D130,0)</f>
        <v>-0.0337125896611427</v>
      </c>
      <c r="H130" s="7" t="n">
        <f aca="false">01_Data!G130</f>
        <v>113522</v>
      </c>
      <c r="I130" s="7" t="n">
        <f aca="false">01_Data!H130</f>
        <v>114534</v>
      </c>
      <c r="J130" s="7" t="n">
        <f aca="false">H130-I130</f>
        <v>-1012</v>
      </c>
      <c r="K130" s="8" t="n">
        <f aca="false">IFERROR(J130/H130,0)</f>
        <v>-0.00891457162488328</v>
      </c>
      <c r="L130" s="7" t="n">
        <f aca="false">D130-H130</f>
        <v>88628</v>
      </c>
      <c r="M130" s="7" t="n">
        <f aca="false">E130-I130</f>
        <v>80801</v>
      </c>
      <c r="N130" s="7" t="n">
        <f aca="false">IFERROR(L130/D130,0)</f>
        <v>0.438426910709869</v>
      </c>
      <c r="O130" s="7" t="n">
        <f aca="false">IFERROR(M130/E130,0)</f>
        <v>0.413653467120588</v>
      </c>
      <c r="P130" s="7" t="n">
        <f aca="false">01_Data!I130+01_Data!K130+01_Data!M130+01_Data!O130+01_Data!Q130+01_Data!S130+01_Data!U130</f>
        <v>55062</v>
      </c>
      <c r="Q130" s="7" t="n">
        <f aca="false">01_Data!J130+01_Data!L130+01_Data!N130+01_Data!P130+01_Data!R130+01_Data!T130+01_Data!V130</f>
        <v>56738</v>
      </c>
      <c r="R130" s="7" t="n">
        <f aca="false">P130-Q130</f>
        <v>-1676</v>
      </c>
      <c r="S130" s="7" t="n">
        <f aca="false">L130-P130</f>
        <v>33566</v>
      </c>
      <c r="T130" s="7" t="n">
        <f aca="false">M130-Q130</f>
        <v>24063</v>
      </c>
      <c r="U130" s="7" t="n">
        <f aca="false">T130-S130</f>
        <v>-9503</v>
      </c>
      <c r="V130" s="8" t="n">
        <f aca="false">IFERROR(U130/S130,0)</f>
        <v>-0.283113865220759</v>
      </c>
      <c r="W130" s="5" t="str">
        <f aca="false">IF(V130&lt;-0.1,"ADVERSE &gt;10%","")</f>
        <v>ADVERSE &gt;10%</v>
      </c>
    </row>
    <row r="131" customFormat="false" ht="15" hidden="false" customHeight="false" outlineLevel="0" collapsed="false">
      <c r="A131" s="5" t="str">
        <f aca="false">01_Data!A131</f>
        <v>Banking &amp; Financial Services</v>
      </c>
      <c r="B131" s="5" t="str">
        <f aca="false">01_Data!C131</f>
        <v>2025-01</v>
      </c>
      <c r="C131" s="5" t="str">
        <f aca="false">01_Data!D131</f>
        <v>FY24</v>
      </c>
      <c r="D131" s="7" t="n">
        <f aca="false">01_Data!E131</f>
        <v>172596</v>
      </c>
      <c r="E131" s="7" t="n">
        <f aca="false">01_Data!F131</f>
        <v>177742</v>
      </c>
      <c r="F131" s="7" t="n">
        <f aca="false">E131-D131</f>
        <v>5146</v>
      </c>
      <c r="G131" s="8" t="n">
        <f aca="false">IFERROR(F131/D131,0)</f>
        <v>0.0298152912002596</v>
      </c>
      <c r="H131" s="7" t="n">
        <f aca="false">01_Data!G131</f>
        <v>98490</v>
      </c>
      <c r="I131" s="7" t="n">
        <f aca="false">01_Data!H131</f>
        <v>102483</v>
      </c>
      <c r="J131" s="7" t="n">
        <f aca="false">H131-I131</f>
        <v>-3993</v>
      </c>
      <c r="K131" s="8" t="n">
        <f aca="false">IFERROR(J131/H131,0)</f>
        <v>-0.0405421870240634</v>
      </c>
      <c r="L131" s="7" t="n">
        <f aca="false">D131-H131</f>
        <v>74106</v>
      </c>
      <c r="M131" s="7" t="n">
        <f aca="false">E131-I131</f>
        <v>75259</v>
      </c>
      <c r="N131" s="7" t="n">
        <f aca="false">IFERROR(L131/D131,0)</f>
        <v>0.429361051241048</v>
      </c>
      <c r="O131" s="7" t="n">
        <f aca="false">IFERROR(M131/E131,0)</f>
        <v>0.423417087688897</v>
      </c>
      <c r="P131" s="7" t="n">
        <f aca="false">01_Data!I131+01_Data!K131+01_Data!M131+01_Data!O131+01_Data!Q131+01_Data!S131+01_Data!U131</f>
        <v>45283</v>
      </c>
      <c r="Q131" s="7" t="n">
        <f aca="false">01_Data!J131+01_Data!L131+01_Data!N131+01_Data!P131+01_Data!R131+01_Data!T131+01_Data!V131</f>
        <v>46751</v>
      </c>
      <c r="R131" s="7" t="n">
        <f aca="false">P131-Q131</f>
        <v>-1468</v>
      </c>
      <c r="S131" s="7" t="n">
        <f aca="false">L131-P131</f>
        <v>28823</v>
      </c>
      <c r="T131" s="7" t="n">
        <f aca="false">M131-Q131</f>
        <v>28508</v>
      </c>
      <c r="U131" s="7" t="n">
        <f aca="false">T131-S131</f>
        <v>-315</v>
      </c>
      <c r="V131" s="8" t="n">
        <f aca="false">IFERROR(U131/S131,0)</f>
        <v>-0.0109287721611213</v>
      </c>
      <c r="W131" s="5" t="str">
        <f aca="false">IF(V131&lt;-0.1,"ADVERSE &gt;10%","")</f>
        <v/>
      </c>
    </row>
    <row r="132" customFormat="false" ht="15" hidden="false" customHeight="false" outlineLevel="0" collapsed="false">
      <c r="A132" s="5" t="str">
        <f aca="false">01_Data!A132</f>
        <v>Banking &amp; Financial Services</v>
      </c>
      <c r="B132" s="5" t="str">
        <f aca="false">01_Data!C132</f>
        <v>2025-02</v>
      </c>
      <c r="C132" s="5" t="str">
        <f aca="false">01_Data!D132</f>
        <v>FY24</v>
      </c>
      <c r="D132" s="7" t="n">
        <f aca="false">01_Data!E132</f>
        <v>172440</v>
      </c>
      <c r="E132" s="7" t="n">
        <f aca="false">01_Data!F132</f>
        <v>176422</v>
      </c>
      <c r="F132" s="7" t="n">
        <f aca="false">E132-D132</f>
        <v>3982</v>
      </c>
      <c r="G132" s="8" t="n">
        <f aca="false">IFERROR(F132/D132,0)</f>
        <v>0.0230920900023196</v>
      </c>
      <c r="H132" s="7" t="n">
        <f aca="false">01_Data!G132</f>
        <v>97829</v>
      </c>
      <c r="I132" s="7" t="n">
        <f aca="false">01_Data!H132</f>
        <v>98384</v>
      </c>
      <c r="J132" s="7" t="n">
        <f aca="false">H132-I132</f>
        <v>-555</v>
      </c>
      <c r="K132" s="8" t="n">
        <f aca="false">IFERROR(J132/H132,0)</f>
        <v>-0.00567316439910456</v>
      </c>
      <c r="L132" s="7" t="n">
        <f aca="false">D132-H132</f>
        <v>74611</v>
      </c>
      <c r="M132" s="7" t="n">
        <f aca="false">E132-I132</f>
        <v>78038</v>
      </c>
      <c r="N132" s="7" t="n">
        <f aca="false">IFERROR(L132/D132,0)</f>
        <v>0.432678032938993</v>
      </c>
      <c r="O132" s="7" t="n">
        <f aca="false">IFERROR(M132/E132,0)</f>
        <v>0.442337123488</v>
      </c>
      <c r="P132" s="7" t="n">
        <f aca="false">01_Data!I132+01_Data!K132+01_Data!M132+01_Data!O132+01_Data!Q132+01_Data!S132+01_Data!U132</f>
        <v>47608</v>
      </c>
      <c r="Q132" s="7" t="n">
        <f aca="false">01_Data!J132+01_Data!L132+01_Data!N132+01_Data!P132+01_Data!R132+01_Data!T132+01_Data!V132</f>
        <v>47912</v>
      </c>
      <c r="R132" s="7" t="n">
        <f aca="false">P132-Q132</f>
        <v>-304</v>
      </c>
      <c r="S132" s="7" t="n">
        <f aca="false">L132-P132</f>
        <v>27003</v>
      </c>
      <c r="T132" s="7" t="n">
        <f aca="false">M132-Q132</f>
        <v>30126</v>
      </c>
      <c r="U132" s="7" t="n">
        <f aca="false">T132-S132</f>
        <v>3123</v>
      </c>
      <c r="V132" s="8" t="n">
        <f aca="false">IFERROR(U132/S132,0)</f>
        <v>0.11565381624264</v>
      </c>
      <c r="W132" s="5" t="str">
        <f aca="false">IF(V132&lt;-0.1,"ADVERSE &gt;10%","")</f>
        <v/>
      </c>
    </row>
    <row r="133" customFormat="false" ht="15" hidden="false" customHeight="false" outlineLevel="0" collapsed="false">
      <c r="A133" s="5" t="str">
        <f aca="false">01_Data!A133</f>
        <v>Banking &amp; Financial Services</v>
      </c>
      <c r="B133" s="5" t="str">
        <f aca="false">01_Data!C133</f>
        <v>2025-03</v>
      </c>
      <c r="C133" s="5" t="str">
        <f aca="false">01_Data!D133</f>
        <v>FY24</v>
      </c>
      <c r="D133" s="7" t="n">
        <f aca="false">01_Data!E133</f>
        <v>182492</v>
      </c>
      <c r="E133" s="7" t="n">
        <f aca="false">01_Data!F133</f>
        <v>190251</v>
      </c>
      <c r="F133" s="7" t="n">
        <f aca="false">E133-D133</f>
        <v>7759</v>
      </c>
      <c r="G133" s="8" t="n">
        <f aca="false">IFERROR(F133/D133,0)</f>
        <v>0.0425169322490849</v>
      </c>
      <c r="H133" s="7" t="n">
        <f aca="false">01_Data!G133</f>
        <v>104676</v>
      </c>
      <c r="I133" s="7" t="n">
        <f aca="false">01_Data!H133</f>
        <v>114439</v>
      </c>
      <c r="J133" s="7" t="n">
        <f aca="false">H133-I133</f>
        <v>-9763</v>
      </c>
      <c r="K133" s="8" t="n">
        <f aca="false">IFERROR(J133/H133,0)</f>
        <v>-0.0932687531048187</v>
      </c>
      <c r="L133" s="7" t="n">
        <f aca="false">D133-H133</f>
        <v>77816</v>
      </c>
      <c r="M133" s="7" t="n">
        <f aca="false">E133-I133</f>
        <v>75812</v>
      </c>
      <c r="N133" s="7" t="n">
        <f aca="false">IFERROR(L133/D133,0)</f>
        <v>0.426407732941718</v>
      </c>
      <c r="O133" s="7" t="n">
        <f aca="false">IFERROR(M133/E133,0)</f>
        <v>0.39848410783649</v>
      </c>
      <c r="P133" s="7" t="n">
        <f aca="false">01_Data!I133+01_Data!K133+01_Data!M133+01_Data!O133+01_Data!Q133+01_Data!S133+01_Data!U133</f>
        <v>47335</v>
      </c>
      <c r="Q133" s="7" t="n">
        <f aca="false">01_Data!J133+01_Data!L133+01_Data!N133+01_Data!P133+01_Data!R133+01_Data!T133+01_Data!V133</f>
        <v>47247</v>
      </c>
      <c r="R133" s="7" t="n">
        <f aca="false">P133-Q133</f>
        <v>88</v>
      </c>
      <c r="S133" s="7" t="n">
        <f aca="false">L133-P133</f>
        <v>30481</v>
      </c>
      <c r="T133" s="7" t="n">
        <f aca="false">M133-Q133</f>
        <v>28565</v>
      </c>
      <c r="U133" s="7" t="n">
        <f aca="false">T133-S133</f>
        <v>-1916</v>
      </c>
      <c r="V133" s="8" t="n">
        <f aca="false">IFERROR(U133/S133,0)</f>
        <v>-0.0628588300908763</v>
      </c>
      <c r="W133" s="5" t="str">
        <f aca="false">IF(V133&lt;-0.1,"ADVERSE &gt;10%","")</f>
        <v/>
      </c>
    </row>
    <row r="134" customFormat="false" ht="15" hidden="false" customHeight="false" outlineLevel="0" collapsed="false">
      <c r="A134" s="5" t="str">
        <f aca="false">01_Data!A134</f>
        <v>Banking &amp; Financial Services</v>
      </c>
      <c r="B134" s="5" t="str">
        <f aca="false">01_Data!C134</f>
        <v>2025-04</v>
      </c>
      <c r="C134" s="5" t="str">
        <f aca="false">01_Data!D134</f>
        <v>FY25</v>
      </c>
      <c r="D134" s="7" t="n">
        <f aca="false">01_Data!E134</f>
        <v>165192</v>
      </c>
      <c r="E134" s="7" t="n">
        <f aca="false">01_Data!F134</f>
        <v>173483</v>
      </c>
      <c r="F134" s="7" t="n">
        <f aca="false">E134-D134</f>
        <v>8291</v>
      </c>
      <c r="G134" s="8" t="n">
        <f aca="false">IFERROR(F134/D134,0)</f>
        <v>0.0501900818441571</v>
      </c>
      <c r="H134" s="7" t="n">
        <f aca="false">01_Data!G134</f>
        <v>97846</v>
      </c>
      <c r="I134" s="7" t="n">
        <f aca="false">01_Data!H134</f>
        <v>100909</v>
      </c>
      <c r="J134" s="7" t="n">
        <f aca="false">H134-I134</f>
        <v>-3063</v>
      </c>
      <c r="K134" s="8" t="n">
        <f aca="false">IFERROR(J134/H134,0)</f>
        <v>-0.0313042945036077</v>
      </c>
      <c r="L134" s="7" t="n">
        <f aca="false">D134-H134</f>
        <v>67346</v>
      </c>
      <c r="M134" s="7" t="n">
        <f aca="false">E134-I134</f>
        <v>72574</v>
      </c>
      <c r="N134" s="7" t="n">
        <f aca="false">IFERROR(L134/D134,0)</f>
        <v>0.407683180783573</v>
      </c>
      <c r="O134" s="7" t="n">
        <f aca="false">IFERROR(M134/E134,0)</f>
        <v>0.41833493771724</v>
      </c>
      <c r="P134" s="7" t="n">
        <f aca="false">01_Data!I134+01_Data!K134+01_Data!M134+01_Data!O134+01_Data!Q134+01_Data!S134+01_Data!U134</f>
        <v>43823</v>
      </c>
      <c r="Q134" s="7" t="n">
        <f aca="false">01_Data!J134+01_Data!L134+01_Data!N134+01_Data!P134+01_Data!R134+01_Data!T134+01_Data!V134</f>
        <v>45433</v>
      </c>
      <c r="R134" s="7" t="n">
        <f aca="false">P134-Q134</f>
        <v>-1610</v>
      </c>
      <c r="S134" s="7" t="n">
        <f aca="false">L134-P134</f>
        <v>23523</v>
      </c>
      <c r="T134" s="7" t="n">
        <f aca="false">M134-Q134</f>
        <v>27141</v>
      </c>
      <c r="U134" s="7" t="n">
        <f aca="false">T134-S134</f>
        <v>3618</v>
      </c>
      <c r="V134" s="8" t="n">
        <f aca="false">IFERROR(U134/S134,0)</f>
        <v>0.153806912383625</v>
      </c>
      <c r="W134" s="5" t="str">
        <f aca="false">IF(V134&lt;-0.1,"ADVERSE &gt;10%","")</f>
        <v/>
      </c>
    </row>
    <row r="135" customFormat="false" ht="15" hidden="false" customHeight="false" outlineLevel="0" collapsed="false">
      <c r="A135" s="5" t="str">
        <f aca="false">01_Data!A135</f>
        <v>Banking &amp; Financial Services</v>
      </c>
      <c r="B135" s="5" t="str">
        <f aca="false">01_Data!C135</f>
        <v>2025-05</v>
      </c>
      <c r="C135" s="5" t="str">
        <f aca="false">01_Data!D135</f>
        <v>FY25</v>
      </c>
      <c r="D135" s="7" t="n">
        <f aca="false">01_Data!E135</f>
        <v>175664</v>
      </c>
      <c r="E135" s="7" t="n">
        <f aca="false">01_Data!F135</f>
        <v>173283</v>
      </c>
      <c r="F135" s="7" t="n">
        <f aca="false">E135-D135</f>
        <v>-2381</v>
      </c>
      <c r="G135" s="8" t="n">
        <f aca="false">IFERROR(F135/D135,0)</f>
        <v>-0.0135542854540486</v>
      </c>
      <c r="H135" s="7" t="n">
        <f aca="false">01_Data!G135</f>
        <v>95752</v>
      </c>
      <c r="I135" s="7" t="n">
        <f aca="false">01_Data!H135</f>
        <v>92149</v>
      </c>
      <c r="J135" s="7" t="n">
        <f aca="false">H135-I135</f>
        <v>3603</v>
      </c>
      <c r="K135" s="8" t="n">
        <f aca="false">IFERROR(J135/H135,0)</f>
        <v>0.0376284568468544</v>
      </c>
      <c r="L135" s="7" t="n">
        <f aca="false">D135-H135</f>
        <v>79912</v>
      </c>
      <c r="M135" s="7" t="n">
        <f aca="false">E135-I135</f>
        <v>81134</v>
      </c>
      <c r="N135" s="7" t="n">
        <f aca="false">IFERROR(L135/D135,0)</f>
        <v>0.454913926587121</v>
      </c>
      <c r="O135" s="7" t="n">
        <f aca="false">IFERROR(M135/E135,0)</f>
        <v>0.468216732166456</v>
      </c>
      <c r="P135" s="7" t="n">
        <f aca="false">01_Data!I135+01_Data!K135+01_Data!M135+01_Data!O135+01_Data!Q135+01_Data!S135+01_Data!U135</f>
        <v>44071</v>
      </c>
      <c r="Q135" s="7" t="n">
        <f aca="false">01_Data!J135+01_Data!L135+01_Data!N135+01_Data!P135+01_Data!R135+01_Data!T135+01_Data!V135</f>
        <v>44759</v>
      </c>
      <c r="R135" s="7" t="n">
        <f aca="false">P135-Q135</f>
        <v>-688</v>
      </c>
      <c r="S135" s="7" t="n">
        <f aca="false">L135-P135</f>
        <v>35841</v>
      </c>
      <c r="T135" s="7" t="n">
        <f aca="false">M135-Q135</f>
        <v>36375</v>
      </c>
      <c r="U135" s="7" t="n">
        <f aca="false">T135-S135</f>
        <v>534</v>
      </c>
      <c r="V135" s="8" t="n">
        <f aca="false">IFERROR(U135/S135,0)</f>
        <v>0.0148991378588767</v>
      </c>
      <c r="W135" s="5" t="str">
        <f aca="false">IF(V135&lt;-0.1,"ADVERSE &gt;10%","")</f>
        <v/>
      </c>
    </row>
    <row r="136" customFormat="false" ht="15" hidden="false" customHeight="false" outlineLevel="0" collapsed="false">
      <c r="A136" s="5" t="str">
        <f aca="false">01_Data!A136</f>
        <v>Banking &amp; Financial Services</v>
      </c>
      <c r="B136" s="5" t="str">
        <f aca="false">01_Data!C136</f>
        <v>2025-06</v>
      </c>
      <c r="C136" s="5" t="str">
        <f aca="false">01_Data!D136</f>
        <v>FY25</v>
      </c>
      <c r="D136" s="7" t="n">
        <f aca="false">01_Data!E136</f>
        <v>166895</v>
      </c>
      <c r="E136" s="7" t="n">
        <f aca="false">01_Data!F136</f>
        <v>174424</v>
      </c>
      <c r="F136" s="7" t="n">
        <f aca="false">E136-D136</f>
        <v>7529</v>
      </c>
      <c r="G136" s="8" t="n">
        <f aca="false">IFERROR(F136/D136,0)</f>
        <v>0.0451121962910812</v>
      </c>
      <c r="H136" s="7" t="n">
        <f aca="false">01_Data!G136</f>
        <v>93273</v>
      </c>
      <c r="I136" s="7" t="n">
        <f aca="false">01_Data!H136</f>
        <v>97926</v>
      </c>
      <c r="J136" s="7" t="n">
        <f aca="false">H136-I136</f>
        <v>-4653</v>
      </c>
      <c r="K136" s="8" t="n">
        <f aca="false">IFERROR(J136/H136,0)</f>
        <v>-0.0498858190473127</v>
      </c>
      <c r="L136" s="7" t="n">
        <f aca="false">D136-H136</f>
        <v>73622</v>
      </c>
      <c r="M136" s="7" t="n">
        <f aca="false">E136-I136</f>
        <v>76498</v>
      </c>
      <c r="N136" s="7" t="n">
        <f aca="false">IFERROR(L136/D136,0)</f>
        <v>0.441127655112496</v>
      </c>
      <c r="O136" s="7" t="n">
        <f aca="false">IFERROR(M136/E136,0)</f>
        <v>0.438574966747695</v>
      </c>
      <c r="P136" s="7" t="n">
        <f aca="false">01_Data!I136+01_Data!K136+01_Data!M136+01_Data!O136+01_Data!Q136+01_Data!S136+01_Data!U136</f>
        <v>41367</v>
      </c>
      <c r="Q136" s="7" t="n">
        <f aca="false">01_Data!J136+01_Data!L136+01_Data!N136+01_Data!P136+01_Data!R136+01_Data!T136+01_Data!V136</f>
        <v>41953</v>
      </c>
      <c r="R136" s="7" t="n">
        <f aca="false">P136-Q136</f>
        <v>-586</v>
      </c>
      <c r="S136" s="7" t="n">
        <f aca="false">L136-P136</f>
        <v>32255</v>
      </c>
      <c r="T136" s="7" t="n">
        <f aca="false">M136-Q136</f>
        <v>34545</v>
      </c>
      <c r="U136" s="7" t="n">
        <f aca="false">T136-S136</f>
        <v>2290</v>
      </c>
      <c r="V136" s="8" t="n">
        <f aca="false">IFERROR(U136/S136,0)</f>
        <v>0.0709967446907456</v>
      </c>
      <c r="W136" s="5" t="str">
        <f aca="false">IF(V136&lt;-0.1,"ADVERSE &gt;10%","")</f>
        <v/>
      </c>
    </row>
    <row r="137" customFormat="false" ht="15" hidden="false" customHeight="false" outlineLevel="0" collapsed="false">
      <c r="A137" s="5" t="str">
        <f aca="false">01_Data!A137</f>
        <v>Banking &amp; Financial Services</v>
      </c>
      <c r="B137" s="5" t="str">
        <f aca="false">01_Data!C137</f>
        <v>2025-07</v>
      </c>
      <c r="C137" s="5" t="str">
        <f aca="false">01_Data!D137</f>
        <v>FY25</v>
      </c>
      <c r="D137" s="7" t="n">
        <f aca="false">01_Data!E137</f>
        <v>173052</v>
      </c>
      <c r="E137" s="7" t="n">
        <f aca="false">01_Data!F137</f>
        <v>177480</v>
      </c>
      <c r="F137" s="7" t="n">
        <f aca="false">E137-D137</f>
        <v>4428</v>
      </c>
      <c r="G137" s="8" t="n">
        <f aca="false">IFERROR(F137/D137,0)</f>
        <v>0.0255876846265862</v>
      </c>
      <c r="H137" s="7" t="n">
        <f aca="false">01_Data!G137</f>
        <v>96302</v>
      </c>
      <c r="I137" s="7" t="n">
        <f aca="false">01_Data!H137</f>
        <v>99987</v>
      </c>
      <c r="J137" s="7" t="n">
        <f aca="false">H137-I137</f>
        <v>-3685</v>
      </c>
      <c r="K137" s="8" t="n">
        <f aca="false">IFERROR(J137/H137,0)</f>
        <v>-0.0382650412244813</v>
      </c>
      <c r="L137" s="7" t="n">
        <f aca="false">D137-H137</f>
        <v>76750</v>
      </c>
      <c r="M137" s="7" t="n">
        <f aca="false">E137-I137</f>
        <v>77493</v>
      </c>
      <c r="N137" s="7" t="n">
        <f aca="false">IFERROR(L137/D137,0)</f>
        <v>0.443508309641033</v>
      </c>
      <c r="O137" s="7" t="n">
        <f aca="false">IFERROR(M137/E137,0)</f>
        <v>0.436629479377958</v>
      </c>
      <c r="P137" s="7" t="n">
        <f aca="false">01_Data!I137+01_Data!K137+01_Data!M137+01_Data!O137+01_Data!Q137+01_Data!S137+01_Data!U137</f>
        <v>45665</v>
      </c>
      <c r="Q137" s="7" t="n">
        <f aca="false">01_Data!J137+01_Data!L137+01_Data!N137+01_Data!P137+01_Data!R137+01_Data!T137+01_Data!V137</f>
        <v>46147</v>
      </c>
      <c r="R137" s="7" t="n">
        <f aca="false">P137-Q137</f>
        <v>-482</v>
      </c>
      <c r="S137" s="7" t="n">
        <f aca="false">L137-P137</f>
        <v>31085</v>
      </c>
      <c r="T137" s="7" t="n">
        <f aca="false">M137-Q137</f>
        <v>31346</v>
      </c>
      <c r="U137" s="7" t="n">
        <f aca="false">T137-S137</f>
        <v>261</v>
      </c>
      <c r="V137" s="8" t="n">
        <f aca="false">IFERROR(U137/S137,0)</f>
        <v>0.00839633263631977</v>
      </c>
      <c r="W137" s="5" t="str">
        <f aca="false">IF(V137&lt;-0.1,"ADVERSE &gt;10%","")</f>
        <v/>
      </c>
    </row>
    <row r="138" customFormat="false" ht="15" hidden="false" customHeight="false" outlineLevel="0" collapsed="false">
      <c r="A138" s="5" t="str">
        <f aca="false">01_Data!A138</f>
        <v>Banking &amp; Financial Services</v>
      </c>
      <c r="B138" s="5" t="str">
        <f aca="false">01_Data!C138</f>
        <v>2025-08</v>
      </c>
      <c r="C138" s="5" t="str">
        <f aca="false">01_Data!D138</f>
        <v>FY25</v>
      </c>
      <c r="D138" s="7" t="n">
        <f aca="false">01_Data!E138</f>
        <v>173531</v>
      </c>
      <c r="E138" s="7" t="n">
        <f aca="false">01_Data!F138</f>
        <v>182225</v>
      </c>
      <c r="F138" s="7" t="n">
        <f aca="false">E138-D138</f>
        <v>8694</v>
      </c>
      <c r="G138" s="8" t="n">
        <f aca="false">IFERROR(F138/D138,0)</f>
        <v>0.0501005584016689</v>
      </c>
      <c r="H138" s="7" t="n">
        <f aca="false">01_Data!G138</f>
        <v>102349</v>
      </c>
      <c r="I138" s="7" t="n">
        <f aca="false">01_Data!H138</f>
        <v>110678</v>
      </c>
      <c r="J138" s="7" t="n">
        <f aca="false">H138-I138</f>
        <v>-8329</v>
      </c>
      <c r="K138" s="8" t="n">
        <f aca="false">IFERROR(J138/H138,0)</f>
        <v>-0.0813784208932183</v>
      </c>
      <c r="L138" s="7" t="n">
        <f aca="false">D138-H138</f>
        <v>71182</v>
      </c>
      <c r="M138" s="7" t="n">
        <f aca="false">E138-I138</f>
        <v>71547</v>
      </c>
      <c r="N138" s="7" t="n">
        <f aca="false">IFERROR(L138/D138,0)</f>
        <v>0.410197601581274</v>
      </c>
      <c r="O138" s="7" t="n">
        <f aca="false">IFERROR(M138/E138,0)</f>
        <v>0.392629990396488</v>
      </c>
      <c r="P138" s="7" t="n">
        <f aca="false">01_Data!I138+01_Data!K138+01_Data!M138+01_Data!O138+01_Data!Q138+01_Data!S138+01_Data!U138</f>
        <v>46481</v>
      </c>
      <c r="Q138" s="7" t="n">
        <f aca="false">01_Data!J138+01_Data!L138+01_Data!N138+01_Data!P138+01_Data!R138+01_Data!T138+01_Data!V138</f>
        <v>48800</v>
      </c>
      <c r="R138" s="7" t="n">
        <f aca="false">P138-Q138</f>
        <v>-2319</v>
      </c>
      <c r="S138" s="7" t="n">
        <f aca="false">L138-P138</f>
        <v>24701</v>
      </c>
      <c r="T138" s="7" t="n">
        <f aca="false">M138-Q138</f>
        <v>22747</v>
      </c>
      <c r="U138" s="7" t="n">
        <f aca="false">T138-S138</f>
        <v>-1954</v>
      </c>
      <c r="V138" s="8" t="n">
        <f aca="false">IFERROR(U138/S138,0)</f>
        <v>-0.0791061090644104</v>
      </c>
      <c r="W138" s="5" t="str">
        <f aca="false">IF(V138&lt;-0.1,"ADVERSE &gt;10%","")</f>
        <v/>
      </c>
    </row>
    <row r="139" customFormat="false" ht="15" hidden="false" customHeight="false" outlineLevel="0" collapsed="false">
      <c r="A139" s="5" t="str">
        <f aca="false">01_Data!A139</f>
        <v>Banking &amp; Financial Services</v>
      </c>
      <c r="B139" s="5" t="str">
        <f aca="false">01_Data!C139</f>
        <v>2025-09</v>
      </c>
      <c r="C139" s="5" t="str">
        <f aca="false">01_Data!D139</f>
        <v>FY25</v>
      </c>
      <c r="D139" s="7" t="n">
        <f aca="false">01_Data!E139</f>
        <v>187937</v>
      </c>
      <c r="E139" s="7" t="n">
        <f aca="false">01_Data!F139</f>
        <v>196441</v>
      </c>
      <c r="F139" s="7" t="n">
        <f aca="false">E139-D139</f>
        <v>8504</v>
      </c>
      <c r="G139" s="8" t="n">
        <f aca="false">IFERROR(F139/D139,0)</f>
        <v>0.0452492058508968</v>
      </c>
      <c r="H139" s="7" t="n">
        <f aca="false">01_Data!G139</f>
        <v>103816</v>
      </c>
      <c r="I139" s="7" t="n">
        <f aca="false">01_Data!H139</f>
        <v>106617</v>
      </c>
      <c r="J139" s="7" t="n">
        <f aca="false">H139-I139</f>
        <v>-2801</v>
      </c>
      <c r="K139" s="8" t="n">
        <f aca="false">IFERROR(J139/H139,0)</f>
        <v>-0.026980426909147</v>
      </c>
      <c r="L139" s="7" t="n">
        <f aca="false">D139-H139</f>
        <v>84121</v>
      </c>
      <c r="M139" s="7" t="n">
        <f aca="false">E139-I139</f>
        <v>89824</v>
      </c>
      <c r="N139" s="7" t="n">
        <f aca="false">IFERROR(L139/D139,0)</f>
        <v>0.447602121987687</v>
      </c>
      <c r="O139" s="7" t="n">
        <f aca="false">IFERROR(M139/E139,0)</f>
        <v>0.457256886291558</v>
      </c>
      <c r="P139" s="7" t="n">
        <f aca="false">01_Data!I139+01_Data!K139+01_Data!M139+01_Data!O139+01_Data!Q139+01_Data!S139+01_Data!U139</f>
        <v>48060</v>
      </c>
      <c r="Q139" s="7" t="n">
        <f aca="false">01_Data!J139+01_Data!L139+01_Data!N139+01_Data!P139+01_Data!R139+01_Data!T139+01_Data!V139</f>
        <v>48506</v>
      </c>
      <c r="R139" s="7" t="n">
        <f aca="false">P139-Q139</f>
        <v>-446</v>
      </c>
      <c r="S139" s="7" t="n">
        <f aca="false">L139-P139</f>
        <v>36061</v>
      </c>
      <c r="T139" s="7" t="n">
        <f aca="false">M139-Q139</f>
        <v>41318</v>
      </c>
      <c r="U139" s="7" t="n">
        <f aca="false">T139-S139</f>
        <v>5257</v>
      </c>
      <c r="V139" s="8" t="n">
        <f aca="false">IFERROR(U139/S139,0)</f>
        <v>0.145780760378248</v>
      </c>
      <c r="W139" s="5" t="str">
        <f aca="false">IF(V139&lt;-0.1,"ADVERSE &gt;10%","")</f>
        <v/>
      </c>
    </row>
    <row r="140" customFormat="false" ht="15" hidden="false" customHeight="false" outlineLevel="0" collapsed="false">
      <c r="A140" s="5" t="str">
        <f aca="false">01_Data!A140</f>
        <v>Banking &amp; Financial Services</v>
      </c>
      <c r="B140" s="5" t="str">
        <f aca="false">01_Data!C140</f>
        <v>2025-10</v>
      </c>
      <c r="C140" s="5" t="str">
        <f aca="false">01_Data!D140</f>
        <v>FY25</v>
      </c>
      <c r="D140" s="7" t="n">
        <f aca="false">01_Data!E140</f>
        <v>196327</v>
      </c>
      <c r="E140" s="7" t="n">
        <f aca="false">01_Data!F140</f>
        <v>185372</v>
      </c>
      <c r="F140" s="7" t="n">
        <f aca="false">E140-D140</f>
        <v>-10955</v>
      </c>
      <c r="G140" s="8" t="n">
        <f aca="false">IFERROR(F140/D140,0)</f>
        <v>-0.0557997626409001</v>
      </c>
      <c r="H140" s="7" t="n">
        <f aca="false">01_Data!G140</f>
        <v>116230</v>
      </c>
      <c r="I140" s="7" t="n">
        <f aca="false">01_Data!H140</f>
        <v>107213</v>
      </c>
      <c r="J140" s="7" t="n">
        <f aca="false">H140-I140</f>
        <v>9017</v>
      </c>
      <c r="K140" s="8" t="n">
        <f aca="false">IFERROR(J140/H140,0)</f>
        <v>0.0775789383119677</v>
      </c>
      <c r="L140" s="7" t="n">
        <f aca="false">D140-H140</f>
        <v>80097</v>
      </c>
      <c r="M140" s="7" t="n">
        <f aca="false">E140-I140</f>
        <v>78159</v>
      </c>
      <c r="N140" s="7" t="n">
        <f aca="false">IFERROR(L140/D140,0)</f>
        <v>0.407977506914485</v>
      </c>
      <c r="O140" s="7" t="n">
        <f aca="false">IFERROR(M140/E140,0)</f>
        <v>0.421633256370973</v>
      </c>
      <c r="P140" s="7" t="n">
        <f aca="false">01_Data!I140+01_Data!K140+01_Data!M140+01_Data!O140+01_Data!Q140+01_Data!S140+01_Data!U140</f>
        <v>55863</v>
      </c>
      <c r="Q140" s="7" t="n">
        <f aca="false">01_Data!J140+01_Data!L140+01_Data!N140+01_Data!P140+01_Data!R140+01_Data!T140+01_Data!V140</f>
        <v>56988</v>
      </c>
      <c r="R140" s="7" t="n">
        <f aca="false">P140-Q140</f>
        <v>-1125</v>
      </c>
      <c r="S140" s="7" t="n">
        <f aca="false">L140-P140</f>
        <v>24234</v>
      </c>
      <c r="T140" s="7" t="n">
        <f aca="false">M140-Q140</f>
        <v>21171</v>
      </c>
      <c r="U140" s="7" t="n">
        <f aca="false">T140-S140</f>
        <v>-3063</v>
      </c>
      <c r="V140" s="8" t="n">
        <f aca="false">IFERROR(U140/S140,0)</f>
        <v>-0.12639267145333</v>
      </c>
      <c r="W140" s="5" t="str">
        <f aca="false">IF(V140&lt;-0.1,"ADVERSE &gt;10%","")</f>
        <v>ADVERSE &gt;10%</v>
      </c>
    </row>
    <row r="141" customFormat="false" ht="15" hidden="false" customHeight="false" outlineLevel="0" collapsed="false">
      <c r="A141" s="5" t="str">
        <f aca="false">01_Data!A141</f>
        <v>Banking &amp; Financial Services</v>
      </c>
      <c r="B141" s="5" t="str">
        <f aca="false">01_Data!C141</f>
        <v>2025-11</v>
      </c>
      <c r="C141" s="5" t="str">
        <f aca="false">01_Data!D141</f>
        <v>FY25</v>
      </c>
      <c r="D141" s="7" t="n">
        <f aca="false">01_Data!E141</f>
        <v>181816</v>
      </c>
      <c r="E141" s="7" t="n">
        <f aca="false">01_Data!F141</f>
        <v>186787</v>
      </c>
      <c r="F141" s="7" t="n">
        <f aca="false">E141-D141</f>
        <v>4971</v>
      </c>
      <c r="G141" s="8" t="n">
        <f aca="false">IFERROR(F141/D141,0)</f>
        <v>0.0273408280899371</v>
      </c>
      <c r="H141" s="7" t="n">
        <f aca="false">01_Data!G141</f>
        <v>108395</v>
      </c>
      <c r="I141" s="7" t="n">
        <f aca="false">01_Data!H141</f>
        <v>111070</v>
      </c>
      <c r="J141" s="7" t="n">
        <f aca="false">H141-I141</f>
        <v>-2675</v>
      </c>
      <c r="K141" s="8" t="n">
        <f aca="false">IFERROR(J141/H141,0)</f>
        <v>-0.0246782600673463</v>
      </c>
      <c r="L141" s="7" t="n">
        <f aca="false">D141-H141</f>
        <v>73421</v>
      </c>
      <c r="M141" s="7" t="n">
        <f aca="false">E141-I141</f>
        <v>75717</v>
      </c>
      <c r="N141" s="7" t="n">
        <f aca="false">IFERROR(L141/D141,0)</f>
        <v>0.40382034584415</v>
      </c>
      <c r="O141" s="7" t="n">
        <f aca="false">IFERROR(M141/E141,0)</f>
        <v>0.405365469759673</v>
      </c>
      <c r="P141" s="7" t="n">
        <f aca="false">01_Data!I141+01_Data!K141+01_Data!M141+01_Data!O141+01_Data!Q141+01_Data!S141+01_Data!U141</f>
        <v>49567</v>
      </c>
      <c r="Q141" s="7" t="n">
        <f aca="false">01_Data!J141+01_Data!L141+01_Data!N141+01_Data!P141+01_Data!R141+01_Data!T141+01_Data!V141</f>
        <v>50298</v>
      </c>
      <c r="R141" s="7" t="n">
        <f aca="false">P141-Q141</f>
        <v>-731</v>
      </c>
      <c r="S141" s="7" t="n">
        <f aca="false">L141-P141</f>
        <v>23854</v>
      </c>
      <c r="T141" s="7" t="n">
        <f aca="false">M141-Q141</f>
        <v>25419</v>
      </c>
      <c r="U141" s="7" t="n">
        <f aca="false">T141-S141</f>
        <v>1565</v>
      </c>
      <c r="V141" s="8" t="n">
        <f aca="false">IFERROR(U141/S141,0)</f>
        <v>0.0656074452921942</v>
      </c>
      <c r="W141" s="5" t="str">
        <f aca="false">IF(V141&lt;-0.1,"ADVERSE &gt;10%","")</f>
        <v/>
      </c>
    </row>
    <row r="142" customFormat="false" ht="15" hidden="false" customHeight="false" outlineLevel="0" collapsed="false">
      <c r="A142" s="5" t="str">
        <f aca="false">01_Data!A142</f>
        <v>Banking &amp; Financial Services</v>
      </c>
      <c r="B142" s="5" t="str">
        <f aca="false">01_Data!C142</f>
        <v>2025-12</v>
      </c>
      <c r="C142" s="5" t="str">
        <f aca="false">01_Data!D142</f>
        <v>FY25</v>
      </c>
      <c r="D142" s="7" t="n">
        <f aca="false">01_Data!E142</f>
        <v>210164</v>
      </c>
      <c r="E142" s="7" t="n">
        <f aca="false">01_Data!F142</f>
        <v>202197</v>
      </c>
      <c r="F142" s="7" t="n">
        <f aca="false">E142-D142</f>
        <v>-7967</v>
      </c>
      <c r="G142" s="8" t="n">
        <f aca="false">IFERROR(F142/D142,0)</f>
        <v>-0.0379084905121715</v>
      </c>
      <c r="H142" s="7" t="n">
        <f aca="false">01_Data!G142</f>
        <v>117748</v>
      </c>
      <c r="I142" s="7" t="n">
        <f aca="false">01_Data!H142</f>
        <v>115083</v>
      </c>
      <c r="J142" s="7" t="n">
        <f aca="false">H142-I142</f>
        <v>2665</v>
      </c>
      <c r="K142" s="8" t="n">
        <f aca="false">IFERROR(J142/H142,0)</f>
        <v>0.0226330808166593</v>
      </c>
      <c r="L142" s="7" t="n">
        <f aca="false">D142-H142</f>
        <v>92416</v>
      </c>
      <c r="M142" s="7" t="n">
        <f aca="false">E142-I142</f>
        <v>87114</v>
      </c>
      <c r="N142" s="7" t="n">
        <f aca="false">IFERROR(L142/D142,0)</f>
        <v>0.439732780114577</v>
      </c>
      <c r="O142" s="7" t="n">
        <f aca="false">IFERROR(M142/E142,0)</f>
        <v>0.430837252778231</v>
      </c>
      <c r="P142" s="7" t="n">
        <f aca="false">01_Data!I142+01_Data!K142+01_Data!M142+01_Data!O142+01_Data!Q142+01_Data!S142+01_Data!U142</f>
        <v>56227</v>
      </c>
      <c r="Q142" s="7" t="n">
        <f aca="false">01_Data!J142+01_Data!L142+01_Data!N142+01_Data!P142+01_Data!R142+01_Data!T142+01_Data!V142</f>
        <v>56665</v>
      </c>
      <c r="R142" s="7" t="n">
        <f aca="false">P142-Q142</f>
        <v>-438</v>
      </c>
      <c r="S142" s="7" t="n">
        <f aca="false">L142-P142</f>
        <v>36189</v>
      </c>
      <c r="T142" s="7" t="n">
        <f aca="false">M142-Q142</f>
        <v>30449</v>
      </c>
      <c r="U142" s="7" t="n">
        <f aca="false">T142-S142</f>
        <v>-5740</v>
      </c>
      <c r="V142" s="8" t="n">
        <f aca="false">IFERROR(U142/S142,0)</f>
        <v>-0.158611732846998</v>
      </c>
      <c r="W142" s="5" t="str">
        <f aca="false">IF(V142&lt;-0.1,"ADVERSE &gt;10%","")</f>
        <v>ADVERSE &gt;10%</v>
      </c>
    </row>
    <row r="143" customFormat="false" ht="15" hidden="false" customHeight="false" outlineLevel="0" collapsed="false">
      <c r="A143" s="5" t="str">
        <f aca="false">01_Data!A143</f>
        <v>Banking &amp; Financial Services</v>
      </c>
      <c r="B143" s="5" t="str">
        <f aca="false">01_Data!C143</f>
        <v>2026-01</v>
      </c>
      <c r="C143" s="5" t="str">
        <f aca="false">01_Data!D143</f>
        <v>FY25</v>
      </c>
      <c r="D143" s="7" t="n">
        <f aca="false">01_Data!E143</f>
        <v>180723</v>
      </c>
      <c r="E143" s="7" t="n">
        <f aca="false">01_Data!F143</f>
        <v>189075</v>
      </c>
      <c r="F143" s="7" t="n">
        <f aca="false">E143-D143</f>
        <v>8352</v>
      </c>
      <c r="G143" s="8" t="n">
        <f aca="false">IFERROR(F143/D143,0)</f>
        <v>0.0462143722713766</v>
      </c>
      <c r="H143" s="7" t="n">
        <f aca="false">01_Data!G143</f>
        <v>104639</v>
      </c>
      <c r="I143" s="7" t="n">
        <f aca="false">01_Data!H143</f>
        <v>107196</v>
      </c>
      <c r="J143" s="7" t="n">
        <f aca="false">H143-I143</f>
        <v>-2557</v>
      </c>
      <c r="K143" s="8" t="n">
        <f aca="false">IFERROR(J143/H143,0)</f>
        <v>-0.0244363956077562</v>
      </c>
      <c r="L143" s="7" t="n">
        <f aca="false">D143-H143</f>
        <v>76084</v>
      </c>
      <c r="M143" s="7" t="n">
        <f aca="false">E143-I143</f>
        <v>81879</v>
      </c>
      <c r="N143" s="7" t="n">
        <f aca="false">IFERROR(L143/D143,0)</f>
        <v>0.420997880734605</v>
      </c>
      <c r="O143" s="7" t="n">
        <f aca="false">IFERROR(M143/E143,0)</f>
        <v>0.433050376834589</v>
      </c>
      <c r="P143" s="7" t="n">
        <f aca="false">01_Data!I143+01_Data!K143+01_Data!M143+01_Data!O143+01_Data!Q143+01_Data!S143+01_Data!U143</f>
        <v>50049</v>
      </c>
      <c r="Q143" s="7" t="n">
        <f aca="false">01_Data!J143+01_Data!L143+01_Data!N143+01_Data!P143+01_Data!R143+01_Data!T143+01_Data!V143</f>
        <v>50266</v>
      </c>
      <c r="R143" s="7" t="n">
        <f aca="false">P143-Q143</f>
        <v>-217</v>
      </c>
      <c r="S143" s="7" t="n">
        <f aca="false">L143-P143</f>
        <v>26035</v>
      </c>
      <c r="T143" s="7" t="n">
        <f aca="false">M143-Q143</f>
        <v>31613</v>
      </c>
      <c r="U143" s="7" t="n">
        <f aca="false">T143-S143</f>
        <v>5578</v>
      </c>
      <c r="V143" s="8" t="n">
        <f aca="false">IFERROR(U143/S143,0)</f>
        <v>0.214250048012291</v>
      </c>
      <c r="W143" s="5" t="str">
        <f aca="false">IF(V143&lt;-0.1,"ADVERSE &gt;10%","")</f>
        <v/>
      </c>
    </row>
    <row r="144" customFormat="false" ht="15" hidden="false" customHeight="false" outlineLevel="0" collapsed="false">
      <c r="A144" s="5" t="str">
        <f aca="false">01_Data!A144</f>
        <v>Banking &amp; Financial Services</v>
      </c>
      <c r="B144" s="5" t="str">
        <f aca="false">01_Data!C144</f>
        <v>2026-02</v>
      </c>
      <c r="C144" s="5" t="str">
        <f aca="false">01_Data!D144</f>
        <v>FY25</v>
      </c>
      <c r="D144" s="7" t="n">
        <f aca="false">01_Data!E144</f>
        <v>181839</v>
      </c>
      <c r="E144" s="7" t="n">
        <f aca="false">01_Data!F144</f>
        <v>190223</v>
      </c>
      <c r="F144" s="7" t="n">
        <f aca="false">E144-D144</f>
        <v>8384</v>
      </c>
      <c r="G144" s="8" t="n">
        <f aca="false">IFERROR(F144/D144,0)</f>
        <v>0.0461067207804706</v>
      </c>
      <c r="H144" s="7" t="n">
        <f aca="false">01_Data!G144</f>
        <v>100661</v>
      </c>
      <c r="I144" s="7" t="n">
        <f aca="false">01_Data!H144</f>
        <v>107965</v>
      </c>
      <c r="J144" s="7" t="n">
        <f aca="false">H144-I144</f>
        <v>-7304</v>
      </c>
      <c r="K144" s="8" t="n">
        <f aca="false">IFERROR(J144/H144,0)</f>
        <v>-0.0725603759152005</v>
      </c>
      <c r="L144" s="7" t="n">
        <f aca="false">D144-H144</f>
        <v>81178</v>
      </c>
      <c r="M144" s="7" t="n">
        <f aca="false">E144-I144</f>
        <v>82258</v>
      </c>
      <c r="N144" s="7" t="n">
        <f aca="false">IFERROR(L144/D144,0)</f>
        <v>0.446427884007281</v>
      </c>
      <c r="O144" s="7" t="n">
        <f aca="false">IFERROR(M144/E144,0)</f>
        <v>0.432429306655872</v>
      </c>
      <c r="P144" s="7" t="n">
        <f aca="false">01_Data!I144+01_Data!K144+01_Data!M144+01_Data!O144+01_Data!Q144+01_Data!S144+01_Data!U144</f>
        <v>45332</v>
      </c>
      <c r="Q144" s="7" t="n">
        <f aca="false">01_Data!J144+01_Data!L144+01_Data!N144+01_Data!P144+01_Data!R144+01_Data!T144+01_Data!V144</f>
        <v>47479</v>
      </c>
      <c r="R144" s="7" t="n">
        <f aca="false">P144-Q144</f>
        <v>-2147</v>
      </c>
      <c r="S144" s="7" t="n">
        <f aca="false">L144-P144</f>
        <v>35846</v>
      </c>
      <c r="T144" s="7" t="n">
        <f aca="false">M144-Q144</f>
        <v>34779</v>
      </c>
      <c r="U144" s="7" t="n">
        <f aca="false">T144-S144</f>
        <v>-1067</v>
      </c>
      <c r="V144" s="8" t="n">
        <f aca="false">IFERROR(U144/S144,0)</f>
        <v>-0.0297662221726274</v>
      </c>
      <c r="W144" s="5" t="str">
        <f aca="false">IF(V144&lt;-0.1,"ADVERSE &gt;10%","")</f>
        <v/>
      </c>
    </row>
    <row r="145" customFormat="false" ht="15" hidden="false" customHeight="false" outlineLevel="0" collapsed="false">
      <c r="A145" s="5" t="str">
        <f aca="false">01_Data!A145</f>
        <v>Banking &amp; Financial Services</v>
      </c>
      <c r="B145" s="5" t="str">
        <f aca="false">01_Data!C145</f>
        <v>2026-03</v>
      </c>
      <c r="C145" s="5" t="str">
        <f aca="false">01_Data!D145</f>
        <v>FY25</v>
      </c>
      <c r="D145" s="7" t="n">
        <f aca="false">01_Data!E145</f>
        <v>200703</v>
      </c>
      <c r="E145" s="7" t="n">
        <f aca="false">01_Data!F145</f>
        <v>209945</v>
      </c>
      <c r="F145" s="7" t="n">
        <f aca="false">E145-D145</f>
        <v>9242</v>
      </c>
      <c r="G145" s="8" t="n">
        <f aca="false">IFERROR(F145/D145,0)</f>
        <v>0.0460481407851402</v>
      </c>
      <c r="H145" s="7" t="n">
        <f aca="false">01_Data!G145</f>
        <v>120337</v>
      </c>
      <c r="I145" s="7" t="n">
        <f aca="false">01_Data!H145</f>
        <v>123179</v>
      </c>
      <c r="J145" s="7" t="n">
        <f aca="false">H145-I145</f>
        <v>-2842</v>
      </c>
      <c r="K145" s="8" t="n">
        <f aca="false">IFERROR(J145/H145,0)</f>
        <v>-0.0236170089000058</v>
      </c>
      <c r="L145" s="7" t="n">
        <f aca="false">D145-H145</f>
        <v>80366</v>
      </c>
      <c r="M145" s="7" t="n">
        <f aca="false">E145-I145</f>
        <v>86766</v>
      </c>
      <c r="N145" s="7" t="n">
        <f aca="false">IFERROR(L145/D145,0)</f>
        <v>0.400422514860266</v>
      </c>
      <c r="O145" s="7" t="n">
        <f aca="false">IFERROR(M145/E145,0)</f>
        <v>0.413279668484603</v>
      </c>
      <c r="P145" s="7" t="n">
        <f aca="false">01_Data!I145+01_Data!K145+01_Data!M145+01_Data!O145+01_Data!Q145+01_Data!S145+01_Data!U145</f>
        <v>54145</v>
      </c>
      <c r="Q145" s="7" t="n">
        <f aca="false">01_Data!J145+01_Data!L145+01_Data!N145+01_Data!P145+01_Data!R145+01_Data!T145+01_Data!V145</f>
        <v>53377</v>
      </c>
      <c r="R145" s="7" t="n">
        <f aca="false">P145-Q145</f>
        <v>768</v>
      </c>
      <c r="S145" s="7" t="n">
        <f aca="false">L145-P145</f>
        <v>26221</v>
      </c>
      <c r="T145" s="7" t="n">
        <f aca="false">M145-Q145</f>
        <v>33389</v>
      </c>
      <c r="U145" s="7" t="n">
        <f aca="false">T145-S145</f>
        <v>7168</v>
      </c>
      <c r="V145" s="8" t="n">
        <f aca="false">IFERROR(U145/S145,0)</f>
        <v>0.273368673963617</v>
      </c>
      <c r="W145" s="5" t="str">
        <f aca="false">IF(V145&lt;-0.1,"ADVERSE &gt;10%","")</f>
        <v/>
      </c>
    </row>
    <row r="146" customFormat="false" ht="15" hidden="false" customHeight="false" outlineLevel="0" collapsed="false">
      <c r="A146" s="5" t="str">
        <f aca="false">01_Data!A146</f>
        <v>Banking &amp; Financial Services</v>
      </c>
      <c r="B146" s="5" t="str">
        <f aca="false">01_Data!C146</f>
        <v>2023-04</v>
      </c>
      <c r="C146" s="5" t="str">
        <f aca="false">01_Data!D146</f>
        <v>FY23</v>
      </c>
      <c r="D146" s="7" t="n">
        <f aca="false">01_Data!E146</f>
        <v>148969</v>
      </c>
      <c r="E146" s="7" t="n">
        <f aca="false">01_Data!F146</f>
        <v>155698</v>
      </c>
      <c r="F146" s="7" t="n">
        <f aca="false">E146-D146</f>
        <v>6729</v>
      </c>
      <c r="G146" s="8" t="n">
        <f aca="false">IFERROR(F146/D146,0)</f>
        <v>0.045170471708879</v>
      </c>
      <c r="H146" s="7" t="n">
        <f aca="false">01_Data!G146</f>
        <v>82919</v>
      </c>
      <c r="I146" s="7" t="n">
        <f aca="false">01_Data!H146</f>
        <v>84206</v>
      </c>
      <c r="J146" s="7" t="n">
        <f aca="false">H146-I146</f>
        <v>-1287</v>
      </c>
      <c r="K146" s="8" t="n">
        <f aca="false">IFERROR(J146/H146,0)</f>
        <v>-0.0155211712635222</v>
      </c>
      <c r="L146" s="7" t="n">
        <f aca="false">D146-H146</f>
        <v>66050</v>
      </c>
      <c r="M146" s="7" t="n">
        <f aca="false">E146-I146</f>
        <v>71492</v>
      </c>
      <c r="N146" s="7" t="n">
        <f aca="false">IFERROR(L146/D146,0)</f>
        <v>0.443380837623935</v>
      </c>
      <c r="O146" s="7" t="n">
        <f aca="false">IFERROR(M146/E146,0)</f>
        <v>0.459170959164537</v>
      </c>
      <c r="P146" s="7" t="n">
        <f aca="false">01_Data!I146+01_Data!K146+01_Data!M146+01_Data!O146+01_Data!Q146+01_Data!S146+01_Data!U146</f>
        <v>40268</v>
      </c>
      <c r="Q146" s="7" t="n">
        <f aca="false">01_Data!J146+01_Data!L146+01_Data!N146+01_Data!P146+01_Data!R146+01_Data!T146+01_Data!V146</f>
        <v>41845</v>
      </c>
      <c r="R146" s="7" t="n">
        <f aca="false">P146-Q146</f>
        <v>-1577</v>
      </c>
      <c r="S146" s="7" t="n">
        <f aca="false">L146-P146</f>
        <v>25782</v>
      </c>
      <c r="T146" s="7" t="n">
        <f aca="false">M146-Q146</f>
        <v>29647</v>
      </c>
      <c r="U146" s="7" t="n">
        <f aca="false">T146-S146</f>
        <v>3865</v>
      </c>
      <c r="V146" s="8" t="n">
        <f aca="false">IFERROR(U146/S146,0)</f>
        <v>0.149910790473974</v>
      </c>
      <c r="W146" s="5" t="str">
        <f aca="false">IF(V146&lt;-0.1,"ADVERSE &gt;10%","")</f>
        <v/>
      </c>
    </row>
    <row r="147" customFormat="false" ht="15" hidden="false" customHeight="false" outlineLevel="0" collapsed="false">
      <c r="A147" s="5" t="str">
        <f aca="false">01_Data!A147</f>
        <v>Banking &amp; Financial Services</v>
      </c>
      <c r="B147" s="5" t="str">
        <f aca="false">01_Data!C147</f>
        <v>2023-05</v>
      </c>
      <c r="C147" s="5" t="str">
        <f aca="false">01_Data!D147</f>
        <v>FY23</v>
      </c>
      <c r="D147" s="7" t="n">
        <f aca="false">01_Data!E147</f>
        <v>159552</v>
      </c>
      <c r="E147" s="7" t="n">
        <f aca="false">01_Data!F147</f>
        <v>159650</v>
      </c>
      <c r="F147" s="7" t="n">
        <f aca="false">E147-D147</f>
        <v>98</v>
      </c>
      <c r="G147" s="8" t="n">
        <f aca="false">IFERROR(F147/D147,0)</f>
        <v>0.000614219815483353</v>
      </c>
      <c r="H147" s="7" t="n">
        <f aca="false">01_Data!G147</f>
        <v>87237</v>
      </c>
      <c r="I147" s="7" t="n">
        <f aca="false">01_Data!H147</f>
        <v>88086</v>
      </c>
      <c r="J147" s="7" t="n">
        <f aca="false">H147-I147</f>
        <v>-849</v>
      </c>
      <c r="K147" s="8" t="n">
        <f aca="false">IFERROR(J147/H147,0)</f>
        <v>-0.00973210908215551</v>
      </c>
      <c r="L147" s="7" t="n">
        <f aca="false">D147-H147</f>
        <v>72315</v>
      </c>
      <c r="M147" s="7" t="n">
        <f aca="false">E147-I147</f>
        <v>71564</v>
      </c>
      <c r="N147" s="7" t="n">
        <f aca="false">IFERROR(L147/D147,0)</f>
        <v>0.453237815884477</v>
      </c>
      <c r="O147" s="7" t="n">
        <f aca="false">IFERROR(M147/E147,0)</f>
        <v>0.44825555903539</v>
      </c>
      <c r="P147" s="7" t="n">
        <f aca="false">01_Data!I147+01_Data!K147+01_Data!M147+01_Data!O147+01_Data!Q147+01_Data!S147+01_Data!U147</f>
        <v>45763</v>
      </c>
      <c r="Q147" s="7" t="n">
        <f aca="false">01_Data!J147+01_Data!L147+01_Data!N147+01_Data!P147+01_Data!R147+01_Data!T147+01_Data!V147</f>
        <v>47608</v>
      </c>
      <c r="R147" s="7" t="n">
        <f aca="false">P147-Q147</f>
        <v>-1845</v>
      </c>
      <c r="S147" s="7" t="n">
        <f aca="false">L147-P147</f>
        <v>26552</v>
      </c>
      <c r="T147" s="7" t="n">
        <f aca="false">M147-Q147</f>
        <v>23956</v>
      </c>
      <c r="U147" s="7" t="n">
        <f aca="false">T147-S147</f>
        <v>-2596</v>
      </c>
      <c r="V147" s="8" t="n">
        <f aca="false">IFERROR(U147/S147,0)</f>
        <v>-0.0977704127749322</v>
      </c>
      <c r="W147" s="5" t="str">
        <f aca="false">IF(V147&lt;-0.1,"ADVERSE &gt;10%","")</f>
        <v/>
      </c>
    </row>
    <row r="148" customFormat="false" ht="15" hidden="false" customHeight="false" outlineLevel="0" collapsed="false">
      <c r="A148" s="5" t="str">
        <f aca="false">01_Data!A148</f>
        <v>Banking &amp; Financial Services</v>
      </c>
      <c r="B148" s="5" t="str">
        <f aca="false">01_Data!C148</f>
        <v>2023-06</v>
      </c>
      <c r="C148" s="5" t="str">
        <f aca="false">01_Data!D148</f>
        <v>FY23</v>
      </c>
      <c r="D148" s="7" t="n">
        <f aca="false">01_Data!E148</f>
        <v>153489</v>
      </c>
      <c r="E148" s="7" t="n">
        <f aca="false">01_Data!F148</f>
        <v>157998</v>
      </c>
      <c r="F148" s="7" t="n">
        <f aca="false">E148-D148</f>
        <v>4509</v>
      </c>
      <c r="G148" s="8" t="n">
        <f aca="false">IFERROR(F148/D148,0)</f>
        <v>0.0293766980044173</v>
      </c>
      <c r="H148" s="7" t="n">
        <f aca="false">01_Data!G148</f>
        <v>83251</v>
      </c>
      <c r="I148" s="7" t="n">
        <f aca="false">01_Data!H148</f>
        <v>83014</v>
      </c>
      <c r="J148" s="7" t="n">
        <f aca="false">H148-I148</f>
        <v>237</v>
      </c>
      <c r="K148" s="8" t="n">
        <f aca="false">IFERROR(J148/H148,0)</f>
        <v>0.00284681265089909</v>
      </c>
      <c r="L148" s="7" t="n">
        <f aca="false">D148-H148</f>
        <v>70238</v>
      </c>
      <c r="M148" s="7" t="n">
        <f aca="false">E148-I148</f>
        <v>74984</v>
      </c>
      <c r="N148" s="7" t="n">
        <f aca="false">IFERROR(L148/D148,0)</f>
        <v>0.457609340083003</v>
      </c>
      <c r="O148" s="7" t="n">
        <f aca="false">IFERROR(M148/E148,0)</f>
        <v>0.47458828592767</v>
      </c>
      <c r="P148" s="7" t="n">
        <f aca="false">01_Data!I148+01_Data!K148+01_Data!M148+01_Data!O148+01_Data!Q148+01_Data!S148+01_Data!U148</f>
        <v>41389</v>
      </c>
      <c r="Q148" s="7" t="n">
        <f aca="false">01_Data!J148+01_Data!L148+01_Data!N148+01_Data!P148+01_Data!R148+01_Data!T148+01_Data!V148</f>
        <v>42471</v>
      </c>
      <c r="R148" s="7" t="n">
        <f aca="false">P148-Q148</f>
        <v>-1082</v>
      </c>
      <c r="S148" s="7" t="n">
        <f aca="false">L148-P148</f>
        <v>28849</v>
      </c>
      <c r="T148" s="7" t="n">
        <f aca="false">M148-Q148</f>
        <v>32513</v>
      </c>
      <c r="U148" s="7" t="n">
        <f aca="false">T148-S148</f>
        <v>3664</v>
      </c>
      <c r="V148" s="8" t="n">
        <f aca="false">IFERROR(U148/S148,0)</f>
        <v>0.127006135394641</v>
      </c>
      <c r="W148" s="5" t="str">
        <f aca="false">IF(V148&lt;-0.1,"ADVERSE &gt;10%","")</f>
        <v/>
      </c>
    </row>
    <row r="149" customFormat="false" ht="15" hidden="false" customHeight="false" outlineLevel="0" collapsed="false">
      <c r="A149" s="5" t="str">
        <f aca="false">01_Data!A149</f>
        <v>Banking &amp; Financial Services</v>
      </c>
      <c r="B149" s="5" t="str">
        <f aca="false">01_Data!C149</f>
        <v>2023-07</v>
      </c>
      <c r="C149" s="5" t="str">
        <f aca="false">01_Data!D149</f>
        <v>FY23</v>
      </c>
      <c r="D149" s="7" t="n">
        <f aca="false">01_Data!E149</f>
        <v>157258</v>
      </c>
      <c r="E149" s="7" t="n">
        <f aca="false">01_Data!F149</f>
        <v>159347</v>
      </c>
      <c r="F149" s="7" t="n">
        <f aca="false">E149-D149</f>
        <v>2089</v>
      </c>
      <c r="G149" s="8" t="n">
        <f aca="false">IFERROR(F149/D149,0)</f>
        <v>0.0132839028857037</v>
      </c>
      <c r="H149" s="7" t="n">
        <f aca="false">01_Data!G149</f>
        <v>90904</v>
      </c>
      <c r="I149" s="7" t="n">
        <f aca="false">01_Data!H149</f>
        <v>95574</v>
      </c>
      <c r="J149" s="7" t="n">
        <f aca="false">H149-I149</f>
        <v>-4670</v>
      </c>
      <c r="K149" s="8" t="n">
        <f aca="false">IFERROR(J149/H149,0)</f>
        <v>-0.0513728768811053</v>
      </c>
      <c r="L149" s="7" t="n">
        <f aca="false">D149-H149</f>
        <v>66354</v>
      </c>
      <c r="M149" s="7" t="n">
        <f aca="false">E149-I149</f>
        <v>63773</v>
      </c>
      <c r="N149" s="7" t="n">
        <f aca="false">IFERROR(L149/D149,0)</f>
        <v>0.421943557720434</v>
      </c>
      <c r="O149" s="7" t="n">
        <f aca="false">IFERROR(M149/E149,0)</f>
        <v>0.400214625942126</v>
      </c>
      <c r="P149" s="7" t="n">
        <f aca="false">01_Data!I149+01_Data!K149+01_Data!M149+01_Data!O149+01_Data!Q149+01_Data!S149+01_Data!U149</f>
        <v>43180</v>
      </c>
      <c r="Q149" s="7" t="n">
        <f aca="false">01_Data!J149+01_Data!L149+01_Data!N149+01_Data!P149+01_Data!R149+01_Data!T149+01_Data!V149</f>
        <v>42790</v>
      </c>
      <c r="R149" s="7" t="n">
        <f aca="false">P149-Q149</f>
        <v>390</v>
      </c>
      <c r="S149" s="7" t="n">
        <f aca="false">L149-P149</f>
        <v>23174</v>
      </c>
      <c r="T149" s="7" t="n">
        <f aca="false">M149-Q149</f>
        <v>20983</v>
      </c>
      <c r="U149" s="7" t="n">
        <f aca="false">T149-S149</f>
        <v>-2191</v>
      </c>
      <c r="V149" s="8" t="n">
        <f aca="false">IFERROR(U149/S149,0)</f>
        <v>-0.0945456114611202</v>
      </c>
      <c r="W149" s="5" t="str">
        <f aca="false">IF(V149&lt;-0.1,"ADVERSE &gt;10%","")</f>
        <v/>
      </c>
    </row>
    <row r="150" customFormat="false" ht="15" hidden="false" customHeight="false" outlineLevel="0" collapsed="false">
      <c r="A150" s="5" t="str">
        <f aca="false">01_Data!A150</f>
        <v>Banking &amp; Financial Services</v>
      </c>
      <c r="B150" s="5" t="str">
        <f aca="false">01_Data!C150</f>
        <v>2023-08</v>
      </c>
      <c r="C150" s="5" t="str">
        <f aca="false">01_Data!D150</f>
        <v>FY23</v>
      </c>
      <c r="D150" s="7" t="n">
        <f aca="false">01_Data!E150</f>
        <v>165722</v>
      </c>
      <c r="E150" s="7" t="n">
        <f aca="false">01_Data!F150</f>
        <v>161809</v>
      </c>
      <c r="F150" s="7" t="n">
        <f aca="false">E150-D150</f>
        <v>-3913</v>
      </c>
      <c r="G150" s="8" t="n">
        <f aca="false">IFERROR(F150/D150,0)</f>
        <v>-0.0236118318629995</v>
      </c>
      <c r="H150" s="7" t="n">
        <f aca="false">01_Data!G150</f>
        <v>91119</v>
      </c>
      <c r="I150" s="7" t="n">
        <f aca="false">01_Data!H150</f>
        <v>93442</v>
      </c>
      <c r="J150" s="7" t="n">
        <f aca="false">H150-I150</f>
        <v>-2323</v>
      </c>
      <c r="K150" s="8" t="n">
        <f aca="false">IFERROR(J150/H150,0)</f>
        <v>-0.0254941340444913</v>
      </c>
      <c r="L150" s="7" t="n">
        <f aca="false">D150-H150</f>
        <v>74603</v>
      </c>
      <c r="M150" s="7" t="n">
        <f aca="false">E150-I150</f>
        <v>68367</v>
      </c>
      <c r="N150" s="7" t="n">
        <f aca="false">IFERROR(L150/D150,0)</f>
        <v>0.450169561072157</v>
      </c>
      <c r="O150" s="7" t="n">
        <f aca="false">IFERROR(M150/E150,0)</f>
        <v>0.422516670889753</v>
      </c>
      <c r="P150" s="7" t="n">
        <f aca="false">01_Data!I150+01_Data!K150+01_Data!M150+01_Data!O150+01_Data!Q150+01_Data!S150+01_Data!U150</f>
        <v>44036</v>
      </c>
      <c r="Q150" s="7" t="n">
        <f aca="false">01_Data!J150+01_Data!L150+01_Data!N150+01_Data!P150+01_Data!R150+01_Data!T150+01_Data!V150</f>
        <v>45364</v>
      </c>
      <c r="R150" s="7" t="n">
        <f aca="false">P150-Q150</f>
        <v>-1328</v>
      </c>
      <c r="S150" s="7" t="n">
        <f aca="false">L150-P150</f>
        <v>30567</v>
      </c>
      <c r="T150" s="7" t="n">
        <f aca="false">M150-Q150</f>
        <v>23003</v>
      </c>
      <c r="U150" s="7" t="n">
        <f aca="false">T150-S150</f>
        <v>-7564</v>
      </c>
      <c r="V150" s="8" t="n">
        <f aca="false">IFERROR(U150/S150,0)</f>
        <v>-0.247456407236562</v>
      </c>
      <c r="W150" s="5" t="str">
        <f aca="false">IF(V150&lt;-0.1,"ADVERSE &gt;10%","")</f>
        <v>ADVERSE &gt;10%</v>
      </c>
    </row>
    <row r="151" customFormat="false" ht="15" hidden="false" customHeight="false" outlineLevel="0" collapsed="false">
      <c r="A151" s="5" t="str">
        <f aca="false">01_Data!A151</f>
        <v>Banking &amp; Financial Services</v>
      </c>
      <c r="B151" s="5" t="str">
        <f aca="false">01_Data!C151</f>
        <v>2023-09</v>
      </c>
      <c r="C151" s="5" t="str">
        <f aca="false">01_Data!D151</f>
        <v>FY23</v>
      </c>
      <c r="D151" s="7" t="n">
        <f aca="false">01_Data!E151</f>
        <v>171301</v>
      </c>
      <c r="E151" s="7" t="n">
        <f aca="false">01_Data!F151</f>
        <v>180460</v>
      </c>
      <c r="F151" s="7" t="n">
        <f aca="false">E151-D151</f>
        <v>9159</v>
      </c>
      <c r="G151" s="8" t="n">
        <f aca="false">IFERROR(F151/D151,0)</f>
        <v>0.0534672885739138</v>
      </c>
      <c r="H151" s="7" t="n">
        <f aca="false">01_Data!G151</f>
        <v>97181</v>
      </c>
      <c r="I151" s="7" t="n">
        <f aca="false">01_Data!H151</f>
        <v>102017</v>
      </c>
      <c r="J151" s="7" t="n">
        <f aca="false">H151-I151</f>
        <v>-4836</v>
      </c>
      <c r="K151" s="8" t="n">
        <f aca="false">IFERROR(J151/H151,0)</f>
        <v>-0.049762813718731</v>
      </c>
      <c r="L151" s="7" t="n">
        <f aca="false">D151-H151</f>
        <v>74120</v>
      </c>
      <c r="M151" s="7" t="n">
        <f aca="false">E151-I151</f>
        <v>78443</v>
      </c>
      <c r="N151" s="7" t="n">
        <f aca="false">IFERROR(L151/D151,0)</f>
        <v>0.432688659143846</v>
      </c>
      <c r="O151" s="7" t="n">
        <f aca="false">IFERROR(M151/E151,0)</f>
        <v>0.434683586390336</v>
      </c>
      <c r="P151" s="7" t="n">
        <f aca="false">01_Data!I151+01_Data!K151+01_Data!M151+01_Data!O151+01_Data!Q151+01_Data!S151+01_Data!U151</f>
        <v>45639</v>
      </c>
      <c r="Q151" s="7" t="n">
        <f aca="false">01_Data!J151+01_Data!L151+01_Data!N151+01_Data!P151+01_Data!R151+01_Data!T151+01_Data!V151</f>
        <v>45881</v>
      </c>
      <c r="R151" s="7" t="n">
        <f aca="false">P151-Q151</f>
        <v>-242</v>
      </c>
      <c r="S151" s="7" t="n">
        <f aca="false">L151-P151</f>
        <v>28481</v>
      </c>
      <c r="T151" s="7" t="n">
        <f aca="false">M151-Q151</f>
        <v>32562</v>
      </c>
      <c r="U151" s="7" t="n">
        <f aca="false">T151-S151</f>
        <v>4081</v>
      </c>
      <c r="V151" s="8" t="n">
        <f aca="false">IFERROR(U151/S151,0)</f>
        <v>0.143288508128226</v>
      </c>
      <c r="W151" s="5" t="str">
        <f aca="false">IF(V151&lt;-0.1,"ADVERSE &gt;10%","")</f>
        <v/>
      </c>
    </row>
    <row r="152" customFormat="false" ht="15" hidden="false" customHeight="false" outlineLevel="0" collapsed="false">
      <c r="A152" s="5" t="str">
        <f aca="false">01_Data!A152</f>
        <v>Banking &amp; Financial Services</v>
      </c>
      <c r="B152" s="5" t="str">
        <f aca="false">01_Data!C152</f>
        <v>2023-10</v>
      </c>
      <c r="C152" s="5" t="str">
        <f aca="false">01_Data!D152</f>
        <v>FY23</v>
      </c>
      <c r="D152" s="7" t="n">
        <f aca="false">01_Data!E152</f>
        <v>170703</v>
      </c>
      <c r="E152" s="7" t="n">
        <f aca="false">01_Data!F152</f>
        <v>162305</v>
      </c>
      <c r="F152" s="7" t="n">
        <f aca="false">E152-D152</f>
        <v>-8398</v>
      </c>
      <c r="G152" s="8" t="n">
        <f aca="false">IFERROR(F152/D152,0)</f>
        <v>-0.0491965577640698</v>
      </c>
      <c r="H152" s="7" t="n">
        <f aca="false">01_Data!G152</f>
        <v>100962</v>
      </c>
      <c r="I152" s="7" t="n">
        <f aca="false">01_Data!H152</f>
        <v>97236</v>
      </c>
      <c r="J152" s="7" t="n">
        <f aca="false">H152-I152</f>
        <v>3726</v>
      </c>
      <c r="K152" s="8" t="n">
        <f aca="false">IFERROR(J152/H152,0)</f>
        <v>0.0369049741486896</v>
      </c>
      <c r="L152" s="7" t="n">
        <f aca="false">D152-H152</f>
        <v>69741</v>
      </c>
      <c r="M152" s="7" t="n">
        <f aca="false">E152-I152</f>
        <v>65069</v>
      </c>
      <c r="N152" s="7" t="n">
        <f aca="false">IFERROR(L152/D152,0)</f>
        <v>0.408551695049296</v>
      </c>
      <c r="O152" s="7" t="n">
        <f aca="false">IFERROR(M152/E152,0)</f>
        <v>0.400905702227288</v>
      </c>
      <c r="P152" s="7" t="n">
        <f aca="false">01_Data!I152+01_Data!K152+01_Data!M152+01_Data!O152+01_Data!Q152+01_Data!S152+01_Data!U152</f>
        <v>47759</v>
      </c>
      <c r="Q152" s="7" t="n">
        <f aca="false">01_Data!J152+01_Data!L152+01_Data!N152+01_Data!P152+01_Data!R152+01_Data!T152+01_Data!V152</f>
        <v>49014</v>
      </c>
      <c r="R152" s="7" t="n">
        <f aca="false">P152-Q152</f>
        <v>-1255</v>
      </c>
      <c r="S152" s="7" t="n">
        <f aca="false">L152-P152</f>
        <v>21982</v>
      </c>
      <c r="T152" s="7" t="n">
        <f aca="false">M152-Q152</f>
        <v>16055</v>
      </c>
      <c r="U152" s="7" t="n">
        <f aca="false">T152-S152</f>
        <v>-5927</v>
      </c>
      <c r="V152" s="8" t="n">
        <f aca="false">IFERROR(U152/S152,0)</f>
        <v>-0.269629697024839</v>
      </c>
      <c r="W152" s="5" t="str">
        <f aca="false">IF(V152&lt;-0.1,"ADVERSE &gt;10%","")</f>
        <v>ADVERSE &gt;10%</v>
      </c>
    </row>
    <row r="153" customFormat="false" ht="15" hidden="false" customHeight="false" outlineLevel="0" collapsed="false">
      <c r="A153" s="5" t="str">
        <f aca="false">01_Data!A153</f>
        <v>Banking &amp; Financial Services</v>
      </c>
      <c r="B153" s="5" t="str">
        <f aca="false">01_Data!C153</f>
        <v>2023-11</v>
      </c>
      <c r="C153" s="5" t="str">
        <f aca="false">01_Data!D153</f>
        <v>FY23</v>
      </c>
      <c r="D153" s="7" t="n">
        <f aca="false">01_Data!E153</f>
        <v>157812</v>
      </c>
      <c r="E153" s="7" t="n">
        <f aca="false">01_Data!F153</f>
        <v>166421</v>
      </c>
      <c r="F153" s="7" t="n">
        <f aca="false">E153-D153</f>
        <v>8609</v>
      </c>
      <c r="G153" s="8" t="n">
        <f aca="false">IFERROR(F153/D153,0)</f>
        <v>0.0545522520467392</v>
      </c>
      <c r="H153" s="7" t="n">
        <f aca="false">01_Data!G153</f>
        <v>89622</v>
      </c>
      <c r="I153" s="7" t="n">
        <f aca="false">01_Data!H153</f>
        <v>93532</v>
      </c>
      <c r="J153" s="7" t="n">
        <f aca="false">H153-I153</f>
        <v>-3910</v>
      </c>
      <c r="K153" s="8" t="n">
        <f aca="false">IFERROR(J153/H153,0)</f>
        <v>-0.0436276807033987</v>
      </c>
      <c r="L153" s="7" t="n">
        <f aca="false">D153-H153</f>
        <v>68190</v>
      </c>
      <c r="M153" s="7" t="n">
        <f aca="false">E153-I153</f>
        <v>72889</v>
      </c>
      <c r="N153" s="7" t="n">
        <f aca="false">IFERROR(L153/D153,0)</f>
        <v>0.432096418523306</v>
      </c>
      <c r="O153" s="7" t="n">
        <f aca="false">IFERROR(M153/E153,0)</f>
        <v>0.437979581903726</v>
      </c>
      <c r="P153" s="7" t="n">
        <f aca="false">01_Data!I153+01_Data!K153+01_Data!M153+01_Data!O153+01_Data!Q153+01_Data!S153+01_Data!U153</f>
        <v>42721</v>
      </c>
      <c r="Q153" s="7" t="n">
        <f aca="false">01_Data!J153+01_Data!L153+01_Data!N153+01_Data!P153+01_Data!R153+01_Data!T153+01_Data!V153</f>
        <v>42927</v>
      </c>
      <c r="R153" s="7" t="n">
        <f aca="false">P153-Q153</f>
        <v>-206</v>
      </c>
      <c r="S153" s="7" t="n">
        <f aca="false">L153-P153</f>
        <v>25469</v>
      </c>
      <c r="T153" s="7" t="n">
        <f aca="false">M153-Q153</f>
        <v>29962</v>
      </c>
      <c r="U153" s="7" t="n">
        <f aca="false">T153-S153</f>
        <v>4493</v>
      </c>
      <c r="V153" s="8" t="n">
        <f aca="false">IFERROR(U153/S153,0)</f>
        <v>0.176410538301465</v>
      </c>
      <c r="W153" s="5" t="str">
        <f aca="false">IF(V153&lt;-0.1,"ADVERSE &gt;10%","")</f>
        <v/>
      </c>
    </row>
    <row r="154" customFormat="false" ht="15" hidden="false" customHeight="false" outlineLevel="0" collapsed="false">
      <c r="A154" s="5" t="str">
        <f aca="false">01_Data!A154</f>
        <v>Banking &amp; Financial Services</v>
      </c>
      <c r="B154" s="5" t="str">
        <f aca="false">01_Data!C154</f>
        <v>2023-12</v>
      </c>
      <c r="C154" s="5" t="str">
        <f aca="false">01_Data!D154</f>
        <v>FY23</v>
      </c>
      <c r="D154" s="7" t="n">
        <f aca="false">01_Data!E154</f>
        <v>181247</v>
      </c>
      <c r="E154" s="7" t="n">
        <f aca="false">01_Data!F154</f>
        <v>186965</v>
      </c>
      <c r="F154" s="7" t="n">
        <f aca="false">E154-D154</f>
        <v>5718</v>
      </c>
      <c r="G154" s="8" t="n">
        <f aca="false">IFERROR(F154/D154,0)</f>
        <v>0.0315481083824836</v>
      </c>
      <c r="H154" s="7" t="n">
        <f aca="false">01_Data!G154</f>
        <v>97943</v>
      </c>
      <c r="I154" s="7" t="n">
        <f aca="false">01_Data!H154</f>
        <v>101126</v>
      </c>
      <c r="J154" s="7" t="n">
        <f aca="false">H154-I154</f>
        <v>-3183</v>
      </c>
      <c r="K154" s="8" t="n">
        <f aca="false">IFERROR(J154/H154,0)</f>
        <v>-0.0324984940220332</v>
      </c>
      <c r="L154" s="7" t="n">
        <f aca="false">D154-H154</f>
        <v>83304</v>
      </c>
      <c r="M154" s="7" t="n">
        <f aca="false">E154-I154</f>
        <v>85839</v>
      </c>
      <c r="N154" s="7" t="n">
        <f aca="false">IFERROR(L154/D154,0)</f>
        <v>0.459615883297379</v>
      </c>
      <c r="O154" s="7" t="n">
        <f aca="false">IFERROR(M154/E154,0)</f>
        <v>0.459118016741101</v>
      </c>
      <c r="P154" s="7" t="n">
        <f aca="false">01_Data!I154+01_Data!K154+01_Data!M154+01_Data!O154+01_Data!Q154+01_Data!S154+01_Data!U154</f>
        <v>49069</v>
      </c>
      <c r="Q154" s="7" t="n">
        <f aca="false">01_Data!J154+01_Data!L154+01_Data!N154+01_Data!P154+01_Data!R154+01_Data!T154+01_Data!V154</f>
        <v>49406</v>
      </c>
      <c r="R154" s="7" t="n">
        <f aca="false">P154-Q154</f>
        <v>-337</v>
      </c>
      <c r="S154" s="7" t="n">
        <f aca="false">L154-P154</f>
        <v>34235</v>
      </c>
      <c r="T154" s="7" t="n">
        <f aca="false">M154-Q154</f>
        <v>36433</v>
      </c>
      <c r="U154" s="7" t="n">
        <f aca="false">T154-S154</f>
        <v>2198</v>
      </c>
      <c r="V154" s="8" t="n">
        <f aca="false">IFERROR(U154/S154,0)</f>
        <v>0.0642033007156419</v>
      </c>
      <c r="W154" s="5" t="str">
        <f aca="false">IF(V154&lt;-0.1,"ADVERSE &gt;10%","")</f>
        <v/>
      </c>
    </row>
    <row r="155" customFormat="false" ht="15" hidden="false" customHeight="false" outlineLevel="0" collapsed="false">
      <c r="A155" s="5" t="str">
        <f aca="false">01_Data!A155</f>
        <v>Banking &amp; Financial Services</v>
      </c>
      <c r="B155" s="5" t="str">
        <f aca="false">01_Data!C155</f>
        <v>2024-01</v>
      </c>
      <c r="C155" s="5" t="str">
        <f aca="false">01_Data!D155</f>
        <v>FY23</v>
      </c>
      <c r="D155" s="7" t="n">
        <f aca="false">01_Data!E155</f>
        <v>178350</v>
      </c>
      <c r="E155" s="7" t="n">
        <f aca="false">01_Data!F155</f>
        <v>173932</v>
      </c>
      <c r="F155" s="7" t="n">
        <f aca="false">E155-D155</f>
        <v>-4418</v>
      </c>
      <c r="G155" s="8" t="n">
        <f aca="false">IFERROR(F155/D155,0)</f>
        <v>-0.024771516680684</v>
      </c>
      <c r="H155" s="7" t="n">
        <f aca="false">01_Data!G155</f>
        <v>97304</v>
      </c>
      <c r="I155" s="7" t="n">
        <f aca="false">01_Data!H155</f>
        <v>99427</v>
      </c>
      <c r="J155" s="7" t="n">
        <f aca="false">H155-I155</f>
        <v>-2123</v>
      </c>
      <c r="K155" s="8" t="n">
        <f aca="false">IFERROR(J155/H155,0)</f>
        <v>-0.0218182191893447</v>
      </c>
      <c r="L155" s="7" t="n">
        <f aca="false">D155-H155</f>
        <v>81046</v>
      </c>
      <c r="M155" s="7" t="n">
        <f aca="false">E155-I155</f>
        <v>74505</v>
      </c>
      <c r="N155" s="7" t="n">
        <f aca="false">IFERROR(L155/D155,0)</f>
        <v>0.454421082141856</v>
      </c>
      <c r="O155" s="7" t="n">
        <f aca="false">IFERROR(M155/E155,0)</f>
        <v>0.42835705908056</v>
      </c>
      <c r="P155" s="7" t="n">
        <f aca="false">01_Data!I155+01_Data!K155+01_Data!M155+01_Data!O155+01_Data!Q155+01_Data!S155+01_Data!U155</f>
        <v>51511</v>
      </c>
      <c r="Q155" s="7" t="n">
        <f aca="false">01_Data!J155+01_Data!L155+01_Data!N155+01_Data!P155+01_Data!R155+01_Data!T155+01_Data!V155</f>
        <v>51384</v>
      </c>
      <c r="R155" s="7" t="n">
        <f aca="false">P155-Q155</f>
        <v>127</v>
      </c>
      <c r="S155" s="7" t="n">
        <f aca="false">L155-P155</f>
        <v>29535</v>
      </c>
      <c r="T155" s="7" t="n">
        <f aca="false">M155-Q155</f>
        <v>23121</v>
      </c>
      <c r="U155" s="7" t="n">
        <f aca="false">T155-S155</f>
        <v>-6414</v>
      </c>
      <c r="V155" s="8" t="n">
        <f aca="false">IFERROR(U155/S155,0)</f>
        <v>-0.217166074149314</v>
      </c>
      <c r="W155" s="5" t="str">
        <f aca="false">IF(V155&lt;-0.1,"ADVERSE &gt;10%","")</f>
        <v>ADVERSE &gt;10%</v>
      </c>
    </row>
    <row r="156" customFormat="false" ht="15" hidden="false" customHeight="false" outlineLevel="0" collapsed="false">
      <c r="A156" s="5" t="str">
        <f aca="false">01_Data!A156</f>
        <v>Banking &amp; Financial Services</v>
      </c>
      <c r="B156" s="5" t="str">
        <f aca="false">01_Data!C156</f>
        <v>2024-02</v>
      </c>
      <c r="C156" s="5" t="str">
        <f aca="false">01_Data!D156</f>
        <v>FY23</v>
      </c>
      <c r="D156" s="7" t="n">
        <f aca="false">01_Data!E156</f>
        <v>169637</v>
      </c>
      <c r="E156" s="7" t="n">
        <f aca="false">01_Data!F156</f>
        <v>173488</v>
      </c>
      <c r="F156" s="7" t="n">
        <f aca="false">E156-D156</f>
        <v>3851</v>
      </c>
      <c r="G156" s="8" t="n">
        <f aca="false">IFERROR(F156/D156,0)</f>
        <v>0.0227014153751835</v>
      </c>
      <c r="H156" s="7" t="n">
        <f aca="false">01_Data!G156</f>
        <v>99755</v>
      </c>
      <c r="I156" s="7" t="n">
        <f aca="false">01_Data!H156</f>
        <v>104628</v>
      </c>
      <c r="J156" s="7" t="n">
        <f aca="false">H156-I156</f>
        <v>-4873</v>
      </c>
      <c r="K156" s="8" t="n">
        <f aca="false">IFERROR(J156/H156,0)</f>
        <v>-0.0488496817202145</v>
      </c>
      <c r="L156" s="7" t="n">
        <f aca="false">D156-H156</f>
        <v>69882</v>
      </c>
      <c r="M156" s="7" t="n">
        <f aca="false">E156-I156</f>
        <v>68860</v>
      </c>
      <c r="N156" s="7" t="n">
        <f aca="false">IFERROR(L156/D156,0)</f>
        <v>0.411950223123493</v>
      </c>
      <c r="O156" s="7" t="n">
        <f aca="false">IFERROR(M156/E156,0)</f>
        <v>0.396915060407636</v>
      </c>
      <c r="P156" s="7" t="n">
        <f aca="false">01_Data!I156+01_Data!K156+01_Data!M156+01_Data!O156+01_Data!Q156+01_Data!S156+01_Data!U156</f>
        <v>45939</v>
      </c>
      <c r="Q156" s="7" t="n">
        <f aca="false">01_Data!J156+01_Data!L156+01_Data!N156+01_Data!P156+01_Data!R156+01_Data!T156+01_Data!V156</f>
        <v>45727</v>
      </c>
      <c r="R156" s="7" t="n">
        <f aca="false">P156-Q156</f>
        <v>212</v>
      </c>
      <c r="S156" s="7" t="n">
        <f aca="false">L156-P156</f>
        <v>23943</v>
      </c>
      <c r="T156" s="7" t="n">
        <f aca="false">M156-Q156</f>
        <v>23133</v>
      </c>
      <c r="U156" s="7" t="n">
        <f aca="false">T156-S156</f>
        <v>-810</v>
      </c>
      <c r="V156" s="8" t="n">
        <f aca="false">IFERROR(U156/S156,0)</f>
        <v>-0.0338303470743015</v>
      </c>
      <c r="W156" s="5" t="str">
        <f aca="false">IF(V156&lt;-0.1,"ADVERSE &gt;10%","")</f>
        <v/>
      </c>
    </row>
    <row r="157" customFormat="false" ht="15" hidden="false" customHeight="false" outlineLevel="0" collapsed="false">
      <c r="A157" s="5" t="str">
        <f aca="false">01_Data!A157</f>
        <v>Banking &amp; Financial Services</v>
      </c>
      <c r="B157" s="5" t="str">
        <f aca="false">01_Data!C157</f>
        <v>2024-03</v>
      </c>
      <c r="C157" s="5" t="str">
        <f aca="false">01_Data!D157</f>
        <v>FY23</v>
      </c>
      <c r="D157" s="7" t="n">
        <f aca="false">01_Data!E157</f>
        <v>186017</v>
      </c>
      <c r="E157" s="7" t="n">
        <f aca="false">01_Data!F157</f>
        <v>191415</v>
      </c>
      <c r="F157" s="7" t="n">
        <f aca="false">E157-D157</f>
        <v>5398</v>
      </c>
      <c r="G157" s="8" t="n">
        <f aca="false">IFERROR(F157/D157,0)</f>
        <v>0.0290188531155755</v>
      </c>
      <c r="H157" s="7" t="n">
        <f aca="false">01_Data!G157</f>
        <v>101788</v>
      </c>
      <c r="I157" s="7" t="n">
        <f aca="false">01_Data!H157</f>
        <v>102421</v>
      </c>
      <c r="J157" s="7" t="n">
        <f aca="false">H157-I157</f>
        <v>-633</v>
      </c>
      <c r="K157" s="8" t="n">
        <f aca="false">IFERROR(J157/H157,0)</f>
        <v>-0.00621880771800212</v>
      </c>
      <c r="L157" s="7" t="n">
        <f aca="false">D157-H157</f>
        <v>84229</v>
      </c>
      <c r="M157" s="7" t="n">
        <f aca="false">E157-I157</f>
        <v>88994</v>
      </c>
      <c r="N157" s="7" t="n">
        <f aca="false">IFERROR(L157/D157,0)</f>
        <v>0.452802700828419</v>
      </c>
      <c r="O157" s="7" t="n">
        <f aca="false">IFERROR(M157/E157,0)</f>
        <v>0.464926991092652</v>
      </c>
      <c r="P157" s="7" t="n">
        <f aca="false">01_Data!I157+01_Data!K157+01_Data!M157+01_Data!O157+01_Data!Q157+01_Data!S157+01_Data!U157</f>
        <v>51828</v>
      </c>
      <c r="Q157" s="7" t="n">
        <f aca="false">01_Data!J157+01_Data!L157+01_Data!N157+01_Data!P157+01_Data!R157+01_Data!T157+01_Data!V157</f>
        <v>52414</v>
      </c>
      <c r="R157" s="7" t="n">
        <f aca="false">P157-Q157</f>
        <v>-586</v>
      </c>
      <c r="S157" s="7" t="n">
        <f aca="false">L157-P157</f>
        <v>32401</v>
      </c>
      <c r="T157" s="7" t="n">
        <f aca="false">M157-Q157</f>
        <v>36580</v>
      </c>
      <c r="U157" s="7" t="n">
        <f aca="false">T157-S157</f>
        <v>4179</v>
      </c>
      <c r="V157" s="8" t="n">
        <f aca="false">IFERROR(U157/S157,0)</f>
        <v>0.128977500694423</v>
      </c>
      <c r="W157" s="5" t="str">
        <f aca="false">IF(V157&lt;-0.1,"ADVERSE &gt;10%","")</f>
        <v/>
      </c>
    </row>
    <row r="158" customFormat="false" ht="15" hidden="false" customHeight="false" outlineLevel="0" collapsed="false">
      <c r="A158" s="5" t="str">
        <f aca="false">01_Data!A158</f>
        <v>Banking &amp; Financial Services</v>
      </c>
      <c r="B158" s="5" t="str">
        <f aca="false">01_Data!C158</f>
        <v>2024-04</v>
      </c>
      <c r="C158" s="5" t="str">
        <f aca="false">01_Data!D158</f>
        <v>FY24</v>
      </c>
      <c r="D158" s="7" t="n">
        <f aca="false">01_Data!E158</f>
        <v>172936</v>
      </c>
      <c r="E158" s="7" t="n">
        <f aca="false">01_Data!F158</f>
        <v>173934</v>
      </c>
      <c r="F158" s="7" t="n">
        <f aca="false">E158-D158</f>
        <v>998</v>
      </c>
      <c r="G158" s="8" t="n">
        <f aca="false">IFERROR(F158/D158,0)</f>
        <v>0.0057709210343711</v>
      </c>
      <c r="H158" s="7" t="n">
        <f aca="false">01_Data!G158</f>
        <v>101148</v>
      </c>
      <c r="I158" s="7" t="n">
        <f aca="false">01_Data!H158</f>
        <v>100426</v>
      </c>
      <c r="J158" s="7" t="n">
        <f aca="false">H158-I158</f>
        <v>722</v>
      </c>
      <c r="K158" s="8" t="n">
        <f aca="false">IFERROR(J158/H158,0)</f>
        <v>0.00713805512714043</v>
      </c>
      <c r="L158" s="7" t="n">
        <f aca="false">D158-H158</f>
        <v>71788</v>
      </c>
      <c r="M158" s="7" t="n">
        <f aca="false">E158-I158</f>
        <v>73508</v>
      </c>
      <c r="N158" s="7" t="n">
        <f aca="false">IFERROR(L158/D158,0)</f>
        <v>0.415113105426285</v>
      </c>
      <c r="O158" s="7" t="n">
        <f aca="false">IFERROR(M158/E158,0)</f>
        <v>0.422620074281049</v>
      </c>
      <c r="P158" s="7" t="n">
        <f aca="false">01_Data!I158+01_Data!K158+01_Data!M158+01_Data!O158+01_Data!Q158+01_Data!S158+01_Data!U158</f>
        <v>44360</v>
      </c>
      <c r="Q158" s="7" t="n">
        <f aca="false">01_Data!J158+01_Data!L158+01_Data!N158+01_Data!P158+01_Data!R158+01_Data!T158+01_Data!V158</f>
        <v>46642</v>
      </c>
      <c r="R158" s="7" t="n">
        <f aca="false">P158-Q158</f>
        <v>-2282</v>
      </c>
      <c r="S158" s="7" t="n">
        <f aca="false">L158-P158</f>
        <v>27428</v>
      </c>
      <c r="T158" s="7" t="n">
        <f aca="false">M158-Q158</f>
        <v>26866</v>
      </c>
      <c r="U158" s="7" t="n">
        <f aca="false">T158-S158</f>
        <v>-562</v>
      </c>
      <c r="V158" s="8" t="n">
        <f aca="false">IFERROR(U158/S158,0)</f>
        <v>-0.020490010208546</v>
      </c>
      <c r="W158" s="5" t="str">
        <f aca="false">IF(V158&lt;-0.1,"ADVERSE &gt;10%","")</f>
        <v/>
      </c>
    </row>
    <row r="159" customFormat="false" ht="15" hidden="false" customHeight="false" outlineLevel="0" collapsed="false">
      <c r="A159" s="5" t="str">
        <f aca="false">01_Data!A159</f>
        <v>Banking &amp; Financial Services</v>
      </c>
      <c r="B159" s="5" t="str">
        <f aca="false">01_Data!C159</f>
        <v>2024-05</v>
      </c>
      <c r="C159" s="5" t="str">
        <f aca="false">01_Data!D159</f>
        <v>FY24</v>
      </c>
      <c r="D159" s="7" t="n">
        <f aca="false">01_Data!E159</f>
        <v>162833</v>
      </c>
      <c r="E159" s="7" t="n">
        <f aca="false">01_Data!F159</f>
        <v>171813</v>
      </c>
      <c r="F159" s="7" t="n">
        <f aca="false">E159-D159</f>
        <v>8980</v>
      </c>
      <c r="G159" s="8" t="n">
        <f aca="false">IFERROR(F159/D159,0)</f>
        <v>0.0551485264043529</v>
      </c>
      <c r="H159" s="7" t="n">
        <f aca="false">01_Data!G159</f>
        <v>96747</v>
      </c>
      <c r="I159" s="7" t="n">
        <f aca="false">01_Data!H159</f>
        <v>102456</v>
      </c>
      <c r="J159" s="7" t="n">
        <f aca="false">H159-I159</f>
        <v>-5709</v>
      </c>
      <c r="K159" s="8" t="n">
        <f aca="false">IFERROR(J159/H159,0)</f>
        <v>-0.0590095816924556</v>
      </c>
      <c r="L159" s="7" t="n">
        <f aca="false">D159-H159</f>
        <v>66086</v>
      </c>
      <c r="M159" s="7" t="n">
        <f aca="false">E159-I159</f>
        <v>69357</v>
      </c>
      <c r="N159" s="7" t="n">
        <f aca="false">IFERROR(L159/D159,0)</f>
        <v>0.40585139375925</v>
      </c>
      <c r="O159" s="7" t="n">
        <f aca="false">IFERROR(M159/E159,0)</f>
        <v>0.403677253758447</v>
      </c>
      <c r="P159" s="7" t="n">
        <f aca="false">01_Data!I159+01_Data!K159+01_Data!M159+01_Data!O159+01_Data!Q159+01_Data!S159+01_Data!U159</f>
        <v>40832</v>
      </c>
      <c r="Q159" s="7" t="n">
        <f aca="false">01_Data!J159+01_Data!L159+01_Data!N159+01_Data!P159+01_Data!R159+01_Data!T159+01_Data!V159</f>
        <v>42428</v>
      </c>
      <c r="R159" s="7" t="n">
        <f aca="false">P159-Q159</f>
        <v>-1596</v>
      </c>
      <c r="S159" s="7" t="n">
        <f aca="false">L159-P159</f>
        <v>25254</v>
      </c>
      <c r="T159" s="7" t="n">
        <f aca="false">M159-Q159</f>
        <v>26929</v>
      </c>
      <c r="U159" s="7" t="n">
        <f aca="false">T159-S159</f>
        <v>1675</v>
      </c>
      <c r="V159" s="8" t="n">
        <f aca="false">IFERROR(U159/S159,0)</f>
        <v>0.0663261265542092</v>
      </c>
      <c r="W159" s="5" t="str">
        <f aca="false">IF(V159&lt;-0.1,"ADVERSE &gt;10%","")</f>
        <v/>
      </c>
    </row>
    <row r="160" customFormat="false" ht="15" hidden="false" customHeight="false" outlineLevel="0" collapsed="false">
      <c r="A160" s="5" t="str">
        <f aca="false">01_Data!A160</f>
        <v>Banking &amp; Financial Services</v>
      </c>
      <c r="B160" s="5" t="str">
        <f aca="false">01_Data!C160</f>
        <v>2024-06</v>
      </c>
      <c r="C160" s="5" t="str">
        <f aca="false">01_Data!D160</f>
        <v>FY24</v>
      </c>
      <c r="D160" s="7" t="n">
        <f aca="false">01_Data!E160</f>
        <v>166349</v>
      </c>
      <c r="E160" s="7" t="n">
        <f aca="false">01_Data!F160</f>
        <v>170863</v>
      </c>
      <c r="F160" s="7" t="n">
        <f aca="false">E160-D160</f>
        <v>4514</v>
      </c>
      <c r="G160" s="8" t="n">
        <f aca="false">IFERROR(F160/D160,0)</f>
        <v>0.027135720683623</v>
      </c>
      <c r="H160" s="7" t="n">
        <f aca="false">01_Data!G160</f>
        <v>98646</v>
      </c>
      <c r="I160" s="7" t="n">
        <f aca="false">01_Data!H160</f>
        <v>98201</v>
      </c>
      <c r="J160" s="7" t="n">
        <f aca="false">H160-I160</f>
        <v>445</v>
      </c>
      <c r="K160" s="8" t="n">
        <f aca="false">IFERROR(J160/H160,0)</f>
        <v>0.00451108002351844</v>
      </c>
      <c r="L160" s="7" t="n">
        <f aca="false">D160-H160</f>
        <v>67703</v>
      </c>
      <c r="M160" s="7" t="n">
        <f aca="false">E160-I160</f>
        <v>72662</v>
      </c>
      <c r="N160" s="7" t="n">
        <f aca="false">IFERROR(L160/D160,0)</f>
        <v>0.406993730049474</v>
      </c>
      <c r="O160" s="7" t="n">
        <f aca="false">IFERROR(M160/E160,0)</f>
        <v>0.425264685742378</v>
      </c>
      <c r="P160" s="7" t="n">
        <f aca="false">01_Data!I160+01_Data!K160+01_Data!M160+01_Data!O160+01_Data!Q160+01_Data!S160+01_Data!U160</f>
        <v>44320</v>
      </c>
      <c r="Q160" s="7" t="n">
        <f aca="false">01_Data!J160+01_Data!L160+01_Data!N160+01_Data!P160+01_Data!R160+01_Data!T160+01_Data!V160</f>
        <v>44051</v>
      </c>
      <c r="R160" s="7" t="n">
        <f aca="false">P160-Q160</f>
        <v>269</v>
      </c>
      <c r="S160" s="7" t="n">
        <f aca="false">L160-P160</f>
        <v>23383</v>
      </c>
      <c r="T160" s="7" t="n">
        <f aca="false">M160-Q160</f>
        <v>28611</v>
      </c>
      <c r="U160" s="7" t="n">
        <f aca="false">T160-S160</f>
        <v>5228</v>
      </c>
      <c r="V160" s="8" t="n">
        <f aca="false">IFERROR(U160/S160,0)</f>
        <v>0.223581234229996</v>
      </c>
      <c r="W160" s="5" t="str">
        <f aca="false">IF(V160&lt;-0.1,"ADVERSE &gt;10%","")</f>
        <v/>
      </c>
    </row>
    <row r="161" customFormat="false" ht="15" hidden="false" customHeight="false" outlineLevel="0" collapsed="false">
      <c r="A161" s="5" t="str">
        <f aca="false">01_Data!A161</f>
        <v>Banking &amp; Financial Services</v>
      </c>
      <c r="B161" s="5" t="str">
        <f aca="false">01_Data!C161</f>
        <v>2024-07</v>
      </c>
      <c r="C161" s="5" t="str">
        <f aca="false">01_Data!D161</f>
        <v>FY24</v>
      </c>
      <c r="D161" s="7" t="n">
        <f aca="false">01_Data!E161</f>
        <v>181375</v>
      </c>
      <c r="E161" s="7" t="n">
        <f aca="false">01_Data!F161</f>
        <v>175440</v>
      </c>
      <c r="F161" s="7" t="n">
        <f aca="false">E161-D161</f>
        <v>-5935</v>
      </c>
      <c r="G161" s="8" t="n">
        <f aca="false">IFERROR(F161/D161,0)</f>
        <v>-0.0327222605099931</v>
      </c>
      <c r="H161" s="7" t="n">
        <f aca="false">01_Data!G161</f>
        <v>101851</v>
      </c>
      <c r="I161" s="7" t="n">
        <f aca="false">01_Data!H161</f>
        <v>99785</v>
      </c>
      <c r="J161" s="7" t="n">
        <f aca="false">H161-I161</f>
        <v>2066</v>
      </c>
      <c r="K161" s="8" t="n">
        <f aca="false">IFERROR(J161/H161,0)</f>
        <v>0.0202845332888239</v>
      </c>
      <c r="L161" s="7" t="n">
        <f aca="false">D161-H161</f>
        <v>79524</v>
      </c>
      <c r="M161" s="7" t="n">
        <f aca="false">E161-I161</f>
        <v>75655</v>
      </c>
      <c r="N161" s="7" t="n">
        <f aca="false">IFERROR(L161/D161,0)</f>
        <v>0.43845072363887</v>
      </c>
      <c r="O161" s="7" t="n">
        <f aca="false">IFERROR(M161/E161,0)</f>
        <v>0.431230050159599</v>
      </c>
      <c r="P161" s="7" t="n">
        <f aca="false">01_Data!I161+01_Data!K161+01_Data!M161+01_Data!O161+01_Data!Q161+01_Data!S161+01_Data!U161</f>
        <v>48856</v>
      </c>
      <c r="Q161" s="7" t="n">
        <f aca="false">01_Data!J161+01_Data!L161+01_Data!N161+01_Data!P161+01_Data!R161+01_Data!T161+01_Data!V161</f>
        <v>51150</v>
      </c>
      <c r="R161" s="7" t="n">
        <f aca="false">P161-Q161</f>
        <v>-2294</v>
      </c>
      <c r="S161" s="7" t="n">
        <f aca="false">L161-P161</f>
        <v>30668</v>
      </c>
      <c r="T161" s="7" t="n">
        <f aca="false">M161-Q161</f>
        <v>24505</v>
      </c>
      <c r="U161" s="7" t="n">
        <f aca="false">T161-S161</f>
        <v>-6163</v>
      </c>
      <c r="V161" s="8" t="n">
        <f aca="false">IFERROR(U161/S161,0)</f>
        <v>-0.200958653971566</v>
      </c>
      <c r="W161" s="5" t="str">
        <f aca="false">IF(V161&lt;-0.1,"ADVERSE &gt;10%","")</f>
        <v>ADVERSE &gt;10%</v>
      </c>
    </row>
    <row r="162" customFormat="false" ht="15" hidden="false" customHeight="false" outlineLevel="0" collapsed="false">
      <c r="A162" s="5" t="str">
        <f aca="false">01_Data!A162</f>
        <v>Banking &amp; Financial Services</v>
      </c>
      <c r="B162" s="5" t="str">
        <f aca="false">01_Data!C162</f>
        <v>2024-08</v>
      </c>
      <c r="C162" s="5" t="str">
        <f aca="false">01_Data!D162</f>
        <v>FY24</v>
      </c>
      <c r="D162" s="7" t="n">
        <f aca="false">01_Data!E162</f>
        <v>171391</v>
      </c>
      <c r="E162" s="7" t="n">
        <f aca="false">01_Data!F162</f>
        <v>180030</v>
      </c>
      <c r="F162" s="7" t="n">
        <f aca="false">E162-D162</f>
        <v>8639</v>
      </c>
      <c r="G162" s="8" t="n">
        <f aca="false">IFERROR(F162/D162,0)</f>
        <v>0.0504052138093599</v>
      </c>
      <c r="H162" s="7" t="n">
        <f aca="false">01_Data!G162</f>
        <v>99306</v>
      </c>
      <c r="I162" s="7" t="n">
        <f aca="false">01_Data!H162</f>
        <v>103110</v>
      </c>
      <c r="J162" s="7" t="n">
        <f aca="false">H162-I162</f>
        <v>-3804</v>
      </c>
      <c r="K162" s="8" t="n">
        <f aca="false">IFERROR(J162/H162,0)</f>
        <v>-0.0383058425472781</v>
      </c>
      <c r="L162" s="7" t="n">
        <f aca="false">D162-H162</f>
        <v>72085</v>
      </c>
      <c r="M162" s="7" t="n">
        <f aca="false">E162-I162</f>
        <v>76920</v>
      </c>
      <c r="N162" s="7" t="n">
        <f aca="false">IFERROR(L162/D162,0)</f>
        <v>0.420588012206009</v>
      </c>
      <c r="O162" s="7" t="n">
        <f aca="false">IFERROR(M162/E162,0)</f>
        <v>0.427262122979503</v>
      </c>
      <c r="P162" s="7" t="n">
        <f aca="false">01_Data!I162+01_Data!K162+01_Data!M162+01_Data!O162+01_Data!Q162+01_Data!S162+01_Data!U162</f>
        <v>47076</v>
      </c>
      <c r="Q162" s="7" t="n">
        <f aca="false">01_Data!J162+01_Data!L162+01_Data!N162+01_Data!P162+01_Data!R162+01_Data!T162+01_Data!V162</f>
        <v>50256</v>
      </c>
      <c r="R162" s="7" t="n">
        <f aca="false">P162-Q162</f>
        <v>-3180</v>
      </c>
      <c r="S162" s="7" t="n">
        <f aca="false">L162-P162</f>
        <v>25009</v>
      </c>
      <c r="T162" s="7" t="n">
        <f aca="false">M162-Q162</f>
        <v>26664</v>
      </c>
      <c r="U162" s="7" t="n">
        <f aca="false">T162-S162</f>
        <v>1655</v>
      </c>
      <c r="V162" s="8" t="n">
        <f aca="false">IFERROR(U162/S162,0)</f>
        <v>0.0661761765764325</v>
      </c>
      <c r="W162" s="5" t="str">
        <f aca="false">IF(V162&lt;-0.1,"ADVERSE &gt;10%","")</f>
        <v/>
      </c>
    </row>
    <row r="163" customFormat="false" ht="15" hidden="false" customHeight="false" outlineLevel="0" collapsed="false">
      <c r="A163" s="5" t="str">
        <f aca="false">01_Data!A163</f>
        <v>Banking &amp; Financial Services</v>
      </c>
      <c r="B163" s="5" t="str">
        <f aca="false">01_Data!C163</f>
        <v>2024-09</v>
      </c>
      <c r="C163" s="5" t="str">
        <f aca="false">01_Data!D163</f>
        <v>FY24</v>
      </c>
      <c r="D163" s="7" t="n">
        <f aca="false">01_Data!E163</f>
        <v>191963</v>
      </c>
      <c r="E163" s="7" t="n">
        <f aca="false">01_Data!F163</f>
        <v>203483</v>
      </c>
      <c r="F163" s="7" t="n">
        <f aca="false">E163-D163</f>
        <v>11520</v>
      </c>
      <c r="G163" s="8" t="n">
        <f aca="false">IFERROR(F163/D163,0)</f>
        <v>0.0600115647286196</v>
      </c>
      <c r="H163" s="7" t="n">
        <f aca="false">01_Data!G163</f>
        <v>111729</v>
      </c>
      <c r="I163" s="7" t="n">
        <f aca="false">01_Data!H163</f>
        <v>124005</v>
      </c>
      <c r="J163" s="7" t="n">
        <f aca="false">H163-I163</f>
        <v>-12276</v>
      </c>
      <c r="K163" s="8" t="n">
        <f aca="false">IFERROR(J163/H163,0)</f>
        <v>-0.109872996267755</v>
      </c>
      <c r="L163" s="7" t="n">
        <f aca="false">D163-H163</f>
        <v>80234</v>
      </c>
      <c r="M163" s="7" t="n">
        <f aca="false">E163-I163</f>
        <v>79478</v>
      </c>
      <c r="N163" s="7" t="n">
        <f aca="false">IFERROR(L163/D163,0)</f>
        <v>0.417965962190631</v>
      </c>
      <c r="O163" s="7" t="n">
        <f aca="false">IFERROR(M163/E163,0)</f>
        <v>0.390587911520864</v>
      </c>
      <c r="P163" s="7" t="n">
        <f aca="false">01_Data!I163+01_Data!K163+01_Data!M163+01_Data!O163+01_Data!Q163+01_Data!S163+01_Data!U163</f>
        <v>48958</v>
      </c>
      <c r="Q163" s="7" t="n">
        <f aca="false">01_Data!J163+01_Data!L163+01_Data!N163+01_Data!P163+01_Data!R163+01_Data!T163+01_Data!V163</f>
        <v>50914</v>
      </c>
      <c r="R163" s="7" t="n">
        <f aca="false">P163-Q163</f>
        <v>-1956</v>
      </c>
      <c r="S163" s="7" t="n">
        <f aca="false">L163-P163</f>
        <v>31276</v>
      </c>
      <c r="T163" s="7" t="n">
        <f aca="false">M163-Q163</f>
        <v>28564</v>
      </c>
      <c r="U163" s="7" t="n">
        <f aca="false">T163-S163</f>
        <v>-2712</v>
      </c>
      <c r="V163" s="8" t="n">
        <f aca="false">IFERROR(U163/S163,0)</f>
        <v>-0.0867118557360276</v>
      </c>
      <c r="W163" s="5" t="str">
        <f aca="false">IF(V163&lt;-0.1,"ADVERSE &gt;10%","")</f>
        <v/>
      </c>
    </row>
    <row r="164" customFormat="false" ht="15" hidden="false" customHeight="false" outlineLevel="0" collapsed="false">
      <c r="A164" s="5" t="str">
        <f aca="false">01_Data!A164</f>
        <v>Banking &amp; Financial Services</v>
      </c>
      <c r="B164" s="5" t="str">
        <f aca="false">01_Data!C164</f>
        <v>2024-10</v>
      </c>
      <c r="C164" s="5" t="str">
        <f aca="false">01_Data!D164</f>
        <v>FY24</v>
      </c>
      <c r="D164" s="7" t="n">
        <f aca="false">01_Data!E164</f>
        <v>175261</v>
      </c>
      <c r="E164" s="7" t="n">
        <f aca="false">01_Data!F164</f>
        <v>183393</v>
      </c>
      <c r="F164" s="7" t="n">
        <f aca="false">E164-D164</f>
        <v>8132</v>
      </c>
      <c r="G164" s="8" t="n">
        <f aca="false">IFERROR(F164/D164,0)</f>
        <v>0.0463993700823344</v>
      </c>
      <c r="H164" s="7" t="n">
        <f aca="false">01_Data!G164</f>
        <v>102180</v>
      </c>
      <c r="I164" s="7" t="n">
        <f aca="false">01_Data!H164</f>
        <v>111678</v>
      </c>
      <c r="J164" s="7" t="n">
        <f aca="false">H164-I164</f>
        <v>-9498</v>
      </c>
      <c r="K164" s="8" t="n">
        <f aca="false">IFERROR(J164/H164,0)</f>
        <v>-0.092953611274222</v>
      </c>
      <c r="L164" s="7" t="n">
        <f aca="false">D164-H164</f>
        <v>73081</v>
      </c>
      <c r="M164" s="7" t="n">
        <f aca="false">E164-I164</f>
        <v>71715</v>
      </c>
      <c r="N164" s="7" t="n">
        <f aca="false">IFERROR(L164/D164,0)</f>
        <v>0.41698381271361</v>
      </c>
      <c r="O164" s="7" t="n">
        <f aca="false">IFERROR(M164/E164,0)</f>
        <v>0.391045459750372</v>
      </c>
      <c r="P164" s="7" t="n">
        <f aca="false">01_Data!I164+01_Data!K164+01_Data!M164+01_Data!O164+01_Data!Q164+01_Data!S164+01_Data!U164</f>
        <v>48878</v>
      </c>
      <c r="Q164" s="7" t="n">
        <f aca="false">01_Data!J164+01_Data!L164+01_Data!N164+01_Data!P164+01_Data!R164+01_Data!T164+01_Data!V164</f>
        <v>49941</v>
      </c>
      <c r="R164" s="7" t="n">
        <f aca="false">P164-Q164</f>
        <v>-1063</v>
      </c>
      <c r="S164" s="7" t="n">
        <f aca="false">L164-P164</f>
        <v>24203</v>
      </c>
      <c r="T164" s="7" t="n">
        <f aca="false">M164-Q164</f>
        <v>21774</v>
      </c>
      <c r="U164" s="7" t="n">
        <f aca="false">T164-S164</f>
        <v>-2429</v>
      </c>
      <c r="V164" s="8" t="n">
        <f aca="false">IFERROR(U164/S164,0)</f>
        <v>-0.100359459571128</v>
      </c>
      <c r="W164" s="5" t="str">
        <f aca="false">IF(V164&lt;-0.1,"ADVERSE &gt;10%","")</f>
        <v>ADVERSE &gt;10%</v>
      </c>
    </row>
    <row r="165" customFormat="false" ht="15" hidden="false" customHeight="false" outlineLevel="0" collapsed="false">
      <c r="A165" s="5" t="str">
        <f aca="false">01_Data!A165</f>
        <v>Banking &amp; Financial Services</v>
      </c>
      <c r="B165" s="5" t="str">
        <f aca="false">01_Data!C165</f>
        <v>2024-11</v>
      </c>
      <c r="C165" s="5" t="str">
        <f aca="false">01_Data!D165</f>
        <v>FY24</v>
      </c>
      <c r="D165" s="7" t="n">
        <f aca="false">01_Data!E165</f>
        <v>174524</v>
      </c>
      <c r="E165" s="7" t="n">
        <f aca="false">01_Data!F165</f>
        <v>182004</v>
      </c>
      <c r="F165" s="7" t="n">
        <f aca="false">E165-D165</f>
        <v>7480</v>
      </c>
      <c r="G165" s="8" t="n">
        <f aca="false">IFERROR(F165/D165,0)</f>
        <v>0.0428594348055282</v>
      </c>
      <c r="H165" s="7" t="n">
        <f aca="false">01_Data!G165</f>
        <v>104177</v>
      </c>
      <c r="I165" s="7" t="n">
        <f aca="false">01_Data!H165</f>
        <v>112208</v>
      </c>
      <c r="J165" s="7" t="n">
        <f aca="false">H165-I165</f>
        <v>-8031</v>
      </c>
      <c r="K165" s="8" t="n">
        <f aca="false">IFERROR(J165/H165,0)</f>
        <v>-0.0770899526766945</v>
      </c>
      <c r="L165" s="7" t="n">
        <f aca="false">D165-H165</f>
        <v>70347</v>
      </c>
      <c r="M165" s="7" t="n">
        <f aca="false">E165-I165</f>
        <v>69796</v>
      </c>
      <c r="N165" s="7" t="n">
        <f aca="false">IFERROR(L165/D165,0)</f>
        <v>0.403079232655681</v>
      </c>
      <c r="O165" s="7" t="n">
        <f aca="false">IFERROR(M165/E165,0)</f>
        <v>0.383486077229072</v>
      </c>
      <c r="P165" s="7" t="n">
        <f aca="false">01_Data!I165+01_Data!K165+01_Data!M165+01_Data!O165+01_Data!Q165+01_Data!S165+01_Data!U165</f>
        <v>48166</v>
      </c>
      <c r="Q165" s="7" t="n">
        <f aca="false">01_Data!J165+01_Data!L165+01_Data!N165+01_Data!P165+01_Data!R165+01_Data!T165+01_Data!V165</f>
        <v>50602</v>
      </c>
      <c r="R165" s="7" t="n">
        <f aca="false">P165-Q165</f>
        <v>-2436</v>
      </c>
      <c r="S165" s="7" t="n">
        <f aca="false">L165-P165</f>
        <v>22181</v>
      </c>
      <c r="T165" s="7" t="n">
        <f aca="false">M165-Q165</f>
        <v>19194</v>
      </c>
      <c r="U165" s="7" t="n">
        <f aca="false">T165-S165</f>
        <v>-2987</v>
      </c>
      <c r="V165" s="8" t="n">
        <f aca="false">IFERROR(U165/S165,0)</f>
        <v>-0.134664803209954</v>
      </c>
      <c r="W165" s="5" t="str">
        <f aca="false">IF(V165&lt;-0.1,"ADVERSE &gt;10%","")</f>
        <v>ADVERSE &gt;10%</v>
      </c>
    </row>
    <row r="166" customFormat="false" ht="15" hidden="false" customHeight="false" outlineLevel="0" collapsed="false">
      <c r="A166" s="5" t="str">
        <f aca="false">01_Data!A166</f>
        <v>Banking &amp; Financial Services</v>
      </c>
      <c r="B166" s="5" t="str">
        <f aca="false">01_Data!C166</f>
        <v>2024-12</v>
      </c>
      <c r="C166" s="5" t="str">
        <f aca="false">01_Data!D166</f>
        <v>FY24</v>
      </c>
      <c r="D166" s="7" t="n">
        <f aca="false">01_Data!E166</f>
        <v>217088</v>
      </c>
      <c r="E166" s="7" t="n">
        <f aca="false">01_Data!F166</f>
        <v>205996</v>
      </c>
      <c r="F166" s="7" t="n">
        <f aca="false">E166-D166</f>
        <v>-11092</v>
      </c>
      <c r="G166" s="8" t="n">
        <f aca="false">IFERROR(F166/D166,0)</f>
        <v>-0.0510944870283019</v>
      </c>
      <c r="H166" s="7" t="n">
        <f aca="false">01_Data!G166</f>
        <v>122328</v>
      </c>
      <c r="I166" s="7" t="n">
        <f aca="false">01_Data!H166</f>
        <v>122199</v>
      </c>
      <c r="J166" s="7" t="n">
        <f aca="false">H166-I166</f>
        <v>129</v>
      </c>
      <c r="K166" s="8" t="n">
        <f aca="false">IFERROR(J166/H166,0)</f>
        <v>0.00105454188738474</v>
      </c>
      <c r="L166" s="7" t="n">
        <f aca="false">D166-H166</f>
        <v>94760</v>
      </c>
      <c r="M166" s="7" t="n">
        <f aca="false">E166-I166</f>
        <v>83797</v>
      </c>
      <c r="N166" s="7" t="n">
        <f aca="false">IFERROR(L166/D166,0)</f>
        <v>0.436505011792453</v>
      </c>
      <c r="O166" s="7" t="n">
        <f aca="false">IFERROR(M166/E166,0)</f>
        <v>0.406789452222373</v>
      </c>
      <c r="P166" s="7" t="n">
        <f aca="false">01_Data!I166+01_Data!K166+01_Data!M166+01_Data!O166+01_Data!Q166+01_Data!S166+01_Data!U166</f>
        <v>60491</v>
      </c>
      <c r="Q166" s="7" t="n">
        <f aca="false">01_Data!J166+01_Data!L166+01_Data!N166+01_Data!P166+01_Data!R166+01_Data!T166+01_Data!V166</f>
        <v>61292</v>
      </c>
      <c r="R166" s="7" t="n">
        <f aca="false">P166-Q166</f>
        <v>-801</v>
      </c>
      <c r="S166" s="7" t="n">
        <f aca="false">L166-P166</f>
        <v>34269</v>
      </c>
      <c r="T166" s="7" t="n">
        <f aca="false">M166-Q166</f>
        <v>22505</v>
      </c>
      <c r="U166" s="7" t="n">
        <f aca="false">T166-S166</f>
        <v>-11764</v>
      </c>
      <c r="V166" s="8" t="n">
        <f aca="false">IFERROR(U166/S166,0)</f>
        <v>-0.343284017625259</v>
      </c>
      <c r="W166" s="5" t="str">
        <f aca="false">IF(V166&lt;-0.1,"ADVERSE &gt;10%","")</f>
        <v>ADVERSE &gt;10%</v>
      </c>
    </row>
    <row r="167" customFormat="false" ht="15" hidden="false" customHeight="false" outlineLevel="0" collapsed="false">
      <c r="A167" s="5" t="str">
        <f aca="false">01_Data!A167</f>
        <v>Banking &amp; Financial Services</v>
      </c>
      <c r="B167" s="5" t="str">
        <f aca="false">01_Data!C167</f>
        <v>2025-01</v>
      </c>
      <c r="C167" s="5" t="str">
        <f aca="false">01_Data!D167</f>
        <v>FY24</v>
      </c>
      <c r="D167" s="7" t="n">
        <f aca="false">01_Data!E167</f>
        <v>189444</v>
      </c>
      <c r="E167" s="7" t="n">
        <f aca="false">01_Data!F167</f>
        <v>184810</v>
      </c>
      <c r="F167" s="7" t="n">
        <f aca="false">E167-D167</f>
        <v>-4634</v>
      </c>
      <c r="G167" s="8" t="n">
        <f aca="false">IFERROR(F167/D167,0)</f>
        <v>-0.0244610544540867</v>
      </c>
      <c r="H167" s="7" t="n">
        <f aca="false">01_Data!G167</f>
        <v>109564</v>
      </c>
      <c r="I167" s="7" t="n">
        <f aca="false">01_Data!H167</f>
        <v>111381</v>
      </c>
      <c r="J167" s="7" t="n">
        <f aca="false">H167-I167</f>
        <v>-1817</v>
      </c>
      <c r="K167" s="8" t="n">
        <f aca="false">IFERROR(J167/H167,0)</f>
        <v>-0.016583914424446</v>
      </c>
      <c r="L167" s="7" t="n">
        <f aca="false">D167-H167</f>
        <v>79880</v>
      </c>
      <c r="M167" s="7" t="n">
        <f aca="false">E167-I167</f>
        <v>73429</v>
      </c>
      <c r="N167" s="7" t="n">
        <f aca="false">IFERROR(L167/D167,0)</f>
        <v>0.421654948164101</v>
      </c>
      <c r="O167" s="7" t="n">
        <f aca="false">IFERROR(M167/E167,0)</f>
        <v>0.397321573507927</v>
      </c>
      <c r="P167" s="7" t="n">
        <f aca="false">01_Data!I167+01_Data!K167+01_Data!M167+01_Data!O167+01_Data!Q167+01_Data!S167+01_Data!U167</f>
        <v>48859</v>
      </c>
      <c r="Q167" s="7" t="n">
        <f aca="false">01_Data!J167+01_Data!L167+01_Data!N167+01_Data!P167+01_Data!R167+01_Data!T167+01_Data!V167</f>
        <v>48321</v>
      </c>
      <c r="R167" s="7" t="n">
        <f aca="false">P167-Q167</f>
        <v>538</v>
      </c>
      <c r="S167" s="7" t="n">
        <f aca="false">L167-P167</f>
        <v>31021</v>
      </c>
      <c r="T167" s="7" t="n">
        <f aca="false">M167-Q167</f>
        <v>25108</v>
      </c>
      <c r="U167" s="7" t="n">
        <f aca="false">T167-S167</f>
        <v>-5913</v>
      </c>
      <c r="V167" s="8" t="n">
        <f aca="false">IFERROR(U167/S167,0)</f>
        <v>-0.190612810676638</v>
      </c>
      <c r="W167" s="5" t="str">
        <f aca="false">IF(V167&lt;-0.1,"ADVERSE &gt;10%","")</f>
        <v>ADVERSE &gt;10%</v>
      </c>
    </row>
    <row r="168" customFormat="false" ht="15" hidden="false" customHeight="false" outlineLevel="0" collapsed="false">
      <c r="A168" s="5" t="str">
        <f aca="false">01_Data!A168</f>
        <v>Banking &amp; Financial Services</v>
      </c>
      <c r="B168" s="5" t="str">
        <f aca="false">01_Data!C168</f>
        <v>2025-02</v>
      </c>
      <c r="C168" s="5" t="str">
        <f aca="false">01_Data!D168</f>
        <v>FY24</v>
      </c>
      <c r="D168" s="7" t="n">
        <f aca="false">01_Data!E168</f>
        <v>182699</v>
      </c>
      <c r="E168" s="7" t="n">
        <f aca="false">01_Data!F168</f>
        <v>183150</v>
      </c>
      <c r="F168" s="7" t="n">
        <f aca="false">E168-D168</f>
        <v>451</v>
      </c>
      <c r="G168" s="8" t="n">
        <f aca="false">IFERROR(F168/D168,0)</f>
        <v>0.00246854115238726</v>
      </c>
      <c r="H168" s="7" t="n">
        <f aca="false">01_Data!G168</f>
        <v>108129</v>
      </c>
      <c r="I168" s="7" t="n">
        <f aca="false">01_Data!H168</f>
        <v>110694</v>
      </c>
      <c r="J168" s="7" t="n">
        <f aca="false">H168-I168</f>
        <v>-2565</v>
      </c>
      <c r="K168" s="8" t="n">
        <f aca="false">IFERROR(J168/H168,0)</f>
        <v>-0.0237216657880865</v>
      </c>
      <c r="L168" s="7" t="n">
        <f aca="false">D168-H168</f>
        <v>74570</v>
      </c>
      <c r="M168" s="7" t="n">
        <f aca="false">E168-I168</f>
        <v>72456</v>
      </c>
      <c r="N168" s="7" t="n">
        <f aca="false">IFERROR(L168/D168,0)</f>
        <v>0.408157680118665</v>
      </c>
      <c r="O168" s="7" t="n">
        <f aca="false">IFERROR(M168/E168,0)</f>
        <v>0.395610155610156</v>
      </c>
      <c r="P168" s="7" t="n">
        <f aca="false">01_Data!I168+01_Data!K168+01_Data!M168+01_Data!O168+01_Data!Q168+01_Data!S168+01_Data!U168</f>
        <v>49701</v>
      </c>
      <c r="Q168" s="7" t="n">
        <f aca="false">01_Data!J168+01_Data!L168+01_Data!N168+01_Data!P168+01_Data!R168+01_Data!T168+01_Data!V168</f>
        <v>49421</v>
      </c>
      <c r="R168" s="7" t="n">
        <f aca="false">P168-Q168</f>
        <v>280</v>
      </c>
      <c r="S168" s="7" t="n">
        <f aca="false">L168-P168</f>
        <v>24869</v>
      </c>
      <c r="T168" s="7" t="n">
        <f aca="false">M168-Q168</f>
        <v>23035</v>
      </c>
      <c r="U168" s="7" t="n">
        <f aca="false">T168-S168</f>
        <v>-1834</v>
      </c>
      <c r="V168" s="8" t="n">
        <f aca="false">IFERROR(U168/S168,0)</f>
        <v>-0.0737464313000121</v>
      </c>
      <c r="W168" s="5" t="str">
        <f aca="false">IF(V168&lt;-0.1,"ADVERSE &gt;10%","")</f>
        <v/>
      </c>
    </row>
    <row r="169" customFormat="false" ht="15" hidden="false" customHeight="false" outlineLevel="0" collapsed="false">
      <c r="A169" s="5" t="str">
        <f aca="false">01_Data!A169</f>
        <v>Banking &amp; Financial Services</v>
      </c>
      <c r="B169" s="5" t="str">
        <f aca="false">01_Data!C169</f>
        <v>2025-03</v>
      </c>
      <c r="C169" s="5" t="str">
        <f aca="false">01_Data!D169</f>
        <v>FY24</v>
      </c>
      <c r="D169" s="7" t="n">
        <f aca="false">01_Data!E169</f>
        <v>207191</v>
      </c>
      <c r="E169" s="7" t="n">
        <f aca="false">01_Data!F169</f>
        <v>204403</v>
      </c>
      <c r="F169" s="7" t="n">
        <f aca="false">E169-D169</f>
        <v>-2788</v>
      </c>
      <c r="G169" s="8" t="n">
        <f aca="false">IFERROR(F169/D169,0)</f>
        <v>-0.0134561829423093</v>
      </c>
      <c r="H169" s="7" t="n">
        <f aca="false">01_Data!G169</f>
        <v>117884</v>
      </c>
      <c r="I169" s="7" t="n">
        <f aca="false">01_Data!H169</f>
        <v>112527</v>
      </c>
      <c r="J169" s="7" t="n">
        <f aca="false">H169-I169</f>
        <v>5357</v>
      </c>
      <c r="K169" s="8" t="n">
        <f aca="false">IFERROR(J169/H169,0)</f>
        <v>0.045442977842625</v>
      </c>
      <c r="L169" s="7" t="n">
        <f aca="false">D169-H169</f>
        <v>89307</v>
      </c>
      <c r="M169" s="7" t="n">
        <f aca="false">E169-I169</f>
        <v>91876</v>
      </c>
      <c r="N169" s="7" t="n">
        <f aca="false">IFERROR(L169/D169,0)</f>
        <v>0.431037062420665</v>
      </c>
      <c r="O169" s="7" t="n">
        <f aca="false">IFERROR(M169/E169,0)</f>
        <v>0.449484596605725</v>
      </c>
      <c r="P169" s="7" t="n">
        <f aca="false">01_Data!I169+01_Data!K169+01_Data!M169+01_Data!O169+01_Data!Q169+01_Data!S169+01_Data!U169</f>
        <v>57593</v>
      </c>
      <c r="Q169" s="7" t="n">
        <f aca="false">01_Data!J169+01_Data!L169+01_Data!N169+01_Data!P169+01_Data!R169+01_Data!T169+01_Data!V169</f>
        <v>56393</v>
      </c>
      <c r="R169" s="7" t="n">
        <f aca="false">P169-Q169</f>
        <v>1200</v>
      </c>
      <c r="S169" s="7" t="n">
        <f aca="false">L169-P169</f>
        <v>31714</v>
      </c>
      <c r="T169" s="7" t="n">
        <f aca="false">M169-Q169</f>
        <v>35483</v>
      </c>
      <c r="U169" s="7" t="n">
        <f aca="false">T169-S169</f>
        <v>3769</v>
      </c>
      <c r="V169" s="8" t="n">
        <f aca="false">IFERROR(U169/S169,0)</f>
        <v>0.118843413003721</v>
      </c>
      <c r="W169" s="5" t="str">
        <f aca="false">IF(V169&lt;-0.1,"ADVERSE &gt;10%","")</f>
        <v/>
      </c>
    </row>
    <row r="170" customFormat="false" ht="15" hidden="false" customHeight="false" outlineLevel="0" collapsed="false">
      <c r="A170" s="5" t="str">
        <f aca="false">01_Data!A170</f>
        <v>Banking &amp; Financial Services</v>
      </c>
      <c r="B170" s="5" t="str">
        <f aca="false">01_Data!C170</f>
        <v>2025-04</v>
      </c>
      <c r="C170" s="5" t="str">
        <f aca="false">01_Data!D170</f>
        <v>FY25</v>
      </c>
      <c r="D170" s="7" t="n">
        <f aca="false">01_Data!E170</f>
        <v>194609</v>
      </c>
      <c r="E170" s="7" t="n">
        <f aca="false">01_Data!F170</f>
        <v>186983</v>
      </c>
      <c r="F170" s="7" t="n">
        <f aca="false">E170-D170</f>
        <v>-7626</v>
      </c>
      <c r="G170" s="8" t="n">
        <f aca="false">IFERROR(F170/D170,0)</f>
        <v>-0.0391862657944905</v>
      </c>
      <c r="H170" s="7" t="n">
        <f aca="false">01_Data!G170</f>
        <v>106882</v>
      </c>
      <c r="I170" s="7" t="n">
        <f aca="false">01_Data!H170</f>
        <v>102328</v>
      </c>
      <c r="J170" s="7" t="n">
        <f aca="false">H170-I170</f>
        <v>4554</v>
      </c>
      <c r="K170" s="8" t="n">
        <f aca="false">IFERROR(J170/H170,0)</f>
        <v>0.0426077356336895</v>
      </c>
      <c r="L170" s="7" t="n">
        <f aca="false">D170-H170</f>
        <v>87727</v>
      </c>
      <c r="M170" s="7" t="n">
        <f aca="false">E170-I170</f>
        <v>84655</v>
      </c>
      <c r="N170" s="7" t="n">
        <f aca="false">IFERROR(L170/D170,0)</f>
        <v>0.450785934874543</v>
      </c>
      <c r="O170" s="7" t="n">
        <f aca="false">IFERROR(M170/E170,0)</f>
        <v>0.452741693095094</v>
      </c>
      <c r="P170" s="7" t="n">
        <f aca="false">01_Data!I170+01_Data!K170+01_Data!M170+01_Data!O170+01_Data!Q170+01_Data!S170+01_Data!U170</f>
        <v>50066</v>
      </c>
      <c r="Q170" s="7" t="n">
        <f aca="false">01_Data!J170+01_Data!L170+01_Data!N170+01_Data!P170+01_Data!R170+01_Data!T170+01_Data!V170</f>
        <v>50056</v>
      </c>
      <c r="R170" s="7" t="n">
        <f aca="false">P170-Q170</f>
        <v>10</v>
      </c>
      <c r="S170" s="7" t="n">
        <f aca="false">L170-P170</f>
        <v>37661</v>
      </c>
      <c r="T170" s="7" t="n">
        <f aca="false">M170-Q170</f>
        <v>34599</v>
      </c>
      <c r="U170" s="7" t="n">
        <f aca="false">T170-S170</f>
        <v>-3062</v>
      </c>
      <c r="V170" s="8" t="n">
        <f aca="false">IFERROR(U170/S170,0)</f>
        <v>-0.0813042670136215</v>
      </c>
      <c r="W170" s="5" t="str">
        <f aca="false">IF(V170&lt;-0.1,"ADVERSE &gt;10%","")</f>
        <v/>
      </c>
    </row>
    <row r="171" customFormat="false" ht="15" hidden="false" customHeight="false" outlineLevel="0" collapsed="false">
      <c r="A171" s="5" t="str">
        <f aca="false">01_Data!A171</f>
        <v>Banking &amp; Financial Services</v>
      </c>
      <c r="B171" s="5" t="str">
        <f aca="false">01_Data!C171</f>
        <v>2025-05</v>
      </c>
      <c r="C171" s="5" t="str">
        <f aca="false">01_Data!D171</f>
        <v>FY25</v>
      </c>
      <c r="D171" s="7" t="n">
        <f aca="false">01_Data!E171</f>
        <v>186207</v>
      </c>
      <c r="E171" s="7" t="n">
        <f aca="false">01_Data!F171</f>
        <v>185226</v>
      </c>
      <c r="F171" s="7" t="n">
        <f aca="false">E171-D171</f>
        <v>-981</v>
      </c>
      <c r="G171" s="8" t="n">
        <f aca="false">IFERROR(F171/D171,0)</f>
        <v>-0.00526833040648311</v>
      </c>
      <c r="H171" s="7" t="n">
        <f aca="false">01_Data!G171</f>
        <v>102617</v>
      </c>
      <c r="I171" s="7" t="n">
        <f aca="false">01_Data!H171</f>
        <v>106573</v>
      </c>
      <c r="J171" s="7" t="n">
        <f aca="false">H171-I171</f>
        <v>-3956</v>
      </c>
      <c r="K171" s="8" t="n">
        <f aca="false">IFERROR(J171/H171,0)</f>
        <v>-0.0385511172612725</v>
      </c>
      <c r="L171" s="7" t="n">
        <f aca="false">D171-H171</f>
        <v>83590</v>
      </c>
      <c r="M171" s="7" t="n">
        <f aca="false">E171-I171</f>
        <v>78653</v>
      </c>
      <c r="N171" s="7" t="n">
        <f aca="false">IFERROR(L171/D171,0)</f>
        <v>0.448909009865365</v>
      </c>
      <c r="O171" s="7" t="n">
        <f aca="false">IFERROR(M171/E171,0)</f>
        <v>0.424632610972542</v>
      </c>
      <c r="P171" s="7" t="n">
        <f aca="false">01_Data!I171+01_Data!K171+01_Data!M171+01_Data!O171+01_Data!Q171+01_Data!S171+01_Data!U171</f>
        <v>48107</v>
      </c>
      <c r="Q171" s="7" t="n">
        <f aca="false">01_Data!J171+01_Data!L171+01_Data!N171+01_Data!P171+01_Data!R171+01_Data!T171+01_Data!V171</f>
        <v>48754</v>
      </c>
      <c r="R171" s="7" t="n">
        <f aca="false">P171-Q171</f>
        <v>-647</v>
      </c>
      <c r="S171" s="7" t="n">
        <f aca="false">L171-P171</f>
        <v>35483</v>
      </c>
      <c r="T171" s="7" t="n">
        <f aca="false">M171-Q171</f>
        <v>29899</v>
      </c>
      <c r="U171" s="7" t="n">
        <f aca="false">T171-S171</f>
        <v>-5584</v>
      </c>
      <c r="V171" s="8" t="n">
        <f aca="false">IFERROR(U171/S171,0)</f>
        <v>-0.157371135473325</v>
      </c>
      <c r="W171" s="5" t="str">
        <f aca="false">IF(V171&lt;-0.1,"ADVERSE &gt;10%","")</f>
        <v>ADVERSE &gt;10%</v>
      </c>
    </row>
    <row r="172" customFormat="false" ht="15" hidden="false" customHeight="false" outlineLevel="0" collapsed="false">
      <c r="A172" s="5" t="str">
        <f aca="false">01_Data!A172</f>
        <v>Banking &amp; Financial Services</v>
      </c>
      <c r="B172" s="5" t="str">
        <f aca="false">01_Data!C172</f>
        <v>2025-06</v>
      </c>
      <c r="C172" s="5" t="str">
        <f aca="false">01_Data!D172</f>
        <v>FY25</v>
      </c>
      <c r="D172" s="7" t="n">
        <f aca="false">01_Data!E172</f>
        <v>194581</v>
      </c>
      <c r="E172" s="7" t="n">
        <f aca="false">01_Data!F172</f>
        <v>186936</v>
      </c>
      <c r="F172" s="7" t="n">
        <f aca="false">E172-D172</f>
        <v>-7645</v>
      </c>
      <c r="G172" s="8" t="n">
        <f aca="false">IFERROR(F172/D172,0)</f>
        <v>-0.0392895503671993</v>
      </c>
      <c r="H172" s="7" t="n">
        <f aca="false">01_Data!G172</f>
        <v>114629</v>
      </c>
      <c r="I172" s="7" t="n">
        <f aca="false">01_Data!H172</f>
        <v>110299</v>
      </c>
      <c r="J172" s="7" t="n">
        <f aca="false">H172-I172</f>
        <v>4330</v>
      </c>
      <c r="K172" s="8" t="n">
        <f aca="false">IFERROR(J172/H172,0)</f>
        <v>0.0377740362386482</v>
      </c>
      <c r="L172" s="7" t="n">
        <f aca="false">D172-H172</f>
        <v>79952</v>
      </c>
      <c r="M172" s="7" t="n">
        <f aca="false">E172-I172</f>
        <v>76637</v>
      </c>
      <c r="N172" s="7" t="n">
        <f aca="false">IFERROR(L172/D172,0)</f>
        <v>0.410893149896444</v>
      </c>
      <c r="O172" s="7" t="n">
        <f aca="false">IFERROR(M172/E172,0)</f>
        <v>0.409963837891043</v>
      </c>
      <c r="P172" s="7" t="n">
        <f aca="false">01_Data!I172+01_Data!K172+01_Data!M172+01_Data!O172+01_Data!Q172+01_Data!S172+01_Data!U172</f>
        <v>53426</v>
      </c>
      <c r="Q172" s="7" t="n">
        <f aca="false">01_Data!J172+01_Data!L172+01_Data!N172+01_Data!P172+01_Data!R172+01_Data!T172+01_Data!V172</f>
        <v>56359</v>
      </c>
      <c r="R172" s="7" t="n">
        <f aca="false">P172-Q172</f>
        <v>-2933</v>
      </c>
      <c r="S172" s="7" t="n">
        <f aca="false">L172-P172</f>
        <v>26526</v>
      </c>
      <c r="T172" s="7" t="n">
        <f aca="false">M172-Q172</f>
        <v>20278</v>
      </c>
      <c r="U172" s="7" t="n">
        <f aca="false">T172-S172</f>
        <v>-6248</v>
      </c>
      <c r="V172" s="8" t="n">
        <f aca="false">IFERROR(U172/S172,0)</f>
        <v>-0.235542486616904</v>
      </c>
      <c r="W172" s="5" t="str">
        <f aca="false">IF(V172&lt;-0.1,"ADVERSE &gt;10%","")</f>
        <v>ADVERSE &gt;10%</v>
      </c>
    </row>
    <row r="173" customFormat="false" ht="15" hidden="false" customHeight="false" outlineLevel="0" collapsed="false">
      <c r="A173" s="5" t="str">
        <f aca="false">01_Data!A173</f>
        <v>Banking &amp; Financial Services</v>
      </c>
      <c r="B173" s="5" t="str">
        <f aca="false">01_Data!C173</f>
        <v>2025-07</v>
      </c>
      <c r="C173" s="5" t="str">
        <f aca="false">01_Data!D173</f>
        <v>FY25</v>
      </c>
      <c r="D173" s="7" t="n">
        <f aca="false">01_Data!E173</f>
        <v>182729</v>
      </c>
      <c r="E173" s="7" t="n">
        <f aca="false">01_Data!F173</f>
        <v>190195</v>
      </c>
      <c r="F173" s="7" t="n">
        <f aca="false">E173-D173</f>
        <v>7466</v>
      </c>
      <c r="G173" s="8" t="n">
        <f aca="false">IFERROR(F173/D173,0)</f>
        <v>0.040858320244734</v>
      </c>
      <c r="H173" s="7" t="n">
        <f aca="false">01_Data!G173</f>
        <v>109466</v>
      </c>
      <c r="I173" s="7" t="n">
        <f aca="false">01_Data!H173</f>
        <v>119380</v>
      </c>
      <c r="J173" s="7" t="n">
        <f aca="false">H173-I173</f>
        <v>-9914</v>
      </c>
      <c r="K173" s="8" t="n">
        <f aca="false">IFERROR(J173/H173,0)</f>
        <v>-0.0905669340251768</v>
      </c>
      <c r="L173" s="7" t="n">
        <f aca="false">D173-H173</f>
        <v>73263</v>
      </c>
      <c r="M173" s="7" t="n">
        <f aca="false">E173-I173</f>
        <v>70815</v>
      </c>
      <c r="N173" s="7" t="n">
        <f aca="false">IFERROR(L173/D173,0)</f>
        <v>0.400938001083572</v>
      </c>
      <c r="O173" s="7" t="n">
        <f aca="false">IFERROR(M173/E173,0)</f>
        <v>0.372328399800205</v>
      </c>
      <c r="P173" s="7" t="n">
        <f aca="false">01_Data!I173+01_Data!K173+01_Data!M173+01_Data!O173+01_Data!Q173+01_Data!S173+01_Data!U173</f>
        <v>50316</v>
      </c>
      <c r="Q173" s="7" t="n">
        <f aca="false">01_Data!J173+01_Data!L173+01_Data!N173+01_Data!P173+01_Data!R173+01_Data!T173+01_Data!V173</f>
        <v>51195</v>
      </c>
      <c r="R173" s="7" t="n">
        <f aca="false">P173-Q173</f>
        <v>-879</v>
      </c>
      <c r="S173" s="7" t="n">
        <f aca="false">L173-P173</f>
        <v>22947</v>
      </c>
      <c r="T173" s="7" t="n">
        <f aca="false">M173-Q173</f>
        <v>19620</v>
      </c>
      <c r="U173" s="7" t="n">
        <f aca="false">T173-S173</f>
        <v>-3327</v>
      </c>
      <c r="V173" s="8" t="n">
        <f aca="false">IFERROR(U173/S173,0)</f>
        <v>-0.144986272715388</v>
      </c>
      <c r="W173" s="5" t="str">
        <f aca="false">IF(V173&lt;-0.1,"ADVERSE &gt;10%","")</f>
        <v>ADVERSE &gt;10%</v>
      </c>
    </row>
    <row r="174" customFormat="false" ht="15" hidden="false" customHeight="false" outlineLevel="0" collapsed="false">
      <c r="A174" s="5" t="str">
        <f aca="false">01_Data!A174</f>
        <v>Banking &amp; Financial Services</v>
      </c>
      <c r="B174" s="5" t="str">
        <f aca="false">01_Data!C174</f>
        <v>2025-08</v>
      </c>
      <c r="C174" s="5" t="str">
        <f aca="false">01_Data!D174</f>
        <v>FY25</v>
      </c>
      <c r="D174" s="7" t="n">
        <f aca="false">01_Data!E174</f>
        <v>185100</v>
      </c>
      <c r="E174" s="7" t="n">
        <f aca="false">01_Data!F174</f>
        <v>190208</v>
      </c>
      <c r="F174" s="7" t="n">
        <f aca="false">E174-D174</f>
        <v>5108</v>
      </c>
      <c r="G174" s="8" t="n">
        <f aca="false">IFERROR(F174/D174,0)</f>
        <v>0.0275958941112912</v>
      </c>
      <c r="H174" s="7" t="n">
        <f aca="false">01_Data!G174</f>
        <v>105042</v>
      </c>
      <c r="I174" s="7" t="n">
        <f aca="false">01_Data!H174</f>
        <v>112444</v>
      </c>
      <c r="J174" s="7" t="n">
        <f aca="false">H174-I174</f>
        <v>-7402</v>
      </c>
      <c r="K174" s="8" t="n">
        <f aca="false">IFERROR(J174/H174,0)</f>
        <v>-0.0704670512747282</v>
      </c>
      <c r="L174" s="7" t="n">
        <f aca="false">D174-H174</f>
        <v>80058</v>
      </c>
      <c r="M174" s="7" t="n">
        <f aca="false">E174-I174</f>
        <v>77764</v>
      </c>
      <c r="N174" s="7" t="n">
        <f aca="false">IFERROR(L174/D174,0)</f>
        <v>0.432512155591572</v>
      </c>
      <c r="O174" s="7" t="n">
        <f aca="false">IFERROR(M174/E174,0)</f>
        <v>0.408836641991925</v>
      </c>
      <c r="P174" s="7" t="n">
        <f aca="false">01_Data!I174+01_Data!K174+01_Data!M174+01_Data!O174+01_Data!Q174+01_Data!S174+01_Data!U174</f>
        <v>51454</v>
      </c>
      <c r="Q174" s="7" t="n">
        <f aca="false">01_Data!J174+01_Data!L174+01_Data!N174+01_Data!P174+01_Data!R174+01_Data!T174+01_Data!V174</f>
        <v>52414</v>
      </c>
      <c r="R174" s="7" t="n">
        <f aca="false">P174-Q174</f>
        <v>-960</v>
      </c>
      <c r="S174" s="7" t="n">
        <f aca="false">L174-P174</f>
        <v>28604</v>
      </c>
      <c r="T174" s="7" t="n">
        <f aca="false">M174-Q174</f>
        <v>25350</v>
      </c>
      <c r="U174" s="7" t="n">
        <f aca="false">T174-S174</f>
        <v>-3254</v>
      </c>
      <c r="V174" s="8" t="n">
        <f aca="false">IFERROR(U174/S174,0)</f>
        <v>-0.113760313242903</v>
      </c>
      <c r="W174" s="5" t="str">
        <f aca="false">IF(V174&lt;-0.1,"ADVERSE &gt;10%","")</f>
        <v>ADVERSE &gt;10%</v>
      </c>
    </row>
    <row r="175" customFormat="false" ht="15" hidden="false" customHeight="false" outlineLevel="0" collapsed="false">
      <c r="A175" s="5" t="str">
        <f aca="false">01_Data!A175</f>
        <v>Banking &amp; Financial Services</v>
      </c>
      <c r="B175" s="5" t="str">
        <f aca="false">01_Data!C175</f>
        <v>2025-09</v>
      </c>
      <c r="C175" s="5" t="str">
        <f aca="false">01_Data!D175</f>
        <v>FY25</v>
      </c>
      <c r="D175" s="7" t="n">
        <f aca="false">01_Data!E175</f>
        <v>207916</v>
      </c>
      <c r="E175" s="7" t="n">
        <f aca="false">01_Data!F175</f>
        <v>210163</v>
      </c>
      <c r="F175" s="7" t="n">
        <f aca="false">E175-D175</f>
        <v>2247</v>
      </c>
      <c r="G175" s="8" t="n">
        <f aca="false">IFERROR(F175/D175,0)</f>
        <v>0.0108072490813598</v>
      </c>
      <c r="H175" s="7" t="n">
        <f aca="false">01_Data!G175</f>
        <v>117053</v>
      </c>
      <c r="I175" s="7" t="n">
        <f aca="false">01_Data!H175</f>
        <v>119217</v>
      </c>
      <c r="J175" s="7" t="n">
        <f aca="false">H175-I175</f>
        <v>-2164</v>
      </c>
      <c r="K175" s="8" t="n">
        <f aca="false">IFERROR(J175/H175,0)</f>
        <v>-0.0184873518833349</v>
      </c>
      <c r="L175" s="7" t="n">
        <f aca="false">D175-H175</f>
        <v>90863</v>
      </c>
      <c r="M175" s="7" t="n">
        <f aca="false">E175-I175</f>
        <v>90946</v>
      </c>
      <c r="N175" s="7" t="n">
        <f aca="false">IFERROR(L175/D175,0)</f>
        <v>0.43701783412532</v>
      </c>
      <c r="O175" s="7" t="n">
        <f aca="false">IFERROR(M175/E175,0)</f>
        <v>0.432740301575444</v>
      </c>
      <c r="P175" s="7" t="n">
        <f aca="false">01_Data!I175+01_Data!K175+01_Data!M175+01_Data!O175+01_Data!Q175+01_Data!S175+01_Data!U175</f>
        <v>55543</v>
      </c>
      <c r="Q175" s="7" t="n">
        <f aca="false">01_Data!J175+01_Data!L175+01_Data!N175+01_Data!P175+01_Data!R175+01_Data!T175+01_Data!V175</f>
        <v>55350</v>
      </c>
      <c r="R175" s="7" t="n">
        <f aca="false">P175-Q175</f>
        <v>193</v>
      </c>
      <c r="S175" s="7" t="n">
        <f aca="false">L175-P175</f>
        <v>35320</v>
      </c>
      <c r="T175" s="7" t="n">
        <f aca="false">M175-Q175</f>
        <v>35596</v>
      </c>
      <c r="U175" s="7" t="n">
        <f aca="false">T175-S175</f>
        <v>276</v>
      </c>
      <c r="V175" s="8" t="n">
        <f aca="false">IFERROR(U175/S175,0)</f>
        <v>0.00781426953567384</v>
      </c>
      <c r="W175" s="5" t="str">
        <f aca="false">IF(V175&lt;-0.1,"ADVERSE &gt;10%","")</f>
        <v/>
      </c>
    </row>
    <row r="176" customFormat="false" ht="15" hidden="false" customHeight="false" outlineLevel="0" collapsed="false">
      <c r="A176" s="5" t="str">
        <f aca="false">01_Data!A176</f>
        <v>Banking &amp; Financial Services</v>
      </c>
      <c r="B176" s="5" t="str">
        <f aca="false">01_Data!C176</f>
        <v>2025-10</v>
      </c>
      <c r="C176" s="5" t="str">
        <f aca="false">01_Data!D176</f>
        <v>FY25</v>
      </c>
      <c r="D176" s="7" t="n">
        <f aca="false">01_Data!E176</f>
        <v>189549</v>
      </c>
      <c r="E176" s="7" t="n">
        <f aca="false">01_Data!F176</f>
        <v>194137</v>
      </c>
      <c r="F176" s="7" t="n">
        <f aca="false">E176-D176</f>
        <v>4588</v>
      </c>
      <c r="G176" s="8" t="n">
        <f aca="false">IFERROR(F176/D176,0)</f>
        <v>0.0242048230272911</v>
      </c>
      <c r="H176" s="7" t="n">
        <f aca="false">01_Data!G176</f>
        <v>105545</v>
      </c>
      <c r="I176" s="7" t="n">
        <f aca="false">01_Data!H176</f>
        <v>108989</v>
      </c>
      <c r="J176" s="7" t="n">
        <f aca="false">H176-I176</f>
        <v>-3444</v>
      </c>
      <c r="K176" s="8" t="n">
        <f aca="false">IFERROR(J176/H176,0)</f>
        <v>-0.0326306314842011</v>
      </c>
      <c r="L176" s="7" t="n">
        <f aca="false">D176-H176</f>
        <v>84004</v>
      </c>
      <c r="M176" s="7" t="n">
        <f aca="false">E176-I176</f>
        <v>85148</v>
      </c>
      <c r="N176" s="7" t="n">
        <f aca="false">IFERROR(L176/D176,0)</f>
        <v>0.443178281077716</v>
      </c>
      <c r="O176" s="7" t="n">
        <f aca="false">IFERROR(M176/E176,0)</f>
        <v>0.438597485281013</v>
      </c>
      <c r="P176" s="7" t="n">
        <f aca="false">01_Data!I176+01_Data!K176+01_Data!M176+01_Data!O176+01_Data!Q176+01_Data!S176+01_Data!U176</f>
        <v>54154</v>
      </c>
      <c r="Q176" s="7" t="n">
        <f aca="false">01_Data!J176+01_Data!L176+01_Data!N176+01_Data!P176+01_Data!R176+01_Data!T176+01_Data!V176</f>
        <v>52806</v>
      </c>
      <c r="R176" s="7" t="n">
        <f aca="false">P176-Q176</f>
        <v>1348</v>
      </c>
      <c r="S176" s="7" t="n">
        <f aca="false">L176-P176</f>
        <v>29850</v>
      </c>
      <c r="T176" s="7" t="n">
        <f aca="false">M176-Q176</f>
        <v>32342</v>
      </c>
      <c r="U176" s="7" t="n">
        <f aca="false">T176-S176</f>
        <v>2492</v>
      </c>
      <c r="V176" s="8" t="n">
        <f aca="false">IFERROR(U176/S176,0)</f>
        <v>0.0834840871021776</v>
      </c>
      <c r="W176" s="5" t="str">
        <f aca="false">IF(V176&lt;-0.1,"ADVERSE &gt;10%","")</f>
        <v/>
      </c>
    </row>
    <row r="177" customFormat="false" ht="15" hidden="false" customHeight="false" outlineLevel="0" collapsed="false">
      <c r="A177" s="5" t="str">
        <f aca="false">01_Data!A177</f>
        <v>Banking &amp; Financial Services</v>
      </c>
      <c r="B177" s="5" t="str">
        <f aca="false">01_Data!C177</f>
        <v>2025-11</v>
      </c>
      <c r="C177" s="5" t="str">
        <f aca="false">01_Data!D177</f>
        <v>FY25</v>
      </c>
      <c r="D177" s="7" t="n">
        <f aca="false">01_Data!E177</f>
        <v>206243</v>
      </c>
      <c r="E177" s="7" t="n">
        <f aca="false">01_Data!F177</f>
        <v>197539</v>
      </c>
      <c r="F177" s="7" t="n">
        <f aca="false">E177-D177</f>
        <v>-8704</v>
      </c>
      <c r="G177" s="8" t="n">
        <f aca="false">IFERROR(F177/D177,0)</f>
        <v>-0.0422026444533875</v>
      </c>
      <c r="H177" s="7" t="n">
        <f aca="false">01_Data!G177</f>
        <v>121531</v>
      </c>
      <c r="I177" s="7" t="n">
        <f aca="false">01_Data!H177</f>
        <v>117541</v>
      </c>
      <c r="J177" s="7" t="n">
        <f aca="false">H177-I177</f>
        <v>3990</v>
      </c>
      <c r="K177" s="8" t="n">
        <f aca="false">IFERROR(J177/H177,0)</f>
        <v>0.032831129506052</v>
      </c>
      <c r="L177" s="7" t="n">
        <f aca="false">D177-H177</f>
        <v>84712</v>
      </c>
      <c r="M177" s="7" t="n">
        <f aca="false">E177-I177</f>
        <v>79998</v>
      </c>
      <c r="N177" s="7" t="n">
        <f aca="false">IFERROR(L177/D177,0)</f>
        <v>0.410738788710405</v>
      </c>
      <c r="O177" s="7" t="n">
        <f aca="false">IFERROR(M177/E177,0)</f>
        <v>0.404973195166524</v>
      </c>
      <c r="P177" s="7" t="n">
        <f aca="false">01_Data!I177+01_Data!K177+01_Data!M177+01_Data!O177+01_Data!Q177+01_Data!S177+01_Data!U177</f>
        <v>53615</v>
      </c>
      <c r="Q177" s="7" t="n">
        <f aca="false">01_Data!J177+01_Data!L177+01_Data!N177+01_Data!P177+01_Data!R177+01_Data!T177+01_Data!V177</f>
        <v>53956</v>
      </c>
      <c r="R177" s="7" t="n">
        <f aca="false">P177-Q177</f>
        <v>-341</v>
      </c>
      <c r="S177" s="7" t="n">
        <f aca="false">L177-P177</f>
        <v>31097</v>
      </c>
      <c r="T177" s="7" t="n">
        <f aca="false">M177-Q177</f>
        <v>26042</v>
      </c>
      <c r="U177" s="7" t="n">
        <f aca="false">T177-S177</f>
        <v>-5055</v>
      </c>
      <c r="V177" s="8" t="n">
        <f aca="false">IFERROR(U177/S177,0)</f>
        <v>-0.162555873556935</v>
      </c>
      <c r="W177" s="5" t="str">
        <f aca="false">IF(V177&lt;-0.1,"ADVERSE &gt;10%","")</f>
        <v>ADVERSE &gt;10%</v>
      </c>
    </row>
    <row r="178" customFormat="false" ht="15" hidden="false" customHeight="false" outlineLevel="0" collapsed="false">
      <c r="A178" s="5" t="str">
        <f aca="false">01_Data!A178</f>
        <v>Banking &amp; Financial Services</v>
      </c>
      <c r="B178" s="5" t="str">
        <f aca="false">01_Data!C178</f>
        <v>2025-12</v>
      </c>
      <c r="C178" s="5" t="str">
        <f aca="false">01_Data!D178</f>
        <v>FY25</v>
      </c>
      <c r="D178" s="7" t="n">
        <f aca="false">01_Data!E178</f>
        <v>226099</v>
      </c>
      <c r="E178" s="7" t="n">
        <f aca="false">01_Data!F178</f>
        <v>217650</v>
      </c>
      <c r="F178" s="7" t="n">
        <f aca="false">E178-D178</f>
        <v>-8449</v>
      </c>
      <c r="G178" s="8" t="n">
        <f aca="false">IFERROR(F178/D178,0)</f>
        <v>-0.0373685863272283</v>
      </c>
      <c r="H178" s="7" t="n">
        <f aca="false">01_Data!G178</f>
        <v>128946</v>
      </c>
      <c r="I178" s="7" t="n">
        <f aca="false">01_Data!H178</f>
        <v>126689</v>
      </c>
      <c r="J178" s="7" t="n">
        <f aca="false">H178-I178</f>
        <v>2257</v>
      </c>
      <c r="K178" s="8" t="n">
        <f aca="false">IFERROR(J178/H178,0)</f>
        <v>0.0175034510570316</v>
      </c>
      <c r="L178" s="7" t="n">
        <f aca="false">D178-H178</f>
        <v>97153</v>
      </c>
      <c r="M178" s="7" t="n">
        <f aca="false">E178-I178</f>
        <v>90961</v>
      </c>
      <c r="N178" s="7" t="n">
        <f aca="false">IFERROR(L178/D178,0)</f>
        <v>0.429692302929248</v>
      </c>
      <c r="O178" s="7" t="n">
        <f aca="false">IFERROR(M178/E178,0)</f>
        <v>0.417923271307145</v>
      </c>
      <c r="P178" s="7" t="n">
        <f aca="false">01_Data!I178+01_Data!K178+01_Data!M178+01_Data!O178+01_Data!Q178+01_Data!S178+01_Data!U178</f>
        <v>56315</v>
      </c>
      <c r="Q178" s="7" t="n">
        <f aca="false">01_Data!J178+01_Data!L178+01_Data!N178+01_Data!P178+01_Data!R178+01_Data!T178+01_Data!V178</f>
        <v>56602</v>
      </c>
      <c r="R178" s="7" t="n">
        <f aca="false">P178-Q178</f>
        <v>-287</v>
      </c>
      <c r="S178" s="7" t="n">
        <f aca="false">L178-P178</f>
        <v>40838</v>
      </c>
      <c r="T178" s="7" t="n">
        <f aca="false">M178-Q178</f>
        <v>34359</v>
      </c>
      <c r="U178" s="7" t="n">
        <f aca="false">T178-S178</f>
        <v>-6479</v>
      </c>
      <c r="V178" s="8" t="n">
        <f aca="false">IFERROR(U178/S178,0)</f>
        <v>-0.158651256182967</v>
      </c>
      <c r="W178" s="5" t="str">
        <f aca="false">IF(V178&lt;-0.1,"ADVERSE &gt;10%","")</f>
        <v>ADVERSE &gt;10%</v>
      </c>
    </row>
    <row r="179" customFormat="false" ht="15" hidden="false" customHeight="false" outlineLevel="0" collapsed="false">
      <c r="A179" s="5" t="str">
        <f aca="false">01_Data!A179</f>
        <v>Banking &amp; Financial Services</v>
      </c>
      <c r="B179" s="5" t="str">
        <f aca="false">01_Data!C179</f>
        <v>2026-01</v>
      </c>
      <c r="C179" s="5" t="str">
        <f aca="false">01_Data!D179</f>
        <v>FY25</v>
      </c>
      <c r="D179" s="7" t="n">
        <f aca="false">01_Data!E179</f>
        <v>197553</v>
      </c>
      <c r="E179" s="7" t="n">
        <f aca="false">01_Data!F179</f>
        <v>195855</v>
      </c>
      <c r="F179" s="7" t="n">
        <f aca="false">E179-D179</f>
        <v>-1698</v>
      </c>
      <c r="G179" s="8" t="n">
        <f aca="false">IFERROR(F179/D179,0)</f>
        <v>-0.00859516180468026</v>
      </c>
      <c r="H179" s="7" t="n">
        <f aca="false">01_Data!G179</f>
        <v>118116</v>
      </c>
      <c r="I179" s="7" t="n">
        <f aca="false">01_Data!H179</f>
        <v>121577</v>
      </c>
      <c r="J179" s="7" t="n">
        <f aca="false">H179-I179</f>
        <v>-3461</v>
      </c>
      <c r="K179" s="8" t="n">
        <f aca="false">IFERROR(J179/H179,0)</f>
        <v>-0.0293017034102069</v>
      </c>
      <c r="L179" s="7" t="n">
        <f aca="false">D179-H179</f>
        <v>79437</v>
      </c>
      <c r="M179" s="7" t="n">
        <f aca="false">E179-I179</f>
        <v>74278</v>
      </c>
      <c r="N179" s="7" t="n">
        <f aca="false">IFERROR(L179/D179,0)</f>
        <v>0.40210475163627</v>
      </c>
      <c r="O179" s="7" t="n">
        <f aca="false">IFERROR(M179/E179,0)</f>
        <v>0.379249955324092</v>
      </c>
      <c r="P179" s="7" t="n">
        <f aca="false">01_Data!I179+01_Data!K179+01_Data!M179+01_Data!O179+01_Data!Q179+01_Data!S179+01_Data!U179</f>
        <v>53081</v>
      </c>
      <c r="Q179" s="7" t="n">
        <f aca="false">01_Data!J179+01_Data!L179+01_Data!N179+01_Data!P179+01_Data!R179+01_Data!T179+01_Data!V179</f>
        <v>54030</v>
      </c>
      <c r="R179" s="7" t="n">
        <f aca="false">P179-Q179</f>
        <v>-949</v>
      </c>
      <c r="S179" s="7" t="n">
        <f aca="false">L179-P179</f>
        <v>26356</v>
      </c>
      <c r="T179" s="7" t="n">
        <f aca="false">M179-Q179</f>
        <v>20248</v>
      </c>
      <c r="U179" s="7" t="n">
        <f aca="false">T179-S179</f>
        <v>-6108</v>
      </c>
      <c r="V179" s="8" t="n">
        <f aca="false">IFERROR(U179/S179,0)</f>
        <v>-0.231749886173926</v>
      </c>
      <c r="W179" s="5" t="str">
        <f aca="false">IF(V179&lt;-0.1,"ADVERSE &gt;10%","")</f>
        <v>ADVERSE &gt;10%</v>
      </c>
    </row>
    <row r="180" customFormat="false" ht="15" hidden="false" customHeight="false" outlineLevel="0" collapsed="false">
      <c r="A180" s="5" t="str">
        <f aca="false">01_Data!A180</f>
        <v>Banking &amp; Financial Services</v>
      </c>
      <c r="B180" s="5" t="str">
        <f aca="false">01_Data!C180</f>
        <v>2026-02</v>
      </c>
      <c r="C180" s="5" t="str">
        <f aca="false">01_Data!D180</f>
        <v>FY25</v>
      </c>
      <c r="D180" s="7" t="n">
        <f aca="false">01_Data!E180</f>
        <v>206673</v>
      </c>
      <c r="E180" s="7" t="n">
        <f aca="false">01_Data!F180</f>
        <v>195705</v>
      </c>
      <c r="F180" s="7" t="n">
        <f aca="false">E180-D180</f>
        <v>-10968</v>
      </c>
      <c r="G180" s="8" t="n">
        <f aca="false">IFERROR(F180/D180,0)</f>
        <v>-0.053069341423408</v>
      </c>
      <c r="H180" s="7" t="n">
        <f aca="false">01_Data!G180</f>
        <v>119574</v>
      </c>
      <c r="I180" s="7" t="n">
        <f aca="false">01_Data!H180</f>
        <v>113461</v>
      </c>
      <c r="J180" s="7" t="n">
        <f aca="false">H180-I180</f>
        <v>6113</v>
      </c>
      <c r="K180" s="8" t="n">
        <f aca="false">IFERROR(J180/H180,0)</f>
        <v>0.0511231538628799</v>
      </c>
      <c r="L180" s="7" t="n">
        <f aca="false">D180-H180</f>
        <v>87099</v>
      </c>
      <c r="M180" s="7" t="n">
        <f aca="false">E180-I180</f>
        <v>82244</v>
      </c>
      <c r="N180" s="7" t="n">
        <f aca="false">IFERROR(L180/D180,0)</f>
        <v>0.421433859284957</v>
      </c>
      <c r="O180" s="7" t="n">
        <f aca="false">IFERROR(M180/E180,0)</f>
        <v>0.420244756138065</v>
      </c>
      <c r="P180" s="7" t="n">
        <f aca="false">01_Data!I180+01_Data!K180+01_Data!M180+01_Data!O180+01_Data!Q180+01_Data!S180+01_Data!U180</f>
        <v>54440</v>
      </c>
      <c r="Q180" s="7" t="n">
        <f aca="false">01_Data!J180+01_Data!L180+01_Data!N180+01_Data!P180+01_Data!R180+01_Data!T180+01_Data!V180</f>
        <v>55077</v>
      </c>
      <c r="R180" s="7" t="n">
        <f aca="false">P180-Q180</f>
        <v>-637</v>
      </c>
      <c r="S180" s="7" t="n">
        <f aca="false">L180-P180</f>
        <v>32659</v>
      </c>
      <c r="T180" s="7" t="n">
        <f aca="false">M180-Q180</f>
        <v>27167</v>
      </c>
      <c r="U180" s="7" t="n">
        <f aca="false">T180-S180</f>
        <v>-5492</v>
      </c>
      <c r="V180" s="8" t="n">
        <f aca="false">IFERROR(U180/S180,0)</f>
        <v>-0.168161915551609</v>
      </c>
      <c r="W180" s="5" t="str">
        <f aca="false">IF(V180&lt;-0.1,"ADVERSE &gt;10%","")</f>
        <v>ADVERSE &gt;10%</v>
      </c>
    </row>
    <row r="181" customFormat="false" ht="15" hidden="false" customHeight="false" outlineLevel="0" collapsed="false">
      <c r="A181" s="5" t="str">
        <f aca="false">01_Data!A181</f>
        <v>Banking &amp; Financial Services</v>
      </c>
      <c r="B181" s="5" t="str">
        <f aca="false">01_Data!C181</f>
        <v>2026-03</v>
      </c>
      <c r="C181" s="5" t="str">
        <f aca="false">01_Data!D181</f>
        <v>FY25</v>
      </c>
      <c r="D181" s="7" t="n">
        <f aca="false">01_Data!E181</f>
        <v>205691</v>
      </c>
      <c r="E181" s="7" t="n">
        <f aca="false">01_Data!F181</f>
        <v>215842</v>
      </c>
      <c r="F181" s="7" t="n">
        <f aca="false">E181-D181</f>
        <v>10151</v>
      </c>
      <c r="G181" s="8" t="n">
        <f aca="false">IFERROR(F181/D181,0)</f>
        <v>0.0493507251168014</v>
      </c>
      <c r="H181" s="7" t="n">
        <f aca="false">01_Data!G181</f>
        <v>111861</v>
      </c>
      <c r="I181" s="7" t="n">
        <f aca="false">01_Data!H181</f>
        <v>123731</v>
      </c>
      <c r="J181" s="7" t="n">
        <f aca="false">H181-I181</f>
        <v>-11870</v>
      </c>
      <c r="K181" s="8" t="n">
        <f aca="false">IFERROR(J181/H181,0)</f>
        <v>-0.1061138377093</v>
      </c>
      <c r="L181" s="7" t="n">
        <f aca="false">D181-H181</f>
        <v>93830</v>
      </c>
      <c r="M181" s="7" t="n">
        <f aca="false">E181-I181</f>
        <v>92111</v>
      </c>
      <c r="N181" s="7" t="n">
        <f aca="false">IFERROR(L181/D181,0)</f>
        <v>0.456169691430349</v>
      </c>
      <c r="O181" s="7" t="n">
        <f aca="false">IFERROR(M181/E181,0)</f>
        <v>0.426751975982432</v>
      </c>
      <c r="P181" s="7" t="n">
        <f aca="false">01_Data!I181+01_Data!K181+01_Data!M181+01_Data!O181+01_Data!Q181+01_Data!S181+01_Data!U181</f>
        <v>56256</v>
      </c>
      <c r="Q181" s="7" t="n">
        <f aca="false">01_Data!J181+01_Data!L181+01_Data!N181+01_Data!P181+01_Data!R181+01_Data!T181+01_Data!V181</f>
        <v>59309</v>
      </c>
      <c r="R181" s="7" t="n">
        <f aca="false">P181-Q181</f>
        <v>-3053</v>
      </c>
      <c r="S181" s="7" t="n">
        <f aca="false">L181-P181</f>
        <v>37574</v>
      </c>
      <c r="T181" s="7" t="n">
        <f aca="false">M181-Q181</f>
        <v>32802</v>
      </c>
      <c r="U181" s="7" t="n">
        <f aca="false">T181-S181</f>
        <v>-4772</v>
      </c>
      <c r="V181" s="8" t="n">
        <f aca="false">IFERROR(U181/S181,0)</f>
        <v>-0.127002714643104</v>
      </c>
      <c r="W181" s="5" t="str">
        <f aca="false">IF(V181&lt;-0.1,"ADVERSE &gt;10%","")</f>
        <v>ADVERSE &gt;10%</v>
      </c>
    </row>
    <row r="182" customFormat="false" ht="15" hidden="false" customHeight="false" outlineLevel="0" collapsed="false">
      <c r="A182" s="5" t="str">
        <f aca="false">01_Data!A182</f>
        <v>Banking &amp; Financial Services</v>
      </c>
      <c r="B182" s="5" t="str">
        <f aca="false">01_Data!C182</f>
        <v>2023-04</v>
      </c>
      <c r="C182" s="5" t="str">
        <f aca="false">01_Data!D182</f>
        <v>FY23</v>
      </c>
      <c r="D182" s="7" t="n">
        <f aca="false">01_Data!E182</f>
        <v>99602</v>
      </c>
      <c r="E182" s="7" t="n">
        <f aca="false">01_Data!F182</f>
        <v>102563</v>
      </c>
      <c r="F182" s="7" t="n">
        <f aca="false">E182-D182</f>
        <v>2961</v>
      </c>
      <c r="G182" s="8" t="n">
        <f aca="false">IFERROR(F182/D182,0)</f>
        <v>0.0297283187084597</v>
      </c>
      <c r="H182" s="7" t="n">
        <f aca="false">01_Data!G182</f>
        <v>56286</v>
      </c>
      <c r="I182" s="7" t="n">
        <f aca="false">01_Data!H182</f>
        <v>57900</v>
      </c>
      <c r="J182" s="7" t="n">
        <f aca="false">H182-I182</f>
        <v>-1614</v>
      </c>
      <c r="K182" s="8" t="n">
        <f aca="false">IFERROR(J182/H182,0)</f>
        <v>-0.0286749813452724</v>
      </c>
      <c r="L182" s="7" t="n">
        <f aca="false">D182-H182</f>
        <v>43316</v>
      </c>
      <c r="M182" s="7" t="n">
        <f aca="false">E182-I182</f>
        <v>44663</v>
      </c>
      <c r="N182" s="7" t="n">
        <f aca="false">IFERROR(L182/D182,0)</f>
        <v>0.434890865645268</v>
      </c>
      <c r="O182" s="7" t="n">
        <f aca="false">IFERROR(M182/E182,0)</f>
        <v>0.435468931291011</v>
      </c>
      <c r="P182" s="7" t="n">
        <f aca="false">01_Data!I182+01_Data!K182+01_Data!M182+01_Data!O182+01_Data!Q182+01_Data!S182+01_Data!U182</f>
        <v>26173</v>
      </c>
      <c r="Q182" s="7" t="n">
        <f aca="false">01_Data!J182+01_Data!L182+01_Data!N182+01_Data!P182+01_Data!R182+01_Data!T182+01_Data!V182</f>
        <v>26981</v>
      </c>
      <c r="R182" s="7" t="n">
        <f aca="false">P182-Q182</f>
        <v>-808</v>
      </c>
      <c r="S182" s="7" t="n">
        <f aca="false">L182-P182</f>
        <v>17143</v>
      </c>
      <c r="T182" s="7" t="n">
        <f aca="false">M182-Q182</f>
        <v>17682</v>
      </c>
      <c r="U182" s="7" t="n">
        <f aca="false">T182-S182</f>
        <v>539</v>
      </c>
      <c r="V182" s="8" t="n">
        <f aca="false">IFERROR(U182/S182,0)</f>
        <v>0.0314414046549612</v>
      </c>
      <c r="W182" s="5" t="str">
        <f aca="false">IF(V182&lt;-0.1,"ADVERSE &gt;10%","")</f>
        <v/>
      </c>
    </row>
    <row r="183" customFormat="false" ht="15" hidden="false" customHeight="false" outlineLevel="0" collapsed="false">
      <c r="A183" s="5" t="str">
        <f aca="false">01_Data!A183</f>
        <v>Banking &amp; Financial Services</v>
      </c>
      <c r="B183" s="5" t="str">
        <f aca="false">01_Data!C183</f>
        <v>2023-05</v>
      </c>
      <c r="C183" s="5" t="str">
        <f aca="false">01_Data!D183</f>
        <v>FY23</v>
      </c>
      <c r="D183" s="7" t="n">
        <f aca="false">01_Data!E183</f>
        <v>97307</v>
      </c>
      <c r="E183" s="7" t="n">
        <f aca="false">01_Data!F183</f>
        <v>102244</v>
      </c>
      <c r="F183" s="7" t="n">
        <f aca="false">E183-D183</f>
        <v>4937</v>
      </c>
      <c r="G183" s="8" t="n">
        <f aca="false">IFERROR(F183/D183,0)</f>
        <v>0.0507363293493788</v>
      </c>
      <c r="H183" s="7" t="n">
        <f aca="false">01_Data!G183</f>
        <v>53293</v>
      </c>
      <c r="I183" s="7" t="n">
        <f aca="false">01_Data!H183</f>
        <v>55274</v>
      </c>
      <c r="J183" s="7" t="n">
        <f aca="false">H183-I183</f>
        <v>-1981</v>
      </c>
      <c r="K183" s="8" t="n">
        <f aca="false">IFERROR(J183/H183,0)</f>
        <v>-0.0371718612200477</v>
      </c>
      <c r="L183" s="7" t="n">
        <f aca="false">D183-H183</f>
        <v>44014</v>
      </c>
      <c r="M183" s="7" t="n">
        <f aca="false">E183-I183</f>
        <v>46970</v>
      </c>
      <c r="N183" s="7" t="n">
        <f aca="false">IFERROR(L183/D183,0)</f>
        <v>0.452321004655369</v>
      </c>
      <c r="O183" s="7" t="n">
        <f aca="false">IFERROR(M183/E183,0)</f>
        <v>0.459391260122843</v>
      </c>
      <c r="P183" s="7" t="n">
        <f aca="false">01_Data!I183+01_Data!K183+01_Data!M183+01_Data!O183+01_Data!Q183+01_Data!S183+01_Data!U183</f>
        <v>25716</v>
      </c>
      <c r="Q183" s="7" t="n">
        <f aca="false">01_Data!J183+01_Data!L183+01_Data!N183+01_Data!P183+01_Data!R183+01_Data!T183+01_Data!V183</f>
        <v>26708</v>
      </c>
      <c r="R183" s="7" t="n">
        <f aca="false">P183-Q183</f>
        <v>-992</v>
      </c>
      <c r="S183" s="7" t="n">
        <f aca="false">L183-P183</f>
        <v>18298</v>
      </c>
      <c r="T183" s="7" t="n">
        <f aca="false">M183-Q183</f>
        <v>20262</v>
      </c>
      <c r="U183" s="7" t="n">
        <f aca="false">T183-S183</f>
        <v>1964</v>
      </c>
      <c r="V183" s="8" t="n">
        <f aca="false">IFERROR(U183/S183,0)</f>
        <v>0.107334134878129</v>
      </c>
      <c r="W183" s="5" t="str">
        <f aca="false">IF(V183&lt;-0.1,"ADVERSE &gt;10%","")</f>
        <v/>
      </c>
    </row>
    <row r="184" customFormat="false" ht="15" hidden="false" customHeight="false" outlineLevel="0" collapsed="false">
      <c r="A184" s="5" t="str">
        <f aca="false">01_Data!A184</f>
        <v>Banking &amp; Financial Services</v>
      </c>
      <c r="B184" s="5" t="str">
        <f aca="false">01_Data!C184</f>
        <v>2023-06</v>
      </c>
      <c r="C184" s="5" t="str">
        <f aca="false">01_Data!D184</f>
        <v>FY23</v>
      </c>
      <c r="D184" s="7" t="n">
        <f aca="false">01_Data!E184</f>
        <v>107655</v>
      </c>
      <c r="E184" s="7" t="n">
        <f aca="false">01_Data!F184</f>
        <v>103121</v>
      </c>
      <c r="F184" s="7" t="n">
        <f aca="false">E184-D184</f>
        <v>-4534</v>
      </c>
      <c r="G184" s="8" t="n">
        <f aca="false">IFERROR(F184/D184,0)</f>
        <v>-0.0421160187636431</v>
      </c>
      <c r="H184" s="7" t="n">
        <f aca="false">01_Data!G184</f>
        <v>61903</v>
      </c>
      <c r="I184" s="7" t="n">
        <f aca="false">01_Data!H184</f>
        <v>62103</v>
      </c>
      <c r="J184" s="7" t="n">
        <f aca="false">H184-I184</f>
        <v>-200</v>
      </c>
      <c r="K184" s="8" t="n">
        <f aca="false">IFERROR(J184/H184,0)</f>
        <v>-0.00323086118604914</v>
      </c>
      <c r="L184" s="7" t="n">
        <f aca="false">D184-H184</f>
        <v>45752</v>
      </c>
      <c r="M184" s="7" t="n">
        <f aca="false">E184-I184</f>
        <v>41018</v>
      </c>
      <c r="N184" s="7" t="n">
        <f aca="false">IFERROR(L184/D184,0)</f>
        <v>0.424987227718174</v>
      </c>
      <c r="O184" s="7" t="n">
        <f aca="false">IFERROR(M184/E184,0)</f>
        <v>0.397765731519283</v>
      </c>
      <c r="P184" s="7" t="n">
        <f aca="false">01_Data!I184+01_Data!K184+01_Data!M184+01_Data!O184+01_Data!Q184+01_Data!S184+01_Data!U184</f>
        <v>26857</v>
      </c>
      <c r="Q184" s="7" t="n">
        <f aca="false">01_Data!J184+01_Data!L184+01_Data!N184+01_Data!P184+01_Data!R184+01_Data!T184+01_Data!V184</f>
        <v>28389</v>
      </c>
      <c r="R184" s="7" t="n">
        <f aca="false">P184-Q184</f>
        <v>-1532</v>
      </c>
      <c r="S184" s="7" t="n">
        <f aca="false">L184-P184</f>
        <v>18895</v>
      </c>
      <c r="T184" s="7" t="n">
        <f aca="false">M184-Q184</f>
        <v>12629</v>
      </c>
      <c r="U184" s="7" t="n">
        <f aca="false">T184-S184</f>
        <v>-6266</v>
      </c>
      <c r="V184" s="8" t="n">
        <f aca="false">IFERROR(U184/S184,0)</f>
        <v>-0.331622122254565</v>
      </c>
      <c r="W184" s="5" t="str">
        <f aca="false">IF(V184&lt;-0.1,"ADVERSE &gt;10%","")</f>
        <v>ADVERSE &gt;10%</v>
      </c>
    </row>
    <row r="185" customFormat="false" ht="15" hidden="false" customHeight="false" outlineLevel="0" collapsed="false">
      <c r="A185" s="5" t="str">
        <f aca="false">01_Data!A185</f>
        <v>Banking &amp; Financial Services</v>
      </c>
      <c r="B185" s="5" t="str">
        <f aca="false">01_Data!C185</f>
        <v>2023-07</v>
      </c>
      <c r="C185" s="5" t="str">
        <f aca="false">01_Data!D185</f>
        <v>FY23</v>
      </c>
      <c r="D185" s="7" t="n">
        <f aca="false">01_Data!E185</f>
        <v>106039</v>
      </c>
      <c r="E185" s="7" t="n">
        <f aca="false">01_Data!F185</f>
        <v>103364</v>
      </c>
      <c r="F185" s="7" t="n">
        <f aca="false">E185-D185</f>
        <v>-2675</v>
      </c>
      <c r="G185" s="8" t="n">
        <f aca="false">IFERROR(F185/D185,0)</f>
        <v>-0.0252265675836249</v>
      </c>
      <c r="H185" s="7" t="n">
        <f aca="false">01_Data!G185</f>
        <v>62217</v>
      </c>
      <c r="I185" s="7" t="n">
        <f aca="false">01_Data!H185</f>
        <v>61100</v>
      </c>
      <c r="J185" s="7" t="n">
        <f aca="false">H185-I185</f>
        <v>1117</v>
      </c>
      <c r="K185" s="8" t="n">
        <f aca="false">IFERROR(J185/H185,0)</f>
        <v>0.0179532925084784</v>
      </c>
      <c r="L185" s="7" t="n">
        <f aca="false">D185-H185</f>
        <v>43822</v>
      </c>
      <c r="M185" s="7" t="n">
        <f aca="false">E185-I185</f>
        <v>42264</v>
      </c>
      <c r="N185" s="7" t="n">
        <f aca="false">IFERROR(L185/D185,0)</f>
        <v>0.413263044728826</v>
      </c>
      <c r="O185" s="7" t="n">
        <f aca="false">IFERROR(M185/E185,0)</f>
        <v>0.408885105065593</v>
      </c>
      <c r="P185" s="7" t="n">
        <f aca="false">01_Data!I185+01_Data!K185+01_Data!M185+01_Data!O185+01_Data!Q185+01_Data!S185+01_Data!U185</f>
        <v>28294</v>
      </c>
      <c r="Q185" s="7" t="n">
        <f aca="false">01_Data!J185+01_Data!L185+01_Data!N185+01_Data!P185+01_Data!R185+01_Data!T185+01_Data!V185</f>
        <v>28106</v>
      </c>
      <c r="R185" s="7" t="n">
        <f aca="false">P185-Q185</f>
        <v>188</v>
      </c>
      <c r="S185" s="7" t="n">
        <f aca="false">L185-P185</f>
        <v>15528</v>
      </c>
      <c r="T185" s="7" t="n">
        <f aca="false">M185-Q185</f>
        <v>14158</v>
      </c>
      <c r="U185" s="7" t="n">
        <f aca="false">T185-S185</f>
        <v>-1370</v>
      </c>
      <c r="V185" s="8" t="n">
        <f aca="false">IFERROR(U185/S185,0)</f>
        <v>-0.0882277176713035</v>
      </c>
      <c r="W185" s="5" t="str">
        <f aca="false">IF(V185&lt;-0.1,"ADVERSE &gt;10%","")</f>
        <v/>
      </c>
    </row>
    <row r="186" customFormat="false" ht="15" hidden="false" customHeight="false" outlineLevel="0" collapsed="false">
      <c r="A186" s="5" t="str">
        <f aca="false">01_Data!A186</f>
        <v>Banking &amp; Financial Services</v>
      </c>
      <c r="B186" s="5" t="str">
        <f aca="false">01_Data!C186</f>
        <v>2023-08</v>
      </c>
      <c r="C186" s="5" t="str">
        <f aca="false">01_Data!D186</f>
        <v>FY23</v>
      </c>
      <c r="D186" s="7" t="n">
        <f aca="false">01_Data!E186</f>
        <v>104827</v>
      </c>
      <c r="E186" s="7" t="n">
        <f aca="false">01_Data!F186</f>
        <v>106316</v>
      </c>
      <c r="F186" s="7" t="n">
        <f aca="false">E186-D186</f>
        <v>1489</v>
      </c>
      <c r="G186" s="8" t="n">
        <f aca="false">IFERROR(F186/D186,0)</f>
        <v>0.014204355748042</v>
      </c>
      <c r="H186" s="7" t="n">
        <f aca="false">01_Data!G186</f>
        <v>56844</v>
      </c>
      <c r="I186" s="7" t="n">
        <f aca="false">01_Data!H186</f>
        <v>56585</v>
      </c>
      <c r="J186" s="7" t="n">
        <f aca="false">H186-I186</f>
        <v>259</v>
      </c>
      <c r="K186" s="8" t="n">
        <f aca="false">IFERROR(J186/H186,0)</f>
        <v>0.00455632960382802</v>
      </c>
      <c r="L186" s="7" t="n">
        <f aca="false">D186-H186</f>
        <v>47983</v>
      </c>
      <c r="M186" s="7" t="n">
        <f aca="false">E186-I186</f>
        <v>49731</v>
      </c>
      <c r="N186" s="7" t="n">
        <f aca="false">IFERROR(L186/D186,0)</f>
        <v>0.457735125492478</v>
      </c>
      <c r="O186" s="7" t="n">
        <f aca="false">IFERROR(M186/E186,0)</f>
        <v>0.467765905414049</v>
      </c>
      <c r="P186" s="7" t="n">
        <f aca="false">01_Data!I186+01_Data!K186+01_Data!M186+01_Data!O186+01_Data!Q186+01_Data!S186+01_Data!U186</f>
        <v>27238</v>
      </c>
      <c r="Q186" s="7" t="n">
        <f aca="false">01_Data!J186+01_Data!L186+01_Data!N186+01_Data!P186+01_Data!R186+01_Data!T186+01_Data!V186</f>
        <v>27030</v>
      </c>
      <c r="R186" s="7" t="n">
        <f aca="false">P186-Q186</f>
        <v>208</v>
      </c>
      <c r="S186" s="7" t="n">
        <f aca="false">L186-P186</f>
        <v>20745</v>
      </c>
      <c r="T186" s="7" t="n">
        <f aca="false">M186-Q186</f>
        <v>22701</v>
      </c>
      <c r="U186" s="7" t="n">
        <f aca="false">T186-S186</f>
        <v>1956</v>
      </c>
      <c r="V186" s="8" t="n">
        <f aca="false">IFERROR(U186/S186,0)</f>
        <v>0.0942877801879971</v>
      </c>
      <c r="W186" s="5" t="str">
        <f aca="false">IF(V186&lt;-0.1,"ADVERSE &gt;10%","")</f>
        <v/>
      </c>
    </row>
    <row r="187" customFormat="false" ht="15" hidden="false" customHeight="false" outlineLevel="0" collapsed="false">
      <c r="A187" s="5" t="str">
        <f aca="false">01_Data!A187</f>
        <v>Banking &amp; Financial Services</v>
      </c>
      <c r="B187" s="5" t="str">
        <f aca="false">01_Data!C187</f>
        <v>2023-09</v>
      </c>
      <c r="C187" s="5" t="str">
        <f aca="false">01_Data!D187</f>
        <v>FY23</v>
      </c>
      <c r="D187" s="7" t="n">
        <f aca="false">01_Data!E187</f>
        <v>114938</v>
      </c>
      <c r="E187" s="7" t="n">
        <f aca="false">01_Data!F187</f>
        <v>117790</v>
      </c>
      <c r="F187" s="7" t="n">
        <f aca="false">E187-D187</f>
        <v>2852</v>
      </c>
      <c r="G187" s="8" t="n">
        <f aca="false">IFERROR(F187/D187,0)</f>
        <v>0.0248133776470793</v>
      </c>
      <c r="H187" s="7" t="n">
        <f aca="false">01_Data!G187</f>
        <v>64072</v>
      </c>
      <c r="I187" s="7" t="n">
        <f aca="false">01_Data!H187</f>
        <v>67593</v>
      </c>
      <c r="J187" s="7" t="n">
        <f aca="false">H187-I187</f>
        <v>-3521</v>
      </c>
      <c r="K187" s="8" t="n">
        <f aca="false">IFERROR(J187/H187,0)</f>
        <v>-0.0549538019727806</v>
      </c>
      <c r="L187" s="7" t="n">
        <f aca="false">D187-H187</f>
        <v>50866</v>
      </c>
      <c r="M187" s="7" t="n">
        <f aca="false">E187-I187</f>
        <v>50197</v>
      </c>
      <c r="N187" s="7" t="n">
        <f aca="false">IFERROR(L187/D187,0)</f>
        <v>0.442551636534479</v>
      </c>
      <c r="O187" s="7" t="n">
        <f aca="false">IFERROR(M187/E187,0)</f>
        <v>0.426156719585703</v>
      </c>
      <c r="P187" s="7" t="n">
        <f aca="false">01_Data!I187+01_Data!K187+01_Data!M187+01_Data!O187+01_Data!Q187+01_Data!S187+01_Data!U187</f>
        <v>32009</v>
      </c>
      <c r="Q187" s="7" t="n">
        <f aca="false">01_Data!J187+01_Data!L187+01_Data!N187+01_Data!P187+01_Data!R187+01_Data!T187+01_Data!V187</f>
        <v>32858</v>
      </c>
      <c r="R187" s="7" t="n">
        <f aca="false">P187-Q187</f>
        <v>-849</v>
      </c>
      <c r="S187" s="7" t="n">
        <f aca="false">L187-P187</f>
        <v>18857</v>
      </c>
      <c r="T187" s="7" t="n">
        <f aca="false">M187-Q187</f>
        <v>17339</v>
      </c>
      <c r="U187" s="7" t="n">
        <f aca="false">T187-S187</f>
        <v>-1518</v>
      </c>
      <c r="V187" s="8" t="n">
        <f aca="false">IFERROR(U187/S187,0)</f>
        <v>-0.080500609853105</v>
      </c>
      <c r="W187" s="5" t="str">
        <f aca="false">IF(V187&lt;-0.1,"ADVERSE &gt;10%","")</f>
        <v/>
      </c>
    </row>
    <row r="188" customFormat="false" ht="15" hidden="false" customHeight="false" outlineLevel="0" collapsed="false">
      <c r="A188" s="5" t="str">
        <f aca="false">01_Data!A188</f>
        <v>Banking &amp; Financial Services</v>
      </c>
      <c r="B188" s="5" t="str">
        <f aca="false">01_Data!C188</f>
        <v>2023-10</v>
      </c>
      <c r="C188" s="5" t="str">
        <f aca="false">01_Data!D188</f>
        <v>FY23</v>
      </c>
      <c r="D188" s="7" t="n">
        <f aca="false">01_Data!E188</f>
        <v>112029</v>
      </c>
      <c r="E188" s="7" t="n">
        <f aca="false">01_Data!F188</f>
        <v>110836</v>
      </c>
      <c r="F188" s="7" t="n">
        <f aca="false">E188-D188</f>
        <v>-1193</v>
      </c>
      <c r="G188" s="8" t="n">
        <f aca="false">IFERROR(F188/D188,0)</f>
        <v>-0.0106490283765811</v>
      </c>
      <c r="H188" s="7" t="n">
        <f aca="false">01_Data!G188</f>
        <v>61632</v>
      </c>
      <c r="I188" s="7" t="n">
        <f aca="false">01_Data!H188</f>
        <v>60790</v>
      </c>
      <c r="J188" s="7" t="n">
        <f aca="false">H188-I188</f>
        <v>842</v>
      </c>
      <c r="K188" s="8" t="n">
        <f aca="false">IFERROR(J188/H188,0)</f>
        <v>0.0136617341640706</v>
      </c>
      <c r="L188" s="7" t="n">
        <f aca="false">D188-H188</f>
        <v>50397</v>
      </c>
      <c r="M188" s="7" t="n">
        <f aca="false">E188-I188</f>
        <v>50046</v>
      </c>
      <c r="N188" s="7" t="n">
        <f aca="false">IFERROR(L188/D188,0)</f>
        <v>0.449856733524355</v>
      </c>
      <c r="O188" s="7" t="n">
        <f aca="false">IFERROR(M188/E188,0)</f>
        <v>0.451531993215201</v>
      </c>
      <c r="P188" s="7" t="n">
        <f aca="false">01_Data!I188+01_Data!K188+01_Data!M188+01_Data!O188+01_Data!Q188+01_Data!S188+01_Data!U188</f>
        <v>31764</v>
      </c>
      <c r="Q188" s="7" t="n">
        <f aca="false">01_Data!J188+01_Data!L188+01_Data!N188+01_Data!P188+01_Data!R188+01_Data!T188+01_Data!V188</f>
        <v>30893</v>
      </c>
      <c r="R188" s="7" t="n">
        <f aca="false">P188-Q188</f>
        <v>871</v>
      </c>
      <c r="S188" s="7" t="n">
        <f aca="false">L188-P188</f>
        <v>18633</v>
      </c>
      <c r="T188" s="7" t="n">
        <f aca="false">M188-Q188</f>
        <v>19153</v>
      </c>
      <c r="U188" s="7" t="n">
        <f aca="false">T188-S188</f>
        <v>520</v>
      </c>
      <c r="V188" s="8" t="n">
        <f aca="false">IFERROR(U188/S188,0)</f>
        <v>0.0279074759834702</v>
      </c>
      <c r="W188" s="5" t="str">
        <f aca="false">IF(V188&lt;-0.1,"ADVERSE &gt;10%","")</f>
        <v/>
      </c>
    </row>
    <row r="189" customFormat="false" ht="15" hidden="false" customHeight="false" outlineLevel="0" collapsed="false">
      <c r="A189" s="5" t="str">
        <f aca="false">01_Data!A189</f>
        <v>Banking &amp; Financial Services</v>
      </c>
      <c r="B189" s="5" t="str">
        <f aca="false">01_Data!C189</f>
        <v>2023-11</v>
      </c>
      <c r="C189" s="5" t="str">
        <f aca="false">01_Data!D189</f>
        <v>FY23</v>
      </c>
      <c r="D189" s="7" t="n">
        <f aca="false">01_Data!E189</f>
        <v>107151</v>
      </c>
      <c r="E189" s="7" t="n">
        <f aca="false">01_Data!F189</f>
        <v>111805</v>
      </c>
      <c r="F189" s="7" t="n">
        <f aca="false">E189-D189</f>
        <v>4654</v>
      </c>
      <c r="G189" s="8" t="n">
        <f aca="false">IFERROR(F189/D189,0)</f>
        <v>0.043434032346875</v>
      </c>
      <c r="H189" s="7" t="n">
        <f aca="false">01_Data!G189</f>
        <v>62331</v>
      </c>
      <c r="I189" s="7" t="n">
        <f aca="false">01_Data!H189</f>
        <v>66326</v>
      </c>
      <c r="J189" s="7" t="n">
        <f aca="false">H189-I189</f>
        <v>-3995</v>
      </c>
      <c r="K189" s="8" t="n">
        <f aca="false">IFERROR(J189/H189,0)</f>
        <v>-0.0640933083056585</v>
      </c>
      <c r="L189" s="7" t="n">
        <f aca="false">D189-H189</f>
        <v>44820</v>
      </c>
      <c r="M189" s="7" t="n">
        <f aca="false">E189-I189</f>
        <v>45479</v>
      </c>
      <c r="N189" s="7" t="n">
        <f aca="false">IFERROR(L189/D189,0)</f>
        <v>0.418288210096033</v>
      </c>
      <c r="O189" s="7" t="n">
        <f aca="false">IFERROR(M189/E189,0)</f>
        <v>0.406770716873127</v>
      </c>
      <c r="P189" s="7" t="n">
        <f aca="false">01_Data!I189+01_Data!K189+01_Data!M189+01_Data!O189+01_Data!Q189+01_Data!S189+01_Data!U189</f>
        <v>28281</v>
      </c>
      <c r="Q189" s="7" t="n">
        <f aca="false">01_Data!J189+01_Data!L189+01_Data!N189+01_Data!P189+01_Data!R189+01_Data!T189+01_Data!V189</f>
        <v>28186</v>
      </c>
      <c r="R189" s="7" t="n">
        <f aca="false">P189-Q189</f>
        <v>95</v>
      </c>
      <c r="S189" s="7" t="n">
        <f aca="false">L189-P189</f>
        <v>16539</v>
      </c>
      <c r="T189" s="7" t="n">
        <f aca="false">M189-Q189</f>
        <v>17293</v>
      </c>
      <c r="U189" s="7" t="n">
        <f aca="false">T189-S189</f>
        <v>754</v>
      </c>
      <c r="V189" s="8" t="n">
        <f aca="false">IFERROR(U189/S189,0)</f>
        <v>0.0455892133744483</v>
      </c>
      <c r="W189" s="5" t="str">
        <f aca="false">IF(V189&lt;-0.1,"ADVERSE &gt;10%","")</f>
        <v/>
      </c>
    </row>
    <row r="190" customFormat="false" ht="15" hidden="false" customHeight="false" outlineLevel="0" collapsed="false">
      <c r="A190" s="5" t="str">
        <f aca="false">01_Data!A190</f>
        <v>Banking &amp; Financial Services</v>
      </c>
      <c r="B190" s="5" t="str">
        <f aca="false">01_Data!C190</f>
        <v>2023-12</v>
      </c>
      <c r="C190" s="5" t="str">
        <f aca="false">01_Data!D190</f>
        <v>FY23</v>
      </c>
      <c r="D190" s="7" t="n">
        <f aca="false">01_Data!E190</f>
        <v>121463</v>
      </c>
      <c r="E190" s="7" t="n">
        <f aca="false">01_Data!F190</f>
        <v>121127</v>
      </c>
      <c r="F190" s="7" t="n">
        <f aca="false">E190-D190</f>
        <v>-336</v>
      </c>
      <c r="G190" s="8" t="n">
        <f aca="false">IFERROR(F190/D190,0)</f>
        <v>-0.0027662745033467</v>
      </c>
      <c r="H190" s="7" t="n">
        <f aca="false">01_Data!G190</f>
        <v>67060</v>
      </c>
      <c r="I190" s="7" t="n">
        <f aca="false">01_Data!H190</f>
        <v>68712</v>
      </c>
      <c r="J190" s="7" t="n">
        <f aca="false">H190-I190</f>
        <v>-1652</v>
      </c>
      <c r="K190" s="8" t="n">
        <f aca="false">IFERROR(J190/H190,0)</f>
        <v>-0.0246346555323591</v>
      </c>
      <c r="L190" s="7" t="n">
        <f aca="false">D190-H190</f>
        <v>54403</v>
      </c>
      <c r="M190" s="7" t="n">
        <f aca="false">E190-I190</f>
        <v>52415</v>
      </c>
      <c r="N190" s="7" t="n">
        <f aca="false">IFERROR(L190/D190,0)</f>
        <v>0.447897713707055</v>
      </c>
      <c r="O190" s="7" t="n">
        <f aca="false">IFERROR(M190/E190,0)</f>
        <v>0.43272763298026</v>
      </c>
      <c r="P190" s="7" t="n">
        <f aca="false">01_Data!I190+01_Data!K190+01_Data!M190+01_Data!O190+01_Data!Q190+01_Data!S190+01_Data!U190</f>
        <v>31464</v>
      </c>
      <c r="Q190" s="7" t="n">
        <f aca="false">01_Data!J190+01_Data!L190+01_Data!N190+01_Data!P190+01_Data!R190+01_Data!T190+01_Data!V190</f>
        <v>30683</v>
      </c>
      <c r="R190" s="7" t="n">
        <f aca="false">P190-Q190</f>
        <v>781</v>
      </c>
      <c r="S190" s="7" t="n">
        <f aca="false">L190-P190</f>
        <v>22939</v>
      </c>
      <c r="T190" s="7" t="n">
        <f aca="false">M190-Q190</f>
        <v>21732</v>
      </c>
      <c r="U190" s="7" t="n">
        <f aca="false">T190-S190</f>
        <v>-1207</v>
      </c>
      <c r="V190" s="8" t="n">
        <f aca="false">IFERROR(U190/S190,0)</f>
        <v>-0.0526178124591307</v>
      </c>
      <c r="W190" s="5" t="str">
        <f aca="false">IF(V190&lt;-0.1,"ADVERSE &gt;10%","")</f>
        <v/>
      </c>
    </row>
    <row r="191" customFormat="false" ht="15" hidden="false" customHeight="false" outlineLevel="0" collapsed="false">
      <c r="A191" s="5" t="str">
        <f aca="false">01_Data!A191</f>
        <v>Banking &amp; Financial Services</v>
      </c>
      <c r="B191" s="5" t="str">
        <f aca="false">01_Data!C191</f>
        <v>2024-01</v>
      </c>
      <c r="C191" s="5" t="str">
        <f aca="false">01_Data!D191</f>
        <v>FY23</v>
      </c>
      <c r="D191" s="7" t="n">
        <f aca="false">01_Data!E191</f>
        <v>108478</v>
      </c>
      <c r="E191" s="7" t="n">
        <f aca="false">01_Data!F191</f>
        <v>113929</v>
      </c>
      <c r="F191" s="7" t="n">
        <f aca="false">E191-D191</f>
        <v>5451</v>
      </c>
      <c r="G191" s="8" t="n">
        <f aca="false">IFERROR(F191/D191,0)</f>
        <v>0.0502498202400487</v>
      </c>
      <c r="H191" s="7" t="n">
        <f aca="false">01_Data!G191</f>
        <v>60244</v>
      </c>
      <c r="I191" s="7" t="n">
        <f aca="false">01_Data!H191</f>
        <v>62309</v>
      </c>
      <c r="J191" s="7" t="n">
        <f aca="false">H191-I191</f>
        <v>-2065</v>
      </c>
      <c r="K191" s="8" t="n">
        <f aca="false">IFERROR(J191/H191,0)</f>
        <v>-0.0342772724254698</v>
      </c>
      <c r="L191" s="7" t="n">
        <f aca="false">D191-H191</f>
        <v>48234</v>
      </c>
      <c r="M191" s="7" t="n">
        <f aca="false">E191-I191</f>
        <v>51620</v>
      </c>
      <c r="N191" s="7" t="n">
        <f aca="false">IFERROR(L191/D191,0)</f>
        <v>0.444643153450469</v>
      </c>
      <c r="O191" s="7" t="n">
        <f aca="false">IFERROR(M191/E191,0)</f>
        <v>0.453089204680108</v>
      </c>
      <c r="P191" s="7" t="n">
        <f aca="false">01_Data!I191+01_Data!K191+01_Data!M191+01_Data!O191+01_Data!Q191+01_Data!S191+01_Data!U191</f>
        <v>29102</v>
      </c>
      <c r="Q191" s="7" t="n">
        <f aca="false">01_Data!J191+01_Data!L191+01_Data!N191+01_Data!P191+01_Data!R191+01_Data!T191+01_Data!V191</f>
        <v>29031</v>
      </c>
      <c r="R191" s="7" t="n">
        <f aca="false">P191-Q191</f>
        <v>71</v>
      </c>
      <c r="S191" s="7" t="n">
        <f aca="false">L191-P191</f>
        <v>19132</v>
      </c>
      <c r="T191" s="7" t="n">
        <f aca="false">M191-Q191</f>
        <v>22589</v>
      </c>
      <c r="U191" s="7" t="n">
        <f aca="false">T191-S191</f>
        <v>3457</v>
      </c>
      <c r="V191" s="8" t="n">
        <f aca="false">IFERROR(U191/S191,0)</f>
        <v>0.180692034288104</v>
      </c>
      <c r="W191" s="5" t="str">
        <f aca="false">IF(V191&lt;-0.1,"ADVERSE &gt;10%","")</f>
        <v/>
      </c>
    </row>
    <row r="192" customFormat="false" ht="15" hidden="false" customHeight="false" outlineLevel="0" collapsed="false">
      <c r="A192" s="5" t="str">
        <f aca="false">01_Data!A192</f>
        <v>Banking &amp; Financial Services</v>
      </c>
      <c r="B192" s="5" t="str">
        <f aca="false">01_Data!C192</f>
        <v>2024-02</v>
      </c>
      <c r="C192" s="5" t="str">
        <f aca="false">01_Data!D192</f>
        <v>FY23</v>
      </c>
      <c r="D192" s="7" t="n">
        <f aca="false">01_Data!E192</f>
        <v>111216</v>
      </c>
      <c r="E192" s="7" t="n">
        <f aca="false">01_Data!F192</f>
        <v>115794</v>
      </c>
      <c r="F192" s="7" t="n">
        <f aca="false">E192-D192</f>
        <v>4578</v>
      </c>
      <c r="G192" s="8" t="n">
        <f aca="false">IFERROR(F192/D192,0)</f>
        <v>0.0411631419939577</v>
      </c>
      <c r="H192" s="7" t="n">
        <f aca="false">01_Data!G192</f>
        <v>62442</v>
      </c>
      <c r="I192" s="7" t="n">
        <f aca="false">01_Data!H192</f>
        <v>65231</v>
      </c>
      <c r="J192" s="7" t="n">
        <f aca="false">H192-I192</f>
        <v>-2789</v>
      </c>
      <c r="K192" s="8" t="n">
        <f aca="false">IFERROR(J192/H192,0)</f>
        <v>-0.0446654495371705</v>
      </c>
      <c r="L192" s="7" t="n">
        <f aca="false">D192-H192</f>
        <v>48774</v>
      </c>
      <c r="M192" s="7" t="n">
        <f aca="false">E192-I192</f>
        <v>50563</v>
      </c>
      <c r="N192" s="7" t="n">
        <f aca="false">IFERROR(L192/D192,0)</f>
        <v>0.438552006905481</v>
      </c>
      <c r="O192" s="7" t="n">
        <f aca="false">IFERROR(M192/E192,0)</f>
        <v>0.436663384976769</v>
      </c>
      <c r="P192" s="7" t="n">
        <f aca="false">01_Data!I192+01_Data!K192+01_Data!M192+01_Data!O192+01_Data!Q192+01_Data!S192+01_Data!U192</f>
        <v>30118</v>
      </c>
      <c r="Q192" s="7" t="n">
        <f aca="false">01_Data!J192+01_Data!L192+01_Data!N192+01_Data!P192+01_Data!R192+01_Data!T192+01_Data!V192</f>
        <v>31638</v>
      </c>
      <c r="R192" s="7" t="n">
        <f aca="false">P192-Q192</f>
        <v>-1520</v>
      </c>
      <c r="S192" s="7" t="n">
        <f aca="false">L192-P192</f>
        <v>18656</v>
      </c>
      <c r="T192" s="7" t="n">
        <f aca="false">M192-Q192</f>
        <v>18925</v>
      </c>
      <c r="U192" s="7" t="n">
        <f aca="false">T192-S192</f>
        <v>269</v>
      </c>
      <c r="V192" s="8" t="n">
        <f aca="false">IFERROR(U192/S192,0)</f>
        <v>0.0144189536878216</v>
      </c>
      <c r="W192" s="5" t="str">
        <f aca="false">IF(V192&lt;-0.1,"ADVERSE &gt;10%","")</f>
        <v/>
      </c>
    </row>
    <row r="193" customFormat="false" ht="15" hidden="false" customHeight="false" outlineLevel="0" collapsed="false">
      <c r="A193" s="5" t="str">
        <f aca="false">01_Data!A193</f>
        <v>Banking &amp; Financial Services</v>
      </c>
      <c r="B193" s="5" t="str">
        <f aca="false">01_Data!C193</f>
        <v>2024-03</v>
      </c>
      <c r="C193" s="5" t="str">
        <f aca="false">01_Data!D193</f>
        <v>FY23</v>
      </c>
      <c r="D193" s="7" t="n">
        <f aca="false">01_Data!E193</f>
        <v>120884</v>
      </c>
      <c r="E193" s="7" t="n">
        <f aca="false">01_Data!F193</f>
        <v>127644</v>
      </c>
      <c r="F193" s="7" t="n">
        <f aca="false">E193-D193</f>
        <v>6760</v>
      </c>
      <c r="G193" s="8" t="n">
        <f aca="false">IFERROR(F193/D193,0)</f>
        <v>0.0559213791734225</v>
      </c>
      <c r="H193" s="7" t="n">
        <f aca="false">01_Data!G193</f>
        <v>72113</v>
      </c>
      <c r="I193" s="7" t="n">
        <f aca="false">01_Data!H193</f>
        <v>74610</v>
      </c>
      <c r="J193" s="7" t="n">
        <f aca="false">H193-I193</f>
        <v>-2497</v>
      </c>
      <c r="K193" s="8" t="n">
        <f aca="false">IFERROR(J193/H193,0)</f>
        <v>-0.0346262116400649</v>
      </c>
      <c r="L193" s="7" t="n">
        <f aca="false">D193-H193</f>
        <v>48771</v>
      </c>
      <c r="M193" s="7" t="n">
        <f aca="false">E193-I193</f>
        <v>53034</v>
      </c>
      <c r="N193" s="7" t="n">
        <f aca="false">IFERROR(L193/D193,0)</f>
        <v>0.403452896992158</v>
      </c>
      <c r="O193" s="7" t="n">
        <f aca="false">IFERROR(M193/E193,0)</f>
        <v>0.415483689010059</v>
      </c>
      <c r="P193" s="7" t="n">
        <f aca="false">01_Data!I193+01_Data!K193+01_Data!M193+01_Data!O193+01_Data!Q193+01_Data!S193+01_Data!U193</f>
        <v>33107</v>
      </c>
      <c r="Q193" s="7" t="n">
        <f aca="false">01_Data!J193+01_Data!L193+01_Data!N193+01_Data!P193+01_Data!R193+01_Data!T193+01_Data!V193</f>
        <v>33569</v>
      </c>
      <c r="R193" s="7" t="n">
        <f aca="false">P193-Q193</f>
        <v>-462</v>
      </c>
      <c r="S193" s="7" t="n">
        <f aca="false">L193-P193</f>
        <v>15664</v>
      </c>
      <c r="T193" s="7" t="n">
        <f aca="false">M193-Q193</f>
        <v>19465</v>
      </c>
      <c r="U193" s="7" t="n">
        <f aca="false">T193-S193</f>
        <v>3801</v>
      </c>
      <c r="V193" s="8" t="n">
        <f aca="false">IFERROR(U193/S193,0)</f>
        <v>0.242658324821246</v>
      </c>
      <c r="W193" s="5" t="str">
        <f aca="false">IF(V193&lt;-0.1,"ADVERSE &gt;10%","")</f>
        <v/>
      </c>
    </row>
    <row r="194" customFormat="false" ht="15" hidden="false" customHeight="false" outlineLevel="0" collapsed="false">
      <c r="A194" s="5" t="str">
        <f aca="false">01_Data!A194</f>
        <v>Banking &amp; Financial Services</v>
      </c>
      <c r="B194" s="5" t="str">
        <f aca="false">01_Data!C194</f>
        <v>2024-04</v>
      </c>
      <c r="C194" s="5" t="str">
        <f aca="false">01_Data!D194</f>
        <v>FY24</v>
      </c>
      <c r="D194" s="7" t="n">
        <f aca="false">01_Data!E194</f>
        <v>112112</v>
      </c>
      <c r="E194" s="7" t="n">
        <f aca="false">01_Data!F194</f>
        <v>118572</v>
      </c>
      <c r="F194" s="7" t="n">
        <f aca="false">E194-D194</f>
        <v>6460</v>
      </c>
      <c r="G194" s="8" t="n">
        <f aca="false">IFERROR(F194/D194,0)</f>
        <v>0.0576209504780933</v>
      </c>
      <c r="H194" s="7" t="n">
        <f aca="false">01_Data!G194</f>
        <v>62300</v>
      </c>
      <c r="I194" s="7" t="n">
        <f aca="false">01_Data!H194</f>
        <v>65382</v>
      </c>
      <c r="J194" s="7" t="n">
        <f aca="false">H194-I194</f>
        <v>-3082</v>
      </c>
      <c r="K194" s="8" t="n">
        <f aca="false">IFERROR(J194/H194,0)</f>
        <v>-0.049470304975923</v>
      </c>
      <c r="L194" s="7" t="n">
        <f aca="false">D194-H194</f>
        <v>49812</v>
      </c>
      <c r="M194" s="7" t="n">
        <f aca="false">E194-I194</f>
        <v>53190</v>
      </c>
      <c r="N194" s="7" t="n">
        <f aca="false">IFERROR(L194/D194,0)</f>
        <v>0.444305694305694</v>
      </c>
      <c r="O194" s="7" t="n">
        <f aca="false">IFERROR(M194/E194,0)</f>
        <v>0.448588199574942</v>
      </c>
      <c r="P194" s="7" t="n">
        <f aca="false">01_Data!I194+01_Data!K194+01_Data!M194+01_Data!O194+01_Data!Q194+01_Data!S194+01_Data!U194</f>
        <v>30780</v>
      </c>
      <c r="Q194" s="7" t="n">
        <f aca="false">01_Data!J194+01_Data!L194+01_Data!N194+01_Data!P194+01_Data!R194+01_Data!T194+01_Data!V194</f>
        <v>32158</v>
      </c>
      <c r="R194" s="7" t="n">
        <f aca="false">P194-Q194</f>
        <v>-1378</v>
      </c>
      <c r="S194" s="7" t="n">
        <f aca="false">L194-P194</f>
        <v>19032</v>
      </c>
      <c r="T194" s="7" t="n">
        <f aca="false">M194-Q194</f>
        <v>21032</v>
      </c>
      <c r="U194" s="7" t="n">
        <f aca="false">T194-S194</f>
        <v>2000</v>
      </c>
      <c r="V194" s="8" t="n">
        <f aca="false">IFERROR(U194/S194,0)</f>
        <v>0.105086170659941</v>
      </c>
      <c r="W194" s="5" t="str">
        <f aca="false">IF(V194&lt;-0.1,"ADVERSE &gt;10%","")</f>
        <v/>
      </c>
    </row>
    <row r="195" customFormat="false" ht="15" hidden="false" customHeight="false" outlineLevel="0" collapsed="false">
      <c r="A195" s="5" t="str">
        <f aca="false">01_Data!A195</f>
        <v>Banking &amp; Financial Services</v>
      </c>
      <c r="B195" s="5" t="str">
        <f aca="false">01_Data!C195</f>
        <v>2024-05</v>
      </c>
      <c r="C195" s="5" t="str">
        <f aca="false">01_Data!D195</f>
        <v>FY24</v>
      </c>
      <c r="D195" s="7" t="n">
        <f aca="false">01_Data!E195</f>
        <v>118909</v>
      </c>
      <c r="E195" s="7" t="n">
        <f aca="false">01_Data!F195</f>
        <v>120575</v>
      </c>
      <c r="F195" s="7" t="n">
        <f aca="false">E195-D195</f>
        <v>1666</v>
      </c>
      <c r="G195" s="8" t="n">
        <f aca="false">IFERROR(F195/D195,0)</f>
        <v>0.0140107140754695</v>
      </c>
      <c r="H195" s="7" t="n">
        <f aca="false">01_Data!G195</f>
        <v>70197</v>
      </c>
      <c r="I195" s="7" t="n">
        <f aca="false">01_Data!H195</f>
        <v>72135</v>
      </c>
      <c r="J195" s="7" t="n">
        <f aca="false">H195-I195</f>
        <v>-1938</v>
      </c>
      <c r="K195" s="8" t="n">
        <f aca="false">IFERROR(J195/H195,0)</f>
        <v>-0.0276080174366426</v>
      </c>
      <c r="L195" s="7" t="n">
        <f aca="false">D195-H195</f>
        <v>48712</v>
      </c>
      <c r="M195" s="7" t="n">
        <f aca="false">E195-I195</f>
        <v>48440</v>
      </c>
      <c r="N195" s="7" t="n">
        <f aca="false">IFERROR(L195/D195,0)</f>
        <v>0.409657805548781</v>
      </c>
      <c r="O195" s="7" t="n">
        <f aca="false">IFERROR(M195/E195,0)</f>
        <v>0.401741654571843</v>
      </c>
      <c r="P195" s="7" t="n">
        <f aca="false">01_Data!I195+01_Data!K195+01_Data!M195+01_Data!O195+01_Data!Q195+01_Data!S195+01_Data!U195</f>
        <v>34473</v>
      </c>
      <c r="Q195" s="7" t="n">
        <f aca="false">01_Data!J195+01_Data!L195+01_Data!N195+01_Data!P195+01_Data!R195+01_Data!T195+01_Data!V195</f>
        <v>33525</v>
      </c>
      <c r="R195" s="7" t="n">
        <f aca="false">P195-Q195</f>
        <v>948</v>
      </c>
      <c r="S195" s="7" t="n">
        <f aca="false">L195-P195</f>
        <v>14239</v>
      </c>
      <c r="T195" s="7" t="n">
        <f aca="false">M195-Q195</f>
        <v>14915</v>
      </c>
      <c r="U195" s="7" t="n">
        <f aca="false">T195-S195</f>
        <v>676</v>
      </c>
      <c r="V195" s="8" t="n">
        <f aca="false">IFERROR(U195/S195,0)</f>
        <v>0.0474752440480371</v>
      </c>
      <c r="W195" s="5" t="str">
        <f aca="false">IF(V195&lt;-0.1,"ADVERSE &gt;10%","")</f>
        <v/>
      </c>
    </row>
    <row r="196" customFormat="false" ht="15" hidden="false" customHeight="false" outlineLevel="0" collapsed="false">
      <c r="A196" s="5" t="str">
        <f aca="false">01_Data!A196</f>
        <v>Banking &amp; Financial Services</v>
      </c>
      <c r="B196" s="5" t="str">
        <f aca="false">01_Data!C196</f>
        <v>2024-06</v>
      </c>
      <c r="C196" s="5" t="str">
        <f aca="false">01_Data!D196</f>
        <v>FY24</v>
      </c>
      <c r="D196" s="7" t="n">
        <f aca="false">01_Data!E196</f>
        <v>117425</v>
      </c>
      <c r="E196" s="7" t="n">
        <f aca="false">01_Data!F196</f>
        <v>121282</v>
      </c>
      <c r="F196" s="7" t="n">
        <f aca="false">E196-D196</f>
        <v>3857</v>
      </c>
      <c r="G196" s="8" t="n">
        <f aca="false">IFERROR(F196/D196,0)</f>
        <v>0.0328464977645306</v>
      </c>
      <c r="H196" s="7" t="n">
        <f aca="false">01_Data!G196</f>
        <v>66644</v>
      </c>
      <c r="I196" s="7" t="n">
        <f aca="false">01_Data!H196</f>
        <v>71266</v>
      </c>
      <c r="J196" s="7" t="n">
        <f aca="false">H196-I196</f>
        <v>-4622</v>
      </c>
      <c r="K196" s="8" t="n">
        <f aca="false">IFERROR(J196/H196,0)</f>
        <v>-0.0693535802172739</v>
      </c>
      <c r="L196" s="7" t="n">
        <f aca="false">D196-H196</f>
        <v>50781</v>
      </c>
      <c r="M196" s="7" t="n">
        <f aca="false">E196-I196</f>
        <v>50016</v>
      </c>
      <c r="N196" s="7" t="n">
        <f aca="false">IFERROR(L196/D196,0)</f>
        <v>0.432454758356398</v>
      </c>
      <c r="O196" s="7" t="n">
        <f aca="false">IFERROR(M196/E196,0)</f>
        <v>0.412394254712158</v>
      </c>
      <c r="P196" s="7" t="n">
        <f aca="false">01_Data!I196+01_Data!K196+01_Data!M196+01_Data!O196+01_Data!Q196+01_Data!S196+01_Data!U196</f>
        <v>30512</v>
      </c>
      <c r="Q196" s="7" t="n">
        <f aca="false">01_Data!J196+01_Data!L196+01_Data!N196+01_Data!P196+01_Data!R196+01_Data!T196+01_Data!V196</f>
        <v>31460</v>
      </c>
      <c r="R196" s="7" t="n">
        <f aca="false">P196-Q196</f>
        <v>-948</v>
      </c>
      <c r="S196" s="7" t="n">
        <f aca="false">L196-P196</f>
        <v>20269</v>
      </c>
      <c r="T196" s="7" t="n">
        <f aca="false">M196-Q196</f>
        <v>18556</v>
      </c>
      <c r="U196" s="7" t="n">
        <f aca="false">T196-S196</f>
        <v>-1713</v>
      </c>
      <c r="V196" s="8" t="n">
        <f aca="false">IFERROR(U196/S196,0)</f>
        <v>-0.0845132961665598</v>
      </c>
      <c r="W196" s="5" t="str">
        <f aca="false">IF(V196&lt;-0.1,"ADVERSE &gt;10%","")</f>
        <v/>
      </c>
    </row>
    <row r="197" customFormat="false" ht="15" hidden="false" customHeight="false" outlineLevel="0" collapsed="false">
      <c r="A197" s="5" t="str">
        <f aca="false">01_Data!A197</f>
        <v>Banking &amp; Financial Services</v>
      </c>
      <c r="B197" s="5" t="str">
        <f aca="false">01_Data!C197</f>
        <v>2024-07</v>
      </c>
      <c r="C197" s="5" t="str">
        <f aca="false">01_Data!D197</f>
        <v>FY24</v>
      </c>
      <c r="D197" s="7" t="n">
        <f aca="false">01_Data!E197</f>
        <v>118198</v>
      </c>
      <c r="E197" s="7" t="n">
        <f aca="false">01_Data!F197</f>
        <v>122508</v>
      </c>
      <c r="F197" s="7" t="n">
        <f aca="false">E197-D197</f>
        <v>4310</v>
      </c>
      <c r="G197" s="8" t="n">
        <f aca="false">IFERROR(F197/D197,0)</f>
        <v>0.0364642379735698</v>
      </c>
      <c r="H197" s="7" t="n">
        <f aca="false">01_Data!G197</f>
        <v>68589</v>
      </c>
      <c r="I197" s="7" t="n">
        <f aca="false">01_Data!H197</f>
        <v>74461</v>
      </c>
      <c r="J197" s="7" t="n">
        <f aca="false">H197-I197</f>
        <v>-5872</v>
      </c>
      <c r="K197" s="8" t="n">
        <f aca="false">IFERROR(J197/H197,0)</f>
        <v>-0.0856113954132587</v>
      </c>
      <c r="L197" s="7" t="n">
        <f aca="false">D197-H197</f>
        <v>49609</v>
      </c>
      <c r="M197" s="7" t="n">
        <f aca="false">E197-I197</f>
        <v>48047</v>
      </c>
      <c r="N197" s="7" t="n">
        <f aca="false">IFERROR(L197/D197,0)</f>
        <v>0.419710993417824</v>
      </c>
      <c r="O197" s="7" t="n">
        <f aca="false">IFERROR(M197/E197,0)</f>
        <v>0.39219479544193</v>
      </c>
      <c r="P197" s="7" t="n">
        <f aca="false">01_Data!I197+01_Data!K197+01_Data!M197+01_Data!O197+01_Data!Q197+01_Data!S197+01_Data!U197</f>
        <v>30801</v>
      </c>
      <c r="Q197" s="7" t="n">
        <f aca="false">01_Data!J197+01_Data!L197+01_Data!N197+01_Data!P197+01_Data!R197+01_Data!T197+01_Data!V197</f>
        <v>30482</v>
      </c>
      <c r="R197" s="7" t="n">
        <f aca="false">P197-Q197</f>
        <v>319</v>
      </c>
      <c r="S197" s="7" t="n">
        <f aca="false">L197-P197</f>
        <v>18808</v>
      </c>
      <c r="T197" s="7" t="n">
        <f aca="false">M197-Q197</f>
        <v>17565</v>
      </c>
      <c r="U197" s="7" t="n">
        <f aca="false">T197-S197</f>
        <v>-1243</v>
      </c>
      <c r="V197" s="8" t="n">
        <f aca="false">IFERROR(U197/S197,0)</f>
        <v>-0.0660888983411314</v>
      </c>
      <c r="W197" s="5" t="str">
        <f aca="false">IF(V197&lt;-0.1,"ADVERSE &gt;10%","")</f>
        <v/>
      </c>
    </row>
    <row r="198" customFormat="false" ht="15" hidden="false" customHeight="false" outlineLevel="0" collapsed="false">
      <c r="A198" s="5" t="str">
        <f aca="false">01_Data!A198</f>
        <v>Banking &amp; Financial Services</v>
      </c>
      <c r="B198" s="5" t="str">
        <f aca="false">01_Data!C198</f>
        <v>2024-08</v>
      </c>
      <c r="C198" s="5" t="str">
        <f aca="false">01_Data!D198</f>
        <v>FY24</v>
      </c>
      <c r="D198" s="7" t="n">
        <f aca="false">01_Data!E198</f>
        <v>122858</v>
      </c>
      <c r="E198" s="7" t="n">
        <f aca="false">01_Data!F198</f>
        <v>126003</v>
      </c>
      <c r="F198" s="7" t="n">
        <f aca="false">E198-D198</f>
        <v>3145</v>
      </c>
      <c r="G198" s="8" t="n">
        <f aca="false">IFERROR(F198/D198,0)</f>
        <v>0.0255986586140097</v>
      </c>
      <c r="H198" s="7" t="n">
        <f aca="false">01_Data!G198</f>
        <v>70191</v>
      </c>
      <c r="I198" s="7" t="n">
        <f aca="false">01_Data!H198</f>
        <v>73891</v>
      </c>
      <c r="J198" s="7" t="n">
        <f aca="false">H198-I198</f>
        <v>-3700</v>
      </c>
      <c r="K198" s="8" t="n">
        <f aca="false">IFERROR(J198/H198,0)</f>
        <v>-0.0527133108233249</v>
      </c>
      <c r="L198" s="7" t="n">
        <f aca="false">D198-H198</f>
        <v>52667</v>
      </c>
      <c r="M198" s="7" t="n">
        <f aca="false">E198-I198</f>
        <v>52112</v>
      </c>
      <c r="N198" s="7" t="n">
        <f aca="false">IFERROR(L198/D198,0)</f>
        <v>0.428681892917026</v>
      </c>
      <c r="O198" s="7" t="n">
        <f aca="false">IFERROR(M198/E198,0)</f>
        <v>0.413577454505051</v>
      </c>
      <c r="P198" s="7" t="n">
        <f aca="false">01_Data!I198+01_Data!K198+01_Data!M198+01_Data!O198+01_Data!Q198+01_Data!S198+01_Data!U198</f>
        <v>31451</v>
      </c>
      <c r="Q198" s="7" t="n">
        <f aca="false">01_Data!J198+01_Data!L198+01_Data!N198+01_Data!P198+01_Data!R198+01_Data!T198+01_Data!V198</f>
        <v>31233</v>
      </c>
      <c r="R198" s="7" t="n">
        <f aca="false">P198-Q198</f>
        <v>218</v>
      </c>
      <c r="S198" s="7" t="n">
        <f aca="false">L198-P198</f>
        <v>21216</v>
      </c>
      <c r="T198" s="7" t="n">
        <f aca="false">M198-Q198</f>
        <v>20879</v>
      </c>
      <c r="U198" s="7" t="n">
        <f aca="false">T198-S198</f>
        <v>-337</v>
      </c>
      <c r="V198" s="8" t="n">
        <f aca="false">IFERROR(U198/S198,0)</f>
        <v>-0.0158842383107089</v>
      </c>
      <c r="W198" s="5" t="str">
        <f aca="false">IF(V198&lt;-0.1,"ADVERSE &gt;10%","")</f>
        <v/>
      </c>
    </row>
    <row r="199" customFormat="false" ht="15" hidden="false" customHeight="false" outlineLevel="0" collapsed="false">
      <c r="A199" s="5" t="str">
        <f aca="false">01_Data!A199</f>
        <v>Banking &amp; Financial Services</v>
      </c>
      <c r="B199" s="5" t="str">
        <f aca="false">01_Data!C199</f>
        <v>2024-09</v>
      </c>
      <c r="C199" s="5" t="str">
        <f aca="false">01_Data!D199</f>
        <v>FY24</v>
      </c>
      <c r="D199" s="7" t="n">
        <f aca="false">01_Data!E199</f>
        <v>144375</v>
      </c>
      <c r="E199" s="7" t="n">
        <f aca="false">01_Data!F199</f>
        <v>137344</v>
      </c>
      <c r="F199" s="7" t="n">
        <f aca="false">E199-D199</f>
        <v>-7031</v>
      </c>
      <c r="G199" s="8" t="n">
        <f aca="false">IFERROR(F199/D199,0)</f>
        <v>-0.0486995670995671</v>
      </c>
      <c r="H199" s="7" t="n">
        <f aca="false">01_Data!G199</f>
        <v>85217</v>
      </c>
      <c r="I199" s="7" t="n">
        <f aca="false">01_Data!H199</f>
        <v>82364</v>
      </c>
      <c r="J199" s="7" t="n">
        <f aca="false">H199-I199</f>
        <v>2853</v>
      </c>
      <c r="K199" s="8" t="n">
        <f aca="false">IFERROR(J199/H199,0)</f>
        <v>0.0334792353638359</v>
      </c>
      <c r="L199" s="7" t="n">
        <f aca="false">D199-H199</f>
        <v>59158</v>
      </c>
      <c r="M199" s="7" t="n">
        <f aca="false">E199-I199</f>
        <v>54980</v>
      </c>
      <c r="N199" s="7" t="n">
        <f aca="false">IFERROR(L199/D199,0)</f>
        <v>0.409752380952381</v>
      </c>
      <c r="O199" s="7" t="n">
        <f aca="false">IFERROR(M199/E199,0)</f>
        <v>0.4003087138863</v>
      </c>
      <c r="P199" s="7" t="n">
        <f aca="false">01_Data!I199+01_Data!K199+01_Data!M199+01_Data!O199+01_Data!Q199+01_Data!S199+01_Data!U199</f>
        <v>40840</v>
      </c>
      <c r="Q199" s="7" t="n">
        <f aca="false">01_Data!J199+01_Data!L199+01_Data!N199+01_Data!P199+01_Data!R199+01_Data!T199+01_Data!V199</f>
        <v>41863</v>
      </c>
      <c r="R199" s="7" t="n">
        <f aca="false">P199-Q199</f>
        <v>-1023</v>
      </c>
      <c r="S199" s="7" t="n">
        <f aca="false">L199-P199</f>
        <v>18318</v>
      </c>
      <c r="T199" s="7" t="n">
        <f aca="false">M199-Q199</f>
        <v>13117</v>
      </c>
      <c r="U199" s="7" t="n">
        <f aca="false">T199-S199</f>
        <v>-5201</v>
      </c>
      <c r="V199" s="8" t="n">
        <f aca="false">IFERROR(U199/S199,0)</f>
        <v>-0.283928376460312</v>
      </c>
      <c r="W199" s="5" t="str">
        <f aca="false">IF(V199&lt;-0.1,"ADVERSE &gt;10%","")</f>
        <v>ADVERSE &gt;10%</v>
      </c>
    </row>
    <row r="200" customFormat="false" ht="15" hidden="false" customHeight="false" outlineLevel="0" collapsed="false">
      <c r="A200" s="5" t="str">
        <f aca="false">01_Data!A200</f>
        <v>Banking &amp; Financial Services</v>
      </c>
      <c r="B200" s="5" t="str">
        <f aca="false">01_Data!C200</f>
        <v>2024-10</v>
      </c>
      <c r="C200" s="5" t="str">
        <f aca="false">01_Data!D200</f>
        <v>FY24</v>
      </c>
      <c r="D200" s="7" t="n">
        <f aca="false">01_Data!E200</f>
        <v>131993</v>
      </c>
      <c r="E200" s="7" t="n">
        <f aca="false">01_Data!F200</f>
        <v>128440</v>
      </c>
      <c r="F200" s="7" t="n">
        <f aca="false">E200-D200</f>
        <v>-3553</v>
      </c>
      <c r="G200" s="8" t="n">
        <f aca="false">IFERROR(F200/D200,0)</f>
        <v>-0.026918094141356</v>
      </c>
      <c r="H200" s="7" t="n">
        <f aca="false">01_Data!G200</f>
        <v>72293</v>
      </c>
      <c r="I200" s="7" t="n">
        <f aca="false">01_Data!H200</f>
        <v>70266</v>
      </c>
      <c r="J200" s="7" t="n">
        <f aca="false">H200-I200</f>
        <v>2027</v>
      </c>
      <c r="K200" s="8" t="n">
        <f aca="false">IFERROR(J200/H200,0)</f>
        <v>0.028038675943729</v>
      </c>
      <c r="L200" s="7" t="n">
        <f aca="false">D200-H200</f>
        <v>59700</v>
      </c>
      <c r="M200" s="7" t="n">
        <f aca="false">E200-I200</f>
        <v>58174</v>
      </c>
      <c r="N200" s="7" t="n">
        <f aca="false">IFERROR(L200/D200,0)</f>
        <v>0.452296712704462</v>
      </c>
      <c r="O200" s="7" t="n">
        <f aca="false">IFERROR(M200/E200,0)</f>
        <v>0.452927436935534</v>
      </c>
      <c r="P200" s="7" t="n">
        <f aca="false">01_Data!I200+01_Data!K200+01_Data!M200+01_Data!O200+01_Data!Q200+01_Data!S200+01_Data!U200</f>
        <v>36775</v>
      </c>
      <c r="Q200" s="7" t="n">
        <f aca="false">01_Data!J200+01_Data!L200+01_Data!N200+01_Data!P200+01_Data!R200+01_Data!T200+01_Data!V200</f>
        <v>38472</v>
      </c>
      <c r="R200" s="7" t="n">
        <f aca="false">P200-Q200</f>
        <v>-1697</v>
      </c>
      <c r="S200" s="7" t="n">
        <f aca="false">L200-P200</f>
        <v>22925</v>
      </c>
      <c r="T200" s="7" t="n">
        <f aca="false">M200-Q200</f>
        <v>19702</v>
      </c>
      <c r="U200" s="7" t="n">
        <f aca="false">T200-S200</f>
        <v>-3223</v>
      </c>
      <c r="V200" s="8" t="n">
        <f aca="false">IFERROR(U200/S200,0)</f>
        <v>-0.140588876772083</v>
      </c>
      <c r="W200" s="5" t="str">
        <f aca="false">IF(V200&lt;-0.1,"ADVERSE &gt;10%","")</f>
        <v>ADVERSE &gt;10%</v>
      </c>
    </row>
    <row r="201" customFormat="false" ht="15" hidden="false" customHeight="false" outlineLevel="0" collapsed="false">
      <c r="A201" s="5" t="str">
        <f aca="false">01_Data!A201</f>
        <v>Banking &amp; Financial Services</v>
      </c>
      <c r="B201" s="5" t="str">
        <f aca="false">01_Data!C201</f>
        <v>2024-11</v>
      </c>
      <c r="C201" s="5" t="str">
        <f aca="false">01_Data!D201</f>
        <v>FY24</v>
      </c>
      <c r="D201" s="7" t="n">
        <f aca="false">01_Data!E201</f>
        <v>127822</v>
      </c>
      <c r="E201" s="7" t="n">
        <f aca="false">01_Data!F201</f>
        <v>130983</v>
      </c>
      <c r="F201" s="7" t="n">
        <f aca="false">E201-D201</f>
        <v>3161</v>
      </c>
      <c r="G201" s="8" t="n">
        <f aca="false">IFERROR(F201/D201,0)</f>
        <v>0.0247297022421805</v>
      </c>
      <c r="H201" s="7" t="n">
        <f aca="false">01_Data!G201</f>
        <v>74404</v>
      </c>
      <c r="I201" s="7" t="n">
        <f aca="false">01_Data!H201</f>
        <v>79261</v>
      </c>
      <c r="J201" s="7" t="n">
        <f aca="false">H201-I201</f>
        <v>-4857</v>
      </c>
      <c r="K201" s="8" t="n">
        <f aca="false">IFERROR(J201/H201,0)</f>
        <v>-0.0652787484543842</v>
      </c>
      <c r="L201" s="7" t="n">
        <f aca="false">D201-H201</f>
        <v>53418</v>
      </c>
      <c r="M201" s="7" t="n">
        <f aca="false">E201-I201</f>
        <v>51722</v>
      </c>
      <c r="N201" s="7" t="n">
        <f aca="false">IFERROR(L201/D201,0)</f>
        <v>0.417909280092629</v>
      </c>
      <c r="O201" s="7" t="n">
        <f aca="false">IFERROR(M201/E201,0)</f>
        <v>0.394875670888589</v>
      </c>
      <c r="P201" s="7" t="n">
        <f aca="false">01_Data!I201+01_Data!K201+01_Data!M201+01_Data!O201+01_Data!Q201+01_Data!S201+01_Data!U201</f>
        <v>36200</v>
      </c>
      <c r="Q201" s="7" t="n">
        <f aca="false">01_Data!J201+01_Data!L201+01_Data!N201+01_Data!P201+01_Data!R201+01_Data!T201+01_Data!V201</f>
        <v>37547</v>
      </c>
      <c r="R201" s="7" t="n">
        <f aca="false">P201-Q201</f>
        <v>-1347</v>
      </c>
      <c r="S201" s="7" t="n">
        <f aca="false">L201-P201</f>
        <v>17218</v>
      </c>
      <c r="T201" s="7" t="n">
        <f aca="false">M201-Q201</f>
        <v>14175</v>
      </c>
      <c r="U201" s="7" t="n">
        <f aca="false">T201-S201</f>
        <v>-3043</v>
      </c>
      <c r="V201" s="8" t="n">
        <f aca="false">IFERROR(U201/S201,0)</f>
        <v>-0.176733650830526</v>
      </c>
      <c r="W201" s="5" t="str">
        <f aca="false">IF(V201&lt;-0.1,"ADVERSE &gt;10%","")</f>
        <v>ADVERSE &gt;10%</v>
      </c>
    </row>
    <row r="202" customFormat="false" ht="15" hidden="false" customHeight="false" outlineLevel="0" collapsed="false">
      <c r="A202" s="5" t="str">
        <f aca="false">01_Data!A202</f>
        <v>Banking &amp; Financial Services</v>
      </c>
      <c r="B202" s="5" t="str">
        <f aca="false">01_Data!C202</f>
        <v>2024-12</v>
      </c>
      <c r="C202" s="5" t="str">
        <f aca="false">01_Data!D202</f>
        <v>FY24</v>
      </c>
      <c r="D202" s="7" t="n">
        <f aca="false">01_Data!E202</f>
        <v>138558</v>
      </c>
      <c r="E202" s="7" t="n">
        <f aca="false">01_Data!F202</f>
        <v>141059</v>
      </c>
      <c r="F202" s="7" t="n">
        <f aca="false">E202-D202</f>
        <v>2501</v>
      </c>
      <c r="G202" s="8" t="n">
        <f aca="false">IFERROR(F202/D202,0)</f>
        <v>0.0180502028031582</v>
      </c>
      <c r="H202" s="7" t="n">
        <f aca="false">01_Data!G202</f>
        <v>78815</v>
      </c>
      <c r="I202" s="7" t="n">
        <f aca="false">01_Data!H202</f>
        <v>81441</v>
      </c>
      <c r="J202" s="7" t="n">
        <f aca="false">H202-I202</f>
        <v>-2626</v>
      </c>
      <c r="K202" s="8" t="n">
        <f aca="false">IFERROR(J202/H202,0)</f>
        <v>-0.0333185307365349</v>
      </c>
      <c r="L202" s="7" t="n">
        <f aca="false">D202-H202</f>
        <v>59743</v>
      </c>
      <c r="M202" s="7" t="n">
        <f aca="false">E202-I202</f>
        <v>59618</v>
      </c>
      <c r="N202" s="7" t="n">
        <f aca="false">IFERROR(L202/D202,0)</f>
        <v>0.431176835693356</v>
      </c>
      <c r="O202" s="7" t="n">
        <f aca="false">IFERROR(M202/E202,0)</f>
        <v>0.42264584322872</v>
      </c>
      <c r="P202" s="7" t="n">
        <f aca="false">01_Data!I202+01_Data!K202+01_Data!M202+01_Data!O202+01_Data!Q202+01_Data!S202+01_Data!U202</f>
        <v>38388</v>
      </c>
      <c r="Q202" s="7" t="n">
        <f aca="false">01_Data!J202+01_Data!L202+01_Data!N202+01_Data!P202+01_Data!R202+01_Data!T202+01_Data!V202</f>
        <v>39296</v>
      </c>
      <c r="R202" s="7" t="n">
        <f aca="false">P202-Q202</f>
        <v>-908</v>
      </c>
      <c r="S202" s="7" t="n">
        <f aca="false">L202-P202</f>
        <v>21355</v>
      </c>
      <c r="T202" s="7" t="n">
        <f aca="false">M202-Q202</f>
        <v>20322</v>
      </c>
      <c r="U202" s="7" t="n">
        <f aca="false">T202-S202</f>
        <v>-1033</v>
      </c>
      <c r="V202" s="8" t="n">
        <f aca="false">IFERROR(U202/S202,0)</f>
        <v>-0.0483727464294076</v>
      </c>
      <c r="W202" s="5" t="str">
        <f aca="false">IF(V202&lt;-0.1,"ADVERSE &gt;10%","")</f>
        <v/>
      </c>
    </row>
    <row r="203" customFormat="false" ht="15" hidden="false" customHeight="false" outlineLevel="0" collapsed="false">
      <c r="A203" s="5" t="str">
        <f aca="false">01_Data!A203</f>
        <v>Banking &amp; Financial Services</v>
      </c>
      <c r="B203" s="5" t="str">
        <f aca="false">01_Data!C203</f>
        <v>2025-01</v>
      </c>
      <c r="C203" s="5" t="str">
        <f aca="false">01_Data!D203</f>
        <v>FY24</v>
      </c>
      <c r="D203" s="7" t="n">
        <f aca="false">01_Data!E203</f>
        <v>126475</v>
      </c>
      <c r="E203" s="7" t="n">
        <f aca="false">01_Data!F203</f>
        <v>130378</v>
      </c>
      <c r="F203" s="7" t="n">
        <f aca="false">E203-D203</f>
        <v>3903</v>
      </c>
      <c r="G203" s="8" t="n">
        <f aca="false">IFERROR(F203/D203,0)</f>
        <v>0.0308598537260328</v>
      </c>
      <c r="H203" s="7" t="n">
        <f aca="false">01_Data!G203</f>
        <v>74666</v>
      </c>
      <c r="I203" s="7" t="n">
        <f aca="false">01_Data!H203</f>
        <v>78865</v>
      </c>
      <c r="J203" s="7" t="n">
        <f aca="false">H203-I203</f>
        <v>-4199</v>
      </c>
      <c r="K203" s="8" t="n">
        <f aca="false">IFERROR(J203/H203,0)</f>
        <v>-0.0562371092599041</v>
      </c>
      <c r="L203" s="7" t="n">
        <f aca="false">D203-H203</f>
        <v>51809</v>
      </c>
      <c r="M203" s="7" t="n">
        <f aca="false">E203-I203</f>
        <v>51513</v>
      </c>
      <c r="N203" s="7" t="n">
        <f aca="false">IFERROR(L203/D203,0)</f>
        <v>0.409638268432497</v>
      </c>
      <c r="O203" s="7" t="n">
        <f aca="false">IFERROR(M203/E203,0)</f>
        <v>0.395105002377702</v>
      </c>
      <c r="P203" s="7" t="n">
        <f aca="false">01_Data!I203+01_Data!K203+01_Data!M203+01_Data!O203+01_Data!Q203+01_Data!S203+01_Data!U203</f>
        <v>32480</v>
      </c>
      <c r="Q203" s="7" t="n">
        <f aca="false">01_Data!J203+01_Data!L203+01_Data!N203+01_Data!P203+01_Data!R203+01_Data!T203+01_Data!V203</f>
        <v>34444</v>
      </c>
      <c r="R203" s="7" t="n">
        <f aca="false">P203-Q203</f>
        <v>-1964</v>
      </c>
      <c r="S203" s="7" t="n">
        <f aca="false">L203-P203</f>
        <v>19329</v>
      </c>
      <c r="T203" s="7" t="n">
        <f aca="false">M203-Q203</f>
        <v>17069</v>
      </c>
      <c r="U203" s="7" t="n">
        <f aca="false">T203-S203</f>
        <v>-2260</v>
      </c>
      <c r="V203" s="8" t="n">
        <f aca="false">IFERROR(U203/S203,0)</f>
        <v>-0.11692275854933</v>
      </c>
      <c r="W203" s="5" t="str">
        <f aca="false">IF(V203&lt;-0.1,"ADVERSE &gt;10%","")</f>
        <v>ADVERSE &gt;10%</v>
      </c>
    </row>
    <row r="204" customFormat="false" ht="15" hidden="false" customHeight="false" outlineLevel="0" collapsed="false">
      <c r="A204" s="5" t="str">
        <f aca="false">01_Data!A204</f>
        <v>Banking &amp; Financial Services</v>
      </c>
      <c r="B204" s="5" t="str">
        <f aca="false">01_Data!C204</f>
        <v>2025-02</v>
      </c>
      <c r="C204" s="5" t="str">
        <f aca="false">01_Data!D204</f>
        <v>FY24</v>
      </c>
      <c r="D204" s="7" t="n">
        <f aca="false">01_Data!E204</f>
        <v>139300</v>
      </c>
      <c r="E204" s="7" t="n">
        <f aca="false">01_Data!F204</f>
        <v>132518</v>
      </c>
      <c r="F204" s="7" t="n">
        <f aca="false">E204-D204</f>
        <v>-6782</v>
      </c>
      <c r="G204" s="8" t="n">
        <f aca="false">IFERROR(F204/D204,0)</f>
        <v>-0.0486862885857861</v>
      </c>
      <c r="H204" s="7" t="n">
        <f aca="false">01_Data!G204</f>
        <v>78461</v>
      </c>
      <c r="I204" s="7" t="n">
        <f aca="false">01_Data!H204</f>
        <v>78330</v>
      </c>
      <c r="J204" s="7" t="n">
        <f aca="false">H204-I204</f>
        <v>131</v>
      </c>
      <c r="K204" s="8" t="n">
        <f aca="false">IFERROR(J204/H204,0)</f>
        <v>0.00166961930130893</v>
      </c>
      <c r="L204" s="7" t="n">
        <f aca="false">D204-H204</f>
        <v>60839</v>
      </c>
      <c r="M204" s="7" t="n">
        <f aca="false">E204-I204</f>
        <v>54188</v>
      </c>
      <c r="N204" s="7" t="n">
        <f aca="false">IFERROR(L204/D204,0)</f>
        <v>0.436748025843503</v>
      </c>
      <c r="O204" s="7" t="n">
        <f aca="false">IFERROR(M204/E204,0)</f>
        <v>0.408910487631869</v>
      </c>
      <c r="P204" s="7" t="n">
        <f aca="false">01_Data!I204+01_Data!K204+01_Data!M204+01_Data!O204+01_Data!Q204+01_Data!S204+01_Data!U204</f>
        <v>40334</v>
      </c>
      <c r="Q204" s="7" t="n">
        <f aca="false">01_Data!J204+01_Data!L204+01_Data!N204+01_Data!P204+01_Data!R204+01_Data!T204+01_Data!V204</f>
        <v>40674</v>
      </c>
      <c r="R204" s="7" t="n">
        <f aca="false">P204-Q204</f>
        <v>-340</v>
      </c>
      <c r="S204" s="7" t="n">
        <f aca="false">L204-P204</f>
        <v>20505</v>
      </c>
      <c r="T204" s="7" t="n">
        <f aca="false">M204-Q204</f>
        <v>13514</v>
      </c>
      <c r="U204" s="7" t="n">
        <f aca="false">T204-S204</f>
        <v>-6991</v>
      </c>
      <c r="V204" s="8" t="n">
        <f aca="false">IFERROR(U204/S204,0)</f>
        <v>-0.340941233845404</v>
      </c>
      <c r="W204" s="5" t="str">
        <f aca="false">IF(V204&lt;-0.1,"ADVERSE &gt;10%","")</f>
        <v>ADVERSE &gt;10%</v>
      </c>
    </row>
    <row r="205" customFormat="false" ht="15" hidden="false" customHeight="false" outlineLevel="0" collapsed="false">
      <c r="A205" s="5" t="str">
        <f aca="false">01_Data!A205</f>
        <v>Banking &amp; Financial Services</v>
      </c>
      <c r="B205" s="5" t="str">
        <f aca="false">01_Data!C205</f>
        <v>2025-03</v>
      </c>
      <c r="C205" s="5" t="str">
        <f aca="false">01_Data!D205</f>
        <v>FY24</v>
      </c>
      <c r="D205" s="7" t="n">
        <f aca="false">01_Data!E205</f>
        <v>150364</v>
      </c>
      <c r="E205" s="7" t="n">
        <f aca="false">01_Data!F205</f>
        <v>145541</v>
      </c>
      <c r="F205" s="7" t="n">
        <f aca="false">E205-D205</f>
        <v>-4823</v>
      </c>
      <c r="G205" s="8" t="n">
        <f aca="false">IFERROR(F205/D205,0)</f>
        <v>-0.0320754967944455</v>
      </c>
      <c r="H205" s="7" t="n">
        <f aca="false">01_Data!G205</f>
        <v>89896</v>
      </c>
      <c r="I205" s="7" t="n">
        <f aca="false">01_Data!H205</f>
        <v>86243</v>
      </c>
      <c r="J205" s="7" t="n">
        <f aca="false">H205-I205</f>
        <v>3653</v>
      </c>
      <c r="K205" s="8" t="n">
        <f aca="false">IFERROR(J205/H205,0)</f>
        <v>0.0406358458663344</v>
      </c>
      <c r="L205" s="7" t="n">
        <f aca="false">D205-H205</f>
        <v>60468</v>
      </c>
      <c r="M205" s="7" t="n">
        <f aca="false">E205-I205</f>
        <v>59298</v>
      </c>
      <c r="N205" s="7" t="n">
        <f aca="false">IFERROR(L205/D205,0)</f>
        <v>0.402144130243941</v>
      </c>
      <c r="O205" s="7" t="n">
        <f aca="false">IFERROR(M205/E205,0)</f>
        <v>0.407431582852942</v>
      </c>
      <c r="P205" s="7" t="n">
        <f aca="false">01_Data!I205+01_Data!K205+01_Data!M205+01_Data!O205+01_Data!Q205+01_Data!S205+01_Data!U205</f>
        <v>37542</v>
      </c>
      <c r="Q205" s="7" t="n">
        <f aca="false">01_Data!J205+01_Data!L205+01_Data!N205+01_Data!P205+01_Data!R205+01_Data!T205+01_Data!V205</f>
        <v>38169</v>
      </c>
      <c r="R205" s="7" t="n">
        <f aca="false">P205-Q205</f>
        <v>-627</v>
      </c>
      <c r="S205" s="7" t="n">
        <f aca="false">L205-P205</f>
        <v>22926</v>
      </c>
      <c r="T205" s="7" t="n">
        <f aca="false">M205-Q205</f>
        <v>21129</v>
      </c>
      <c r="U205" s="7" t="n">
        <f aca="false">T205-S205</f>
        <v>-1797</v>
      </c>
      <c r="V205" s="8" t="n">
        <f aca="false">IFERROR(U205/S205,0)</f>
        <v>-0.0783826223501701</v>
      </c>
      <c r="W205" s="5" t="str">
        <f aca="false">IF(V205&lt;-0.1,"ADVERSE &gt;10%","")</f>
        <v/>
      </c>
    </row>
    <row r="206" customFormat="false" ht="15" hidden="false" customHeight="false" outlineLevel="0" collapsed="false">
      <c r="A206" s="5" t="str">
        <f aca="false">01_Data!A206</f>
        <v>Banking &amp; Financial Services</v>
      </c>
      <c r="B206" s="5" t="str">
        <f aca="false">01_Data!C206</f>
        <v>2025-04</v>
      </c>
      <c r="C206" s="5" t="str">
        <f aca="false">01_Data!D206</f>
        <v>FY25</v>
      </c>
      <c r="D206" s="7" t="n">
        <f aca="false">01_Data!E206</f>
        <v>130952</v>
      </c>
      <c r="E206" s="7" t="n">
        <f aca="false">01_Data!F206</f>
        <v>133800</v>
      </c>
      <c r="F206" s="7" t="n">
        <f aca="false">E206-D206</f>
        <v>2848</v>
      </c>
      <c r="G206" s="8" t="n">
        <f aca="false">IFERROR(F206/D206,0)</f>
        <v>0.0217484269045146</v>
      </c>
      <c r="H206" s="7" t="n">
        <f aca="false">01_Data!G206</f>
        <v>71114</v>
      </c>
      <c r="I206" s="7" t="n">
        <f aca="false">01_Data!H206</f>
        <v>76222</v>
      </c>
      <c r="J206" s="7" t="n">
        <f aca="false">H206-I206</f>
        <v>-5108</v>
      </c>
      <c r="K206" s="8" t="n">
        <f aca="false">IFERROR(J206/H206,0)</f>
        <v>-0.0718283319740136</v>
      </c>
      <c r="L206" s="7" t="n">
        <f aca="false">D206-H206</f>
        <v>59838</v>
      </c>
      <c r="M206" s="7" t="n">
        <f aca="false">E206-I206</f>
        <v>57578</v>
      </c>
      <c r="N206" s="7" t="n">
        <f aca="false">IFERROR(L206/D206,0)</f>
        <v>0.456946056570346</v>
      </c>
      <c r="O206" s="7" t="n">
        <f aca="false">IFERROR(M206/E206,0)</f>
        <v>0.430328849028401</v>
      </c>
      <c r="P206" s="7" t="n">
        <f aca="false">01_Data!I206+01_Data!K206+01_Data!M206+01_Data!O206+01_Data!Q206+01_Data!S206+01_Data!U206</f>
        <v>34753</v>
      </c>
      <c r="Q206" s="7" t="n">
        <f aca="false">01_Data!J206+01_Data!L206+01_Data!N206+01_Data!P206+01_Data!R206+01_Data!T206+01_Data!V206</f>
        <v>35773</v>
      </c>
      <c r="R206" s="7" t="n">
        <f aca="false">P206-Q206</f>
        <v>-1020</v>
      </c>
      <c r="S206" s="7" t="n">
        <f aca="false">L206-P206</f>
        <v>25085</v>
      </c>
      <c r="T206" s="7" t="n">
        <f aca="false">M206-Q206</f>
        <v>21805</v>
      </c>
      <c r="U206" s="7" t="n">
        <f aca="false">T206-S206</f>
        <v>-3280</v>
      </c>
      <c r="V206" s="8" t="n">
        <f aca="false">IFERROR(U206/S206,0)</f>
        <v>-0.130755431532789</v>
      </c>
      <c r="W206" s="5" t="str">
        <f aca="false">IF(V206&lt;-0.1,"ADVERSE &gt;10%","")</f>
        <v>ADVERSE &gt;10%</v>
      </c>
    </row>
    <row r="207" customFormat="false" ht="15" hidden="false" customHeight="false" outlineLevel="0" collapsed="false">
      <c r="A207" s="5" t="str">
        <f aca="false">01_Data!A207</f>
        <v>Banking &amp; Financial Services</v>
      </c>
      <c r="B207" s="5" t="str">
        <f aca="false">01_Data!C207</f>
        <v>2025-05</v>
      </c>
      <c r="C207" s="5" t="str">
        <f aca="false">01_Data!D207</f>
        <v>FY25</v>
      </c>
      <c r="D207" s="7" t="n">
        <f aca="false">01_Data!E207</f>
        <v>129004</v>
      </c>
      <c r="E207" s="7" t="n">
        <f aca="false">01_Data!F207</f>
        <v>133600</v>
      </c>
      <c r="F207" s="7" t="n">
        <f aca="false">E207-D207</f>
        <v>4596</v>
      </c>
      <c r="G207" s="8" t="n">
        <f aca="false">IFERROR(F207/D207,0)</f>
        <v>0.0356268022696971</v>
      </c>
      <c r="H207" s="7" t="n">
        <f aca="false">01_Data!G207</f>
        <v>72231</v>
      </c>
      <c r="I207" s="7" t="n">
        <f aca="false">01_Data!H207</f>
        <v>74543</v>
      </c>
      <c r="J207" s="7" t="n">
        <f aca="false">H207-I207</f>
        <v>-2312</v>
      </c>
      <c r="K207" s="8" t="n">
        <f aca="false">IFERROR(J207/H207,0)</f>
        <v>-0.0320084174384959</v>
      </c>
      <c r="L207" s="7" t="n">
        <f aca="false">D207-H207</f>
        <v>56773</v>
      </c>
      <c r="M207" s="7" t="n">
        <f aca="false">E207-I207</f>
        <v>59057</v>
      </c>
      <c r="N207" s="7" t="n">
        <f aca="false">IFERROR(L207/D207,0)</f>
        <v>0.440087129081269</v>
      </c>
      <c r="O207" s="7" t="n">
        <f aca="false">IFERROR(M207/E207,0)</f>
        <v>0.442043413173653</v>
      </c>
      <c r="P207" s="7" t="n">
        <f aca="false">01_Data!I207+01_Data!K207+01_Data!M207+01_Data!O207+01_Data!Q207+01_Data!S207+01_Data!U207</f>
        <v>33696</v>
      </c>
      <c r="Q207" s="7" t="n">
        <f aca="false">01_Data!J207+01_Data!L207+01_Data!N207+01_Data!P207+01_Data!R207+01_Data!T207+01_Data!V207</f>
        <v>36180</v>
      </c>
      <c r="R207" s="7" t="n">
        <f aca="false">P207-Q207</f>
        <v>-2484</v>
      </c>
      <c r="S207" s="7" t="n">
        <f aca="false">L207-P207</f>
        <v>23077</v>
      </c>
      <c r="T207" s="7" t="n">
        <f aca="false">M207-Q207</f>
        <v>22877</v>
      </c>
      <c r="U207" s="7" t="n">
        <f aca="false">T207-S207</f>
        <v>-200</v>
      </c>
      <c r="V207" s="8" t="n">
        <f aca="false">IFERROR(U207/S207,0)</f>
        <v>-0.00866663777787407</v>
      </c>
      <c r="W207" s="5" t="str">
        <f aca="false">IF(V207&lt;-0.1,"ADVERSE &gt;10%","")</f>
        <v/>
      </c>
    </row>
    <row r="208" customFormat="false" ht="15" hidden="false" customHeight="false" outlineLevel="0" collapsed="false">
      <c r="A208" s="5" t="str">
        <f aca="false">01_Data!A208</f>
        <v>Banking &amp; Financial Services</v>
      </c>
      <c r="B208" s="5" t="str">
        <f aca="false">01_Data!C208</f>
        <v>2025-06</v>
      </c>
      <c r="C208" s="5" t="str">
        <f aca="false">01_Data!D208</f>
        <v>FY25</v>
      </c>
      <c r="D208" s="7" t="n">
        <f aca="false">01_Data!E208</f>
        <v>140624</v>
      </c>
      <c r="E208" s="7" t="n">
        <f aca="false">01_Data!F208</f>
        <v>133939</v>
      </c>
      <c r="F208" s="7" t="n">
        <f aca="false">E208-D208</f>
        <v>-6685</v>
      </c>
      <c r="G208" s="8" t="n">
        <f aca="false">IFERROR(F208/D208,0)</f>
        <v>-0.0475381158266014</v>
      </c>
      <c r="H208" s="7" t="n">
        <f aca="false">01_Data!G208</f>
        <v>83910</v>
      </c>
      <c r="I208" s="7" t="n">
        <f aca="false">01_Data!H208</f>
        <v>79827</v>
      </c>
      <c r="J208" s="7" t="n">
        <f aca="false">H208-I208</f>
        <v>4083</v>
      </c>
      <c r="K208" s="8" t="n">
        <f aca="false">IFERROR(J208/H208,0)</f>
        <v>0.0486592777976403</v>
      </c>
      <c r="L208" s="7" t="n">
        <f aca="false">D208-H208</f>
        <v>56714</v>
      </c>
      <c r="M208" s="7" t="n">
        <f aca="false">E208-I208</f>
        <v>54112</v>
      </c>
      <c r="N208" s="7" t="n">
        <f aca="false">IFERROR(L208/D208,0)</f>
        <v>0.4033024234839</v>
      </c>
      <c r="O208" s="7" t="n">
        <f aca="false">IFERROR(M208/E208,0)</f>
        <v>0.404004808158938</v>
      </c>
      <c r="P208" s="7" t="n">
        <f aca="false">01_Data!I208+01_Data!K208+01_Data!M208+01_Data!O208+01_Data!Q208+01_Data!S208+01_Data!U208</f>
        <v>38376</v>
      </c>
      <c r="Q208" s="7" t="n">
        <f aca="false">01_Data!J208+01_Data!L208+01_Data!N208+01_Data!P208+01_Data!R208+01_Data!T208+01_Data!V208</f>
        <v>39402</v>
      </c>
      <c r="R208" s="7" t="n">
        <f aca="false">P208-Q208</f>
        <v>-1026</v>
      </c>
      <c r="S208" s="7" t="n">
        <f aca="false">L208-P208</f>
        <v>18338</v>
      </c>
      <c r="T208" s="7" t="n">
        <f aca="false">M208-Q208</f>
        <v>14710</v>
      </c>
      <c r="U208" s="7" t="n">
        <f aca="false">T208-S208</f>
        <v>-3628</v>
      </c>
      <c r="V208" s="8" t="n">
        <f aca="false">IFERROR(U208/S208,0)</f>
        <v>-0.197840549678264</v>
      </c>
      <c r="W208" s="5" t="str">
        <f aca="false">IF(V208&lt;-0.1,"ADVERSE &gt;10%","")</f>
        <v>ADVERSE &gt;10%</v>
      </c>
    </row>
    <row r="209" customFormat="false" ht="15" hidden="false" customHeight="false" outlineLevel="0" collapsed="false">
      <c r="A209" s="5" t="str">
        <f aca="false">01_Data!A209</f>
        <v>Banking &amp; Financial Services</v>
      </c>
      <c r="B209" s="5" t="str">
        <f aca="false">01_Data!C209</f>
        <v>2025-07</v>
      </c>
      <c r="C209" s="5" t="str">
        <f aca="false">01_Data!D209</f>
        <v>FY25</v>
      </c>
      <c r="D209" s="7" t="n">
        <f aca="false">01_Data!E209</f>
        <v>127445</v>
      </c>
      <c r="E209" s="7" t="n">
        <f aca="false">01_Data!F209</f>
        <v>135453</v>
      </c>
      <c r="F209" s="7" t="n">
        <f aca="false">E209-D209</f>
        <v>8008</v>
      </c>
      <c r="G209" s="8" t="n">
        <f aca="false">IFERROR(F209/D209,0)</f>
        <v>0.0628349484091177</v>
      </c>
      <c r="H209" s="7" t="n">
        <f aca="false">01_Data!G209</f>
        <v>69321</v>
      </c>
      <c r="I209" s="7" t="n">
        <f aca="false">01_Data!H209</f>
        <v>75508</v>
      </c>
      <c r="J209" s="7" t="n">
        <f aca="false">H209-I209</f>
        <v>-6187</v>
      </c>
      <c r="K209" s="8" t="n">
        <f aca="false">IFERROR(J209/H209,0)</f>
        <v>-0.0892514533835346</v>
      </c>
      <c r="L209" s="7" t="n">
        <f aca="false">D209-H209</f>
        <v>58124</v>
      </c>
      <c r="M209" s="7" t="n">
        <f aca="false">E209-I209</f>
        <v>59945</v>
      </c>
      <c r="N209" s="7" t="n">
        <f aca="false">IFERROR(L209/D209,0)</f>
        <v>0.456071246420024</v>
      </c>
      <c r="O209" s="7" t="n">
        <f aca="false">IFERROR(M209/E209,0)</f>
        <v>0.442552029117111</v>
      </c>
      <c r="P209" s="7" t="n">
        <f aca="false">01_Data!I209+01_Data!K209+01_Data!M209+01_Data!O209+01_Data!Q209+01_Data!S209+01_Data!U209</f>
        <v>35856</v>
      </c>
      <c r="Q209" s="7" t="n">
        <f aca="false">01_Data!J209+01_Data!L209+01_Data!N209+01_Data!P209+01_Data!R209+01_Data!T209+01_Data!V209</f>
        <v>37170</v>
      </c>
      <c r="R209" s="7" t="n">
        <f aca="false">P209-Q209</f>
        <v>-1314</v>
      </c>
      <c r="S209" s="7" t="n">
        <f aca="false">L209-P209</f>
        <v>22268</v>
      </c>
      <c r="T209" s="7" t="n">
        <f aca="false">M209-Q209</f>
        <v>22775</v>
      </c>
      <c r="U209" s="7" t="n">
        <f aca="false">T209-S209</f>
        <v>507</v>
      </c>
      <c r="V209" s="8" t="n">
        <f aca="false">IFERROR(U209/S209,0)</f>
        <v>0.0227680977186995</v>
      </c>
      <c r="W209" s="5" t="str">
        <f aca="false">IF(V209&lt;-0.1,"ADVERSE &gt;10%","")</f>
        <v/>
      </c>
    </row>
    <row r="210" customFormat="false" ht="15" hidden="false" customHeight="false" outlineLevel="0" collapsed="false">
      <c r="A210" s="5" t="str">
        <f aca="false">01_Data!A210</f>
        <v>Banking &amp; Financial Services</v>
      </c>
      <c r="B210" s="5" t="str">
        <f aca="false">01_Data!C210</f>
        <v>2025-08</v>
      </c>
      <c r="C210" s="5" t="str">
        <f aca="false">01_Data!D210</f>
        <v>FY25</v>
      </c>
      <c r="D210" s="7" t="n">
        <f aca="false">01_Data!E210</f>
        <v>127325</v>
      </c>
      <c r="E210" s="7" t="n">
        <f aca="false">01_Data!F210</f>
        <v>134520</v>
      </c>
      <c r="F210" s="7" t="n">
        <f aca="false">E210-D210</f>
        <v>7195</v>
      </c>
      <c r="G210" s="8" t="n">
        <f aca="false">IFERROR(F210/D210,0)</f>
        <v>0.0565089338307481</v>
      </c>
      <c r="H210" s="7" t="n">
        <f aca="false">01_Data!G210</f>
        <v>74823</v>
      </c>
      <c r="I210" s="7" t="n">
        <f aca="false">01_Data!H210</f>
        <v>80114</v>
      </c>
      <c r="J210" s="7" t="n">
        <f aca="false">H210-I210</f>
        <v>-5291</v>
      </c>
      <c r="K210" s="8" t="n">
        <f aca="false">IFERROR(J210/H210,0)</f>
        <v>-0.0707135506461917</v>
      </c>
      <c r="L210" s="7" t="n">
        <f aca="false">D210-H210</f>
        <v>52502</v>
      </c>
      <c r="M210" s="7" t="n">
        <f aca="false">E210-I210</f>
        <v>54406</v>
      </c>
      <c r="N210" s="7" t="n">
        <f aca="false">IFERROR(L210/D210,0)</f>
        <v>0.412346357745926</v>
      </c>
      <c r="O210" s="7" t="n">
        <f aca="false">IFERROR(M210/E210,0)</f>
        <v>0.404445435622956</v>
      </c>
      <c r="P210" s="7" t="n">
        <f aca="false">01_Data!I210+01_Data!K210+01_Data!M210+01_Data!O210+01_Data!Q210+01_Data!S210+01_Data!U210</f>
        <v>33556</v>
      </c>
      <c r="Q210" s="7" t="n">
        <f aca="false">01_Data!J210+01_Data!L210+01_Data!N210+01_Data!P210+01_Data!R210+01_Data!T210+01_Data!V210</f>
        <v>33858</v>
      </c>
      <c r="R210" s="7" t="n">
        <f aca="false">P210-Q210</f>
        <v>-302</v>
      </c>
      <c r="S210" s="7" t="n">
        <f aca="false">L210-P210</f>
        <v>18946</v>
      </c>
      <c r="T210" s="7" t="n">
        <f aca="false">M210-Q210</f>
        <v>20548</v>
      </c>
      <c r="U210" s="7" t="n">
        <f aca="false">T210-S210</f>
        <v>1602</v>
      </c>
      <c r="V210" s="8" t="n">
        <f aca="false">IFERROR(U210/S210,0)</f>
        <v>0.0845561068299377</v>
      </c>
      <c r="W210" s="5" t="str">
        <f aca="false">IF(V210&lt;-0.1,"ADVERSE &gt;10%","")</f>
        <v/>
      </c>
    </row>
    <row r="211" customFormat="false" ht="15" hidden="false" customHeight="false" outlineLevel="0" collapsed="false">
      <c r="A211" s="5" t="str">
        <f aca="false">01_Data!A211</f>
        <v>Banking &amp; Financial Services</v>
      </c>
      <c r="B211" s="5" t="str">
        <f aca="false">01_Data!C211</f>
        <v>2025-09</v>
      </c>
      <c r="C211" s="5" t="str">
        <f aca="false">01_Data!D211</f>
        <v>FY25</v>
      </c>
      <c r="D211" s="7" t="n">
        <f aca="false">01_Data!E211</f>
        <v>152044</v>
      </c>
      <c r="E211" s="7" t="n">
        <f aca="false">01_Data!F211</f>
        <v>144616</v>
      </c>
      <c r="F211" s="7" t="n">
        <f aca="false">E211-D211</f>
        <v>-7428</v>
      </c>
      <c r="G211" s="8" t="n">
        <f aca="false">IFERROR(F211/D211,0)</f>
        <v>-0.0488542790244929</v>
      </c>
      <c r="H211" s="7" t="n">
        <f aca="false">01_Data!G211</f>
        <v>83072</v>
      </c>
      <c r="I211" s="7" t="n">
        <f aca="false">01_Data!H211</f>
        <v>81811</v>
      </c>
      <c r="J211" s="7" t="n">
        <f aca="false">H211-I211</f>
        <v>1261</v>
      </c>
      <c r="K211" s="8" t="n">
        <f aca="false">IFERROR(J211/H211,0)</f>
        <v>0.0151796032357473</v>
      </c>
      <c r="L211" s="7" t="n">
        <f aca="false">D211-H211</f>
        <v>68972</v>
      </c>
      <c r="M211" s="7" t="n">
        <f aca="false">E211-I211</f>
        <v>62805</v>
      </c>
      <c r="N211" s="7" t="n">
        <f aca="false">IFERROR(L211/D211,0)</f>
        <v>0.453631843413749</v>
      </c>
      <c r="O211" s="7" t="n">
        <f aca="false">IFERROR(M211/E211,0)</f>
        <v>0.434288045582785</v>
      </c>
      <c r="P211" s="7" t="n">
        <f aca="false">01_Data!I211+01_Data!K211+01_Data!M211+01_Data!O211+01_Data!Q211+01_Data!S211+01_Data!U211</f>
        <v>40672</v>
      </c>
      <c r="Q211" s="7" t="n">
        <f aca="false">01_Data!J211+01_Data!L211+01_Data!N211+01_Data!P211+01_Data!R211+01_Data!T211+01_Data!V211</f>
        <v>40478</v>
      </c>
      <c r="R211" s="7" t="n">
        <f aca="false">P211-Q211</f>
        <v>194</v>
      </c>
      <c r="S211" s="7" t="n">
        <f aca="false">L211-P211</f>
        <v>28300</v>
      </c>
      <c r="T211" s="7" t="n">
        <f aca="false">M211-Q211</f>
        <v>22327</v>
      </c>
      <c r="U211" s="7" t="n">
        <f aca="false">T211-S211</f>
        <v>-5973</v>
      </c>
      <c r="V211" s="8" t="n">
        <f aca="false">IFERROR(U211/S211,0)</f>
        <v>-0.211060070671378</v>
      </c>
      <c r="W211" s="5" t="str">
        <f aca="false">IF(V211&lt;-0.1,"ADVERSE &gt;10%","")</f>
        <v>ADVERSE &gt;10%</v>
      </c>
    </row>
    <row r="212" customFormat="false" ht="15" hidden="false" customHeight="false" outlineLevel="0" collapsed="false">
      <c r="A212" s="5" t="str">
        <f aca="false">01_Data!A212</f>
        <v>Banking &amp; Financial Services</v>
      </c>
      <c r="B212" s="5" t="str">
        <f aca="false">01_Data!C212</f>
        <v>2025-10</v>
      </c>
      <c r="C212" s="5" t="str">
        <f aca="false">01_Data!D212</f>
        <v>FY25</v>
      </c>
      <c r="D212" s="7" t="n">
        <f aca="false">01_Data!E212</f>
        <v>142521</v>
      </c>
      <c r="E212" s="7" t="n">
        <f aca="false">01_Data!F212</f>
        <v>135773</v>
      </c>
      <c r="F212" s="7" t="n">
        <f aca="false">E212-D212</f>
        <v>-6748</v>
      </c>
      <c r="G212" s="8" t="n">
        <f aca="false">IFERROR(F212/D212,0)</f>
        <v>-0.0473474084520878</v>
      </c>
      <c r="H212" s="7" t="n">
        <f aca="false">01_Data!G212</f>
        <v>83760</v>
      </c>
      <c r="I212" s="7" t="n">
        <f aca="false">01_Data!H212</f>
        <v>82030</v>
      </c>
      <c r="J212" s="7" t="n">
        <f aca="false">H212-I212</f>
        <v>1730</v>
      </c>
      <c r="K212" s="8" t="n">
        <f aca="false">IFERROR(J212/H212,0)</f>
        <v>0.0206542502387775</v>
      </c>
      <c r="L212" s="7" t="n">
        <f aca="false">D212-H212</f>
        <v>58761</v>
      </c>
      <c r="M212" s="7" t="n">
        <f aca="false">E212-I212</f>
        <v>53743</v>
      </c>
      <c r="N212" s="7" t="n">
        <f aca="false">IFERROR(L212/D212,0)</f>
        <v>0.412297135159029</v>
      </c>
      <c r="O212" s="7" t="n">
        <f aca="false">IFERROR(M212/E212,0)</f>
        <v>0.395829804158411</v>
      </c>
      <c r="P212" s="7" t="n">
        <f aca="false">01_Data!I212+01_Data!K212+01_Data!M212+01_Data!O212+01_Data!Q212+01_Data!S212+01_Data!U212</f>
        <v>37886</v>
      </c>
      <c r="Q212" s="7" t="n">
        <f aca="false">01_Data!J212+01_Data!L212+01_Data!N212+01_Data!P212+01_Data!R212+01_Data!T212+01_Data!V212</f>
        <v>39804</v>
      </c>
      <c r="R212" s="7" t="n">
        <f aca="false">P212-Q212</f>
        <v>-1918</v>
      </c>
      <c r="S212" s="7" t="n">
        <f aca="false">L212-P212</f>
        <v>20875</v>
      </c>
      <c r="T212" s="7" t="n">
        <f aca="false">M212-Q212</f>
        <v>13939</v>
      </c>
      <c r="U212" s="7" t="n">
        <f aca="false">T212-S212</f>
        <v>-6936</v>
      </c>
      <c r="V212" s="8" t="n">
        <f aca="false">IFERROR(U212/S212,0)</f>
        <v>-0.332263473053892</v>
      </c>
      <c r="W212" s="5" t="str">
        <f aca="false">IF(V212&lt;-0.1,"ADVERSE &gt;10%","")</f>
        <v>ADVERSE &gt;10%</v>
      </c>
    </row>
    <row r="213" customFormat="false" ht="15" hidden="false" customHeight="false" outlineLevel="0" collapsed="false">
      <c r="A213" s="5" t="str">
        <f aca="false">01_Data!A213</f>
        <v>Banking &amp; Financial Services</v>
      </c>
      <c r="B213" s="5" t="str">
        <f aca="false">01_Data!C213</f>
        <v>2025-11</v>
      </c>
      <c r="C213" s="5" t="str">
        <f aca="false">01_Data!D213</f>
        <v>FY25</v>
      </c>
      <c r="D213" s="7" t="n">
        <f aca="false">01_Data!E213</f>
        <v>138107</v>
      </c>
      <c r="E213" s="7" t="n">
        <f aca="false">01_Data!F213</f>
        <v>137899</v>
      </c>
      <c r="F213" s="7" t="n">
        <f aca="false">E213-D213</f>
        <v>-208</v>
      </c>
      <c r="G213" s="8" t="n">
        <f aca="false">IFERROR(F213/D213,0)</f>
        <v>-0.00150607862020028</v>
      </c>
      <c r="H213" s="7" t="n">
        <f aca="false">01_Data!G213</f>
        <v>75912</v>
      </c>
      <c r="I213" s="7" t="n">
        <f aca="false">01_Data!H213</f>
        <v>74562</v>
      </c>
      <c r="J213" s="7" t="n">
        <f aca="false">H213-I213</f>
        <v>1350</v>
      </c>
      <c r="K213" s="8" t="n">
        <f aca="false">IFERROR(J213/H213,0)</f>
        <v>0.0177837496048056</v>
      </c>
      <c r="L213" s="7" t="n">
        <f aca="false">D213-H213</f>
        <v>62195</v>
      </c>
      <c r="M213" s="7" t="n">
        <f aca="false">E213-I213</f>
        <v>63337</v>
      </c>
      <c r="N213" s="7" t="n">
        <f aca="false">IFERROR(L213/D213,0)</f>
        <v>0.450339229727675</v>
      </c>
      <c r="O213" s="7" t="n">
        <f aca="false">IFERROR(M213/E213,0)</f>
        <v>0.459299922406979</v>
      </c>
      <c r="P213" s="7" t="n">
        <f aca="false">01_Data!I213+01_Data!K213+01_Data!M213+01_Data!O213+01_Data!Q213+01_Data!S213+01_Data!U213</f>
        <v>37769</v>
      </c>
      <c r="Q213" s="7" t="n">
        <f aca="false">01_Data!J213+01_Data!L213+01_Data!N213+01_Data!P213+01_Data!R213+01_Data!T213+01_Data!V213</f>
        <v>38542</v>
      </c>
      <c r="R213" s="7" t="n">
        <f aca="false">P213-Q213</f>
        <v>-773</v>
      </c>
      <c r="S213" s="7" t="n">
        <f aca="false">L213-P213</f>
        <v>24426</v>
      </c>
      <c r="T213" s="7" t="n">
        <f aca="false">M213-Q213</f>
        <v>24795</v>
      </c>
      <c r="U213" s="7" t="n">
        <f aca="false">T213-S213</f>
        <v>369</v>
      </c>
      <c r="V213" s="8" t="n">
        <f aca="false">IFERROR(U213/S213,0)</f>
        <v>0.0151068533529845</v>
      </c>
      <c r="W213" s="5" t="str">
        <f aca="false">IF(V213&lt;-0.1,"ADVERSE &gt;10%","")</f>
        <v/>
      </c>
    </row>
    <row r="214" customFormat="false" ht="15" hidden="false" customHeight="false" outlineLevel="0" collapsed="false">
      <c r="A214" s="5" t="str">
        <f aca="false">01_Data!A214</f>
        <v>Banking &amp; Financial Services</v>
      </c>
      <c r="B214" s="5" t="str">
        <f aca="false">01_Data!C214</f>
        <v>2025-12</v>
      </c>
      <c r="C214" s="5" t="str">
        <f aca="false">01_Data!D214</f>
        <v>FY25</v>
      </c>
      <c r="D214" s="7" t="n">
        <f aca="false">01_Data!E214</f>
        <v>147690</v>
      </c>
      <c r="E214" s="7" t="n">
        <f aca="false">01_Data!F214</f>
        <v>150750</v>
      </c>
      <c r="F214" s="7" t="n">
        <f aca="false">E214-D214</f>
        <v>3060</v>
      </c>
      <c r="G214" s="8" t="n">
        <f aca="false">IFERROR(F214/D214,0)</f>
        <v>0.0207190737355271</v>
      </c>
      <c r="H214" s="7" t="n">
        <f aca="false">01_Data!G214</f>
        <v>80889</v>
      </c>
      <c r="I214" s="7" t="n">
        <f aca="false">01_Data!H214</f>
        <v>84490</v>
      </c>
      <c r="J214" s="7" t="n">
        <f aca="false">H214-I214</f>
        <v>-3601</v>
      </c>
      <c r="K214" s="8" t="n">
        <f aca="false">IFERROR(J214/H214,0)</f>
        <v>-0.0445177959920385</v>
      </c>
      <c r="L214" s="7" t="n">
        <f aca="false">D214-H214</f>
        <v>66801</v>
      </c>
      <c r="M214" s="7" t="n">
        <f aca="false">E214-I214</f>
        <v>66260</v>
      </c>
      <c r="N214" s="7" t="n">
        <f aca="false">IFERROR(L214/D214,0)</f>
        <v>0.452305504773512</v>
      </c>
      <c r="O214" s="7" t="n">
        <f aca="false">IFERROR(M214/E214,0)</f>
        <v>0.439535655058043</v>
      </c>
      <c r="P214" s="7" t="n">
        <f aca="false">01_Data!I214+01_Data!K214+01_Data!M214+01_Data!O214+01_Data!Q214+01_Data!S214+01_Data!U214</f>
        <v>37392</v>
      </c>
      <c r="Q214" s="7" t="n">
        <f aca="false">01_Data!J214+01_Data!L214+01_Data!N214+01_Data!P214+01_Data!R214+01_Data!T214+01_Data!V214</f>
        <v>38172</v>
      </c>
      <c r="R214" s="7" t="n">
        <f aca="false">P214-Q214</f>
        <v>-780</v>
      </c>
      <c r="S214" s="7" t="n">
        <f aca="false">L214-P214</f>
        <v>29409</v>
      </c>
      <c r="T214" s="7" t="n">
        <f aca="false">M214-Q214</f>
        <v>28088</v>
      </c>
      <c r="U214" s="7" t="n">
        <f aca="false">T214-S214</f>
        <v>-1321</v>
      </c>
      <c r="V214" s="8" t="n">
        <f aca="false">IFERROR(U214/S214,0)</f>
        <v>-0.0449182223128974</v>
      </c>
      <c r="W214" s="5" t="str">
        <f aca="false">IF(V214&lt;-0.1,"ADVERSE &gt;10%","")</f>
        <v/>
      </c>
    </row>
    <row r="215" customFormat="false" ht="15" hidden="false" customHeight="false" outlineLevel="0" collapsed="false">
      <c r="A215" s="5" t="str">
        <f aca="false">01_Data!A215</f>
        <v>Banking &amp; Financial Services</v>
      </c>
      <c r="B215" s="5" t="str">
        <f aca="false">01_Data!C215</f>
        <v>2026-01</v>
      </c>
      <c r="C215" s="5" t="str">
        <f aca="false">01_Data!D215</f>
        <v>FY25</v>
      </c>
      <c r="D215" s="7" t="n">
        <f aca="false">01_Data!E215</f>
        <v>142969</v>
      </c>
      <c r="E215" s="7" t="n">
        <f aca="false">01_Data!F215</f>
        <v>138970</v>
      </c>
      <c r="F215" s="7" t="n">
        <f aca="false">E215-D215</f>
        <v>-3999</v>
      </c>
      <c r="G215" s="8" t="n">
        <f aca="false">IFERROR(F215/D215,0)</f>
        <v>-0.0279710986297729</v>
      </c>
      <c r="H215" s="7" t="n">
        <f aca="false">01_Data!G215</f>
        <v>80944</v>
      </c>
      <c r="I215" s="7" t="n">
        <f aca="false">01_Data!H215</f>
        <v>81738</v>
      </c>
      <c r="J215" s="7" t="n">
        <f aca="false">H215-I215</f>
        <v>-794</v>
      </c>
      <c r="K215" s="8" t="n">
        <f aca="false">IFERROR(J215/H215,0)</f>
        <v>-0.00980925084008697</v>
      </c>
      <c r="L215" s="7" t="n">
        <f aca="false">D215-H215</f>
        <v>62025</v>
      </c>
      <c r="M215" s="7" t="n">
        <f aca="false">E215-I215</f>
        <v>57232</v>
      </c>
      <c r="N215" s="7" t="n">
        <f aca="false">IFERROR(L215/D215,0)</f>
        <v>0.433835306954655</v>
      </c>
      <c r="O215" s="7" t="n">
        <f aca="false">IFERROR(M215/E215,0)</f>
        <v>0.411829891343455</v>
      </c>
      <c r="P215" s="7" t="n">
        <f aca="false">01_Data!I215+01_Data!K215+01_Data!M215+01_Data!O215+01_Data!Q215+01_Data!S215+01_Data!U215</f>
        <v>37831</v>
      </c>
      <c r="Q215" s="7" t="n">
        <f aca="false">01_Data!J215+01_Data!L215+01_Data!N215+01_Data!P215+01_Data!R215+01_Data!T215+01_Data!V215</f>
        <v>38432</v>
      </c>
      <c r="R215" s="7" t="n">
        <f aca="false">P215-Q215</f>
        <v>-601</v>
      </c>
      <c r="S215" s="7" t="n">
        <f aca="false">L215-P215</f>
        <v>24194</v>
      </c>
      <c r="T215" s="7" t="n">
        <f aca="false">M215-Q215</f>
        <v>18800</v>
      </c>
      <c r="U215" s="7" t="n">
        <f aca="false">T215-S215</f>
        <v>-5394</v>
      </c>
      <c r="V215" s="8" t="n">
        <f aca="false">IFERROR(U215/S215,0)</f>
        <v>-0.222947838307018</v>
      </c>
      <c r="W215" s="5" t="str">
        <f aca="false">IF(V215&lt;-0.1,"ADVERSE &gt;10%","")</f>
        <v>ADVERSE &gt;10%</v>
      </c>
    </row>
    <row r="216" customFormat="false" ht="15" hidden="false" customHeight="false" outlineLevel="0" collapsed="false">
      <c r="A216" s="5" t="str">
        <f aca="false">01_Data!A216</f>
        <v>Banking &amp; Financial Services</v>
      </c>
      <c r="B216" s="5" t="str">
        <f aca="false">01_Data!C216</f>
        <v>2026-02</v>
      </c>
      <c r="C216" s="5" t="str">
        <f aca="false">01_Data!D216</f>
        <v>FY25</v>
      </c>
      <c r="D216" s="7" t="n">
        <f aca="false">01_Data!E216</f>
        <v>135254</v>
      </c>
      <c r="E216" s="7" t="n">
        <f aca="false">01_Data!F216</f>
        <v>142496</v>
      </c>
      <c r="F216" s="7" t="n">
        <f aca="false">E216-D216</f>
        <v>7242</v>
      </c>
      <c r="G216" s="8" t="n">
        <f aca="false">IFERROR(F216/D216,0)</f>
        <v>0.0535437029588774</v>
      </c>
      <c r="H216" s="7" t="n">
        <f aca="false">01_Data!G216</f>
        <v>73649</v>
      </c>
      <c r="I216" s="7" t="n">
        <f aca="false">01_Data!H216</f>
        <v>74875</v>
      </c>
      <c r="J216" s="7" t="n">
        <f aca="false">H216-I216</f>
        <v>-1226</v>
      </c>
      <c r="K216" s="8" t="n">
        <f aca="false">IFERROR(J216/H216,0)</f>
        <v>-0.0166465260899673</v>
      </c>
      <c r="L216" s="7" t="n">
        <f aca="false">D216-H216</f>
        <v>61605</v>
      </c>
      <c r="M216" s="7" t="n">
        <f aca="false">E216-I216</f>
        <v>67621</v>
      </c>
      <c r="N216" s="7" t="n">
        <f aca="false">IFERROR(L216/D216,0)</f>
        <v>0.455476362991113</v>
      </c>
      <c r="O216" s="7" t="n">
        <f aca="false">IFERROR(M216/E216,0)</f>
        <v>0.474546653941163</v>
      </c>
      <c r="P216" s="7" t="n">
        <f aca="false">01_Data!I216+01_Data!K216+01_Data!M216+01_Data!O216+01_Data!Q216+01_Data!S216+01_Data!U216</f>
        <v>36853</v>
      </c>
      <c r="Q216" s="7" t="n">
        <f aca="false">01_Data!J216+01_Data!L216+01_Data!N216+01_Data!P216+01_Data!R216+01_Data!T216+01_Data!V216</f>
        <v>36725</v>
      </c>
      <c r="R216" s="7" t="n">
        <f aca="false">P216-Q216</f>
        <v>128</v>
      </c>
      <c r="S216" s="7" t="n">
        <f aca="false">L216-P216</f>
        <v>24752</v>
      </c>
      <c r="T216" s="7" t="n">
        <f aca="false">M216-Q216</f>
        <v>30896</v>
      </c>
      <c r="U216" s="7" t="n">
        <f aca="false">T216-S216</f>
        <v>6144</v>
      </c>
      <c r="V216" s="8" t="n">
        <f aca="false">IFERROR(U216/S216,0)</f>
        <v>0.248222365869425</v>
      </c>
      <c r="W216" s="5" t="str">
        <f aca="false">IF(V216&lt;-0.1,"ADVERSE &gt;10%","")</f>
        <v/>
      </c>
    </row>
    <row r="217" customFormat="false" ht="15" hidden="false" customHeight="false" outlineLevel="0" collapsed="false">
      <c r="A217" s="5" t="str">
        <f aca="false">01_Data!A217</f>
        <v>Banking &amp; Financial Services</v>
      </c>
      <c r="B217" s="5" t="str">
        <f aca="false">01_Data!C217</f>
        <v>2026-03</v>
      </c>
      <c r="C217" s="5" t="str">
        <f aca="false">01_Data!D217</f>
        <v>FY25</v>
      </c>
      <c r="D217" s="7" t="n">
        <f aca="false">01_Data!E217</f>
        <v>153364</v>
      </c>
      <c r="E217" s="7" t="n">
        <f aca="false">01_Data!F217</f>
        <v>157309</v>
      </c>
      <c r="F217" s="7" t="n">
        <f aca="false">E217-D217</f>
        <v>3945</v>
      </c>
      <c r="G217" s="8" t="n">
        <f aca="false">IFERROR(F217/D217,0)</f>
        <v>0.025723116246316</v>
      </c>
      <c r="H217" s="7" t="n">
        <f aca="false">01_Data!G217</f>
        <v>87093</v>
      </c>
      <c r="I217" s="7" t="n">
        <f aca="false">01_Data!H217</f>
        <v>90201</v>
      </c>
      <c r="J217" s="7" t="n">
        <f aca="false">H217-I217</f>
        <v>-3108</v>
      </c>
      <c r="K217" s="8" t="n">
        <f aca="false">IFERROR(J217/H217,0)</f>
        <v>-0.0356859908373807</v>
      </c>
      <c r="L217" s="7" t="n">
        <f aca="false">D217-H217</f>
        <v>66271</v>
      </c>
      <c r="M217" s="7" t="n">
        <f aca="false">E217-I217</f>
        <v>67108</v>
      </c>
      <c r="N217" s="7" t="n">
        <f aca="false">IFERROR(L217/D217,0)</f>
        <v>0.432115750762891</v>
      </c>
      <c r="O217" s="7" t="n">
        <f aca="false">IFERROR(M217/E217,0)</f>
        <v>0.426599876675842</v>
      </c>
      <c r="P217" s="7" t="n">
        <f aca="false">01_Data!I217+01_Data!K217+01_Data!M217+01_Data!O217+01_Data!Q217+01_Data!S217+01_Data!U217</f>
        <v>41729</v>
      </c>
      <c r="Q217" s="7" t="n">
        <f aca="false">01_Data!J217+01_Data!L217+01_Data!N217+01_Data!P217+01_Data!R217+01_Data!T217+01_Data!V217</f>
        <v>43396</v>
      </c>
      <c r="R217" s="7" t="n">
        <f aca="false">P217-Q217</f>
        <v>-1667</v>
      </c>
      <c r="S217" s="7" t="n">
        <f aca="false">L217-P217</f>
        <v>24542</v>
      </c>
      <c r="T217" s="7" t="n">
        <f aca="false">M217-Q217</f>
        <v>23712</v>
      </c>
      <c r="U217" s="7" t="n">
        <f aca="false">T217-S217</f>
        <v>-830</v>
      </c>
      <c r="V217" s="8" t="n">
        <f aca="false">IFERROR(U217/S217,0)</f>
        <v>-0.0338195746067965</v>
      </c>
      <c r="W217" s="5" t="str">
        <f aca="false">IF(V217&lt;-0.1,"ADVERSE &gt;10%","")</f>
        <v/>
      </c>
    </row>
    <row r="218" customFormat="false" ht="15" hidden="false" customHeight="false" outlineLevel="0" collapsed="false">
      <c r="A218" s="5" t="str">
        <f aca="false">01_Data!A218</f>
        <v>Healthcare &amp; Life Sciences</v>
      </c>
      <c r="B218" s="5" t="str">
        <f aca="false">01_Data!C218</f>
        <v>2023-04</v>
      </c>
      <c r="C218" s="5" t="str">
        <f aca="false">01_Data!D218</f>
        <v>FY23</v>
      </c>
      <c r="D218" s="7" t="n">
        <f aca="false">01_Data!E218</f>
        <v>269116</v>
      </c>
      <c r="E218" s="7" t="n">
        <f aca="false">01_Data!F218</f>
        <v>269516</v>
      </c>
      <c r="F218" s="7" t="n">
        <f aca="false">E218-D218</f>
        <v>400</v>
      </c>
      <c r="G218" s="8" t="n">
        <f aca="false">IFERROR(F218/D218,0)</f>
        <v>0.00148634789458821</v>
      </c>
      <c r="H218" s="7" t="n">
        <f aca="false">01_Data!G218</f>
        <v>146338</v>
      </c>
      <c r="I218" s="7" t="n">
        <f aca="false">01_Data!H218</f>
        <v>146143</v>
      </c>
      <c r="J218" s="7" t="n">
        <f aca="false">H218-I218</f>
        <v>195</v>
      </c>
      <c r="K218" s="8" t="n">
        <f aca="false">IFERROR(J218/H218,0)</f>
        <v>0.0013325315365797</v>
      </c>
      <c r="L218" s="7" t="n">
        <f aca="false">D218-H218</f>
        <v>122778</v>
      </c>
      <c r="M218" s="7" t="n">
        <f aca="false">E218-I218</f>
        <v>123373</v>
      </c>
      <c r="N218" s="7" t="n">
        <f aca="false">IFERROR(L218/D218,0)</f>
        <v>0.456227054504377</v>
      </c>
      <c r="O218" s="7" t="n">
        <f aca="false">IFERROR(M218/E218,0)</f>
        <v>0.457757609937814</v>
      </c>
      <c r="P218" s="7" t="n">
        <f aca="false">01_Data!I218+01_Data!K218+01_Data!M218+01_Data!O218+01_Data!Q218+01_Data!S218+01_Data!U218</f>
        <v>69089</v>
      </c>
      <c r="Q218" s="7" t="n">
        <f aca="false">01_Data!J218+01_Data!L218+01_Data!N218+01_Data!P218+01_Data!R218+01_Data!T218+01_Data!V218</f>
        <v>69703</v>
      </c>
      <c r="R218" s="7" t="n">
        <f aca="false">P218-Q218</f>
        <v>-614</v>
      </c>
      <c r="S218" s="7" t="n">
        <f aca="false">L218-P218</f>
        <v>53689</v>
      </c>
      <c r="T218" s="7" t="n">
        <f aca="false">M218-Q218</f>
        <v>53670</v>
      </c>
      <c r="U218" s="7" t="n">
        <f aca="false">T218-S218</f>
        <v>-19</v>
      </c>
      <c r="V218" s="8" t="n">
        <f aca="false">IFERROR(U218/S218,0)</f>
        <v>-0.000353889996088584</v>
      </c>
      <c r="W218" s="5" t="str">
        <f aca="false">IF(V218&lt;-0.1,"ADVERSE &gt;10%","")</f>
        <v/>
      </c>
    </row>
    <row r="219" customFormat="false" ht="15" hidden="false" customHeight="false" outlineLevel="0" collapsed="false">
      <c r="A219" s="5" t="str">
        <f aca="false">01_Data!A219</f>
        <v>Healthcare &amp; Life Sciences</v>
      </c>
      <c r="B219" s="5" t="str">
        <f aca="false">01_Data!C219</f>
        <v>2023-05</v>
      </c>
      <c r="C219" s="5" t="str">
        <f aca="false">01_Data!D219</f>
        <v>FY23</v>
      </c>
      <c r="D219" s="7" t="n">
        <f aca="false">01_Data!E219</f>
        <v>261468</v>
      </c>
      <c r="E219" s="7" t="n">
        <f aca="false">01_Data!F219</f>
        <v>272118</v>
      </c>
      <c r="F219" s="7" t="n">
        <f aca="false">E219-D219</f>
        <v>10650</v>
      </c>
      <c r="G219" s="8" t="n">
        <f aca="false">IFERROR(F219/D219,0)</f>
        <v>0.0407315617972371</v>
      </c>
      <c r="H219" s="7" t="n">
        <f aca="false">01_Data!G219</f>
        <v>151448</v>
      </c>
      <c r="I219" s="7" t="n">
        <f aca="false">01_Data!H219</f>
        <v>157144</v>
      </c>
      <c r="J219" s="7" t="n">
        <f aca="false">H219-I219</f>
        <v>-5696</v>
      </c>
      <c r="K219" s="8" t="n">
        <f aca="false">IFERROR(J219/H219,0)</f>
        <v>-0.0376102688711637</v>
      </c>
      <c r="L219" s="7" t="n">
        <f aca="false">D219-H219</f>
        <v>110020</v>
      </c>
      <c r="M219" s="7" t="n">
        <f aca="false">E219-I219</f>
        <v>114974</v>
      </c>
      <c r="N219" s="7" t="n">
        <f aca="false">IFERROR(L219/D219,0)</f>
        <v>0.420778068444322</v>
      </c>
      <c r="O219" s="7" t="n">
        <f aca="false">IFERROR(M219/E219,0)</f>
        <v>0.422515232362431</v>
      </c>
      <c r="P219" s="7" t="n">
        <f aca="false">01_Data!I219+01_Data!K219+01_Data!M219+01_Data!O219+01_Data!Q219+01_Data!S219+01_Data!U219</f>
        <v>70633</v>
      </c>
      <c r="Q219" s="7" t="n">
        <f aca="false">01_Data!J219+01_Data!L219+01_Data!N219+01_Data!P219+01_Data!R219+01_Data!T219+01_Data!V219</f>
        <v>73729</v>
      </c>
      <c r="R219" s="7" t="n">
        <f aca="false">P219-Q219</f>
        <v>-3096</v>
      </c>
      <c r="S219" s="7" t="n">
        <f aca="false">L219-P219</f>
        <v>39387</v>
      </c>
      <c r="T219" s="7" t="n">
        <f aca="false">M219-Q219</f>
        <v>41245</v>
      </c>
      <c r="U219" s="7" t="n">
        <f aca="false">T219-S219</f>
        <v>1858</v>
      </c>
      <c r="V219" s="8" t="n">
        <f aca="false">IFERROR(U219/S219,0)</f>
        <v>0.047172925076802</v>
      </c>
      <c r="W219" s="5" t="str">
        <f aca="false">IF(V219&lt;-0.1,"ADVERSE &gt;10%","")</f>
        <v/>
      </c>
    </row>
    <row r="220" customFormat="false" ht="15" hidden="false" customHeight="false" outlineLevel="0" collapsed="false">
      <c r="A220" s="5" t="str">
        <f aca="false">01_Data!A220</f>
        <v>Healthcare &amp; Life Sciences</v>
      </c>
      <c r="B220" s="5" t="str">
        <f aca="false">01_Data!C220</f>
        <v>2023-06</v>
      </c>
      <c r="C220" s="5" t="str">
        <f aca="false">01_Data!D220</f>
        <v>FY23</v>
      </c>
      <c r="D220" s="7" t="n">
        <f aca="false">01_Data!E220</f>
        <v>274262</v>
      </c>
      <c r="E220" s="7" t="n">
        <f aca="false">01_Data!F220</f>
        <v>269620</v>
      </c>
      <c r="F220" s="7" t="n">
        <f aca="false">E220-D220</f>
        <v>-4642</v>
      </c>
      <c r="G220" s="8" t="n">
        <f aca="false">IFERROR(F220/D220,0)</f>
        <v>-0.0169254216770825</v>
      </c>
      <c r="H220" s="7" t="n">
        <f aca="false">01_Data!G220</f>
        <v>151582</v>
      </c>
      <c r="I220" s="7" t="n">
        <f aca="false">01_Data!H220</f>
        <v>146144</v>
      </c>
      <c r="J220" s="7" t="n">
        <f aca="false">H220-I220</f>
        <v>5438</v>
      </c>
      <c r="K220" s="8" t="n">
        <f aca="false">IFERROR(J220/H220,0)</f>
        <v>0.0358749719623702</v>
      </c>
      <c r="L220" s="7" t="n">
        <f aca="false">D220-H220</f>
        <v>122680</v>
      </c>
      <c r="M220" s="7" t="n">
        <f aca="false">E220-I220</f>
        <v>123476</v>
      </c>
      <c r="N220" s="7" t="n">
        <f aca="false">IFERROR(L220/D220,0)</f>
        <v>0.44730950696779</v>
      </c>
      <c r="O220" s="7" t="n">
        <f aca="false">IFERROR(M220/E220,0)</f>
        <v>0.457963059120243</v>
      </c>
      <c r="P220" s="7" t="n">
        <f aca="false">01_Data!I220+01_Data!K220+01_Data!M220+01_Data!O220+01_Data!Q220+01_Data!S220+01_Data!U220</f>
        <v>69731</v>
      </c>
      <c r="Q220" s="7" t="n">
        <f aca="false">01_Data!J220+01_Data!L220+01_Data!N220+01_Data!P220+01_Data!R220+01_Data!T220+01_Data!V220</f>
        <v>71246</v>
      </c>
      <c r="R220" s="7" t="n">
        <f aca="false">P220-Q220</f>
        <v>-1515</v>
      </c>
      <c r="S220" s="7" t="n">
        <f aca="false">L220-P220</f>
        <v>52949</v>
      </c>
      <c r="T220" s="7" t="n">
        <f aca="false">M220-Q220</f>
        <v>52230</v>
      </c>
      <c r="U220" s="7" t="n">
        <f aca="false">T220-S220</f>
        <v>-719</v>
      </c>
      <c r="V220" s="8" t="n">
        <f aca="false">IFERROR(U220/S220,0)</f>
        <v>-0.0135791044212355</v>
      </c>
      <c r="W220" s="5" t="str">
        <f aca="false">IF(V220&lt;-0.1,"ADVERSE &gt;10%","")</f>
        <v/>
      </c>
    </row>
    <row r="221" customFormat="false" ht="15" hidden="false" customHeight="false" outlineLevel="0" collapsed="false">
      <c r="A221" s="5" t="str">
        <f aca="false">01_Data!A221</f>
        <v>Healthcare &amp; Life Sciences</v>
      </c>
      <c r="B221" s="5" t="str">
        <f aca="false">01_Data!C221</f>
        <v>2023-07</v>
      </c>
      <c r="C221" s="5" t="str">
        <f aca="false">01_Data!D221</f>
        <v>FY23</v>
      </c>
      <c r="D221" s="7" t="n">
        <f aca="false">01_Data!E221</f>
        <v>272225</v>
      </c>
      <c r="E221" s="7" t="n">
        <f aca="false">01_Data!F221</f>
        <v>268058</v>
      </c>
      <c r="F221" s="7" t="n">
        <f aca="false">E221-D221</f>
        <v>-4167</v>
      </c>
      <c r="G221" s="8" t="n">
        <f aca="false">IFERROR(F221/D221,0)</f>
        <v>-0.0153071907429516</v>
      </c>
      <c r="H221" s="7" t="n">
        <f aca="false">01_Data!G221</f>
        <v>147642</v>
      </c>
      <c r="I221" s="7" t="n">
        <f aca="false">01_Data!H221</f>
        <v>147691</v>
      </c>
      <c r="J221" s="7" t="n">
        <f aca="false">H221-I221</f>
        <v>-49</v>
      </c>
      <c r="K221" s="8" t="n">
        <f aca="false">IFERROR(J221/H221,0)</f>
        <v>-0.000331883881280394</v>
      </c>
      <c r="L221" s="7" t="n">
        <f aca="false">D221-H221</f>
        <v>124583</v>
      </c>
      <c r="M221" s="7" t="n">
        <f aca="false">E221-I221</f>
        <v>120367</v>
      </c>
      <c r="N221" s="7" t="n">
        <f aca="false">IFERROR(L221/D221,0)</f>
        <v>0.457647166865644</v>
      </c>
      <c r="O221" s="7" t="n">
        <f aca="false">IFERROR(M221/E221,0)</f>
        <v>0.44903341814085</v>
      </c>
      <c r="P221" s="7" t="n">
        <f aca="false">01_Data!I221+01_Data!K221+01_Data!M221+01_Data!O221+01_Data!Q221+01_Data!S221+01_Data!U221</f>
        <v>67647</v>
      </c>
      <c r="Q221" s="7" t="n">
        <f aca="false">01_Data!J221+01_Data!L221+01_Data!N221+01_Data!P221+01_Data!R221+01_Data!T221+01_Data!V221</f>
        <v>69154</v>
      </c>
      <c r="R221" s="7" t="n">
        <f aca="false">P221-Q221</f>
        <v>-1507</v>
      </c>
      <c r="S221" s="7" t="n">
        <f aca="false">L221-P221</f>
        <v>56936</v>
      </c>
      <c r="T221" s="7" t="n">
        <f aca="false">M221-Q221</f>
        <v>51213</v>
      </c>
      <c r="U221" s="7" t="n">
        <f aca="false">T221-S221</f>
        <v>-5723</v>
      </c>
      <c r="V221" s="8" t="n">
        <f aca="false">IFERROR(U221/S221,0)</f>
        <v>-0.100516369256709</v>
      </c>
      <c r="W221" s="5" t="str">
        <f aca="false">IF(V221&lt;-0.1,"ADVERSE &gt;10%","")</f>
        <v>ADVERSE &gt;10%</v>
      </c>
    </row>
    <row r="222" customFormat="false" ht="15" hidden="false" customHeight="false" outlineLevel="0" collapsed="false">
      <c r="A222" s="5" t="str">
        <f aca="false">01_Data!A222</f>
        <v>Healthcare &amp; Life Sciences</v>
      </c>
      <c r="B222" s="5" t="str">
        <f aca="false">01_Data!C222</f>
        <v>2023-08</v>
      </c>
      <c r="C222" s="5" t="str">
        <f aca="false">01_Data!D222</f>
        <v>FY23</v>
      </c>
      <c r="D222" s="7" t="n">
        <f aca="false">01_Data!E222</f>
        <v>277176</v>
      </c>
      <c r="E222" s="7" t="n">
        <f aca="false">01_Data!F222</f>
        <v>266607</v>
      </c>
      <c r="F222" s="7" t="n">
        <f aca="false">E222-D222</f>
        <v>-10569</v>
      </c>
      <c r="G222" s="8" t="n">
        <f aca="false">IFERROR(F222/D222,0)</f>
        <v>-0.0381310070135943</v>
      </c>
      <c r="H222" s="7" t="n">
        <f aca="false">01_Data!G222</f>
        <v>159667</v>
      </c>
      <c r="I222" s="7" t="n">
        <f aca="false">01_Data!H222</f>
        <v>158839</v>
      </c>
      <c r="J222" s="7" t="n">
        <f aca="false">H222-I222</f>
        <v>828</v>
      </c>
      <c r="K222" s="8" t="n">
        <f aca="false">IFERROR(J222/H222,0)</f>
        <v>0.00518579293153877</v>
      </c>
      <c r="L222" s="7" t="n">
        <f aca="false">D222-H222</f>
        <v>117509</v>
      </c>
      <c r="M222" s="7" t="n">
        <f aca="false">E222-I222</f>
        <v>107768</v>
      </c>
      <c r="N222" s="7" t="n">
        <f aca="false">IFERROR(L222/D222,0)</f>
        <v>0.42395084711519</v>
      </c>
      <c r="O222" s="7" t="n">
        <f aca="false">IFERROR(M222/E222,0)</f>
        <v>0.404220444324418</v>
      </c>
      <c r="P222" s="7" t="n">
        <f aca="false">01_Data!I222+01_Data!K222+01_Data!M222+01_Data!O222+01_Data!Q222+01_Data!S222+01_Data!U222</f>
        <v>77387</v>
      </c>
      <c r="Q222" s="7" t="n">
        <f aca="false">01_Data!J222+01_Data!L222+01_Data!N222+01_Data!P222+01_Data!R222+01_Data!T222+01_Data!V222</f>
        <v>76219</v>
      </c>
      <c r="R222" s="7" t="n">
        <f aca="false">P222-Q222</f>
        <v>1168</v>
      </c>
      <c r="S222" s="7" t="n">
        <f aca="false">L222-P222</f>
        <v>40122</v>
      </c>
      <c r="T222" s="7" t="n">
        <f aca="false">M222-Q222</f>
        <v>31549</v>
      </c>
      <c r="U222" s="7" t="n">
        <f aca="false">T222-S222</f>
        <v>-8573</v>
      </c>
      <c r="V222" s="8" t="n">
        <f aca="false">IFERROR(U222/S222,0)</f>
        <v>-0.21367329644584</v>
      </c>
      <c r="W222" s="5" t="str">
        <f aca="false">IF(V222&lt;-0.1,"ADVERSE &gt;10%","")</f>
        <v>ADVERSE &gt;10%</v>
      </c>
    </row>
    <row r="223" customFormat="false" ht="15" hidden="false" customHeight="false" outlineLevel="0" collapsed="false">
      <c r="A223" s="5" t="str">
        <f aca="false">01_Data!A223</f>
        <v>Healthcare &amp; Life Sciences</v>
      </c>
      <c r="B223" s="5" t="str">
        <f aca="false">01_Data!C223</f>
        <v>2023-09</v>
      </c>
      <c r="C223" s="5" t="str">
        <f aca="false">01_Data!D223</f>
        <v>FY23</v>
      </c>
      <c r="D223" s="7" t="n">
        <f aca="false">01_Data!E223</f>
        <v>272802</v>
      </c>
      <c r="E223" s="7" t="n">
        <f aca="false">01_Data!F223</f>
        <v>284778</v>
      </c>
      <c r="F223" s="7" t="n">
        <f aca="false">E223-D223</f>
        <v>11976</v>
      </c>
      <c r="G223" s="8" t="n">
        <f aca="false">IFERROR(F223/D223,0)</f>
        <v>0.0438999714078343</v>
      </c>
      <c r="H223" s="7" t="n">
        <f aca="false">01_Data!G223</f>
        <v>148889</v>
      </c>
      <c r="I223" s="7" t="n">
        <f aca="false">01_Data!H223</f>
        <v>156506</v>
      </c>
      <c r="J223" s="7" t="n">
        <f aca="false">H223-I223</f>
        <v>-7617</v>
      </c>
      <c r="K223" s="8" t="n">
        <f aca="false">IFERROR(J223/H223,0)</f>
        <v>-0.0511589170455843</v>
      </c>
      <c r="L223" s="7" t="n">
        <f aca="false">D223-H223</f>
        <v>123913</v>
      </c>
      <c r="M223" s="7" t="n">
        <f aca="false">E223-I223</f>
        <v>128272</v>
      </c>
      <c r="N223" s="7" t="n">
        <f aca="false">IFERROR(L223/D223,0)</f>
        <v>0.454223209507262</v>
      </c>
      <c r="O223" s="7" t="n">
        <f aca="false">IFERROR(M223/E223,0)</f>
        <v>0.450428052728792</v>
      </c>
      <c r="P223" s="7" t="n">
        <f aca="false">01_Data!I223+01_Data!K223+01_Data!M223+01_Data!O223+01_Data!Q223+01_Data!S223+01_Data!U223</f>
        <v>74425</v>
      </c>
      <c r="Q223" s="7" t="n">
        <f aca="false">01_Data!J223+01_Data!L223+01_Data!N223+01_Data!P223+01_Data!R223+01_Data!T223+01_Data!V223</f>
        <v>74272</v>
      </c>
      <c r="R223" s="7" t="n">
        <f aca="false">P223-Q223</f>
        <v>153</v>
      </c>
      <c r="S223" s="7" t="n">
        <f aca="false">L223-P223</f>
        <v>49488</v>
      </c>
      <c r="T223" s="7" t="n">
        <f aca="false">M223-Q223</f>
        <v>54000</v>
      </c>
      <c r="U223" s="7" t="n">
        <f aca="false">T223-S223</f>
        <v>4512</v>
      </c>
      <c r="V223" s="8" t="n">
        <f aca="false">IFERROR(U223/S223,0)</f>
        <v>0.0911736178467507</v>
      </c>
      <c r="W223" s="5" t="str">
        <f aca="false">IF(V223&lt;-0.1,"ADVERSE &gt;10%","")</f>
        <v/>
      </c>
    </row>
    <row r="224" customFormat="false" ht="15" hidden="false" customHeight="false" outlineLevel="0" collapsed="false">
      <c r="A224" s="5" t="str">
        <f aca="false">01_Data!A224</f>
        <v>Healthcare &amp; Life Sciences</v>
      </c>
      <c r="B224" s="5" t="str">
        <f aca="false">01_Data!C224</f>
        <v>2023-10</v>
      </c>
      <c r="C224" s="5" t="str">
        <f aca="false">01_Data!D224</f>
        <v>FY23</v>
      </c>
      <c r="D224" s="7" t="n">
        <f aca="false">01_Data!E224</f>
        <v>265968</v>
      </c>
      <c r="E224" s="7" t="n">
        <f aca="false">01_Data!F224</f>
        <v>265020</v>
      </c>
      <c r="F224" s="7" t="n">
        <f aca="false">E224-D224</f>
        <v>-948</v>
      </c>
      <c r="G224" s="8" t="n">
        <f aca="false">IFERROR(F224/D224,0)</f>
        <v>-0.00356433856704566</v>
      </c>
      <c r="H224" s="7" t="n">
        <f aca="false">01_Data!G224</f>
        <v>147285</v>
      </c>
      <c r="I224" s="7" t="n">
        <f aca="false">01_Data!H224</f>
        <v>152091</v>
      </c>
      <c r="J224" s="7" t="n">
        <f aca="false">H224-I224</f>
        <v>-4806</v>
      </c>
      <c r="K224" s="8" t="n">
        <f aca="false">IFERROR(J224/H224,0)</f>
        <v>-0.0326306141154904</v>
      </c>
      <c r="L224" s="7" t="n">
        <f aca="false">D224-H224</f>
        <v>118683</v>
      </c>
      <c r="M224" s="7" t="n">
        <f aca="false">E224-I224</f>
        <v>112929</v>
      </c>
      <c r="N224" s="7" t="n">
        <f aca="false">IFERROR(L224/D224,0)</f>
        <v>0.446230373578776</v>
      </c>
      <c r="O224" s="7" t="n">
        <f aca="false">IFERROR(M224/E224,0)</f>
        <v>0.42611501018791</v>
      </c>
      <c r="P224" s="7" t="n">
        <f aca="false">01_Data!I224+01_Data!K224+01_Data!M224+01_Data!O224+01_Data!Q224+01_Data!S224+01_Data!U224</f>
        <v>74622</v>
      </c>
      <c r="Q224" s="7" t="n">
        <f aca="false">01_Data!J224+01_Data!L224+01_Data!N224+01_Data!P224+01_Data!R224+01_Data!T224+01_Data!V224</f>
        <v>75697</v>
      </c>
      <c r="R224" s="7" t="n">
        <f aca="false">P224-Q224</f>
        <v>-1075</v>
      </c>
      <c r="S224" s="7" t="n">
        <f aca="false">L224-P224</f>
        <v>44061</v>
      </c>
      <c r="T224" s="7" t="n">
        <f aca="false">M224-Q224</f>
        <v>37232</v>
      </c>
      <c r="U224" s="7" t="n">
        <f aca="false">T224-S224</f>
        <v>-6829</v>
      </c>
      <c r="V224" s="8" t="n">
        <f aca="false">IFERROR(U224/S224,0)</f>
        <v>-0.154989673407322</v>
      </c>
      <c r="W224" s="5" t="str">
        <f aca="false">IF(V224&lt;-0.1,"ADVERSE &gt;10%","")</f>
        <v>ADVERSE &gt;10%</v>
      </c>
    </row>
    <row r="225" customFormat="false" ht="15" hidden="false" customHeight="false" outlineLevel="0" collapsed="false">
      <c r="A225" s="5" t="str">
        <f aca="false">01_Data!A225</f>
        <v>Healthcare &amp; Life Sciences</v>
      </c>
      <c r="B225" s="5" t="str">
        <f aca="false">01_Data!C225</f>
        <v>2023-11</v>
      </c>
      <c r="C225" s="5" t="str">
        <f aca="false">01_Data!D225</f>
        <v>FY23</v>
      </c>
      <c r="D225" s="7" t="n">
        <f aca="false">01_Data!E225</f>
        <v>270402</v>
      </c>
      <c r="E225" s="7" t="n">
        <f aca="false">01_Data!F225</f>
        <v>263782</v>
      </c>
      <c r="F225" s="7" t="n">
        <f aca="false">E225-D225</f>
        <v>-6620</v>
      </c>
      <c r="G225" s="8" t="n">
        <f aca="false">IFERROR(F225/D225,0)</f>
        <v>-0.0244820674403296</v>
      </c>
      <c r="H225" s="7" t="n">
        <f aca="false">01_Data!G225</f>
        <v>158825</v>
      </c>
      <c r="I225" s="7" t="n">
        <f aca="false">01_Data!H225</f>
        <v>157284</v>
      </c>
      <c r="J225" s="7" t="n">
        <f aca="false">H225-I225</f>
        <v>1541</v>
      </c>
      <c r="K225" s="8" t="n">
        <f aca="false">IFERROR(J225/H225,0)</f>
        <v>0.00970250275460412</v>
      </c>
      <c r="L225" s="7" t="n">
        <f aca="false">D225-H225</f>
        <v>111577</v>
      </c>
      <c r="M225" s="7" t="n">
        <f aca="false">E225-I225</f>
        <v>106498</v>
      </c>
      <c r="N225" s="7" t="n">
        <f aca="false">IFERROR(L225/D225,0)</f>
        <v>0.41263378229451</v>
      </c>
      <c r="O225" s="7" t="n">
        <f aca="false">IFERROR(M225/E225,0)</f>
        <v>0.403734902305692</v>
      </c>
      <c r="P225" s="7" t="n">
        <f aca="false">01_Data!I225+01_Data!K225+01_Data!M225+01_Data!O225+01_Data!Q225+01_Data!S225+01_Data!U225</f>
        <v>67178</v>
      </c>
      <c r="Q225" s="7" t="n">
        <f aca="false">01_Data!J225+01_Data!L225+01_Data!N225+01_Data!P225+01_Data!R225+01_Data!T225+01_Data!V225</f>
        <v>66890</v>
      </c>
      <c r="R225" s="7" t="n">
        <f aca="false">P225-Q225</f>
        <v>288</v>
      </c>
      <c r="S225" s="7" t="n">
        <f aca="false">L225-P225</f>
        <v>44399</v>
      </c>
      <c r="T225" s="7" t="n">
        <f aca="false">M225-Q225</f>
        <v>39608</v>
      </c>
      <c r="U225" s="7" t="n">
        <f aca="false">T225-S225</f>
        <v>-4791</v>
      </c>
      <c r="V225" s="8" t="n">
        <f aca="false">IFERROR(U225/S225,0)</f>
        <v>-0.107907835762067</v>
      </c>
      <c r="W225" s="5" t="str">
        <f aca="false">IF(V225&lt;-0.1,"ADVERSE &gt;10%","")</f>
        <v>ADVERSE &gt;10%</v>
      </c>
    </row>
    <row r="226" customFormat="false" ht="15" hidden="false" customHeight="false" outlineLevel="0" collapsed="false">
      <c r="A226" s="5" t="str">
        <f aca="false">01_Data!A226</f>
        <v>Healthcare &amp; Life Sciences</v>
      </c>
      <c r="B226" s="5" t="str">
        <f aca="false">01_Data!C226</f>
        <v>2023-12</v>
      </c>
      <c r="C226" s="5" t="str">
        <f aca="false">01_Data!D226</f>
        <v>FY23</v>
      </c>
      <c r="D226" s="7" t="n">
        <f aca="false">01_Data!E226</f>
        <v>282578</v>
      </c>
      <c r="E226" s="7" t="n">
        <f aca="false">01_Data!F226</f>
        <v>285551</v>
      </c>
      <c r="F226" s="7" t="n">
        <f aca="false">E226-D226</f>
        <v>2973</v>
      </c>
      <c r="G226" s="8" t="n">
        <f aca="false">IFERROR(F226/D226,0)</f>
        <v>0.0105209888951015</v>
      </c>
      <c r="H226" s="7" t="n">
        <f aca="false">01_Data!G226</f>
        <v>165881</v>
      </c>
      <c r="I226" s="7" t="n">
        <f aca="false">01_Data!H226</f>
        <v>168804</v>
      </c>
      <c r="J226" s="7" t="n">
        <f aca="false">H226-I226</f>
        <v>-2923</v>
      </c>
      <c r="K226" s="8" t="n">
        <f aca="false">IFERROR(J226/H226,0)</f>
        <v>-0.0176210657037274</v>
      </c>
      <c r="L226" s="7" t="n">
        <f aca="false">D226-H226</f>
        <v>116697</v>
      </c>
      <c r="M226" s="7" t="n">
        <f aca="false">E226-I226</f>
        <v>116747</v>
      </c>
      <c r="N226" s="7" t="n">
        <f aca="false">IFERROR(L226/D226,0)</f>
        <v>0.412972701342638</v>
      </c>
      <c r="O226" s="7" t="n">
        <f aca="false">IFERROR(M226/E226,0)</f>
        <v>0.408848156721566</v>
      </c>
      <c r="P226" s="7" t="n">
        <f aca="false">01_Data!I226+01_Data!K226+01_Data!M226+01_Data!O226+01_Data!Q226+01_Data!S226+01_Data!U226</f>
        <v>72977</v>
      </c>
      <c r="Q226" s="7" t="n">
        <f aca="false">01_Data!J226+01_Data!L226+01_Data!N226+01_Data!P226+01_Data!R226+01_Data!T226+01_Data!V226</f>
        <v>75446</v>
      </c>
      <c r="R226" s="7" t="n">
        <f aca="false">P226-Q226</f>
        <v>-2469</v>
      </c>
      <c r="S226" s="7" t="n">
        <f aca="false">L226-P226</f>
        <v>43720</v>
      </c>
      <c r="T226" s="7" t="n">
        <f aca="false">M226-Q226</f>
        <v>41301</v>
      </c>
      <c r="U226" s="7" t="n">
        <f aca="false">T226-S226</f>
        <v>-2419</v>
      </c>
      <c r="V226" s="8" t="n">
        <f aca="false">IFERROR(U226/S226,0)</f>
        <v>-0.0553293687099726</v>
      </c>
      <c r="W226" s="5" t="str">
        <f aca="false">IF(V226&lt;-0.1,"ADVERSE &gt;10%","")</f>
        <v/>
      </c>
    </row>
    <row r="227" customFormat="false" ht="15" hidden="false" customHeight="false" outlineLevel="0" collapsed="false">
      <c r="A227" s="5" t="str">
        <f aca="false">01_Data!A227</f>
        <v>Healthcare &amp; Life Sciences</v>
      </c>
      <c r="B227" s="5" t="str">
        <f aca="false">01_Data!C227</f>
        <v>2024-01</v>
      </c>
      <c r="C227" s="5" t="str">
        <f aca="false">01_Data!D227</f>
        <v>FY23</v>
      </c>
      <c r="D227" s="7" t="n">
        <f aca="false">01_Data!E227</f>
        <v>264379</v>
      </c>
      <c r="E227" s="7" t="n">
        <f aca="false">01_Data!F227</f>
        <v>269606</v>
      </c>
      <c r="F227" s="7" t="n">
        <f aca="false">E227-D227</f>
        <v>5227</v>
      </c>
      <c r="G227" s="8" t="n">
        <f aca="false">IFERROR(F227/D227,0)</f>
        <v>0.019770859258867</v>
      </c>
      <c r="H227" s="7" t="n">
        <f aca="false">01_Data!G227</f>
        <v>151498</v>
      </c>
      <c r="I227" s="7" t="n">
        <f aca="false">01_Data!H227</f>
        <v>158498</v>
      </c>
      <c r="J227" s="7" t="n">
        <f aca="false">H227-I227</f>
        <v>-7000</v>
      </c>
      <c r="K227" s="8" t="n">
        <f aca="false">IFERROR(J227/H227,0)</f>
        <v>-0.0462052304320849</v>
      </c>
      <c r="L227" s="7" t="n">
        <f aca="false">D227-H227</f>
        <v>112881</v>
      </c>
      <c r="M227" s="7" t="n">
        <f aca="false">E227-I227</f>
        <v>111108</v>
      </c>
      <c r="N227" s="7" t="n">
        <f aca="false">IFERROR(L227/D227,0)</f>
        <v>0.426966589630795</v>
      </c>
      <c r="O227" s="7" t="n">
        <f aca="false">IFERROR(M227/E227,0)</f>
        <v>0.412112490078114</v>
      </c>
      <c r="P227" s="7" t="n">
        <f aca="false">01_Data!I227+01_Data!K227+01_Data!M227+01_Data!O227+01_Data!Q227+01_Data!S227+01_Data!U227</f>
        <v>72548</v>
      </c>
      <c r="Q227" s="7" t="n">
        <f aca="false">01_Data!J227+01_Data!L227+01_Data!N227+01_Data!P227+01_Data!R227+01_Data!T227+01_Data!V227</f>
        <v>70155</v>
      </c>
      <c r="R227" s="7" t="n">
        <f aca="false">P227-Q227</f>
        <v>2393</v>
      </c>
      <c r="S227" s="7" t="n">
        <f aca="false">L227-P227</f>
        <v>40333</v>
      </c>
      <c r="T227" s="7" t="n">
        <f aca="false">M227-Q227</f>
        <v>40953</v>
      </c>
      <c r="U227" s="7" t="n">
        <f aca="false">T227-S227</f>
        <v>620</v>
      </c>
      <c r="V227" s="8" t="n">
        <f aca="false">IFERROR(U227/S227,0)</f>
        <v>0.0153720278679989</v>
      </c>
      <c r="W227" s="5" t="str">
        <f aca="false">IF(V227&lt;-0.1,"ADVERSE &gt;10%","")</f>
        <v/>
      </c>
    </row>
    <row r="228" customFormat="false" ht="15" hidden="false" customHeight="false" outlineLevel="0" collapsed="false">
      <c r="A228" s="5" t="str">
        <f aca="false">01_Data!A228</f>
        <v>Healthcare &amp; Life Sciences</v>
      </c>
      <c r="B228" s="5" t="str">
        <f aca="false">01_Data!C228</f>
        <v>2024-02</v>
      </c>
      <c r="C228" s="5" t="str">
        <f aca="false">01_Data!D228</f>
        <v>FY23</v>
      </c>
      <c r="D228" s="7" t="n">
        <f aca="false">01_Data!E228</f>
        <v>273654</v>
      </c>
      <c r="E228" s="7" t="n">
        <f aca="false">01_Data!F228</f>
        <v>272966</v>
      </c>
      <c r="F228" s="7" t="n">
        <f aca="false">E228-D228</f>
        <v>-688</v>
      </c>
      <c r="G228" s="8" t="n">
        <f aca="false">IFERROR(F228/D228,0)</f>
        <v>-0.00251412367442098</v>
      </c>
      <c r="H228" s="7" t="n">
        <f aca="false">01_Data!G228</f>
        <v>159457</v>
      </c>
      <c r="I228" s="7" t="n">
        <f aca="false">01_Data!H228</f>
        <v>161751</v>
      </c>
      <c r="J228" s="7" t="n">
        <f aca="false">H228-I228</f>
        <v>-2294</v>
      </c>
      <c r="K228" s="8" t="n">
        <f aca="false">IFERROR(J228/H228,0)</f>
        <v>-0.0143863235856689</v>
      </c>
      <c r="L228" s="7" t="n">
        <f aca="false">D228-H228</f>
        <v>114197</v>
      </c>
      <c r="M228" s="7" t="n">
        <f aca="false">E228-I228</f>
        <v>111215</v>
      </c>
      <c r="N228" s="7" t="n">
        <f aca="false">IFERROR(L228/D228,0)</f>
        <v>0.417304333209089</v>
      </c>
      <c r="O228" s="7" t="n">
        <f aca="false">IFERROR(M228/E228,0)</f>
        <v>0.407431694789827</v>
      </c>
      <c r="P228" s="7" t="n">
        <f aca="false">01_Data!I228+01_Data!K228+01_Data!M228+01_Data!O228+01_Data!Q228+01_Data!S228+01_Data!U228</f>
        <v>75662</v>
      </c>
      <c r="Q228" s="7" t="n">
        <f aca="false">01_Data!J228+01_Data!L228+01_Data!N228+01_Data!P228+01_Data!R228+01_Data!T228+01_Data!V228</f>
        <v>78133</v>
      </c>
      <c r="R228" s="7" t="n">
        <f aca="false">P228-Q228</f>
        <v>-2471</v>
      </c>
      <c r="S228" s="7" t="n">
        <f aca="false">L228-P228</f>
        <v>38535</v>
      </c>
      <c r="T228" s="7" t="n">
        <f aca="false">M228-Q228</f>
        <v>33082</v>
      </c>
      <c r="U228" s="7" t="n">
        <f aca="false">T228-S228</f>
        <v>-5453</v>
      </c>
      <c r="V228" s="8" t="n">
        <f aca="false">IFERROR(U228/S228,0)</f>
        <v>-0.141507720254314</v>
      </c>
      <c r="W228" s="5" t="str">
        <f aca="false">IF(V228&lt;-0.1,"ADVERSE &gt;10%","")</f>
        <v>ADVERSE &gt;10%</v>
      </c>
    </row>
    <row r="229" customFormat="false" ht="15" hidden="false" customHeight="false" outlineLevel="0" collapsed="false">
      <c r="A229" s="5" t="str">
        <f aca="false">01_Data!A229</f>
        <v>Healthcare &amp; Life Sciences</v>
      </c>
      <c r="B229" s="5" t="str">
        <f aca="false">01_Data!C229</f>
        <v>2024-03</v>
      </c>
      <c r="C229" s="5" t="str">
        <f aca="false">01_Data!D229</f>
        <v>FY23</v>
      </c>
      <c r="D229" s="7" t="n">
        <f aca="false">01_Data!E229</f>
        <v>272100</v>
      </c>
      <c r="E229" s="7" t="n">
        <f aca="false">01_Data!F229</f>
        <v>289458</v>
      </c>
      <c r="F229" s="7" t="n">
        <f aca="false">E229-D229</f>
        <v>17358</v>
      </c>
      <c r="G229" s="8" t="n">
        <f aca="false">IFERROR(F229/D229,0)</f>
        <v>0.0637927232635061</v>
      </c>
      <c r="H229" s="7" t="n">
        <f aca="false">01_Data!G229</f>
        <v>149504</v>
      </c>
      <c r="I229" s="7" t="n">
        <f aca="false">01_Data!H229</f>
        <v>167679</v>
      </c>
      <c r="J229" s="7" t="n">
        <f aca="false">H229-I229</f>
        <v>-18175</v>
      </c>
      <c r="K229" s="8" t="n">
        <f aca="false">IFERROR(J229/H229,0)</f>
        <v>-0.121568653681507</v>
      </c>
      <c r="L229" s="7" t="n">
        <f aca="false">D229-H229</f>
        <v>122596</v>
      </c>
      <c r="M229" s="7" t="n">
        <f aca="false">E229-I229</f>
        <v>121779</v>
      </c>
      <c r="N229" s="7" t="n">
        <f aca="false">IFERROR(L229/D229,0)</f>
        <v>0.450554943035649</v>
      </c>
      <c r="O229" s="7" t="n">
        <f aca="false">IFERROR(M229/E229,0)</f>
        <v>0.420713885952366</v>
      </c>
      <c r="P229" s="7" t="n">
        <f aca="false">01_Data!I229+01_Data!K229+01_Data!M229+01_Data!O229+01_Data!Q229+01_Data!S229+01_Data!U229</f>
        <v>74834</v>
      </c>
      <c r="Q229" s="7" t="n">
        <f aca="false">01_Data!J229+01_Data!L229+01_Data!N229+01_Data!P229+01_Data!R229+01_Data!T229+01_Data!V229</f>
        <v>75666</v>
      </c>
      <c r="R229" s="7" t="n">
        <f aca="false">P229-Q229</f>
        <v>-832</v>
      </c>
      <c r="S229" s="7" t="n">
        <f aca="false">L229-P229</f>
        <v>47762</v>
      </c>
      <c r="T229" s="7" t="n">
        <f aca="false">M229-Q229</f>
        <v>46113</v>
      </c>
      <c r="U229" s="7" t="n">
        <f aca="false">T229-S229</f>
        <v>-1649</v>
      </c>
      <c r="V229" s="8" t="n">
        <f aca="false">IFERROR(U229/S229,0)</f>
        <v>-0.0345253548846363</v>
      </c>
      <c r="W229" s="5" t="str">
        <f aca="false">IF(V229&lt;-0.1,"ADVERSE &gt;10%","")</f>
        <v/>
      </c>
    </row>
    <row r="230" customFormat="false" ht="15" hidden="false" customHeight="false" outlineLevel="0" collapsed="false">
      <c r="A230" s="5" t="str">
        <f aca="false">01_Data!A230</f>
        <v>Healthcare &amp; Life Sciences</v>
      </c>
      <c r="B230" s="5" t="str">
        <f aca="false">01_Data!C230</f>
        <v>2024-04</v>
      </c>
      <c r="C230" s="5" t="str">
        <f aca="false">01_Data!D230</f>
        <v>FY24</v>
      </c>
      <c r="D230" s="7" t="n">
        <f aca="false">01_Data!E230</f>
        <v>265452</v>
      </c>
      <c r="E230" s="7" t="n">
        <f aca="false">01_Data!F230</f>
        <v>275553</v>
      </c>
      <c r="F230" s="7" t="n">
        <f aca="false">E230-D230</f>
        <v>10101</v>
      </c>
      <c r="G230" s="8" t="n">
        <f aca="false">IFERROR(F230/D230,0)</f>
        <v>0.0380520772116993</v>
      </c>
      <c r="H230" s="7" t="n">
        <f aca="false">01_Data!G230</f>
        <v>158152</v>
      </c>
      <c r="I230" s="7" t="n">
        <f aca="false">01_Data!H230</f>
        <v>166580</v>
      </c>
      <c r="J230" s="7" t="n">
        <f aca="false">H230-I230</f>
        <v>-8428</v>
      </c>
      <c r="K230" s="8" t="n">
        <f aca="false">IFERROR(J230/H230,0)</f>
        <v>-0.0532905053366382</v>
      </c>
      <c r="L230" s="7" t="n">
        <f aca="false">D230-H230</f>
        <v>107300</v>
      </c>
      <c r="M230" s="7" t="n">
        <f aca="false">E230-I230</f>
        <v>108973</v>
      </c>
      <c r="N230" s="7" t="n">
        <f aca="false">IFERROR(L230/D230,0)</f>
        <v>0.404216204812923</v>
      </c>
      <c r="O230" s="7" t="n">
        <f aca="false">IFERROR(M230/E230,0)</f>
        <v>0.395470199925241</v>
      </c>
      <c r="P230" s="7" t="n">
        <f aca="false">01_Data!I230+01_Data!K230+01_Data!M230+01_Data!O230+01_Data!Q230+01_Data!S230+01_Data!U230</f>
        <v>69983</v>
      </c>
      <c r="Q230" s="7" t="n">
        <f aca="false">01_Data!J230+01_Data!L230+01_Data!N230+01_Data!P230+01_Data!R230+01_Data!T230+01_Data!V230</f>
        <v>71926</v>
      </c>
      <c r="R230" s="7" t="n">
        <f aca="false">P230-Q230</f>
        <v>-1943</v>
      </c>
      <c r="S230" s="7" t="n">
        <f aca="false">L230-P230</f>
        <v>37317</v>
      </c>
      <c r="T230" s="7" t="n">
        <f aca="false">M230-Q230</f>
        <v>37047</v>
      </c>
      <c r="U230" s="7" t="n">
        <f aca="false">T230-S230</f>
        <v>-270</v>
      </c>
      <c r="V230" s="8" t="n">
        <f aca="false">IFERROR(U230/S230,0)</f>
        <v>-0.00723530830452609</v>
      </c>
      <c r="W230" s="5" t="str">
        <f aca="false">IF(V230&lt;-0.1,"ADVERSE &gt;10%","")</f>
        <v/>
      </c>
    </row>
    <row r="231" customFormat="false" ht="15" hidden="false" customHeight="false" outlineLevel="0" collapsed="false">
      <c r="A231" s="5" t="str">
        <f aca="false">01_Data!A231</f>
        <v>Healthcare &amp; Life Sciences</v>
      </c>
      <c r="B231" s="5" t="str">
        <f aca="false">01_Data!C231</f>
        <v>2024-05</v>
      </c>
      <c r="C231" s="5" t="str">
        <f aca="false">01_Data!D231</f>
        <v>FY24</v>
      </c>
      <c r="D231" s="7" t="n">
        <f aca="false">01_Data!E231</f>
        <v>289394</v>
      </c>
      <c r="E231" s="7" t="n">
        <f aca="false">01_Data!F231</f>
        <v>280721</v>
      </c>
      <c r="F231" s="7" t="n">
        <f aca="false">E231-D231</f>
        <v>-8673</v>
      </c>
      <c r="G231" s="8" t="n">
        <f aca="false">IFERROR(F231/D231,0)</f>
        <v>-0.0299695225194717</v>
      </c>
      <c r="H231" s="7" t="n">
        <f aca="false">01_Data!G231</f>
        <v>172963</v>
      </c>
      <c r="I231" s="7" t="n">
        <f aca="false">01_Data!H231</f>
        <v>168606</v>
      </c>
      <c r="J231" s="7" t="n">
        <f aca="false">H231-I231</f>
        <v>4357</v>
      </c>
      <c r="K231" s="8" t="n">
        <f aca="false">IFERROR(J231/H231,0)</f>
        <v>0.0251903586316149</v>
      </c>
      <c r="L231" s="7" t="n">
        <f aca="false">D231-H231</f>
        <v>116431</v>
      </c>
      <c r="M231" s="7" t="n">
        <f aca="false">E231-I231</f>
        <v>112115</v>
      </c>
      <c r="N231" s="7" t="n">
        <f aca="false">IFERROR(L231/D231,0)</f>
        <v>0.402326931449857</v>
      </c>
      <c r="O231" s="7" t="n">
        <f aca="false">IFERROR(M231/E231,0)</f>
        <v>0.399382304850724</v>
      </c>
      <c r="P231" s="7" t="n">
        <f aca="false">01_Data!I231+01_Data!K231+01_Data!M231+01_Data!O231+01_Data!Q231+01_Data!S231+01_Data!U231</f>
        <v>74176</v>
      </c>
      <c r="Q231" s="7" t="n">
        <f aca="false">01_Data!J231+01_Data!L231+01_Data!N231+01_Data!P231+01_Data!R231+01_Data!T231+01_Data!V231</f>
        <v>76073</v>
      </c>
      <c r="R231" s="7" t="n">
        <f aca="false">P231-Q231</f>
        <v>-1897</v>
      </c>
      <c r="S231" s="7" t="n">
        <f aca="false">L231-P231</f>
        <v>42255</v>
      </c>
      <c r="T231" s="7" t="n">
        <f aca="false">M231-Q231</f>
        <v>36042</v>
      </c>
      <c r="U231" s="7" t="n">
        <f aca="false">T231-S231</f>
        <v>-6213</v>
      </c>
      <c r="V231" s="8" t="n">
        <f aca="false">IFERROR(U231/S231,0)</f>
        <v>-0.147035853745119</v>
      </c>
      <c r="W231" s="5" t="str">
        <f aca="false">IF(V231&lt;-0.1,"ADVERSE &gt;10%","")</f>
        <v>ADVERSE &gt;10%</v>
      </c>
    </row>
    <row r="232" customFormat="false" ht="15" hidden="false" customHeight="false" outlineLevel="0" collapsed="false">
      <c r="A232" s="5" t="str">
        <f aca="false">01_Data!A232</f>
        <v>Healthcare &amp; Life Sciences</v>
      </c>
      <c r="B232" s="5" t="str">
        <f aca="false">01_Data!C232</f>
        <v>2024-06</v>
      </c>
      <c r="C232" s="5" t="str">
        <f aca="false">01_Data!D232</f>
        <v>FY24</v>
      </c>
      <c r="D232" s="7" t="n">
        <f aca="false">01_Data!E232</f>
        <v>266401</v>
      </c>
      <c r="E232" s="7" t="n">
        <f aca="false">01_Data!F232</f>
        <v>280080</v>
      </c>
      <c r="F232" s="7" t="n">
        <f aca="false">E232-D232</f>
        <v>13679</v>
      </c>
      <c r="G232" s="8" t="n">
        <f aca="false">IFERROR(F232/D232,0)</f>
        <v>0.0513474048520839</v>
      </c>
      <c r="H232" s="7" t="n">
        <f aca="false">01_Data!G232</f>
        <v>154625</v>
      </c>
      <c r="I232" s="7" t="n">
        <f aca="false">01_Data!H232</f>
        <v>168461</v>
      </c>
      <c r="J232" s="7" t="n">
        <f aca="false">H232-I232</f>
        <v>-13836</v>
      </c>
      <c r="K232" s="8" t="n">
        <f aca="false">IFERROR(J232/H232,0)</f>
        <v>-0.0894810024252223</v>
      </c>
      <c r="L232" s="7" t="n">
        <f aca="false">D232-H232</f>
        <v>111776</v>
      </c>
      <c r="M232" s="7" t="n">
        <f aca="false">E232-I232</f>
        <v>111619</v>
      </c>
      <c r="N232" s="7" t="n">
        <f aca="false">IFERROR(L232/D232,0)</f>
        <v>0.41957800458707</v>
      </c>
      <c r="O232" s="7" t="n">
        <f aca="false">IFERROR(M232/E232,0)</f>
        <v>0.398525421308198</v>
      </c>
      <c r="P232" s="7" t="n">
        <f aca="false">01_Data!I232+01_Data!K232+01_Data!M232+01_Data!O232+01_Data!Q232+01_Data!S232+01_Data!U232</f>
        <v>70960</v>
      </c>
      <c r="Q232" s="7" t="n">
        <f aca="false">01_Data!J232+01_Data!L232+01_Data!N232+01_Data!P232+01_Data!R232+01_Data!T232+01_Data!V232</f>
        <v>73780</v>
      </c>
      <c r="R232" s="7" t="n">
        <f aca="false">P232-Q232</f>
        <v>-2820</v>
      </c>
      <c r="S232" s="7" t="n">
        <f aca="false">L232-P232</f>
        <v>40816</v>
      </c>
      <c r="T232" s="7" t="n">
        <f aca="false">M232-Q232</f>
        <v>37839</v>
      </c>
      <c r="U232" s="7" t="n">
        <f aca="false">T232-S232</f>
        <v>-2977</v>
      </c>
      <c r="V232" s="8" t="n">
        <f aca="false">IFERROR(U232/S232,0)</f>
        <v>-0.072937083496668</v>
      </c>
      <c r="W232" s="5" t="str">
        <f aca="false">IF(V232&lt;-0.1,"ADVERSE &gt;10%","")</f>
        <v/>
      </c>
    </row>
    <row r="233" customFormat="false" ht="15" hidden="false" customHeight="false" outlineLevel="0" collapsed="false">
      <c r="A233" s="5" t="str">
        <f aca="false">01_Data!A233</f>
        <v>Healthcare &amp; Life Sciences</v>
      </c>
      <c r="B233" s="5" t="str">
        <f aca="false">01_Data!C233</f>
        <v>2024-07</v>
      </c>
      <c r="C233" s="5" t="str">
        <f aca="false">01_Data!D233</f>
        <v>FY24</v>
      </c>
      <c r="D233" s="7" t="n">
        <f aca="false">01_Data!E233</f>
        <v>270550</v>
      </c>
      <c r="E233" s="7" t="n">
        <f aca="false">01_Data!F233</f>
        <v>278928</v>
      </c>
      <c r="F233" s="7" t="n">
        <f aca="false">E233-D233</f>
        <v>8378</v>
      </c>
      <c r="G233" s="8" t="n">
        <f aca="false">IFERROR(F233/D233,0)</f>
        <v>0.0309665496211421</v>
      </c>
      <c r="H233" s="7" t="n">
        <f aca="false">01_Data!G233</f>
        <v>156139</v>
      </c>
      <c r="I233" s="7" t="n">
        <f aca="false">01_Data!H233</f>
        <v>157571</v>
      </c>
      <c r="J233" s="7" t="n">
        <f aca="false">H233-I233</f>
        <v>-1432</v>
      </c>
      <c r="K233" s="8" t="n">
        <f aca="false">IFERROR(J233/H233,0)</f>
        <v>-0.00917131530239082</v>
      </c>
      <c r="L233" s="7" t="n">
        <f aca="false">D233-H233</f>
        <v>114411</v>
      </c>
      <c r="M233" s="7" t="n">
        <f aca="false">E233-I233</f>
        <v>121357</v>
      </c>
      <c r="N233" s="7" t="n">
        <f aca="false">IFERROR(L233/D233,0)</f>
        <v>0.422883016078359</v>
      </c>
      <c r="O233" s="7" t="n">
        <f aca="false">IFERROR(M233/E233,0)</f>
        <v>0.435083605805082</v>
      </c>
      <c r="P233" s="7" t="n">
        <f aca="false">01_Data!I233+01_Data!K233+01_Data!M233+01_Data!O233+01_Data!Q233+01_Data!S233+01_Data!U233</f>
        <v>71110</v>
      </c>
      <c r="Q233" s="7" t="n">
        <f aca="false">01_Data!J233+01_Data!L233+01_Data!N233+01_Data!P233+01_Data!R233+01_Data!T233+01_Data!V233</f>
        <v>75589</v>
      </c>
      <c r="R233" s="7" t="n">
        <f aca="false">P233-Q233</f>
        <v>-4479</v>
      </c>
      <c r="S233" s="7" t="n">
        <f aca="false">L233-P233</f>
        <v>43301</v>
      </c>
      <c r="T233" s="7" t="n">
        <f aca="false">M233-Q233</f>
        <v>45768</v>
      </c>
      <c r="U233" s="7" t="n">
        <f aca="false">T233-S233</f>
        <v>2467</v>
      </c>
      <c r="V233" s="8" t="n">
        <f aca="false">IFERROR(U233/S233,0)</f>
        <v>0.0569732800628161</v>
      </c>
      <c r="W233" s="5" t="str">
        <f aca="false">IF(V233&lt;-0.1,"ADVERSE &gt;10%","")</f>
        <v/>
      </c>
    </row>
    <row r="234" customFormat="false" ht="15" hidden="false" customHeight="false" outlineLevel="0" collapsed="false">
      <c r="A234" s="5" t="str">
        <f aca="false">01_Data!A234</f>
        <v>Healthcare &amp; Life Sciences</v>
      </c>
      <c r="B234" s="5" t="str">
        <f aca="false">01_Data!C234</f>
        <v>2024-08</v>
      </c>
      <c r="C234" s="5" t="str">
        <f aca="false">01_Data!D234</f>
        <v>FY24</v>
      </c>
      <c r="D234" s="7" t="n">
        <f aca="false">01_Data!E234</f>
        <v>297354</v>
      </c>
      <c r="E234" s="7" t="n">
        <f aca="false">01_Data!F234</f>
        <v>281019</v>
      </c>
      <c r="F234" s="7" t="n">
        <f aca="false">E234-D234</f>
        <v>-16335</v>
      </c>
      <c r="G234" s="8" t="n">
        <f aca="false">IFERROR(F234/D234,0)</f>
        <v>-0.0549345224883472</v>
      </c>
      <c r="H234" s="7" t="n">
        <f aca="false">01_Data!G234</f>
        <v>176914</v>
      </c>
      <c r="I234" s="7" t="n">
        <f aca="false">01_Data!H234</f>
        <v>165513</v>
      </c>
      <c r="J234" s="7" t="n">
        <f aca="false">H234-I234</f>
        <v>11401</v>
      </c>
      <c r="K234" s="8" t="n">
        <f aca="false">IFERROR(J234/H234,0)</f>
        <v>0.0644437410267136</v>
      </c>
      <c r="L234" s="7" t="n">
        <f aca="false">D234-H234</f>
        <v>120440</v>
      </c>
      <c r="M234" s="7" t="n">
        <f aca="false">E234-I234</f>
        <v>115506</v>
      </c>
      <c r="N234" s="7" t="n">
        <f aca="false">IFERROR(L234/D234,0)</f>
        <v>0.405039111631254</v>
      </c>
      <c r="O234" s="7" t="n">
        <f aca="false">IFERROR(M234/E234,0)</f>
        <v>0.411025589017113</v>
      </c>
      <c r="P234" s="7" t="n">
        <f aca="false">01_Data!I234+01_Data!K234+01_Data!M234+01_Data!O234+01_Data!Q234+01_Data!S234+01_Data!U234</f>
        <v>76063</v>
      </c>
      <c r="Q234" s="7" t="n">
        <f aca="false">01_Data!J234+01_Data!L234+01_Data!N234+01_Data!P234+01_Data!R234+01_Data!T234+01_Data!V234</f>
        <v>78937</v>
      </c>
      <c r="R234" s="7" t="n">
        <f aca="false">P234-Q234</f>
        <v>-2874</v>
      </c>
      <c r="S234" s="7" t="n">
        <f aca="false">L234-P234</f>
        <v>44377</v>
      </c>
      <c r="T234" s="7" t="n">
        <f aca="false">M234-Q234</f>
        <v>36569</v>
      </c>
      <c r="U234" s="7" t="n">
        <f aca="false">T234-S234</f>
        <v>-7808</v>
      </c>
      <c r="V234" s="8" t="n">
        <f aca="false">IFERROR(U234/S234,0)</f>
        <v>-0.17594699957185</v>
      </c>
      <c r="W234" s="5" t="str">
        <f aca="false">IF(V234&lt;-0.1,"ADVERSE &gt;10%","")</f>
        <v>ADVERSE &gt;10%</v>
      </c>
    </row>
    <row r="235" customFormat="false" ht="15" hidden="false" customHeight="false" outlineLevel="0" collapsed="false">
      <c r="A235" s="5" t="str">
        <f aca="false">01_Data!A235</f>
        <v>Healthcare &amp; Life Sciences</v>
      </c>
      <c r="B235" s="5" t="str">
        <f aca="false">01_Data!C235</f>
        <v>2024-09</v>
      </c>
      <c r="C235" s="5" t="str">
        <f aca="false">01_Data!D235</f>
        <v>FY24</v>
      </c>
      <c r="D235" s="7" t="n">
        <f aca="false">01_Data!E235</f>
        <v>285011</v>
      </c>
      <c r="E235" s="7" t="n">
        <f aca="false">01_Data!F235</f>
        <v>295259</v>
      </c>
      <c r="F235" s="7" t="n">
        <f aca="false">E235-D235</f>
        <v>10248</v>
      </c>
      <c r="G235" s="8" t="n">
        <f aca="false">IFERROR(F235/D235,0)</f>
        <v>0.0359565069418373</v>
      </c>
      <c r="H235" s="7" t="n">
        <f aca="false">01_Data!G235</f>
        <v>163842</v>
      </c>
      <c r="I235" s="7" t="n">
        <f aca="false">01_Data!H235</f>
        <v>168632</v>
      </c>
      <c r="J235" s="7" t="n">
        <f aca="false">H235-I235</f>
        <v>-4790</v>
      </c>
      <c r="K235" s="8" t="n">
        <f aca="false">IFERROR(J235/H235,0)</f>
        <v>-0.0292354829652958</v>
      </c>
      <c r="L235" s="7" t="n">
        <f aca="false">D235-H235</f>
        <v>121169</v>
      </c>
      <c r="M235" s="7" t="n">
        <f aca="false">E235-I235</f>
        <v>126627</v>
      </c>
      <c r="N235" s="7" t="n">
        <f aca="false">IFERROR(L235/D235,0)</f>
        <v>0.425137977130707</v>
      </c>
      <c r="O235" s="7" t="n">
        <f aca="false">IFERROR(M235/E235,0)</f>
        <v>0.428867536637325</v>
      </c>
      <c r="P235" s="7" t="n">
        <f aca="false">01_Data!I235+01_Data!K235+01_Data!M235+01_Data!O235+01_Data!Q235+01_Data!S235+01_Data!U235</f>
        <v>75323</v>
      </c>
      <c r="Q235" s="7" t="n">
        <f aca="false">01_Data!J235+01_Data!L235+01_Data!N235+01_Data!P235+01_Data!R235+01_Data!T235+01_Data!V235</f>
        <v>75714</v>
      </c>
      <c r="R235" s="7" t="n">
        <f aca="false">P235-Q235</f>
        <v>-391</v>
      </c>
      <c r="S235" s="7" t="n">
        <f aca="false">L235-P235</f>
        <v>45846</v>
      </c>
      <c r="T235" s="7" t="n">
        <f aca="false">M235-Q235</f>
        <v>50913</v>
      </c>
      <c r="U235" s="7" t="n">
        <f aca="false">T235-S235</f>
        <v>5067</v>
      </c>
      <c r="V235" s="8" t="n">
        <f aca="false">IFERROR(U235/S235,0)</f>
        <v>0.110522182960346</v>
      </c>
      <c r="W235" s="5" t="str">
        <f aca="false">IF(V235&lt;-0.1,"ADVERSE &gt;10%","")</f>
        <v/>
      </c>
    </row>
    <row r="236" customFormat="false" ht="15" hidden="false" customHeight="false" outlineLevel="0" collapsed="false">
      <c r="A236" s="5" t="str">
        <f aca="false">01_Data!A236</f>
        <v>Healthcare &amp; Life Sciences</v>
      </c>
      <c r="B236" s="5" t="str">
        <f aca="false">01_Data!C236</f>
        <v>2024-10</v>
      </c>
      <c r="C236" s="5" t="str">
        <f aca="false">01_Data!D236</f>
        <v>FY24</v>
      </c>
      <c r="D236" s="7" t="n">
        <f aca="false">01_Data!E236</f>
        <v>278266</v>
      </c>
      <c r="E236" s="7" t="n">
        <f aca="false">01_Data!F236</f>
        <v>275755</v>
      </c>
      <c r="F236" s="7" t="n">
        <f aca="false">E236-D236</f>
        <v>-2511</v>
      </c>
      <c r="G236" s="8" t="n">
        <f aca="false">IFERROR(F236/D236,0)</f>
        <v>-0.00902373987479606</v>
      </c>
      <c r="H236" s="7" t="n">
        <f aca="false">01_Data!G236</f>
        <v>154080</v>
      </c>
      <c r="I236" s="7" t="n">
        <f aca="false">01_Data!H236</f>
        <v>148551</v>
      </c>
      <c r="J236" s="7" t="n">
        <f aca="false">H236-I236</f>
        <v>5529</v>
      </c>
      <c r="K236" s="8" t="n">
        <f aca="false">IFERROR(J236/H236,0)</f>
        <v>0.0358839563862928</v>
      </c>
      <c r="L236" s="7" t="n">
        <f aca="false">D236-H236</f>
        <v>124186</v>
      </c>
      <c r="M236" s="7" t="n">
        <f aca="false">E236-I236</f>
        <v>127204</v>
      </c>
      <c r="N236" s="7" t="n">
        <f aca="false">IFERROR(L236/D236,0)</f>
        <v>0.446285209116457</v>
      </c>
      <c r="O236" s="7" t="n">
        <f aca="false">IFERROR(M236/E236,0)</f>
        <v>0.46129353955504</v>
      </c>
      <c r="P236" s="7" t="n">
        <f aca="false">01_Data!I236+01_Data!K236+01_Data!M236+01_Data!O236+01_Data!Q236+01_Data!S236+01_Data!U236</f>
        <v>70583</v>
      </c>
      <c r="Q236" s="7" t="n">
        <f aca="false">01_Data!J236+01_Data!L236+01_Data!N236+01_Data!P236+01_Data!R236+01_Data!T236+01_Data!V236</f>
        <v>72333</v>
      </c>
      <c r="R236" s="7" t="n">
        <f aca="false">P236-Q236</f>
        <v>-1750</v>
      </c>
      <c r="S236" s="7" t="n">
        <f aca="false">L236-P236</f>
        <v>53603</v>
      </c>
      <c r="T236" s="7" t="n">
        <f aca="false">M236-Q236</f>
        <v>54871</v>
      </c>
      <c r="U236" s="7" t="n">
        <f aca="false">T236-S236</f>
        <v>1268</v>
      </c>
      <c r="V236" s="8" t="n">
        <f aca="false">IFERROR(U236/S236,0)</f>
        <v>0.0236553924220659</v>
      </c>
      <c r="W236" s="5" t="str">
        <f aca="false">IF(V236&lt;-0.1,"ADVERSE &gt;10%","")</f>
        <v/>
      </c>
    </row>
    <row r="237" customFormat="false" ht="15" hidden="false" customHeight="false" outlineLevel="0" collapsed="false">
      <c r="A237" s="5" t="str">
        <f aca="false">01_Data!A237</f>
        <v>Healthcare &amp; Life Sciences</v>
      </c>
      <c r="B237" s="5" t="str">
        <f aca="false">01_Data!C237</f>
        <v>2024-11</v>
      </c>
      <c r="C237" s="5" t="str">
        <f aca="false">01_Data!D237</f>
        <v>FY24</v>
      </c>
      <c r="D237" s="7" t="n">
        <f aca="false">01_Data!E237</f>
        <v>274351</v>
      </c>
      <c r="E237" s="7" t="n">
        <f aca="false">01_Data!F237</f>
        <v>281096</v>
      </c>
      <c r="F237" s="7" t="n">
        <f aca="false">E237-D237</f>
        <v>6745</v>
      </c>
      <c r="G237" s="8" t="n">
        <f aca="false">IFERROR(F237/D237,0)</f>
        <v>0.0245852940211627</v>
      </c>
      <c r="H237" s="7" t="n">
        <f aca="false">01_Data!G237</f>
        <v>157403</v>
      </c>
      <c r="I237" s="7" t="n">
        <f aca="false">01_Data!H237</f>
        <v>163632</v>
      </c>
      <c r="J237" s="7" t="n">
        <f aca="false">H237-I237</f>
        <v>-6229</v>
      </c>
      <c r="K237" s="8" t="n">
        <f aca="false">IFERROR(J237/H237,0)</f>
        <v>-0.0395735786484375</v>
      </c>
      <c r="L237" s="7" t="n">
        <f aca="false">D237-H237</f>
        <v>116948</v>
      </c>
      <c r="M237" s="7" t="n">
        <f aca="false">E237-I237</f>
        <v>117464</v>
      </c>
      <c r="N237" s="7" t="n">
        <f aca="false">IFERROR(L237/D237,0)</f>
        <v>0.426271455179679</v>
      </c>
      <c r="O237" s="7" t="n">
        <f aca="false">IFERROR(M237/E237,0)</f>
        <v>0.417878589521018</v>
      </c>
      <c r="P237" s="7" t="n">
        <f aca="false">01_Data!I237+01_Data!K237+01_Data!M237+01_Data!O237+01_Data!Q237+01_Data!S237+01_Data!U237</f>
        <v>69509</v>
      </c>
      <c r="Q237" s="7" t="n">
        <f aca="false">01_Data!J237+01_Data!L237+01_Data!N237+01_Data!P237+01_Data!R237+01_Data!T237+01_Data!V237</f>
        <v>71955</v>
      </c>
      <c r="R237" s="7" t="n">
        <f aca="false">P237-Q237</f>
        <v>-2446</v>
      </c>
      <c r="S237" s="7" t="n">
        <f aca="false">L237-P237</f>
        <v>47439</v>
      </c>
      <c r="T237" s="7" t="n">
        <f aca="false">M237-Q237</f>
        <v>45509</v>
      </c>
      <c r="U237" s="7" t="n">
        <f aca="false">T237-S237</f>
        <v>-1930</v>
      </c>
      <c r="V237" s="8" t="n">
        <f aca="false">IFERROR(U237/S237,0)</f>
        <v>-0.0406838255443833</v>
      </c>
      <c r="W237" s="5" t="str">
        <f aca="false">IF(V237&lt;-0.1,"ADVERSE &gt;10%","")</f>
        <v/>
      </c>
    </row>
    <row r="238" customFormat="false" ht="15" hidden="false" customHeight="false" outlineLevel="0" collapsed="false">
      <c r="A238" s="5" t="str">
        <f aca="false">01_Data!A238</f>
        <v>Healthcare &amp; Life Sciences</v>
      </c>
      <c r="B238" s="5" t="str">
        <f aca="false">01_Data!C238</f>
        <v>2024-12</v>
      </c>
      <c r="C238" s="5" t="str">
        <f aca="false">01_Data!D238</f>
        <v>FY24</v>
      </c>
      <c r="D238" s="7" t="n">
        <f aca="false">01_Data!E238</f>
        <v>322634</v>
      </c>
      <c r="E238" s="7" t="n">
        <f aca="false">01_Data!F238</f>
        <v>305648</v>
      </c>
      <c r="F238" s="7" t="n">
        <f aca="false">E238-D238</f>
        <v>-16986</v>
      </c>
      <c r="G238" s="8" t="n">
        <f aca="false">IFERROR(F238/D238,0)</f>
        <v>-0.0526478920386568</v>
      </c>
      <c r="H238" s="7" t="n">
        <f aca="false">01_Data!G238</f>
        <v>178074</v>
      </c>
      <c r="I238" s="7" t="n">
        <f aca="false">01_Data!H238</f>
        <v>171387</v>
      </c>
      <c r="J238" s="7" t="n">
        <f aca="false">H238-I238</f>
        <v>6687</v>
      </c>
      <c r="K238" s="8" t="n">
        <f aca="false">IFERROR(J238/H238,0)</f>
        <v>0.037551804306075</v>
      </c>
      <c r="L238" s="7" t="n">
        <f aca="false">D238-H238</f>
        <v>144560</v>
      </c>
      <c r="M238" s="7" t="n">
        <f aca="false">E238-I238</f>
        <v>134261</v>
      </c>
      <c r="N238" s="7" t="n">
        <f aca="false">IFERROR(L238/D238,0)</f>
        <v>0.448061890563301</v>
      </c>
      <c r="O238" s="7" t="n">
        <f aca="false">IFERROR(M238/E238,0)</f>
        <v>0.439266738208658</v>
      </c>
      <c r="P238" s="7" t="n">
        <f aca="false">01_Data!I238+01_Data!K238+01_Data!M238+01_Data!O238+01_Data!Q238+01_Data!S238+01_Data!U238</f>
        <v>88973</v>
      </c>
      <c r="Q238" s="7" t="n">
        <f aca="false">01_Data!J238+01_Data!L238+01_Data!N238+01_Data!P238+01_Data!R238+01_Data!T238+01_Data!V238</f>
        <v>88475</v>
      </c>
      <c r="R238" s="7" t="n">
        <f aca="false">P238-Q238</f>
        <v>498</v>
      </c>
      <c r="S238" s="7" t="n">
        <f aca="false">L238-P238</f>
        <v>55587</v>
      </c>
      <c r="T238" s="7" t="n">
        <f aca="false">M238-Q238</f>
        <v>45786</v>
      </c>
      <c r="U238" s="7" t="n">
        <f aca="false">T238-S238</f>
        <v>-9801</v>
      </c>
      <c r="V238" s="8" t="n">
        <f aca="false">IFERROR(U238/S238,0)</f>
        <v>-0.176318203896595</v>
      </c>
      <c r="W238" s="5" t="str">
        <f aca="false">IF(V238&lt;-0.1,"ADVERSE &gt;10%","")</f>
        <v>ADVERSE &gt;10%</v>
      </c>
    </row>
    <row r="239" customFormat="false" ht="15" hidden="false" customHeight="false" outlineLevel="0" collapsed="false">
      <c r="A239" s="5" t="str">
        <f aca="false">01_Data!A239</f>
        <v>Healthcare &amp; Life Sciences</v>
      </c>
      <c r="B239" s="5" t="str">
        <f aca="false">01_Data!C239</f>
        <v>2025-01</v>
      </c>
      <c r="C239" s="5" t="str">
        <f aca="false">01_Data!D239</f>
        <v>FY24</v>
      </c>
      <c r="D239" s="7" t="n">
        <f aca="false">01_Data!E239</f>
        <v>292383</v>
      </c>
      <c r="E239" s="7" t="n">
        <f aca="false">01_Data!F239</f>
        <v>287849</v>
      </c>
      <c r="F239" s="7" t="n">
        <f aca="false">E239-D239</f>
        <v>-4534</v>
      </c>
      <c r="G239" s="8" t="n">
        <f aca="false">IFERROR(F239/D239,0)</f>
        <v>-0.0155070575238642</v>
      </c>
      <c r="H239" s="7" t="n">
        <f aca="false">01_Data!G239</f>
        <v>167915</v>
      </c>
      <c r="I239" s="7" t="n">
        <f aca="false">01_Data!H239</f>
        <v>171772</v>
      </c>
      <c r="J239" s="7" t="n">
        <f aca="false">H239-I239</f>
        <v>-3857</v>
      </c>
      <c r="K239" s="8" t="n">
        <f aca="false">IFERROR(J239/H239,0)</f>
        <v>-0.0229699550367746</v>
      </c>
      <c r="L239" s="7" t="n">
        <f aca="false">D239-H239</f>
        <v>124468</v>
      </c>
      <c r="M239" s="7" t="n">
        <f aca="false">E239-I239</f>
        <v>116077</v>
      </c>
      <c r="N239" s="7" t="n">
        <f aca="false">IFERROR(L239/D239,0)</f>
        <v>0.425701904693501</v>
      </c>
      <c r="O239" s="7" t="n">
        <f aca="false">IFERROR(M239/E239,0)</f>
        <v>0.403256568548093</v>
      </c>
      <c r="P239" s="7" t="n">
        <f aca="false">01_Data!I239+01_Data!K239+01_Data!M239+01_Data!O239+01_Data!Q239+01_Data!S239+01_Data!U239</f>
        <v>74102</v>
      </c>
      <c r="Q239" s="7" t="n">
        <f aca="false">01_Data!J239+01_Data!L239+01_Data!N239+01_Data!P239+01_Data!R239+01_Data!T239+01_Data!V239</f>
        <v>73287</v>
      </c>
      <c r="R239" s="7" t="n">
        <f aca="false">P239-Q239</f>
        <v>815</v>
      </c>
      <c r="S239" s="7" t="n">
        <f aca="false">L239-P239</f>
        <v>50366</v>
      </c>
      <c r="T239" s="7" t="n">
        <f aca="false">M239-Q239</f>
        <v>42790</v>
      </c>
      <c r="U239" s="7" t="n">
        <f aca="false">T239-S239</f>
        <v>-7576</v>
      </c>
      <c r="V239" s="8" t="n">
        <f aca="false">IFERROR(U239/S239,0)</f>
        <v>-0.150418933407457</v>
      </c>
      <c r="W239" s="5" t="str">
        <f aca="false">IF(V239&lt;-0.1,"ADVERSE &gt;10%","")</f>
        <v>ADVERSE &gt;10%</v>
      </c>
    </row>
    <row r="240" customFormat="false" ht="15" hidden="false" customHeight="false" outlineLevel="0" collapsed="false">
      <c r="A240" s="5" t="str">
        <f aca="false">01_Data!A240</f>
        <v>Healthcare &amp; Life Sciences</v>
      </c>
      <c r="B240" s="5" t="str">
        <f aca="false">01_Data!C240</f>
        <v>2025-02</v>
      </c>
      <c r="C240" s="5" t="str">
        <f aca="false">01_Data!D240</f>
        <v>FY24</v>
      </c>
      <c r="D240" s="7" t="n">
        <f aca="false">01_Data!E240</f>
        <v>270052</v>
      </c>
      <c r="E240" s="7" t="n">
        <f aca="false">01_Data!F240</f>
        <v>286445</v>
      </c>
      <c r="F240" s="7" t="n">
        <f aca="false">E240-D240</f>
        <v>16393</v>
      </c>
      <c r="G240" s="8" t="n">
        <f aca="false">IFERROR(F240/D240,0)</f>
        <v>0.0607031238428155</v>
      </c>
      <c r="H240" s="7" t="n">
        <f aca="false">01_Data!G240</f>
        <v>157620</v>
      </c>
      <c r="I240" s="7" t="n">
        <f aca="false">01_Data!H240</f>
        <v>170941</v>
      </c>
      <c r="J240" s="7" t="n">
        <f aca="false">H240-I240</f>
        <v>-13321</v>
      </c>
      <c r="K240" s="8" t="n">
        <f aca="false">IFERROR(J240/H240,0)</f>
        <v>-0.0845133866260627</v>
      </c>
      <c r="L240" s="7" t="n">
        <f aca="false">D240-H240</f>
        <v>112432</v>
      </c>
      <c r="M240" s="7" t="n">
        <f aca="false">E240-I240</f>
        <v>115504</v>
      </c>
      <c r="N240" s="7" t="n">
        <f aca="false">IFERROR(L240/D240,0)</f>
        <v>0.416334631848681</v>
      </c>
      <c r="O240" s="7" t="n">
        <f aca="false">IFERROR(M240/E240,0)</f>
        <v>0.403232732287176</v>
      </c>
      <c r="P240" s="7" t="n">
        <f aca="false">01_Data!I240+01_Data!K240+01_Data!M240+01_Data!O240+01_Data!Q240+01_Data!S240+01_Data!U240</f>
        <v>73008</v>
      </c>
      <c r="Q240" s="7" t="n">
        <f aca="false">01_Data!J240+01_Data!L240+01_Data!N240+01_Data!P240+01_Data!R240+01_Data!T240+01_Data!V240</f>
        <v>73725</v>
      </c>
      <c r="R240" s="7" t="n">
        <f aca="false">P240-Q240</f>
        <v>-717</v>
      </c>
      <c r="S240" s="7" t="n">
        <f aca="false">L240-P240</f>
        <v>39424</v>
      </c>
      <c r="T240" s="7" t="n">
        <f aca="false">M240-Q240</f>
        <v>41779</v>
      </c>
      <c r="U240" s="7" t="n">
        <f aca="false">T240-S240</f>
        <v>2355</v>
      </c>
      <c r="V240" s="8" t="n">
        <f aca="false">IFERROR(U240/S240,0)</f>
        <v>0.0597351866883117</v>
      </c>
      <c r="W240" s="5" t="str">
        <f aca="false">IF(V240&lt;-0.1,"ADVERSE &gt;10%","")</f>
        <v/>
      </c>
    </row>
    <row r="241" customFormat="false" ht="15" hidden="false" customHeight="false" outlineLevel="0" collapsed="false">
      <c r="A241" s="5" t="str">
        <f aca="false">01_Data!A241</f>
        <v>Healthcare &amp; Life Sciences</v>
      </c>
      <c r="B241" s="5" t="str">
        <f aca="false">01_Data!C241</f>
        <v>2025-03</v>
      </c>
      <c r="C241" s="5" t="str">
        <f aca="false">01_Data!D241</f>
        <v>FY24</v>
      </c>
      <c r="D241" s="7" t="n">
        <f aca="false">01_Data!E241</f>
        <v>323142</v>
      </c>
      <c r="E241" s="7" t="n">
        <f aca="false">01_Data!F241</f>
        <v>308855</v>
      </c>
      <c r="F241" s="7" t="n">
        <f aca="false">E241-D241</f>
        <v>-14287</v>
      </c>
      <c r="G241" s="8" t="n">
        <f aca="false">IFERROR(F241/D241,0)</f>
        <v>-0.0442127609533889</v>
      </c>
      <c r="H241" s="7" t="n">
        <f aca="false">01_Data!G241</f>
        <v>180495</v>
      </c>
      <c r="I241" s="7" t="n">
        <f aca="false">01_Data!H241</f>
        <v>170158</v>
      </c>
      <c r="J241" s="7" t="n">
        <f aca="false">H241-I241</f>
        <v>10337</v>
      </c>
      <c r="K241" s="8" t="n">
        <f aca="false">IFERROR(J241/H241,0)</f>
        <v>0.0572702844954154</v>
      </c>
      <c r="L241" s="7" t="n">
        <f aca="false">D241-H241</f>
        <v>142647</v>
      </c>
      <c r="M241" s="7" t="n">
        <f aca="false">E241-I241</f>
        <v>138697</v>
      </c>
      <c r="N241" s="7" t="n">
        <f aca="false">IFERROR(L241/D241,0)</f>
        <v>0.441437510444325</v>
      </c>
      <c r="O241" s="7" t="n">
        <f aca="false">IFERROR(M241/E241,0)</f>
        <v>0.449068333036538</v>
      </c>
      <c r="P241" s="7" t="n">
        <f aca="false">01_Data!I241+01_Data!K241+01_Data!M241+01_Data!O241+01_Data!Q241+01_Data!S241+01_Data!U241</f>
        <v>82337</v>
      </c>
      <c r="Q241" s="7" t="n">
        <f aca="false">01_Data!J241+01_Data!L241+01_Data!N241+01_Data!P241+01_Data!R241+01_Data!T241+01_Data!V241</f>
        <v>85447</v>
      </c>
      <c r="R241" s="7" t="n">
        <f aca="false">P241-Q241</f>
        <v>-3110</v>
      </c>
      <c r="S241" s="7" t="n">
        <f aca="false">L241-P241</f>
        <v>60310</v>
      </c>
      <c r="T241" s="7" t="n">
        <f aca="false">M241-Q241</f>
        <v>53250</v>
      </c>
      <c r="U241" s="7" t="n">
        <f aca="false">T241-S241</f>
        <v>-7060</v>
      </c>
      <c r="V241" s="8" t="n">
        <f aca="false">IFERROR(U241/S241,0)</f>
        <v>-0.117061847123197</v>
      </c>
      <c r="W241" s="5" t="str">
        <f aca="false">IF(V241&lt;-0.1,"ADVERSE &gt;10%","")</f>
        <v>ADVERSE &gt;10%</v>
      </c>
    </row>
    <row r="242" customFormat="false" ht="15" hidden="false" customHeight="false" outlineLevel="0" collapsed="false">
      <c r="A242" s="5" t="str">
        <f aca="false">01_Data!A242</f>
        <v>Healthcare &amp; Life Sciences</v>
      </c>
      <c r="B242" s="5" t="str">
        <f aca="false">01_Data!C242</f>
        <v>2025-04</v>
      </c>
      <c r="C242" s="5" t="str">
        <f aca="false">01_Data!D242</f>
        <v>FY25</v>
      </c>
      <c r="D242" s="7" t="n">
        <f aca="false">01_Data!E242</f>
        <v>283651</v>
      </c>
      <c r="E242" s="7" t="n">
        <f aca="false">01_Data!F242</f>
        <v>295087</v>
      </c>
      <c r="F242" s="7" t="n">
        <f aca="false">E242-D242</f>
        <v>11436</v>
      </c>
      <c r="G242" s="8" t="n">
        <f aca="false">IFERROR(F242/D242,0)</f>
        <v>0.0403171503008979</v>
      </c>
      <c r="H242" s="7" t="n">
        <f aca="false">01_Data!G242</f>
        <v>163342</v>
      </c>
      <c r="I242" s="7" t="n">
        <f aca="false">01_Data!H242</f>
        <v>173336</v>
      </c>
      <c r="J242" s="7" t="n">
        <f aca="false">H242-I242</f>
        <v>-9994</v>
      </c>
      <c r="K242" s="8" t="n">
        <f aca="false">IFERROR(J242/H242,0)</f>
        <v>-0.0611845085770959</v>
      </c>
      <c r="L242" s="7" t="n">
        <f aca="false">D242-H242</f>
        <v>120309</v>
      </c>
      <c r="M242" s="7" t="n">
        <f aca="false">E242-I242</f>
        <v>121751</v>
      </c>
      <c r="N242" s="7" t="n">
        <f aca="false">IFERROR(L242/D242,0)</f>
        <v>0.424144459212201</v>
      </c>
      <c r="O242" s="7" t="n">
        <f aca="false">IFERROR(M242/E242,0)</f>
        <v>0.412593574098486</v>
      </c>
      <c r="P242" s="7" t="n">
        <f aca="false">01_Data!I242+01_Data!K242+01_Data!M242+01_Data!O242+01_Data!Q242+01_Data!S242+01_Data!U242</f>
        <v>74765</v>
      </c>
      <c r="Q242" s="7" t="n">
        <f aca="false">01_Data!J242+01_Data!L242+01_Data!N242+01_Data!P242+01_Data!R242+01_Data!T242+01_Data!V242</f>
        <v>76906</v>
      </c>
      <c r="R242" s="7" t="n">
        <f aca="false">P242-Q242</f>
        <v>-2141</v>
      </c>
      <c r="S242" s="7" t="n">
        <f aca="false">L242-P242</f>
        <v>45544</v>
      </c>
      <c r="T242" s="7" t="n">
        <f aca="false">M242-Q242</f>
        <v>44845</v>
      </c>
      <c r="U242" s="7" t="n">
        <f aca="false">T242-S242</f>
        <v>-699</v>
      </c>
      <c r="V242" s="8" t="n">
        <f aca="false">IFERROR(U242/S242,0)</f>
        <v>-0.0153477955383805</v>
      </c>
      <c r="W242" s="5" t="str">
        <f aca="false">IF(V242&lt;-0.1,"ADVERSE &gt;10%","")</f>
        <v/>
      </c>
    </row>
    <row r="243" customFormat="false" ht="15" hidden="false" customHeight="false" outlineLevel="0" collapsed="false">
      <c r="A243" s="5" t="str">
        <f aca="false">01_Data!A243</f>
        <v>Healthcare &amp; Life Sciences</v>
      </c>
      <c r="B243" s="5" t="str">
        <f aca="false">01_Data!C243</f>
        <v>2025-05</v>
      </c>
      <c r="C243" s="5" t="str">
        <f aca="false">01_Data!D243</f>
        <v>FY25</v>
      </c>
      <c r="D243" s="7" t="n">
        <f aca="false">01_Data!E243</f>
        <v>295899</v>
      </c>
      <c r="E243" s="7" t="n">
        <f aca="false">01_Data!F243</f>
        <v>301548</v>
      </c>
      <c r="F243" s="7" t="n">
        <f aca="false">E243-D243</f>
        <v>5649</v>
      </c>
      <c r="G243" s="8" t="n">
        <f aca="false">IFERROR(F243/D243,0)</f>
        <v>0.0190909736092383</v>
      </c>
      <c r="H243" s="7" t="n">
        <f aca="false">01_Data!G243</f>
        <v>168116</v>
      </c>
      <c r="I243" s="7" t="n">
        <f aca="false">01_Data!H243</f>
        <v>165420</v>
      </c>
      <c r="J243" s="7" t="n">
        <f aca="false">H243-I243</f>
        <v>2696</v>
      </c>
      <c r="K243" s="8" t="n">
        <f aca="false">IFERROR(J243/H243,0)</f>
        <v>0.0160365461942944</v>
      </c>
      <c r="L243" s="7" t="n">
        <f aca="false">D243-H243</f>
        <v>127783</v>
      </c>
      <c r="M243" s="7" t="n">
        <f aca="false">E243-I243</f>
        <v>136128</v>
      </c>
      <c r="N243" s="7" t="n">
        <f aca="false">IFERROR(L243/D243,0)</f>
        <v>0.431846677413577</v>
      </c>
      <c r="O243" s="7" t="n">
        <f aca="false">IFERROR(M243/E243,0)</f>
        <v>0.451430618011063</v>
      </c>
      <c r="P243" s="7" t="n">
        <f aca="false">01_Data!I243+01_Data!K243+01_Data!M243+01_Data!O243+01_Data!Q243+01_Data!S243+01_Data!U243</f>
        <v>80522</v>
      </c>
      <c r="Q243" s="7" t="n">
        <f aca="false">01_Data!J243+01_Data!L243+01_Data!N243+01_Data!P243+01_Data!R243+01_Data!T243+01_Data!V243</f>
        <v>82525</v>
      </c>
      <c r="R243" s="7" t="n">
        <f aca="false">P243-Q243</f>
        <v>-2003</v>
      </c>
      <c r="S243" s="7" t="n">
        <f aca="false">L243-P243</f>
        <v>47261</v>
      </c>
      <c r="T243" s="7" t="n">
        <f aca="false">M243-Q243</f>
        <v>53603</v>
      </c>
      <c r="U243" s="7" t="n">
        <f aca="false">T243-S243</f>
        <v>6342</v>
      </c>
      <c r="V243" s="8" t="n">
        <f aca="false">IFERROR(U243/S243,0)</f>
        <v>0.13419098199361</v>
      </c>
      <c r="W243" s="5" t="str">
        <f aca="false">IF(V243&lt;-0.1,"ADVERSE &gt;10%","")</f>
        <v/>
      </c>
    </row>
    <row r="244" customFormat="false" ht="15" hidden="false" customHeight="false" outlineLevel="0" collapsed="false">
      <c r="A244" s="5" t="str">
        <f aca="false">01_Data!A244</f>
        <v>Healthcare &amp; Life Sciences</v>
      </c>
      <c r="B244" s="5" t="str">
        <f aca="false">01_Data!C244</f>
        <v>2025-06</v>
      </c>
      <c r="C244" s="5" t="str">
        <f aca="false">01_Data!D244</f>
        <v>FY25</v>
      </c>
      <c r="D244" s="7" t="n">
        <f aca="false">01_Data!E244</f>
        <v>298163</v>
      </c>
      <c r="E244" s="7" t="n">
        <f aca="false">01_Data!F244</f>
        <v>302580</v>
      </c>
      <c r="F244" s="7" t="n">
        <f aca="false">E244-D244</f>
        <v>4417</v>
      </c>
      <c r="G244" s="8" t="n">
        <f aca="false">IFERROR(F244/D244,0)</f>
        <v>0.0148140446668433</v>
      </c>
      <c r="H244" s="7" t="n">
        <f aca="false">01_Data!G244</f>
        <v>165713</v>
      </c>
      <c r="I244" s="7" t="n">
        <f aca="false">01_Data!H244</f>
        <v>168504</v>
      </c>
      <c r="J244" s="7" t="n">
        <f aca="false">H244-I244</f>
        <v>-2791</v>
      </c>
      <c r="K244" s="8" t="n">
        <f aca="false">IFERROR(J244/H244,0)</f>
        <v>-0.0168423720528866</v>
      </c>
      <c r="L244" s="7" t="n">
        <f aca="false">D244-H244</f>
        <v>132450</v>
      </c>
      <c r="M244" s="7" t="n">
        <f aca="false">E244-I244</f>
        <v>134076</v>
      </c>
      <c r="N244" s="7" t="n">
        <f aca="false">IFERROR(L244/D244,0)</f>
        <v>0.444220107793388</v>
      </c>
      <c r="O244" s="7" t="n">
        <f aca="false">IFERROR(M244/E244,0)</f>
        <v>0.443109260360896</v>
      </c>
      <c r="P244" s="7" t="n">
        <f aca="false">01_Data!I244+01_Data!K244+01_Data!M244+01_Data!O244+01_Data!Q244+01_Data!S244+01_Data!U244</f>
        <v>79855</v>
      </c>
      <c r="Q244" s="7" t="n">
        <f aca="false">01_Data!J244+01_Data!L244+01_Data!N244+01_Data!P244+01_Data!R244+01_Data!T244+01_Data!V244</f>
        <v>83593</v>
      </c>
      <c r="R244" s="7" t="n">
        <f aca="false">P244-Q244</f>
        <v>-3738</v>
      </c>
      <c r="S244" s="7" t="n">
        <f aca="false">L244-P244</f>
        <v>52595</v>
      </c>
      <c r="T244" s="7" t="n">
        <f aca="false">M244-Q244</f>
        <v>50483</v>
      </c>
      <c r="U244" s="7" t="n">
        <f aca="false">T244-S244</f>
        <v>-2112</v>
      </c>
      <c r="V244" s="8" t="n">
        <f aca="false">IFERROR(U244/S244,0)</f>
        <v>-0.0401559083563076</v>
      </c>
      <c r="W244" s="5" t="str">
        <f aca="false">IF(V244&lt;-0.1,"ADVERSE &gt;10%","")</f>
        <v/>
      </c>
    </row>
    <row r="245" customFormat="false" ht="15" hidden="false" customHeight="false" outlineLevel="0" collapsed="false">
      <c r="A245" s="5" t="str">
        <f aca="false">01_Data!A245</f>
        <v>Healthcare &amp; Life Sciences</v>
      </c>
      <c r="B245" s="5" t="str">
        <f aca="false">01_Data!C245</f>
        <v>2025-07</v>
      </c>
      <c r="C245" s="5" t="str">
        <f aca="false">01_Data!D245</f>
        <v>FY25</v>
      </c>
      <c r="D245" s="7" t="n">
        <f aca="false">01_Data!E245</f>
        <v>306632</v>
      </c>
      <c r="E245" s="7" t="n">
        <f aca="false">01_Data!F245</f>
        <v>302181</v>
      </c>
      <c r="F245" s="7" t="n">
        <f aca="false">E245-D245</f>
        <v>-4451</v>
      </c>
      <c r="G245" s="8" t="n">
        <f aca="false">IFERROR(F245/D245,0)</f>
        <v>-0.0145157713480654</v>
      </c>
      <c r="H245" s="7" t="n">
        <f aca="false">01_Data!G245</f>
        <v>169036</v>
      </c>
      <c r="I245" s="7" t="n">
        <f aca="false">01_Data!H245</f>
        <v>160832</v>
      </c>
      <c r="J245" s="7" t="n">
        <f aca="false">H245-I245</f>
        <v>8204</v>
      </c>
      <c r="K245" s="8" t="n">
        <f aca="false">IFERROR(J245/H245,0)</f>
        <v>0.0485340400861355</v>
      </c>
      <c r="L245" s="7" t="n">
        <f aca="false">D245-H245</f>
        <v>137596</v>
      </c>
      <c r="M245" s="7" t="n">
        <f aca="false">E245-I245</f>
        <v>141349</v>
      </c>
      <c r="N245" s="7" t="n">
        <f aca="false">IFERROR(L245/D245,0)</f>
        <v>0.44873333507266</v>
      </c>
      <c r="O245" s="7" t="n">
        <f aca="false">IFERROR(M245/E245,0)</f>
        <v>0.467762698515128</v>
      </c>
      <c r="P245" s="7" t="n">
        <f aca="false">01_Data!I245+01_Data!K245+01_Data!M245+01_Data!O245+01_Data!Q245+01_Data!S245+01_Data!U245</f>
        <v>76255</v>
      </c>
      <c r="Q245" s="7" t="n">
        <f aca="false">01_Data!J245+01_Data!L245+01_Data!N245+01_Data!P245+01_Data!R245+01_Data!T245+01_Data!V245</f>
        <v>77077</v>
      </c>
      <c r="R245" s="7" t="n">
        <f aca="false">P245-Q245</f>
        <v>-822</v>
      </c>
      <c r="S245" s="7" t="n">
        <f aca="false">L245-P245</f>
        <v>61341</v>
      </c>
      <c r="T245" s="7" t="n">
        <f aca="false">M245-Q245</f>
        <v>64272</v>
      </c>
      <c r="U245" s="7" t="n">
        <f aca="false">T245-S245</f>
        <v>2931</v>
      </c>
      <c r="V245" s="8" t="n">
        <f aca="false">IFERROR(U245/S245,0)</f>
        <v>0.0477820707194209</v>
      </c>
      <c r="W245" s="5" t="str">
        <f aca="false">IF(V245&lt;-0.1,"ADVERSE &gt;10%","")</f>
        <v/>
      </c>
    </row>
    <row r="246" customFormat="false" ht="15" hidden="false" customHeight="false" outlineLevel="0" collapsed="false">
      <c r="A246" s="5" t="str">
        <f aca="false">01_Data!A246</f>
        <v>Healthcare &amp; Life Sciences</v>
      </c>
      <c r="B246" s="5" t="str">
        <f aca="false">01_Data!C246</f>
        <v>2025-08</v>
      </c>
      <c r="C246" s="5" t="str">
        <f aca="false">01_Data!D246</f>
        <v>FY25</v>
      </c>
      <c r="D246" s="7" t="n">
        <f aca="false">01_Data!E246</f>
        <v>314751</v>
      </c>
      <c r="E246" s="7" t="n">
        <f aca="false">01_Data!F246</f>
        <v>304116</v>
      </c>
      <c r="F246" s="7" t="n">
        <f aca="false">E246-D246</f>
        <v>-10635</v>
      </c>
      <c r="G246" s="8" t="n">
        <f aca="false">IFERROR(F246/D246,0)</f>
        <v>-0.0337886138566677</v>
      </c>
      <c r="H246" s="7" t="n">
        <f aca="false">01_Data!G246</f>
        <v>176202</v>
      </c>
      <c r="I246" s="7" t="n">
        <f aca="false">01_Data!H246</f>
        <v>176993</v>
      </c>
      <c r="J246" s="7" t="n">
        <f aca="false">H246-I246</f>
        <v>-791</v>
      </c>
      <c r="K246" s="8" t="n">
        <f aca="false">IFERROR(J246/H246,0)</f>
        <v>-0.00448916584374752</v>
      </c>
      <c r="L246" s="7" t="n">
        <f aca="false">D246-H246</f>
        <v>138549</v>
      </c>
      <c r="M246" s="7" t="n">
        <f aca="false">E246-I246</f>
        <v>127123</v>
      </c>
      <c r="N246" s="7" t="n">
        <f aca="false">IFERROR(L246/D246,0)</f>
        <v>0.440186051831448</v>
      </c>
      <c r="O246" s="7" t="n">
        <f aca="false">IFERROR(M246/E246,0)</f>
        <v>0.41800826000605</v>
      </c>
      <c r="P246" s="7" t="n">
        <f aca="false">01_Data!I246+01_Data!K246+01_Data!M246+01_Data!O246+01_Data!Q246+01_Data!S246+01_Data!U246</f>
        <v>92800</v>
      </c>
      <c r="Q246" s="7" t="n">
        <f aca="false">01_Data!J246+01_Data!L246+01_Data!N246+01_Data!P246+01_Data!R246+01_Data!T246+01_Data!V246</f>
        <v>90023</v>
      </c>
      <c r="R246" s="7" t="n">
        <f aca="false">P246-Q246</f>
        <v>2777</v>
      </c>
      <c r="S246" s="7" t="n">
        <f aca="false">L246-P246</f>
        <v>45749</v>
      </c>
      <c r="T246" s="7" t="n">
        <f aca="false">M246-Q246</f>
        <v>37100</v>
      </c>
      <c r="U246" s="7" t="n">
        <f aca="false">T246-S246</f>
        <v>-8649</v>
      </c>
      <c r="V246" s="8" t="n">
        <f aca="false">IFERROR(U246/S246,0)</f>
        <v>-0.189053312640713</v>
      </c>
      <c r="W246" s="5" t="str">
        <f aca="false">IF(V246&lt;-0.1,"ADVERSE &gt;10%","")</f>
        <v>ADVERSE &gt;10%</v>
      </c>
    </row>
    <row r="247" customFormat="false" ht="15" hidden="false" customHeight="false" outlineLevel="0" collapsed="false">
      <c r="A247" s="5" t="str">
        <f aca="false">01_Data!A247</f>
        <v>Healthcare &amp; Life Sciences</v>
      </c>
      <c r="B247" s="5" t="str">
        <f aca="false">01_Data!C247</f>
        <v>2025-09</v>
      </c>
      <c r="C247" s="5" t="str">
        <f aca="false">01_Data!D247</f>
        <v>FY25</v>
      </c>
      <c r="D247" s="7" t="n">
        <f aca="false">01_Data!E247</f>
        <v>310571</v>
      </c>
      <c r="E247" s="7" t="n">
        <f aca="false">01_Data!F247</f>
        <v>328987</v>
      </c>
      <c r="F247" s="7" t="n">
        <f aca="false">E247-D247</f>
        <v>18416</v>
      </c>
      <c r="G247" s="8" t="n">
        <f aca="false">IFERROR(F247/D247,0)</f>
        <v>0.0592972299409797</v>
      </c>
      <c r="H247" s="7" t="n">
        <f aca="false">01_Data!G247</f>
        <v>176296</v>
      </c>
      <c r="I247" s="7" t="n">
        <f aca="false">01_Data!H247</f>
        <v>192852</v>
      </c>
      <c r="J247" s="7" t="n">
        <f aca="false">H247-I247</f>
        <v>-16556</v>
      </c>
      <c r="K247" s="8" t="n">
        <f aca="false">IFERROR(J247/H247,0)</f>
        <v>-0.0939102418659527</v>
      </c>
      <c r="L247" s="7" t="n">
        <f aca="false">D247-H247</f>
        <v>134275</v>
      </c>
      <c r="M247" s="7" t="n">
        <f aca="false">E247-I247</f>
        <v>136135</v>
      </c>
      <c r="N247" s="7" t="n">
        <f aca="false">IFERROR(L247/D247,0)</f>
        <v>0.43234880268924</v>
      </c>
      <c r="O247" s="7" t="n">
        <f aca="false">IFERROR(M247/E247,0)</f>
        <v>0.413800545310301</v>
      </c>
      <c r="P247" s="7" t="n">
        <f aca="false">01_Data!I247+01_Data!K247+01_Data!M247+01_Data!O247+01_Data!Q247+01_Data!S247+01_Data!U247</f>
        <v>82676</v>
      </c>
      <c r="Q247" s="7" t="n">
        <f aca="false">01_Data!J247+01_Data!L247+01_Data!N247+01_Data!P247+01_Data!R247+01_Data!T247+01_Data!V247</f>
        <v>86838</v>
      </c>
      <c r="R247" s="7" t="n">
        <f aca="false">P247-Q247</f>
        <v>-4162</v>
      </c>
      <c r="S247" s="7" t="n">
        <f aca="false">L247-P247</f>
        <v>51599</v>
      </c>
      <c r="T247" s="7" t="n">
        <f aca="false">M247-Q247</f>
        <v>49297</v>
      </c>
      <c r="U247" s="7" t="n">
        <f aca="false">T247-S247</f>
        <v>-2302</v>
      </c>
      <c r="V247" s="8" t="n">
        <f aca="false">IFERROR(U247/S247,0)</f>
        <v>-0.0446132676989864</v>
      </c>
      <c r="W247" s="5" t="str">
        <f aca="false">IF(V247&lt;-0.1,"ADVERSE &gt;10%","")</f>
        <v/>
      </c>
    </row>
    <row r="248" customFormat="false" ht="15" hidden="false" customHeight="false" outlineLevel="0" collapsed="false">
      <c r="A248" s="5" t="str">
        <f aca="false">01_Data!A248</f>
        <v>Healthcare &amp; Life Sciences</v>
      </c>
      <c r="B248" s="5" t="str">
        <f aca="false">01_Data!C248</f>
        <v>2025-10</v>
      </c>
      <c r="C248" s="5" t="str">
        <f aca="false">01_Data!D248</f>
        <v>FY25</v>
      </c>
      <c r="D248" s="7" t="n">
        <f aca="false">01_Data!E248</f>
        <v>305678</v>
      </c>
      <c r="E248" s="7" t="n">
        <f aca="false">01_Data!F248</f>
        <v>316393</v>
      </c>
      <c r="F248" s="7" t="n">
        <f aca="false">E248-D248</f>
        <v>10715</v>
      </c>
      <c r="G248" s="8" t="n">
        <f aca="false">IFERROR(F248/D248,0)</f>
        <v>0.03505322594364</v>
      </c>
      <c r="H248" s="7" t="n">
        <f aca="false">01_Data!G248</f>
        <v>167137</v>
      </c>
      <c r="I248" s="7" t="n">
        <f aca="false">01_Data!H248</f>
        <v>176681</v>
      </c>
      <c r="J248" s="7" t="n">
        <f aca="false">H248-I248</f>
        <v>-9544</v>
      </c>
      <c r="K248" s="8" t="n">
        <f aca="false">IFERROR(J248/H248,0)</f>
        <v>-0.0571028557410986</v>
      </c>
      <c r="L248" s="7" t="n">
        <f aca="false">D248-H248</f>
        <v>138541</v>
      </c>
      <c r="M248" s="7" t="n">
        <f aca="false">E248-I248</f>
        <v>139712</v>
      </c>
      <c r="N248" s="7" t="n">
        <f aca="false">IFERROR(L248/D248,0)</f>
        <v>0.453225289356774</v>
      </c>
      <c r="O248" s="7" t="n">
        <f aca="false">IFERROR(M248/E248,0)</f>
        <v>0.441577405315541</v>
      </c>
      <c r="P248" s="7" t="n">
        <f aca="false">01_Data!I248+01_Data!K248+01_Data!M248+01_Data!O248+01_Data!Q248+01_Data!S248+01_Data!U248</f>
        <v>76857</v>
      </c>
      <c r="Q248" s="7" t="n">
        <f aca="false">01_Data!J248+01_Data!L248+01_Data!N248+01_Data!P248+01_Data!R248+01_Data!T248+01_Data!V248</f>
        <v>74536</v>
      </c>
      <c r="R248" s="7" t="n">
        <f aca="false">P248-Q248</f>
        <v>2321</v>
      </c>
      <c r="S248" s="7" t="n">
        <f aca="false">L248-P248</f>
        <v>61684</v>
      </c>
      <c r="T248" s="7" t="n">
        <f aca="false">M248-Q248</f>
        <v>65176</v>
      </c>
      <c r="U248" s="7" t="n">
        <f aca="false">T248-S248</f>
        <v>3492</v>
      </c>
      <c r="V248" s="8" t="n">
        <f aca="false">IFERROR(U248/S248,0)</f>
        <v>0.0566111147137021</v>
      </c>
      <c r="W248" s="5" t="str">
        <f aca="false">IF(V248&lt;-0.1,"ADVERSE &gt;10%","")</f>
        <v/>
      </c>
    </row>
    <row r="249" customFormat="false" ht="15" hidden="false" customHeight="false" outlineLevel="0" collapsed="false">
      <c r="A249" s="5" t="str">
        <f aca="false">01_Data!A249</f>
        <v>Healthcare &amp; Life Sciences</v>
      </c>
      <c r="B249" s="5" t="str">
        <f aca="false">01_Data!C249</f>
        <v>2025-11</v>
      </c>
      <c r="C249" s="5" t="str">
        <f aca="false">01_Data!D249</f>
        <v>FY25</v>
      </c>
      <c r="D249" s="7" t="n">
        <f aca="false">01_Data!E249</f>
        <v>336961</v>
      </c>
      <c r="E249" s="7" t="n">
        <f aca="false">01_Data!F249</f>
        <v>320396</v>
      </c>
      <c r="F249" s="7" t="n">
        <f aca="false">E249-D249</f>
        <v>-16565</v>
      </c>
      <c r="G249" s="8" t="n">
        <f aca="false">IFERROR(F249/D249,0)</f>
        <v>-0.0491599918091411</v>
      </c>
      <c r="H249" s="7" t="n">
        <f aca="false">01_Data!G249</f>
        <v>202115</v>
      </c>
      <c r="I249" s="7" t="n">
        <f aca="false">01_Data!H249</f>
        <v>195786</v>
      </c>
      <c r="J249" s="7" t="n">
        <f aca="false">H249-I249</f>
        <v>6329</v>
      </c>
      <c r="K249" s="8" t="n">
        <f aca="false">IFERROR(J249/H249,0)</f>
        <v>0.0313138559730846</v>
      </c>
      <c r="L249" s="7" t="n">
        <f aca="false">D249-H249</f>
        <v>134846</v>
      </c>
      <c r="M249" s="7" t="n">
        <f aca="false">E249-I249</f>
        <v>124610</v>
      </c>
      <c r="N249" s="7" t="n">
        <f aca="false">IFERROR(L249/D249,0)</f>
        <v>0.400182810473616</v>
      </c>
      <c r="O249" s="7" t="n">
        <f aca="false">IFERROR(M249/E249,0)</f>
        <v>0.388924955367732</v>
      </c>
      <c r="P249" s="7" t="n">
        <f aca="false">01_Data!I249+01_Data!K249+01_Data!M249+01_Data!O249+01_Data!Q249+01_Data!S249+01_Data!U249</f>
        <v>88482</v>
      </c>
      <c r="Q249" s="7" t="n">
        <f aca="false">01_Data!J249+01_Data!L249+01_Data!N249+01_Data!P249+01_Data!R249+01_Data!T249+01_Data!V249</f>
        <v>91530</v>
      </c>
      <c r="R249" s="7" t="n">
        <f aca="false">P249-Q249</f>
        <v>-3048</v>
      </c>
      <c r="S249" s="7" t="n">
        <f aca="false">L249-P249</f>
        <v>46364</v>
      </c>
      <c r="T249" s="7" t="n">
        <f aca="false">M249-Q249</f>
        <v>33080</v>
      </c>
      <c r="U249" s="7" t="n">
        <f aca="false">T249-S249</f>
        <v>-13284</v>
      </c>
      <c r="V249" s="8" t="n">
        <f aca="false">IFERROR(U249/S249,0)</f>
        <v>-0.286515399879217</v>
      </c>
      <c r="W249" s="5" t="str">
        <f aca="false">IF(V249&lt;-0.1,"ADVERSE &gt;10%","")</f>
        <v>ADVERSE &gt;10%</v>
      </c>
    </row>
    <row r="250" customFormat="false" ht="15" hidden="false" customHeight="false" outlineLevel="0" collapsed="false">
      <c r="A250" s="5" t="str">
        <f aca="false">01_Data!A250</f>
        <v>Healthcare &amp; Life Sciences</v>
      </c>
      <c r="B250" s="5" t="str">
        <f aca="false">01_Data!C250</f>
        <v>2025-12</v>
      </c>
      <c r="C250" s="5" t="str">
        <f aca="false">01_Data!D250</f>
        <v>FY25</v>
      </c>
      <c r="D250" s="7" t="n">
        <f aca="false">01_Data!E250</f>
        <v>354504</v>
      </c>
      <c r="E250" s="7" t="n">
        <f aca="false">01_Data!F250</f>
        <v>338319</v>
      </c>
      <c r="F250" s="7" t="n">
        <f aca="false">E250-D250</f>
        <v>-16185</v>
      </c>
      <c r="G250" s="8" t="n">
        <f aca="false">IFERROR(F250/D250,0)</f>
        <v>-0.0456553381626159</v>
      </c>
      <c r="H250" s="7" t="n">
        <f aca="false">01_Data!G250</f>
        <v>201755</v>
      </c>
      <c r="I250" s="7" t="n">
        <f aca="false">01_Data!H250</f>
        <v>193178</v>
      </c>
      <c r="J250" s="7" t="n">
        <f aca="false">H250-I250</f>
        <v>8577</v>
      </c>
      <c r="K250" s="8" t="n">
        <f aca="false">IFERROR(J250/H250,0)</f>
        <v>0.042511957572303</v>
      </c>
      <c r="L250" s="7" t="n">
        <f aca="false">D250-H250</f>
        <v>152749</v>
      </c>
      <c r="M250" s="7" t="n">
        <f aca="false">E250-I250</f>
        <v>145141</v>
      </c>
      <c r="N250" s="7" t="n">
        <f aca="false">IFERROR(L250/D250,0)</f>
        <v>0.430880892740279</v>
      </c>
      <c r="O250" s="7" t="n">
        <f aca="false">IFERROR(M250/E250,0)</f>
        <v>0.429006351993237</v>
      </c>
      <c r="P250" s="7" t="n">
        <f aca="false">01_Data!I250+01_Data!K250+01_Data!M250+01_Data!O250+01_Data!Q250+01_Data!S250+01_Data!U250</f>
        <v>89180</v>
      </c>
      <c r="Q250" s="7" t="n">
        <f aca="false">01_Data!J250+01_Data!L250+01_Data!N250+01_Data!P250+01_Data!R250+01_Data!T250+01_Data!V250</f>
        <v>91687</v>
      </c>
      <c r="R250" s="7" t="n">
        <f aca="false">P250-Q250</f>
        <v>-2507</v>
      </c>
      <c r="S250" s="7" t="n">
        <f aca="false">L250-P250</f>
        <v>63569</v>
      </c>
      <c r="T250" s="7" t="n">
        <f aca="false">M250-Q250</f>
        <v>53454</v>
      </c>
      <c r="U250" s="7" t="n">
        <f aca="false">T250-S250</f>
        <v>-10115</v>
      </c>
      <c r="V250" s="8" t="n">
        <f aca="false">IFERROR(U250/S250,0)</f>
        <v>-0.159118438232472</v>
      </c>
      <c r="W250" s="5" t="str">
        <f aca="false">IF(V250&lt;-0.1,"ADVERSE &gt;10%","")</f>
        <v>ADVERSE &gt;10%</v>
      </c>
    </row>
    <row r="251" customFormat="false" ht="15" hidden="false" customHeight="false" outlineLevel="0" collapsed="false">
      <c r="A251" s="5" t="str">
        <f aca="false">01_Data!A251</f>
        <v>Healthcare &amp; Life Sciences</v>
      </c>
      <c r="B251" s="5" t="str">
        <f aca="false">01_Data!C251</f>
        <v>2026-01</v>
      </c>
      <c r="C251" s="5" t="str">
        <f aca="false">01_Data!D251</f>
        <v>FY25</v>
      </c>
      <c r="D251" s="7" t="n">
        <f aca="false">01_Data!E251</f>
        <v>299885</v>
      </c>
      <c r="E251" s="7" t="n">
        <f aca="false">01_Data!F251</f>
        <v>318997</v>
      </c>
      <c r="F251" s="7" t="n">
        <f aca="false">E251-D251</f>
        <v>19112</v>
      </c>
      <c r="G251" s="8" t="n">
        <f aca="false">IFERROR(F251/D251,0)</f>
        <v>0.0637310969204862</v>
      </c>
      <c r="H251" s="7" t="n">
        <f aca="false">01_Data!G251</f>
        <v>173418</v>
      </c>
      <c r="I251" s="7" t="n">
        <f aca="false">01_Data!H251</f>
        <v>184136</v>
      </c>
      <c r="J251" s="7" t="n">
        <f aca="false">H251-I251</f>
        <v>-10718</v>
      </c>
      <c r="K251" s="8" t="n">
        <f aca="false">IFERROR(J251/H251,0)</f>
        <v>-0.0618044262994614</v>
      </c>
      <c r="L251" s="7" t="n">
        <f aca="false">D251-H251</f>
        <v>126467</v>
      </c>
      <c r="M251" s="7" t="n">
        <f aca="false">E251-I251</f>
        <v>134861</v>
      </c>
      <c r="N251" s="7" t="n">
        <f aca="false">IFERROR(L251/D251,0)</f>
        <v>0.421718325358054</v>
      </c>
      <c r="O251" s="7" t="n">
        <f aca="false">IFERROR(M251/E251,0)</f>
        <v>0.422765731339166</v>
      </c>
      <c r="P251" s="7" t="n">
        <f aca="false">01_Data!I251+01_Data!K251+01_Data!M251+01_Data!O251+01_Data!Q251+01_Data!S251+01_Data!U251</f>
        <v>78836</v>
      </c>
      <c r="Q251" s="7" t="n">
        <f aca="false">01_Data!J251+01_Data!L251+01_Data!N251+01_Data!P251+01_Data!R251+01_Data!T251+01_Data!V251</f>
        <v>79303</v>
      </c>
      <c r="R251" s="7" t="n">
        <f aca="false">P251-Q251</f>
        <v>-467</v>
      </c>
      <c r="S251" s="7" t="n">
        <f aca="false">L251-P251</f>
        <v>47631</v>
      </c>
      <c r="T251" s="7" t="n">
        <f aca="false">M251-Q251</f>
        <v>55558</v>
      </c>
      <c r="U251" s="7" t="n">
        <f aca="false">T251-S251</f>
        <v>7927</v>
      </c>
      <c r="V251" s="8" t="n">
        <f aca="false">IFERROR(U251/S251,0)</f>
        <v>0.166425227267956</v>
      </c>
      <c r="W251" s="5" t="str">
        <f aca="false">IF(V251&lt;-0.1,"ADVERSE &gt;10%","")</f>
        <v/>
      </c>
    </row>
    <row r="252" customFormat="false" ht="15" hidden="false" customHeight="false" outlineLevel="0" collapsed="false">
      <c r="A252" s="5" t="str">
        <f aca="false">01_Data!A252</f>
        <v>Healthcare &amp; Life Sciences</v>
      </c>
      <c r="B252" s="5" t="str">
        <f aca="false">01_Data!C252</f>
        <v>2026-02</v>
      </c>
      <c r="C252" s="5" t="str">
        <f aca="false">01_Data!D252</f>
        <v>FY25</v>
      </c>
      <c r="D252" s="7" t="n">
        <f aca="false">01_Data!E252</f>
        <v>308206</v>
      </c>
      <c r="E252" s="7" t="n">
        <f aca="false">01_Data!F252</f>
        <v>323319</v>
      </c>
      <c r="F252" s="7" t="n">
        <f aca="false">E252-D252</f>
        <v>15113</v>
      </c>
      <c r="G252" s="8" t="n">
        <f aca="false">IFERROR(F252/D252,0)</f>
        <v>0.0490353854240346</v>
      </c>
      <c r="H252" s="7" t="n">
        <f aca="false">01_Data!G252</f>
        <v>176106</v>
      </c>
      <c r="I252" s="7" t="n">
        <f aca="false">01_Data!H252</f>
        <v>179353</v>
      </c>
      <c r="J252" s="7" t="n">
        <f aca="false">H252-I252</f>
        <v>-3247</v>
      </c>
      <c r="K252" s="8" t="n">
        <f aca="false">IFERROR(J252/H252,0)</f>
        <v>-0.0184377590769196</v>
      </c>
      <c r="L252" s="7" t="n">
        <f aca="false">D252-H252</f>
        <v>132100</v>
      </c>
      <c r="M252" s="7" t="n">
        <f aca="false">E252-I252</f>
        <v>143966</v>
      </c>
      <c r="N252" s="7" t="n">
        <f aca="false">IFERROR(L252/D252,0)</f>
        <v>0.428609436545687</v>
      </c>
      <c r="O252" s="7" t="n">
        <f aca="false">IFERROR(M252/E252,0)</f>
        <v>0.445275409116074</v>
      </c>
      <c r="P252" s="7" t="n">
        <f aca="false">01_Data!I252+01_Data!K252+01_Data!M252+01_Data!O252+01_Data!Q252+01_Data!S252+01_Data!U252</f>
        <v>87654</v>
      </c>
      <c r="Q252" s="7" t="n">
        <f aca="false">01_Data!J252+01_Data!L252+01_Data!N252+01_Data!P252+01_Data!R252+01_Data!T252+01_Data!V252</f>
        <v>85842</v>
      </c>
      <c r="R252" s="7" t="n">
        <f aca="false">P252-Q252</f>
        <v>1812</v>
      </c>
      <c r="S252" s="7" t="n">
        <f aca="false">L252-P252</f>
        <v>44446</v>
      </c>
      <c r="T252" s="7" t="n">
        <f aca="false">M252-Q252</f>
        <v>58124</v>
      </c>
      <c r="U252" s="7" t="n">
        <f aca="false">T252-S252</f>
        <v>13678</v>
      </c>
      <c r="V252" s="8" t="n">
        <f aca="false">IFERROR(U252/S252,0)</f>
        <v>0.307744228951987</v>
      </c>
      <c r="W252" s="5" t="str">
        <f aca="false">IF(V252&lt;-0.1,"ADVERSE &gt;10%","")</f>
        <v/>
      </c>
    </row>
    <row r="253" customFormat="false" ht="15" hidden="false" customHeight="false" outlineLevel="0" collapsed="false">
      <c r="A253" s="5" t="str">
        <f aca="false">01_Data!A253</f>
        <v>Healthcare &amp; Life Sciences</v>
      </c>
      <c r="B253" s="5" t="str">
        <f aca="false">01_Data!C253</f>
        <v>2026-03</v>
      </c>
      <c r="C253" s="5" t="str">
        <f aca="false">01_Data!D253</f>
        <v>FY25</v>
      </c>
      <c r="D253" s="7" t="n">
        <f aca="false">01_Data!E253</f>
        <v>358101</v>
      </c>
      <c r="E253" s="7" t="n">
        <f aca="false">01_Data!F253</f>
        <v>340521</v>
      </c>
      <c r="F253" s="7" t="n">
        <f aca="false">E253-D253</f>
        <v>-17580</v>
      </c>
      <c r="G253" s="8" t="n">
        <f aca="false">IFERROR(F253/D253,0)</f>
        <v>-0.049092295190463</v>
      </c>
      <c r="H253" s="7" t="n">
        <f aca="false">01_Data!G253</f>
        <v>197859</v>
      </c>
      <c r="I253" s="7" t="n">
        <f aca="false">01_Data!H253</f>
        <v>189702</v>
      </c>
      <c r="J253" s="7" t="n">
        <f aca="false">H253-I253</f>
        <v>8157</v>
      </c>
      <c r="K253" s="8" t="n">
        <f aca="false">IFERROR(J253/H253,0)</f>
        <v>0.0412263278395221</v>
      </c>
      <c r="L253" s="7" t="n">
        <f aca="false">D253-H253</f>
        <v>160242</v>
      </c>
      <c r="M253" s="7" t="n">
        <f aca="false">E253-I253</f>
        <v>150819</v>
      </c>
      <c r="N253" s="7" t="n">
        <f aca="false">IFERROR(L253/D253,0)</f>
        <v>0.447477108413548</v>
      </c>
      <c r="O253" s="7" t="n">
        <f aca="false">IFERROR(M253/E253,0)</f>
        <v>0.442906604878994</v>
      </c>
      <c r="P253" s="7" t="n">
        <f aca="false">01_Data!I253+01_Data!K253+01_Data!M253+01_Data!O253+01_Data!Q253+01_Data!S253+01_Data!U253</f>
        <v>99818</v>
      </c>
      <c r="Q253" s="7" t="n">
        <f aca="false">01_Data!J253+01_Data!L253+01_Data!N253+01_Data!P253+01_Data!R253+01_Data!T253+01_Data!V253</f>
        <v>97721</v>
      </c>
      <c r="R253" s="7" t="n">
        <f aca="false">P253-Q253</f>
        <v>2097</v>
      </c>
      <c r="S253" s="7" t="n">
        <f aca="false">L253-P253</f>
        <v>60424</v>
      </c>
      <c r="T253" s="7" t="n">
        <f aca="false">M253-Q253</f>
        <v>53098</v>
      </c>
      <c r="U253" s="7" t="n">
        <f aca="false">T253-S253</f>
        <v>-7326</v>
      </c>
      <c r="V253" s="8" t="n">
        <f aca="false">IFERROR(U253/S253,0)</f>
        <v>-0.121243214616709</v>
      </c>
      <c r="W253" s="5" t="str">
        <f aca="false">IF(V253&lt;-0.1,"ADVERSE &gt;10%","")</f>
        <v>ADVERSE &gt;10%</v>
      </c>
    </row>
    <row r="254" customFormat="false" ht="15" hidden="false" customHeight="false" outlineLevel="0" collapsed="false">
      <c r="A254" s="5" t="str">
        <f aca="false">01_Data!A254</f>
        <v>Healthcare &amp; Life Sciences</v>
      </c>
      <c r="B254" s="5" t="str">
        <f aca="false">01_Data!C254</f>
        <v>2023-04</v>
      </c>
      <c r="C254" s="5" t="str">
        <f aca="false">01_Data!D254</f>
        <v>FY23</v>
      </c>
      <c r="D254" s="7" t="n">
        <f aca="false">01_Data!E254</f>
        <v>195652</v>
      </c>
      <c r="E254" s="7" t="n">
        <f aca="false">01_Data!F254</f>
        <v>190504</v>
      </c>
      <c r="F254" s="7" t="n">
        <f aca="false">E254-D254</f>
        <v>-5148</v>
      </c>
      <c r="G254" s="8" t="n">
        <f aca="false">IFERROR(F254/D254,0)</f>
        <v>-0.0263120233884652</v>
      </c>
      <c r="H254" s="7" t="n">
        <f aca="false">01_Data!G254</f>
        <v>111893</v>
      </c>
      <c r="I254" s="7" t="n">
        <f aca="false">01_Data!H254</f>
        <v>106944</v>
      </c>
      <c r="J254" s="7" t="n">
        <f aca="false">H254-I254</f>
        <v>4949</v>
      </c>
      <c r="K254" s="8" t="n">
        <f aca="false">IFERROR(J254/H254,0)</f>
        <v>0.0442297552125692</v>
      </c>
      <c r="L254" s="7" t="n">
        <f aca="false">D254-H254</f>
        <v>83759</v>
      </c>
      <c r="M254" s="7" t="n">
        <f aca="false">E254-I254</f>
        <v>83560</v>
      </c>
      <c r="N254" s="7" t="n">
        <f aca="false">IFERROR(L254/D254,0)</f>
        <v>0.42810193609061</v>
      </c>
      <c r="O254" s="7" t="n">
        <f aca="false">IFERROR(M254/E254,0)</f>
        <v>0.438625960609751</v>
      </c>
      <c r="P254" s="7" t="n">
        <f aca="false">01_Data!I254+01_Data!K254+01_Data!M254+01_Data!O254+01_Data!Q254+01_Data!S254+01_Data!U254</f>
        <v>51649</v>
      </c>
      <c r="Q254" s="7" t="n">
        <f aca="false">01_Data!J254+01_Data!L254+01_Data!N254+01_Data!P254+01_Data!R254+01_Data!T254+01_Data!V254</f>
        <v>51717</v>
      </c>
      <c r="R254" s="7" t="n">
        <f aca="false">P254-Q254</f>
        <v>-68</v>
      </c>
      <c r="S254" s="7" t="n">
        <f aca="false">L254-P254</f>
        <v>32110</v>
      </c>
      <c r="T254" s="7" t="n">
        <f aca="false">M254-Q254</f>
        <v>31843</v>
      </c>
      <c r="U254" s="7" t="n">
        <f aca="false">T254-S254</f>
        <v>-267</v>
      </c>
      <c r="V254" s="8" t="n">
        <f aca="false">IFERROR(U254/S254,0)</f>
        <v>-0.00831516661476176</v>
      </c>
      <c r="W254" s="5" t="str">
        <f aca="false">IF(V254&lt;-0.1,"ADVERSE &gt;10%","")</f>
        <v/>
      </c>
    </row>
    <row r="255" customFormat="false" ht="15" hidden="false" customHeight="false" outlineLevel="0" collapsed="false">
      <c r="A255" s="5" t="str">
        <f aca="false">01_Data!A255</f>
        <v>Healthcare &amp; Life Sciences</v>
      </c>
      <c r="B255" s="5" t="str">
        <f aca="false">01_Data!C255</f>
        <v>2023-05</v>
      </c>
      <c r="C255" s="5" t="str">
        <f aca="false">01_Data!D255</f>
        <v>FY23</v>
      </c>
      <c r="D255" s="7" t="n">
        <f aca="false">01_Data!E255</f>
        <v>188203</v>
      </c>
      <c r="E255" s="7" t="n">
        <f aca="false">01_Data!F255</f>
        <v>191946</v>
      </c>
      <c r="F255" s="7" t="n">
        <f aca="false">E255-D255</f>
        <v>3743</v>
      </c>
      <c r="G255" s="8" t="n">
        <f aca="false">IFERROR(F255/D255,0)</f>
        <v>0.0198880995520794</v>
      </c>
      <c r="H255" s="7" t="n">
        <f aca="false">01_Data!G255</f>
        <v>103416</v>
      </c>
      <c r="I255" s="7" t="n">
        <f aca="false">01_Data!H255</f>
        <v>111216</v>
      </c>
      <c r="J255" s="7" t="n">
        <f aca="false">H255-I255</f>
        <v>-7800</v>
      </c>
      <c r="K255" s="8" t="n">
        <f aca="false">IFERROR(J255/H255,0)</f>
        <v>-0.0754235321420283</v>
      </c>
      <c r="L255" s="7" t="n">
        <f aca="false">D255-H255</f>
        <v>84787</v>
      </c>
      <c r="M255" s="7" t="n">
        <f aca="false">E255-I255</f>
        <v>80730</v>
      </c>
      <c r="N255" s="7" t="n">
        <f aca="false">IFERROR(L255/D255,0)</f>
        <v>0.450508227817835</v>
      </c>
      <c r="O255" s="7" t="n">
        <f aca="false">IFERROR(M255/E255,0)</f>
        <v>0.42058704010503</v>
      </c>
      <c r="P255" s="7" t="n">
        <f aca="false">01_Data!I255+01_Data!K255+01_Data!M255+01_Data!O255+01_Data!Q255+01_Data!S255+01_Data!U255</f>
        <v>50584</v>
      </c>
      <c r="Q255" s="7" t="n">
        <f aca="false">01_Data!J255+01_Data!L255+01_Data!N255+01_Data!P255+01_Data!R255+01_Data!T255+01_Data!V255</f>
        <v>51527</v>
      </c>
      <c r="R255" s="7" t="n">
        <f aca="false">P255-Q255</f>
        <v>-943</v>
      </c>
      <c r="S255" s="7" t="n">
        <f aca="false">L255-P255</f>
        <v>34203</v>
      </c>
      <c r="T255" s="7" t="n">
        <f aca="false">M255-Q255</f>
        <v>29203</v>
      </c>
      <c r="U255" s="7" t="n">
        <f aca="false">T255-S255</f>
        <v>-5000</v>
      </c>
      <c r="V255" s="8" t="n">
        <f aca="false">IFERROR(U255/S255,0)</f>
        <v>-0.146186007075403</v>
      </c>
      <c r="W255" s="5" t="str">
        <f aca="false">IF(V255&lt;-0.1,"ADVERSE &gt;10%","")</f>
        <v>ADVERSE &gt;10%</v>
      </c>
    </row>
    <row r="256" customFormat="false" ht="15" hidden="false" customHeight="false" outlineLevel="0" collapsed="false">
      <c r="A256" s="5" t="str">
        <f aca="false">01_Data!A256</f>
        <v>Healthcare &amp; Life Sciences</v>
      </c>
      <c r="B256" s="5" t="str">
        <f aca="false">01_Data!C256</f>
        <v>2023-06</v>
      </c>
      <c r="C256" s="5" t="str">
        <f aca="false">01_Data!D256</f>
        <v>FY23</v>
      </c>
      <c r="D256" s="7" t="n">
        <f aca="false">01_Data!E256</f>
        <v>202906</v>
      </c>
      <c r="E256" s="7" t="n">
        <f aca="false">01_Data!F256</f>
        <v>192255</v>
      </c>
      <c r="F256" s="7" t="n">
        <f aca="false">E256-D256</f>
        <v>-10651</v>
      </c>
      <c r="G256" s="8" t="n">
        <f aca="false">IFERROR(F256/D256,0)</f>
        <v>-0.052492287068889</v>
      </c>
      <c r="H256" s="7" t="n">
        <f aca="false">01_Data!G256</f>
        <v>115017</v>
      </c>
      <c r="I256" s="7" t="n">
        <f aca="false">01_Data!H256</f>
        <v>108952</v>
      </c>
      <c r="J256" s="7" t="n">
        <f aca="false">H256-I256</f>
        <v>6065</v>
      </c>
      <c r="K256" s="8" t="n">
        <f aca="false">IFERROR(J256/H256,0)</f>
        <v>0.0527313353678152</v>
      </c>
      <c r="L256" s="7" t="n">
        <f aca="false">D256-H256</f>
        <v>87889</v>
      </c>
      <c r="M256" s="7" t="n">
        <f aca="false">E256-I256</f>
        <v>83303</v>
      </c>
      <c r="N256" s="7" t="n">
        <f aca="false">IFERROR(L256/D256,0)</f>
        <v>0.433151311444708</v>
      </c>
      <c r="O256" s="7" t="n">
        <f aca="false">IFERROR(M256/E256,0)</f>
        <v>0.433294322644405</v>
      </c>
      <c r="P256" s="7" t="n">
        <f aca="false">01_Data!I256+01_Data!K256+01_Data!M256+01_Data!O256+01_Data!Q256+01_Data!S256+01_Data!U256</f>
        <v>56655</v>
      </c>
      <c r="Q256" s="7" t="n">
        <f aca="false">01_Data!J256+01_Data!L256+01_Data!N256+01_Data!P256+01_Data!R256+01_Data!T256+01_Data!V256</f>
        <v>59237</v>
      </c>
      <c r="R256" s="7" t="n">
        <f aca="false">P256-Q256</f>
        <v>-2582</v>
      </c>
      <c r="S256" s="7" t="n">
        <f aca="false">L256-P256</f>
        <v>31234</v>
      </c>
      <c r="T256" s="7" t="n">
        <f aca="false">M256-Q256</f>
        <v>24066</v>
      </c>
      <c r="U256" s="7" t="n">
        <f aca="false">T256-S256</f>
        <v>-7168</v>
      </c>
      <c r="V256" s="8" t="n">
        <f aca="false">IFERROR(U256/S256,0)</f>
        <v>-0.229493500672344</v>
      </c>
      <c r="W256" s="5" t="str">
        <f aca="false">IF(V256&lt;-0.1,"ADVERSE &gt;10%","")</f>
        <v>ADVERSE &gt;10%</v>
      </c>
    </row>
    <row r="257" customFormat="false" ht="15" hidden="false" customHeight="false" outlineLevel="0" collapsed="false">
      <c r="A257" s="5" t="str">
        <f aca="false">01_Data!A257</f>
        <v>Healthcare &amp; Life Sciences</v>
      </c>
      <c r="B257" s="5" t="str">
        <f aca="false">01_Data!C257</f>
        <v>2023-07</v>
      </c>
      <c r="C257" s="5" t="str">
        <f aca="false">01_Data!D257</f>
        <v>FY23</v>
      </c>
      <c r="D257" s="7" t="n">
        <f aca="false">01_Data!E257</f>
        <v>204877</v>
      </c>
      <c r="E257" s="7" t="n">
        <f aca="false">01_Data!F257</f>
        <v>194915</v>
      </c>
      <c r="F257" s="7" t="n">
        <f aca="false">E257-D257</f>
        <v>-9962</v>
      </c>
      <c r="G257" s="8" t="n">
        <f aca="false">IFERROR(F257/D257,0)</f>
        <v>-0.048624296529137</v>
      </c>
      <c r="H257" s="7" t="n">
        <f aca="false">01_Data!G257</f>
        <v>112535</v>
      </c>
      <c r="I257" s="7" t="n">
        <f aca="false">01_Data!H257</f>
        <v>103533</v>
      </c>
      <c r="J257" s="7" t="n">
        <f aca="false">H257-I257</f>
        <v>9002</v>
      </c>
      <c r="K257" s="8" t="n">
        <f aca="false">IFERROR(J257/H257,0)</f>
        <v>0.0799928911005465</v>
      </c>
      <c r="L257" s="7" t="n">
        <f aca="false">D257-H257</f>
        <v>92342</v>
      </c>
      <c r="M257" s="7" t="n">
        <f aca="false">E257-I257</f>
        <v>91382</v>
      </c>
      <c r="N257" s="7" t="n">
        <f aca="false">IFERROR(L257/D257,0)</f>
        <v>0.450719212015014</v>
      </c>
      <c r="O257" s="7" t="n">
        <f aca="false">IFERROR(M257/E257,0)</f>
        <v>0.468830002821743</v>
      </c>
      <c r="P257" s="7" t="n">
        <f aca="false">01_Data!I257+01_Data!K257+01_Data!M257+01_Data!O257+01_Data!Q257+01_Data!S257+01_Data!U257</f>
        <v>52478</v>
      </c>
      <c r="Q257" s="7" t="n">
        <f aca="false">01_Data!J257+01_Data!L257+01_Data!N257+01_Data!P257+01_Data!R257+01_Data!T257+01_Data!V257</f>
        <v>53290</v>
      </c>
      <c r="R257" s="7" t="n">
        <f aca="false">P257-Q257</f>
        <v>-812</v>
      </c>
      <c r="S257" s="7" t="n">
        <f aca="false">L257-P257</f>
        <v>39864</v>
      </c>
      <c r="T257" s="7" t="n">
        <f aca="false">M257-Q257</f>
        <v>38092</v>
      </c>
      <c r="U257" s="7" t="n">
        <f aca="false">T257-S257</f>
        <v>-1772</v>
      </c>
      <c r="V257" s="8" t="n">
        <f aca="false">IFERROR(U257/S257,0)</f>
        <v>-0.0444511338551074</v>
      </c>
      <c r="W257" s="5" t="str">
        <f aca="false">IF(V257&lt;-0.1,"ADVERSE &gt;10%","")</f>
        <v/>
      </c>
    </row>
    <row r="258" customFormat="false" ht="15" hidden="false" customHeight="false" outlineLevel="0" collapsed="false">
      <c r="A258" s="5" t="str">
        <f aca="false">01_Data!A258</f>
        <v>Healthcare &amp; Life Sciences</v>
      </c>
      <c r="B258" s="5" t="str">
        <f aca="false">01_Data!C258</f>
        <v>2023-08</v>
      </c>
      <c r="C258" s="5" t="str">
        <f aca="false">01_Data!D258</f>
        <v>FY23</v>
      </c>
      <c r="D258" s="7" t="n">
        <f aca="false">01_Data!E258</f>
        <v>200480</v>
      </c>
      <c r="E258" s="7" t="n">
        <f aca="false">01_Data!F258</f>
        <v>198663</v>
      </c>
      <c r="F258" s="7" t="n">
        <f aca="false">E258-D258</f>
        <v>-1817</v>
      </c>
      <c r="G258" s="8" t="n">
        <f aca="false">IFERROR(F258/D258,0)</f>
        <v>-0.00906324820430966</v>
      </c>
      <c r="H258" s="7" t="n">
        <f aca="false">01_Data!G258</f>
        <v>119177</v>
      </c>
      <c r="I258" s="7" t="n">
        <f aca="false">01_Data!H258</f>
        <v>120036</v>
      </c>
      <c r="J258" s="7" t="n">
        <f aca="false">H258-I258</f>
        <v>-859</v>
      </c>
      <c r="K258" s="8" t="n">
        <f aca="false">IFERROR(J258/H258,0)</f>
        <v>-0.00720776659925993</v>
      </c>
      <c r="L258" s="7" t="n">
        <f aca="false">D258-H258</f>
        <v>81303</v>
      </c>
      <c r="M258" s="7" t="n">
        <f aca="false">E258-I258</f>
        <v>78627</v>
      </c>
      <c r="N258" s="7" t="n">
        <f aca="false">IFERROR(L258/D258,0)</f>
        <v>0.405541699920192</v>
      </c>
      <c r="O258" s="7" t="n">
        <f aca="false">IFERROR(M258/E258,0)</f>
        <v>0.395780794611981</v>
      </c>
      <c r="P258" s="7" t="n">
        <f aca="false">01_Data!I258+01_Data!K258+01_Data!M258+01_Data!O258+01_Data!Q258+01_Data!S258+01_Data!U258</f>
        <v>52246</v>
      </c>
      <c r="Q258" s="7" t="n">
        <f aca="false">01_Data!J258+01_Data!L258+01_Data!N258+01_Data!P258+01_Data!R258+01_Data!T258+01_Data!V258</f>
        <v>53628</v>
      </c>
      <c r="R258" s="7" t="n">
        <f aca="false">P258-Q258</f>
        <v>-1382</v>
      </c>
      <c r="S258" s="7" t="n">
        <f aca="false">L258-P258</f>
        <v>29057</v>
      </c>
      <c r="T258" s="7" t="n">
        <f aca="false">M258-Q258</f>
        <v>24999</v>
      </c>
      <c r="U258" s="7" t="n">
        <f aca="false">T258-S258</f>
        <v>-4058</v>
      </c>
      <c r="V258" s="8" t="n">
        <f aca="false">IFERROR(U258/S258,0)</f>
        <v>-0.139656537151117</v>
      </c>
      <c r="W258" s="5" t="str">
        <f aca="false">IF(V258&lt;-0.1,"ADVERSE &gt;10%","")</f>
        <v>ADVERSE &gt;10%</v>
      </c>
    </row>
    <row r="259" customFormat="false" ht="15" hidden="false" customHeight="false" outlineLevel="0" collapsed="false">
      <c r="A259" s="5" t="str">
        <f aca="false">01_Data!A259</f>
        <v>Healthcare &amp; Life Sciences</v>
      </c>
      <c r="B259" s="5" t="str">
        <f aca="false">01_Data!C259</f>
        <v>2023-09</v>
      </c>
      <c r="C259" s="5" t="str">
        <f aca="false">01_Data!D259</f>
        <v>FY23</v>
      </c>
      <c r="D259" s="7" t="n">
        <f aca="false">01_Data!E259</f>
        <v>224738</v>
      </c>
      <c r="E259" s="7" t="n">
        <f aca="false">01_Data!F259</f>
        <v>217497</v>
      </c>
      <c r="F259" s="7" t="n">
        <f aca="false">E259-D259</f>
        <v>-7241</v>
      </c>
      <c r="G259" s="8" t="n">
        <f aca="false">IFERROR(F259/D259,0)</f>
        <v>-0.0322197403198391</v>
      </c>
      <c r="H259" s="7" t="n">
        <f aca="false">01_Data!G259</f>
        <v>126516</v>
      </c>
      <c r="I259" s="7" t="n">
        <f aca="false">01_Data!H259</f>
        <v>121404</v>
      </c>
      <c r="J259" s="7" t="n">
        <f aca="false">H259-I259</f>
        <v>5112</v>
      </c>
      <c r="K259" s="8" t="n">
        <f aca="false">IFERROR(J259/H259,0)</f>
        <v>0.0404059565588542</v>
      </c>
      <c r="L259" s="7" t="n">
        <f aca="false">D259-H259</f>
        <v>98222</v>
      </c>
      <c r="M259" s="7" t="n">
        <f aca="false">E259-I259</f>
        <v>96093</v>
      </c>
      <c r="N259" s="7" t="n">
        <f aca="false">IFERROR(L259/D259,0)</f>
        <v>0.43705114399879</v>
      </c>
      <c r="O259" s="7" t="n">
        <f aca="false">IFERROR(M259/E259,0)</f>
        <v>0.441812990524007</v>
      </c>
      <c r="P259" s="7" t="n">
        <f aca="false">01_Data!I259+01_Data!K259+01_Data!M259+01_Data!O259+01_Data!Q259+01_Data!S259+01_Data!U259</f>
        <v>55247</v>
      </c>
      <c r="Q259" s="7" t="n">
        <f aca="false">01_Data!J259+01_Data!L259+01_Data!N259+01_Data!P259+01_Data!R259+01_Data!T259+01_Data!V259</f>
        <v>55621</v>
      </c>
      <c r="R259" s="7" t="n">
        <f aca="false">P259-Q259</f>
        <v>-374</v>
      </c>
      <c r="S259" s="7" t="n">
        <f aca="false">L259-P259</f>
        <v>42975</v>
      </c>
      <c r="T259" s="7" t="n">
        <f aca="false">M259-Q259</f>
        <v>40472</v>
      </c>
      <c r="U259" s="7" t="n">
        <f aca="false">T259-S259</f>
        <v>-2503</v>
      </c>
      <c r="V259" s="8" t="n">
        <f aca="false">IFERROR(U259/S259,0)</f>
        <v>-0.0582431646305992</v>
      </c>
      <c r="W259" s="5" t="str">
        <f aca="false">IF(V259&lt;-0.1,"ADVERSE &gt;10%","")</f>
        <v/>
      </c>
    </row>
    <row r="260" customFormat="false" ht="15" hidden="false" customHeight="false" outlineLevel="0" collapsed="false">
      <c r="A260" s="5" t="str">
        <f aca="false">01_Data!A260</f>
        <v>Healthcare &amp; Life Sciences</v>
      </c>
      <c r="B260" s="5" t="str">
        <f aca="false">01_Data!C260</f>
        <v>2023-10</v>
      </c>
      <c r="C260" s="5" t="str">
        <f aca="false">01_Data!D260</f>
        <v>FY23</v>
      </c>
      <c r="D260" s="7" t="n">
        <f aca="false">01_Data!E260</f>
        <v>186539</v>
      </c>
      <c r="E260" s="7" t="n">
        <f aca="false">01_Data!F260</f>
        <v>196376</v>
      </c>
      <c r="F260" s="7" t="n">
        <f aca="false">E260-D260</f>
        <v>9837</v>
      </c>
      <c r="G260" s="8" t="n">
        <f aca="false">IFERROR(F260/D260,0)</f>
        <v>0.0527342807670246</v>
      </c>
      <c r="H260" s="7" t="n">
        <f aca="false">01_Data!G260</f>
        <v>107127</v>
      </c>
      <c r="I260" s="7" t="n">
        <f aca="false">01_Data!H260</f>
        <v>109333</v>
      </c>
      <c r="J260" s="7" t="n">
        <f aca="false">H260-I260</f>
        <v>-2206</v>
      </c>
      <c r="K260" s="8" t="n">
        <f aca="false">IFERROR(J260/H260,0)</f>
        <v>-0.0205923810057222</v>
      </c>
      <c r="L260" s="7" t="n">
        <f aca="false">D260-H260</f>
        <v>79412</v>
      </c>
      <c r="M260" s="7" t="n">
        <f aca="false">E260-I260</f>
        <v>87043</v>
      </c>
      <c r="N260" s="7" t="n">
        <f aca="false">IFERROR(L260/D260,0)</f>
        <v>0.425712585571918</v>
      </c>
      <c r="O260" s="7" t="n">
        <f aca="false">IFERROR(M260/E260,0)</f>
        <v>0.443246628915957</v>
      </c>
      <c r="P260" s="7" t="n">
        <f aca="false">01_Data!I260+01_Data!K260+01_Data!M260+01_Data!O260+01_Data!Q260+01_Data!S260+01_Data!U260</f>
        <v>48759</v>
      </c>
      <c r="Q260" s="7" t="n">
        <f aca="false">01_Data!J260+01_Data!L260+01_Data!N260+01_Data!P260+01_Data!R260+01_Data!T260+01_Data!V260</f>
        <v>48641</v>
      </c>
      <c r="R260" s="7" t="n">
        <f aca="false">P260-Q260</f>
        <v>118</v>
      </c>
      <c r="S260" s="7" t="n">
        <f aca="false">L260-P260</f>
        <v>30653</v>
      </c>
      <c r="T260" s="7" t="n">
        <f aca="false">M260-Q260</f>
        <v>38402</v>
      </c>
      <c r="U260" s="7" t="n">
        <f aca="false">T260-S260</f>
        <v>7749</v>
      </c>
      <c r="V260" s="8" t="n">
        <f aca="false">IFERROR(U260/S260,0)</f>
        <v>0.252797442338433</v>
      </c>
      <c r="W260" s="5" t="str">
        <f aca="false">IF(V260&lt;-0.1,"ADVERSE &gt;10%","")</f>
        <v/>
      </c>
    </row>
    <row r="261" customFormat="false" ht="15" hidden="false" customHeight="false" outlineLevel="0" collapsed="false">
      <c r="A261" s="5" t="str">
        <f aca="false">01_Data!A261</f>
        <v>Healthcare &amp; Life Sciences</v>
      </c>
      <c r="B261" s="5" t="str">
        <f aca="false">01_Data!C261</f>
        <v>2023-11</v>
      </c>
      <c r="C261" s="5" t="str">
        <f aca="false">01_Data!D261</f>
        <v>FY23</v>
      </c>
      <c r="D261" s="7" t="n">
        <f aca="false">01_Data!E261</f>
        <v>196589</v>
      </c>
      <c r="E261" s="7" t="n">
        <f aca="false">01_Data!F261</f>
        <v>200845</v>
      </c>
      <c r="F261" s="7" t="n">
        <f aca="false">E261-D261</f>
        <v>4256</v>
      </c>
      <c r="G261" s="8" t="n">
        <f aca="false">IFERROR(F261/D261,0)</f>
        <v>0.021649227576314</v>
      </c>
      <c r="H261" s="7" t="n">
        <f aca="false">01_Data!G261</f>
        <v>117059</v>
      </c>
      <c r="I261" s="7" t="n">
        <f aca="false">01_Data!H261</f>
        <v>116476</v>
      </c>
      <c r="J261" s="7" t="n">
        <f aca="false">H261-I261</f>
        <v>583</v>
      </c>
      <c r="K261" s="8" t="n">
        <f aca="false">IFERROR(J261/H261,0)</f>
        <v>0.00498039450191784</v>
      </c>
      <c r="L261" s="7" t="n">
        <f aca="false">D261-H261</f>
        <v>79530</v>
      </c>
      <c r="M261" s="7" t="n">
        <f aca="false">E261-I261</f>
        <v>84369</v>
      </c>
      <c r="N261" s="7" t="n">
        <f aca="false">IFERROR(L261/D261,0)</f>
        <v>0.40454959331397</v>
      </c>
      <c r="O261" s="7" t="n">
        <f aca="false">IFERROR(M261/E261,0)</f>
        <v>0.420070203390674</v>
      </c>
      <c r="P261" s="7" t="n">
        <f aca="false">01_Data!I261+01_Data!K261+01_Data!M261+01_Data!O261+01_Data!Q261+01_Data!S261+01_Data!U261</f>
        <v>52020</v>
      </c>
      <c r="Q261" s="7" t="n">
        <f aca="false">01_Data!J261+01_Data!L261+01_Data!N261+01_Data!P261+01_Data!R261+01_Data!T261+01_Data!V261</f>
        <v>52280</v>
      </c>
      <c r="R261" s="7" t="n">
        <f aca="false">P261-Q261</f>
        <v>-260</v>
      </c>
      <c r="S261" s="7" t="n">
        <f aca="false">L261-P261</f>
        <v>27510</v>
      </c>
      <c r="T261" s="7" t="n">
        <f aca="false">M261-Q261</f>
        <v>32089</v>
      </c>
      <c r="U261" s="7" t="n">
        <f aca="false">T261-S261</f>
        <v>4579</v>
      </c>
      <c r="V261" s="8" t="n">
        <f aca="false">IFERROR(U261/S261,0)</f>
        <v>0.166448564158488</v>
      </c>
      <c r="W261" s="5" t="str">
        <f aca="false">IF(V261&lt;-0.1,"ADVERSE &gt;10%","")</f>
        <v/>
      </c>
    </row>
    <row r="262" customFormat="false" ht="15" hidden="false" customHeight="false" outlineLevel="0" collapsed="false">
      <c r="A262" s="5" t="str">
        <f aca="false">01_Data!A262</f>
        <v>Healthcare &amp; Life Sciences</v>
      </c>
      <c r="B262" s="5" t="str">
        <f aca="false">01_Data!C262</f>
        <v>2023-12</v>
      </c>
      <c r="C262" s="5" t="str">
        <f aca="false">01_Data!D262</f>
        <v>FY23</v>
      </c>
      <c r="D262" s="7" t="n">
        <f aca="false">01_Data!E262</f>
        <v>218220</v>
      </c>
      <c r="E262" s="7" t="n">
        <f aca="false">01_Data!F262</f>
        <v>221575</v>
      </c>
      <c r="F262" s="7" t="n">
        <f aca="false">E262-D262</f>
        <v>3355</v>
      </c>
      <c r="G262" s="8" t="n">
        <f aca="false">IFERROR(F262/D262,0)</f>
        <v>0.0153743928145908</v>
      </c>
      <c r="H262" s="7" t="n">
        <f aca="false">01_Data!G262</f>
        <v>127760</v>
      </c>
      <c r="I262" s="7" t="n">
        <f aca="false">01_Data!H262</f>
        <v>134740</v>
      </c>
      <c r="J262" s="7" t="n">
        <f aca="false">H262-I262</f>
        <v>-6980</v>
      </c>
      <c r="K262" s="8" t="n">
        <f aca="false">IFERROR(J262/H262,0)</f>
        <v>-0.05463368816531</v>
      </c>
      <c r="L262" s="7" t="n">
        <f aca="false">D262-H262</f>
        <v>90460</v>
      </c>
      <c r="M262" s="7" t="n">
        <f aca="false">E262-I262</f>
        <v>86835</v>
      </c>
      <c r="N262" s="7" t="n">
        <f aca="false">IFERROR(L262/D262,0)</f>
        <v>0.414535789570159</v>
      </c>
      <c r="O262" s="7" t="n">
        <f aca="false">IFERROR(M262/E262,0)</f>
        <v>0.391898905562451</v>
      </c>
      <c r="P262" s="7" t="n">
        <f aca="false">01_Data!I262+01_Data!K262+01_Data!M262+01_Data!O262+01_Data!Q262+01_Data!S262+01_Data!U262</f>
        <v>55478</v>
      </c>
      <c r="Q262" s="7" t="n">
        <f aca="false">01_Data!J262+01_Data!L262+01_Data!N262+01_Data!P262+01_Data!R262+01_Data!T262+01_Data!V262</f>
        <v>56295</v>
      </c>
      <c r="R262" s="7" t="n">
        <f aca="false">P262-Q262</f>
        <v>-817</v>
      </c>
      <c r="S262" s="7" t="n">
        <f aca="false">L262-P262</f>
        <v>34982</v>
      </c>
      <c r="T262" s="7" t="n">
        <f aca="false">M262-Q262</f>
        <v>30540</v>
      </c>
      <c r="U262" s="7" t="n">
        <f aca="false">T262-S262</f>
        <v>-4442</v>
      </c>
      <c r="V262" s="8" t="n">
        <f aca="false">IFERROR(U262/S262,0)</f>
        <v>-0.126979589503173</v>
      </c>
      <c r="W262" s="5" t="str">
        <f aca="false">IF(V262&lt;-0.1,"ADVERSE &gt;10%","")</f>
        <v>ADVERSE &gt;10%</v>
      </c>
    </row>
    <row r="263" customFormat="false" ht="15" hidden="false" customHeight="false" outlineLevel="0" collapsed="false">
      <c r="A263" s="5" t="str">
        <f aca="false">01_Data!A263</f>
        <v>Healthcare &amp; Life Sciences</v>
      </c>
      <c r="B263" s="5" t="str">
        <f aca="false">01_Data!C263</f>
        <v>2024-01</v>
      </c>
      <c r="C263" s="5" t="str">
        <f aca="false">01_Data!D263</f>
        <v>FY23</v>
      </c>
      <c r="D263" s="7" t="n">
        <f aca="false">01_Data!E263</f>
        <v>197348</v>
      </c>
      <c r="E263" s="7" t="n">
        <f aca="false">01_Data!F263</f>
        <v>203234</v>
      </c>
      <c r="F263" s="7" t="n">
        <f aca="false">E263-D263</f>
        <v>5886</v>
      </c>
      <c r="G263" s="8" t="n">
        <f aca="false">IFERROR(F263/D263,0)</f>
        <v>0.0298254859436123</v>
      </c>
      <c r="H263" s="7" t="n">
        <f aca="false">01_Data!G263</f>
        <v>112287</v>
      </c>
      <c r="I263" s="7" t="n">
        <f aca="false">01_Data!H263</f>
        <v>118989</v>
      </c>
      <c r="J263" s="7" t="n">
        <f aca="false">H263-I263</f>
        <v>-6702</v>
      </c>
      <c r="K263" s="8" t="n">
        <f aca="false">IFERROR(J263/H263,0)</f>
        <v>-0.0596863394693954</v>
      </c>
      <c r="L263" s="7" t="n">
        <f aca="false">D263-H263</f>
        <v>85061</v>
      </c>
      <c r="M263" s="7" t="n">
        <f aca="false">E263-I263</f>
        <v>84245</v>
      </c>
      <c r="N263" s="7" t="n">
        <f aca="false">IFERROR(L263/D263,0)</f>
        <v>0.4310203295701</v>
      </c>
      <c r="O263" s="7" t="n">
        <f aca="false">IFERROR(M263/E263,0)</f>
        <v>0.414522176407491</v>
      </c>
      <c r="P263" s="7" t="n">
        <f aca="false">01_Data!I263+01_Data!K263+01_Data!M263+01_Data!O263+01_Data!Q263+01_Data!S263+01_Data!U263</f>
        <v>47674</v>
      </c>
      <c r="Q263" s="7" t="n">
        <f aca="false">01_Data!J263+01_Data!L263+01_Data!N263+01_Data!P263+01_Data!R263+01_Data!T263+01_Data!V263</f>
        <v>48808</v>
      </c>
      <c r="R263" s="7" t="n">
        <f aca="false">P263-Q263</f>
        <v>-1134</v>
      </c>
      <c r="S263" s="7" t="n">
        <f aca="false">L263-P263</f>
        <v>37387</v>
      </c>
      <c r="T263" s="7" t="n">
        <f aca="false">M263-Q263</f>
        <v>35437</v>
      </c>
      <c r="U263" s="7" t="n">
        <f aca="false">T263-S263</f>
        <v>-1950</v>
      </c>
      <c r="V263" s="8" t="n">
        <f aca="false">IFERROR(U263/S263,0)</f>
        <v>-0.0521571669296814</v>
      </c>
      <c r="W263" s="5" t="str">
        <f aca="false">IF(V263&lt;-0.1,"ADVERSE &gt;10%","")</f>
        <v/>
      </c>
    </row>
    <row r="264" customFormat="false" ht="15" hidden="false" customHeight="false" outlineLevel="0" collapsed="false">
      <c r="A264" s="5" t="str">
        <f aca="false">01_Data!A264</f>
        <v>Healthcare &amp; Life Sciences</v>
      </c>
      <c r="B264" s="5" t="str">
        <f aca="false">01_Data!C264</f>
        <v>2024-02</v>
      </c>
      <c r="C264" s="5" t="str">
        <f aca="false">01_Data!D264</f>
        <v>FY23</v>
      </c>
      <c r="D264" s="7" t="n">
        <f aca="false">01_Data!E264</f>
        <v>212308</v>
      </c>
      <c r="E264" s="7" t="n">
        <f aca="false">01_Data!F264</f>
        <v>203702</v>
      </c>
      <c r="F264" s="7" t="n">
        <f aca="false">E264-D264</f>
        <v>-8606</v>
      </c>
      <c r="G264" s="8" t="n">
        <f aca="false">IFERROR(F264/D264,0)</f>
        <v>-0.04053544849935</v>
      </c>
      <c r="H264" s="7" t="n">
        <f aca="false">01_Data!G264</f>
        <v>123055</v>
      </c>
      <c r="I264" s="7" t="n">
        <f aca="false">01_Data!H264</f>
        <v>122796</v>
      </c>
      <c r="J264" s="7" t="n">
        <f aca="false">H264-I264</f>
        <v>259</v>
      </c>
      <c r="K264" s="8" t="n">
        <f aca="false">IFERROR(J264/H264,0)</f>
        <v>0.00210474990857747</v>
      </c>
      <c r="L264" s="7" t="n">
        <f aca="false">D264-H264</f>
        <v>89253</v>
      </c>
      <c r="M264" s="7" t="n">
        <f aca="false">E264-I264</f>
        <v>80906</v>
      </c>
      <c r="N264" s="7" t="n">
        <f aca="false">IFERROR(L264/D264,0)</f>
        <v>0.420393955950789</v>
      </c>
      <c r="O264" s="7" t="n">
        <f aca="false">IFERROR(M264/E264,0)</f>
        <v>0.397178230945204</v>
      </c>
      <c r="P264" s="7" t="n">
        <f aca="false">01_Data!I264+01_Data!K264+01_Data!M264+01_Data!O264+01_Data!Q264+01_Data!S264+01_Data!U264</f>
        <v>53206</v>
      </c>
      <c r="Q264" s="7" t="n">
        <f aca="false">01_Data!J264+01_Data!L264+01_Data!N264+01_Data!P264+01_Data!R264+01_Data!T264+01_Data!V264</f>
        <v>55507</v>
      </c>
      <c r="R264" s="7" t="n">
        <f aca="false">P264-Q264</f>
        <v>-2301</v>
      </c>
      <c r="S264" s="7" t="n">
        <f aca="false">L264-P264</f>
        <v>36047</v>
      </c>
      <c r="T264" s="7" t="n">
        <f aca="false">M264-Q264</f>
        <v>25399</v>
      </c>
      <c r="U264" s="7" t="n">
        <f aca="false">T264-S264</f>
        <v>-10648</v>
      </c>
      <c r="V264" s="8" t="n">
        <f aca="false">IFERROR(U264/S264,0)</f>
        <v>-0.295392126945377</v>
      </c>
      <c r="W264" s="5" t="str">
        <f aca="false">IF(V264&lt;-0.1,"ADVERSE &gt;10%","")</f>
        <v>ADVERSE &gt;10%</v>
      </c>
    </row>
    <row r="265" customFormat="false" ht="15" hidden="false" customHeight="false" outlineLevel="0" collapsed="false">
      <c r="A265" s="5" t="str">
        <f aca="false">01_Data!A265</f>
        <v>Healthcare &amp; Life Sciences</v>
      </c>
      <c r="B265" s="5" t="str">
        <f aca="false">01_Data!C265</f>
        <v>2024-03</v>
      </c>
      <c r="C265" s="5" t="str">
        <f aca="false">01_Data!D265</f>
        <v>FY23</v>
      </c>
      <c r="D265" s="7" t="n">
        <f aca="false">01_Data!E265</f>
        <v>216343</v>
      </c>
      <c r="E265" s="7" t="n">
        <f aca="false">01_Data!F265</f>
        <v>223106</v>
      </c>
      <c r="F265" s="7" t="n">
        <f aca="false">E265-D265</f>
        <v>6763</v>
      </c>
      <c r="G265" s="8" t="n">
        <f aca="false">IFERROR(F265/D265,0)</f>
        <v>0.0312605445981613</v>
      </c>
      <c r="H265" s="7" t="n">
        <f aca="false">01_Data!G265</f>
        <v>123697</v>
      </c>
      <c r="I265" s="7" t="n">
        <f aca="false">01_Data!H265</f>
        <v>126823</v>
      </c>
      <c r="J265" s="7" t="n">
        <f aca="false">H265-I265</f>
        <v>-3126</v>
      </c>
      <c r="K265" s="8" t="n">
        <f aca="false">IFERROR(J265/H265,0)</f>
        <v>-0.0252714293798556</v>
      </c>
      <c r="L265" s="7" t="n">
        <f aca="false">D265-H265</f>
        <v>92646</v>
      </c>
      <c r="M265" s="7" t="n">
        <f aca="false">E265-I265</f>
        <v>96283</v>
      </c>
      <c r="N265" s="7" t="n">
        <f aca="false">IFERROR(L265/D265,0)</f>
        <v>0.428236642738614</v>
      </c>
      <c r="O265" s="7" t="n">
        <f aca="false">IFERROR(M265/E265,0)</f>
        <v>0.431557197027422</v>
      </c>
      <c r="P265" s="7" t="n">
        <f aca="false">01_Data!I265+01_Data!K265+01_Data!M265+01_Data!O265+01_Data!Q265+01_Data!S265+01_Data!U265</f>
        <v>59512</v>
      </c>
      <c r="Q265" s="7" t="n">
        <f aca="false">01_Data!J265+01_Data!L265+01_Data!N265+01_Data!P265+01_Data!R265+01_Data!T265+01_Data!V265</f>
        <v>59387</v>
      </c>
      <c r="R265" s="7" t="n">
        <f aca="false">P265-Q265</f>
        <v>125</v>
      </c>
      <c r="S265" s="7" t="n">
        <f aca="false">L265-P265</f>
        <v>33134</v>
      </c>
      <c r="T265" s="7" t="n">
        <f aca="false">M265-Q265</f>
        <v>36896</v>
      </c>
      <c r="U265" s="7" t="n">
        <f aca="false">T265-S265</f>
        <v>3762</v>
      </c>
      <c r="V265" s="8" t="n">
        <f aca="false">IFERROR(U265/S265,0)</f>
        <v>0.113538962998732</v>
      </c>
      <c r="W265" s="5" t="str">
        <f aca="false">IF(V265&lt;-0.1,"ADVERSE &gt;10%","")</f>
        <v/>
      </c>
    </row>
    <row r="266" customFormat="false" ht="15" hidden="false" customHeight="false" outlineLevel="0" collapsed="false">
      <c r="A266" s="5" t="str">
        <f aca="false">01_Data!A266</f>
        <v>Healthcare &amp; Life Sciences</v>
      </c>
      <c r="B266" s="5" t="str">
        <f aca="false">01_Data!C266</f>
        <v>2024-04</v>
      </c>
      <c r="C266" s="5" t="str">
        <f aca="false">01_Data!D266</f>
        <v>FY24</v>
      </c>
      <c r="D266" s="7" t="n">
        <f aca="false">01_Data!E266</f>
        <v>199492</v>
      </c>
      <c r="E266" s="7" t="n">
        <f aca="false">01_Data!F266</f>
        <v>204897</v>
      </c>
      <c r="F266" s="7" t="n">
        <f aca="false">E266-D266</f>
        <v>5405</v>
      </c>
      <c r="G266" s="8" t="n">
        <f aca="false">IFERROR(F266/D266,0)</f>
        <v>0.0270938182984781</v>
      </c>
      <c r="H266" s="7" t="n">
        <f aca="false">01_Data!G266</f>
        <v>109542</v>
      </c>
      <c r="I266" s="7" t="n">
        <f aca="false">01_Data!H266</f>
        <v>117603</v>
      </c>
      <c r="J266" s="7" t="n">
        <f aca="false">H266-I266</f>
        <v>-8061</v>
      </c>
      <c r="K266" s="8" t="n">
        <f aca="false">IFERROR(J266/H266,0)</f>
        <v>-0.0735882127403188</v>
      </c>
      <c r="L266" s="7" t="n">
        <f aca="false">D266-H266</f>
        <v>89950</v>
      </c>
      <c r="M266" s="7" t="n">
        <f aca="false">E266-I266</f>
        <v>87294</v>
      </c>
      <c r="N266" s="7" t="n">
        <f aca="false">IFERROR(L266/D266,0)</f>
        <v>0.45089527399595</v>
      </c>
      <c r="O266" s="7" t="n">
        <f aca="false">IFERROR(M266/E266,0)</f>
        <v>0.426038448586363</v>
      </c>
      <c r="P266" s="7" t="n">
        <f aca="false">01_Data!I266+01_Data!K266+01_Data!M266+01_Data!O266+01_Data!Q266+01_Data!S266+01_Data!U266</f>
        <v>53486</v>
      </c>
      <c r="Q266" s="7" t="n">
        <f aca="false">01_Data!J266+01_Data!L266+01_Data!N266+01_Data!P266+01_Data!R266+01_Data!T266+01_Data!V266</f>
        <v>53703</v>
      </c>
      <c r="R266" s="7" t="n">
        <f aca="false">P266-Q266</f>
        <v>-217</v>
      </c>
      <c r="S266" s="7" t="n">
        <f aca="false">L266-P266</f>
        <v>36464</v>
      </c>
      <c r="T266" s="7" t="n">
        <f aca="false">M266-Q266</f>
        <v>33591</v>
      </c>
      <c r="U266" s="7" t="n">
        <f aca="false">T266-S266</f>
        <v>-2873</v>
      </c>
      <c r="V266" s="8" t="n">
        <f aca="false">IFERROR(U266/S266,0)</f>
        <v>-0.0787900394910048</v>
      </c>
      <c r="W266" s="5" t="str">
        <f aca="false">IF(V266&lt;-0.1,"ADVERSE &gt;10%","")</f>
        <v/>
      </c>
    </row>
    <row r="267" customFormat="false" ht="15" hidden="false" customHeight="false" outlineLevel="0" collapsed="false">
      <c r="A267" s="5" t="str">
        <f aca="false">01_Data!A267</f>
        <v>Healthcare &amp; Life Sciences</v>
      </c>
      <c r="B267" s="5" t="str">
        <f aca="false">01_Data!C267</f>
        <v>2024-05</v>
      </c>
      <c r="C267" s="5" t="str">
        <f aca="false">01_Data!D267</f>
        <v>FY24</v>
      </c>
      <c r="D267" s="7" t="n">
        <f aca="false">01_Data!E267</f>
        <v>205283</v>
      </c>
      <c r="E267" s="7" t="n">
        <f aca="false">01_Data!F267</f>
        <v>204269</v>
      </c>
      <c r="F267" s="7" t="n">
        <f aca="false">E267-D267</f>
        <v>-1014</v>
      </c>
      <c r="G267" s="8" t="n">
        <f aca="false">IFERROR(F267/D267,0)</f>
        <v>-0.00493952251282376</v>
      </c>
      <c r="H267" s="7" t="n">
        <f aca="false">01_Data!G267</f>
        <v>120708</v>
      </c>
      <c r="I267" s="7" t="n">
        <f aca="false">01_Data!H267</f>
        <v>124836</v>
      </c>
      <c r="J267" s="7" t="n">
        <f aca="false">H267-I267</f>
        <v>-4128</v>
      </c>
      <c r="K267" s="8" t="n">
        <f aca="false">IFERROR(J267/H267,0)</f>
        <v>-0.0341982304404016</v>
      </c>
      <c r="L267" s="7" t="n">
        <f aca="false">D267-H267</f>
        <v>84575</v>
      </c>
      <c r="M267" s="7" t="n">
        <f aca="false">E267-I267</f>
        <v>79433</v>
      </c>
      <c r="N267" s="7" t="n">
        <f aca="false">IFERROR(L267/D267,0)</f>
        <v>0.411992225366933</v>
      </c>
      <c r="O267" s="7" t="n">
        <f aca="false">IFERROR(M267/E267,0)</f>
        <v>0.388864683334231</v>
      </c>
      <c r="P267" s="7" t="n">
        <f aca="false">01_Data!I267+01_Data!K267+01_Data!M267+01_Data!O267+01_Data!Q267+01_Data!S267+01_Data!U267</f>
        <v>53665</v>
      </c>
      <c r="Q267" s="7" t="n">
        <f aca="false">01_Data!J267+01_Data!L267+01_Data!N267+01_Data!P267+01_Data!R267+01_Data!T267+01_Data!V267</f>
        <v>56321</v>
      </c>
      <c r="R267" s="7" t="n">
        <f aca="false">P267-Q267</f>
        <v>-2656</v>
      </c>
      <c r="S267" s="7" t="n">
        <f aca="false">L267-P267</f>
        <v>30910</v>
      </c>
      <c r="T267" s="7" t="n">
        <f aca="false">M267-Q267</f>
        <v>23112</v>
      </c>
      <c r="U267" s="7" t="n">
        <f aca="false">T267-S267</f>
        <v>-7798</v>
      </c>
      <c r="V267" s="8" t="n">
        <f aca="false">IFERROR(U267/S267,0)</f>
        <v>-0.252280815270139</v>
      </c>
      <c r="W267" s="5" t="str">
        <f aca="false">IF(V267&lt;-0.1,"ADVERSE &gt;10%","")</f>
        <v>ADVERSE &gt;10%</v>
      </c>
    </row>
    <row r="268" customFormat="false" ht="15" hidden="false" customHeight="false" outlineLevel="0" collapsed="false">
      <c r="A268" s="5" t="str">
        <f aca="false">01_Data!A268</f>
        <v>Healthcare &amp; Life Sciences</v>
      </c>
      <c r="B268" s="5" t="str">
        <f aca="false">01_Data!C268</f>
        <v>2024-06</v>
      </c>
      <c r="C268" s="5" t="str">
        <f aca="false">01_Data!D268</f>
        <v>FY24</v>
      </c>
      <c r="D268" s="7" t="n">
        <f aca="false">01_Data!E268</f>
        <v>215484</v>
      </c>
      <c r="E268" s="7" t="n">
        <f aca="false">01_Data!F268</f>
        <v>209768</v>
      </c>
      <c r="F268" s="7" t="n">
        <f aca="false">E268-D268</f>
        <v>-5716</v>
      </c>
      <c r="G268" s="8" t="n">
        <f aca="false">IFERROR(F268/D268,0)</f>
        <v>-0.0265263314213584</v>
      </c>
      <c r="H268" s="7" t="n">
        <f aca="false">01_Data!G268</f>
        <v>126258</v>
      </c>
      <c r="I268" s="7" t="n">
        <f aca="false">01_Data!H268</f>
        <v>127944</v>
      </c>
      <c r="J268" s="7" t="n">
        <f aca="false">H268-I268</f>
        <v>-1686</v>
      </c>
      <c r="K268" s="8" t="n">
        <f aca="false">IFERROR(J268/H268,0)</f>
        <v>-0.0133536092762439</v>
      </c>
      <c r="L268" s="7" t="n">
        <f aca="false">D268-H268</f>
        <v>89226</v>
      </c>
      <c r="M268" s="7" t="n">
        <f aca="false">E268-I268</f>
        <v>81824</v>
      </c>
      <c r="N268" s="7" t="n">
        <f aca="false">IFERROR(L268/D268,0)</f>
        <v>0.414072506543409</v>
      </c>
      <c r="O268" s="7" t="n">
        <f aca="false">IFERROR(M268/E268,0)</f>
        <v>0.390069028641166</v>
      </c>
      <c r="P268" s="7" t="n">
        <f aca="false">01_Data!I268+01_Data!K268+01_Data!M268+01_Data!O268+01_Data!Q268+01_Data!S268+01_Data!U268</f>
        <v>56062</v>
      </c>
      <c r="Q268" s="7" t="n">
        <f aca="false">01_Data!J268+01_Data!L268+01_Data!N268+01_Data!P268+01_Data!R268+01_Data!T268+01_Data!V268</f>
        <v>58711</v>
      </c>
      <c r="R268" s="7" t="n">
        <f aca="false">P268-Q268</f>
        <v>-2649</v>
      </c>
      <c r="S268" s="7" t="n">
        <f aca="false">L268-P268</f>
        <v>33164</v>
      </c>
      <c r="T268" s="7" t="n">
        <f aca="false">M268-Q268</f>
        <v>23113</v>
      </c>
      <c r="U268" s="7" t="n">
        <f aca="false">T268-S268</f>
        <v>-10051</v>
      </c>
      <c r="V268" s="8" t="n">
        <f aca="false">IFERROR(U268/S268,0)</f>
        <v>-0.303069593535159</v>
      </c>
      <c r="W268" s="5" t="str">
        <f aca="false">IF(V268&lt;-0.1,"ADVERSE &gt;10%","")</f>
        <v>ADVERSE &gt;10%</v>
      </c>
    </row>
    <row r="269" customFormat="false" ht="15" hidden="false" customHeight="false" outlineLevel="0" collapsed="false">
      <c r="A269" s="5" t="str">
        <f aca="false">01_Data!A269</f>
        <v>Healthcare &amp; Life Sciences</v>
      </c>
      <c r="B269" s="5" t="str">
        <f aca="false">01_Data!C269</f>
        <v>2024-07</v>
      </c>
      <c r="C269" s="5" t="str">
        <f aca="false">01_Data!D269</f>
        <v>FY24</v>
      </c>
      <c r="D269" s="7" t="n">
        <f aca="false">01_Data!E269</f>
        <v>203162</v>
      </c>
      <c r="E269" s="7" t="n">
        <f aca="false">01_Data!F269</f>
        <v>209908</v>
      </c>
      <c r="F269" s="7" t="n">
        <f aca="false">E269-D269</f>
        <v>6746</v>
      </c>
      <c r="G269" s="8" t="n">
        <f aca="false">IFERROR(F269/D269,0)</f>
        <v>0.0332050284994241</v>
      </c>
      <c r="H269" s="7" t="n">
        <f aca="false">01_Data!G269</f>
        <v>118086</v>
      </c>
      <c r="I269" s="7" t="n">
        <f aca="false">01_Data!H269</f>
        <v>121580</v>
      </c>
      <c r="J269" s="7" t="n">
        <f aca="false">H269-I269</f>
        <v>-3494</v>
      </c>
      <c r="K269" s="8" t="n">
        <f aca="false">IFERROR(J269/H269,0)</f>
        <v>-0.0295886049150619</v>
      </c>
      <c r="L269" s="7" t="n">
        <f aca="false">D269-H269</f>
        <v>85076</v>
      </c>
      <c r="M269" s="7" t="n">
        <f aca="false">E269-I269</f>
        <v>88328</v>
      </c>
      <c r="N269" s="7" t="n">
        <f aca="false">IFERROR(L269/D269,0)</f>
        <v>0.418759413669879</v>
      </c>
      <c r="O269" s="7" t="n">
        <f aca="false">IFERROR(M269/E269,0)</f>
        <v>0.420793871600892</v>
      </c>
      <c r="P269" s="7" t="n">
        <f aca="false">01_Data!I269+01_Data!K269+01_Data!M269+01_Data!O269+01_Data!Q269+01_Data!S269+01_Data!U269</f>
        <v>54270</v>
      </c>
      <c r="Q269" s="7" t="n">
        <f aca="false">01_Data!J269+01_Data!L269+01_Data!N269+01_Data!P269+01_Data!R269+01_Data!T269+01_Data!V269</f>
        <v>55376</v>
      </c>
      <c r="R269" s="7" t="n">
        <f aca="false">P269-Q269</f>
        <v>-1106</v>
      </c>
      <c r="S269" s="7" t="n">
        <f aca="false">L269-P269</f>
        <v>30806</v>
      </c>
      <c r="T269" s="7" t="n">
        <f aca="false">M269-Q269</f>
        <v>32952</v>
      </c>
      <c r="U269" s="7" t="n">
        <f aca="false">T269-S269</f>
        <v>2146</v>
      </c>
      <c r="V269" s="8" t="n">
        <f aca="false">IFERROR(U269/S269,0)</f>
        <v>0.0696617542037265</v>
      </c>
      <c r="W269" s="5" t="str">
        <f aca="false">IF(V269&lt;-0.1,"ADVERSE &gt;10%","")</f>
        <v/>
      </c>
    </row>
    <row r="270" customFormat="false" ht="15" hidden="false" customHeight="false" outlineLevel="0" collapsed="false">
      <c r="A270" s="5" t="str">
        <f aca="false">01_Data!A270</f>
        <v>Healthcare &amp; Life Sciences</v>
      </c>
      <c r="B270" s="5" t="str">
        <f aca="false">01_Data!C270</f>
        <v>2024-08</v>
      </c>
      <c r="C270" s="5" t="str">
        <f aca="false">01_Data!D270</f>
        <v>FY24</v>
      </c>
      <c r="D270" s="7" t="n">
        <f aca="false">01_Data!E270</f>
        <v>217749</v>
      </c>
      <c r="E270" s="7" t="n">
        <f aca="false">01_Data!F270</f>
        <v>211595</v>
      </c>
      <c r="F270" s="7" t="n">
        <f aca="false">E270-D270</f>
        <v>-6154</v>
      </c>
      <c r="G270" s="8" t="n">
        <f aca="false">IFERROR(F270/D270,0)</f>
        <v>-0.0282618978732394</v>
      </c>
      <c r="H270" s="7" t="n">
        <f aca="false">01_Data!G270</f>
        <v>130496</v>
      </c>
      <c r="I270" s="7" t="n">
        <f aca="false">01_Data!H270</f>
        <v>130593</v>
      </c>
      <c r="J270" s="7" t="n">
        <f aca="false">H270-I270</f>
        <v>-97</v>
      </c>
      <c r="K270" s="8" t="n">
        <f aca="false">IFERROR(J270/H270,0)</f>
        <v>-0.000743317802844532</v>
      </c>
      <c r="L270" s="7" t="n">
        <f aca="false">D270-H270</f>
        <v>87253</v>
      </c>
      <c r="M270" s="7" t="n">
        <f aca="false">E270-I270</f>
        <v>81002</v>
      </c>
      <c r="N270" s="7" t="n">
        <f aca="false">IFERROR(L270/D270,0)</f>
        <v>0.400704480847214</v>
      </c>
      <c r="O270" s="7" t="n">
        <f aca="false">IFERROR(M270/E270,0)</f>
        <v>0.382816229116945</v>
      </c>
      <c r="P270" s="7" t="n">
        <f aca="false">01_Data!I270+01_Data!K270+01_Data!M270+01_Data!O270+01_Data!Q270+01_Data!S270+01_Data!U270</f>
        <v>56517</v>
      </c>
      <c r="Q270" s="7" t="n">
        <f aca="false">01_Data!J270+01_Data!L270+01_Data!N270+01_Data!P270+01_Data!R270+01_Data!T270+01_Data!V270</f>
        <v>59254</v>
      </c>
      <c r="R270" s="7" t="n">
        <f aca="false">P270-Q270</f>
        <v>-2737</v>
      </c>
      <c r="S270" s="7" t="n">
        <f aca="false">L270-P270</f>
        <v>30736</v>
      </c>
      <c r="T270" s="7" t="n">
        <f aca="false">M270-Q270</f>
        <v>21748</v>
      </c>
      <c r="U270" s="7" t="n">
        <f aca="false">T270-S270</f>
        <v>-8988</v>
      </c>
      <c r="V270" s="8" t="n">
        <f aca="false">IFERROR(U270/S270,0)</f>
        <v>-0.292425819885476</v>
      </c>
      <c r="W270" s="5" t="str">
        <f aca="false">IF(V270&lt;-0.1,"ADVERSE &gt;10%","")</f>
        <v>ADVERSE &gt;10%</v>
      </c>
    </row>
    <row r="271" customFormat="false" ht="15" hidden="false" customHeight="false" outlineLevel="0" collapsed="false">
      <c r="A271" s="5" t="str">
        <f aca="false">01_Data!A271</f>
        <v>Healthcare &amp; Life Sciences</v>
      </c>
      <c r="B271" s="5" t="str">
        <f aca="false">01_Data!C271</f>
        <v>2024-09</v>
      </c>
      <c r="C271" s="5" t="str">
        <f aca="false">01_Data!D271</f>
        <v>FY24</v>
      </c>
      <c r="D271" s="7" t="n">
        <f aca="false">01_Data!E271</f>
        <v>241249</v>
      </c>
      <c r="E271" s="7" t="n">
        <f aca="false">01_Data!F271</f>
        <v>238564</v>
      </c>
      <c r="F271" s="7" t="n">
        <f aca="false">E271-D271</f>
        <v>-2685</v>
      </c>
      <c r="G271" s="8" t="n">
        <f aca="false">IFERROR(F271/D271,0)</f>
        <v>-0.0111295798117298</v>
      </c>
      <c r="H271" s="7" t="n">
        <f aca="false">01_Data!G271</f>
        <v>137877</v>
      </c>
      <c r="I271" s="7" t="n">
        <f aca="false">01_Data!H271</f>
        <v>142018</v>
      </c>
      <c r="J271" s="7" t="n">
        <f aca="false">H271-I271</f>
        <v>-4141</v>
      </c>
      <c r="K271" s="8" t="n">
        <f aca="false">IFERROR(J271/H271,0)</f>
        <v>-0.0300340158256997</v>
      </c>
      <c r="L271" s="7" t="n">
        <f aca="false">D271-H271</f>
        <v>103372</v>
      </c>
      <c r="M271" s="7" t="n">
        <f aca="false">E271-I271</f>
        <v>96546</v>
      </c>
      <c r="N271" s="7" t="n">
        <f aca="false">IFERROR(L271/D271,0)</f>
        <v>0.428486750204146</v>
      </c>
      <c r="O271" s="7" t="n">
        <f aca="false">IFERROR(M271/E271,0)</f>
        <v>0.404696433661407</v>
      </c>
      <c r="P271" s="7" t="n">
        <f aca="false">01_Data!I271+01_Data!K271+01_Data!M271+01_Data!O271+01_Data!Q271+01_Data!S271+01_Data!U271</f>
        <v>64978</v>
      </c>
      <c r="Q271" s="7" t="n">
        <f aca="false">01_Data!J271+01_Data!L271+01_Data!N271+01_Data!P271+01_Data!R271+01_Data!T271+01_Data!V271</f>
        <v>67590</v>
      </c>
      <c r="R271" s="7" t="n">
        <f aca="false">P271-Q271</f>
        <v>-2612</v>
      </c>
      <c r="S271" s="7" t="n">
        <f aca="false">L271-P271</f>
        <v>38394</v>
      </c>
      <c r="T271" s="7" t="n">
        <f aca="false">M271-Q271</f>
        <v>28956</v>
      </c>
      <c r="U271" s="7" t="n">
        <f aca="false">T271-S271</f>
        <v>-9438</v>
      </c>
      <c r="V271" s="8" t="n">
        <f aca="false">IFERROR(U271/S271,0)</f>
        <v>-0.245819659321769</v>
      </c>
      <c r="W271" s="5" t="str">
        <f aca="false">IF(V271&lt;-0.1,"ADVERSE &gt;10%","")</f>
        <v>ADVERSE &gt;10%</v>
      </c>
    </row>
    <row r="272" customFormat="false" ht="15" hidden="false" customHeight="false" outlineLevel="0" collapsed="false">
      <c r="A272" s="5" t="str">
        <f aca="false">01_Data!A272</f>
        <v>Healthcare &amp; Life Sciences</v>
      </c>
      <c r="B272" s="5" t="str">
        <f aca="false">01_Data!C272</f>
        <v>2024-10</v>
      </c>
      <c r="C272" s="5" t="str">
        <f aca="false">01_Data!D272</f>
        <v>FY24</v>
      </c>
      <c r="D272" s="7" t="n">
        <f aca="false">01_Data!E272</f>
        <v>212616</v>
      </c>
      <c r="E272" s="7" t="n">
        <f aca="false">01_Data!F272</f>
        <v>217722</v>
      </c>
      <c r="F272" s="7" t="n">
        <f aca="false">E272-D272</f>
        <v>5106</v>
      </c>
      <c r="G272" s="8" t="n">
        <f aca="false">IFERROR(F272/D272,0)</f>
        <v>0.0240151258607066</v>
      </c>
      <c r="H272" s="7" t="n">
        <f aca="false">01_Data!G272</f>
        <v>125371</v>
      </c>
      <c r="I272" s="7" t="n">
        <f aca="false">01_Data!H272</f>
        <v>129049</v>
      </c>
      <c r="J272" s="7" t="n">
        <f aca="false">H272-I272</f>
        <v>-3678</v>
      </c>
      <c r="K272" s="8" t="n">
        <f aca="false">IFERROR(J272/H272,0)</f>
        <v>-0.0293369279977028</v>
      </c>
      <c r="L272" s="7" t="n">
        <f aca="false">D272-H272</f>
        <v>87245</v>
      </c>
      <c r="M272" s="7" t="n">
        <f aca="false">E272-I272</f>
        <v>88673</v>
      </c>
      <c r="N272" s="7" t="n">
        <f aca="false">IFERROR(L272/D272,0)</f>
        <v>0.410340708131091</v>
      </c>
      <c r="O272" s="7" t="n">
        <f aca="false">IFERROR(M272/E272,0)</f>
        <v>0.407276251366421</v>
      </c>
      <c r="P272" s="7" t="n">
        <f aca="false">01_Data!I272+01_Data!K272+01_Data!M272+01_Data!O272+01_Data!Q272+01_Data!S272+01_Data!U272</f>
        <v>53343</v>
      </c>
      <c r="Q272" s="7" t="n">
        <f aca="false">01_Data!J272+01_Data!L272+01_Data!N272+01_Data!P272+01_Data!R272+01_Data!T272+01_Data!V272</f>
        <v>55822</v>
      </c>
      <c r="R272" s="7" t="n">
        <f aca="false">P272-Q272</f>
        <v>-2479</v>
      </c>
      <c r="S272" s="7" t="n">
        <f aca="false">L272-P272</f>
        <v>33902</v>
      </c>
      <c r="T272" s="7" t="n">
        <f aca="false">M272-Q272</f>
        <v>32851</v>
      </c>
      <c r="U272" s="7" t="n">
        <f aca="false">T272-S272</f>
        <v>-1051</v>
      </c>
      <c r="V272" s="8" t="n">
        <f aca="false">IFERROR(U272/S272,0)</f>
        <v>-0.0310011208778243</v>
      </c>
      <c r="W272" s="5" t="str">
        <f aca="false">IF(V272&lt;-0.1,"ADVERSE &gt;10%","")</f>
        <v/>
      </c>
    </row>
    <row r="273" customFormat="false" ht="15" hidden="false" customHeight="false" outlineLevel="0" collapsed="false">
      <c r="A273" s="5" t="str">
        <f aca="false">01_Data!A273</f>
        <v>Healthcare &amp; Life Sciences</v>
      </c>
      <c r="B273" s="5" t="str">
        <f aca="false">01_Data!C273</f>
        <v>2024-11</v>
      </c>
      <c r="C273" s="5" t="str">
        <f aca="false">01_Data!D273</f>
        <v>FY24</v>
      </c>
      <c r="D273" s="7" t="n">
        <f aca="false">01_Data!E273</f>
        <v>211336</v>
      </c>
      <c r="E273" s="7" t="n">
        <f aca="false">01_Data!F273</f>
        <v>219806</v>
      </c>
      <c r="F273" s="7" t="n">
        <f aca="false">E273-D273</f>
        <v>8470</v>
      </c>
      <c r="G273" s="8" t="n">
        <f aca="false">IFERROR(F273/D273,0)</f>
        <v>0.0400783586326986</v>
      </c>
      <c r="H273" s="7" t="n">
        <f aca="false">01_Data!G273</f>
        <v>121607</v>
      </c>
      <c r="I273" s="7" t="n">
        <f aca="false">01_Data!H273</f>
        <v>129916</v>
      </c>
      <c r="J273" s="7" t="n">
        <f aca="false">H273-I273</f>
        <v>-8309</v>
      </c>
      <c r="K273" s="8" t="n">
        <f aca="false">IFERROR(J273/H273,0)</f>
        <v>-0.0683266588272057</v>
      </c>
      <c r="L273" s="7" t="n">
        <f aca="false">D273-H273</f>
        <v>89729</v>
      </c>
      <c r="M273" s="7" t="n">
        <f aca="false">E273-I273</f>
        <v>89890</v>
      </c>
      <c r="N273" s="7" t="n">
        <f aca="false">IFERROR(L273/D273,0)</f>
        <v>0.424579816027558</v>
      </c>
      <c r="O273" s="7" t="n">
        <f aca="false">IFERROR(M273/E273,0)</f>
        <v>0.408951529985533</v>
      </c>
      <c r="P273" s="7" t="n">
        <f aca="false">01_Data!I273+01_Data!K273+01_Data!M273+01_Data!O273+01_Data!Q273+01_Data!S273+01_Data!U273</f>
        <v>53736</v>
      </c>
      <c r="Q273" s="7" t="n">
        <f aca="false">01_Data!J273+01_Data!L273+01_Data!N273+01_Data!P273+01_Data!R273+01_Data!T273+01_Data!V273</f>
        <v>55208</v>
      </c>
      <c r="R273" s="7" t="n">
        <f aca="false">P273-Q273</f>
        <v>-1472</v>
      </c>
      <c r="S273" s="7" t="n">
        <f aca="false">L273-P273</f>
        <v>35993</v>
      </c>
      <c r="T273" s="7" t="n">
        <f aca="false">M273-Q273</f>
        <v>34682</v>
      </c>
      <c r="U273" s="7" t="n">
        <f aca="false">T273-S273</f>
        <v>-1311</v>
      </c>
      <c r="V273" s="8" t="n">
        <f aca="false">IFERROR(U273/S273,0)</f>
        <v>-0.0364237490623177</v>
      </c>
      <c r="W273" s="5" t="str">
        <f aca="false">IF(V273&lt;-0.1,"ADVERSE &gt;10%","")</f>
        <v/>
      </c>
    </row>
    <row r="274" customFormat="false" ht="15" hidden="false" customHeight="false" outlineLevel="0" collapsed="false">
      <c r="A274" s="5" t="str">
        <f aca="false">01_Data!A274</f>
        <v>Healthcare &amp; Life Sciences</v>
      </c>
      <c r="B274" s="5" t="str">
        <f aca="false">01_Data!C274</f>
        <v>2024-12</v>
      </c>
      <c r="C274" s="5" t="str">
        <f aca="false">01_Data!D274</f>
        <v>FY24</v>
      </c>
      <c r="D274" s="7" t="n">
        <f aca="false">01_Data!E274</f>
        <v>258809</v>
      </c>
      <c r="E274" s="7" t="n">
        <f aca="false">01_Data!F274</f>
        <v>245556</v>
      </c>
      <c r="F274" s="7" t="n">
        <f aca="false">E274-D274</f>
        <v>-13253</v>
      </c>
      <c r="G274" s="8" t="n">
        <f aca="false">IFERROR(F274/D274,0)</f>
        <v>-0.0512076473383847</v>
      </c>
      <c r="H274" s="7" t="n">
        <f aca="false">01_Data!G274</f>
        <v>145637</v>
      </c>
      <c r="I274" s="7" t="n">
        <f aca="false">01_Data!H274</f>
        <v>137941</v>
      </c>
      <c r="J274" s="7" t="n">
        <f aca="false">H274-I274</f>
        <v>7696</v>
      </c>
      <c r="K274" s="8" t="n">
        <f aca="false">IFERROR(J274/H274,0)</f>
        <v>0.052843714166043</v>
      </c>
      <c r="L274" s="7" t="n">
        <f aca="false">D274-H274</f>
        <v>113172</v>
      </c>
      <c r="M274" s="7" t="n">
        <f aca="false">E274-I274</f>
        <v>107615</v>
      </c>
      <c r="N274" s="7" t="n">
        <f aca="false">IFERROR(L274/D274,0)</f>
        <v>0.43728000185465</v>
      </c>
      <c r="O274" s="7" t="n">
        <f aca="false">IFERROR(M274/E274,0)</f>
        <v>0.438250338008438</v>
      </c>
      <c r="P274" s="7" t="n">
        <f aca="false">01_Data!I274+01_Data!K274+01_Data!M274+01_Data!O274+01_Data!Q274+01_Data!S274+01_Data!U274</f>
        <v>70549</v>
      </c>
      <c r="Q274" s="7" t="n">
        <f aca="false">01_Data!J274+01_Data!L274+01_Data!N274+01_Data!P274+01_Data!R274+01_Data!T274+01_Data!V274</f>
        <v>74621</v>
      </c>
      <c r="R274" s="7" t="n">
        <f aca="false">P274-Q274</f>
        <v>-4072</v>
      </c>
      <c r="S274" s="7" t="n">
        <f aca="false">L274-P274</f>
        <v>42623</v>
      </c>
      <c r="T274" s="7" t="n">
        <f aca="false">M274-Q274</f>
        <v>32994</v>
      </c>
      <c r="U274" s="7" t="n">
        <f aca="false">T274-S274</f>
        <v>-9629</v>
      </c>
      <c r="V274" s="8" t="n">
        <f aca="false">IFERROR(U274/S274,0)</f>
        <v>-0.225910893179739</v>
      </c>
      <c r="W274" s="5" t="str">
        <f aca="false">IF(V274&lt;-0.1,"ADVERSE &gt;10%","")</f>
        <v>ADVERSE &gt;10%</v>
      </c>
    </row>
    <row r="275" customFormat="false" ht="15" hidden="false" customHeight="false" outlineLevel="0" collapsed="false">
      <c r="A275" s="5" t="str">
        <f aca="false">01_Data!A275</f>
        <v>Healthcare &amp; Life Sciences</v>
      </c>
      <c r="B275" s="5" t="str">
        <f aca="false">01_Data!C275</f>
        <v>2025-01</v>
      </c>
      <c r="C275" s="5" t="str">
        <f aca="false">01_Data!D275</f>
        <v>FY24</v>
      </c>
      <c r="D275" s="7" t="n">
        <f aca="false">01_Data!E275</f>
        <v>213799</v>
      </c>
      <c r="E275" s="7" t="n">
        <f aca="false">01_Data!F275</f>
        <v>221705</v>
      </c>
      <c r="F275" s="7" t="n">
        <f aca="false">E275-D275</f>
        <v>7906</v>
      </c>
      <c r="G275" s="8" t="n">
        <f aca="false">IFERROR(F275/D275,0)</f>
        <v>0.0369786575241231</v>
      </c>
      <c r="H275" s="7" t="n">
        <f aca="false">01_Data!G275</f>
        <v>123438</v>
      </c>
      <c r="I275" s="7" t="n">
        <f aca="false">01_Data!H275</f>
        <v>126374</v>
      </c>
      <c r="J275" s="7" t="n">
        <f aca="false">H275-I275</f>
        <v>-2936</v>
      </c>
      <c r="K275" s="8" t="n">
        <f aca="false">IFERROR(J275/H275,0)</f>
        <v>-0.0237852201105008</v>
      </c>
      <c r="L275" s="7" t="n">
        <f aca="false">D275-H275</f>
        <v>90361</v>
      </c>
      <c r="M275" s="7" t="n">
        <f aca="false">E275-I275</f>
        <v>95331</v>
      </c>
      <c r="N275" s="7" t="n">
        <f aca="false">IFERROR(L275/D275,0)</f>
        <v>0.422644633510914</v>
      </c>
      <c r="O275" s="7" t="n">
        <f aca="false">IFERROR(M275/E275,0)</f>
        <v>0.429990302428903</v>
      </c>
      <c r="P275" s="7" t="n">
        <f aca="false">01_Data!I275+01_Data!K275+01_Data!M275+01_Data!O275+01_Data!Q275+01_Data!S275+01_Data!U275</f>
        <v>57797</v>
      </c>
      <c r="Q275" s="7" t="n">
        <f aca="false">01_Data!J275+01_Data!L275+01_Data!N275+01_Data!P275+01_Data!R275+01_Data!T275+01_Data!V275</f>
        <v>58588</v>
      </c>
      <c r="R275" s="7" t="n">
        <f aca="false">P275-Q275</f>
        <v>-791</v>
      </c>
      <c r="S275" s="7" t="n">
        <f aca="false">L275-P275</f>
        <v>32564</v>
      </c>
      <c r="T275" s="7" t="n">
        <f aca="false">M275-Q275</f>
        <v>36743</v>
      </c>
      <c r="U275" s="7" t="n">
        <f aca="false">T275-S275</f>
        <v>4179</v>
      </c>
      <c r="V275" s="8" t="n">
        <f aca="false">IFERROR(U275/S275,0)</f>
        <v>0.128331900257954</v>
      </c>
      <c r="W275" s="5" t="str">
        <f aca="false">IF(V275&lt;-0.1,"ADVERSE &gt;10%","")</f>
        <v/>
      </c>
    </row>
    <row r="276" customFormat="false" ht="15" hidden="false" customHeight="false" outlineLevel="0" collapsed="false">
      <c r="A276" s="5" t="str">
        <f aca="false">01_Data!A276</f>
        <v>Healthcare &amp; Life Sciences</v>
      </c>
      <c r="B276" s="5" t="str">
        <f aca="false">01_Data!C276</f>
        <v>2025-02</v>
      </c>
      <c r="C276" s="5" t="str">
        <f aca="false">01_Data!D276</f>
        <v>FY24</v>
      </c>
      <c r="D276" s="7" t="n">
        <f aca="false">01_Data!E276</f>
        <v>233556</v>
      </c>
      <c r="E276" s="7" t="n">
        <f aca="false">01_Data!F276</f>
        <v>224783</v>
      </c>
      <c r="F276" s="7" t="n">
        <f aca="false">E276-D276</f>
        <v>-8773</v>
      </c>
      <c r="G276" s="8" t="n">
        <f aca="false">IFERROR(F276/D276,0)</f>
        <v>-0.0375627258558975</v>
      </c>
      <c r="H276" s="7" t="n">
        <f aca="false">01_Data!G276</f>
        <v>126806</v>
      </c>
      <c r="I276" s="7" t="n">
        <f aca="false">01_Data!H276</f>
        <v>119213</v>
      </c>
      <c r="J276" s="7" t="n">
        <f aca="false">H276-I276</f>
        <v>7593</v>
      </c>
      <c r="K276" s="8" t="n">
        <f aca="false">IFERROR(J276/H276,0)</f>
        <v>0.0598788700850118</v>
      </c>
      <c r="L276" s="7" t="n">
        <f aca="false">D276-H276</f>
        <v>106750</v>
      </c>
      <c r="M276" s="7" t="n">
        <f aca="false">E276-I276</f>
        <v>105570</v>
      </c>
      <c r="N276" s="7" t="n">
        <f aca="false">IFERROR(L276/D276,0)</f>
        <v>0.457063830516022</v>
      </c>
      <c r="O276" s="7" t="n">
        <f aca="false">IFERROR(M276/E276,0)</f>
        <v>0.469652954182478</v>
      </c>
      <c r="P276" s="7" t="n">
        <f aca="false">01_Data!I276+01_Data!K276+01_Data!M276+01_Data!O276+01_Data!Q276+01_Data!S276+01_Data!U276</f>
        <v>66741</v>
      </c>
      <c r="Q276" s="7" t="n">
        <f aca="false">01_Data!J276+01_Data!L276+01_Data!N276+01_Data!P276+01_Data!R276+01_Data!T276+01_Data!V276</f>
        <v>65852</v>
      </c>
      <c r="R276" s="7" t="n">
        <f aca="false">P276-Q276</f>
        <v>889</v>
      </c>
      <c r="S276" s="7" t="n">
        <f aca="false">L276-P276</f>
        <v>40009</v>
      </c>
      <c r="T276" s="7" t="n">
        <f aca="false">M276-Q276</f>
        <v>39718</v>
      </c>
      <c r="U276" s="7" t="n">
        <f aca="false">T276-S276</f>
        <v>-291</v>
      </c>
      <c r="V276" s="8" t="n">
        <f aca="false">IFERROR(U276/S276,0)</f>
        <v>-0.00727336349321403</v>
      </c>
      <c r="W276" s="5" t="str">
        <f aca="false">IF(V276&lt;-0.1,"ADVERSE &gt;10%","")</f>
        <v/>
      </c>
    </row>
    <row r="277" customFormat="false" ht="15" hidden="false" customHeight="false" outlineLevel="0" collapsed="false">
      <c r="A277" s="5" t="str">
        <f aca="false">01_Data!A277</f>
        <v>Healthcare &amp; Life Sciences</v>
      </c>
      <c r="B277" s="5" t="str">
        <f aca="false">01_Data!C277</f>
        <v>2025-03</v>
      </c>
      <c r="C277" s="5" t="str">
        <f aca="false">01_Data!D277</f>
        <v>FY24</v>
      </c>
      <c r="D277" s="7" t="n">
        <f aca="false">01_Data!E277</f>
        <v>244055</v>
      </c>
      <c r="E277" s="7" t="n">
        <f aca="false">01_Data!F277</f>
        <v>253883</v>
      </c>
      <c r="F277" s="7" t="n">
        <f aca="false">E277-D277</f>
        <v>9828</v>
      </c>
      <c r="G277" s="8" t="n">
        <f aca="false">IFERROR(F277/D277,0)</f>
        <v>0.0402696113580955</v>
      </c>
      <c r="H277" s="7" t="n">
        <f aca="false">01_Data!G277</f>
        <v>138457</v>
      </c>
      <c r="I277" s="7" t="n">
        <f aca="false">01_Data!H277</f>
        <v>146305</v>
      </c>
      <c r="J277" s="7" t="n">
        <f aca="false">H277-I277</f>
        <v>-7848</v>
      </c>
      <c r="K277" s="8" t="n">
        <f aca="false">IFERROR(J277/H277,0)</f>
        <v>-0.0566818579053425</v>
      </c>
      <c r="L277" s="7" t="n">
        <f aca="false">D277-H277</f>
        <v>105598</v>
      </c>
      <c r="M277" s="7" t="n">
        <f aca="false">E277-I277</f>
        <v>107578</v>
      </c>
      <c r="N277" s="7" t="n">
        <f aca="false">IFERROR(L277/D277,0)</f>
        <v>0.432681157935711</v>
      </c>
      <c r="O277" s="7" t="n">
        <f aca="false">IFERROR(M277/E277,0)</f>
        <v>0.423730616071182</v>
      </c>
      <c r="P277" s="7" t="n">
        <f aca="false">01_Data!I277+01_Data!K277+01_Data!M277+01_Data!O277+01_Data!Q277+01_Data!S277+01_Data!U277</f>
        <v>67149</v>
      </c>
      <c r="Q277" s="7" t="n">
        <f aca="false">01_Data!J277+01_Data!L277+01_Data!N277+01_Data!P277+01_Data!R277+01_Data!T277+01_Data!V277</f>
        <v>65568</v>
      </c>
      <c r="R277" s="7" t="n">
        <f aca="false">P277-Q277</f>
        <v>1581</v>
      </c>
      <c r="S277" s="7" t="n">
        <f aca="false">L277-P277</f>
        <v>38449</v>
      </c>
      <c r="T277" s="7" t="n">
        <f aca="false">M277-Q277</f>
        <v>42010</v>
      </c>
      <c r="U277" s="7" t="n">
        <f aca="false">T277-S277</f>
        <v>3561</v>
      </c>
      <c r="V277" s="8" t="n">
        <f aca="false">IFERROR(U277/S277,0)</f>
        <v>0.0926161928788785</v>
      </c>
      <c r="W277" s="5" t="str">
        <f aca="false">IF(V277&lt;-0.1,"ADVERSE &gt;10%","")</f>
        <v/>
      </c>
    </row>
    <row r="278" customFormat="false" ht="15" hidden="false" customHeight="false" outlineLevel="0" collapsed="false">
      <c r="A278" s="5" t="str">
        <f aca="false">01_Data!A278</f>
        <v>Healthcare &amp; Life Sciences</v>
      </c>
      <c r="B278" s="5" t="str">
        <f aca="false">01_Data!C278</f>
        <v>2025-04</v>
      </c>
      <c r="C278" s="5" t="str">
        <f aca="false">01_Data!D278</f>
        <v>FY25</v>
      </c>
      <c r="D278" s="7" t="n">
        <f aca="false">01_Data!E278</f>
        <v>237627</v>
      </c>
      <c r="E278" s="7" t="n">
        <f aca="false">01_Data!F278</f>
        <v>234474</v>
      </c>
      <c r="F278" s="7" t="n">
        <f aca="false">E278-D278</f>
        <v>-3153</v>
      </c>
      <c r="G278" s="8" t="n">
        <f aca="false">IFERROR(F278/D278,0)</f>
        <v>-0.0132686942140413</v>
      </c>
      <c r="H278" s="7" t="n">
        <f aca="false">01_Data!G278</f>
        <v>129877</v>
      </c>
      <c r="I278" s="7" t="n">
        <f aca="false">01_Data!H278</f>
        <v>132019</v>
      </c>
      <c r="J278" s="7" t="n">
        <f aca="false">H278-I278</f>
        <v>-2142</v>
      </c>
      <c r="K278" s="8" t="n">
        <f aca="false">IFERROR(J278/H278,0)</f>
        <v>-0.0164925275452929</v>
      </c>
      <c r="L278" s="7" t="n">
        <f aca="false">D278-H278</f>
        <v>107750</v>
      </c>
      <c r="M278" s="7" t="n">
        <f aca="false">E278-I278</f>
        <v>102455</v>
      </c>
      <c r="N278" s="7" t="n">
        <f aca="false">IFERROR(L278/D278,0)</f>
        <v>0.453441738522979</v>
      </c>
      <c r="O278" s="7" t="n">
        <f aca="false">IFERROR(M278/E278,0)</f>
        <v>0.436956762796728</v>
      </c>
      <c r="P278" s="7" t="n">
        <f aca="false">01_Data!I278+01_Data!K278+01_Data!M278+01_Data!O278+01_Data!Q278+01_Data!S278+01_Data!U278</f>
        <v>64001</v>
      </c>
      <c r="Q278" s="7" t="n">
        <f aca="false">01_Data!J278+01_Data!L278+01_Data!N278+01_Data!P278+01_Data!R278+01_Data!T278+01_Data!V278</f>
        <v>68558</v>
      </c>
      <c r="R278" s="7" t="n">
        <f aca="false">P278-Q278</f>
        <v>-4557</v>
      </c>
      <c r="S278" s="7" t="n">
        <f aca="false">L278-P278</f>
        <v>43749</v>
      </c>
      <c r="T278" s="7" t="n">
        <f aca="false">M278-Q278</f>
        <v>33897</v>
      </c>
      <c r="U278" s="7" t="n">
        <f aca="false">T278-S278</f>
        <v>-9852</v>
      </c>
      <c r="V278" s="8" t="n">
        <f aca="false">IFERROR(U278/S278,0)</f>
        <v>-0.225193718713571</v>
      </c>
      <c r="W278" s="5" t="str">
        <f aca="false">IF(V278&lt;-0.1,"ADVERSE &gt;10%","")</f>
        <v>ADVERSE &gt;10%</v>
      </c>
    </row>
    <row r="279" customFormat="false" ht="15" hidden="false" customHeight="false" outlineLevel="0" collapsed="false">
      <c r="A279" s="5" t="str">
        <f aca="false">01_Data!A279</f>
        <v>Healthcare &amp; Life Sciences</v>
      </c>
      <c r="B279" s="5" t="str">
        <f aca="false">01_Data!C279</f>
        <v>2025-05</v>
      </c>
      <c r="C279" s="5" t="str">
        <f aca="false">01_Data!D279</f>
        <v>FY25</v>
      </c>
      <c r="D279" s="7" t="n">
        <f aca="false">01_Data!E279</f>
        <v>241127</v>
      </c>
      <c r="E279" s="7" t="n">
        <f aca="false">01_Data!F279</f>
        <v>237371</v>
      </c>
      <c r="F279" s="7" t="n">
        <f aca="false">E279-D279</f>
        <v>-3756</v>
      </c>
      <c r="G279" s="8" t="n">
        <f aca="false">IFERROR(F279/D279,0)</f>
        <v>-0.0155768536912084</v>
      </c>
      <c r="H279" s="7" t="n">
        <f aca="false">01_Data!G279</f>
        <v>137334</v>
      </c>
      <c r="I279" s="7" t="n">
        <f aca="false">01_Data!H279</f>
        <v>132583</v>
      </c>
      <c r="J279" s="7" t="n">
        <f aca="false">H279-I279</f>
        <v>4751</v>
      </c>
      <c r="K279" s="8" t="n">
        <f aca="false">IFERROR(J279/H279,0)</f>
        <v>0.0345944922597463</v>
      </c>
      <c r="L279" s="7" t="n">
        <f aca="false">D279-H279</f>
        <v>103793</v>
      </c>
      <c r="M279" s="7" t="n">
        <f aca="false">E279-I279</f>
        <v>104788</v>
      </c>
      <c r="N279" s="7" t="n">
        <f aca="false">IFERROR(L279/D279,0)</f>
        <v>0.43044951415644</v>
      </c>
      <c r="O279" s="7" t="n">
        <f aca="false">IFERROR(M279/E279,0)</f>
        <v>0.441452409940557</v>
      </c>
      <c r="P279" s="7" t="n">
        <f aca="false">01_Data!I279+01_Data!K279+01_Data!M279+01_Data!O279+01_Data!Q279+01_Data!S279+01_Data!U279</f>
        <v>65781</v>
      </c>
      <c r="Q279" s="7" t="n">
        <f aca="false">01_Data!J279+01_Data!L279+01_Data!N279+01_Data!P279+01_Data!R279+01_Data!T279+01_Data!V279</f>
        <v>67191</v>
      </c>
      <c r="R279" s="7" t="n">
        <f aca="false">P279-Q279</f>
        <v>-1410</v>
      </c>
      <c r="S279" s="7" t="n">
        <f aca="false">L279-P279</f>
        <v>38012</v>
      </c>
      <c r="T279" s="7" t="n">
        <f aca="false">M279-Q279</f>
        <v>37597</v>
      </c>
      <c r="U279" s="7" t="n">
        <f aca="false">T279-S279</f>
        <v>-415</v>
      </c>
      <c r="V279" s="8" t="n">
        <f aca="false">IFERROR(U279/S279,0)</f>
        <v>-0.0109176049668526</v>
      </c>
      <c r="W279" s="5" t="str">
        <f aca="false">IF(V279&lt;-0.1,"ADVERSE &gt;10%","")</f>
        <v/>
      </c>
    </row>
    <row r="280" customFormat="false" ht="15" hidden="false" customHeight="false" outlineLevel="0" collapsed="false">
      <c r="A280" s="5" t="str">
        <f aca="false">01_Data!A280</f>
        <v>Healthcare &amp; Life Sciences</v>
      </c>
      <c r="B280" s="5" t="str">
        <f aca="false">01_Data!C280</f>
        <v>2025-06</v>
      </c>
      <c r="C280" s="5" t="str">
        <f aca="false">01_Data!D280</f>
        <v>FY25</v>
      </c>
      <c r="D280" s="7" t="n">
        <f aca="false">01_Data!E280</f>
        <v>226979</v>
      </c>
      <c r="E280" s="7" t="n">
        <f aca="false">01_Data!F280</f>
        <v>235421</v>
      </c>
      <c r="F280" s="7" t="n">
        <f aca="false">E280-D280</f>
        <v>8442</v>
      </c>
      <c r="G280" s="8" t="n">
        <f aca="false">IFERROR(F280/D280,0)</f>
        <v>0.0371928680626842</v>
      </c>
      <c r="H280" s="7" t="n">
        <f aca="false">01_Data!G280</f>
        <v>126404</v>
      </c>
      <c r="I280" s="7" t="n">
        <f aca="false">01_Data!H280</f>
        <v>135698</v>
      </c>
      <c r="J280" s="7" t="n">
        <f aca="false">H280-I280</f>
        <v>-9294</v>
      </c>
      <c r="K280" s="8" t="n">
        <f aca="false">IFERROR(J280/H280,0)</f>
        <v>-0.0735261542356255</v>
      </c>
      <c r="L280" s="7" t="n">
        <f aca="false">D280-H280</f>
        <v>100575</v>
      </c>
      <c r="M280" s="7" t="n">
        <f aca="false">E280-I280</f>
        <v>99723</v>
      </c>
      <c r="N280" s="7" t="n">
        <f aca="false">IFERROR(L280/D280,0)</f>
        <v>0.44310266588539</v>
      </c>
      <c r="O280" s="7" t="n">
        <f aca="false">IFERROR(M280/E280,0)</f>
        <v>0.423594326759295</v>
      </c>
      <c r="P280" s="7" t="n">
        <f aca="false">01_Data!I280+01_Data!K280+01_Data!M280+01_Data!O280+01_Data!Q280+01_Data!S280+01_Data!U280</f>
        <v>58806</v>
      </c>
      <c r="Q280" s="7" t="n">
        <f aca="false">01_Data!J280+01_Data!L280+01_Data!N280+01_Data!P280+01_Data!R280+01_Data!T280+01_Data!V280</f>
        <v>59000</v>
      </c>
      <c r="R280" s="7" t="n">
        <f aca="false">P280-Q280</f>
        <v>-194</v>
      </c>
      <c r="S280" s="7" t="n">
        <f aca="false">L280-P280</f>
        <v>41769</v>
      </c>
      <c r="T280" s="7" t="n">
        <f aca="false">M280-Q280</f>
        <v>40723</v>
      </c>
      <c r="U280" s="7" t="n">
        <f aca="false">T280-S280</f>
        <v>-1046</v>
      </c>
      <c r="V280" s="8" t="n">
        <f aca="false">IFERROR(U280/S280,0)</f>
        <v>-0.0250424956307309</v>
      </c>
      <c r="W280" s="5" t="str">
        <f aca="false">IF(V280&lt;-0.1,"ADVERSE &gt;10%","")</f>
        <v/>
      </c>
    </row>
    <row r="281" customFormat="false" ht="15" hidden="false" customHeight="false" outlineLevel="0" collapsed="false">
      <c r="A281" s="5" t="str">
        <f aca="false">01_Data!A281</f>
        <v>Healthcare &amp; Life Sciences</v>
      </c>
      <c r="B281" s="5" t="str">
        <f aca="false">01_Data!C281</f>
        <v>2025-07</v>
      </c>
      <c r="C281" s="5" t="str">
        <f aca="false">01_Data!D281</f>
        <v>FY25</v>
      </c>
      <c r="D281" s="7" t="n">
        <f aca="false">01_Data!E281</f>
        <v>245185</v>
      </c>
      <c r="E281" s="7" t="n">
        <f aca="false">01_Data!F281</f>
        <v>240973</v>
      </c>
      <c r="F281" s="7" t="n">
        <f aca="false">E281-D281</f>
        <v>-4212</v>
      </c>
      <c r="G281" s="8" t="n">
        <f aca="false">IFERROR(F281/D281,0)</f>
        <v>-0.0171788649387197</v>
      </c>
      <c r="H281" s="7" t="n">
        <f aca="false">01_Data!G281</f>
        <v>139483</v>
      </c>
      <c r="I281" s="7" t="n">
        <f aca="false">01_Data!H281</f>
        <v>139825</v>
      </c>
      <c r="J281" s="7" t="n">
        <f aca="false">H281-I281</f>
        <v>-342</v>
      </c>
      <c r="K281" s="8" t="n">
        <f aca="false">IFERROR(J281/H281,0)</f>
        <v>-0.00245191170250138</v>
      </c>
      <c r="L281" s="7" t="n">
        <f aca="false">D281-H281</f>
        <v>105702</v>
      </c>
      <c r="M281" s="7" t="n">
        <f aca="false">E281-I281</f>
        <v>101148</v>
      </c>
      <c r="N281" s="7" t="n">
        <f aca="false">IFERROR(L281/D281,0)</f>
        <v>0.431111201745621</v>
      </c>
      <c r="O281" s="7" t="n">
        <f aca="false">IFERROR(M281/E281,0)</f>
        <v>0.419748270553133</v>
      </c>
      <c r="P281" s="7" t="n">
        <f aca="false">01_Data!I281+01_Data!K281+01_Data!M281+01_Data!O281+01_Data!Q281+01_Data!S281+01_Data!U281</f>
        <v>69363</v>
      </c>
      <c r="Q281" s="7" t="n">
        <f aca="false">01_Data!J281+01_Data!L281+01_Data!N281+01_Data!P281+01_Data!R281+01_Data!T281+01_Data!V281</f>
        <v>71230</v>
      </c>
      <c r="R281" s="7" t="n">
        <f aca="false">P281-Q281</f>
        <v>-1867</v>
      </c>
      <c r="S281" s="7" t="n">
        <f aca="false">L281-P281</f>
        <v>36339</v>
      </c>
      <c r="T281" s="7" t="n">
        <f aca="false">M281-Q281</f>
        <v>29918</v>
      </c>
      <c r="U281" s="7" t="n">
        <f aca="false">T281-S281</f>
        <v>-6421</v>
      </c>
      <c r="V281" s="8" t="n">
        <f aca="false">IFERROR(U281/S281,0)</f>
        <v>-0.176697212361375</v>
      </c>
      <c r="W281" s="5" t="str">
        <f aca="false">IF(V281&lt;-0.1,"ADVERSE &gt;10%","")</f>
        <v>ADVERSE &gt;10%</v>
      </c>
    </row>
    <row r="282" customFormat="false" ht="15" hidden="false" customHeight="false" outlineLevel="0" collapsed="false">
      <c r="A282" s="5" t="str">
        <f aca="false">01_Data!A282</f>
        <v>Healthcare &amp; Life Sciences</v>
      </c>
      <c r="B282" s="5" t="str">
        <f aca="false">01_Data!C282</f>
        <v>2025-08</v>
      </c>
      <c r="C282" s="5" t="str">
        <f aca="false">01_Data!D282</f>
        <v>FY25</v>
      </c>
      <c r="D282" s="7" t="n">
        <f aca="false">01_Data!E282</f>
        <v>243192</v>
      </c>
      <c r="E282" s="7" t="n">
        <f aca="false">01_Data!F282</f>
        <v>247541</v>
      </c>
      <c r="F282" s="7" t="n">
        <f aca="false">E282-D282</f>
        <v>4349</v>
      </c>
      <c r="G282" s="8" t="n">
        <f aca="false">IFERROR(F282/D282,0)</f>
        <v>0.0178829895720254</v>
      </c>
      <c r="H282" s="7" t="n">
        <f aca="false">01_Data!G282</f>
        <v>145472</v>
      </c>
      <c r="I282" s="7" t="n">
        <f aca="false">01_Data!H282</f>
        <v>146594</v>
      </c>
      <c r="J282" s="7" t="n">
        <f aca="false">H282-I282</f>
        <v>-1122</v>
      </c>
      <c r="K282" s="8" t="n">
        <f aca="false">IFERROR(J282/H282,0)</f>
        <v>-0.00771282446106467</v>
      </c>
      <c r="L282" s="7" t="n">
        <f aca="false">D282-H282</f>
        <v>97720</v>
      </c>
      <c r="M282" s="7" t="n">
        <f aca="false">E282-I282</f>
        <v>100947</v>
      </c>
      <c r="N282" s="7" t="n">
        <f aca="false">IFERROR(L282/D282,0)</f>
        <v>0.401822428369354</v>
      </c>
      <c r="O282" s="7" t="n">
        <f aca="false">IFERROR(M282/E282,0)</f>
        <v>0.407799112066284</v>
      </c>
      <c r="P282" s="7" t="n">
        <f aca="false">01_Data!I282+01_Data!K282+01_Data!M282+01_Data!O282+01_Data!Q282+01_Data!S282+01_Data!U282</f>
        <v>62334</v>
      </c>
      <c r="Q282" s="7" t="n">
        <f aca="false">01_Data!J282+01_Data!L282+01_Data!N282+01_Data!P282+01_Data!R282+01_Data!T282+01_Data!V282</f>
        <v>65916</v>
      </c>
      <c r="R282" s="7" t="n">
        <f aca="false">P282-Q282</f>
        <v>-3582</v>
      </c>
      <c r="S282" s="7" t="n">
        <f aca="false">L282-P282</f>
        <v>35386</v>
      </c>
      <c r="T282" s="7" t="n">
        <f aca="false">M282-Q282</f>
        <v>35031</v>
      </c>
      <c r="U282" s="7" t="n">
        <f aca="false">T282-S282</f>
        <v>-355</v>
      </c>
      <c r="V282" s="8" t="n">
        <f aca="false">IFERROR(U282/S282,0)</f>
        <v>-0.0100322161306731</v>
      </c>
      <c r="W282" s="5" t="str">
        <f aca="false">IF(V282&lt;-0.1,"ADVERSE &gt;10%","")</f>
        <v/>
      </c>
    </row>
    <row r="283" customFormat="false" ht="15" hidden="false" customHeight="false" outlineLevel="0" collapsed="false">
      <c r="A283" s="5" t="str">
        <f aca="false">01_Data!A283</f>
        <v>Healthcare &amp; Life Sciences</v>
      </c>
      <c r="B283" s="5" t="str">
        <f aca="false">01_Data!C283</f>
        <v>2025-09</v>
      </c>
      <c r="C283" s="5" t="str">
        <f aca="false">01_Data!D283</f>
        <v>FY25</v>
      </c>
      <c r="D283" s="7" t="n">
        <f aca="false">01_Data!E283</f>
        <v>271932</v>
      </c>
      <c r="E283" s="7" t="n">
        <f aca="false">01_Data!F283</f>
        <v>273510</v>
      </c>
      <c r="F283" s="7" t="n">
        <f aca="false">E283-D283</f>
        <v>1578</v>
      </c>
      <c r="G283" s="8" t="n">
        <f aca="false">IFERROR(F283/D283,0)</f>
        <v>0.00580292131856494</v>
      </c>
      <c r="H283" s="7" t="n">
        <f aca="false">01_Data!G283</f>
        <v>162355</v>
      </c>
      <c r="I283" s="7" t="n">
        <f aca="false">01_Data!H283</f>
        <v>160783</v>
      </c>
      <c r="J283" s="7" t="n">
        <f aca="false">H283-I283</f>
        <v>1572</v>
      </c>
      <c r="K283" s="8" t="n">
        <f aca="false">IFERROR(J283/H283,0)</f>
        <v>0.00968248591050476</v>
      </c>
      <c r="L283" s="7" t="n">
        <f aca="false">D283-H283</f>
        <v>109577</v>
      </c>
      <c r="M283" s="7" t="n">
        <f aca="false">E283-I283</f>
        <v>112727</v>
      </c>
      <c r="N283" s="7" t="n">
        <f aca="false">IFERROR(L283/D283,0)</f>
        <v>0.402957356986305</v>
      </c>
      <c r="O283" s="7" t="n">
        <f aca="false">IFERROR(M283/E283,0)</f>
        <v>0.41214946437059</v>
      </c>
      <c r="P283" s="7" t="n">
        <f aca="false">01_Data!I283+01_Data!K283+01_Data!M283+01_Data!O283+01_Data!Q283+01_Data!S283+01_Data!U283</f>
        <v>72407</v>
      </c>
      <c r="Q283" s="7" t="n">
        <f aca="false">01_Data!J283+01_Data!L283+01_Data!N283+01_Data!P283+01_Data!R283+01_Data!T283+01_Data!V283</f>
        <v>73261</v>
      </c>
      <c r="R283" s="7" t="n">
        <f aca="false">P283-Q283</f>
        <v>-854</v>
      </c>
      <c r="S283" s="7" t="n">
        <f aca="false">L283-P283</f>
        <v>37170</v>
      </c>
      <c r="T283" s="7" t="n">
        <f aca="false">M283-Q283</f>
        <v>39466</v>
      </c>
      <c r="U283" s="7" t="n">
        <f aca="false">T283-S283</f>
        <v>2296</v>
      </c>
      <c r="V283" s="8" t="n">
        <f aca="false">IFERROR(U283/S283,0)</f>
        <v>0.0617702448210923</v>
      </c>
      <c r="W283" s="5" t="str">
        <f aca="false">IF(V283&lt;-0.1,"ADVERSE &gt;10%","")</f>
        <v/>
      </c>
    </row>
    <row r="284" customFormat="false" ht="15" hidden="false" customHeight="false" outlineLevel="0" collapsed="false">
      <c r="A284" s="5" t="str">
        <f aca="false">01_Data!A284</f>
        <v>Healthcare &amp; Life Sciences</v>
      </c>
      <c r="B284" s="5" t="str">
        <f aca="false">01_Data!C284</f>
        <v>2025-10</v>
      </c>
      <c r="C284" s="5" t="str">
        <f aca="false">01_Data!D284</f>
        <v>FY25</v>
      </c>
      <c r="D284" s="7" t="n">
        <f aca="false">01_Data!E284</f>
        <v>258084</v>
      </c>
      <c r="E284" s="7" t="n">
        <f aca="false">01_Data!F284</f>
        <v>247061</v>
      </c>
      <c r="F284" s="7" t="n">
        <f aca="false">E284-D284</f>
        <v>-11023</v>
      </c>
      <c r="G284" s="8" t="n">
        <f aca="false">IFERROR(F284/D284,0)</f>
        <v>-0.0427109003270253</v>
      </c>
      <c r="H284" s="7" t="n">
        <f aca="false">01_Data!G284</f>
        <v>152096</v>
      </c>
      <c r="I284" s="7" t="n">
        <f aca="false">01_Data!H284</f>
        <v>152246</v>
      </c>
      <c r="J284" s="7" t="n">
        <f aca="false">H284-I284</f>
        <v>-150</v>
      </c>
      <c r="K284" s="8" t="n">
        <f aca="false">IFERROR(J284/H284,0)</f>
        <v>-0.000986219229960025</v>
      </c>
      <c r="L284" s="7" t="n">
        <f aca="false">D284-H284</f>
        <v>105988</v>
      </c>
      <c r="M284" s="7" t="n">
        <f aca="false">E284-I284</f>
        <v>94815</v>
      </c>
      <c r="N284" s="7" t="n">
        <f aca="false">IFERROR(L284/D284,0)</f>
        <v>0.410672494226686</v>
      </c>
      <c r="O284" s="7" t="n">
        <f aca="false">IFERROR(M284/E284,0)</f>
        <v>0.383771619154784</v>
      </c>
      <c r="P284" s="7" t="n">
        <f aca="false">01_Data!I284+01_Data!K284+01_Data!M284+01_Data!O284+01_Data!Q284+01_Data!S284+01_Data!U284</f>
        <v>68828</v>
      </c>
      <c r="Q284" s="7" t="n">
        <f aca="false">01_Data!J284+01_Data!L284+01_Data!N284+01_Data!P284+01_Data!R284+01_Data!T284+01_Data!V284</f>
        <v>68893</v>
      </c>
      <c r="R284" s="7" t="n">
        <f aca="false">P284-Q284</f>
        <v>-65</v>
      </c>
      <c r="S284" s="7" t="n">
        <f aca="false">L284-P284</f>
        <v>37160</v>
      </c>
      <c r="T284" s="7" t="n">
        <f aca="false">M284-Q284</f>
        <v>25922</v>
      </c>
      <c r="U284" s="7" t="n">
        <f aca="false">T284-S284</f>
        <v>-11238</v>
      </c>
      <c r="V284" s="8" t="n">
        <f aca="false">IFERROR(U284/S284,0)</f>
        <v>-0.302421959095802</v>
      </c>
      <c r="W284" s="5" t="str">
        <f aca="false">IF(V284&lt;-0.1,"ADVERSE &gt;10%","")</f>
        <v>ADVERSE &gt;10%</v>
      </c>
    </row>
    <row r="285" customFormat="false" ht="15" hidden="false" customHeight="false" outlineLevel="0" collapsed="false">
      <c r="A285" s="5" t="str">
        <f aca="false">01_Data!A285</f>
        <v>Healthcare &amp; Life Sciences</v>
      </c>
      <c r="B285" s="5" t="str">
        <f aca="false">01_Data!C285</f>
        <v>2025-11</v>
      </c>
      <c r="C285" s="5" t="str">
        <f aca="false">01_Data!D285</f>
        <v>FY25</v>
      </c>
      <c r="D285" s="7" t="n">
        <f aca="false">01_Data!E285</f>
        <v>245847</v>
      </c>
      <c r="E285" s="7" t="n">
        <f aca="false">01_Data!F285</f>
        <v>251506</v>
      </c>
      <c r="F285" s="7" t="n">
        <f aca="false">E285-D285</f>
        <v>5659</v>
      </c>
      <c r="G285" s="8" t="n">
        <f aca="false">IFERROR(F285/D285,0)</f>
        <v>0.0230183813510029</v>
      </c>
      <c r="H285" s="7" t="n">
        <f aca="false">01_Data!G285</f>
        <v>141277</v>
      </c>
      <c r="I285" s="7" t="n">
        <f aca="false">01_Data!H285</f>
        <v>143424</v>
      </c>
      <c r="J285" s="7" t="n">
        <f aca="false">H285-I285</f>
        <v>-2147</v>
      </c>
      <c r="K285" s="8" t="n">
        <f aca="false">IFERROR(J285/H285,0)</f>
        <v>-0.0151970950685533</v>
      </c>
      <c r="L285" s="7" t="n">
        <f aca="false">D285-H285</f>
        <v>104570</v>
      </c>
      <c r="M285" s="7" t="n">
        <f aca="false">E285-I285</f>
        <v>108082</v>
      </c>
      <c r="N285" s="7" t="n">
        <f aca="false">IFERROR(L285/D285,0)</f>
        <v>0.425345845180132</v>
      </c>
      <c r="O285" s="7" t="n">
        <f aca="false">IFERROR(M285/E285,0)</f>
        <v>0.429739250753461</v>
      </c>
      <c r="P285" s="7" t="n">
        <f aca="false">01_Data!I285+01_Data!K285+01_Data!M285+01_Data!O285+01_Data!Q285+01_Data!S285+01_Data!U285</f>
        <v>65162</v>
      </c>
      <c r="Q285" s="7" t="n">
        <f aca="false">01_Data!J285+01_Data!L285+01_Data!N285+01_Data!P285+01_Data!R285+01_Data!T285+01_Data!V285</f>
        <v>64846</v>
      </c>
      <c r="R285" s="7" t="n">
        <f aca="false">P285-Q285</f>
        <v>316</v>
      </c>
      <c r="S285" s="7" t="n">
        <f aca="false">L285-P285</f>
        <v>39408</v>
      </c>
      <c r="T285" s="7" t="n">
        <f aca="false">M285-Q285</f>
        <v>43236</v>
      </c>
      <c r="U285" s="7" t="n">
        <f aca="false">T285-S285</f>
        <v>3828</v>
      </c>
      <c r="V285" s="8" t="n">
        <f aca="false">IFERROR(U285/S285,0)</f>
        <v>0.0971376370280146</v>
      </c>
      <c r="W285" s="5" t="str">
        <f aca="false">IF(V285&lt;-0.1,"ADVERSE &gt;10%","")</f>
        <v/>
      </c>
    </row>
    <row r="286" customFormat="false" ht="15" hidden="false" customHeight="false" outlineLevel="0" collapsed="false">
      <c r="A286" s="5" t="str">
        <f aca="false">01_Data!A286</f>
        <v>Healthcare &amp; Life Sciences</v>
      </c>
      <c r="B286" s="5" t="str">
        <f aca="false">01_Data!C286</f>
        <v>2025-12</v>
      </c>
      <c r="C286" s="5" t="str">
        <f aca="false">01_Data!D286</f>
        <v>FY25</v>
      </c>
      <c r="D286" s="7" t="n">
        <f aca="false">01_Data!E286</f>
        <v>266807</v>
      </c>
      <c r="E286" s="7" t="n">
        <f aca="false">01_Data!F286</f>
        <v>278799</v>
      </c>
      <c r="F286" s="7" t="n">
        <f aca="false">E286-D286</f>
        <v>11992</v>
      </c>
      <c r="G286" s="8" t="n">
        <f aca="false">IFERROR(F286/D286,0)</f>
        <v>0.0449463469848992</v>
      </c>
      <c r="H286" s="7" t="n">
        <f aca="false">01_Data!G286</f>
        <v>155351</v>
      </c>
      <c r="I286" s="7" t="n">
        <f aca="false">01_Data!H286</f>
        <v>160707</v>
      </c>
      <c r="J286" s="7" t="n">
        <f aca="false">H286-I286</f>
        <v>-5356</v>
      </c>
      <c r="K286" s="8" t="n">
        <f aca="false">IFERROR(J286/H286,0)</f>
        <v>-0.0344767655180849</v>
      </c>
      <c r="L286" s="7" t="n">
        <f aca="false">D286-H286</f>
        <v>111456</v>
      </c>
      <c r="M286" s="7" t="n">
        <f aca="false">E286-I286</f>
        <v>118092</v>
      </c>
      <c r="N286" s="7" t="n">
        <f aca="false">IFERROR(L286/D286,0)</f>
        <v>0.417740164238569</v>
      </c>
      <c r="O286" s="7" t="n">
        <f aca="false">IFERROR(M286/E286,0)</f>
        <v>0.423573972646961</v>
      </c>
      <c r="P286" s="7" t="n">
        <f aca="false">01_Data!I286+01_Data!K286+01_Data!M286+01_Data!O286+01_Data!Q286+01_Data!S286+01_Data!U286</f>
        <v>68763</v>
      </c>
      <c r="Q286" s="7" t="n">
        <f aca="false">01_Data!J286+01_Data!L286+01_Data!N286+01_Data!P286+01_Data!R286+01_Data!T286+01_Data!V286</f>
        <v>67041</v>
      </c>
      <c r="R286" s="7" t="n">
        <f aca="false">P286-Q286</f>
        <v>1722</v>
      </c>
      <c r="S286" s="7" t="n">
        <f aca="false">L286-P286</f>
        <v>42693</v>
      </c>
      <c r="T286" s="7" t="n">
        <f aca="false">M286-Q286</f>
        <v>51051</v>
      </c>
      <c r="U286" s="7" t="n">
        <f aca="false">T286-S286</f>
        <v>8358</v>
      </c>
      <c r="V286" s="8" t="n">
        <f aca="false">IFERROR(U286/S286,0)</f>
        <v>0.195769798327595</v>
      </c>
      <c r="W286" s="5" t="str">
        <f aca="false">IF(V286&lt;-0.1,"ADVERSE &gt;10%","")</f>
        <v/>
      </c>
    </row>
    <row r="287" customFormat="false" ht="15" hidden="false" customHeight="false" outlineLevel="0" collapsed="false">
      <c r="A287" s="5" t="str">
        <f aca="false">01_Data!A287</f>
        <v>Healthcare &amp; Life Sciences</v>
      </c>
      <c r="B287" s="5" t="str">
        <f aca="false">01_Data!C287</f>
        <v>2026-01</v>
      </c>
      <c r="C287" s="5" t="str">
        <f aca="false">01_Data!D287</f>
        <v>FY25</v>
      </c>
      <c r="D287" s="7" t="n">
        <f aca="false">01_Data!E287</f>
        <v>265114</v>
      </c>
      <c r="E287" s="7" t="n">
        <f aca="false">01_Data!F287</f>
        <v>258920</v>
      </c>
      <c r="F287" s="7" t="n">
        <f aca="false">E287-D287</f>
        <v>-6194</v>
      </c>
      <c r="G287" s="8" t="n">
        <f aca="false">IFERROR(F287/D287,0)</f>
        <v>-0.02336353417775</v>
      </c>
      <c r="H287" s="7" t="n">
        <f aca="false">01_Data!G287</f>
        <v>152965</v>
      </c>
      <c r="I287" s="7" t="n">
        <f aca="false">01_Data!H287</f>
        <v>148258</v>
      </c>
      <c r="J287" s="7" t="n">
        <f aca="false">H287-I287</f>
        <v>4707</v>
      </c>
      <c r="K287" s="8" t="n">
        <f aca="false">IFERROR(J287/H287,0)</f>
        <v>0.0307717451704638</v>
      </c>
      <c r="L287" s="7" t="n">
        <f aca="false">D287-H287</f>
        <v>112149</v>
      </c>
      <c r="M287" s="7" t="n">
        <f aca="false">E287-I287</f>
        <v>110662</v>
      </c>
      <c r="N287" s="7" t="n">
        <f aca="false">IFERROR(L287/D287,0)</f>
        <v>0.423021794397882</v>
      </c>
      <c r="O287" s="7" t="n">
        <f aca="false">IFERROR(M287/E287,0)</f>
        <v>0.427398424223698</v>
      </c>
      <c r="P287" s="7" t="n">
        <f aca="false">01_Data!I287+01_Data!K287+01_Data!M287+01_Data!O287+01_Data!Q287+01_Data!S287+01_Data!U287</f>
        <v>75880</v>
      </c>
      <c r="Q287" s="7" t="n">
        <f aca="false">01_Data!J287+01_Data!L287+01_Data!N287+01_Data!P287+01_Data!R287+01_Data!T287+01_Data!V287</f>
        <v>78900</v>
      </c>
      <c r="R287" s="7" t="n">
        <f aca="false">P287-Q287</f>
        <v>-3020</v>
      </c>
      <c r="S287" s="7" t="n">
        <f aca="false">L287-P287</f>
        <v>36269</v>
      </c>
      <c r="T287" s="7" t="n">
        <f aca="false">M287-Q287</f>
        <v>31762</v>
      </c>
      <c r="U287" s="7" t="n">
        <f aca="false">T287-S287</f>
        <v>-4507</v>
      </c>
      <c r="V287" s="8" t="n">
        <f aca="false">IFERROR(U287/S287,0)</f>
        <v>-0.124265902009981</v>
      </c>
      <c r="W287" s="5" t="str">
        <f aca="false">IF(V287&lt;-0.1,"ADVERSE &gt;10%","")</f>
        <v>ADVERSE &gt;10%</v>
      </c>
    </row>
    <row r="288" customFormat="false" ht="15" hidden="false" customHeight="false" outlineLevel="0" collapsed="false">
      <c r="A288" s="5" t="str">
        <f aca="false">01_Data!A288</f>
        <v>Healthcare &amp; Life Sciences</v>
      </c>
      <c r="B288" s="5" t="str">
        <f aca="false">01_Data!C288</f>
        <v>2026-02</v>
      </c>
      <c r="C288" s="5" t="str">
        <f aca="false">01_Data!D288</f>
        <v>FY25</v>
      </c>
      <c r="D288" s="7" t="n">
        <f aca="false">01_Data!E288</f>
        <v>253129</v>
      </c>
      <c r="E288" s="7" t="n">
        <f aca="false">01_Data!F288</f>
        <v>261550</v>
      </c>
      <c r="F288" s="7" t="n">
        <f aca="false">E288-D288</f>
        <v>8421</v>
      </c>
      <c r="G288" s="8" t="n">
        <f aca="false">IFERROR(F288/D288,0)</f>
        <v>0.0332676224375714</v>
      </c>
      <c r="H288" s="7" t="n">
        <f aca="false">01_Data!G288</f>
        <v>140089</v>
      </c>
      <c r="I288" s="7" t="n">
        <f aca="false">01_Data!H288</f>
        <v>150779</v>
      </c>
      <c r="J288" s="7" t="n">
        <f aca="false">H288-I288</f>
        <v>-10690</v>
      </c>
      <c r="K288" s="8" t="n">
        <f aca="false">IFERROR(J288/H288,0)</f>
        <v>-0.0763086323694223</v>
      </c>
      <c r="L288" s="7" t="n">
        <f aca="false">D288-H288</f>
        <v>113040</v>
      </c>
      <c r="M288" s="7" t="n">
        <f aca="false">E288-I288</f>
        <v>110771</v>
      </c>
      <c r="N288" s="7" t="n">
        <f aca="false">IFERROR(L288/D288,0)</f>
        <v>0.446570720857744</v>
      </c>
      <c r="O288" s="7" t="n">
        <f aca="false">IFERROR(M288/E288,0)</f>
        <v>0.423517491875358</v>
      </c>
      <c r="P288" s="7" t="n">
        <f aca="false">01_Data!I288+01_Data!K288+01_Data!M288+01_Data!O288+01_Data!Q288+01_Data!S288+01_Data!U288</f>
        <v>67315</v>
      </c>
      <c r="Q288" s="7" t="n">
        <f aca="false">01_Data!J288+01_Data!L288+01_Data!N288+01_Data!P288+01_Data!R288+01_Data!T288+01_Data!V288</f>
        <v>71404</v>
      </c>
      <c r="R288" s="7" t="n">
        <f aca="false">P288-Q288</f>
        <v>-4089</v>
      </c>
      <c r="S288" s="7" t="n">
        <f aca="false">L288-P288</f>
        <v>45725</v>
      </c>
      <c r="T288" s="7" t="n">
        <f aca="false">M288-Q288</f>
        <v>39367</v>
      </c>
      <c r="U288" s="7" t="n">
        <f aca="false">T288-S288</f>
        <v>-6358</v>
      </c>
      <c r="V288" s="8" t="n">
        <f aca="false">IFERROR(U288/S288,0)</f>
        <v>-0.139048660470202</v>
      </c>
      <c r="W288" s="5" t="str">
        <f aca="false">IF(V288&lt;-0.1,"ADVERSE &gt;10%","")</f>
        <v>ADVERSE &gt;10%</v>
      </c>
    </row>
    <row r="289" customFormat="false" ht="15" hidden="false" customHeight="false" outlineLevel="0" collapsed="false">
      <c r="A289" s="5" t="str">
        <f aca="false">01_Data!A289</f>
        <v>Healthcare &amp; Life Sciences</v>
      </c>
      <c r="B289" s="5" t="str">
        <f aca="false">01_Data!C289</f>
        <v>2026-03</v>
      </c>
      <c r="C289" s="5" t="str">
        <f aca="false">01_Data!D289</f>
        <v>FY25</v>
      </c>
      <c r="D289" s="7" t="n">
        <f aca="false">01_Data!E289</f>
        <v>280160</v>
      </c>
      <c r="E289" s="7" t="n">
        <f aca="false">01_Data!F289</f>
        <v>293273</v>
      </c>
      <c r="F289" s="7" t="n">
        <f aca="false">E289-D289</f>
        <v>13113</v>
      </c>
      <c r="G289" s="8" t="n">
        <f aca="false">IFERROR(F289/D289,0)</f>
        <v>0.046805396916048</v>
      </c>
      <c r="H289" s="7" t="n">
        <f aca="false">01_Data!G289</f>
        <v>153017</v>
      </c>
      <c r="I289" s="7" t="n">
        <f aca="false">01_Data!H289</f>
        <v>166302</v>
      </c>
      <c r="J289" s="7" t="n">
        <f aca="false">H289-I289</f>
        <v>-13285</v>
      </c>
      <c r="K289" s="8" t="n">
        <f aca="false">IFERROR(J289/H289,0)</f>
        <v>-0.0868204186462942</v>
      </c>
      <c r="L289" s="7" t="n">
        <f aca="false">D289-H289</f>
        <v>127143</v>
      </c>
      <c r="M289" s="7" t="n">
        <f aca="false">E289-I289</f>
        <v>126971</v>
      </c>
      <c r="N289" s="7" t="n">
        <f aca="false">IFERROR(L289/D289,0)</f>
        <v>0.453822815533981</v>
      </c>
      <c r="O289" s="7" t="n">
        <f aca="false">IFERROR(M289/E289,0)</f>
        <v>0.43294473067756</v>
      </c>
      <c r="P289" s="7" t="n">
        <f aca="false">01_Data!I289+01_Data!K289+01_Data!M289+01_Data!O289+01_Data!Q289+01_Data!S289+01_Data!U289</f>
        <v>78537</v>
      </c>
      <c r="Q289" s="7" t="n">
        <f aca="false">01_Data!J289+01_Data!L289+01_Data!N289+01_Data!P289+01_Data!R289+01_Data!T289+01_Data!V289</f>
        <v>80005</v>
      </c>
      <c r="R289" s="7" t="n">
        <f aca="false">P289-Q289</f>
        <v>-1468</v>
      </c>
      <c r="S289" s="7" t="n">
        <f aca="false">L289-P289</f>
        <v>48606</v>
      </c>
      <c r="T289" s="7" t="n">
        <f aca="false">M289-Q289</f>
        <v>46966</v>
      </c>
      <c r="U289" s="7" t="n">
        <f aca="false">T289-S289</f>
        <v>-1640</v>
      </c>
      <c r="V289" s="8" t="n">
        <f aca="false">IFERROR(U289/S289,0)</f>
        <v>-0.0337406904497387</v>
      </c>
      <c r="W289" s="5" t="str">
        <f aca="false">IF(V289&lt;-0.1,"ADVERSE &gt;10%","")</f>
        <v/>
      </c>
    </row>
    <row r="290" customFormat="false" ht="15" hidden="false" customHeight="false" outlineLevel="0" collapsed="false">
      <c r="A290" s="5" t="str">
        <f aca="false">01_Data!A290</f>
        <v>Healthcare &amp; Life Sciences</v>
      </c>
      <c r="B290" s="5" t="str">
        <f aca="false">01_Data!C290</f>
        <v>2023-04</v>
      </c>
      <c r="C290" s="5" t="str">
        <f aca="false">01_Data!D290</f>
        <v>FY23</v>
      </c>
      <c r="D290" s="7" t="n">
        <f aca="false">01_Data!E290</f>
        <v>218056</v>
      </c>
      <c r="E290" s="7" t="n">
        <f aca="false">01_Data!F290</f>
        <v>216897</v>
      </c>
      <c r="F290" s="7" t="n">
        <f aca="false">E290-D290</f>
        <v>-1159</v>
      </c>
      <c r="G290" s="8" t="n">
        <f aca="false">IFERROR(F290/D290,0)</f>
        <v>-0.0053151484022453</v>
      </c>
      <c r="H290" s="7" t="n">
        <f aca="false">01_Data!G290</f>
        <v>120840</v>
      </c>
      <c r="I290" s="7" t="n">
        <f aca="false">01_Data!H290</f>
        <v>123046</v>
      </c>
      <c r="J290" s="7" t="n">
        <f aca="false">H290-I290</f>
        <v>-2206</v>
      </c>
      <c r="K290" s="8" t="n">
        <f aca="false">IFERROR(J290/H290,0)</f>
        <v>-0.0182555445216816</v>
      </c>
      <c r="L290" s="7" t="n">
        <f aca="false">D290-H290</f>
        <v>97216</v>
      </c>
      <c r="M290" s="7" t="n">
        <f aca="false">E290-I290</f>
        <v>93851</v>
      </c>
      <c r="N290" s="7" t="n">
        <f aca="false">IFERROR(L290/D290,0)</f>
        <v>0.445830428880655</v>
      </c>
      <c r="O290" s="7" t="n">
        <f aca="false">IFERROR(M290/E290,0)</f>
        <v>0.432698469780587</v>
      </c>
      <c r="P290" s="7" t="n">
        <f aca="false">01_Data!I290+01_Data!K290+01_Data!M290+01_Data!O290+01_Data!Q290+01_Data!S290+01_Data!U290</f>
        <v>55518</v>
      </c>
      <c r="Q290" s="7" t="n">
        <f aca="false">01_Data!J290+01_Data!L290+01_Data!N290+01_Data!P290+01_Data!R290+01_Data!T290+01_Data!V290</f>
        <v>58216</v>
      </c>
      <c r="R290" s="7" t="n">
        <f aca="false">P290-Q290</f>
        <v>-2698</v>
      </c>
      <c r="S290" s="7" t="n">
        <f aca="false">L290-P290</f>
        <v>41698</v>
      </c>
      <c r="T290" s="7" t="n">
        <f aca="false">M290-Q290</f>
        <v>35635</v>
      </c>
      <c r="U290" s="7" t="n">
        <f aca="false">T290-S290</f>
        <v>-6063</v>
      </c>
      <c r="V290" s="8" t="n">
        <f aca="false">IFERROR(U290/S290,0)</f>
        <v>-0.145402657201784</v>
      </c>
      <c r="W290" s="5" t="str">
        <f aca="false">IF(V290&lt;-0.1,"ADVERSE &gt;10%","")</f>
        <v>ADVERSE &gt;10%</v>
      </c>
    </row>
    <row r="291" customFormat="false" ht="15" hidden="false" customHeight="false" outlineLevel="0" collapsed="false">
      <c r="A291" s="5" t="str">
        <f aca="false">01_Data!A291</f>
        <v>Healthcare &amp; Life Sciences</v>
      </c>
      <c r="B291" s="5" t="str">
        <f aca="false">01_Data!C291</f>
        <v>2023-05</v>
      </c>
      <c r="C291" s="5" t="str">
        <f aca="false">01_Data!D291</f>
        <v>FY23</v>
      </c>
      <c r="D291" s="7" t="n">
        <f aca="false">01_Data!E291</f>
        <v>217915</v>
      </c>
      <c r="E291" s="7" t="n">
        <f aca="false">01_Data!F291</f>
        <v>218064</v>
      </c>
      <c r="F291" s="7" t="n">
        <f aca="false">E291-D291</f>
        <v>149</v>
      </c>
      <c r="G291" s="8" t="n">
        <f aca="false">IFERROR(F291/D291,0)</f>
        <v>0.000683752839409862</v>
      </c>
      <c r="H291" s="7" t="n">
        <f aca="false">01_Data!G291</f>
        <v>126306</v>
      </c>
      <c r="I291" s="7" t="n">
        <f aca="false">01_Data!H291</f>
        <v>123018</v>
      </c>
      <c r="J291" s="7" t="n">
        <f aca="false">H291-I291</f>
        <v>3288</v>
      </c>
      <c r="K291" s="8" t="n">
        <f aca="false">IFERROR(J291/H291,0)</f>
        <v>0.0260320174813548</v>
      </c>
      <c r="L291" s="7" t="n">
        <f aca="false">D291-H291</f>
        <v>91609</v>
      </c>
      <c r="M291" s="7" t="n">
        <f aca="false">E291-I291</f>
        <v>95046</v>
      </c>
      <c r="N291" s="7" t="n">
        <f aca="false">IFERROR(L291/D291,0)</f>
        <v>0.420388683661061</v>
      </c>
      <c r="O291" s="7" t="n">
        <f aca="false">IFERROR(M291/E291,0)</f>
        <v>0.435862865947612</v>
      </c>
      <c r="P291" s="7" t="n">
        <f aca="false">01_Data!I291+01_Data!K291+01_Data!M291+01_Data!O291+01_Data!Q291+01_Data!S291+01_Data!U291</f>
        <v>59058</v>
      </c>
      <c r="Q291" s="7" t="n">
        <f aca="false">01_Data!J291+01_Data!L291+01_Data!N291+01_Data!P291+01_Data!R291+01_Data!T291+01_Data!V291</f>
        <v>61999</v>
      </c>
      <c r="R291" s="7" t="n">
        <f aca="false">P291-Q291</f>
        <v>-2941</v>
      </c>
      <c r="S291" s="7" t="n">
        <f aca="false">L291-P291</f>
        <v>32551</v>
      </c>
      <c r="T291" s="7" t="n">
        <f aca="false">M291-Q291</f>
        <v>33047</v>
      </c>
      <c r="U291" s="7" t="n">
        <f aca="false">T291-S291</f>
        <v>496</v>
      </c>
      <c r="V291" s="8" t="n">
        <f aca="false">IFERROR(U291/S291,0)</f>
        <v>0.0152376271082302</v>
      </c>
      <c r="W291" s="5" t="str">
        <f aca="false">IF(V291&lt;-0.1,"ADVERSE &gt;10%","")</f>
        <v/>
      </c>
    </row>
    <row r="292" customFormat="false" ht="15" hidden="false" customHeight="false" outlineLevel="0" collapsed="false">
      <c r="A292" s="5" t="str">
        <f aca="false">01_Data!A292</f>
        <v>Healthcare &amp; Life Sciences</v>
      </c>
      <c r="B292" s="5" t="str">
        <f aca="false">01_Data!C292</f>
        <v>2023-06</v>
      </c>
      <c r="C292" s="5" t="str">
        <f aca="false">01_Data!D292</f>
        <v>FY23</v>
      </c>
      <c r="D292" s="7" t="n">
        <f aca="false">01_Data!E292</f>
        <v>218694</v>
      </c>
      <c r="E292" s="7" t="n">
        <f aca="false">01_Data!F292</f>
        <v>223946</v>
      </c>
      <c r="F292" s="7" t="n">
        <f aca="false">E292-D292</f>
        <v>5252</v>
      </c>
      <c r="G292" s="8" t="n">
        <f aca="false">IFERROR(F292/D292,0)</f>
        <v>0.0240152907715804</v>
      </c>
      <c r="H292" s="7" t="n">
        <f aca="false">01_Data!G292</f>
        <v>130473</v>
      </c>
      <c r="I292" s="7" t="n">
        <f aca="false">01_Data!H292</f>
        <v>133995</v>
      </c>
      <c r="J292" s="7" t="n">
        <f aca="false">H292-I292</f>
        <v>-3522</v>
      </c>
      <c r="K292" s="8" t="n">
        <f aca="false">IFERROR(J292/H292,0)</f>
        <v>-0.0269940907314157</v>
      </c>
      <c r="L292" s="7" t="n">
        <f aca="false">D292-H292</f>
        <v>88221</v>
      </c>
      <c r="M292" s="7" t="n">
        <f aca="false">E292-I292</f>
        <v>89951</v>
      </c>
      <c r="N292" s="7" t="n">
        <f aca="false">IFERROR(L292/D292,0)</f>
        <v>0.403399270213175</v>
      </c>
      <c r="O292" s="7" t="n">
        <f aca="false">IFERROR(M292/E292,0)</f>
        <v>0.401663793950327</v>
      </c>
      <c r="P292" s="7" t="n">
        <f aca="false">01_Data!I292+01_Data!K292+01_Data!M292+01_Data!O292+01_Data!Q292+01_Data!S292+01_Data!U292</f>
        <v>60027</v>
      </c>
      <c r="Q292" s="7" t="n">
        <f aca="false">01_Data!J292+01_Data!L292+01_Data!N292+01_Data!P292+01_Data!R292+01_Data!T292+01_Data!V292</f>
        <v>59794</v>
      </c>
      <c r="R292" s="7" t="n">
        <f aca="false">P292-Q292</f>
        <v>233</v>
      </c>
      <c r="S292" s="7" t="n">
        <f aca="false">L292-P292</f>
        <v>28194</v>
      </c>
      <c r="T292" s="7" t="n">
        <f aca="false">M292-Q292</f>
        <v>30157</v>
      </c>
      <c r="U292" s="7" t="n">
        <f aca="false">T292-S292</f>
        <v>1963</v>
      </c>
      <c r="V292" s="8" t="n">
        <f aca="false">IFERROR(U292/S292,0)</f>
        <v>0.0696247428530893</v>
      </c>
      <c r="W292" s="5" t="str">
        <f aca="false">IF(V292&lt;-0.1,"ADVERSE &gt;10%","")</f>
        <v/>
      </c>
    </row>
    <row r="293" customFormat="false" ht="15" hidden="false" customHeight="false" outlineLevel="0" collapsed="false">
      <c r="A293" s="5" t="str">
        <f aca="false">01_Data!A293</f>
        <v>Healthcare &amp; Life Sciences</v>
      </c>
      <c r="B293" s="5" t="str">
        <f aca="false">01_Data!C293</f>
        <v>2023-07</v>
      </c>
      <c r="C293" s="5" t="str">
        <f aca="false">01_Data!D293</f>
        <v>FY23</v>
      </c>
      <c r="D293" s="7" t="n">
        <f aca="false">01_Data!E293</f>
        <v>239588</v>
      </c>
      <c r="E293" s="7" t="n">
        <f aca="false">01_Data!F293</f>
        <v>229516</v>
      </c>
      <c r="F293" s="7" t="n">
        <f aca="false">E293-D293</f>
        <v>-10072</v>
      </c>
      <c r="G293" s="8" t="n">
        <f aca="false">IFERROR(F293/D293,0)</f>
        <v>-0.0420388333305508</v>
      </c>
      <c r="H293" s="7" t="n">
        <f aca="false">01_Data!G293</f>
        <v>132759</v>
      </c>
      <c r="I293" s="7" t="n">
        <f aca="false">01_Data!H293</f>
        <v>130646</v>
      </c>
      <c r="J293" s="7" t="n">
        <f aca="false">H293-I293</f>
        <v>2113</v>
      </c>
      <c r="K293" s="8" t="n">
        <f aca="false">IFERROR(J293/H293,0)</f>
        <v>0.0159160584216513</v>
      </c>
      <c r="L293" s="7" t="n">
        <f aca="false">D293-H293</f>
        <v>106829</v>
      </c>
      <c r="M293" s="7" t="n">
        <f aca="false">E293-I293</f>
        <v>98870</v>
      </c>
      <c r="N293" s="7" t="n">
        <f aca="false">IFERROR(L293/D293,0)</f>
        <v>0.445886271432626</v>
      </c>
      <c r="O293" s="7" t="n">
        <f aca="false">IFERROR(M293/E293,0)</f>
        <v>0.430776067899406</v>
      </c>
      <c r="P293" s="7" t="n">
        <f aca="false">01_Data!I293+01_Data!K293+01_Data!M293+01_Data!O293+01_Data!Q293+01_Data!S293+01_Data!U293</f>
        <v>64263</v>
      </c>
      <c r="Q293" s="7" t="n">
        <f aca="false">01_Data!J293+01_Data!L293+01_Data!N293+01_Data!P293+01_Data!R293+01_Data!T293+01_Data!V293</f>
        <v>64289</v>
      </c>
      <c r="R293" s="7" t="n">
        <f aca="false">P293-Q293</f>
        <v>-26</v>
      </c>
      <c r="S293" s="7" t="n">
        <f aca="false">L293-P293</f>
        <v>42566</v>
      </c>
      <c r="T293" s="7" t="n">
        <f aca="false">M293-Q293</f>
        <v>34581</v>
      </c>
      <c r="U293" s="7" t="n">
        <f aca="false">T293-S293</f>
        <v>-7985</v>
      </c>
      <c r="V293" s="8" t="n">
        <f aca="false">IFERROR(U293/S293,0)</f>
        <v>-0.187591035098435</v>
      </c>
      <c r="W293" s="5" t="str">
        <f aca="false">IF(V293&lt;-0.1,"ADVERSE &gt;10%","")</f>
        <v>ADVERSE &gt;10%</v>
      </c>
    </row>
    <row r="294" customFormat="false" ht="15" hidden="false" customHeight="false" outlineLevel="0" collapsed="false">
      <c r="A294" s="5" t="str">
        <f aca="false">01_Data!A294</f>
        <v>Healthcare &amp; Life Sciences</v>
      </c>
      <c r="B294" s="5" t="str">
        <f aca="false">01_Data!C294</f>
        <v>2023-08</v>
      </c>
      <c r="C294" s="5" t="str">
        <f aca="false">01_Data!D294</f>
        <v>FY23</v>
      </c>
      <c r="D294" s="7" t="n">
        <f aca="false">01_Data!E294</f>
        <v>216740</v>
      </c>
      <c r="E294" s="7" t="n">
        <f aca="false">01_Data!F294</f>
        <v>228482</v>
      </c>
      <c r="F294" s="7" t="n">
        <f aca="false">E294-D294</f>
        <v>11742</v>
      </c>
      <c r="G294" s="8" t="n">
        <f aca="false">IFERROR(F294/D294,0)</f>
        <v>0.054175509827443</v>
      </c>
      <c r="H294" s="7" t="n">
        <f aca="false">01_Data!G294</f>
        <v>117244</v>
      </c>
      <c r="I294" s="7" t="n">
        <f aca="false">01_Data!H294</f>
        <v>127267</v>
      </c>
      <c r="J294" s="7" t="n">
        <f aca="false">H294-I294</f>
        <v>-10023</v>
      </c>
      <c r="K294" s="8" t="n">
        <f aca="false">IFERROR(J294/H294,0)</f>
        <v>-0.0854883832008461</v>
      </c>
      <c r="L294" s="7" t="n">
        <f aca="false">D294-H294</f>
        <v>99496</v>
      </c>
      <c r="M294" s="7" t="n">
        <f aca="false">E294-I294</f>
        <v>101215</v>
      </c>
      <c r="N294" s="7" t="n">
        <f aca="false">IFERROR(L294/D294,0)</f>
        <v>0.45905693457599</v>
      </c>
      <c r="O294" s="7" t="n">
        <f aca="false">IFERROR(M294/E294,0)</f>
        <v>0.442988944424506</v>
      </c>
      <c r="P294" s="7" t="n">
        <f aca="false">01_Data!I294+01_Data!K294+01_Data!M294+01_Data!O294+01_Data!Q294+01_Data!S294+01_Data!U294</f>
        <v>59374</v>
      </c>
      <c r="Q294" s="7" t="n">
        <f aca="false">01_Data!J294+01_Data!L294+01_Data!N294+01_Data!P294+01_Data!R294+01_Data!T294+01_Data!V294</f>
        <v>59480</v>
      </c>
      <c r="R294" s="7" t="n">
        <f aca="false">P294-Q294</f>
        <v>-106</v>
      </c>
      <c r="S294" s="7" t="n">
        <f aca="false">L294-P294</f>
        <v>40122</v>
      </c>
      <c r="T294" s="7" t="n">
        <f aca="false">M294-Q294</f>
        <v>41735</v>
      </c>
      <c r="U294" s="7" t="n">
        <f aca="false">T294-S294</f>
        <v>1613</v>
      </c>
      <c r="V294" s="8" t="n">
        <f aca="false">IFERROR(U294/S294,0)</f>
        <v>0.0402023827326654</v>
      </c>
      <c r="W294" s="5" t="str">
        <f aca="false">IF(V294&lt;-0.1,"ADVERSE &gt;10%","")</f>
        <v/>
      </c>
    </row>
    <row r="295" customFormat="false" ht="15" hidden="false" customHeight="false" outlineLevel="0" collapsed="false">
      <c r="A295" s="5" t="str">
        <f aca="false">01_Data!A295</f>
        <v>Healthcare &amp; Life Sciences</v>
      </c>
      <c r="B295" s="5" t="str">
        <f aca="false">01_Data!C295</f>
        <v>2023-09</v>
      </c>
      <c r="C295" s="5" t="str">
        <f aca="false">01_Data!D295</f>
        <v>FY23</v>
      </c>
      <c r="D295" s="7" t="n">
        <f aca="false">01_Data!E295</f>
        <v>235937</v>
      </c>
      <c r="E295" s="7" t="n">
        <f aca="false">01_Data!F295</f>
        <v>245182</v>
      </c>
      <c r="F295" s="7" t="n">
        <f aca="false">E295-D295</f>
        <v>9245</v>
      </c>
      <c r="G295" s="8" t="n">
        <f aca="false">IFERROR(F295/D295,0)</f>
        <v>0.0391841889996058</v>
      </c>
      <c r="H295" s="7" t="n">
        <f aca="false">01_Data!G295</f>
        <v>135964</v>
      </c>
      <c r="I295" s="7" t="n">
        <f aca="false">01_Data!H295</f>
        <v>143473</v>
      </c>
      <c r="J295" s="7" t="n">
        <f aca="false">H295-I295</f>
        <v>-7509</v>
      </c>
      <c r="K295" s="8" t="n">
        <f aca="false">IFERROR(J295/H295,0)</f>
        <v>-0.0552278544320555</v>
      </c>
      <c r="L295" s="7" t="n">
        <f aca="false">D295-H295</f>
        <v>99973</v>
      </c>
      <c r="M295" s="7" t="n">
        <f aca="false">E295-I295</f>
        <v>101709</v>
      </c>
      <c r="N295" s="7" t="n">
        <f aca="false">IFERROR(L295/D295,0)</f>
        <v>0.423727520482163</v>
      </c>
      <c r="O295" s="7" t="n">
        <f aca="false">IFERROR(M295/E295,0)</f>
        <v>0.414830615624312</v>
      </c>
      <c r="P295" s="7" t="n">
        <f aca="false">01_Data!I295+01_Data!K295+01_Data!M295+01_Data!O295+01_Data!Q295+01_Data!S295+01_Data!U295</f>
        <v>66177</v>
      </c>
      <c r="Q295" s="7" t="n">
        <f aca="false">01_Data!J295+01_Data!L295+01_Data!N295+01_Data!P295+01_Data!R295+01_Data!T295+01_Data!V295</f>
        <v>66307</v>
      </c>
      <c r="R295" s="7" t="n">
        <f aca="false">P295-Q295</f>
        <v>-130</v>
      </c>
      <c r="S295" s="7" t="n">
        <f aca="false">L295-P295</f>
        <v>33796</v>
      </c>
      <c r="T295" s="7" t="n">
        <f aca="false">M295-Q295</f>
        <v>35402</v>
      </c>
      <c r="U295" s="7" t="n">
        <f aca="false">T295-S295</f>
        <v>1606</v>
      </c>
      <c r="V295" s="8" t="n">
        <f aca="false">IFERROR(U295/S295,0)</f>
        <v>0.0475204166173512</v>
      </c>
      <c r="W295" s="5" t="str">
        <f aca="false">IF(V295&lt;-0.1,"ADVERSE &gt;10%","")</f>
        <v/>
      </c>
    </row>
    <row r="296" customFormat="false" ht="15" hidden="false" customHeight="false" outlineLevel="0" collapsed="false">
      <c r="A296" s="5" t="str">
        <f aca="false">01_Data!A296</f>
        <v>Healthcare &amp; Life Sciences</v>
      </c>
      <c r="B296" s="5" t="str">
        <f aca="false">01_Data!C296</f>
        <v>2023-10</v>
      </c>
      <c r="C296" s="5" t="str">
        <f aca="false">01_Data!D296</f>
        <v>FY23</v>
      </c>
      <c r="D296" s="7" t="n">
        <f aca="false">01_Data!E296</f>
        <v>250053</v>
      </c>
      <c r="E296" s="7" t="n">
        <f aca="false">01_Data!F296</f>
        <v>236336</v>
      </c>
      <c r="F296" s="7" t="n">
        <f aca="false">E296-D296</f>
        <v>-13717</v>
      </c>
      <c r="G296" s="8" t="n">
        <f aca="false">IFERROR(F296/D296,0)</f>
        <v>-0.0548563704494647</v>
      </c>
      <c r="H296" s="7" t="n">
        <f aca="false">01_Data!G296</f>
        <v>146714</v>
      </c>
      <c r="I296" s="7" t="n">
        <f aca="false">01_Data!H296</f>
        <v>139433</v>
      </c>
      <c r="J296" s="7" t="n">
        <f aca="false">H296-I296</f>
        <v>7281</v>
      </c>
      <c r="K296" s="8" t="n">
        <f aca="false">IFERROR(J296/H296,0)</f>
        <v>0.049627165778317</v>
      </c>
      <c r="L296" s="7" t="n">
        <f aca="false">D296-H296</f>
        <v>103339</v>
      </c>
      <c r="M296" s="7" t="n">
        <f aca="false">E296-I296</f>
        <v>96903</v>
      </c>
      <c r="N296" s="7" t="n">
        <f aca="false">IFERROR(L296/D296,0)</f>
        <v>0.413268387101934</v>
      </c>
      <c r="O296" s="7" t="n">
        <f aca="false">IFERROR(M296/E296,0)</f>
        <v>0.410022171823167</v>
      </c>
      <c r="P296" s="7" t="n">
        <f aca="false">01_Data!I296+01_Data!K296+01_Data!M296+01_Data!O296+01_Data!Q296+01_Data!S296+01_Data!U296</f>
        <v>62046</v>
      </c>
      <c r="Q296" s="7" t="n">
        <f aca="false">01_Data!J296+01_Data!L296+01_Data!N296+01_Data!P296+01_Data!R296+01_Data!T296+01_Data!V296</f>
        <v>65414</v>
      </c>
      <c r="R296" s="7" t="n">
        <f aca="false">P296-Q296</f>
        <v>-3368</v>
      </c>
      <c r="S296" s="7" t="n">
        <f aca="false">L296-P296</f>
        <v>41293</v>
      </c>
      <c r="T296" s="7" t="n">
        <f aca="false">M296-Q296</f>
        <v>31489</v>
      </c>
      <c r="U296" s="7" t="n">
        <f aca="false">T296-S296</f>
        <v>-9804</v>
      </c>
      <c r="V296" s="8" t="n">
        <f aca="false">IFERROR(U296/S296,0)</f>
        <v>-0.237425229457777</v>
      </c>
      <c r="W296" s="5" t="str">
        <f aca="false">IF(V296&lt;-0.1,"ADVERSE &gt;10%","")</f>
        <v>ADVERSE &gt;10%</v>
      </c>
    </row>
    <row r="297" customFormat="false" ht="15" hidden="false" customHeight="false" outlineLevel="0" collapsed="false">
      <c r="A297" s="5" t="str">
        <f aca="false">01_Data!A297</f>
        <v>Healthcare &amp; Life Sciences</v>
      </c>
      <c r="B297" s="5" t="str">
        <f aca="false">01_Data!C297</f>
        <v>2023-11</v>
      </c>
      <c r="C297" s="5" t="str">
        <f aca="false">01_Data!D297</f>
        <v>FY23</v>
      </c>
      <c r="D297" s="7" t="n">
        <f aca="false">01_Data!E297</f>
        <v>238004</v>
      </c>
      <c r="E297" s="7" t="n">
        <f aca="false">01_Data!F297</f>
        <v>238886</v>
      </c>
      <c r="F297" s="7" t="n">
        <f aca="false">E297-D297</f>
        <v>882</v>
      </c>
      <c r="G297" s="8" t="n">
        <f aca="false">IFERROR(F297/D297,0)</f>
        <v>0.00370582007025092</v>
      </c>
      <c r="H297" s="7" t="n">
        <f aca="false">01_Data!G297</f>
        <v>139001</v>
      </c>
      <c r="I297" s="7" t="n">
        <f aca="false">01_Data!H297</f>
        <v>139767</v>
      </c>
      <c r="J297" s="7" t="n">
        <f aca="false">H297-I297</f>
        <v>-766</v>
      </c>
      <c r="K297" s="8" t="n">
        <f aca="false">IFERROR(J297/H297,0)</f>
        <v>-0.00551075172121064</v>
      </c>
      <c r="L297" s="7" t="n">
        <f aca="false">D297-H297</f>
        <v>99003</v>
      </c>
      <c r="M297" s="7" t="n">
        <f aca="false">E297-I297</f>
        <v>99119</v>
      </c>
      <c r="N297" s="7" t="n">
        <f aca="false">IFERROR(L297/D297,0)</f>
        <v>0.41597200047058</v>
      </c>
      <c r="O297" s="7" t="n">
        <f aca="false">IFERROR(M297/E297,0)</f>
        <v>0.414921761844562</v>
      </c>
      <c r="P297" s="7" t="n">
        <f aca="false">01_Data!I297+01_Data!K297+01_Data!M297+01_Data!O297+01_Data!Q297+01_Data!S297+01_Data!U297</f>
        <v>67187</v>
      </c>
      <c r="Q297" s="7" t="n">
        <f aca="false">01_Data!J297+01_Data!L297+01_Data!N297+01_Data!P297+01_Data!R297+01_Data!T297+01_Data!V297</f>
        <v>69274</v>
      </c>
      <c r="R297" s="7" t="n">
        <f aca="false">P297-Q297</f>
        <v>-2087</v>
      </c>
      <c r="S297" s="7" t="n">
        <f aca="false">L297-P297</f>
        <v>31816</v>
      </c>
      <c r="T297" s="7" t="n">
        <f aca="false">M297-Q297</f>
        <v>29845</v>
      </c>
      <c r="U297" s="7" t="n">
        <f aca="false">T297-S297</f>
        <v>-1971</v>
      </c>
      <c r="V297" s="8" t="n">
        <f aca="false">IFERROR(U297/S297,0)</f>
        <v>-0.061949962283128</v>
      </c>
      <c r="W297" s="5" t="str">
        <f aca="false">IF(V297&lt;-0.1,"ADVERSE &gt;10%","")</f>
        <v/>
      </c>
    </row>
    <row r="298" customFormat="false" ht="15" hidden="false" customHeight="false" outlineLevel="0" collapsed="false">
      <c r="A298" s="5" t="str">
        <f aca="false">01_Data!A298</f>
        <v>Healthcare &amp; Life Sciences</v>
      </c>
      <c r="B298" s="5" t="str">
        <f aca="false">01_Data!C298</f>
        <v>2023-12</v>
      </c>
      <c r="C298" s="5" t="str">
        <f aca="false">01_Data!D298</f>
        <v>FY23</v>
      </c>
      <c r="D298" s="7" t="n">
        <f aca="false">01_Data!E298</f>
        <v>252491</v>
      </c>
      <c r="E298" s="7" t="n">
        <f aca="false">01_Data!F298</f>
        <v>259120</v>
      </c>
      <c r="F298" s="7" t="n">
        <f aca="false">E298-D298</f>
        <v>6629</v>
      </c>
      <c r="G298" s="8" t="n">
        <f aca="false">IFERROR(F298/D298,0)</f>
        <v>0.0262544011469716</v>
      </c>
      <c r="H298" s="7" t="n">
        <f aca="false">01_Data!G298</f>
        <v>137595</v>
      </c>
      <c r="I298" s="7" t="n">
        <f aca="false">01_Data!H298</f>
        <v>142576</v>
      </c>
      <c r="J298" s="7" t="n">
        <f aca="false">H298-I298</f>
        <v>-4981</v>
      </c>
      <c r="K298" s="8" t="n">
        <f aca="false">IFERROR(J298/H298,0)</f>
        <v>-0.0362004433300629</v>
      </c>
      <c r="L298" s="7" t="n">
        <f aca="false">D298-H298</f>
        <v>114896</v>
      </c>
      <c r="M298" s="7" t="n">
        <f aca="false">E298-I298</f>
        <v>116544</v>
      </c>
      <c r="N298" s="7" t="n">
        <f aca="false">IFERROR(L298/D298,0)</f>
        <v>0.455049882966126</v>
      </c>
      <c r="O298" s="7" t="n">
        <f aca="false">IFERROR(M298/E298,0)</f>
        <v>0.449768447051559</v>
      </c>
      <c r="P298" s="7" t="n">
        <f aca="false">01_Data!I298+01_Data!K298+01_Data!M298+01_Data!O298+01_Data!Q298+01_Data!S298+01_Data!U298</f>
        <v>67838</v>
      </c>
      <c r="Q298" s="7" t="n">
        <f aca="false">01_Data!J298+01_Data!L298+01_Data!N298+01_Data!P298+01_Data!R298+01_Data!T298+01_Data!V298</f>
        <v>67127</v>
      </c>
      <c r="R298" s="7" t="n">
        <f aca="false">P298-Q298</f>
        <v>711</v>
      </c>
      <c r="S298" s="7" t="n">
        <f aca="false">L298-P298</f>
        <v>47058</v>
      </c>
      <c r="T298" s="7" t="n">
        <f aca="false">M298-Q298</f>
        <v>49417</v>
      </c>
      <c r="U298" s="7" t="n">
        <f aca="false">T298-S298</f>
        <v>2359</v>
      </c>
      <c r="V298" s="8" t="n">
        <f aca="false">IFERROR(U298/S298,0)</f>
        <v>0.0501296272684772</v>
      </c>
      <c r="W298" s="5" t="str">
        <f aca="false">IF(V298&lt;-0.1,"ADVERSE &gt;10%","")</f>
        <v/>
      </c>
    </row>
    <row r="299" customFormat="false" ht="15" hidden="false" customHeight="false" outlineLevel="0" collapsed="false">
      <c r="A299" s="5" t="str">
        <f aca="false">01_Data!A299</f>
        <v>Healthcare &amp; Life Sciences</v>
      </c>
      <c r="B299" s="5" t="str">
        <f aca="false">01_Data!C299</f>
        <v>2024-01</v>
      </c>
      <c r="C299" s="5" t="str">
        <f aca="false">01_Data!D299</f>
        <v>FY23</v>
      </c>
      <c r="D299" s="7" t="n">
        <f aca="false">01_Data!E299</f>
        <v>253681</v>
      </c>
      <c r="E299" s="7" t="n">
        <f aca="false">01_Data!F299</f>
        <v>244884</v>
      </c>
      <c r="F299" s="7" t="n">
        <f aca="false">E299-D299</f>
        <v>-8797</v>
      </c>
      <c r="G299" s="8" t="n">
        <f aca="false">IFERROR(F299/D299,0)</f>
        <v>-0.0346774098178421</v>
      </c>
      <c r="H299" s="7" t="n">
        <f aca="false">01_Data!G299</f>
        <v>150108</v>
      </c>
      <c r="I299" s="7" t="n">
        <f aca="false">01_Data!H299</f>
        <v>144203</v>
      </c>
      <c r="J299" s="7" t="n">
        <f aca="false">H299-I299</f>
        <v>5905</v>
      </c>
      <c r="K299" s="8" t="n">
        <f aca="false">IFERROR(J299/H299,0)</f>
        <v>0.0393383430596637</v>
      </c>
      <c r="L299" s="7" t="n">
        <f aca="false">D299-H299</f>
        <v>103573</v>
      </c>
      <c r="M299" s="7" t="n">
        <f aca="false">E299-I299</f>
        <v>100681</v>
      </c>
      <c r="N299" s="7" t="n">
        <f aca="false">IFERROR(L299/D299,0)</f>
        <v>0.408280478238418</v>
      </c>
      <c r="O299" s="7" t="n">
        <f aca="false">IFERROR(M299/E299,0)</f>
        <v>0.411137518171869</v>
      </c>
      <c r="P299" s="7" t="n">
        <f aca="false">01_Data!I299+01_Data!K299+01_Data!M299+01_Data!O299+01_Data!Q299+01_Data!S299+01_Data!U299</f>
        <v>65946</v>
      </c>
      <c r="Q299" s="7" t="n">
        <f aca="false">01_Data!J299+01_Data!L299+01_Data!N299+01_Data!P299+01_Data!R299+01_Data!T299+01_Data!V299</f>
        <v>65713</v>
      </c>
      <c r="R299" s="7" t="n">
        <f aca="false">P299-Q299</f>
        <v>233</v>
      </c>
      <c r="S299" s="7" t="n">
        <f aca="false">L299-P299</f>
        <v>37627</v>
      </c>
      <c r="T299" s="7" t="n">
        <f aca="false">M299-Q299</f>
        <v>34968</v>
      </c>
      <c r="U299" s="7" t="n">
        <f aca="false">T299-S299</f>
        <v>-2659</v>
      </c>
      <c r="V299" s="8" t="n">
        <f aca="false">IFERROR(U299/S299,0)</f>
        <v>-0.0706673399420629</v>
      </c>
      <c r="W299" s="5" t="str">
        <f aca="false">IF(V299&lt;-0.1,"ADVERSE &gt;10%","")</f>
        <v/>
      </c>
    </row>
    <row r="300" customFormat="false" ht="15" hidden="false" customHeight="false" outlineLevel="0" collapsed="false">
      <c r="A300" s="5" t="str">
        <f aca="false">01_Data!A300</f>
        <v>Healthcare &amp; Life Sciences</v>
      </c>
      <c r="B300" s="5" t="str">
        <f aca="false">01_Data!C300</f>
        <v>2024-02</v>
      </c>
      <c r="C300" s="5" t="str">
        <f aca="false">01_Data!D300</f>
        <v>FY23</v>
      </c>
      <c r="D300" s="7" t="n">
        <f aca="false">01_Data!E300</f>
        <v>238412</v>
      </c>
      <c r="E300" s="7" t="n">
        <f aca="false">01_Data!F300</f>
        <v>249929</v>
      </c>
      <c r="F300" s="7" t="n">
        <f aca="false">E300-D300</f>
        <v>11517</v>
      </c>
      <c r="G300" s="8" t="n">
        <f aca="false">IFERROR(F300/D300,0)</f>
        <v>0.0483071321913327</v>
      </c>
      <c r="H300" s="7" t="n">
        <f aca="false">01_Data!G300</f>
        <v>131140</v>
      </c>
      <c r="I300" s="7" t="n">
        <f aca="false">01_Data!H300</f>
        <v>137459</v>
      </c>
      <c r="J300" s="7" t="n">
        <f aca="false">H300-I300</f>
        <v>-6319</v>
      </c>
      <c r="K300" s="8" t="n">
        <f aca="false">IFERROR(J300/H300,0)</f>
        <v>-0.0481851456458746</v>
      </c>
      <c r="L300" s="7" t="n">
        <f aca="false">D300-H300</f>
        <v>107272</v>
      </c>
      <c r="M300" s="7" t="n">
        <f aca="false">E300-I300</f>
        <v>112470</v>
      </c>
      <c r="N300" s="7" t="n">
        <f aca="false">IFERROR(L300/D300,0)</f>
        <v>0.449943794775431</v>
      </c>
      <c r="O300" s="7" t="n">
        <f aca="false">IFERROR(M300/E300,0)</f>
        <v>0.450007802215829</v>
      </c>
      <c r="P300" s="7" t="n">
        <f aca="false">01_Data!I300+01_Data!K300+01_Data!M300+01_Data!O300+01_Data!Q300+01_Data!S300+01_Data!U300</f>
        <v>64620</v>
      </c>
      <c r="Q300" s="7" t="n">
        <f aca="false">01_Data!J300+01_Data!L300+01_Data!N300+01_Data!P300+01_Data!R300+01_Data!T300+01_Data!V300</f>
        <v>66786</v>
      </c>
      <c r="R300" s="7" t="n">
        <f aca="false">P300-Q300</f>
        <v>-2166</v>
      </c>
      <c r="S300" s="7" t="n">
        <f aca="false">L300-P300</f>
        <v>42652</v>
      </c>
      <c r="T300" s="7" t="n">
        <f aca="false">M300-Q300</f>
        <v>45684</v>
      </c>
      <c r="U300" s="7" t="n">
        <f aca="false">T300-S300</f>
        <v>3032</v>
      </c>
      <c r="V300" s="8" t="n">
        <f aca="false">IFERROR(U300/S300,0)</f>
        <v>0.0710869361342962</v>
      </c>
      <c r="W300" s="5" t="str">
        <f aca="false">IF(V300&lt;-0.1,"ADVERSE &gt;10%","")</f>
        <v/>
      </c>
    </row>
    <row r="301" customFormat="false" ht="15" hidden="false" customHeight="false" outlineLevel="0" collapsed="false">
      <c r="A301" s="5" t="str">
        <f aca="false">01_Data!A301</f>
        <v>Healthcare &amp; Life Sciences</v>
      </c>
      <c r="B301" s="5" t="str">
        <f aca="false">01_Data!C301</f>
        <v>2024-03</v>
      </c>
      <c r="C301" s="5" t="str">
        <f aca="false">01_Data!D301</f>
        <v>FY23</v>
      </c>
      <c r="D301" s="7" t="n">
        <f aca="false">01_Data!E301</f>
        <v>256764</v>
      </c>
      <c r="E301" s="7" t="n">
        <f aca="false">01_Data!F301</f>
        <v>271730</v>
      </c>
      <c r="F301" s="7" t="n">
        <f aca="false">E301-D301</f>
        <v>14966</v>
      </c>
      <c r="G301" s="8" t="n">
        <f aca="false">IFERROR(F301/D301,0)</f>
        <v>0.0582869872723591</v>
      </c>
      <c r="H301" s="7" t="n">
        <f aca="false">01_Data!G301</f>
        <v>152791</v>
      </c>
      <c r="I301" s="7" t="n">
        <f aca="false">01_Data!H301</f>
        <v>164922</v>
      </c>
      <c r="J301" s="7" t="n">
        <f aca="false">H301-I301</f>
        <v>-12131</v>
      </c>
      <c r="K301" s="8" t="n">
        <f aca="false">IFERROR(J301/H301,0)</f>
        <v>-0.0793960377247351</v>
      </c>
      <c r="L301" s="7" t="n">
        <f aca="false">D301-H301</f>
        <v>103973</v>
      </c>
      <c r="M301" s="7" t="n">
        <f aca="false">E301-I301</f>
        <v>106808</v>
      </c>
      <c r="N301" s="7" t="n">
        <f aca="false">IFERROR(L301/D301,0)</f>
        <v>0.404936050225109</v>
      </c>
      <c r="O301" s="7" t="n">
        <f aca="false">IFERROR(M301/E301,0)</f>
        <v>0.393066647039341</v>
      </c>
      <c r="P301" s="7" t="n">
        <f aca="false">01_Data!I301+01_Data!K301+01_Data!M301+01_Data!O301+01_Data!Q301+01_Data!S301+01_Data!U301</f>
        <v>72740</v>
      </c>
      <c r="Q301" s="7" t="n">
        <f aca="false">01_Data!J301+01_Data!L301+01_Data!N301+01_Data!P301+01_Data!R301+01_Data!T301+01_Data!V301</f>
        <v>75069</v>
      </c>
      <c r="R301" s="7" t="n">
        <f aca="false">P301-Q301</f>
        <v>-2329</v>
      </c>
      <c r="S301" s="7" t="n">
        <f aca="false">L301-P301</f>
        <v>31233</v>
      </c>
      <c r="T301" s="7" t="n">
        <f aca="false">M301-Q301</f>
        <v>31739</v>
      </c>
      <c r="U301" s="7" t="n">
        <f aca="false">T301-S301</f>
        <v>506</v>
      </c>
      <c r="V301" s="8" t="n">
        <f aca="false">IFERROR(U301/S301,0)</f>
        <v>0.0162008132424039</v>
      </c>
      <c r="W301" s="5" t="str">
        <f aca="false">IF(V301&lt;-0.1,"ADVERSE &gt;10%","")</f>
        <v/>
      </c>
    </row>
    <row r="302" customFormat="false" ht="15" hidden="false" customHeight="false" outlineLevel="0" collapsed="false">
      <c r="A302" s="5" t="str">
        <f aca="false">01_Data!A302</f>
        <v>Healthcare &amp; Life Sciences</v>
      </c>
      <c r="B302" s="5" t="str">
        <f aca="false">01_Data!C302</f>
        <v>2024-04</v>
      </c>
      <c r="C302" s="5" t="str">
        <f aca="false">01_Data!D302</f>
        <v>FY24</v>
      </c>
      <c r="D302" s="7" t="n">
        <f aca="false">01_Data!E302</f>
        <v>261115</v>
      </c>
      <c r="E302" s="7" t="n">
        <f aca="false">01_Data!F302</f>
        <v>255286</v>
      </c>
      <c r="F302" s="7" t="n">
        <f aca="false">E302-D302</f>
        <v>-5829</v>
      </c>
      <c r="G302" s="8" t="n">
        <f aca="false">IFERROR(F302/D302,0)</f>
        <v>-0.0223234973096145</v>
      </c>
      <c r="H302" s="7" t="n">
        <f aca="false">01_Data!G302</f>
        <v>143821</v>
      </c>
      <c r="I302" s="7" t="n">
        <f aca="false">01_Data!H302</f>
        <v>142494</v>
      </c>
      <c r="J302" s="7" t="n">
        <f aca="false">H302-I302</f>
        <v>1327</v>
      </c>
      <c r="K302" s="8" t="n">
        <f aca="false">IFERROR(J302/H302,0)</f>
        <v>0.00922674713706622</v>
      </c>
      <c r="L302" s="7" t="n">
        <f aca="false">D302-H302</f>
        <v>117294</v>
      </c>
      <c r="M302" s="7" t="n">
        <f aca="false">E302-I302</f>
        <v>112792</v>
      </c>
      <c r="N302" s="7" t="n">
        <f aca="false">IFERROR(L302/D302,0)</f>
        <v>0.449204373551883</v>
      </c>
      <c r="O302" s="7" t="n">
        <f aca="false">IFERROR(M302/E302,0)</f>
        <v>0.441826030412949</v>
      </c>
      <c r="P302" s="7" t="n">
        <f aca="false">01_Data!I302+01_Data!K302+01_Data!M302+01_Data!O302+01_Data!Q302+01_Data!S302+01_Data!U302</f>
        <v>66832</v>
      </c>
      <c r="Q302" s="7" t="n">
        <f aca="false">01_Data!J302+01_Data!L302+01_Data!N302+01_Data!P302+01_Data!R302+01_Data!T302+01_Data!V302</f>
        <v>69260</v>
      </c>
      <c r="R302" s="7" t="n">
        <f aca="false">P302-Q302</f>
        <v>-2428</v>
      </c>
      <c r="S302" s="7" t="n">
        <f aca="false">L302-P302</f>
        <v>50462</v>
      </c>
      <c r="T302" s="7" t="n">
        <f aca="false">M302-Q302</f>
        <v>43532</v>
      </c>
      <c r="U302" s="7" t="n">
        <f aca="false">T302-S302</f>
        <v>-6930</v>
      </c>
      <c r="V302" s="8" t="n">
        <f aca="false">IFERROR(U302/S302,0)</f>
        <v>-0.137331060996393</v>
      </c>
      <c r="W302" s="5" t="str">
        <f aca="false">IF(V302&lt;-0.1,"ADVERSE &gt;10%","")</f>
        <v>ADVERSE &gt;10%</v>
      </c>
    </row>
    <row r="303" customFormat="false" ht="15" hidden="false" customHeight="false" outlineLevel="0" collapsed="false">
      <c r="A303" s="5" t="str">
        <f aca="false">01_Data!A303</f>
        <v>Healthcare &amp; Life Sciences</v>
      </c>
      <c r="B303" s="5" t="str">
        <f aca="false">01_Data!C303</f>
        <v>2024-05</v>
      </c>
      <c r="C303" s="5" t="str">
        <f aca="false">01_Data!D303</f>
        <v>FY24</v>
      </c>
      <c r="D303" s="7" t="n">
        <f aca="false">01_Data!E303</f>
        <v>266907</v>
      </c>
      <c r="E303" s="7" t="n">
        <f aca="false">01_Data!F303</f>
        <v>262556</v>
      </c>
      <c r="F303" s="7" t="n">
        <f aca="false">E303-D303</f>
        <v>-4351</v>
      </c>
      <c r="G303" s="8" t="n">
        <f aca="false">IFERROR(F303/D303,0)</f>
        <v>-0.0163015582206536</v>
      </c>
      <c r="H303" s="7" t="n">
        <f aca="false">01_Data!G303</f>
        <v>155469</v>
      </c>
      <c r="I303" s="7" t="n">
        <f aca="false">01_Data!H303</f>
        <v>149259</v>
      </c>
      <c r="J303" s="7" t="n">
        <f aca="false">H303-I303</f>
        <v>6210</v>
      </c>
      <c r="K303" s="8" t="n">
        <f aca="false">IFERROR(J303/H303,0)</f>
        <v>0.0399436543619628</v>
      </c>
      <c r="L303" s="7" t="n">
        <f aca="false">D303-H303</f>
        <v>111438</v>
      </c>
      <c r="M303" s="7" t="n">
        <f aca="false">E303-I303</f>
        <v>113297</v>
      </c>
      <c r="N303" s="7" t="n">
        <f aca="false">IFERROR(L303/D303,0)</f>
        <v>0.417516213512572</v>
      </c>
      <c r="O303" s="7" t="n">
        <f aca="false">IFERROR(M303/E303,0)</f>
        <v>0.431515562394308</v>
      </c>
      <c r="P303" s="7" t="n">
        <f aca="false">01_Data!I303+01_Data!K303+01_Data!M303+01_Data!O303+01_Data!Q303+01_Data!S303+01_Data!U303</f>
        <v>77226</v>
      </c>
      <c r="Q303" s="7" t="n">
        <f aca="false">01_Data!J303+01_Data!L303+01_Data!N303+01_Data!P303+01_Data!R303+01_Data!T303+01_Data!V303</f>
        <v>79168</v>
      </c>
      <c r="R303" s="7" t="n">
        <f aca="false">P303-Q303</f>
        <v>-1942</v>
      </c>
      <c r="S303" s="7" t="n">
        <f aca="false">L303-P303</f>
        <v>34212</v>
      </c>
      <c r="T303" s="7" t="n">
        <f aca="false">M303-Q303</f>
        <v>34129</v>
      </c>
      <c r="U303" s="7" t="n">
        <f aca="false">T303-S303</f>
        <v>-83</v>
      </c>
      <c r="V303" s="8" t="n">
        <f aca="false">IFERROR(U303/S303,0)</f>
        <v>-0.00242604933941307</v>
      </c>
      <c r="W303" s="5" t="str">
        <f aca="false">IF(V303&lt;-0.1,"ADVERSE &gt;10%","")</f>
        <v/>
      </c>
    </row>
    <row r="304" customFormat="false" ht="15" hidden="false" customHeight="false" outlineLevel="0" collapsed="false">
      <c r="A304" s="5" t="str">
        <f aca="false">01_Data!A304</f>
        <v>Healthcare &amp; Life Sciences</v>
      </c>
      <c r="B304" s="5" t="str">
        <f aca="false">01_Data!C304</f>
        <v>2024-06</v>
      </c>
      <c r="C304" s="5" t="str">
        <f aca="false">01_Data!D304</f>
        <v>FY24</v>
      </c>
      <c r="D304" s="7" t="n">
        <f aca="false">01_Data!E304</f>
        <v>277282</v>
      </c>
      <c r="E304" s="7" t="n">
        <f aca="false">01_Data!F304</f>
        <v>264479</v>
      </c>
      <c r="F304" s="7" t="n">
        <f aca="false">E304-D304</f>
        <v>-12803</v>
      </c>
      <c r="G304" s="8" t="n">
        <f aca="false">IFERROR(F304/D304,0)</f>
        <v>-0.04617320994511</v>
      </c>
      <c r="H304" s="7" t="n">
        <f aca="false">01_Data!G304</f>
        <v>162541</v>
      </c>
      <c r="I304" s="7" t="n">
        <f aca="false">01_Data!H304</f>
        <v>154023</v>
      </c>
      <c r="J304" s="7" t="n">
        <f aca="false">H304-I304</f>
        <v>8518</v>
      </c>
      <c r="K304" s="8" t="n">
        <f aca="false">IFERROR(J304/H304,0)</f>
        <v>0.0524052392934706</v>
      </c>
      <c r="L304" s="7" t="n">
        <f aca="false">D304-H304</f>
        <v>114741</v>
      </c>
      <c r="M304" s="7" t="n">
        <f aca="false">E304-I304</f>
        <v>110456</v>
      </c>
      <c r="N304" s="7" t="n">
        <f aca="false">IFERROR(L304/D304,0)</f>
        <v>0.413806161236575</v>
      </c>
      <c r="O304" s="7" t="n">
        <f aca="false">IFERROR(M304/E304,0)</f>
        <v>0.417636182834932</v>
      </c>
      <c r="P304" s="7" t="n">
        <f aca="false">01_Data!I304+01_Data!K304+01_Data!M304+01_Data!O304+01_Data!Q304+01_Data!S304+01_Data!U304</f>
        <v>73004</v>
      </c>
      <c r="Q304" s="7" t="n">
        <f aca="false">01_Data!J304+01_Data!L304+01_Data!N304+01_Data!P304+01_Data!R304+01_Data!T304+01_Data!V304</f>
        <v>71609</v>
      </c>
      <c r="R304" s="7" t="n">
        <f aca="false">P304-Q304</f>
        <v>1395</v>
      </c>
      <c r="S304" s="7" t="n">
        <f aca="false">L304-P304</f>
        <v>41737</v>
      </c>
      <c r="T304" s="7" t="n">
        <f aca="false">M304-Q304</f>
        <v>38847</v>
      </c>
      <c r="U304" s="7" t="n">
        <f aca="false">T304-S304</f>
        <v>-2890</v>
      </c>
      <c r="V304" s="8" t="n">
        <f aca="false">IFERROR(U304/S304,0)</f>
        <v>-0.0692431176174617</v>
      </c>
      <c r="W304" s="5" t="str">
        <f aca="false">IF(V304&lt;-0.1,"ADVERSE &gt;10%","")</f>
        <v/>
      </c>
    </row>
    <row r="305" customFormat="false" ht="15" hidden="false" customHeight="false" outlineLevel="0" collapsed="false">
      <c r="A305" s="5" t="str">
        <f aca="false">01_Data!A305</f>
        <v>Healthcare &amp; Life Sciences</v>
      </c>
      <c r="B305" s="5" t="str">
        <f aca="false">01_Data!C305</f>
        <v>2024-07</v>
      </c>
      <c r="C305" s="5" t="str">
        <f aca="false">01_Data!D305</f>
        <v>FY24</v>
      </c>
      <c r="D305" s="7" t="n">
        <f aca="false">01_Data!E305</f>
        <v>271883</v>
      </c>
      <c r="E305" s="7" t="n">
        <f aca="false">01_Data!F305</f>
        <v>263390</v>
      </c>
      <c r="F305" s="7" t="n">
        <f aca="false">E305-D305</f>
        <v>-8493</v>
      </c>
      <c r="G305" s="8" t="n">
        <f aca="false">IFERROR(F305/D305,0)</f>
        <v>-0.0312377015113119</v>
      </c>
      <c r="H305" s="7" t="n">
        <f aca="false">01_Data!G305</f>
        <v>150379</v>
      </c>
      <c r="I305" s="7" t="n">
        <f aca="false">01_Data!H305</f>
        <v>148886</v>
      </c>
      <c r="J305" s="7" t="n">
        <f aca="false">H305-I305</f>
        <v>1493</v>
      </c>
      <c r="K305" s="8" t="n">
        <f aca="false">IFERROR(J305/H305,0)</f>
        <v>0.00992824796015401</v>
      </c>
      <c r="L305" s="7" t="n">
        <f aca="false">D305-H305</f>
        <v>121504</v>
      </c>
      <c r="M305" s="7" t="n">
        <f aca="false">E305-I305</f>
        <v>114504</v>
      </c>
      <c r="N305" s="7" t="n">
        <f aca="false">IFERROR(L305/D305,0)</f>
        <v>0.446898114262385</v>
      </c>
      <c r="O305" s="7" t="n">
        <f aca="false">IFERROR(M305/E305,0)</f>
        <v>0.434731766581875</v>
      </c>
      <c r="P305" s="7" t="n">
        <f aca="false">01_Data!I305+01_Data!K305+01_Data!M305+01_Data!O305+01_Data!Q305+01_Data!S305+01_Data!U305</f>
        <v>73635</v>
      </c>
      <c r="Q305" s="7" t="n">
        <f aca="false">01_Data!J305+01_Data!L305+01_Data!N305+01_Data!P305+01_Data!R305+01_Data!T305+01_Data!V305</f>
        <v>76104</v>
      </c>
      <c r="R305" s="7" t="n">
        <f aca="false">P305-Q305</f>
        <v>-2469</v>
      </c>
      <c r="S305" s="7" t="n">
        <f aca="false">L305-P305</f>
        <v>47869</v>
      </c>
      <c r="T305" s="7" t="n">
        <f aca="false">M305-Q305</f>
        <v>38400</v>
      </c>
      <c r="U305" s="7" t="n">
        <f aca="false">T305-S305</f>
        <v>-9469</v>
      </c>
      <c r="V305" s="8" t="n">
        <f aca="false">IFERROR(U305/S305,0)</f>
        <v>-0.197810691679375</v>
      </c>
      <c r="W305" s="5" t="str">
        <f aca="false">IF(V305&lt;-0.1,"ADVERSE &gt;10%","")</f>
        <v>ADVERSE &gt;10%</v>
      </c>
    </row>
    <row r="306" customFormat="false" ht="15" hidden="false" customHeight="false" outlineLevel="0" collapsed="false">
      <c r="A306" s="5" t="str">
        <f aca="false">01_Data!A306</f>
        <v>Healthcare &amp; Life Sciences</v>
      </c>
      <c r="B306" s="5" t="str">
        <f aca="false">01_Data!C306</f>
        <v>2024-08</v>
      </c>
      <c r="C306" s="5" t="str">
        <f aca="false">01_Data!D306</f>
        <v>FY24</v>
      </c>
      <c r="D306" s="7" t="n">
        <f aca="false">01_Data!E306</f>
        <v>272825</v>
      </c>
      <c r="E306" s="7" t="n">
        <f aca="false">01_Data!F306</f>
        <v>270403</v>
      </c>
      <c r="F306" s="7" t="n">
        <f aca="false">E306-D306</f>
        <v>-2422</v>
      </c>
      <c r="G306" s="8" t="n">
        <f aca="false">IFERROR(F306/D306,0)</f>
        <v>-0.00887748556767158</v>
      </c>
      <c r="H306" s="7" t="n">
        <f aca="false">01_Data!G306</f>
        <v>155762</v>
      </c>
      <c r="I306" s="7" t="n">
        <f aca="false">01_Data!H306</f>
        <v>161679</v>
      </c>
      <c r="J306" s="7" t="n">
        <f aca="false">H306-I306</f>
        <v>-5917</v>
      </c>
      <c r="K306" s="8" t="n">
        <f aca="false">IFERROR(J306/H306,0)</f>
        <v>-0.0379874423800413</v>
      </c>
      <c r="L306" s="7" t="n">
        <f aca="false">D306-H306</f>
        <v>117063</v>
      </c>
      <c r="M306" s="7" t="n">
        <f aca="false">E306-I306</f>
        <v>108724</v>
      </c>
      <c r="N306" s="7" t="n">
        <f aca="false">IFERROR(L306/D306,0)</f>
        <v>0.42907724731971</v>
      </c>
      <c r="O306" s="7" t="n">
        <f aca="false">IFERROR(M306/E306,0)</f>
        <v>0.402081337854979</v>
      </c>
      <c r="P306" s="7" t="n">
        <f aca="false">01_Data!I306+01_Data!K306+01_Data!M306+01_Data!O306+01_Data!Q306+01_Data!S306+01_Data!U306</f>
        <v>73786</v>
      </c>
      <c r="Q306" s="7" t="n">
        <f aca="false">01_Data!J306+01_Data!L306+01_Data!N306+01_Data!P306+01_Data!R306+01_Data!T306+01_Data!V306</f>
        <v>76991</v>
      </c>
      <c r="R306" s="7" t="n">
        <f aca="false">P306-Q306</f>
        <v>-3205</v>
      </c>
      <c r="S306" s="7" t="n">
        <f aca="false">L306-P306</f>
        <v>43277</v>
      </c>
      <c r="T306" s="7" t="n">
        <f aca="false">M306-Q306</f>
        <v>31733</v>
      </c>
      <c r="U306" s="7" t="n">
        <f aca="false">T306-S306</f>
        <v>-11544</v>
      </c>
      <c r="V306" s="8" t="n">
        <f aca="false">IFERROR(U306/S306,0)</f>
        <v>-0.266746770802043</v>
      </c>
      <c r="W306" s="5" t="str">
        <f aca="false">IF(V306&lt;-0.1,"ADVERSE &gt;10%","")</f>
        <v>ADVERSE &gt;10%</v>
      </c>
    </row>
    <row r="307" customFormat="false" ht="15" hidden="false" customHeight="false" outlineLevel="0" collapsed="false">
      <c r="A307" s="5" t="str">
        <f aca="false">01_Data!A307</f>
        <v>Healthcare &amp; Life Sciences</v>
      </c>
      <c r="B307" s="5" t="str">
        <f aca="false">01_Data!C307</f>
        <v>2024-09</v>
      </c>
      <c r="C307" s="5" t="str">
        <f aca="false">01_Data!D307</f>
        <v>FY24</v>
      </c>
      <c r="D307" s="7" t="n">
        <f aca="false">01_Data!E307</f>
        <v>295309</v>
      </c>
      <c r="E307" s="7" t="n">
        <f aca="false">01_Data!F307</f>
        <v>290695</v>
      </c>
      <c r="F307" s="7" t="n">
        <f aca="false">E307-D307</f>
        <v>-4614</v>
      </c>
      <c r="G307" s="8" t="n">
        <f aca="false">IFERROR(F307/D307,0)</f>
        <v>-0.01562431216116</v>
      </c>
      <c r="H307" s="7" t="n">
        <f aca="false">01_Data!G307</f>
        <v>176456</v>
      </c>
      <c r="I307" s="7" t="n">
        <f aca="false">01_Data!H307</f>
        <v>169203</v>
      </c>
      <c r="J307" s="7" t="n">
        <f aca="false">H307-I307</f>
        <v>7253</v>
      </c>
      <c r="K307" s="8" t="n">
        <f aca="false">IFERROR(J307/H307,0)</f>
        <v>0.0411037312417827</v>
      </c>
      <c r="L307" s="7" t="n">
        <f aca="false">D307-H307</f>
        <v>118853</v>
      </c>
      <c r="M307" s="7" t="n">
        <f aca="false">E307-I307</f>
        <v>121492</v>
      </c>
      <c r="N307" s="7" t="n">
        <f aca="false">IFERROR(L307/D307,0)</f>
        <v>0.402469955199469</v>
      </c>
      <c r="O307" s="7" t="n">
        <f aca="false">IFERROR(M307/E307,0)</f>
        <v>0.41793632501419</v>
      </c>
      <c r="P307" s="7" t="n">
        <f aca="false">01_Data!I307+01_Data!K307+01_Data!M307+01_Data!O307+01_Data!Q307+01_Data!S307+01_Data!U307</f>
        <v>77351</v>
      </c>
      <c r="Q307" s="7" t="n">
        <f aca="false">01_Data!J307+01_Data!L307+01_Data!N307+01_Data!P307+01_Data!R307+01_Data!T307+01_Data!V307</f>
        <v>81637</v>
      </c>
      <c r="R307" s="7" t="n">
        <f aca="false">P307-Q307</f>
        <v>-4286</v>
      </c>
      <c r="S307" s="7" t="n">
        <f aca="false">L307-P307</f>
        <v>41502</v>
      </c>
      <c r="T307" s="7" t="n">
        <f aca="false">M307-Q307</f>
        <v>39855</v>
      </c>
      <c r="U307" s="7" t="n">
        <f aca="false">T307-S307</f>
        <v>-1647</v>
      </c>
      <c r="V307" s="8" t="n">
        <f aca="false">IFERROR(U307/S307,0)</f>
        <v>-0.0396848344658089</v>
      </c>
      <c r="W307" s="5" t="str">
        <f aca="false">IF(V307&lt;-0.1,"ADVERSE &gt;10%","")</f>
        <v/>
      </c>
    </row>
    <row r="308" customFormat="false" ht="15" hidden="false" customHeight="false" outlineLevel="0" collapsed="false">
      <c r="A308" s="5" t="str">
        <f aca="false">01_Data!A308</f>
        <v>Healthcare &amp; Life Sciences</v>
      </c>
      <c r="B308" s="5" t="str">
        <f aca="false">01_Data!C308</f>
        <v>2024-10</v>
      </c>
      <c r="C308" s="5" t="str">
        <f aca="false">01_Data!D308</f>
        <v>FY24</v>
      </c>
      <c r="D308" s="7" t="n">
        <f aca="false">01_Data!E308</f>
        <v>274634</v>
      </c>
      <c r="E308" s="7" t="n">
        <f aca="false">01_Data!F308</f>
        <v>270326</v>
      </c>
      <c r="F308" s="7" t="n">
        <f aca="false">E308-D308</f>
        <v>-4308</v>
      </c>
      <c r="G308" s="8" t="n">
        <f aca="false">IFERROR(F308/D308,0)</f>
        <v>-0.0156863316268197</v>
      </c>
      <c r="H308" s="7" t="n">
        <f aca="false">01_Data!G308</f>
        <v>160419</v>
      </c>
      <c r="I308" s="7" t="n">
        <f aca="false">01_Data!H308</f>
        <v>154388</v>
      </c>
      <c r="J308" s="7" t="n">
        <f aca="false">H308-I308</f>
        <v>6031</v>
      </c>
      <c r="K308" s="8" t="n">
        <f aca="false">IFERROR(J308/H308,0)</f>
        <v>0.0375952973151559</v>
      </c>
      <c r="L308" s="7" t="n">
        <f aca="false">D308-H308</f>
        <v>114215</v>
      </c>
      <c r="M308" s="7" t="n">
        <f aca="false">E308-I308</f>
        <v>115938</v>
      </c>
      <c r="N308" s="7" t="n">
        <f aca="false">IFERROR(L308/D308,0)</f>
        <v>0.415880772227765</v>
      </c>
      <c r="O308" s="7" t="n">
        <f aca="false">IFERROR(M308/E308,0)</f>
        <v>0.428882164497681</v>
      </c>
      <c r="P308" s="7" t="n">
        <f aca="false">01_Data!I308+01_Data!K308+01_Data!M308+01_Data!O308+01_Data!Q308+01_Data!S308+01_Data!U308</f>
        <v>70147</v>
      </c>
      <c r="Q308" s="7" t="n">
        <f aca="false">01_Data!J308+01_Data!L308+01_Data!N308+01_Data!P308+01_Data!R308+01_Data!T308+01_Data!V308</f>
        <v>71833</v>
      </c>
      <c r="R308" s="7" t="n">
        <f aca="false">P308-Q308</f>
        <v>-1686</v>
      </c>
      <c r="S308" s="7" t="n">
        <f aca="false">L308-P308</f>
        <v>44068</v>
      </c>
      <c r="T308" s="7" t="n">
        <f aca="false">M308-Q308</f>
        <v>44105</v>
      </c>
      <c r="U308" s="7" t="n">
        <f aca="false">T308-S308</f>
        <v>37</v>
      </c>
      <c r="V308" s="8" t="n">
        <f aca="false">IFERROR(U308/S308,0)</f>
        <v>0.000839611509485341</v>
      </c>
      <c r="W308" s="5" t="str">
        <f aca="false">IF(V308&lt;-0.1,"ADVERSE &gt;10%","")</f>
        <v/>
      </c>
    </row>
    <row r="309" customFormat="false" ht="15" hidden="false" customHeight="false" outlineLevel="0" collapsed="false">
      <c r="A309" s="5" t="str">
        <f aca="false">01_Data!A309</f>
        <v>Healthcare &amp; Life Sciences</v>
      </c>
      <c r="B309" s="5" t="str">
        <f aca="false">01_Data!C309</f>
        <v>2024-11</v>
      </c>
      <c r="C309" s="5" t="str">
        <f aca="false">01_Data!D309</f>
        <v>FY24</v>
      </c>
      <c r="D309" s="7" t="n">
        <f aca="false">01_Data!E309</f>
        <v>255825</v>
      </c>
      <c r="E309" s="7" t="n">
        <f aca="false">01_Data!F309</f>
        <v>268109</v>
      </c>
      <c r="F309" s="7" t="n">
        <f aca="false">E309-D309</f>
        <v>12284</v>
      </c>
      <c r="G309" s="8" t="n">
        <f aca="false">IFERROR(F309/D309,0)</f>
        <v>0.0480171992573048</v>
      </c>
      <c r="H309" s="7" t="n">
        <f aca="false">01_Data!G309</f>
        <v>150534</v>
      </c>
      <c r="I309" s="7" t="n">
        <f aca="false">01_Data!H309</f>
        <v>161346</v>
      </c>
      <c r="J309" s="7" t="n">
        <f aca="false">H309-I309</f>
        <v>-10812</v>
      </c>
      <c r="K309" s="8" t="n">
        <f aca="false">IFERROR(J309/H309,0)</f>
        <v>-0.0718243054725178</v>
      </c>
      <c r="L309" s="7" t="n">
        <f aca="false">D309-H309</f>
        <v>105291</v>
      </c>
      <c r="M309" s="7" t="n">
        <f aca="false">E309-I309</f>
        <v>106763</v>
      </c>
      <c r="N309" s="7" t="n">
        <f aca="false">IFERROR(L309/D309,0)</f>
        <v>0.411574318381706</v>
      </c>
      <c r="O309" s="7" t="n">
        <f aca="false">IFERROR(M309/E309,0)</f>
        <v>0.398207445479264</v>
      </c>
      <c r="P309" s="7" t="n">
        <f aca="false">01_Data!I309+01_Data!K309+01_Data!M309+01_Data!O309+01_Data!Q309+01_Data!S309+01_Data!U309</f>
        <v>69850</v>
      </c>
      <c r="Q309" s="7" t="n">
        <f aca="false">01_Data!J309+01_Data!L309+01_Data!N309+01_Data!P309+01_Data!R309+01_Data!T309+01_Data!V309</f>
        <v>70591</v>
      </c>
      <c r="R309" s="7" t="n">
        <f aca="false">P309-Q309</f>
        <v>-741</v>
      </c>
      <c r="S309" s="7" t="n">
        <f aca="false">L309-P309</f>
        <v>35441</v>
      </c>
      <c r="T309" s="7" t="n">
        <f aca="false">M309-Q309</f>
        <v>36172</v>
      </c>
      <c r="U309" s="7" t="n">
        <f aca="false">T309-S309</f>
        <v>731</v>
      </c>
      <c r="V309" s="8" t="n">
        <f aca="false">IFERROR(U309/S309,0)</f>
        <v>0.0206258288423013</v>
      </c>
      <c r="W309" s="5" t="str">
        <f aca="false">IF(V309&lt;-0.1,"ADVERSE &gt;10%","")</f>
        <v/>
      </c>
    </row>
    <row r="310" customFormat="false" ht="15" hidden="false" customHeight="false" outlineLevel="0" collapsed="false">
      <c r="A310" s="5" t="str">
        <f aca="false">01_Data!A310</f>
        <v>Healthcare &amp; Life Sciences</v>
      </c>
      <c r="B310" s="5" t="str">
        <f aca="false">01_Data!C310</f>
        <v>2024-12</v>
      </c>
      <c r="C310" s="5" t="str">
        <f aca="false">01_Data!D310</f>
        <v>FY24</v>
      </c>
      <c r="D310" s="7" t="n">
        <f aca="false">01_Data!E310</f>
        <v>270163</v>
      </c>
      <c r="E310" s="7" t="n">
        <f aca="false">01_Data!F310</f>
        <v>285586</v>
      </c>
      <c r="F310" s="7" t="n">
        <f aca="false">E310-D310</f>
        <v>15423</v>
      </c>
      <c r="G310" s="8" t="n">
        <f aca="false">IFERROR(F310/D310,0)</f>
        <v>0.0570877581312023</v>
      </c>
      <c r="H310" s="7" t="n">
        <f aca="false">01_Data!G310</f>
        <v>150870</v>
      </c>
      <c r="I310" s="7" t="n">
        <f aca="false">01_Data!H310</f>
        <v>165104</v>
      </c>
      <c r="J310" s="7" t="n">
        <f aca="false">H310-I310</f>
        <v>-14234</v>
      </c>
      <c r="K310" s="8" t="n">
        <f aca="false">IFERROR(J310/H310,0)</f>
        <v>-0.094346125803672</v>
      </c>
      <c r="L310" s="7" t="n">
        <f aca="false">D310-H310</f>
        <v>119293</v>
      </c>
      <c r="M310" s="7" t="n">
        <f aca="false">E310-I310</f>
        <v>120482</v>
      </c>
      <c r="N310" s="7" t="n">
        <f aca="false">IFERROR(L310/D310,0)</f>
        <v>0.441559354907963</v>
      </c>
      <c r="O310" s="7" t="n">
        <f aca="false">IFERROR(M310/E310,0)</f>
        <v>0.421876422513709</v>
      </c>
      <c r="P310" s="7" t="n">
        <f aca="false">01_Data!I310+01_Data!K310+01_Data!M310+01_Data!O310+01_Data!Q310+01_Data!S310+01_Data!U310</f>
        <v>73855</v>
      </c>
      <c r="Q310" s="7" t="n">
        <f aca="false">01_Data!J310+01_Data!L310+01_Data!N310+01_Data!P310+01_Data!R310+01_Data!T310+01_Data!V310</f>
        <v>74994</v>
      </c>
      <c r="R310" s="7" t="n">
        <f aca="false">P310-Q310</f>
        <v>-1139</v>
      </c>
      <c r="S310" s="7" t="n">
        <f aca="false">L310-P310</f>
        <v>45438</v>
      </c>
      <c r="T310" s="7" t="n">
        <f aca="false">M310-Q310</f>
        <v>45488</v>
      </c>
      <c r="U310" s="7" t="n">
        <f aca="false">T310-S310</f>
        <v>50</v>
      </c>
      <c r="V310" s="8" t="n">
        <f aca="false">IFERROR(U310/S310,0)</f>
        <v>0.00110040054579867</v>
      </c>
      <c r="W310" s="5" t="str">
        <f aca="false">IF(V310&lt;-0.1,"ADVERSE &gt;10%","")</f>
        <v/>
      </c>
    </row>
    <row r="311" customFormat="false" ht="15" hidden="false" customHeight="false" outlineLevel="0" collapsed="false">
      <c r="A311" s="5" t="str">
        <f aca="false">01_Data!A311</f>
        <v>Healthcare &amp; Life Sciences</v>
      </c>
      <c r="B311" s="5" t="str">
        <f aca="false">01_Data!C311</f>
        <v>2025-01</v>
      </c>
      <c r="C311" s="5" t="str">
        <f aca="false">01_Data!D311</f>
        <v>FY24</v>
      </c>
      <c r="D311" s="7" t="n">
        <f aca="false">01_Data!E311</f>
        <v>277709</v>
      </c>
      <c r="E311" s="7" t="n">
        <f aca="false">01_Data!F311</f>
        <v>275200</v>
      </c>
      <c r="F311" s="7" t="n">
        <f aca="false">E311-D311</f>
        <v>-2509</v>
      </c>
      <c r="G311" s="8" t="n">
        <f aca="false">IFERROR(F311/D311,0)</f>
        <v>-0.00903463697611529</v>
      </c>
      <c r="H311" s="7" t="n">
        <f aca="false">01_Data!G311</f>
        <v>152251</v>
      </c>
      <c r="I311" s="7" t="n">
        <f aca="false">01_Data!H311</f>
        <v>156881</v>
      </c>
      <c r="J311" s="7" t="n">
        <f aca="false">H311-I311</f>
        <v>-4630</v>
      </c>
      <c r="K311" s="8" t="n">
        <f aca="false">IFERROR(J311/H311,0)</f>
        <v>-0.030410309291893</v>
      </c>
      <c r="L311" s="7" t="n">
        <f aca="false">D311-H311</f>
        <v>125458</v>
      </c>
      <c r="M311" s="7" t="n">
        <f aca="false">E311-I311</f>
        <v>118319</v>
      </c>
      <c r="N311" s="7" t="n">
        <f aca="false">IFERROR(L311/D311,0)</f>
        <v>0.45176065593841</v>
      </c>
      <c r="O311" s="7" t="n">
        <f aca="false">IFERROR(M311/E311,0)</f>
        <v>0.429938226744186</v>
      </c>
      <c r="P311" s="7" t="n">
        <f aca="false">01_Data!I311+01_Data!K311+01_Data!M311+01_Data!O311+01_Data!Q311+01_Data!S311+01_Data!U311</f>
        <v>75723</v>
      </c>
      <c r="Q311" s="7" t="n">
        <f aca="false">01_Data!J311+01_Data!L311+01_Data!N311+01_Data!P311+01_Data!R311+01_Data!T311+01_Data!V311</f>
        <v>77278</v>
      </c>
      <c r="R311" s="7" t="n">
        <f aca="false">P311-Q311</f>
        <v>-1555</v>
      </c>
      <c r="S311" s="7" t="n">
        <f aca="false">L311-P311</f>
        <v>49735</v>
      </c>
      <c r="T311" s="7" t="n">
        <f aca="false">M311-Q311</f>
        <v>41041</v>
      </c>
      <c r="U311" s="7" t="n">
        <f aca="false">T311-S311</f>
        <v>-8694</v>
      </c>
      <c r="V311" s="8" t="n">
        <f aca="false">IFERROR(U311/S311,0)</f>
        <v>-0.174806474313863</v>
      </c>
      <c r="W311" s="5" t="str">
        <f aca="false">IF(V311&lt;-0.1,"ADVERSE &gt;10%","")</f>
        <v>ADVERSE &gt;10%</v>
      </c>
    </row>
    <row r="312" customFormat="false" ht="15" hidden="false" customHeight="false" outlineLevel="0" collapsed="false">
      <c r="A312" s="5" t="str">
        <f aca="false">01_Data!A312</f>
        <v>Healthcare &amp; Life Sciences</v>
      </c>
      <c r="B312" s="5" t="str">
        <f aca="false">01_Data!C312</f>
        <v>2025-02</v>
      </c>
      <c r="C312" s="5" t="str">
        <f aca="false">01_Data!D312</f>
        <v>FY24</v>
      </c>
      <c r="D312" s="7" t="n">
        <f aca="false">01_Data!E312</f>
        <v>288583</v>
      </c>
      <c r="E312" s="7" t="n">
        <f aca="false">01_Data!F312</f>
        <v>279278</v>
      </c>
      <c r="F312" s="7" t="n">
        <f aca="false">E312-D312</f>
        <v>-9305</v>
      </c>
      <c r="G312" s="8" t="n">
        <f aca="false">IFERROR(F312/D312,0)</f>
        <v>-0.0322437565622369</v>
      </c>
      <c r="H312" s="7" t="n">
        <f aca="false">01_Data!G312</f>
        <v>156105</v>
      </c>
      <c r="I312" s="7" t="n">
        <f aca="false">01_Data!H312</f>
        <v>152286</v>
      </c>
      <c r="J312" s="7" t="n">
        <f aca="false">H312-I312</f>
        <v>3819</v>
      </c>
      <c r="K312" s="8" t="n">
        <f aca="false">IFERROR(J312/H312,0)</f>
        <v>0.0244643028730662</v>
      </c>
      <c r="L312" s="7" t="n">
        <f aca="false">D312-H312</f>
        <v>132478</v>
      </c>
      <c r="M312" s="7" t="n">
        <f aca="false">E312-I312</f>
        <v>126992</v>
      </c>
      <c r="N312" s="7" t="n">
        <f aca="false">IFERROR(L312/D312,0)</f>
        <v>0.459063770215155</v>
      </c>
      <c r="O312" s="7" t="n">
        <f aca="false">IFERROR(M312/E312,0)</f>
        <v>0.454715373212355</v>
      </c>
      <c r="P312" s="7" t="n">
        <f aca="false">01_Data!I312+01_Data!K312+01_Data!M312+01_Data!O312+01_Data!Q312+01_Data!S312+01_Data!U312</f>
        <v>73101</v>
      </c>
      <c r="Q312" s="7" t="n">
        <f aca="false">01_Data!J312+01_Data!L312+01_Data!N312+01_Data!P312+01_Data!R312+01_Data!T312+01_Data!V312</f>
        <v>73800</v>
      </c>
      <c r="R312" s="7" t="n">
        <f aca="false">P312-Q312</f>
        <v>-699</v>
      </c>
      <c r="S312" s="7" t="n">
        <f aca="false">L312-P312</f>
        <v>59377</v>
      </c>
      <c r="T312" s="7" t="n">
        <f aca="false">M312-Q312</f>
        <v>53192</v>
      </c>
      <c r="U312" s="7" t="n">
        <f aca="false">T312-S312</f>
        <v>-6185</v>
      </c>
      <c r="V312" s="8" t="n">
        <f aca="false">IFERROR(U312/S312,0)</f>
        <v>-0.104164912339795</v>
      </c>
      <c r="W312" s="5" t="str">
        <f aca="false">IF(V312&lt;-0.1,"ADVERSE &gt;10%","")</f>
        <v>ADVERSE &gt;10%</v>
      </c>
    </row>
    <row r="313" customFormat="false" ht="15" hidden="false" customHeight="false" outlineLevel="0" collapsed="false">
      <c r="A313" s="5" t="str">
        <f aca="false">01_Data!A313</f>
        <v>Healthcare &amp; Life Sciences</v>
      </c>
      <c r="B313" s="5" t="str">
        <f aca="false">01_Data!C313</f>
        <v>2025-03</v>
      </c>
      <c r="C313" s="5" t="str">
        <f aca="false">01_Data!D313</f>
        <v>FY24</v>
      </c>
      <c r="D313" s="7" t="n">
        <f aca="false">01_Data!E313</f>
        <v>285968</v>
      </c>
      <c r="E313" s="7" t="n">
        <f aca="false">01_Data!F313</f>
        <v>302767</v>
      </c>
      <c r="F313" s="7" t="n">
        <f aca="false">E313-D313</f>
        <v>16799</v>
      </c>
      <c r="G313" s="8" t="n">
        <f aca="false">IFERROR(F313/D313,0)</f>
        <v>0.0587443350304929</v>
      </c>
      <c r="H313" s="7" t="n">
        <f aca="false">01_Data!G313</f>
        <v>157511</v>
      </c>
      <c r="I313" s="7" t="n">
        <f aca="false">01_Data!H313</f>
        <v>168276</v>
      </c>
      <c r="J313" s="7" t="n">
        <f aca="false">H313-I313</f>
        <v>-10765</v>
      </c>
      <c r="K313" s="8" t="n">
        <f aca="false">IFERROR(J313/H313,0)</f>
        <v>-0.068344433087213</v>
      </c>
      <c r="L313" s="7" t="n">
        <f aca="false">D313-H313</f>
        <v>128457</v>
      </c>
      <c r="M313" s="7" t="n">
        <f aca="false">E313-I313</f>
        <v>134491</v>
      </c>
      <c r="N313" s="7" t="n">
        <f aca="false">IFERROR(L313/D313,0)</f>
        <v>0.449200609858446</v>
      </c>
      <c r="O313" s="7" t="n">
        <f aca="false">IFERROR(M313/E313,0)</f>
        <v>0.444206270828723</v>
      </c>
      <c r="P313" s="7" t="n">
        <f aca="false">01_Data!I313+01_Data!K313+01_Data!M313+01_Data!O313+01_Data!Q313+01_Data!S313+01_Data!U313</f>
        <v>78063</v>
      </c>
      <c r="Q313" s="7" t="n">
        <f aca="false">01_Data!J313+01_Data!L313+01_Data!N313+01_Data!P313+01_Data!R313+01_Data!T313+01_Data!V313</f>
        <v>79851</v>
      </c>
      <c r="R313" s="7" t="n">
        <f aca="false">P313-Q313</f>
        <v>-1788</v>
      </c>
      <c r="S313" s="7" t="n">
        <f aca="false">L313-P313</f>
        <v>50394</v>
      </c>
      <c r="T313" s="7" t="n">
        <f aca="false">M313-Q313</f>
        <v>54640</v>
      </c>
      <c r="U313" s="7" t="n">
        <f aca="false">T313-S313</f>
        <v>4246</v>
      </c>
      <c r="V313" s="8" t="n">
        <f aca="false">IFERROR(U313/S313,0)</f>
        <v>0.0842560622296305</v>
      </c>
      <c r="W313" s="5" t="str">
        <f aca="false">IF(V313&lt;-0.1,"ADVERSE &gt;10%","")</f>
        <v/>
      </c>
    </row>
    <row r="314" customFormat="false" ht="15" hidden="false" customHeight="false" outlineLevel="0" collapsed="false">
      <c r="A314" s="5" t="str">
        <f aca="false">01_Data!A314</f>
        <v>Healthcare &amp; Life Sciences</v>
      </c>
      <c r="B314" s="5" t="str">
        <f aca="false">01_Data!C314</f>
        <v>2025-04</v>
      </c>
      <c r="C314" s="5" t="str">
        <f aca="false">01_Data!D314</f>
        <v>FY25</v>
      </c>
      <c r="D314" s="7" t="n">
        <f aca="false">01_Data!E314</f>
        <v>280401</v>
      </c>
      <c r="E314" s="7" t="n">
        <f aca="false">01_Data!F314</f>
        <v>288131</v>
      </c>
      <c r="F314" s="7" t="n">
        <f aca="false">E314-D314</f>
        <v>7730</v>
      </c>
      <c r="G314" s="8" t="n">
        <f aca="false">IFERROR(F314/D314,0)</f>
        <v>0.0275676620268829</v>
      </c>
      <c r="H314" s="7" t="n">
        <f aca="false">01_Data!G314</f>
        <v>154676</v>
      </c>
      <c r="I314" s="7" t="n">
        <f aca="false">01_Data!H314</f>
        <v>164654</v>
      </c>
      <c r="J314" s="7" t="n">
        <f aca="false">H314-I314</f>
        <v>-9978</v>
      </c>
      <c r="K314" s="8" t="n">
        <f aca="false">IFERROR(J314/H314,0)</f>
        <v>-0.064509038247692</v>
      </c>
      <c r="L314" s="7" t="n">
        <f aca="false">D314-H314</f>
        <v>125725</v>
      </c>
      <c r="M314" s="7" t="n">
        <f aca="false">E314-I314</f>
        <v>123477</v>
      </c>
      <c r="N314" s="7" t="n">
        <f aca="false">IFERROR(L314/D314,0)</f>
        <v>0.44837571905949</v>
      </c>
      <c r="O314" s="7" t="n">
        <f aca="false">IFERROR(M314/E314,0)</f>
        <v>0.428544655035383</v>
      </c>
      <c r="P314" s="7" t="n">
        <f aca="false">01_Data!I314+01_Data!K314+01_Data!M314+01_Data!O314+01_Data!Q314+01_Data!S314+01_Data!U314</f>
        <v>76143</v>
      </c>
      <c r="Q314" s="7" t="n">
        <f aca="false">01_Data!J314+01_Data!L314+01_Data!N314+01_Data!P314+01_Data!R314+01_Data!T314+01_Data!V314</f>
        <v>78805</v>
      </c>
      <c r="R314" s="7" t="n">
        <f aca="false">P314-Q314</f>
        <v>-2662</v>
      </c>
      <c r="S314" s="7" t="n">
        <f aca="false">L314-P314</f>
        <v>49582</v>
      </c>
      <c r="T314" s="7" t="n">
        <f aca="false">M314-Q314</f>
        <v>44672</v>
      </c>
      <c r="U314" s="7" t="n">
        <f aca="false">T314-S314</f>
        <v>-4910</v>
      </c>
      <c r="V314" s="8" t="n">
        <f aca="false">IFERROR(U314/S314,0)</f>
        <v>-0.0990278730184341</v>
      </c>
      <c r="W314" s="5" t="str">
        <f aca="false">IF(V314&lt;-0.1,"ADVERSE &gt;10%","")</f>
        <v/>
      </c>
    </row>
    <row r="315" customFormat="false" ht="15" hidden="false" customHeight="false" outlineLevel="0" collapsed="false">
      <c r="A315" s="5" t="str">
        <f aca="false">01_Data!A315</f>
        <v>Healthcare &amp; Life Sciences</v>
      </c>
      <c r="B315" s="5" t="str">
        <f aca="false">01_Data!C315</f>
        <v>2025-05</v>
      </c>
      <c r="C315" s="5" t="str">
        <f aca="false">01_Data!D315</f>
        <v>FY25</v>
      </c>
      <c r="D315" s="7" t="n">
        <f aca="false">01_Data!E315</f>
        <v>284524</v>
      </c>
      <c r="E315" s="7" t="n">
        <f aca="false">01_Data!F315</f>
        <v>296038</v>
      </c>
      <c r="F315" s="7" t="n">
        <f aca="false">E315-D315</f>
        <v>11514</v>
      </c>
      <c r="G315" s="8" t="n">
        <f aca="false">IFERROR(F315/D315,0)</f>
        <v>0.0404675879714892</v>
      </c>
      <c r="H315" s="7" t="n">
        <f aca="false">01_Data!G315</f>
        <v>167052</v>
      </c>
      <c r="I315" s="7" t="n">
        <f aca="false">01_Data!H315</f>
        <v>175072</v>
      </c>
      <c r="J315" s="7" t="n">
        <f aca="false">H315-I315</f>
        <v>-8020</v>
      </c>
      <c r="K315" s="8" t="n">
        <f aca="false">IFERROR(J315/H315,0)</f>
        <v>-0.0480090031846371</v>
      </c>
      <c r="L315" s="7" t="n">
        <f aca="false">D315-H315</f>
        <v>117472</v>
      </c>
      <c r="M315" s="7" t="n">
        <f aca="false">E315-I315</f>
        <v>120966</v>
      </c>
      <c r="N315" s="7" t="n">
        <f aca="false">IFERROR(L315/D315,0)</f>
        <v>0.412872024855548</v>
      </c>
      <c r="O315" s="7" t="n">
        <f aca="false">IFERROR(M315/E315,0)</f>
        <v>0.408616461400226</v>
      </c>
      <c r="P315" s="7" t="n">
        <f aca="false">01_Data!I315+01_Data!K315+01_Data!M315+01_Data!O315+01_Data!Q315+01_Data!S315+01_Data!U315</f>
        <v>74793</v>
      </c>
      <c r="Q315" s="7" t="n">
        <f aca="false">01_Data!J315+01_Data!L315+01_Data!N315+01_Data!P315+01_Data!R315+01_Data!T315+01_Data!V315</f>
        <v>77691</v>
      </c>
      <c r="R315" s="7" t="n">
        <f aca="false">P315-Q315</f>
        <v>-2898</v>
      </c>
      <c r="S315" s="7" t="n">
        <f aca="false">L315-P315</f>
        <v>42679</v>
      </c>
      <c r="T315" s="7" t="n">
        <f aca="false">M315-Q315</f>
        <v>43275</v>
      </c>
      <c r="U315" s="7" t="n">
        <f aca="false">T315-S315</f>
        <v>596</v>
      </c>
      <c r="V315" s="8" t="n">
        <f aca="false">IFERROR(U315/S315,0)</f>
        <v>0.0139647133250545</v>
      </c>
      <c r="W315" s="5" t="str">
        <f aca="false">IF(V315&lt;-0.1,"ADVERSE &gt;10%","")</f>
        <v/>
      </c>
    </row>
    <row r="316" customFormat="false" ht="15" hidden="false" customHeight="false" outlineLevel="0" collapsed="false">
      <c r="A316" s="5" t="str">
        <f aca="false">01_Data!A316</f>
        <v>Healthcare &amp; Life Sciences</v>
      </c>
      <c r="B316" s="5" t="str">
        <f aca="false">01_Data!C316</f>
        <v>2025-06</v>
      </c>
      <c r="C316" s="5" t="str">
        <f aca="false">01_Data!D316</f>
        <v>FY25</v>
      </c>
      <c r="D316" s="7" t="n">
        <f aca="false">01_Data!E316</f>
        <v>294708</v>
      </c>
      <c r="E316" s="7" t="n">
        <f aca="false">01_Data!F316</f>
        <v>295738</v>
      </c>
      <c r="F316" s="7" t="n">
        <f aca="false">E316-D316</f>
        <v>1030</v>
      </c>
      <c r="G316" s="8" t="n">
        <f aca="false">IFERROR(F316/D316,0)</f>
        <v>0.00349498486637621</v>
      </c>
      <c r="H316" s="7" t="n">
        <f aca="false">01_Data!G316</f>
        <v>167708</v>
      </c>
      <c r="I316" s="7" t="n">
        <f aca="false">01_Data!H316</f>
        <v>175547</v>
      </c>
      <c r="J316" s="7" t="n">
        <f aca="false">H316-I316</f>
        <v>-7839</v>
      </c>
      <c r="K316" s="8" t="n">
        <f aca="false">IFERROR(J316/H316,0)</f>
        <v>-0.0467419562573044</v>
      </c>
      <c r="L316" s="7" t="n">
        <f aca="false">D316-H316</f>
        <v>127000</v>
      </c>
      <c r="M316" s="7" t="n">
        <f aca="false">E316-I316</f>
        <v>120191</v>
      </c>
      <c r="N316" s="7" t="n">
        <f aca="false">IFERROR(L316/D316,0)</f>
        <v>0.430935027213377</v>
      </c>
      <c r="O316" s="7" t="n">
        <f aca="false">IFERROR(M316/E316,0)</f>
        <v>0.406410403803367</v>
      </c>
      <c r="P316" s="7" t="n">
        <f aca="false">01_Data!I316+01_Data!K316+01_Data!M316+01_Data!O316+01_Data!Q316+01_Data!S316+01_Data!U316</f>
        <v>73554</v>
      </c>
      <c r="Q316" s="7" t="n">
        <f aca="false">01_Data!J316+01_Data!L316+01_Data!N316+01_Data!P316+01_Data!R316+01_Data!T316+01_Data!V316</f>
        <v>76952</v>
      </c>
      <c r="R316" s="7" t="n">
        <f aca="false">P316-Q316</f>
        <v>-3398</v>
      </c>
      <c r="S316" s="7" t="n">
        <f aca="false">L316-P316</f>
        <v>53446</v>
      </c>
      <c r="T316" s="7" t="n">
        <f aca="false">M316-Q316</f>
        <v>43239</v>
      </c>
      <c r="U316" s="7" t="n">
        <f aca="false">T316-S316</f>
        <v>-10207</v>
      </c>
      <c r="V316" s="8" t="n">
        <f aca="false">IFERROR(U316/S316,0)</f>
        <v>-0.19097780937769</v>
      </c>
      <c r="W316" s="5" t="str">
        <f aca="false">IF(V316&lt;-0.1,"ADVERSE &gt;10%","")</f>
        <v>ADVERSE &gt;10%</v>
      </c>
    </row>
    <row r="317" customFormat="false" ht="15" hidden="false" customHeight="false" outlineLevel="0" collapsed="false">
      <c r="A317" s="5" t="str">
        <f aca="false">01_Data!A317</f>
        <v>Healthcare &amp; Life Sciences</v>
      </c>
      <c r="B317" s="5" t="str">
        <f aca="false">01_Data!C317</f>
        <v>2025-07</v>
      </c>
      <c r="C317" s="5" t="str">
        <f aca="false">01_Data!D317</f>
        <v>FY25</v>
      </c>
      <c r="D317" s="7" t="n">
        <f aca="false">01_Data!E317</f>
        <v>286513</v>
      </c>
      <c r="E317" s="7" t="n">
        <f aca="false">01_Data!F317</f>
        <v>298282</v>
      </c>
      <c r="F317" s="7" t="n">
        <f aca="false">E317-D317</f>
        <v>11769</v>
      </c>
      <c r="G317" s="8" t="n">
        <f aca="false">IFERROR(F317/D317,0)</f>
        <v>0.0410766701685438</v>
      </c>
      <c r="H317" s="7" t="n">
        <f aca="false">01_Data!G317</f>
        <v>160623</v>
      </c>
      <c r="I317" s="7" t="n">
        <f aca="false">01_Data!H317</f>
        <v>174476</v>
      </c>
      <c r="J317" s="7" t="n">
        <f aca="false">H317-I317</f>
        <v>-13853</v>
      </c>
      <c r="K317" s="8" t="n">
        <f aca="false">IFERROR(J317/H317,0)</f>
        <v>-0.0862454318497351</v>
      </c>
      <c r="L317" s="7" t="n">
        <f aca="false">D317-H317</f>
        <v>125890</v>
      </c>
      <c r="M317" s="7" t="n">
        <f aca="false">E317-I317</f>
        <v>123806</v>
      </c>
      <c r="N317" s="7" t="n">
        <f aca="false">IFERROR(L317/D317,0)</f>
        <v>0.439386694495538</v>
      </c>
      <c r="O317" s="7" t="n">
        <f aca="false">IFERROR(M317/E317,0)</f>
        <v>0.415063597535218</v>
      </c>
      <c r="P317" s="7" t="n">
        <f aca="false">01_Data!I317+01_Data!K317+01_Data!M317+01_Data!O317+01_Data!Q317+01_Data!S317+01_Data!U317</f>
        <v>80973</v>
      </c>
      <c r="Q317" s="7" t="n">
        <f aca="false">01_Data!J317+01_Data!L317+01_Data!N317+01_Data!P317+01_Data!R317+01_Data!T317+01_Data!V317</f>
        <v>84510</v>
      </c>
      <c r="R317" s="7" t="n">
        <f aca="false">P317-Q317</f>
        <v>-3537</v>
      </c>
      <c r="S317" s="7" t="n">
        <f aca="false">L317-P317</f>
        <v>44917</v>
      </c>
      <c r="T317" s="7" t="n">
        <f aca="false">M317-Q317</f>
        <v>39296</v>
      </c>
      <c r="U317" s="7" t="n">
        <f aca="false">T317-S317</f>
        <v>-5621</v>
      </c>
      <c r="V317" s="8" t="n">
        <f aca="false">IFERROR(U317/S317,0)</f>
        <v>-0.1251419284458</v>
      </c>
      <c r="W317" s="5" t="str">
        <f aca="false">IF(V317&lt;-0.1,"ADVERSE &gt;10%","")</f>
        <v>ADVERSE &gt;10%</v>
      </c>
    </row>
    <row r="318" customFormat="false" ht="15" hidden="false" customHeight="false" outlineLevel="0" collapsed="false">
      <c r="A318" s="5" t="str">
        <f aca="false">01_Data!A318</f>
        <v>Healthcare &amp; Life Sciences</v>
      </c>
      <c r="B318" s="5" t="str">
        <f aca="false">01_Data!C318</f>
        <v>2025-08</v>
      </c>
      <c r="C318" s="5" t="str">
        <f aca="false">01_Data!D318</f>
        <v>FY25</v>
      </c>
      <c r="D318" s="7" t="n">
        <f aca="false">01_Data!E318</f>
        <v>312738</v>
      </c>
      <c r="E318" s="7" t="n">
        <f aca="false">01_Data!F318</f>
        <v>304119</v>
      </c>
      <c r="F318" s="7" t="n">
        <f aca="false">E318-D318</f>
        <v>-8619</v>
      </c>
      <c r="G318" s="8" t="n">
        <f aca="false">IFERROR(F318/D318,0)</f>
        <v>-0.0275598104483625</v>
      </c>
      <c r="H318" s="7" t="n">
        <f aca="false">01_Data!G318</f>
        <v>173507</v>
      </c>
      <c r="I318" s="7" t="n">
        <f aca="false">01_Data!H318</f>
        <v>167619</v>
      </c>
      <c r="J318" s="7" t="n">
        <f aca="false">H318-I318</f>
        <v>5888</v>
      </c>
      <c r="K318" s="8" t="n">
        <f aca="false">IFERROR(J318/H318,0)</f>
        <v>0.0339352302788937</v>
      </c>
      <c r="L318" s="7" t="n">
        <f aca="false">D318-H318</f>
        <v>139231</v>
      </c>
      <c r="M318" s="7" t="n">
        <f aca="false">E318-I318</f>
        <v>136500</v>
      </c>
      <c r="N318" s="7" t="n">
        <f aca="false">IFERROR(L318/D318,0)</f>
        <v>0.445200135576745</v>
      </c>
      <c r="O318" s="7" t="n">
        <f aca="false">IFERROR(M318/E318,0)</f>
        <v>0.448837461651525</v>
      </c>
      <c r="P318" s="7" t="n">
        <f aca="false">01_Data!I318+01_Data!K318+01_Data!M318+01_Data!O318+01_Data!Q318+01_Data!S318+01_Data!U318</f>
        <v>85328</v>
      </c>
      <c r="Q318" s="7" t="n">
        <f aca="false">01_Data!J318+01_Data!L318+01_Data!N318+01_Data!P318+01_Data!R318+01_Data!T318+01_Data!V318</f>
        <v>86855</v>
      </c>
      <c r="R318" s="7" t="n">
        <f aca="false">P318-Q318</f>
        <v>-1527</v>
      </c>
      <c r="S318" s="7" t="n">
        <f aca="false">L318-P318</f>
        <v>53903</v>
      </c>
      <c r="T318" s="7" t="n">
        <f aca="false">M318-Q318</f>
        <v>49645</v>
      </c>
      <c r="U318" s="7" t="n">
        <f aca="false">T318-S318</f>
        <v>-4258</v>
      </c>
      <c r="V318" s="8" t="n">
        <f aca="false">IFERROR(U318/S318,0)</f>
        <v>-0.0789937480288667</v>
      </c>
      <c r="W318" s="5" t="str">
        <f aca="false">IF(V318&lt;-0.1,"ADVERSE &gt;10%","")</f>
        <v/>
      </c>
    </row>
    <row r="319" customFormat="false" ht="15" hidden="false" customHeight="false" outlineLevel="0" collapsed="false">
      <c r="A319" s="5" t="str">
        <f aca="false">01_Data!A319</f>
        <v>Healthcare &amp; Life Sciences</v>
      </c>
      <c r="B319" s="5" t="str">
        <f aca="false">01_Data!C319</f>
        <v>2025-09</v>
      </c>
      <c r="C319" s="5" t="str">
        <f aca="false">01_Data!D319</f>
        <v>FY25</v>
      </c>
      <c r="D319" s="7" t="n">
        <f aca="false">01_Data!E319</f>
        <v>330568</v>
      </c>
      <c r="E319" s="7" t="n">
        <f aca="false">01_Data!F319</f>
        <v>332465</v>
      </c>
      <c r="F319" s="7" t="n">
        <f aca="false">E319-D319</f>
        <v>1897</v>
      </c>
      <c r="G319" s="8" t="n">
        <f aca="false">IFERROR(F319/D319,0)</f>
        <v>0.00573860748771811</v>
      </c>
      <c r="H319" s="7" t="n">
        <f aca="false">01_Data!G319</f>
        <v>183277</v>
      </c>
      <c r="I319" s="7" t="n">
        <f aca="false">01_Data!H319</f>
        <v>186963</v>
      </c>
      <c r="J319" s="7" t="n">
        <f aca="false">H319-I319</f>
        <v>-3686</v>
      </c>
      <c r="K319" s="8" t="n">
        <f aca="false">IFERROR(J319/H319,0)</f>
        <v>-0.0201116343021765</v>
      </c>
      <c r="L319" s="7" t="n">
        <f aca="false">D319-H319</f>
        <v>147291</v>
      </c>
      <c r="M319" s="7" t="n">
        <f aca="false">E319-I319</f>
        <v>145502</v>
      </c>
      <c r="N319" s="7" t="n">
        <f aca="false">IFERROR(L319/D319,0)</f>
        <v>0.445569444108323</v>
      </c>
      <c r="O319" s="7" t="n">
        <f aca="false">IFERROR(M319/E319,0)</f>
        <v>0.437646068007159</v>
      </c>
      <c r="P319" s="7" t="n">
        <f aca="false">01_Data!I319+01_Data!K319+01_Data!M319+01_Data!O319+01_Data!Q319+01_Data!S319+01_Data!U319</f>
        <v>82454</v>
      </c>
      <c r="Q319" s="7" t="n">
        <f aca="false">01_Data!J319+01_Data!L319+01_Data!N319+01_Data!P319+01_Data!R319+01_Data!T319+01_Data!V319</f>
        <v>84995</v>
      </c>
      <c r="R319" s="7" t="n">
        <f aca="false">P319-Q319</f>
        <v>-2541</v>
      </c>
      <c r="S319" s="7" t="n">
        <f aca="false">L319-P319</f>
        <v>64837</v>
      </c>
      <c r="T319" s="7" t="n">
        <f aca="false">M319-Q319</f>
        <v>60507</v>
      </c>
      <c r="U319" s="7" t="n">
        <f aca="false">T319-S319</f>
        <v>-4330</v>
      </c>
      <c r="V319" s="8" t="n">
        <f aca="false">IFERROR(U319/S319,0)</f>
        <v>-0.0667828554683283</v>
      </c>
      <c r="W319" s="5" t="str">
        <f aca="false">IF(V319&lt;-0.1,"ADVERSE &gt;10%","")</f>
        <v/>
      </c>
    </row>
    <row r="320" customFormat="false" ht="15" hidden="false" customHeight="false" outlineLevel="0" collapsed="false">
      <c r="A320" s="5" t="str">
        <f aca="false">01_Data!A320</f>
        <v>Healthcare &amp; Life Sciences</v>
      </c>
      <c r="B320" s="5" t="str">
        <f aca="false">01_Data!C320</f>
        <v>2025-10</v>
      </c>
      <c r="C320" s="5" t="str">
        <f aca="false">01_Data!D320</f>
        <v>FY25</v>
      </c>
      <c r="D320" s="7" t="n">
        <f aca="false">01_Data!E320</f>
        <v>332079</v>
      </c>
      <c r="E320" s="7" t="n">
        <f aca="false">01_Data!F320</f>
        <v>317808</v>
      </c>
      <c r="F320" s="7" t="n">
        <f aca="false">E320-D320</f>
        <v>-14271</v>
      </c>
      <c r="G320" s="8" t="n">
        <f aca="false">IFERROR(F320/D320,0)</f>
        <v>-0.0429747138482108</v>
      </c>
      <c r="H320" s="7" t="n">
        <f aca="false">01_Data!G320</f>
        <v>187399</v>
      </c>
      <c r="I320" s="7" t="n">
        <f aca="false">01_Data!H320</f>
        <v>185541</v>
      </c>
      <c r="J320" s="7" t="n">
        <f aca="false">H320-I320</f>
        <v>1858</v>
      </c>
      <c r="K320" s="8" t="n">
        <f aca="false">IFERROR(J320/H320,0)</f>
        <v>0.00991467403774833</v>
      </c>
      <c r="L320" s="7" t="n">
        <f aca="false">D320-H320</f>
        <v>144680</v>
      </c>
      <c r="M320" s="7" t="n">
        <f aca="false">E320-I320</f>
        <v>132267</v>
      </c>
      <c r="N320" s="7" t="n">
        <f aca="false">IFERROR(L320/D320,0)</f>
        <v>0.435679461814809</v>
      </c>
      <c r="O320" s="7" t="n">
        <f aca="false">IFERROR(M320/E320,0)</f>
        <v>0.416185243920858</v>
      </c>
      <c r="P320" s="7" t="n">
        <f aca="false">01_Data!I320+01_Data!K320+01_Data!M320+01_Data!O320+01_Data!Q320+01_Data!S320+01_Data!U320</f>
        <v>88156</v>
      </c>
      <c r="Q320" s="7" t="n">
        <f aca="false">01_Data!J320+01_Data!L320+01_Data!N320+01_Data!P320+01_Data!R320+01_Data!T320+01_Data!V320</f>
        <v>90972</v>
      </c>
      <c r="R320" s="7" t="n">
        <f aca="false">P320-Q320</f>
        <v>-2816</v>
      </c>
      <c r="S320" s="7" t="n">
        <f aca="false">L320-P320</f>
        <v>56524</v>
      </c>
      <c r="T320" s="7" t="n">
        <f aca="false">M320-Q320</f>
        <v>41295</v>
      </c>
      <c r="U320" s="7" t="n">
        <f aca="false">T320-S320</f>
        <v>-15229</v>
      </c>
      <c r="V320" s="8" t="n">
        <f aca="false">IFERROR(U320/S320,0)</f>
        <v>-0.269425376831081</v>
      </c>
      <c r="W320" s="5" t="str">
        <f aca="false">IF(V320&lt;-0.1,"ADVERSE &gt;10%","")</f>
        <v>ADVERSE &gt;10%</v>
      </c>
    </row>
    <row r="321" customFormat="false" ht="15" hidden="false" customHeight="false" outlineLevel="0" collapsed="false">
      <c r="A321" s="5" t="str">
        <f aca="false">01_Data!A321</f>
        <v>Healthcare &amp; Life Sciences</v>
      </c>
      <c r="B321" s="5" t="str">
        <f aca="false">01_Data!C321</f>
        <v>2025-11</v>
      </c>
      <c r="C321" s="5" t="str">
        <f aca="false">01_Data!D321</f>
        <v>FY25</v>
      </c>
      <c r="D321" s="7" t="n">
        <f aca="false">01_Data!E321</f>
        <v>330120</v>
      </c>
      <c r="E321" s="7" t="n">
        <f aca="false">01_Data!F321</f>
        <v>315692</v>
      </c>
      <c r="F321" s="7" t="n">
        <f aca="false">E321-D321</f>
        <v>-14428</v>
      </c>
      <c r="G321" s="8" t="n">
        <f aca="false">IFERROR(F321/D321,0)</f>
        <v>-0.0437053192778384</v>
      </c>
      <c r="H321" s="7" t="n">
        <f aca="false">01_Data!G321</f>
        <v>192838</v>
      </c>
      <c r="I321" s="7" t="n">
        <f aca="false">01_Data!H321</f>
        <v>178961</v>
      </c>
      <c r="J321" s="7" t="n">
        <f aca="false">H321-I321</f>
        <v>13877</v>
      </c>
      <c r="K321" s="8" t="n">
        <f aca="false">IFERROR(J321/H321,0)</f>
        <v>0.0719619577054315</v>
      </c>
      <c r="L321" s="7" t="n">
        <f aca="false">D321-H321</f>
        <v>137282</v>
      </c>
      <c r="M321" s="7" t="n">
        <f aca="false">E321-I321</f>
        <v>136731</v>
      </c>
      <c r="N321" s="7" t="n">
        <f aca="false">IFERROR(L321/D321,0)</f>
        <v>0.415854840664001</v>
      </c>
      <c r="O321" s="7" t="n">
        <f aca="false">IFERROR(M321/E321,0)</f>
        <v>0.433115188221431</v>
      </c>
      <c r="P321" s="7" t="n">
        <f aca="false">01_Data!I321+01_Data!K321+01_Data!M321+01_Data!O321+01_Data!Q321+01_Data!S321+01_Data!U321</f>
        <v>95878</v>
      </c>
      <c r="Q321" s="7" t="n">
        <f aca="false">01_Data!J321+01_Data!L321+01_Data!N321+01_Data!P321+01_Data!R321+01_Data!T321+01_Data!V321</f>
        <v>96437</v>
      </c>
      <c r="R321" s="7" t="n">
        <f aca="false">P321-Q321</f>
        <v>-559</v>
      </c>
      <c r="S321" s="7" t="n">
        <f aca="false">L321-P321</f>
        <v>41404</v>
      </c>
      <c r="T321" s="7" t="n">
        <f aca="false">M321-Q321</f>
        <v>40294</v>
      </c>
      <c r="U321" s="7" t="n">
        <f aca="false">T321-S321</f>
        <v>-1110</v>
      </c>
      <c r="V321" s="8" t="n">
        <f aca="false">IFERROR(U321/S321,0)</f>
        <v>-0.02680900396097</v>
      </c>
      <c r="W321" s="5" t="str">
        <f aca="false">IF(V321&lt;-0.1,"ADVERSE &gt;10%","")</f>
        <v/>
      </c>
    </row>
    <row r="322" customFormat="false" ht="15" hidden="false" customHeight="false" outlineLevel="0" collapsed="false">
      <c r="A322" s="5" t="str">
        <f aca="false">01_Data!A322</f>
        <v>Healthcare &amp; Life Sciences</v>
      </c>
      <c r="B322" s="5" t="str">
        <f aca="false">01_Data!C322</f>
        <v>2025-12</v>
      </c>
      <c r="C322" s="5" t="str">
        <f aca="false">01_Data!D322</f>
        <v>FY25</v>
      </c>
      <c r="D322" s="7" t="n">
        <f aca="false">01_Data!E322</f>
        <v>334605</v>
      </c>
      <c r="E322" s="7" t="n">
        <f aca="false">01_Data!F322</f>
        <v>335471</v>
      </c>
      <c r="F322" s="7" t="n">
        <f aca="false">E322-D322</f>
        <v>866</v>
      </c>
      <c r="G322" s="8" t="n">
        <f aca="false">IFERROR(F322/D322,0)</f>
        <v>0.00258812629817247</v>
      </c>
      <c r="H322" s="7" t="n">
        <f aca="false">01_Data!G322</f>
        <v>199541</v>
      </c>
      <c r="I322" s="7" t="n">
        <f aca="false">01_Data!H322</f>
        <v>203079</v>
      </c>
      <c r="J322" s="7" t="n">
        <f aca="false">H322-I322</f>
        <v>-3538</v>
      </c>
      <c r="K322" s="8" t="n">
        <f aca="false">IFERROR(J322/H322,0)</f>
        <v>-0.0177306919379977</v>
      </c>
      <c r="L322" s="7" t="n">
        <f aca="false">D322-H322</f>
        <v>135064</v>
      </c>
      <c r="M322" s="7" t="n">
        <f aca="false">E322-I322</f>
        <v>132392</v>
      </c>
      <c r="N322" s="7" t="n">
        <f aca="false">IFERROR(L322/D322,0)</f>
        <v>0.40365206736301</v>
      </c>
      <c r="O322" s="7" t="n">
        <f aca="false">IFERROR(M322/E322,0)</f>
        <v>0.39464514071261</v>
      </c>
      <c r="P322" s="7" t="n">
        <f aca="false">01_Data!I322+01_Data!K322+01_Data!M322+01_Data!O322+01_Data!Q322+01_Data!S322+01_Data!U322</f>
        <v>92977</v>
      </c>
      <c r="Q322" s="7" t="n">
        <f aca="false">01_Data!J322+01_Data!L322+01_Data!N322+01_Data!P322+01_Data!R322+01_Data!T322+01_Data!V322</f>
        <v>91615</v>
      </c>
      <c r="R322" s="7" t="n">
        <f aca="false">P322-Q322</f>
        <v>1362</v>
      </c>
      <c r="S322" s="7" t="n">
        <f aca="false">L322-P322</f>
        <v>42087</v>
      </c>
      <c r="T322" s="7" t="n">
        <f aca="false">M322-Q322</f>
        <v>40777</v>
      </c>
      <c r="U322" s="7" t="n">
        <f aca="false">T322-S322</f>
        <v>-1310</v>
      </c>
      <c r="V322" s="8" t="n">
        <f aca="false">IFERROR(U322/S322,0)</f>
        <v>-0.0311260009028916</v>
      </c>
      <c r="W322" s="5" t="str">
        <f aca="false">IF(V322&lt;-0.1,"ADVERSE &gt;10%","")</f>
        <v/>
      </c>
    </row>
    <row r="323" customFormat="false" ht="15" hidden="false" customHeight="false" outlineLevel="0" collapsed="false">
      <c r="A323" s="5" t="str">
        <f aca="false">01_Data!A323</f>
        <v>Healthcare &amp; Life Sciences</v>
      </c>
      <c r="B323" s="5" t="str">
        <f aca="false">01_Data!C323</f>
        <v>2026-01</v>
      </c>
      <c r="C323" s="5" t="str">
        <f aca="false">01_Data!D323</f>
        <v>FY25</v>
      </c>
      <c r="D323" s="7" t="n">
        <f aca="false">01_Data!E323</f>
        <v>320754</v>
      </c>
      <c r="E323" s="7" t="n">
        <f aca="false">01_Data!F323</f>
        <v>319494</v>
      </c>
      <c r="F323" s="7" t="n">
        <f aca="false">E323-D323</f>
        <v>-1260</v>
      </c>
      <c r="G323" s="8" t="n">
        <f aca="false">IFERROR(F323/D323,0)</f>
        <v>-0.00392824407489852</v>
      </c>
      <c r="H323" s="7" t="n">
        <f aca="false">01_Data!G323</f>
        <v>178832</v>
      </c>
      <c r="I323" s="7" t="n">
        <f aca="false">01_Data!H323</f>
        <v>181659</v>
      </c>
      <c r="J323" s="7" t="n">
        <f aca="false">H323-I323</f>
        <v>-2827</v>
      </c>
      <c r="K323" s="8" t="n">
        <f aca="false">IFERROR(J323/H323,0)</f>
        <v>-0.0158081327726581</v>
      </c>
      <c r="L323" s="7" t="n">
        <f aca="false">D323-H323</f>
        <v>141922</v>
      </c>
      <c r="M323" s="7" t="n">
        <f aca="false">E323-I323</f>
        <v>137835</v>
      </c>
      <c r="N323" s="7" t="n">
        <f aca="false">IFERROR(L323/D323,0)</f>
        <v>0.442463694918847</v>
      </c>
      <c r="O323" s="7" t="n">
        <f aca="false">IFERROR(M323/E323,0)</f>
        <v>0.43141655242352</v>
      </c>
      <c r="P323" s="7" t="n">
        <f aca="false">01_Data!I323+01_Data!K323+01_Data!M323+01_Data!O323+01_Data!Q323+01_Data!S323+01_Data!U323</f>
        <v>90083</v>
      </c>
      <c r="Q323" s="7" t="n">
        <f aca="false">01_Data!J323+01_Data!L323+01_Data!N323+01_Data!P323+01_Data!R323+01_Data!T323+01_Data!V323</f>
        <v>94980</v>
      </c>
      <c r="R323" s="7" t="n">
        <f aca="false">P323-Q323</f>
        <v>-4897</v>
      </c>
      <c r="S323" s="7" t="n">
        <f aca="false">L323-P323</f>
        <v>51839</v>
      </c>
      <c r="T323" s="7" t="n">
        <f aca="false">M323-Q323</f>
        <v>42855</v>
      </c>
      <c r="U323" s="7" t="n">
        <f aca="false">T323-S323</f>
        <v>-8984</v>
      </c>
      <c r="V323" s="8" t="n">
        <f aca="false">IFERROR(U323/S323,0)</f>
        <v>-0.173305812226316</v>
      </c>
      <c r="W323" s="5" t="str">
        <f aca="false">IF(V323&lt;-0.1,"ADVERSE &gt;10%","")</f>
        <v>ADVERSE &gt;10%</v>
      </c>
    </row>
    <row r="324" customFormat="false" ht="15" hidden="false" customHeight="false" outlineLevel="0" collapsed="false">
      <c r="A324" s="5" t="str">
        <f aca="false">01_Data!A324</f>
        <v>Healthcare &amp; Life Sciences</v>
      </c>
      <c r="B324" s="5" t="str">
        <f aca="false">01_Data!C324</f>
        <v>2026-02</v>
      </c>
      <c r="C324" s="5" t="str">
        <f aca="false">01_Data!D324</f>
        <v>FY25</v>
      </c>
      <c r="D324" s="7" t="n">
        <f aca="false">01_Data!E324</f>
        <v>337253</v>
      </c>
      <c r="E324" s="7" t="n">
        <f aca="false">01_Data!F324</f>
        <v>322730</v>
      </c>
      <c r="F324" s="7" t="n">
        <f aca="false">E324-D324</f>
        <v>-14523</v>
      </c>
      <c r="G324" s="8" t="n">
        <f aca="false">IFERROR(F324/D324,0)</f>
        <v>-0.043062626574115</v>
      </c>
      <c r="H324" s="7" t="n">
        <f aca="false">01_Data!G324</f>
        <v>192653</v>
      </c>
      <c r="I324" s="7" t="n">
        <f aca="false">01_Data!H324</f>
        <v>188024</v>
      </c>
      <c r="J324" s="7" t="n">
        <f aca="false">H324-I324</f>
        <v>4629</v>
      </c>
      <c r="K324" s="8" t="n">
        <f aca="false">IFERROR(J324/H324,0)</f>
        <v>0.0240276559409924</v>
      </c>
      <c r="L324" s="7" t="n">
        <f aca="false">D324-H324</f>
        <v>144600</v>
      </c>
      <c r="M324" s="7" t="n">
        <f aca="false">E324-I324</f>
        <v>134706</v>
      </c>
      <c r="N324" s="7" t="n">
        <f aca="false">IFERROR(L324/D324,0)</f>
        <v>0.428758231950494</v>
      </c>
      <c r="O324" s="7" t="n">
        <f aca="false">IFERROR(M324/E324,0)</f>
        <v>0.417395345954823</v>
      </c>
      <c r="P324" s="7" t="n">
        <f aca="false">01_Data!I324+01_Data!K324+01_Data!M324+01_Data!O324+01_Data!Q324+01_Data!S324+01_Data!U324</f>
        <v>87058</v>
      </c>
      <c r="Q324" s="7" t="n">
        <f aca="false">01_Data!J324+01_Data!L324+01_Data!N324+01_Data!P324+01_Data!R324+01_Data!T324+01_Data!V324</f>
        <v>90737</v>
      </c>
      <c r="R324" s="7" t="n">
        <f aca="false">P324-Q324</f>
        <v>-3679</v>
      </c>
      <c r="S324" s="7" t="n">
        <f aca="false">L324-P324</f>
        <v>57542</v>
      </c>
      <c r="T324" s="7" t="n">
        <f aca="false">M324-Q324</f>
        <v>43969</v>
      </c>
      <c r="U324" s="7" t="n">
        <f aca="false">T324-S324</f>
        <v>-13573</v>
      </c>
      <c r="V324" s="8" t="n">
        <f aca="false">IFERROR(U324/S324,0)</f>
        <v>-0.235879879044872</v>
      </c>
      <c r="W324" s="5" t="str">
        <f aca="false">IF(V324&lt;-0.1,"ADVERSE &gt;10%","")</f>
        <v>ADVERSE &gt;10%</v>
      </c>
    </row>
    <row r="325" customFormat="false" ht="15" hidden="false" customHeight="false" outlineLevel="0" collapsed="false">
      <c r="A325" s="5" t="str">
        <f aca="false">01_Data!A325</f>
        <v>Healthcare &amp; Life Sciences</v>
      </c>
      <c r="B325" s="5" t="str">
        <f aca="false">01_Data!C325</f>
        <v>2026-03</v>
      </c>
      <c r="C325" s="5" t="str">
        <f aca="false">01_Data!D325</f>
        <v>FY25</v>
      </c>
      <c r="D325" s="7" t="n">
        <f aca="false">01_Data!E325</f>
        <v>352210</v>
      </c>
      <c r="E325" s="7" t="n">
        <f aca="false">01_Data!F325</f>
        <v>346143</v>
      </c>
      <c r="F325" s="7" t="n">
        <f aca="false">E325-D325</f>
        <v>-6067</v>
      </c>
      <c r="G325" s="8" t="n">
        <f aca="false">IFERROR(F325/D325,0)</f>
        <v>-0.0172255188665853</v>
      </c>
      <c r="H325" s="7" t="n">
        <f aca="false">01_Data!G325</f>
        <v>197089</v>
      </c>
      <c r="I325" s="7" t="n">
        <f aca="false">01_Data!H325</f>
        <v>197041</v>
      </c>
      <c r="J325" s="7" t="n">
        <f aca="false">H325-I325</f>
        <v>48</v>
      </c>
      <c r="K325" s="8" t="n">
        <f aca="false">IFERROR(J325/H325,0)</f>
        <v>0.00024354479448371</v>
      </c>
      <c r="L325" s="7" t="n">
        <f aca="false">D325-H325</f>
        <v>155121</v>
      </c>
      <c r="M325" s="7" t="n">
        <f aca="false">E325-I325</f>
        <v>149102</v>
      </c>
      <c r="N325" s="7" t="n">
        <f aca="false">IFERROR(L325/D325,0)</f>
        <v>0.440421907384799</v>
      </c>
      <c r="O325" s="7" t="n">
        <f aca="false">IFERROR(M325/E325,0)</f>
        <v>0.430752608026163</v>
      </c>
      <c r="P325" s="7" t="n">
        <f aca="false">01_Data!I325+01_Data!K325+01_Data!M325+01_Data!O325+01_Data!Q325+01_Data!S325+01_Data!U325</f>
        <v>93777</v>
      </c>
      <c r="Q325" s="7" t="n">
        <f aca="false">01_Data!J325+01_Data!L325+01_Data!N325+01_Data!P325+01_Data!R325+01_Data!T325+01_Data!V325</f>
        <v>96753</v>
      </c>
      <c r="R325" s="7" t="n">
        <f aca="false">P325-Q325</f>
        <v>-2976</v>
      </c>
      <c r="S325" s="7" t="n">
        <f aca="false">L325-P325</f>
        <v>61344</v>
      </c>
      <c r="T325" s="7" t="n">
        <f aca="false">M325-Q325</f>
        <v>52349</v>
      </c>
      <c r="U325" s="7" t="n">
        <f aca="false">T325-S325</f>
        <v>-8995</v>
      </c>
      <c r="V325" s="8" t="n">
        <f aca="false">IFERROR(U325/S325,0)</f>
        <v>-0.146632107459572</v>
      </c>
      <c r="W325" s="5" t="str">
        <f aca="false">IF(V325&lt;-0.1,"ADVERSE &gt;10%","")</f>
        <v>ADVERSE &gt;10%</v>
      </c>
    </row>
    <row r="326" customFormat="false" ht="15" hidden="false" customHeight="false" outlineLevel="0" collapsed="false">
      <c r="A326" s="5" t="str">
        <f aca="false">01_Data!A326</f>
        <v>Healthcare &amp; Life Sciences</v>
      </c>
      <c r="B326" s="5" t="str">
        <f aca="false">01_Data!C326</f>
        <v>2023-04</v>
      </c>
      <c r="C326" s="5" t="str">
        <f aca="false">01_Data!D326</f>
        <v>FY23</v>
      </c>
      <c r="D326" s="7" t="n">
        <f aca="false">01_Data!E326</f>
        <v>113501</v>
      </c>
      <c r="E326" s="7" t="n">
        <f aca="false">01_Data!F326</f>
        <v>116503</v>
      </c>
      <c r="F326" s="7" t="n">
        <f aca="false">E326-D326</f>
        <v>3002</v>
      </c>
      <c r="G326" s="8" t="n">
        <f aca="false">IFERROR(F326/D326,0)</f>
        <v>0.026449106175276</v>
      </c>
      <c r="H326" s="7" t="n">
        <f aca="false">01_Data!G326</f>
        <v>67918</v>
      </c>
      <c r="I326" s="7" t="n">
        <f aca="false">01_Data!H326</f>
        <v>72274</v>
      </c>
      <c r="J326" s="7" t="n">
        <f aca="false">H326-I326</f>
        <v>-4356</v>
      </c>
      <c r="K326" s="8" t="n">
        <f aca="false">IFERROR(J326/H326,0)</f>
        <v>-0.0641361641980035</v>
      </c>
      <c r="L326" s="7" t="n">
        <f aca="false">D326-H326</f>
        <v>45583</v>
      </c>
      <c r="M326" s="7" t="n">
        <f aca="false">E326-I326</f>
        <v>44229</v>
      </c>
      <c r="N326" s="7" t="n">
        <f aca="false">IFERROR(L326/D326,0)</f>
        <v>0.40160879639827</v>
      </c>
      <c r="O326" s="7" t="n">
        <f aca="false">IFERROR(M326/E326,0)</f>
        <v>0.379638292576157</v>
      </c>
      <c r="P326" s="7" t="n">
        <f aca="false">01_Data!I326+01_Data!K326+01_Data!M326+01_Data!O326+01_Data!Q326+01_Data!S326+01_Data!U326</f>
        <v>28803</v>
      </c>
      <c r="Q326" s="7" t="n">
        <f aca="false">01_Data!J326+01_Data!L326+01_Data!N326+01_Data!P326+01_Data!R326+01_Data!T326+01_Data!V326</f>
        <v>29266</v>
      </c>
      <c r="R326" s="7" t="n">
        <f aca="false">P326-Q326</f>
        <v>-463</v>
      </c>
      <c r="S326" s="7" t="n">
        <f aca="false">L326-P326</f>
        <v>16780</v>
      </c>
      <c r="T326" s="7" t="n">
        <f aca="false">M326-Q326</f>
        <v>14963</v>
      </c>
      <c r="U326" s="7" t="n">
        <f aca="false">T326-S326</f>
        <v>-1817</v>
      </c>
      <c r="V326" s="8" t="n">
        <f aca="false">IFERROR(U326/S326,0)</f>
        <v>-0.108283671036949</v>
      </c>
      <c r="W326" s="5" t="str">
        <f aca="false">IF(V326&lt;-0.1,"ADVERSE &gt;10%","")</f>
        <v>ADVERSE &gt;10%</v>
      </c>
    </row>
    <row r="327" customFormat="false" ht="15" hidden="false" customHeight="false" outlineLevel="0" collapsed="false">
      <c r="A327" s="5" t="str">
        <f aca="false">01_Data!A327</f>
        <v>Healthcare &amp; Life Sciences</v>
      </c>
      <c r="B327" s="5" t="str">
        <f aca="false">01_Data!C327</f>
        <v>2023-05</v>
      </c>
      <c r="C327" s="5" t="str">
        <f aca="false">01_Data!D327</f>
        <v>FY23</v>
      </c>
      <c r="D327" s="7" t="n">
        <f aca="false">01_Data!E327</f>
        <v>112561</v>
      </c>
      <c r="E327" s="7" t="n">
        <f aca="false">01_Data!F327</f>
        <v>117311</v>
      </c>
      <c r="F327" s="7" t="n">
        <f aca="false">E327-D327</f>
        <v>4750</v>
      </c>
      <c r="G327" s="8" t="n">
        <f aca="false">IFERROR(F327/D327,0)</f>
        <v>0.0421993408018763</v>
      </c>
      <c r="H327" s="7" t="n">
        <f aca="false">01_Data!G327</f>
        <v>62820</v>
      </c>
      <c r="I327" s="7" t="n">
        <f aca="false">01_Data!H327</f>
        <v>68523</v>
      </c>
      <c r="J327" s="7" t="n">
        <f aca="false">H327-I327</f>
        <v>-5703</v>
      </c>
      <c r="K327" s="8" t="n">
        <f aca="false">IFERROR(J327/H327,0)</f>
        <v>-0.0907831900668577</v>
      </c>
      <c r="L327" s="7" t="n">
        <f aca="false">D327-H327</f>
        <v>49741</v>
      </c>
      <c r="M327" s="7" t="n">
        <f aca="false">E327-I327</f>
        <v>48788</v>
      </c>
      <c r="N327" s="7" t="n">
        <f aca="false">IFERROR(L327/D327,0)</f>
        <v>0.441902612805501</v>
      </c>
      <c r="O327" s="7" t="n">
        <f aca="false">IFERROR(M327/E327,0)</f>
        <v>0.415885978297005</v>
      </c>
      <c r="P327" s="7" t="n">
        <f aca="false">01_Data!I327+01_Data!K327+01_Data!M327+01_Data!O327+01_Data!Q327+01_Data!S327+01_Data!U327</f>
        <v>29590</v>
      </c>
      <c r="Q327" s="7" t="n">
        <f aca="false">01_Data!J327+01_Data!L327+01_Data!N327+01_Data!P327+01_Data!R327+01_Data!T327+01_Data!V327</f>
        <v>30135</v>
      </c>
      <c r="R327" s="7" t="n">
        <f aca="false">P327-Q327</f>
        <v>-545</v>
      </c>
      <c r="S327" s="7" t="n">
        <f aca="false">L327-P327</f>
        <v>20151</v>
      </c>
      <c r="T327" s="7" t="n">
        <f aca="false">M327-Q327</f>
        <v>18653</v>
      </c>
      <c r="U327" s="7" t="n">
        <f aca="false">T327-S327</f>
        <v>-1498</v>
      </c>
      <c r="V327" s="8" t="n">
        <f aca="false">IFERROR(U327/S327,0)</f>
        <v>-0.074338742494169</v>
      </c>
      <c r="W327" s="5" t="str">
        <f aca="false">IF(V327&lt;-0.1,"ADVERSE &gt;10%","")</f>
        <v/>
      </c>
    </row>
    <row r="328" customFormat="false" ht="15" hidden="false" customHeight="false" outlineLevel="0" collapsed="false">
      <c r="A328" s="5" t="str">
        <f aca="false">01_Data!A328</f>
        <v>Healthcare &amp; Life Sciences</v>
      </c>
      <c r="B328" s="5" t="str">
        <f aca="false">01_Data!C328</f>
        <v>2023-06</v>
      </c>
      <c r="C328" s="5" t="str">
        <f aca="false">01_Data!D328</f>
        <v>FY23</v>
      </c>
      <c r="D328" s="7" t="n">
        <f aca="false">01_Data!E328</f>
        <v>113275</v>
      </c>
      <c r="E328" s="7" t="n">
        <f aca="false">01_Data!F328</f>
        <v>118284</v>
      </c>
      <c r="F328" s="7" t="n">
        <f aca="false">E328-D328</f>
        <v>5009</v>
      </c>
      <c r="G328" s="8" t="n">
        <f aca="false">IFERROR(F328/D328,0)</f>
        <v>0.0442198190244979</v>
      </c>
      <c r="H328" s="7" t="n">
        <f aca="false">01_Data!G328</f>
        <v>65010</v>
      </c>
      <c r="I328" s="7" t="n">
        <f aca="false">01_Data!H328</f>
        <v>70883</v>
      </c>
      <c r="J328" s="7" t="n">
        <f aca="false">H328-I328</f>
        <v>-5873</v>
      </c>
      <c r="K328" s="8" t="n">
        <f aca="false">IFERROR(J328/H328,0)</f>
        <v>-0.0903399477003538</v>
      </c>
      <c r="L328" s="7" t="n">
        <f aca="false">D328-H328</f>
        <v>48265</v>
      </c>
      <c r="M328" s="7" t="n">
        <f aca="false">E328-I328</f>
        <v>47401</v>
      </c>
      <c r="N328" s="7" t="n">
        <f aca="false">IFERROR(L328/D328,0)</f>
        <v>0.426086956521739</v>
      </c>
      <c r="O328" s="7" t="n">
        <f aca="false">IFERROR(M328/E328,0)</f>
        <v>0.400738899597579</v>
      </c>
      <c r="P328" s="7" t="n">
        <f aca="false">01_Data!I328+01_Data!K328+01_Data!M328+01_Data!O328+01_Data!Q328+01_Data!S328+01_Data!U328</f>
        <v>30131</v>
      </c>
      <c r="Q328" s="7" t="n">
        <f aca="false">01_Data!J328+01_Data!L328+01_Data!N328+01_Data!P328+01_Data!R328+01_Data!T328+01_Data!V328</f>
        <v>31286</v>
      </c>
      <c r="R328" s="7" t="n">
        <f aca="false">P328-Q328</f>
        <v>-1155</v>
      </c>
      <c r="S328" s="7" t="n">
        <f aca="false">L328-P328</f>
        <v>18134</v>
      </c>
      <c r="T328" s="7" t="n">
        <f aca="false">M328-Q328</f>
        <v>16115</v>
      </c>
      <c r="U328" s="7" t="n">
        <f aca="false">T328-S328</f>
        <v>-2019</v>
      </c>
      <c r="V328" s="8" t="n">
        <f aca="false">IFERROR(U328/S328,0)</f>
        <v>-0.111337818462557</v>
      </c>
      <c r="W328" s="5" t="str">
        <f aca="false">IF(V328&lt;-0.1,"ADVERSE &gt;10%","")</f>
        <v>ADVERSE &gt;10%</v>
      </c>
    </row>
    <row r="329" customFormat="false" ht="15" hidden="false" customHeight="false" outlineLevel="0" collapsed="false">
      <c r="A329" s="5" t="str">
        <f aca="false">01_Data!A329</f>
        <v>Healthcare &amp; Life Sciences</v>
      </c>
      <c r="B329" s="5" t="str">
        <f aca="false">01_Data!C329</f>
        <v>2023-07</v>
      </c>
      <c r="C329" s="5" t="str">
        <f aca="false">01_Data!D329</f>
        <v>FY23</v>
      </c>
      <c r="D329" s="7" t="n">
        <f aca="false">01_Data!E329</f>
        <v>123741</v>
      </c>
      <c r="E329" s="7" t="n">
        <f aca="false">01_Data!F329</f>
        <v>117593</v>
      </c>
      <c r="F329" s="7" t="n">
        <f aca="false">E329-D329</f>
        <v>-6148</v>
      </c>
      <c r="G329" s="8" t="n">
        <f aca="false">IFERROR(F329/D329,0)</f>
        <v>-0.0496844214932803</v>
      </c>
      <c r="H329" s="7" t="n">
        <f aca="false">01_Data!G329</f>
        <v>68884</v>
      </c>
      <c r="I329" s="7" t="n">
        <f aca="false">01_Data!H329</f>
        <v>63242</v>
      </c>
      <c r="J329" s="7" t="n">
        <f aca="false">H329-I329</f>
        <v>5642</v>
      </c>
      <c r="K329" s="8" t="n">
        <f aca="false">IFERROR(J329/H329,0)</f>
        <v>0.0819058126705766</v>
      </c>
      <c r="L329" s="7" t="n">
        <f aca="false">D329-H329</f>
        <v>54857</v>
      </c>
      <c r="M329" s="7" t="n">
        <f aca="false">E329-I329</f>
        <v>54351</v>
      </c>
      <c r="N329" s="7" t="n">
        <f aca="false">IFERROR(L329/D329,0)</f>
        <v>0.443321130425647</v>
      </c>
      <c r="O329" s="7" t="n">
        <f aca="false">IFERROR(M329/E329,0)</f>
        <v>0.462195879006403</v>
      </c>
      <c r="P329" s="7" t="n">
        <f aca="false">01_Data!I329+01_Data!K329+01_Data!M329+01_Data!O329+01_Data!Q329+01_Data!S329+01_Data!U329</f>
        <v>34058</v>
      </c>
      <c r="Q329" s="7" t="n">
        <f aca="false">01_Data!J329+01_Data!L329+01_Data!N329+01_Data!P329+01_Data!R329+01_Data!T329+01_Data!V329</f>
        <v>33852</v>
      </c>
      <c r="R329" s="7" t="n">
        <f aca="false">P329-Q329</f>
        <v>206</v>
      </c>
      <c r="S329" s="7" t="n">
        <f aca="false">L329-P329</f>
        <v>20799</v>
      </c>
      <c r="T329" s="7" t="n">
        <f aca="false">M329-Q329</f>
        <v>20499</v>
      </c>
      <c r="U329" s="7" t="n">
        <f aca="false">T329-S329</f>
        <v>-300</v>
      </c>
      <c r="V329" s="8" t="n">
        <f aca="false">IFERROR(U329/S329,0)</f>
        <v>-0.0144237703735757</v>
      </c>
      <c r="W329" s="5" t="str">
        <f aca="false">IF(V329&lt;-0.1,"ADVERSE &gt;10%","")</f>
        <v/>
      </c>
    </row>
    <row r="330" customFormat="false" ht="15" hidden="false" customHeight="false" outlineLevel="0" collapsed="false">
      <c r="A330" s="5" t="str">
        <f aca="false">01_Data!A330</f>
        <v>Healthcare &amp; Life Sciences</v>
      </c>
      <c r="B330" s="5" t="str">
        <f aca="false">01_Data!C330</f>
        <v>2023-08</v>
      </c>
      <c r="C330" s="5" t="str">
        <f aca="false">01_Data!D330</f>
        <v>FY23</v>
      </c>
      <c r="D330" s="7" t="n">
        <f aca="false">01_Data!E330</f>
        <v>114579</v>
      </c>
      <c r="E330" s="7" t="n">
        <f aca="false">01_Data!F330</f>
        <v>117618</v>
      </c>
      <c r="F330" s="7" t="n">
        <f aca="false">E330-D330</f>
        <v>3039</v>
      </c>
      <c r="G330" s="8" t="n">
        <f aca="false">IFERROR(F330/D330,0)</f>
        <v>0.0265231848768099</v>
      </c>
      <c r="H330" s="7" t="n">
        <f aca="false">01_Data!G330</f>
        <v>64288</v>
      </c>
      <c r="I330" s="7" t="n">
        <f aca="false">01_Data!H330</f>
        <v>69390</v>
      </c>
      <c r="J330" s="7" t="n">
        <f aca="false">H330-I330</f>
        <v>-5102</v>
      </c>
      <c r="K330" s="8" t="n">
        <f aca="false">IFERROR(J330/H330,0)</f>
        <v>-0.0793616226978596</v>
      </c>
      <c r="L330" s="7" t="n">
        <f aca="false">D330-H330</f>
        <v>50291</v>
      </c>
      <c r="M330" s="7" t="n">
        <f aca="false">E330-I330</f>
        <v>48228</v>
      </c>
      <c r="N330" s="7" t="n">
        <f aca="false">IFERROR(L330/D330,0)</f>
        <v>0.438919871878791</v>
      </c>
      <c r="O330" s="7" t="n">
        <f aca="false">IFERROR(M330/E330,0)</f>
        <v>0.410039279702086</v>
      </c>
      <c r="P330" s="7" t="n">
        <f aca="false">01_Data!I330+01_Data!K330+01_Data!M330+01_Data!O330+01_Data!Q330+01_Data!S330+01_Data!U330</f>
        <v>33227</v>
      </c>
      <c r="Q330" s="7" t="n">
        <f aca="false">01_Data!J330+01_Data!L330+01_Data!N330+01_Data!P330+01_Data!R330+01_Data!T330+01_Data!V330</f>
        <v>33039</v>
      </c>
      <c r="R330" s="7" t="n">
        <f aca="false">P330-Q330</f>
        <v>188</v>
      </c>
      <c r="S330" s="7" t="n">
        <f aca="false">L330-P330</f>
        <v>17064</v>
      </c>
      <c r="T330" s="7" t="n">
        <f aca="false">M330-Q330</f>
        <v>15189</v>
      </c>
      <c r="U330" s="7" t="n">
        <f aca="false">T330-S330</f>
        <v>-1875</v>
      </c>
      <c r="V330" s="8" t="n">
        <f aca="false">IFERROR(U330/S330,0)</f>
        <v>-0.109880450070323</v>
      </c>
      <c r="W330" s="5" t="str">
        <f aca="false">IF(V330&lt;-0.1,"ADVERSE &gt;10%","")</f>
        <v>ADVERSE &gt;10%</v>
      </c>
    </row>
    <row r="331" customFormat="false" ht="15" hidden="false" customHeight="false" outlineLevel="0" collapsed="false">
      <c r="A331" s="5" t="str">
        <f aca="false">01_Data!A331</f>
        <v>Healthcare &amp; Life Sciences</v>
      </c>
      <c r="B331" s="5" t="str">
        <f aca="false">01_Data!C331</f>
        <v>2023-09</v>
      </c>
      <c r="C331" s="5" t="str">
        <f aca="false">01_Data!D331</f>
        <v>FY23</v>
      </c>
      <c r="D331" s="7" t="n">
        <f aca="false">01_Data!E331</f>
        <v>128319</v>
      </c>
      <c r="E331" s="7" t="n">
        <f aca="false">01_Data!F331</f>
        <v>128711</v>
      </c>
      <c r="F331" s="7" t="n">
        <f aca="false">E331-D331</f>
        <v>392</v>
      </c>
      <c r="G331" s="8" t="n">
        <f aca="false">IFERROR(F331/D331,0)</f>
        <v>0.00305488664967776</v>
      </c>
      <c r="H331" s="7" t="n">
        <f aca="false">01_Data!G331</f>
        <v>75971</v>
      </c>
      <c r="I331" s="7" t="n">
        <f aca="false">01_Data!H331</f>
        <v>79979</v>
      </c>
      <c r="J331" s="7" t="n">
        <f aca="false">H331-I331</f>
        <v>-4008</v>
      </c>
      <c r="K331" s="8" t="n">
        <f aca="false">IFERROR(J331/H331,0)</f>
        <v>-0.052756973055508</v>
      </c>
      <c r="L331" s="7" t="n">
        <f aca="false">D331-H331</f>
        <v>52348</v>
      </c>
      <c r="M331" s="7" t="n">
        <f aca="false">E331-I331</f>
        <v>48732</v>
      </c>
      <c r="N331" s="7" t="n">
        <f aca="false">IFERROR(L331/D331,0)</f>
        <v>0.407952056982988</v>
      </c>
      <c r="O331" s="7" t="n">
        <f aca="false">IFERROR(M331/E331,0)</f>
        <v>0.37861565833534</v>
      </c>
      <c r="P331" s="7" t="n">
        <f aca="false">01_Data!I331+01_Data!K331+01_Data!M331+01_Data!O331+01_Data!Q331+01_Data!S331+01_Data!U331</f>
        <v>32677</v>
      </c>
      <c r="Q331" s="7" t="n">
        <f aca="false">01_Data!J331+01_Data!L331+01_Data!N331+01_Data!P331+01_Data!R331+01_Data!T331+01_Data!V331</f>
        <v>33965</v>
      </c>
      <c r="R331" s="7" t="n">
        <f aca="false">P331-Q331</f>
        <v>-1288</v>
      </c>
      <c r="S331" s="7" t="n">
        <f aca="false">L331-P331</f>
        <v>19671</v>
      </c>
      <c r="T331" s="7" t="n">
        <f aca="false">M331-Q331</f>
        <v>14767</v>
      </c>
      <c r="U331" s="7" t="n">
        <f aca="false">T331-S331</f>
        <v>-4904</v>
      </c>
      <c r="V331" s="8" t="n">
        <f aca="false">IFERROR(U331/S331,0)</f>
        <v>-0.249301001474251</v>
      </c>
      <c r="W331" s="5" t="str">
        <f aca="false">IF(V331&lt;-0.1,"ADVERSE &gt;10%","")</f>
        <v>ADVERSE &gt;10%</v>
      </c>
    </row>
    <row r="332" customFormat="false" ht="15" hidden="false" customHeight="false" outlineLevel="0" collapsed="false">
      <c r="A332" s="5" t="str">
        <f aca="false">01_Data!A332</f>
        <v>Healthcare &amp; Life Sciences</v>
      </c>
      <c r="B332" s="5" t="str">
        <f aca="false">01_Data!C332</f>
        <v>2023-10</v>
      </c>
      <c r="C332" s="5" t="str">
        <f aca="false">01_Data!D332</f>
        <v>FY23</v>
      </c>
      <c r="D332" s="7" t="n">
        <f aca="false">01_Data!E332</f>
        <v>119850</v>
      </c>
      <c r="E332" s="7" t="n">
        <f aca="false">01_Data!F332</f>
        <v>115335</v>
      </c>
      <c r="F332" s="7" t="n">
        <f aca="false">E332-D332</f>
        <v>-4515</v>
      </c>
      <c r="G332" s="8" t="n">
        <f aca="false">IFERROR(F332/D332,0)</f>
        <v>-0.0376720901126408</v>
      </c>
      <c r="H332" s="7" t="n">
        <f aca="false">01_Data!G332</f>
        <v>70721</v>
      </c>
      <c r="I332" s="7" t="n">
        <f aca="false">01_Data!H332</f>
        <v>67502</v>
      </c>
      <c r="J332" s="7" t="n">
        <f aca="false">H332-I332</f>
        <v>3219</v>
      </c>
      <c r="K332" s="8" t="n">
        <f aca="false">IFERROR(J332/H332,0)</f>
        <v>0.045516890315465</v>
      </c>
      <c r="L332" s="7" t="n">
        <f aca="false">D332-H332</f>
        <v>49129</v>
      </c>
      <c r="M332" s="7" t="n">
        <f aca="false">E332-I332</f>
        <v>47833</v>
      </c>
      <c r="N332" s="7" t="n">
        <f aca="false">IFERROR(L332/D332,0)</f>
        <v>0.409920734251147</v>
      </c>
      <c r="O332" s="7" t="n">
        <f aca="false">IFERROR(M332/E332,0)</f>
        <v>0.414731000997095</v>
      </c>
      <c r="P332" s="7" t="n">
        <f aca="false">01_Data!I332+01_Data!K332+01_Data!M332+01_Data!O332+01_Data!Q332+01_Data!S332+01_Data!U332</f>
        <v>31876</v>
      </c>
      <c r="Q332" s="7" t="n">
        <f aca="false">01_Data!J332+01_Data!L332+01_Data!N332+01_Data!P332+01_Data!R332+01_Data!T332+01_Data!V332</f>
        <v>32378</v>
      </c>
      <c r="R332" s="7" t="n">
        <f aca="false">P332-Q332</f>
        <v>-502</v>
      </c>
      <c r="S332" s="7" t="n">
        <f aca="false">L332-P332</f>
        <v>17253</v>
      </c>
      <c r="T332" s="7" t="n">
        <f aca="false">M332-Q332</f>
        <v>15455</v>
      </c>
      <c r="U332" s="7" t="n">
        <f aca="false">T332-S332</f>
        <v>-1798</v>
      </c>
      <c r="V332" s="8" t="n">
        <f aca="false">IFERROR(U332/S332,0)</f>
        <v>-0.10421375992581</v>
      </c>
      <c r="W332" s="5" t="str">
        <f aca="false">IF(V332&lt;-0.1,"ADVERSE &gt;10%","")</f>
        <v>ADVERSE &gt;10%</v>
      </c>
    </row>
    <row r="333" customFormat="false" ht="15" hidden="false" customHeight="false" outlineLevel="0" collapsed="false">
      <c r="A333" s="5" t="str">
        <f aca="false">01_Data!A333</f>
        <v>Healthcare &amp; Life Sciences</v>
      </c>
      <c r="B333" s="5" t="str">
        <f aca="false">01_Data!C333</f>
        <v>2023-11</v>
      </c>
      <c r="C333" s="5" t="str">
        <f aca="false">01_Data!D333</f>
        <v>FY23</v>
      </c>
      <c r="D333" s="7" t="n">
        <f aca="false">01_Data!E333</f>
        <v>111131</v>
      </c>
      <c r="E333" s="7" t="n">
        <f aca="false">01_Data!F333</f>
        <v>114184</v>
      </c>
      <c r="F333" s="7" t="n">
        <f aca="false">E333-D333</f>
        <v>3053</v>
      </c>
      <c r="G333" s="8" t="n">
        <f aca="false">IFERROR(F333/D333,0)</f>
        <v>0.027472082497233</v>
      </c>
      <c r="H333" s="7" t="n">
        <f aca="false">01_Data!G333</f>
        <v>66641</v>
      </c>
      <c r="I333" s="7" t="n">
        <f aca="false">01_Data!H333</f>
        <v>66569</v>
      </c>
      <c r="J333" s="7" t="n">
        <f aca="false">H333-I333</f>
        <v>72</v>
      </c>
      <c r="K333" s="8" t="n">
        <f aca="false">IFERROR(J333/H333,0)</f>
        <v>0.00108041596014466</v>
      </c>
      <c r="L333" s="7" t="n">
        <f aca="false">D333-H333</f>
        <v>44490</v>
      </c>
      <c r="M333" s="7" t="n">
        <f aca="false">E333-I333</f>
        <v>47615</v>
      </c>
      <c r="N333" s="7" t="n">
        <f aca="false">IFERROR(L333/D333,0)</f>
        <v>0.400338339437241</v>
      </c>
      <c r="O333" s="7" t="n">
        <f aca="false">IFERROR(M333/E333,0)</f>
        <v>0.417002382120087</v>
      </c>
      <c r="P333" s="7" t="n">
        <f aca="false">01_Data!I333+01_Data!K333+01_Data!M333+01_Data!O333+01_Data!Q333+01_Data!S333+01_Data!U333</f>
        <v>30666</v>
      </c>
      <c r="Q333" s="7" t="n">
        <f aca="false">01_Data!J333+01_Data!L333+01_Data!N333+01_Data!P333+01_Data!R333+01_Data!T333+01_Data!V333</f>
        <v>31380</v>
      </c>
      <c r="R333" s="7" t="n">
        <f aca="false">P333-Q333</f>
        <v>-714</v>
      </c>
      <c r="S333" s="7" t="n">
        <f aca="false">L333-P333</f>
        <v>13824</v>
      </c>
      <c r="T333" s="7" t="n">
        <f aca="false">M333-Q333</f>
        <v>16235</v>
      </c>
      <c r="U333" s="7" t="n">
        <f aca="false">T333-S333</f>
        <v>2411</v>
      </c>
      <c r="V333" s="8" t="n">
        <f aca="false">IFERROR(U333/S333,0)</f>
        <v>0.174406828703704</v>
      </c>
      <c r="W333" s="5" t="str">
        <f aca="false">IF(V333&lt;-0.1,"ADVERSE &gt;10%","")</f>
        <v/>
      </c>
    </row>
    <row r="334" customFormat="false" ht="15" hidden="false" customHeight="false" outlineLevel="0" collapsed="false">
      <c r="A334" s="5" t="str">
        <f aca="false">01_Data!A334</f>
        <v>Healthcare &amp; Life Sciences</v>
      </c>
      <c r="B334" s="5" t="str">
        <f aca="false">01_Data!C334</f>
        <v>2023-12</v>
      </c>
      <c r="C334" s="5" t="str">
        <f aca="false">01_Data!D334</f>
        <v>FY23</v>
      </c>
      <c r="D334" s="7" t="n">
        <f aca="false">01_Data!E334</f>
        <v>122731</v>
      </c>
      <c r="E334" s="7" t="n">
        <f aca="false">01_Data!F334</f>
        <v>128345</v>
      </c>
      <c r="F334" s="7" t="n">
        <f aca="false">E334-D334</f>
        <v>5614</v>
      </c>
      <c r="G334" s="8" t="n">
        <f aca="false">IFERROR(F334/D334,0)</f>
        <v>0.045742314492671</v>
      </c>
      <c r="H334" s="7" t="n">
        <f aca="false">01_Data!G334</f>
        <v>67477</v>
      </c>
      <c r="I334" s="7" t="n">
        <f aca="false">01_Data!H334</f>
        <v>69747</v>
      </c>
      <c r="J334" s="7" t="n">
        <f aca="false">H334-I334</f>
        <v>-2270</v>
      </c>
      <c r="K334" s="8" t="n">
        <f aca="false">IFERROR(J334/H334,0)</f>
        <v>-0.0336410925204144</v>
      </c>
      <c r="L334" s="7" t="n">
        <f aca="false">D334-H334</f>
        <v>55254</v>
      </c>
      <c r="M334" s="7" t="n">
        <f aca="false">E334-I334</f>
        <v>58598</v>
      </c>
      <c r="N334" s="7" t="n">
        <f aca="false">IFERROR(L334/D334,0)</f>
        <v>0.450204104912369</v>
      </c>
      <c r="O334" s="7" t="n">
        <f aca="false">IFERROR(M334/E334,0)</f>
        <v>0.456566286181776</v>
      </c>
      <c r="P334" s="7" t="n">
        <f aca="false">01_Data!I334+01_Data!K334+01_Data!M334+01_Data!O334+01_Data!Q334+01_Data!S334+01_Data!U334</f>
        <v>32583</v>
      </c>
      <c r="Q334" s="7" t="n">
        <f aca="false">01_Data!J334+01_Data!L334+01_Data!N334+01_Data!P334+01_Data!R334+01_Data!T334+01_Data!V334</f>
        <v>34419</v>
      </c>
      <c r="R334" s="7" t="n">
        <f aca="false">P334-Q334</f>
        <v>-1836</v>
      </c>
      <c r="S334" s="7" t="n">
        <f aca="false">L334-P334</f>
        <v>22671</v>
      </c>
      <c r="T334" s="7" t="n">
        <f aca="false">M334-Q334</f>
        <v>24179</v>
      </c>
      <c r="U334" s="7" t="n">
        <f aca="false">T334-S334</f>
        <v>1508</v>
      </c>
      <c r="V334" s="8" t="n">
        <f aca="false">IFERROR(U334/S334,0)</f>
        <v>0.066516695337656</v>
      </c>
      <c r="W334" s="5" t="str">
        <f aca="false">IF(V334&lt;-0.1,"ADVERSE &gt;10%","")</f>
        <v/>
      </c>
    </row>
    <row r="335" customFormat="false" ht="15" hidden="false" customHeight="false" outlineLevel="0" collapsed="false">
      <c r="A335" s="5" t="str">
        <f aca="false">01_Data!A335</f>
        <v>Healthcare &amp; Life Sciences</v>
      </c>
      <c r="B335" s="5" t="str">
        <f aca="false">01_Data!C335</f>
        <v>2024-01</v>
      </c>
      <c r="C335" s="5" t="str">
        <f aca="false">01_Data!D335</f>
        <v>FY23</v>
      </c>
      <c r="D335" s="7" t="n">
        <f aca="false">01_Data!E335</f>
        <v>115201</v>
      </c>
      <c r="E335" s="7" t="n">
        <f aca="false">01_Data!F335</f>
        <v>118018</v>
      </c>
      <c r="F335" s="7" t="n">
        <f aca="false">E335-D335</f>
        <v>2817</v>
      </c>
      <c r="G335" s="8" t="n">
        <f aca="false">IFERROR(F335/D335,0)</f>
        <v>0.0244529127351325</v>
      </c>
      <c r="H335" s="7" t="n">
        <f aca="false">01_Data!G335</f>
        <v>66946</v>
      </c>
      <c r="I335" s="7" t="n">
        <f aca="false">01_Data!H335</f>
        <v>70285</v>
      </c>
      <c r="J335" s="7" t="n">
        <f aca="false">H335-I335</f>
        <v>-3339</v>
      </c>
      <c r="K335" s="8" t="n">
        <f aca="false">IFERROR(J335/H335,0)</f>
        <v>-0.0498760194783856</v>
      </c>
      <c r="L335" s="7" t="n">
        <f aca="false">D335-H335</f>
        <v>48255</v>
      </c>
      <c r="M335" s="7" t="n">
        <f aca="false">E335-I335</f>
        <v>47733</v>
      </c>
      <c r="N335" s="7" t="n">
        <f aca="false">IFERROR(L335/D335,0)</f>
        <v>0.418876572251977</v>
      </c>
      <c r="O335" s="7" t="n">
        <f aca="false">IFERROR(M335/E335,0)</f>
        <v>0.404455252588588</v>
      </c>
      <c r="P335" s="7" t="n">
        <f aca="false">01_Data!I335+01_Data!K335+01_Data!M335+01_Data!O335+01_Data!Q335+01_Data!S335+01_Data!U335</f>
        <v>29698</v>
      </c>
      <c r="Q335" s="7" t="n">
        <f aca="false">01_Data!J335+01_Data!L335+01_Data!N335+01_Data!P335+01_Data!R335+01_Data!T335+01_Data!V335</f>
        <v>29560</v>
      </c>
      <c r="R335" s="7" t="n">
        <f aca="false">P335-Q335</f>
        <v>138</v>
      </c>
      <c r="S335" s="7" t="n">
        <f aca="false">L335-P335</f>
        <v>18557</v>
      </c>
      <c r="T335" s="7" t="n">
        <f aca="false">M335-Q335</f>
        <v>18173</v>
      </c>
      <c r="U335" s="7" t="n">
        <f aca="false">T335-S335</f>
        <v>-384</v>
      </c>
      <c r="V335" s="8" t="n">
        <f aca="false">IFERROR(U335/S335,0)</f>
        <v>-0.020692999946112</v>
      </c>
      <c r="W335" s="5" t="str">
        <f aca="false">IF(V335&lt;-0.1,"ADVERSE &gt;10%","")</f>
        <v/>
      </c>
    </row>
    <row r="336" customFormat="false" ht="15" hidden="false" customHeight="false" outlineLevel="0" collapsed="false">
      <c r="A336" s="5" t="str">
        <f aca="false">01_Data!A336</f>
        <v>Healthcare &amp; Life Sciences</v>
      </c>
      <c r="B336" s="5" t="str">
        <f aca="false">01_Data!C336</f>
        <v>2024-02</v>
      </c>
      <c r="C336" s="5" t="str">
        <f aca="false">01_Data!D336</f>
        <v>FY23</v>
      </c>
      <c r="D336" s="7" t="n">
        <f aca="false">01_Data!E336</f>
        <v>123926</v>
      </c>
      <c r="E336" s="7" t="n">
        <f aca="false">01_Data!F336</f>
        <v>119186</v>
      </c>
      <c r="F336" s="7" t="n">
        <f aca="false">E336-D336</f>
        <v>-4740</v>
      </c>
      <c r="G336" s="8" t="n">
        <f aca="false">IFERROR(F336/D336,0)</f>
        <v>-0.0382486322482772</v>
      </c>
      <c r="H336" s="7" t="n">
        <f aca="false">01_Data!G336</f>
        <v>70829</v>
      </c>
      <c r="I336" s="7" t="n">
        <f aca="false">01_Data!H336</f>
        <v>68907</v>
      </c>
      <c r="J336" s="7" t="n">
        <f aca="false">H336-I336</f>
        <v>1922</v>
      </c>
      <c r="K336" s="8" t="n">
        <f aca="false">IFERROR(J336/H336,0)</f>
        <v>0.0271357777181663</v>
      </c>
      <c r="L336" s="7" t="n">
        <f aca="false">D336-H336</f>
        <v>53097</v>
      </c>
      <c r="M336" s="7" t="n">
        <f aca="false">E336-I336</f>
        <v>50279</v>
      </c>
      <c r="N336" s="7" t="n">
        <f aca="false">IFERROR(L336/D336,0)</f>
        <v>0.428457305165986</v>
      </c>
      <c r="O336" s="7" t="n">
        <f aca="false">IFERROR(M336/E336,0)</f>
        <v>0.421853237796386</v>
      </c>
      <c r="P336" s="7" t="n">
        <f aca="false">01_Data!I336+01_Data!K336+01_Data!M336+01_Data!O336+01_Data!Q336+01_Data!S336+01_Data!U336</f>
        <v>32888</v>
      </c>
      <c r="Q336" s="7" t="n">
        <f aca="false">01_Data!J336+01_Data!L336+01_Data!N336+01_Data!P336+01_Data!R336+01_Data!T336+01_Data!V336</f>
        <v>34608</v>
      </c>
      <c r="R336" s="7" t="n">
        <f aca="false">P336-Q336</f>
        <v>-1720</v>
      </c>
      <c r="S336" s="7" t="n">
        <f aca="false">L336-P336</f>
        <v>20209</v>
      </c>
      <c r="T336" s="7" t="n">
        <f aca="false">M336-Q336</f>
        <v>15671</v>
      </c>
      <c r="U336" s="7" t="n">
        <f aca="false">T336-S336</f>
        <v>-4538</v>
      </c>
      <c r="V336" s="8" t="n">
        <f aca="false">IFERROR(U336/S336,0)</f>
        <v>-0.224553416794498</v>
      </c>
      <c r="W336" s="5" t="str">
        <f aca="false">IF(V336&lt;-0.1,"ADVERSE &gt;10%","")</f>
        <v>ADVERSE &gt;10%</v>
      </c>
    </row>
    <row r="337" customFormat="false" ht="15" hidden="false" customHeight="false" outlineLevel="0" collapsed="false">
      <c r="A337" s="5" t="str">
        <f aca="false">01_Data!A337</f>
        <v>Healthcare &amp; Life Sciences</v>
      </c>
      <c r="B337" s="5" t="str">
        <f aca="false">01_Data!C337</f>
        <v>2024-03</v>
      </c>
      <c r="C337" s="5" t="str">
        <f aca="false">01_Data!D337</f>
        <v>FY23</v>
      </c>
      <c r="D337" s="7" t="n">
        <f aca="false">01_Data!E337</f>
        <v>134438</v>
      </c>
      <c r="E337" s="7" t="n">
        <f aca="false">01_Data!F337</f>
        <v>131135</v>
      </c>
      <c r="F337" s="7" t="n">
        <f aca="false">E337-D337</f>
        <v>-3303</v>
      </c>
      <c r="G337" s="8" t="n">
        <f aca="false">IFERROR(F337/D337,0)</f>
        <v>-0.0245689462800696</v>
      </c>
      <c r="H337" s="7" t="n">
        <f aca="false">01_Data!G337</f>
        <v>72829</v>
      </c>
      <c r="I337" s="7" t="n">
        <f aca="false">01_Data!H337</f>
        <v>73757</v>
      </c>
      <c r="J337" s="7" t="n">
        <f aca="false">H337-I337</f>
        <v>-928</v>
      </c>
      <c r="K337" s="8" t="n">
        <f aca="false">IFERROR(J337/H337,0)</f>
        <v>-0.012742176880089</v>
      </c>
      <c r="L337" s="7" t="n">
        <f aca="false">D337-H337</f>
        <v>61609</v>
      </c>
      <c r="M337" s="7" t="n">
        <f aca="false">E337-I337</f>
        <v>57378</v>
      </c>
      <c r="N337" s="7" t="n">
        <f aca="false">IFERROR(L337/D337,0)</f>
        <v>0.458270727026585</v>
      </c>
      <c r="O337" s="7" t="n">
        <f aca="false">IFERROR(M337/E337,0)</f>
        <v>0.437549090631792</v>
      </c>
      <c r="P337" s="7" t="n">
        <f aca="false">01_Data!I337+01_Data!K337+01_Data!M337+01_Data!O337+01_Data!Q337+01_Data!S337+01_Data!U337</f>
        <v>33047</v>
      </c>
      <c r="Q337" s="7" t="n">
        <f aca="false">01_Data!J337+01_Data!L337+01_Data!N337+01_Data!P337+01_Data!R337+01_Data!T337+01_Data!V337</f>
        <v>34216</v>
      </c>
      <c r="R337" s="7" t="n">
        <f aca="false">P337-Q337</f>
        <v>-1169</v>
      </c>
      <c r="S337" s="7" t="n">
        <f aca="false">L337-P337</f>
        <v>28562</v>
      </c>
      <c r="T337" s="7" t="n">
        <f aca="false">M337-Q337</f>
        <v>23162</v>
      </c>
      <c r="U337" s="7" t="n">
        <f aca="false">T337-S337</f>
        <v>-5400</v>
      </c>
      <c r="V337" s="8" t="n">
        <f aca="false">IFERROR(U337/S337,0)</f>
        <v>-0.189062390588894</v>
      </c>
      <c r="W337" s="5" t="str">
        <f aca="false">IF(V337&lt;-0.1,"ADVERSE &gt;10%","")</f>
        <v>ADVERSE &gt;10%</v>
      </c>
    </row>
    <row r="338" customFormat="false" ht="15" hidden="false" customHeight="false" outlineLevel="0" collapsed="false">
      <c r="A338" s="5" t="str">
        <f aca="false">01_Data!A338</f>
        <v>Healthcare &amp; Life Sciences</v>
      </c>
      <c r="B338" s="5" t="str">
        <f aca="false">01_Data!C338</f>
        <v>2024-04</v>
      </c>
      <c r="C338" s="5" t="str">
        <f aca="false">01_Data!D338</f>
        <v>FY24</v>
      </c>
      <c r="D338" s="7" t="n">
        <f aca="false">01_Data!E338</f>
        <v>121298</v>
      </c>
      <c r="E338" s="7" t="n">
        <f aca="false">01_Data!F338</f>
        <v>121102</v>
      </c>
      <c r="F338" s="7" t="n">
        <f aca="false">E338-D338</f>
        <v>-196</v>
      </c>
      <c r="G338" s="8" t="n">
        <f aca="false">IFERROR(F338/D338,0)</f>
        <v>-0.00161585516661445</v>
      </c>
      <c r="H338" s="7" t="n">
        <f aca="false">01_Data!G338</f>
        <v>65932</v>
      </c>
      <c r="I338" s="7" t="n">
        <f aca="false">01_Data!H338</f>
        <v>64124</v>
      </c>
      <c r="J338" s="7" t="n">
        <f aca="false">H338-I338</f>
        <v>1808</v>
      </c>
      <c r="K338" s="8" t="n">
        <f aca="false">IFERROR(J338/H338,0)</f>
        <v>0.0274221925620336</v>
      </c>
      <c r="L338" s="7" t="n">
        <f aca="false">D338-H338</f>
        <v>55366</v>
      </c>
      <c r="M338" s="7" t="n">
        <f aca="false">E338-I338</f>
        <v>56978</v>
      </c>
      <c r="N338" s="7" t="n">
        <f aca="false">IFERROR(L338/D338,0)</f>
        <v>0.45644610793253</v>
      </c>
      <c r="O338" s="7" t="n">
        <f aca="false">IFERROR(M338/E338,0)</f>
        <v>0.470495945566547</v>
      </c>
      <c r="P338" s="7" t="n">
        <f aca="false">01_Data!I338+01_Data!K338+01_Data!M338+01_Data!O338+01_Data!Q338+01_Data!S338+01_Data!U338</f>
        <v>31608</v>
      </c>
      <c r="Q338" s="7" t="n">
        <f aca="false">01_Data!J338+01_Data!L338+01_Data!N338+01_Data!P338+01_Data!R338+01_Data!T338+01_Data!V338</f>
        <v>32420</v>
      </c>
      <c r="R338" s="7" t="n">
        <f aca="false">P338-Q338</f>
        <v>-812</v>
      </c>
      <c r="S338" s="7" t="n">
        <f aca="false">L338-P338</f>
        <v>23758</v>
      </c>
      <c r="T338" s="7" t="n">
        <f aca="false">M338-Q338</f>
        <v>24558</v>
      </c>
      <c r="U338" s="7" t="n">
        <f aca="false">T338-S338</f>
        <v>800</v>
      </c>
      <c r="V338" s="8" t="n">
        <f aca="false">IFERROR(U338/S338,0)</f>
        <v>0.0336728680865393</v>
      </c>
      <c r="W338" s="5" t="str">
        <f aca="false">IF(V338&lt;-0.1,"ADVERSE &gt;10%","")</f>
        <v/>
      </c>
    </row>
    <row r="339" customFormat="false" ht="15" hidden="false" customHeight="false" outlineLevel="0" collapsed="false">
      <c r="A339" s="5" t="str">
        <f aca="false">01_Data!A339</f>
        <v>Healthcare &amp; Life Sciences</v>
      </c>
      <c r="B339" s="5" t="str">
        <f aca="false">01_Data!C339</f>
        <v>2024-05</v>
      </c>
      <c r="C339" s="5" t="str">
        <f aca="false">01_Data!D339</f>
        <v>FY24</v>
      </c>
      <c r="D339" s="7" t="n">
        <f aca="false">01_Data!E339</f>
        <v>116077</v>
      </c>
      <c r="E339" s="7" t="n">
        <f aca="false">01_Data!F339</f>
        <v>121006</v>
      </c>
      <c r="F339" s="7" t="n">
        <f aca="false">E339-D339</f>
        <v>4929</v>
      </c>
      <c r="G339" s="8" t="n">
        <f aca="false">IFERROR(F339/D339,0)</f>
        <v>0.042463192535989</v>
      </c>
      <c r="H339" s="7" t="n">
        <f aca="false">01_Data!G339</f>
        <v>66168</v>
      </c>
      <c r="I339" s="7" t="n">
        <f aca="false">01_Data!H339</f>
        <v>70966</v>
      </c>
      <c r="J339" s="7" t="n">
        <f aca="false">H339-I339</f>
        <v>-4798</v>
      </c>
      <c r="K339" s="8" t="n">
        <f aca="false">IFERROR(J339/H339,0)</f>
        <v>-0.0725123926973764</v>
      </c>
      <c r="L339" s="7" t="n">
        <f aca="false">D339-H339</f>
        <v>49909</v>
      </c>
      <c r="M339" s="7" t="n">
        <f aca="false">E339-I339</f>
        <v>50040</v>
      </c>
      <c r="N339" s="7" t="n">
        <f aca="false">IFERROR(L339/D339,0)</f>
        <v>0.429964592468792</v>
      </c>
      <c r="O339" s="7" t="n">
        <f aca="false">IFERROR(M339/E339,0)</f>
        <v>0.413533213229096</v>
      </c>
      <c r="P339" s="7" t="n">
        <f aca="false">01_Data!I339+01_Data!K339+01_Data!M339+01_Data!O339+01_Data!Q339+01_Data!S339+01_Data!U339</f>
        <v>29014</v>
      </c>
      <c r="Q339" s="7" t="n">
        <f aca="false">01_Data!J339+01_Data!L339+01_Data!N339+01_Data!P339+01_Data!R339+01_Data!T339+01_Data!V339</f>
        <v>29292</v>
      </c>
      <c r="R339" s="7" t="n">
        <f aca="false">P339-Q339</f>
        <v>-278</v>
      </c>
      <c r="S339" s="7" t="n">
        <f aca="false">L339-P339</f>
        <v>20895</v>
      </c>
      <c r="T339" s="7" t="n">
        <f aca="false">M339-Q339</f>
        <v>20748</v>
      </c>
      <c r="U339" s="7" t="n">
        <f aca="false">T339-S339</f>
        <v>-147</v>
      </c>
      <c r="V339" s="8" t="n">
        <f aca="false">IFERROR(U339/S339,0)</f>
        <v>-0.00703517587939699</v>
      </c>
      <c r="W339" s="5" t="str">
        <f aca="false">IF(V339&lt;-0.1,"ADVERSE &gt;10%","")</f>
        <v/>
      </c>
    </row>
    <row r="340" customFormat="false" ht="15" hidden="false" customHeight="false" outlineLevel="0" collapsed="false">
      <c r="A340" s="5" t="str">
        <f aca="false">01_Data!A340</f>
        <v>Healthcare &amp; Life Sciences</v>
      </c>
      <c r="B340" s="5" t="str">
        <f aca="false">01_Data!C340</f>
        <v>2024-06</v>
      </c>
      <c r="C340" s="5" t="str">
        <f aca="false">01_Data!D340</f>
        <v>FY24</v>
      </c>
      <c r="D340" s="7" t="n">
        <f aca="false">01_Data!E340</f>
        <v>120696</v>
      </c>
      <c r="E340" s="7" t="n">
        <f aca="false">01_Data!F340</f>
        <v>122662</v>
      </c>
      <c r="F340" s="7" t="n">
        <f aca="false">E340-D340</f>
        <v>1966</v>
      </c>
      <c r="G340" s="8" t="n">
        <f aca="false">IFERROR(F340/D340,0)</f>
        <v>0.0162888579571817</v>
      </c>
      <c r="H340" s="7" t="n">
        <f aca="false">01_Data!G340</f>
        <v>69444</v>
      </c>
      <c r="I340" s="7" t="n">
        <f aca="false">01_Data!H340</f>
        <v>70818</v>
      </c>
      <c r="J340" s="7" t="n">
        <f aca="false">H340-I340</f>
        <v>-1374</v>
      </c>
      <c r="K340" s="8" t="n">
        <f aca="false">IFERROR(J340/H340,0)</f>
        <v>-0.0197857266286504</v>
      </c>
      <c r="L340" s="7" t="n">
        <f aca="false">D340-H340</f>
        <v>51252</v>
      </c>
      <c r="M340" s="7" t="n">
        <f aca="false">E340-I340</f>
        <v>51844</v>
      </c>
      <c r="N340" s="7" t="n">
        <f aca="false">IFERROR(L340/D340,0)</f>
        <v>0.424637104792205</v>
      </c>
      <c r="O340" s="7" t="n">
        <f aca="false">IFERROR(M340/E340,0)</f>
        <v>0.422657383704815</v>
      </c>
      <c r="P340" s="7" t="n">
        <f aca="false">01_Data!I340+01_Data!K340+01_Data!M340+01_Data!O340+01_Data!Q340+01_Data!S340+01_Data!U340</f>
        <v>32533</v>
      </c>
      <c r="Q340" s="7" t="n">
        <f aca="false">01_Data!J340+01_Data!L340+01_Data!N340+01_Data!P340+01_Data!R340+01_Data!T340+01_Data!V340</f>
        <v>32505</v>
      </c>
      <c r="R340" s="7" t="n">
        <f aca="false">P340-Q340</f>
        <v>28</v>
      </c>
      <c r="S340" s="7" t="n">
        <f aca="false">L340-P340</f>
        <v>18719</v>
      </c>
      <c r="T340" s="7" t="n">
        <f aca="false">M340-Q340</f>
        <v>19339</v>
      </c>
      <c r="U340" s="7" t="n">
        <f aca="false">T340-S340</f>
        <v>620</v>
      </c>
      <c r="V340" s="8" t="n">
        <f aca="false">IFERROR(U340/S340,0)</f>
        <v>0.0331214274266788</v>
      </c>
      <c r="W340" s="5" t="str">
        <f aca="false">IF(V340&lt;-0.1,"ADVERSE &gt;10%","")</f>
        <v/>
      </c>
    </row>
    <row r="341" customFormat="false" ht="15" hidden="false" customHeight="false" outlineLevel="0" collapsed="false">
      <c r="A341" s="5" t="str">
        <f aca="false">01_Data!A341</f>
        <v>Healthcare &amp; Life Sciences</v>
      </c>
      <c r="B341" s="5" t="str">
        <f aca="false">01_Data!C341</f>
        <v>2024-07</v>
      </c>
      <c r="C341" s="5" t="str">
        <f aca="false">01_Data!D341</f>
        <v>FY24</v>
      </c>
      <c r="D341" s="7" t="n">
        <f aca="false">01_Data!E341</f>
        <v>118553</v>
      </c>
      <c r="E341" s="7" t="n">
        <f aca="false">01_Data!F341</f>
        <v>121050</v>
      </c>
      <c r="F341" s="7" t="n">
        <f aca="false">E341-D341</f>
        <v>2497</v>
      </c>
      <c r="G341" s="8" t="n">
        <f aca="false">IFERROR(F341/D341,0)</f>
        <v>0.0210623096842762</v>
      </c>
      <c r="H341" s="7" t="n">
        <f aca="false">01_Data!G341</f>
        <v>64842</v>
      </c>
      <c r="I341" s="7" t="n">
        <f aca="false">01_Data!H341</f>
        <v>65503</v>
      </c>
      <c r="J341" s="7" t="n">
        <f aca="false">H341-I341</f>
        <v>-661</v>
      </c>
      <c r="K341" s="8" t="n">
        <f aca="false">IFERROR(J341/H341,0)</f>
        <v>-0.0101940100552111</v>
      </c>
      <c r="L341" s="7" t="n">
        <f aca="false">D341-H341</f>
        <v>53711</v>
      </c>
      <c r="M341" s="7" t="n">
        <f aca="false">E341-I341</f>
        <v>55547</v>
      </c>
      <c r="N341" s="7" t="n">
        <f aca="false">IFERROR(L341/D341,0)</f>
        <v>0.453054751883124</v>
      </c>
      <c r="O341" s="7" t="n">
        <f aca="false">IFERROR(M341/E341,0)</f>
        <v>0.458876497315159</v>
      </c>
      <c r="P341" s="7" t="n">
        <f aca="false">01_Data!I341+01_Data!K341+01_Data!M341+01_Data!O341+01_Data!Q341+01_Data!S341+01_Data!U341</f>
        <v>32519</v>
      </c>
      <c r="Q341" s="7" t="n">
        <f aca="false">01_Data!J341+01_Data!L341+01_Data!N341+01_Data!P341+01_Data!R341+01_Data!T341+01_Data!V341</f>
        <v>32655</v>
      </c>
      <c r="R341" s="7" t="n">
        <f aca="false">P341-Q341</f>
        <v>-136</v>
      </c>
      <c r="S341" s="7" t="n">
        <f aca="false">L341-P341</f>
        <v>21192</v>
      </c>
      <c r="T341" s="7" t="n">
        <f aca="false">M341-Q341</f>
        <v>22892</v>
      </c>
      <c r="U341" s="7" t="n">
        <f aca="false">T341-S341</f>
        <v>1700</v>
      </c>
      <c r="V341" s="8" t="n">
        <f aca="false">IFERROR(U341/S341,0)</f>
        <v>0.0802189505473764</v>
      </c>
      <c r="W341" s="5" t="str">
        <f aca="false">IF(V341&lt;-0.1,"ADVERSE &gt;10%","")</f>
        <v/>
      </c>
    </row>
    <row r="342" customFormat="false" ht="15" hidden="false" customHeight="false" outlineLevel="0" collapsed="false">
      <c r="A342" s="5" t="str">
        <f aca="false">01_Data!A342</f>
        <v>Healthcare &amp; Life Sciences</v>
      </c>
      <c r="B342" s="5" t="str">
        <f aca="false">01_Data!C342</f>
        <v>2024-08</v>
      </c>
      <c r="C342" s="5" t="str">
        <f aca="false">01_Data!D342</f>
        <v>FY24</v>
      </c>
      <c r="D342" s="7" t="n">
        <f aca="false">01_Data!E342</f>
        <v>115891</v>
      </c>
      <c r="E342" s="7" t="n">
        <f aca="false">01_Data!F342</f>
        <v>121655</v>
      </c>
      <c r="F342" s="7" t="n">
        <f aca="false">E342-D342</f>
        <v>5764</v>
      </c>
      <c r="G342" s="8" t="n">
        <f aca="false">IFERROR(F342/D342,0)</f>
        <v>0.0497363902287494</v>
      </c>
      <c r="H342" s="7" t="n">
        <f aca="false">01_Data!G342</f>
        <v>65627</v>
      </c>
      <c r="I342" s="7" t="n">
        <f aca="false">01_Data!H342</f>
        <v>70464</v>
      </c>
      <c r="J342" s="7" t="n">
        <f aca="false">H342-I342</f>
        <v>-4837</v>
      </c>
      <c r="K342" s="8" t="n">
        <f aca="false">IFERROR(J342/H342,0)</f>
        <v>-0.0737044204367105</v>
      </c>
      <c r="L342" s="7" t="n">
        <f aca="false">D342-H342</f>
        <v>50264</v>
      </c>
      <c r="M342" s="7" t="n">
        <f aca="false">E342-I342</f>
        <v>51191</v>
      </c>
      <c r="N342" s="7" t="n">
        <f aca="false">IFERROR(L342/D342,0)</f>
        <v>0.433717890086374</v>
      </c>
      <c r="O342" s="7" t="n">
        <f aca="false">IFERROR(M342/E342,0)</f>
        <v>0.420788294767991</v>
      </c>
      <c r="P342" s="7" t="n">
        <f aca="false">01_Data!I342+01_Data!K342+01_Data!M342+01_Data!O342+01_Data!Q342+01_Data!S342+01_Data!U342</f>
        <v>29627</v>
      </c>
      <c r="Q342" s="7" t="n">
        <f aca="false">01_Data!J342+01_Data!L342+01_Data!N342+01_Data!P342+01_Data!R342+01_Data!T342+01_Data!V342</f>
        <v>29969</v>
      </c>
      <c r="R342" s="7" t="n">
        <f aca="false">P342-Q342</f>
        <v>-342</v>
      </c>
      <c r="S342" s="7" t="n">
        <f aca="false">L342-P342</f>
        <v>20637</v>
      </c>
      <c r="T342" s="7" t="n">
        <f aca="false">M342-Q342</f>
        <v>21222</v>
      </c>
      <c r="U342" s="7" t="n">
        <f aca="false">T342-S342</f>
        <v>585</v>
      </c>
      <c r="V342" s="8" t="n">
        <f aca="false">IFERROR(U342/S342,0)</f>
        <v>0.028347143480157</v>
      </c>
      <c r="W342" s="5" t="str">
        <f aca="false">IF(V342&lt;-0.1,"ADVERSE &gt;10%","")</f>
        <v/>
      </c>
    </row>
    <row r="343" customFormat="false" ht="15" hidden="false" customHeight="false" outlineLevel="0" collapsed="false">
      <c r="A343" s="5" t="str">
        <f aca="false">01_Data!A343</f>
        <v>Healthcare &amp; Life Sciences</v>
      </c>
      <c r="B343" s="5" t="str">
        <f aca="false">01_Data!C343</f>
        <v>2024-09</v>
      </c>
      <c r="C343" s="5" t="str">
        <f aca="false">01_Data!D343</f>
        <v>FY24</v>
      </c>
      <c r="D343" s="7" t="n">
        <f aca="false">01_Data!E343</f>
        <v>132305</v>
      </c>
      <c r="E343" s="7" t="n">
        <f aca="false">01_Data!F343</f>
        <v>135917</v>
      </c>
      <c r="F343" s="7" t="n">
        <f aca="false">E343-D343</f>
        <v>3612</v>
      </c>
      <c r="G343" s="8" t="n">
        <f aca="false">IFERROR(F343/D343,0)</f>
        <v>0.0273005555345603</v>
      </c>
      <c r="H343" s="7" t="n">
        <f aca="false">01_Data!G343</f>
        <v>77109</v>
      </c>
      <c r="I343" s="7" t="n">
        <f aca="false">01_Data!H343</f>
        <v>80450</v>
      </c>
      <c r="J343" s="7" t="n">
        <f aca="false">H343-I343</f>
        <v>-3341</v>
      </c>
      <c r="K343" s="8" t="n">
        <f aca="false">IFERROR(J343/H343,0)</f>
        <v>-0.0433282755579764</v>
      </c>
      <c r="L343" s="7" t="n">
        <f aca="false">D343-H343</f>
        <v>55196</v>
      </c>
      <c r="M343" s="7" t="n">
        <f aca="false">E343-I343</f>
        <v>55467</v>
      </c>
      <c r="N343" s="7" t="n">
        <f aca="false">IFERROR(L343/D343,0)</f>
        <v>0.417187559049167</v>
      </c>
      <c r="O343" s="7" t="n">
        <f aca="false">IFERROR(M343/E343,0)</f>
        <v>0.40809464599719</v>
      </c>
      <c r="P343" s="7" t="n">
        <f aca="false">01_Data!I343+01_Data!K343+01_Data!M343+01_Data!O343+01_Data!Q343+01_Data!S343+01_Data!U343</f>
        <v>34013</v>
      </c>
      <c r="Q343" s="7" t="n">
        <f aca="false">01_Data!J343+01_Data!L343+01_Data!N343+01_Data!P343+01_Data!R343+01_Data!T343+01_Data!V343</f>
        <v>35214</v>
      </c>
      <c r="R343" s="7" t="n">
        <f aca="false">P343-Q343</f>
        <v>-1201</v>
      </c>
      <c r="S343" s="7" t="n">
        <f aca="false">L343-P343</f>
        <v>21183</v>
      </c>
      <c r="T343" s="7" t="n">
        <f aca="false">M343-Q343</f>
        <v>20253</v>
      </c>
      <c r="U343" s="7" t="n">
        <f aca="false">T343-S343</f>
        <v>-930</v>
      </c>
      <c r="V343" s="8" t="n">
        <f aca="false">IFERROR(U343/S343,0)</f>
        <v>-0.0439031298682906</v>
      </c>
      <c r="W343" s="5" t="str">
        <f aca="false">IF(V343&lt;-0.1,"ADVERSE &gt;10%","")</f>
        <v/>
      </c>
    </row>
    <row r="344" customFormat="false" ht="15" hidden="false" customHeight="false" outlineLevel="0" collapsed="false">
      <c r="A344" s="5" t="str">
        <f aca="false">01_Data!A344</f>
        <v>Healthcare &amp; Life Sciences</v>
      </c>
      <c r="B344" s="5" t="str">
        <f aca="false">01_Data!C344</f>
        <v>2024-10</v>
      </c>
      <c r="C344" s="5" t="str">
        <f aca="false">01_Data!D344</f>
        <v>FY24</v>
      </c>
      <c r="D344" s="7" t="n">
        <f aca="false">01_Data!E344</f>
        <v>116376</v>
      </c>
      <c r="E344" s="7" t="n">
        <f aca="false">01_Data!F344</f>
        <v>122250</v>
      </c>
      <c r="F344" s="7" t="n">
        <f aca="false">E344-D344</f>
        <v>5874</v>
      </c>
      <c r="G344" s="8" t="n">
        <f aca="false">IFERROR(F344/D344,0)</f>
        <v>0.0504743246030109</v>
      </c>
      <c r="H344" s="7" t="n">
        <f aca="false">01_Data!G344</f>
        <v>63212</v>
      </c>
      <c r="I344" s="7" t="n">
        <f aca="false">01_Data!H344</f>
        <v>64375</v>
      </c>
      <c r="J344" s="7" t="n">
        <f aca="false">H344-I344</f>
        <v>-1163</v>
      </c>
      <c r="K344" s="8" t="n">
        <f aca="false">IFERROR(J344/H344,0)</f>
        <v>-0.0183984053660697</v>
      </c>
      <c r="L344" s="7" t="n">
        <f aca="false">D344-H344</f>
        <v>53164</v>
      </c>
      <c r="M344" s="7" t="n">
        <f aca="false">E344-I344</f>
        <v>57875</v>
      </c>
      <c r="N344" s="7" t="n">
        <f aca="false">IFERROR(L344/D344,0)</f>
        <v>0.456829586856397</v>
      </c>
      <c r="O344" s="7" t="n">
        <f aca="false">IFERROR(M344/E344,0)</f>
        <v>0.473415132924335</v>
      </c>
      <c r="P344" s="7" t="n">
        <f aca="false">01_Data!I344+01_Data!K344+01_Data!M344+01_Data!O344+01_Data!Q344+01_Data!S344+01_Data!U344</f>
        <v>31363</v>
      </c>
      <c r="Q344" s="7" t="n">
        <f aca="false">01_Data!J344+01_Data!L344+01_Data!N344+01_Data!P344+01_Data!R344+01_Data!T344+01_Data!V344</f>
        <v>32885</v>
      </c>
      <c r="R344" s="7" t="n">
        <f aca="false">P344-Q344</f>
        <v>-1522</v>
      </c>
      <c r="S344" s="7" t="n">
        <f aca="false">L344-P344</f>
        <v>21801</v>
      </c>
      <c r="T344" s="7" t="n">
        <f aca="false">M344-Q344</f>
        <v>24990</v>
      </c>
      <c r="U344" s="7" t="n">
        <f aca="false">T344-S344</f>
        <v>3189</v>
      </c>
      <c r="V344" s="8" t="n">
        <f aca="false">IFERROR(U344/S344,0)</f>
        <v>0.146277693683776</v>
      </c>
      <c r="W344" s="5" t="str">
        <f aca="false">IF(V344&lt;-0.1,"ADVERSE &gt;10%","")</f>
        <v/>
      </c>
    </row>
    <row r="345" customFormat="false" ht="15" hidden="false" customHeight="false" outlineLevel="0" collapsed="false">
      <c r="A345" s="5" t="str">
        <f aca="false">01_Data!A345</f>
        <v>Healthcare &amp; Life Sciences</v>
      </c>
      <c r="B345" s="5" t="str">
        <f aca="false">01_Data!C345</f>
        <v>2024-11</v>
      </c>
      <c r="C345" s="5" t="str">
        <f aca="false">01_Data!D345</f>
        <v>FY24</v>
      </c>
      <c r="D345" s="7" t="n">
        <f aca="false">01_Data!E345</f>
        <v>119446</v>
      </c>
      <c r="E345" s="7" t="n">
        <f aca="false">01_Data!F345</f>
        <v>121730</v>
      </c>
      <c r="F345" s="7" t="n">
        <f aca="false">E345-D345</f>
        <v>2284</v>
      </c>
      <c r="G345" s="8" t="n">
        <f aca="false">IFERROR(F345/D345,0)</f>
        <v>0.0191216114394789</v>
      </c>
      <c r="H345" s="7" t="n">
        <f aca="false">01_Data!G345</f>
        <v>70662</v>
      </c>
      <c r="I345" s="7" t="n">
        <f aca="false">01_Data!H345</f>
        <v>72905</v>
      </c>
      <c r="J345" s="7" t="n">
        <f aca="false">H345-I345</f>
        <v>-2243</v>
      </c>
      <c r="K345" s="8" t="n">
        <f aca="false">IFERROR(J345/H345,0)</f>
        <v>-0.0317426622512807</v>
      </c>
      <c r="L345" s="7" t="n">
        <f aca="false">D345-H345</f>
        <v>48784</v>
      </c>
      <c r="M345" s="7" t="n">
        <f aca="false">E345-I345</f>
        <v>48825</v>
      </c>
      <c r="N345" s="7" t="n">
        <f aca="false">IFERROR(L345/D345,0)</f>
        <v>0.408418867103126</v>
      </c>
      <c r="O345" s="7" t="n">
        <f aca="false">IFERROR(M345/E345,0)</f>
        <v>0.401092581943646</v>
      </c>
      <c r="P345" s="7" t="n">
        <f aca="false">01_Data!I345+01_Data!K345+01_Data!M345+01_Data!O345+01_Data!Q345+01_Data!S345+01_Data!U345</f>
        <v>33202</v>
      </c>
      <c r="Q345" s="7" t="n">
        <f aca="false">01_Data!J345+01_Data!L345+01_Data!N345+01_Data!P345+01_Data!R345+01_Data!T345+01_Data!V345</f>
        <v>32995</v>
      </c>
      <c r="R345" s="7" t="n">
        <f aca="false">P345-Q345</f>
        <v>207</v>
      </c>
      <c r="S345" s="7" t="n">
        <f aca="false">L345-P345</f>
        <v>15582</v>
      </c>
      <c r="T345" s="7" t="n">
        <f aca="false">M345-Q345</f>
        <v>15830</v>
      </c>
      <c r="U345" s="7" t="n">
        <f aca="false">T345-S345</f>
        <v>248</v>
      </c>
      <c r="V345" s="8" t="n">
        <f aca="false">IFERROR(U345/S345,0)</f>
        <v>0.0159158002823771</v>
      </c>
      <c r="W345" s="5" t="str">
        <f aca="false">IF(V345&lt;-0.1,"ADVERSE &gt;10%","")</f>
        <v/>
      </c>
    </row>
    <row r="346" customFormat="false" ht="15" hidden="false" customHeight="false" outlineLevel="0" collapsed="false">
      <c r="A346" s="5" t="str">
        <f aca="false">01_Data!A346</f>
        <v>Healthcare &amp; Life Sciences</v>
      </c>
      <c r="B346" s="5" t="str">
        <f aca="false">01_Data!C346</f>
        <v>2024-12</v>
      </c>
      <c r="C346" s="5" t="str">
        <f aca="false">01_Data!D346</f>
        <v>FY24</v>
      </c>
      <c r="D346" s="7" t="n">
        <f aca="false">01_Data!E346</f>
        <v>136254</v>
      </c>
      <c r="E346" s="7" t="n">
        <f aca="false">01_Data!F346</f>
        <v>132816</v>
      </c>
      <c r="F346" s="7" t="n">
        <f aca="false">E346-D346</f>
        <v>-3438</v>
      </c>
      <c r="G346" s="8" t="n">
        <f aca="false">IFERROR(F346/D346,0)</f>
        <v>-0.0252322867585539</v>
      </c>
      <c r="H346" s="7" t="n">
        <f aca="false">01_Data!G346</f>
        <v>77562</v>
      </c>
      <c r="I346" s="7" t="n">
        <f aca="false">01_Data!H346</f>
        <v>73675</v>
      </c>
      <c r="J346" s="7" t="n">
        <f aca="false">H346-I346</f>
        <v>3887</v>
      </c>
      <c r="K346" s="8" t="n">
        <f aca="false">IFERROR(J346/H346,0)</f>
        <v>0.0501147469121477</v>
      </c>
      <c r="L346" s="7" t="n">
        <f aca="false">D346-H346</f>
        <v>58692</v>
      </c>
      <c r="M346" s="7" t="n">
        <f aca="false">E346-I346</f>
        <v>59141</v>
      </c>
      <c r="N346" s="7" t="n">
        <f aca="false">IFERROR(L346/D346,0)</f>
        <v>0.430754326478489</v>
      </c>
      <c r="O346" s="7" t="n">
        <f aca="false">IFERROR(M346/E346,0)</f>
        <v>0.445285206601614</v>
      </c>
      <c r="P346" s="7" t="n">
        <f aca="false">01_Data!I346+01_Data!K346+01_Data!M346+01_Data!O346+01_Data!Q346+01_Data!S346+01_Data!U346</f>
        <v>38201</v>
      </c>
      <c r="Q346" s="7" t="n">
        <f aca="false">01_Data!J346+01_Data!L346+01_Data!N346+01_Data!P346+01_Data!R346+01_Data!T346+01_Data!V346</f>
        <v>39614</v>
      </c>
      <c r="R346" s="7" t="n">
        <f aca="false">P346-Q346</f>
        <v>-1413</v>
      </c>
      <c r="S346" s="7" t="n">
        <f aca="false">L346-P346</f>
        <v>20491</v>
      </c>
      <c r="T346" s="7" t="n">
        <f aca="false">M346-Q346</f>
        <v>19527</v>
      </c>
      <c r="U346" s="7" t="n">
        <f aca="false">T346-S346</f>
        <v>-964</v>
      </c>
      <c r="V346" s="8" t="n">
        <f aca="false">IFERROR(U346/S346,0)</f>
        <v>-0.0470450441657313</v>
      </c>
      <c r="W346" s="5" t="str">
        <f aca="false">IF(V346&lt;-0.1,"ADVERSE &gt;10%","")</f>
        <v/>
      </c>
    </row>
    <row r="347" customFormat="false" ht="15" hidden="false" customHeight="false" outlineLevel="0" collapsed="false">
      <c r="A347" s="5" t="str">
        <f aca="false">01_Data!A347</f>
        <v>Healthcare &amp; Life Sciences</v>
      </c>
      <c r="B347" s="5" t="str">
        <f aca="false">01_Data!C347</f>
        <v>2025-01</v>
      </c>
      <c r="C347" s="5" t="str">
        <f aca="false">01_Data!D347</f>
        <v>FY24</v>
      </c>
      <c r="D347" s="7" t="n">
        <f aca="false">01_Data!E347</f>
        <v>112451</v>
      </c>
      <c r="E347" s="7" t="n">
        <f aca="false">01_Data!F347</f>
        <v>118944</v>
      </c>
      <c r="F347" s="7" t="n">
        <f aca="false">E347-D347</f>
        <v>6493</v>
      </c>
      <c r="G347" s="8" t="n">
        <f aca="false">IFERROR(F347/D347,0)</f>
        <v>0.0577407048403305</v>
      </c>
      <c r="H347" s="7" t="n">
        <f aca="false">01_Data!G347</f>
        <v>66370</v>
      </c>
      <c r="I347" s="7" t="n">
        <f aca="false">01_Data!H347</f>
        <v>69899</v>
      </c>
      <c r="J347" s="7" t="n">
        <f aca="false">H347-I347</f>
        <v>-3529</v>
      </c>
      <c r="K347" s="8" t="n">
        <f aca="false">IFERROR(J347/H347,0)</f>
        <v>-0.0531716136808799</v>
      </c>
      <c r="L347" s="7" t="n">
        <f aca="false">D347-H347</f>
        <v>46081</v>
      </c>
      <c r="M347" s="7" t="n">
        <f aca="false">E347-I347</f>
        <v>49045</v>
      </c>
      <c r="N347" s="7" t="n">
        <f aca="false">IFERROR(L347/D347,0)</f>
        <v>0.409787374056256</v>
      </c>
      <c r="O347" s="7" t="n">
        <f aca="false">IFERROR(M347/E347,0)</f>
        <v>0.412336898036051</v>
      </c>
      <c r="P347" s="7" t="n">
        <f aca="false">01_Data!I347+01_Data!K347+01_Data!M347+01_Data!O347+01_Data!Q347+01_Data!S347+01_Data!U347</f>
        <v>31730</v>
      </c>
      <c r="Q347" s="7" t="n">
        <f aca="false">01_Data!J347+01_Data!L347+01_Data!N347+01_Data!P347+01_Data!R347+01_Data!T347+01_Data!V347</f>
        <v>31029</v>
      </c>
      <c r="R347" s="7" t="n">
        <f aca="false">P347-Q347</f>
        <v>701</v>
      </c>
      <c r="S347" s="7" t="n">
        <f aca="false">L347-P347</f>
        <v>14351</v>
      </c>
      <c r="T347" s="7" t="n">
        <f aca="false">M347-Q347</f>
        <v>18016</v>
      </c>
      <c r="U347" s="7" t="n">
        <f aca="false">T347-S347</f>
        <v>3665</v>
      </c>
      <c r="V347" s="8" t="n">
        <f aca="false">IFERROR(U347/S347,0)</f>
        <v>0.255382900146331</v>
      </c>
      <c r="W347" s="5" t="str">
        <f aca="false">IF(V347&lt;-0.1,"ADVERSE &gt;10%","")</f>
        <v/>
      </c>
    </row>
    <row r="348" customFormat="false" ht="15" hidden="false" customHeight="false" outlineLevel="0" collapsed="false">
      <c r="A348" s="5" t="str">
        <f aca="false">01_Data!A348</f>
        <v>Healthcare &amp; Life Sciences</v>
      </c>
      <c r="B348" s="5" t="str">
        <f aca="false">01_Data!C348</f>
        <v>2025-02</v>
      </c>
      <c r="C348" s="5" t="str">
        <f aca="false">01_Data!D348</f>
        <v>FY24</v>
      </c>
      <c r="D348" s="7" t="n">
        <f aca="false">01_Data!E348</f>
        <v>116333</v>
      </c>
      <c r="E348" s="7" t="n">
        <f aca="false">01_Data!F348</f>
        <v>118645</v>
      </c>
      <c r="F348" s="7" t="n">
        <f aca="false">E348-D348</f>
        <v>2312</v>
      </c>
      <c r="G348" s="8" t="n">
        <f aca="false">IFERROR(F348/D348,0)</f>
        <v>0.0198739824469411</v>
      </c>
      <c r="H348" s="7" t="n">
        <f aca="false">01_Data!G348</f>
        <v>62957</v>
      </c>
      <c r="I348" s="7" t="n">
        <f aca="false">01_Data!H348</f>
        <v>63770</v>
      </c>
      <c r="J348" s="7" t="n">
        <f aca="false">H348-I348</f>
        <v>-813</v>
      </c>
      <c r="K348" s="8" t="n">
        <f aca="false">IFERROR(J348/H348,0)</f>
        <v>-0.0129135759327795</v>
      </c>
      <c r="L348" s="7" t="n">
        <f aca="false">D348-H348</f>
        <v>53376</v>
      </c>
      <c r="M348" s="7" t="n">
        <f aca="false">E348-I348</f>
        <v>54875</v>
      </c>
      <c r="N348" s="7" t="n">
        <f aca="false">IFERROR(L348/D348,0)</f>
        <v>0.458820798913464</v>
      </c>
      <c r="O348" s="7" t="n">
        <f aca="false">IFERROR(M348/E348,0)</f>
        <v>0.462514223102533</v>
      </c>
      <c r="P348" s="7" t="n">
        <f aca="false">01_Data!I348+01_Data!K348+01_Data!M348+01_Data!O348+01_Data!Q348+01_Data!S348+01_Data!U348</f>
        <v>30428</v>
      </c>
      <c r="Q348" s="7" t="n">
        <f aca="false">01_Data!J348+01_Data!L348+01_Data!N348+01_Data!P348+01_Data!R348+01_Data!T348+01_Data!V348</f>
        <v>32752</v>
      </c>
      <c r="R348" s="7" t="n">
        <f aca="false">P348-Q348</f>
        <v>-2324</v>
      </c>
      <c r="S348" s="7" t="n">
        <f aca="false">L348-P348</f>
        <v>22948</v>
      </c>
      <c r="T348" s="7" t="n">
        <f aca="false">M348-Q348</f>
        <v>22123</v>
      </c>
      <c r="U348" s="7" t="n">
        <f aca="false">T348-S348</f>
        <v>-825</v>
      </c>
      <c r="V348" s="8" t="n">
        <f aca="false">IFERROR(U348/S348,0)</f>
        <v>-0.0359508453895764</v>
      </c>
      <c r="W348" s="5" t="str">
        <f aca="false">IF(V348&lt;-0.1,"ADVERSE &gt;10%","")</f>
        <v/>
      </c>
    </row>
    <row r="349" customFormat="false" ht="15" hidden="false" customHeight="false" outlineLevel="0" collapsed="false">
      <c r="A349" s="5" t="str">
        <f aca="false">01_Data!A349</f>
        <v>Healthcare &amp; Life Sciences</v>
      </c>
      <c r="B349" s="5" t="str">
        <f aca="false">01_Data!C349</f>
        <v>2025-03</v>
      </c>
      <c r="C349" s="5" t="str">
        <f aca="false">01_Data!D349</f>
        <v>FY24</v>
      </c>
      <c r="D349" s="7" t="n">
        <f aca="false">01_Data!E349</f>
        <v>130552</v>
      </c>
      <c r="E349" s="7" t="n">
        <f aca="false">01_Data!F349</f>
        <v>130509</v>
      </c>
      <c r="F349" s="7" t="n">
        <f aca="false">E349-D349</f>
        <v>-43</v>
      </c>
      <c r="G349" s="8" t="n">
        <f aca="false">IFERROR(F349/D349,0)</f>
        <v>-0.000329370672222563</v>
      </c>
      <c r="H349" s="7" t="n">
        <f aca="false">01_Data!G349</f>
        <v>76490</v>
      </c>
      <c r="I349" s="7" t="n">
        <f aca="false">01_Data!H349</f>
        <v>76070</v>
      </c>
      <c r="J349" s="7" t="n">
        <f aca="false">H349-I349</f>
        <v>420</v>
      </c>
      <c r="K349" s="8" t="n">
        <f aca="false">IFERROR(J349/H349,0)</f>
        <v>0.00549091384494705</v>
      </c>
      <c r="L349" s="7" t="n">
        <f aca="false">D349-H349</f>
        <v>54062</v>
      </c>
      <c r="M349" s="7" t="n">
        <f aca="false">E349-I349</f>
        <v>54439</v>
      </c>
      <c r="N349" s="7" t="n">
        <f aca="false">IFERROR(L349/D349,0)</f>
        <v>0.414103192597586</v>
      </c>
      <c r="O349" s="7" t="n">
        <f aca="false">IFERROR(M349/E349,0)</f>
        <v>0.417128320652216</v>
      </c>
      <c r="P349" s="7" t="n">
        <f aca="false">01_Data!I349+01_Data!K349+01_Data!M349+01_Data!O349+01_Data!Q349+01_Data!S349+01_Data!U349</f>
        <v>35753</v>
      </c>
      <c r="Q349" s="7" t="n">
        <f aca="false">01_Data!J349+01_Data!L349+01_Data!N349+01_Data!P349+01_Data!R349+01_Data!T349+01_Data!V349</f>
        <v>36387</v>
      </c>
      <c r="R349" s="7" t="n">
        <f aca="false">P349-Q349</f>
        <v>-634</v>
      </c>
      <c r="S349" s="7" t="n">
        <f aca="false">L349-P349</f>
        <v>18309</v>
      </c>
      <c r="T349" s="7" t="n">
        <f aca="false">M349-Q349</f>
        <v>18052</v>
      </c>
      <c r="U349" s="7" t="n">
        <f aca="false">T349-S349</f>
        <v>-257</v>
      </c>
      <c r="V349" s="8" t="n">
        <f aca="false">IFERROR(U349/S349,0)</f>
        <v>-0.0140368124965864</v>
      </c>
      <c r="W349" s="5" t="str">
        <f aca="false">IF(V349&lt;-0.1,"ADVERSE &gt;10%","")</f>
        <v/>
      </c>
    </row>
    <row r="350" customFormat="false" ht="15" hidden="false" customHeight="false" outlineLevel="0" collapsed="false">
      <c r="A350" s="5" t="str">
        <f aca="false">01_Data!A350</f>
        <v>Healthcare &amp; Life Sciences</v>
      </c>
      <c r="B350" s="5" t="str">
        <f aca="false">01_Data!C350</f>
        <v>2025-04</v>
      </c>
      <c r="C350" s="5" t="str">
        <f aca="false">01_Data!D350</f>
        <v>FY25</v>
      </c>
      <c r="D350" s="7" t="n">
        <f aca="false">01_Data!E350</f>
        <v>122022</v>
      </c>
      <c r="E350" s="7" t="n">
        <f aca="false">01_Data!F350</f>
        <v>117182</v>
      </c>
      <c r="F350" s="7" t="n">
        <f aca="false">E350-D350</f>
        <v>-4840</v>
      </c>
      <c r="G350" s="8" t="n">
        <f aca="false">IFERROR(F350/D350,0)</f>
        <v>-0.0396649784465096</v>
      </c>
      <c r="H350" s="7" t="n">
        <f aca="false">01_Data!G350</f>
        <v>66585</v>
      </c>
      <c r="I350" s="7" t="n">
        <f aca="false">01_Data!H350</f>
        <v>63574</v>
      </c>
      <c r="J350" s="7" t="n">
        <f aca="false">H350-I350</f>
        <v>3011</v>
      </c>
      <c r="K350" s="8" t="n">
        <f aca="false">IFERROR(J350/H350,0)</f>
        <v>0.0452203949838552</v>
      </c>
      <c r="L350" s="7" t="n">
        <f aca="false">D350-H350</f>
        <v>55437</v>
      </c>
      <c r="M350" s="7" t="n">
        <f aca="false">E350-I350</f>
        <v>53608</v>
      </c>
      <c r="N350" s="7" t="n">
        <f aca="false">IFERROR(L350/D350,0)</f>
        <v>0.454319712838668</v>
      </c>
      <c r="O350" s="7" t="n">
        <f aca="false">IFERROR(M350/E350,0)</f>
        <v>0.457476404225905</v>
      </c>
      <c r="P350" s="7" t="n">
        <f aca="false">01_Data!I350+01_Data!K350+01_Data!M350+01_Data!O350+01_Data!Q350+01_Data!S350+01_Data!U350</f>
        <v>30829</v>
      </c>
      <c r="Q350" s="7" t="n">
        <f aca="false">01_Data!J350+01_Data!L350+01_Data!N350+01_Data!P350+01_Data!R350+01_Data!T350+01_Data!V350</f>
        <v>31957</v>
      </c>
      <c r="R350" s="7" t="n">
        <f aca="false">P350-Q350</f>
        <v>-1128</v>
      </c>
      <c r="S350" s="7" t="n">
        <f aca="false">L350-P350</f>
        <v>24608</v>
      </c>
      <c r="T350" s="7" t="n">
        <f aca="false">M350-Q350</f>
        <v>21651</v>
      </c>
      <c r="U350" s="7" t="n">
        <f aca="false">T350-S350</f>
        <v>-2957</v>
      </c>
      <c r="V350" s="8" t="n">
        <f aca="false">IFERROR(U350/S350,0)</f>
        <v>-0.120164174252276</v>
      </c>
      <c r="W350" s="5" t="str">
        <f aca="false">IF(V350&lt;-0.1,"ADVERSE &gt;10%","")</f>
        <v>ADVERSE &gt;10%</v>
      </c>
    </row>
    <row r="351" customFormat="false" ht="15" hidden="false" customHeight="false" outlineLevel="0" collapsed="false">
      <c r="A351" s="5" t="str">
        <f aca="false">01_Data!A351</f>
        <v>Healthcare &amp; Life Sciences</v>
      </c>
      <c r="B351" s="5" t="str">
        <f aca="false">01_Data!C351</f>
        <v>2025-05</v>
      </c>
      <c r="C351" s="5" t="str">
        <f aca="false">01_Data!D351</f>
        <v>FY25</v>
      </c>
      <c r="D351" s="7" t="n">
        <f aca="false">01_Data!E351</f>
        <v>114485</v>
      </c>
      <c r="E351" s="7" t="n">
        <f aca="false">01_Data!F351</f>
        <v>119048</v>
      </c>
      <c r="F351" s="7" t="n">
        <f aca="false">E351-D351</f>
        <v>4563</v>
      </c>
      <c r="G351" s="8" t="n">
        <f aca="false">IFERROR(F351/D351,0)</f>
        <v>0.0398567497925492</v>
      </c>
      <c r="H351" s="7" t="n">
        <f aca="false">01_Data!G351</f>
        <v>61950</v>
      </c>
      <c r="I351" s="7" t="n">
        <f aca="false">01_Data!H351</f>
        <v>66224</v>
      </c>
      <c r="J351" s="7" t="n">
        <f aca="false">H351-I351</f>
        <v>-4274</v>
      </c>
      <c r="K351" s="8" t="n">
        <f aca="false">IFERROR(J351/H351,0)</f>
        <v>-0.0689911218724778</v>
      </c>
      <c r="L351" s="7" t="n">
        <f aca="false">D351-H351</f>
        <v>52535</v>
      </c>
      <c r="M351" s="7" t="n">
        <f aca="false">E351-I351</f>
        <v>52824</v>
      </c>
      <c r="N351" s="7" t="n">
        <f aca="false">IFERROR(L351/D351,0)</f>
        <v>0.45888107612351</v>
      </c>
      <c r="O351" s="7" t="n">
        <f aca="false">IFERROR(M351/E351,0)</f>
        <v>0.443720180095424</v>
      </c>
      <c r="P351" s="7" t="n">
        <f aca="false">01_Data!I351+01_Data!K351+01_Data!M351+01_Data!O351+01_Data!Q351+01_Data!S351+01_Data!U351</f>
        <v>32220</v>
      </c>
      <c r="Q351" s="7" t="n">
        <f aca="false">01_Data!J351+01_Data!L351+01_Data!N351+01_Data!P351+01_Data!R351+01_Data!T351+01_Data!V351</f>
        <v>33518</v>
      </c>
      <c r="R351" s="7" t="n">
        <f aca="false">P351-Q351</f>
        <v>-1298</v>
      </c>
      <c r="S351" s="7" t="n">
        <f aca="false">L351-P351</f>
        <v>20315</v>
      </c>
      <c r="T351" s="7" t="n">
        <f aca="false">M351-Q351</f>
        <v>19306</v>
      </c>
      <c r="U351" s="7" t="n">
        <f aca="false">T351-S351</f>
        <v>-1009</v>
      </c>
      <c r="V351" s="8" t="n">
        <f aca="false">IFERROR(U351/S351,0)</f>
        <v>-0.0496677332020674</v>
      </c>
      <c r="W351" s="5" t="str">
        <f aca="false">IF(V351&lt;-0.1,"ADVERSE &gt;10%","")</f>
        <v/>
      </c>
    </row>
    <row r="352" customFormat="false" ht="15" hidden="false" customHeight="false" outlineLevel="0" collapsed="false">
      <c r="A352" s="5" t="str">
        <f aca="false">01_Data!A352</f>
        <v>Healthcare &amp; Life Sciences</v>
      </c>
      <c r="B352" s="5" t="str">
        <f aca="false">01_Data!C352</f>
        <v>2025-06</v>
      </c>
      <c r="C352" s="5" t="str">
        <f aca="false">01_Data!D352</f>
        <v>FY25</v>
      </c>
      <c r="D352" s="7" t="n">
        <f aca="false">01_Data!E352</f>
        <v>114001</v>
      </c>
      <c r="E352" s="7" t="n">
        <f aca="false">01_Data!F352</f>
        <v>119033</v>
      </c>
      <c r="F352" s="7" t="n">
        <f aca="false">E352-D352</f>
        <v>5032</v>
      </c>
      <c r="G352" s="8" t="n">
        <f aca="false">IFERROR(F352/D352,0)</f>
        <v>0.0441399636845291</v>
      </c>
      <c r="H352" s="7" t="n">
        <f aca="false">01_Data!G352</f>
        <v>62590</v>
      </c>
      <c r="I352" s="7" t="n">
        <f aca="false">01_Data!H352</f>
        <v>67051</v>
      </c>
      <c r="J352" s="7" t="n">
        <f aca="false">H352-I352</f>
        <v>-4461</v>
      </c>
      <c r="K352" s="8" t="n">
        <f aca="false">IFERROR(J352/H352,0)</f>
        <v>-0.0712733663524525</v>
      </c>
      <c r="L352" s="7" t="n">
        <f aca="false">D352-H352</f>
        <v>51411</v>
      </c>
      <c r="M352" s="7" t="n">
        <f aca="false">E352-I352</f>
        <v>51982</v>
      </c>
      <c r="N352" s="7" t="n">
        <f aca="false">IFERROR(L352/D352,0)</f>
        <v>0.450969728335716</v>
      </c>
      <c r="O352" s="7" t="n">
        <f aca="false">IFERROR(M352/E352,0)</f>
        <v>0.436702427058043</v>
      </c>
      <c r="P352" s="7" t="n">
        <f aca="false">01_Data!I352+01_Data!K352+01_Data!M352+01_Data!O352+01_Data!Q352+01_Data!S352+01_Data!U352</f>
        <v>28758</v>
      </c>
      <c r="Q352" s="7" t="n">
        <f aca="false">01_Data!J352+01_Data!L352+01_Data!N352+01_Data!P352+01_Data!R352+01_Data!T352+01_Data!V352</f>
        <v>29374</v>
      </c>
      <c r="R352" s="7" t="n">
        <f aca="false">P352-Q352</f>
        <v>-616</v>
      </c>
      <c r="S352" s="7" t="n">
        <f aca="false">L352-P352</f>
        <v>22653</v>
      </c>
      <c r="T352" s="7" t="n">
        <f aca="false">M352-Q352</f>
        <v>22608</v>
      </c>
      <c r="U352" s="7" t="n">
        <f aca="false">T352-S352</f>
        <v>-45</v>
      </c>
      <c r="V352" s="8" t="n">
        <f aca="false">IFERROR(U352/S352,0)</f>
        <v>-0.00198649185538339</v>
      </c>
      <c r="W352" s="5" t="str">
        <f aca="false">IF(V352&lt;-0.1,"ADVERSE &gt;10%","")</f>
        <v/>
      </c>
    </row>
    <row r="353" customFormat="false" ht="15" hidden="false" customHeight="false" outlineLevel="0" collapsed="false">
      <c r="A353" s="5" t="str">
        <f aca="false">01_Data!A353</f>
        <v>Healthcare &amp; Life Sciences</v>
      </c>
      <c r="B353" s="5" t="str">
        <f aca="false">01_Data!C353</f>
        <v>2025-07</v>
      </c>
      <c r="C353" s="5" t="str">
        <f aca="false">01_Data!D353</f>
        <v>FY25</v>
      </c>
      <c r="D353" s="7" t="n">
        <f aca="false">01_Data!E353</f>
        <v>123101</v>
      </c>
      <c r="E353" s="7" t="n">
        <f aca="false">01_Data!F353</f>
        <v>118450</v>
      </c>
      <c r="F353" s="7" t="n">
        <f aca="false">E353-D353</f>
        <v>-4651</v>
      </c>
      <c r="G353" s="8" t="n">
        <f aca="false">IFERROR(F353/D353,0)</f>
        <v>-0.0377819838993997</v>
      </c>
      <c r="H353" s="7" t="n">
        <f aca="false">01_Data!G353</f>
        <v>69903</v>
      </c>
      <c r="I353" s="7" t="n">
        <f aca="false">01_Data!H353</f>
        <v>68208</v>
      </c>
      <c r="J353" s="7" t="n">
        <f aca="false">H353-I353</f>
        <v>1695</v>
      </c>
      <c r="K353" s="8" t="n">
        <f aca="false">IFERROR(J353/H353,0)</f>
        <v>0.0242478863568087</v>
      </c>
      <c r="L353" s="7" t="n">
        <f aca="false">D353-H353</f>
        <v>53198</v>
      </c>
      <c r="M353" s="7" t="n">
        <f aca="false">E353-I353</f>
        <v>50242</v>
      </c>
      <c r="N353" s="7" t="n">
        <f aca="false">IFERROR(L353/D353,0)</f>
        <v>0.432149210810635</v>
      </c>
      <c r="O353" s="7" t="n">
        <f aca="false">IFERROR(M353/E353,0)</f>
        <v>0.424162093710426</v>
      </c>
      <c r="P353" s="7" t="n">
        <f aca="false">01_Data!I353+01_Data!K353+01_Data!M353+01_Data!O353+01_Data!Q353+01_Data!S353+01_Data!U353</f>
        <v>31270</v>
      </c>
      <c r="Q353" s="7" t="n">
        <f aca="false">01_Data!J353+01_Data!L353+01_Data!N353+01_Data!P353+01_Data!R353+01_Data!T353+01_Data!V353</f>
        <v>32078</v>
      </c>
      <c r="R353" s="7" t="n">
        <f aca="false">P353-Q353</f>
        <v>-808</v>
      </c>
      <c r="S353" s="7" t="n">
        <f aca="false">L353-P353</f>
        <v>21928</v>
      </c>
      <c r="T353" s="7" t="n">
        <f aca="false">M353-Q353</f>
        <v>18164</v>
      </c>
      <c r="U353" s="7" t="n">
        <f aca="false">T353-S353</f>
        <v>-3764</v>
      </c>
      <c r="V353" s="8" t="n">
        <f aca="false">IFERROR(U353/S353,0)</f>
        <v>-0.171652681503101</v>
      </c>
      <c r="W353" s="5" t="str">
        <f aca="false">IF(V353&lt;-0.1,"ADVERSE &gt;10%","")</f>
        <v>ADVERSE &gt;10%</v>
      </c>
    </row>
    <row r="354" customFormat="false" ht="15" hidden="false" customHeight="false" outlineLevel="0" collapsed="false">
      <c r="A354" s="5" t="str">
        <f aca="false">01_Data!A354</f>
        <v>Healthcare &amp; Life Sciences</v>
      </c>
      <c r="B354" s="5" t="str">
        <f aca="false">01_Data!C354</f>
        <v>2025-08</v>
      </c>
      <c r="C354" s="5" t="str">
        <f aca="false">01_Data!D354</f>
        <v>FY25</v>
      </c>
      <c r="D354" s="7" t="n">
        <f aca="false">01_Data!E354</f>
        <v>118528</v>
      </c>
      <c r="E354" s="7" t="n">
        <f aca="false">01_Data!F354</f>
        <v>117100</v>
      </c>
      <c r="F354" s="7" t="n">
        <f aca="false">E354-D354</f>
        <v>-1428</v>
      </c>
      <c r="G354" s="8" t="n">
        <f aca="false">IFERROR(F354/D354,0)</f>
        <v>-0.0120477861771058</v>
      </c>
      <c r="H354" s="7" t="n">
        <f aca="false">01_Data!G354</f>
        <v>70172</v>
      </c>
      <c r="I354" s="7" t="n">
        <f aca="false">01_Data!H354</f>
        <v>72258</v>
      </c>
      <c r="J354" s="7" t="n">
        <f aca="false">H354-I354</f>
        <v>-2086</v>
      </c>
      <c r="K354" s="8" t="n">
        <f aca="false">IFERROR(J354/H354,0)</f>
        <v>-0.0297269566208744</v>
      </c>
      <c r="L354" s="7" t="n">
        <f aca="false">D354-H354</f>
        <v>48356</v>
      </c>
      <c r="M354" s="7" t="n">
        <f aca="false">E354-I354</f>
        <v>44842</v>
      </c>
      <c r="N354" s="7" t="n">
        <f aca="false">IFERROR(L354/D354,0)</f>
        <v>0.407971112311015</v>
      </c>
      <c r="O354" s="7" t="n">
        <f aca="false">IFERROR(M354/E354,0)</f>
        <v>0.382937660119556</v>
      </c>
      <c r="P354" s="7" t="n">
        <f aca="false">01_Data!I354+01_Data!K354+01_Data!M354+01_Data!O354+01_Data!Q354+01_Data!S354+01_Data!U354</f>
        <v>32308</v>
      </c>
      <c r="Q354" s="7" t="n">
        <f aca="false">01_Data!J354+01_Data!L354+01_Data!N354+01_Data!P354+01_Data!R354+01_Data!T354+01_Data!V354</f>
        <v>32701</v>
      </c>
      <c r="R354" s="7" t="n">
        <f aca="false">P354-Q354</f>
        <v>-393</v>
      </c>
      <c r="S354" s="7" t="n">
        <f aca="false">L354-P354</f>
        <v>16048</v>
      </c>
      <c r="T354" s="7" t="n">
        <f aca="false">M354-Q354</f>
        <v>12141</v>
      </c>
      <c r="U354" s="7" t="n">
        <f aca="false">T354-S354</f>
        <v>-3907</v>
      </c>
      <c r="V354" s="8" t="n">
        <f aca="false">IFERROR(U354/S354,0)</f>
        <v>-0.243457128614158</v>
      </c>
      <c r="W354" s="5" t="str">
        <f aca="false">IF(V354&lt;-0.1,"ADVERSE &gt;10%","")</f>
        <v>ADVERSE &gt;10%</v>
      </c>
    </row>
    <row r="355" customFormat="false" ht="15" hidden="false" customHeight="false" outlineLevel="0" collapsed="false">
      <c r="A355" s="5" t="str">
        <f aca="false">01_Data!A355</f>
        <v>Healthcare &amp; Life Sciences</v>
      </c>
      <c r="B355" s="5" t="str">
        <f aca="false">01_Data!C355</f>
        <v>2025-09</v>
      </c>
      <c r="C355" s="5" t="str">
        <f aca="false">01_Data!D355</f>
        <v>FY25</v>
      </c>
      <c r="D355" s="7" t="n">
        <f aca="false">01_Data!E355</f>
        <v>134296</v>
      </c>
      <c r="E355" s="7" t="n">
        <f aca="false">01_Data!F355</f>
        <v>128372</v>
      </c>
      <c r="F355" s="7" t="n">
        <f aca="false">E355-D355</f>
        <v>-5924</v>
      </c>
      <c r="G355" s="8" t="n">
        <f aca="false">IFERROR(F355/D355,0)</f>
        <v>-0.0441115148626914</v>
      </c>
      <c r="H355" s="7" t="n">
        <f aca="false">01_Data!G355</f>
        <v>74438</v>
      </c>
      <c r="I355" s="7" t="n">
        <f aca="false">01_Data!H355</f>
        <v>69372</v>
      </c>
      <c r="J355" s="7" t="n">
        <f aca="false">H355-I355</f>
        <v>5066</v>
      </c>
      <c r="K355" s="8" t="n">
        <f aca="false">IFERROR(J355/H355,0)</f>
        <v>0.0680566377387893</v>
      </c>
      <c r="L355" s="7" t="n">
        <f aca="false">D355-H355</f>
        <v>59858</v>
      </c>
      <c r="M355" s="7" t="n">
        <f aca="false">E355-I355</f>
        <v>59000</v>
      </c>
      <c r="N355" s="7" t="n">
        <f aca="false">IFERROR(L355/D355,0)</f>
        <v>0.445716923810091</v>
      </c>
      <c r="O355" s="7" t="n">
        <f aca="false">IFERROR(M355/E355,0)</f>
        <v>0.459601782320132</v>
      </c>
      <c r="P355" s="7" t="n">
        <f aca="false">01_Data!I355+01_Data!K355+01_Data!M355+01_Data!O355+01_Data!Q355+01_Data!S355+01_Data!U355</f>
        <v>37115</v>
      </c>
      <c r="Q355" s="7" t="n">
        <f aca="false">01_Data!J355+01_Data!L355+01_Data!N355+01_Data!P355+01_Data!R355+01_Data!T355+01_Data!V355</f>
        <v>36845</v>
      </c>
      <c r="R355" s="7" t="n">
        <f aca="false">P355-Q355</f>
        <v>270</v>
      </c>
      <c r="S355" s="7" t="n">
        <f aca="false">L355-P355</f>
        <v>22743</v>
      </c>
      <c r="T355" s="7" t="n">
        <f aca="false">M355-Q355</f>
        <v>22155</v>
      </c>
      <c r="U355" s="7" t="n">
        <f aca="false">T355-S355</f>
        <v>-588</v>
      </c>
      <c r="V355" s="8" t="n">
        <f aca="false">IFERROR(U355/S355,0)</f>
        <v>-0.025854108956602</v>
      </c>
      <c r="W355" s="5" t="str">
        <f aca="false">IF(V355&lt;-0.1,"ADVERSE &gt;10%","")</f>
        <v/>
      </c>
    </row>
    <row r="356" customFormat="false" ht="15" hidden="false" customHeight="false" outlineLevel="0" collapsed="false">
      <c r="A356" s="5" t="str">
        <f aca="false">01_Data!A356</f>
        <v>Healthcare &amp; Life Sciences</v>
      </c>
      <c r="B356" s="5" t="str">
        <f aca="false">01_Data!C356</f>
        <v>2025-10</v>
      </c>
      <c r="C356" s="5" t="str">
        <f aca="false">01_Data!D356</f>
        <v>FY25</v>
      </c>
      <c r="D356" s="7" t="n">
        <f aca="false">01_Data!E356</f>
        <v>122867</v>
      </c>
      <c r="E356" s="7" t="n">
        <f aca="false">01_Data!F356</f>
        <v>116589</v>
      </c>
      <c r="F356" s="7" t="n">
        <f aca="false">E356-D356</f>
        <v>-6278</v>
      </c>
      <c r="G356" s="8" t="n">
        <f aca="false">IFERROR(F356/D356,0)</f>
        <v>-0.0510959004451968</v>
      </c>
      <c r="H356" s="7" t="n">
        <f aca="false">01_Data!G356</f>
        <v>68681</v>
      </c>
      <c r="I356" s="7" t="n">
        <f aca="false">01_Data!H356</f>
        <v>65311</v>
      </c>
      <c r="J356" s="7" t="n">
        <f aca="false">H356-I356</f>
        <v>3370</v>
      </c>
      <c r="K356" s="8" t="n">
        <f aca="false">IFERROR(J356/H356,0)</f>
        <v>0.0490674276728644</v>
      </c>
      <c r="L356" s="7" t="n">
        <f aca="false">D356-H356</f>
        <v>54186</v>
      </c>
      <c r="M356" s="7" t="n">
        <f aca="false">E356-I356</f>
        <v>51278</v>
      </c>
      <c r="N356" s="7" t="n">
        <f aca="false">IFERROR(L356/D356,0)</f>
        <v>0.441013453571748</v>
      </c>
      <c r="O356" s="7" t="n">
        <f aca="false">IFERROR(M356/E356,0)</f>
        <v>0.439818507749445</v>
      </c>
      <c r="P356" s="7" t="n">
        <f aca="false">01_Data!I356+01_Data!K356+01_Data!M356+01_Data!O356+01_Data!Q356+01_Data!S356+01_Data!U356</f>
        <v>35708</v>
      </c>
      <c r="Q356" s="7" t="n">
        <f aca="false">01_Data!J356+01_Data!L356+01_Data!N356+01_Data!P356+01_Data!R356+01_Data!T356+01_Data!V356</f>
        <v>38035</v>
      </c>
      <c r="R356" s="7" t="n">
        <f aca="false">P356-Q356</f>
        <v>-2327</v>
      </c>
      <c r="S356" s="7" t="n">
        <f aca="false">L356-P356</f>
        <v>18478</v>
      </c>
      <c r="T356" s="7" t="n">
        <f aca="false">M356-Q356</f>
        <v>13243</v>
      </c>
      <c r="U356" s="7" t="n">
        <f aca="false">T356-S356</f>
        <v>-5235</v>
      </c>
      <c r="V356" s="8" t="n">
        <f aca="false">IFERROR(U356/S356,0)</f>
        <v>-0.283309882021864</v>
      </c>
      <c r="W356" s="5" t="str">
        <f aca="false">IF(V356&lt;-0.1,"ADVERSE &gt;10%","")</f>
        <v>ADVERSE &gt;10%</v>
      </c>
    </row>
    <row r="357" customFormat="false" ht="15" hidden="false" customHeight="false" outlineLevel="0" collapsed="false">
      <c r="A357" s="5" t="str">
        <f aca="false">01_Data!A357</f>
        <v>Healthcare &amp; Life Sciences</v>
      </c>
      <c r="B357" s="5" t="str">
        <f aca="false">01_Data!C357</f>
        <v>2025-11</v>
      </c>
      <c r="C357" s="5" t="str">
        <f aca="false">01_Data!D357</f>
        <v>FY25</v>
      </c>
      <c r="D357" s="7" t="n">
        <f aca="false">01_Data!E357</f>
        <v>114861</v>
      </c>
      <c r="E357" s="7" t="n">
        <f aca="false">01_Data!F357</f>
        <v>118565</v>
      </c>
      <c r="F357" s="7" t="n">
        <f aca="false">E357-D357</f>
        <v>3704</v>
      </c>
      <c r="G357" s="8" t="n">
        <f aca="false">IFERROR(F357/D357,0)</f>
        <v>0.0322476732746537</v>
      </c>
      <c r="H357" s="7" t="n">
        <f aca="false">01_Data!G357</f>
        <v>65834</v>
      </c>
      <c r="I357" s="7" t="n">
        <f aca="false">01_Data!H357</f>
        <v>67419</v>
      </c>
      <c r="J357" s="7" t="n">
        <f aca="false">H357-I357</f>
        <v>-1585</v>
      </c>
      <c r="K357" s="8" t="n">
        <f aca="false">IFERROR(J357/H357,0)</f>
        <v>-0.0240757055624753</v>
      </c>
      <c r="L357" s="7" t="n">
        <f aca="false">D357-H357</f>
        <v>49027</v>
      </c>
      <c r="M357" s="7" t="n">
        <f aca="false">E357-I357</f>
        <v>51146</v>
      </c>
      <c r="N357" s="7" t="n">
        <f aca="false">IFERROR(L357/D357,0)</f>
        <v>0.426837655949365</v>
      </c>
      <c r="O357" s="7" t="n">
        <f aca="false">IFERROR(M357/E357,0)</f>
        <v>0.431375195040695</v>
      </c>
      <c r="P357" s="7" t="n">
        <f aca="false">01_Data!I357+01_Data!K357+01_Data!M357+01_Data!O357+01_Data!Q357+01_Data!S357+01_Data!U357</f>
        <v>33056</v>
      </c>
      <c r="Q357" s="7" t="n">
        <f aca="false">01_Data!J357+01_Data!L357+01_Data!N357+01_Data!P357+01_Data!R357+01_Data!T357+01_Data!V357</f>
        <v>33316</v>
      </c>
      <c r="R357" s="7" t="n">
        <f aca="false">P357-Q357</f>
        <v>-260</v>
      </c>
      <c r="S357" s="7" t="n">
        <f aca="false">L357-P357</f>
        <v>15971</v>
      </c>
      <c r="T357" s="7" t="n">
        <f aca="false">M357-Q357</f>
        <v>17830</v>
      </c>
      <c r="U357" s="7" t="n">
        <f aca="false">T357-S357</f>
        <v>1859</v>
      </c>
      <c r="V357" s="8" t="n">
        <f aca="false">IFERROR(U357/S357,0)</f>
        <v>0.116398472230919</v>
      </c>
      <c r="W357" s="5" t="str">
        <f aca="false">IF(V357&lt;-0.1,"ADVERSE &gt;10%","")</f>
        <v/>
      </c>
    </row>
    <row r="358" customFormat="false" ht="15" hidden="false" customHeight="false" outlineLevel="0" collapsed="false">
      <c r="A358" s="5" t="str">
        <f aca="false">01_Data!A358</f>
        <v>Healthcare &amp; Life Sciences</v>
      </c>
      <c r="B358" s="5" t="str">
        <f aca="false">01_Data!C358</f>
        <v>2025-12</v>
      </c>
      <c r="C358" s="5" t="str">
        <f aca="false">01_Data!D358</f>
        <v>FY25</v>
      </c>
      <c r="D358" s="7" t="n">
        <f aca="false">01_Data!E358</f>
        <v>135838</v>
      </c>
      <c r="E358" s="7" t="n">
        <f aca="false">01_Data!F358</f>
        <v>129761</v>
      </c>
      <c r="F358" s="7" t="n">
        <f aca="false">E358-D358</f>
        <v>-6077</v>
      </c>
      <c r="G358" s="8" t="n">
        <f aca="false">IFERROR(F358/D358,0)</f>
        <v>-0.0447371133261679</v>
      </c>
      <c r="H358" s="7" t="n">
        <f aca="false">01_Data!G358</f>
        <v>80817</v>
      </c>
      <c r="I358" s="7" t="n">
        <f aca="false">01_Data!H358</f>
        <v>78703</v>
      </c>
      <c r="J358" s="7" t="n">
        <f aca="false">H358-I358</f>
        <v>2114</v>
      </c>
      <c r="K358" s="8" t="n">
        <f aca="false">IFERROR(J358/H358,0)</f>
        <v>0.0261578628258906</v>
      </c>
      <c r="L358" s="7" t="n">
        <f aca="false">D358-H358</f>
        <v>55021</v>
      </c>
      <c r="M358" s="7" t="n">
        <f aca="false">E358-I358</f>
        <v>51058</v>
      </c>
      <c r="N358" s="7" t="n">
        <f aca="false">IFERROR(L358/D358,0)</f>
        <v>0.405048660904901</v>
      </c>
      <c r="O358" s="7" t="n">
        <f aca="false">IFERROR(M358/E358,0)</f>
        <v>0.393477238923868</v>
      </c>
      <c r="P358" s="7" t="n">
        <f aca="false">01_Data!I358+01_Data!K358+01_Data!M358+01_Data!O358+01_Data!Q358+01_Data!S358+01_Data!U358</f>
        <v>39090</v>
      </c>
      <c r="Q358" s="7" t="n">
        <f aca="false">01_Data!J358+01_Data!L358+01_Data!N358+01_Data!P358+01_Data!R358+01_Data!T358+01_Data!V358</f>
        <v>40846</v>
      </c>
      <c r="R358" s="7" t="n">
        <f aca="false">P358-Q358</f>
        <v>-1756</v>
      </c>
      <c r="S358" s="7" t="n">
        <f aca="false">L358-P358</f>
        <v>15931</v>
      </c>
      <c r="T358" s="7" t="n">
        <f aca="false">M358-Q358</f>
        <v>10212</v>
      </c>
      <c r="U358" s="7" t="n">
        <f aca="false">T358-S358</f>
        <v>-5719</v>
      </c>
      <c r="V358" s="8" t="n">
        <f aca="false">IFERROR(U358/S358,0)</f>
        <v>-0.358985625510012</v>
      </c>
      <c r="W358" s="5" t="str">
        <f aca="false">IF(V358&lt;-0.1,"ADVERSE &gt;10%","")</f>
        <v>ADVERSE &gt;10%</v>
      </c>
    </row>
    <row r="359" customFormat="false" ht="15" hidden="false" customHeight="false" outlineLevel="0" collapsed="false">
      <c r="A359" s="5" t="str">
        <f aca="false">01_Data!A359</f>
        <v>Healthcare &amp; Life Sciences</v>
      </c>
      <c r="B359" s="5" t="str">
        <f aca="false">01_Data!C359</f>
        <v>2026-01</v>
      </c>
      <c r="C359" s="5" t="str">
        <f aca="false">01_Data!D359</f>
        <v>FY25</v>
      </c>
      <c r="D359" s="7" t="n">
        <f aca="false">01_Data!E359</f>
        <v>119475</v>
      </c>
      <c r="E359" s="7" t="n">
        <f aca="false">01_Data!F359</f>
        <v>119384</v>
      </c>
      <c r="F359" s="7" t="n">
        <f aca="false">E359-D359</f>
        <v>-91</v>
      </c>
      <c r="G359" s="8" t="n">
        <f aca="false">IFERROR(F359/D359,0)</f>
        <v>-0.000761665620422683</v>
      </c>
      <c r="H359" s="7" t="n">
        <f aca="false">01_Data!G359</f>
        <v>67039</v>
      </c>
      <c r="I359" s="7" t="n">
        <f aca="false">01_Data!H359</f>
        <v>68194</v>
      </c>
      <c r="J359" s="7" t="n">
        <f aca="false">H359-I359</f>
        <v>-1155</v>
      </c>
      <c r="K359" s="8" t="n">
        <f aca="false">IFERROR(J359/H359,0)</f>
        <v>-0.0172287772788974</v>
      </c>
      <c r="L359" s="7" t="n">
        <f aca="false">D359-H359</f>
        <v>52436</v>
      </c>
      <c r="M359" s="7" t="n">
        <f aca="false">E359-I359</f>
        <v>51190</v>
      </c>
      <c r="N359" s="7" t="n">
        <f aca="false">IFERROR(L359/D359,0)</f>
        <v>0.438886796400921</v>
      </c>
      <c r="O359" s="7" t="n">
        <f aca="false">IFERROR(M359/E359,0)</f>
        <v>0.428784426723849</v>
      </c>
      <c r="P359" s="7" t="n">
        <f aca="false">01_Data!I359+01_Data!K359+01_Data!M359+01_Data!O359+01_Data!Q359+01_Data!S359+01_Data!U359</f>
        <v>31965</v>
      </c>
      <c r="Q359" s="7" t="n">
        <f aca="false">01_Data!J359+01_Data!L359+01_Data!N359+01_Data!P359+01_Data!R359+01_Data!T359+01_Data!V359</f>
        <v>32737</v>
      </c>
      <c r="R359" s="7" t="n">
        <f aca="false">P359-Q359</f>
        <v>-772</v>
      </c>
      <c r="S359" s="7" t="n">
        <f aca="false">L359-P359</f>
        <v>20471</v>
      </c>
      <c r="T359" s="7" t="n">
        <f aca="false">M359-Q359</f>
        <v>18453</v>
      </c>
      <c r="U359" s="7" t="n">
        <f aca="false">T359-S359</f>
        <v>-2018</v>
      </c>
      <c r="V359" s="8" t="n">
        <f aca="false">IFERROR(U359/S359,0)</f>
        <v>-0.0985784768697181</v>
      </c>
      <c r="W359" s="5" t="str">
        <f aca="false">IF(V359&lt;-0.1,"ADVERSE &gt;10%","")</f>
        <v/>
      </c>
    </row>
    <row r="360" customFormat="false" ht="15" hidden="false" customHeight="false" outlineLevel="0" collapsed="false">
      <c r="A360" s="5" t="str">
        <f aca="false">01_Data!A360</f>
        <v>Healthcare &amp; Life Sciences</v>
      </c>
      <c r="B360" s="5" t="str">
        <f aca="false">01_Data!C360</f>
        <v>2026-02</v>
      </c>
      <c r="C360" s="5" t="str">
        <f aca="false">01_Data!D360</f>
        <v>FY25</v>
      </c>
      <c r="D360" s="7" t="n">
        <f aca="false">01_Data!E360</f>
        <v>126868</v>
      </c>
      <c r="E360" s="7" t="n">
        <f aca="false">01_Data!F360</f>
        <v>120099</v>
      </c>
      <c r="F360" s="7" t="n">
        <f aca="false">E360-D360</f>
        <v>-6769</v>
      </c>
      <c r="G360" s="8" t="n">
        <f aca="false">IFERROR(F360/D360,0)</f>
        <v>-0.0533546678437431</v>
      </c>
      <c r="H360" s="7" t="n">
        <f aca="false">01_Data!G360</f>
        <v>74831</v>
      </c>
      <c r="I360" s="7" t="n">
        <f aca="false">01_Data!H360</f>
        <v>73020</v>
      </c>
      <c r="J360" s="7" t="n">
        <f aca="false">H360-I360</f>
        <v>1811</v>
      </c>
      <c r="K360" s="8" t="n">
        <f aca="false">IFERROR(J360/H360,0)</f>
        <v>0.0242012000374176</v>
      </c>
      <c r="L360" s="7" t="n">
        <f aca="false">D360-H360</f>
        <v>52037</v>
      </c>
      <c r="M360" s="7" t="n">
        <f aca="false">E360-I360</f>
        <v>47079</v>
      </c>
      <c r="N360" s="7" t="n">
        <f aca="false">IFERROR(L360/D360,0)</f>
        <v>0.410166472238862</v>
      </c>
      <c r="O360" s="7" t="n">
        <f aca="false">IFERROR(M360/E360,0)</f>
        <v>0.392001598681088</v>
      </c>
      <c r="P360" s="7" t="n">
        <f aca="false">01_Data!I360+01_Data!K360+01_Data!M360+01_Data!O360+01_Data!Q360+01_Data!S360+01_Data!U360</f>
        <v>35127</v>
      </c>
      <c r="Q360" s="7" t="n">
        <f aca="false">01_Data!J360+01_Data!L360+01_Data!N360+01_Data!P360+01_Data!R360+01_Data!T360+01_Data!V360</f>
        <v>36394</v>
      </c>
      <c r="R360" s="7" t="n">
        <f aca="false">P360-Q360</f>
        <v>-1267</v>
      </c>
      <c r="S360" s="7" t="n">
        <f aca="false">L360-P360</f>
        <v>16910</v>
      </c>
      <c r="T360" s="7" t="n">
        <f aca="false">M360-Q360</f>
        <v>10685</v>
      </c>
      <c r="U360" s="7" t="n">
        <f aca="false">T360-S360</f>
        <v>-6225</v>
      </c>
      <c r="V360" s="8" t="n">
        <f aca="false">IFERROR(U360/S360,0)</f>
        <v>-0.368125369603785</v>
      </c>
      <c r="W360" s="5" t="str">
        <f aca="false">IF(V360&lt;-0.1,"ADVERSE &gt;10%","")</f>
        <v>ADVERSE &gt;10%</v>
      </c>
    </row>
    <row r="361" customFormat="false" ht="15" hidden="false" customHeight="false" outlineLevel="0" collapsed="false">
      <c r="A361" s="5" t="str">
        <f aca="false">01_Data!A361</f>
        <v>Healthcare &amp; Life Sciences</v>
      </c>
      <c r="B361" s="5" t="str">
        <f aca="false">01_Data!C361</f>
        <v>2026-03</v>
      </c>
      <c r="C361" s="5" t="str">
        <f aca="false">01_Data!D361</f>
        <v>FY25</v>
      </c>
      <c r="D361" s="7" t="n">
        <f aca="false">01_Data!E361</f>
        <v>141589</v>
      </c>
      <c r="E361" s="7" t="n">
        <f aca="false">01_Data!F361</f>
        <v>135347</v>
      </c>
      <c r="F361" s="7" t="n">
        <f aca="false">E361-D361</f>
        <v>-6242</v>
      </c>
      <c r="G361" s="8" t="n">
        <f aca="false">IFERROR(F361/D361,0)</f>
        <v>-0.0440853456130067</v>
      </c>
      <c r="H361" s="7" t="n">
        <f aca="false">01_Data!G361</f>
        <v>78365</v>
      </c>
      <c r="I361" s="7" t="n">
        <f aca="false">01_Data!H361</f>
        <v>78620</v>
      </c>
      <c r="J361" s="7" t="n">
        <f aca="false">H361-I361</f>
        <v>-255</v>
      </c>
      <c r="K361" s="8" t="n">
        <f aca="false">IFERROR(J361/H361,0)</f>
        <v>-0.00325400370063166</v>
      </c>
      <c r="L361" s="7" t="n">
        <f aca="false">D361-H361</f>
        <v>63224</v>
      </c>
      <c r="M361" s="7" t="n">
        <f aca="false">E361-I361</f>
        <v>56727</v>
      </c>
      <c r="N361" s="7" t="n">
        <f aca="false">IFERROR(L361/D361,0)</f>
        <v>0.446531863350967</v>
      </c>
      <c r="O361" s="7" t="n">
        <f aca="false">IFERROR(M361/E361,0)</f>
        <v>0.419122699431831</v>
      </c>
      <c r="P361" s="7" t="n">
        <f aca="false">01_Data!I361+01_Data!K361+01_Data!M361+01_Data!O361+01_Data!Q361+01_Data!S361+01_Data!U361</f>
        <v>40124</v>
      </c>
      <c r="Q361" s="7" t="n">
        <f aca="false">01_Data!J361+01_Data!L361+01_Data!N361+01_Data!P361+01_Data!R361+01_Data!T361+01_Data!V361</f>
        <v>41140</v>
      </c>
      <c r="R361" s="7" t="n">
        <f aca="false">P361-Q361</f>
        <v>-1016</v>
      </c>
      <c r="S361" s="7" t="n">
        <f aca="false">L361-P361</f>
        <v>23100</v>
      </c>
      <c r="T361" s="7" t="n">
        <f aca="false">M361-Q361</f>
        <v>15587</v>
      </c>
      <c r="U361" s="7" t="n">
        <f aca="false">T361-S361</f>
        <v>-7513</v>
      </c>
      <c r="V361" s="8" t="n">
        <f aca="false">IFERROR(U361/S361,0)</f>
        <v>-0.325238095238095</v>
      </c>
      <c r="W361" s="5" t="str">
        <f aca="false">IF(V361&lt;-0.1,"ADVERSE &gt;10%","")</f>
        <v>ADVERSE &gt;10%</v>
      </c>
    </row>
    <row r="362" customFormat="false" ht="15" hidden="false" customHeight="false" outlineLevel="0" collapsed="false">
      <c r="A362" s="5" t="str">
        <f aca="false">01_Data!A362</f>
        <v>Healthcare &amp; Life Sciences</v>
      </c>
      <c r="B362" s="5" t="str">
        <f aca="false">01_Data!C362</f>
        <v>2023-04</v>
      </c>
      <c r="C362" s="5" t="str">
        <f aca="false">01_Data!D362</f>
        <v>FY23</v>
      </c>
      <c r="D362" s="7" t="n">
        <f aca="false">01_Data!E362</f>
        <v>111252</v>
      </c>
      <c r="E362" s="7" t="n">
        <f aca="false">01_Data!F362</f>
        <v>105914</v>
      </c>
      <c r="F362" s="7" t="n">
        <f aca="false">E362-D362</f>
        <v>-5338</v>
      </c>
      <c r="G362" s="8" t="n">
        <f aca="false">IFERROR(F362/D362,0)</f>
        <v>-0.0479811598892604</v>
      </c>
      <c r="H362" s="7" t="n">
        <f aca="false">01_Data!G362</f>
        <v>63105</v>
      </c>
      <c r="I362" s="7" t="n">
        <f aca="false">01_Data!H362</f>
        <v>61526</v>
      </c>
      <c r="J362" s="7" t="n">
        <f aca="false">H362-I362</f>
        <v>1579</v>
      </c>
      <c r="K362" s="8" t="n">
        <f aca="false">IFERROR(J362/H362,0)</f>
        <v>0.0250217890816892</v>
      </c>
      <c r="L362" s="7" t="n">
        <f aca="false">D362-H362</f>
        <v>48147</v>
      </c>
      <c r="M362" s="7" t="n">
        <f aca="false">E362-I362</f>
        <v>44388</v>
      </c>
      <c r="N362" s="7" t="n">
        <f aca="false">IFERROR(L362/D362,0)</f>
        <v>0.432774242260813</v>
      </c>
      <c r="O362" s="7" t="n">
        <f aca="false">IFERROR(M362/E362,0)</f>
        <v>0.419094737239647</v>
      </c>
      <c r="P362" s="7" t="n">
        <f aca="false">01_Data!I362+01_Data!K362+01_Data!M362+01_Data!O362+01_Data!Q362+01_Data!S362+01_Data!U362</f>
        <v>28972</v>
      </c>
      <c r="Q362" s="7" t="n">
        <f aca="false">01_Data!J362+01_Data!L362+01_Data!N362+01_Data!P362+01_Data!R362+01_Data!T362+01_Data!V362</f>
        <v>29760</v>
      </c>
      <c r="R362" s="7" t="n">
        <f aca="false">P362-Q362</f>
        <v>-788</v>
      </c>
      <c r="S362" s="7" t="n">
        <f aca="false">L362-P362</f>
        <v>19175</v>
      </c>
      <c r="T362" s="7" t="n">
        <f aca="false">M362-Q362</f>
        <v>14628</v>
      </c>
      <c r="U362" s="7" t="n">
        <f aca="false">T362-S362</f>
        <v>-4547</v>
      </c>
      <c r="V362" s="8" t="n">
        <f aca="false">IFERROR(U362/S362,0)</f>
        <v>-0.237131681877445</v>
      </c>
      <c r="W362" s="5" t="str">
        <f aca="false">IF(V362&lt;-0.1,"ADVERSE &gt;10%","")</f>
        <v>ADVERSE &gt;10%</v>
      </c>
    </row>
    <row r="363" customFormat="false" ht="15" hidden="false" customHeight="false" outlineLevel="0" collapsed="false">
      <c r="A363" s="5" t="str">
        <f aca="false">01_Data!A363</f>
        <v>Healthcare &amp; Life Sciences</v>
      </c>
      <c r="B363" s="5" t="str">
        <f aca="false">01_Data!C363</f>
        <v>2023-05</v>
      </c>
      <c r="C363" s="5" t="str">
        <f aca="false">01_Data!D363</f>
        <v>FY23</v>
      </c>
      <c r="D363" s="7" t="n">
        <f aca="false">01_Data!E363</f>
        <v>101542</v>
      </c>
      <c r="E363" s="7" t="n">
        <f aca="false">01_Data!F363</f>
        <v>106048</v>
      </c>
      <c r="F363" s="7" t="n">
        <f aca="false">E363-D363</f>
        <v>4506</v>
      </c>
      <c r="G363" s="8" t="n">
        <f aca="false">IFERROR(F363/D363,0)</f>
        <v>0.0443757263004471</v>
      </c>
      <c r="H363" s="7" t="n">
        <f aca="false">01_Data!G363</f>
        <v>56601</v>
      </c>
      <c r="I363" s="7" t="n">
        <f aca="false">01_Data!H363</f>
        <v>58380</v>
      </c>
      <c r="J363" s="7" t="n">
        <f aca="false">H363-I363</f>
        <v>-1779</v>
      </c>
      <c r="K363" s="8" t="n">
        <f aca="false">IFERROR(J363/H363,0)</f>
        <v>-0.0314305400964647</v>
      </c>
      <c r="L363" s="7" t="n">
        <f aca="false">D363-H363</f>
        <v>44941</v>
      </c>
      <c r="M363" s="7" t="n">
        <f aca="false">E363-I363</f>
        <v>47668</v>
      </c>
      <c r="N363" s="7" t="n">
        <f aca="false">IFERROR(L363/D363,0)</f>
        <v>0.442585334147446</v>
      </c>
      <c r="O363" s="7" t="n">
        <f aca="false">IFERROR(M363/E363,0)</f>
        <v>0.449494568497284</v>
      </c>
      <c r="P363" s="7" t="n">
        <f aca="false">01_Data!I363+01_Data!K363+01_Data!M363+01_Data!O363+01_Data!Q363+01_Data!S363+01_Data!U363</f>
        <v>27395</v>
      </c>
      <c r="Q363" s="7" t="n">
        <f aca="false">01_Data!J363+01_Data!L363+01_Data!N363+01_Data!P363+01_Data!R363+01_Data!T363+01_Data!V363</f>
        <v>28624</v>
      </c>
      <c r="R363" s="7" t="n">
        <f aca="false">P363-Q363</f>
        <v>-1229</v>
      </c>
      <c r="S363" s="7" t="n">
        <f aca="false">L363-P363</f>
        <v>17546</v>
      </c>
      <c r="T363" s="7" t="n">
        <f aca="false">M363-Q363</f>
        <v>19044</v>
      </c>
      <c r="U363" s="7" t="n">
        <f aca="false">T363-S363</f>
        <v>1498</v>
      </c>
      <c r="V363" s="8" t="n">
        <f aca="false">IFERROR(U363/S363,0)</f>
        <v>0.0853755841787302</v>
      </c>
      <c r="W363" s="5" t="str">
        <f aca="false">IF(V363&lt;-0.1,"ADVERSE &gt;10%","")</f>
        <v/>
      </c>
    </row>
    <row r="364" customFormat="false" ht="15" hidden="false" customHeight="false" outlineLevel="0" collapsed="false">
      <c r="A364" s="5" t="str">
        <f aca="false">01_Data!A364</f>
        <v>Healthcare &amp; Life Sciences</v>
      </c>
      <c r="B364" s="5" t="str">
        <f aca="false">01_Data!C364</f>
        <v>2023-06</v>
      </c>
      <c r="C364" s="5" t="str">
        <f aca="false">01_Data!D364</f>
        <v>FY23</v>
      </c>
      <c r="D364" s="7" t="n">
        <f aca="false">01_Data!E364</f>
        <v>99294</v>
      </c>
      <c r="E364" s="7" t="n">
        <f aca="false">01_Data!F364</f>
        <v>104846</v>
      </c>
      <c r="F364" s="7" t="n">
        <f aca="false">E364-D364</f>
        <v>5552</v>
      </c>
      <c r="G364" s="8" t="n">
        <f aca="false">IFERROR(F364/D364,0)</f>
        <v>0.0559147581928415</v>
      </c>
      <c r="H364" s="7" t="n">
        <f aca="false">01_Data!G364</f>
        <v>55602</v>
      </c>
      <c r="I364" s="7" t="n">
        <f aca="false">01_Data!H364</f>
        <v>57845</v>
      </c>
      <c r="J364" s="7" t="n">
        <f aca="false">H364-I364</f>
        <v>-2243</v>
      </c>
      <c r="K364" s="8" t="n">
        <f aca="false">IFERROR(J364/H364,0)</f>
        <v>-0.0403402755296572</v>
      </c>
      <c r="L364" s="7" t="n">
        <f aca="false">D364-H364</f>
        <v>43692</v>
      </c>
      <c r="M364" s="7" t="n">
        <f aca="false">E364-I364</f>
        <v>47001</v>
      </c>
      <c r="N364" s="7" t="n">
        <f aca="false">IFERROR(L364/D364,0)</f>
        <v>0.440026587709227</v>
      </c>
      <c r="O364" s="7" t="n">
        <f aca="false">IFERROR(M364/E364,0)</f>
        <v>0.448286057646453</v>
      </c>
      <c r="P364" s="7" t="n">
        <f aca="false">01_Data!I364+01_Data!K364+01_Data!M364+01_Data!O364+01_Data!Q364+01_Data!S364+01_Data!U364</f>
        <v>28496</v>
      </c>
      <c r="Q364" s="7" t="n">
        <f aca="false">01_Data!J364+01_Data!L364+01_Data!N364+01_Data!P364+01_Data!R364+01_Data!T364+01_Data!V364</f>
        <v>30438</v>
      </c>
      <c r="R364" s="7" t="n">
        <f aca="false">P364-Q364</f>
        <v>-1942</v>
      </c>
      <c r="S364" s="7" t="n">
        <f aca="false">L364-P364</f>
        <v>15196</v>
      </c>
      <c r="T364" s="7" t="n">
        <f aca="false">M364-Q364</f>
        <v>16563</v>
      </c>
      <c r="U364" s="7" t="n">
        <f aca="false">T364-S364</f>
        <v>1367</v>
      </c>
      <c r="V364" s="8" t="n">
        <f aca="false">IFERROR(U364/S364,0)</f>
        <v>0.0899578836535931</v>
      </c>
      <c r="W364" s="5" t="str">
        <f aca="false">IF(V364&lt;-0.1,"ADVERSE &gt;10%","")</f>
        <v/>
      </c>
    </row>
    <row r="365" customFormat="false" ht="15" hidden="false" customHeight="false" outlineLevel="0" collapsed="false">
      <c r="A365" s="5" t="str">
        <f aca="false">01_Data!A365</f>
        <v>Healthcare &amp; Life Sciences</v>
      </c>
      <c r="B365" s="5" t="str">
        <f aca="false">01_Data!C365</f>
        <v>2023-07</v>
      </c>
      <c r="C365" s="5" t="str">
        <f aca="false">01_Data!D365</f>
        <v>FY23</v>
      </c>
      <c r="D365" s="7" t="n">
        <f aca="false">01_Data!E365</f>
        <v>102662</v>
      </c>
      <c r="E365" s="7" t="n">
        <f aca="false">01_Data!F365</f>
        <v>105703</v>
      </c>
      <c r="F365" s="7" t="n">
        <f aca="false">E365-D365</f>
        <v>3041</v>
      </c>
      <c r="G365" s="8" t="n">
        <f aca="false">IFERROR(F365/D365,0)</f>
        <v>0.0296214763008708</v>
      </c>
      <c r="H365" s="7" t="n">
        <f aca="false">01_Data!G365</f>
        <v>58540</v>
      </c>
      <c r="I365" s="7" t="n">
        <f aca="false">01_Data!H365</f>
        <v>63077</v>
      </c>
      <c r="J365" s="7" t="n">
        <f aca="false">H365-I365</f>
        <v>-4537</v>
      </c>
      <c r="K365" s="8" t="n">
        <f aca="false">IFERROR(J365/H365,0)</f>
        <v>-0.0775025623505296</v>
      </c>
      <c r="L365" s="7" t="n">
        <f aca="false">D365-H365</f>
        <v>44122</v>
      </c>
      <c r="M365" s="7" t="n">
        <f aca="false">E365-I365</f>
        <v>42626</v>
      </c>
      <c r="N365" s="7" t="n">
        <f aca="false">IFERROR(L365/D365,0)</f>
        <v>0.429779275681362</v>
      </c>
      <c r="O365" s="7" t="n">
        <f aca="false">IFERROR(M365/E365,0)</f>
        <v>0.403261969858944</v>
      </c>
      <c r="P365" s="7" t="n">
        <f aca="false">01_Data!I365+01_Data!K365+01_Data!M365+01_Data!O365+01_Data!Q365+01_Data!S365+01_Data!U365</f>
        <v>27803</v>
      </c>
      <c r="Q365" s="7" t="n">
        <f aca="false">01_Data!J365+01_Data!L365+01_Data!N365+01_Data!P365+01_Data!R365+01_Data!T365+01_Data!V365</f>
        <v>27824</v>
      </c>
      <c r="R365" s="7" t="n">
        <f aca="false">P365-Q365</f>
        <v>-21</v>
      </c>
      <c r="S365" s="7" t="n">
        <f aca="false">L365-P365</f>
        <v>16319</v>
      </c>
      <c r="T365" s="7" t="n">
        <f aca="false">M365-Q365</f>
        <v>14802</v>
      </c>
      <c r="U365" s="7" t="n">
        <f aca="false">T365-S365</f>
        <v>-1517</v>
      </c>
      <c r="V365" s="8" t="n">
        <f aca="false">IFERROR(U365/S365,0)</f>
        <v>-0.0929591273975121</v>
      </c>
      <c r="W365" s="5" t="str">
        <f aca="false">IF(V365&lt;-0.1,"ADVERSE &gt;10%","")</f>
        <v/>
      </c>
    </row>
    <row r="366" customFormat="false" ht="15" hidden="false" customHeight="false" outlineLevel="0" collapsed="false">
      <c r="A366" s="5" t="str">
        <f aca="false">01_Data!A366</f>
        <v>Healthcare &amp; Life Sciences</v>
      </c>
      <c r="B366" s="5" t="str">
        <f aca="false">01_Data!C366</f>
        <v>2023-08</v>
      </c>
      <c r="C366" s="5" t="str">
        <f aca="false">01_Data!D366</f>
        <v>FY23</v>
      </c>
      <c r="D366" s="7" t="n">
        <f aca="false">01_Data!E366</f>
        <v>110054</v>
      </c>
      <c r="E366" s="7" t="n">
        <f aca="false">01_Data!F366</f>
        <v>106705</v>
      </c>
      <c r="F366" s="7" t="n">
        <f aca="false">E366-D366</f>
        <v>-3349</v>
      </c>
      <c r="G366" s="8" t="n">
        <f aca="false">IFERROR(F366/D366,0)</f>
        <v>-0.0304305159285442</v>
      </c>
      <c r="H366" s="7" t="n">
        <f aca="false">01_Data!G366</f>
        <v>61171</v>
      </c>
      <c r="I366" s="7" t="n">
        <f aca="false">01_Data!H366</f>
        <v>58845</v>
      </c>
      <c r="J366" s="7" t="n">
        <f aca="false">H366-I366</f>
        <v>2326</v>
      </c>
      <c r="K366" s="8" t="n">
        <f aca="false">IFERROR(J366/H366,0)</f>
        <v>0.0380245541187818</v>
      </c>
      <c r="L366" s="7" t="n">
        <f aca="false">D366-H366</f>
        <v>48883</v>
      </c>
      <c r="M366" s="7" t="n">
        <f aca="false">E366-I366</f>
        <v>47860</v>
      </c>
      <c r="N366" s="7" t="n">
        <f aca="false">IFERROR(L366/D366,0)</f>
        <v>0.444172860595708</v>
      </c>
      <c r="O366" s="7" t="n">
        <f aca="false">IFERROR(M366/E366,0)</f>
        <v>0.448526310857036</v>
      </c>
      <c r="P366" s="7" t="n">
        <f aca="false">01_Data!I366+01_Data!K366+01_Data!M366+01_Data!O366+01_Data!Q366+01_Data!S366+01_Data!U366</f>
        <v>30566</v>
      </c>
      <c r="Q366" s="7" t="n">
        <f aca="false">01_Data!J366+01_Data!L366+01_Data!N366+01_Data!P366+01_Data!R366+01_Data!T366+01_Data!V366</f>
        <v>31192</v>
      </c>
      <c r="R366" s="7" t="n">
        <f aca="false">P366-Q366</f>
        <v>-626</v>
      </c>
      <c r="S366" s="7" t="n">
        <f aca="false">L366-P366</f>
        <v>18317</v>
      </c>
      <c r="T366" s="7" t="n">
        <f aca="false">M366-Q366</f>
        <v>16668</v>
      </c>
      <c r="U366" s="7" t="n">
        <f aca="false">T366-S366</f>
        <v>-1649</v>
      </c>
      <c r="V366" s="8" t="n">
        <f aca="false">IFERROR(U366/S366,0)</f>
        <v>-0.090025659223672</v>
      </c>
      <c r="W366" s="5" t="str">
        <f aca="false">IF(V366&lt;-0.1,"ADVERSE &gt;10%","")</f>
        <v/>
      </c>
    </row>
    <row r="367" customFormat="false" ht="15" hidden="false" customHeight="false" outlineLevel="0" collapsed="false">
      <c r="A367" s="5" t="str">
        <f aca="false">01_Data!A367</f>
        <v>Healthcare &amp; Life Sciences</v>
      </c>
      <c r="B367" s="5" t="str">
        <f aca="false">01_Data!C367</f>
        <v>2023-09</v>
      </c>
      <c r="C367" s="5" t="str">
        <f aca="false">01_Data!D367</f>
        <v>FY23</v>
      </c>
      <c r="D367" s="7" t="n">
        <f aca="false">01_Data!E367</f>
        <v>123224</v>
      </c>
      <c r="E367" s="7" t="n">
        <f aca="false">01_Data!F367</f>
        <v>116312</v>
      </c>
      <c r="F367" s="7" t="n">
        <f aca="false">E367-D367</f>
        <v>-6912</v>
      </c>
      <c r="G367" s="8" t="n">
        <f aca="false">IFERROR(F367/D367,0)</f>
        <v>-0.0560929689021619</v>
      </c>
      <c r="H367" s="7" t="n">
        <f aca="false">01_Data!G367</f>
        <v>73396</v>
      </c>
      <c r="I367" s="7" t="n">
        <f aca="false">01_Data!H367</f>
        <v>67190</v>
      </c>
      <c r="J367" s="7" t="n">
        <f aca="false">H367-I367</f>
        <v>6206</v>
      </c>
      <c r="K367" s="8" t="n">
        <f aca="false">IFERROR(J367/H367,0)</f>
        <v>0.0845550166221593</v>
      </c>
      <c r="L367" s="7" t="n">
        <f aca="false">D367-H367</f>
        <v>49828</v>
      </c>
      <c r="M367" s="7" t="n">
        <f aca="false">E367-I367</f>
        <v>49122</v>
      </c>
      <c r="N367" s="7" t="n">
        <f aca="false">IFERROR(L367/D367,0)</f>
        <v>0.404369278711939</v>
      </c>
      <c r="O367" s="7" t="n">
        <f aca="false">IFERROR(M367/E367,0)</f>
        <v>0.42232959625834</v>
      </c>
      <c r="P367" s="7" t="n">
        <f aca="false">01_Data!I367+01_Data!K367+01_Data!M367+01_Data!O367+01_Data!Q367+01_Data!S367+01_Data!U367</f>
        <v>32015</v>
      </c>
      <c r="Q367" s="7" t="n">
        <f aca="false">01_Data!J367+01_Data!L367+01_Data!N367+01_Data!P367+01_Data!R367+01_Data!T367+01_Data!V367</f>
        <v>33231</v>
      </c>
      <c r="R367" s="7" t="n">
        <f aca="false">P367-Q367</f>
        <v>-1216</v>
      </c>
      <c r="S367" s="7" t="n">
        <f aca="false">L367-P367</f>
        <v>17813</v>
      </c>
      <c r="T367" s="7" t="n">
        <f aca="false">M367-Q367</f>
        <v>15891</v>
      </c>
      <c r="U367" s="7" t="n">
        <f aca="false">T367-S367</f>
        <v>-1922</v>
      </c>
      <c r="V367" s="8" t="n">
        <f aca="false">IFERROR(U367/S367,0)</f>
        <v>-0.107898725649806</v>
      </c>
      <c r="W367" s="5" t="str">
        <f aca="false">IF(V367&lt;-0.1,"ADVERSE &gt;10%","")</f>
        <v>ADVERSE &gt;10%</v>
      </c>
    </row>
    <row r="368" customFormat="false" ht="15" hidden="false" customHeight="false" outlineLevel="0" collapsed="false">
      <c r="A368" s="5" t="str">
        <f aca="false">01_Data!A368</f>
        <v>Healthcare &amp; Life Sciences</v>
      </c>
      <c r="B368" s="5" t="str">
        <f aca="false">01_Data!C368</f>
        <v>2023-10</v>
      </c>
      <c r="C368" s="5" t="str">
        <f aca="false">01_Data!D368</f>
        <v>FY23</v>
      </c>
      <c r="D368" s="7" t="n">
        <f aca="false">01_Data!E368</f>
        <v>108937</v>
      </c>
      <c r="E368" s="7" t="n">
        <f aca="false">01_Data!F368</f>
        <v>107856</v>
      </c>
      <c r="F368" s="7" t="n">
        <f aca="false">E368-D368</f>
        <v>-1081</v>
      </c>
      <c r="G368" s="8" t="n">
        <f aca="false">IFERROR(F368/D368,0)</f>
        <v>-0.00992316660087941</v>
      </c>
      <c r="H368" s="7" t="n">
        <f aca="false">01_Data!G368</f>
        <v>65177</v>
      </c>
      <c r="I368" s="7" t="n">
        <f aca="false">01_Data!H368</f>
        <v>65210</v>
      </c>
      <c r="J368" s="7" t="n">
        <f aca="false">H368-I368</f>
        <v>-33</v>
      </c>
      <c r="K368" s="8" t="n">
        <f aca="false">IFERROR(J368/H368,0)</f>
        <v>-0.000506313576875278</v>
      </c>
      <c r="L368" s="7" t="n">
        <f aca="false">D368-H368</f>
        <v>43760</v>
      </c>
      <c r="M368" s="7" t="n">
        <f aca="false">E368-I368</f>
        <v>42646</v>
      </c>
      <c r="N368" s="7" t="n">
        <f aca="false">IFERROR(L368/D368,0)</f>
        <v>0.401700065175285</v>
      </c>
      <c r="O368" s="7" t="n">
        <f aca="false">IFERROR(M368/E368,0)</f>
        <v>0.395397567126539</v>
      </c>
      <c r="P368" s="7" t="n">
        <f aca="false">01_Data!I368+01_Data!K368+01_Data!M368+01_Data!O368+01_Data!Q368+01_Data!S368+01_Data!U368</f>
        <v>28828</v>
      </c>
      <c r="Q368" s="7" t="n">
        <f aca="false">01_Data!J368+01_Data!L368+01_Data!N368+01_Data!P368+01_Data!R368+01_Data!T368+01_Data!V368</f>
        <v>30008</v>
      </c>
      <c r="R368" s="7" t="n">
        <f aca="false">P368-Q368</f>
        <v>-1180</v>
      </c>
      <c r="S368" s="7" t="n">
        <f aca="false">L368-P368</f>
        <v>14932</v>
      </c>
      <c r="T368" s="7" t="n">
        <f aca="false">M368-Q368</f>
        <v>12638</v>
      </c>
      <c r="U368" s="7" t="n">
        <f aca="false">T368-S368</f>
        <v>-2294</v>
      </c>
      <c r="V368" s="8" t="n">
        <f aca="false">IFERROR(U368/S368,0)</f>
        <v>-0.153629788373962</v>
      </c>
      <c r="W368" s="5" t="str">
        <f aca="false">IF(V368&lt;-0.1,"ADVERSE &gt;10%","")</f>
        <v>ADVERSE &gt;10%</v>
      </c>
    </row>
    <row r="369" customFormat="false" ht="15" hidden="false" customHeight="false" outlineLevel="0" collapsed="false">
      <c r="A369" s="5" t="str">
        <f aca="false">01_Data!A369</f>
        <v>Healthcare &amp; Life Sciences</v>
      </c>
      <c r="B369" s="5" t="str">
        <f aca="false">01_Data!C369</f>
        <v>2023-11</v>
      </c>
      <c r="C369" s="5" t="str">
        <f aca="false">01_Data!D369</f>
        <v>FY23</v>
      </c>
      <c r="D369" s="7" t="n">
        <f aca="false">01_Data!E369</f>
        <v>110802</v>
      </c>
      <c r="E369" s="7" t="n">
        <f aca="false">01_Data!F369</f>
        <v>106573</v>
      </c>
      <c r="F369" s="7" t="n">
        <f aca="false">E369-D369</f>
        <v>-4229</v>
      </c>
      <c r="G369" s="8" t="n">
        <f aca="false">IFERROR(F369/D369,0)</f>
        <v>-0.0381671810978141</v>
      </c>
      <c r="H369" s="7" t="n">
        <f aca="false">01_Data!G369</f>
        <v>64218</v>
      </c>
      <c r="I369" s="7" t="n">
        <f aca="false">01_Data!H369</f>
        <v>62055</v>
      </c>
      <c r="J369" s="7" t="n">
        <f aca="false">H369-I369</f>
        <v>2163</v>
      </c>
      <c r="K369" s="8" t="n">
        <f aca="false">IFERROR(J369/H369,0)</f>
        <v>0.0336821451929366</v>
      </c>
      <c r="L369" s="7" t="n">
        <f aca="false">D369-H369</f>
        <v>46584</v>
      </c>
      <c r="M369" s="7" t="n">
        <f aca="false">E369-I369</f>
        <v>44518</v>
      </c>
      <c r="N369" s="7" t="n">
        <f aca="false">IFERROR(L369/D369,0)</f>
        <v>0.420425624086208</v>
      </c>
      <c r="O369" s="7" t="n">
        <f aca="false">IFERROR(M369/E369,0)</f>
        <v>0.417723063064754</v>
      </c>
      <c r="P369" s="7" t="n">
        <f aca="false">01_Data!I369+01_Data!K369+01_Data!M369+01_Data!O369+01_Data!Q369+01_Data!S369+01_Data!U369</f>
        <v>29956</v>
      </c>
      <c r="Q369" s="7" t="n">
        <f aca="false">01_Data!J369+01_Data!L369+01_Data!N369+01_Data!P369+01_Data!R369+01_Data!T369+01_Data!V369</f>
        <v>31472</v>
      </c>
      <c r="R369" s="7" t="n">
        <f aca="false">P369-Q369</f>
        <v>-1516</v>
      </c>
      <c r="S369" s="7" t="n">
        <f aca="false">L369-P369</f>
        <v>16628</v>
      </c>
      <c r="T369" s="7" t="n">
        <f aca="false">M369-Q369</f>
        <v>13046</v>
      </c>
      <c r="U369" s="7" t="n">
        <f aca="false">T369-S369</f>
        <v>-3582</v>
      </c>
      <c r="V369" s="8" t="n">
        <f aca="false">IFERROR(U369/S369,0)</f>
        <v>-0.215419773875391</v>
      </c>
      <c r="W369" s="5" t="str">
        <f aca="false">IF(V369&lt;-0.1,"ADVERSE &gt;10%","")</f>
        <v>ADVERSE &gt;10%</v>
      </c>
    </row>
    <row r="370" customFormat="false" ht="15" hidden="false" customHeight="false" outlineLevel="0" collapsed="false">
      <c r="A370" s="5" t="str">
        <f aca="false">01_Data!A370</f>
        <v>Healthcare &amp; Life Sciences</v>
      </c>
      <c r="B370" s="5" t="str">
        <f aca="false">01_Data!C370</f>
        <v>2023-12</v>
      </c>
      <c r="C370" s="5" t="str">
        <f aca="false">01_Data!D370</f>
        <v>FY23</v>
      </c>
      <c r="D370" s="7" t="n">
        <f aca="false">01_Data!E370</f>
        <v>109472</v>
      </c>
      <c r="E370" s="7" t="n">
        <f aca="false">01_Data!F370</f>
        <v>115640</v>
      </c>
      <c r="F370" s="7" t="n">
        <f aca="false">E370-D370</f>
        <v>6168</v>
      </c>
      <c r="G370" s="8" t="n">
        <f aca="false">IFERROR(F370/D370,0)</f>
        <v>0.0563431745103771</v>
      </c>
      <c r="H370" s="7" t="n">
        <f aca="false">01_Data!G370</f>
        <v>59579</v>
      </c>
      <c r="I370" s="7" t="n">
        <f aca="false">01_Data!H370</f>
        <v>66127</v>
      </c>
      <c r="J370" s="7" t="n">
        <f aca="false">H370-I370</f>
        <v>-6548</v>
      </c>
      <c r="K370" s="8" t="n">
        <f aca="false">IFERROR(J370/H370,0)</f>
        <v>-0.109904496550798</v>
      </c>
      <c r="L370" s="7" t="n">
        <f aca="false">D370-H370</f>
        <v>49893</v>
      </c>
      <c r="M370" s="7" t="n">
        <f aca="false">E370-I370</f>
        <v>49513</v>
      </c>
      <c r="N370" s="7" t="n">
        <f aca="false">IFERROR(L370/D370,0)</f>
        <v>0.455760377082724</v>
      </c>
      <c r="O370" s="7" t="n">
        <f aca="false">IFERROR(M370/E370,0)</f>
        <v>0.428164994811484</v>
      </c>
      <c r="P370" s="7" t="n">
        <f aca="false">01_Data!I370+01_Data!K370+01_Data!M370+01_Data!O370+01_Data!Q370+01_Data!S370+01_Data!U370</f>
        <v>28972</v>
      </c>
      <c r="Q370" s="7" t="n">
        <f aca="false">01_Data!J370+01_Data!L370+01_Data!N370+01_Data!P370+01_Data!R370+01_Data!T370+01_Data!V370</f>
        <v>29339</v>
      </c>
      <c r="R370" s="7" t="n">
        <f aca="false">P370-Q370</f>
        <v>-367</v>
      </c>
      <c r="S370" s="7" t="n">
        <f aca="false">L370-P370</f>
        <v>20921</v>
      </c>
      <c r="T370" s="7" t="n">
        <f aca="false">M370-Q370</f>
        <v>20174</v>
      </c>
      <c r="U370" s="7" t="n">
        <f aca="false">T370-S370</f>
        <v>-747</v>
      </c>
      <c r="V370" s="8" t="n">
        <f aca="false">IFERROR(U370/S370,0)</f>
        <v>-0.0357057502031452</v>
      </c>
      <c r="W370" s="5" t="str">
        <f aca="false">IF(V370&lt;-0.1,"ADVERSE &gt;10%","")</f>
        <v/>
      </c>
    </row>
    <row r="371" customFormat="false" ht="15" hidden="false" customHeight="false" outlineLevel="0" collapsed="false">
      <c r="A371" s="5" t="str">
        <f aca="false">01_Data!A371</f>
        <v>Healthcare &amp; Life Sciences</v>
      </c>
      <c r="B371" s="5" t="str">
        <f aca="false">01_Data!C371</f>
        <v>2024-01</v>
      </c>
      <c r="C371" s="5" t="str">
        <f aca="false">01_Data!D371</f>
        <v>FY23</v>
      </c>
      <c r="D371" s="7" t="n">
        <f aca="false">01_Data!E371</f>
        <v>110496</v>
      </c>
      <c r="E371" s="7" t="n">
        <f aca="false">01_Data!F371</f>
        <v>106578</v>
      </c>
      <c r="F371" s="7" t="n">
        <f aca="false">E371-D371</f>
        <v>-3918</v>
      </c>
      <c r="G371" s="8" t="n">
        <f aca="false">IFERROR(F371/D371,0)</f>
        <v>-0.0354582971329279</v>
      </c>
      <c r="H371" s="7" t="n">
        <f aca="false">01_Data!G371</f>
        <v>61724</v>
      </c>
      <c r="I371" s="7" t="n">
        <f aca="false">01_Data!H371</f>
        <v>61054</v>
      </c>
      <c r="J371" s="7" t="n">
        <f aca="false">H371-I371</f>
        <v>670</v>
      </c>
      <c r="K371" s="8" t="n">
        <f aca="false">IFERROR(J371/H371,0)</f>
        <v>0.0108547728598276</v>
      </c>
      <c r="L371" s="7" t="n">
        <f aca="false">D371-H371</f>
        <v>48772</v>
      </c>
      <c r="M371" s="7" t="n">
        <f aca="false">E371-I371</f>
        <v>45524</v>
      </c>
      <c r="N371" s="7" t="n">
        <f aca="false">IFERROR(L371/D371,0)</f>
        <v>0.441391543585288</v>
      </c>
      <c r="O371" s="7" t="n">
        <f aca="false">IFERROR(M371/E371,0)</f>
        <v>0.427142562254874</v>
      </c>
      <c r="P371" s="7" t="n">
        <f aca="false">01_Data!I371+01_Data!K371+01_Data!M371+01_Data!O371+01_Data!Q371+01_Data!S371+01_Data!U371</f>
        <v>28863</v>
      </c>
      <c r="Q371" s="7" t="n">
        <f aca="false">01_Data!J371+01_Data!L371+01_Data!N371+01_Data!P371+01_Data!R371+01_Data!T371+01_Data!V371</f>
        <v>30159</v>
      </c>
      <c r="R371" s="7" t="n">
        <f aca="false">P371-Q371</f>
        <v>-1296</v>
      </c>
      <c r="S371" s="7" t="n">
        <f aca="false">L371-P371</f>
        <v>19909</v>
      </c>
      <c r="T371" s="7" t="n">
        <f aca="false">M371-Q371</f>
        <v>15365</v>
      </c>
      <c r="U371" s="7" t="n">
        <f aca="false">T371-S371</f>
        <v>-4544</v>
      </c>
      <c r="V371" s="8" t="n">
        <f aca="false">IFERROR(U371/S371,0)</f>
        <v>-0.228238485107238</v>
      </c>
      <c r="W371" s="5" t="str">
        <f aca="false">IF(V371&lt;-0.1,"ADVERSE &gt;10%","")</f>
        <v>ADVERSE &gt;10%</v>
      </c>
    </row>
    <row r="372" customFormat="false" ht="15" hidden="false" customHeight="false" outlineLevel="0" collapsed="false">
      <c r="A372" s="5" t="str">
        <f aca="false">01_Data!A372</f>
        <v>Healthcare &amp; Life Sciences</v>
      </c>
      <c r="B372" s="5" t="str">
        <f aca="false">01_Data!C372</f>
        <v>2024-02</v>
      </c>
      <c r="C372" s="5" t="str">
        <f aca="false">01_Data!D372</f>
        <v>FY23</v>
      </c>
      <c r="D372" s="7" t="n">
        <f aca="false">01_Data!E372</f>
        <v>103138</v>
      </c>
      <c r="E372" s="7" t="n">
        <f aca="false">01_Data!F372</f>
        <v>105135</v>
      </c>
      <c r="F372" s="7" t="n">
        <f aca="false">E372-D372</f>
        <v>1997</v>
      </c>
      <c r="G372" s="8" t="n">
        <f aca="false">IFERROR(F372/D372,0)</f>
        <v>0.0193624076480056</v>
      </c>
      <c r="H372" s="7" t="n">
        <f aca="false">01_Data!G372</f>
        <v>58563</v>
      </c>
      <c r="I372" s="7" t="n">
        <f aca="false">01_Data!H372</f>
        <v>58773</v>
      </c>
      <c r="J372" s="7" t="n">
        <f aca="false">H372-I372</f>
        <v>-210</v>
      </c>
      <c r="K372" s="8" t="n">
        <f aca="false">IFERROR(J372/H372,0)</f>
        <v>-0.0035858818708058</v>
      </c>
      <c r="L372" s="7" t="n">
        <f aca="false">D372-H372</f>
        <v>44575</v>
      </c>
      <c r="M372" s="7" t="n">
        <f aca="false">E372-I372</f>
        <v>46362</v>
      </c>
      <c r="N372" s="7" t="n">
        <f aca="false">IFERROR(L372/D372,0)</f>
        <v>0.432187942368477</v>
      </c>
      <c r="O372" s="7" t="n">
        <f aca="false">IFERROR(M372/E372,0)</f>
        <v>0.440975888143815</v>
      </c>
      <c r="P372" s="7" t="n">
        <f aca="false">01_Data!I372+01_Data!K372+01_Data!M372+01_Data!O372+01_Data!Q372+01_Data!S372+01_Data!U372</f>
        <v>28165</v>
      </c>
      <c r="Q372" s="7" t="n">
        <f aca="false">01_Data!J372+01_Data!L372+01_Data!N372+01_Data!P372+01_Data!R372+01_Data!T372+01_Data!V372</f>
        <v>28373</v>
      </c>
      <c r="R372" s="7" t="n">
        <f aca="false">P372-Q372</f>
        <v>-208</v>
      </c>
      <c r="S372" s="7" t="n">
        <f aca="false">L372-P372</f>
        <v>16410</v>
      </c>
      <c r="T372" s="7" t="n">
        <f aca="false">M372-Q372</f>
        <v>17989</v>
      </c>
      <c r="U372" s="7" t="n">
        <f aca="false">T372-S372</f>
        <v>1579</v>
      </c>
      <c r="V372" s="8" t="n">
        <f aca="false">IFERROR(U372/S372,0)</f>
        <v>0.0962218159658745</v>
      </c>
      <c r="W372" s="5" t="str">
        <f aca="false">IF(V372&lt;-0.1,"ADVERSE &gt;10%","")</f>
        <v/>
      </c>
    </row>
    <row r="373" customFormat="false" ht="15" hidden="false" customHeight="false" outlineLevel="0" collapsed="false">
      <c r="A373" s="5" t="str">
        <f aca="false">01_Data!A373</f>
        <v>Healthcare &amp; Life Sciences</v>
      </c>
      <c r="B373" s="5" t="str">
        <f aca="false">01_Data!C373</f>
        <v>2024-03</v>
      </c>
      <c r="C373" s="5" t="str">
        <f aca="false">01_Data!D373</f>
        <v>FY23</v>
      </c>
      <c r="D373" s="7" t="n">
        <f aca="false">01_Data!E373</f>
        <v>107768</v>
      </c>
      <c r="E373" s="7" t="n">
        <f aca="false">01_Data!F373</f>
        <v>113953</v>
      </c>
      <c r="F373" s="7" t="n">
        <f aca="false">E373-D373</f>
        <v>6185</v>
      </c>
      <c r="G373" s="8" t="n">
        <f aca="false">IFERROR(F373/D373,0)</f>
        <v>0.0573918046173261</v>
      </c>
      <c r="H373" s="7" t="n">
        <f aca="false">01_Data!G373</f>
        <v>58690</v>
      </c>
      <c r="I373" s="7" t="n">
        <f aca="false">01_Data!H373</f>
        <v>60036</v>
      </c>
      <c r="J373" s="7" t="n">
        <f aca="false">H373-I373</f>
        <v>-1346</v>
      </c>
      <c r="K373" s="8" t="n">
        <f aca="false">IFERROR(J373/H373,0)</f>
        <v>-0.0229340603169194</v>
      </c>
      <c r="L373" s="7" t="n">
        <f aca="false">D373-H373</f>
        <v>49078</v>
      </c>
      <c r="M373" s="7" t="n">
        <f aca="false">E373-I373</f>
        <v>53917</v>
      </c>
      <c r="N373" s="7" t="n">
        <f aca="false">IFERROR(L373/D373,0)</f>
        <v>0.455404201618291</v>
      </c>
      <c r="O373" s="7" t="n">
        <f aca="false">IFERROR(M373/E373,0)</f>
        <v>0.473151211464376</v>
      </c>
      <c r="P373" s="7" t="n">
        <f aca="false">01_Data!I373+01_Data!K373+01_Data!M373+01_Data!O373+01_Data!Q373+01_Data!S373+01_Data!U373</f>
        <v>26401</v>
      </c>
      <c r="Q373" s="7" t="n">
        <f aca="false">01_Data!J373+01_Data!L373+01_Data!N373+01_Data!P373+01_Data!R373+01_Data!T373+01_Data!V373</f>
        <v>26349</v>
      </c>
      <c r="R373" s="7" t="n">
        <f aca="false">P373-Q373</f>
        <v>52</v>
      </c>
      <c r="S373" s="7" t="n">
        <f aca="false">L373-P373</f>
        <v>22677</v>
      </c>
      <c r="T373" s="7" t="n">
        <f aca="false">M373-Q373</f>
        <v>27568</v>
      </c>
      <c r="U373" s="7" t="n">
        <f aca="false">T373-S373</f>
        <v>4891</v>
      </c>
      <c r="V373" s="8" t="n">
        <f aca="false">IFERROR(U373/S373,0)</f>
        <v>0.215681086563478</v>
      </c>
      <c r="W373" s="5" t="str">
        <f aca="false">IF(V373&lt;-0.1,"ADVERSE &gt;10%","")</f>
        <v/>
      </c>
    </row>
    <row r="374" customFormat="false" ht="15" hidden="false" customHeight="false" outlineLevel="0" collapsed="false">
      <c r="A374" s="5" t="str">
        <f aca="false">01_Data!A374</f>
        <v>Healthcare &amp; Life Sciences</v>
      </c>
      <c r="B374" s="5" t="str">
        <f aca="false">01_Data!C374</f>
        <v>2024-04</v>
      </c>
      <c r="C374" s="5" t="str">
        <f aca="false">01_Data!D374</f>
        <v>FY24</v>
      </c>
      <c r="D374" s="7" t="n">
        <f aca="false">01_Data!E374</f>
        <v>108234</v>
      </c>
      <c r="E374" s="7" t="n">
        <f aca="false">01_Data!F374</f>
        <v>103552</v>
      </c>
      <c r="F374" s="7" t="n">
        <f aca="false">E374-D374</f>
        <v>-4682</v>
      </c>
      <c r="G374" s="8" t="n">
        <f aca="false">IFERROR(F374/D374,0)</f>
        <v>-0.043258125912375</v>
      </c>
      <c r="H374" s="7" t="n">
        <f aca="false">01_Data!G374</f>
        <v>60379</v>
      </c>
      <c r="I374" s="7" t="n">
        <f aca="false">01_Data!H374</f>
        <v>58737</v>
      </c>
      <c r="J374" s="7" t="n">
        <f aca="false">H374-I374</f>
        <v>1642</v>
      </c>
      <c r="K374" s="8" t="n">
        <f aca="false">IFERROR(J374/H374,0)</f>
        <v>0.0271948856390467</v>
      </c>
      <c r="L374" s="7" t="n">
        <f aca="false">D374-H374</f>
        <v>47855</v>
      </c>
      <c r="M374" s="7" t="n">
        <f aca="false">E374-I374</f>
        <v>44815</v>
      </c>
      <c r="N374" s="7" t="n">
        <f aca="false">IFERROR(L374/D374,0)</f>
        <v>0.442143873459357</v>
      </c>
      <c r="O374" s="7" t="n">
        <f aca="false">IFERROR(M374/E374,0)</f>
        <v>0.432777734857849</v>
      </c>
      <c r="P374" s="7" t="n">
        <f aca="false">01_Data!I374+01_Data!K374+01_Data!M374+01_Data!O374+01_Data!Q374+01_Data!S374+01_Data!U374</f>
        <v>29460</v>
      </c>
      <c r="Q374" s="7" t="n">
        <f aca="false">01_Data!J374+01_Data!L374+01_Data!N374+01_Data!P374+01_Data!R374+01_Data!T374+01_Data!V374</f>
        <v>30014</v>
      </c>
      <c r="R374" s="7" t="n">
        <f aca="false">P374-Q374</f>
        <v>-554</v>
      </c>
      <c r="S374" s="7" t="n">
        <f aca="false">L374-P374</f>
        <v>18395</v>
      </c>
      <c r="T374" s="7" t="n">
        <f aca="false">M374-Q374</f>
        <v>14801</v>
      </c>
      <c r="U374" s="7" t="n">
        <f aca="false">T374-S374</f>
        <v>-3594</v>
      </c>
      <c r="V374" s="8" t="n">
        <f aca="false">IFERROR(U374/S374,0)</f>
        <v>-0.195379179124762</v>
      </c>
      <c r="W374" s="5" t="str">
        <f aca="false">IF(V374&lt;-0.1,"ADVERSE &gt;10%","")</f>
        <v>ADVERSE &gt;10%</v>
      </c>
    </row>
    <row r="375" customFormat="false" ht="15" hidden="false" customHeight="false" outlineLevel="0" collapsed="false">
      <c r="A375" s="5" t="str">
        <f aca="false">01_Data!A375</f>
        <v>Healthcare &amp; Life Sciences</v>
      </c>
      <c r="B375" s="5" t="str">
        <f aca="false">01_Data!C375</f>
        <v>2024-05</v>
      </c>
      <c r="C375" s="5" t="str">
        <f aca="false">01_Data!D375</f>
        <v>FY24</v>
      </c>
      <c r="D375" s="7" t="n">
        <f aca="false">01_Data!E375</f>
        <v>98432</v>
      </c>
      <c r="E375" s="7" t="n">
        <f aca="false">01_Data!F375</f>
        <v>102468</v>
      </c>
      <c r="F375" s="7" t="n">
        <f aca="false">E375-D375</f>
        <v>4036</v>
      </c>
      <c r="G375" s="8" t="n">
        <f aca="false">IFERROR(F375/D375,0)</f>
        <v>0.0410029258777633</v>
      </c>
      <c r="H375" s="7" t="n">
        <f aca="false">01_Data!G375</f>
        <v>55971</v>
      </c>
      <c r="I375" s="7" t="n">
        <f aca="false">01_Data!H375</f>
        <v>59761</v>
      </c>
      <c r="J375" s="7" t="n">
        <f aca="false">H375-I375</f>
        <v>-3790</v>
      </c>
      <c r="K375" s="8" t="n">
        <f aca="false">IFERROR(J375/H375,0)</f>
        <v>-0.0677136374193779</v>
      </c>
      <c r="L375" s="7" t="n">
        <f aca="false">D375-H375</f>
        <v>42461</v>
      </c>
      <c r="M375" s="7" t="n">
        <f aca="false">E375-I375</f>
        <v>42707</v>
      </c>
      <c r="N375" s="7" t="n">
        <f aca="false">IFERROR(L375/D375,0)</f>
        <v>0.43137394343303</v>
      </c>
      <c r="O375" s="7" t="n">
        <f aca="false">IFERROR(M375/E375,0)</f>
        <v>0.416783776398485</v>
      </c>
      <c r="P375" s="7" t="n">
        <f aca="false">01_Data!I375+01_Data!K375+01_Data!M375+01_Data!O375+01_Data!Q375+01_Data!S375+01_Data!U375</f>
        <v>27020</v>
      </c>
      <c r="Q375" s="7" t="n">
        <f aca="false">01_Data!J375+01_Data!L375+01_Data!N375+01_Data!P375+01_Data!R375+01_Data!T375+01_Data!V375</f>
        <v>28531</v>
      </c>
      <c r="R375" s="7" t="n">
        <f aca="false">P375-Q375</f>
        <v>-1511</v>
      </c>
      <c r="S375" s="7" t="n">
        <f aca="false">L375-P375</f>
        <v>15441</v>
      </c>
      <c r="T375" s="7" t="n">
        <f aca="false">M375-Q375</f>
        <v>14176</v>
      </c>
      <c r="U375" s="7" t="n">
        <f aca="false">T375-S375</f>
        <v>-1265</v>
      </c>
      <c r="V375" s="8" t="n">
        <f aca="false">IFERROR(U375/S375,0)</f>
        <v>-0.0819247458066187</v>
      </c>
      <c r="W375" s="5" t="str">
        <f aca="false">IF(V375&lt;-0.1,"ADVERSE &gt;10%","")</f>
        <v/>
      </c>
    </row>
    <row r="376" customFormat="false" ht="15" hidden="false" customHeight="false" outlineLevel="0" collapsed="false">
      <c r="A376" s="5" t="str">
        <f aca="false">01_Data!A376</f>
        <v>Healthcare &amp; Life Sciences</v>
      </c>
      <c r="B376" s="5" t="str">
        <f aca="false">01_Data!C376</f>
        <v>2024-06</v>
      </c>
      <c r="C376" s="5" t="str">
        <f aca="false">01_Data!D376</f>
        <v>FY24</v>
      </c>
      <c r="D376" s="7" t="n">
        <f aca="false">01_Data!E376</f>
        <v>106682</v>
      </c>
      <c r="E376" s="7" t="n">
        <f aca="false">01_Data!F376</f>
        <v>100980</v>
      </c>
      <c r="F376" s="7" t="n">
        <f aca="false">E376-D376</f>
        <v>-5702</v>
      </c>
      <c r="G376" s="8" t="n">
        <f aca="false">IFERROR(F376/D376,0)</f>
        <v>-0.053448566768527</v>
      </c>
      <c r="H376" s="7" t="n">
        <f aca="false">01_Data!G376</f>
        <v>63107</v>
      </c>
      <c r="I376" s="7" t="n">
        <f aca="false">01_Data!H376</f>
        <v>58771</v>
      </c>
      <c r="J376" s="7" t="n">
        <f aca="false">H376-I376</f>
        <v>4336</v>
      </c>
      <c r="K376" s="8" t="n">
        <f aca="false">IFERROR(J376/H376,0)</f>
        <v>0.0687087010949657</v>
      </c>
      <c r="L376" s="7" t="n">
        <f aca="false">D376-H376</f>
        <v>43575</v>
      </c>
      <c r="M376" s="7" t="n">
        <f aca="false">E376-I376</f>
        <v>42209</v>
      </c>
      <c r="N376" s="7" t="n">
        <f aca="false">IFERROR(L376/D376,0)</f>
        <v>0.408456909319285</v>
      </c>
      <c r="O376" s="7" t="n">
        <f aca="false">IFERROR(M376/E376,0)</f>
        <v>0.417993662111309</v>
      </c>
      <c r="P376" s="7" t="n">
        <f aca="false">01_Data!I376+01_Data!K376+01_Data!M376+01_Data!O376+01_Data!Q376+01_Data!S376+01_Data!U376</f>
        <v>28840</v>
      </c>
      <c r="Q376" s="7" t="n">
        <f aca="false">01_Data!J376+01_Data!L376+01_Data!N376+01_Data!P376+01_Data!R376+01_Data!T376+01_Data!V376</f>
        <v>29427</v>
      </c>
      <c r="R376" s="7" t="n">
        <f aca="false">P376-Q376</f>
        <v>-587</v>
      </c>
      <c r="S376" s="7" t="n">
        <f aca="false">L376-P376</f>
        <v>14735</v>
      </c>
      <c r="T376" s="7" t="n">
        <f aca="false">M376-Q376</f>
        <v>12782</v>
      </c>
      <c r="U376" s="7" t="n">
        <f aca="false">T376-S376</f>
        <v>-1953</v>
      </c>
      <c r="V376" s="8" t="n">
        <f aca="false">IFERROR(U376/S376,0)</f>
        <v>-0.132541567695962</v>
      </c>
      <c r="W376" s="5" t="str">
        <f aca="false">IF(V376&lt;-0.1,"ADVERSE &gt;10%","")</f>
        <v>ADVERSE &gt;10%</v>
      </c>
    </row>
    <row r="377" customFormat="false" ht="15" hidden="false" customHeight="false" outlineLevel="0" collapsed="false">
      <c r="A377" s="5" t="str">
        <f aca="false">01_Data!A377</f>
        <v>Healthcare &amp; Life Sciences</v>
      </c>
      <c r="B377" s="5" t="str">
        <f aca="false">01_Data!C377</f>
        <v>2024-07</v>
      </c>
      <c r="C377" s="5" t="str">
        <f aca="false">01_Data!D377</f>
        <v>FY24</v>
      </c>
      <c r="D377" s="7" t="n">
        <f aca="false">01_Data!E377</f>
        <v>105739</v>
      </c>
      <c r="E377" s="7" t="n">
        <f aca="false">01_Data!F377</f>
        <v>101363</v>
      </c>
      <c r="F377" s="7" t="n">
        <f aca="false">E377-D377</f>
        <v>-4376</v>
      </c>
      <c r="G377" s="8" t="n">
        <f aca="false">IFERROR(F377/D377,0)</f>
        <v>-0.041384919471529</v>
      </c>
      <c r="H377" s="7" t="n">
        <f aca="false">01_Data!G377</f>
        <v>60812</v>
      </c>
      <c r="I377" s="7" t="n">
        <f aca="false">01_Data!H377</f>
        <v>57288</v>
      </c>
      <c r="J377" s="7" t="n">
        <f aca="false">H377-I377</f>
        <v>3524</v>
      </c>
      <c r="K377" s="8" t="n">
        <f aca="false">IFERROR(J377/H377,0)</f>
        <v>0.057949088995593</v>
      </c>
      <c r="L377" s="7" t="n">
        <f aca="false">D377-H377</f>
        <v>44927</v>
      </c>
      <c r="M377" s="7" t="n">
        <f aca="false">E377-I377</f>
        <v>44075</v>
      </c>
      <c r="N377" s="7" t="n">
        <f aca="false">IFERROR(L377/D377,0)</f>
        <v>0.424885803724265</v>
      </c>
      <c r="O377" s="7" t="n">
        <f aca="false">IFERROR(M377/E377,0)</f>
        <v>0.434823357635429</v>
      </c>
      <c r="P377" s="7" t="n">
        <f aca="false">01_Data!I377+01_Data!K377+01_Data!M377+01_Data!O377+01_Data!Q377+01_Data!S377+01_Data!U377</f>
        <v>28566</v>
      </c>
      <c r="Q377" s="7" t="n">
        <f aca="false">01_Data!J377+01_Data!L377+01_Data!N377+01_Data!P377+01_Data!R377+01_Data!T377+01_Data!V377</f>
        <v>29678</v>
      </c>
      <c r="R377" s="7" t="n">
        <f aca="false">P377-Q377</f>
        <v>-1112</v>
      </c>
      <c r="S377" s="7" t="n">
        <f aca="false">L377-P377</f>
        <v>16361</v>
      </c>
      <c r="T377" s="7" t="n">
        <f aca="false">M377-Q377</f>
        <v>14397</v>
      </c>
      <c r="U377" s="7" t="n">
        <f aca="false">T377-S377</f>
        <v>-1964</v>
      </c>
      <c r="V377" s="8" t="n">
        <f aca="false">IFERROR(U377/S377,0)</f>
        <v>-0.120041562251696</v>
      </c>
      <c r="W377" s="5" t="str">
        <f aca="false">IF(V377&lt;-0.1,"ADVERSE &gt;10%","")</f>
        <v>ADVERSE &gt;10%</v>
      </c>
    </row>
    <row r="378" customFormat="false" ht="15" hidden="false" customHeight="false" outlineLevel="0" collapsed="false">
      <c r="A378" s="5" t="str">
        <f aca="false">01_Data!A378</f>
        <v>Healthcare &amp; Life Sciences</v>
      </c>
      <c r="B378" s="5" t="str">
        <f aca="false">01_Data!C378</f>
        <v>2024-08</v>
      </c>
      <c r="C378" s="5" t="str">
        <f aca="false">01_Data!D378</f>
        <v>FY24</v>
      </c>
      <c r="D378" s="7" t="n">
        <f aca="false">01_Data!E378</f>
        <v>103603</v>
      </c>
      <c r="E378" s="7" t="n">
        <f aca="false">01_Data!F378</f>
        <v>102235</v>
      </c>
      <c r="F378" s="7" t="n">
        <f aca="false">E378-D378</f>
        <v>-1368</v>
      </c>
      <c r="G378" s="8" t="n">
        <f aca="false">IFERROR(F378/D378,0)</f>
        <v>-0.0132042508421571</v>
      </c>
      <c r="H378" s="7" t="n">
        <f aca="false">01_Data!G378</f>
        <v>60164</v>
      </c>
      <c r="I378" s="7" t="n">
        <f aca="false">01_Data!H378</f>
        <v>61500</v>
      </c>
      <c r="J378" s="7" t="n">
        <f aca="false">H378-I378</f>
        <v>-1336</v>
      </c>
      <c r="K378" s="8" t="n">
        <f aca="false">IFERROR(J378/H378,0)</f>
        <v>-0.0222059703477162</v>
      </c>
      <c r="L378" s="7" t="n">
        <f aca="false">D378-H378</f>
        <v>43439</v>
      </c>
      <c r="M378" s="7" t="n">
        <f aca="false">E378-I378</f>
        <v>40735</v>
      </c>
      <c r="N378" s="7" t="n">
        <f aca="false">IFERROR(L378/D378,0)</f>
        <v>0.419283225389226</v>
      </c>
      <c r="O378" s="7" t="n">
        <f aca="false">IFERROR(M378/E378,0)</f>
        <v>0.398444759622439</v>
      </c>
      <c r="P378" s="7" t="n">
        <f aca="false">01_Data!I378+01_Data!K378+01_Data!M378+01_Data!O378+01_Data!Q378+01_Data!S378+01_Data!U378</f>
        <v>28398</v>
      </c>
      <c r="Q378" s="7" t="n">
        <f aca="false">01_Data!J378+01_Data!L378+01_Data!N378+01_Data!P378+01_Data!R378+01_Data!T378+01_Data!V378</f>
        <v>28845</v>
      </c>
      <c r="R378" s="7" t="n">
        <f aca="false">P378-Q378</f>
        <v>-447</v>
      </c>
      <c r="S378" s="7" t="n">
        <f aca="false">L378-P378</f>
        <v>15041</v>
      </c>
      <c r="T378" s="7" t="n">
        <f aca="false">M378-Q378</f>
        <v>11890</v>
      </c>
      <c r="U378" s="7" t="n">
        <f aca="false">T378-S378</f>
        <v>-3151</v>
      </c>
      <c r="V378" s="8" t="n">
        <f aca="false">IFERROR(U378/S378,0)</f>
        <v>-0.209494049597766</v>
      </c>
      <c r="W378" s="5" t="str">
        <f aca="false">IF(V378&lt;-0.1,"ADVERSE &gt;10%","")</f>
        <v>ADVERSE &gt;10%</v>
      </c>
    </row>
    <row r="379" customFormat="false" ht="15" hidden="false" customHeight="false" outlineLevel="0" collapsed="false">
      <c r="A379" s="5" t="str">
        <f aca="false">01_Data!A379</f>
        <v>Healthcare &amp; Life Sciences</v>
      </c>
      <c r="B379" s="5" t="str">
        <f aca="false">01_Data!C379</f>
        <v>2024-09</v>
      </c>
      <c r="C379" s="5" t="str">
        <f aca="false">01_Data!D379</f>
        <v>FY24</v>
      </c>
      <c r="D379" s="7" t="n">
        <f aca="false">01_Data!E379</f>
        <v>106683</v>
      </c>
      <c r="E379" s="7" t="n">
        <f aca="false">01_Data!F379</f>
        <v>110775</v>
      </c>
      <c r="F379" s="7" t="n">
        <f aca="false">E379-D379</f>
        <v>4092</v>
      </c>
      <c r="G379" s="8" t="n">
        <f aca="false">IFERROR(F379/D379,0)</f>
        <v>0.0383566266415455</v>
      </c>
      <c r="H379" s="7" t="n">
        <f aca="false">01_Data!G379</f>
        <v>59810</v>
      </c>
      <c r="I379" s="7" t="n">
        <f aca="false">01_Data!H379</f>
        <v>61174</v>
      </c>
      <c r="J379" s="7" t="n">
        <f aca="false">H379-I379</f>
        <v>-1364</v>
      </c>
      <c r="K379" s="8" t="n">
        <f aca="false">IFERROR(J379/H379,0)</f>
        <v>-0.0228055509112189</v>
      </c>
      <c r="L379" s="7" t="n">
        <f aca="false">D379-H379</f>
        <v>46873</v>
      </c>
      <c r="M379" s="7" t="n">
        <f aca="false">E379-I379</f>
        <v>49601</v>
      </c>
      <c r="N379" s="7" t="n">
        <f aca="false">IFERROR(L379/D379,0)</f>
        <v>0.439367096913285</v>
      </c>
      <c r="O379" s="7" t="n">
        <f aca="false">IFERROR(M379/E379,0)</f>
        <v>0.447763484540736</v>
      </c>
      <c r="P379" s="7" t="n">
        <f aca="false">01_Data!I379+01_Data!K379+01_Data!M379+01_Data!O379+01_Data!Q379+01_Data!S379+01_Data!U379</f>
        <v>27835</v>
      </c>
      <c r="Q379" s="7" t="n">
        <f aca="false">01_Data!J379+01_Data!L379+01_Data!N379+01_Data!P379+01_Data!R379+01_Data!T379+01_Data!V379</f>
        <v>29525</v>
      </c>
      <c r="R379" s="7" t="n">
        <f aca="false">P379-Q379</f>
        <v>-1690</v>
      </c>
      <c r="S379" s="7" t="n">
        <f aca="false">L379-P379</f>
        <v>19038</v>
      </c>
      <c r="T379" s="7" t="n">
        <f aca="false">M379-Q379</f>
        <v>20076</v>
      </c>
      <c r="U379" s="7" t="n">
        <f aca="false">T379-S379</f>
        <v>1038</v>
      </c>
      <c r="V379" s="8" t="n">
        <f aca="false">IFERROR(U379/S379,0)</f>
        <v>0.0545225338796092</v>
      </c>
      <c r="W379" s="5" t="str">
        <f aca="false">IF(V379&lt;-0.1,"ADVERSE &gt;10%","")</f>
        <v/>
      </c>
    </row>
    <row r="380" customFormat="false" ht="15" hidden="false" customHeight="false" outlineLevel="0" collapsed="false">
      <c r="A380" s="5" t="str">
        <f aca="false">01_Data!A380</f>
        <v>Healthcare &amp; Life Sciences</v>
      </c>
      <c r="B380" s="5" t="str">
        <f aca="false">01_Data!C380</f>
        <v>2024-10</v>
      </c>
      <c r="C380" s="5" t="str">
        <f aca="false">01_Data!D380</f>
        <v>FY24</v>
      </c>
      <c r="D380" s="7" t="n">
        <f aca="false">01_Data!E380</f>
        <v>107882</v>
      </c>
      <c r="E380" s="7" t="n">
        <f aca="false">01_Data!F380</f>
        <v>103599</v>
      </c>
      <c r="F380" s="7" t="n">
        <f aca="false">E380-D380</f>
        <v>-4283</v>
      </c>
      <c r="G380" s="8" t="n">
        <f aca="false">IFERROR(F380/D380,0)</f>
        <v>-0.0397007841901337</v>
      </c>
      <c r="H380" s="7" t="n">
        <f aca="false">01_Data!G380</f>
        <v>62281</v>
      </c>
      <c r="I380" s="7" t="n">
        <f aca="false">01_Data!H380</f>
        <v>59200</v>
      </c>
      <c r="J380" s="7" t="n">
        <f aca="false">H380-I380</f>
        <v>3081</v>
      </c>
      <c r="K380" s="8" t="n">
        <f aca="false">IFERROR(J380/H380,0)</f>
        <v>0.049469340569355</v>
      </c>
      <c r="L380" s="7" t="n">
        <f aca="false">D380-H380</f>
        <v>45601</v>
      </c>
      <c r="M380" s="7" t="n">
        <f aca="false">E380-I380</f>
        <v>44399</v>
      </c>
      <c r="N380" s="7" t="n">
        <f aca="false">IFERROR(L380/D380,0)</f>
        <v>0.422693313064274</v>
      </c>
      <c r="O380" s="7" t="n">
        <f aca="false">IFERROR(M380/E380,0)</f>
        <v>0.428565912798386</v>
      </c>
      <c r="P380" s="7" t="n">
        <f aca="false">01_Data!I380+01_Data!K380+01_Data!M380+01_Data!O380+01_Data!Q380+01_Data!S380+01_Data!U380</f>
        <v>28950</v>
      </c>
      <c r="Q380" s="7" t="n">
        <f aca="false">01_Data!J380+01_Data!L380+01_Data!N380+01_Data!P380+01_Data!R380+01_Data!T380+01_Data!V380</f>
        <v>29335</v>
      </c>
      <c r="R380" s="7" t="n">
        <f aca="false">P380-Q380</f>
        <v>-385</v>
      </c>
      <c r="S380" s="7" t="n">
        <f aca="false">L380-P380</f>
        <v>16651</v>
      </c>
      <c r="T380" s="7" t="n">
        <f aca="false">M380-Q380</f>
        <v>15064</v>
      </c>
      <c r="U380" s="7" t="n">
        <f aca="false">T380-S380</f>
        <v>-1587</v>
      </c>
      <c r="V380" s="8" t="n">
        <f aca="false">IFERROR(U380/S380,0)</f>
        <v>-0.0953095910155546</v>
      </c>
      <c r="W380" s="5" t="str">
        <f aca="false">IF(V380&lt;-0.1,"ADVERSE &gt;10%","")</f>
        <v/>
      </c>
    </row>
    <row r="381" customFormat="false" ht="15" hidden="false" customHeight="false" outlineLevel="0" collapsed="false">
      <c r="A381" s="5" t="str">
        <f aca="false">01_Data!A381</f>
        <v>Healthcare &amp; Life Sciences</v>
      </c>
      <c r="B381" s="5" t="str">
        <f aca="false">01_Data!C381</f>
        <v>2024-11</v>
      </c>
      <c r="C381" s="5" t="str">
        <f aca="false">01_Data!D381</f>
        <v>FY24</v>
      </c>
      <c r="D381" s="7" t="n">
        <f aca="false">01_Data!E381</f>
        <v>106730</v>
      </c>
      <c r="E381" s="7" t="n">
        <f aca="false">01_Data!F381</f>
        <v>102689</v>
      </c>
      <c r="F381" s="7" t="n">
        <f aca="false">E381-D381</f>
        <v>-4041</v>
      </c>
      <c r="G381" s="8" t="n">
        <f aca="false">IFERROR(F381/D381,0)</f>
        <v>-0.0378618945001405</v>
      </c>
      <c r="H381" s="7" t="n">
        <f aca="false">01_Data!G381</f>
        <v>63362</v>
      </c>
      <c r="I381" s="7" t="n">
        <f aca="false">01_Data!H381</f>
        <v>59073</v>
      </c>
      <c r="J381" s="7" t="n">
        <f aca="false">H381-I381</f>
        <v>4289</v>
      </c>
      <c r="K381" s="8" t="n">
        <f aca="false">IFERROR(J381/H381,0)</f>
        <v>0.0676904138126953</v>
      </c>
      <c r="L381" s="7" t="n">
        <f aca="false">D381-H381</f>
        <v>43368</v>
      </c>
      <c r="M381" s="7" t="n">
        <f aca="false">E381-I381</f>
        <v>43616</v>
      </c>
      <c r="N381" s="7" t="n">
        <f aca="false">IFERROR(L381/D381,0)</f>
        <v>0.406333739342266</v>
      </c>
      <c r="O381" s="7" t="n">
        <f aca="false">IFERROR(M381/E381,0)</f>
        <v>0.424738774357526</v>
      </c>
      <c r="P381" s="7" t="n">
        <f aca="false">01_Data!I381+01_Data!K381+01_Data!M381+01_Data!O381+01_Data!Q381+01_Data!S381+01_Data!U381</f>
        <v>26578</v>
      </c>
      <c r="Q381" s="7" t="n">
        <f aca="false">01_Data!J381+01_Data!L381+01_Data!N381+01_Data!P381+01_Data!R381+01_Data!T381+01_Data!V381</f>
        <v>26340</v>
      </c>
      <c r="R381" s="7" t="n">
        <f aca="false">P381-Q381</f>
        <v>238</v>
      </c>
      <c r="S381" s="7" t="n">
        <f aca="false">L381-P381</f>
        <v>16790</v>
      </c>
      <c r="T381" s="7" t="n">
        <f aca="false">M381-Q381</f>
        <v>17276</v>
      </c>
      <c r="U381" s="7" t="n">
        <f aca="false">T381-S381</f>
        <v>486</v>
      </c>
      <c r="V381" s="8" t="n">
        <f aca="false">IFERROR(U381/S381,0)</f>
        <v>0.0289458010720667</v>
      </c>
      <c r="W381" s="5" t="str">
        <f aca="false">IF(V381&lt;-0.1,"ADVERSE &gt;10%","")</f>
        <v/>
      </c>
    </row>
    <row r="382" customFormat="false" ht="15" hidden="false" customHeight="false" outlineLevel="0" collapsed="false">
      <c r="A382" s="5" t="str">
        <f aca="false">01_Data!A382</f>
        <v>Healthcare &amp; Life Sciences</v>
      </c>
      <c r="B382" s="5" t="str">
        <f aca="false">01_Data!C382</f>
        <v>2024-12</v>
      </c>
      <c r="C382" s="5" t="str">
        <f aca="false">01_Data!D382</f>
        <v>FY24</v>
      </c>
      <c r="D382" s="7" t="n">
        <f aca="false">01_Data!E382</f>
        <v>115778</v>
      </c>
      <c r="E382" s="7" t="n">
        <f aca="false">01_Data!F382</f>
        <v>112980</v>
      </c>
      <c r="F382" s="7" t="n">
        <f aca="false">E382-D382</f>
        <v>-2798</v>
      </c>
      <c r="G382" s="8" t="n">
        <f aca="false">IFERROR(F382/D382,0)</f>
        <v>-0.0241669401786177</v>
      </c>
      <c r="H382" s="7" t="n">
        <f aca="false">01_Data!G382</f>
        <v>68957</v>
      </c>
      <c r="I382" s="7" t="n">
        <f aca="false">01_Data!H382</f>
        <v>67504</v>
      </c>
      <c r="J382" s="7" t="n">
        <f aca="false">H382-I382</f>
        <v>1453</v>
      </c>
      <c r="K382" s="8" t="n">
        <f aca="false">IFERROR(J382/H382,0)</f>
        <v>0.0210711022811317</v>
      </c>
      <c r="L382" s="7" t="n">
        <f aca="false">D382-H382</f>
        <v>46821</v>
      </c>
      <c r="M382" s="7" t="n">
        <f aca="false">E382-I382</f>
        <v>45476</v>
      </c>
      <c r="N382" s="7" t="n">
        <f aca="false">IFERROR(L382/D382,0)</f>
        <v>0.40440325450431</v>
      </c>
      <c r="O382" s="7" t="n">
        <f aca="false">IFERROR(M382/E382,0)</f>
        <v>0.402513719242344</v>
      </c>
      <c r="P382" s="7" t="n">
        <f aca="false">01_Data!I382+01_Data!K382+01_Data!M382+01_Data!O382+01_Data!Q382+01_Data!S382+01_Data!U382</f>
        <v>30837</v>
      </c>
      <c r="Q382" s="7" t="n">
        <f aca="false">01_Data!J382+01_Data!L382+01_Data!N382+01_Data!P382+01_Data!R382+01_Data!T382+01_Data!V382</f>
        <v>32383</v>
      </c>
      <c r="R382" s="7" t="n">
        <f aca="false">P382-Q382</f>
        <v>-1546</v>
      </c>
      <c r="S382" s="7" t="n">
        <f aca="false">L382-P382</f>
        <v>15984</v>
      </c>
      <c r="T382" s="7" t="n">
        <f aca="false">M382-Q382</f>
        <v>13093</v>
      </c>
      <c r="U382" s="7" t="n">
        <f aca="false">T382-S382</f>
        <v>-2891</v>
      </c>
      <c r="V382" s="8" t="n">
        <f aca="false">IFERROR(U382/S382,0)</f>
        <v>-0.180868368368368</v>
      </c>
      <c r="W382" s="5" t="str">
        <f aca="false">IF(V382&lt;-0.1,"ADVERSE &gt;10%","")</f>
        <v>ADVERSE &gt;10%</v>
      </c>
    </row>
    <row r="383" customFormat="false" ht="15" hidden="false" customHeight="false" outlineLevel="0" collapsed="false">
      <c r="A383" s="5" t="str">
        <f aca="false">01_Data!A383</f>
        <v>Healthcare &amp; Life Sciences</v>
      </c>
      <c r="B383" s="5" t="str">
        <f aca="false">01_Data!C383</f>
        <v>2025-01</v>
      </c>
      <c r="C383" s="5" t="str">
        <f aca="false">01_Data!D383</f>
        <v>FY24</v>
      </c>
      <c r="D383" s="7" t="n">
        <f aca="false">01_Data!E383</f>
        <v>102814</v>
      </c>
      <c r="E383" s="7" t="n">
        <f aca="false">01_Data!F383</f>
        <v>103541</v>
      </c>
      <c r="F383" s="7" t="n">
        <f aca="false">E383-D383</f>
        <v>727</v>
      </c>
      <c r="G383" s="8" t="n">
        <f aca="false">IFERROR(F383/D383,0)</f>
        <v>0.00707102145622192</v>
      </c>
      <c r="H383" s="7" t="n">
        <f aca="false">01_Data!G383</f>
        <v>58640</v>
      </c>
      <c r="I383" s="7" t="n">
        <f aca="false">01_Data!H383</f>
        <v>60777</v>
      </c>
      <c r="J383" s="7" t="n">
        <f aca="false">H383-I383</f>
        <v>-2137</v>
      </c>
      <c r="K383" s="8" t="n">
        <f aca="false">IFERROR(J383/H383,0)</f>
        <v>-0.0364427012278308</v>
      </c>
      <c r="L383" s="7" t="n">
        <f aca="false">D383-H383</f>
        <v>44174</v>
      </c>
      <c r="M383" s="7" t="n">
        <f aca="false">E383-I383</f>
        <v>42764</v>
      </c>
      <c r="N383" s="7" t="n">
        <f aca="false">IFERROR(L383/D383,0)</f>
        <v>0.429649658606805</v>
      </c>
      <c r="O383" s="7" t="n">
        <f aca="false">IFERROR(M383/E383,0)</f>
        <v>0.413015134101467</v>
      </c>
      <c r="P383" s="7" t="n">
        <f aca="false">01_Data!I383+01_Data!K383+01_Data!M383+01_Data!O383+01_Data!Q383+01_Data!S383+01_Data!U383</f>
        <v>25390</v>
      </c>
      <c r="Q383" s="7" t="n">
        <f aca="false">01_Data!J383+01_Data!L383+01_Data!N383+01_Data!P383+01_Data!R383+01_Data!T383+01_Data!V383</f>
        <v>25990</v>
      </c>
      <c r="R383" s="7" t="n">
        <f aca="false">P383-Q383</f>
        <v>-600</v>
      </c>
      <c r="S383" s="7" t="n">
        <f aca="false">L383-P383</f>
        <v>18784</v>
      </c>
      <c r="T383" s="7" t="n">
        <f aca="false">M383-Q383</f>
        <v>16774</v>
      </c>
      <c r="U383" s="7" t="n">
        <f aca="false">T383-S383</f>
        <v>-2010</v>
      </c>
      <c r="V383" s="8" t="n">
        <f aca="false">IFERROR(U383/S383,0)</f>
        <v>-0.107005962521295</v>
      </c>
      <c r="W383" s="5" t="str">
        <f aca="false">IF(V383&lt;-0.1,"ADVERSE &gt;10%","")</f>
        <v>ADVERSE &gt;10%</v>
      </c>
    </row>
    <row r="384" customFormat="false" ht="15" hidden="false" customHeight="false" outlineLevel="0" collapsed="false">
      <c r="A384" s="5" t="str">
        <f aca="false">01_Data!A384</f>
        <v>Healthcare &amp; Life Sciences</v>
      </c>
      <c r="B384" s="5" t="str">
        <f aca="false">01_Data!C384</f>
        <v>2025-02</v>
      </c>
      <c r="C384" s="5" t="str">
        <f aca="false">01_Data!D384</f>
        <v>FY24</v>
      </c>
      <c r="D384" s="7" t="n">
        <f aca="false">01_Data!E384</f>
        <v>103355</v>
      </c>
      <c r="E384" s="7" t="n">
        <f aca="false">01_Data!F384</f>
        <v>105113</v>
      </c>
      <c r="F384" s="7" t="n">
        <f aca="false">E384-D384</f>
        <v>1758</v>
      </c>
      <c r="G384" s="8" t="n">
        <f aca="false">IFERROR(F384/D384,0)</f>
        <v>0.0170093367519714</v>
      </c>
      <c r="H384" s="7" t="n">
        <f aca="false">01_Data!G384</f>
        <v>59936</v>
      </c>
      <c r="I384" s="7" t="n">
        <f aca="false">01_Data!H384</f>
        <v>59650</v>
      </c>
      <c r="J384" s="7" t="n">
        <f aca="false">H384-I384</f>
        <v>286</v>
      </c>
      <c r="K384" s="8" t="n">
        <f aca="false">IFERROR(J384/H384,0)</f>
        <v>0.00477175654030966</v>
      </c>
      <c r="L384" s="7" t="n">
        <f aca="false">D384-H384</f>
        <v>43419</v>
      </c>
      <c r="M384" s="7" t="n">
        <f aca="false">E384-I384</f>
        <v>45463</v>
      </c>
      <c r="N384" s="7" t="n">
        <f aca="false">IFERROR(L384/D384,0)</f>
        <v>0.420095786367375</v>
      </c>
      <c r="O384" s="7" t="n">
        <f aca="false">IFERROR(M384/E384,0)</f>
        <v>0.43251548333698</v>
      </c>
      <c r="P384" s="7" t="n">
        <f aca="false">01_Data!I384+01_Data!K384+01_Data!M384+01_Data!O384+01_Data!Q384+01_Data!S384+01_Data!U384</f>
        <v>27301</v>
      </c>
      <c r="Q384" s="7" t="n">
        <f aca="false">01_Data!J384+01_Data!L384+01_Data!N384+01_Data!P384+01_Data!R384+01_Data!T384+01_Data!V384</f>
        <v>27911</v>
      </c>
      <c r="R384" s="7" t="n">
        <f aca="false">P384-Q384</f>
        <v>-610</v>
      </c>
      <c r="S384" s="7" t="n">
        <f aca="false">L384-P384</f>
        <v>16118</v>
      </c>
      <c r="T384" s="7" t="n">
        <f aca="false">M384-Q384</f>
        <v>17552</v>
      </c>
      <c r="U384" s="7" t="n">
        <f aca="false">T384-S384</f>
        <v>1434</v>
      </c>
      <c r="V384" s="8" t="n">
        <f aca="false">IFERROR(U384/S384,0)</f>
        <v>0.0889688546966125</v>
      </c>
      <c r="W384" s="5" t="str">
        <f aca="false">IF(V384&lt;-0.1,"ADVERSE &gt;10%","")</f>
        <v/>
      </c>
    </row>
    <row r="385" customFormat="false" ht="15" hidden="false" customHeight="false" outlineLevel="0" collapsed="false">
      <c r="A385" s="5" t="str">
        <f aca="false">01_Data!A385</f>
        <v>Healthcare &amp; Life Sciences</v>
      </c>
      <c r="B385" s="5" t="str">
        <f aca="false">01_Data!C385</f>
        <v>2025-03</v>
      </c>
      <c r="C385" s="5" t="str">
        <f aca="false">01_Data!D385</f>
        <v>FY24</v>
      </c>
      <c r="D385" s="7" t="n">
        <f aca="false">01_Data!E385</f>
        <v>111081</v>
      </c>
      <c r="E385" s="7" t="n">
        <f aca="false">01_Data!F385</f>
        <v>116906</v>
      </c>
      <c r="F385" s="7" t="n">
        <f aca="false">E385-D385</f>
        <v>5825</v>
      </c>
      <c r="G385" s="8" t="n">
        <f aca="false">IFERROR(F385/D385,0)</f>
        <v>0.0524392110261881</v>
      </c>
      <c r="H385" s="7" t="n">
        <f aca="false">01_Data!G385</f>
        <v>62082</v>
      </c>
      <c r="I385" s="7" t="n">
        <f aca="false">01_Data!H385</f>
        <v>68739</v>
      </c>
      <c r="J385" s="7" t="n">
        <f aca="false">H385-I385</f>
        <v>-6657</v>
      </c>
      <c r="K385" s="8" t="n">
        <f aca="false">IFERROR(J385/H385,0)</f>
        <v>-0.107229148545472</v>
      </c>
      <c r="L385" s="7" t="n">
        <f aca="false">D385-H385</f>
        <v>48999</v>
      </c>
      <c r="M385" s="7" t="n">
        <f aca="false">E385-I385</f>
        <v>48167</v>
      </c>
      <c r="N385" s="7" t="n">
        <f aca="false">IFERROR(L385/D385,0)</f>
        <v>0.441110540956599</v>
      </c>
      <c r="O385" s="7" t="n">
        <f aca="false">IFERROR(M385/E385,0)</f>
        <v>0.412014781106188</v>
      </c>
      <c r="P385" s="7" t="n">
        <f aca="false">01_Data!I385+01_Data!K385+01_Data!M385+01_Data!O385+01_Data!Q385+01_Data!S385+01_Data!U385</f>
        <v>28685</v>
      </c>
      <c r="Q385" s="7" t="n">
        <f aca="false">01_Data!J385+01_Data!L385+01_Data!N385+01_Data!P385+01_Data!R385+01_Data!T385+01_Data!V385</f>
        <v>28935</v>
      </c>
      <c r="R385" s="7" t="n">
        <f aca="false">P385-Q385</f>
        <v>-250</v>
      </c>
      <c r="S385" s="7" t="n">
        <f aca="false">L385-P385</f>
        <v>20314</v>
      </c>
      <c r="T385" s="7" t="n">
        <f aca="false">M385-Q385</f>
        <v>19232</v>
      </c>
      <c r="U385" s="7" t="n">
        <f aca="false">T385-S385</f>
        <v>-1082</v>
      </c>
      <c r="V385" s="8" t="n">
        <f aca="false">IFERROR(U385/S385,0)</f>
        <v>-0.053263758983952</v>
      </c>
      <c r="W385" s="5" t="str">
        <f aca="false">IF(V385&lt;-0.1,"ADVERSE &gt;10%","")</f>
        <v/>
      </c>
    </row>
    <row r="386" customFormat="false" ht="15" hidden="false" customHeight="false" outlineLevel="0" collapsed="false">
      <c r="A386" s="5" t="str">
        <f aca="false">01_Data!A386</f>
        <v>Healthcare &amp; Life Sciences</v>
      </c>
      <c r="B386" s="5" t="str">
        <f aca="false">01_Data!C386</f>
        <v>2025-04</v>
      </c>
      <c r="C386" s="5" t="str">
        <f aca="false">01_Data!D386</f>
        <v>FY25</v>
      </c>
      <c r="D386" s="7" t="n">
        <f aca="false">01_Data!E386</f>
        <v>105727</v>
      </c>
      <c r="E386" s="7" t="n">
        <f aca="false">01_Data!F386</f>
        <v>108269</v>
      </c>
      <c r="F386" s="7" t="n">
        <f aca="false">E386-D386</f>
        <v>2542</v>
      </c>
      <c r="G386" s="8" t="n">
        <f aca="false">IFERROR(F386/D386,0)</f>
        <v>0.0240430542813094</v>
      </c>
      <c r="H386" s="7" t="n">
        <f aca="false">01_Data!G386</f>
        <v>61804</v>
      </c>
      <c r="I386" s="7" t="n">
        <f aca="false">01_Data!H386</f>
        <v>66047</v>
      </c>
      <c r="J386" s="7" t="n">
        <f aca="false">H386-I386</f>
        <v>-4243</v>
      </c>
      <c r="K386" s="8" t="n">
        <f aca="false">IFERROR(J386/H386,0)</f>
        <v>-0.0686525144003624</v>
      </c>
      <c r="L386" s="7" t="n">
        <f aca="false">D386-H386</f>
        <v>43923</v>
      </c>
      <c r="M386" s="7" t="n">
        <f aca="false">E386-I386</f>
        <v>42222</v>
      </c>
      <c r="N386" s="7" t="n">
        <f aca="false">IFERROR(L386/D386,0)</f>
        <v>0.41543787301257</v>
      </c>
      <c r="O386" s="7" t="n">
        <f aca="false">IFERROR(M386/E386,0)</f>
        <v>0.389973122500439</v>
      </c>
      <c r="P386" s="7" t="n">
        <f aca="false">01_Data!I386+01_Data!K386+01_Data!M386+01_Data!O386+01_Data!Q386+01_Data!S386+01_Data!U386</f>
        <v>27217</v>
      </c>
      <c r="Q386" s="7" t="n">
        <f aca="false">01_Data!J386+01_Data!L386+01_Data!N386+01_Data!P386+01_Data!R386+01_Data!T386+01_Data!V386</f>
        <v>28041</v>
      </c>
      <c r="R386" s="7" t="n">
        <f aca="false">P386-Q386</f>
        <v>-824</v>
      </c>
      <c r="S386" s="7" t="n">
        <f aca="false">L386-P386</f>
        <v>16706</v>
      </c>
      <c r="T386" s="7" t="n">
        <f aca="false">M386-Q386</f>
        <v>14181</v>
      </c>
      <c r="U386" s="7" t="n">
        <f aca="false">T386-S386</f>
        <v>-2525</v>
      </c>
      <c r="V386" s="8" t="n">
        <f aca="false">IFERROR(U386/S386,0)</f>
        <v>-0.151143301807734</v>
      </c>
      <c r="W386" s="5" t="str">
        <f aca="false">IF(V386&lt;-0.1,"ADVERSE &gt;10%","")</f>
        <v>ADVERSE &gt;10%</v>
      </c>
    </row>
    <row r="387" customFormat="false" ht="15" hidden="false" customHeight="false" outlineLevel="0" collapsed="false">
      <c r="A387" s="5" t="str">
        <f aca="false">01_Data!A387</f>
        <v>Healthcare &amp; Life Sciences</v>
      </c>
      <c r="B387" s="5" t="str">
        <f aca="false">01_Data!C387</f>
        <v>2025-05</v>
      </c>
      <c r="C387" s="5" t="str">
        <f aca="false">01_Data!D387</f>
        <v>FY25</v>
      </c>
      <c r="D387" s="7" t="n">
        <f aca="false">01_Data!E387</f>
        <v>104926</v>
      </c>
      <c r="E387" s="7" t="n">
        <f aca="false">01_Data!F387</f>
        <v>107486</v>
      </c>
      <c r="F387" s="7" t="n">
        <f aca="false">E387-D387</f>
        <v>2560</v>
      </c>
      <c r="G387" s="8" t="n">
        <f aca="false">IFERROR(F387/D387,0)</f>
        <v>0.024398147265692</v>
      </c>
      <c r="H387" s="7" t="n">
        <f aca="false">01_Data!G387</f>
        <v>56893</v>
      </c>
      <c r="I387" s="7" t="n">
        <f aca="false">01_Data!H387</f>
        <v>57929</v>
      </c>
      <c r="J387" s="7" t="n">
        <f aca="false">H387-I387</f>
        <v>-1036</v>
      </c>
      <c r="K387" s="8" t="n">
        <f aca="false">IFERROR(J387/H387,0)</f>
        <v>-0.0182096215703162</v>
      </c>
      <c r="L387" s="7" t="n">
        <f aca="false">D387-H387</f>
        <v>48033</v>
      </c>
      <c r="M387" s="7" t="n">
        <f aca="false">E387-I387</f>
        <v>49557</v>
      </c>
      <c r="N387" s="7" t="n">
        <f aca="false">IFERROR(L387/D387,0)</f>
        <v>0.457779768598822</v>
      </c>
      <c r="O387" s="7" t="n">
        <f aca="false">IFERROR(M387/E387,0)</f>
        <v>0.461055393260518</v>
      </c>
      <c r="P387" s="7" t="n">
        <f aca="false">01_Data!I387+01_Data!K387+01_Data!M387+01_Data!O387+01_Data!Q387+01_Data!S387+01_Data!U387</f>
        <v>28047</v>
      </c>
      <c r="Q387" s="7" t="n">
        <f aca="false">01_Data!J387+01_Data!L387+01_Data!N387+01_Data!P387+01_Data!R387+01_Data!T387+01_Data!V387</f>
        <v>29205</v>
      </c>
      <c r="R387" s="7" t="n">
        <f aca="false">P387-Q387</f>
        <v>-1158</v>
      </c>
      <c r="S387" s="7" t="n">
        <f aca="false">L387-P387</f>
        <v>19986</v>
      </c>
      <c r="T387" s="7" t="n">
        <f aca="false">M387-Q387</f>
        <v>20352</v>
      </c>
      <c r="U387" s="7" t="n">
        <f aca="false">T387-S387</f>
        <v>366</v>
      </c>
      <c r="V387" s="8" t="n">
        <f aca="false">IFERROR(U387/S387,0)</f>
        <v>0.0183128189732813</v>
      </c>
      <c r="W387" s="5" t="str">
        <f aca="false">IF(V387&lt;-0.1,"ADVERSE &gt;10%","")</f>
        <v/>
      </c>
    </row>
    <row r="388" customFormat="false" ht="15" hidden="false" customHeight="false" outlineLevel="0" collapsed="false">
      <c r="A388" s="5" t="str">
        <f aca="false">01_Data!A388</f>
        <v>Healthcare &amp; Life Sciences</v>
      </c>
      <c r="B388" s="5" t="str">
        <f aca="false">01_Data!C388</f>
        <v>2025-06</v>
      </c>
      <c r="C388" s="5" t="str">
        <f aca="false">01_Data!D388</f>
        <v>FY25</v>
      </c>
      <c r="D388" s="7" t="n">
        <f aca="false">01_Data!E388</f>
        <v>112170</v>
      </c>
      <c r="E388" s="7" t="n">
        <f aca="false">01_Data!F388</f>
        <v>109202</v>
      </c>
      <c r="F388" s="7" t="n">
        <f aca="false">E388-D388</f>
        <v>-2968</v>
      </c>
      <c r="G388" s="8" t="n">
        <f aca="false">IFERROR(F388/D388,0)</f>
        <v>-0.026459837746278</v>
      </c>
      <c r="H388" s="7" t="n">
        <f aca="false">01_Data!G388</f>
        <v>67214</v>
      </c>
      <c r="I388" s="7" t="n">
        <f aca="false">01_Data!H388</f>
        <v>63855</v>
      </c>
      <c r="J388" s="7" t="n">
        <f aca="false">H388-I388</f>
        <v>3359</v>
      </c>
      <c r="K388" s="8" t="n">
        <f aca="false">IFERROR(J388/H388,0)</f>
        <v>0.0499747076501919</v>
      </c>
      <c r="L388" s="7" t="n">
        <f aca="false">D388-H388</f>
        <v>44956</v>
      </c>
      <c r="M388" s="7" t="n">
        <f aca="false">E388-I388</f>
        <v>45347</v>
      </c>
      <c r="N388" s="7" t="n">
        <f aca="false">IFERROR(L388/D388,0)</f>
        <v>0.40078452349113</v>
      </c>
      <c r="O388" s="7" t="n">
        <f aca="false">IFERROR(M388/E388,0)</f>
        <v>0.415257962308383</v>
      </c>
      <c r="P388" s="7" t="n">
        <f aca="false">01_Data!I388+01_Data!K388+01_Data!M388+01_Data!O388+01_Data!Q388+01_Data!S388+01_Data!U388</f>
        <v>28993</v>
      </c>
      <c r="Q388" s="7" t="n">
        <f aca="false">01_Data!J388+01_Data!L388+01_Data!N388+01_Data!P388+01_Data!R388+01_Data!T388+01_Data!V388</f>
        <v>29466</v>
      </c>
      <c r="R388" s="7" t="n">
        <f aca="false">P388-Q388</f>
        <v>-473</v>
      </c>
      <c r="S388" s="7" t="n">
        <f aca="false">L388-P388</f>
        <v>15963</v>
      </c>
      <c r="T388" s="7" t="n">
        <f aca="false">M388-Q388</f>
        <v>15881</v>
      </c>
      <c r="U388" s="7" t="n">
        <f aca="false">T388-S388</f>
        <v>-82</v>
      </c>
      <c r="V388" s="8" t="n">
        <f aca="false">IFERROR(U388/S388,0)</f>
        <v>-0.00513687903276327</v>
      </c>
      <c r="W388" s="5" t="str">
        <f aca="false">IF(V388&lt;-0.1,"ADVERSE &gt;10%","")</f>
        <v/>
      </c>
    </row>
    <row r="389" customFormat="false" ht="15" hidden="false" customHeight="false" outlineLevel="0" collapsed="false">
      <c r="A389" s="5" t="str">
        <f aca="false">01_Data!A389</f>
        <v>Healthcare &amp; Life Sciences</v>
      </c>
      <c r="B389" s="5" t="str">
        <f aca="false">01_Data!C389</f>
        <v>2025-07</v>
      </c>
      <c r="C389" s="5" t="str">
        <f aca="false">01_Data!D389</f>
        <v>FY25</v>
      </c>
      <c r="D389" s="7" t="n">
        <f aca="false">01_Data!E389</f>
        <v>113181</v>
      </c>
      <c r="E389" s="7" t="n">
        <f aca="false">01_Data!F389</f>
        <v>111472</v>
      </c>
      <c r="F389" s="7" t="n">
        <f aca="false">E389-D389</f>
        <v>-1709</v>
      </c>
      <c r="G389" s="8" t="n">
        <f aca="false">IFERROR(F389/D389,0)</f>
        <v>-0.0150997075480867</v>
      </c>
      <c r="H389" s="7" t="n">
        <f aca="false">01_Data!G389</f>
        <v>64739</v>
      </c>
      <c r="I389" s="7" t="n">
        <f aca="false">01_Data!H389</f>
        <v>64852</v>
      </c>
      <c r="J389" s="7" t="n">
        <f aca="false">H389-I389</f>
        <v>-113</v>
      </c>
      <c r="K389" s="8" t="n">
        <f aca="false">IFERROR(J389/H389,0)</f>
        <v>-0.00174547027294212</v>
      </c>
      <c r="L389" s="7" t="n">
        <f aca="false">D389-H389</f>
        <v>48442</v>
      </c>
      <c r="M389" s="7" t="n">
        <f aca="false">E389-I389</f>
        <v>46620</v>
      </c>
      <c r="N389" s="7" t="n">
        <f aca="false">IFERROR(L389/D389,0)</f>
        <v>0.428004700435586</v>
      </c>
      <c r="O389" s="7" t="n">
        <f aca="false">IFERROR(M389/E389,0)</f>
        <v>0.418221616190613</v>
      </c>
      <c r="P389" s="7" t="n">
        <f aca="false">01_Data!I389+01_Data!K389+01_Data!M389+01_Data!O389+01_Data!Q389+01_Data!S389+01_Data!U389</f>
        <v>29962</v>
      </c>
      <c r="Q389" s="7" t="n">
        <f aca="false">01_Data!J389+01_Data!L389+01_Data!N389+01_Data!P389+01_Data!R389+01_Data!T389+01_Data!V389</f>
        <v>30414</v>
      </c>
      <c r="R389" s="7" t="n">
        <f aca="false">P389-Q389</f>
        <v>-452</v>
      </c>
      <c r="S389" s="7" t="n">
        <f aca="false">L389-P389</f>
        <v>18480</v>
      </c>
      <c r="T389" s="7" t="n">
        <f aca="false">M389-Q389</f>
        <v>16206</v>
      </c>
      <c r="U389" s="7" t="n">
        <f aca="false">T389-S389</f>
        <v>-2274</v>
      </c>
      <c r="V389" s="8" t="n">
        <f aca="false">IFERROR(U389/S389,0)</f>
        <v>-0.123051948051948</v>
      </c>
      <c r="W389" s="5" t="str">
        <f aca="false">IF(V389&lt;-0.1,"ADVERSE &gt;10%","")</f>
        <v>ADVERSE &gt;10%</v>
      </c>
    </row>
    <row r="390" customFormat="false" ht="15" hidden="false" customHeight="false" outlineLevel="0" collapsed="false">
      <c r="A390" s="5" t="str">
        <f aca="false">01_Data!A390</f>
        <v>Healthcare &amp; Life Sciences</v>
      </c>
      <c r="B390" s="5" t="str">
        <f aca="false">01_Data!C390</f>
        <v>2025-08</v>
      </c>
      <c r="C390" s="5" t="str">
        <f aca="false">01_Data!D390</f>
        <v>FY25</v>
      </c>
      <c r="D390" s="7" t="n">
        <f aca="false">01_Data!E390</f>
        <v>107800</v>
      </c>
      <c r="E390" s="7" t="n">
        <f aca="false">01_Data!F390</f>
        <v>113494</v>
      </c>
      <c r="F390" s="7" t="n">
        <f aca="false">E390-D390</f>
        <v>5694</v>
      </c>
      <c r="G390" s="8" t="n">
        <f aca="false">IFERROR(F390/D390,0)</f>
        <v>0.0528200371057514</v>
      </c>
      <c r="H390" s="7" t="n">
        <f aca="false">01_Data!G390</f>
        <v>58614</v>
      </c>
      <c r="I390" s="7" t="n">
        <f aca="false">01_Data!H390</f>
        <v>64482</v>
      </c>
      <c r="J390" s="7" t="n">
        <f aca="false">H390-I390</f>
        <v>-5868</v>
      </c>
      <c r="K390" s="8" t="n">
        <f aca="false">IFERROR(J390/H390,0)</f>
        <v>-0.100112601085065</v>
      </c>
      <c r="L390" s="7" t="n">
        <f aca="false">D390-H390</f>
        <v>49186</v>
      </c>
      <c r="M390" s="7" t="n">
        <f aca="false">E390-I390</f>
        <v>49012</v>
      </c>
      <c r="N390" s="7" t="n">
        <f aca="false">IFERROR(L390/D390,0)</f>
        <v>0.456270871985158</v>
      </c>
      <c r="O390" s="7" t="n">
        <f aca="false">IFERROR(M390/E390,0)</f>
        <v>0.431846617442332</v>
      </c>
      <c r="P390" s="7" t="n">
        <f aca="false">01_Data!I390+01_Data!K390+01_Data!M390+01_Data!O390+01_Data!Q390+01_Data!S390+01_Data!U390</f>
        <v>28396</v>
      </c>
      <c r="Q390" s="7" t="n">
        <f aca="false">01_Data!J390+01_Data!L390+01_Data!N390+01_Data!P390+01_Data!R390+01_Data!T390+01_Data!V390</f>
        <v>29133</v>
      </c>
      <c r="R390" s="7" t="n">
        <f aca="false">P390-Q390</f>
        <v>-737</v>
      </c>
      <c r="S390" s="7" t="n">
        <f aca="false">L390-P390</f>
        <v>20790</v>
      </c>
      <c r="T390" s="7" t="n">
        <f aca="false">M390-Q390</f>
        <v>19879</v>
      </c>
      <c r="U390" s="7" t="n">
        <f aca="false">T390-S390</f>
        <v>-911</v>
      </c>
      <c r="V390" s="8" t="n">
        <f aca="false">IFERROR(U390/S390,0)</f>
        <v>-0.0438191438191438</v>
      </c>
      <c r="W390" s="5" t="str">
        <f aca="false">IF(V390&lt;-0.1,"ADVERSE &gt;10%","")</f>
        <v/>
      </c>
    </row>
    <row r="391" customFormat="false" ht="15" hidden="false" customHeight="false" outlineLevel="0" collapsed="false">
      <c r="A391" s="5" t="str">
        <f aca="false">01_Data!A391</f>
        <v>Healthcare &amp; Life Sciences</v>
      </c>
      <c r="B391" s="5" t="str">
        <f aca="false">01_Data!C391</f>
        <v>2025-09</v>
      </c>
      <c r="C391" s="5" t="str">
        <f aca="false">01_Data!D391</f>
        <v>FY25</v>
      </c>
      <c r="D391" s="7" t="n">
        <f aca="false">01_Data!E391</f>
        <v>120272</v>
      </c>
      <c r="E391" s="7" t="n">
        <f aca="false">01_Data!F391</f>
        <v>125634</v>
      </c>
      <c r="F391" s="7" t="n">
        <f aca="false">E391-D391</f>
        <v>5362</v>
      </c>
      <c r="G391" s="8" t="n">
        <f aca="false">IFERROR(F391/D391,0)</f>
        <v>0.0445822801649594</v>
      </c>
      <c r="H391" s="7" t="n">
        <f aca="false">01_Data!G391</f>
        <v>65864</v>
      </c>
      <c r="I391" s="7" t="n">
        <f aca="false">01_Data!H391</f>
        <v>70755</v>
      </c>
      <c r="J391" s="7" t="n">
        <f aca="false">H391-I391</f>
        <v>-4891</v>
      </c>
      <c r="K391" s="8" t="n">
        <f aca="false">IFERROR(J391/H391,0)</f>
        <v>-0.074259079314952</v>
      </c>
      <c r="L391" s="7" t="n">
        <f aca="false">D391-H391</f>
        <v>54408</v>
      </c>
      <c r="M391" s="7" t="n">
        <f aca="false">E391-I391</f>
        <v>54879</v>
      </c>
      <c r="N391" s="7" t="n">
        <f aca="false">IFERROR(L391/D391,0)</f>
        <v>0.452374617533591</v>
      </c>
      <c r="O391" s="7" t="n">
        <f aca="false">IFERROR(M391/E391,0)</f>
        <v>0.436816466879985</v>
      </c>
      <c r="P391" s="7" t="n">
        <f aca="false">01_Data!I391+01_Data!K391+01_Data!M391+01_Data!O391+01_Data!Q391+01_Data!S391+01_Data!U391</f>
        <v>30978</v>
      </c>
      <c r="Q391" s="7" t="n">
        <f aca="false">01_Data!J391+01_Data!L391+01_Data!N391+01_Data!P391+01_Data!R391+01_Data!T391+01_Data!V391</f>
        <v>31807</v>
      </c>
      <c r="R391" s="7" t="n">
        <f aca="false">P391-Q391</f>
        <v>-829</v>
      </c>
      <c r="S391" s="7" t="n">
        <f aca="false">L391-P391</f>
        <v>23430</v>
      </c>
      <c r="T391" s="7" t="n">
        <f aca="false">M391-Q391</f>
        <v>23072</v>
      </c>
      <c r="U391" s="7" t="n">
        <f aca="false">T391-S391</f>
        <v>-358</v>
      </c>
      <c r="V391" s="8" t="n">
        <f aca="false">IFERROR(U391/S391,0)</f>
        <v>-0.0152795561246265</v>
      </c>
      <c r="W391" s="5" t="str">
        <f aca="false">IF(V391&lt;-0.1,"ADVERSE &gt;10%","")</f>
        <v/>
      </c>
    </row>
    <row r="392" customFormat="false" ht="15" hidden="false" customHeight="false" outlineLevel="0" collapsed="false">
      <c r="A392" s="5" t="str">
        <f aca="false">01_Data!A392</f>
        <v>Healthcare &amp; Life Sciences</v>
      </c>
      <c r="B392" s="5" t="str">
        <f aca="false">01_Data!C392</f>
        <v>2025-10</v>
      </c>
      <c r="C392" s="5" t="str">
        <f aca="false">01_Data!D392</f>
        <v>FY25</v>
      </c>
      <c r="D392" s="7" t="n">
        <f aca="false">01_Data!E392</f>
        <v>109227</v>
      </c>
      <c r="E392" s="7" t="n">
        <f aca="false">01_Data!F392</f>
        <v>113968</v>
      </c>
      <c r="F392" s="7" t="n">
        <f aca="false">E392-D392</f>
        <v>4741</v>
      </c>
      <c r="G392" s="8" t="n">
        <f aca="false">IFERROR(F392/D392,0)</f>
        <v>0.043405018905582</v>
      </c>
      <c r="H392" s="7" t="n">
        <f aca="false">01_Data!G392</f>
        <v>61417</v>
      </c>
      <c r="I392" s="7" t="n">
        <f aca="false">01_Data!H392</f>
        <v>67451</v>
      </c>
      <c r="J392" s="7" t="n">
        <f aca="false">H392-I392</f>
        <v>-6034</v>
      </c>
      <c r="K392" s="8" t="n">
        <f aca="false">IFERROR(J392/H392,0)</f>
        <v>-0.0982464138593549</v>
      </c>
      <c r="L392" s="7" t="n">
        <f aca="false">D392-H392</f>
        <v>47810</v>
      </c>
      <c r="M392" s="7" t="n">
        <f aca="false">E392-I392</f>
        <v>46517</v>
      </c>
      <c r="N392" s="7" t="n">
        <f aca="false">IFERROR(L392/D392,0)</f>
        <v>0.437712287254983</v>
      </c>
      <c r="O392" s="7" t="n">
        <f aca="false">IFERROR(M392/E392,0)</f>
        <v>0.408158430436614</v>
      </c>
      <c r="P392" s="7" t="n">
        <f aca="false">01_Data!I392+01_Data!K392+01_Data!M392+01_Data!O392+01_Data!Q392+01_Data!S392+01_Data!U392</f>
        <v>29075</v>
      </c>
      <c r="Q392" s="7" t="n">
        <f aca="false">01_Data!J392+01_Data!L392+01_Data!N392+01_Data!P392+01_Data!R392+01_Data!T392+01_Data!V392</f>
        <v>29067</v>
      </c>
      <c r="R392" s="7" t="n">
        <f aca="false">P392-Q392</f>
        <v>8</v>
      </c>
      <c r="S392" s="7" t="n">
        <f aca="false">L392-P392</f>
        <v>18735</v>
      </c>
      <c r="T392" s="7" t="n">
        <f aca="false">M392-Q392</f>
        <v>17450</v>
      </c>
      <c r="U392" s="7" t="n">
        <f aca="false">T392-S392</f>
        <v>-1285</v>
      </c>
      <c r="V392" s="8" t="n">
        <f aca="false">IFERROR(U392/S392,0)</f>
        <v>-0.0685882038964505</v>
      </c>
      <c r="W392" s="5" t="str">
        <f aca="false">IF(V392&lt;-0.1,"ADVERSE &gt;10%","")</f>
        <v/>
      </c>
    </row>
    <row r="393" customFormat="false" ht="15" hidden="false" customHeight="false" outlineLevel="0" collapsed="false">
      <c r="A393" s="5" t="str">
        <f aca="false">01_Data!A393</f>
        <v>Healthcare &amp; Life Sciences</v>
      </c>
      <c r="B393" s="5" t="str">
        <f aca="false">01_Data!C393</f>
        <v>2025-11</v>
      </c>
      <c r="C393" s="5" t="str">
        <f aca="false">01_Data!D393</f>
        <v>FY25</v>
      </c>
      <c r="D393" s="7" t="n">
        <f aca="false">01_Data!E393</f>
        <v>115154</v>
      </c>
      <c r="E393" s="7" t="n">
        <f aca="false">01_Data!F393</f>
        <v>114153</v>
      </c>
      <c r="F393" s="7" t="n">
        <f aca="false">E393-D393</f>
        <v>-1001</v>
      </c>
      <c r="G393" s="8" t="n">
        <f aca="false">IFERROR(F393/D393,0)</f>
        <v>-0.00869270715737187</v>
      </c>
      <c r="H393" s="7" t="n">
        <f aca="false">01_Data!G393</f>
        <v>66092</v>
      </c>
      <c r="I393" s="7" t="n">
        <f aca="false">01_Data!H393</f>
        <v>68373</v>
      </c>
      <c r="J393" s="7" t="n">
        <f aca="false">H393-I393</f>
        <v>-2281</v>
      </c>
      <c r="K393" s="8" t="n">
        <f aca="false">IFERROR(J393/H393,0)</f>
        <v>-0.0345124977304364</v>
      </c>
      <c r="L393" s="7" t="n">
        <f aca="false">D393-H393</f>
        <v>49062</v>
      </c>
      <c r="M393" s="7" t="n">
        <f aca="false">E393-I393</f>
        <v>45780</v>
      </c>
      <c r="N393" s="7" t="n">
        <f aca="false">IFERROR(L393/D393,0)</f>
        <v>0.426055543011967</v>
      </c>
      <c r="O393" s="7" t="n">
        <f aca="false">IFERROR(M393/E393,0)</f>
        <v>0.401040708522772</v>
      </c>
      <c r="P393" s="7" t="n">
        <f aca="false">01_Data!I393+01_Data!K393+01_Data!M393+01_Data!O393+01_Data!Q393+01_Data!S393+01_Data!U393</f>
        <v>32287</v>
      </c>
      <c r="Q393" s="7" t="n">
        <f aca="false">01_Data!J393+01_Data!L393+01_Data!N393+01_Data!P393+01_Data!R393+01_Data!T393+01_Data!V393</f>
        <v>33206</v>
      </c>
      <c r="R393" s="7" t="n">
        <f aca="false">P393-Q393</f>
        <v>-919</v>
      </c>
      <c r="S393" s="7" t="n">
        <f aca="false">L393-P393</f>
        <v>16775</v>
      </c>
      <c r="T393" s="7" t="n">
        <f aca="false">M393-Q393</f>
        <v>12574</v>
      </c>
      <c r="U393" s="7" t="n">
        <f aca="false">T393-S393</f>
        <v>-4201</v>
      </c>
      <c r="V393" s="8" t="n">
        <f aca="false">IFERROR(U393/S393,0)</f>
        <v>-0.25043219076006</v>
      </c>
      <c r="W393" s="5" t="str">
        <f aca="false">IF(V393&lt;-0.1,"ADVERSE &gt;10%","")</f>
        <v>ADVERSE &gt;10%</v>
      </c>
    </row>
    <row r="394" customFormat="false" ht="15" hidden="false" customHeight="false" outlineLevel="0" collapsed="false">
      <c r="A394" s="5" t="str">
        <f aca="false">01_Data!A394</f>
        <v>Healthcare &amp; Life Sciences</v>
      </c>
      <c r="B394" s="5" t="str">
        <f aca="false">01_Data!C394</f>
        <v>2025-12</v>
      </c>
      <c r="C394" s="5" t="str">
        <f aca="false">01_Data!D394</f>
        <v>FY25</v>
      </c>
      <c r="D394" s="7" t="n">
        <f aca="false">01_Data!E394</f>
        <v>121865</v>
      </c>
      <c r="E394" s="7" t="n">
        <f aca="false">01_Data!F394</f>
        <v>123414</v>
      </c>
      <c r="F394" s="7" t="n">
        <f aca="false">E394-D394</f>
        <v>1549</v>
      </c>
      <c r="G394" s="8" t="n">
        <f aca="false">IFERROR(F394/D394,0)</f>
        <v>0.0127107865260739</v>
      </c>
      <c r="H394" s="7" t="n">
        <f aca="false">01_Data!G394</f>
        <v>69763</v>
      </c>
      <c r="I394" s="7" t="n">
        <f aca="false">01_Data!H394</f>
        <v>74093</v>
      </c>
      <c r="J394" s="7" t="n">
        <f aca="false">H394-I394</f>
        <v>-4330</v>
      </c>
      <c r="K394" s="8" t="n">
        <f aca="false">IFERROR(J394/H394,0)</f>
        <v>-0.0620672849504752</v>
      </c>
      <c r="L394" s="7" t="n">
        <f aca="false">D394-H394</f>
        <v>52102</v>
      </c>
      <c r="M394" s="7" t="n">
        <f aca="false">E394-I394</f>
        <v>49321</v>
      </c>
      <c r="N394" s="7" t="n">
        <f aca="false">IFERROR(L394/D394,0)</f>
        <v>0.427538669839577</v>
      </c>
      <c r="O394" s="7" t="n">
        <f aca="false">IFERROR(M394/E394,0)</f>
        <v>0.39963861474387</v>
      </c>
      <c r="P394" s="7" t="n">
        <f aca="false">01_Data!I394+01_Data!K394+01_Data!M394+01_Data!O394+01_Data!Q394+01_Data!S394+01_Data!U394</f>
        <v>35015</v>
      </c>
      <c r="Q394" s="7" t="n">
        <f aca="false">01_Data!J394+01_Data!L394+01_Data!N394+01_Data!P394+01_Data!R394+01_Data!T394+01_Data!V394</f>
        <v>36576</v>
      </c>
      <c r="R394" s="7" t="n">
        <f aca="false">P394-Q394</f>
        <v>-1561</v>
      </c>
      <c r="S394" s="7" t="n">
        <f aca="false">L394-P394</f>
        <v>17087</v>
      </c>
      <c r="T394" s="7" t="n">
        <f aca="false">M394-Q394</f>
        <v>12745</v>
      </c>
      <c r="U394" s="7" t="n">
        <f aca="false">T394-S394</f>
        <v>-4342</v>
      </c>
      <c r="V394" s="8" t="n">
        <f aca="false">IFERROR(U394/S394,0)</f>
        <v>-0.254111312693861</v>
      </c>
      <c r="W394" s="5" t="str">
        <f aca="false">IF(V394&lt;-0.1,"ADVERSE &gt;10%","")</f>
        <v>ADVERSE &gt;10%</v>
      </c>
    </row>
    <row r="395" customFormat="false" ht="15" hidden="false" customHeight="false" outlineLevel="0" collapsed="false">
      <c r="A395" s="5" t="str">
        <f aca="false">01_Data!A395</f>
        <v>Healthcare &amp; Life Sciences</v>
      </c>
      <c r="B395" s="5" t="str">
        <f aca="false">01_Data!C395</f>
        <v>2026-01</v>
      </c>
      <c r="C395" s="5" t="str">
        <f aca="false">01_Data!D395</f>
        <v>FY25</v>
      </c>
      <c r="D395" s="7" t="n">
        <f aca="false">01_Data!E395</f>
        <v>112955</v>
      </c>
      <c r="E395" s="7" t="n">
        <f aca="false">01_Data!F395</f>
        <v>112011</v>
      </c>
      <c r="F395" s="7" t="n">
        <f aca="false">E395-D395</f>
        <v>-944</v>
      </c>
      <c r="G395" s="8" t="n">
        <f aca="false">IFERROR(F395/D395,0)</f>
        <v>-0.00835731043335842</v>
      </c>
      <c r="H395" s="7" t="n">
        <f aca="false">01_Data!G395</f>
        <v>62279</v>
      </c>
      <c r="I395" s="7" t="n">
        <f aca="false">01_Data!H395</f>
        <v>62184</v>
      </c>
      <c r="J395" s="7" t="n">
        <f aca="false">H395-I395</f>
        <v>95</v>
      </c>
      <c r="K395" s="8" t="n">
        <f aca="false">IFERROR(J395/H395,0)</f>
        <v>0.0015253937924501</v>
      </c>
      <c r="L395" s="7" t="n">
        <f aca="false">D395-H395</f>
        <v>50676</v>
      </c>
      <c r="M395" s="7" t="n">
        <f aca="false">E395-I395</f>
        <v>49827</v>
      </c>
      <c r="N395" s="7" t="n">
        <f aca="false">IFERROR(L395/D395,0)</f>
        <v>0.448638838475499</v>
      </c>
      <c r="O395" s="7" t="n">
        <f aca="false">IFERROR(M395/E395,0)</f>
        <v>0.444840238905108</v>
      </c>
      <c r="P395" s="7" t="n">
        <f aca="false">01_Data!I395+01_Data!K395+01_Data!M395+01_Data!O395+01_Data!Q395+01_Data!S395+01_Data!U395</f>
        <v>32023</v>
      </c>
      <c r="Q395" s="7" t="n">
        <f aca="false">01_Data!J395+01_Data!L395+01_Data!N395+01_Data!P395+01_Data!R395+01_Data!T395+01_Data!V395</f>
        <v>31740</v>
      </c>
      <c r="R395" s="7" t="n">
        <f aca="false">P395-Q395</f>
        <v>283</v>
      </c>
      <c r="S395" s="7" t="n">
        <f aca="false">L395-P395</f>
        <v>18653</v>
      </c>
      <c r="T395" s="7" t="n">
        <f aca="false">M395-Q395</f>
        <v>18087</v>
      </c>
      <c r="U395" s="7" t="n">
        <f aca="false">T395-S395</f>
        <v>-566</v>
      </c>
      <c r="V395" s="8" t="n">
        <f aca="false">IFERROR(U395/S395,0)</f>
        <v>-0.0303436444539752</v>
      </c>
      <c r="W395" s="5" t="str">
        <f aca="false">IF(V395&lt;-0.1,"ADVERSE &gt;10%","")</f>
        <v/>
      </c>
    </row>
    <row r="396" customFormat="false" ht="15" hidden="false" customHeight="false" outlineLevel="0" collapsed="false">
      <c r="A396" s="5" t="str">
        <f aca="false">01_Data!A396</f>
        <v>Healthcare &amp; Life Sciences</v>
      </c>
      <c r="B396" s="5" t="str">
        <f aca="false">01_Data!C396</f>
        <v>2026-02</v>
      </c>
      <c r="C396" s="5" t="str">
        <f aca="false">01_Data!D396</f>
        <v>FY25</v>
      </c>
      <c r="D396" s="7" t="n">
        <f aca="false">01_Data!E396</f>
        <v>107661</v>
      </c>
      <c r="E396" s="7" t="n">
        <f aca="false">01_Data!F396</f>
        <v>114194</v>
      </c>
      <c r="F396" s="7" t="n">
        <f aca="false">E396-D396</f>
        <v>6533</v>
      </c>
      <c r="G396" s="8" t="n">
        <f aca="false">IFERROR(F396/D396,0)</f>
        <v>0.0606812123238684</v>
      </c>
      <c r="H396" s="7" t="n">
        <f aca="false">01_Data!G396</f>
        <v>60960</v>
      </c>
      <c r="I396" s="7" t="n">
        <f aca="false">01_Data!H396</f>
        <v>64744</v>
      </c>
      <c r="J396" s="7" t="n">
        <f aca="false">H396-I396</f>
        <v>-3784</v>
      </c>
      <c r="K396" s="8" t="n">
        <f aca="false">IFERROR(J396/H396,0)</f>
        <v>-0.0620734908136483</v>
      </c>
      <c r="L396" s="7" t="n">
        <f aca="false">D396-H396</f>
        <v>46701</v>
      </c>
      <c r="M396" s="7" t="n">
        <f aca="false">E396-I396</f>
        <v>49450</v>
      </c>
      <c r="N396" s="7" t="n">
        <f aca="false">IFERROR(L396/D396,0)</f>
        <v>0.433778248390782</v>
      </c>
      <c r="O396" s="7" t="n">
        <f aca="false">IFERROR(M396/E396,0)</f>
        <v>0.433035010596003</v>
      </c>
      <c r="P396" s="7" t="n">
        <f aca="false">01_Data!I396+01_Data!K396+01_Data!M396+01_Data!O396+01_Data!Q396+01_Data!S396+01_Data!U396</f>
        <v>28540</v>
      </c>
      <c r="Q396" s="7" t="n">
        <f aca="false">01_Data!J396+01_Data!L396+01_Data!N396+01_Data!P396+01_Data!R396+01_Data!T396+01_Data!V396</f>
        <v>28005</v>
      </c>
      <c r="R396" s="7" t="n">
        <f aca="false">P396-Q396</f>
        <v>535</v>
      </c>
      <c r="S396" s="7" t="n">
        <f aca="false">L396-P396</f>
        <v>18161</v>
      </c>
      <c r="T396" s="7" t="n">
        <f aca="false">M396-Q396</f>
        <v>21445</v>
      </c>
      <c r="U396" s="7" t="n">
        <f aca="false">T396-S396</f>
        <v>3284</v>
      </c>
      <c r="V396" s="8" t="n">
        <f aca="false">IFERROR(U396/S396,0)</f>
        <v>0.180827046968779</v>
      </c>
      <c r="W396" s="5" t="str">
        <f aca="false">IF(V396&lt;-0.1,"ADVERSE &gt;10%","")</f>
        <v/>
      </c>
    </row>
    <row r="397" customFormat="false" ht="15" hidden="false" customHeight="false" outlineLevel="0" collapsed="false">
      <c r="A397" s="5" t="str">
        <f aca="false">01_Data!A397</f>
        <v>Healthcare &amp; Life Sciences</v>
      </c>
      <c r="B397" s="5" t="str">
        <f aca="false">01_Data!C397</f>
        <v>2026-03</v>
      </c>
      <c r="C397" s="5" t="str">
        <f aca="false">01_Data!D397</f>
        <v>FY25</v>
      </c>
      <c r="D397" s="7" t="n">
        <f aca="false">01_Data!E397</f>
        <v>115946</v>
      </c>
      <c r="E397" s="7" t="n">
        <f aca="false">01_Data!F397</f>
        <v>122432</v>
      </c>
      <c r="F397" s="7" t="n">
        <f aca="false">E397-D397</f>
        <v>6486</v>
      </c>
      <c r="G397" s="8" t="n">
        <f aca="false">IFERROR(F397/D397,0)</f>
        <v>0.0559398340606834</v>
      </c>
      <c r="H397" s="7" t="n">
        <f aca="false">01_Data!G397</f>
        <v>65324</v>
      </c>
      <c r="I397" s="7" t="n">
        <f aca="false">01_Data!H397</f>
        <v>68488</v>
      </c>
      <c r="J397" s="7" t="n">
        <f aca="false">H397-I397</f>
        <v>-3164</v>
      </c>
      <c r="K397" s="8" t="n">
        <f aca="false">IFERROR(J397/H397,0)</f>
        <v>-0.0484354907843978</v>
      </c>
      <c r="L397" s="7" t="n">
        <f aca="false">D397-H397</f>
        <v>50622</v>
      </c>
      <c r="M397" s="7" t="n">
        <f aca="false">E397-I397</f>
        <v>53944</v>
      </c>
      <c r="N397" s="7" t="n">
        <f aca="false">IFERROR(L397/D397,0)</f>
        <v>0.436599796456971</v>
      </c>
      <c r="O397" s="7" t="n">
        <f aca="false">IFERROR(M397/E397,0)</f>
        <v>0.440603763721903</v>
      </c>
      <c r="P397" s="7" t="n">
        <f aca="false">01_Data!I397+01_Data!K397+01_Data!M397+01_Data!O397+01_Data!Q397+01_Data!S397+01_Data!U397</f>
        <v>29827</v>
      </c>
      <c r="Q397" s="7" t="n">
        <f aca="false">01_Data!J397+01_Data!L397+01_Data!N397+01_Data!P397+01_Data!R397+01_Data!T397+01_Data!V397</f>
        <v>30109</v>
      </c>
      <c r="R397" s="7" t="n">
        <f aca="false">P397-Q397</f>
        <v>-282</v>
      </c>
      <c r="S397" s="7" t="n">
        <f aca="false">L397-P397</f>
        <v>20795</v>
      </c>
      <c r="T397" s="7" t="n">
        <f aca="false">M397-Q397</f>
        <v>23835</v>
      </c>
      <c r="U397" s="7" t="n">
        <f aca="false">T397-S397</f>
        <v>3040</v>
      </c>
      <c r="V397" s="8" t="n">
        <f aca="false">IFERROR(U397/S397,0)</f>
        <v>0.146188987737437</v>
      </c>
      <c r="W397" s="5" t="str">
        <f aca="false">IF(V397&lt;-0.1,"ADVERSE &gt;10%","")</f>
        <v/>
      </c>
    </row>
    <row r="398" customFormat="false" ht="15" hidden="false" customHeight="false" outlineLevel="0" collapsed="false">
      <c r="A398" s="5" t="str">
        <f aca="false">01_Data!A398</f>
        <v>Healthcare &amp; Life Sciences</v>
      </c>
      <c r="B398" s="5" t="str">
        <f aca="false">01_Data!C398</f>
        <v>2023-04</v>
      </c>
      <c r="C398" s="5" t="str">
        <f aca="false">01_Data!D398</f>
        <v>FY23</v>
      </c>
      <c r="D398" s="7" t="n">
        <f aca="false">01_Data!E398</f>
        <v>65559</v>
      </c>
      <c r="E398" s="7" t="n">
        <f aca="false">01_Data!F398</f>
        <v>67723</v>
      </c>
      <c r="F398" s="7" t="n">
        <f aca="false">E398-D398</f>
        <v>2164</v>
      </c>
      <c r="G398" s="8" t="n">
        <f aca="false">IFERROR(F398/D398,0)</f>
        <v>0.0330084351500175</v>
      </c>
      <c r="H398" s="7" t="n">
        <f aca="false">01_Data!G398</f>
        <v>38888</v>
      </c>
      <c r="I398" s="7" t="n">
        <f aca="false">01_Data!H398</f>
        <v>39728</v>
      </c>
      <c r="J398" s="7" t="n">
        <f aca="false">H398-I398</f>
        <v>-840</v>
      </c>
      <c r="K398" s="8" t="n">
        <f aca="false">IFERROR(J398/H398,0)</f>
        <v>-0.0216004937255709</v>
      </c>
      <c r="L398" s="7" t="n">
        <f aca="false">D398-H398</f>
        <v>26671</v>
      </c>
      <c r="M398" s="7" t="n">
        <f aca="false">E398-I398</f>
        <v>27995</v>
      </c>
      <c r="N398" s="7" t="n">
        <f aca="false">IFERROR(L398/D398,0)</f>
        <v>0.406824387193215</v>
      </c>
      <c r="O398" s="7" t="n">
        <f aca="false">IFERROR(M398/E398,0)</f>
        <v>0.413375071984407</v>
      </c>
      <c r="P398" s="7" t="n">
        <f aca="false">01_Data!I398+01_Data!K398+01_Data!M398+01_Data!O398+01_Data!Q398+01_Data!S398+01_Data!U398</f>
        <v>18809</v>
      </c>
      <c r="Q398" s="7" t="n">
        <f aca="false">01_Data!J398+01_Data!L398+01_Data!N398+01_Data!P398+01_Data!R398+01_Data!T398+01_Data!V398</f>
        <v>19207</v>
      </c>
      <c r="R398" s="7" t="n">
        <f aca="false">P398-Q398</f>
        <v>-398</v>
      </c>
      <c r="S398" s="7" t="n">
        <f aca="false">L398-P398</f>
        <v>7862</v>
      </c>
      <c r="T398" s="7" t="n">
        <f aca="false">M398-Q398</f>
        <v>8788</v>
      </c>
      <c r="U398" s="7" t="n">
        <f aca="false">T398-S398</f>
        <v>926</v>
      </c>
      <c r="V398" s="8" t="n">
        <f aca="false">IFERROR(U398/S398,0)</f>
        <v>0.117781734927499</v>
      </c>
      <c r="W398" s="5" t="str">
        <f aca="false">IF(V398&lt;-0.1,"ADVERSE &gt;10%","")</f>
        <v/>
      </c>
    </row>
    <row r="399" customFormat="false" ht="15" hidden="false" customHeight="false" outlineLevel="0" collapsed="false">
      <c r="A399" s="5" t="str">
        <f aca="false">01_Data!A399</f>
        <v>Healthcare &amp; Life Sciences</v>
      </c>
      <c r="B399" s="5" t="str">
        <f aca="false">01_Data!C399</f>
        <v>2023-05</v>
      </c>
      <c r="C399" s="5" t="str">
        <f aca="false">01_Data!D399</f>
        <v>FY23</v>
      </c>
      <c r="D399" s="7" t="n">
        <f aca="false">01_Data!E399</f>
        <v>67691</v>
      </c>
      <c r="E399" s="7" t="n">
        <f aca="false">01_Data!F399</f>
        <v>68316</v>
      </c>
      <c r="F399" s="7" t="n">
        <f aca="false">E399-D399</f>
        <v>625</v>
      </c>
      <c r="G399" s="8" t="n">
        <f aca="false">IFERROR(F399/D399,0)</f>
        <v>0.00923313291279491</v>
      </c>
      <c r="H399" s="7" t="n">
        <f aca="false">01_Data!G399</f>
        <v>40255</v>
      </c>
      <c r="I399" s="7" t="n">
        <f aca="false">01_Data!H399</f>
        <v>40804</v>
      </c>
      <c r="J399" s="7" t="n">
        <f aca="false">H399-I399</f>
        <v>-549</v>
      </c>
      <c r="K399" s="8" t="n">
        <f aca="false">IFERROR(J399/H399,0)</f>
        <v>-0.0136380573841759</v>
      </c>
      <c r="L399" s="7" t="n">
        <f aca="false">D399-H399</f>
        <v>27436</v>
      </c>
      <c r="M399" s="7" t="n">
        <f aca="false">E399-I399</f>
        <v>27512</v>
      </c>
      <c r="N399" s="7" t="n">
        <f aca="false">IFERROR(L399/D399,0)</f>
        <v>0.405312375352706</v>
      </c>
      <c r="O399" s="7" t="n">
        <f aca="false">IFERROR(M399/E399,0)</f>
        <v>0.402716786697113</v>
      </c>
      <c r="P399" s="7" t="n">
        <f aca="false">01_Data!I399+01_Data!K399+01_Data!M399+01_Data!O399+01_Data!Q399+01_Data!S399+01_Data!U399</f>
        <v>18006</v>
      </c>
      <c r="Q399" s="7" t="n">
        <f aca="false">01_Data!J399+01_Data!L399+01_Data!N399+01_Data!P399+01_Data!R399+01_Data!T399+01_Data!V399</f>
        <v>17934</v>
      </c>
      <c r="R399" s="7" t="n">
        <f aca="false">P399-Q399</f>
        <v>72</v>
      </c>
      <c r="S399" s="7" t="n">
        <f aca="false">L399-P399</f>
        <v>9430</v>
      </c>
      <c r="T399" s="7" t="n">
        <f aca="false">M399-Q399</f>
        <v>9578</v>
      </c>
      <c r="U399" s="7" t="n">
        <f aca="false">T399-S399</f>
        <v>148</v>
      </c>
      <c r="V399" s="8" t="n">
        <f aca="false">IFERROR(U399/S399,0)</f>
        <v>0.015694591728526</v>
      </c>
      <c r="W399" s="5" t="str">
        <f aca="false">IF(V399&lt;-0.1,"ADVERSE &gt;10%","")</f>
        <v/>
      </c>
    </row>
    <row r="400" customFormat="false" ht="15" hidden="false" customHeight="false" outlineLevel="0" collapsed="false">
      <c r="A400" s="5" t="str">
        <f aca="false">01_Data!A400</f>
        <v>Healthcare &amp; Life Sciences</v>
      </c>
      <c r="B400" s="5" t="str">
        <f aca="false">01_Data!C400</f>
        <v>2023-06</v>
      </c>
      <c r="C400" s="5" t="str">
        <f aca="false">01_Data!D400</f>
        <v>FY23</v>
      </c>
      <c r="D400" s="7" t="n">
        <f aca="false">01_Data!E400</f>
        <v>65086</v>
      </c>
      <c r="E400" s="7" t="n">
        <f aca="false">01_Data!F400</f>
        <v>68841</v>
      </c>
      <c r="F400" s="7" t="n">
        <f aca="false">E400-D400</f>
        <v>3755</v>
      </c>
      <c r="G400" s="8" t="n">
        <f aca="false">IFERROR(F400/D400,0)</f>
        <v>0.0576928986264327</v>
      </c>
      <c r="H400" s="7" t="n">
        <f aca="false">01_Data!G400</f>
        <v>38033</v>
      </c>
      <c r="I400" s="7" t="n">
        <f aca="false">01_Data!H400</f>
        <v>40789</v>
      </c>
      <c r="J400" s="7" t="n">
        <f aca="false">H400-I400</f>
        <v>-2756</v>
      </c>
      <c r="K400" s="8" t="n">
        <f aca="false">IFERROR(J400/H400,0)</f>
        <v>-0.072463387058607</v>
      </c>
      <c r="L400" s="7" t="n">
        <f aca="false">D400-H400</f>
        <v>27053</v>
      </c>
      <c r="M400" s="7" t="n">
        <f aca="false">E400-I400</f>
        <v>28052</v>
      </c>
      <c r="N400" s="7" t="n">
        <f aca="false">IFERROR(L400/D400,0)</f>
        <v>0.415650062993578</v>
      </c>
      <c r="O400" s="7" t="n">
        <f aca="false">IFERROR(M400/E400,0)</f>
        <v>0.407489722694325</v>
      </c>
      <c r="P400" s="7" t="n">
        <f aca="false">01_Data!I400+01_Data!K400+01_Data!M400+01_Data!O400+01_Data!Q400+01_Data!S400+01_Data!U400</f>
        <v>16757</v>
      </c>
      <c r="Q400" s="7" t="n">
        <f aca="false">01_Data!J400+01_Data!L400+01_Data!N400+01_Data!P400+01_Data!R400+01_Data!T400+01_Data!V400</f>
        <v>16733</v>
      </c>
      <c r="R400" s="7" t="n">
        <f aca="false">P400-Q400</f>
        <v>24</v>
      </c>
      <c r="S400" s="7" t="n">
        <f aca="false">L400-P400</f>
        <v>10296</v>
      </c>
      <c r="T400" s="7" t="n">
        <f aca="false">M400-Q400</f>
        <v>11319</v>
      </c>
      <c r="U400" s="7" t="n">
        <f aca="false">T400-S400</f>
        <v>1023</v>
      </c>
      <c r="V400" s="8" t="n">
        <f aca="false">IFERROR(U400/S400,0)</f>
        <v>0.0993589743589744</v>
      </c>
      <c r="W400" s="5" t="str">
        <f aca="false">IF(V400&lt;-0.1,"ADVERSE &gt;10%","")</f>
        <v/>
      </c>
    </row>
    <row r="401" customFormat="false" ht="15" hidden="false" customHeight="false" outlineLevel="0" collapsed="false">
      <c r="A401" s="5" t="str">
        <f aca="false">01_Data!A401</f>
        <v>Healthcare &amp; Life Sciences</v>
      </c>
      <c r="B401" s="5" t="str">
        <f aca="false">01_Data!C401</f>
        <v>2023-07</v>
      </c>
      <c r="C401" s="5" t="str">
        <f aca="false">01_Data!D401</f>
        <v>FY23</v>
      </c>
      <c r="D401" s="7" t="n">
        <f aca="false">01_Data!E401</f>
        <v>67099</v>
      </c>
      <c r="E401" s="7" t="n">
        <f aca="false">01_Data!F401</f>
        <v>69209</v>
      </c>
      <c r="F401" s="7" t="n">
        <f aca="false">E401-D401</f>
        <v>2110</v>
      </c>
      <c r="G401" s="8" t="n">
        <f aca="false">IFERROR(F401/D401,0)</f>
        <v>0.0314460722216427</v>
      </c>
      <c r="H401" s="7" t="n">
        <f aca="false">01_Data!G401</f>
        <v>40191</v>
      </c>
      <c r="I401" s="7" t="n">
        <f aca="false">01_Data!H401</f>
        <v>41253</v>
      </c>
      <c r="J401" s="7" t="n">
        <f aca="false">H401-I401</f>
        <v>-1062</v>
      </c>
      <c r="K401" s="8" t="n">
        <f aca="false">IFERROR(J401/H401,0)</f>
        <v>-0.0264238262297529</v>
      </c>
      <c r="L401" s="7" t="n">
        <f aca="false">D401-H401</f>
        <v>26908</v>
      </c>
      <c r="M401" s="7" t="n">
        <f aca="false">E401-I401</f>
        <v>27956</v>
      </c>
      <c r="N401" s="7" t="n">
        <f aca="false">IFERROR(L401/D401,0)</f>
        <v>0.401019389260645</v>
      </c>
      <c r="O401" s="7" t="n">
        <f aca="false">IFERROR(M401/E401,0)</f>
        <v>0.403935904289905</v>
      </c>
      <c r="P401" s="7" t="n">
        <f aca="false">01_Data!I401+01_Data!K401+01_Data!M401+01_Data!O401+01_Data!Q401+01_Data!S401+01_Data!U401</f>
        <v>17828</v>
      </c>
      <c r="Q401" s="7" t="n">
        <f aca="false">01_Data!J401+01_Data!L401+01_Data!N401+01_Data!P401+01_Data!R401+01_Data!T401+01_Data!V401</f>
        <v>18399</v>
      </c>
      <c r="R401" s="7" t="n">
        <f aca="false">P401-Q401</f>
        <v>-571</v>
      </c>
      <c r="S401" s="7" t="n">
        <f aca="false">L401-P401</f>
        <v>9080</v>
      </c>
      <c r="T401" s="7" t="n">
        <f aca="false">M401-Q401</f>
        <v>9557</v>
      </c>
      <c r="U401" s="7" t="n">
        <f aca="false">T401-S401</f>
        <v>477</v>
      </c>
      <c r="V401" s="8" t="n">
        <f aca="false">IFERROR(U401/S401,0)</f>
        <v>0.0525330396475771</v>
      </c>
      <c r="W401" s="5" t="str">
        <f aca="false">IF(V401&lt;-0.1,"ADVERSE &gt;10%","")</f>
        <v/>
      </c>
    </row>
    <row r="402" customFormat="false" ht="15" hidden="false" customHeight="false" outlineLevel="0" collapsed="false">
      <c r="A402" s="5" t="str">
        <f aca="false">01_Data!A402</f>
        <v>Healthcare &amp; Life Sciences</v>
      </c>
      <c r="B402" s="5" t="str">
        <f aca="false">01_Data!C402</f>
        <v>2023-08</v>
      </c>
      <c r="C402" s="5" t="str">
        <f aca="false">01_Data!D402</f>
        <v>FY23</v>
      </c>
      <c r="D402" s="7" t="n">
        <f aca="false">01_Data!E402</f>
        <v>71774</v>
      </c>
      <c r="E402" s="7" t="n">
        <f aca="false">01_Data!F402</f>
        <v>70512</v>
      </c>
      <c r="F402" s="7" t="n">
        <f aca="false">E402-D402</f>
        <v>-1262</v>
      </c>
      <c r="G402" s="8" t="n">
        <f aca="false">IFERROR(F402/D402,0)</f>
        <v>-0.0175829687630618</v>
      </c>
      <c r="H402" s="7" t="n">
        <f aca="false">01_Data!G402</f>
        <v>39092</v>
      </c>
      <c r="I402" s="7" t="n">
        <f aca="false">01_Data!H402</f>
        <v>37103</v>
      </c>
      <c r="J402" s="7" t="n">
        <f aca="false">H402-I402</f>
        <v>1989</v>
      </c>
      <c r="K402" s="8" t="n">
        <f aca="false">IFERROR(J402/H402,0)</f>
        <v>0.0508799754425458</v>
      </c>
      <c r="L402" s="7" t="n">
        <f aca="false">D402-H402</f>
        <v>32682</v>
      </c>
      <c r="M402" s="7" t="n">
        <f aca="false">E402-I402</f>
        <v>33409</v>
      </c>
      <c r="N402" s="7" t="n">
        <f aca="false">IFERROR(L402/D402,0)</f>
        <v>0.455345947000307</v>
      </c>
      <c r="O402" s="7" t="n">
        <f aca="false">IFERROR(M402/E402,0)</f>
        <v>0.473805877013842</v>
      </c>
      <c r="P402" s="7" t="n">
        <f aca="false">01_Data!I402+01_Data!K402+01_Data!M402+01_Data!O402+01_Data!Q402+01_Data!S402+01_Data!U402</f>
        <v>20374</v>
      </c>
      <c r="Q402" s="7" t="n">
        <f aca="false">01_Data!J402+01_Data!L402+01_Data!N402+01_Data!P402+01_Data!R402+01_Data!T402+01_Data!V402</f>
        <v>20987</v>
      </c>
      <c r="R402" s="7" t="n">
        <f aca="false">P402-Q402</f>
        <v>-613</v>
      </c>
      <c r="S402" s="7" t="n">
        <f aca="false">L402-P402</f>
        <v>12308</v>
      </c>
      <c r="T402" s="7" t="n">
        <f aca="false">M402-Q402</f>
        <v>12422</v>
      </c>
      <c r="U402" s="7" t="n">
        <f aca="false">T402-S402</f>
        <v>114</v>
      </c>
      <c r="V402" s="8" t="n">
        <f aca="false">IFERROR(U402/S402,0)</f>
        <v>0.00926226844328892</v>
      </c>
      <c r="W402" s="5" t="str">
        <f aca="false">IF(V402&lt;-0.1,"ADVERSE &gt;10%","")</f>
        <v/>
      </c>
    </row>
    <row r="403" customFormat="false" ht="15" hidden="false" customHeight="false" outlineLevel="0" collapsed="false">
      <c r="A403" s="5" t="str">
        <f aca="false">01_Data!A403</f>
        <v>Healthcare &amp; Life Sciences</v>
      </c>
      <c r="B403" s="5" t="str">
        <f aca="false">01_Data!C403</f>
        <v>2023-09</v>
      </c>
      <c r="C403" s="5" t="str">
        <f aca="false">01_Data!D403</f>
        <v>FY23</v>
      </c>
      <c r="D403" s="7" t="n">
        <f aca="false">01_Data!E403</f>
        <v>70927</v>
      </c>
      <c r="E403" s="7" t="n">
        <f aca="false">01_Data!F403</f>
        <v>75264</v>
      </c>
      <c r="F403" s="7" t="n">
        <f aca="false">E403-D403</f>
        <v>4337</v>
      </c>
      <c r="G403" s="8" t="n">
        <f aca="false">IFERROR(F403/D403,0)</f>
        <v>0.0611473768804546</v>
      </c>
      <c r="H403" s="7" t="n">
        <f aca="false">01_Data!G403</f>
        <v>39497</v>
      </c>
      <c r="I403" s="7" t="n">
        <f aca="false">01_Data!H403</f>
        <v>43874</v>
      </c>
      <c r="J403" s="7" t="n">
        <f aca="false">H403-I403</f>
        <v>-4377</v>
      </c>
      <c r="K403" s="8" t="n">
        <f aca="false">IFERROR(J403/H403,0)</f>
        <v>-0.110818543180495</v>
      </c>
      <c r="L403" s="7" t="n">
        <f aca="false">D403-H403</f>
        <v>31430</v>
      </c>
      <c r="M403" s="7" t="n">
        <f aca="false">E403-I403</f>
        <v>31390</v>
      </c>
      <c r="N403" s="7" t="n">
        <f aca="false">IFERROR(L403/D403,0)</f>
        <v>0.443131670590889</v>
      </c>
      <c r="O403" s="7" t="n">
        <f aca="false">IFERROR(M403/E403,0)</f>
        <v>0.417065263605442</v>
      </c>
      <c r="P403" s="7" t="n">
        <f aca="false">01_Data!I403+01_Data!K403+01_Data!M403+01_Data!O403+01_Data!Q403+01_Data!S403+01_Data!U403</f>
        <v>18607</v>
      </c>
      <c r="Q403" s="7" t="n">
        <f aca="false">01_Data!J403+01_Data!L403+01_Data!N403+01_Data!P403+01_Data!R403+01_Data!T403+01_Data!V403</f>
        <v>18186</v>
      </c>
      <c r="R403" s="7" t="n">
        <f aca="false">P403-Q403</f>
        <v>421</v>
      </c>
      <c r="S403" s="7" t="n">
        <f aca="false">L403-P403</f>
        <v>12823</v>
      </c>
      <c r="T403" s="7" t="n">
        <f aca="false">M403-Q403</f>
        <v>13204</v>
      </c>
      <c r="U403" s="7" t="n">
        <f aca="false">T403-S403</f>
        <v>381</v>
      </c>
      <c r="V403" s="8" t="n">
        <f aca="false">IFERROR(U403/S403,0)</f>
        <v>0.0297122358262497</v>
      </c>
      <c r="W403" s="5" t="str">
        <f aca="false">IF(V403&lt;-0.1,"ADVERSE &gt;10%","")</f>
        <v/>
      </c>
    </row>
    <row r="404" customFormat="false" ht="15" hidden="false" customHeight="false" outlineLevel="0" collapsed="false">
      <c r="A404" s="5" t="str">
        <f aca="false">01_Data!A404</f>
        <v>Healthcare &amp; Life Sciences</v>
      </c>
      <c r="B404" s="5" t="str">
        <f aca="false">01_Data!C404</f>
        <v>2023-10</v>
      </c>
      <c r="C404" s="5" t="str">
        <f aca="false">01_Data!D404</f>
        <v>FY23</v>
      </c>
      <c r="D404" s="7" t="n">
        <f aca="false">01_Data!E404</f>
        <v>73576</v>
      </c>
      <c r="E404" s="7" t="n">
        <f aca="false">01_Data!F404</f>
        <v>70449</v>
      </c>
      <c r="F404" s="7" t="n">
        <f aca="false">E404-D404</f>
        <v>-3127</v>
      </c>
      <c r="G404" s="8" t="n">
        <f aca="false">IFERROR(F404/D404,0)</f>
        <v>-0.0425002718277699</v>
      </c>
      <c r="H404" s="7" t="n">
        <f aca="false">01_Data!G404</f>
        <v>42243</v>
      </c>
      <c r="I404" s="7" t="n">
        <f aca="false">01_Data!H404</f>
        <v>40779</v>
      </c>
      <c r="J404" s="7" t="n">
        <f aca="false">H404-I404</f>
        <v>1464</v>
      </c>
      <c r="K404" s="8" t="n">
        <f aca="false">IFERROR(J404/H404,0)</f>
        <v>0.0346566295007457</v>
      </c>
      <c r="L404" s="7" t="n">
        <f aca="false">D404-H404</f>
        <v>31333</v>
      </c>
      <c r="M404" s="7" t="n">
        <f aca="false">E404-I404</f>
        <v>29670</v>
      </c>
      <c r="N404" s="7" t="n">
        <f aca="false">IFERROR(L404/D404,0)</f>
        <v>0.425858975752963</v>
      </c>
      <c r="O404" s="7" t="n">
        <f aca="false">IFERROR(M404/E404,0)</f>
        <v>0.421155729676787</v>
      </c>
      <c r="P404" s="7" t="n">
        <f aca="false">01_Data!I404+01_Data!K404+01_Data!M404+01_Data!O404+01_Data!Q404+01_Data!S404+01_Data!U404</f>
        <v>19539</v>
      </c>
      <c r="Q404" s="7" t="n">
        <f aca="false">01_Data!J404+01_Data!L404+01_Data!N404+01_Data!P404+01_Data!R404+01_Data!T404+01_Data!V404</f>
        <v>19932</v>
      </c>
      <c r="R404" s="7" t="n">
        <f aca="false">P404-Q404</f>
        <v>-393</v>
      </c>
      <c r="S404" s="7" t="n">
        <f aca="false">L404-P404</f>
        <v>11794</v>
      </c>
      <c r="T404" s="7" t="n">
        <f aca="false">M404-Q404</f>
        <v>9738</v>
      </c>
      <c r="U404" s="7" t="n">
        <f aca="false">T404-S404</f>
        <v>-2056</v>
      </c>
      <c r="V404" s="8" t="n">
        <f aca="false">IFERROR(U404/S404,0)</f>
        <v>-0.174325928438189</v>
      </c>
      <c r="W404" s="5" t="str">
        <f aca="false">IF(V404&lt;-0.1,"ADVERSE &gt;10%","")</f>
        <v>ADVERSE &gt;10%</v>
      </c>
    </row>
    <row r="405" customFormat="false" ht="15" hidden="false" customHeight="false" outlineLevel="0" collapsed="false">
      <c r="A405" s="5" t="str">
        <f aca="false">01_Data!A405</f>
        <v>Healthcare &amp; Life Sciences</v>
      </c>
      <c r="B405" s="5" t="str">
        <f aca="false">01_Data!C405</f>
        <v>2023-11</v>
      </c>
      <c r="C405" s="5" t="str">
        <f aca="false">01_Data!D405</f>
        <v>FY23</v>
      </c>
      <c r="D405" s="7" t="n">
        <f aca="false">01_Data!E405</f>
        <v>75684</v>
      </c>
      <c r="E405" s="7" t="n">
        <f aca="false">01_Data!F405</f>
        <v>71465</v>
      </c>
      <c r="F405" s="7" t="n">
        <f aca="false">E405-D405</f>
        <v>-4219</v>
      </c>
      <c r="G405" s="8" t="n">
        <f aca="false">IFERROR(F405/D405,0)</f>
        <v>-0.0557449394852281</v>
      </c>
      <c r="H405" s="7" t="n">
        <f aca="false">01_Data!G405</f>
        <v>44016</v>
      </c>
      <c r="I405" s="7" t="n">
        <f aca="false">01_Data!H405</f>
        <v>42038</v>
      </c>
      <c r="J405" s="7" t="n">
        <f aca="false">H405-I405</f>
        <v>1978</v>
      </c>
      <c r="K405" s="8" t="n">
        <f aca="false">IFERROR(J405/H405,0)</f>
        <v>0.0449382042893493</v>
      </c>
      <c r="L405" s="7" t="n">
        <f aca="false">D405-H405</f>
        <v>31668</v>
      </c>
      <c r="M405" s="7" t="n">
        <f aca="false">E405-I405</f>
        <v>29427</v>
      </c>
      <c r="N405" s="7" t="n">
        <f aca="false">IFERROR(L405/D405,0)</f>
        <v>0.41842397336293</v>
      </c>
      <c r="O405" s="7" t="n">
        <f aca="false">IFERROR(M405/E405,0)</f>
        <v>0.411767998320856</v>
      </c>
      <c r="P405" s="7" t="n">
        <f aca="false">01_Data!I405+01_Data!K405+01_Data!M405+01_Data!O405+01_Data!Q405+01_Data!S405+01_Data!U405</f>
        <v>19162</v>
      </c>
      <c r="Q405" s="7" t="n">
        <f aca="false">01_Data!J405+01_Data!L405+01_Data!N405+01_Data!P405+01_Data!R405+01_Data!T405+01_Data!V405</f>
        <v>20326</v>
      </c>
      <c r="R405" s="7" t="n">
        <f aca="false">P405-Q405</f>
        <v>-1164</v>
      </c>
      <c r="S405" s="7" t="n">
        <f aca="false">L405-P405</f>
        <v>12506</v>
      </c>
      <c r="T405" s="7" t="n">
        <f aca="false">M405-Q405</f>
        <v>9101</v>
      </c>
      <c r="U405" s="7" t="n">
        <f aca="false">T405-S405</f>
        <v>-3405</v>
      </c>
      <c r="V405" s="8" t="n">
        <f aca="false">IFERROR(U405/S405,0)</f>
        <v>-0.272269310730849</v>
      </c>
      <c r="W405" s="5" t="str">
        <f aca="false">IF(V405&lt;-0.1,"ADVERSE &gt;10%","")</f>
        <v>ADVERSE &gt;10%</v>
      </c>
    </row>
    <row r="406" customFormat="false" ht="15" hidden="false" customHeight="false" outlineLevel="0" collapsed="false">
      <c r="A406" s="5" t="str">
        <f aca="false">01_Data!A406</f>
        <v>Healthcare &amp; Life Sciences</v>
      </c>
      <c r="B406" s="5" t="str">
        <f aca="false">01_Data!C406</f>
        <v>2023-12</v>
      </c>
      <c r="C406" s="5" t="str">
        <f aca="false">01_Data!D406</f>
        <v>FY23</v>
      </c>
      <c r="D406" s="7" t="n">
        <f aca="false">01_Data!E406</f>
        <v>81529</v>
      </c>
      <c r="E406" s="7" t="n">
        <f aca="false">01_Data!F406</f>
        <v>77939</v>
      </c>
      <c r="F406" s="7" t="n">
        <f aca="false">E406-D406</f>
        <v>-3590</v>
      </c>
      <c r="G406" s="8" t="n">
        <f aca="false">IFERROR(F406/D406,0)</f>
        <v>-0.0440334114241558</v>
      </c>
      <c r="H406" s="7" t="n">
        <f aca="false">01_Data!G406</f>
        <v>45124</v>
      </c>
      <c r="I406" s="7" t="n">
        <f aca="false">01_Data!H406</f>
        <v>42661</v>
      </c>
      <c r="J406" s="7" t="n">
        <f aca="false">H406-I406</f>
        <v>2463</v>
      </c>
      <c r="K406" s="8" t="n">
        <f aca="false">IFERROR(J406/H406,0)</f>
        <v>0.0545829270454747</v>
      </c>
      <c r="L406" s="7" t="n">
        <f aca="false">D406-H406</f>
        <v>36405</v>
      </c>
      <c r="M406" s="7" t="n">
        <f aca="false">E406-I406</f>
        <v>35278</v>
      </c>
      <c r="N406" s="7" t="n">
        <f aca="false">IFERROR(L406/D406,0)</f>
        <v>0.446528229219051</v>
      </c>
      <c r="O406" s="7" t="n">
        <f aca="false">IFERROR(M406/E406,0)</f>
        <v>0.452636035874209</v>
      </c>
      <c r="P406" s="7" t="n">
        <f aca="false">01_Data!I406+01_Data!K406+01_Data!M406+01_Data!O406+01_Data!Q406+01_Data!S406+01_Data!U406</f>
        <v>20172</v>
      </c>
      <c r="Q406" s="7" t="n">
        <f aca="false">01_Data!J406+01_Data!L406+01_Data!N406+01_Data!P406+01_Data!R406+01_Data!T406+01_Data!V406</f>
        <v>20343</v>
      </c>
      <c r="R406" s="7" t="n">
        <f aca="false">P406-Q406</f>
        <v>-171</v>
      </c>
      <c r="S406" s="7" t="n">
        <f aca="false">L406-P406</f>
        <v>16233</v>
      </c>
      <c r="T406" s="7" t="n">
        <f aca="false">M406-Q406</f>
        <v>14935</v>
      </c>
      <c r="U406" s="7" t="n">
        <f aca="false">T406-S406</f>
        <v>-1298</v>
      </c>
      <c r="V406" s="8" t="n">
        <f aca="false">IFERROR(U406/S406,0)</f>
        <v>-0.0799605741390994</v>
      </c>
      <c r="W406" s="5" t="str">
        <f aca="false">IF(V406&lt;-0.1,"ADVERSE &gt;10%","")</f>
        <v/>
      </c>
    </row>
    <row r="407" customFormat="false" ht="15" hidden="false" customHeight="false" outlineLevel="0" collapsed="false">
      <c r="A407" s="5" t="str">
        <f aca="false">01_Data!A407</f>
        <v>Healthcare &amp; Life Sciences</v>
      </c>
      <c r="B407" s="5" t="str">
        <f aca="false">01_Data!C407</f>
        <v>2024-01</v>
      </c>
      <c r="C407" s="5" t="str">
        <f aca="false">01_Data!D407</f>
        <v>FY23</v>
      </c>
      <c r="D407" s="7" t="n">
        <f aca="false">01_Data!E407</f>
        <v>70063</v>
      </c>
      <c r="E407" s="7" t="n">
        <f aca="false">01_Data!F407</f>
        <v>73626</v>
      </c>
      <c r="F407" s="7" t="n">
        <f aca="false">E407-D407</f>
        <v>3563</v>
      </c>
      <c r="G407" s="8" t="n">
        <f aca="false">IFERROR(F407/D407,0)</f>
        <v>0.0508542311919273</v>
      </c>
      <c r="H407" s="7" t="n">
        <f aca="false">01_Data!G407</f>
        <v>39852</v>
      </c>
      <c r="I407" s="7" t="n">
        <f aca="false">01_Data!H407</f>
        <v>43381</v>
      </c>
      <c r="J407" s="7" t="n">
        <f aca="false">H407-I407</f>
        <v>-3529</v>
      </c>
      <c r="K407" s="8" t="n">
        <f aca="false">IFERROR(J407/H407,0)</f>
        <v>-0.0885526447857071</v>
      </c>
      <c r="L407" s="7" t="n">
        <f aca="false">D407-H407</f>
        <v>30211</v>
      </c>
      <c r="M407" s="7" t="n">
        <f aca="false">E407-I407</f>
        <v>30245</v>
      </c>
      <c r="N407" s="7" t="n">
        <f aca="false">IFERROR(L407/D407,0)</f>
        <v>0.431197636412943</v>
      </c>
      <c r="O407" s="7" t="n">
        <f aca="false">IFERROR(M407/E407,0)</f>
        <v>0.410792383125526</v>
      </c>
      <c r="P407" s="7" t="n">
        <f aca="false">01_Data!I407+01_Data!K407+01_Data!M407+01_Data!O407+01_Data!Q407+01_Data!S407+01_Data!U407</f>
        <v>18600</v>
      </c>
      <c r="Q407" s="7" t="n">
        <f aca="false">01_Data!J407+01_Data!L407+01_Data!N407+01_Data!P407+01_Data!R407+01_Data!T407+01_Data!V407</f>
        <v>19020</v>
      </c>
      <c r="R407" s="7" t="n">
        <f aca="false">P407-Q407</f>
        <v>-420</v>
      </c>
      <c r="S407" s="7" t="n">
        <f aca="false">L407-P407</f>
        <v>11611</v>
      </c>
      <c r="T407" s="7" t="n">
        <f aca="false">M407-Q407</f>
        <v>11225</v>
      </c>
      <c r="U407" s="7" t="n">
        <f aca="false">T407-S407</f>
        <v>-386</v>
      </c>
      <c r="V407" s="8" t="n">
        <f aca="false">IFERROR(U407/S407,0)</f>
        <v>-0.0332443372663853</v>
      </c>
      <c r="W407" s="5" t="str">
        <f aca="false">IF(V407&lt;-0.1,"ADVERSE &gt;10%","")</f>
        <v/>
      </c>
    </row>
    <row r="408" customFormat="false" ht="15" hidden="false" customHeight="false" outlineLevel="0" collapsed="false">
      <c r="A408" s="5" t="str">
        <f aca="false">01_Data!A408</f>
        <v>Healthcare &amp; Life Sciences</v>
      </c>
      <c r="B408" s="5" t="str">
        <f aca="false">01_Data!C408</f>
        <v>2024-02</v>
      </c>
      <c r="C408" s="5" t="str">
        <f aca="false">01_Data!D408</f>
        <v>FY23</v>
      </c>
      <c r="D408" s="7" t="n">
        <f aca="false">01_Data!E408</f>
        <v>75238</v>
      </c>
      <c r="E408" s="7" t="n">
        <f aca="false">01_Data!F408</f>
        <v>74532</v>
      </c>
      <c r="F408" s="7" t="n">
        <f aca="false">E408-D408</f>
        <v>-706</v>
      </c>
      <c r="G408" s="8" t="n">
        <f aca="false">IFERROR(F408/D408,0)</f>
        <v>-0.00938355618171669</v>
      </c>
      <c r="H408" s="7" t="n">
        <f aca="false">01_Data!G408</f>
        <v>41015</v>
      </c>
      <c r="I408" s="7" t="n">
        <f aca="false">01_Data!H408</f>
        <v>39365</v>
      </c>
      <c r="J408" s="7" t="n">
        <f aca="false">H408-I408</f>
        <v>1650</v>
      </c>
      <c r="K408" s="8" t="n">
        <f aca="false">IFERROR(J408/H408,0)</f>
        <v>0.0402291844447154</v>
      </c>
      <c r="L408" s="7" t="n">
        <f aca="false">D408-H408</f>
        <v>34223</v>
      </c>
      <c r="M408" s="7" t="n">
        <f aca="false">E408-I408</f>
        <v>35167</v>
      </c>
      <c r="N408" s="7" t="n">
        <f aca="false">IFERROR(L408/D408,0)</f>
        <v>0.454863234004094</v>
      </c>
      <c r="O408" s="7" t="n">
        <f aca="false">IFERROR(M408/E408,0)</f>
        <v>0.471837599957065</v>
      </c>
      <c r="P408" s="7" t="n">
        <f aca="false">01_Data!I408+01_Data!K408+01_Data!M408+01_Data!O408+01_Data!Q408+01_Data!S408+01_Data!U408</f>
        <v>19190</v>
      </c>
      <c r="Q408" s="7" t="n">
        <f aca="false">01_Data!J408+01_Data!L408+01_Data!N408+01_Data!P408+01_Data!R408+01_Data!T408+01_Data!V408</f>
        <v>19082</v>
      </c>
      <c r="R408" s="7" t="n">
        <f aca="false">P408-Q408</f>
        <v>108</v>
      </c>
      <c r="S408" s="7" t="n">
        <f aca="false">L408-P408</f>
        <v>15033</v>
      </c>
      <c r="T408" s="7" t="n">
        <f aca="false">M408-Q408</f>
        <v>16085</v>
      </c>
      <c r="U408" s="7" t="n">
        <f aca="false">T408-S408</f>
        <v>1052</v>
      </c>
      <c r="V408" s="8" t="n">
        <f aca="false">IFERROR(U408/S408,0)</f>
        <v>0.0699793787001929</v>
      </c>
      <c r="W408" s="5" t="str">
        <f aca="false">IF(V408&lt;-0.1,"ADVERSE &gt;10%","")</f>
        <v/>
      </c>
    </row>
    <row r="409" customFormat="false" ht="15" hidden="false" customHeight="false" outlineLevel="0" collapsed="false">
      <c r="A409" s="5" t="str">
        <f aca="false">01_Data!A409</f>
        <v>Healthcare &amp; Life Sciences</v>
      </c>
      <c r="B409" s="5" t="str">
        <f aca="false">01_Data!C409</f>
        <v>2024-03</v>
      </c>
      <c r="C409" s="5" t="str">
        <f aca="false">01_Data!D409</f>
        <v>FY23</v>
      </c>
      <c r="D409" s="7" t="n">
        <f aca="false">01_Data!E409</f>
        <v>81544</v>
      </c>
      <c r="E409" s="7" t="n">
        <f aca="false">01_Data!F409</f>
        <v>79151</v>
      </c>
      <c r="F409" s="7" t="n">
        <f aca="false">E409-D409</f>
        <v>-2393</v>
      </c>
      <c r="G409" s="8" t="n">
        <f aca="false">IFERROR(F409/D409,0)</f>
        <v>-0.0293461198861964</v>
      </c>
      <c r="H409" s="7" t="n">
        <f aca="false">01_Data!G409</f>
        <v>45174</v>
      </c>
      <c r="I409" s="7" t="n">
        <f aca="false">01_Data!H409</f>
        <v>44638</v>
      </c>
      <c r="J409" s="7" t="n">
        <f aca="false">H409-I409</f>
        <v>536</v>
      </c>
      <c r="K409" s="8" t="n">
        <f aca="false">IFERROR(J409/H409,0)</f>
        <v>0.01186523221322</v>
      </c>
      <c r="L409" s="7" t="n">
        <f aca="false">D409-H409</f>
        <v>36370</v>
      </c>
      <c r="M409" s="7" t="n">
        <f aca="false">E409-I409</f>
        <v>34513</v>
      </c>
      <c r="N409" s="7" t="n">
        <f aca="false">IFERROR(L409/D409,0)</f>
        <v>0.446016874325518</v>
      </c>
      <c r="O409" s="7" t="n">
        <f aca="false">IFERROR(M409/E409,0)</f>
        <v>0.436039974226479</v>
      </c>
      <c r="P409" s="7" t="n">
        <f aca="false">01_Data!I409+01_Data!K409+01_Data!M409+01_Data!O409+01_Data!Q409+01_Data!S409+01_Data!U409</f>
        <v>21884</v>
      </c>
      <c r="Q409" s="7" t="n">
        <f aca="false">01_Data!J409+01_Data!L409+01_Data!N409+01_Data!P409+01_Data!R409+01_Data!T409+01_Data!V409</f>
        <v>21924</v>
      </c>
      <c r="R409" s="7" t="n">
        <f aca="false">P409-Q409</f>
        <v>-40</v>
      </c>
      <c r="S409" s="7" t="n">
        <f aca="false">L409-P409</f>
        <v>14486</v>
      </c>
      <c r="T409" s="7" t="n">
        <f aca="false">M409-Q409</f>
        <v>12589</v>
      </c>
      <c r="U409" s="7" t="n">
        <f aca="false">T409-S409</f>
        <v>-1897</v>
      </c>
      <c r="V409" s="8" t="n">
        <f aca="false">IFERROR(U409/S409,0)</f>
        <v>-0.130954024575452</v>
      </c>
      <c r="W409" s="5" t="str">
        <f aca="false">IF(V409&lt;-0.1,"ADVERSE &gt;10%","")</f>
        <v>ADVERSE &gt;10%</v>
      </c>
    </row>
    <row r="410" customFormat="false" ht="15" hidden="false" customHeight="false" outlineLevel="0" collapsed="false">
      <c r="A410" s="5" t="str">
        <f aca="false">01_Data!A410</f>
        <v>Healthcare &amp; Life Sciences</v>
      </c>
      <c r="B410" s="5" t="str">
        <f aca="false">01_Data!C410</f>
        <v>2024-04</v>
      </c>
      <c r="C410" s="5" t="str">
        <f aca="false">01_Data!D410</f>
        <v>FY24</v>
      </c>
      <c r="D410" s="7" t="n">
        <f aca="false">01_Data!E410</f>
        <v>75648</v>
      </c>
      <c r="E410" s="7" t="n">
        <f aca="false">01_Data!F410</f>
        <v>73109</v>
      </c>
      <c r="F410" s="7" t="n">
        <f aca="false">E410-D410</f>
        <v>-2539</v>
      </c>
      <c r="G410" s="8" t="n">
        <f aca="false">IFERROR(F410/D410,0)</f>
        <v>-0.0335633460236887</v>
      </c>
      <c r="H410" s="7" t="n">
        <f aca="false">01_Data!G410</f>
        <v>41729</v>
      </c>
      <c r="I410" s="7" t="n">
        <f aca="false">01_Data!H410</f>
        <v>40961</v>
      </c>
      <c r="J410" s="7" t="n">
        <f aca="false">H410-I410</f>
        <v>768</v>
      </c>
      <c r="K410" s="8" t="n">
        <f aca="false">IFERROR(J410/H410,0)</f>
        <v>0.0184044669174914</v>
      </c>
      <c r="L410" s="7" t="n">
        <f aca="false">D410-H410</f>
        <v>33919</v>
      </c>
      <c r="M410" s="7" t="n">
        <f aca="false">E410-I410</f>
        <v>32148</v>
      </c>
      <c r="N410" s="7" t="n">
        <f aca="false">IFERROR(L410/D410,0)</f>
        <v>0.448379335871404</v>
      </c>
      <c r="O410" s="7" t="n">
        <f aca="false">IFERROR(M410/E410,0)</f>
        <v>0.439726982997989</v>
      </c>
      <c r="P410" s="7" t="n">
        <f aca="false">01_Data!I410+01_Data!K410+01_Data!M410+01_Data!O410+01_Data!Q410+01_Data!S410+01_Data!U410</f>
        <v>20568</v>
      </c>
      <c r="Q410" s="7" t="n">
        <f aca="false">01_Data!J410+01_Data!L410+01_Data!N410+01_Data!P410+01_Data!R410+01_Data!T410+01_Data!V410</f>
        <v>20736</v>
      </c>
      <c r="R410" s="7" t="n">
        <f aca="false">P410-Q410</f>
        <v>-168</v>
      </c>
      <c r="S410" s="7" t="n">
        <f aca="false">L410-P410</f>
        <v>13351</v>
      </c>
      <c r="T410" s="7" t="n">
        <f aca="false">M410-Q410</f>
        <v>11412</v>
      </c>
      <c r="U410" s="7" t="n">
        <f aca="false">T410-S410</f>
        <v>-1939</v>
      </c>
      <c r="V410" s="8" t="n">
        <f aca="false">IFERROR(U410/S410,0)</f>
        <v>-0.145232566848925</v>
      </c>
      <c r="W410" s="5" t="str">
        <f aca="false">IF(V410&lt;-0.1,"ADVERSE &gt;10%","")</f>
        <v>ADVERSE &gt;10%</v>
      </c>
    </row>
    <row r="411" customFormat="false" ht="15" hidden="false" customHeight="false" outlineLevel="0" collapsed="false">
      <c r="A411" s="5" t="str">
        <f aca="false">01_Data!A411</f>
        <v>Healthcare &amp; Life Sciences</v>
      </c>
      <c r="B411" s="5" t="str">
        <f aca="false">01_Data!C411</f>
        <v>2024-05</v>
      </c>
      <c r="C411" s="5" t="str">
        <f aca="false">01_Data!D411</f>
        <v>FY24</v>
      </c>
      <c r="D411" s="7" t="n">
        <f aca="false">01_Data!E411</f>
        <v>71301</v>
      </c>
      <c r="E411" s="7" t="n">
        <f aca="false">01_Data!F411</f>
        <v>74451</v>
      </c>
      <c r="F411" s="7" t="n">
        <f aca="false">E411-D411</f>
        <v>3150</v>
      </c>
      <c r="G411" s="8" t="n">
        <f aca="false">IFERROR(F411/D411,0)</f>
        <v>0.0441789035216897</v>
      </c>
      <c r="H411" s="7" t="n">
        <f aca="false">01_Data!G411</f>
        <v>39823</v>
      </c>
      <c r="I411" s="7" t="n">
        <f aca="false">01_Data!H411</f>
        <v>41370</v>
      </c>
      <c r="J411" s="7" t="n">
        <f aca="false">H411-I411</f>
        <v>-1547</v>
      </c>
      <c r="K411" s="8" t="n">
        <f aca="false">IFERROR(J411/H411,0)</f>
        <v>-0.0388468975215328</v>
      </c>
      <c r="L411" s="7" t="n">
        <f aca="false">D411-H411</f>
        <v>31478</v>
      </c>
      <c r="M411" s="7" t="n">
        <f aca="false">E411-I411</f>
        <v>33081</v>
      </c>
      <c r="N411" s="7" t="n">
        <f aca="false">IFERROR(L411/D411,0)</f>
        <v>0.441480484144682</v>
      </c>
      <c r="O411" s="7" t="n">
        <f aca="false">IFERROR(M411/E411,0)</f>
        <v>0.444332514002498</v>
      </c>
      <c r="P411" s="7" t="n">
        <f aca="false">01_Data!I411+01_Data!K411+01_Data!M411+01_Data!O411+01_Data!Q411+01_Data!S411+01_Data!U411</f>
        <v>18898</v>
      </c>
      <c r="Q411" s="7" t="n">
        <f aca="false">01_Data!J411+01_Data!L411+01_Data!N411+01_Data!P411+01_Data!R411+01_Data!T411+01_Data!V411</f>
        <v>18991</v>
      </c>
      <c r="R411" s="7" t="n">
        <f aca="false">P411-Q411</f>
        <v>-93</v>
      </c>
      <c r="S411" s="7" t="n">
        <f aca="false">L411-P411</f>
        <v>12580</v>
      </c>
      <c r="T411" s="7" t="n">
        <f aca="false">M411-Q411</f>
        <v>14090</v>
      </c>
      <c r="U411" s="7" t="n">
        <f aca="false">T411-S411</f>
        <v>1510</v>
      </c>
      <c r="V411" s="8" t="n">
        <f aca="false">IFERROR(U411/S411,0)</f>
        <v>0.120031796502385</v>
      </c>
      <c r="W411" s="5" t="str">
        <f aca="false">IF(V411&lt;-0.1,"ADVERSE &gt;10%","")</f>
        <v/>
      </c>
    </row>
    <row r="412" customFormat="false" ht="15" hidden="false" customHeight="false" outlineLevel="0" collapsed="false">
      <c r="A412" s="5" t="str">
        <f aca="false">01_Data!A412</f>
        <v>Healthcare &amp; Life Sciences</v>
      </c>
      <c r="B412" s="5" t="str">
        <f aca="false">01_Data!C412</f>
        <v>2024-06</v>
      </c>
      <c r="C412" s="5" t="str">
        <f aca="false">01_Data!D412</f>
        <v>FY24</v>
      </c>
      <c r="D412" s="7" t="n">
        <f aca="false">01_Data!E412</f>
        <v>77259</v>
      </c>
      <c r="E412" s="7" t="n">
        <f aca="false">01_Data!F412</f>
        <v>75494</v>
      </c>
      <c r="F412" s="7" t="n">
        <f aca="false">E412-D412</f>
        <v>-1765</v>
      </c>
      <c r="G412" s="8" t="n">
        <f aca="false">IFERROR(F412/D412,0)</f>
        <v>-0.0228452348593691</v>
      </c>
      <c r="H412" s="7" t="n">
        <f aca="false">01_Data!G412</f>
        <v>46272</v>
      </c>
      <c r="I412" s="7" t="n">
        <f aca="false">01_Data!H412</f>
        <v>45969</v>
      </c>
      <c r="J412" s="7" t="n">
        <f aca="false">H412-I412</f>
        <v>303</v>
      </c>
      <c r="K412" s="8" t="n">
        <f aca="false">IFERROR(J412/H412,0)</f>
        <v>0.00654823651452282</v>
      </c>
      <c r="L412" s="7" t="n">
        <f aca="false">D412-H412</f>
        <v>30987</v>
      </c>
      <c r="M412" s="7" t="n">
        <f aca="false">E412-I412</f>
        <v>29525</v>
      </c>
      <c r="N412" s="7" t="n">
        <f aca="false">IFERROR(L412/D412,0)</f>
        <v>0.40107948588514</v>
      </c>
      <c r="O412" s="7" t="n">
        <f aca="false">IFERROR(M412/E412,0)</f>
        <v>0.391090682703261</v>
      </c>
      <c r="P412" s="7" t="n">
        <f aca="false">01_Data!I412+01_Data!K412+01_Data!M412+01_Data!O412+01_Data!Q412+01_Data!S412+01_Data!U412</f>
        <v>19973</v>
      </c>
      <c r="Q412" s="7" t="n">
        <f aca="false">01_Data!J412+01_Data!L412+01_Data!N412+01_Data!P412+01_Data!R412+01_Data!T412+01_Data!V412</f>
        <v>20419</v>
      </c>
      <c r="R412" s="7" t="n">
        <f aca="false">P412-Q412</f>
        <v>-446</v>
      </c>
      <c r="S412" s="7" t="n">
        <f aca="false">L412-P412</f>
        <v>11014</v>
      </c>
      <c r="T412" s="7" t="n">
        <f aca="false">M412-Q412</f>
        <v>9106</v>
      </c>
      <c r="U412" s="7" t="n">
        <f aca="false">T412-S412</f>
        <v>-1908</v>
      </c>
      <c r="V412" s="8" t="n">
        <f aca="false">IFERROR(U412/S412,0)</f>
        <v>-0.17323406573452</v>
      </c>
      <c r="W412" s="5" t="str">
        <f aca="false">IF(V412&lt;-0.1,"ADVERSE &gt;10%","")</f>
        <v>ADVERSE &gt;10%</v>
      </c>
    </row>
    <row r="413" customFormat="false" ht="15" hidden="false" customHeight="false" outlineLevel="0" collapsed="false">
      <c r="A413" s="5" t="str">
        <f aca="false">01_Data!A413</f>
        <v>Healthcare &amp; Life Sciences</v>
      </c>
      <c r="B413" s="5" t="str">
        <f aca="false">01_Data!C413</f>
        <v>2024-07</v>
      </c>
      <c r="C413" s="5" t="str">
        <f aca="false">01_Data!D413</f>
        <v>FY24</v>
      </c>
      <c r="D413" s="7" t="n">
        <f aca="false">01_Data!E413</f>
        <v>77366</v>
      </c>
      <c r="E413" s="7" t="n">
        <f aca="false">01_Data!F413</f>
        <v>75248</v>
      </c>
      <c r="F413" s="7" t="n">
        <f aca="false">E413-D413</f>
        <v>-2118</v>
      </c>
      <c r="G413" s="8" t="n">
        <f aca="false">IFERROR(F413/D413,0)</f>
        <v>-0.0273763668795078</v>
      </c>
      <c r="H413" s="7" t="n">
        <f aca="false">01_Data!G413</f>
        <v>46200</v>
      </c>
      <c r="I413" s="7" t="n">
        <f aca="false">01_Data!H413</f>
        <v>44677</v>
      </c>
      <c r="J413" s="7" t="n">
        <f aca="false">H413-I413</f>
        <v>1523</v>
      </c>
      <c r="K413" s="8" t="n">
        <f aca="false">IFERROR(J413/H413,0)</f>
        <v>0.032965367965368</v>
      </c>
      <c r="L413" s="7" t="n">
        <f aca="false">D413-H413</f>
        <v>31166</v>
      </c>
      <c r="M413" s="7" t="n">
        <f aca="false">E413-I413</f>
        <v>30571</v>
      </c>
      <c r="N413" s="7" t="n">
        <f aca="false">IFERROR(L413/D413,0)</f>
        <v>0.402838456169377</v>
      </c>
      <c r="O413" s="7" t="n">
        <f aca="false">IFERROR(M413/E413,0)</f>
        <v>0.406269934084627</v>
      </c>
      <c r="P413" s="7" t="n">
        <f aca="false">01_Data!I413+01_Data!K413+01_Data!M413+01_Data!O413+01_Data!Q413+01_Data!S413+01_Data!U413</f>
        <v>19966</v>
      </c>
      <c r="Q413" s="7" t="n">
        <f aca="false">01_Data!J413+01_Data!L413+01_Data!N413+01_Data!P413+01_Data!R413+01_Data!T413+01_Data!V413</f>
        <v>20027</v>
      </c>
      <c r="R413" s="7" t="n">
        <f aca="false">P413-Q413</f>
        <v>-61</v>
      </c>
      <c r="S413" s="7" t="n">
        <f aca="false">L413-P413</f>
        <v>11200</v>
      </c>
      <c r="T413" s="7" t="n">
        <f aca="false">M413-Q413</f>
        <v>10544</v>
      </c>
      <c r="U413" s="7" t="n">
        <f aca="false">T413-S413</f>
        <v>-656</v>
      </c>
      <c r="V413" s="8" t="n">
        <f aca="false">IFERROR(U413/S413,0)</f>
        <v>-0.0585714285714286</v>
      </c>
      <c r="W413" s="5" t="str">
        <f aca="false">IF(V413&lt;-0.1,"ADVERSE &gt;10%","")</f>
        <v/>
      </c>
    </row>
    <row r="414" customFormat="false" ht="15" hidden="false" customHeight="false" outlineLevel="0" collapsed="false">
      <c r="A414" s="5" t="str">
        <f aca="false">01_Data!A414</f>
        <v>Healthcare &amp; Life Sciences</v>
      </c>
      <c r="B414" s="5" t="str">
        <f aca="false">01_Data!C414</f>
        <v>2024-08</v>
      </c>
      <c r="C414" s="5" t="str">
        <f aca="false">01_Data!D414</f>
        <v>FY24</v>
      </c>
      <c r="D414" s="7" t="n">
        <f aca="false">01_Data!E414</f>
        <v>71950</v>
      </c>
      <c r="E414" s="7" t="n">
        <f aca="false">01_Data!F414</f>
        <v>74878</v>
      </c>
      <c r="F414" s="7" t="n">
        <f aca="false">E414-D414</f>
        <v>2928</v>
      </c>
      <c r="G414" s="8" t="n">
        <f aca="false">IFERROR(F414/D414,0)</f>
        <v>0.0406949270326616</v>
      </c>
      <c r="H414" s="7" t="n">
        <f aca="false">01_Data!G414</f>
        <v>42675</v>
      </c>
      <c r="I414" s="7" t="n">
        <f aca="false">01_Data!H414</f>
        <v>45606</v>
      </c>
      <c r="J414" s="7" t="n">
        <f aca="false">H414-I414</f>
        <v>-2931</v>
      </c>
      <c r="K414" s="8" t="n">
        <f aca="false">IFERROR(J414/H414,0)</f>
        <v>-0.0686818980667838</v>
      </c>
      <c r="L414" s="7" t="n">
        <f aca="false">D414-H414</f>
        <v>29275</v>
      </c>
      <c r="M414" s="7" t="n">
        <f aca="false">E414-I414</f>
        <v>29272</v>
      </c>
      <c r="N414" s="7" t="n">
        <f aca="false">IFERROR(L414/D414,0)</f>
        <v>0.40687977762335</v>
      </c>
      <c r="O414" s="7" t="n">
        <f aca="false">IFERROR(M414/E414,0)</f>
        <v>0.390929244905046</v>
      </c>
      <c r="P414" s="7" t="n">
        <f aca="false">01_Data!I414+01_Data!K414+01_Data!M414+01_Data!O414+01_Data!Q414+01_Data!S414+01_Data!U414</f>
        <v>17968</v>
      </c>
      <c r="Q414" s="7" t="n">
        <f aca="false">01_Data!J414+01_Data!L414+01_Data!N414+01_Data!P414+01_Data!R414+01_Data!T414+01_Data!V414</f>
        <v>18558</v>
      </c>
      <c r="R414" s="7" t="n">
        <f aca="false">P414-Q414</f>
        <v>-590</v>
      </c>
      <c r="S414" s="7" t="n">
        <f aca="false">L414-P414</f>
        <v>11307</v>
      </c>
      <c r="T414" s="7" t="n">
        <f aca="false">M414-Q414</f>
        <v>10714</v>
      </c>
      <c r="U414" s="7" t="n">
        <f aca="false">T414-S414</f>
        <v>-593</v>
      </c>
      <c r="V414" s="8" t="n">
        <f aca="false">IFERROR(U414/S414,0)</f>
        <v>-0.0524453878128593</v>
      </c>
      <c r="W414" s="5" t="str">
        <f aca="false">IF(V414&lt;-0.1,"ADVERSE &gt;10%","")</f>
        <v/>
      </c>
    </row>
    <row r="415" customFormat="false" ht="15" hidden="false" customHeight="false" outlineLevel="0" collapsed="false">
      <c r="A415" s="5" t="str">
        <f aca="false">01_Data!A415</f>
        <v>Healthcare &amp; Life Sciences</v>
      </c>
      <c r="B415" s="5" t="str">
        <f aca="false">01_Data!C415</f>
        <v>2024-09</v>
      </c>
      <c r="C415" s="5" t="str">
        <f aca="false">01_Data!D415</f>
        <v>FY24</v>
      </c>
      <c r="D415" s="7" t="n">
        <f aca="false">01_Data!E415</f>
        <v>83405</v>
      </c>
      <c r="E415" s="7" t="n">
        <f aca="false">01_Data!F415</f>
        <v>81825</v>
      </c>
      <c r="F415" s="7" t="n">
        <f aca="false">E415-D415</f>
        <v>-1580</v>
      </c>
      <c r="G415" s="8" t="n">
        <f aca="false">IFERROR(F415/D415,0)</f>
        <v>-0.0189437084107667</v>
      </c>
      <c r="H415" s="7" t="n">
        <f aca="false">01_Data!G415</f>
        <v>49749</v>
      </c>
      <c r="I415" s="7" t="n">
        <f aca="false">01_Data!H415</f>
        <v>51167</v>
      </c>
      <c r="J415" s="7" t="n">
        <f aca="false">H415-I415</f>
        <v>-1418</v>
      </c>
      <c r="K415" s="8" t="n">
        <f aca="false">IFERROR(J415/H415,0)</f>
        <v>-0.0285030854891556</v>
      </c>
      <c r="L415" s="7" t="n">
        <f aca="false">D415-H415</f>
        <v>33656</v>
      </c>
      <c r="M415" s="7" t="n">
        <f aca="false">E415-I415</f>
        <v>30658</v>
      </c>
      <c r="N415" s="7" t="n">
        <f aca="false">IFERROR(L415/D415,0)</f>
        <v>0.403524968527067</v>
      </c>
      <c r="O415" s="7" t="n">
        <f aca="false">IFERROR(M415/E415,0)</f>
        <v>0.374677665750076</v>
      </c>
      <c r="P415" s="7" t="n">
        <f aca="false">01_Data!I415+01_Data!K415+01_Data!M415+01_Data!O415+01_Data!Q415+01_Data!S415+01_Data!U415</f>
        <v>23781</v>
      </c>
      <c r="Q415" s="7" t="n">
        <f aca="false">01_Data!J415+01_Data!L415+01_Data!N415+01_Data!P415+01_Data!R415+01_Data!T415+01_Data!V415</f>
        <v>24710</v>
      </c>
      <c r="R415" s="7" t="n">
        <f aca="false">P415-Q415</f>
        <v>-929</v>
      </c>
      <c r="S415" s="7" t="n">
        <f aca="false">L415-P415</f>
        <v>9875</v>
      </c>
      <c r="T415" s="7" t="n">
        <f aca="false">M415-Q415</f>
        <v>5948</v>
      </c>
      <c r="U415" s="7" t="n">
        <f aca="false">T415-S415</f>
        <v>-3927</v>
      </c>
      <c r="V415" s="8" t="n">
        <f aca="false">IFERROR(U415/S415,0)</f>
        <v>-0.397670886075949</v>
      </c>
      <c r="W415" s="5" t="str">
        <f aca="false">IF(V415&lt;-0.1,"ADVERSE &gt;10%","")</f>
        <v>ADVERSE &gt;10%</v>
      </c>
    </row>
    <row r="416" customFormat="false" ht="15" hidden="false" customHeight="false" outlineLevel="0" collapsed="false">
      <c r="A416" s="5" t="str">
        <f aca="false">01_Data!A416</f>
        <v>Healthcare &amp; Life Sciences</v>
      </c>
      <c r="B416" s="5" t="str">
        <f aca="false">01_Data!C416</f>
        <v>2024-10</v>
      </c>
      <c r="C416" s="5" t="str">
        <f aca="false">01_Data!D416</f>
        <v>FY24</v>
      </c>
      <c r="D416" s="7" t="n">
        <f aca="false">01_Data!E416</f>
        <v>74383</v>
      </c>
      <c r="E416" s="7" t="n">
        <f aca="false">01_Data!F416</f>
        <v>77266</v>
      </c>
      <c r="F416" s="7" t="n">
        <f aca="false">E416-D416</f>
        <v>2883</v>
      </c>
      <c r="G416" s="8" t="n">
        <f aca="false">IFERROR(F416/D416,0)</f>
        <v>0.0387588561902585</v>
      </c>
      <c r="H416" s="7" t="n">
        <f aca="false">01_Data!G416</f>
        <v>42557</v>
      </c>
      <c r="I416" s="7" t="n">
        <f aca="false">01_Data!H416</f>
        <v>45711</v>
      </c>
      <c r="J416" s="7" t="n">
        <f aca="false">H416-I416</f>
        <v>-3154</v>
      </c>
      <c r="K416" s="8" t="n">
        <f aca="false">IFERROR(J416/H416,0)</f>
        <v>-0.0741123669431586</v>
      </c>
      <c r="L416" s="7" t="n">
        <f aca="false">D416-H416</f>
        <v>31826</v>
      </c>
      <c r="M416" s="7" t="n">
        <f aca="false">E416-I416</f>
        <v>31555</v>
      </c>
      <c r="N416" s="7" t="n">
        <f aca="false">IFERROR(L416/D416,0)</f>
        <v>0.427866582418026</v>
      </c>
      <c r="O416" s="7" t="n">
        <f aca="false">IFERROR(M416/E416,0)</f>
        <v>0.408394377863485</v>
      </c>
      <c r="P416" s="7" t="n">
        <f aca="false">01_Data!I416+01_Data!K416+01_Data!M416+01_Data!O416+01_Data!Q416+01_Data!S416+01_Data!U416</f>
        <v>20105</v>
      </c>
      <c r="Q416" s="7" t="n">
        <f aca="false">01_Data!J416+01_Data!L416+01_Data!N416+01_Data!P416+01_Data!R416+01_Data!T416+01_Data!V416</f>
        <v>20217</v>
      </c>
      <c r="R416" s="7" t="n">
        <f aca="false">P416-Q416</f>
        <v>-112</v>
      </c>
      <c r="S416" s="7" t="n">
        <f aca="false">L416-P416</f>
        <v>11721</v>
      </c>
      <c r="T416" s="7" t="n">
        <f aca="false">M416-Q416</f>
        <v>11338</v>
      </c>
      <c r="U416" s="7" t="n">
        <f aca="false">T416-S416</f>
        <v>-383</v>
      </c>
      <c r="V416" s="8" t="n">
        <f aca="false">IFERROR(U416/S416,0)</f>
        <v>-0.0326763927992492</v>
      </c>
      <c r="W416" s="5" t="str">
        <f aca="false">IF(V416&lt;-0.1,"ADVERSE &gt;10%","")</f>
        <v/>
      </c>
    </row>
    <row r="417" customFormat="false" ht="15" hidden="false" customHeight="false" outlineLevel="0" collapsed="false">
      <c r="A417" s="5" t="str">
        <f aca="false">01_Data!A417</f>
        <v>Healthcare &amp; Life Sciences</v>
      </c>
      <c r="B417" s="5" t="str">
        <f aca="false">01_Data!C417</f>
        <v>2024-11</v>
      </c>
      <c r="C417" s="5" t="str">
        <f aca="false">01_Data!D417</f>
        <v>FY24</v>
      </c>
      <c r="D417" s="7" t="n">
        <f aca="false">01_Data!E417</f>
        <v>78365</v>
      </c>
      <c r="E417" s="7" t="n">
        <f aca="false">01_Data!F417</f>
        <v>78279</v>
      </c>
      <c r="F417" s="7" t="n">
        <f aca="false">E417-D417</f>
        <v>-86</v>
      </c>
      <c r="G417" s="8" t="n">
        <f aca="false">IFERROR(F417/D417,0)</f>
        <v>-0.00109742869903656</v>
      </c>
      <c r="H417" s="7" t="n">
        <f aca="false">01_Data!G417</f>
        <v>44661</v>
      </c>
      <c r="I417" s="7" t="n">
        <f aca="false">01_Data!H417</f>
        <v>44864</v>
      </c>
      <c r="J417" s="7" t="n">
        <f aca="false">H417-I417</f>
        <v>-203</v>
      </c>
      <c r="K417" s="8" t="n">
        <f aca="false">IFERROR(J417/H417,0)</f>
        <v>-0.00454535276863483</v>
      </c>
      <c r="L417" s="7" t="n">
        <f aca="false">D417-H417</f>
        <v>33704</v>
      </c>
      <c r="M417" s="7" t="n">
        <f aca="false">E417-I417</f>
        <v>33415</v>
      </c>
      <c r="N417" s="7" t="n">
        <f aca="false">IFERROR(L417/D417,0)</f>
        <v>0.430089963631723</v>
      </c>
      <c r="O417" s="7" t="n">
        <f aca="false">IFERROR(M417/E417,0)</f>
        <v>0.426870552766387</v>
      </c>
      <c r="P417" s="7" t="n">
        <f aca="false">01_Data!I417+01_Data!K417+01_Data!M417+01_Data!O417+01_Data!Q417+01_Data!S417+01_Data!U417</f>
        <v>20858</v>
      </c>
      <c r="Q417" s="7" t="n">
        <f aca="false">01_Data!J417+01_Data!L417+01_Data!N417+01_Data!P417+01_Data!R417+01_Data!T417+01_Data!V417</f>
        <v>21111</v>
      </c>
      <c r="R417" s="7" t="n">
        <f aca="false">P417-Q417</f>
        <v>-253</v>
      </c>
      <c r="S417" s="7" t="n">
        <f aca="false">L417-P417</f>
        <v>12846</v>
      </c>
      <c r="T417" s="7" t="n">
        <f aca="false">M417-Q417</f>
        <v>12304</v>
      </c>
      <c r="U417" s="7" t="n">
        <f aca="false">T417-S417</f>
        <v>-542</v>
      </c>
      <c r="V417" s="8" t="n">
        <f aca="false">IFERROR(U417/S417,0)</f>
        <v>-0.0421921220613421</v>
      </c>
      <c r="W417" s="5" t="str">
        <f aca="false">IF(V417&lt;-0.1,"ADVERSE &gt;10%","")</f>
        <v/>
      </c>
    </row>
    <row r="418" customFormat="false" ht="15" hidden="false" customHeight="false" outlineLevel="0" collapsed="false">
      <c r="A418" s="5" t="str">
        <f aca="false">01_Data!A418</f>
        <v>Healthcare &amp; Life Sciences</v>
      </c>
      <c r="B418" s="5" t="str">
        <f aca="false">01_Data!C418</f>
        <v>2024-12</v>
      </c>
      <c r="C418" s="5" t="str">
        <f aca="false">01_Data!D418</f>
        <v>FY24</v>
      </c>
      <c r="D418" s="7" t="n">
        <f aca="false">01_Data!E418</f>
        <v>87750</v>
      </c>
      <c r="E418" s="7" t="n">
        <f aca="false">01_Data!F418</f>
        <v>83839</v>
      </c>
      <c r="F418" s="7" t="n">
        <f aca="false">E418-D418</f>
        <v>-3911</v>
      </c>
      <c r="G418" s="8" t="n">
        <f aca="false">IFERROR(F418/D418,0)</f>
        <v>-0.0445698005698006</v>
      </c>
      <c r="H418" s="7" t="n">
        <f aca="false">01_Data!G418</f>
        <v>50393</v>
      </c>
      <c r="I418" s="7" t="n">
        <f aca="false">01_Data!H418</f>
        <v>50392</v>
      </c>
      <c r="J418" s="7" t="n">
        <f aca="false">H418-I418</f>
        <v>1</v>
      </c>
      <c r="K418" s="8" t="n">
        <f aca="false">IFERROR(J418/H418,0)</f>
        <v>1.9844025955986E-005</v>
      </c>
      <c r="L418" s="7" t="n">
        <f aca="false">D418-H418</f>
        <v>37357</v>
      </c>
      <c r="M418" s="7" t="n">
        <f aca="false">E418-I418</f>
        <v>33447</v>
      </c>
      <c r="N418" s="7" t="n">
        <f aca="false">IFERROR(L418/D418,0)</f>
        <v>0.425720797720798</v>
      </c>
      <c r="O418" s="7" t="n">
        <f aca="false">IFERROR(M418/E418,0)</f>
        <v>0.398943212586028</v>
      </c>
      <c r="P418" s="7" t="n">
        <f aca="false">01_Data!I418+01_Data!K418+01_Data!M418+01_Data!O418+01_Data!Q418+01_Data!S418+01_Data!U418</f>
        <v>22992</v>
      </c>
      <c r="Q418" s="7" t="n">
        <f aca="false">01_Data!J418+01_Data!L418+01_Data!N418+01_Data!P418+01_Data!R418+01_Data!T418+01_Data!V418</f>
        <v>23138</v>
      </c>
      <c r="R418" s="7" t="n">
        <f aca="false">P418-Q418</f>
        <v>-146</v>
      </c>
      <c r="S418" s="7" t="n">
        <f aca="false">L418-P418</f>
        <v>14365</v>
      </c>
      <c r="T418" s="7" t="n">
        <f aca="false">M418-Q418</f>
        <v>10309</v>
      </c>
      <c r="U418" s="7" t="n">
        <f aca="false">T418-S418</f>
        <v>-4056</v>
      </c>
      <c r="V418" s="8" t="n">
        <f aca="false">IFERROR(U418/S418,0)</f>
        <v>-0.282352941176471</v>
      </c>
      <c r="W418" s="5" t="str">
        <f aca="false">IF(V418&lt;-0.1,"ADVERSE &gt;10%","")</f>
        <v>ADVERSE &gt;10%</v>
      </c>
    </row>
    <row r="419" customFormat="false" ht="15" hidden="false" customHeight="false" outlineLevel="0" collapsed="false">
      <c r="A419" s="5" t="str">
        <f aca="false">01_Data!A419</f>
        <v>Healthcare &amp; Life Sciences</v>
      </c>
      <c r="B419" s="5" t="str">
        <f aca="false">01_Data!C419</f>
        <v>2025-01</v>
      </c>
      <c r="C419" s="5" t="str">
        <f aca="false">01_Data!D419</f>
        <v>FY24</v>
      </c>
      <c r="D419" s="7" t="n">
        <f aca="false">01_Data!E419</f>
        <v>75416</v>
      </c>
      <c r="E419" s="7" t="n">
        <f aca="false">01_Data!F419</f>
        <v>78432</v>
      </c>
      <c r="F419" s="7" t="n">
        <f aca="false">E419-D419</f>
        <v>3016</v>
      </c>
      <c r="G419" s="8" t="n">
        <f aca="false">IFERROR(F419/D419,0)</f>
        <v>0.039991513737138</v>
      </c>
      <c r="H419" s="7" t="n">
        <f aca="false">01_Data!G419</f>
        <v>41783</v>
      </c>
      <c r="I419" s="7" t="n">
        <f aca="false">01_Data!H419</f>
        <v>44416</v>
      </c>
      <c r="J419" s="7" t="n">
        <f aca="false">H419-I419</f>
        <v>-2633</v>
      </c>
      <c r="K419" s="8" t="n">
        <f aca="false">IFERROR(J419/H419,0)</f>
        <v>-0.0630160591628174</v>
      </c>
      <c r="L419" s="7" t="n">
        <f aca="false">D419-H419</f>
        <v>33633</v>
      </c>
      <c r="M419" s="7" t="n">
        <f aca="false">E419-I419</f>
        <v>34016</v>
      </c>
      <c r="N419" s="7" t="n">
        <f aca="false">IFERROR(L419/D419,0)</f>
        <v>0.445966373183409</v>
      </c>
      <c r="O419" s="7" t="n">
        <f aca="false">IFERROR(M419/E419,0)</f>
        <v>0.433700530395757</v>
      </c>
      <c r="P419" s="7" t="n">
        <f aca="false">01_Data!I419+01_Data!K419+01_Data!M419+01_Data!O419+01_Data!Q419+01_Data!S419+01_Data!U419</f>
        <v>20080</v>
      </c>
      <c r="Q419" s="7" t="n">
        <f aca="false">01_Data!J419+01_Data!L419+01_Data!N419+01_Data!P419+01_Data!R419+01_Data!T419+01_Data!V419</f>
        <v>19795</v>
      </c>
      <c r="R419" s="7" t="n">
        <f aca="false">P419-Q419</f>
        <v>285</v>
      </c>
      <c r="S419" s="7" t="n">
        <f aca="false">L419-P419</f>
        <v>13553</v>
      </c>
      <c r="T419" s="7" t="n">
        <f aca="false">M419-Q419</f>
        <v>14221</v>
      </c>
      <c r="U419" s="7" t="n">
        <f aca="false">T419-S419</f>
        <v>668</v>
      </c>
      <c r="V419" s="8" t="n">
        <f aca="false">IFERROR(U419/S419,0)</f>
        <v>0.0492879805209179</v>
      </c>
      <c r="W419" s="5" t="str">
        <f aca="false">IF(V419&lt;-0.1,"ADVERSE &gt;10%","")</f>
        <v/>
      </c>
    </row>
    <row r="420" customFormat="false" ht="15" hidden="false" customHeight="false" outlineLevel="0" collapsed="false">
      <c r="A420" s="5" t="str">
        <f aca="false">01_Data!A420</f>
        <v>Healthcare &amp; Life Sciences</v>
      </c>
      <c r="B420" s="5" t="str">
        <f aca="false">01_Data!C420</f>
        <v>2025-02</v>
      </c>
      <c r="C420" s="5" t="str">
        <f aca="false">01_Data!D420</f>
        <v>FY24</v>
      </c>
      <c r="D420" s="7" t="n">
        <f aca="false">01_Data!E420</f>
        <v>81760</v>
      </c>
      <c r="E420" s="7" t="n">
        <f aca="false">01_Data!F420</f>
        <v>79998</v>
      </c>
      <c r="F420" s="7" t="n">
        <f aca="false">E420-D420</f>
        <v>-1762</v>
      </c>
      <c r="G420" s="8" t="n">
        <f aca="false">IFERROR(F420/D420,0)</f>
        <v>-0.0215508806262231</v>
      </c>
      <c r="H420" s="7" t="n">
        <f aca="false">01_Data!G420</f>
        <v>45497</v>
      </c>
      <c r="I420" s="7" t="n">
        <f aca="false">01_Data!H420</f>
        <v>45739</v>
      </c>
      <c r="J420" s="7" t="n">
        <f aca="false">H420-I420</f>
        <v>-242</v>
      </c>
      <c r="K420" s="8" t="n">
        <f aca="false">IFERROR(J420/H420,0)</f>
        <v>-0.0053190320240895</v>
      </c>
      <c r="L420" s="7" t="n">
        <f aca="false">D420-H420</f>
        <v>36263</v>
      </c>
      <c r="M420" s="7" t="n">
        <f aca="false">E420-I420</f>
        <v>34259</v>
      </c>
      <c r="N420" s="7" t="n">
        <f aca="false">IFERROR(L420/D420,0)</f>
        <v>0.443529843444227</v>
      </c>
      <c r="O420" s="7" t="n">
        <f aca="false">IFERROR(M420/E420,0)</f>
        <v>0.428248206205155</v>
      </c>
      <c r="P420" s="7" t="n">
        <f aca="false">01_Data!I420+01_Data!K420+01_Data!M420+01_Data!O420+01_Data!Q420+01_Data!S420+01_Data!U420</f>
        <v>23699</v>
      </c>
      <c r="Q420" s="7" t="n">
        <f aca="false">01_Data!J420+01_Data!L420+01_Data!N420+01_Data!P420+01_Data!R420+01_Data!T420+01_Data!V420</f>
        <v>24963</v>
      </c>
      <c r="R420" s="7" t="n">
        <f aca="false">P420-Q420</f>
        <v>-1264</v>
      </c>
      <c r="S420" s="7" t="n">
        <f aca="false">L420-P420</f>
        <v>12564</v>
      </c>
      <c r="T420" s="7" t="n">
        <f aca="false">M420-Q420</f>
        <v>9296</v>
      </c>
      <c r="U420" s="7" t="n">
        <f aca="false">T420-S420</f>
        <v>-3268</v>
      </c>
      <c r="V420" s="8" t="n">
        <f aca="false">IFERROR(U420/S420,0)</f>
        <v>-0.260108245781598</v>
      </c>
      <c r="W420" s="5" t="str">
        <f aca="false">IF(V420&lt;-0.1,"ADVERSE &gt;10%","")</f>
        <v>ADVERSE &gt;10%</v>
      </c>
    </row>
    <row r="421" customFormat="false" ht="15" hidden="false" customHeight="false" outlineLevel="0" collapsed="false">
      <c r="A421" s="5" t="str">
        <f aca="false">01_Data!A421</f>
        <v>Healthcare &amp; Life Sciences</v>
      </c>
      <c r="B421" s="5" t="str">
        <f aca="false">01_Data!C421</f>
        <v>2025-03</v>
      </c>
      <c r="C421" s="5" t="str">
        <f aca="false">01_Data!D421</f>
        <v>FY24</v>
      </c>
      <c r="D421" s="7" t="n">
        <f aca="false">01_Data!E421</f>
        <v>89103</v>
      </c>
      <c r="E421" s="7" t="n">
        <f aca="false">01_Data!F421</f>
        <v>86395</v>
      </c>
      <c r="F421" s="7" t="n">
        <f aca="false">E421-D421</f>
        <v>-2708</v>
      </c>
      <c r="G421" s="8" t="n">
        <f aca="false">IFERROR(F421/D421,0)</f>
        <v>-0.0303917937667643</v>
      </c>
      <c r="H421" s="7" t="n">
        <f aca="false">01_Data!G421</f>
        <v>48914</v>
      </c>
      <c r="I421" s="7" t="n">
        <f aca="false">01_Data!H421</f>
        <v>47416</v>
      </c>
      <c r="J421" s="7" t="n">
        <f aca="false">H421-I421</f>
        <v>1498</v>
      </c>
      <c r="K421" s="8" t="n">
        <f aca="false">IFERROR(J421/H421,0)</f>
        <v>0.0306251788853907</v>
      </c>
      <c r="L421" s="7" t="n">
        <f aca="false">D421-H421</f>
        <v>40189</v>
      </c>
      <c r="M421" s="7" t="n">
        <f aca="false">E421-I421</f>
        <v>38979</v>
      </c>
      <c r="N421" s="7" t="n">
        <f aca="false">IFERROR(L421/D421,0)</f>
        <v>0.45103980786281</v>
      </c>
      <c r="O421" s="7" t="n">
        <f aca="false">IFERROR(M421/E421,0)</f>
        <v>0.451171942820765</v>
      </c>
      <c r="P421" s="7" t="n">
        <f aca="false">01_Data!I421+01_Data!K421+01_Data!M421+01_Data!O421+01_Data!Q421+01_Data!S421+01_Data!U421</f>
        <v>23621</v>
      </c>
      <c r="Q421" s="7" t="n">
        <f aca="false">01_Data!J421+01_Data!L421+01_Data!N421+01_Data!P421+01_Data!R421+01_Data!T421+01_Data!V421</f>
        <v>24633</v>
      </c>
      <c r="R421" s="7" t="n">
        <f aca="false">P421-Q421</f>
        <v>-1012</v>
      </c>
      <c r="S421" s="7" t="n">
        <f aca="false">L421-P421</f>
        <v>16568</v>
      </c>
      <c r="T421" s="7" t="n">
        <f aca="false">M421-Q421</f>
        <v>14346</v>
      </c>
      <c r="U421" s="7" t="n">
        <f aca="false">T421-S421</f>
        <v>-2222</v>
      </c>
      <c r="V421" s="8" t="n">
        <f aca="false">IFERROR(U421/S421,0)</f>
        <v>-0.134113954611299</v>
      </c>
      <c r="W421" s="5" t="str">
        <f aca="false">IF(V421&lt;-0.1,"ADVERSE &gt;10%","")</f>
        <v>ADVERSE &gt;10%</v>
      </c>
    </row>
    <row r="422" customFormat="false" ht="15" hidden="false" customHeight="false" outlineLevel="0" collapsed="false">
      <c r="A422" s="5" t="str">
        <f aca="false">01_Data!A422</f>
        <v>Healthcare &amp; Life Sciences</v>
      </c>
      <c r="B422" s="5" t="str">
        <f aca="false">01_Data!C422</f>
        <v>2025-04</v>
      </c>
      <c r="C422" s="5" t="str">
        <f aca="false">01_Data!D422</f>
        <v>FY25</v>
      </c>
      <c r="D422" s="7" t="n">
        <f aca="false">01_Data!E422</f>
        <v>81610</v>
      </c>
      <c r="E422" s="7" t="n">
        <f aca="false">01_Data!F422</f>
        <v>81042</v>
      </c>
      <c r="F422" s="7" t="n">
        <f aca="false">E422-D422</f>
        <v>-568</v>
      </c>
      <c r="G422" s="8" t="n">
        <f aca="false">IFERROR(F422/D422,0)</f>
        <v>-0.00695993138095822</v>
      </c>
      <c r="H422" s="7" t="n">
        <f aca="false">01_Data!G422</f>
        <v>45904</v>
      </c>
      <c r="I422" s="7" t="n">
        <f aca="false">01_Data!H422</f>
        <v>46304</v>
      </c>
      <c r="J422" s="7" t="n">
        <f aca="false">H422-I422</f>
        <v>-400</v>
      </c>
      <c r="K422" s="8" t="n">
        <f aca="false">IFERROR(J422/H422,0)</f>
        <v>-0.00871383757406762</v>
      </c>
      <c r="L422" s="7" t="n">
        <f aca="false">D422-H422</f>
        <v>35706</v>
      </c>
      <c r="M422" s="7" t="n">
        <f aca="false">E422-I422</f>
        <v>34738</v>
      </c>
      <c r="N422" s="7" t="n">
        <f aca="false">IFERROR(L422/D422,0)</f>
        <v>0.437519911775518</v>
      </c>
      <c r="O422" s="7" t="n">
        <f aca="false">IFERROR(M422/E422,0)</f>
        <v>0.42864193874781</v>
      </c>
      <c r="P422" s="7" t="n">
        <f aca="false">01_Data!I422+01_Data!K422+01_Data!M422+01_Data!O422+01_Data!Q422+01_Data!S422+01_Data!U422</f>
        <v>19971</v>
      </c>
      <c r="Q422" s="7" t="n">
        <f aca="false">01_Data!J422+01_Data!L422+01_Data!N422+01_Data!P422+01_Data!R422+01_Data!T422+01_Data!V422</f>
        <v>21095</v>
      </c>
      <c r="R422" s="7" t="n">
        <f aca="false">P422-Q422</f>
        <v>-1124</v>
      </c>
      <c r="S422" s="7" t="n">
        <f aca="false">L422-P422</f>
        <v>15735</v>
      </c>
      <c r="T422" s="7" t="n">
        <f aca="false">M422-Q422</f>
        <v>13643</v>
      </c>
      <c r="U422" s="7" t="n">
        <f aca="false">T422-S422</f>
        <v>-2092</v>
      </c>
      <c r="V422" s="8" t="n">
        <f aca="false">IFERROR(U422/S422,0)</f>
        <v>-0.132952017794725</v>
      </c>
      <c r="W422" s="5" t="str">
        <f aca="false">IF(V422&lt;-0.1,"ADVERSE &gt;10%","")</f>
        <v>ADVERSE &gt;10%</v>
      </c>
    </row>
    <row r="423" customFormat="false" ht="15" hidden="false" customHeight="false" outlineLevel="0" collapsed="false">
      <c r="A423" s="5" t="str">
        <f aca="false">01_Data!A423</f>
        <v>Healthcare &amp; Life Sciences</v>
      </c>
      <c r="B423" s="5" t="str">
        <f aca="false">01_Data!C423</f>
        <v>2025-05</v>
      </c>
      <c r="C423" s="5" t="str">
        <f aca="false">01_Data!D423</f>
        <v>FY25</v>
      </c>
      <c r="D423" s="7" t="n">
        <f aca="false">01_Data!E423</f>
        <v>79558</v>
      </c>
      <c r="E423" s="7" t="n">
        <f aca="false">01_Data!F423</f>
        <v>83008</v>
      </c>
      <c r="F423" s="7" t="n">
        <f aca="false">E423-D423</f>
        <v>3450</v>
      </c>
      <c r="G423" s="8" t="n">
        <f aca="false">IFERROR(F423/D423,0)</f>
        <v>0.043364589356193</v>
      </c>
      <c r="H423" s="7" t="n">
        <f aca="false">01_Data!G423</f>
        <v>47509</v>
      </c>
      <c r="I423" s="7" t="n">
        <f aca="false">01_Data!H423</f>
        <v>49279</v>
      </c>
      <c r="J423" s="7" t="n">
        <f aca="false">H423-I423</f>
        <v>-1770</v>
      </c>
      <c r="K423" s="8" t="n">
        <f aca="false">IFERROR(J423/H423,0)</f>
        <v>-0.0372560988444295</v>
      </c>
      <c r="L423" s="7" t="n">
        <f aca="false">D423-H423</f>
        <v>32049</v>
      </c>
      <c r="M423" s="7" t="n">
        <f aca="false">E423-I423</f>
        <v>33729</v>
      </c>
      <c r="N423" s="7" t="n">
        <f aca="false">IFERROR(L423/D423,0)</f>
        <v>0.402838180949747</v>
      </c>
      <c r="O423" s="7" t="n">
        <f aca="false">IFERROR(M423/E423,0)</f>
        <v>0.40633432922128</v>
      </c>
      <c r="P423" s="7" t="n">
        <f aca="false">01_Data!I423+01_Data!K423+01_Data!M423+01_Data!O423+01_Data!Q423+01_Data!S423+01_Data!U423</f>
        <v>22010</v>
      </c>
      <c r="Q423" s="7" t="n">
        <f aca="false">01_Data!J423+01_Data!L423+01_Data!N423+01_Data!P423+01_Data!R423+01_Data!T423+01_Data!V423</f>
        <v>22591</v>
      </c>
      <c r="R423" s="7" t="n">
        <f aca="false">P423-Q423</f>
        <v>-581</v>
      </c>
      <c r="S423" s="7" t="n">
        <f aca="false">L423-P423</f>
        <v>10039</v>
      </c>
      <c r="T423" s="7" t="n">
        <f aca="false">M423-Q423</f>
        <v>11138</v>
      </c>
      <c r="U423" s="7" t="n">
        <f aca="false">T423-S423</f>
        <v>1099</v>
      </c>
      <c r="V423" s="8" t="n">
        <f aca="false">IFERROR(U423/S423,0)</f>
        <v>0.109473055085168</v>
      </c>
      <c r="W423" s="5" t="str">
        <f aca="false">IF(V423&lt;-0.1,"ADVERSE &gt;10%","")</f>
        <v/>
      </c>
    </row>
    <row r="424" customFormat="false" ht="15" hidden="false" customHeight="false" outlineLevel="0" collapsed="false">
      <c r="A424" s="5" t="str">
        <f aca="false">01_Data!A424</f>
        <v>Healthcare &amp; Life Sciences</v>
      </c>
      <c r="B424" s="5" t="str">
        <f aca="false">01_Data!C424</f>
        <v>2025-06</v>
      </c>
      <c r="C424" s="5" t="str">
        <f aca="false">01_Data!D424</f>
        <v>FY25</v>
      </c>
      <c r="D424" s="7" t="n">
        <f aca="false">01_Data!E424</f>
        <v>82809</v>
      </c>
      <c r="E424" s="7" t="n">
        <f aca="false">01_Data!F424</f>
        <v>82287</v>
      </c>
      <c r="F424" s="7" t="n">
        <f aca="false">E424-D424</f>
        <v>-522</v>
      </c>
      <c r="G424" s="8" t="n">
        <f aca="false">IFERROR(F424/D424,0)</f>
        <v>-0.00630366264536463</v>
      </c>
      <c r="H424" s="7" t="n">
        <f aca="false">01_Data!G424</f>
        <v>44876</v>
      </c>
      <c r="I424" s="7" t="n">
        <f aca="false">01_Data!H424</f>
        <v>45782</v>
      </c>
      <c r="J424" s="7" t="n">
        <f aca="false">H424-I424</f>
        <v>-906</v>
      </c>
      <c r="K424" s="8" t="n">
        <f aca="false">IFERROR(J424/H424,0)</f>
        <v>-0.0201889651484089</v>
      </c>
      <c r="L424" s="7" t="n">
        <f aca="false">D424-H424</f>
        <v>37933</v>
      </c>
      <c r="M424" s="7" t="n">
        <f aca="false">E424-I424</f>
        <v>36505</v>
      </c>
      <c r="N424" s="7" t="n">
        <f aca="false">IFERROR(L424/D424,0)</f>
        <v>0.458078228211909</v>
      </c>
      <c r="O424" s="7" t="n">
        <f aca="false">IFERROR(M424/E424,0)</f>
        <v>0.443630221055574</v>
      </c>
      <c r="P424" s="7" t="n">
        <f aca="false">01_Data!I424+01_Data!K424+01_Data!M424+01_Data!O424+01_Data!Q424+01_Data!S424+01_Data!U424</f>
        <v>21023</v>
      </c>
      <c r="Q424" s="7" t="n">
        <f aca="false">01_Data!J424+01_Data!L424+01_Data!N424+01_Data!P424+01_Data!R424+01_Data!T424+01_Data!V424</f>
        <v>21083</v>
      </c>
      <c r="R424" s="7" t="n">
        <f aca="false">P424-Q424</f>
        <v>-60</v>
      </c>
      <c r="S424" s="7" t="n">
        <f aca="false">L424-P424</f>
        <v>16910</v>
      </c>
      <c r="T424" s="7" t="n">
        <f aca="false">M424-Q424</f>
        <v>15422</v>
      </c>
      <c r="U424" s="7" t="n">
        <f aca="false">T424-S424</f>
        <v>-1488</v>
      </c>
      <c r="V424" s="8" t="n">
        <f aca="false">IFERROR(U424/S424,0)</f>
        <v>-0.0879952690715553</v>
      </c>
      <c r="W424" s="5" t="str">
        <f aca="false">IF(V424&lt;-0.1,"ADVERSE &gt;10%","")</f>
        <v/>
      </c>
    </row>
    <row r="425" customFormat="false" ht="15" hidden="false" customHeight="false" outlineLevel="0" collapsed="false">
      <c r="A425" s="5" t="str">
        <f aca="false">01_Data!A425</f>
        <v>Healthcare &amp; Life Sciences</v>
      </c>
      <c r="B425" s="5" t="str">
        <f aca="false">01_Data!C425</f>
        <v>2025-07</v>
      </c>
      <c r="C425" s="5" t="str">
        <f aca="false">01_Data!D425</f>
        <v>FY25</v>
      </c>
      <c r="D425" s="7" t="n">
        <f aca="false">01_Data!E425</f>
        <v>81951</v>
      </c>
      <c r="E425" s="7" t="n">
        <f aca="false">01_Data!F425</f>
        <v>81594</v>
      </c>
      <c r="F425" s="7" t="n">
        <f aca="false">E425-D425</f>
        <v>-357</v>
      </c>
      <c r="G425" s="8" t="n">
        <f aca="false">IFERROR(F425/D425,0)</f>
        <v>-0.00435626166855804</v>
      </c>
      <c r="H425" s="7" t="n">
        <f aca="false">01_Data!G425</f>
        <v>46605</v>
      </c>
      <c r="I425" s="7" t="n">
        <f aca="false">01_Data!H425</f>
        <v>45051</v>
      </c>
      <c r="J425" s="7" t="n">
        <f aca="false">H425-I425</f>
        <v>1554</v>
      </c>
      <c r="K425" s="8" t="n">
        <f aca="false">IFERROR(J425/H425,0)</f>
        <v>0.0333440617959446</v>
      </c>
      <c r="L425" s="7" t="n">
        <f aca="false">D425-H425</f>
        <v>35346</v>
      </c>
      <c r="M425" s="7" t="n">
        <f aca="false">E425-I425</f>
        <v>36543</v>
      </c>
      <c r="N425" s="7" t="n">
        <f aca="false">IFERROR(L425/D425,0)</f>
        <v>0.431306512428158</v>
      </c>
      <c r="O425" s="7" t="n">
        <f aca="false">IFERROR(M425/E425,0)</f>
        <v>0.4478638135157</v>
      </c>
      <c r="P425" s="7" t="n">
        <f aca="false">01_Data!I425+01_Data!K425+01_Data!M425+01_Data!O425+01_Data!Q425+01_Data!S425+01_Data!U425</f>
        <v>22591</v>
      </c>
      <c r="Q425" s="7" t="n">
        <f aca="false">01_Data!J425+01_Data!L425+01_Data!N425+01_Data!P425+01_Data!R425+01_Data!T425+01_Data!V425</f>
        <v>23642</v>
      </c>
      <c r="R425" s="7" t="n">
        <f aca="false">P425-Q425</f>
        <v>-1051</v>
      </c>
      <c r="S425" s="7" t="n">
        <f aca="false">L425-P425</f>
        <v>12755</v>
      </c>
      <c r="T425" s="7" t="n">
        <f aca="false">M425-Q425</f>
        <v>12901</v>
      </c>
      <c r="U425" s="7" t="n">
        <f aca="false">T425-S425</f>
        <v>146</v>
      </c>
      <c r="V425" s="8" t="n">
        <f aca="false">IFERROR(U425/S425,0)</f>
        <v>0.0114464915719326</v>
      </c>
      <c r="W425" s="5" t="str">
        <f aca="false">IF(V425&lt;-0.1,"ADVERSE &gt;10%","")</f>
        <v/>
      </c>
    </row>
    <row r="426" customFormat="false" ht="15" hidden="false" customHeight="false" outlineLevel="0" collapsed="false">
      <c r="A426" s="5" t="str">
        <f aca="false">01_Data!A426</f>
        <v>Healthcare &amp; Life Sciences</v>
      </c>
      <c r="B426" s="5" t="str">
        <f aca="false">01_Data!C426</f>
        <v>2025-08</v>
      </c>
      <c r="C426" s="5" t="str">
        <f aca="false">01_Data!D426</f>
        <v>FY25</v>
      </c>
      <c r="D426" s="7" t="n">
        <f aca="false">01_Data!E426</f>
        <v>76773</v>
      </c>
      <c r="E426" s="7" t="n">
        <f aca="false">01_Data!F426</f>
        <v>81012</v>
      </c>
      <c r="F426" s="7" t="n">
        <f aca="false">E426-D426</f>
        <v>4239</v>
      </c>
      <c r="G426" s="8" t="n">
        <f aca="false">IFERROR(F426/D426,0)</f>
        <v>0.0552147239263804</v>
      </c>
      <c r="H426" s="7" t="n">
        <f aca="false">01_Data!G426</f>
        <v>43296</v>
      </c>
      <c r="I426" s="7" t="n">
        <f aca="false">01_Data!H426</f>
        <v>47338</v>
      </c>
      <c r="J426" s="7" t="n">
        <f aca="false">H426-I426</f>
        <v>-4042</v>
      </c>
      <c r="K426" s="8" t="n">
        <f aca="false">IFERROR(J426/H426,0)</f>
        <v>-0.0933573540280857</v>
      </c>
      <c r="L426" s="7" t="n">
        <f aca="false">D426-H426</f>
        <v>33477</v>
      </c>
      <c r="M426" s="7" t="n">
        <f aca="false">E426-I426</f>
        <v>33674</v>
      </c>
      <c r="N426" s="7" t="n">
        <f aca="false">IFERROR(L426/D426,0)</f>
        <v>0.436051736938768</v>
      </c>
      <c r="O426" s="7" t="n">
        <f aca="false">IFERROR(M426/E426,0)</f>
        <v>0.41566681479287</v>
      </c>
      <c r="P426" s="7" t="n">
        <f aca="false">01_Data!I426+01_Data!K426+01_Data!M426+01_Data!O426+01_Data!Q426+01_Data!S426+01_Data!U426</f>
        <v>21030</v>
      </c>
      <c r="Q426" s="7" t="n">
        <f aca="false">01_Data!J426+01_Data!L426+01_Data!N426+01_Data!P426+01_Data!R426+01_Data!T426+01_Data!V426</f>
        <v>22165</v>
      </c>
      <c r="R426" s="7" t="n">
        <f aca="false">P426-Q426</f>
        <v>-1135</v>
      </c>
      <c r="S426" s="7" t="n">
        <f aca="false">L426-P426</f>
        <v>12447</v>
      </c>
      <c r="T426" s="7" t="n">
        <f aca="false">M426-Q426</f>
        <v>11509</v>
      </c>
      <c r="U426" s="7" t="n">
        <f aca="false">T426-S426</f>
        <v>-938</v>
      </c>
      <c r="V426" s="8" t="n">
        <f aca="false">IFERROR(U426/S426,0)</f>
        <v>-0.0753595243833856</v>
      </c>
      <c r="W426" s="5" t="str">
        <f aca="false">IF(V426&lt;-0.1,"ADVERSE &gt;10%","")</f>
        <v/>
      </c>
    </row>
    <row r="427" customFormat="false" ht="15" hidden="false" customHeight="false" outlineLevel="0" collapsed="false">
      <c r="A427" s="5" t="str">
        <f aca="false">01_Data!A427</f>
        <v>Healthcare &amp; Life Sciences</v>
      </c>
      <c r="B427" s="5" t="str">
        <f aca="false">01_Data!C427</f>
        <v>2025-09</v>
      </c>
      <c r="C427" s="5" t="str">
        <f aca="false">01_Data!D427</f>
        <v>FY25</v>
      </c>
      <c r="D427" s="7" t="n">
        <f aca="false">01_Data!E427</f>
        <v>83711</v>
      </c>
      <c r="E427" s="7" t="n">
        <f aca="false">01_Data!F427</f>
        <v>86309</v>
      </c>
      <c r="F427" s="7" t="n">
        <f aca="false">E427-D427</f>
        <v>2598</v>
      </c>
      <c r="G427" s="8" t="n">
        <f aca="false">IFERROR(F427/D427,0)</f>
        <v>0.0310353478037534</v>
      </c>
      <c r="H427" s="7" t="n">
        <f aca="false">01_Data!G427</f>
        <v>49724</v>
      </c>
      <c r="I427" s="7" t="n">
        <f aca="false">01_Data!H427</f>
        <v>52705</v>
      </c>
      <c r="J427" s="7" t="n">
        <f aca="false">H427-I427</f>
        <v>-2981</v>
      </c>
      <c r="K427" s="8" t="n">
        <f aca="false">IFERROR(J427/H427,0)</f>
        <v>-0.0599509291287909</v>
      </c>
      <c r="L427" s="7" t="n">
        <f aca="false">D427-H427</f>
        <v>33987</v>
      </c>
      <c r="M427" s="7" t="n">
        <f aca="false">E427-I427</f>
        <v>33604</v>
      </c>
      <c r="N427" s="7" t="n">
        <f aca="false">IFERROR(L427/D427,0)</f>
        <v>0.406003989917693</v>
      </c>
      <c r="O427" s="7" t="n">
        <f aca="false">IFERROR(M427/E427,0)</f>
        <v>0.389345259474678</v>
      </c>
      <c r="P427" s="7" t="n">
        <f aca="false">01_Data!I427+01_Data!K427+01_Data!M427+01_Data!O427+01_Data!Q427+01_Data!S427+01_Data!U427</f>
        <v>21477</v>
      </c>
      <c r="Q427" s="7" t="n">
        <f aca="false">01_Data!J427+01_Data!L427+01_Data!N427+01_Data!P427+01_Data!R427+01_Data!T427+01_Data!V427</f>
        <v>23068</v>
      </c>
      <c r="R427" s="7" t="n">
        <f aca="false">P427-Q427</f>
        <v>-1591</v>
      </c>
      <c r="S427" s="7" t="n">
        <f aca="false">L427-P427</f>
        <v>12510</v>
      </c>
      <c r="T427" s="7" t="n">
        <f aca="false">M427-Q427</f>
        <v>10536</v>
      </c>
      <c r="U427" s="7" t="n">
        <f aca="false">T427-S427</f>
        <v>-1974</v>
      </c>
      <c r="V427" s="8" t="n">
        <f aca="false">IFERROR(U427/S427,0)</f>
        <v>-0.15779376498801</v>
      </c>
      <c r="W427" s="5" t="str">
        <f aca="false">IF(V427&lt;-0.1,"ADVERSE &gt;10%","")</f>
        <v>ADVERSE &gt;10%</v>
      </c>
    </row>
    <row r="428" customFormat="false" ht="15" hidden="false" customHeight="false" outlineLevel="0" collapsed="false">
      <c r="A428" s="5" t="str">
        <f aca="false">01_Data!A428</f>
        <v>Healthcare &amp; Life Sciences</v>
      </c>
      <c r="B428" s="5" t="str">
        <f aca="false">01_Data!C428</f>
        <v>2025-10</v>
      </c>
      <c r="C428" s="5" t="str">
        <f aca="false">01_Data!D428</f>
        <v>FY25</v>
      </c>
      <c r="D428" s="7" t="n">
        <f aca="false">01_Data!E428</f>
        <v>80143</v>
      </c>
      <c r="E428" s="7" t="n">
        <f aca="false">01_Data!F428</f>
        <v>80206</v>
      </c>
      <c r="F428" s="7" t="n">
        <f aca="false">E428-D428</f>
        <v>63</v>
      </c>
      <c r="G428" s="8" t="n">
        <f aca="false">IFERROR(F428/D428,0)</f>
        <v>0.00078609485544589</v>
      </c>
      <c r="H428" s="7" t="n">
        <f aca="false">01_Data!G428</f>
        <v>48049</v>
      </c>
      <c r="I428" s="7" t="n">
        <f aca="false">01_Data!H428</f>
        <v>48700</v>
      </c>
      <c r="J428" s="7" t="n">
        <f aca="false">H428-I428</f>
        <v>-651</v>
      </c>
      <c r="K428" s="8" t="n">
        <f aca="false">IFERROR(J428/H428,0)</f>
        <v>-0.0135486690669941</v>
      </c>
      <c r="L428" s="7" t="n">
        <f aca="false">D428-H428</f>
        <v>32094</v>
      </c>
      <c r="M428" s="7" t="n">
        <f aca="false">E428-I428</f>
        <v>31506</v>
      </c>
      <c r="N428" s="7" t="n">
        <f aca="false">IFERROR(L428/D428,0)</f>
        <v>0.400459179217149</v>
      </c>
      <c r="O428" s="7" t="n">
        <f aca="false">IFERROR(M428/E428,0)</f>
        <v>0.392813505224048</v>
      </c>
      <c r="P428" s="7" t="n">
        <f aca="false">01_Data!I428+01_Data!K428+01_Data!M428+01_Data!O428+01_Data!Q428+01_Data!S428+01_Data!U428</f>
        <v>21792</v>
      </c>
      <c r="Q428" s="7" t="n">
        <f aca="false">01_Data!J428+01_Data!L428+01_Data!N428+01_Data!P428+01_Data!R428+01_Data!T428+01_Data!V428</f>
        <v>21853</v>
      </c>
      <c r="R428" s="7" t="n">
        <f aca="false">P428-Q428</f>
        <v>-61</v>
      </c>
      <c r="S428" s="7" t="n">
        <f aca="false">L428-P428</f>
        <v>10302</v>
      </c>
      <c r="T428" s="7" t="n">
        <f aca="false">M428-Q428</f>
        <v>9653</v>
      </c>
      <c r="U428" s="7" t="n">
        <f aca="false">T428-S428</f>
        <v>-649</v>
      </c>
      <c r="V428" s="8" t="n">
        <f aca="false">IFERROR(U428/S428,0)</f>
        <v>-0.0629974762182101</v>
      </c>
      <c r="W428" s="5" t="str">
        <f aca="false">IF(V428&lt;-0.1,"ADVERSE &gt;10%","")</f>
        <v/>
      </c>
    </row>
    <row r="429" customFormat="false" ht="15" hidden="false" customHeight="false" outlineLevel="0" collapsed="false">
      <c r="A429" s="5" t="str">
        <f aca="false">01_Data!A429</f>
        <v>Healthcare &amp; Life Sciences</v>
      </c>
      <c r="B429" s="5" t="str">
        <f aca="false">01_Data!C429</f>
        <v>2025-11</v>
      </c>
      <c r="C429" s="5" t="str">
        <f aca="false">01_Data!D429</f>
        <v>FY25</v>
      </c>
      <c r="D429" s="7" t="n">
        <f aca="false">01_Data!E429</f>
        <v>80922</v>
      </c>
      <c r="E429" s="7" t="n">
        <f aca="false">01_Data!F429</f>
        <v>81938</v>
      </c>
      <c r="F429" s="7" t="n">
        <f aca="false">E429-D429</f>
        <v>1016</v>
      </c>
      <c r="G429" s="8" t="n">
        <f aca="false">IFERROR(F429/D429,0)</f>
        <v>0.0125553001655916</v>
      </c>
      <c r="H429" s="7" t="n">
        <f aca="false">01_Data!G429</f>
        <v>43750</v>
      </c>
      <c r="I429" s="7" t="n">
        <f aca="false">01_Data!H429</f>
        <v>43130</v>
      </c>
      <c r="J429" s="7" t="n">
        <f aca="false">H429-I429</f>
        <v>620</v>
      </c>
      <c r="K429" s="8" t="n">
        <f aca="false">IFERROR(J429/H429,0)</f>
        <v>0.0141714285714286</v>
      </c>
      <c r="L429" s="7" t="n">
        <f aca="false">D429-H429</f>
        <v>37172</v>
      </c>
      <c r="M429" s="7" t="n">
        <f aca="false">E429-I429</f>
        <v>38808</v>
      </c>
      <c r="N429" s="7" t="n">
        <f aca="false">IFERROR(L429/D429,0)</f>
        <v>0.459355922987568</v>
      </c>
      <c r="O429" s="7" t="n">
        <f aca="false">IFERROR(M429/E429,0)</f>
        <v>0.47362640044912</v>
      </c>
      <c r="P429" s="7" t="n">
        <f aca="false">01_Data!I429+01_Data!K429+01_Data!M429+01_Data!O429+01_Data!Q429+01_Data!S429+01_Data!U429</f>
        <v>22011</v>
      </c>
      <c r="Q429" s="7" t="n">
        <f aca="false">01_Data!J429+01_Data!L429+01_Data!N429+01_Data!P429+01_Data!R429+01_Data!T429+01_Data!V429</f>
        <v>22189</v>
      </c>
      <c r="R429" s="7" t="n">
        <f aca="false">P429-Q429</f>
        <v>-178</v>
      </c>
      <c r="S429" s="7" t="n">
        <f aca="false">L429-P429</f>
        <v>15161</v>
      </c>
      <c r="T429" s="7" t="n">
        <f aca="false">M429-Q429</f>
        <v>16619</v>
      </c>
      <c r="U429" s="7" t="n">
        <f aca="false">T429-S429</f>
        <v>1458</v>
      </c>
      <c r="V429" s="8" t="n">
        <f aca="false">IFERROR(U429/S429,0)</f>
        <v>0.0961677989578524</v>
      </c>
      <c r="W429" s="5" t="str">
        <f aca="false">IF(V429&lt;-0.1,"ADVERSE &gt;10%","")</f>
        <v/>
      </c>
    </row>
    <row r="430" customFormat="false" ht="15" hidden="false" customHeight="false" outlineLevel="0" collapsed="false">
      <c r="A430" s="5" t="str">
        <f aca="false">01_Data!A430</f>
        <v>Healthcare &amp; Life Sciences</v>
      </c>
      <c r="B430" s="5" t="str">
        <f aca="false">01_Data!C430</f>
        <v>2025-12</v>
      </c>
      <c r="C430" s="5" t="str">
        <f aca="false">01_Data!D430</f>
        <v>FY25</v>
      </c>
      <c r="D430" s="7" t="n">
        <f aca="false">01_Data!E430</f>
        <v>88081</v>
      </c>
      <c r="E430" s="7" t="n">
        <f aca="false">01_Data!F430</f>
        <v>87716</v>
      </c>
      <c r="F430" s="7" t="n">
        <f aca="false">E430-D430</f>
        <v>-365</v>
      </c>
      <c r="G430" s="8" t="n">
        <f aca="false">IFERROR(F430/D430,0)</f>
        <v>-0.00414391298918041</v>
      </c>
      <c r="H430" s="7" t="n">
        <f aca="false">01_Data!G430</f>
        <v>49629</v>
      </c>
      <c r="I430" s="7" t="n">
        <f aca="false">01_Data!H430</f>
        <v>48010</v>
      </c>
      <c r="J430" s="7" t="n">
        <f aca="false">H430-I430</f>
        <v>1619</v>
      </c>
      <c r="K430" s="8" t="n">
        <f aca="false">IFERROR(J430/H430,0)</f>
        <v>0.0326220556529449</v>
      </c>
      <c r="L430" s="7" t="n">
        <f aca="false">D430-H430</f>
        <v>38452</v>
      </c>
      <c r="M430" s="7" t="n">
        <f aca="false">E430-I430</f>
        <v>39706</v>
      </c>
      <c r="N430" s="7" t="n">
        <f aca="false">IFERROR(L430/D430,0)</f>
        <v>0.436552718520453</v>
      </c>
      <c r="O430" s="7" t="n">
        <f aca="false">IFERROR(M430/E430,0)</f>
        <v>0.4526654202198</v>
      </c>
      <c r="P430" s="7" t="n">
        <f aca="false">01_Data!I430+01_Data!K430+01_Data!M430+01_Data!O430+01_Data!Q430+01_Data!S430+01_Data!U430</f>
        <v>24229</v>
      </c>
      <c r="Q430" s="7" t="n">
        <f aca="false">01_Data!J430+01_Data!L430+01_Data!N430+01_Data!P430+01_Data!R430+01_Data!T430+01_Data!V430</f>
        <v>24827</v>
      </c>
      <c r="R430" s="7" t="n">
        <f aca="false">P430-Q430</f>
        <v>-598</v>
      </c>
      <c r="S430" s="7" t="n">
        <f aca="false">L430-P430</f>
        <v>14223</v>
      </c>
      <c r="T430" s="7" t="n">
        <f aca="false">M430-Q430</f>
        <v>14879</v>
      </c>
      <c r="U430" s="7" t="n">
        <f aca="false">T430-S430</f>
        <v>656</v>
      </c>
      <c r="V430" s="8" t="n">
        <f aca="false">IFERROR(U430/S430,0)</f>
        <v>0.046122477677002</v>
      </c>
      <c r="W430" s="5" t="str">
        <f aca="false">IF(V430&lt;-0.1,"ADVERSE &gt;10%","")</f>
        <v/>
      </c>
    </row>
    <row r="431" customFormat="false" ht="15" hidden="false" customHeight="false" outlineLevel="0" collapsed="false">
      <c r="A431" s="5" t="str">
        <f aca="false">01_Data!A431</f>
        <v>Healthcare &amp; Life Sciences</v>
      </c>
      <c r="B431" s="5" t="str">
        <f aca="false">01_Data!C431</f>
        <v>2026-01</v>
      </c>
      <c r="C431" s="5" t="str">
        <f aca="false">01_Data!D431</f>
        <v>FY25</v>
      </c>
      <c r="D431" s="7" t="n">
        <f aca="false">01_Data!E431</f>
        <v>80198</v>
      </c>
      <c r="E431" s="7" t="n">
        <f aca="false">01_Data!F431</f>
        <v>82086</v>
      </c>
      <c r="F431" s="7" t="n">
        <f aca="false">E431-D431</f>
        <v>1888</v>
      </c>
      <c r="G431" s="8" t="n">
        <f aca="false">IFERROR(F431/D431,0)</f>
        <v>0.0235417342078356</v>
      </c>
      <c r="H431" s="7" t="n">
        <f aca="false">01_Data!G431</f>
        <v>43559</v>
      </c>
      <c r="I431" s="7" t="n">
        <f aca="false">01_Data!H431</f>
        <v>42962</v>
      </c>
      <c r="J431" s="7" t="n">
        <f aca="false">H431-I431</f>
        <v>597</v>
      </c>
      <c r="K431" s="8" t="n">
        <f aca="false">IFERROR(J431/H431,0)</f>
        <v>0.013705548795886</v>
      </c>
      <c r="L431" s="7" t="n">
        <f aca="false">D431-H431</f>
        <v>36639</v>
      </c>
      <c r="M431" s="7" t="n">
        <f aca="false">E431-I431</f>
        <v>39124</v>
      </c>
      <c r="N431" s="7" t="n">
        <f aca="false">IFERROR(L431/D431,0)</f>
        <v>0.45685677947081</v>
      </c>
      <c r="O431" s="7" t="n">
        <f aca="false">IFERROR(M431/E431,0)</f>
        <v>0.476622079282704</v>
      </c>
      <c r="P431" s="7" t="n">
        <f aca="false">01_Data!I431+01_Data!K431+01_Data!M431+01_Data!O431+01_Data!Q431+01_Data!S431+01_Data!U431</f>
        <v>22658</v>
      </c>
      <c r="Q431" s="7" t="n">
        <f aca="false">01_Data!J431+01_Data!L431+01_Data!N431+01_Data!P431+01_Data!R431+01_Data!T431+01_Data!V431</f>
        <v>23274</v>
      </c>
      <c r="R431" s="7" t="n">
        <f aca="false">P431-Q431</f>
        <v>-616</v>
      </c>
      <c r="S431" s="7" t="n">
        <f aca="false">L431-P431</f>
        <v>13981</v>
      </c>
      <c r="T431" s="7" t="n">
        <f aca="false">M431-Q431</f>
        <v>15850</v>
      </c>
      <c r="U431" s="7" t="n">
        <f aca="false">T431-S431</f>
        <v>1869</v>
      </c>
      <c r="V431" s="8" t="n">
        <f aca="false">IFERROR(U431/S431,0)</f>
        <v>0.133681424790787</v>
      </c>
      <c r="W431" s="5" t="str">
        <f aca="false">IF(V431&lt;-0.1,"ADVERSE &gt;10%","")</f>
        <v/>
      </c>
    </row>
    <row r="432" customFormat="false" ht="15" hidden="false" customHeight="false" outlineLevel="0" collapsed="false">
      <c r="A432" s="5" t="str">
        <f aca="false">01_Data!A432</f>
        <v>Healthcare &amp; Life Sciences</v>
      </c>
      <c r="B432" s="5" t="str">
        <f aca="false">01_Data!C432</f>
        <v>2026-02</v>
      </c>
      <c r="C432" s="5" t="str">
        <f aca="false">01_Data!D432</f>
        <v>FY25</v>
      </c>
      <c r="D432" s="7" t="n">
        <f aca="false">01_Data!E432</f>
        <v>80435</v>
      </c>
      <c r="E432" s="7" t="n">
        <f aca="false">01_Data!F432</f>
        <v>83774</v>
      </c>
      <c r="F432" s="7" t="n">
        <f aca="false">E432-D432</f>
        <v>3339</v>
      </c>
      <c r="G432" s="8" t="n">
        <f aca="false">IFERROR(F432/D432,0)</f>
        <v>0.0415117796978927</v>
      </c>
      <c r="H432" s="7" t="n">
        <f aca="false">01_Data!G432</f>
        <v>44241</v>
      </c>
      <c r="I432" s="7" t="n">
        <f aca="false">01_Data!H432</f>
        <v>46143</v>
      </c>
      <c r="J432" s="7" t="n">
        <f aca="false">H432-I432</f>
        <v>-1902</v>
      </c>
      <c r="K432" s="8" t="n">
        <f aca="false">IFERROR(J432/H432,0)</f>
        <v>-0.042991794941344</v>
      </c>
      <c r="L432" s="7" t="n">
        <f aca="false">D432-H432</f>
        <v>36194</v>
      </c>
      <c r="M432" s="7" t="n">
        <f aca="false">E432-I432</f>
        <v>37631</v>
      </c>
      <c r="N432" s="7" t="n">
        <f aca="false">IFERROR(L432/D432,0)</f>
        <v>0.449978243302045</v>
      </c>
      <c r="O432" s="7" t="n">
        <f aca="false">IFERROR(M432/E432,0)</f>
        <v>0.449196648124717</v>
      </c>
      <c r="P432" s="7" t="n">
        <f aca="false">01_Data!I432+01_Data!K432+01_Data!M432+01_Data!O432+01_Data!Q432+01_Data!S432+01_Data!U432</f>
        <v>20303</v>
      </c>
      <c r="Q432" s="7" t="n">
        <f aca="false">01_Data!J432+01_Data!L432+01_Data!N432+01_Data!P432+01_Data!R432+01_Data!T432+01_Data!V432</f>
        <v>20080</v>
      </c>
      <c r="R432" s="7" t="n">
        <f aca="false">P432-Q432</f>
        <v>223</v>
      </c>
      <c r="S432" s="7" t="n">
        <f aca="false">L432-P432</f>
        <v>15891</v>
      </c>
      <c r="T432" s="7" t="n">
        <f aca="false">M432-Q432</f>
        <v>17551</v>
      </c>
      <c r="U432" s="7" t="n">
        <f aca="false">T432-S432</f>
        <v>1660</v>
      </c>
      <c r="V432" s="8" t="n">
        <f aca="false">IFERROR(U432/S432,0)</f>
        <v>0.104461644956265</v>
      </c>
      <c r="W432" s="5" t="str">
        <f aca="false">IF(V432&lt;-0.1,"ADVERSE &gt;10%","")</f>
        <v/>
      </c>
    </row>
    <row r="433" customFormat="false" ht="15" hidden="false" customHeight="false" outlineLevel="0" collapsed="false">
      <c r="A433" s="5" t="str">
        <f aca="false">01_Data!A433</f>
        <v>Healthcare &amp; Life Sciences</v>
      </c>
      <c r="B433" s="5" t="str">
        <f aca="false">01_Data!C433</f>
        <v>2026-03</v>
      </c>
      <c r="C433" s="5" t="str">
        <f aca="false">01_Data!D433</f>
        <v>FY25</v>
      </c>
      <c r="D433" s="7" t="n">
        <f aca="false">01_Data!E433</f>
        <v>85576</v>
      </c>
      <c r="E433" s="7" t="n">
        <f aca="false">01_Data!F433</f>
        <v>90278</v>
      </c>
      <c r="F433" s="7" t="n">
        <f aca="false">E433-D433</f>
        <v>4702</v>
      </c>
      <c r="G433" s="8" t="n">
        <f aca="false">IFERROR(F433/D433,0)</f>
        <v>0.054945311769655</v>
      </c>
      <c r="H433" s="7" t="n">
        <f aca="false">01_Data!G433</f>
        <v>50396</v>
      </c>
      <c r="I433" s="7" t="n">
        <f aca="false">01_Data!H433</f>
        <v>54293</v>
      </c>
      <c r="J433" s="7" t="n">
        <f aca="false">H433-I433</f>
        <v>-3897</v>
      </c>
      <c r="K433" s="8" t="n">
        <f aca="false">IFERROR(J433/H433,0)</f>
        <v>-0.0773275656798159</v>
      </c>
      <c r="L433" s="7" t="n">
        <f aca="false">D433-H433</f>
        <v>35180</v>
      </c>
      <c r="M433" s="7" t="n">
        <f aca="false">E433-I433</f>
        <v>35985</v>
      </c>
      <c r="N433" s="7" t="n">
        <f aca="false">IFERROR(L433/D433,0)</f>
        <v>0.411096569131532</v>
      </c>
      <c r="O433" s="7" t="n">
        <f aca="false">IFERROR(M433/E433,0)</f>
        <v>0.398602095748687</v>
      </c>
      <c r="P433" s="7" t="n">
        <f aca="false">01_Data!I433+01_Data!K433+01_Data!M433+01_Data!O433+01_Data!Q433+01_Data!S433+01_Data!U433</f>
        <v>22121</v>
      </c>
      <c r="Q433" s="7" t="n">
        <f aca="false">01_Data!J433+01_Data!L433+01_Data!N433+01_Data!P433+01_Data!R433+01_Data!T433+01_Data!V433</f>
        <v>22391</v>
      </c>
      <c r="R433" s="7" t="n">
        <f aca="false">P433-Q433</f>
        <v>-270</v>
      </c>
      <c r="S433" s="7" t="n">
        <f aca="false">L433-P433</f>
        <v>13059</v>
      </c>
      <c r="T433" s="7" t="n">
        <f aca="false">M433-Q433</f>
        <v>13594</v>
      </c>
      <c r="U433" s="7" t="n">
        <f aca="false">T433-S433</f>
        <v>535</v>
      </c>
      <c r="V433" s="8" t="n">
        <f aca="false">IFERROR(U433/S433,0)</f>
        <v>0.0409679148479976</v>
      </c>
      <c r="W433" s="5" t="str">
        <f aca="false">IF(V433&lt;-0.1,"ADVERSE &gt;10%","")</f>
        <v/>
      </c>
    </row>
    <row r="434" customFormat="false" ht="15" hidden="false" customHeight="false" outlineLevel="0" collapsed="false">
      <c r="A434" s="5" t="str">
        <f aca="false">01_Data!A434</f>
        <v>Retail &amp; Consumer</v>
      </c>
      <c r="B434" s="5" t="str">
        <f aca="false">01_Data!C434</f>
        <v>2023-04</v>
      </c>
      <c r="C434" s="5" t="str">
        <f aca="false">01_Data!D434</f>
        <v>FY23</v>
      </c>
      <c r="D434" s="7" t="n">
        <f aca="false">01_Data!E434</f>
        <v>323755</v>
      </c>
      <c r="E434" s="7" t="n">
        <f aca="false">01_Data!F434</f>
        <v>316400</v>
      </c>
      <c r="F434" s="7" t="n">
        <f aca="false">E434-D434</f>
        <v>-7355</v>
      </c>
      <c r="G434" s="8" t="n">
        <f aca="false">IFERROR(F434/D434,0)</f>
        <v>-0.0227177958641565</v>
      </c>
      <c r="H434" s="7" t="n">
        <f aca="false">01_Data!G434</f>
        <v>181278</v>
      </c>
      <c r="I434" s="7" t="n">
        <f aca="false">01_Data!H434</f>
        <v>180883</v>
      </c>
      <c r="J434" s="7" t="n">
        <f aca="false">H434-I434</f>
        <v>395</v>
      </c>
      <c r="K434" s="8" t="n">
        <f aca="false">IFERROR(J434/H434,0)</f>
        <v>0.00217897373095467</v>
      </c>
      <c r="L434" s="7" t="n">
        <f aca="false">D434-H434</f>
        <v>142477</v>
      </c>
      <c r="M434" s="7" t="n">
        <f aca="false">E434-I434</f>
        <v>135517</v>
      </c>
      <c r="N434" s="7" t="n">
        <f aca="false">IFERROR(L434/D434,0)</f>
        <v>0.440076601133573</v>
      </c>
      <c r="O434" s="7" t="n">
        <f aca="false">IFERROR(M434/E434,0)</f>
        <v>0.428309102402023</v>
      </c>
      <c r="P434" s="7" t="n">
        <f aca="false">01_Data!I434+01_Data!K434+01_Data!M434+01_Data!O434+01_Data!Q434+01_Data!S434+01_Data!U434</f>
        <v>91449</v>
      </c>
      <c r="Q434" s="7" t="n">
        <f aca="false">01_Data!J434+01_Data!L434+01_Data!N434+01_Data!P434+01_Data!R434+01_Data!T434+01_Data!V434</f>
        <v>93037</v>
      </c>
      <c r="R434" s="7" t="n">
        <f aca="false">P434-Q434</f>
        <v>-1588</v>
      </c>
      <c r="S434" s="7" t="n">
        <f aca="false">L434-P434</f>
        <v>51028</v>
      </c>
      <c r="T434" s="7" t="n">
        <f aca="false">M434-Q434</f>
        <v>42480</v>
      </c>
      <c r="U434" s="7" t="n">
        <f aca="false">T434-S434</f>
        <v>-8548</v>
      </c>
      <c r="V434" s="8" t="n">
        <f aca="false">IFERROR(U434/S434,0)</f>
        <v>-0.167515873638003</v>
      </c>
      <c r="W434" s="5" t="str">
        <f aca="false">IF(V434&lt;-0.1,"ADVERSE &gt;10%","")</f>
        <v>ADVERSE &gt;10%</v>
      </c>
    </row>
    <row r="435" customFormat="false" ht="15" hidden="false" customHeight="false" outlineLevel="0" collapsed="false">
      <c r="A435" s="5" t="str">
        <f aca="false">01_Data!A435</f>
        <v>Retail &amp; Consumer</v>
      </c>
      <c r="B435" s="5" t="str">
        <f aca="false">01_Data!C435</f>
        <v>2023-05</v>
      </c>
      <c r="C435" s="5" t="str">
        <f aca="false">01_Data!D435</f>
        <v>FY23</v>
      </c>
      <c r="D435" s="7" t="n">
        <f aca="false">01_Data!E435</f>
        <v>317055</v>
      </c>
      <c r="E435" s="7" t="n">
        <f aca="false">01_Data!F435</f>
        <v>324498</v>
      </c>
      <c r="F435" s="7" t="n">
        <f aca="false">E435-D435</f>
        <v>7443</v>
      </c>
      <c r="G435" s="8" t="n">
        <f aca="false">IFERROR(F435/D435,0)</f>
        <v>0.0234754222453518</v>
      </c>
      <c r="H435" s="7" t="n">
        <f aca="false">01_Data!G435</f>
        <v>185247</v>
      </c>
      <c r="I435" s="7" t="n">
        <f aca="false">01_Data!H435</f>
        <v>195392</v>
      </c>
      <c r="J435" s="7" t="n">
        <f aca="false">H435-I435</f>
        <v>-10145</v>
      </c>
      <c r="K435" s="8" t="n">
        <f aca="false">IFERROR(J435/H435,0)</f>
        <v>-0.0547647195366187</v>
      </c>
      <c r="L435" s="7" t="n">
        <f aca="false">D435-H435</f>
        <v>131808</v>
      </c>
      <c r="M435" s="7" t="n">
        <f aca="false">E435-I435</f>
        <v>129106</v>
      </c>
      <c r="N435" s="7" t="n">
        <f aca="false">IFERROR(L435/D435,0)</f>
        <v>0.415725978142594</v>
      </c>
      <c r="O435" s="7" t="n">
        <f aca="false">IFERROR(M435/E435,0)</f>
        <v>0.3978637772806</v>
      </c>
      <c r="P435" s="7" t="n">
        <f aca="false">01_Data!I435+01_Data!K435+01_Data!M435+01_Data!O435+01_Data!Q435+01_Data!S435+01_Data!U435</f>
        <v>82959</v>
      </c>
      <c r="Q435" s="7" t="n">
        <f aca="false">01_Data!J435+01_Data!L435+01_Data!N435+01_Data!P435+01_Data!R435+01_Data!T435+01_Data!V435</f>
        <v>81797</v>
      </c>
      <c r="R435" s="7" t="n">
        <f aca="false">P435-Q435</f>
        <v>1162</v>
      </c>
      <c r="S435" s="7" t="n">
        <f aca="false">L435-P435</f>
        <v>48849</v>
      </c>
      <c r="T435" s="7" t="n">
        <f aca="false">M435-Q435</f>
        <v>47309</v>
      </c>
      <c r="U435" s="7" t="n">
        <f aca="false">T435-S435</f>
        <v>-1540</v>
      </c>
      <c r="V435" s="8" t="n">
        <f aca="false">IFERROR(U435/S435,0)</f>
        <v>-0.0315257221232779</v>
      </c>
      <c r="W435" s="5" t="str">
        <f aca="false">IF(V435&lt;-0.1,"ADVERSE &gt;10%","")</f>
        <v/>
      </c>
    </row>
    <row r="436" customFormat="false" ht="15" hidden="false" customHeight="false" outlineLevel="0" collapsed="false">
      <c r="A436" s="5" t="str">
        <f aca="false">01_Data!A436</f>
        <v>Retail &amp; Consumer</v>
      </c>
      <c r="B436" s="5" t="str">
        <f aca="false">01_Data!C436</f>
        <v>2023-06</v>
      </c>
      <c r="C436" s="5" t="str">
        <f aca="false">01_Data!D436</f>
        <v>FY23</v>
      </c>
      <c r="D436" s="7" t="n">
        <f aca="false">01_Data!E436</f>
        <v>331846</v>
      </c>
      <c r="E436" s="7" t="n">
        <f aca="false">01_Data!F436</f>
        <v>331017</v>
      </c>
      <c r="F436" s="7" t="n">
        <f aca="false">E436-D436</f>
        <v>-829</v>
      </c>
      <c r="G436" s="8" t="n">
        <f aca="false">IFERROR(F436/D436,0)</f>
        <v>-0.00249814673071244</v>
      </c>
      <c r="H436" s="7" t="n">
        <f aca="false">01_Data!G436</f>
        <v>198661</v>
      </c>
      <c r="I436" s="7" t="n">
        <f aca="false">01_Data!H436</f>
        <v>202270</v>
      </c>
      <c r="J436" s="7" t="n">
        <f aca="false">H436-I436</f>
        <v>-3609</v>
      </c>
      <c r="K436" s="8" t="n">
        <f aca="false">IFERROR(J436/H436,0)</f>
        <v>-0.0181666255581116</v>
      </c>
      <c r="L436" s="7" t="n">
        <f aca="false">D436-H436</f>
        <v>133185</v>
      </c>
      <c r="M436" s="7" t="n">
        <f aca="false">E436-I436</f>
        <v>128747</v>
      </c>
      <c r="N436" s="7" t="n">
        <f aca="false">IFERROR(L436/D436,0)</f>
        <v>0.401345804981829</v>
      </c>
      <c r="O436" s="7" t="n">
        <f aca="false">IFERROR(M436/E436,0)</f>
        <v>0.388943770259534</v>
      </c>
      <c r="P436" s="7" t="n">
        <f aca="false">01_Data!I436+01_Data!K436+01_Data!M436+01_Data!O436+01_Data!Q436+01_Data!S436+01_Data!U436</f>
        <v>88350</v>
      </c>
      <c r="Q436" s="7" t="n">
        <f aca="false">01_Data!J436+01_Data!L436+01_Data!N436+01_Data!P436+01_Data!R436+01_Data!T436+01_Data!V436</f>
        <v>87597</v>
      </c>
      <c r="R436" s="7" t="n">
        <f aca="false">P436-Q436</f>
        <v>753</v>
      </c>
      <c r="S436" s="7" t="n">
        <f aca="false">L436-P436</f>
        <v>44835</v>
      </c>
      <c r="T436" s="7" t="n">
        <f aca="false">M436-Q436</f>
        <v>41150</v>
      </c>
      <c r="U436" s="7" t="n">
        <f aca="false">T436-S436</f>
        <v>-3685</v>
      </c>
      <c r="V436" s="8" t="n">
        <f aca="false">IFERROR(U436/S436,0)</f>
        <v>-0.0821902531504405</v>
      </c>
      <c r="W436" s="5" t="str">
        <f aca="false">IF(V436&lt;-0.1,"ADVERSE &gt;10%","")</f>
        <v/>
      </c>
    </row>
    <row r="437" customFormat="false" ht="15" hidden="false" customHeight="false" outlineLevel="0" collapsed="false">
      <c r="A437" s="5" t="str">
        <f aca="false">01_Data!A437</f>
        <v>Retail &amp; Consumer</v>
      </c>
      <c r="B437" s="5" t="str">
        <f aca="false">01_Data!C437</f>
        <v>2023-07</v>
      </c>
      <c r="C437" s="5" t="str">
        <f aca="false">01_Data!D437</f>
        <v>FY23</v>
      </c>
      <c r="D437" s="7" t="n">
        <f aca="false">01_Data!E437</f>
        <v>313651</v>
      </c>
      <c r="E437" s="7" t="n">
        <f aca="false">01_Data!F437</f>
        <v>333414</v>
      </c>
      <c r="F437" s="7" t="n">
        <f aca="false">E437-D437</f>
        <v>19763</v>
      </c>
      <c r="G437" s="8" t="n">
        <f aca="false">IFERROR(F437/D437,0)</f>
        <v>0.0630095233236942</v>
      </c>
      <c r="H437" s="7" t="n">
        <f aca="false">01_Data!G437</f>
        <v>185742</v>
      </c>
      <c r="I437" s="7" t="n">
        <f aca="false">01_Data!H437</f>
        <v>191944</v>
      </c>
      <c r="J437" s="7" t="n">
        <f aca="false">H437-I437</f>
        <v>-6202</v>
      </c>
      <c r="K437" s="8" t="n">
        <f aca="false">IFERROR(J437/H437,0)</f>
        <v>-0.033390401740048</v>
      </c>
      <c r="L437" s="7" t="n">
        <f aca="false">D437-H437</f>
        <v>127909</v>
      </c>
      <c r="M437" s="7" t="n">
        <f aca="false">E437-I437</f>
        <v>141470</v>
      </c>
      <c r="N437" s="7" t="n">
        <f aca="false">IFERROR(L437/D437,0)</f>
        <v>0.40780676611903</v>
      </c>
      <c r="O437" s="7" t="n">
        <f aca="false">IFERROR(M437/E437,0)</f>
        <v>0.424307317629134</v>
      </c>
      <c r="P437" s="7" t="n">
        <f aca="false">01_Data!I437+01_Data!K437+01_Data!M437+01_Data!O437+01_Data!Q437+01_Data!S437+01_Data!U437</f>
        <v>79765</v>
      </c>
      <c r="Q437" s="7" t="n">
        <f aca="false">01_Data!J437+01_Data!L437+01_Data!N437+01_Data!P437+01_Data!R437+01_Data!T437+01_Data!V437</f>
        <v>81595</v>
      </c>
      <c r="R437" s="7" t="n">
        <f aca="false">P437-Q437</f>
        <v>-1830</v>
      </c>
      <c r="S437" s="7" t="n">
        <f aca="false">L437-P437</f>
        <v>48144</v>
      </c>
      <c r="T437" s="7" t="n">
        <f aca="false">M437-Q437</f>
        <v>59875</v>
      </c>
      <c r="U437" s="7" t="n">
        <f aca="false">T437-S437</f>
        <v>11731</v>
      </c>
      <c r="V437" s="8" t="n">
        <f aca="false">IFERROR(U437/S437,0)</f>
        <v>0.243664838816883</v>
      </c>
      <c r="W437" s="5" t="str">
        <f aca="false">IF(V437&lt;-0.1,"ADVERSE &gt;10%","")</f>
        <v/>
      </c>
    </row>
    <row r="438" customFormat="false" ht="15" hidden="false" customHeight="false" outlineLevel="0" collapsed="false">
      <c r="A438" s="5" t="str">
        <f aca="false">01_Data!A438</f>
        <v>Retail &amp; Consumer</v>
      </c>
      <c r="B438" s="5" t="str">
        <f aca="false">01_Data!C438</f>
        <v>2023-08</v>
      </c>
      <c r="C438" s="5" t="str">
        <f aca="false">01_Data!D438</f>
        <v>FY23</v>
      </c>
      <c r="D438" s="7" t="n">
        <f aca="false">01_Data!E438</f>
        <v>322240</v>
      </c>
      <c r="E438" s="7" t="n">
        <f aca="false">01_Data!F438</f>
        <v>332249</v>
      </c>
      <c r="F438" s="7" t="n">
        <f aca="false">E438-D438</f>
        <v>10009</v>
      </c>
      <c r="G438" s="8" t="n">
        <f aca="false">IFERROR(F438/D438,0)</f>
        <v>0.0310607000993049</v>
      </c>
      <c r="H438" s="7" t="n">
        <f aca="false">01_Data!G438</f>
        <v>179527</v>
      </c>
      <c r="I438" s="7" t="n">
        <f aca="false">01_Data!H438</f>
        <v>185905</v>
      </c>
      <c r="J438" s="7" t="n">
        <f aca="false">H438-I438</f>
        <v>-6378</v>
      </c>
      <c r="K438" s="8" t="n">
        <f aca="false">IFERROR(J438/H438,0)</f>
        <v>-0.0355266895787263</v>
      </c>
      <c r="L438" s="7" t="n">
        <f aca="false">D438-H438</f>
        <v>142713</v>
      </c>
      <c r="M438" s="7" t="n">
        <f aca="false">E438-I438</f>
        <v>146344</v>
      </c>
      <c r="N438" s="7" t="n">
        <f aca="false">IFERROR(L438/D438,0)</f>
        <v>0.442877979145978</v>
      </c>
      <c r="O438" s="7" t="n">
        <f aca="false">IFERROR(M438/E438,0)</f>
        <v>0.440464832098817</v>
      </c>
      <c r="P438" s="7" t="n">
        <f aca="false">01_Data!I438+01_Data!K438+01_Data!M438+01_Data!O438+01_Data!Q438+01_Data!S438+01_Data!U438</f>
        <v>90166</v>
      </c>
      <c r="Q438" s="7" t="n">
        <f aca="false">01_Data!J438+01_Data!L438+01_Data!N438+01_Data!P438+01_Data!R438+01_Data!T438+01_Data!V438</f>
        <v>89720</v>
      </c>
      <c r="R438" s="7" t="n">
        <f aca="false">P438-Q438</f>
        <v>446</v>
      </c>
      <c r="S438" s="7" t="n">
        <f aca="false">L438-P438</f>
        <v>52547</v>
      </c>
      <c r="T438" s="7" t="n">
        <f aca="false">M438-Q438</f>
        <v>56624</v>
      </c>
      <c r="U438" s="7" t="n">
        <f aca="false">T438-S438</f>
        <v>4077</v>
      </c>
      <c r="V438" s="8" t="n">
        <f aca="false">IFERROR(U438/S438,0)</f>
        <v>0.0775876834072354</v>
      </c>
      <c r="W438" s="5" t="str">
        <f aca="false">IF(V438&lt;-0.1,"ADVERSE &gt;10%","")</f>
        <v/>
      </c>
    </row>
    <row r="439" customFormat="false" ht="15" hidden="false" customHeight="false" outlineLevel="0" collapsed="false">
      <c r="A439" s="5" t="str">
        <f aca="false">01_Data!A439</f>
        <v>Retail &amp; Consumer</v>
      </c>
      <c r="B439" s="5" t="str">
        <f aca="false">01_Data!C439</f>
        <v>2023-09</v>
      </c>
      <c r="C439" s="5" t="str">
        <f aca="false">01_Data!D439</f>
        <v>FY23</v>
      </c>
      <c r="D439" s="7" t="n">
        <f aca="false">01_Data!E439</f>
        <v>377493</v>
      </c>
      <c r="E439" s="7" t="n">
        <f aca="false">01_Data!F439</f>
        <v>362109</v>
      </c>
      <c r="F439" s="7" t="n">
        <f aca="false">E439-D439</f>
        <v>-15384</v>
      </c>
      <c r="G439" s="8" t="n">
        <f aca="false">IFERROR(F439/D439,0)</f>
        <v>-0.0407530735669271</v>
      </c>
      <c r="H439" s="7" t="n">
        <f aca="false">01_Data!G439</f>
        <v>221034</v>
      </c>
      <c r="I439" s="7" t="n">
        <f aca="false">01_Data!H439</f>
        <v>221469</v>
      </c>
      <c r="J439" s="7" t="n">
        <f aca="false">H439-I439</f>
        <v>-435</v>
      </c>
      <c r="K439" s="8" t="n">
        <f aca="false">IFERROR(J439/H439,0)</f>
        <v>-0.00196802301908304</v>
      </c>
      <c r="L439" s="7" t="n">
        <f aca="false">D439-H439</f>
        <v>156459</v>
      </c>
      <c r="M439" s="7" t="n">
        <f aca="false">E439-I439</f>
        <v>140640</v>
      </c>
      <c r="N439" s="7" t="n">
        <f aca="false">IFERROR(L439/D439,0)</f>
        <v>0.414468612663016</v>
      </c>
      <c r="O439" s="7" t="n">
        <f aca="false">IFERROR(M439/E439,0)</f>
        <v>0.388391340728897</v>
      </c>
      <c r="P439" s="7" t="n">
        <f aca="false">01_Data!I439+01_Data!K439+01_Data!M439+01_Data!O439+01_Data!Q439+01_Data!S439+01_Data!U439</f>
        <v>100050</v>
      </c>
      <c r="Q439" s="7" t="n">
        <f aca="false">01_Data!J439+01_Data!L439+01_Data!N439+01_Data!P439+01_Data!R439+01_Data!T439+01_Data!V439</f>
        <v>97997</v>
      </c>
      <c r="R439" s="7" t="n">
        <f aca="false">P439-Q439</f>
        <v>2053</v>
      </c>
      <c r="S439" s="7" t="n">
        <f aca="false">L439-P439</f>
        <v>56409</v>
      </c>
      <c r="T439" s="7" t="n">
        <f aca="false">M439-Q439</f>
        <v>42643</v>
      </c>
      <c r="U439" s="7" t="n">
        <f aca="false">T439-S439</f>
        <v>-13766</v>
      </c>
      <c r="V439" s="8" t="n">
        <f aca="false">IFERROR(U439/S439,0)</f>
        <v>-0.244039071779326</v>
      </c>
      <c r="W439" s="5" t="str">
        <f aca="false">IF(V439&lt;-0.1,"ADVERSE &gt;10%","")</f>
        <v>ADVERSE &gt;10%</v>
      </c>
    </row>
    <row r="440" customFormat="false" ht="15" hidden="false" customHeight="false" outlineLevel="0" collapsed="false">
      <c r="A440" s="5" t="str">
        <f aca="false">01_Data!A440</f>
        <v>Retail &amp; Consumer</v>
      </c>
      <c r="B440" s="5" t="str">
        <f aca="false">01_Data!C440</f>
        <v>2023-10</v>
      </c>
      <c r="C440" s="5" t="str">
        <f aca="false">01_Data!D440</f>
        <v>FY23</v>
      </c>
      <c r="D440" s="7" t="n">
        <f aca="false">01_Data!E440</f>
        <v>346156</v>
      </c>
      <c r="E440" s="7" t="n">
        <f aca="false">01_Data!F440</f>
        <v>337042</v>
      </c>
      <c r="F440" s="7" t="n">
        <f aca="false">E440-D440</f>
        <v>-9114</v>
      </c>
      <c r="G440" s="8" t="n">
        <f aca="false">IFERROR(F440/D440,0)</f>
        <v>-0.0263291695073897</v>
      </c>
      <c r="H440" s="7" t="n">
        <f aca="false">01_Data!G440</f>
        <v>197131</v>
      </c>
      <c r="I440" s="7" t="n">
        <f aca="false">01_Data!H440</f>
        <v>200800</v>
      </c>
      <c r="J440" s="7" t="n">
        <f aca="false">H440-I440</f>
        <v>-3669</v>
      </c>
      <c r="K440" s="8" t="n">
        <f aca="false">IFERROR(J440/H440,0)</f>
        <v>-0.018611988981946</v>
      </c>
      <c r="L440" s="7" t="n">
        <f aca="false">D440-H440</f>
        <v>149025</v>
      </c>
      <c r="M440" s="7" t="n">
        <f aca="false">E440-I440</f>
        <v>136242</v>
      </c>
      <c r="N440" s="7" t="n">
        <f aca="false">IFERROR(L440/D440,0)</f>
        <v>0.430513987912964</v>
      </c>
      <c r="O440" s="7" t="n">
        <f aca="false">IFERROR(M440/E440,0)</f>
        <v>0.404228553118009</v>
      </c>
      <c r="P440" s="7" t="n">
        <f aca="false">01_Data!I440+01_Data!K440+01_Data!M440+01_Data!O440+01_Data!Q440+01_Data!S440+01_Data!U440</f>
        <v>97447</v>
      </c>
      <c r="Q440" s="7" t="n">
        <f aca="false">01_Data!J440+01_Data!L440+01_Data!N440+01_Data!P440+01_Data!R440+01_Data!T440+01_Data!V440</f>
        <v>101265</v>
      </c>
      <c r="R440" s="7" t="n">
        <f aca="false">P440-Q440</f>
        <v>-3818</v>
      </c>
      <c r="S440" s="7" t="n">
        <f aca="false">L440-P440</f>
        <v>51578</v>
      </c>
      <c r="T440" s="7" t="n">
        <f aca="false">M440-Q440</f>
        <v>34977</v>
      </c>
      <c r="U440" s="7" t="n">
        <f aca="false">T440-S440</f>
        <v>-16601</v>
      </c>
      <c r="V440" s="8" t="n">
        <f aca="false">IFERROR(U440/S440,0)</f>
        <v>-0.321862034200628</v>
      </c>
      <c r="W440" s="5" t="str">
        <f aca="false">IF(V440&lt;-0.1,"ADVERSE &gt;10%","")</f>
        <v>ADVERSE &gt;10%</v>
      </c>
    </row>
    <row r="441" customFormat="false" ht="15" hidden="false" customHeight="false" outlineLevel="0" collapsed="false">
      <c r="A441" s="5" t="str">
        <f aca="false">01_Data!A441</f>
        <v>Retail &amp; Consumer</v>
      </c>
      <c r="B441" s="5" t="str">
        <f aca="false">01_Data!C441</f>
        <v>2023-11</v>
      </c>
      <c r="C441" s="5" t="str">
        <f aca="false">01_Data!D441</f>
        <v>FY23</v>
      </c>
      <c r="D441" s="7" t="n">
        <f aca="false">01_Data!E441</f>
        <v>355115</v>
      </c>
      <c r="E441" s="7" t="n">
        <f aca="false">01_Data!F441</f>
        <v>345890</v>
      </c>
      <c r="F441" s="7" t="n">
        <f aca="false">E441-D441</f>
        <v>-9225</v>
      </c>
      <c r="G441" s="8" t="n">
        <f aca="false">IFERROR(F441/D441,0)</f>
        <v>-0.0259775002463991</v>
      </c>
      <c r="H441" s="7" t="n">
        <f aca="false">01_Data!G441</f>
        <v>202620</v>
      </c>
      <c r="I441" s="7" t="n">
        <f aca="false">01_Data!H441</f>
        <v>198889</v>
      </c>
      <c r="J441" s="7" t="n">
        <f aca="false">H441-I441</f>
        <v>3731</v>
      </c>
      <c r="K441" s="8" t="n">
        <f aca="false">IFERROR(J441/H441,0)</f>
        <v>0.0184137794886981</v>
      </c>
      <c r="L441" s="7" t="n">
        <f aca="false">D441-H441</f>
        <v>152495</v>
      </c>
      <c r="M441" s="7" t="n">
        <f aca="false">E441-I441</f>
        <v>147001</v>
      </c>
      <c r="N441" s="7" t="n">
        <f aca="false">IFERROR(L441/D441,0)</f>
        <v>0.429424271010799</v>
      </c>
      <c r="O441" s="7" t="n">
        <f aca="false">IFERROR(M441/E441,0)</f>
        <v>0.424993495041776</v>
      </c>
      <c r="P441" s="7" t="n">
        <f aca="false">01_Data!I441+01_Data!K441+01_Data!M441+01_Data!O441+01_Data!Q441+01_Data!S441+01_Data!U441</f>
        <v>96506</v>
      </c>
      <c r="Q441" s="7" t="n">
        <f aca="false">01_Data!J441+01_Data!L441+01_Data!N441+01_Data!P441+01_Data!R441+01_Data!T441+01_Data!V441</f>
        <v>101344</v>
      </c>
      <c r="R441" s="7" t="n">
        <f aca="false">P441-Q441</f>
        <v>-4838</v>
      </c>
      <c r="S441" s="7" t="n">
        <f aca="false">L441-P441</f>
        <v>55989</v>
      </c>
      <c r="T441" s="7" t="n">
        <f aca="false">M441-Q441</f>
        <v>45657</v>
      </c>
      <c r="U441" s="7" t="n">
        <f aca="false">T441-S441</f>
        <v>-10332</v>
      </c>
      <c r="V441" s="8" t="n">
        <f aca="false">IFERROR(U441/S441,0)</f>
        <v>-0.184536248191609</v>
      </c>
      <c r="W441" s="5" t="str">
        <f aca="false">IF(V441&lt;-0.1,"ADVERSE &gt;10%","")</f>
        <v>ADVERSE &gt;10%</v>
      </c>
    </row>
    <row r="442" customFormat="false" ht="15" hidden="false" customHeight="false" outlineLevel="0" collapsed="false">
      <c r="A442" s="5" t="str">
        <f aca="false">01_Data!A442</f>
        <v>Retail &amp; Consumer</v>
      </c>
      <c r="B442" s="5" t="str">
        <f aca="false">01_Data!C442</f>
        <v>2023-12</v>
      </c>
      <c r="C442" s="5" t="str">
        <f aca="false">01_Data!D442</f>
        <v>FY23</v>
      </c>
      <c r="D442" s="7" t="n">
        <f aca="false">01_Data!E442</f>
        <v>370267</v>
      </c>
      <c r="E442" s="7" t="n">
        <f aca="false">01_Data!F442</f>
        <v>381516</v>
      </c>
      <c r="F442" s="7" t="n">
        <f aca="false">E442-D442</f>
        <v>11249</v>
      </c>
      <c r="G442" s="8" t="n">
        <f aca="false">IFERROR(F442/D442,0)</f>
        <v>0.0303807792754958</v>
      </c>
      <c r="H442" s="7" t="n">
        <f aca="false">01_Data!G442</f>
        <v>213322</v>
      </c>
      <c r="I442" s="7" t="n">
        <f aca="false">01_Data!H442</f>
        <v>230328</v>
      </c>
      <c r="J442" s="7" t="n">
        <f aca="false">H442-I442</f>
        <v>-17006</v>
      </c>
      <c r="K442" s="8" t="n">
        <f aca="false">IFERROR(J442/H442,0)</f>
        <v>-0.0797198601175688</v>
      </c>
      <c r="L442" s="7" t="n">
        <f aca="false">D442-H442</f>
        <v>156945</v>
      </c>
      <c r="M442" s="7" t="n">
        <f aca="false">E442-I442</f>
        <v>151188</v>
      </c>
      <c r="N442" s="7" t="n">
        <f aca="false">IFERROR(L442/D442,0)</f>
        <v>0.423869802061755</v>
      </c>
      <c r="O442" s="7" t="n">
        <f aca="false">IFERROR(M442/E442,0)</f>
        <v>0.396282200484383</v>
      </c>
      <c r="P442" s="7" t="n">
        <f aca="false">01_Data!I442+01_Data!K442+01_Data!M442+01_Data!O442+01_Data!Q442+01_Data!S442+01_Data!U442</f>
        <v>104528</v>
      </c>
      <c r="Q442" s="7" t="n">
        <f aca="false">01_Data!J442+01_Data!L442+01_Data!N442+01_Data!P442+01_Data!R442+01_Data!T442+01_Data!V442</f>
        <v>104658</v>
      </c>
      <c r="R442" s="7" t="n">
        <f aca="false">P442-Q442</f>
        <v>-130</v>
      </c>
      <c r="S442" s="7" t="n">
        <f aca="false">L442-P442</f>
        <v>52417</v>
      </c>
      <c r="T442" s="7" t="n">
        <f aca="false">M442-Q442</f>
        <v>46530</v>
      </c>
      <c r="U442" s="7" t="n">
        <f aca="false">T442-S442</f>
        <v>-5887</v>
      </c>
      <c r="V442" s="8" t="n">
        <f aca="false">IFERROR(U442/S442,0)</f>
        <v>-0.112310891504665</v>
      </c>
      <c r="W442" s="5" t="str">
        <f aca="false">IF(V442&lt;-0.1,"ADVERSE &gt;10%","")</f>
        <v>ADVERSE &gt;10%</v>
      </c>
    </row>
    <row r="443" customFormat="false" ht="15" hidden="false" customHeight="false" outlineLevel="0" collapsed="false">
      <c r="A443" s="5" t="str">
        <f aca="false">01_Data!A443</f>
        <v>Retail &amp; Consumer</v>
      </c>
      <c r="B443" s="5" t="str">
        <f aca="false">01_Data!C443</f>
        <v>2024-01</v>
      </c>
      <c r="C443" s="5" t="str">
        <f aca="false">01_Data!D443</f>
        <v>FY23</v>
      </c>
      <c r="D443" s="7" t="n">
        <f aca="false">01_Data!E443</f>
        <v>368619</v>
      </c>
      <c r="E443" s="7" t="n">
        <f aca="false">01_Data!F443</f>
        <v>361739</v>
      </c>
      <c r="F443" s="7" t="n">
        <f aca="false">E443-D443</f>
        <v>-6880</v>
      </c>
      <c r="G443" s="8" t="n">
        <f aca="false">IFERROR(F443/D443,0)</f>
        <v>-0.018664257675269</v>
      </c>
      <c r="H443" s="7" t="n">
        <f aca="false">01_Data!G443</f>
        <v>207520</v>
      </c>
      <c r="I443" s="7" t="n">
        <f aca="false">01_Data!H443</f>
        <v>201983</v>
      </c>
      <c r="J443" s="7" t="n">
        <f aca="false">H443-I443</f>
        <v>5537</v>
      </c>
      <c r="K443" s="8" t="n">
        <f aca="false">IFERROR(J443/H443,0)</f>
        <v>0.026681765612953</v>
      </c>
      <c r="L443" s="7" t="n">
        <f aca="false">D443-H443</f>
        <v>161099</v>
      </c>
      <c r="M443" s="7" t="n">
        <f aca="false">E443-I443</f>
        <v>159756</v>
      </c>
      <c r="N443" s="7" t="n">
        <f aca="false">IFERROR(L443/D443,0)</f>
        <v>0.437033902213397</v>
      </c>
      <c r="O443" s="7" t="n">
        <f aca="false">IFERROR(M443/E443,0)</f>
        <v>0.441633332319711</v>
      </c>
      <c r="P443" s="7" t="n">
        <f aca="false">01_Data!I443+01_Data!K443+01_Data!M443+01_Data!O443+01_Data!Q443+01_Data!S443+01_Data!U443</f>
        <v>100784</v>
      </c>
      <c r="Q443" s="7" t="n">
        <f aca="false">01_Data!J443+01_Data!L443+01_Data!N443+01_Data!P443+01_Data!R443+01_Data!T443+01_Data!V443</f>
        <v>103990</v>
      </c>
      <c r="R443" s="7" t="n">
        <f aca="false">P443-Q443</f>
        <v>-3206</v>
      </c>
      <c r="S443" s="7" t="n">
        <f aca="false">L443-P443</f>
        <v>60315</v>
      </c>
      <c r="T443" s="7" t="n">
        <f aca="false">M443-Q443</f>
        <v>55766</v>
      </c>
      <c r="U443" s="7" t="n">
        <f aca="false">T443-S443</f>
        <v>-4549</v>
      </c>
      <c r="V443" s="8" t="n">
        <f aca="false">IFERROR(U443/S443,0)</f>
        <v>-0.0754207079499295</v>
      </c>
      <c r="W443" s="5" t="str">
        <f aca="false">IF(V443&lt;-0.1,"ADVERSE &gt;10%","")</f>
        <v/>
      </c>
    </row>
    <row r="444" customFormat="false" ht="15" hidden="false" customHeight="false" outlineLevel="0" collapsed="false">
      <c r="A444" s="5" t="str">
        <f aca="false">01_Data!A444</f>
        <v>Retail &amp; Consumer</v>
      </c>
      <c r="B444" s="5" t="str">
        <f aca="false">01_Data!C444</f>
        <v>2024-02</v>
      </c>
      <c r="C444" s="5" t="str">
        <f aca="false">01_Data!D444</f>
        <v>FY23</v>
      </c>
      <c r="D444" s="7" t="n">
        <f aca="false">01_Data!E444</f>
        <v>339445</v>
      </c>
      <c r="E444" s="7" t="n">
        <f aca="false">01_Data!F444</f>
        <v>357920</v>
      </c>
      <c r="F444" s="7" t="n">
        <f aca="false">E444-D444</f>
        <v>18475</v>
      </c>
      <c r="G444" s="8" t="n">
        <f aca="false">IFERROR(F444/D444,0)</f>
        <v>0.0544270794974149</v>
      </c>
      <c r="H444" s="7" t="n">
        <f aca="false">01_Data!G444</f>
        <v>197482</v>
      </c>
      <c r="I444" s="7" t="n">
        <f aca="false">01_Data!H444</f>
        <v>210467</v>
      </c>
      <c r="J444" s="7" t="n">
        <f aca="false">H444-I444</f>
        <v>-12985</v>
      </c>
      <c r="K444" s="8" t="n">
        <f aca="false">IFERROR(J444/H444,0)</f>
        <v>-0.0657528281058527</v>
      </c>
      <c r="L444" s="7" t="n">
        <f aca="false">D444-H444</f>
        <v>141963</v>
      </c>
      <c r="M444" s="7" t="n">
        <f aca="false">E444-I444</f>
        <v>147453</v>
      </c>
      <c r="N444" s="7" t="n">
        <f aca="false">IFERROR(L444/D444,0)</f>
        <v>0.41822091944203</v>
      </c>
      <c r="O444" s="7" t="n">
        <f aca="false">IFERROR(M444/E444,0)</f>
        <v>0.411971949038891</v>
      </c>
      <c r="P444" s="7" t="n">
        <f aca="false">01_Data!I444+01_Data!K444+01_Data!M444+01_Data!O444+01_Data!Q444+01_Data!S444+01_Data!U444</f>
        <v>88083</v>
      </c>
      <c r="Q444" s="7" t="n">
        <f aca="false">01_Data!J444+01_Data!L444+01_Data!N444+01_Data!P444+01_Data!R444+01_Data!T444+01_Data!V444</f>
        <v>90590</v>
      </c>
      <c r="R444" s="7" t="n">
        <f aca="false">P444-Q444</f>
        <v>-2507</v>
      </c>
      <c r="S444" s="7" t="n">
        <f aca="false">L444-P444</f>
        <v>53880</v>
      </c>
      <c r="T444" s="7" t="n">
        <f aca="false">M444-Q444</f>
        <v>56863</v>
      </c>
      <c r="U444" s="7" t="n">
        <f aca="false">T444-S444</f>
        <v>2983</v>
      </c>
      <c r="V444" s="8" t="n">
        <f aca="false">IFERROR(U444/S444,0)</f>
        <v>0.0553637713437268</v>
      </c>
      <c r="W444" s="5" t="str">
        <f aca="false">IF(V444&lt;-0.1,"ADVERSE &gt;10%","")</f>
        <v/>
      </c>
    </row>
    <row r="445" customFormat="false" ht="15" hidden="false" customHeight="false" outlineLevel="0" collapsed="false">
      <c r="A445" s="5" t="str">
        <f aca="false">01_Data!A445</f>
        <v>Retail &amp; Consumer</v>
      </c>
      <c r="B445" s="5" t="str">
        <f aca="false">01_Data!C445</f>
        <v>2024-03</v>
      </c>
      <c r="C445" s="5" t="str">
        <f aca="false">01_Data!D445</f>
        <v>FY23</v>
      </c>
      <c r="D445" s="7" t="n">
        <f aca="false">01_Data!E445</f>
        <v>406912</v>
      </c>
      <c r="E445" s="7" t="n">
        <f aca="false">01_Data!F445</f>
        <v>388174</v>
      </c>
      <c r="F445" s="7" t="n">
        <f aca="false">E445-D445</f>
        <v>-18738</v>
      </c>
      <c r="G445" s="8" t="n">
        <f aca="false">IFERROR(F445/D445,0)</f>
        <v>-0.0460492686379365</v>
      </c>
      <c r="H445" s="7" t="n">
        <f aca="false">01_Data!G445</f>
        <v>229713</v>
      </c>
      <c r="I445" s="7" t="n">
        <f aca="false">01_Data!H445</f>
        <v>223538</v>
      </c>
      <c r="J445" s="7" t="n">
        <f aca="false">H445-I445</f>
        <v>6175</v>
      </c>
      <c r="K445" s="8" t="n">
        <f aca="false">IFERROR(J445/H445,0)</f>
        <v>0.0268813693608982</v>
      </c>
      <c r="L445" s="7" t="n">
        <f aca="false">D445-H445</f>
        <v>177199</v>
      </c>
      <c r="M445" s="7" t="n">
        <f aca="false">E445-I445</f>
        <v>164636</v>
      </c>
      <c r="N445" s="7" t="n">
        <f aca="false">IFERROR(L445/D445,0)</f>
        <v>0.435472534602076</v>
      </c>
      <c r="O445" s="7" t="n">
        <f aca="false">IFERROR(M445/E445,0)</f>
        <v>0.424129385275675</v>
      </c>
      <c r="P445" s="7" t="n">
        <f aca="false">01_Data!I445+01_Data!K445+01_Data!M445+01_Data!O445+01_Data!Q445+01_Data!S445+01_Data!U445</f>
        <v>107114</v>
      </c>
      <c r="Q445" s="7" t="n">
        <f aca="false">01_Data!J445+01_Data!L445+01_Data!N445+01_Data!P445+01_Data!R445+01_Data!T445+01_Data!V445</f>
        <v>110074</v>
      </c>
      <c r="R445" s="7" t="n">
        <f aca="false">P445-Q445</f>
        <v>-2960</v>
      </c>
      <c r="S445" s="7" t="n">
        <f aca="false">L445-P445</f>
        <v>70085</v>
      </c>
      <c r="T445" s="7" t="n">
        <f aca="false">M445-Q445</f>
        <v>54562</v>
      </c>
      <c r="U445" s="7" t="n">
        <f aca="false">T445-S445</f>
        <v>-15523</v>
      </c>
      <c r="V445" s="8" t="n">
        <f aca="false">IFERROR(U445/S445,0)</f>
        <v>-0.221488192908611</v>
      </c>
      <c r="W445" s="5" t="str">
        <f aca="false">IF(V445&lt;-0.1,"ADVERSE &gt;10%","")</f>
        <v>ADVERSE &gt;10%</v>
      </c>
    </row>
    <row r="446" customFormat="false" ht="15" hidden="false" customHeight="false" outlineLevel="0" collapsed="false">
      <c r="A446" s="5" t="str">
        <f aca="false">01_Data!A446</f>
        <v>Retail &amp; Consumer</v>
      </c>
      <c r="B446" s="5" t="str">
        <f aca="false">01_Data!C446</f>
        <v>2024-04</v>
      </c>
      <c r="C446" s="5" t="str">
        <f aca="false">01_Data!D446</f>
        <v>FY24</v>
      </c>
      <c r="D446" s="7" t="n">
        <f aca="false">01_Data!E446</f>
        <v>383693</v>
      </c>
      <c r="E446" s="7" t="n">
        <f aca="false">01_Data!F446</f>
        <v>362483</v>
      </c>
      <c r="F446" s="7" t="n">
        <f aca="false">E446-D446</f>
        <v>-21210</v>
      </c>
      <c r="G446" s="8" t="n">
        <f aca="false">IFERROR(F446/D446,0)</f>
        <v>-0.0552785690643301</v>
      </c>
      <c r="H446" s="7" t="n">
        <f aca="false">01_Data!G446</f>
        <v>209424</v>
      </c>
      <c r="I446" s="7" t="n">
        <f aca="false">01_Data!H446</f>
        <v>200064</v>
      </c>
      <c r="J446" s="7" t="n">
        <f aca="false">H446-I446</f>
        <v>9360</v>
      </c>
      <c r="K446" s="8" t="n">
        <f aca="false">IFERROR(J446/H446,0)</f>
        <v>0.0446940178776072</v>
      </c>
      <c r="L446" s="7" t="n">
        <f aca="false">D446-H446</f>
        <v>174269</v>
      </c>
      <c r="M446" s="7" t="n">
        <f aca="false">E446-I446</f>
        <v>162419</v>
      </c>
      <c r="N446" s="7" t="n">
        <f aca="false">IFERROR(L446/D446,0)</f>
        <v>0.4541886351849</v>
      </c>
      <c r="O446" s="7" t="n">
        <f aca="false">IFERROR(M446/E446,0)</f>
        <v>0.448073426891744</v>
      </c>
      <c r="P446" s="7" t="n">
        <f aca="false">01_Data!I446+01_Data!K446+01_Data!M446+01_Data!O446+01_Data!Q446+01_Data!S446+01_Data!U446</f>
        <v>102557</v>
      </c>
      <c r="Q446" s="7" t="n">
        <f aca="false">01_Data!J446+01_Data!L446+01_Data!N446+01_Data!P446+01_Data!R446+01_Data!T446+01_Data!V446</f>
        <v>107412</v>
      </c>
      <c r="R446" s="7" t="n">
        <f aca="false">P446-Q446</f>
        <v>-4855</v>
      </c>
      <c r="S446" s="7" t="n">
        <f aca="false">L446-P446</f>
        <v>71712</v>
      </c>
      <c r="T446" s="7" t="n">
        <f aca="false">M446-Q446</f>
        <v>55007</v>
      </c>
      <c r="U446" s="7" t="n">
        <f aca="false">T446-S446</f>
        <v>-16705</v>
      </c>
      <c r="V446" s="8" t="n">
        <f aca="false">IFERROR(U446/S446,0)</f>
        <v>-0.23294567157519</v>
      </c>
      <c r="W446" s="5" t="str">
        <f aca="false">IF(V446&lt;-0.1,"ADVERSE &gt;10%","")</f>
        <v>ADVERSE &gt;10%</v>
      </c>
    </row>
    <row r="447" customFormat="false" ht="15" hidden="false" customHeight="false" outlineLevel="0" collapsed="false">
      <c r="A447" s="5" t="str">
        <f aca="false">01_Data!A447</f>
        <v>Retail &amp; Consumer</v>
      </c>
      <c r="B447" s="5" t="str">
        <f aca="false">01_Data!C447</f>
        <v>2024-05</v>
      </c>
      <c r="C447" s="5" t="str">
        <f aca="false">01_Data!D447</f>
        <v>FY24</v>
      </c>
      <c r="D447" s="7" t="n">
        <f aca="false">01_Data!E447</f>
        <v>344824</v>
      </c>
      <c r="E447" s="7" t="n">
        <f aca="false">01_Data!F447</f>
        <v>364173</v>
      </c>
      <c r="F447" s="7" t="n">
        <f aca="false">E447-D447</f>
        <v>19349</v>
      </c>
      <c r="G447" s="8" t="n">
        <f aca="false">IFERROR(F447/D447,0)</f>
        <v>0.0561126835719092</v>
      </c>
      <c r="H447" s="7" t="n">
        <f aca="false">01_Data!G447</f>
        <v>193571</v>
      </c>
      <c r="I447" s="7" t="n">
        <f aca="false">01_Data!H447</f>
        <v>203163</v>
      </c>
      <c r="J447" s="7" t="n">
        <f aca="false">H447-I447</f>
        <v>-9592</v>
      </c>
      <c r="K447" s="8" t="n">
        <f aca="false">IFERROR(J447/H447,0)</f>
        <v>-0.0495528772388426</v>
      </c>
      <c r="L447" s="7" t="n">
        <f aca="false">D447-H447</f>
        <v>151253</v>
      </c>
      <c r="M447" s="7" t="n">
        <f aca="false">E447-I447</f>
        <v>161010</v>
      </c>
      <c r="N447" s="7" t="n">
        <f aca="false">IFERROR(L447/D447,0)</f>
        <v>0.438638261837923</v>
      </c>
      <c r="O447" s="7" t="n">
        <f aca="false">IFERROR(M447/E447,0)</f>
        <v>0.442125033981102</v>
      </c>
      <c r="P447" s="7" t="n">
        <f aca="false">01_Data!I447+01_Data!K447+01_Data!M447+01_Data!O447+01_Data!Q447+01_Data!S447+01_Data!U447</f>
        <v>90697</v>
      </c>
      <c r="Q447" s="7" t="n">
        <f aca="false">01_Data!J447+01_Data!L447+01_Data!N447+01_Data!P447+01_Data!R447+01_Data!T447+01_Data!V447</f>
        <v>92662</v>
      </c>
      <c r="R447" s="7" t="n">
        <f aca="false">P447-Q447</f>
        <v>-1965</v>
      </c>
      <c r="S447" s="7" t="n">
        <f aca="false">L447-P447</f>
        <v>60556</v>
      </c>
      <c r="T447" s="7" t="n">
        <f aca="false">M447-Q447</f>
        <v>68348</v>
      </c>
      <c r="U447" s="7" t="n">
        <f aca="false">T447-S447</f>
        <v>7792</v>
      </c>
      <c r="V447" s="8" t="n">
        <f aca="false">IFERROR(U447/S447,0)</f>
        <v>0.128674284959376</v>
      </c>
      <c r="W447" s="5" t="str">
        <f aca="false">IF(V447&lt;-0.1,"ADVERSE &gt;10%","")</f>
        <v/>
      </c>
    </row>
    <row r="448" customFormat="false" ht="15" hidden="false" customHeight="false" outlineLevel="0" collapsed="false">
      <c r="A448" s="5" t="str">
        <f aca="false">01_Data!A448</f>
        <v>Retail &amp; Consumer</v>
      </c>
      <c r="B448" s="5" t="str">
        <f aca="false">01_Data!C448</f>
        <v>2024-06</v>
      </c>
      <c r="C448" s="5" t="str">
        <f aca="false">01_Data!D448</f>
        <v>FY24</v>
      </c>
      <c r="D448" s="7" t="n">
        <f aca="false">01_Data!E448</f>
        <v>363465</v>
      </c>
      <c r="E448" s="7" t="n">
        <f aca="false">01_Data!F448</f>
        <v>367294</v>
      </c>
      <c r="F448" s="7" t="n">
        <f aca="false">E448-D448</f>
        <v>3829</v>
      </c>
      <c r="G448" s="8" t="n">
        <f aca="false">IFERROR(F448/D448,0)</f>
        <v>0.0105347144842007</v>
      </c>
      <c r="H448" s="7" t="n">
        <f aca="false">01_Data!G448</f>
        <v>200370</v>
      </c>
      <c r="I448" s="7" t="n">
        <f aca="false">01_Data!H448</f>
        <v>213245</v>
      </c>
      <c r="J448" s="7" t="n">
        <f aca="false">H448-I448</f>
        <v>-12875</v>
      </c>
      <c r="K448" s="8" t="n">
        <f aca="false">IFERROR(J448/H448,0)</f>
        <v>-0.0642561261665918</v>
      </c>
      <c r="L448" s="7" t="n">
        <f aca="false">D448-H448</f>
        <v>163095</v>
      </c>
      <c r="M448" s="7" t="n">
        <f aca="false">E448-I448</f>
        <v>154049</v>
      </c>
      <c r="N448" s="7" t="n">
        <f aca="false">IFERROR(L448/D448,0)</f>
        <v>0.44872271057736</v>
      </c>
      <c r="O448" s="7" t="n">
        <f aca="false">IFERROR(M448/E448,0)</f>
        <v>0.419416053624617</v>
      </c>
      <c r="P448" s="7" t="n">
        <f aca="false">01_Data!I448+01_Data!K448+01_Data!M448+01_Data!O448+01_Data!Q448+01_Data!S448+01_Data!U448</f>
        <v>97904</v>
      </c>
      <c r="Q448" s="7" t="n">
        <f aca="false">01_Data!J448+01_Data!L448+01_Data!N448+01_Data!P448+01_Data!R448+01_Data!T448+01_Data!V448</f>
        <v>101488</v>
      </c>
      <c r="R448" s="7" t="n">
        <f aca="false">P448-Q448</f>
        <v>-3584</v>
      </c>
      <c r="S448" s="7" t="n">
        <f aca="false">L448-P448</f>
        <v>65191</v>
      </c>
      <c r="T448" s="7" t="n">
        <f aca="false">M448-Q448</f>
        <v>52561</v>
      </c>
      <c r="U448" s="7" t="n">
        <f aca="false">T448-S448</f>
        <v>-12630</v>
      </c>
      <c r="V448" s="8" t="n">
        <f aca="false">IFERROR(U448/S448,0)</f>
        <v>-0.19373839947232</v>
      </c>
      <c r="W448" s="5" t="str">
        <f aca="false">IF(V448&lt;-0.1,"ADVERSE &gt;10%","")</f>
        <v>ADVERSE &gt;10%</v>
      </c>
    </row>
    <row r="449" customFormat="false" ht="15" hidden="false" customHeight="false" outlineLevel="0" collapsed="false">
      <c r="A449" s="5" t="str">
        <f aca="false">01_Data!A449</f>
        <v>Retail &amp; Consumer</v>
      </c>
      <c r="B449" s="5" t="str">
        <f aca="false">01_Data!C449</f>
        <v>2024-07</v>
      </c>
      <c r="C449" s="5" t="str">
        <f aca="false">01_Data!D449</f>
        <v>FY24</v>
      </c>
      <c r="D449" s="7" t="n">
        <f aca="false">01_Data!E449</f>
        <v>399237</v>
      </c>
      <c r="E449" s="7" t="n">
        <f aca="false">01_Data!F449</f>
        <v>377199</v>
      </c>
      <c r="F449" s="7" t="n">
        <f aca="false">E449-D449</f>
        <v>-22038</v>
      </c>
      <c r="G449" s="8" t="n">
        <f aca="false">IFERROR(F449/D449,0)</f>
        <v>-0.0552002945618768</v>
      </c>
      <c r="H449" s="7" t="n">
        <f aca="false">01_Data!G449</f>
        <v>236119</v>
      </c>
      <c r="I449" s="7" t="n">
        <f aca="false">01_Data!H449</f>
        <v>232613</v>
      </c>
      <c r="J449" s="7" t="n">
        <f aca="false">H449-I449</f>
        <v>3506</v>
      </c>
      <c r="K449" s="8" t="n">
        <f aca="false">IFERROR(J449/H449,0)</f>
        <v>0.0148484450637179</v>
      </c>
      <c r="L449" s="7" t="n">
        <f aca="false">D449-H449</f>
        <v>163118</v>
      </c>
      <c r="M449" s="7" t="n">
        <f aca="false">E449-I449</f>
        <v>144586</v>
      </c>
      <c r="N449" s="7" t="n">
        <f aca="false">IFERROR(L449/D449,0)</f>
        <v>0.408574355583275</v>
      </c>
      <c r="O449" s="7" t="n">
        <f aca="false">IFERROR(M449/E449,0)</f>
        <v>0.383314908045886</v>
      </c>
      <c r="P449" s="7" t="n">
        <f aca="false">01_Data!I449+01_Data!K449+01_Data!M449+01_Data!O449+01_Data!Q449+01_Data!S449+01_Data!U449</f>
        <v>107587</v>
      </c>
      <c r="Q449" s="7" t="n">
        <f aca="false">01_Data!J449+01_Data!L449+01_Data!N449+01_Data!P449+01_Data!R449+01_Data!T449+01_Data!V449</f>
        <v>108289</v>
      </c>
      <c r="R449" s="7" t="n">
        <f aca="false">P449-Q449</f>
        <v>-702</v>
      </c>
      <c r="S449" s="7" t="n">
        <f aca="false">L449-P449</f>
        <v>55531</v>
      </c>
      <c r="T449" s="7" t="n">
        <f aca="false">M449-Q449</f>
        <v>36297</v>
      </c>
      <c r="U449" s="7" t="n">
        <f aca="false">T449-S449</f>
        <v>-19234</v>
      </c>
      <c r="V449" s="8" t="n">
        <f aca="false">IFERROR(U449/S449,0)</f>
        <v>-0.34636509337127</v>
      </c>
      <c r="W449" s="5" t="str">
        <f aca="false">IF(V449&lt;-0.1,"ADVERSE &gt;10%","")</f>
        <v>ADVERSE &gt;10%</v>
      </c>
    </row>
    <row r="450" customFormat="false" ht="15" hidden="false" customHeight="false" outlineLevel="0" collapsed="false">
      <c r="A450" s="5" t="str">
        <f aca="false">01_Data!A450</f>
        <v>Retail &amp; Consumer</v>
      </c>
      <c r="B450" s="5" t="str">
        <f aca="false">01_Data!C450</f>
        <v>2024-08</v>
      </c>
      <c r="C450" s="5" t="str">
        <f aca="false">01_Data!D450</f>
        <v>FY24</v>
      </c>
      <c r="D450" s="7" t="n">
        <f aca="false">01_Data!E450</f>
        <v>373331</v>
      </c>
      <c r="E450" s="7" t="n">
        <f aca="false">01_Data!F450</f>
        <v>375753</v>
      </c>
      <c r="F450" s="7" t="n">
        <f aca="false">E450-D450</f>
        <v>2422</v>
      </c>
      <c r="G450" s="8" t="n">
        <f aca="false">IFERROR(F450/D450,0)</f>
        <v>0.00648754054712842</v>
      </c>
      <c r="H450" s="7" t="n">
        <f aca="false">01_Data!G450</f>
        <v>204190</v>
      </c>
      <c r="I450" s="7" t="n">
        <f aca="false">01_Data!H450</f>
        <v>210449</v>
      </c>
      <c r="J450" s="7" t="n">
        <f aca="false">H450-I450</f>
        <v>-6259</v>
      </c>
      <c r="K450" s="8" t="n">
        <f aca="false">IFERROR(J450/H450,0)</f>
        <v>-0.0306528233508007</v>
      </c>
      <c r="L450" s="7" t="n">
        <f aca="false">D450-H450</f>
        <v>169141</v>
      </c>
      <c r="M450" s="7" t="n">
        <f aca="false">E450-I450</f>
        <v>165304</v>
      </c>
      <c r="N450" s="7" t="n">
        <f aca="false">IFERROR(L450/D450,0)</f>
        <v>0.45305908161926</v>
      </c>
      <c r="O450" s="7" t="n">
        <f aca="false">IFERROR(M450/E450,0)</f>
        <v>0.439927292662999</v>
      </c>
      <c r="P450" s="7" t="n">
        <f aca="false">01_Data!I450+01_Data!K450+01_Data!M450+01_Data!O450+01_Data!Q450+01_Data!S450+01_Data!U450</f>
        <v>98900</v>
      </c>
      <c r="Q450" s="7" t="n">
        <f aca="false">01_Data!J450+01_Data!L450+01_Data!N450+01_Data!P450+01_Data!R450+01_Data!T450+01_Data!V450</f>
        <v>98679</v>
      </c>
      <c r="R450" s="7" t="n">
        <f aca="false">P450-Q450</f>
        <v>221</v>
      </c>
      <c r="S450" s="7" t="n">
        <f aca="false">L450-P450</f>
        <v>70241</v>
      </c>
      <c r="T450" s="7" t="n">
        <f aca="false">M450-Q450</f>
        <v>66625</v>
      </c>
      <c r="U450" s="7" t="n">
        <f aca="false">T450-S450</f>
        <v>-3616</v>
      </c>
      <c r="V450" s="8" t="n">
        <f aca="false">IFERROR(U450/S450,0)</f>
        <v>-0.0514799048988483</v>
      </c>
      <c r="W450" s="5" t="str">
        <f aca="false">IF(V450&lt;-0.1,"ADVERSE &gt;10%","")</f>
        <v/>
      </c>
    </row>
    <row r="451" customFormat="false" ht="15" hidden="false" customHeight="false" outlineLevel="0" collapsed="false">
      <c r="A451" s="5" t="str">
        <f aca="false">01_Data!A451</f>
        <v>Retail &amp; Consumer</v>
      </c>
      <c r="B451" s="5" t="str">
        <f aca="false">01_Data!C451</f>
        <v>2024-09</v>
      </c>
      <c r="C451" s="5" t="str">
        <f aca="false">01_Data!D451</f>
        <v>FY24</v>
      </c>
      <c r="D451" s="7" t="n">
        <f aca="false">01_Data!E451</f>
        <v>399112</v>
      </c>
      <c r="E451" s="7" t="n">
        <f aca="false">01_Data!F451</f>
        <v>418018</v>
      </c>
      <c r="F451" s="7" t="n">
        <f aca="false">E451-D451</f>
        <v>18906</v>
      </c>
      <c r="G451" s="8" t="n">
        <f aca="false">IFERROR(F451/D451,0)</f>
        <v>0.0473701617591052</v>
      </c>
      <c r="H451" s="7" t="n">
        <f aca="false">01_Data!G451</f>
        <v>218771</v>
      </c>
      <c r="I451" s="7" t="n">
        <f aca="false">01_Data!H451</f>
        <v>231947</v>
      </c>
      <c r="J451" s="7" t="n">
        <f aca="false">H451-I451</f>
        <v>-13176</v>
      </c>
      <c r="K451" s="8" t="n">
        <f aca="false">IFERROR(J451/H451,0)</f>
        <v>-0.0602273610304839</v>
      </c>
      <c r="L451" s="7" t="n">
        <f aca="false">D451-H451</f>
        <v>180341</v>
      </c>
      <c r="M451" s="7" t="n">
        <f aca="false">E451-I451</f>
        <v>186071</v>
      </c>
      <c r="N451" s="7" t="n">
        <f aca="false">IFERROR(L451/D451,0)</f>
        <v>0.451855619475235</v>
      </c>
      <c r="O451" s="7" t="n">
        <f aca="false">IFERROR(M451/E451,0)</f>
        <v>0.445126764876154</v>
      </c>
      <c r="P451" s="7" t="n">
        <f aca="false">01_Data!I451+01_Data!K451+01_Data!M451+01_Data!O451+01_Data!Q451+01_Data!S451+01_Data!U451</f>
        <v>112757</v>
      </c>
      <c r="Q451" s="7" t="n">
        <f aca="false">01_Data!J451+01_Data!L451+01_Data!N451+01_Data!P451+01_Data!R451+01_Data!T451+01_Data!V451</f>
        <v>114511</v>
      </c>
      <c r="R451" s="7" t="n">
        <f aca="false">P451-Q451</f>
        <v>-1754</v>
      </c>
      <c r="S451" s="7" t="n">
        <f aca="false">L451-P451</f>
        <v>67584</v>
      </c>
      <c r="T451" s="7" t="n">
        <f aca="false">M451-Q451</f>
        <v>71560</v>
      </c>
      <c r="U451" s="7" t="n">
        <f aca="false">T451-S451</f>
        <v>3976</v>
      </c>
      <c r="V451" s="8" t="n">
        <f aca="false">IFERROR(U451/S451,0)</f>
        <v>0.0588304924242424</v>
      </c>
      <c r="W451" s="5" t="str">
        <f aca="false">IF(V451&lt;-0.1,"ADVERSE &gt;10%","")</f>
        <v/>
      </c>
    </row>
    <row r="452" customFormat="false" ht="15" hidden="false" customHeight="false" outlineLevel="0" collapsed="false">
      <c r="A452" s="5" t="str">
        <f aca="false">01_Data!A452</f>
        <v>Retail &amp; Consumer</v>
      </c>
      <c r="B452" s="5" t="str">
        <f aca="false">01_Data!C452</f>
        <v>2024-10</v>
      </c>
      <c r="C452" s="5" t="str">
        <f aca="false">01_Data!D452</f>
        <v>FY24</v>
      </c>
      <c r="D452" s="7" t="n">
        <f aca="false">01_Data!E452</f>
        <v>409218</v>
      </c>
      <c r="E452" s="7" t="n">
        <f aca="false">01_Data!F452</f>
        <v>394612</v>
      </c>
      <c r="F452" s="7" t="n">
        <f aca="false">E452-D452</f>
        <v>-14606</v>
      </c>
      <c r="G452" s="8" t="n">
        <f aca="false">IFERROR(F452/D452,0)</f>
        <v>-0.0356924670957778</v>
      </c>
      <c r="H452" s="7" t="n">
        <f aca="false">01_Data!G452</f>
        <v>226467</v>
      </c>
      <c r="I452" s="7" t="n">
        <f aca="false">01_Data!H452</f>
        <v>212774</v>
      </c>
      <c r="J452" s="7" t="n">
        <f aca="false">H452-I452</f>
        <v>13693</v>
      </c>
      <c r="K452" s="8" t="n">
        <f aca="false">IFERROR(J452/H452,0)</f>
        <v>0.060463555396592</v>
      </c>
      <c r="L452" s="7" t="n">
        <f aca="false">D452-H452</f>
        <v>182751</v>
      </c>
      <c r="M452" s="7" t="n">
        <f aca="false">E452-I452</f>
        <v>181838</v>
      </c>
      <c r="N452" s="7" t="n">
        <f aca="false">IFERROR(L452/D452,0)</f>
        <v>0.446585927305251</v>
      </c>
      <c r="O452" s="7" t="n">
        <f aca="false">IFERROR(M452/E452,0)</f>
        <v>0.460802002980143</v>
      </c>
      <c r="P452" s="7" t="n">
        <f aca="false">01_Data!I452+01_Data!K452+01_Data!M452+01_Data!O452+01_Data!Q452+01_Data!S452+01_Data!U452</f>
        <v>106244</v>
      </c>
      <c r="Q452" s="7" t="n">
        <f aca="false">01_Data!J452+01_Data!L452+01_Data!N452+01_Data!P452+01_Data!R452+01_Data!T452+01_Data!V452</f>
        <v>106498</v>
      </c>
      <c r="R452" s="7" t="n">
        <f aca="false">P452-Q452</f>
        <v>-254</v>
      </c>
      <c r="S452" s="7" t="n">
        <f aca="false">L452-P452</f>
        <v>76507</v>
      </c>
      <c r="T452" s="7" t="n">
        <f aca="false">M452-Q452</f>
        <v>75340</v>
      </c>
      <c r="U452" s="7" t="n">
        <f aca="false">T452-S452</f>
        <v>-1167</v>
      </c>
      <c r="V452" s="8" t="n">
        <f aca="false">IFERROR(U452/S452,0)</f>
        <v>-0.0152535062151176</v>
      </c>
      <c r="W452" s="5" t="str">
        <f aca="false">IF(V452&lt;-0.1,"ADVERSE &gt;10%","")</f>
        <v/>
      </c>
    </row>
    <row r="453" customFormat="false" ht="15" hidden="false" customHeight="false" outlineLevel="0" collapsed="false">
      <c r="A453" s="5" t="str">
        <f aca="false">01_Data!A453</f>
        <v>Retail &amp; Consumer</v>
      </c>
      <c r="B453" s="5" t="str">
        <f aca="false">01_Data!C453</f>
        <v>2024-11</v>
      </c>
      <c r="C453" s="5" t="str">
        <f aca="false">01_Data!D453</f>
        <v>FY24</v>
      </c>
      <c r="D453" s="7" t="n">
        <f aca="false">01_Data!E453</f>
        <v>397247</v>
      </c>
      <c r="E453" s="7" t="n">
        <f aca="false">01_Data!F453</f>
        <v>406035</v>
      </c>
      <c r="F453" s="7" t="n">
        <f aca="false">E453-D453</f>
        <v>8788</v>
      </c>
      <c r="G453" s="8" t="n">
        <f aca="false">IFERROR(F453/D453,0)</f>
        <v>0.0221222564298786</v>
      </c>
      <c r="H453" s="7" t="n">
        <f aca="false">01_Data!G453</f>
        <v>223214</v>
      </c>
      <c r="I453" s="7" t="n">
        <f aca="false">01_Data!H453</f>
        <v>233822</v>
      </c>
      <c r="J453" s="7" t="n">
        <f aca="false">H453-I453</f>
        <v>-10608</v>
      </c>
      <c r="K453" s="8" t="n">
        <f aca="false">IFERROR(J453/H453,0)</f>
        <v>-0.0475239008305931</v>
      </c>
      <c r="L453" s="7" t="n">
        <f aca="false">D453-H453</f>
        <v>174033</v>
      </c>
      <c r="M453" s="7" t="n">
        <f aca="false">E453-I453</f>
        <v>172213</v>
      </c>
      <c r="N453" s="7" t="n">
        <f aca="false">IFERROR(L453/D453,0)</f>
        <v>0.438097707471674</v>
      </c>
      <c r="O453" s="7" t="n">
        <f aca="false">IFERROR(M453/E453,0)</f>
        <v>0.424133387515855</v>
      </c>
      <c r="P453" s="7" t="n">
        <f aca="false">01_Data!I453+01_Data!K453+01_Data!M453+01_Data!O453+01_Data!Q453+01_Data!S453+01_Data!U453</f>
        <v>111567</v>
      </c>
      <c r="Q453" s="7" t="n">
        <f aca="false">01_Data!J453+01_Data!L453+01_Data!N453+01_Data!P453+01_Data!R453+01_Data!T453+01_Data!V453</f>
        <v>112491</v>
      </c>
      <c r="R453" s="7" t="n">
        <f aca="false">P453-Q453</f>
        <v>-924</v>
      </c>
      <c r="S453" s="7" t="n">
        <f aca="false">L453-P453</f>
        <v>62466</v>
      </c>
      <c r="T453" s="7" t="n">
        <f aca="false">M453-Q453</f>
        <v>59722</v>
      </c>
      <c r="U453" s="7" t="n">
        <f aca="false">T453-S453</f>
        <v>-2744</v>
      </c>
      <c r="V453" s="8" t="n">
        <f aca="false">IFERROR(U453/S453,0)</f>
        <v>-0.0439278967758461</v>
      </c>
      <c r="W453" s="5" t="str">
        <f aca="false">IF(V453&lt;-0.1,"ADVERSE &gt;10%","")</f>
        <v/>
      </c>
    </row>
    <row r="454" customFormat="false" ht="15" hidden="false" customHeight="false" outlineLevel="0" collapsed="false">
      <c r="A454" s="5" t="str">
        <f aca="false">01_Data!A454</f>
        <v>Retail &amp; Consumer</v>
      </c>
      <c r="B454" s="5" t="str">
        <f aca="false">01_Data!C454</f>
        <v>2024-12</v>
      </c>
      <c r="C454" s="5" t="str">
        <f aca="false">01_Data!D454</f>
        <v>FY24</v>
      </c>
      <c r="D454" s="7" t="n">
        <f aca="false">01_Data!E454</f>
        <v>463759</v>
      </c>
      <c r="E454" s="7" t="n">
        <f aca="false">01_Data!F454</f>
        <v>447577</v>
      </c>
      <c r="F454" s="7" t="n">
        <f aca="false">E454-D454</f>
        <v>-16182</v>
      </c>
      <c r="G454" s="8" t="n">
        <f aca="false">IFERROR(F454/D454,0)</f>
        <v>-0.0348931233679562</v>
      </c>
      <c r="H454" s="7" t="n">
        <f aca="false">01_Data!G454</f>
        <v>269990</v>
      </c>
      <c r="I454" s="7" t="n">
        <f aca="false">01_Data!H454</f>
        <v>265020</v>
      </c>
      <c r="J454" s="7" t="n">
        <f aca="false">H454-I454</f>
        <v>4970</v>
      </c>
      <c r="K454" s="8" t="n">
        <f aca="false">IFERROR(J454/H454,0)</f>
        <v>0.0184080891884885</v>
      </c>
      <c r="L454" s="7" t="n">
        <f aca="false">D454-H454</f>
        <v>193769</v>
      </c>
      <c r="M454" s="7" t="n">
        <f aca="false">E454-I454</f>
        <v>182557</v>
      </c>
      <c r="N454" s="7" t="n">
        <f aca="false">IFERROR(L454/D454,0)</f>
        <v>0.417822619075856</v>
      </c>
      <c r="O454" s="7" t="n">
        <f aca="false">IFERROR(M454/E454,0)</f>
        <v>0.407878420919752</v>
      </c>
      <c r="P454" s="7" t="n">
        <f aca="false">01_Data!I454+01_Data!K454+01_Data!M454+01_Data!O454+01_Data!Q454+01_Data!S454+01_Data!U454</f>
        <v>124359</v>
      </c>
      <c r="Q454" s="7" t="n">
        <f aca="false">01_Data!J454+01_Data!L454+01_Data!N454+01_Data!P454+01_Data!R454+01_Data!T454+01_Data!V454</f>
        <v>131350</v>
      </c>
      <c r="R454" s="7" t="n">
        <f aca="false">P454-Q454</f>
        <v>-6991</v>
      </c>
      <c r="S454" s="7" t="n">
        <f aca="false">L454-P454</f>
        <v>69410</v>
      </c>
      <c r="T454" s="7" t="n">
        <f aca="false">M454-Q454</f>
        <v>51207</v>
      </c>
      <c r="U454" s="7" t="n">
        <f aca="false">T454-S454</f>
        <v>-18203</v>
      </c>
      <c r="V454" s="8" t="n">
        <f aca="false">IFERROR(U454/S454,0)</f>
        <v>-0.262253277625702</v>
      </c>
      <c r="W454" s="5" t="str">
        <f aca="false">IF(V454&lt;-0.1,"ADVERSE &gt;10%","")</f>
        <v>ADVERSE &gt;10%</v>
      </c>
    </row>
    <row r="455" customFormat="false" ht="15" hidden="false" customHeight="false" outlineLevel="0" collapsed="false">
      <c r="A455" s="5" t="str">
        <f aca="false">01_Data!A455</f>
        <v>Retail &amp; Consumer</v>
      </c>
      <c r="B455" s="5" t="str">
        <f aca="false">01_Data!C455</f>
        <v>2025-01</v>
      </c>
      <c r="C455" s="5" t="str">
        <f aca="false">01_Data!D455</f>
        <v>FY24</v>
      </c>
      <c r="D455" s="7" t="n">
        <f aca="false">01_Data!E455</f>
        <v>436120</v>
      </c>
      <c r="E455" s="7" t="n">
        <f aca="false">01_Data!F455</f>
        <v>420458</v>
      </c>
      <c r="F455" s="7" t="n">
        <f aca="false">E455-D455</f>
        <v>-15662</v>
      </c>
      <c r="G455" s="8" t="n">
        <f aca="false">IFERROR(F455/D455,0)</f>
        <v>-0.0359121342749702</v>
      </c>
      <c r="H455" s="7" t="n">
        <f aca="false">01_Data!G455</f>
        <v>253833</v>
      </c>
      <c r="I455" s="7" t="n">
        <f aca="false">01_Data!H455</f>
        <v>237413</v>
      </c>
      <c r="J455" s="7" t="n">
        <f aca="false">H455-I455</f>
        <v>16420</v>
      </c>
      <c r="K455" s="8" t="n">
        <f aca="false">IFERROR(J455/H455,0)</f>
        <v>0.064688200509784</v>
      </c>
      <c r="L455" s="7" t="n">
        <f aca="false">D455-H455</f>
        <v>182287</v>
      </c>
      <c r="M455" s="7" t="n">
        <f aca="false">E455-I455</f>
        <v>183045</v>
      </c>
      <c r="N455" s="7" t="n">
        <f aca="false">IFERROR(L455/D455,0)</f>
        <v>0.417974410712648</v>
      </c>
      <c r="O455" s="7" t="n">
        <f aca="false">IFERROR(M455/E455,0)</f>
        <v>0.435346693367709</v>
      </c>
      <c r="P455" s="7" t="n">
        <f aca="false">01_Data!I455+01_Data!K455+01_Data!M455+01_Data!O455+01_Data!Q455+01_Data!S455+01_Data!U455</f>
        <v>125900</v>
      </c>
      <c r="Q455" s="7" t="n">
        <f aca="false">01_Data!J455+01_Data!L455+01_Data!N455+01_Data!P455+01_Data!R455+01_Data!T455+01_Data!V455</f>
        <v>128282</v>
      </c>
      <c r="R455" s="7" t="n">
        <f aca="false">P455-Q455</f>
        <v>-2382</v>
      </c>
      <c r="S455" s="7" t="n">
        <f aca="false">L455-P455</f>
        <v>56387</v>
      </c>
      <c r="T455" s="7" t="n">
        <f aca="false">M455-Q455</f>
        <v>54763</v>
      </c>
      <c r="U455" s="7" t="n">
        <f aca="false">T455-S455</f>
        <v>-1624</v>
      </c>
      <c r="V455" s="8" t="n">
        <f aca="false">IFERROR(U455/S455,0)</f>
        <v>-0.0288009647613812</v>
      </c>
      <c r="W455" s="5" t="str">
        <f aca="false">IF(V455&lt;-0.1,"ADVERSE &gt;10%","")</f>
        <v/>
      </c>
    </row>
    <row r="456" customFormat="false" ht="15" hidden="false" customHeight="false" outlineLevel="0" collapsed="false">
      <c r="A456" s="5" t="str">
        <f aca="false">01_Data!A456</f>
        <v>Retail &amp; Consumer</v>
      </c>
      <c r="B456" s="5" t="str">
        <f aca="false">01_Data!C456</f>
        <v>2025-02</v>
      </c>
      <c r="C456" s="5" t="str">
        <f aca="false">01_Data!D456</f>
        <v>FY24</v>
      </c>
      <c r="D456" s="7" t="n">
        <f aca="false">01_Data!E456</f>
        <v>413891</v>
      </c>
      <c r="E456" s="7" t="n">
        <f aca="false">01_Data!F456</f>
        <v>424955</v>
      </c>
      <c r="F456" s="7" t="n">
        <f aca="false">E456-D456</f>
        <v>11064</v>
      </c>
      <c r="G456" s="8" t="n">
        <f aca="false">IFERROR(F456/D456,0)</f>
        <v>0.02673167573105</v>
      </c>
      <c r="H456" s="7" t="n">
        <f aca="false">01_Data!G456</f>
        <v>240795</v>
      </c>
      <c r="I456" s="7" t="n">
        <f aca="false">01_Data!H456</f>
        <v>242878</v>
      </c>
      <c r="J456" s="7" t="n">
        <f aca="false">H456-I456</f>
        <v>-2083</v>
      </c>
      <c r="K456" s="8" t="n">
        <f aca="false">IFERROR(J456/H456,0)</f>
        <v>-0.00865051184617621</v>
      </c>
      <c r="L456" s="7" t="n">
        <f aca="false">D456-H456</f>
        <v>173096</v>
      </c>
      <c r="M456" s="7" t="n">
        <f aca="false">E456-I456</f>
        <v>182077</v>
      </c>
      <c r="N456" s="7" t="n">
        <f aca="false">IFERROR(L456/D456,0)</f>
        <v>0.41821639030566</v>
      </c>
      <c r="O456" s="7" t="n">
        <f aca="false">IFERROR(M456/E456,0)</f>
        <v>0.428461837135697</v>
      </c>
      <c r="P456" s="7" t="n">
        <f aca="false">01_Data!I456+01_Data!K456+01_Data!M456+01_Data!O456+01_Data!Q456+01_Data!S456+01_Data!U456</f>
        <v>112417</v>
      </c>
      <c r="Q456" s="7" t="n">
        <f aca="false">01_Data!J456+01_Data!L456+01_Data!N456+01_Data!P456+01_Data!R456+01_Data!T456+01_Data!V456</f>
        <v>115747</v>
      </c>
      <c r="R456" s="7" t="n">
        <f aca="false">P456-Q456</f>
        <v>-3330</v>
      </c>
      <c r="S456" s="7" t="n">
        <f aca="false">L456-P456</f>
        <v>60679</v>
      </c>
      <c r="T456" s="7" t="n">
        <f aca="false">M456-Q456</f>
        <v>66330</v>
      </c>
      <c r="U456" s="7" t="n">
        <f aca="false">T456-S456</f>
        <v>5651</v>
      </c>
      <c r="V456" s="8" t="n">
        <f aca="false">IFERROR(U456/S456,0)</f>
        <v>0.093129418744541</v>
      </c>
      <c r="W456" s="5" t="str">
        <f aca="false">IF(V456&lt;-0.1,"ADVERSE &gt;10%","")</f>
        <v/>
      </c>
    </row>
    <row r="457" customFormat="false" ht="15" hidden="false" customHeight="false" outlineLevel="0" collapsed="false">
      <c r="A457" s="5" t="str">
        <f aca="false">01_Data!A457</f>
        <v>Retail &amp; Consumer</v>
      </c>
      <c r="B457" s="5" t="str">
        <f aca="false">01_Data!C457</f>
        <v>2025-03</v>
      </c>
      <c r="C457" s="5" t="str">
        <f aca="false">01_Data!D457</f>
        <v>FY24</v>
      </c>
      <c r="D457" s="7" t="n">
        <f aca="false">01_Data!E457</f>
        <v>473822</v>
      </c>
      <c r="E457" s="7" t="n">
        <f aca="false">01_Data!F457</f>
        <v>460108</v>
      </c>
      <c r="F457" s="7" t="n">
        <f aca="false">E457-D457</f>
        <v>-13714</v>
      </c>
      <c r="G457" s="8" t="n">
        <f aca="false">IFERROR(F457/D457,0)</f>
        <v>-0.0289433584763899</v>
      </c>
      <c r="H457" s="7" t="n">
        <f aca="false">01_Data!G457</f>
        <v>276768</v>
      </c>
      <c r="I457" s="7" t="n">
        <f aca="false">01_Data!H457</f>
        <v>259766</v>
      </c>
      <c r="J457" s="7" t="n">
        <f aca="false">H457-I457</f>
        <v>17002</v>
      </c>
      <c r="K457" s="8" t="n">
        <f aca="false">IFERROR(J457/H457,0)</f>
        <v>0.061430512197942</v>
      </c>
      <c r="L457" s="7" t="n">
        <f aca="false">D457-H457</f>
        <v>197054</v>
      </c>
      <c r="M457" s="7" t="n">
        <f aca="false">E457-I457</f>
        <v>200342</v>
      </c>
      <c r="N457" s="7" t="n">
        <f aca="false">IFERROR(L457/D457,0)</f>
        <v>0.415881913461173</v>
      </c>
      <c r="O457" s="7" t="n">
        <f aca="false">IFERROR(M457/E457,0)</f>
        <v>0.435423857007485</v>
      </c>
      <c r="P457" s="7" t="n">
        <f aca="false">01_Data!I457+01_Data!K457+01_Data!M457+01_Data!O457+01_Data!Q457+01_Data!S457+01_Data!U457</f>
        <v>130317</v>
      </c>
      <c r="Q457" s="7" t="n">
        <f aca="false">01_Data!J457+01_Data!L457+01_Data!N457+01_Data!P457+01_Data!R457+01_Data!T457+01_Data!V457</f>
        <v>136290</v>
      </c>
      <c r="R457" s="7" t="n">
        <f aca="false">P457-Q457</f>
        <v>-5973</v>
      </c>
      <c r="S457" s="7" t="n">
        <f aca="false">L457-P457</f>
        <v>66737</v>
      </c>
      <c r="T457" s="7" t="n">
        <f aca="false">M457-Q457</f>
        <v>64052</v>
      </c>
      <c r="U457" s="7" t="n">
        <f aca="false">T457-S457</f>
        <v>-2685</v>
      </c>
      <c r="V457" s="8" t="n">
        <f aca="false">IFERROR(U457/S457,0)</f>
        <v>-0.0402325546548391</v>
      </c>
      <c r="W457" s="5" t="str">
        <f aca="false">IF(V457&lt;-0.1,"ADVERSE &gt;10%","")</f>
        <v/>
      </c>
    </row>
    <row r="458" customFormat="false" ht="15" hidden="false" customHeight="false" outlineLevel="0" collapsed="false">
      <c r="A458" s="5" t="str">
        <f aca="false">01_Data!A458</f>
        <v>Retail &amp; Consumer</v>
      </c>
      <c r="B458" s="5" t="str">
        <f aca="false">01_Data!C458</f>
        <v>2025-04</v>
      </c>
      <c r="C458" s="5" t="str">
        <f aca="false">01_Data!D458</f>
        <v>FY25</v>
      </c>
      <c r="D458" s="7" t="n">
        <f aca="false">01_Data!E458</f>
        <v>435644</v>
      </c>
      <c r="E458" s="7" t="n">
        <f aca="false">01_Data!F458</f>
        <v>430816</v>
      </c>
      <c r="F458" s="7" t="n">
        <f aca="false">E458-D458</f>
        <v>-4828</v>
      </c>
      <c r="G458" s="8" t="n">
        <f aca="false">IFERROR(F458/D458,0)</f>
        <v>-0.0110824434630111</v>
      </c>
      <c r="H458" s="7" t="n">
        <f aca="false">01_Data!G458</f>
        <v>260595</v>
      </c>
      <c r="I458" s="7" t="n">
        <f aca="false">01_Data!H458</f>
        <v>262596</v>
      </c>
      <c r="J458" s="7" t="n">
        <f aca="false">H458-I458</f>
        <v>-2001</v>
      </c>
      <c r="K458" s="8" t="n">
        <f aca="false">IFERROR(J458/H458,0)</f>
        <v>-0.00767858170724688</v>
      </c>
      <c r="L458" s="7" t="n">
        <f aca="false">D458-H458</f>
        <v>175049</v>
      </c>
      <c r="M458" s="7" t="n">
        <f aca="false">E458-I458</f>
        <v>168220</v>
      </c>
      <c r="N458" s="7" t="n">
        <f aca="false">IFERROR(L458/D458,0)</f>
        <v>0.401816620910652</v>
      </c>
      <c r="O458" s="7" t="n">
        <f aca="false">IFERROR(M458/E458,0)</f>
        <v>0.390468320582337</v>
      </c>
      <c r="P458" s="7" t="n">
        <f aca="false">01_Data!I458+01_Data!K458+01_Data!M458+01_Data!O458+01_Data!Q458+01_Data!S458+01_Data!U458</f>
        <v>117280</v>
      </c>
      <c r="Q458" s="7" t="n">
        <f aca="false">01_Data!J458+01_Data!L458+01_Data!N458+01_Data!P458+01_Data!R458+01_Data!T458+01_Data!V458</f>
        <v>118415</v>
      </c>
      <c r="R458" s="7" t="n">
        <f aca="false">P458-Q458</f>
        <v>-1135</v>
      </c>
      <c r="S458" s="7" t="n">
        <f aca="false">L458-P458</f>
        <v>57769</v>
      </c>
      <c r="T458" s="7" t="n">
        <f aca="false">M458-Q458</f>
        <v>49805</v>
      </c>
      <c r="U458" s="7" t="n">
        <f aca="false">T458-S458</f>
        <v>-7964</v>
      </c>
      <c r="V458" s="8" t="n">
        <f aca="false">IFERROR(U458/S458,0)</f>
        <v>-0.137859405563538</v>
      </c>
      <c r="W458" s="5" t="str">
        <f aca="false">IF(V458&lt;-0.1,"ADVERSE &gt;10%","")</f>
        <v>ADVERSE &gt;10%</v>
      </c>
    </row>
    <row r="459" customFormat="false" ht="15" hidden="false" customHeight="false" outlineLevel="0" collapsed="false">
      <c r="A459" s="5" t="str">
        <f aca="false">01_Data!A459</f>
        <v>Retail &amp; Consumer</v>
      </c>
      <c r="B459" s="5" t="str">
        <f aca="false">01_Data!C459</f>
        <v>2025-05</v>
      </c>
      <c r="C459" s="5" t="str">
        <f aca="false">01_Data!D459</f>
        <v>FY25</v>
      </c>
      <c r="D459" s="7" t="n">
        <f aca="false">01_Data!E459</f>
        <v>438952</v>
      </c>
      <c r="E459" s="7" t="n">
        <f aca="false">01_Data!F459</f>
        <v>431028</v>
      </c>
      <c r="F459" s="7" t="n">
        <f aca="false">E459-D459</f>
        <v>-7924</v>
      </c>
      <c r="G459" s="8" t="n">
        <f aca="false">IFERROR(F459/D459,0)</f>
        <v>-0.0180520876997941</v>
      </c>
      <c r="H459" s="7" t="n">
        <f aca="false">01_Data!G459</f>
        <v>246708</v>
      </c>
      <c r="I459" s="7" t="n">
        <f aca="false">01_Data!H459</f>
        <v>236220</v>
      </c>
      <c r="J459" s="7" t="n">
        <f aca="false">H459-I459</f>
        <v>10488</v>
      </c>
      <c r="K459" s="8" t="n">
        <f aca="false">IFERROR(J459/H459,0)</f>
        <v>0.0425117953207841</v>
      </c>
      <c r="L459" s="7" t="n">
        <f aca="false">D459-H459</f>
        <v>192244</v>
      </c>
      <c r="M459" s="7" t="n">
        <f aca="false">E459-I459</f>
        <v>194808</v>
      </c>
      <c r="N459" s="7" t="n">
        <f aca="false">IFERROR(L459/D459,0)</f>
        <v>0.437961326067543</v>
      </c>
      <c r="O459" s="7" t="n">
        <f aca="false">IFERROR(M459/E459,0)</f>
        <v>0.451961357498817</v>
      </c>
      <c r="P459" s="7" t="n">
        <f aca="false">01_Data!I459+01_Data!K459+01_Data!M459+01_Data!O459+01_Data!Q459+01_Data!S459+01_Data!U459</f>
        <v>112326</v>
      </c>
      <c r="Q459" s="7" t="n">
        <f aca="false">01_Data!J459+01_Data!L459+01_Data!N459+01_Data!P459+01_Data!R459+01_Data!T459+01_Data!V459</f>
        <v>114312</v>
      </c>
      <c r="R459" s="7" t="n">
        <f aca="false">P459-Q459</f>
        <v>-1986</v>
      </c>
      <c r="S459" s="7" t="n">
        <f aca="false">L459-P459</f>
        <v>79918</v>
      </c>
      <c r="T459" s="7" t="n">
        <f aca="false">M459-Q459</f>
        <v>80496</v>
      </c>
      <c r="U459" s="7" t="n">
        <f aca="false">T459-S459</f>
        <v>578</v>
      </c>
      <c r="V459" s="8" t="n">
        <f aca="false">IFERROR(U459/S459,0)</f>
        <v>0.00723241322355414</v>
      </c>
      <c r="W459" s="5" t="str">
        <f aca="false">IF(V459&lt;-0.1,"ADVERSE &gt;10%","")</f>
        <v/>
      </c>
    </row>
    <row r="460" customFormat="false" ht="15" hidden="false" customHeight="false" outlineLevel="0" collapsed="false">
      <c r="A460" s="5" t="str">
        <f aca="false">01_Data!A460</f>
        <v>Retail &amp; Consumer</v>
      </c>
      <c r="B460" s="5" t="str">
        <f aca="false">01_Data!C460</f>
        <v>2025-06</v>
      </c>
      <c r="C460" s="5" t="str">
        <f aca="false">01_Data!D460</f>
        <v>FY25</v>
      </c>
      <c r="D460" s="7" t="n">
        <f aca="false">01_Data!E460</f>
        <v>415421</v>
      </c>
      <c r="E460" s="7" t="n">
        <f aca="false">01_Data!F460</f>
        <v>436397</v>
      </c>
      <c r="F460" s="7" t="n">
        <f aca="false">E460-D460</f>
        <v>20976</v>
      </c>
      <c r="G460" s="8" t="n">
        <f aca="false">IFERROR(F460/D460,0)</f>
        <v>0.0504933549339104</v>
      </c>
      <c r="H460" s="7" t="n">
        <f aca="false">01_Data!G460</f>
        <v>225910</v>
      </c>
      <c r="I460" s="7" t="n">
        <f aca="false">01_Data!H460</f>
        <v>248421</v>
      </c>
      <c r="J460" s="7" t="n">
        <f aca="false">H460-I460</f>
        <v>-22511</v>
      </c>
      <c r="K460" s="8" t="n">
        <f aca="false">IFERROR(J460/H460,0)</f>
        <v>-0.0996458766765526</v>
      </c>
      <c r="L460" s="7" t="n">
        <f aca="false">D460-H460</f>
        <v>189511</v>
      </c>
      <c r="M460" s="7" t="n">
        <f aca="false">E460-I460</f>
        <v>187976</v>
      </c>
      <c r="N460" s="7" t="n">
        <f aca="false">IFERROR(L460/D460,0)</f>
        <v>0.456190226300548</v>
      </c>
      <c r="O460" s="7" t="n">
        <f aca="false">IFERROR(M460/E460,0)</f>
        <v>0.430745399258015</v>
      </c>
      <c r="P460" s="7" t="n">
        <f aca="false">01_Data!I460+01_Data!K460+01_Data!M460+01_Data!O460+01_Data!Q460+01_Data!S460+01_Data!U460</f>
        <v>117042</v>
      </c>
      <c r="Q460" s="7" t="n">
        <f aca="false">01_Data!J460+01_Data!L460+01_Data!N460+01_Data!P460+01_Data!R460+01_Data!T460+01_Data!V460</f>
        <v>116242</v>
      </c>
      <c r="R460" s="7" t="n">
        <f aca="false">P460-Q460</f>
        <v>800</v>
      </c>
      <c r="S460" s="7" t="n">
        <f aca="false">L460-P460</f>
        <v>72469</v>
      </c>
      <c r="T460" s="7" t="n">
        <f aca="false">M460-Q460</f>
        <v>71734</v>
      </c>
      <c r="U460" s="7" t="n">
        <f aca="false">T460-S460</f>
        <v>-735</v>
      </c>
      <c r="V460" s="8" t="n">
        <f aca="false">IFERROR(U460/S460,0)</f>
        <v>-0.01014226772827</v>
      </c>
      <c r="W460" s="5" t="str">
        <f aca="false">IF(V460&lt;-0.1,"ADVERSE &gt;10%","")</f>
        <v/>
      </c>
    </row>
    <row r="461" customFormat="false" ht="15" hidden="false" customHeight="false" outlineLevel="0" collapsed="false">
      <c r="A461" s="5" t="str">
        <f aca="false">01_Data!A461</f>
        <v>Retail &amp; Consumer</v>
      </c>
      <c r="B461" s="5" t="str">
        <f aca="false">01_Data!C461</f>
        <v>2025-07</v>
      </c>
      <c r="C461" s="5" t="str">
        <f aca="false">01_Data!D461</f>
        <v>FY25</v>
      </c>
      <c r="D461" s="7" t="n">
        <f aca="false">01_Data!E461</f>
        <v>470192</v>
      </c>
      <c r="E461" s="7" t="n">
        <f aca="false">01_Data!F461</f>
        <v>448780</v>
      </c>
      <c r="F461" s="7" t="n">
        <f aca="false">E461-D461</f>
        <v>-21412</v>
      </c>
      <c r="G461" s="8" t="n">
        <f aca="false">IFERROR(F461/D461,0)</f>
        <v>-0.0455388437064008</v>
      </c>
      <c r="H461" s="7" t="n">
        <f aca="false">01_Data!G461</f>
        <v>259000</v>
      </c>
      <c r="I461" s="7" t="n">
        <f aca="false">01_Data!H461</f>
        <v>251674</v>
      </c>
      <c r="J461" s="7" t="n">
        <f aca="false">H461-I461</f>
        <v>7326</v>
      </c>
      <c r="K461" s="8" t="n">
        <f aca="false">IFERROR(J461/H461,0)</f>
        <v>0.0282857142857143</v>
      </c>
      <c r="L461" s="7" t="n">
        <f aca="false">D461-H461</f>
        <v>211192</v>
      </c>
      <c r="M461" s="7" t="n">
        <f aca="false">E461-I461</f>
        <v>197106</v>
      </c>
      <c r="N461" s="7" t="n">
        <f aca="false">IFERROR(L461/D461,0)</f>
        <v>0.449161193725117</v>
      </c>
      <c r="O461" s="7" t="n">
        <f aca="false">IFERROR(M461/E461,0)</f>
        <v>0.439204064352244</v>
      </c>
      <c r="P461" s="7" t="n">
        <f aca="false">01_Data!I461+01_Data!K461+01_Data!M461+01_Data!O461+01_Data!Q461+01_Data!S461+01_Data!U461</f>
        <v>122366</v>
      </c>
      <c r="Q461" s="7" t="n">
        <f aca="false">01_Data!J461+01_Data!L461+01_Data!N461+01_Data!P461+01_Data!R461+01_Data!T461+01_Data!V461</f>
        <v>122773</v>
      </c>
      <c r="R461" s="7" t="n">
        <f aca="false">P461-Q461</f>
        <v>-407</v>
      </c>
      <c r="S461" s="7" t="n">
        <f aca="false">L461-P461</f>
        <v>88826</v>
      </c>
      <c r="T461" s="7" t="n">
        <f aca="false">M461-Q461</f>
        <v>74333</v>
      </c>
      <c r="U461" s="7" t="n">
        <f aca="false">T461-S461</f>
        <v>-14493</v>
      </c>
      <c r="V461" s="8" t="n">
        <f aca="false">IFERROR(U461/S461,0)</f>
        <v>-0.163161686893477</v>
      </c>
      <c r="W461" s="5" t="str">
        <f aca="false">IF(V461&lt;-0.1,"ADVERSE &gt;10%","")</f>
        <v>ADVERSE &gt;10%</v>
      </c>
    </row>
    <row r="462" customFormat="false" ht="15" hidden="false" customHeight="false" outlineLevel="0" collapsed="false">
      <c r="A462" s="5" t="str">
        <f aca="false">01_Data!A462</f>
        <v>Retail &amp; Consumer</v>
      </c>
      <c r="B462" s="5" t="str">
        <f aca="false">01_Data!C462</f>
        <v>2025-08</v>
      </c>
      <c r="C462" s="5" t="str">
        <f aca="false">01_Data!D462</f>
        <v>FY25</v>
      </c>
      <c r="D462" s="7" t="n">
        <f aca="false">01_Data!E462</f>
        <v>475812</v>
      </c>
      <c r="E462" s="7" t="n">
        <f aca="false">01_Data!F462</f>
        <v>451680</v>
      </c>
      <c r="F462" s="7" t="n">
        <f aca="false">E462-D462</f>
        <v>-24132</v>
      </c>
      <c r="G462" s="8" t="n">
        <f aca="false">IFERROR(F462/D462,0)</f>
        <v>-0.0507175102771683</v>
      </c>
      <c r="H462" s="7" t="n">
        <f aca="false">01_Data!G462</f>
        <v>256941</v>
      </c>
      <c r="I462" s="7" t="n">
        <f aca="false">01_Data!H462</f>
        <v>241665</v>
      </c>
      <c r="J462" s="7" t="n">
        <f aca="false">H462-I462</f>
        <v>15276</v>
      </c>
      <c r="K462" s="8" t="n">
        <f aca="false">IFERROR(J462/H462,0)</f>
        <v>0.0594533375366329</v>
      </c>
      <c r="L462" s="7" t="n">
        <f aca="false">D462-H462</f>
        <v>218871</v>
      </c>
      <c r="M462" s="7" t="n">
        <f aca="false">E462-I462</f>
        <v>210015</v>
      </c>
      <c r="N462" s="7" t="n">
        <f aca="false">IFERROR(L462/D462,0)</f>
        <v>0.459994703790573</v>
      </c>
      <c r="O462" s="7" t="n">
        <f aca="false">IFERROR(M462/E462,0)</f>
        <v>0.464964133900106</v>
      </c>
      <c r="P462" s="7" t="n">
        <f aca="false">01_Data!I462+01_Data!K462+01_Data!M462+01_Data!O462+01_Data!Q462+01_Data!S462+01_Data!U462</f>
        <v>136224</v>
      </c>
      <c r="Q462" s="7" t="n">
        <f aca="false">01_Data!J462+01_Data!L462+01_Data!N462+01_Data!P462+01_Data!R462+01_Data!T462+01_Data!V462</f>
        <v>139481</v>
      </c>
      <c r="R462" s="7" t="n">
        <f aca="false">P462-Q462</f>
        <v>-3257</v>
      </c>
      <c r="S462" s="7" t="n">
        <f aca="false">L462-P462</f>
        <v>82647</v>
      </c>
      <c r="T462" s="7" t="n">
        <f aca="false">M462-Q462</f>
        <v>70534</v>
      </c>
      <c r="U462" s="7" t="n">
        <f aca="false">T462-S462</f>
        <v>-12113</v>
      </c>
      <c r="V462" s="8" t="n">
        <f aca="false">IFERROR(U462/S462,0)</f>
        <v>-0.146563093639213</v>
      </c>
      <c r="W462" s="5" t="str">
        <f aca="false">IF(V462&lt;-0.1,"ADVERSE &gt;10%","")</f>
        <v>ADVERSE &gt;10%</v>
      </c>
    </row>
    <row r="463" customFormat="false" ht="15" hidden="false" customHeight="false" outlineLevel="0" collapsed="false">
      <c r="A463" s="5" t="str">
        <f aca="false">01_Data!A463</f>
        <v>Retail &amp; Consumer</v>
      </c>
      <c r="B463" s="5" t="str">
        <f aca="false">01_Data!C463</f>
        <v>2025-09</v>
      </c>
      <c r="C463" s="5" t="str">
        <f aca="false">01_Data!D463</f>
        <v>FY25</v>
      </c>
      <c r="D463" s="7" t="n">
        <f aca="false">01_Data!E463</f>
        <v>471099</v>
      </c>
      <c r="E463" s="7" t="n">
        <f aca="false">01_Data!F463</f>
        <v>489419</v>
      </c>
      <c r="F463" s="7" t="n">
        <f aca="false">E463-D463</f>
        <v>18320</v>
      </c>
      <c r="G463" s="8" t="n">
        <f aca="false">IFERROR(F463/D463,0)</f>
        <v>0.0388877921625815</v>
      </c>
      <c r="H463" s="7" t="n">
        <f aca="false">01_Data!G463</f>
        <v>262865</v>
      </c>
      <c r="I463" s="7" t="n">
        <f aca="false">01_Data!H463</f>
        <v>283674</v>
      </c>
      <c r="J463" s="7" t="n">
        <f aca="false">H463-I463</f>
        <v>-20809</v>
      </c>
      <c r="K463" s="8" t="n">
        <f aca="false">IFERROR(J463/H463,0)</f>
        <v>-0.0791623076484127</v>
      </c>
      <c r="L463" s="7" t="n">
        <f aca="false">D463-H463</f>
        <v>208234</v>
      </c>
      <c r="M463" s="7" t="n">
        <f aca="false">E463-I463</f>
        <v>205745</v>
      </c>
      <c r="N463" s="7" t="n">
        <f aca="false">IFERROR(L463/D463,0)</f>
        <v>0.442017495261081</v>
      </c>
      <c r="O463" s="7" t="n">
        <f aca="false">IFERROR(M463/E463,0)</f>
        <v>0.42038621304036</v>
      </c>
      <c r="P463" s="7" t="n">
        <f aca="false">01_Data!I463+01_Data!K463+01_Data!M463+01_Data!O463+01_Data!Q463+01_Data!S463+01_Data!U463</f>
        <v>125125</v>
      </c>
      <c r="Q463" s="7" t="n">
        <f aca="false">01_Data!J463+01_Data!L463+01_Data!N463+01_Data!P463+01_Data!R463+01_Data!T463+01_Data!V463</f>
        <v>127351</v>
      </c>
      <c r="R463" s="7" t="n">
        <f aca="false">P463-Q463</f>
        <v>-2226</v>
      </c>
      <c r="S463" s="7" t="n">
        <f aca="false">L463-P463</f>
        <v>83109</v>
      </c>
      <c r="T463" s="7" t="n">
        <f aca="false">M463-Q463</f>
        <v>78394</v>
      </c>
      <c r="U463" s="7" t="n">
        <f aca="false">T463-S463</f>
        <v>-4715</v>
      </c>
      <c r="V463" s="8" t="n">
        <f aca="false">IFERROR(U463/S463,0)</f>
        <v>-0.0567327244943388</v>
      </c>
      <c r="W463" s="5" t="str">
        <f aca="false">IF(V463&lt;-0.1,"ADVERSE &gt;10%","")</f>
        <v/>
      </c>
    </row>
    <row r="464" customFormat="false" ht="15" hidden="false" customHeight="false" outlineLevel="0" collapsed="false">
      <c r="A464" s="5" t="str">
        <f aca="false">01_Data!A464</f>
        <v>Retail &amp; Consumer</v>
      </c>
      <c r="B464" s="5" t="str">
        <f aca="false">01_Data!C464</f>
        <v>2025-10</v>
      </c>
      <c r="C464" s="5" t="str">
        <f aca="false">01_Data!D464</f>
        <v>FY25</v>
      </c>
      <c r="D464" s="7" t="n">
        <f aca="false">01_Data!E464</f>
        <v>461049</v>
      </c>
      <c r="E464" s="7" t="n">
        <f aca="false">01_Data!F464</f>
        <v>459071</v>
      </c>
      <c r="F464" s="7" t="n">
        <f aca="false">E464-D464</f>
        <v>-1978</v>
      </c>
      <c r="G464" s="8" t="n">
        <f aca="false">IFERROR(F464/D464,0)</f>
        <v>-0.00429021644120256</v>
      </c>
      <c r="H464" s="7" t="n">
        <f aca="false">01_Data!G464</f>
        <v>250918</v>
      </c>
      <c r="I464" s="7" t="n">
        <f aca="false">01_Data!H464</f>
        <v>257478</v>
      </c>
      <c r="J464" s="7" t="n">
        <f aca="false">H464-I464</f>
        <v>-6560</v>
      </c>
      <c r="K464" s="8" t="n">
        <f aca="false">IFERROR(J464/H464,0)</f>
        <v>-0.0261439992348098</v>
      </c>
      <c r="L464" s="7" t="n">
        <f aca="false">D464-H464</f>
        <v>210131</v>
      </c>
      <c r="M464" s="7" t="n">
        <f aca="false">E464-I464</f>
        <v>201593</v>
      </c>
      <c r="N464" s="7" t="n">
        <f aca="false">IFERROR(L464/D464,0)</f>
        <v>0.455767174421808</v>
      </c>
      <c r="O464" s="7" t="n">
        <f aca="false">IFERROR(M464/E464,0)</f>
        <v>0.439132508914743</v>
      </c>
      <c r="P464" s="7" t="n">
        <f aca="false">01_Data!I464+01_Data!K464+01_Data!M464+01_Data!O464+01_Data!Q464+01_Data!S464+01_Data!U464</f>
        <v>127834</v>
      </c>
      <c r="Q464" s="7" t="n">
        <f aca="false">01_Data!J464+01_Data!L464+01_Data!N464+01_Data!P464+01_Data!R464+01_Data!T464+01_Data!V464</f>
        <v>131519</v>
      </c>
      <c r="R464" s="7" t="n">
        <f aca="false">P464-Q464</f>
        <v>-3685</v>
      </c>
      <c r="S464" s="7" t="n">
        <f aca="false">L464-P464</f>
        <v>82297</v>
      </c>
      <c r="T464" s="7" t="n">
        <f aca="false">M464-Q464</f>
        <v>70074</v>
      </c>
      <c r="U464" s="7" t="n">
        <f aca="false">T464-S464</f>
        <v>-12223</v>
      </c>
      <c r="V464" s="8" t="n">
        <f aca="false">IFERROR(U464/S464,0)</f>
        <v>-0.148523032431316</v>
      </c>
      <c r="W464" s="5" t="str">
        <f aca="false">IF(V464&lt;-0.1,"ADVERSE &gt;10%","")</f>
        <v>ADVERSE &gt;10%</v>
      </c>
    </row>
    <row r="465" customFormat="false" ht="15" hidden="false" customHeight="false" outlineLevel="0" collapsed="false">
      <c r="A465" s="5" t="str">
        <f aca="false">01_Data!A465</f>
        <v>Retail &amp; Consumer</v>
      </c>
      <c r="B465" s="5" t="str">
        <f aca="false">01_Data!C465</f>
        <v>2025-11</v>
      </c>
      <c r="C465" s="5" t="str">
        <f aca="false">01_Data!D465</f>
        <v>FY25</v>
      </c>
      <c r="D465" s="7" t="n">
        <f aca="false">01_Data!E465</f>
        <v>435140</v>
      </c>
      <c r="E465" s="7" t="n">
        <f aca="false">01_Data!F465</f>
        <v>456505</v>
      </c>
      <c r="F465" s="7" t="n">
        <f aca="false">E465-D465</f>
        <v>21365</v>
      </c>
      <c r="G465" s="8" t="n">
        <f aca="false">IFERROR(F465/D465,0)</f>
        <v>0.0490991405065037</v>
      </c>
      <c r="H465" s="7" t="n">
        <f aca="false">01_Data!G465</f>
        <v>249293</v>
      </c>
      <c r="I465" s="7" t="n">
        <f aca="false">01_Data!H465</f>
        <v>253908</v>
      </c>
      <c r="J465" s="7" t="n">
        <f aca="false">H465-I465</f>
        <v>-4615</v>
      </c>
      <c r="K465" s="8" t="n">
        <f aca="false">IFERROR(J465/H465,0)</f>
        <v>-0.0185123529340976</v>
      </c>
      <c r="L465" s="7" t="n">
        <f aca="false">D465-H465</f>
        <v>185847</v>
      </c>
      <c r="M465" s="7" t="n">
        <f aca="false">E465-I465</f>
        <v>202597</v>
      </c>
      <c r="N465" s="7" t="n">
        <f aca="false">IFERROR(L465/D465,0)</f>
        <v>0.427097026244427</v>
      </c>
      <c r="O465" s="7" t="n">
        <f aca="false">IFERROR(M465/E465,0)</f>
        <v>0.443800177435077</v>
      </c>
      <c r="P465" s="7" t="n">
        <f aca="false">01_Data!I465+01_Data!K465+01_Data!M465+01_Data!O465+01_Data!Q465+01_Data!S465+01_Data!U465</f>
        <v>115106</v>
      </c>
      <c r="Q465" s="7" t="n">
        <f aca="false">01_Data!J465+01_Data!L465+01_Data!N465+01_Data!P465+01_Data!R465+01_Data!T465+01_Data!V465</f>
        <v>115475</v>
      </c>
      <c r="R465" s="7" t="n">
        <f aca="false">P465-Q465</f>
        <v>-369</v>
      </c>
      <c r="S465" s="7" t="n">
        <f aca="false">L465-P465</f>
        <v>70741</v>
      </c>
      <c r="T465" s="7" t="n">
        <f aca="false">M465-Q465</f>
        <v>87122</v>
      </c>
      <c r="U465" s="7" t="n">
        <f aca="false">T465-S465</f>
        <v>16381</v>
      </c>
      <c r="V465" s="8" t="n">
        <f aca="false">IFERROR(U465/S465,0)</f>
        <v>0.231563025685246</v>
      </c>
      <c r="W465" s="5" t="str">
        <f aca="false">IF(V465&lt;-0.1,"ADVERSE &gt;10%","")</f>
        <v/>
      </c>
    </row>
    <row r="466" customFormat="false" ht="15" hidden="false" customHeight="false" outlineLevel="0" collapsed="false">
      <c r="A466" s="5" t="str">
        <f aca="false">01_Data!A466</f>
        <v>Retail &amp; Consumer</v>
      </c>
      <c r="B466" s="5" t="str">
        <f aca="false">01_Data!C466</f>
        <v>2025-12</v>
      </c>
      <c r="C466" s="5" t="str">
        <f aca="false">01_Data!D466</f>
        <v>FY25</v>
      </c>
      <c r="D466" s="7" t="n">
        <f aca="false">01_Data!E466</f>
        <v>515164</v>
      </c>
      <c r="E466" s="7" t="n">
        <f aca="false">01_Data!F466</f>
        <v>496036</v>
      </c>
      <c r="F466" s="7" t="n">
        <f aca="false">E466-D466</f>
        <v>-19128</v>
      </c>
      <c r="G466" s="8" t="n">
        <f aca="false">IFERROR(F466/D466,0)</f>
        <v>-0.0371299236747909</v>
      </c>
      <c r="H466" s="7" t="n">
        <f aca="false">01_Data!G466</f>
        <v>293323</v>
      </c>
      <c r="I466" s="7" t="n">
        <f aca="false">01_Data!H466</f>
        <v>285630</v>
      </c>
      <c r="J466" s="7" t="n">
        <f aca="false">H466-I466</f>
        <v>7693</v>
      </c>
      <c r="K466" s="8" t="n">
        <f aca="false">IFERROR(J466/H466,0)</f>
        <v>0.0262270602714414</v>
      </c>
      <c r="L466" s="7" t="n">
        <f aca="false">D466-H466</f>
        <v>221841</v>
      </c>
      <c r="M466" s="7" t="n">
        <f aca="false">E466-I466</f>
        <v>210406</v>
      </c>
      <c r="N466" s="7" t="n">
        <f aca="false">IFERROR(L466/D466,0)</f>
        <v>0.430622093158683</v>
      </c>
      <c r="O466" s="7" t="n">
        <f aca="false">IFERROR(M466/E466,0)</f>
        <v>0.424174858276415</v>
      </c>
      <c r="P466" s="7" t="n">
        <f aca="false">01_Data!I466+01_Data!K466+01_Data!M466+01_Data!O466+01_Data!Q466+01_Data!S466+01_Data!U466</f>
        <v>146071</v>
      </c>
      <c r="Q466" s="7" t="n">
        <f aca="false">01_Data!J466+01_Data!L466+01_Data!N466+01_Data!P466+01_Data!R466+01_Data!T466+01_Data!V466</f>
        <v>152154</v>
      </c>
      <c r="R466" s="7" t="n">
        <f aca="false">P466-Q466</f>
        <v>-6083</v>
      </c>
      <c r="S466" s="7" t="n">
        <f aca="false">L466-P466</f>
        <v>75770</v>
      </c>
      <c r="T466" s="7" t="n">
        <f aca="false">M466-Q466</f>
        <v>58252</v>
      </c>
      <c r="U466" s="7" t="n">
        <f aca="false">T466-S466</f>
        <v>-17518</v>
      </c>
      <c r="V466" s="8" t="n">
        <f aca="false">IFERROR(U466/S466,0)</f>
        <v>-0.231199683251947</v>
      </c>
      <c r="W466" s="5" t="str">
        <f aca="false">IF(V466&lt;-0.1,"ADVERSE &gt;10%","")</f>
        <v>ADVERSE &gt;10%</v>
      </c>
    </row>
    <row r="467" customFormat="false" ht="15" hidden="false" customHeight="false" outlineLevel="0" collapsed="false">
      <c r="A467" s="5" t="str">
        <f aca="false">01_Data!A467</f>
        <v>Retail &amp; Consumer</v>
      </c>
      <c r="B467" s="5" t="str">
        <f aca="false">01_Data!C467</f>
        <v>2026-01</v>
      </c>
      <c r="C467" s="5" t="str">
        <f aca="false">01_Data!D467</f>
        <v>FY25</v>
      </c>
      <c r="D467" s="7" t="n">
        <f aca="false">01_Data!E467</f>
        <v>440643</v>
      </c>
      <c r="E467" s="7" t="n">
        <f aca="false">01_Data!F467</f>
        <v>461257</v>
      </c>
      <c r="F467" s="7" t="n">
        <f aca="false">E467-D467</f>
        <v>20614</v>
      </c>
      <c r="G467" s="8" t="n">
        <f aca="false">IFERROR(F467/D467,0)</f>
        <v>0.0467816350197325</v>
      </c>
      <c r="H467" s="7" t="n">
        <f aca="false">01_Data!G467</f>
        <v>238198</v>
      </c>
      <c r="I467" s="7" t="n">
        <f aca="false">01_Data!H467</f>
        <v>251961</v>
      </c>
      <c r="J467" s="7" t="n">
        <f aca="false">H467-I467</f>
        <v>-13763</v>
      </c>
      <c r="K467" s="8" t="n">
        <f aca="false">IFERROR(J467/H467,0)</f>
        <v>-0.0577796622977523</v>
      </c>
      <c r="L467" s="7" t="n">
        <f aca="false">D467-H467</f>
        <v>202445</v>
      </c>
      <c r="M467" s="7" t="n">
        <f aca="false">E467-I467</f>
        <v>209296</v>
      </c>
      <c r="N467" s="7" t="n">
        <f aca="false">IFERROR(L467/D467,0)</f>
        <v>0.459430877149983</v>
      </c>
      <c r="O467" s="7" t="n">
        <f aca="false">IFERROR(M467/E467,0)</f>
        <v>0.45375137938286</v>
      </c>
      <c r="P467" s="7" t="n">
        <f aca="false">01_Data!I467+01_Data!K467+01_Data!M467+01_Data!O467+01_Data!Q467+01_Data!S467+01_Data!U467</f>
        <v>114815</v>
      </c>
      <c r="Q467" s="7" t="n">
        <f aca="false">01_Data!J467+01_Data!L467+01_Data!N467+01_Data!P467+01_Data!R467+01_Data!T467+01_Data!V467</f>
        <v>115663</v>
      </c>
      <c r="R467" s="7" t="n">
        <f aca="false">P467-Q467</f>
        <v>-848</v>
      </c>
      <c r="S467" s="7" t="n">
        <f aca="false">L467-P467</f>
        <v>87630</v>
      </c>
      <c r="T467" s="7" t="n">
        <f aca="false">M467-Q467</f>
        <v>93633</v>
      </c>
      <c r="U467" s="7" t="n">
        <f aca="false">T467-S467</f>
        <v>6003</v>
      </c>
      <c r="V467" s="8" t="n">
        <f aca="false">IFERROR(U467/S467,0)</f>
        <v>0.068503937007874</v>
      </c>
      <c r="W467" s="5" t="str">
        <f aca="false">IF(V467&lt;-0.1,"ADVERSE &gt;10%","")</f>
        <v/>
      </c>
    </row>
    <row r="468" customFormat="false" ht="15" hidden="false" customHeight="false" outlineLevel="0" collapsed="false">
      <c r="A468" s="5" t="str">
        <f aca="false">01_Data!A468</f>
        <v>Retail &amp; Consumer</v>
      </c>
      <c r="B468" s="5" t="str">
        <f aca="false">01_Data!C468</f>
        <v>2026-02</v>
      </c>
      <c r="C468" s="5" t="str">
        <f aca="false">01_Data!D468</f>
        <v>FY25</v>
      </c>
      <c r="D468" s="7" t="n">
        <f aca="false">01_Data!E468</f>
        <v>453185</v>
      </c>
      <c r="E468" s="7" t="n">
        <f aca="false">01_Data!F468</f>
        <v>465713</v>
      </c>
      <c r="F468" s="7" t="n">
        <f aca="false">E468-D468</f>
        <v>12528</v>
      </c>
      <c r="G468" s="8" t="n">
        <f aca="false">IFERROR(F468/D468,0)</f>
        <v>0.0276443395081479</v>
      </c>
      <c r="H468" s="7" t="n">
        <f aca="false">01_Data!G468</f>
        <v>256351</v>
      </c>
      <c r="I468" s="7" t="n">
        <f aca="false">01_Data!H468</f>
        <v>276051</v>
      </c>
      <c r="J468" s="7" t="n">
        <f aca="false">H468-I468</f>
        <v>-19700</v>
      </c>
      <c r="K468" s="8" t="n">
        <f aca="false">IFERROR(J468/H468,0)</f>
        <v>-0.0768477595172244</v>
      </c>
      <c r="L468" s="7" t="n">
        <f aca="false">D468-H468</f>
        <v>196834</v>
      </c>
      <c r="M468" s="7" t="n">
        <f aca="false">E468-I468</f>
        <v>189662</v>
      </c>
      <c r="N468" s="7" t="n">
        <f aca="false">IFERROR(L468/D468,0)</f>
        <v>0.434334763948498</v>
      </c>
      <c r="O468" s="7" t="n">
        <f aca="false">IFERROR(M468/E468,0)</f>
        <v>0.407250817563607</v>
      </c>
      <c r="P468" s="7" t="n">
        <f aca="false">01_Data!I468+01_Data!K468+01_Data!M468+01_Data!O468+01_Data!Q468+01_Data!S468+01_Data!U468</f>
        <v>123111</v>
      </c>
      <c r="Q468" s="7" t="n">
        <f aca="false">01_Data!J468+01_Data!L468+01_Data!N468+01_Data!P468+01_Data!R468+01_Data!T468+01_Data!V468</f>
        <v>127943</v>
      </c>
      <c r="R468" s="7" t="n">
        <f aca="false">P468-Q468</f>
        <v>-4832</v>
      </c>
      <c r="S468" s="7" t="n">
        <f aca="false">L468-P468</f>
        <v>73723</v>
      </c>
      <c r="T468" s="7" t="n">
        <f aca="false">M468-Q468</f>
        <v>61719</v>
      </c>
      <c r="U468" s="7" t="n">
        <f aca="false">T468-S468</f>
        <v>-12004</v>
      </c>
      <c r="V468" s="8" t="n">
        <f aca="false">IFERROR(U468/S468,0)</f>
        <v>-0.162825712464224</v>
      </c>
      <c r="W468" s="5" t="str">
        <f aca="false">IF(V468&lt;-0.1,"ADVERSE &gt;10%","")</f>
        <v>ADVERSE &gt;10%</v>
      </c>
    </row>
    <row r="469" customFormat="false" ht="15" hidden="false" customHeight="false" outlineLevel="0" collapsed="false">
      <c r="A469" s="5" t="str">
        <f aca="false">01_Data!A469</f>
        <v>Retail &amp; Consumer</v>
      </c>
      <c r="B469" s="5" t="str">
        <f aca="false">01_Data!C469</f>
        <v>2026-03</v>
      </c>
      <c r="C469" s="5" t="str">
        <f aca="false">01_Data!D469</f>
        <v>FY25</v>
      </c>
      <c r="D469" s="7" t="n">
        <f aca="false">01_Data!E469</f>
        <v>510654</v>
      </c>
      <c r="E469" s="7" t="n">
        <f aca="false">01_Data!F469</f>
        <v>511092</v>
      </c>
      <c r="F469" s="7" t="n">
        <f aca="false">E469-D469</f>
        <v>438</v>
      </c>
      <c r="G469" s="8" t="n">
        <f aca="false">IFERROR(F469/D469,0)</f>
        <v>0.000857723624998531</v>
      </c>
      <c r="H469" s="7" t="n">
        <f aca="false">01_Data!G469</f>
        <v>302543</v>
      </c>
      <c r="I469" s="7" t="n">
        <f aca="false">01_Data!H469</f>
        <v>317168</v>
      </c>
      <c r="J469" s="7" t="n">
        <f aca="false">H469-I469</f>
        <v>-14625</v>
      </c>
      <c r="K469" s="8" t="n">
        <f aca="false">IFERROR(J469/H469,0)</f>
        <v>-0.0483402359334045</v>
      </c>
      <c r="L469" s="7" t="n">
        <f aca="false">D469-H469</f>
        <v>208111</v>
      </c>
      <c r="M469" s="7" t="n">
        <f aca="false">E469-I469</f>
        <v>193924</v>
      </c>
      <c r="N469" s="7" t="n">
        <f aca="false">IFERROR(L469/D469,0)</f>
        <v>0.407538176534405</v>
      </c>
      <c r="O469" s="7" t="n">
        <f aca="false">IFERROR(M469/E469,0)</f>
        <v>0.379430709148255</v>
      </c>
      <c r="P469" s="7" t="n">
        <f aca="false">01_Data!I469+01_Data!K469+01_Data!M469+01_Data!O469+01_Data!Q469+01_Data!S469+01_Data!U469</f>
        <v>140950</v>
      </c>
      <c r="Q469" s="7" t="n">
        <f aca="false">01_Data!J469+01_Data!L469+01_Data!N469+01_Data!P469+01_Data!R469+01_Data!T469+01_Data!V469</f>
        <v>146984</v>
      </c>
      <c r="R469" s="7" t="n">
        <f aca="false">P469-Q469</f>
        <v>-6034</v>
      </c>
      <c r="S469" s="7" t="n">
        <f aca="false">L469-P469</f>
        <v>67161</v>
      </c>
      <c r="T469" s="7" t="n">
        <f aca="false">M469-Q469</f>
        <v>46940</v>
      </c>
      <c r="U469" s="7" t="n">
        <f aca="false">T469-S469</f>
        <v>-20221</v>
      </c>
      <c r="V469" s="8" t="n">
        <f aca="false">IFERROR(U469/S469,0)</f>
        <v>-0.301082473459299</v>
      </c>
      <c r="W469" s="5" t="str">
        <f aca="false">IF(V469&lt;-0.1,"ADVERSE &gt;10%","")</f>
        <v>ADVERSE &gt;10%</v>
      </c>
    </row>
    <row r="470" customFormat="false" ht="15" hidden="false" customHeight="false" outlineLevel="0" collapsed="false">
      <c r="A470" s="5" t="str">
        <f aca="false">01_Data!A470</f>
        <v>Retail &amp; Consumer</v>
      </c>
      <c r="B470" s="5" t="str">
        <f aca="false">01_Data!C470</f>
        <v>2023-04</v>
      </c>
      <c r="C470" s="5" t="str">
        <f aca="false">01_Data!D470</f>
        <v>FY23</v>
      </c>
      <c r="D470" s="7" t="n">
        <f aca="false">01_Data!E470</f>
        <v>237711</v>
      </c>
      <c r="E470" s="7" t="n">
        <f aca="false">01_Data!F470</f>
        <v>225510</v>
      </c>
      <c r="F470" s="7" t="n">
        <f aca="false">E470-D470</f>
        <v>-12201</v>
      </c>
      <c r="G470" s="8" t="n">
        <f aca="false">IFERROR(F470/D470,0)</f>
        <v>-0.0513270315635372</v>
      </c>
      <c r="H470" s="7" t="n">
        <f aca="false">01_Data!G470</f>
        <v>140107</v>
      </c>
      <c r="I470" s="7" t="n">
        <f aca="false">01_Data!H470</f>
        <v>138332</v>
      </c>
      <c r="J470" s="7" t="n">
        <f aca="false">H470-I470</f>
        <v>1775</v>
      </c>
      <c r="K470" s="8" t="n">
        <f aca="false">IFERROR(J470/H470,0)</f>
        <v>0.0126688887778626</v>
      </c>
      <c r="L470" s="7" t="n">
        <f aca="false">D470-H470</f>
        <v>97604</v>
      </c>
      <c r="M470" s="7" t="n">
        <f aca="false">E470-I470</f>
        <v>87178</v>
      </c>
      <c r="N470" s="7" t="n">
        <f aca="false">IFERROR(L470/D470,0)</f>
        <v>0.410599425352634</v>
      </c>
      <c r="O470" s="7" t="n">
        <f aca="false">IFERROR(M470/E470,0)</f>
        <v>0.386581526318123</v>
      </c>
      <c r="P470" s="7" t="n">
        <f aca="false">01_Data!I470+01_Data!K470+01_Data!M470+01_Data!O470+01_Data!Q470+01_Data!S470+01_Data!U470</f>
        <v>63426</v>
      </c>
      <c r="Q470" s="7" t="n">
        <f aca="false">01_Data!J470+01_Data!L470+01_Data!N470+01_Data!P470+01_Data!R470+01_Data!T470+01_Data!V470</f>
        <v>67135</v>
      </c>
      <c r="R470" s="7" t="n">
        <f aca="false">P470-Q470</f>
        <v>-3709</v>
      </c>
      <c r="S470" s="7" t="n">
        <f aca="false">L470-P470</f>
        <v>34178</v>
      </c>
      <c r="T470" s="7" t="n">
        <f aca="false">M470-Q470</f>
        <v>20043</v>
      </c>
      <c r="U470" s="7" t="n">
        <f aca="false">T470-S470</f>
        <v>-14135</v>
      </c>
      <c r="V470" s="8" t="n">
        <f aca="false">IFERROR(U470/S470,0)</f>
        <v>-0.413570132833987</v>
      </c>
      <c r="W470" s="5" t="str">
        <f aca="false">IF(V470&lt;-0.1,"ADVERSE &gt;10%","")</f>
        <v>ADVERSE &gt;10%</v>
      </c>
    </row>
    <row r="471" customFormat="false" ht="15" hidden="false" customHeight="false" outlineLevel="0" collapsed="false">
      <c r="A471" s="5" t="str">
        <f aca="false">01_Data!A471</f>
        <v>Retail &amp; Consumer</v>
      </c>
      <c r="B471" s="5" t="str">
        <f aca="false">01_Data!C471</f>
        <v>2023-05</v>
      </c>
      <c r="C471" s="5" t="str">
        <f aca="false">01_Data!D471</f>
        <v>FY23</v>
      </c>
      <c r="D471" s="7" t="n">
        <f aca="false">01_Data!E471</f>
        <v>216093</v>
      </c>
      <c r="E471" s="7" t="n">
        <f aca="false">01_Data!F471</f>
        <v>226610</v>
      </c>
      <c r="F471" s="7" t="n">
        <f aca="false">E471-D471</f>
        <v>10517</v>
      </c>
      <c r="G471" s="8" t="n">
        <f aca="false">IFERROR(F471/D471,0)</f>
        <v>0.0486688601666875</v>
      </c>
      <c r="H471" s="7" t="n">
        <f aca="false">01_Data!G471</f>
        <v>128541</v>
      </c>
      <c r="I471" s="7" t="n">
        <f aca="false">01_Data!H471</f>
        <v>133095</v>
      </c>
      <c r="J471" s="7" t="n">
        <f aca="false">H471-I471</f>
        <v>-4554</v>
      </c>
      <c r="K471" s="8" t="n">
        <f aca="false">IFERROR(J471/H471,0)</f>
        <v>-0.0354283847177165</v>
      </c>
      <c r="L471" s="7" t="n">
        <f aca="false">D471-H471</f>
        <v>87552</v>
      </c>
      <c r="M471" s="7" t="n">
        <f aca="false">E471-I471</f>
        <v>93515</v>
      </c>
      <c r="N471" s="7" t="n">
        <f aca="false">IFERROR(L471/D471,0)</f>
        <v>0.405158889922395</v>
      </c>
      <c r="O471" s="7" t="n">
        <f aca="false">IFERROR(M471/E471,0)</f>
        <v>0.41266934380654</v>
      </c>
      <c r="P471" s="7" t="n">
        <f aca="false">01_Data!I471+01_Data!K471+01_Data!M471+01_Data!O471+01_Data!Q471+01_Data!S471+01_Data!U471</f>
        <v>57690</v>
      </c>
      <c r="Q471" s="7" t="n">
        <f aca="false">01_Data!J471+01_Data!L471+01_Data!N471+01_Data!P471+01_Data!R471+01_Data!T471+01_Data!V471</f>
        <v>59398</v>
      </c>
      <c r="R471" s="7" t="n">
        <f aca="false">P471-Q471</f>
        <v>-1708</v>
      </c>
      <c r="S471" s="7" t="n">
        <f aca="false">L471-P471</f>
        <v>29862</v>
      </c>
      <c r="T471" s="7" t="n">
        <f aca="false">M471-Q471</f>
        <v>34117</v>
      </c>
      <c r="U471" s="7" t="n">
        <f aca="false">T471-S471</f>
        <v>4255</v>
      </c>
      <c r="V471" s="8" t="n">
        <f aca="false">IFERROR(U471/S471,0)</f>
        <v>0.142488781729288</v>
      </c>
      <c r="W471" s="5" t="str">
        <f aca="false">IF(V471&lt;-0.1,"ADVERSE &gt;10%","")</f>
        <v/>
      </c>
    </row>
    <row r="472" customFormat="false" ht="15" hidden="false" customHeight="false" outlineLevel="0" collapsed="false">
      <c r="A472" s="5" t="str">
        <f aca="false">01_Data!A472</f>
        <v>Retail &amp; Consumer</v>
      </c>
      <c r="B472" s="5" t="str">
        <f aca="false">01_Data!C472</f>
        <v>2023-06</v>
      </c>
      <c r="C472" s="5" t="str">
        <f aca="false">01_Data!D472</f>
        <v>FY23</v>
      </c>
      <c r="D472" s="7" t="n">
        <f aca="false">01_Data!E472</f>
        <v>231766</v>
      </c>
      <c r="E472" s="7" t="n">
        <f aca="false">01_Data!F472</f>
        <v>228537</v>
      </c>
      <c r="F472" s="7" t="n">
        <f aca="false">E472-D472</f>
        <v>-3229</v>
      </c>
      <c r="G472" s="8" t="n">
        <f aca="false">IFERROR(F472/D472,0)</f>
        <v>-0.0139321557087752</v>
      </c>
      <c r="H472" s="7" t="n">
        <f aca="false">01_Data!G472</f>
        <v>131943</v>
      </c>
      <c r="I472" s="7" t="n">
        <f aca="false">01_Data!H472</f>
        <v>129599</v>
      </c>
      <c r="J472" s="7" t="n">
        <f aca="false">H472-I472</f>
        <v>2344</v>
      </c>
      <c r="K472" s="8" t="n">
        <f aca="false">IFERROR(J472/H472,0)</f>
        <v>0.0177652471142842</v>
      </c>
      <c r="L472" s="7" t="n">
        <f aca="false">D472-H472</f>
        <v>99823</v>
      </c>
      <c r="M472" s="7" t="n">
        <f aca="false">E472-I472</f>
        <v>98938</v>
      </c>
      <c r="N472" s="7" t="n">
        <f aca="false">IFERROR(L472/D472,0)</f>
        <v>0.430705970677321</v>
      </c>
      <c r="O472" s="7" t="n">
        <f aca="false">IFERROR(M472/E472,0)</f>
        <v>0.432918958418112</v>
      </c>
      <c r="P472" s="7" t="n">
        <f aca="false">01_Data!I472+01_Data!K472+01_Data!M472+01_Data!O472+01_Data!Q472+01_Data!S472+01_Data!U472</f>
        <v>61606</v>
      </c>
      <c r="Q472" s="7" t="n">
        <f aca="false">01_Data!J472+01_Data!L472+01_Data!N472+01_Data!P472+01_Data!R472+01_Data!T472+01_Data!V472</f>
        <v>59916</v>
      </c>
      <c r="R472" s="7" t="n">
        <f aca="false">P472-Q472</f>
        <v>1690</v>
      </c>
      <c r="S472" s="7" t="n">
        <f aca="false">L472-P472</f>
        <v>38217</v>
      </c>
      <c r="T472" s="7" t="n">
        <f aca="false">M472-Q472</f>
        <v>39022</v>
      </c>
      <c r="U472" s="7" t="n">
        <f aca="false">T472-S472</f>
        <v>805</v>
      </c>
      <c r="V472" s="8" t="n">
        <f aca="false">IFERROR(U472/S472,0)</f>
        <v>0.0210639244315357</v>
      </c>
      <c r="W472" s="5" t="str">
        <f aca="false">IF(V472&lt;-0.1,"ADVERSE &gt;10%","")</f>
        <v/>
      </c>
    </row>
    <row r="473" customFormat="false" ht="15" hidden="false" customHeight="false" outlineLevel="0" collapsed="false">
      <c r="A473" s="5" t="str">
        <f aca="false">01_Data!A473</f>
        <v>Retail &amp; Consumer</v>
      </c>
      <c r="B473" s="5" t="str">
        <f aca="false">01_Data!C473</f>
        <v>2023-07</v>
      </c>
      <c r="C473" s="5" t="str">
        <f aca="false">01_Data!D473</f>
        <v>FY23</v>
      </c>
      <c r="D473" s="7" t="n">
        <f aca="false">01_Data!E473</f>
        <v>231921</v>
      </c>
      <c r="E473" s="7" t="n">
        <f aca="false">01_Data!F473</f>
        <v>227642</v>
      </c>
      <c r="F473" s="7" t="n">
        <f aca="false">E473-D473</f>
        <v>-4279</v>
      </c>
      <c r="G473" s="8" t="n">
        <f aca="false">IFERROR(F473/D473,0)</f>
        <v>-0.0184502481448424</v>
      </c>
      <c r="H473" s="7" t="n">
        <f aca="false">01_Data!G473</f>
        <v>128384</v>
      </c>
      <c r="I473" s="7" t="n">
        <f aca="false">01_Data!H473</f>
        <v>125962</v>
      </c>
      <c r="J473" s="7" t="n">
        <f aca="false">H473-I473</f>
        <v>2422</v>
      </c>
      <c r="K473" s="8" t="n">
        <f aca="false">IFERROR(J473/H473,0)</f>
        <v>0.0188652791625125</v>
      </c>
      <c r="L473" s="7" t="n">
        <f aca="false">D473-H473</f>
        <v>103537</v>
      </c>
      <c r="M473" s="7" t="n">
        <f aca="false">E473-I473</f>
        <v>101680</v>
      </c>
      <c r="N473" s="7" t="n">
        <f aca="false">IFERROR(L473/D473,0)</f>
        <v>0.446432190271687</v>
      </c>
      <c r="O473" s="7" t="n">
        <f aca="false">IFERROR(M473/E473,0)</f>
        <v>0.446666256666169</v>
      </c>
      <c r="P473" s="7" t="n">
        <f aca="false">01_Data!I473+01_Data!K473+01_Data!M473+01_Data!O473+01_Data!Q473+01_Data!S473+01_Data!U473</f>
        <v>58405</v>
      </c>
      <c r="Q473" s="7" t="n">
        <f aca="false">01_Data!J473+01_Data!L473+01_Data!N473+01_Data!P473+01_Data!R473+01_Data!T473+01_Data!V473</f>
        <v>59708</v>
      </c>
      <c r="R473" s="7" t="n">
        <f aca="false">P473-Q473</f>
        <v>-1303</v>
      </c>
      <c r="S473" s="7" t="n">
        <f aca="false">L473-P473</f>
        <v>45132</v>
      </c>
      <c r="T473" s="7" t="n">
        <f aca="false">M473-Q473</f>
        <v>41972</v>
      </c>
      <c r="U473" s="7" t="n">
        <f aca="false">T473-S473</f>
        <v>-3160</v>
      </c>
      <c r="V473" s="8" t="n">
        <f aca="false">IFERROR(U473/S473,0)</f>
        <v>-0.0700168394930426</v>
      </c>
      <c r="W473" s="5" t="str">
        <f aca="false">IF(V473&lt;-0.1,"ADVERSE &gt;10%","")</f>
        <v/>
      </c>
    </row>
    <row r="474" customFormat="false" ht="15" hidden="false" customHeight="false" outlineLevel="0" collapsed="false">
      <c r="A474" s="5" t="str">
        <f aca="false">01_Data!A474</f>
        <v>Retail &amp; Consumer</v>
      </c>
      <c r="B474" s="5" t="str">
        <f aca="false">01_Data!C474</f>
        <v>2023-08</v>
      </c>
      <c r="C474" s="5" t="str">
        <f aca="false">01_Data!D474</f>
        <v>FY23</v>
      </c>
      <c r="D474" s="7" t="n">
        <f aca="false">01_Data!E474</f>
        <v>222834</v>
      </c>
      <c r="E474" s="7" t="n">
        <f aca="false">01_Data!F474</f>
        <v>225690</v>
      </c>
      <c r="F474" s="7" t="n">
        <f aca="false">E474-D474</f>
        <v>2856</v>
      </c>
      <c r="G474" s="8" t="n">
        <f aca="false">IFERROR(F474/D474,0)</f>
        <v>0.0128167155820027</v>
      </c>
      <c r="H474" s="7" t="n">
        <f aca="false">01_Data!G474</f>
        <v>130277</v>
      </c>
      <c r="I474" s="7" t="n">
        <f aca="false">01_Data!H474</f>
        <v>137600</v>
      </c>
      <c r="J474" s="7" t="n">
        <f aca="false">H474-I474</f>
        <v>-7323</v>
      </c>
      <c r="K474" s="8" t="n">
        <f aca="false">IFERROR(J474/H474,0)</f>
        <v>-0.0562109965688495</v>
      </c>
      <c r="L474" s="7" t="n">
        <f aca="false">D474-H474</f>
        <v>92557</v>
      </c>
      <c r="M474" s="7" t="n">
        <f aca="false">E474-I474</f>
        <v>88090</v>
      </c>
      <c r="N474" s="7" t="n">
        <f aca="false">IFERROR(L474/D474,0)</f>
        <v>0.415363005645458</v>
      </c>
      <c r="O474" s="7" t="n">
        <f aca="false">IFERROR(M474/E474,0)</f>
        <v>0.390314147724755</v>
      </c>
      <c r="P474" s="7" t="n">
        <f aca="false">01_Data!I474+01_Data!K474+01_Data!M474+01_Data!O474+01_Data!Q474+01_Data!S474+01_Data!U474</f>
        <v>57642</v>
      </c>
      <c r="Q474" s="7" t="n">
        <f aca="false">01_Data!J474+01_Data!L474+01_Data!N474+01_Data!P474+01_Data!R474+01_Data!T474+01_Data!V474</f>
        <v>58887</v>
      </c>
      <c r="R474" s="7" t="n">
        <f aca="false">P474-Q474</f>
        <v>-1245</v>
      </c>
      <c r="S474" s="7" t="n">
        <f aca="false">L474-P474</f>
        <v>34915</v>
      </c>
      <c r="T474" s="7" t="n">
        <f aca="false">M474-Q474</f>
        <v>29203</v>
      </c>
      <c r="U474" s="7" t="n">
        <f aca="false">T474-S474</f>
        <v>-5712</v>
      </c>
      <c r="V474" s="8" t="n">
        <f aca="false">IFERROR(U474/S474,0)</f>
        <v>-0.163597307747387</v>
      </c>
      <c r="W474" s="5" t="str">
        <f aca="false">IF(V474&lt;-0.1,"ADVERSE &gt;10%","")</f>
        <v>ADVERSE &gt;10%</v>
      </c>
    </row>
    <row r="475" customFormat="false" ht="15" hidden="false" customHeight="false" outlineLevel="0" collapsed="false">
      <c r="A475" s="5" t="str">
        <f aca="false">01_Data!A475</f>
        <v>Retail &amp; Consumer</v>
      </c>
      <c r="B475" s="5" t="str">
        <f aca="false">01_Data!C475</f>
        <v>2023-09</v>
      </c>
      <c r="C475" s="5" t="str">
        <f aca="false">01_Data!D475</f>
        <v>FY23</v>
      </c>
      <c r="D475" s="7" t="n">
        <f aca="false">01_Data!E475</f>
        <v>240664</v>
      </c>
      <c r="E475" s="7" t="n">
        <f aca="false">01_Data!F475</f>
        <v>243917</v>
      </c>
      <c r="F475" s="7" t="n">
        <f aca="false">E475-D475</f>
        <v>3253</v>
      </c>
      <c r="G475" s="8" t="n">
        <f aca="false">IFERROR(F475/D475,0)</f>
        <v>0.0135167702689226</v>
      </c>
      <c r="H475" s="7" t="n">
        <f aca="false">01_Data!G475</f>
        <v>131543</v>
      </c>
      <c r="I475" s="7" t="n">
        <f aca="false">01_Data!H475</f>
        <v>129758</v>
      </c>
      <c r="J475" s="7" t="n">
        <f aca="false">H475-I475</f>
        <v>1785</v>
      </c>
      <c r="K475" s="8" t="n">
        <f aca="false">IFERROR(J475/H475,0)</f>
        <v>0.0135697072440191</v>
      </c>
      <c r="L475" s="7" t="n">
        <f aca="false">D475-H475</f>
        <v>109121</v>
      </c>
      <c r="M475" s="7" t="n">
        <f aca="false">E475-I475</f>
        <v>114159</v>
      </c>
      <c r="N475" s="7" t="n">
        <f aca="false">IFERROR(L475/D475,0)</f>
        <v>0.453416381344946</v>
      </c>
      <c r="O475" s="7" t="n">
        <f aca="false">IFERROR(M475/E475,0)</f>
        <v>0.46802395896965</v>
      </c>
      <c r="P475" s="7" t="n">
        <f aca="false">01_Data!I475+01_Data!K475+01_Data!M475+01_Data!O475+01_Data!Q475+01_Data!S475+01_Data!U475</f>
        <v>60757</v>
      </c>
      <c r="Q475" s="7" t="n">
        <f aca="false">01_Data!J475+01_Data!L475+01_Data!N475+01_Data!P475+01_Data!R475+01_Data!T475+01_Data!V475</f>
        <v>61710</v>
      </c>
      <c r="R475" s="7" t="n">
        <f aca="false">P475-Q475</f>
        <v>-953</v>
      </c>
      <c r="S475" s="7" t="n">
        <f aca="false">L475-P475</f>
        <v>48364</v>
      </c>
      <c r="T475" s="7" t="n">
        <f aca="false">M475-Q475</f>
        <v>52449</v>
      </c>
      <c r="U475" s="7" t="n">
        <f aca="false">T475-S475</f>
        <v>4085</v>
      </c>
      <c r="V475" s="8" t="n">
        <f aca="false">IFERROR(U475/S475,0)</f>
        <v>0.0844636506492432</v>
      </c>
      <c r="W475" s="5" t="str">
        <f aca="false">IF(V475&lt;-0.1,"ADVERSE &gt;10%","")</f>
        <v/>
      </c>
    </row>
    <row r="476" customFormat="false" ht="15" hidden="false" customHeight="false" outlineLevel="0" collapsed="false">
      <c r="A476" s="5" t="str">
        <f aca="false">01_Data!A476</f>
        <v>Retail &amp; Consumer</v>
      </c>
      <c r="B476" s="5" t="str">
        <f aca="false">01_Data!C476</f>
        <v>2023-10</v>
      </c>
      <c r="C476" s="5" t="str">
        <f aca="false">01_Data!D476</f>
        <v>FY23</v>
      </c>
      <c r="D476" s="7" t="n">
        <f aca="false">01_Data!E476</f>
        <v>230450</v>
      </c>
      <c r="E476" s="7" t="n">
        <f aca="false">01_Data!F476</f>
        <v>230140</v>
      </c>
      <c r="F476" s="7" t="n">
        <f aca="false">E476-D476</f>
        <v>-310</v>
      </c>
      <c r="G476" s="8" t="n">
        <f aca="false">IFERROR(F476/D476,0)</f>
        <v>-0.00134519418528965</v>
      </c>
      <c r="H476" s="7" t="n">
        <f aca="false">01_Data!G476</f>
        <v>127892</v>
      </c>
      <c r="I476" s="7" t="n">
        <f aca="false">01_Data!H476</f>
        <v>131940</v>
      </c>
      <c r="J476" s="7" t="n">
        <f aca="false">H476-I476</f>
        <v>-4048</v>
      </c>
      <c r="K476" s="8" t="n">
        <f aca="false">IFERROR(J476/H476,0)</f>
        <v>-0.0316517061270447</v>
      </c>
      <c r="L476" s="7" t="n">
        <f aca="false">D476-H476</f>
        <v>102558</v>
      </c>
      <c r="M476" s="7" t="n">
        <f aca="false">E476-I476</f>
        <v>98200</v>
      </c>
      <c r="N476" s="7" t="n">
        <f aca="false">IFERROR(L476/D476,0)</f>
        <v>0.445033629854632</v>
      </c>
      <c r="O476" s="7" t="n">
        <f aca="false">IFERROR(M476/E476,0)</f>
        <v>0.426696793256279</v>
      </c>
      <c r="P476" s="7" t="n">
        <f aca="false">01_Data!I476+01_Data!K476+01_Data!M476+01_Data!O476+01_Data!Q476+01_Data!S476+01_Data!U476</f>
        <v>64398</v>
      </c>
      <c r="Q476" s="7" t="n">
        <f aca="false">01_Data!J476+01_Data!L476+01_Data!N476+01_Data!P476+01_Data!R476+01_Data!T476+01_Data!V476</f>
        <v>68778</v>
      </c>
      <c r="R476" s="7" t="n">
        <f aca="false">P476-Q476</f>
        <v>-4380</v>
      </c>
      <c r="S476" s="7" t="n">
        <f aca="false">L476-P476</f>
        <v>38160</v>
      </c>
      <c r="T476" s="7" t="n">
        <f aca="false">M476-Q476</f>
        <v>29422</v>
      </c>
      <c r="U476" s="7" t="n">
        <f aca="false">T476-S476</f>
        <v>-8738</v>
      </c>
      <c r="V476" s="8" t="n">
        <f aca="false">IFERROR(U476/S476,0)</f>
        <v>-0.22898322851153</v>
      </c>
      <c r="W476" s="5" t="str">
        <f aca="false">IF(V476&lt;-0.1,"ADVERSE &gt;10%","")</f>
        <v>ADVERSE &gt;10%</v>
      </c>
    </row>
    <row r="477" customFormat="false" ht="15" hidden="false" customHeight="false" outlineLevel="0" collapsed="false">
      <c r="A477" s="5" t="str">
        <f aca="false">01_Data!A477</f>
        <v>Retail &amp; Consumer</v>
      </c>
      <c r="B477" s="5" t="str">
        <f aca="false">01_Data!C477</f>
        <v>2023-11</v>
      </c>
      <c r="C477" s="5" t="str">
        <f aca="false">01_Data!D477</f>
        <v>FY23</v>
      </c>
      <c r="D477" s="7" t="n">
        <f aca="false">01_Data!E477</f>
        <v>216335</v>
      </c>
      <c r="E477" s="7" t="n">
        <f aca="false">01_Data!F477</f>
        <v>229022</v>
      </c>
      <c r="F477" s="7" t="n">
        <f aca="false">E477-D477</f>
        <v>12687</v>
      </c>
      <c r="G477" s="8" t="n">
        <f aca="false">IFERROR(F477/D477,0)</f>
        <v>0.0586451568169737</v>
      </c>
      <c r="H477" s="7" t="n">
        <f aca="false">01_Data!G477</f>
        <v>129676</v>
      </c>
      <c r="I477" s="7" t="n">
        <f aca="false">01_Data!H477</f>
        <v>143340</v>
      </c>
      <c r="J477" s="7" t="n">
        <f aca="false">H477-I477</f>
        <v>-13664</v>
      </c>
      <c r="K477" s="8" t="n">
        <f aca="false">IFERROR(J477/H477,0)</f>
        <v>-0.105370307535704</v>
      </c>
      <c r="L477" s="7" t="n">
        <f aca="false">D477-H477</f>
        <v>86659</v>
      </c>
      <c r="M477" s="7" t="n">
        <f aca="false">E477-I477</f>
        <v>85682</v>
      </c>
      <c r="N477" s="7" t="n">
        <f aca="false">IFERROR(L477/D477,0)</f>
        <v>0.400577807566968</v>
      </c>
      <c r="O477" s="7" t="n">
        <f aca="false">IFERROR(M477/E477,0)</f>
        <v>0.374121263459406</v>
      </c>
      <c r="P477" s="7" t="n">
        <f aca="false">01_Data!I477+01_Data!K477+01_Data!M477+01_Data!O477+01_Data!Q477+01_Data!S477+01_Data!U477</f>
        <v>55410</v>
      </c>
      <c r="Q477" s="7" t="n">
        <f aca="false">01_Data!J477+01_Data!L477+01_Data!N477+01_Data!P477+01_Data!R477+01_Data!T477+01_Data!V477</f>
        <v>56014</v>
      </c>
      <c r="R477" s="7" t="n">
        <f aca="false">P477-Q477</f>
        <v>-604</v>
      </c>
      <c r="S477" s="7" t="n">
        <f aca="false">L477-P477</f>
        <v>31249</v>
      </c>
      <c r="T477" s="7" t="n">
        <f aca="false">M477-Q477</f>
        <v>29668</v>
      </c>
      <c r="U477" s="7" t="n">
        <f aca="false">T477-S477</f>
        <v>-1581</v>
      </c>
      <c r="V477" s="8" t="n">
        <f aca="false">IFERROR(U477/S477,0)</f>
        <v>-0.0505936189958079</v>
      </c>
      <c r="W477" s="5" t="str">
        <f aca="false">IF(V477&lt;-0.1,"ADVERSE &gt;10%","")</f>
        <v/>
      </c>
    </row>
    <row r="478" customFormat="false" ht="15" hidden="false" customHeight="false" outlineLevel="0" collapsed="false">
      <c r="A478" s="5" t="str">
        <f aca="false">01_Data!A478</f>
        <v>Retail &amp; Consumer</v>
      </c>
      <c r="B478" s="5" t="str">
        <f aca="false">01_Data!C478</f>
        <v>2023-12</v>
      </c>
      <c r="C478" s="5" t="str">
        <f aca="false">01_Data!D478</f>
        <v>FY23</v>
      </c>
      <c r="D478" s="7" t="n">
        <f aca="false">01_Data!E478</f>
        <v>237698</v>
      </c>
      <c r="E478" s="7" t="n">
        <f aca="false">01_Data!F478</f>
        <v>242025</v>
      </c>
      <c r="F478" s="7" t="n">
        <f aca="false">E478-D478</f>
        <v>4327</v>
      </c>
      <c r="G478" s="8" t="n">
        <f aca="false">IFERROR(F478/D478,0)</f>
        <v>0.0182037711718231</v>
      </c>
      <c r="H478" s="7" t="n">
        <f aca="false">01_Data!G478</f>
        <v>134319</v>
      </c>
      <c r="I478" s="7" t="n">
        <f aca="false">01_Data!H478</f>
        <v>135795</v>
      </c>
      <c r="J478" s="7" t="n">
        <f aca="false">H478-I478</f>
        <v>-1476</v>
      </c>
      <c r="K478" s="8" t="n">
        <f aca="false">IFERROR(J478/H478,0)</f>
        <v>-0.0109887655506667</v>
      </c>
      <c r="L478" s="7" t="n">
        <f aca="false">D478-H478</f>
        <v>103379</v>
      </c>
      <c r="M478" s="7" t="n">
        <f aca="false">E478-I478</f>
        <v>106230</v>
      </c>
      <c r="N478" s="7" t="n">
        <f aca="false">IFERROR(L478/D478,0)</f>
        <v>0.434917416217217</v>
      </c>
      <c r="O478" s="7" t="n">
        <f aca="false">IFERROR(M478/E478,0)</f>
        <v>0.438921599008367</v>
      </c>
      <c r="P478" s="7" t="n">
        <f aca="false">01_Data!I478+01_Data!K478+01_Data!M478+01_Data!O478+01_Data!Q478+01_Data!S478+01_Data!U478</f>
        <v>57382</v>
      </c>
      <c r="Q478" s="7" t="n">
        <f aca="false">01_Data!J478+01_Data!L478+01_Data!N478+01_Data!P478+01_Data!R478+01_Data!T478+01_Data!V478</f>
        <v>56536</v>
      </c>
      <c r="R478" s="7" t="n">
        <f aca="false">P478-Q478</f>
        <v>846</v>
      </c>
      <c r="S478" s="7" t="n">
        <f aca="false">L478-P478</f>
        <v>45997</v>
      </c>
      <c r="T478" s="7" t="n">
        <f aca="false">M478-Q478</f>
        <v>49694</v>
      </c>
      <c r="U478" s="7" t="n">
        <f aca="false">T478-S478</f>
        <v>3697</v>
      </c>
      <c r="V478" s="8" t="n">
        <f aca="false">IFERROR(U478/S478,0)</f>
        <v>0.0803748070526339</v>
      </c>
      <c r="W478" s="5" t="str">
        <f aca="false">IF(V478&lt;-0.1,"ADVERSE &gt;10%","")</f>
        <v/>
      </c>
    </row>
    <row r="479" customFormat="false" ht="15" hidden="false" customHeight="false" outlineLevel="0" collapsed="false">
      <c r="A479" s="5" t="str">
        <f aca="false">01_Data!A479</f>
        <v>Retail &amp; Consumer</v>
      </c>
      <c r="B479" s="5" t="str">
        <f aca="false">01_Data!C479</f>
        <v>2024-01</v>
      </c>
      <c r="C479" s="5" t="str">
        <f aca="false">01_Data!D479</f>
        <v>FY23</v>
      </c>
      <c r="D479" s="7" t="n">
        <f aca="false">01_Data!E479</f>
        <v>242133</v>
      </c>
      <c r="E479" s="7" t="n">
        <f aca="false">01_Data!F479</f>
        <v>232053</v>
      </c>
      <c r="F479" s="7" t="n">
        <f aca="false">E479-D479</f>
        <v>-10080</v>
      </c>
      <c r="G479" s="8" t="n">
        <f aca="false">IFERROR(F479/D479,0)</f>
        <v>-0.0416300132571768</v>
      </c>
      <c r="H479" s="7" t="n">
        <f aca="false">01_Data!G479</f>
        <v>135564</v>
      </c>
      <c r="I479" s="7" t="n">
        <f aca="false">01_Data!H479</f>
        <v>133880</v>
      </c>
      <c r="J479" s="7" t="n">
        <f aca="false">H479-I479</f>
        <v>1684</v>
      </c>
      <c r="K479" s="8" t="n">
        <f aca="false">IFERROR(J479/H479,0)</f>
        <v>0.012422176979139</v>
      </c>
      <c r="L479" s="7" t="n">
        <f aca="false">D479-H479</f>
        <v>106569</v>
      </c>
      <c r="M479" s="7" t="n">
        <f aca="false">E479-I479</f>
        <v>98173</v>
      </c>
      <c r="N479" s="7" t="n">
        <f aca="false">IFERROR(L479/D479,0)</f>
        <v>0.440125881230563</v>
      </c>
      <c r="O479" s="7" t="n">
        <f aca="false">IFERROR(M479/E479,0)</f>
        <v>0.423062834783433</v>
      </c>
      <c r="P479" s="7" t="n">
        <f aca="false">01_Data!I479+01_Data!K479+01_Data!M479+01_Data!O479+01_Data!Q479+01_Data!S479+01_Data!U479</f>
        <v>63451</v>
      </c>
      <c r="Q479" s="7" t="n">
        <f aca="false">01_Data!J479+01_Data!L479+01_Data!N479+01_Data!P479+01_Data!R479+01_Data!T479+01_Data!V479</f>
        <v>65744</v>
      </c>
      <c r="R479" s="7" t="n">
        <f aca="false">P479-Q479</f>
        <v>-2293</v>
      </c>
      <c r="S479" s="7" t="n">
        <f aca="false">L479-P479</f>
        <v>43118</v>
      </c>
      <c r="T479" s="7" t="n">
        <f aca="false">M479-Q479</f>
        <v>32429</v>
      </c>
      <c r="U479" s="7" t="n">
        <f aca="false">T479-S479</f>
        <v>-10689</v>
      </c>
      <c r="V479" s="8" t="n">
        <f aca="false">IFERROR(U479/S479,0)</f>
        <v>-0.247901108585741</v>
      </c>
      <c r="W479" s="5" t="str">
        <f aca="false">IF(V479&lt;-0.1,"ADVERSE &gt;10%","")</f>
        <v>ADVERSE &gt;10%</v>
      </c>
    </row>
    <row r="480" customFormat="false" ht="15" hidden="false" customHeight="false" outlineLevel="0" collapsed="false">
      <c r="A480" s="5" t="str">
        <f aca="false">01_Data!A480</f>
        <v>Retail &amp; Consumer</v>
      </c>
      <c r="B480" s="5" t="str">
        <f aca="false">01_Data!C480</f>
        <v>2024-02</v>
      </c>
      <c r="C480" s="5" t="str">
        <f aca="false">01_Data!D480</f>
        <v>FY23</v>
      </c>
      <c r="D480" s="7" t="n">
        <f aca="false">01_Data!E480</f>
        <v>237156</v>
      </c>
      <c r="E480" s="7" t="n">
        <f aca="false">01_Data!F480</f>
        <v>231471</v>
      </c>
      <c r="F480" s="7" t="n">
        <f aca="false">E480-D480</f>
        <v>-5685</v>
      </c>
      <c r="G480" s="8" t="n">
        <f aca="false">IFERROR(F480/D480,0)</f>
        <v>-0.0239715630218084</v>
      </c>
      <c r="H480" s="7" t="n">
        <f aca="false">01_Data!G480</f>
        <v>141234</v>
      </c>
      <c r="I480" s="7" t="n">
        <f aca="false">01_Data!H480</f>
        <v>134085</v>
      </c>
      <c r="J480" s="7" t="n">
        <f aca="false">H480-I480</f>
        <v>7149</v>
      </c>
      <c r="K480" s="8" t="n">
        <f aca="false">IFERROR(J480/H480,0)</f>
        <v>0.0506181231148307</v>
      </c>
      <c r="L480" s="7" t="n">
        <f aca="false">D480-H480</f>
        <v>95922</v>
      </c>
      <c r="M480" s="7" t="n">
        <f aca="false">E480-I480</f>
        <v>97386</v>
      </c>
      <c r="N480" s="7" t="n">
        <f aca="false">IFERROR(L480/D480,0)</f>
        <v>0.404467945150028</v>
      </c>
      <c r="O480" s="7" t="n">
        <f aca="false">IFERROR(M480/E480,0)</f>
        <v>0.420726570499112</v>
      </c>
      <c r="P480" s="7" t="n">
        <f aca="false">01_Data!I480+01_Data!K480+01_Data!M480+01_Data!O480+01_Data!Q480+01_Data!S480+01_Data!U480</f>
        <v>64475</v>
      </c>
      <c r="Q480" s="7" t="n">
        <f aca="false">01_Data!J480+01_Data!L480+01_Data!N480+01_Data!P480+01_Data!R480+01_Data!T480+01_Data!V480</f>
        <v>66931</v>
      </c>
      <c r="R480" s="7" t="n">
        <f aca="false">P480-Q480</f>
        <v>-2456</v>
      </c>
      <c r="S480" s="7" t="n">
        <f aca="false">L480-P480</f>
        <v>31447</v>
      </c>
      <c r="T480" s="7" t="n">
        <f aca="false">M480-Q480</f>
        <v>30455</v>
      </c>
      <c r="U480" s="7" t="n">
        <f aca="false">T480-S480</f>
        <v>-992</v>
      </c>
      <c r="V480" s="8" t="n">
        <f aca="false">IFERROR(U480/S480,0)</f>
        <v>-0.0315451394409642</v>
      </c>
      <c r="W480" s="5" t="str">
        <f aca="false">IF(V480&lt;-0.1,"ADVERSE &gt;10%","")</f>
        <v/>
      </c>
    </row>
    <row r="481" customFormat="false" ht="15" hidden="false" customHeight="false" outlineLevel="0" collapsed="false">
      <c r="A481" s="5" t="str">
        <f aca="false">01_Data!A481</f>
        <v>Retail &amp; Consumer</v>
      </c>
      <c r="B481" s="5" t="str">
        <f aca="false">01_Data!C481</f>
        <v>2024-03</v>
      </c>
      <c r="C481" s="5" t="str">
        <f aca="false">01_Data!D481</f>
        <v>FY23</v>
      </c>
      <c r="D481" s="7" t="n">
        <f aca="false">01_Data!E481</f>
        <v>249127</v>
      </c>
      <c r="E481" s="7" t="n">
        <f aca="false">01_Data!F481</f>
        <v>250677</v>
      </c>
      <c r="F481" s="7" t="n">
        <f aca="false">E481-D481</f>
        <v>1550</v>
      </c>
      <c r="G481" s="8" t="n">
        <f aca="false">IFERROR(F481/D481,0)</f>
        <v>0.0062217262681283</v>
      </c>
      <c r="H481" s="7" t="n">
        <f aca="false">01_Data!G481</f>
        <v>145251</v>
      </c>
      <c r="I481" s="7" t="n">
        <f aca="false">01_Data!H481</f>
        <v>152558</v>
      </c>
      <c r="J481" s="7" t="n">
        <f aca="false">H481-I481</f>
        <v>-7307</v>
      </c>
      <c r="K481" s="8" t="n">
        <f aca="false">IFERROR(J481/H481,0)</f>
        <v>-0.0503060219895216</v>
      </c>
      <c r="L481" s="7" t="n">
        <f aca="false">D481-H481</f>
        <v>103876</v>
      </c>
      <c r="M481" s="7" t="n">
        <f aca="false">E481-I481</f>
        <v>98119</v>
      </c>
      <c r="N481" s="7" t="n">
        <f aca="false">IFERROR(L481/D481,0)</f>
        <v>0.416960024405223</v>
      </c>
      <c r="O481" s="7" t="n">
        <f aca="false">IFERROR(M481/E481,0)</f>
        <v>0.391416045349194</v>
      </c>
      <c r="P481" s="7" t="n">
        <f aca="false">01_Data!I481+01_Data!K481+01_Data!M481+01_Data!O481+01_Data!Q481+01_Data!S481+01_Data!U481</f>
        <v>64688</v>
      </c>
      <c r="Q481" s="7" t="n">
        <f aca="false">01_Data!J481+01_Data!L481+01_Data!N481+01_Data!P481+01_Data!R481+01_Data!T481+01_Data!V481</f>
        <v>65674</v>
      </c>
      <c r="R481" s="7" t="n">
        <f aca="false">P481-Q481</f>
        <v>-986</v>
      </c>
      <c r="S481" s="7" t="n">
        <f aca="false">L481-P481</f>
        <v>39188</v>
      </c>
      <c r="T481" s="7" t="n">
        <f aca="false">M481-Q481</f>
        <v>32445</v>
      </c>
      <c r="U481" s="7" t="n">
        <f aca="false">T481-S481</f>
        <v>-6743</v>
      </c>
      <c r="V481" s="8" t="n">
        <f aca="false">IFERROR(U481/S481,0)</f>
        <v>-0.172067979993876</v>
      </c>
      <c r="W481" s="5" t="str">
        <f aca="false">IF(V481&lt;-0.1,"ADVERSE &gt;10%","")</f>
        <v>ADVERSE &gt;10%</v>
      </c>
    </row>
    <row r="482" customFormat="false" ht="15" hidden="false" customHeight="false" outlineLevel="0" collapsed="false">
      <c r="A482" s="5" t="str">
        <f aca="false">01_Data!A482</f>
        <v>Retail &amp; Consumer</v>
      </c>
      <c r="B482" s="5" t="str">
        <f aca="false">01_Data!C482</f>
        <v>2024-04</v>
      </c>
      <c r="C482" s="5" t="str">
        <f aca="false">01_Data!D482</f>
        <v>FY24</v>
      </c>
      <c r="D482" s="7" t="n">
        <f aca="false">01_Data!E482</f>
        <v>252360</v>
      </c>
      <c r="E482" s="7" t="n">
        <f aca="false">01_Data!F482</f>
        <v>241624</v>
      </c>
      <c r="F482" s="7" t="n">
        <f aca="false">E482-D482</f>
        <v>-10736</v>
      </c>
      <c r="G482" s="8" t="n">
        <f aca="false">IFERROR(F482/D482,0)</f>
        <v>-0.042542399746394</v>
      </c>
      <c r="H482" s="7" t="n">
        <f aca="false">01_Data!G482</f>
        <v>150985</v>
      </c>
      <c r="I482" s="7" t="n">
        <f aca="false">01_Data!H482</f>
        <v>141729</v>
      </c>
      <c r="J482" s="7" t="n">
        <f aca="false">H482-I482</f>
        <v>9256</v>
      </c>
      <c r="K482" s="8" t="n">
        <f aca="false">IFERROR(J482/H482,0)</f>
        <v>0.061304103056595</v>
      </c>
      <c r="L482" s="7" t="n">
        <f aca="false">D482-H482</f>
        <v>101375</v>
      </c>
      <c r="M482" s="7" t="n">
        <f aca="false">E482-I482</f>
        <v>99895</v>
      </c>
      <c r="N482" s="7" t="n">
        <f aca="false">IFERROR(L482/D482,0)</f>
        <v>0.401707877635124</v>
      </c>
      <c r="O482" s="7" t="n">
        <f aca="false">IFERROR(M482/E482,0)</f>
        <v>0.4134316127537</v>
      </c>
      <c r="P482" s="7" t="n">
        <f aca="false">01_Data!I482+01_Data!K482+01_Data!M482+01_Data!O482+01_Data!Q482+01_Data!S482+01_Data!U482</f>
        <v>70434</v>
      </c>
      <c r="Q482" s="7" t="n">
        <f aca="false">01_Data!J482+01_Data!L482+01_Data!N482+01_Data!P482+01_Data!R482+01_Data!T482+01_Data!V482</f>
        <v>70604</v>
      </c>
      <c r="R482" s="7" t="n">
        <f aca="false">P482-Q482</f>
        <v>-170</v>
      </c>
      <c r="S482" s="7" t="n">
        <f aca="false">L482-P482</f>
        <v>30941</v>
      </c>
      <c r="T482" s="7" t="n">
        <f aca="false">M482-Q482</f>
        <v>29291</v>
      </c>
      <c r="U482" s="7" t="n">
        <f aca="false">T482-S482</f>
        <v>-1650</v>
      </c>
      <c r="V482" s="8" t="n">
        <f aca="false">IFERROR(U482/S482,0)</f>
        <v>-0.0533273003458195</v>
      </c>
      <c r="W482" s="5" t="str">
        <f aca="false">IF(V482&lt;-0.1,"ADVERSE &gt;10%","")</f>
        <v/>
      </c>
    </row>
    <row r="483" customFormat="false" ht="15" hidden="false" customHeight="false" outlineLevel="0" collapsed="false">
      <c r="A483" s="5" t="str">
        <f aca="false">01_Data!A483</f>
        <v>Retail &amp; Consumer</v>
      </c>
      <c r="B483" s="5" t="str">
        <f aca="false">01_Data!C483</f>
        <v>2024-05</v>
      </c>
      <c r="C483" s="5" t="str">
        <f aca="false">01_Data!D483</f>
        <v>FY24</v>
      </c>
      <c r="D483" s="7" t="n">
        <f aca="false">01_Data!E483</f>
        <v>233996</v>
      </c>
      <c r="E483" s="7" t="n">
        <f aca="false">01_Data!F483</f>
        <v>242121</v>
      </c>
      <c r="F483" s="7" t="n">
        <f aca="false">E483-D483</f>
        <v>8125</v>
      </c>
      <c r="G483" s="8" t="n">
        <f aca="false">IFERROR(F483/D483,0)</f>
        <v>0.0347228157746286</v>
      </c>
      <c r="H483" s="7" t="n">
        <f aca="false">01_Data!G483</f>
        <v>136302</v>
      </c>
      <c r="I483" s="7" t="n">
        <f aca="false">01_Data!H483</f>
        <v>142876</v>
      </c>
      <c r="J483" s="7" t="n">
        <f aca="false">H483-I483</f>
        <v>-6574</v>
      </c>
      <c r="K483" s="8" t="n">
        <f aca="false">IFERROR(J483/H483,0)</f>
        <v>-0.0482311338058136</v>
      </c>
      <c r="L483" s="7" t="n">
        <f aca="false">D483-H483</f>
        <v>97694</v>
      </c>
      <c r="M483" s="7" t="n">
        <f aca="false">E483-I483</f>
        <v>99245</v>
      </c>
      <c r="N483" s="7" t="n">
        <f aca="false">IFERROR(L483/D483,0)</f>
        <v>0.417502863296808</v>
      </c>
      <c r="O483" s="7" t="n">
        <f aca="false">IFERROR(M483/E483,0)</f>
        <v>0.409898356606821</v>
      </c>
      <c r="P483" s="7" t="n">
        <f aca="false">01_Data!I483+01_Data!K483+01_Data!M483+01_Data!O483+01_Data!Q483+01_Data!S483+01_Data!U483</f>
        <v>59947</v>
      </c>
      <c r="Q483" s="7" t="n">
        <f aca="false">01_Data!J483+01_Data!L483+01_Data!N483+01_Data!P483+01_Data!R483+01_Data!T483+01_Data!V483</f>
        <v>59047</v>
      </c>
      <c r="R483" s="7" t="n">
        <f aca="false">P483-Q483</f>
        <v>900</v>
      </c>
      <c r="S483" s="7" t="n">
        <f aca="false">L483-P483</f>
        <v>37747</v>
      </c>
      <c r="T483" s="7" t="n">
        <f aca="false">M483-Q483</f>
        <v>40198</v>
      </c>
      <c r="U483" s="7" t="n">
        <f aca="false">T483-S483</f>
        <v>2451</v>
      </c>
      <c r="V483" s="8" t="n">
        <f aca="false">IFERROR(U483/S483,0)</f>
        <v>0.0649323125016558</v>
      </c>
      <c r="W483" s="5" t="str">
        <f aca="false">IF(V483&lt;-0.1,"ADVERSE &gt;10%","")</f>
        <v/>
      </c>
    </row>
    <row r="484" customFormat="false" ht="15" hidden="false" customHeight="false" outlineLevel="0" collapsed="false">
      <c r="A484" s="5" t="str">
        <f aca="false">01_Data!A484</f>
        <v>Retail &amp; Consumer</v>
      </c>
      <c r="B484" s="5" t="str">
        <f aca="false">01_Data!C484</f>
        <v>2024-06</v>
      </c>
      <c r="C484" s="5" t="str">
        <f aca="false">01_Data!D484</f>
        <v>FY24</v>
      </c>
      <c r="D484" s="7" t="n">
        <f aca="false">01_Data!E484</f>
        <v>246116</v>
      </c>
      <c r="E484" s="7" t="n">
        <f aca="false">01_Data!F484</f>
        <v>243049</v>
      </c>
      <c r="F484" s="7" t="n">
        <f aca="false">E484-D484</f>
        <v>-3067</v>
      </c>
      <c r="G484" s="8" t="n">
        <f aca="false">IFERROR(F484/D484,0)</f>
        <v>-0.0124616034715337</v>
      </c>
      <c r="H484" s="7" t="n">
        <f aca="false">01_Data!G484</f>
        <v>138353</v>
      </c>
      <c r="I484" s="7" t="n">
        <f aca="false">01_Data!H484</f>
        <v>132780</v>
      </c>
      <c r="J484" s="7" t="n">
        <f aca="false">H484-I484</f>
        <v>5573</v>
      </c>
      <c r="K484" s="8" t="n">
        <f aca="false">IFERROR(J484/H484,0)</f>
        <v>0.0402810202886819</v>
      </c>
      <c r="L484" s="7" t="n">
        <f aca="false">D484-H484</f>
        <v>107763</v>
      </c>
      <c r="M484" s="7" t="n">
        <f aca="false">E484-I484</f>
        <v>110269</v>
      </c>
      <c r="N484" s="7" t="n">
        <f aca="false">IFERROR(L484/D484,0)</f>
        <v>0.437854507630548</v>
      </c>
      <c r="O484" s="7" t="n">
        <f aca="false">IFERROR(M484/E484,0)</f>
        <v>0.453690408107007</v>
      </c>
      <c r="P484" s="7" t="n">
        <f aca="false">01_Data!I484+01_Data!K484+01_Data!M484+01_Data!O484+01_Data!Q484+01_Data!S484+01_Data!U484</f>
        <v>69638</v>
      </c>
      <c r="Q484" s="7" t="n">
        <f aca="false">01_Data!J484+01_Data!L484+01_Data!N484+01_Data!P484+01_Data!R484+01_Data!T484+01_Data!V484</f>
        <v>70443</v>
      </c>
      <c r="R484" s="7" t="n">
        <f aca="false">P484-Q484</f>
        <v>-805</v>
      </c>
      <c r="S484" s="7" t="n">
        <f aca="false">L484-P484</f>
        <v>38125</v>
      </c>
      <c r="T484" s="7" t="n">
        <f aca="false">M484-Q484</f>
        <v>39826</v>
      </c>
      <c r="U484" s="7" t="n">
        <f aca="false">T484-S484</f>
        <v>1701</v>
      </c>
      <c r="V484" s="8" t="n">
        <f aca="false">IFERROR(U484/S484,0)</f>
        <v>0.044616393442623</v>
      </c>
      <c r="W484" s="5" t="str">
        <f aca="false">IF(V484&lt;-0.1,"ADVERSE &gt;10%","")</f>
        <v/>
      </c>
    </row>
    <row r="485" customFormat="false" ht="15" hidden="false" customHeight="false" outlineLevel="0" collapsed="false">
      <c r="A485" s="5" t="str">
        <f aca="false">01_Data!A485</f>
        <v>Retail &amp; Consumer</v>
      </c>
      <c r="B485" s="5" t="str">
        <f aca="false">01_Data!C485</f>
        <v>2024-07</v>
      </c>
      <c r="C485" s="5" t="str">
        <f aca="false">01_Data!D485</f>
        <v>FY24</v>
      </c>
      <c r="D485" s="7" t="n">
        <f aca="false">01_Data!E485</f>
        <v>258532</v>
      </c>
      <c r="E485" s="7" t="n">
        <f aca="false">01_Data!F485</f>
        <v>250180</v>
      </c>
      <c r="F485" s="7" t="n">
        <f aca="false">E485-D485</f>
        <v>-8352</v>
      </c>
      <c r="G485" s="8" t="n">
        <f aca="false">IFERROR(F485/D485,0)</f>
        <v>-0.03230547862547</v>
      </c>
      <c r="H485" s="7" t="n">
        <f aca="false">01_Data!G485</f>
        <v>151715</v>
      </c>
      <c r="I485" s="7" t="n">
        <f aca="false">01_Data!H485</f>
        <v>143141</v>
      </c>
      <c r="J485" s="7" t="n">
        <f aca="false">H485-I485</f>
        <v>8574</v>
      </c>
      <c r="K485" s="8" t="n">
        <f aca="false">IFERROR(J485/H485,0)</f>
        <v>0.0565138582210065</v>
      </c>
      <c r="L485" s="7" t="n">
        <f aca="false">D485-H485</f>
        <v>106817</v>
      </c>
      <c r="M485" s="7" t="n">
        <f aca="false">E485-I485</f>
        <v>107039</v>
      </c>
      <c r="N485" s="7" t="n">
        <f aca="false">IFERROR(L485/D485,0)</f>
        <v>0.413167422214658</v>
      </c>
      <c r="O485" s="7" t="n">
        <f aca="false">IFERROR(M485/E485,0)</f>
        <v>0.427847949476377</v>
      </c>
      <c r="P485" s="7" t="n">
        <f aca="false">01_Data!I485+01_Data!K485+01_Data!M485+01_Data!O485+01_Data!Q485+01_Data!S485+01_Data!U485</f>
        <v>71701</v>
      </c>
      <c r="Q485" s="7" t="n">
        <f aca="false">01_Data!J485+01_Data!L485+01_Data!N485+01_Data!P485+01_Data!R485+01_Data!T485+01_Data!V485</f>
        <v>73676</v>
      </c>
      <c r="R485" s="7" t="n">
        <f aca="false">P485-Q485</f>
        <v>-1975</v>
      </c>
      <c r="S485" s="7" t="n">
        <f aca="false">L485-P485</f>
        <v>35116</v>
      </c>
      <c r="T485" s="7" t="n">
        <f aca="false">M485-Q485</f>
        <v>33363</v>
      </c>
      <c r="U485" s="7" t="n">
        <f aca="false">T485-S485</f>
        <v>-1753</v>
      </c>
      <c r="V485" s="8" t="n">
        <f aca="false">IFERROR(U485/S485,0)</f>
        <v>-0.0499202642670008</v>
      </c>
      <c r="W485" s="5" t="str">
        <f aca="false">IF(V485&lt;-0.1,"ADVERSE &gt;10%","")</f>
        <v/>
      </c>
    </row>
    <row r="486" customFormat="false" ht="15" hidden="false" customHeight="false" outlineLevel="0" collapsed="false">
      <c r="A486" s="5" t="str">
        <f aca="false">01_Data!A486</f>
        <v>Retail &amp; Consumer</v>
      </c>
      <c r="B486" s="5" t="str">
        <f aca="false">01_Data!C486</f>
        <v>2024-08</v>
      </c>
      <c r="C486" s="5" t="str">
        <f aca="false">01_Data!D486</f>
        <v>FY24</v>
      </c>
      <c r="D486" s="7" t="n">
        <f aca="false">01_Data!E486</f>
        <v>250949</v>
      </c>
      <c r="E486" s="7" t="n">
        <f aca="false">01_Data!F486</f>
        <v>254968</v>
      </c>
      <c r="F486" s="7" t="n">
        <f aca="false">E486-D486</f>
        <v>4019</v>
      </c>
      <c r="G486" s="8" t="n">
        <f aca="false">IFERROR(F486/D486,0)</f>
        <v>0.0160152062769726</v>
      </c>
      <c r="H486" s="7" t="n">
        <f aca="false">01_Data!G486</f>
        <v>149096</v>
      </c>
      <c r="I486" s="7" t="n">
        <f aca="false">01_Data!H486</f>
        <v>147579</v>
      </c>
      <c r="J486" s="7" t="n">
        <f aca="false">H486-I486</f>
        <v>1517</v>
      </c>
      <c r="K486" s="8" t="n">
        <f aca="false">IFERROR(J486/H486,0)</f>
        <v>0.010174652572839</v>
      </c>
      <c r="L486" s="7" t="n">
        <f aca="false">D486-H486</f>
        <v>101853</v>
      </c>
      <c r="M486" s="7" t="n">
        <f aca="false">E486-I486</f>
        <v>107389</v>
      </c>
      <c r="N486" s="7" t="n">
        <f aca="false">IFERROR(L486/D486,0)</f>
        <v>0.405871312497759</v>
      </c>
      <c r="O486" s="7" t="n">
        <f aca="false">IFERROR(M486/E486,0)</f>
        <v>0.42118618807066</v>
      </c>
      <c r="P486" s="7" t="n">
        <f aca="false">01_Data!I486+01_Data!K486+01_Data!M486+01_Data!O486+01_Data!Q486+01_Data!S486+01_Data!U486</f>
        <v>64405</v>
      </c>
      <c r="Q486" s="7" t="n">
        <f aca="false">01_Data!J486+01_Data!L486+01_Data!N486+01_Data!P486+01_Data!R486+01_Data!T486+01_Data!V486</f>
        <v>63392</v>
      </c>
      <c r="R486" s="7" t="n">
        <f aca="false">P486-Q486</f>
        <v>1013</v>
      </c>
      <c r="S486" s="7" t="n">
        <f aca="false">L486-P486</f>
        <v>37448</v>
      </c>
      <c r="T486" s="7" t="n">
        <f aca="false">M486-Q486</f>
        <v>43997</v>
      </c>
      <c r="U486" s="7" t="n">
        <f aca="false">T486-S486</f>
        <v>6549</v>
      </c>
      <c r="V486" s="8" t="n">
        <f aca="false">IFERROR(U486/S486,0)</f>
        <v>0.174882503738517</v>
      </c>
      <c r="W486" s="5" t="str">
        <f aca="false">IF(V486&lt;-0.1,"ADVERSE &gt;10%","")</f>
        <v/>
      </c>
    </row>
    <row r="487" customFormat="false" ht="15" hidden="false" customHeight="false" outlineLevel="0" collapsed="false">
      <c r="A487" s="5" t="str">
        <f aca="false">01_Data!A487</f>
        <v>Retail &amp; Consumer</v>
      </c>
      <c r="B487" s="5" t="str">
        <f aca="false">01_Data!C487</f>
        <v>2024-09</v>
      </c>
      <c r="C487" s="5" t="str">
        <f aca="false">01_Data!D487</f>
        <v>FY24</v>
      </c>
      <c r="D487" s="7" t="n">
        <f aca="false">01_Data!E487</f>
        <v>282270</v>
      </c>
      <c r="E487" s="7" t="n">
        <f aca="false">01_Data!F487</f>
        <v>269060</v>
      </c>
      <c r="F487" s="7" t="n">
        <f aca="false">E487-D487</f>
        <v>-13210</v>
      </c>
      <c r="G487" s="8" t="n">
        <f aca="false">IFERROR(F487/D487,0)</f>
        <v>-0.0467991639210685</v>
      </c>
      <c r="H487" s="7" t="n">
        <f aca="false">01_Data!G487</f>
        <v>168860</v>
      </c>
      <c r="I487" s="7" t="n">
        <f aca="false">01_Data!H487</f>
        <v>156925</v>
      </c>
      <c r="J487" s="7" t="n">
        <f aca="false">H487-I487</f>
        <v>11935</v>
      </c>
      <c r="K487" s="8" t="n">
        <f aca="false">IFERROR(J487/H487,0)</f>
        <v>0.0706798531327727</v>
      </c>
      <c r="L487" s="7" t="n">
        <f aca="false">D487-H487</f>
        <v>113410</v>
      </c>
      <c r="M487" s="7" t="n">
        <f aca="false">E487-I487</f>
        <v>112135</v>
      </c>
      <c r="N487" s="7" t="n">
        <f aca="false">IFERROR(L487/D487,0)</f>
        <v>0.401778439083147</v>
      </c>
      <c r="O487" s="7" t="n">
        <f aca="false">IFERROR(M487/E487,0)</f>
        <v>0.416765777150078</v>
      </c>
      <c r="P487" s="7" t="n">
        <f aca="false">01_Data!I487+01_Data!K487+01_Data!M487+01_Data!O487+01_Data!Q487+01_Data!S487+01_Data!U487</f>
        <v>76469</v>
      </c>
      <c r="Q487" s="7" t="n">
        <f aca="false">01_Data!J487+01_Data!L487+01_Data!N487+01_Data!P487+01_Data!R487+01_Data!T487+01_Data!V487</f>
        <v>78310</v>
      </c>
      <c r="R487" s="7" t="n">
        <f aca="false">P487-Q487</f>
        <v>-1841</v>
      </c>
      <c r="S487" s="7" t="n">
        <f aca="false">L487-P487</f>
        <v>36941</v>
      </c>
      <c r="T487" s="7" t="n">
        <f aca="false">M487-Q487</f>
        <v>33825</v>
      </c>
      <c r="U487" s="7" t="n">
        <f aca="false">T487-S487</f>
        <v>-3116</v>
      </c>
      <c r="V487" s="8" t="n">
        <f aca="false">IFERROR(U487/S487,0)</f>
        <v>-0.0843507214206437</v>
      </c>
      <c r="W487" s="5" t="str">
        <f aca="false">IF(V487&lt;-0.1,"ADVERSE &gt;10%","")</f>
        <v/>
      </c>
    </row>
    <row r="488" customFormat="false" ht="15" hidden="false" customHeight="false" outlineLevel="0" collapsed="false">
      <c r="A488" s="5" t="str">
        <f aca="false">01_Data!A488</f>
        <v>Retail &amp; Consumer</v>
      </c>
      <c r="B488" s="5" t="str">
        <f aca="false">01_Data!C488</f>
        <v>2024-10</v>
      </c>
      <c r="C488" s="5" t="str">
        <f aca="false">01_Data!D488</f>
        <v>FY24</v>
      </c>
      <c r="D488" s="7" t="n">
        <f aca="false">01_Data!E488</f>
        <v>266559</v>
      </c>
      <c r="E488" s="7" t="n">
        <f aca="false">01_Data!F488</f>
        <v>252432</v>
      </c>
      <c r="F488" s="7" t="n">
        <f aca="false">E488-D488</f>
        <v>-14127</v>
      </c>
      <c r="G488" s="8" t="n">
        <f aca="false">IFERROR(F488/D488,0)</f>
        <v>-0.0529976478002994</v>
      </c>
      <c r="H488" s="7" t="n">
        <f aca="false">01_Data!G488</f>
        <v>159258</v>
      </c>
      <c r="I488" s="7" t="n">
        <f aca="false">01_Data!H488</f>
        <v>147111</v>
      </c>
      <c r="J488" s="7" t="n">
        <f aca="false">H488-I488</f>
        <v>12147</v>
      </c>
      <c r="K488" s="8" t="n">
        <f aca="false">IFERROR(J488/H488,0)</f>
        <v>0.0762724635497118</v>
      </c>
      <c r="L488" s="7" t="n">
        <f aca="false">D488-H488</f>
        <v>107301</v>
      </c>
      <c r="M488" s="7" t="n">
        <f aca="false">E488-I488</f>
        <v>105321</v>
      </c>
      <c r="N488" s="7" t="n">
        <f aca="false">IFERROR(L488/D488,0)</f>
        <v>0.402541276040201</v>
      </c>
      <c r="O488" s="7" t="n">
        <f aca="false">IFERROR(M488/E488,0)</f>
        <v>0.417225232934018</v>
      </c>
      <c r="P488" s="7" t="n">
        <f aca="false">01_Data!I488+01_Data!K488+01_Data!M488+01_Data!O488+01_Data!Q488+01_Data!S488+01_Data!U488</f>
        <v>72975</v>
      </c>
      <c r="Q488" s="7" t="n">
        <f aca="false">01_Data!J488+01_Data!L488+01_Data!N488+01_Data!P488+01_Data!R488+01_Data!T488+01_Data!V488</f>
        <v>72573</v>
      </c>
      <c r="R488" s="7" t="n">
        <f aca="false">P488-Q488</f>
        <v>402</v>
      </c>
      <c r="S488" s="7" t="n">
        <f aca="false">L488-P488</f>
        <v>34326</v>
      </c>
      <c r="T488" s="7" t="n">
        <f aca="false">M488-Q488</f>
        <v>32748</v>
      </c>
      <c r="U488" s="7" t="n">
        <f aca="false">T488-S488</f>
        <v>-1578</v>
      </c>
      <c r="V488" s="8" t="n">
        <f aca="false">IFERROR(U488/S488,0)</f>
        <v>-0.0459709840936899</v>
      </c>
      <c r="W488" s="5" t="str">
        <f aca="false">IF(V488&lt;-0.1,"ADVERSE &gt;10%","")</f>
        <v/>
      </c>
    </row>
    <row r="489" customFormat="false" ht="15" hidden="false" customHeight="false" outlineLevel="0" collapsed="false">
      <c r="A489" s="5" t="str">
        <f aca="false">01_Data!A489</f>
        <v>Retail &amp; Consumer</v>
      </c>
      <c r="B489" s="5" t="str">
        <f aca="false">01_Data!C489</f>
        <v>2024-11</v>
      </c>
      <c r="C489" s="5" t="str">
        <f aca="false">01_Data!D489</f>
        <v>FY24</v>
      </c>
      <c r="D489" s="7" t="n">
        <f aca="false">01_Data!E489</f>
        <v>245959</v>
      </c>
      <c r="E489" s="7" t="n">
        <f aca="false">01_Data!F489</f>
        <v>258269</v>
      </c>
      <c r="F489" s="7" t="n">
        <f aca="false">E489-D489</f>
        <v>12310</v>
      </c>
      <c r="G489" s="8" t="n">
        <f aca="false">IFERROR(F489/D489,0)</f>
        <v>0.0500489919051549</v>
      </c>
      <c r="H489" s="7" t="n">
        <f aca="false">01_Data!G489</f>
        <v>137197</v>
      </c>
      <c r="I489" s="7" t="n">
        <f aca="false">01_Data!H489</f>
        <v>145504</v>
      </c>
      <c r="J489" s="7" t="n">
        <f aca="false">H489-I489</f>
        <v>-8307</v>
      </c>
      <c r="K489" s="8" t="n">
        <f aca="false">IFERROR(J489/H489,0)</f>
        <v>-0.0605479711655503</v>
      </c>
      <c r="L489" s="7" t="n">
        <f aca="false">D489-H489</f>
        <v>108762</v>
      </c>
      <c r="M489" s="7" t="n">
        <f aca="false">E489-I489</f>
        <v>112765</v>
      </c>
      <c r="N489" s="7" t="n">
        <f aca="false">IFERROR(L489/D489,0)</f>
        <v>0.442195650494595</v>
      </c>
      <c r="O489" s="7" t="n">
        <f aca="false">IFERROR(M489/E489,0)</f>
        <v>0.436618409487782</v>
      </c>
      <c r="P489" s="7" t="n">
        <f aca="false">01_Data!I489+01_Data!K489+01_Data!M489+01_Data!O489+01_Data!Q489+01_Data!S489+01_Data!U489</f>
        <v>70291</v>
      </c>
      <c r="Q489" s="7" t="n">
        <f aca="false">01_Data!J489+01_Data!L489+01_Data!N489+01_Data!P489+01_Data!R489+01_Data!T489+01_Data!V489</f>
        <v>68604</v>
      </c>
      <c r="R489" s="7" t="n">
        <f aca="false">P489-Q489</f>
        <v>1687</v>
      </c>
      <c r="S489" s="7" t="n">
        <f aca="false">L489-P489</f>
        <v>38471</v>
      </c>
      <c r="T489" s="7" t="n">
        <f aca="false">M489-Q489</f>
        <v>44161</v>
      </c>
      <c r="U489" s="7" t="n">
        <f aca="false">T489-S489</f>
        <v>5690</v>
      </c>
      <c r="V489" s="8" t="n">
        <f aca="false">IFERROR(U489/S489,0)</f>
        <v>0.147903615710535</v>
      </c>
      <c r="W489" s="5" t="str">
        <f aca="false">IF(V489&lt;-0.1,"ADVERSE &gt;10%","")</f>
        <v/>
      </c>
    </row>
    <row r="490" customFormat="false" ht="15" hidden="false" customHeight="false" outlineLevel="0" collapsed="false">
      <c r="A490" s="5" t="str">
        <f aca="false">01_Data!A490</f>
        <v>Retail &amp; Consumer</v>
      </c>
      <c r="B490" s="5" t="str">
        <f aca="false">01_Data!C490</f>
        <v>2024-12</v>
      </c>
      <c r="C490" s="5" t="str">
        <f aca="false">01_Data!D490</f>
        <v>FY24</v>
      </c>
      <c r="D490" s="7" t="n">
        <f aca="false">01_Data!E490</f>
        <v>258101</v>
      </c>
      <c r="E490" s="7" t="n">
        <f aca="false">01_Data!F490</f>
        <v>271055</v>
      </c>
      <c r="F490" s="7" t="n">
        <f aca="false">E490-D490</f>
        <v>12954</v>
      </c>
      <c r="G490" s="8" t="n">
        <f aca="false">IFERROR(F490/D490,0)</f>
        <v>0.0501896544376039</v>
      </c>
      <c r="H490" s="7" t="n">
        <f aca="false">01_Data!G490</f>
        <v>154177</v>
      </c>
      <c r="I490" s="7" t="n">
        <f aca="false">01_Data!H490</f>
        <v>161336</v>
      </c>
      <c r="J490" s="7" t="n">
        <f aca="false">H490-I490</f>
        <v>-7159</v>
      </c>
      <c r="K490" s="8" t="n">
        <f aca="false">IFERROR(J490/H490,0)</f>
        <v>-0.0464336444476154</v>
      </c>
      <c r="L490" s="7" t="n">
        <f aca="false">D490-H490</f>
        <v>103924</v>
      </c>
      <c r="M490" s="7" t="n">
        <f aca="false">E490-I490</f>
        <v>109719</v>
      </c>
      <c r="N490" s="7" t="n">
        <f aca="false">IFERROR(L490/D490,0)</f>
        <v>0.402648575557631</v>
      </c>
      <c r="O490" s="7" t="n">
        <f aca="false">IFERROR(M490/E490,0)</f>
        <v>0.404785006732951</v>
      </c>
      <c r="P490" s="7" t="n">
        <f aca="false">01_Data!I490+01_Data!K490+01_Data!M490+01_Data!O490+01_Data!Q490+01_Data!S490+01_Data!U490</f>
        <v>70482</v>
      </c>
      <c r="Q490" s="7" t="n">
        <f aca="false">01_Data!J490+01_Data!L490+01_Data!N490+01_Data!P490+01_Data!R490+01_Data!T490+01_Data!V490</f>
        <v>71892</v>
      </c>
      <c r="R490" s="7" t="n">
        <f aca="false">P490-Q490</f>
        <v>-1410</v>
      </c>
      <c r="S490" s="7" t="n">
        <f aca="false">L490-P490</f>
        <v>33442</v>
      </c>
      <c r="T490" s="7" t="n">
        <f aca="false">M490-Q490</f>
        <v>37827</v>
      </c>
      <c r="U490" s="7" t="n">
        <f aca="false">T490-S490</f>
        <v>4385</v>
      </c>
      <c r="V490" s="8" t="n">
        <f aca="false">IFERROR(U490/S490,0)</f>
        <v>0.131122540517912</v>
      </c>
      <c r="W490" s="5" t="str">
        <f aca="false">IF(V490&lt;-0.1,"ADVERSE &gt;10%","")</f>
        <v/>
      </c>
    </row>
    <row r="491" customFormat="false" ht="15" hidden="false" customHeight="false" outlineLevel="0" collapsed="false">
      <c r="A491" s="5" t="str">
        <f aca="false">01_Data!A491</f>
        <v>Retail &amp; Consumer</v>
      </c>
      <c r="B491" s="5" t="str">
        <f aca="false">01_Data!C491</f>
        <v>2025-01</v>
      </c>
      <c r="C491" s="5" t="str">
        <f aca="false">01_Data!D491</f>
        <v>FY24</v>
      </c>
      <c r="D491" s="7" t="n">
        <f aca="false">01_Data!E491</f>
        <v>245526</v>
      </c>
      <c r="E491" s="7" t="n">
        <f aca="false">01_Data!F491</f>
        <v>257778</v>
      </c>
      <c r="F491" s="7" t="n">
        <f aca="false">E491-D491</f>
        <v>12252</v>
      </c>
      <c r="G491" s="8" t="n">
        <f aca="false">IFERROR(F491/D491,0)</f>
        <v>0.0499010288116126</v>
      </c>
      <c r="H491" s="7" t="n">
        <f aca="false">01_Data!G491</f>
        <v>146082</v>
      </c>
      <c r="I491" s="7" t="n">
        <f aca="false">01_Data!H491</f>
        <v>156745</v>
      </c>
      <c r="J491" s="7" t="n">
        <f aca="false">H491-I491</f>
        <v>-10663</v>
      </c>
      <c r="K491" s="8" t="n">
        <f aca="false">IFERROR(J491/H491,0)</f>
        <v>-0.0729932503662327</v>
      </c>
      <c r="L491" s="7" t="n">
        <f aca="false">D491-H491</f>
        <v>99444</v>
      </c>
      <c r="M491" s="7" t="n">
        <f aca="false">E491-I491</f>
        <v>101033</v>
      </c>
      <c r="N491" s="7" t="n">
        <f aca="false">IFERROR(L491/D491,0)</f>
        <v>0.405024315143814</v>
      </c>
      <c r="O491" s="7" t="n">
        <f aca="false">IFERROR(M491/E491,0)</f>
        <v>0.391938024191359</v>
      </c>
      <c r="P491" s="7" t="n">
        <f aca="false">01_Data!I491+01_Data!K491+01_Data!M491+01_Data!O491+01_Data!Q491+01_Data!S491+01_Data!U491</f>
        <v>67723</v>
      </c>
      <c r="Q491" s="7" t="n">
        <f aca="false">01_Data!J491+01_Data!L491+01_Data!N491+01_Data!P491+01_Data!R491+01_Data!T491+01_Data!V491</f>
        <v>70405</v>
      </c>
      <c r="R491" s="7" t="n">
        <f aca="false">P491-Q491</f>
        <v>-2682</v>
      </c>
      <c r="S491" s="7" t="n">
        <f aca="false">L491-P491</f>
        <v>31721</v>
      </c>
      <c r="T491" s="7" t="n">
        <f aca="false">M491-Q491</f>
        <v>30628</v>
      </c>
      <c r="U491" s="7" t="n">
        <f aca="false">T491-S491</f>
        <v>-1093</v>
      </c>
      <c r="V491" s="8" t="n">
        <f aca="false">IFERROR(U491/S491,0)</f>
        <v>-0.0344566690835724</v>
      </c>
      <c r="W491" s="5" t="str">
        <f aca="false">IF(V491&lt;-0.1,"ADVERSE &gt;10%","")</f>
        <v/>
      </c>
    </row>
    <row r="492" customFormat="false" ht="15" hidden="false" customHeight="false" outlineLevel="0" collapsed="false">
      <c r="A492" s="5" t="str">
        <f aca="false">01_Data!A492</f>
        <v>Retail &amp; Consumer</v>
      </c>
      <c r="B492" s="5" t="str">
        <f aca="false">01_Data!C492</f>
        <v>2025-02</v>
      </c>
      <c r="C492" s="5" t="str">
        <f aca="false">01_Data!D492</f>
        <v>FY24</v>
      </c>
      <c r="D492" s="7" t="n">
        <f aca="false">01_Data!E492</f>
        <v>275568</v>
      </c>
      <c r="E492" s="7" t="n">
        <f aca="false">01_Data!F492</f>
        <v>261165</v>
      </c>
      <c r="F492" s="7" t="n">
        <f aca="false">E492-D492</f>
        <v>-14403</v>
      </c>
      <c r="G492" s="8" t="n">
        <f aca="false">IFERROR(F492/D492,0)</f>
        <v>-0.0522665911862045</v>
      </c>
      <c r="H492" s="7" t="n">
        <f aca="false">01_Data!G492</f>
        <v>153411</v>
      </c>
      <c r="I492" s="7" t="n">
        <f aca="false">01_Data!H492</f>
        <v>141351</v>
      </c>
      <c r="J492" s="7" t="n">
        <f aca="false">H492-I492</f>
        <v>12060</v>
      </c>
      <c r="K492" s="8" t="n">
        <f aca="false">IFERROR(J492/H492,0)</f>
        <v>0.0786123550462483</v>
      </c>
      <c r="L492" s="7" t="n">
        <f aca="false">D492-H492</f>
        <v>122157</v>
      </c>
      <c r="M492" s="7" t="n">
        <f aca="false">E492-I492</f>
        <v>119814</v>
      </c>
      <c r="N492" s="7" t="n">
        <f aca="false">IFERROR(L492/D492,0)</f>
        <v>0.443291673924403</v>
      </c>
      <c r="O492" s="7" t="n">
        <f aca="false">IFERROR(M492/E492,0)</f>
        <v>0.458767445867555</v>
      </c>
      <c r="P492" s="7" t="n">
        <f aca="false">01_Data!I492+01_Data!K492+01_Data!M492+01_Data!O492+01_Data!Q492+01_Data!S492+01_Data!U492</f>
        <v>76471</v>
      </c>
      <c r="Q492" s="7" t="n">
        <f aca="false">01_Data!J492+01_Data!L492+01_Data!N492+01_Data!P492+01_Data!R492+01_Data!T492+01_Data!V492</f>
        <v>76422</v>
      </c>
      <c r="R492" s="7" t="n">
        <f aca="false">P492-Q492</f>
        <v>49</v>
      </c>
      <c r="S492" s="7" t="n">
        <f aca="false">L492-P492</f>
        <v>45686</v>
      </c>
      <c r="T492" s="7" t="n">
        <f aca="false">M492-Q492</f>
        <v>43392</v>
      </c>
      <c r="U492" s="7" t="n">
        <f aca="false">T492-S492</f>
        <v>-2294</v>
      </c>
      <c r="V492" s="8" t="n">
        <f aca="false">IFERROR(U492/S492,0)</f>
        <v>-0.0502123188723022</v>
      </c>
      <c r="W492" s="5" t="str">
        <f aca="false">IF(V492&lt;-0.1,"ADVERSE &gt;10%","")</f>
        <v/>
      </c>
    </row>
    <row r="493" customFormat="false" ht="15" hidden="false" customHeight="false" outlineLevel="0" collapsed="false">
      <c r="A493" s="5" t="str">
        <f aca="false">01_Data!A493</f>
        <v>Retail &amp; Consumer</v>
      </c>
      <c r="B493" s="5" t="str">
        <f aca="false">01_Data!C493</f>
        <v>2025-03</v>
      </c>
      <c r="C493" s="5" t="str">
        <f aca="false">01_Data!D493</f>
        <v>FY24</v>
      </c>
      <c r="D493" s="7" t="n">
        <f aca="false">01_Data!E493</f>
        <v>279900</v>
      </c>
      <c r="E493" s="7" t="n">
        <f aca="false">01_Data!F493</f>
        <v>278813</v>
      </c>
      <c r="F493" s="7" t="n">
        <f aca="false">E493-D493</f>
        <v>-1087</v>
      </c>
      <c r="G493" s="8" t="n">
        <f aca="false">IFERROR(F493/D493,0)</f>
        <v>-0.00388352983208289</v>
      </c>
      <c r="H493" s="7" t="n">
        <f aca="false">01_Data!G493</f>
        <v>164941</v>
      </c>
      <c r="I493" s="7" t="n">
        <f aca="false">01_Data!H493</f>
        <v>164086</v>
      </c>
      <c r="J493" s="7" t="n">
        <f aca="false">H493-I493</f>
        <v>855</v>
      </c>
      <c r="K493" s="8" t="n">
        <f aca="false">IFERROR(J493/H493,0)</f>
        <v>0.00518367173716662</v>
      </c>
      <c r="L493" s="7" t="n">
        <f aca="false">D493-H493</f>
        <v>114959</v>
      </c>
      <c r="M493" s="7" t="n">
        <f aca="false">E493-I493</f>
        <v>114727</v>
      </c>
      <c r="N493" s="7" t="n">
        <f aca="false">IFERROR(L493/D493,0)</f>
        <v>0.410714540907467</v>
      </c>
      <c r="O493" s="7" t="n">
        <f aca="false">IFERROR(M493/E493,0)</f>
        <v>0.411483682611643</v>
      </c>
      <c r="P493" s="7" t="n">
        <f aca="false">01_Data!I493+01_Data!K493+01_Data!M493+01_Data!O493+01_Data!Q493+01_Data!S493+01_Data!U493</f>
        <v>77867</v>
      </c>
      <c r="Q493" s="7" t="n">
        <f aca="false">01_Data!J493+01_Data!L493+01_Data!N493+01_Data!P493+01_Data!R493+01_Data!T493+01_Data!V493</f>
        <v>79658</v>
      </c>
      <c r="R493" s="7" t="n">
        <f aca="false">P493-Q493</f>
        <v>-1791</v>
      </c>
      <c r="S493" s="7" t="n">
        <f aca="false">L493-P493</f>
        <v>37092</v>
      </c>
      <c r="T493" s="7" t="n">
        <f aca="false">M493-Q493</f>
        <v>35069</v>
      </c>
      <c r="U493" s="7" t="n">
        <f aca="false">T493-S493</f>
        <v>-2023</v>
      </c>
      <c r="V493" s="8" t="n">
        <f aca="false">IFERROR(U493/S493,0)</f>
        <v>-0.05454006254718</v>
      </c>
      <c r="W493" s="5" t="str">
        <f aca="false">IF(V493&lt;-0.1,"ADVERSE &gt;10%","")</f>
        <v/>
      </c>
    </row>
    <row r="494" customFormat="false" ht="15" hidden="false" customHeight="false" outlineLevel="0" collapsed="false">
      <c r="A494" s="5" t="str">
        <f aca="false">01_Data!A494</f>
        <v>Retail &amp; Consumer</v>
      </c>
      <c r="B494" s="5" t="str">
        <f aca="false">01_Data!C494</f>
        <v>2025-04</v>
      </c>
      <c r="C494" s="5" t="str">
        <f aca="false">01_Data!D494</f>
        <v>FY25</v>
      </c>
      <c r="D494" s="7" t="n">
        <f aca="false">01_Data!E494</f>
        <v>276263</v>
      </c>
      <c r="E494" s="7" t="n">
        <f aca="false">01_Data!F494</f>
        <v>265166</v>
      </c>
      <c r="F494" s="7" t="n">
        <f aca="false">E494-D494</f>
        <v>-11097</v>
      </c>
      <c r="G494" s="8" t="n">
        <f aca="false">IFERROR(F494/D494,0)</f>
        <v>-0.040168245476231</v>
      </c>
      <c r="H494" s="7" t="n">
        <f aca="false">01_Data!G494</f>
        <v>163549</v>
      </c>
      <c r="I494" s="7" t="n">
        <f aca="false">01_Data!H494</f>
        <v>162535</v>
      </c>
      <c r="J494" s="7" t="n">
        <f aca="false">H494-I494</f>
        <v>1014</v>
      </c>
      <c r="K494" s="8" t="n">
        <f aca="false">IFERROR(J494/H494,0)</f>
        <v>0.00619997676537307</v>
      </c>
      <c r="L494" s="7" t="n">
        <f aca="false">D494-H494</f>
        <v>112714</v>
      </c>
      <c r="M494" s="7" t="n">
        <f aca="false">E494-I494</f>
        <v>102631</v>
      </c>
      <c r="N494" s="7" t="n">
        <f aca="false">IFERROR(L494/D494,0)</f>
        <v>0.407995279860133</v>
      </c>
      <c r="O494" s="7" t="n">
        <f aca="false">IFERROR(M494/E494,0)</f>
        <v>0.387044342034801</v>
      </c>
      <c r="P494" s="7" t="n">
        <f aca="false">01_Data!I494+01_Data!K494+01_Data!M494+01_Data!O494+01_Data!Q494+01_Data!S494+01_Data!U494</f>
        <v>73458</v>
      </c>
      <c r="Q494" s="7" t="n">
        <f aca="false">01_Data!J494+01_Data!L494+01_Data!N494+01_Data!P494+01_Data!R494+01_Data!T494+01_Data!V494</f>
        <v>73736</v>
      </c>
      <c r="R494" s="7" t="n">
        <f aca="false">P494-Q494</f>
        <v>-278</v>
      </c>
      <c r="S494" s="7" t="n">
        <f aca="false">L494-P494</f>
        <v>39256</v>
      </c>
      <c r="T494" s="7" t="n">
        <f aca="false">M494-Q494</f>
        <v>28895</v>
      </c>
      <c r="U494" s="7" t="n">
        <f aca="false">T494-S494</f>
        <v>-10361</v>
      </c>
      <c r="V494" s="8" t="n">
        <f aca="false">IFERROR(U494/S494,0)</f>
        <v>-0.263934175667414</v>
      </c>
      <c r="W494" s="5" t="str">
        <f aca="false">IF(V494&lt;-0.1,"ADVERSE &gt;10%","")</f>
        <v>ADVERSE &gt;10%</v>
      </c>
    </row>
    <row r="495" customFormat="false" ht="15" hidden="false" customHeight="false" outlineLevel="0" collapsed="false">
      <c r="A495" s="5" t="str">
        <f aca="false">01_Data!A495</f>
        <v>Retail &amp; Consumer</v>
      </c>
      <c r="B495" s="5" t="str">
        <f aca="false">01_Data!C495</f>
        <v>2025-05</v>
      </c>
      <c r="C495" s="5" t="str">
        <f aca="false">01_Data!D495</f>
        <v>FY25</v>
      </c>
      <c r="D495" s="7" t="n">
        <f aca="false">01_Data!E495</f>
        <v>272881</v>
      </c>
      <c r="E495" s="7" t="n">
        <f aca="false">01_Data!F495</f>
        <v>266442</v>
      </c>
      <c r="F495" s="7" t="n">
        <f aca="false">E495-D495</f>
        <v>-6439</v>
      </c>
      <c r="G495" s="8" t="n">
        <f aca="false">IFERROR(F495/D495,0)</f>
        <v>-0.0235963661815956</v>
      </c>
      <c r="H495" s="7" t="n">
        <f aca="false">01_Data!G495</f>
        <v>158207</v>
      </c>
      <c r="I495" s="7" t="n">
        <f aca="false">01_Data!H495</f>
        <v>150128</v>
      </c>
      <c r="J495" s="7" t="n">
        <f aca="false">H495-I495</f>
        <v>8079</v>
      </c>
      <c r="K495" s="8" t="n">
        <f aca="false">IFERROR(J495/H495,0)</f>
        <v>0.0510660084572743</v>
      </c>
      <c r="L495" s="7" t="n">
        <f aca="false">D495-H495</f>
        <v>114674</v>
      </c>
      <c r="M495" s="7" t="n">
        <f aca="false">E495-I495</f>
        <v>116314</v>
      </c>
      <c r="N495" s="7" t="n">
        <f aca="false">IFERROR(L495/D495,0)</f>
        <v>0.420234461175384</v>
      </c>
      <c r="O495" s="7" t="n">
        <f aca="false">IFERROR(M495/E495,0)</f>
        <v>0.436545289406325</v>
      </c>
      <c r="P495" s="7" t="n">
        <f aca="false">01_Data!I495+01_Data!K495+01_Data!M495+01_Data!O495+01_Data!Q495+01_Data!S495+01_Data!U495</f>
        <v>73259</v>
      </c>
      <c r="Q495" s="7" t="n">
        <f aca="false">01_Data!J495+01_Data!L495+01_Data!N495+01_Data!P495+01_Data!R495+01_Data!T495+01_Data!V495</f>
        <v>76557</v>
      </c>
      <c r="R495" s="7" t="n">
        <f aca="false">P495-Q495</f>
        <v>-3298</v>
      </c>
      <c r="S495" s="7" t="n">
        <f aca="false">L495-P495</f>
        <v>41415</v>
      </c>
      <c r="T495" s="7" t="n">
        <f aca="false">M495-Q495</f>
        <v>39757</v>
      </c>
      <c r="U495" s="7" t="n">
        <f aca="false">T495-S495</f>
        <v>-1658</v>
      </c>
      <c r="V495" s="8" t="n">
        <f aca="false">IFERROR(U495/S495,0)</f>
        <v>-0.0400338041772305</v>
      </c>
      <c r="W495" s="5" t="str">
        <f aca="false">IF(V495&lt;-0.1,"ADVERSE &gt;10%","")</f>
        <v/>
      </c>
    </row>
    <row r="496" customFormat="false" ht="15" hidden="false" customHeight="false" outlineLevel="0" collapsed="false">
      <c r="A496" s="5" t="str">
        <f aca="false">01_Data!A496</f>
        <v>Retail &amp; Consumer</v>
      </c>
      <c r="B496" s="5" t="str">
        <f aca="false">01_Data!C496</f>
        <v>2025-06</v>
      </c>
      <c r="C496" s="5" t="str">
        <f aca="false">01_Data!D496</f>
        <v>FY25</v>
      </c>
      <c r="D496" s="7" t="n">
        <f aca="false">01_Data!E496</f>
        <v>262919</v>
      </c>
      <c r="E496" s="7" t="n">
        <f aca="false">01_Data!F496</f>
        <v>268153</v>
      </c>
      <c r="F496" s="7" t="n">
        <f aca="false">E496-D496</f>
        <v>5234</v>
      </c>
      <c r="G496" s="8" t="n">
        <f aca="false">IFERROR(F496/D496,0)</f>
        <v>0.0199072718213594</v>
      </c>
      <c r="H496" s="7" t="n">
        <f aca="false">01_Data!G496</f>
        <v>154303</v>
      </c>
      <c r="I496" s="7" t="n">
        <f aca="false">01_Data!H496</f>
        <v>161333</v>
      </c>
      <c r="J496" s="7" t="n">
        <f aca="false">H496-I496</f>
        <v>-7030</v>
      </c>
      <c r="K496" s="8" t="n">
        <f aca="false">IFERROR(J496/H496,0)</f>
        <v>-0.0455597104398489</v>
      </c>
      <c r="L496" s="7" t="n">
        <f aca="false">D496-H496</f>
        <v>108616</v>
      </c>
      <c r="M496" s="7" t="n">
        <f aca="false">E496-I496</f>
        <v>106820</v>
      </c>
      <c r="N496" s="7" t="n">
        <f aca="false">IFERROR(L496/D496,0)</f>
        <v>0.41311582654734</v>
      </c>
      <c r="O496" s="7" t="n">
        <f aca="false">IFERROR(M496/E496,0)</f>
        <v>0.39835467065444</v>
      </c>
      <c r="P496" s="7" t="n">
        <f aca="false">01_Data!I496+01_Data!K496+01_Data!M496+01_Data!O496+01_Data!Q496+01_Data!S496+01_Data!U496</f>
        <v>70763</v>
      </c>
      <c r="Q496" s="7" t="n">
        <f aca="false">01_Data!J496+01_Data!L496+01_Data!N496+01_Data!P496+01_Data!R496+01_Data!T496+01_Data!V496</f>
        <v>70451</v>
      </c>
      <c r="R496" s="7" t="n">
        <f aca="false">P496-Q496</f>
        <v>312</v>
      </c>
      <c r="S496" s="7" t="n">
        <f aca="false">L496-P496</f>
        <v>37853</v>
      </c>
      <c r="T496" s="7" t="n">
        <f aca="false">M496-Q496</f>
        <v>36369</v>
      </c>
      <c r="U496" s="7" t="n">
        <f aca="false">T496-S496</f>
        <v>-1484</v>
      </c>
      <c r="V496" s="8" t="n">
        <f aca="false">IFERROR(U496/S496,0)</f>
        <v>-0.0392042902808232</v>
      </c>
      <c r="W496" s="5" t="str">
        <f aca="false">IF(V496&lt;-0.1,"ADVERSE &gt;10%","")</f>
        <v/>
      </c>
    </row>
    <row r="497" customFormat="false" ht="15" hidden="false" customHeight="false" outlineLevel="0" collapsed="false">
      <c r="A497" s="5" t="str">
        <f aca="false">01_Data!A497</f>
        <v>Retail &amp; Consumer</v>
      </c>
      <c r="B497" s="5" t="str">
        <f aca="false">01_Data!C497</f>
        <v>2025-07</v>
      </c>
      <c r="C497" s="5" t="str">
        <f aca="false">01_Data!D497</f>
        <v>FY25</v>
      </c>
      <c r="D497" s="7" t="n">
        <f aca="false">01_Data!E497</f>
        <v>270601</v>
      </c>
      <c r="E497" s="7" t="n">
        <f aca="false">01_Data!F497</f>
        <v>273102</v>
      </c>
      <c r="F497" s="7" t="n">
        <f aca="false">E497-D497</f>
        <v>2501</v>
      </c>
      <c r="G497" s="8" t="n">
        <f aca="false">IFERROR(F497/D497,0)</f>
        <v>0.00924239008725023</v>
      </c>
      <c r="H497" s="7" t="n">
        <f aca="false">01_Data!G497</f>
        <v>148670</v>
      </c>
      <c r="I497" s="7" t="n">
        <f aca="false">01_Data!H497</f>
        <v>157870</v>
      </c>
      <c r="J497" s="7" t="n">
        <f aca="false">H497-I497</f>
        <v>-9200</v>
      </c>
      <c r="K497" s="8" t="n">
        <f aca="false">IFERROR(J497/H497,0)</f>
        <v>-0.0618820205824982</v>
      </c>
      <c r="L497" s="7" t="n">
        <f aca="false">D497-H497</f>
        <v>121931</v>
      </c>
      <c r="M497" s="7" t="n">
        <f aca="false">E497-I497</f>
        <v>115232</v>
      </c>
      <c r="N497" s="7" t="n">
        <f aca="false">IFERROR(L497/D497,0)</f>
        <v>0.450593308967816</v>
      </c>
      <c r="O497" s="7" t="n">
        <f aca="false">IFERROR(M497/E497,0)</f>
        <v>0.421937591083185</v>
      </c>
      <c r="P497" s="7" t="n">
        <f aca="false">01_Data!I497+01_Data!K497+01_Data!M497+01_Data!O497+01_Data!Q497+01_Data!S497+01_Data!U497</f>
        <v>70410</v>
      </c>
      <c r="Q497" s="7" t="n">
        <f aca="false">01_Data!J497+01_Data!L497+01_Data!N497+01_Data!P497+01_Data!R497+01_Data!T497+01_Data!V497</f>
        <v>73598</v>
      </c>
      <c r="R497" s="7" t="n">
        <f aca="false">P497-Q497</f>
        <v>-3188</v>
      </c>
      <c r="S497" s="7" t="n">
        <f aca="false">L497-P497</f>
        <v>51521</v>
      </c>
      <c r="T497" s="7" t="n">
        <f aca="false">M497-Q497</f>
        <v>41634</v>
      </c>
      <c r="U497" s="7" t="n">
        <f aca="false">T497-S497</f>
        <v>-9887</v>
      </c>
      <c r="V497" s="8" t="n">
        <f aca="false">IFERROR(U497/S497,0)</f>
        <v>-0.191902331088294</v>
      </c>
      <c r="W497" s="5" t="str">
        <f aca="false">IF(V497&lt;-0.1,"ADVERSE &gt;10%","")</f>
        <v>ADVERSE &gt;10%</v>
      </c>
    </row>
    <row r="498" customFormat="false" ht="15" hidden="false" customHeight="false" outlineLevel="0" collapsed="false">
      <c r="A498" s="5" t="str">
        <f aca="false">01_Data!A498</f>
        <v>Retail &amp; Consumer</v>
      </c>
      <c r="B498" s="5" t="str">
        <f aca="false">01_Data!C498</f>
        <v>2025-08</v>
      </c>
      <c r="C498" s="5" t="str">
        <f aca="false">01_Data!D498</f>
        <v>FY25</v>
      </c>
      <c r="D498" s="7" t="n">
        <f aca="false">01_Data!E498</f>
        <v>268204</v>
      </c>
      <c r="E498" s="7" t="n">
        <f aca="false">01_Data!F498</f>
        <v>279443</v>
      </c>
      <c r="F498" s="7" t="n">
        <f aca="false">E498-D498</f>
        <v>11239</v>
      </c>
      <c r="G498" s="8" t="n">
        <f aca="false">IFERROR(F498/D498,0)</f>
        <v>0.041904669579872</v>
      </c>
      <c r="H498" s="7" t="n">
        <f aca="false">01_Data!G498</f>
        <v>157758</v>
      </c>
      <c r="I498" s="7" t="n">
        <f aca="false">01_Data!H498</f>
        <v>167815</v>
      </c>
      <c r="J498" s="7" t="n">
        <f aca="false">H498-I498</f>
        <v>-10057</v>
      </c>
      <c r="K498" s="8" t="n">
        <f aca="false">IFERROR(J498/H498,0)</f>
        <v>-0.0637495404353504</v>
      </c>
      <c r="L498" s="7" t="n">
        <f aca="false">D498-H498</f>
        <v>110446</v>
      </c>
      <c r="M498" s="7" t="n">
        <f aca="false">E498-I498</f>
        <v>111628</v>
      </c>
      <c r="N498" s="7" t="n">
        <f aca="false">IFERROR(L498/D498,0)</f>
        <v>0.411798481752696</v>
      </c>
      <c r="O498" s="7" t="n">
        <f aca="false">IFERROR(M498/E498,0)</f>
        <v>0.399466080739185</v>
      </c>
      <c r="P498" s="7" t="n">
        <f aca="false">01_Data!I498+01_Data!K498+01_Data!M498+01_Data!O498+01_Data!Q498+01_Data!S498+01_Data!U498</f>
        <v>67142</v>
      </c>
      <c r="Q498" s="7" t="n">
        <f aca="false">01_Data!J498+01_Data!L498+01_Data!N498+01_Data!P498+01_Data!R498+01_Data!T498+01_Data!V498</f>
        <v>66063</v>
      </c>
      <c r="R498" s="7" t="n">
        <f aca="false">P498-Q498</f>
        <v>1079</v>
      </c>
      <c r="S498" s="7" t="n">
        <f aca="false">L498-P498</f>
        <v>43304</v>
      </c>
      <c r="T498" s="7" t="n">
        <f aca="false">M498-Q498</f>
        <v>45565</v>
      </c>
      <c r="U498" s="7" t="n">
        <f aca="false">T498-S498</f>
        <v>2261</v>
      </c>
      <c r="V498" s="8" t="n">
        <f aca="false">IFERROR(U498/S498,0)</f>
        <v>0.0522122667651949</v>
      </c>
      <c r="W498" s="5" t="str">
        <f aca="false">IF(V498&lt;-0.1,"ADVERSE &gt;10%","")</f>
        <v/>
      </c>
    </row>
    <row r="499" customFormat="false" ht="15" hidden="false" customHeight="false" outlineLevel="0" collapsed="false">
      <c r="A499" s="5" t="str">
        <f aca="false">01_Data!A499</f>
        <v>Retail &amp; Consumer</v>
      </c>
      <c r="B499" s="5" t="str">
        <f aca="false">01_Data!C499</f>
        <v>2025-09</v>
      </c>
      <c r="C499" s="5" t="str">
        <f aca="false">01_Data!D499</f>
        <v>FY25</v>
      </c>
      <c r="D499" s="7" t="n">
        <f aca="false">01_Data!E499</f>
        <v>284252</v>
      </c>
      <c r="E499" s="7" t="n">
        <f aca="false">01_Data!F499</f>
        <v>292350</v>
      </c>
      <c r="F499" s="7" t="n">
        <f aca="false">E499-D499</f>
        <v>8098</v>
      </c>
      <c r="G499" s="8" t="n">
        <f aca="false">IFERROR(F499/D499,0)</f>
        <v>0.0284888057076116</v>
      </c>
      <c r="H499" s="7" t="n">
        <f aca="false">01_Data!G499</f>
        <v>170153</v>
      </c>
      <c r="I499" s="7" t="n">
        <f aca="false">01_Data!H499</f>
        <v>177410</v>
      </c>
      <c r="J499" s="7" t="n">
        <f aca="false">H499-I499</f>
        <v>-7257</v>
      </c>
      <c r="K499" s="8" t="n">
        <f aca="false">IFERROR(J499/H499,0)</f>
        <v>-0.0426498504287318</v>
      </c>
      <c r="L499" s="7" t="n">
        <f aca="false">D499-H499</f>
        <v>114099</v>
      </c>
      <c r="M499" s="7" t="n">
        <f aca="false">E499-I499</f>
        <v>114940</v>
      </c>
      <c r="N499" s="7" t="n">
        <f aca="false">IFERROR(L499/D499,0)</f>
        <v>0.401400869650873</v>
      </c>
      <c r="O499" s="7" t="n">
        <f aca="false">IFERROR(M499/E499,0)</f>
        <v>0.393158884898238</v>
      </c>
      <c r="P499" s="7" t="n">
        <f aca="false">01_Data!I499+01_Data!K499+01_Data!M499+01_Data!O499+01_Data!Q499+01_Data!S499+01_Data!U499</f>
        <v>76521</v>
      </c>
      <c r="Q499" s="7" t="n">
        <f aca="false">01_Data!J499+01_Data!L499+01_Data!N499+01_Data!P499+01_Data!R499+01_Data!T499+01_Data!V499</f>
        <v>78415</v>
      </c>
      <c r="R499" s="7" t="n">
        <f aca="false">P499-Q499</f>
        <v>-1894</v>
      </c>
      <c r="S499" s="7" t="n">
        <f aca="false">L499-P499</f>
        <v>37578</v>
      </c>
      <c r="T499" s="7" t="n">
        <f aca="false">M499-Q499</f>
        <v>36525</v>
      </c>
      <c r="U499" s="7" t="n">
        <f aca="false">T499-S499</f>
        <v>-1053</v>
      </c>
      <c r="V499" s="8" t="n">
        <f aca="false">IFERROR(U499/S499,0)</f>
        <v>-0.0280217148331471</v>
      </c>
      <c r="W499" s="5" t="str">
        <f aca="false">IF(V499&lt;-0.1,"ADVERSE &gt;10%","")</f>
        <v/>
      </c>
    </row>
    <row r="500" customFormat="false" ht="15" hidden="false" customHeight="false" outlineLevel="0" collapsed="false">
      <c r="A500" s="5" t="str">
        <f aca="false">01_Data!A500</f>
        <v>Retail &amp; Consumer</v>
      </c>
      <c r="B500" s="5" t="str">
        <f aca="false">01_Data!C500</f>
        <v>2025-10</v>
      </c>
      <c r="C500" s="5" t="str">
        <f aca="false">01_Data!D500</f>
        <v>FY25</v>
      </c>
      <c r="D500" s="7" t="n">
        <f aca="false">01_Data!E500</f>
        <v>272159</v>
      </c>
      <c r="E500" s="7" t="n">
        <f aca="false">01_Data!F500</f>
        <v>275221</v>
      </c>
      <c r="F500" s="7" t="n">
        <f aca="false">E500-D500</f>
        <v>3062</v>
      </c>
      <c r="G500" s="8" t="n">
        <f aca="false">IFERROR(F500/D500,0)</f>
        <v>0.0112507762006768</v>
      </c>
      <c r="H500" s="7" t="n">
        <f aca="false">01_Data!G500</f>
        <v>159073</v>
      </c>
      <c r="I500" s="7" t="n">
        <f aca="false">01_Data!H500</f>
        <v>156749</v>
      </c>
      <c r="J500" s="7" t="n">
        <f aca="false">H500-I500</f>
        <v>2324</v>
      </c>
      <c r="K500" s="8" t="n">
        <f aca="false">IFERROR(J500/H500,0)</f>
        <v>0.0146096446285668</v>
      </c>
      <c r="L500" s="7" t="n">
        <f aca="false">D500-H500</f>
        <v>113086</v>
      </c>
      <c r="M500" s="7" t="n">
        <f aca="false">E500-I500</f>
        <v>118472</v>
      </c>
      <c r="N500" s="7" t="n">
        <f aca="false">IFERROR(L500/D500,0)</f>
        <v>0.415514460297106</v>
      </c>
      <c r="O500" s="7" t="n">
        <f aca="false">IFERROR(M500/E500,0)</f>
        <v>0.430461338342641</v>
      </c>
      <c r="P500" s="7" t="n">
        <f aca="false">01_Data!I500+01_Data!K500+01_Data!M500+01_Data!O500+01_Data!Q500+01_Data!S500+01_Data!U500</f>
        <v>75426</v>
      </c>
      <c r="Q500" s="7" t="n">
        <f aca="false">01_Data!J500+01_Data!L500+01_Data!N500+01_Data!P500+01_Data!R500+01_Data!T500+01_Data!V500</f>
        <v>75713</v>
      </c>
      <c r="R500" s="7" t="n">
        <f aca="false">P500-Q500</f>
        <v>-287</v>
      </c>
      <c r="S500" s="7" t="n">
        <f aca="false">L500-P500</f>
        <v>37660</v>
      </c>
      <c r="T500" s="7" t="n">
        <f aca="false">M500-Q500</f>
        <v>42759</v>
      </c>
      <c r="U500" s="7" t="n">
        <f aca="false">T500-S500</f>
        <v>5099</v>
      </c>
      <c r="V500" s="8" t="n">
        <f aca="false">IFERROR(U500/S500,0)</f>
        <v>0.135395645246946</v>
      </c>
      <c r="W500" s="5" t="str">
        <f aca="false">IF(V500&lt;-0.1,"ADVERSE &gt;10%","")</f>
        <v/>
      </c>
    </row>
    <row r="501" customFormat="false" ht="15" hidden="false" customHeight="false" outlineLevel="0" collapsed="false">
      <c r="A501" s="5" t="str">
        <f aca="false">01_Data!A501</f>
        <v>Retail &amp; Consumer</v>
      </c>
      <c r="B501" s="5" t="str">
        <f aca="false">01_Data!C501</f>
        <v>2025-11</v>
      </c>
      <c r="C501" s="5" t="str">
        <f aca="false">01_Data!D501</f>
        <v>FY25</v>
      </c>
      <c r="D501" s="7" t="n">
        <f aca="false">01_Data!E501</f>
        <v>288710</v>
      </c>
      <c r="E501" s="7" t="n">
        <f aca="false">01_Data!F501</f>
        <v>279688</v>
      </c>
      <c r="F501" s="7" t="n">
        <f aca="false">E501-D501</f>
        <v>-9022</v>
      </c>
      <c r="G501" s="8" t="n">
        <f aca="false">IFERROR(F501/D501,0)</f>
        <v>-0.0312493505593849</v>
      </c>
      <c r="H501" s="7" t="n">
        <f aca="false">01_Data!G501</f>
        <v>158693</v>
      </c>
      <c r="I501" s="7" t="n">
        <f aca="false">01_Data!H501</f>
        <v>161617</v>
      </c>
      <c r="J501" s="7" t="n">
        <f aca="false">H501-I501</f>
        <v>-2924</v>
      </c>
      <c r="K501" s="8" t="n">
        <f aca="false">IFERROR(J501/H501,0)</f>
        <v>-0.0184255134126899</v>
      </c>
      <c r="L501" s="7" t="n">
        <f aca="false">D501-H501</f>
        <v>130017</v>
      </c>
      <c r="M501" s="7" t="n">
        <f aca="false">E501-I501</f>
        <v>118071</v>
      </c>
      <c r="N501" s="7" t="n">
        <f aca="false">IFERROR(L501/D501,0)</f>
        <v>0.450337709119878</v>
      </c>
      <c r="O501" s="7" t="n">
        <f aca="false">IFERROR(M501/E501,0)</f>
        <v>0.422152541403278</v>
      </c>
      <c r="P501" s="7" t="n">
        <f aca="false">01_Data!I501+01_Data!K501+01_Data!M501+01_Data!O501+01_Data!Q501+01_Data!S501+01_Data!U501</f>
        <v>78271</v>
      </c>
      <c r="Q501" s="7" t="n">
        <f aca="false">01_Data!J501+01_Data!L501+01_Data!N501+01_Data!P501+01_Data!R501+01_Data!T501+01_Data!V501</f>
        <v>82824</v>
      </c>
      <c r="R501" s="7" t="n">
        <f aca="false">P501-Q501</f>
        <v>-4553</v>
      </c>
      <c r="S501" s="7" t="n">
        <f aca="false">L501-P501</f>
        <v>51746</v>
      </c>
      <c r="T501" s="7" t="n">
        <f aca="false">M501-Q501</f>
        <v>35247</v>
      </c>
      <c r="U501" s="7" t="n">
        <f aca="false">T501-S501</f>
        <v>-16499</v>
      </c>
      <c r="V501" s="8" t="n">
        <f aca="false">IFERROR(U501/S501,0)</f>
        <v>-0.318845901132455</v>
      </c>
      <c r="W501" s="5" t="str">
        <f aca="false">IF(V501&lt;-0.1,"ADVERSE &gt;10%","")</f>
        <v>ADVERSE &gt;10%</v>
      </c>
    </row>
    <row r="502" customFormat="false" ht="15" hidden="false" customHeight="false" outlineLevel="0" collapsed="false">
      <c r="A502" s="5" t="str">
        <f aca="false">01_Data!A502</f>
        <v>Retail &amp; Consumer</v>
      </c>
      <c r="B502" s="5" t="str">
        <f aca="false">01_Data!C502</f>
        <v>2025-12</v>
      </c>
      <c r="C502" s="5" t="str">
        <f aca="false">01_Data!D502</f>
        <v>FY25</v>
      </c>
      <c r="D502" s="7" t="n">
        <f aca="false">01_Data!E502</f>
        <v>284225</v>
      </c>
      <c r="E502" s="7" t="n">
        <f aca="false">01_Data!F502</f>
        <v>299500</v>
      </c>
      <c r="F502" s="7" t="n">
        <f aca="false">E502-D502</f>
        <v>15275</v>
      </c>
      <c r="G502" s="8" t="n">
        <f aca="false">IFERROR(F502/D502,0)</f>
        <v>0.0537426334769989</v>
      </c>
      <c r="H502" s="7" t="n">
        <f aca="false">01_Data!G502</f>
        <v>156080</v>
      </c>
      <c r="I502" s="7" t="n">
        <f aca="false">01_Data!H502</f>
        <v>167880</v>
      </c>
      <c r="J502" s="7" t="n">
        <f aca="false">H502-I502</f>
        <v>-11800</v>
      </c>
      <c r="K502" s="8" t="n">
        <f aca="false">IFERROR(J502/H502,0)</f>
        <v>-0.075602255253716</v>
      </c>
      <c r="L502" s="7" t="n">
        <f aca="false">D502-H502</f>
        <v>128145</v>
      </c>
      <c r="M502" s="7" t="n">
        <f aca="false">E502-I502</f>
        <v>131620</v>
      </c>
      <c r="N502" s="7" t="n">
        <f aca="false">IFERROR(L502/D502,0)</f>
        <v>0.450857595215058</v>
      </c>
      <c r="O502" s="7" t="n">
        <f aca="false">IFERROR(M502/E502,0)</f>
        <v>0.439465776293823</v>
      </c>
      <c r="P502" s="7" t="n">
        <f aca="false">01_Data!I502+01_Data!K502+01_Data!M502+01_Data!O502+01_Data!Q502+01_Data!S502+01_Data!U502</f>
        <v>74430</v>
      </c>
      <c r="Q502" s="7" t="n">
        <f aca="false">01_Data!J502+01_Data!L502+01_Data!N502+01_Data!P502+01_Data!R502+01_Data!T502+01_Data!V502</f>
        <v>77729</v>
      </c>
      <c r="R502" s="7" t="n">
        <f aca="false">P502-Q502</f>
        <v>-3299</v>
      </c>
      <c r="S502" s="7" t="n">
        <f aca="false">L502-P502</f>
        <v>53715</v>
      </c>
      <c r="T502" s="7" t="n">
        <f aca="false">M502-Q502</f>
        <v>53891</v>
      </c>
      <c r="U502" s="7" t="n">
        <f aca="false">T502-S502</f>
        <v>176</v>
      </c>
      <c r="V502" s="8" t="n">
        <f aca="false">IFERROR(U502/S502,0)</f>
        <v>0.00327655217350833</v>
      </c>
      <c r="W502" s="5" t="str">
        <f aca="false">IF(V502&lt;-0.1,"ADVERSE &gt;10%","")</f>
        <v/>
      </c>
    </row>
    <row r="503" customFormat="false" ht="15" hidden="false" customHeight="false" outlineLevel="0" collapsed="false">
      <c r="A503" s="5" t="str">
        <f aca="false">01_Data!A503</f>
        <v>Retail &amp; Consumer</v>
      </c>
      <c r="B503" s="5" t="str">
        <f aca="false">01_Data!C503</f>
        <v>2026-01</v>
      </c>
      <c r="C503" s="5" t="str">
        <f aca="false">01_Data!D503</f>
        <v>FY25</v>
      </c>
      <c r="D503" s="7" t="n">
        <f aca="false">01_Data!E503</f>
        <v>271008</v>
      </c>
      <c r="E503" s="7" t="n">
        <f aca="false">01_Data!F503</f>
        <v>281859</v>
      </c>
      <c r="F503" s="7" t="n">
        <f aca="false">E503-D503</f>
        <v>10851</v>
      </c>
      <c r="G503" s="8" t="n">
        <f aca="false">IFERROR(F503/D503,0)</f>
        <v>0.0400394084307474</v>
      </c>
      <c r="H503" s="7" t="n">
        <f aca="false">01_Data!G503</f>
        <v>158896</v>
      </c>
      <c r="I503" s="7" t="n">
        <f aca="false">01_Data!H503</f>
        <v>163257</v>
      </c>
      <c r="J503" s="7" t="n">
        <f aca="false">H503-I503</f>
        <v>-4361</v>
      </c>
      <c r="K503" s="8" t="n">
        <f aca="false">IFERROR(J503/H503,0)</f>
        <v>-0.0274456248111973</v>
      </c>
      <c r="L503" s="7" t="n">
        <f aca="false">D503-H503</f>
        <v>112112</v>
      </c>
      <c r="M503" s="7" t="n">
        <f aca="false">E503-I503</f>
        <v>118602</v>
      </c>
      <c r="N503" s="7" t="n">
        <f aca="false">IFERROR(L503/D503,0)</f>
        <v>0.413685204864801</v>
      </c>
      <c r="O503" s="7" t="n">
        <f aca="false">IFERROR(M503/E503,0)</f>
        <v>0.420784860515364</v>
      </c>
      <c r="P503" s="7" t="n">
        <f aca="false">01_Data!I503+01_Data!K503+01_Data!M503+01_Data!O503+01_Data!Q503+01_Data!S503+01_Data!U503</f>
        <v>73531</v>
      </c>
      <c r="Q503" s="7" t="n">
        <f aca="false">01_Data!J503+01_Data!L503+01_Data!N503+01_Data!P503+01_Data!R503+01_Data!T503+01_Data!V503</f>
        <v>74016</v>
      </c>
      <c r="R503" s="7" t="n">
        <f aca="false">P503-Q503</f>
        <v>-485</v>
      </c>
      <c r="S503" s="7" t="n">
        <f aca="false">L503-P503</f>
        <v>38581</v>
      </c>
      <c r="T503" s="7" t="n">
        <f aca="false">M503-Q503</f>
        <v>44586</v>
      </c>
      <c r="U503" s="7" t="n">
        <f aca="false">T503-S503</f>
        <v>6005</v>
      </c>
      <c r="V503" s="8" t="n">
        <f aca="false">IFERROR(U503/S503,0)</f>
        <v>0.155646561779114</v>
      </c>
      <c r="W503" s="5" t="str">
        <f aca="false">IF(V503&lt;-0.1,"ADVERSE &gt;10%","")</f>
        <v/>
      </c>
    </row>
    <row r="504" customFormat="false" ht="15" hidden="false" customHeight="false" outlineLevel="0" collapsed="false">
      <c r="A504" s="5" t="str">
        <f aca="false">01_Data!A504</f>
        <v>Retail &amp; Consumer</v>
      </c>
      <c r="B504" s="5" t="str">
        <f aca="false">01_Data!C504</f>
        <v>2026-02</v>
      </c>
      <c r="C504" s="5" t="str">
        <f aca="false">01_Data!D504</f>
        <v>FY25</v>
      </c>
      <c r="D504" s="7" t="n">
        <f aca="false">01_Data!E504</f>
        <v>304259</v>
      </c>
      <c r="E504" s="7" t="n">
        <f aca="false">01_Data!F504</f>
        <v>288604</v>
      </c>
      <c r="F504" s="7" t="n">
        <f aca="false">E504-D504</f>
        <v>-15655</v>
      </c>
      <c r="G504" s="8" t="n">
        <f aca="false">IFERROR(F504/D504,0)</f>
        <v>-0.0514528740316638</v>
      </c>
      <c r="H504" s="7" t="n">
        <f aca="false">01_Data!G504</f>
        <v>171122</v>
      </c>
      <c r="I504" s="7" t="n">
        <f aca="false">01_Data!H504</f>
        <v>166389</v>
      </c>
      <c r="J504" s="7" t="n">
        <f aca="false">H504-I504</f>
        <v>4733</v>
      </c>
      <c r="K504" s="8" t="n">
        <f aca="false">IFERROR(J504/H504,0)</f>
        <v>0.0276586295157841</v>
      </c>
      <c r="L504" s="7" t="n">
        <f aca="false">D504-H504</f>
        <v>133137</v>
      </c>
      <c r="M504" s="7" t="n">
        <f aca="false">E504-I504</f>
        <v>122215</v>
      </c>
      <c r="N504" s="7" t="n">
        <f aca="false">IFERROR(L504/D504,0)</f>
        <v>0.43757785307912</v>
      </c>
      <c r="O504" s="7" t="n">
        <f aca="false">IFERROR(M504/E504,0)</f>
        <v>0.423469529181855</v>
      </c>
      <c r="P504" s="7" t="n">
        <f aca="false">01_Data!I504+01_Data!K504+01_Data!M504+01_Data!O504+01_Data!Q504+01_Data!S504+01_Data!U504</f>
        <v>84382</v>
      </c>
      <c r="Q504" s="7" t="n">
        <f aca="false">01_Data!J504+01_Data!L504+01_Data!N504+01_Data!P504+01_Data!R504+01_Data!T504+01_Data!V504</f>
        <v>84658</v>
      </c>
      <c r="R504" s="7" t="n">
        <f aca="false">P504-Q504</f>
        <v>-276</v>
      </c>
      <c r="S504" s="7" t="n">
        <f aca="false">L504-P504</f>
        <v>48755</v>
      </c>
      <c r="T504" s="7" t="n">
        <f aca="false">M504-Q504</f>
        <v>37557</v>
      </c>
      <c r="U504" s="7" t="n">
        <f aca="false">T504-S504</f>
        <v>-11198</v>
      </c>
      <c r="V504" s="8" t="n">
        <f aca="false">IFERROR(U504/S504,0)</f>
        <v>-0.229679007281304</v>
      </c>
      <c r="W504" s="5" t="str">
        <f aca="false">IF(V504&lt;-0.1,"ADVERSE &gt;10%","")</f>
        <v>ADVERSE &gt;10%</v>
      </c>
    </row>
    <row r="505" customFormat="false" ht="15" hidden="false" customHeight="false" outlineLevel="0" collapsed="false">
      <c r="A505" s="5" t="str">
        <f aca="false">01_Data!A505</f>
        <v>Retail &amp; Consumer</v>
      </c>
      <c r="B505" s="5" t="str">
        <f aca="false">01_Data!C505</f>
        <v>2026-03</v>
      </c>
      <c r="C505" s="5" t="str">
        <f aca="false">01_Data!D505</f>
        <v>FY25</v>
      </c>
      <c r="D505" s="7" t="n">
        <f aca="false">01_Data!E505</f>
        <v>298377</v>
      </c>
      <c r="E505" s="7" t="n">
        <f aca="false">01_Data!F505</f>
        <v>302434</v>
      </c>
      <c r="F505" s="7" t="n">
        <f aca="false">E505-D505</f>
        <v>4057</v>
      </c>
      <c r="G505" s="8" t="n">
        <f aca="false">IFERROR(F505/D505,0)</f>
        <v>0.0135968925218767</v>
      </c>
      <c r="H505" s="7" t="n">
        <f aca="false">01_Data!G505</f>
        <v>169400</v>
      </c>
      <c r="I505" s="7" t="n">
        <f aca="false">01_Data!H505</f>
        <v>167068</v>
      </c>
      <c r="J505" s="7" t="n">
        <f aca="false">H505-I505</f>
        <v>2332</v>
      </c>
      <c r="K505" s="8" t="n">
        <f aca="false">IFERROR(J505/H505,0)</f>
        <v>0.0137662337662338</v>
      </c>
      <c r="L505" s="7" t="n">
        <f aca="false">D505-H505</f>
        <v>128977</v>
      </c>
      <c r="M505" s="7" t="n">
        <f aca="false">E505-I505</f>
        <v>135366</v>
      </c>
      <c r="N505" s="7" t="n">
        <f aca="false">IFERROR(L505/D505,0)</f>
        <v>0.432261870050306</v>
      </c>
      <c r="O505" s="7" t="n">
        <f aca="false">IFERROR(M505/E505,0)</f>
        <v>0.44758856477777</v>
      </c>
      <c r="P505" s="7" t="n">
        <f aca="false">01_Data!I505+01_Data!K505+01_Data!M505+01_Data!O505+01_Data!Q505+01_Data!S505+01_Data!U505</f>
        <v>83347</v>
      </c>
      <c r="Q505" s="7" t="n">
        <f aca="false">01_Data!J505+01_Data!L505+01_Data!N505+01_Data!P505+01_Data!R505+01_Data!T505+01_Data!V505</f>
        <v>86042</v>
      </c>
      <c r="R505" s="7" t="n">
        <f aca="false">P505-Q505</f>
        <v>-2695</v>
      </c>
      <c r="S505" s="7" t="n">
        <f aca="false">L505-P505</f>
        <v>45630</v>
      </c>
      <c r="T505" s="7" t="n">
        <f aca="false">M505-Q505</f>
        <v>49324</v>
      </c>
      <c r="U505" s="7" t="n">
        <f aca="false">T505-S505</f>
        <v>3694</v>
      </c>
      <c r="V505" s="8" t="n">
        <f aca="false">IFERROR(U505/S505,0)</f>
        <v>0.0809555117247425</v>
      </c>
      <c r="W505" s="5" t="str">
        <f aca="false">IF(V505&lt;-0.1,"ADVERSE &gt;10%","")</f>
        <v/>
      </c>
    </row>
    <row r="506" customFormat="false" ht="15" hidden="false" customHeight="false" outlineLevel="0" collapsed="false">
      <c r="A506" s="5" t="str">
        <f aca="false">01_Data!A506</f>
        <v>Retail &amp; Consumer</v>
      </c>
      <c r="B506" s="5" t="str">
        <f aca="false">01_Data!C506</f>
        <v>2023-04</v>
      </c>
      <c r="C506" s="5" t="str">
        <f aca="false">01_Data!D506</f>
        <v>FY23</v>
      </c>
      <c r="D506" s="7" t="n">
        <f aca="false">01_Data!E506</f>
        <v>229143</v>
      </c>
      <c r="E506" s="7" t="n">
        <f aca="false">01_Data!F506</f>
        <v>242584</v>
      </c>
      <c r="F506" s="7" t="n">
        <f aca="false">E506-D506</f>
        <v>13441</v>
      </c>
      <c r="G506" s="8" t="n">
        <f aca="false">IFERROR(F506/D506,0)</f>
        <v>0.058657694103682</v>
      </c>
      <c r="H506" s="7" t="n">
        <f aca="false">01_Data!G506</f>
        <v>125878</v>
      </c>
      <c r="I506" s="7" t="n">
        <f aca="false">01_Data!H506</f>
        <v>134111</v>
      </c>
      <c r="J506" s="7" t="n">
        <f aca="false">H506-I506</f>
        <v>-8233</v>
      </c>
      <c r="K506" s="8" t="n">
        <f aca="false">IFERROR(J506/H506,0)</f>
        <v>-0.0654045981029251</v>
      </c>
      <c r="L506" s="7" t="n">
        <f aca="false">D506-H506</f>
        <v>103265</v>
      </c>
      <c r="M506" s="7" t="n">
        <f aca="false">E506-I506</f>
        <v>108473</v>
      </c>
      <c r="N506" s="7" t="n">
        <f aca="false">IFERROR(L506/D506,0)</f>
        <v>0.450657449714807</v>
      </c>
      <c r="O506" s="7" t="n">
        <f aca="false">IFERROR(M506/E506,0)</f>
        <v>0.447156448900175</v>
      </c>
      <c r="P506" s="7" t="n">
        <f aca="false">01_Data!I506+01_Data!K506+01_Data!M506+01_Data!O506+01_Data!Q506+01_Data!S506+01_Data!U506</f>
        <v>60903</v>
      </c>
      <c r="Q506" s="7" t="n">
        <f aca="false">01_Data!J506+01_Data!L506+01_Data!N506+01_Data!P506+01_Data!R506+01_Data!T506+01_Data!V506</f>
        <v>62585</v>
      </c>
      <c r="R506" s="7" t="n">
        <f aca="false">P506-Q506</f>
        <v>-1682</v>
      </c>
      <c r="S506" s="7" t="n">
        <f aca="false">L506-P506</f>
        <v>42362</v>
      </c>
      <c r="T506" s="7" t="n">
        <f aca="false">M506-Q506</f>
        <v>45888</v>
      </c>
      <c r="U506" s="7" t="n">
        <f aca="false">T506-S506</f>
        <v>3526</v>
      </c>
      <c r="V506" s="8" t="n">
        <f aca="false">IFERROR(U506/S506,0)</f>
        <v>0.0832349747415136</v>
      </c>
      <c r="W506" s="5" t="str">
        <f aca="false">IF(V506&lt;-0.1,"ADVERSE &gt;10%","")</f>
        <v/>
      </c>
    </row>
    <row r="507" customFormat="false" ht="15" hidden="false" customHeight="false" outlineLevel="0" collapsed="false">
      <c r="A507" s="5" t="str">
        <f aca="false">01_Data!A507</f>
        <v>Retail &amp; Consumer</v>
      </c>
      <c r="B507" s="5" t="str">
        <f aca="false">01_Data!C507</f>
        <v>2023-05</v>
      </c>
      <c r="C507" s="5" t="str">
        <f aca="false">01_Data!D507</f>
        <v>FY23</v>
      </c>
      <c r="D507" s="7" t="n">
        <f aca="false">01_Data!E507</f>
        <v>233942</v>
      </c>
      <c r="E507" s="7" t="n">
        <f aca="false">01_Data!F507</f>
        <v>246247</v>
      </c>
      <c r="F507" s="7" t="n">
        <f aca="false">E507-D507</f>
        <v>12305</v>
      </c>
      <c r="G507" s="8" t="n">
        <f aca="false">IFERROR(F507/D507,0)</f>
        <v>0.0525985073223278</v>
      </c>
      <c r="H507" s="7" t="n">
        <f aca="false">01_Data!G507</f>
        <v>127301</v>
      </c>
      <c r="I507" s="7" t="n">
        <f aca="false">01_Data!H507</f>
        <v>134059</v>
      </c>
      <c r="J507" s="7" t="n">
        <f aca="false">H507-I507</f>
        <v>-6758</v>
      </c>
      <c r="K507" s="8" t="n">
        <f aca="false">IFERROR(J507/H507,0)</f>
        <v>-0.0530867785799012</v>
      </c>
      <c r="L507" s="7" t="n">
        <f aca="false">D507-H507</f>
        <v>106641</v>
      </c>
      <c r="M507" s="7" t="n">
        <f aca="false">E507-I507</f>
        <v>112188</v>
      </c>
      <c r="N507" s="7" t="n">
        <f aca="false">IFERROR(L507/D507,0)</f>
        <v>0.455843756144685</v>
      </c>
      <c r="O507" s="7" t="n">
        <f aca="false">IFERROR(M507/E507,0)</f>
        <v>0.455591337153346</v>
      </c>
      <c r="P507" s="7" t="n">
        <f aca="false">01_Data!I507+01_Data!K507+01_Data!M507+01_Data!O507+01_Data!Q507+01_Data!S507+01_Data!U507</f>
        <v>64156</v>
      </c>
      <c r="Q507" s="7" t="n">
        <f aca="false">01_Data!J507+01_Data!L507+01_Data!N507+01_Data!P507+01_Data!R507+01_Data!T507+01_Data!V507</f>
        <v>64953</v>
      </c>
      <c r="R507" s="7" t="n">
        <f aca="false">P507-Q507</f>
        <v>-797</v>
      </c>
      <c r="S507" s="7" t="n">
        <f aca="false">L507-P507</f>
        <v>42485</v>
      </c>
      <c r="T507" s="7" t="n">
        <f aca="false">M507-Q507</f>
        <v>47235</v>
      </c>
      <c r="U507" s="7" t="n">
        <f aca="false">T507-S507</f>
        <v>4750</v>
      </c>
      <c r="V507" s="8" t="n">
        <f aca="false">IFERROR(U507/S507,0)</f>
        <v>0.111804166176298</v>
      </c>
      <c r="W507" s="5" t="str">
        <f aca="false">IF(V507&lt;-0.1,"ADVERSE &gt;10%","")</f>
        <v/>
      </c>
    </row>
    <row r="508" customFormat="false" ht="15" hidden="false" customHeight="false" outlineLevel="0" collapsed="false">
      <c r="A508" s="5" t="str">
        <f aca="false">01_Data!A508</f>
        <v>Retail &amp; Consumer</v>
      </c>
      <c r="B508" s="5" t="str">
        <f aca="false">01_Data!C508</f>
        <v>2023-06</v>
      </c>
      <c r="C508" s="5" t="str">
        <f aca="false">01_Data!D508</f>
        <v>FY23</v>
      </c>
      <c r="D508" s="7" t="n">
        <f aca="false">01_Data!E508</f>
        <v>254000</v>
      </c>
      <c r="E508" s="7" t="n">
        <f aca="false">01_Data!F508</f>
        <v>248372</v>
      </c>
      <c r="F508" s="7" t="n">
        <f aca="false">E508-D508</f>
        <v>-5628</v>
      </c>
      <c r="G508" s="8" t="n">
        <f aca="false">IFERROR(F508/D508,0)</f>
        <v>-0.0221574803149606</v>
      </c>
      <c r="H508" s="7" t="n">
        <f aca="false">01_Data!G508</f>
        <v>139609</v>
      </c>
      <c r="I508" s="7" t="n">
        <f aca="false">01_Data!H508</f>
        <v>140200</v>
      </c>
      <c r="J508" s="7" t="n">
        <f aca="false">H508-I508</f>
        <v>-591</v>
      </c>
      <c r="K508" s="8" t="n">
        <f aca="false">IFERROR(J508/H508,0)</f>
        <v>-0.00423325143794455</v>
      </c>
      <c r="L508" s="7" t="n">
        <f aca="false">D508-H508</f>
        <v>114391</v>
      </c>
      <c r="M508" s="7" t="n">
        <f aca="false">E508-I508</f>
        <v>108172</v>
      </c>
      <c r="N508" s="7" t="n">
        <f aca="false">IFERROR(L508/D508,0)</f>
        <v>0.450358267716535</v>
      </c>
      <c r="O508" s="7" t="n">
        <f aca="false">IFERROR(M508/E508,0)</f>
        <v>0.435524133155106</v>
      </c>
      <c r="P508" s="7" t="n">
        <f aca="false">01_Data!I508+01_Data!K508+01_Data!M508+01_Data!O508+01_Data!Q508+01_Data!S508+01_Data!U508</f>
        <v>67315</v>
      </c>
      <c r="Q508" s="7" t="n">
        <f aca="false">01_Data!J508+01_Data!L508+01_Data!N508+01_Data!P508+01_Data!R508+01_Data!T508+01_Data!V508</f>
        <v>69770</v>
      </c>
      <c r="R508" s="7" t="n">
        <f aca="false">P508-Q508</f>
        <v>-2455</v>
      </c>
      <c r="S508" s="7" t="n">
        <f aca="false">L508-P508</f>
        <v>47076</v>
      </c>
      <c r="T508" s="7" t="n">
        <f aca="false">M508-Q508</f>
        <v>38402</v>
      </c>
      <c r="U508" s="7" t="n">
        <f aca="false">T508-S508</f>
        <v>-8674</v>
      </c>
      <c r="V508" s="8" t="n">
        <f aca="false">IFERROR(U508/S508,0)</f>
        <v>-0.184255246834905</v>
      </c>
      <c r="W508" s="5" t="str">
        <f aca="false">IF(V508&lt;-0.1,"ADVERSE &gt;10%","")</f>
        <v>ADVERSE &gt;10%</v>
      </c>
    </row>
    <row r="509" customFormat="false" ht="15" hidden="false" customHeight="false" outlineLevel="0" collapsed="false">
      <c r="A509" s="5" t="str">
        <f aca="false">01_Data!A509</f>
        <v>Retail &amp; Consumer</v>
      </c>
      <c r="B509" s="5" t="str">
        <f aca="false">01_Data!C509</f>
        <v>2023-07</v>
      </c>
      <c r="C509" s="5" t="str">
        <f aca="false">01_Data!D509</f>
        <v>FY23</v>
      </c>
      <c r="D509" s="7" t="n">
        <f aca="false">01_Data!E509</f>
        <v>238480</v>
      </c>
      <c r="E509" s="7" t="n">
        <f aca="false">01_Data!F509</f>
        <v>248920</v>
      </c>
      <c r="F509" s="7" t="n">
        <f aca="false">E509-D509</f>
        <v>10440</v>
      </c>
      <c r="G509" s="8" t="n">
        <f aca="false">IFERROR(F509/D509,0)</f>
        <v>0.0437772559543777</v>
      </c>
      <c r="H509" s="7" t="n">
        <f aca="false">01_Data!G509</f>
        <v>135342</v>
      </c>
      <c r="I509" s="7" t="n">
        <f aca="false">01_Data!H509</f>
        <v>138124</v>
      </c>
      <c r="J509" s="7" t="n">
        <f aca="false">H509-I509</f>
        <v>-2782</v>
      </c>
      <c r="K509" s="8" t="n">
        <f aca="false">IFERROR(J509/H509,0)</f>
        <v>-0.0205553338948737</v>
      </c>
      <c r="L509" s="7" t="n">
        <f aca="false">D509-H509</f>
        <v>103138</v>
      </c>
      <c r="M509" s="7" t="n">
        <f aca="false">E509-I509</f>
        <v>110796</v>
      </c>
      <c r="N509" s="7" t="n">
        <f aca="false">IFERROR(L509/D509,0)</f>
        <v>0.432480711170748</v>
      </c>
      <c r="O509" s="7" t="n">
        <f aca="false">IFERROR(M509/E509,0)</f>
        <v>0.445106861642295</v>
      </c>
      <c r="P509" s="7" t="n">
        <f aca="false">01_Data!I509+01_Data!K509+01_Data!M509+01_Data!O509+01_Data!Q509+01_Data!S509+01_Data!U509</f>
        <v>67165</v>
      </c>
      <c r="Q509" s="7" t="n">
        <f aca="false">01_Data!J509+01_Data!L509+01_Data!N509+01_Data!P509+01_Data!R509+01_Data!T509+01_Data!V509</f>
        <v>65803</v>
      </c>
      <c r="R509" s="7" t="n">
        <f aca="false">P509-Q509</f>
        <v>1362</v>
      </c>
      <c r="S509" s="7" t="n">
        <f aca="false">L509-P509</f>
        <v>35973</v>
      </c>
      <c r="T509" s="7" t="n">
        <f aca="false">M509-Q509</f>
        <v>44993</v>
      </c>
      <c r="U509" s="7" t="n">
        <f aca="false">T509-S509</f>
        <v>9020</v>
      </c>
      <c r="V509" s="8" t="n">
        <f aca="false">IFERROR(U509/S509,0)</f>
        <v>0.250743613265505</v>
      </c>
      <c r="W509" s="5" t="str">
        <f aca="false">IF(V509&lt;-0.1,"ADVERSE &gt;10%","")</f>
        <v/>
      </c>
    </row>
    <row r="510" customFormat="false" ht="15" hidden="false" customHeight="false" outlineLevel="0" collapsed="false">
      <c r="A510" s="5" t="str">
        <f aca="false">01_Data!A510</f>
        <v>Retail &amp; Consumer</v>
      </c>
      <c r="B510" s="5" t="str">
        <f aca="false">01_Data!C510</f>
        <v>2023-08</v>
      </c>
      <c r="C510" s="5" t="str">
        <f aca="false">01_Data!D510</f>
        <v>FY23</v>
      </c>
      <c r="D510" s="7" t="n">
        <f aca="false">01_Data!E510</f>
        <v>251897</v>
      </c>
      <c r="E510" s="7" t="n">
        <f aca="false">01_Data!F510</f>
        <v>250512</v>
      </c>
      <c r="F510" s="7" t="n">
        <f aca="false">E510-D510</f>
        <v>-1385</v>
      </c>
      <c r="G510" s="8" t="n">
        <f aca="false">IFERROR(F510/D510,0)</f>
        <v>-0.00549827905850407</v>
      </c>
      <c r="H510" s="7" t="n">
        <f aca="false">01_Data!G510</f>
        <v>138535</v>
      </c>
      <c r="I510" s="7" t="n">
        <f aca="false">01_Data!H510</f>
        <v>137492</v>
      </c>
      <c r="J510" s="7" t="n">
        <f aca="false">H510-I510</f>
        <v>1043</v>
      </c>
      <c r="K510" s="8" t="n">
        <f aca="false">IFERROR(J510/H510,0)</f>
        <v>0.00752878333995019</v>
      </c>
      <c r="L510" s="7" t="n">
        <f aca="false">D510-H510</f>
        <v>113362</v>
      </c>
      <c r="M510" s="7" t="n">
        <f aca="false">E510-I510</f>
        <v>113020</v>
      </c>
      <c r="N510" s="7" t="n">
        <f aca="false">IFERROR(L510/D510,0)</f>
        <v>0.450033148469414</v>
      </c>
      <c r="O510" s="7" t="n">
        <f aca="false">IFERROR(M510/E510,0)</f>
        <v>0.451156032445552</v>
      </c>
      <c r="P510" s="7" t="n">
        <f aca="false">01_Data!I510+01_Data!K510+01_Data!M510+01_Data!O510+01_Data!Q510+01_Data!S510+01_Data!U510</f>
        <v>66012</v>
      </c>
      <c r="Q510" s="7" t="n">
        <f aca="false">01_Data!J510+01_Data!L510+01_Data!N510+01_Data!P510+01_Data!R510+01_Data!T510+01_Data!V510</f>
        <v>70441</v>
      </c>
      <c r="R510" s="7" t="n">
        <f aca="false">P510-Q510</f>
        <v>-4429</v>
      </c>
      <c r="S510" s="7" t="n">
        <f aca="false">L510-P510</f>
        <v>47350</v>
      </c>
      <c r="T510" s="7" t="n">
        <f aca="false">M510-Q510</f>
        <v>42579</v>
      </c>
      <c r="U510" s="7" t="n">
        <f aca="false">T510-S510</f>
        <v>-4771</v>
      </c>
      <c r="V510" s="8" t="n">
        <f aca="false">IFERROR(U510/S510,0)</f>
        <v>-0.100760295670539</v>
      </c>
      <c r="W510" s="5" t="str">
        <f aca="false">IF(V510&lt;-0.1,"ADVERSE &gt;10%","")</f>
        <v>ADVERSE &gt;10%</v>
      </c>
    </row>
    <row r="511" customFormat="false" ht="15" hidden="false" customHeight="false" outlineLevel="0" collapsed="false">
      <c r="A511" s="5" t="str">
        <f aca="false">01_Data!A511</f>
        <v>Retail &amp; Consumer</v>
      </c>
      <c r="B511" s="5" t="str">
        <f aca="false">01_Data!C511</f>
        <v>2023-09</v>
      </c>
      <c r="C511" s="5" t="str">
        <f aca="false">01_Data!D511</f>
        <v>FY23</v>
      </c>
      <c r="D511" s="7" t="n">
        <f aca="false">01_Data!E511</f>
        <v>270675</v>
      </c>
      <c r="E511" s="7" t="n">
        <f aca="false">01_Data!F511</f>
        <v>269303</v>
      </c>
      <c r="F511" s="7" t="n">
        <f aca="false">E511-D511</f>
        <v>-1372</v>
      </c>
      <c r="G511" s="8" t="n">
        <f aca="false">IFERROR(F511/D511,0)</f>
        <v>-0.00506880945783689</v>
      </c>
      <c r="H511" s="7" t="n">
        <f aca="false">01_Data!G511</f>
        <v>154661</v>
      </c>
      <c r="I511" s="7" t="n">
        <f aca="false">01_Data!H511</f>
        <v>158793</v>
      </c>
      <c r="J511" s="7" t="n">
        <f aca="false">H511-I511</f>
        <v>-4132</v>
      </c>
      <c r="K511" s="8" t="n">
        <f aca="false">IFERROR(J511/H511,0)</f>
        <v>-0.0267164960785201</v>
      </c>
      <c r="L511" s="7" t="n">
        <f aca="false">D511-H511</f>
        <v>116014</v>
      </c>
      <c r="M511" s="7" t="n">
        <f aca="false">E511-I511</f>
        <v>110510</v>
      </c>
      <c r="N511" s="7" t="n">
        <f aca="false">IFERROR(L511/D511,0)</f>
        <v>0.428609956590006</v>
      </c>
      <c r="O511" s="7" t="n">
        <f aca="false">IFERROR(M511/E511,0)</f>
        <v>0.410355621734626</v>
      </c>
      <c r="P511" s="7" t="n">
        <f aca="false">01_Data!I511+01_Data!K511+01_Data!M511+01_Data!O511+01_Data!Q511+01_Data!S511+01_Data!U511</f>
        <v>69907</v>
      </c>
      <c r="Q511" s="7" t="n">
        <f aca="false">01_Data!J511+01_Data!L511+01_Data!N511+01_Data!P511+01_Data!R511+01_Data!T511+01_Data!V511</f>
        <v>69960</v>
      </c>
      <c r="R511" s="7" t="n">
        <f aca="false">P511-Q511</f>
        <v>-53</v>
      </c>
      <c r="S511" s="7" t="n">
        <f aca="false">L511-P511</f>
        <v>46107</v>
      </c>
      <c r="T511" s="7" t="n">
        <f aca="false">M511-Q511</f>
        <v>40550</v>
      </c>
      <c r="U511" s="7" t="n">
        <f aca="false">T511-S511</f>
        <v>-5557</v>
      </c>
      <c r="V511" s="8" t="n">
        <f aca="false">IFERROR(U511/S511,0)</f>
        <v>-0.12052399852517</v>
      </c>
      <c r="W511" s="5" t="str">
        <f aca="false">IF(V511&lt;-0.1,"ADVERSE &gt;10%","")</f>
        <v>ADVERSE &gt;10%</v>
      </c>
    </row>
    <row r="512" customFormat="false" ht="15" hidden="false" customHeight="false" outlineLevel="0" collapsed="false">
      <c r="A512" s="5" t="str">
        <f aca="false">01_Data!A512</f>
        <v>Retail &amp; Consumer</v>
      </c>
      <c r="B512" s="5" t="str">
        <f aca="false">01_Data!C512</f>
        <v>2023-10</v>
      </c>
      <c r="C512" s="5" t="str">
        <f aca="false">01_Data!D512</f>
        <v>FY23</v>
      </c>
      <c r="D512" s="7" t="n">
        <f aca="false">01_Data!E512</f>
        <v>268378</v>
      </c>
      <c r="E512" s="7" t="n">
        <f aca="false">01_Data!F512</f>
        <v>258874</v>
      </c>
      <c r="F512" s="7" t="n">
        <f aca="false">E512-D512</f>
        <v>-9504</v>
      </c>
      <c r="G512" s="8" t="n">
        <f aca="false">IFERROR(F512/D512,0)</f>
        <v>-0.0354127387490778</v>
      </c>
      <c r="H512" s="7" t="n">
        <f aca="false">01_Data!G512</f>
        <v>146596</v>
      </c>
      <c r="I512" s="7" t="n">
        <f aca="false">01_Data!H512</f>
        <v>144635</v>
      </c>
      <c r="J512" s="7" t="n">
        <f aca="false">H512-I512</f>
        <v>1961</v>
      </c>
      <c r="K512" s="8" t="n">
        <f aca="false">IFERROR(J512/H512,0)</f>
        <v>0.0133768997789844</v>
      </c>
      <c r="L512" s="7" t="n">
        <f aca="false">D512-H512</f>
        <v>121782</v>
      </c>
      <c r="M512" s="7" t="n">
        <f aca="false">E512-I512</f>
        <v>114239</v>
      </c>
      <c r="N512" s="7" t="n">
        <f aca="false">IFERROR(L512/D512,0)</f>
        <v>0.453770428276535</v>
      </c>
      <c r="O512" s="7" t="n">
        <f aca="false">IFERROR(M512/E512,0)</f>
        <v>0.441291902624443</v>
      </c>
      <c r="P512" s="7" t="n">
        <f aca="false">01_Data!I512+01_Data!K512+01_Data!M512+01_Data!O512+01_Data!Q512+01_Data!S512+01_Data!U512</f>
        <v>71980</v>
      </c>
      <c r="Q512" s="7" t="n">
        <f aca="false">01_Data!J512+01_Data!L512+01_Data!N512+01_Data!P512+01_Data!R512+01_Data!T512+01_Data!V512</f>
        <v>72480</v>
      </c>
      <c r="R512" s="7" t="n">
        <f aca="false">P512-Q512</f>
        <v>-500</v>
      </c>
      <c r="S512" s="7" t="n">
        <f aca="false">L512-P512</f>
        <v>49802</v>
      </c>
      <c r="T512" s="7" t="n">
        <f aca="false">M512-Q512</f>
        <v>41759</v>
      </c>
      <c r="U512" s="7" t="n">
        <f aca="false">T512-S512</f>
        <v>-8043</v>
      </c>
      <c r="V512" s="8" t="n">
        <f aca="false">IFERROR(U512/S512,0)</f>
        <v>-0.161499538171158</v>
      </c>
      <c r="W512" s="5" t="str">
        <f aca="false">IF(V512&lt;-0.1,"ADVERSE &gt;10%","")</f>
        <v>ADVERSE &gt;10%</v>
      </c>
    </row>
    <row r="513" customFormat="false" ht="15" hidden="false" customHeight="false" outlineLevel="0" collapsed="false">
      <c r="A513" s="5" t="str">
        <f aca="false">01_Data!A513</f>
        <v>Retail &amp; Consumer</v>
      </c>
      <c r="B513" s="5" t="str">
        <f aca="false">01_Data!C513</f>
        <v>2023-11</v>
      </c>
      <c r="C513" s="5" t="str">
        <f aca="false">01_Data!D513</f>
        <v>FY23</v>
      </c>
      <c r="D513" s="7" t="n">
        <f aca="false">01_Data!E513</f>
        <v>257238</v>
      </c>
      <c r="E513" s="7" t="n">
        <f aca="false">01_Data!F513</f>
        <v>258181</v>
      </c>
      <c r="F513" s="7" t="n">
        <f aca="false">E513-D513</f>
        <v>943</v>
      </c>
      <c r="G513" s="8" t="n">
        <f aca="false">IFERROR(F513/D513,0)</f>
        <v>0.00366586585185704</v>
      </c>
      <c r="H513" s="7" t="n">
        <f aca="false">01_Data!G513</f>
        <v>140829</v>
      </c>
      <c r="I513" s="7" t="n">
        <f aca="false">01_Data!H513</f>
        <v>148673</v>
      </c>
      <c r="J513" s="7" t="n">
        <f aca="false">H513-I513</f>
        <v>-7844</v>
      </c>
      <c r="K513" s="8" t="n">
        <f aca="false">IFERROR(J513/H513,0)</f>
        <v>-0.0556987552279715</v>
      </c>
      <c r="L513" s="7" t="n">
        <f aca="false">D513-H513</f>
        <v>116409</v>
      </c>
      <c r="M513" s="7" t="n">
        <f aca="false">E513-I513</f>
        <v>109508</v>
      </c>
      <c r="N513" s="7" t="n">
        <f aca="false">IFERROR(L513/D513,0)</f>
        <v>0.452534229001936</v>
      </c>
      <c r="O513" s="7" t="n">
        <f aca="false">IFERROR(M513/E513,0)</f>
        <v>0.424152048369167</v>
      </c>
      <c r="P513" s="7" t="n">
        <f aca="false">01_Data!I513+01_Data!K513+01_Data!M513+01_Data!O513+01_Data!Q513+01_Data!S513+01_Data!U513</f>
        <v>73175</v>
      </c>
      <c r="Q513" s="7" t="n">
        <f aca="false">01_Data!J513+01_Data!L513+01_Data!N513+01_Data!P513+01_Data!R513+01_Data!T513+01_Data!V513</f>
        <v>74153</v>
      </c>
      <c r="R513" s="7" t="n">
        <f aca="false">P513-Q513</f>
        <v>-978</v>
      </c>
      <c r="S513" s="7" t="n">
        <f aca="false">L513-P513</f>
        <v>43234</v>
      </c>
      <c r="T513" s="7" t="n">
        <f aca="false">M513-Q513</f>
        <v>35355</v>
      </c>
      <c r="U513" s="7" t="n">
        <f aca="false">T513-S513</f>
        <v>-7879</v>
      </c>
      <c r="V513" s="8" t="n">
        <f aca="false">IFERROR(U513/S513,0)</f>
        <v>-0.182240828977194</v>
      </c>
      <c r="W513" s="5" t="str">
        <f aca="false">IF(V513&lt;-0.1,"ADVERSE &gt;10%","")</f>
        <v>ADVERSE &gt;10%</v>
      </c>
    </row>
    <row r="514" customFormat="false" ht="15" hidden="false" customHeight="false" outlineLevel="0" collapsed="false">
      <c r="A514" s="5" t="str">
        <f aca="false">01_Data!A514</f>
        <v>Retail &amp; Consumer</v>
      </c>
      <c r="B514" s="5" t="str">
        <f aca="false">01_Data!C514</f>
        <v>2023-12</v>
      </c>
      <c r="C514" s="5" t="str">
        <f aca="false">01_Data!D514</f>
        <v>FY23</v>
      </c>
      <c r="D514" s="7" t="n">
        <f aca="false">01_Data!E514</f>
        <v>289581</v>
      </c>
      <c r="E514" s="7" t="n">
        <f aca="false">01_Data!F514</f>
        <v>276312</v>
      </c>
      <c r="F514" s="7" t="n">
        <f aca="false">E514-D514</f>
        <v>-13269</v>
      </c>
      <c r="G514" s="8" t="n">
        <f aca="false">IFERROR(F514/D514,0)</f>
        <v>-0.0458213764024573</v>
      </c>
      <c r="H514" s="7" t="n">
        <f aca="false">01_Data!G514</f>
        <v>163577</v>
      </c>
      <c r="I514" s="7" t="n">
        <f aca="false">01_Data!H514</f>
        <v>150770</v>
      </c>
      <c r="J514" s="7" t="n">
        <f aca="false">H514-I514</f>
        <v>12807</v>
      </c>
      <c r="K514" s="8" t="n">
        <f aca="false">IFERROR(J514/H514,0)</f>
        <v>0.0782934031067937</v>
      </c>
      <c r="L514" s="7" t="n">
        <f aca="false">D514-H514</f>
        <v>126004</v>
      </c>
      <c r="M514" s="7" t="n">
        <f aca="false">E514-I514</f>
        <v>125542</v>
      </c>
      <c r="N514" s="7" t="n">
        <f aca="false">IFERROR(L514/D514,0)</f>
        <v>0.435125232663745</v>
      </c>
      <c r="O514" s="7" t="n">
        <f aca="false">IFERROR(M514/E514,0)</f>
        <v>0.454348707258461</v>
      </c>
      <c r="P514" s="7" t="n">
        <f aca="false">01_Data!I514+01_Data!K514+01_Data!M514+01_Data!O514+01_Data!Q514+01_Data!S514+01_Data!U514</f>
        <v>77034</v>
      </c>
      <c r="Q514" s="7" t="n">
        <f aca="false">01_Data!J514+01_Data!L514+01_Data!N514+01_Data!P514+01_Data!R514+01_Data!T514+01_Data!V514</f>
        <v>79799</v>
      </c>
      <c r="R514" s="7" t="n">
        <f aca="false">P514-Q514</f>
        <v>-2765</v>
      </c>
      <c r="S514" s="7" t="n">
        <f aca="false">L514-P514</f>
        <v>48970</v>
      </c>
      <c r="T514" s="7" t="n">
        <f aca="false">M514-Q514</f>
        <v>45743</v>
      </c>
      <c r="U514" s="7" t="n">
        <f aca="false">T514-S514</f>
        <v>-3227</v>
      </c>
      <c r="V514" s="8" t="n">
        <f aca="false">IFERROR(U514/S514,0)</f>
        <v>-0.0658974882581172</v>
      </c>
      <c r="W514" s="5" t="str">
        <f aca="false">IF(V514&lt;-0.1,"ADVERSE &gt;10%","")</f>
        <v/>
      </c>
    </row>
    <row r="515" customFormat="false" ht="15" hidden="false" customHeight="false" outlineLevel="0" collapsed="false">
      <c r="A515" s="5" t="str">
        <f aca="false">01_Data!A515</f>
        <v>Retail &amp; Consumer</v>
      </c>
      <c r="B515" s="5" t="str">
        <f aca="false">01_Data!C515</f>
        <v>2024-01</v>
      </c>
      <c r="C515" s="5" t="str">
        <f aca="false">01_Data!D515</f>
        <v>FY23</v>
      </c>
      <c r="D515" s="7" t="n">
        <f aca="false">01_Data!E515</f>
        <v>249627</v>
      </c>
      <c r="E515" s="7" t="n">
        <f aca="false">01_Data!F515</f>
        <v>261262</v>
      </c>
      <c r="F515" s="7" t="n">
        <f aca="false">E515-D515</f>
        <v>11635</v>
      </c>
      <c r="G515" s="8" t="n">
        <f aca="false">IFERROR(F515/D515,0)</f>
        <v>0.0466095414358222</v>
      </c>
      <c r="H515" s="7" t="n">
        <f aca="false">01_Data!G515</f>
        <v>144328</v>
      </c>
      <c r="I515" s="7" t="n">
        <f aca="false">01_Data!H515</f>
        <v>158598</v>
      </c>
      <c r="J515" s="7" t="n">
        <f aca="false">H515-I515</f>
        <v>-14270</v>
      </c>
      <c r="K515" s="8" t="n">
        <f aca="false">IFERROR(J515/H515,0)</f>
        <v>-0.0988720137464664</v>
      </c>
      <c r="L515" s="7" t="n">
        <f aca="false">D515-H515</f>
        <v>105299</v>
      </c>
      <c r="M515" s="7" t="n">
        <f aca="false">E515-I515</f>
        <v>102664</v>
      </c>
      <c r="N515" s="7" t="n">
        <f aca="false">IFERROR(L515/D515,0)</f>
        <v>0.421825363442256</v>
      </c>
      <c r="O515" s="7" t="n">
        <f aca="false">IFERROR(M515/E515,0)</f>
        <v>0.392954199232954</v>
      </c>
      <c r="P515" s="7" t="n">
        <f aca="false">01_Data!I515+01_Data!K515+01_Data!M515+01_Data!O515+01_Data!Q515+01_Data!S515+01_Data!U515</f>
        <v>64473</v>
      </c>
      <c r="Q515" s="7" t="n">
        <f aca="false">01_Data!J515+01_Data!L515+01_Data!N515+01_Data!P515+01_Data!R515+01_Data!T515+01_Data!V515</f>
        <v>67711</v>
      </c>
      <c r="R515" s="7" t="n">
        <f aca="false">P515-Q515</f>
        <v>-3238</v>
      </c>
      <c r="S515" s="7" t="n">
        <f aca="false">L515-P515</f>
        <v>40826</v>
      </c>
      <c r="T515" s="7" t="n">
        <f aca="false">M515-Q515</f>
        <v>34953</v>
      </c>
      <c r="U515" s="7" t="n">
        <f aca="false">T515-S515</f>
        <v>-5873</v>
      </c>
      <c r="V515" s="8" t="n">
        <f aca="false">IFERROR(U515/S515,0)</f>
        <v>-0.143854406505658</v>
      </c>
      <c r="W515" s="5" t="str">
        <f aca="false">IF(V515&lt;-0.1,"ADVERSE &gt;10%","")</f>
        <v>ADVERSE &gt;10%</v>
      </c>
    </row>
    <row r="516" customFormat="false" ht="15" hidden="false" customHeight="false" outlineLevel="0" collapsed="false">
      <c r="A516" s="5" t="str">
        <f aca="false">01_Data!A516</f>
        <v>Retail &amp; Consumer</v>
      </c>
      <c r="B516" s="5" t="str">
        <f aca="false">01_Data!C516</f>
        <v>2024-02</v>
      </c>
      <c r="C516" s="5" t="str">
        <f aca="false">01_Data!D516</f>
        <v>FY23</v>
      </c>
      <c r="D516" s="7" t="n">
        <f aca="false">01_Data!E516</f>
        <v>247928</v>
      </c>
      <c r="E516" s="7" t="n">
        <f aca="false">01_Data!F516</f>
        <v>260650</v>
      </c>
      <c r="F516" s="7" t="n">
        <f aca="false">E516-D516</f>
        <v>12722</v>
      </c>
      <c r="G516" s="8" t="n">
        <f aca="false">IFERROR(F516/D516,0)</f>
        <v>0.0513132845019522</v>
      </c>
      <c r="H516" s="7" t="n">
        <f aca="false">01_Data!G516</f>
        <v>140388</v>
      </c>
      <c r="I516" s="7" t="n">
        <f aca="false">01_Data!H516</f>
        <v>150575</v>
      </c>
      <c r="J516" s="7" t="n">
        <f aca="false">H516-I516</f>
        <v>-10187</v>
      </c>
      <c r="K516" s="8" t="n">
        <f aca="false">IFERROR(J516/H516,0)</f>
        <v>-0.0725631820383509</v>
      </c>
      <c r="L516" s="7" t="n">
        <f aca="false">D516-H516</f>
        <v>107540</v>
      </c>
      <c r="M516" s="7" t="n">
        <f aca="false">E516-I516</f>
        <v>110075</v>
      </c>
      <c r="N516" s="7" t="n">
        <f aca="false">IFERROR(L516/D516,0)</f>
        <v>0.433754961117744</v>
      </c>
      <c r="O516" s="7" t="n">
        <f aca="false">IFERROR(M516/E516,0)</f>
        <v>0.422309610588912</v>
      </c>
      <c r="P516" s="7" t="n">
        <f aca="false">01_Data!I516+01_Data!K516+01_Data!M516+01_Data!O516+01_Data!Q516+01_Data!S516+01_Data!U516</f>
        <v>68216</v>
      </c>
      <c r="Q516" s="7" t="n">
        <f aca="false">01_Data!J516+01_Data!L516+01_Data!N516+01_Data!P516+01_Data!R516+01_Data!T516+01_Data!V516</f>
        <v>67595</v>
      </c>
      <c r="R516" s="7" t="n">
        <f aca="false">P516-Q516</f>
        <v>621</v>
      </c>
      <c r="S516" s="7" t="n">
        <f aca="false">L516-P516</f>
        <v>39324</v>
      </c>
      <c r="T516" s="7" t="n">
        <f aca="false">M516-Q516</f>
        <v>42480</v>
      </c>
      <c r="U516" s="7" t="n">
        <f aca="false">T516-S516</f>
        <v>3156</v>
      </c>
      <c r="V516" s="8" t="n">
        <f aca="false">IFERROR(U516/S516,0)</f>
        <v>0.0802563320109857</v>
      </c>
      <c r="W516" s="5" t="str">
        <f aca="false">IF(V516&lt;-0.1,"ADVERSE &gt;10%","")</f>
        <v/>
      </c>
    </row>
    <row r="517" customFormat="false" ht="15" hidden="false" customHeight="false" outlineLevel="0" collapsed="false">
      <c r="A517" s="5" t="str">
        <f aca="false">01_Data!A517</f>
        <v>Retail &amp; Consumer</v>
      </c>
      <c r="B517" s="5" t="str">
        <f aca="false">01_Data!C517</f>
        <v>2024-03</v>
      </c>
      <c r="C517" s="5" t="str">
        <f aca="false">01_Data!D517</f>
        <v>FY23</v>
      </c>
      <c r="D517" s="7" t="n">
        <f aca="false">01_Data!E517</f>
        <v>273638</v>
      </c>
      <c r="E517" s="7" t="n">
        <f aca="false">01_Data!F517</f>
        <v>282267</v>
      </c>
      <c r="F517" s="7" t="n">
        <f aca="false">E517-D517</f>
        <v>8629</v>
      </c>
      <c r="G517" s="8" t="n">
        <f aca="false">IFERROR(F517/D517,0)</f>
        <v>0.0315343629174311</v>
      </c>
      <c r="H517" s="7" t="n">
        <f aca="false">01_Data!G517</f>
        <v>160571</v>
      </c>
      <c r="I517" s="7" t="n">
        <f aca="false">01_Data!H517</f>
        <v>171083</v>
      </c>
      <c r="J517" s="7" t="n">
        <f aca="false">H517-I517</f>
        <v>-10512</v>
      </c>
      <c r="K517" s="8" t="n">
        <f aca="false">IFERROR(J517/H517,0)</f>
        <v>-0.0654663669031145</v>
      </c>
      <c r="L517" s="7" t="n">
        <f aca="false">D517-H517</f>
        <v>113067</v>
      </c>
      <c r="M517" s="7" t="n">
        <f aca="false">E517-I517</f>
        <v>111184</v>
      </c>
      <c r="N517" s="7" t="n">
        <f aca="false">IFERROR(L517/D517,0)</f>
        <v>0.413199190170956</v>
      </c>
      <c r="O517" s="7" t="n">
        <f aca="false">IFERROR(M517/E517,0)</f>
        <v>0.393896558931792</v>
      </c>
      <c r="P517" s="7" t="n">
        <f aca="false">01_Data!I517+01_Data!K517+01_Data!M517+01_Data!O517+01_Data!Q517+01_Data!S517+01_Data!U517</f>
        <v>75165</v>
      </c>
      <c r="Q517" s="7" t="n">
        <f aca="false">01_Data!J517+01_Data!L517+01_Data!N517+01_Data!P517+01_Data!R517+01_Data!T517+01_Data!V517</f>
        <v>77720</v>
      </c>
      <c r="R517" s="7" t="n">
        <f aca="false">P517-Q517</f>
        <v>-2555</v>
      </c>
      <c r="S517" s="7" t="n">
        <f aca="false">L517-P517</f>
        <v>37902</v>
      </c>
      <c r="T517" s="7" t="n">
        <f aca="false">M517-Q517</f>
        <v>33464</v>
      </c>
      <c r="U517" s="7" t="n">
        <f aca="false">T517-S517</f>
        <v>-4438</v>
      </c>
      <c r="V517" s="8" t="n">
        <f aca="false">IFERROR(U517/S517,0)</f>
        <v>-0.11709144636167</v>
      </c>
      <c r="W517" s="5" t="str">
        <f aca="false">IF(V517&lt;-0.1,"ADVERSE &gt;10%","")</f>
        <v>ADVERSE &gt;10%</v>
      </c>
    </row>
    <row r="518" customFormat="false" ht="15" hidden="false" customHeight="false" outlineLevel="0" collapsed="false">
      <c r="A518" s="5" t="str">
        <f aca="false">01_Data!A518</f>
        <v>Retail &amp; Consumer</v>
      </c>
      <c r="B518" s="5" t="str">
        <f aca="false">01_Data!C518</f>
        <v>2024-04</v>
      </c>
      <c r="C518" s="5" t="str">
        <f aca="false">01_Data!D518</f>
        <v>FY24</v>
      </c>
      <c r="D518" s="7" t="n">
        <f aca="false">01_Data!E518</f>
        <v>261579</v>
      </c>
      <c r="E518" s="7" t="n">
        <f aca="false">01_Data!F518</f>
        <v>266003</v>
      </c>
      <c r="F518" s="7" t="n">
        <f aca="false">E518-D518</f>
        <v>4424</v>
      </c>
      <c r="G518" s="8" t="n">
        <f aca="false">IFERROR(F518/D518,0)</f>
        <v>0.0169126726533858</v>
      </c>
      <c r="H518" s="7" t="n">
        <f aca="false">01_Data!G518</f>
        <v>154410</v>
      </c>
      <c r="I518" s="7" t="n">
        <f aca="false">01_Data!H518</f>
        <v>156899</v>
      </c>
      <c r="J518" s="7" t="n">
        <f aca="false">H518-I518</f>
        <v>-2489</v>
      </c>
      <c r="K518" s="8" t="n">
        <f aca="false">IFERROR(J518/H518,0)</f>
        <v>-0.0161194223172074</v>
      </c>
      <c r="L518" s="7" t="n">
        <f aca="false">D518-H518</f>
        <v>107169</v>
      </c>
      <c r="M518" s="7" t="n">
        <f aca="false">E518-I518</f>
        <v>109104</v>
      </c>
      <c r="N518" s="7" t="n">
        <f aca="false">IFERROR(L518/D518,0)</f>
        <v>0.409700319979815</v>
      </c>
      <c r="O518" s="7" t="n">
        <f aca="false">IFERROR(M518/E518,0)</f>
        <v>0.41016078766029</v>
      </c>
      <c r="P518" s="7" t="n">
        <f aca="false">01_Data!I518+01_Data!K518+01_Data!M518+01_Data!O518+01_Data!Q518+01_Data!S518+01_Data!U518</f>
        <v>66507</v>
      </c>
      <c r="Q518" s="7" t="n">
        <f aca="false">01_Data!J518+01_Data!L518+01_Data!N518+01_Data!P518+01_Data!R518+01_Data!T518+01_Data!V518</f>
        <v>66158</v>
      </c>
      <c r="R518" s="7" t="n">
        <f aca="false">P518-Q518</f>
        <v>349</v>
      </c>
      <c r="S518" s="7" t="n">
        <f aca="false">L518-P518</f>
        <v>40662</v>
      </c>
      <c r="T518" s="7" t="n">
        <f aca="false">M518-Q518</f>
        <v>42946</v>
      </c>
      <c r="U518" s="7" t="n">
        <f aca="false">T518-S518</f>
        <v>2284</v>
      </c>
      <c r="V518" s="8" t="n">
        <f aca="false">IFERROR(U518/S518,0)</f>
        <v>0.0561703802075648</v>
      </c>
      <c r="W518" s="5" t="str">
        <f aca="false">IF(V518&lt;-0.1,"ADVERSE &gt;10%","")</f>
        <v/>
      </c>
    </row>
    <row r="519" customFormat="false" ht="15" hidden="false" customHeight="false" outlineLevel="0" collapsed="false">
      <c r="A519" s="5" t="str">
        <f aca="false">01_Data!A519</f>
        <v>Retail &amp; Consumer</v>
      </c>
      <c r="B519" s="5" t="str">
        <f aca="false">01_Data!C519</f>
        <v>2024-05</v>
      </c>
      <c r="C519" s="5" t="str">
        <f aca="false">01_Data!D519</f>
        <v>FY24</v>
      </c>
      <c r="D519" s="7" t="n">
        <f aca="false">01_Data!E519</f>
        <v>254542</v>
      </c>
      <c r="E519" s="7" t="n">
        <f aca="false">01_Data!F519</f>
        <v>269707</v>
      </c>
      <c r="F519" s="7" t="n">
        <f aca="false">E519-D519</f>
        <v>15165</v>
      </c>
      <c r="G519" s="8" t="n">
        <f aca="false">IFERROR(F519/D519,0)</f>
        <v>0.0595775942673508</v>
      </c>
      <c r="H519" s="7" t="n">
        <f aca="false">01_Data!G519</f>
        <v>152357</v>
      </c>
      <c r="I519" s="7" t="n">
        <f aca="false">01_Data!H519</f>
        <v>169441</v>
      </c>
      <c r="J519" s="7" t="n">
        <f aca="false">H519-I519</f>
        <v>-17084</v>
      </c>
      <c r="K519" s="8" t="n">
        <f aca="false">IFERROR(J519/H519,0)</f>
        <v>-0.11213137565061</v>
      </c>
      <c r="L519" s="7" t="n">
        <f aca="false">D519-H519</f>
        <v>102185</v>
      </c>
      <c r="M519" s="7" t="n">
        <f aca="false">E519-I519</f>
        <v>100266</v>
      </c>
      <c r="N519" s="7" t="n">
        <f aca="false">IFERROR(L519/D519,0)</f>
        <v>0.401446519631338</v>
      </c>
      <c r="O519" s="7" t="n">
        <f aca="false">IFERROR(M519/E519,0)</f>
        <v>0.371758982896254</v>
      </c>
      <c r="P519" s="7" t="n">
        <f aca="false">01_Data!I519+01_Data!K519+01_Data!M519+01_Data!O519+01_Data!Q519+01_Data!S519+01_Data!U519</f>
        <v>65183</v>
      </c>
      <c r="Q519" s="7" t="n">
        <f aca="false">01_Data!J519+01_Data!L519+01_Data!N519+01_Data!P519+01_Data!R519+01_Data!T519+01_Data!V519</f>
        <v>66905</v>
      </c>
      <c r="R519" s="7" t="n">
        <f aca="false">P519-Q519</f>
        <v>-1722</v>
      </c>
      <c r="S519" s="7" t="n">
        <f aca="false">L519-P519</f>
        <v>37002</v>
      </c>
      <c r="T519" s="7" t="n">
        <f aca="false">M519-Q519</f>
        <v>33361</v>
      </c>
      <c r="U519" s="7" t="n">
        <f aca="false">T519-S519</f>
        <v>-3641</v>
      </c>
      <c r="V519" s="8" t="n">
        <f aca="false">IFERROR(U519/S519,0)</f>
        <v>-0.0984000864818118</v>
      </c>
      <c r="W519" s="5" t="str">
        <f aca="false">IF(V519&lt;-0.1,"ADVERSE &gt;10%","")</f>
        <v/>
      </c>
    </row>
    <row r="520" customFormat="false" ht="15" hidden="false" customHeight="false" outlineLevel="0" collapsed="false">
      <c r="A520" s="5" t="str">
        <f aca="false">01_Data!A520</f>
        <v>Retail &amp; Consumer</v>
      </c>
      <c r="B520" s="5" t="str">
        <f aca="false">01_Data!C520</f>
        <v>2024-06</v>
      </c>
      <c r="C520" s="5" t="str">
        <f aca="false">01_Data!D520</f>
        <v>FY24</v>
      </c>
      <c r="D520" s="7" t="n">
        <f aca="false">01_Data!E520</f>
        <v>261329</v>
      </c>
      <c r="E520" s="7" t="n">
        <f aca="false">01_Data!F520</f>
        <v>270423</v>
      </c>
      <c r="F520" s="7" t="n">
        <f aca="false">E520-D520</f>
        <v>9094</v>
      </c>
      <c r="G520" s="8" t="n">
        <f aca="false">IFERROR(F520/D520,0)</f>
        <v>0.0347990464127594</v>
      </c>
      <c r="H520" s="7" t="n">
        <f aca="false">01_Data!G520</f>
        <v>152528</v>
      </c>
      <c r="I520" s="7" t="n">
        <f aca="false">01_Data!H520</f>
        <v>165136</v>
      </c>
      <c r="J520" s="7" t="n">
        <f aca="false">H520-I520</f>
        <v>-12608</v>
      </c>
      <c r="K520" s="8" t="n">
        <f aca="false">IFERROR(J520/H520,0)</f>
        <v>-0.0826602328752754</v>
      </c>
      <c r="L520" s="7" t="n">
        <f aca="false">D520-H520</f>
        <v>108801</v>
      </c>
      <c r="M520" s="7" t="n">
        <f aca="false">E520-I520</f>
        <v>105287</v>
      </c>
      <c r="N520" s="7" t="n">
        <f aca="false">IFERROR(L520/D520,0)</f>
        <v>0.416337260694374</v>
      </c>
      <c r="O520" s="7" t="n">
        <f aca="false">IFERROR(M520/E520,0)</f>
        <v>0.389341882901972</v>
      </c>
      <c r="P520" s="7" t="n">
        <f aca="false">01_Data!I520+01_Data!K520+01_Data!M520+01_Data!O520+01_Data!Q520+01_Data!S520+01_Data!U520</f>
        <v>70498</v>
      </c>
      <c r="Q520" s="7" t="n">
        <f aca="false">01_Data!J520+01_Data!L520+01_Data!N520+01_Data!P520+01_Data!R520+01_Data!T520+01_Data!V520</f>
        <v>70818</v>
      </c>
      <c r="R520" s="7" t="n">
        <f aca="false">P520-Q520</f>
        <v>-320</v>
      </c>
      <c r="S520" s="7" t="n">
        <f aca="false">L520-P520</f>
        <v>38303</v>
      </c>
      <c r="T520" s="7" t="n">
        <f aca="false">M520-Q520</f>
        <v>34469</v>
      </c>
      <c r="U520" s="7" t="n">
        <f aca="false">T520-S520</f>
        <v>-3834</v>
      </c>
      <c r="V520" s="8" t="n">
        <f aca="false">IFERROR(U520/S520,0)</f>
        <v>-0.100096598177688</v>
      </c>
      <c r="W520" s="5" t="str">
        <f aca="false">IF(V520&lt;-0.1,"ADVERSE &gt;10%","")</f>
        <v>ADVERSE &gt;10%</v>
      </c>
    </row>
    <row r="521" customFormat="false" ht="15" hidden="false" customHeight="false" outlineLevel="0" collapsed="false">
      <c r="A521" s="5" t="str">
        <f aca="false">01_Data!A521</f>
        <v>Retail &amp; Consumer</v>
      </c>
      <c r="B521" s="5" t="str">
        <f aca="false">01_Data!C521</f>
        <v>2024-07</v>
      </c>
      <c r="C521" s="5" t="str">
        <f aca="false">01_Data!D521</f>
        <v>FY24</v>
      </c>
      <c r="D521" s="7" t="n">
        <f aca="false">01_Data!E521</f>
        <v>267152</v>
      </c>
      <c r="E521" s="7" t="n">
        <f aca="false">01_Data!F521</f>
        <v>270633</v>
      </c>
      <c r="F521" s="7" t="n">
        <f aca="false">E521-D521</f>
        <v>3481</v>
      </c>
      <c r="G521" s="8" t="n">
        <f aca="false">IFERROR(F521/D521,0)</f>
        <v>0.013030035335689</v>
      </c>
      <c r="H521" s="7" t="n">
        <f aca="false">01_Data!G521</f>
        <v>153617</v>
      </c>
      <c r="I521" s="7" t="n">
        <f aca="false">01_Data!H521</f>
        <v>160578</v>
      </c>
      <c r="J521" s="7" t="n">
        <f aca="false">H521-I521</f>
        <v>-6961</v>
      </c>
      <c r="K521" s="8" t="n">
        <f aca="false">IFERROR(J521/H521,0)</f>
        <v>-0.0453139951958442</v>
      </c>
      <c r="L521" s="7" t="n">
        <f aca="false">D521-H521</f>
        <v>113535</v>
      </c>
      <c r="M521" s="7" t="n">
        <f aca="false">E521-I521</f>
        <v>110055</v>
      </c>
      <c r="N521" s="7" t="n">
        <f aca="false">IFERROR(L521/D521,0)</f>
        <v>0.424982781337965</v>
      </c>
      <c r="O521" s="7" t="n">
        <f aca="false">IFERROR(M521/E521,0)</f>
        <v>0.406657724667723</v>
      </c>
      <c r="P521" s="7" t="n">
        <f aca="false">01_Data!I521+01_Data!K521+01_Data!M521+01_Data!O521+01_Data!Q521+01_Data!S521+01_Data!U521</f>
        <v>72826</v>
      </c>
      <c r="Q521" s="7" t="n">
        <f aca="false">01_Data!J521+01_Data!L521+01_Data!N521+01_Data!P521+01_Data!R521+01_Data!T521+01_Data!V521</f>
        <v>76001</v>
      </c>
      <c r="R521" s="7" t="n">
        <f aca="false">P521-Q521</f>
        <v>-3175</v>
      </c>
      <c r="S521" s="7" t="n">
        <f aca="false">L521-P521</f>
        <v>40709</v>
      </c>
      <c r="T521" s="7" t="n">
        <f aca="false">M521-Q521</f>
        <v>34054</v>
      </c>
      <c r="U521" s="7" t="n">
        <f aca="false">T521-S521</f>
        <v>-6655</v>
      </c>
      <c r="V521" s="8" t="n">
        <f aca="false">IFERROR(U521/S521,0)</f>
        <v>-0.163477363727923</v>
      </c>
      <c r="W521" s="5" t="str">
        <f aca="false">IF(V521&lt;-0.1,"ADVERSE &gt;10%","")</f>
        <v>ADVERSE &gt;10%</v>
      </c>
    </row>
    <row r="522" customFormat="false" ht="15" hidden="false" customHeight="false" outlineLevel="0" collapsed="false">
      <c r="A522" s="5" t="str">
        <f aca="false">01_Data!A522</f>
        <v>Retail &amp; Consumer</v>
      </c>
      <c r="B522" s="5" t="str">
        <f aca="false">01_Data!C522</f>
        <v>2024-08</v>
      </c>
      <c r="C522" s="5" t="str">
        <f aca="false">01_Data!D522</f>
        <v>FY24</v>
      </c>
      <c r="D522" s="7" t="n">
        <f aca="false">01_Data!E522</f>
        <v>257754</v>
      </c>
      <c r="E522" s="7" t="n">
        <f aca="false">01_Data!F522</f>
        <v>268474</v>
      </c>
      <c r="F522" s="7" t="n">
        <f aca="false">E522-D522</f>
        <v>10720</v>
      </c>
      <c r="G522" s="8" t="n">
        <f aca="false">IFERROR(F522/D522,0)</f>
        <v>0.0415900432195039</v>
      </c>
      <c r="H522" s="7" t="n">
        <f aca="false">01_Data!G522</f>
        <v>139709</v>
      </c>
      <c r="I522" s="7" t="n">
        <f aca="false">01_Data!H522</f>
        <v>147015</v>
      </c>
      <c r="J522" s="7" t="n">
        <f aca="false">H522-I522</f>
        <v>-7306</v>
      </c>
      <c r="K522" s="8" t="n">
        <f aca="false">IFERROR(J522/H522,0)</f>
        <v>-0.0522944119562806</v>
      </c>
      <c r="L522" s="7" t="n">
        <f aca="false">D522-H522</f>
        <v>118045</v>
      </c>
      <c r="M522" s="7" t="n">
        <f aca="false">E522-I522</f>
        <v>121459</v>
      </c>
      <c r="N522" s="7" t="n">
        <f aca="false">IFERROR(L522/D522,0)</f>
        <v>0.457975433940889</v>
      </c>
      <c r="O522" s="7" t="n">
        <f aca="false">IFERROR(M522/E522,0)</f>
        <v>0.452405074606852</v>
      </c>
      <c r="P522" s="7" t="n">
        <f aca="false">01_Data!I522+01_Data!K522+01_Data!M522+01_Data!O522+01_Data!Q522+01_Data!S522+01_Data!U522</f>
        <v>70201</v>
      </c>
      <c r="Q522" s="7" t="n">
        <f aca="false">01_Data!J522+01_Data!L522+01_Data!N522+01_Data!P522+01_Data!R522+01_Data!T522+01_Data!V522</f>
        <v>70070</v>
      </c>
      <c r="R522" s="7" t="n">
        <f aca="false">P522-Q522</f>
        <v>131</v>
      </c>
      <c r="S522" s="7" t="n">
        <f aca="false">L522-P522</f>
        <v>47844</v>
      </c>
      <c r="T522" s="7" t="n">
        <f aca="false">M522-Q522</f>
        <v>51389</v>
      </c>
      <c r="U522" s="7" t="n">
        <f aca="false">T522-S522</f>
        <v>3545</v>
      </c>
      <c r="V522" s="8" t="n">
        <f aca="false">IFERROR(U522/S522,0)</f>
        <v>0.0740949753365103</v>
      </c>
      <c r="W522" s="5" t="str">
        <f aca="false">IF(V522&lt;-0.1,"ADVERSE &gt;10%","")</f>
        <v/>
      </c>
    </row>
    <row r="523" customFormat="false" ht="15" hidden="false" customHeight="false" outlineLevel="0" collapsed="false">
      <c r="A523" s="5" t="str">
        <f aca="false">01_Data!A523</f>
        <v>Retail &amp; Consumer</v>
      </c>
      <c r="B523" s="5" t="str">
        <f aca="false">01_Data!C523</f>
        <v>2024-09</v>
      </c>
      <c r="C523" s="5" t="str">
        <f aca="false">01_Data!D523</f>
        <v>FY24</v>
      </c>
      <c r="D523" s="7" t="n">
        <f aca="false">01_Data!E523</f>
        <v>280269</v>
      </c>
      <c r="E523" s="7" t="n">
        <f aca="false">01_Data!F523</f>
        <v>293575</v>
      </c>
      <c r="F523" s="7" t="n">
        <f aca="false">E523-D523</f>
        <v>13306</v>
      </c>
      <c r="G523" s="8" t="n">
        <f aca="false">IFERROR(F523/D523,0)</f>
        <v>0.0474758178749701</v>
      </c>
      <c r="H523" s="7" t="n">
        <f aca="false">01_Data!G523</f>
        <v>156703</v>
      </c>
      <c r="I523" s="7" t="n">
        <f aca="false">01_Data!H523</f>
        <v>158431</v>
      </c>
      <c r="J523" s="7" t="n">
        <f aca="false">H523-I523</f>
        <v>-1728</v>
      </c>
      <c r="K523" s="8" t="n">
        <f aca="false">IFERROR(J523/H523,0)</f>
        <v>-0.0110272298552038</v>
      </c>
      <c r="L523" s="7" t="n">
        <f aca="false">D523-H523</f>
        <v>123566</v>
      </c>
      <c r="M523" s="7" t="n">
        <f aca="false">E523-I523</f>
        <v>135144</v>
      </c>
      <c r="N523" s="7" t="n">
        <f aca="false">IFERROR(L523/D523,0)</f>
        <v>0.440883579703785</v>
      </c>
      <c r="O523" s="7" t="n">
        <f aca="false">IFERROR(M523/E523,0)</f>
        <v>0.46033892531721</v>
      </c>
      <c r="P523" s="7" t="n">
        <f aca="false">01_Data!I523+01_Data!K523+01_Data!M523+01_Data!O523+01_Data!Q523+01_Data!S523+01_Data!U523</f>
        <v>75341</v>
      </c>
      <c r="Q523" s="7" t="n">
        <f aca="false">01_Data!J523+01_Data!L523+01_Data!N523+01_Data!P523+01_Data!R523+01_Data!T523+01_Data!V523</f>
        <v>77986</v>
      </c>
      <c r="R523" s="7" t="n">
        <f aca="false">P523-Q523</f>
        <v>-2645</v>
      </c>
      <c r="S523" s="7" t="n">
        <f aca="false">L523-P523</f>
        <v>48225</v>
      </c>
      <c r="T523" s="7" t="n">
        <f aca="false">M523-Q523</f>
        <v>57158</v>
      </c>
      <c r="U523" s="7" t="n">
        <f aca="false">T523-S523</f>
        <v>8933</v>
      </c>
      <c r="V523" s="8" t="n">
        <f aca="false">IFERROR(U523/S523,0)</f>
        <v>0.18523587350959</v>
      </c>
      <c r="W523" s="5" t="str">
        <f aca="false">IF(V523&lt;-0.1,"ADVERSE &gt;10%","")</f>
        <v/>
      </c>
    </row>
    <row r="524" customFormat="false" ht="15" hidden="false" customHeight="false" outlineLevel="0" collapsed="false">
      <c r="A524" s="5" t="str">
        <f aca="false">01_Data!A524</f>
        <v>Retail &amp; Consumer</v>
      </c>
      <c r="B524" s="5" t="str">
        <f aca="false">01_Data!C524</f>
        <v>2024-10</v>
      </c>
      <c r="C524" s="5" t="str">
        <f aca="false">01_Data!D524</f>
        <v>FY24</v>
      </c>
      <c r="D524" s="7" t="n">
        <f aca="false">01_Data!E524</f>
        <v>278430</v>
      </c>
      <c r="E524" s="7" t="n">
        <f aca="false">01_Data!F524</f>
        <v>281069</v>
      </c>
      <c r="F524" s="7" t="n">
        <f aca="false">E524-D524</f>
        <v>2639</v>
      </c>
      <c r="G524" s="8" t="n">
        <f aca="false">IFERROR(F524/D524,0)</f>
        <v>0.00947814531480085</v>
      </c>
      <c r="H524" s="7" t="n">
        <f aca="false">01_Data!G524</f>
        <v>162985</v>
      </c>
      <c r="I524" s="7" t="n">
        <f aca="false">01_Data!H524</f>
        <v>163375</v>
      </c>
      <c r="J524" s="7" t="n">
        <f aca="false">H524-I524</f>
        <v>-390</v>
      </c>
      <c r="K524" s="8" t="n">
        <f aca="false">IFERROR(J524/H524,0)</f>
        <v>-0.0023928582384882</v>
      </c>
      <c r="L524" s="7" t="n">
        <f aca="false">D524-H524</f>
        <v>115445</v>
      </c>
      <c r="M524" s="7" t="n">
        <f aca="false">E524-I524</f>
        <v>117694</v>
      </c>
      <c r="N524" s="7" t="n">
        <f aca="false">IFERROR(L524/D524,0)</f>
        <v>0.414628452393779</v>
      </c>
      <c r="O524" s="7" t="n">
        <f aca="false">IFERROR(M524/E524,0)</f>
        <v>0.418737036101456</v>
      </c>
      <c r="P524" s="7" t="n">
        <f aca="false">01_Data!I524+01_Data!K524+01_Data!M524+01_Data!O524+01_Data!Q524+01_Data!S524+01_Data!U524</f>
        <v>74153</v>
      </c>
      <c r="Q524" s="7" t="n">
        <f aca="false">01_Data!J524+01_Data!L524+01_Data!N524+01_Data!P524+01_Data!R524+01_Data!T524+01_Data!V524</f>
        <v>73616</v>
      </c>
      <c r="R524" s="7" t="n">
        <f aca="false">P524-Q524</f>
        <v>537</v>
      </c>
      <c r="S524" s="7" t="n">
        <f aca="false">L524-P524</f>
        <v>41292</v>
      </c>
      <c r="T524" s="7" t="n">
        <f aca="false">M524-Q524</f>
        <v>44078</v>
      </c>
      <c r="U524" s="7" t="n">
        <f aca="false">T524-S524</f>
        <v>2786</v>
      </c>
      <c r="V524" s="8" t="n">
        <f aca="false">IFERROR(U524/S524,0)</f>
        <v>0.0674706965029546</v>
      </c>
      <c r="W524" s="5" t="str">
        <f aca="false">IF(V524&lt;-0.1,"ADVERSE &gt;10%","")</f>
        <v/>
      </c>
    </row>
    <row r="525" customFormat="false" ht="15" hidden="false" customHeight="false" outlineLevel="0" collapsed="false">
      <c r="A525" s="5" t="str">
        <f aca="false">01_Data!A525</f>
        <v>Retail &amp; Consumer</v>
      </c>
      <c r="B525" s="5" t="str">
        <f aca="false">01_Data!C525</f>
        <v>2024-11</v>
      </c>
      <c r="C525" s="5" t="str">
        <f aca="false">01_Data!D525</f>
        <v>FY24</v>
      </c>
      <c r="D525" s="7" t="n">
        <f aca="false">01_Data!E525</f>
        <v>303602</v>
      </c>
      <c r="E525" s="7" t="n">
        <f aca="false">01_Data!F525</f>
        <v>289311</v>
      </c>
      <c r="F525" s="7" t="n">
        <f aca="false">E525-D525</f>
        <v>-14291</v>
      </c>
      <c r="G525" s="8" t="n">
        <f aca="false">IFERROR(F525/D525,0)</f>
        <v>-0.0470714949176883</v>
      </c>
      <c r="H525" s="7" t="n">
        <f aca="false">01_Data!G525</f>
        <v>169125</v>
      </c>
      <c r="I525" s="7" t="n">
        <f aca="false">01_Data!H525</f>
        <v>167553</v>
      </c>
      <c r="J525" s="7" t="n">
        <f aca="false">H525-I525</f>
        <v>1572</v>
      </c>
      <c r="K525" s="8" t="n">
        <f aca="false">IFERROR(J525/H525,0)</f>
        <v>0.00929490022172949</v>
      </c>
      <c r="L525" s="7" t="n">
        <f aca="false">D525-H525</f>
        <v>134477</v>
      </c>
      <c r="M525" s="7" t="n">
        <f aca="false">E525-I525</f>
        <v>121758</v>
      </c>
      <c r="N525" s="7" t="n">
        <f aca="false">IFERROR(L525/D525,0)</f>
        <v>0.442938452315861</v>
      </c>
      <c r="O525" s="7" t="n">
        <f aca="false">IFERROR(M525/E525,0)</f>
        <v>0.420855066001638</v>
      </c>
      <c r="P525" s="7" t="n">
        <f aca="false">01_Data!I525+01_Data!K525+01_Data!M525+01_Data!O525+01_Data!Q525+01_Data!S525+01_Data!U525</f>
        <v>82335</v>
      </c>
      <c r="Q525" s="7" t="n">
        <f aca="false">01_Data!J525+01_Data!L525+01_Data!N525+01_Data!P525+01_Data!R525+01_Data!T525+01_Data!V525</f>
        <v>83744</v>
      </c>
      <c r="R525" s="7" t="n">
        <f aca="false">P525-Q525</f>
        <v>-1409</v>
      </c>
      <c r="S525" s="7" t="n">
        <f aca="false">L525-P525</f>
        <v>52142</v>
      </c>
      <c r="T525" s="7" t="n">
        <f aca="false">M525-Q525</f>
        <v>38014</v>
      </c>
      <c r="U525" s="7" t="n">
        <f aca="false">T525-S525</f>
        <v>-14128</v>
      </c>
      <c r="V525" s="8" t="n">
        <f aca="false">IFERROR(U525/S525,0)</f>
        <v>-0.270952399217521</v>
      </c>
      <c r="W525" s="5" t="str">
        <f aca="false">IF(V525&lt;-0.1,"ADVERSE &gt;10%","")</f>
        <v>ADVERSE &gt;10%</v>
      </c>
    </row>
    <row r="526" customFormat="false" ht="15" hidden="false" customHeight="false" outlineLevel="0" collapsed="false">
      <c r="A526" s="5" t="str">
        <f aca="false">01_Data!A526</f>
        <v>Retail &amp; Consumer</v>
      </c>
      <c r="B526" s="5" t="str">
        <f aca="false">01_Data!C526</f>
        <v>2024-12</v>
      </c>
      <c r="C526" s="5" t="str">
        <f aca="false">01_Data!D526</f>
        <v>FY24</v>
      </c>
      <c r="D526" s="7" t="n">
        <f aca="false">01_Data!E526</f>
        <v>310245</v>
      </c>
      <c r="E526" s="7" t="n">
        <f aca="false">01_Data!F526</f>
        <v>314268</v>
      </c>
      <c r="F526" s="7" t="n">
        <f aca="false">E526-D526</f>
        <v>4023</v>
      </c>
      <c r="G526" s="8" t="n">
        <f aca="false">IFERROR(F526/D526,0)</f>
        <v>0.012967171106706</v>
      </c>
      <c r="H526" s="7" t="n">
        <f aca="false">01_Data!G526</f>
        <v>180497</v>
      </c>
      <c r="I526" s="7" t="n">
        <f aca="false">01_Data!H526</f>
        <v>183695</v>
      </c>
      <c r="J526" s="7" t="n">
        <f aca="false">H526-I526</f>
        <v>-3198</v>
      </c>
      <c r="K526" s="8" t="n">
        <f aca="false">IFERROR(J526/H526,0)</f>
        <v>-0.0177177460013186</v>
      </c>
      <c r="L526" s="7" t="n">
        <f aca="false">D526-H526</f>
        <v>129748</v>
      </c>
      <c r="M526" s="7" t="n">
        <f aca="false">E526-I526</f>
        <v>130573</v>
      </c>
      <c r="N526" s="7" t="n">
        <f aca="false">IFERROR(L526/D526,0)</f>
        <v>0.418211413560251</v>
      </c>
      <c r="O526" s="7" t="n">
        <f aca="false">IFERROR(M526/E526,0)</f>
        <v>0.41548296358522</v>
      </c>
      <c r="P526" s="7" t="n">
        <f aca="false">01_Data!I526+01_Data!K526+01_Data!M526+01_Data!O526+01_Data!Q526+01_Data!S526+01_Data!U526</f>
        <v>81518</v>
      </c>
      <c r="Q526" s="7" t="n">
        <f aca="false">01_Data!J526+01_Data!L526+01_Data!N526+01_Data!P526+01_Data!R526+01_Data!T526+01_Data!V526</f>
        <v>84023</v>
      </c>
      <c r="R526" s="7" t="n">
        <f aca="false">P526-Q526</f>
        <v>-2505</v>
      </c>
      <c r="S526" s="7" t="n">
        <f aca="false">L526-P526</f>
        <v>48230</v>
      </c>
      <c r="T526" s="7" t="n">
        <f aca="false">M526-Q526</f>
        <v>46550</v>
      </c>
      <c r="U526" s="7" t="n">
        <f aca="false">T526-S526</f>
        <v>-1680</v>
      </c>
      <c r="V526" s="8" t="n">
        <f aca="false">IFERROR(U526/S526,0)</f>
        <v>-0.034833091436865</v>
      </c>
      <c r="W526" s="5" t="str">
        <f aca="false">IF(V526&lt;-0.1,"ADVERSE &gt;10%","")</f>
        <v/>
      </c>
    </row>
    <row r="527" customFormat="false" ht="15" hidden="false" customHeight="false" outlineLevel="0" collapsed="false">
      <c r="A527" s="5" t="str">
        <f aca="false">01_Data!A527</f>
        <v>Retail &amp; Consumer</v>
      </c>
      <c r="B527" s="5" t="str">
        <f aca="false">01_Data!C527</f>
        <v>2025-01</v>
      </c>
      <c r="C527" s="5" t="str">
        <f aca="false">01_Data!D527</f>
        <v>FY24</v>
      </c>
      <c r="D527" s="7" t="n">
        <f aca="false">01_Data!E527</f>
        <v>296259</v>
      </c>
      <c r="E527" s="7" t="n">
        <f aca="false">01_Data!F527</f>
        <v>300995</v>
      </c>
      <c r="F527" s="7" t="n">
        <f aca="false">E527-D527</f>
        <v>4736</v>
      </c>
      <c r="G527" s="8" t="n">
        <f aca="false">IFERROR(F527/D527,0)</f>
        <v>0.0159860122392906</v>
      </c>
      <c r="H527" s="7" t="n">
        <f aca="false">01_Data!G527</f>
        <v>176029</v>
      </c>
      <c r="I527" s="7" t="n">
        <f aca="false">01_Data!H527</f>
        <v>187716</v>
      </c>
      <c r="J527" s="7" t="n">
        <f aca="false">H527-I527</f>
        <v>-11687</v>
      </c>
      <c r="K527" s="8" t="n">
        <f aca="false">IFERROR(J527/H527,0)</f>
        <v>-0.066392469422652</v>
      </c>
      <c r="L527" s="7" t="n">
        <f aca="false">D527-H527</f>
        <v>120230</v>
      </c>
      <c r="M527" s="7" t="n">
        <f aca="false">E527-I527</f>
        <v>113279</v>
      </c>
      <c r="N527" s="7" t="n">
        <f aca="false">IFERROR(L527/D527,0)</f>
        <v>0.405827333515606</v>
      </c>
      <c r="O527" s="7" t="n">
        <f aca="false">IFERROR(M527/E527,0)</f>
        <v>0.376348444326318</v>
      </c>
      <c r="P527" s="7" t="n">
        <f aca="false">01_Data!I527+01_Data!K527+01_Data!M527+01_Data!O527+01_Data!Q527+01_Data!S527+01_Data!U527</f>
        <v>78609</v>
      </c>
      <c r="Q527" s="7" t="n">
        <f aca="false">01_Data!J527+01_Data!L527+01_Data!N527+01_Data!P527+01_Data!R527+01_Data!T527+01_Data!V527</f>
        <v>82990</v>
      </c>
      <c r="R527" s="7" t="n">
        <f aca="false">P527-Q527</f>
        <v>-4381</v>
      </c>
      <c r="S527" s="7" t="n">
        <f aca="false">L527-P527</f>
        <v>41621</v>
      </c>
      <c r="T527" s="7" t="n">
        <f aca="false">M527-Q527</f>
        <v>30289</v>
      </c>
      <c r="U527" s="7" t="n">
        <f aca="false">T527-S527</f>
        <v>-11332</v>
      </c>
      <c r="V527" s="8" t="n">
        <f aca="false">IFERROR(U527/S527,0)</f>
        <v>-0.272266403978761</v>
      </c>
      <c r="W527" s="5" t="str">
        <f aca="false">IF(V527&lt;-0.1,"ADVERSE &gt;10%","")</f>
        <v>ADVERSE &gt;10%</v>
      </c>
    </row>
    <row r="528" customFormat="false" ht="15" hidden="false" customHeight="false" outlineLevel="0" collapsed="false">
      <c r="A528" s="5" t="str">
        <f aca="false">01_Data!A528</f>
        <v>Retail &amp; Consumer</v>
      </c>
      <c r="B528" s="5" t="str">
        <f aca="false">01_Data!C528</f>
        <v>2025-02</v>
      </c>
      <c r="C528" s="5" t="str">
        <f aca="false">01_Data!D528</f>
        <v>FY24</v>
      </c>
      <c r="D528" s="7" t="n">
        <f aca="false">01_Data!E528</f>
        <v>312348</v>
      </c>
      <c r="E528" s="7" t="n">
        <f aca="false">01_Data!F528</f>
        <v>299348</v>
      </c>
      <c r="F528" s="7" t="n">
        <f aca="false">E528-D528</f>
        <v>-13000</v>
      </c>
      <c r="G528" s="8" t="n">
        <f aca="false">IFERROR(F528/D528,0)</f>
        <v>-0.0416202440867238</v>
      </c>
      <c r="H528" s="7" t="n">
        <f aca="false">01_Data!G528</f>
        <v>182780</v>
      </c>
      <c r="I528" s="7" t="n">
        <f aca="false">01_Data!H528</f>
        <v>182474</v>
      </c>
      <c r="J528" s="7" t="n">
        <f aca="false">H528-I528</f>
        <v>306</v>
      </c>
      <c r="K528" s="8" t="n">
        <f aca="false">IFERROR(J528/H528,0)</f>
        <v>0.00167414377940694</v>
      </c>
      <c r="L528" s="7" t="n">
        <f aca="false">D528-H528</f>
        <v>129568</v>
      </c>
      <c r="M528" s="7" t="n">
        <f aca="false">E528-I528</f>
        <v>116874</v>
      </c>
      <c r="N528" s="7" t="n">
        <f aca="false">IFERROR(L528/D528,0)</f>
        <v>0.414819368140664</v>
      </c>
      <c r="O528" s="7" t="n">
        <f aca="false">IFERROR(M528/E528,0)</f>
        <v>0.390428531341449</v>
      </c>
      <c r="P528" s="7" t="n">
        <f aca="false">01_Data!I528+01_Data!K528+01_Data!M528+01_Data!O528+01_Data!Q528+01_Data!S528+01_Data!U528</f>
        <v>86481</v>
      </c>
      <c r="Q528" s="7" t="n">
        <f aca="false">01_Data!J528+01_Data!L528+01_Data!N528+01_Data!P528+01_Data!R528+01_Data!T528+01_Data!V528</f>
        <v>87242</v>
      </c>
      <c r="R528" s="7" t="n">
        <f aca="false">P528-Q528</f>
        <v>-761</v>
      </c>
      <c r="S528" s="7" t="n">
        <f aca="false">L528-P528</f>
        <v>43087</v>
      </c>
      <c r="T528" s="7" t="n">
        <f aca="false">M528-Q528</f>
        <v>29632</v>
      </c>
      <c r="U528" s="7" t="n">
        <f aca="false">T528-S528</f>
        <v>-13455</v>
      </c>
      <c r="V528" s="8" t="n">
        <f aca="false">IFERROR(U528/S528,0)</f>
        <v>-0.31227516420266</v>
      </c>
      <c r="W528" s="5" t="str">
        <f aca="false">IF(V528&lt;-0.1,"ADVERSE &gt;10%","")</f>
        <v>ADVERSE &gt;10%</v>
      </c>
    </row>
    <row r="529" customFormat="false" ht="15" hidden="false" customHeight="false" outlineLevel="0" collapsed="false">
      <c r="A529" s="5" t="str">
        <f aca="false">01_Data!A529</f>
        <v>Retail &amp; Consumer</v>
      </c>
      <c r="B529" s="5" t="str">
        <f aca="false">01_Data!C529</f>
        <v>2025-03</v>
      </c>
      <c r="C529" s="5" t="str">
        <f aca="false">01_Data!D529</f>
        <v>FY24</v>
      </c>
      <c r="D529" s="7" t="n">
        <f aca="false">01_Data!E529</f>
        <v>338991</v>
      </c>
      <c r="E529" s="7" t="n">
        <f aca="false">01_Data!F529</f>
        <v>324473</v>
      </c>
      <c r="F529" s="7" t="n">
        <f aca="false">E529-D529</f>
        <v>-14518</v>
      </c>
      <c r="G529" s="8" t="n">
        <f aca="false">IFERROR(F529/D529,0)</f>
        <v>-0.0428270957046057</v>
      </c>
      <c r="H529" s="7" t="n">
        <f aca="false">01_Data!G529</f>
        <v>196469</v>
      </c>
      <c r="I529" s="7" t="n">
        <f aca="false">01_Data!H529</f>
        <v>193494</v>
      </c>
      <c r="J529" s="7" t="n">
        <f aca="false">H529-I529</f>
        <v>2975</v>
      </c>
      <c r="K529" s="8" t="n">
        <f aca="false">IFERROR(J529/H529,0)</f>
        <v>0.0151423379769836</v>
      </c>
      <c r="L529" s="7" t="n">
        <f aca="false">D529-H529</f>
        <v>142522</v>
      </c>
      <c r="M529" s="7" t="n">
        <f aca="false">E529-I529</f>
        <v>130979</v>
      </c>
      <c r="N529" s="7" t="n">
        <f aca="false">IFERROR(L529/D529,0)</f>
        <v>0.420430040915541</v>
      </c>
      <c r="O529" s="7" t="n">
        <f aca="false">IFERROR(M529/E529,0)</f>
        <v>0.403666869046115</v>
      </c>
      <c r="P529" s="7" t="n">
        <f aca="false">01_Data!I529+01_Data!K529+01_Data!M529+01_Data!O529+01_Data!Q529+01_Data!S529+01_Data!U529</f>
        <v>90170</v>
      </c>
      <c r="Q529" s="7" t="n">
        <f aca="false">01_Data!J529+01_Data!L529+01_Data!N529+01_Data!P529+01_Data!R529+01_Data!T529+01_Data!V529</f>
        <v>87302</v>
      </c>
      <c r="R529" s="7" t="n">
        <f aca="false">P529-Q529</f>
        <v>2868</v>
      </c>
      <c r="S529" s="7" t="n">
        <f aca="false">L529-P529</f>
        <v>52352</v>
      </c>
      <c r="T529" s="7" t="n">
        <f aca="false">M529-Q529</f>
        <v>43677</v>
      </c>
      <c r="U529" s="7" t="n">
        <f aca="false">T529-S529</f>
        <v>-8675</v>
      </c>
      <c r="V529" s="8" t="n">
        <f aca="false">IFERROR(U529/S529,0)</f>
        <v>-0.165705226161369</v>
      </c>
      <c r="W529" s="5" t="str">
        <f aca="false">IF(V529&lt;-0.1,"ADVERSE &gt;10%","")</f>
        <v>ADVERSE &gt;10%</v>
      </c>
    </row>
    <row r="530" customFormat="false" ht="15" hidden="false" customHeight="false" outlineLevel="0" collapsed="false">
      <c r="A530" s="5" t="str">
        <f aca="false">01_Data!A530</f>
        <v>Retail &amp; Consumer</v>
      </c>
      <c r="B530" s="5" t="str">
        <f aca="false">01_Data!C530</f>
        <v>2025-04</v>
      </c>
      <c r="C530" s="5" t="str">
        <f aca="false">01_Data!D530</f>
        <v>FY25</v>
      </c>
      <c r="D530" s="7" t="n">
        <f aca="false">01_Data!E530</f>
        <v>301871</v>
      </c>
      <c r="E530" s="7" t="n">
        <f aca="false">01_Data!F530</f>
        <v>303546</v>
      </c>
      <c r="F530" s="7" t="n">
        <f aca="false">E530-D530</f>
        <v>1675</v>
      </c>
      <c r="G530" s="8" t="n">
        <f aca="false">IFERROR(F530/D530,0)</f>
        <v>0.00554872776782135</v>
      </c>
      <c r="H530" s="7" t="n">
        <f aca="false">01_Data!G530</f>
        <v>165800</v>
      </c>
      <c r="I530" s="7" t="n">
        <f aca="false">01_Data!H530</f>
        <v>168306</v>
      </c>
      <c r="J530" s="7" t="n">
        <f aca="false">H530-I530</f>
        <v>-2506</v>
      </c>
      <c r="K530" s="8" t="n">
        <f aca="false">IFERROR(J530/H530,0)</f>
        <v>-0.0151145958986731</v>
      </c>
      <c r="L530" s="7" t="n">
        <f aca="false">D530-H530</f>
        <v>136071</v>
      </c>
      <c r="M530" s="7" t="n">
        <f aca="false">E530-I530</f>
        <v>135240</v>
      </c>
      <c r="N530" s="7" t="n">
        <f aca="false">IFERROR(L530/D530,0)</f>
        <v>0.450758767818042</v>
      </c>
      <c r="O530" s="7" t="n">
        <f aca="false">IFERROR(M530/E530,0)</f>
        <v>0.445533790595165</v>
      </c>
      <c r="P530" s="7" t="n">
        <f aca="false">01_Data!I530+01_Data!K530+01_Data!M530+01_Data!O530+01_Data!Q530+01_Data!S530+01_Data!U530</f>
        <v>84917</v>
      </c>
      <c r="Q530" s="7" t="n">
        <f aca="false">01_Data!J530+01_Data!L530+01_Data!N530+01_Data!P530+01_Data!R530+01_Data!T530+01_Data!V530</f>
        <v>86042</v>
      </c>
      <c r="R530" s="7" t="n">
        <f aca="false">P530-Q530</f>
        <v>-1125</v>
      </c>
      <c r="S530" s="7" t="n">
        <f aca="false">L530-P530</f>
        <v>51154</v>
      </c>
      <c r="T530" s="7" t="n">
        <f aca="false">M530-Q530</f>
        <v>49198</v>
      </c>
      <c r="U530" s="7" t="n">
        <f aca="false">T530-S530</f>
        <v>-1956</v>
      </c>
      <c r="V530" s="8" t="n">
        <f aca="false">IFERROR(U530/S530,0)</f>
        <v>-0.0382374789850256</v>
      </c>
      <c r="W530" s="5" t="str">
        <f aca="false">IF(V530&lt;-0.1,"ADVERSE &gt;10%","")</f>
        <v/>
      </c>
    </row>
    <row r="531" customFormat="false" ht="15" hidden="false" customHeight="false" outlineLevel="0" collapsed="false">
      <c r="A531" s="5" t="str">
        <f aca="false">01_Data!A531</f>
        <v>Retail &amp; Consumer</v>
      </c>
      <c r="B531" s="5" t="str">
        <f aca="false">01_Data!C531</f>
        <v>2025-05</v>
      </c>
      <c r="C531" s="5" t="str">
        <f aca="false">01_Data!D531</f>
        <v>FY25</v>
      </c>
      <c r="D531" s="7" t="n">
        <f aca="false">01_Data!E531</f>
        <v>320224</v>
      </c>
      <c r="E531" s="7" t="n">
        <f aca="false">01_Data!F531</f>
        <v>311077</v>
      </c>
      <c r="F531" s="7" t="n">
        <f aca="false">E531-D531</f>
        <v>-9147</v>
      </c>
      <c r="G531" s="8" t="n">
        <f aca="false">IFERROR(F531/D531,0)</f>
        <v>-0.0285643799340462</v>
      </c>
      <c r="H531" s="7" t="n">
        <f aca="false">01_Data!G531</f>
        <v>177543</v>
      </c>
      <c r="I531" s="7" t="n">
        <f aca="false">01_Data!H531</f>
        <v>180157</v>
      </c>
      <c r="J531" s="7" t="n">
        <f aca="false">H531-I531</f>
        <v>-2614</v>
      </c>
      <c r="K531" s="8" t="n">
        <f aca="false">IFERROR(J531/H531,0)</f>
        <v>-0.0147231938178357</v>
      </c>
      <c r="L531" s="7" t="n">
        <f aca="false">D531-H531</f>
        <v>142681</v>
      </c>
      <c r="M531" s="7" t="n">
        <f aca="false">E531-I531</f>
        <v>130920</v>
      </c>
      <c r="N531" s="7" t="n">
        <f aca="false">IFERROR(L531/D531,0)</f>
        <v>0.445566228639952</v>
      </c>
      <c r="O531" s="7" t="n">
        <f aca="false">IFERROR(M531/E531,0)</f>
        <v>0.420860430054295</v>
      </c>
      <c r="P531" s="7" t="n">
        <f aca="false">01_Data!I531+01_Data!K531+01_Data!M531+01_Data!O531+01_Data!Q531+01_Data!S531+01_Data!U531</f>
        <v>79805</v>
      </c>
      <c r="Q531" s="7" t="n">
        <f aca="false">01_Data!J531+01_Data!L531+01_Data!N531+01_Data!P531+01_Data!R531+01_Data!T531+01_Data!V531</f>
        <v>78573</v>
      </c>
      <c r="R531" s="7" t="n">
        <f aca="false">P531-Q531</f>
        <v>1232</v>
      </c>
      <c r="S531" s="7" t="n">
        <f aca="false">L531-P531</f>
        <v>62876</v>
      </c>
      <c r="T531" s="7" t="n">
        <f aca="false">M531-Q531</f>
        <v>52347</v>
      </c>
      <c r="U531" s="7" t="n">
        <f aca="false">T531-S531</f>
        <v>-10529</v>
      </c>
      <c r="V531" s="8" t="n">
        <f aca="false">IFERROR(U531/S531,0)</f>
        <v>-0.167456581207456</v>
      </c>
      <c r="W531" s="5" t="str">
        <f aca="false">IF(V531&lt;-0.1,"ADVERSE &gt;10%","")</f>
        <v>ADVERSE &gt;10%</v>
      </c>
    </row>
    <row r="532" customFormat="false" ht="15" hidden="false" customHeight="false" outlineLevel="0" collapsed="false">
      <c r="A532" s="5" t="str">
        <f aca="false">01_Data!A532</f>
        <v>Retail &amp; Consumer</v>
      </c>
      <c r="B532" s="5" t="str">
        <f aca="false">01_Data!C532</f>
        <v>2025-06</v>
      </c>
      <c r="C532" s="5" t="str">
        <f aca="false">01_Data!D532</f>
        <v>FY25</v>
      </c>
      <c r="D532" s="7" t="n">
        <f aca="false">01_Data!E532</f>
        <v>324732</v>
      </c>
      <c r="E532" s="7" t="n">
        <f aca="false">01_Data!F532</f>
        <v>315936</v>
      </c>
      <c r="F532" s="7" t="n">
        <f aca="false">E532-D532</f>
        <v>-8796</v>
      </c>
      <c r="G532" s="8" t="n">
        <f aca="false">IFERROR(F532/D532,0)</f>
        <v>-0.0270869517017109</v>
      </c>
      <c r="H532" s="7" t="n">
        <f aca="false">01_Data!G532</f>
        <v>183589</v>
      </c>
      <c r="I532" s="7" t="n">
        <f aca="false">01_Data!H532</f>
        <v>176942</v>
      </c>
      <c r="J532" s="7" t="n">
        <f aca="false">H532-I532</f>
        <v>6647</v>
      </c>
      <c r="K532" s="8" t="n">
        <f aca="false">IFERROR(J532/H532,0)</f>
        <v>0.0362058729008819</v>
      </c>
      <c r="L532" s="7" t="n">
        <f aca="false">D532-H532</f>
        <v>141143</v>
      </c>
      <c r="M532" s="7" t="n">
        <f aca="false">E532-I532</f>
        <v>138994</v>
      </c>
      <c r="N532" s="7" t="n">
        <f aca="false">IFERROR(L532/D532,0)</f>
        <v>0.434644568444132</v>
      </c>
      <c r="O532" s="7" t="n">
        <f aca="false">IFERROR(M532/E532,0)</f>
        <v>0.439943532867416</v>
      </c>
      <c r="P532" s="7" t="n">
        <f aca="false">01_Data!I532+01_Data!K532+01_Data!M532+01_Data!O532+01_Data!Q532+01_Data!S532+01_Data!U532</f>
        <v>83179</v>
      </c>
      <c r="Q532" s="7" t="n">
        <f aca="false">01_Data!J532+01_Data!L532+01_Data!N532+01_Data!P532+01_Data!R532+01_Data!T532+01_Data!V532</f>
        <v>85706</v>
      </c>
      <c r="R532" s="7" t="n">
        <f aca="false">P532-Q532</f>
        <v>-2527</v>
      </c>
      <c r="S532" s="7" t="n">
        <f aca="false">L532-P532</f>
        <v>57964</v>
      </c>
      <c r="T532" s="7" t="n">
        <f aca="false">M532-Q532</f>
        <v>53288</v>
      </c>
      <c r="U532" s="7" t="n">
        <f aca="false">T532-S532</f>
        <v>-4676</v>
      </c>
      <c r="V532" s="8" t="n">
        <f aca="false">IFERROR(U532/S532,0)</f>
        <v>-0.0806707611621006</v>
      </c>
      <c r="W532" s="5" t="str">
        <f aca="false">IF(V532&lt;-0.1,"ADVERSE &gt;10%","")</f>
        <v/>
      </c>
    </row>
    <row r="533" customFormat="false" ht="15" hidden="false" customHeight="false" outlineLevel="0" collapsed="false">
      <c r="A533" s="5" t="str">
        <f aca="false">01_Data!A533</f>
        <v>Retail &amp; Consumer</v>
      </c>
      <c r="B533" s="5" t="str">
        <f aca="false">01_Data!C533</f>
        <v>2025-07</v>
      </c>
      <c r="C533" s="5" t="str">
        <f aca="false">01_Data!D533</f>
        <v>FY25</v>
      </c>
      <c r="D533" s="7" t="n">
        <f aca="false">01_Data!E533</f>
        <v>320036</v>
      </c>
      <c r="E533" s="7" t="n">
        <f aca="false">01_Data!F533</f>
        <v>315485</v>
      </c>
      <c r="F533" s="7" t="n">
        <f aca="false">E533-D533</f>
        <v>-4551</v>
      </c>
      <c r="G533" s="8" t="n">
        <f aca="false">IFERROR(F533/D533,0)</f>
        <v>-0.0142202752190379</v>
      </c>
      <c r="H533" s="7" t="n">
        <f aca="false">01_Data!G533</f>
        <v>186565</v>
      </c>
      <c r="I533" s="7" t="n">
        <f aca="false">01_Data!H533</f>
        <v>183784</v>
      </c>
      <c r="J533" s="7" t="n">
        <f aca="false">H533-I533</f>
        <v>2781</v>
      </c>
      <c r="K533" s="8" t="n">
        <f aca="false">IFERROR(J533/H533,0)</f>
        <v>0.0149063329134618</v>
      </c>
      <c r="L533" s="7" t="n">
        <f aca="false">D533-H533</f>
        <v>133471</v>
      </c>
      <c r="M533" s="7" t="n">
        <f aca="false">E533-I533</f>
        <v>131701</v>
      </c>
      <c r="N533" s="7" t="n">
        <f aca="false">IFERROR(L533/D533,0)</f>
        <v>0.417049956879851</v>
      </c>
      <c r="O533" s="7" t="n">
        <f aca="false">IFERROR(M533/E533,0)</f>
        <v>0.417455663502227</v>
      </c>
      <c r="P533" s="7" t="n">
        <f aca="false">01_Data!I533+01_Data!K533+01_Data!M533+01_Data!O533+01_Data!Q533+01_Data!S533+01_Data!U533</f>
        <v>82405</v>
      </c>
      <c r="Q533" s="7" t="n">
        <f aca="false">01_Data!J533+01_Data!L533+01_Data!N533+01_Data!P533+01_Data!R533+01_Data!T533+01_Data!V533</f>
        <v>84705</v>
      </c>
      <c r="R533" s="7" t="n">
        <f aca="false">P533-Q533</f>
        <v>-2300</v>
      </c>
      <c r="S533" s="7" t="n">
        <f aca="false">L533-P533</f>
        <v>51066</v>
      </c>
      <c r="T533" s="7" t="n">
        <f aca="false">M533-Q533</f>
        <v>46996</v>
      </c>
      <c r="U533" s="7" t="n">
        <f aca="false">T533-S533</f>
        <v>-4070</v>
      </c>
      <c r="V533" s="8" t="n">
        <f aca="false">IFERROR(U533/S533,0)</f>
        <v>-0.0797007793835429</v>
      </c>
      <c r="W533" s="5" t="str">
        <f aca="false">IF(V533&lt;-0.1,"ADVERSE &gt;10%","")</f>
        <v/>
      </c>
    </row>
    <row r="534" customFormat="false" ht="15" hidden="false" customHeight="false" outlineLevel="0" collapsed="false">
      <c r="A534" s="5" t="str">
        <f aca="false">01_Data!A534</f>
        <v>Retail &amp; Consumer</v>
      </c>
      <c r="B534" s="5" t="str">
        <f aca="false">01_Data!C534</f>
        <v>2025-08</v>
      </c>
      <c r="C534" s="5" t="str">
        <f aca="false">01_Data!D534</f>
        <v>FY25</v>
      </c>
      <c r="D534" s="7" t="n">
        <f aca="false">01_Data!E534</f>
        <v>331462</v>
      </c>
      <c r="E534" s="7" t="n">
        <f aca="false">01_Data!F534</f>
        <v>316039</v>
      </c>
      <c r="F534" s="7" t="n">
        <f aca="false">E534-D534</f>
        <v>-15423</v>
      </c>
      <c r="G534" s="8" t="n">
        <f aca="false">IFERROR(F534/D534,0)</f>
        <v>-0.0465302206587784</v>
      </c>
      <c r="H534" s="7" t="n">
        <f aca="false">01_Data!G534</f>
        <v>183735</v>
      </c>
      <c r="I534" s="7" t="n">
        <f aca="false">01_Data!H534</f>
        <v>173844</v>
      </c>
      <c r="J534" s="7" t="n">
        <f aca="false">H534-I534</f>
        <v>9891</v>
      </c>
      <c r="K534" s="8" t="n">
        <f aca="false">IFERROR(J534/H534,0)</f>
        <v>0.0538329659564046</v>
      </c>
      <c r="L534" s="7" t="n">
        <f aca="false">D534-H534</f>
        <v>147727</v>
      </c>
      <c r="M534" s="7" t="n">
        <f aca="false">E534-I534</f>
        <v>142195</v>
      </c>
      <c r="N534" s="7" t="n">
        <f aca="false">IFERROR(L534/D534,0)</f>
        <v>0.445683064725368</v>
      </c>
      <c r="O534" s="7" t="n">
        <f aca="false">IFERROR(M534/E534,0)</f>
        <v>0.449928648046602</v>
      </c>
      <c r="P534" s="7" t="n">
        <f aca="false">01_Data!I534+01_Data!K534+01_Data!M534+01_Data!O534+01_Data!Q534+01_Data!S534+01_Data!U534</f>
        <v>84568</v>
      </c>
      <c r="Q534" s="7" t="n">
        <f aca="false">01_Data!J534+01_Data!L534+01_Data!N534+01_Data!P534+01_Data!R534+01_Data!T534+01_Data!V534</f>
        <v>83779</v>
      </c>
      <c r="R534" s="7" t="n">
        <f aca="false">P534-Q534</f>
        <v>789</v>
      </c>
      <c r="S534" s="7" t="n">
        <f aca="false">L534-P534</f>
        <v>63159</v>
      </c>
      <c r="T534" s="7" t="n">
        <f aca="false">M534-Q534</f>
        <v>58416</v>
      </c>
      <c r="U534" s="7" t="n">
        <f aca="false">T534-S534</f>
        <v>-4743</v>
      </c>
      <c r="V534" s="8" t="n">
        <f aca="false">IFERROR(U534/S534,0)</f>
        <v>-0.0750961858167482</v>
      </c>
      <c r="W534" s="5" t="str">
        <f aca="false">IF(V534&lt;-0.1,"ADVERSE &gt;10%","")</f>
        <v/>
      </c>
    </row>
    <row r="535" customFormat="false" ht="15" hidden="false" customHeight="false" outlineLevel="0" collapsed="false">
      <c r="A535" s="5" t="str">
        <f aca="false">01_Data!A535</f>
        <v>Retail &amp; Consumer</v>
      </c>
      <c r="B535" s="5" t="str">
        <f aca="false">01_Data!C535</f>
        <v>2025-09</v>
      </c>
      <c r="C535" s="5" t="str">
        <f aca="false">01_Data!D535</f>
        <v>FY25</v>
      </c>
      <c r="D535" s="7" t="n">
        <f aca="false">01_Data!E535</f>
        <v>342422</v>
      </c>
      <c r="E535" s="7" t="n">
        <f aca="false">01_Data!F535</f>
        <v>342903</v>
      </c>
      <c r="F535" s="7" t="n">
        <f aca="false">E535-D535</f>
        <v>481</v>
      </c>
      <c r="G535" s="8" t="n">
        <f aca="false">IFERROR(F535/D535,0)</f>
        <v>0.00140469946440357</v>
      </c>
      <c r="H535" s="7" t="n">
        <f aca="false">01_Data!G535</f>
        <v>189993</v>
      </c>
      <c r="I535" s="7" t="n">
        <f aca="false">01_Data!H535</f>
        <v>185277</v>
      </c>
      <c r="J535" s="7" t="n">
        <f aca="false">H535-I535</f>
        <v>4716</v>
      </c>
      <c r="K535" s="8" t="n">
        <f aca="false">IFERROR(J535/H535,0)</f>
        <v>0.0248219671251046</v>
      </c>
      <c r="L535" s="7" t="n">
        <f aca="false">D535-H535</f>
        <v>152429</v>
      </c>
      <c r="M535" s="7" t="n">
        <f aca="false">E535-I535</f>
        <v>157626</v>
      </c>
      <c r="N535" s="7" t="n">
        <f aca="false">IFERROR(L535/D535,0)</f>
        <v>0.445149552306803</v>
      </c>
      <c r="O535" s="7" t="n">
        <f aca="false">IFERROR(M535/E535,0)</f>
        <v>0.459681017663887</v>
      </c>
      <c r="P535" s="7" t="n">
        <f aca="false">01_Data!I535+01_Data!K535+01_Data!M535+01_Data!O535+01_Data!Q535+01_Data!S535+01_Data!U535</f>
        <v>97117</v>
      </c>
      <c r="Q535" s="7" t="n">
        <f aca="false">01_Data!J535+01_Data!L535+01_Data!N535+01_Data!P535+01_Data!R535+01_Data!T535+01_Data!V535</f>
        <v>99945</v>
      </c>
      <c r="R535" s="7" t="n">
        <f aca="false">P535-Q535</f>
        <v>-2828</v>
      </c>
      <c r="S535" s="7" t="n">
        <f aca="false">L535-P535</f>
        <v>55312</v>
      </c>
      <c r="T535" s="7" t="n">
        <f aca="false">M535-Q535</f>
        <v>57681</v>
      </c>
      <c r="U535" s="7" t="n">
        <f aca="false">T535-S535</f>
        <v>2369</v>
      </c>
      <c r="V535" s="8" t="n">
        <f aca="false">IFERROR(U535/S535,0)</f>
        <v>0.0428297656927972</v>
      </c>
      <c r="W535" s="5" t="str">
        <f aca="false">IF(V535&lt;-0.1,"ADVERSE &gt;10%","")</f>
        <v/>
      </c>
    </row>
    <row r="536" customFormat="false" ht="15" hidden="false" customHeight="false" outlineLevel="0" collapsed="false">
      <c r="A536" s="5" t="str">
        <f aca="false">01_Data!A536</f>
        <v>Retail &amp; Consumer</v>
      </c>
      <c r="B536" s="5" t="str">
        <f aca="false">01_Data!C536</f>
        <v>2025-10</v>
      </c>
      <c r="C536" s="5" t="str">
        <f aca="false">01_Data!D536</f>
        <v>FY25</v>
      </c>
      <c r="D536" s="7" t="n">
        <f aca="false">01_Data!E536</f>
        <v>317784</v>
      </c>
      <c r="E536" s="7" t="n">
        <f aca="false">01_Data!F536</f>
        <v>323045</v>
      </c>
      <c r="F536" s="7" t="n">
        <f aca="false">E536-D536</f>
        <v>5261</v>
      </c>
      <c r="G536" s="8" t="n">
        <f aca="false">IFERROR(F536/D536,0)</f>
        <v>0.0165552702464567</v>
      </c>
      <c r="H536" s="7" t="n">
        <f aca="false">01_Data!G536</f>
        <v>171862</v>
      </c>
      <c r="I536" s="7" t="n">
        <f aca="false">01_Data!H536</f>
        <v>173942</v>
      </c>
      <c r="J536" s="7" t="n">
        <f aca="false">H536-I536</f>
        <v>-2080</v>
      </c>
      <c r="K536" s="8" t="n">
        <f aca="false">IFERROR(J536/H536,0)</f>
        <v>-0.0121027335885769</v>
      </c>
      <c r="L536" s="7" t="n">
        <f aca="false">D536-H536</f>
        <v>145922</v>
      </c>
      <c r="M536" s="7" t="n">
        <f aca="false">E536-I536</f>
        <v>149103</v>
      </c>
      <c r="N536" s="7" t="n">
        <f aca="false">IFERROR(L536/D536,0)</f>
        <v>0.45918611383833</v>
      </c>
      <c r="O536" s="7" t="n">
        <f aca="false">IFERROR(M536/E536,0)</f>
        <v>0.46155489173335</v>
      </c>
      <c r="P536" s="7" t="n">
        <f aca="false">01_Data!I536+01_Data!K536+01_Data!M536+01_Data!O536+01_Data!Q536+01_Data!S536+01_Data!U536</f>
        <v>89824</v>
      </c>
      <c r="Q536" s="7" t="n">
        <f aca="false">01_Data!J536+01_Data!L536+01_Data!N536+01_Data!P536+01_Data!R536+01_Data!T536+01_Data!V536</f>
        <v>95827</v>
      </c>
      <c r="R536" s="7" t="n">
        <f aca="false">P536-Q536</f>
        <v>-6003</v>
      </c>
      <c r="S536" s="7" t="n">
        <f aca="false">L536-P536</f>
        <v>56098</v>
      </c>
      <c r="T536" s="7" t="n">
        <f aca="false">M536-Q536</f>
        <v>53276</v>
      </c>
      <c r="U536" s="7" t="n">
        <f aca="false">T536-S536</f>
        <v>-2822</v>
      </c>
      <c r="V536" s="8" t="n">
        <f aca="false">IFERROR(U536/S536,0)</f>
        <v>-0.0503048237013797</v>
      </c>
      <c r="W536" s="5" t="str">
        <f aca="false">IF(V536&lt;-0.1,"ADVERSE &gt;10%","")</f>
        <v/>
      </c>
    </row>
    <row r="537" customFormat="false" ht="15" hidden="false" customHeight="false" outlineLevel="0" collapsed="false">
      <c r="A537" s="5" t="str">
        <f aca="false">01_Data!A537</f>
        <v>Retail &amp; Consumer</v>
      </c>
      <c r="B537" s="5" t="str">
        <f aca="false">01_Data!C537</f>
        <v>2025-11</v>
      </c>
      <c r="C537" s="5" t="str">
        <f aca="false">01_Data!D537</f>
        <v>FY25</v>
      </c>
      <c r="D537" s="7" t="n">
        <f aca="false">01_Data!E537</f>
        <v>316120</v>
      </c>
      <c r="E537" s="7" t="n">
        <f aca="false">01_Data!F537</f>
        <v>326124</v>
      </c>
      <c r="F537" s="7" t="n">
        <f aca="false">E537-D537</f>
        <v>10004</v>
      </c>
      <c r="G537" s="8" t="n">
        <f aca="false">IFERROR(F537/D537,0)</f>
        <v>0.0316462102998861</v>
      </c>
      <c r="H537" s="7" t="n">
        <f aca="false">01_Data!G537</f>
        <v>184760</v>
      </c>
      <c r="I537" s="7" t="n">
        <f aca="false">01_Data!H537</f>
        <v>199955</v>
      </c>
      <c r="J537" s="7" t="n">
        <f aca="false">H537-I537</f>
        <v>-15195</v>
      </c>
      <c r="K537" s="8" t="n">
        <f aca="false">IFERROR(J537/H537,0)</f>
        <v>-0.0822418272353323</v>
      </c>
      <c r="L537" s="7" t="n">
        <f aca="false">D537-H537</f>
        <v>131360</v>
      </c>
      <c r="M537" s="7" t="n">
        <f aca="false">E537-I537</f>
        <v>126169</v>
      </c>
      <c r="N537" s="7" t="n">
        <f aca="false">IFERROR(L537/D537,0)</f>
        <v>0.415538403138049</v>
      </c>
      <c r="O537" s="7" t="n">
        <f aca="false">IFERROR(M537/E537,0)</f>
        <v>0.386874317744171</v>
      </c>
      <c r="P537" s="7" t="n">
        <f aca="false">01_Data!I537+01_Data!K537+01_Data!M537+01_Data!O537+01_Data!Q537+01_Data!S537+01_Data!U537</f>
        <v>84255</v>
      </c>
      <c r="Q537" s="7" t="n">
        <f aca="false">01_Data!J537+01_Data!L537+01_Data!N537+01_Data!P537+01_Data!R537+01_Data!T537+01_Data!V537</f>
        <v>89665</v>
      </c>
      <c r="R537" s="7" t="n">
        <f aca="false">P537-Q537</f>
        <v>-5410</v>
      </c>
      <c r="S537" s="7" t="n">
        <f aca="false">L537-P537</f>
        <v>47105</v>
      </c>
      <c r="T537" s="7" t="n">
        <f aca="false">M537-Q537</f>
        <v>36504</v>
      </c>
      <c r="U537" s="7" t="n">
        <f aca="false">T537-S537</f>
        <v>-10601</v>
      </c>
      <c r="V537" s="8" t="n">
        <f aca="false">IFERROR(U537/S537,0)</f>
        <v>-0.225050419276085</v>
      </c>
      <c r="W537" s="5" t="str">
        <f aca="false">IF(V537&lt;-0.1,"ADVERSE &gt;10%","")</f>
        <v>ADVERSE &gt;10%</v>
      </c>
    </row>
    <row r="538" customFormat="false" ht="15" hidden="false" customHeight="false" outlineLevel="0" collapsed="false">
      <c r="A538" s="5" t="str">
        <f aca="false">01_Data!A538</f>
        <v>Retail &amp; Consumer</v>
      </c>
      <c r="B538" s="5" t="str">
        <f aca="false">01_Data!C538</f>
        <v>2025-12</v>
      </c>
      <c r="C538" s="5" t="str">
        <f aca="false">01_Data!D538</f>
        <v>FY25</v>
      </c>
      <c r="D538" s="7" t="n">
        <f aca="false">01_Data!E538</f>
        <v>353462</v>
      </c>
      <c r="E538" s="7" t="n">
        <f aca="false">01_Data!F538</f>
        <v>358145</v>
      </c>
      <c r="F538" s="7" t="n">
        <f aca="false">E538-D538</f>
        <v>4683</v>
      </c>
      <c r="G538" s="8" t="n">
        <f aca="false">IFERROR(F538/D538,0)</f>
        <v>0.0132489489676401</v>
      </c>
      <c r="H538" s="7" t="n">
        <f aca="false">01_Data!G538</f>
        <v>199719</v>
      </c>
      <c r="I538" s="7" t="n">
        <f aca="false">01_Data!H538</f>
        <v>213001</v>
      </c>
      <c r="J538" s="7" t="n">
        <f aca="false">H538-I538</f>
        <v>-13282</v>
      </c>
      <c r="K538" s="8" t="n">
        <f aca="false">IFERROR(J538/H538,0)</f>
        <v>-0.0665034373294479</v>
      </c>
      <c r="L538" s="7" t="n">
        <f aca="false">D538-H538</f>
        <v>153743</v>
      </c>
      <c r="M538" s="7" t="n">
        <f aca="false">E538-I538</f>
        <v>145144</v>
      </c>
      <c r="N538" s="7" t="n">
        <f aca="false">IFERROR(L538/D538,0)</f>
        <v>0.434963305815052</v>
      </c>
      <c r="O538" s="7" t="n">
        <f aca="false">IFERROR(M538/E538,0)</f>
        <v>0.405266023537953</v>
      </c>
      <c r="P538" s="7" t="n">
        <f aca="false">01_Data!I538+01_Data!K538+01_Data!M538+01_Data!O538+01_Data!Q538+01_Data!S538+01_Data!U538</f>
        <v>95057</v>
      </c>
      <c r="Q538" s="7" t="n">
        <f aca="false">01_Data!J538+01_Data!L538+01_Data!N538+01_Data!P538+01_Data!R538+01_Data!T538+01_Data!V538</f>
        <v>94334</v>
      </c>
      <c r="R538" s="7" t="n">
        <f aca="false">P538-Q538</f>
        <v>723</v>
      </c>
      <c r="S538" s="7" t="n">
        <f aca="false">L538-P538</f>
        <v>58686</v>
      </c>
      <c r="T538" s="7" t="n">
        <f aca="false">M538-Q538</f>
        <v>50810</v>
      </c>
      <c r="U538" s="7" t="n">
        <f aca="false">T538-S538</f>
        <v>-7876</v>
      </c>
      <c r="V538" s="8" t="n">
        <f aca="false">IFERROR(U538/S538,0)</f>
        <v>-0.134205773097502</v>
      </c>
      <c r="W538" s="5" t="str">
        <f aca="false">IF(V538&lt;-0.1,"ADVERSE &gt;10%","")</f>
        <v>ADVERSE &gt;10%</v>
      </c>
    </row>
    <row r="539" customFormat="false" ht="15" hidden="false" customHeight="false" outlineLevel="0" collapsed="false">
      <c r="A539" s="5" t="str">
        <f aca="false">01_Data!A539</f>
        <v>Retail &amp; Consumer</v>
      </c>
      <c r="B539" s="5" t="str">
        <f aca="false">01_Data!C539</f>
        <v>2026-01</v>
      </c>
      <c r="C539" s="5" t="str">
        <f aca="false">01_Data!D539</f>
        <v>FY25</v>
      </c>
      <c r="D539" s="7" t="n">
        <f aca="false">01_Data!E539</f>
        <v>351504</v>
      </c>
      <c r="E539" s="7" t="n">
        <f aca="false">01_Data!F539</f>
        <v>332863</v>
      </c>
      <c r="F539" s="7" t="n">
        <f aca="false">E539-D539</f>
        <v>-18641</v>
      </c>
      <c r="G539" s="8" t="n">
        <f aca="false">IFERROR(F539/D539,0)</f>
        <v>-0.0530321134325641</v>
      </c>
      <c r="H539" s="7" t="n">
        <f aca="false">01_Data!G539</f>
        <v>202968</v>
      </c>
      <c r="I539" s="7" t="n">
        <f aca="false">01_Data!H539</f>
        <v>196603</v>
      </c>
      <c r="J539" s="7" t="n">
        <f aca="false">H539-I539</f>
        <v>6365</v>
      </c>
      <c r="K539" s="8" t="n">
        <f aca="false">IFERROR(J539/H539,0)</f>
        <v>0.0313596231918332</v>
      </c>
      <c r="L539" s="7" t="n">
        <f aca="false">D539-H539</f>
        <v>148536</v>
      </c>
      <c r="M539" s="7" t="n">
        <f aca="false">E539-I539</f>
        <v>136260</v>
      </c>
      <c r="N539" s="7" t="n">
        <f aca="false">IFERROR(L539/D539,0)</f>
        <v>0.422572716099959</v>
      </c>
      <c r="O539" s="7" t="n">
        <f aca="false">IFERROR(M539/E539,0)</f>
        <v>0.40935760357865</v>
      </c>
      <c r="P539" s="7" t="n">
        <f aca="false">01_Data!I539+01_Data!K539+01_Data!M539+01_Data!O539+01_Data!Q539+01_Data!S539+01_Data!U539</f>
        <v>91479</v>
      </c>
      <c r="Q539" s="7" t="n">
        <f aca="false">01_Data!J539+01_Data!L539+01_Data!N539+01_Data!P539+01_Data!R539+01_Data!T539+01_Data!V539</f>
        <v>88368</v>
      </c>
      <c r="R539" s="7" t="n">
        <f aca="false">P539-Q539</f>
        <v>3111</v>
      </c>
      <c r="S539" s="7" t="n">
        <f aca="false">L539-P539</f>
        <v>57057</v>
      </c>
      <c r="T539" s="7" t="n">
        <f aca="false">M539-Q539</f>
        <v>47892</v>
      </c>
      <c r="U539" s="7" t="n">
        <f aca="false">T539-S539</f>
        <v>-9165</v>
      </c>
      <c r="V539" s="8" t="n">
        <f aca="false">IFERROR(U539/S539,0)</f>
        <v>-0.160628844839371</v>
      </c>
      <c r="W539" s="5" t="str">
        <f aca="false">IF(V539&lt;-0.1,"ADVERSE &gt;10%","")</f>
        <v>ADVERSE &gt;10%</v>
      </c>
    </row>
    <row r="540" customFormat="false" ht="15" hidden="false" customHeight="false" outlineLevel="0" collapsed="false">
      <c r="A540" s="5" t="str">
        <f aca="false">01_Data!A540</f>
        <v>Retail &amp; Consumer</v>
      </c>
      <c r="B540" s="5" t="str">
        <f aca="false">01_Data!C540</f>
        <v>2026-02</v>
      </c>
      <c r="C540" s="5" t="str">
        <f aca="false">01_Data!D540</f>
        <v>FY25</v>
      </c>
      <c r="D540" s="7" t="n">
        <f aca="false">01_Data!E540</f>
        <v>347504</v>
      </c>
      <c r="E540" s="7" t="n">
        <f aca="false">01_Data!F540</f>
        <v>333151</v>
      </c>
      <c r="F540" s="7" t="n">
        <f aca="false">E540-D540</f>
        <v>-14353</v>
      </c>
      <c r="G540" s="8" t="n">
        <f aca="false">IFERROR(F540/D540,0)</f>
        <v>-0.0413031216906856</v>
      </c>
      <c r="H540" s="7" t="n">
        <f aca="false">01_Data!G540</f>
        <v>201524</v>
      </c>
      <c r="I540" s="7" t="n">
        <f aca="false">01_Data!H540</f>
        <v>199346</v>
      </c>
      <c r="J540" s="7" t="n">
        <f aca="false">H540-I540</f>
        <v>2178</v>
      </c>
      <c r="K540" s="8" t="n">
        <f aca="false">IFERROR(J540/H540,0)</f>
        <v>0.0108076457394653</v>
      </c>
      <c r="L540" s="7" t="n">
        <f aca="false">D540-H540</f>
        <v>145980</v>
      </c>
      <c r="M540" s="7" t="n">
        <f aca="false">E540-I540</f>
        <v>133805</v>
      </c>
      <c r="N540" s="7" t="n">
        <f aca="false">IFERROR(L540/D540,0)</f>
        <v>0.4200814954648</v>
      </c>
      <c r="O540" s="7" t="n">
        <f aca="false">IFERROR(M540/E540,0)</f>
        <v>0.401634694177715</v>
      </c>
      <c r="P540" s="7" t="n">
        <f aca="false">01_Data!I540+01_Data!K540+01_Data!M540+01_Data!O540+01_Data!Q540+01_Data!S540+01_Data!U540</f>
        <v>86104</v>
      </c>
      <c r="Q540" s="7" t="n">
        <f aca="false">01_Data!J540+01_Data!L540+01_Data!N540+01_Data!P540+01_Data!R540+01_Data!T540+01_Data!V540</f>
        <v>87197</v>
      </c>
      <c r="R540" s="7" t="n">
        <f aca="false">P540-Q540</f>
        <v>-1093</v>
      </c>
      <c r="S540" s="7" t="n">
        <f aca="false">L540-P540</f>
        <v>59876</v>
      </c>
      <c r="T540" s="7" t="n">
        <f aca="false">M540-Q540</f>
        <v>46608</v>
      </c>
      <c r="U540" s="7" t="n">
        <f aca="false">T540-S540</f>
        <v>-13268</v>
      </c>
      <c r="V540" s="8" t="n">
        <f aca="false">IFERROR(U540/S540,0)</f>
        <v>-0.221591288663237</v>
      </c>
      <c r="W540" s="5" t="str">
        <f aca="false">IF(V540&lt;-0.1,"ADVERSE &gt;10%","")</f>
        <v>ADVERSE &gt;10%</v>
      </c>
    </row>
    <row r="541" customFormat="false" ht="15" hidden="false" customHeight="false" outlineLevel="0" collapsed="false">
      <c r="A541" s="5" t="str">
        <f aca="false">01_Data!A541</f>
        <v>Retail &amp; Consumer</v>
      </c>
      <c r="B541" s="5" t="str">
        <f aca="false">01_Data!C541</f>
        <v>2026-03</v>
      </c>
      <c r="C541" s="5" t="str">
        <f aca="false">01_Data!D541</f>
        <v>FY25</v>
      </c>
      <c r="D541" s="7" t="n">
        <f aca="false">01_Data!E541</f>
        <v>344325</v>
      </c>
      <c r="E541" s="7" t="n">
        <f aca="false">01_Data!F541</f>
        <v>354480</v>
      </c>
      <c r="F541" s="7" t="n">
        <f aca="false">E541-D541</f>
        <v>10155</v>
      </c>
      <c r="G541" s="8" t="n">
        <f aca="false">IFERROR(F541/D541,0)</f>
        <v>0.0294924852973208</v>
      </c>
      <c r="H541" s="7" t="n">
        <f aca="false">01_Data!G541</f>
        <v>192175</v>
      </c>
      <c r="I541" s="7" t="n">
        <f aca="false">01_Data!H541</f>
        <v>196261</v>
      </c>
      <c r="J541" s="7" t="n">
        <f aca="false">H541-I541</f>
        <v>-4086</v>
      </c>
      <c r="K541" s="8" t="n">
        <f aca="false">IFERROR(J541/H541,0)</f>
        <v>-0.0212618706907766</v>
      </c>
      <c r="L541" s="7" t="n">
        <f aca="false">D541-H541</f>
        <v>152150</v>
      </c>
      <c r="M541" s="7" t="n">
        <f aca="false">E541-I541</f>
        <v>158219</v>
      </c>
      <c r="N541" s="7" t="n">
        <f aca="false">IFERROR(L541/D541,0)</f>
        <v>0.441879038698904</v>
      </c>
      <c r="O541" s="7" t="n">
        <f aca="false">IFERROR(M541/E541,0)</f>
        <v>0.446341119386143</v>
      </c>
      <c r="P541" s="7" t="n">
        <f aca="false">01_Data!I541+01_Data!K541+01_Data!M541+01_Data!O541+01_Data!Q541+01_Data!S541+01_Data!U541</f>
        <v>90614</v>
      </c>
      <c r="Q541" s="7" t="n">
        <f aca="false">01_Data!J541+01_Data!L541+01_Data!N541+01_Data!P541+01_Data!R541+01_Data!T541+01_Data!V541</f>
        <v>93222</v>
      </c>
      <c r="R541" s="7" t="n">
        <f aca="false">P541-Q541</f>
        <v>-2608</v>
      </c>
      <c r="S541" s="7" t="n">
        <f aca="false">L541-P541</f>
        <v>61536</v>
      </c>
      <c r="T541" s="7" t="n">
        <f aca="false">M541-Q541</f>
        <v>64997</v>
      </c>
      <c r="U541" s="7" t="n">
        <f aca="false">T541-S541</f>
        <v>3461</v>
      </c>
      <c r="V541" s="8" t="n">
        <f aca="false">IFERROR(U541/S541,0)</f>
        <v>0.0562434997399896</v>
      </c>
      <c r="W541" s="5" t="str">
        <f aca="false">IF(V541&lt;-0.1,"ADVERSE &gt;10%","")</f>
        <v/>
      </c>
    </row>
    <row r="542" customFormat="false" ht="15" hidden="false" customHeight="false" outlineLevel="0" collapsed="false">
      <c r="A542" s="5" t="str">
        <f aca="false">01_Data!A542</f>
        <v>Retail &amp; Consumer</v>
      </c>
      <c r="B542" s="5" t="str">
        <f aca="false">01_Data!C542</f>
        <v>2023-04</v>
      </c>
      <c r="C542" s="5" t="str">
        <f aca="false">01_Data!D542</f>
        <v>FY23</v>
      </c>
      <c r="D542" s="7" t="n">
        <f aca="false">01_Data!E542</f>
        <v>130913</v>
      </c>
      <c r="E542" s="7" t="n">
        <f aca="false">01_Data!F542</f>
        <v>131832</v>
      </c>
      <c r="F542" s="7" t="n">
        <f aca="false">E542-D542</f>
        <v>919</v>
      </c>
      <c r="G542" s="8" t="n">
        <f aca="false">IFERROR(F542/D542,0)</f>
        <v>0.00701992926600108</v>
      </c>
      <c r="H542" s="7" t="n">
        <f aca="false">01_Data!G542</f>
        <v>73154</v>
      </c>
      <c r="I542" s="7" t="n">
        <f aca="false">01_Data!H542</f>
        <v>77193</v>
      </c>
      <c r="J542" s="7" t="n">
        <f aca="false">H542-I542</f>
        <v>-4039</v>
      </c>
      <c r="K542" s="8" t="n">
        <f aca="false">IFERROR(J542/H542,0)</f>
        <v>-0.0552122918774093</v>
      </c>
      <c r="L542" s="7" t="n">
        <f aca="false">D542-H542</f>
        <v>57759</v>
      </c>
      <c r="M542" s="7" t="n">
        <f aca="false">E542-I542</f>
        <v>54639</v>
      </c>
      <c r="N542" s="7" t="n">
        <f aca="false">IFERROR(L542/D542,0)</f>
        <v>0.44120140856905</v>
      </c>
      <c r="O542" s="7" t="n">
        <f aca="false">IFERROR(M542/E542,0)</f>
        <v>0.414459311851447</v>
      </c>
      <c r="P542" s="7" t="n">
        <f aca="false">01_Data!I542+01_Data!K542+01_Data!M542+01_Data!O542+01_Data!Q542+01_Data!S542+01_Data!U542</f>
        <v>35312</v>
      </c>
      <c r="Q542" s="7" t="n">
        <f aca="false">01_Data!J542+01_Data!L542+01_Data!N542+01_Data!P542+01_Data!R542+01_Data!T542+01_Data!V542</f>
        <v>35734</v>
      </c>
      <c r="R542" s="7" t="n">
        <f aca="false">P542-Q542</f>
        <v>-422</v>
      </c>
      <c r="S542" s="7" t="n">
        <f aca="false">L542-P542</f>
        <v>22447</v>
      </c>
      <c r="T542" s="7" t="n">
        <f aca="false">M542-Q542</f>
        <v>18905</v>
      </c>
      <c r="U542" s="7" t="n">
        <f aca="false">T542-S542</f>
        <v>-3542</v>
      </c>
      <c r="V542" s="8" t="n">
        <f aca="false">IFERROR(U542/S542,0)</f>
        <v>-0.157793914554283</v>
      </c>
      <c r="W542" s="5" t="str">
        <f aca="false">IF(V542&lt;-0.1,"ADVERSE &gt;10%","")</f>
        <v>ADVERSE &gt;10%</v>
      </c>
    </row>
    <row r="543" customFormat="false" ht="15" hidden="false" customHeight="false" outlineLevel="0" collapsed="false">
      <c r="A543" s="5" t="str">
        <f aca="false">01_Data!A543</f>
        <v>Retail &amp; Consumer</v>
      </c>
      <c r="B543" s="5" t="str">
        <f aca="false">01_Data!C543</f>
        <v>2023-05</v>
      </c>
      <c r="C543" s="5" t="str">
        <f aca="false">01_Data!D543</f>
        <v>FY23</v>
      </c>
      <c r="D543" s="7" t="n">
        <f aca="false">01_Data!E543</f>
        <v>131978</v>
      </c>
      <c r="E543" s="7" t="n">
        <f aca="false">01_Data!F543</f>
        <v>131296</v>
      </c>
      <c r="F543" s="7" t="n">
        <f aca="false">E543-D543</f>
        <v>-682</v>
      </c>
      <c r="G543" s="8" t="n">
        <f aca="false">IFERROR(F543/D543,0)</f>
        <v>-0.00516752792132022</v>
      </c>
      <c r="H543" s="7" t="n">
        <f aca="false">01_Data!G543</f>
        <v>75747</v>
      </c>
      <c r="I543" s="7" t="n">
        <f aca="false">01_Data!H543</f>
        <v>74655</v>
      </c>
      <c r="J543" s="7" t="n">
        <f aca="false">H543-I543</f>
        <v>1092</v>
      </c>
      <c r="K543" s="8" t="n">
        <f aca="false">IFERROR(J543/H543,0)</f>
        <v>0.0144164125311894</v>
      </c>
      <c r="L543" s="7" t="n">
        <f aca="false">D543-H543</f>
        <v>56231</v>
      </c>
      <c r="M543" s="7" t="n">
        <f aca="false">E543-I543</f>
        <v>56641</v>
      </c>
      <c r="N543" s="7" t="n">
        <f aca="false">IFERROR(L543/D543,0)</f>
        <v>0.426063434814893</v>
      </c>
      <c r="O543" s="7" t="n">
        <f aca="false">IFERROR(M543/E543,0)</f>
        <v>0.431399281013892</v>
      </c>
      <c r="P543" s="7" t="n">
        <f aca="false">01_Data!I543+01_Data!K543+01_Data!M543+01_Data!O543+01_Data!Q543+01_Data!S543+01_Data!U543</f>
        <v>35405</v>
      </c>
      <c r="Q543" s="7" t="n">
        <f aca="false">01_Data!J543+01_Data!L543+01_Data!N543+01_Data!P543+01_Data!R543+01_Data!T543+01_Data!V543</f>
        <v>35417</v>
      </c>
      <c r="R543" s="7" t="n">
        <f aca="false">P543-Q543</f>
        <v>-12</v>
      </c>
      <c r="S543" s="7" t="n">
        <f aca="false">L543-P543</f>
        <v>20826</v>
      </c>
      <c r="T543" s="7" t="n">
        <f aca="false">M543-Q543</f>
        <v>21224</v>
      </c>
      <c r="U543" s="7" t="n">
        <f aca="false">T543-S543</f>
        <v>398</v>
      </c>
      <c r="V543" s="8" t="n">
        <f aca="false">IFERROR(U543/S543,0)</f>
        <v>0.0191107269758955</v>
      </c>
      <c r="W543" s="5" t="str">
        <f aca="false">IF(V543&lt;-0.1,"ADVERSE &gt;10%","")</f>
        <v/>
      </c>
    </row>
    <row r="544" customFormat="false" ht="15" hidden="false" customHeight="false" outlineLevel="0" collapsed="false">
      <c r="A544" s="5" t="str">
        <f aca="false">01_Data!A544</f>
        <v>Retail &amp; Consumer</v>
      </c>
      <c r="B544" s="5" t="str">
        <f aca="false">01_Data!C544</f>
        <v>2023-06</v>
      </c>
      <c r="C544" s="5" t="str">
        <f aca="false">01_Data!D544</f>
        <v>FY23</v>
      </c>
      <c r="D544" s="7" t="n">
        <f aca="false">01_Data!E544</f>
        <v>129958</v>
      </c>
      <c r="E544" s="7" t="n">
        <f aca="false">01_Data!F544</f>
        <v>132643</v>
      </c>
      <c r="F544" s="7" t="n">
        <f aca="false">E544-D544</f>
        <v>2685</v>
      </c>
      <c r="G544" s="8" t="n">
        <f aca="false">IFERROR(F544/D544,0)</f>
        <v>0.0206605210914295</v>
      </c>
      <c r="H544" s="7" t="n">
        <f aca="false">01_Data!G544</f>
        <v>70652</v>
      </c>
      <c r="I544" s="7" t="n">
        <f aca="false">01_Data!H544</f>
        <v>74370</v>
      </c>
      <c r="J544" s="7" t="n">
        <f aca="false">H544-I544</f>
        <v>-3718</v>
      </c>
      <c r="K544" s="8" t="n">
        <f aca="false">IFERROR(J544/H544,0)</f>
        <v>-0.0526241295363189</v>
      </c>
      <c r="L544" s="7" t="n">
        <f aca="false">D544-H544</f>
        <v>59306</v>
      </c>
      <c r="M544" s="7" t="n">
        <f aca="false">E544-I544</f>
        <v>58273</v>
      </c>
      <c r="N544" s="7" t="n">
        <f aca="false">IFERROR(L544/D544,0)</f>
        <v>0.456347435325259</v>
      </c>
      <c r="O544" s="7" t="n">
        <f aca="false">IFERROR(M544/E544,0)</f>
        <v>0.439322090121605</v>
      </c>
      <c r="P544" s="7" t="n">
        <f aca="false">01_Data!I544+01_Data!K544+01_Data!M544+01_Data!O544+01_Data!Q544+01_Data!S544+01_Data!U544</f>
        <v>34841</v>
      </c>
      <c r="Q544" s="7" t="n">
        <f aca="false">01_Data!J544+01_Data!L544+01_Data!N544+01_Data!P544+01_Data!R544+01_Data!T544+01_Data!V544</f>
        <v>35702</v>
      </c>
      <c r="R544" s="7" t="n">
        <f aca="false">P544-Q544</f>
        <v>-861</v>
      </c>
      <c r="S544" s="7" t="n">
        <f aca="false">L544-P544</f>
        <v>24465</v>
      </c>
      <c r="T544" s="7" t="n">
        <f aca="false">M544-Q544</f>
        <v>22571</v>
      </c>
      <c r="U544" s="7" t="n">
        <f aca="false">T544-S544</f>
        <v>-1894</v>
      </c>
      <c r="V544" s="8" t="n">
        <f aca="false">IFERROR(U544/S544,0)</f>
        <v>-0.0774167177600654</v>
      </c>
      <c r="W544" s="5" t="str">
        <f aca="false">IF(V544&lt;-0.1,"ADVERSE &gt;10%","")</f>
        <v/>
      </c>
    </row>
    <row r="545" customFormat="false" ht="15" hidden="false" customHeight="false" outlineLevel="0" collapsed="false">
      <c r="A545" s="5" t="str">
        <f aca="false">01_Data!A545</f>
        <v>Retail &amp; Consumer</v>
      </c>
      <c r="B545" s="5" t="str">
        <f aca="false">01_Data!C545</f>
        <v>2023-07</v>
      </c>
      <c r="C545" s="5" t="str">
        <f aca="false">01_Data!D545</f>
        <v>FY23</v>
      </c>
      <c r="D545" s="7" t="n">
        <f aca="false">01_Data!E545</f>
        <v>137043</v>
      </c>
      <c r="E545" s="7" t="n">
        <f aca="false">01_Data!F545</f>
        <v>134023</v>
      </c>
      <c r="F545" s="7" t="n">
        <f aca="false">E545-D545</f>
        <v>-3020</v>
      </c>
      <c r="G545" s="8" t="n">
        <f aca="false">IFERROR(F545/D545,0)</f>
        <v>-0.0220368789358085</v>
      </c>
      <c r="H545" s="7" t="n">
        <f aca="false">01_Data!G545</f>
        <v>74946</v>
      </c>
      <c r="I545" s="7" t="n">
        <f aca="false">01_Data!H545</f>
        <v>70615</v>
      </c>
      <c r="J545" s="7" t="n">
        <f aca="false">H545-I545</f>
        <v>4331</v>
      </c>
      <c r="K545" s="8" t="n">
        <f aca="false">IFERROR(J545/H545,0)</f>
        <v>0.057788274224108</v>
      </c>
      <c r="L545" s="7" t="n">
        <f aca="false">D545-H545</f>
        <v>62097</v>
      </c>
      <c r="M545" s="7" t="n">
        <f aca="false">E545-I545</f>
        <v>63408</v>
      </c>
      <c r="N545" s="7" t="n">
        <f aca="false">IFERROR(L545/D545,0)</f>
        <v>0.453120553402947</v>
      </c>
      <c r="O545" s="7" t="n">
        <f aca="false">IFERROR(M545/E545,0)</f>
        <v>0.473112823918283</v>
      </c>
      <c r="P545" s="7" t="n">
        <f aca="false">01_Data!I545+01_Data!K545+01_Data!M545+01_Data!O545+01_Data!Q545+01_Data!S545+01_Data!U545</f>
        <v>36536</v>
      </c>
      <c r="Q545" s="7" t="n">
        <f aca="false">01_Data!J545+01_Data!L545+01_Data!N545+01_Data!P545+01_Data!R545+01_Data!T545+01_Data!V545</f>
        <v>36504</v>
      </c>
      <c r="R545" s="7" t="n">
        <f aca="false">P545-Q545</f>
        <v>32</v>
      </c>
      <c r="S545" s="7" t="n">
        <f aca="false">L545-P545</f>
        <v>25561</v>
      </c>
      <c r="T545" s="7" t="n">
        <f aca="false">M545-Q545</f>
        <v>26904</v>
      </c>
      <c r="U545" s="7" t="n">
        <f aca="false">T545-S545</f>
        <v>1343</v>
      </c>
      <c r="V545" s="8" t="n">
        <f aca="false">IFERROR(U545/S545,0)</f>
        <v>0.0525409803998279</v>
      </c>
      <c r="W545" s="5" t="str">
        <f aca="false">IF(V545&lt;-0.1,"ADVERSE &gt;10%","")</f>
        <v/>
      </c>
    </row>
    <row r="546" customFormat="false" ht="15" hidden="false" customHeight="false" outlineLevel="0" collapsed="false">
      <c r="A546" s="5" t="str">
        <f aca="false">01_Data!A546</f>
        <v>Retail &amp; Consumer</v>
      </c>
      <c r="B546" s="5" t="str">
        <f aca="false">01_Data!C546</f>
        <v>2023-08</v>
      </c>
      <c r="C546" s="5" t="str">
        <f aca="false">01_Data!D546</f>
        <v>FY23</v>
      </c>
      <c r="D546" s="7" t="n">
        <f aca="false">01_Data!E546</f>
        <v>140227</v>
      </c>
      <c r="E546" s="7" t="n">
        <f aca="false">01_Data!F546</f>
        <v>137241</v>
      </c>
      <c r="F546" s="7" t="n">
        <f aca="false">E546-D546</f>
        <v>-2986</v>
      </c>
      <c r="G546" s="8" t="n">
        <f aca="false">IFERROR(F546/D546,0)</f>
        <v>-0.0212940446561647</v>
      </c>
      <c r="H546" s="7" t="n">
        <f aca="false">01_Data!G546</f>
        <v>82953</v>
      </c>
      <c r="I546" s="7" t="n">
        <f aca="false">01_Data!H546</f>
        <v>82676</v>
      </c>
      <c r="J546" s="7" t="n">
        <f aca="false">H546-I546</f>
        <v>277</v>
      </c>
      <c r="K546" s="8" t="n">
        <f aca="false">IFERROR(J546/H546,0)</f>
        <v>0.00333924029269586</v>
      </c>
      <c r="L546" s="7" t="n">
        <f aca="false">D546-H546</f>
        <v>57274</v>
      </c>
      <c r="M546" s="7" t="n">
        <f aca="false">E546-I546</f>
        <v>54565</v>
      </c>
      <c r="N546" s="7" t="n">
        <f aca="false">IFERROR(L546/D546,0)</f>
        <v>0.40843774736677</v>
      </c>
      <c r="O546" s="7" t="n">
        <f aca="false">IFERROR(M546/E546,0)</f>
        <v>0.397585269708032</v>
      </c>
      <c r="P546" s="7" t="n">
        <f aca="false">01_Data!I546+01_Data!K546+01_Data!M546+01_Data!O546+01_Data!Q546+01_Data!S546+01_Data!U546</f>
        <v>37091</v>
      </c>
      <c r="Q546" s="7" t="n">
        <f aca="false">01_Data!J546+01_Data!L546+01_Data!N546+01_Data!P546+01_Data!R546+01_Data!T546+01_Data!V546</f>
        <v>38632</v>
      </c>
      <c r="R546" s="7" t="n">
        <f aca="false">P546-Q546</f>
        <v>-1541</v>
      </c>
      <c r="S546" s="7" t="n">
        <f aca="false">L546-P546</f>
        <v>20183</v>
      </c>
      <c r="T546" s="7" t="n">
        <f aca="false">M546-Q546</f>
        <v>15933</v>
      </c>
      <c r="U546" s="7" t="n">
        <f aca="false">T546-S546</f>
        <v>-4250</v>
      </c>
      <c r="V546" s="8" t="n">
        <f aca="false">IFERROR(U546/S546,0)</f>
        <v>-0.210573254719318</v>
      </c>
      <c r="W546" s="5" t="str">
        <f aca="false">IF(V546&lt;-0.1,"ADVERSE &gt;10%","")</f>
        <v>ADVERSE &gt;10%</v>
      </c>
    </row>
    <row r="547" customFormat="false" ht="15" hidden="false" customHeight="false" outlineLevel="0" collapsed="false">
      <c r="A547" s="5" t="str">
        <f aca="false">01_Data!A547</f>
        <v>Retail &amp; Consumer</v>
      </c>
      <c r="B547" s="5" t="str">
        <f aca="false">01_Data!C547</f>
        <v>2023-09</v>
      </c>
      <c r="C547" s="5" t="str">
        <f aca="false">01_Data!D547</f>
        <v>FY23</v>
      </c>
      <c r="D547" s="7" t="n">
        <f aca="false">01_Data!E547</f>
        <v>151107</v>
      </c>
      <c r="E547" s="7" t="n">
        <f aca="false">01_Data!F547</f>
        <v>147606</v>
      </c>
      <c r="F547" s="7" t="n">
        <f aca="false">E547-D547</f>
        <v>-3501</v>
      </c>
      <c r="G547" s="8" t="n">
        <f aca="false">IFERROR(F547/D547,0)</f>
        <v>-0.0231690126863746</v>
      </c>
      <c r="H547" s="7" t="n">
        <f aca="false">01_Data!G547</f>
        <v>82571</v>
      </c>
      <c r="I547" s="7" t="n">
        <f aca="false">01_Data!H547</f>
        <v>80783</v>
      </c>
      <c r="J547" s="7" t="n">
        <f aca="false">H547-I547</f>
        <v>1788</v>
      </c>
      <c r="K547" s="8" t="n">
        <f aca="false">IFERROR(J547/H547,0)</f>
        <v>0.0216540916302334</v>
      </c>
      <c r="L547" s="7" t="n">
        <f aca="false">D547-H547</f>
        <v>68536</v>
      </c>
      <c r="M547" s="7" t="n">
        <f aca="false">E547-I547</f>
        <v>66823</v>
      </c>
      <c r="N547" s="7" t="n">
        <f aca="false">IFERROR(L547/D547,0)</f>
        <v>0.45355939830716</v>
      </c>
      <c r="O547" s="7" t="n">
        <f aca="false">IFERROR(M547/E547,0)</f>
        <v>0.452711949378752</v>
      </c>
      <c r="P547" s="7" t="n">
        <f aca="false">01_Data!I547+01_Data!K547+01_Data!M547+01_Data!O547+01_Data!Q547+01_Data!S547+01_Data!U547</f>
        <v>40076</v>
      </c>
      <c r="Q547" s="7" t="n">
        <f aca="false">01_Data!J547+01_Data!L547+01_Data!N547+01_Data!P547+01_Data!R547+01_Data!T547+01_Data!V547</f>
        <v>40358</v>
      </c>
      <c r="R547" s="7" t="n">
        <f aca="false">P547-Q547</f>
        <v>-282</v>
      </c>
      <c r="S547" s="7" t="n">
        <f aca="false">L547-P547</f>
        <v>28460</v>
      </c>
      <c r="T547" s="7" t="n">
        <f aca="false">M547-Q547</f>
        <v>26465</v>
      </c>
      <c r="U547" s="7" t="n">
        <f aca="false">T547-S547</f>
        <v>-1995</v>
      </c>
      <c r="V547" s="8" t="n">
        <f aca="false">IFERROR(U547/S547,0)</f>
        <v>-0.070098383696416</v>
      </c>
      <c r="W547" s="5" t="str">
        <f aca="false">IF(V547&lt;-0.1,"ADVERSE &gt;10%","")</f>
        <v/>
      </c>
    </row>
    <row r="548" customFormat="false" ht="15" hidden="false" customHeight="false" outlineLevel="0" collapsed="false">
      <c r="A548" s="5" t="str">
        <f aca="false">01_Data!A548</f>
        <v>Retail &amp; Consumer</v>
      </c>
      <c r="B548" s="5" t="str">
        <f aca="false">01_Data!C548</f>
        <v>2023-10</v>
      </c>
      <c r="C548" s="5" t="str">
        <f aca="false">01_Data!D548</f>
        <v>FY23</v>
      </c>
      <c r="D548" s="7" t="n">
        <f aca="false">01_Data!E548</f>
        <v>146424</v>
      </c>
      <c r="E548" s="7" t="n">
        <f aca="false">01_Data!F548</f>
        <v>138422</v>
      </c>
      <c r="F548" s="7" t="n">
        <f aca="false">E548-D548</f>
        <v>-8002</v>
      </c>
      <c r="G548" s="8" t="n">
        <f aca="false">IFERROR(F548/D548,0)</f>
        <v>-0.0546495110091242</v>
      </c>
      <c r="H548" s="7" t="n">
        <f aca="false">01_Data!G548</f>
        <v>82212</v>
      </c>
      <c r="I548" s="7" t="n">
        <f aca="false">01_Data!H548</f>
        <v>80874</v>
      </c>
      <c r="J548" s="7" t="n">
        <f aca="false">H548-I548</f>
        <v>1338</v>
      </c>
      <c r="K548" s="8" t="n">
        <f aca="false">IFERROR(J548/H548,0)</f>
        <v>0.0162749963508977</v>
      </c>
      <c r="L548" s="7" t="n">
        <f aca="false">D548-H548</f>
        <v>64212</v>
      </c>
      <c r="M548" s="7" t="n">
        <f aca="false">E548-I548</f>
        <v>57548</v>
      </c>
      <c r="N548" s="7" t="n">
        <f aca="false">IFERROR(L548/D548,0)</f>
        <v>0.438534666448123</v>
      </c>
      <c r="O548" s="7" t="n">
        <f aca="false">IFERROR(M548/E548,0)</f>
        <v>0.415743162214099</v>
      </c>
      <c r="P548" s="7" t="n">
        <f aca="false">01_Data!I548+01_Data!K548+01_Data!M548+01_Data!O548+01_Data!Q548+01_Data!S548+01_Data!U548</f>
        <v>39347</v>
      </c>
      <c r="Q548" s="7" t="n">
        <f aca="false">01_Data!J548+01_Data!L548+01_Data!N548+01_Data!P548+01_Data!R548+01_Data!T548+01_Data!V548</f>
        <v>39650</v>
      </c>
      <c r="R548" s="7" t="n">
        <f aca="false">P548-Q548</f>
        <v>-303</v>
      </c>
      <c r="S548" s="7" t="n">
        <f aca="false">L548-P548</f>
        <v>24865</v>
      </c>
      <c r="T548" s="7" t="n">
        <f aca="false">M548-Q548</f>
        <v>17898</v>
      </c>
      <c r="U548" s="7" t="n">
        <f aca="false">T548-S548</f>
        <v>-6967</v>
      </c>
      <c r="V548" s="8" t="n">
        <f aca="false">IFERROR(U548/S548,0)</f>
        <v>-0.280193042429117</v>
      </c>
      <c r="W548" s="5" t="str">
        <f aca="false">IF(V548&lt;-0.1,"ADVERSE &gt;10%","")</f>
        <v>ADVERSE &gt;10%</v>
      </c>
    </row>
    <row r="549" customFormat="false" ht="15" hidden="false" customHeight="false" outlineLevel="0" collapsed="false">
      <c r="A549" s="5" t="str">
        <f aca="false">01_Data!A549</f>
        <v>Retail &amp; Consumer</v>
      </c>
      <c r="B549" s="5" t="str">
        <f aca="false">01_Data!C549</f>
        <v>2023-11</v>
      </c>
      <c r="C549" s="5" t="str">
        <f aca="false">01_Data!D549</f>
        <v>FY23</v>
      </c>
      <c r="D549" s="7" t="n">
        <f aca="false">01_Data!E549</f>
        <v>146311</v>
      </c>
      <c r="E549" s="7" t="n">
        <f aca="false">01_Data!F549</f>
        <v>139352</v>
      </c>
      <c r="F549" s="7" t="n">
        <f aca="false">E549-D549</f>
        <v>-6959</v>
      </c>
      <c r="G549" s="8" t="n">
        <f aca="false">IFERROR(F549/D549,0)</f>
        <v>-0.0475630677119287</v>
      </c>
      <c r="H549" s="7" t="n">
        <f aca="false">01_Data!G549</f>
        <v>84671</v>
      </c>
      <c r="I549" s="7" t="n">
        <f aca="false">01_Data!H549</f>
        <v>80481</v>
      </c>
      <c r="J549" s="7" t="n">
        <f aca="false">H549-I549</f>
        <v>4190</v>
      </c>
      <c r="K549" s="8" t="n">
        <f aca="false">IFERROR(J549/H549,0)</f>
        <v>0.0494856562459402</v>
      </c>
      <c r="L549" s="7" t="n">
        <f aca="false">D549-H549</f>
        <v>61640</v>
      </c>
      <c r="M549" s="7" t="n">
        <f aca="false">E549-I549</f>
        <v>58871</v>
      </c>
      <c r="N549" s="7" t="n">
        <f aca="false">IFERROR(L549/D549,0)</f>
        <v>0.421294366110545</v>
      </c>
      <c r="O549" s="7" t="n">
        <f aca="false">IFERROR(M549/E549,0)</f>
        <v>0.422462540903611</v>
      </c>
      <c r="P549" s="7" t="n">
        <f aca="false">01_Data!I549+01_Data!K549+01_Data!M549+01_Data!O549+01_Data!Q549+01_Data!S549+01_Data!U549</f>
        <v>38818</v>
      </c>
      <c r="Q549" s="7" t="n">
        <f aca="false">01_Data!J549+01_Data!L549+01_Data!N549+01_Data!P549+01_Data!R549+01_Data!T549+01_Data!V549</f>
        <v>40454</v>
      </c>
      <c r="R549" s="7" t="n">
        <f aca="false">P549-Q549</f>
        <v>-1636</v>
      </c>
      <c r="S549" s="7" t="n">
        <f aca="false">L549-P549</f>
        <v>22822</v>
      </c>
      <c r="T549" s="7" t="n">
        <f aca="false">M549-Q549</f>
        <v>18417</v>
      </c>
      <c r="U549" s="7" t="n">
        <f aca="false">T549-S549</f>
        <v>-4405</v>
      </c>
      <c r="V549" s="8" t="n">
        <f aca="false">IFERROR(U549/S549,0)</f>
        <v>-0.193015511348699</v>
      </c>
      <c r="W549" s="5" t="str">
        <f aca="false">IF(V549&lt;-0.1,"ADVERSE &gt;10%","")</f>
        <v>ADVERSE &gt;10%</v>
      </c>
    </row>
    <row r="550" customFormat="false" ht="15" hidden="false" customHeight="false" outlineLevel="0" collapsed="false">
      <c r="A550" s="5" t="str">
        <f aca="false">01_Data!A550</f>
        <v>Retail &amp; Consumer</v>
      </c>
      <c r="B550" s="5" t="str">
        <f aca="false">01_Data!C550</f>
        <v>2023-12</v>
      </c>
      <c r="C550" s="5" t="str">
        <f aca="false">01_Data!D550</f>
        <v>FY23</v>
      </c>
      <c r="D550" s="7" t="n">
        <f aca="false">01_Data!E550</f>
        <v>141290</v>
      </c>
      <c r="E550" s="7" t="n">
        <f aca="false">01_Data!F550</f>
        <v>148479</v>
      </c>
      <c r="F550" s="7" t="n">
        <f aca="false">E550-D550</f>
        <v>7189</v>
      </c>
      <c r="G550" s="8" t="n">
        <f aca="false">IFERROR(F550/D550,0)</f>
        <v>0.0508811663953571</v>
      </c>
      <c r="H550" s="7" t="n">
        <f aca="false">01_Data!G550</f>
        <v>77197</v>
      </c>
      <c r="I550" s="7" t="n">
        <f aca="false">01_Data!H550</f>
        <v>85091</v>
      </c>
      <c r="J550" s="7" t="n">
        <f aca="false">H550-I550</f>
        <v>-7894</v>
      </c>
      <c r="K550" s="8" t="n">
        <f aca="false">IFERROR(J550/H550,0)</f>
        <v>-0.10225785976139</v>
      </c>
      <c r="L550" s="7" t="n">
        <f aca="false">D550-H550</f>
        <v>64093</v>
      </c>
      <c r="M550" s="7" t="n">
        <f aca="false">E550-I550</f>
        <v>63388</v>
      </c>
      <c r="N550" s="7" t="n">
        <f aca="false">IFERROR(L550/D550,0)</f>
        <v>0.45362729138651</v>
      </c>
      <c r="O550" s="7" t="n">
        <f aca="false">IFERROR(M550/E550,0)</f>
        <v>0.426915590756942</v>
      </c>
      <c r="P550" s="7" t="n">
        <f aca="false">01_Data!I550+01_Data!K550+01_Data!M550+01_Data!O550+01_Data!Q550+01_Data!S550+01_Data!U550</f>
        <v>39974</v>
      </c>
      <c r="Q550" s="7" t="n">
        <f aca="false">01_Data!J550+01_Data!L550+01_Data!N550+01_Data!P550+01_Data!R550+01_Data!T550+01_Data!V550</f>
        <v>41048</v>
      </c>
      <c r="R550" s="7" t="n">
        <f aca="false">P550-Q550</f>
        <v>-1074</v>
      </c>
      <c r="S550" s="7" t="n">
        <f aca="false">L550-P550</f>
        <v>24119</v>
      </c>
      <c r="T550" s="7" t="n">
        <f aca="false">M550-Q550</f>
        <v>22340</v>
      </c>
      <c r="U550" s="7" t="n">
        <f aca="false">T550-S550</f>
        <v>-1779</v>
      </c>
      <c r="V550" s="8" t="n">
        <f aca="false">IFERROR(U550/S550,0)</f>
        <v>-0.0737592769186119</v>
      </c>
      <c r="W550" s="5" t="str">
        <f aca="false">IF(V550&lt;-0.1,"ADVERSE &gt;10%","")</f>
        <v/>
      </c>
    </row>
    <row r="551" customFormat="false" ht="15" hidden="false" customHeight="false" outlineLevel="0" collapsed="false">
      <c r="A551" s="5" t="str">
        <f aca="false">01_Data!A551</f>
        <v>Retail &amp; Consumer</v>
      </c>
      <c r="B551" s="5" t="str">
        <f aca="false">01_Data!C551</f>
        <v>2024-01</v>
      </c>
      <c r="C551" s="5" t="str">
        <f aca="false">01_Data!D551</f>
        <v>FY23</v>
      </c>
      <c r="D551" s="7" t="n">
        <f aca="false">01_Data!E551</f>
        <v>135143</v>
      </c>
      <c r="E551" s="7" t="n">
        <f aca="false">01_Data!F551</f>
        <v>142444</v>
      </c>
      <c r="F551" s="7" t="n">
        <f aca="false">E551-D551</f>
        <v>7301</v>
      </c>
      <c r="G551" s="8" t="n">
        <f aca="false">IFERROR(F551/D551,0)</f>
        <v>0.0540242557883131</v>
      </c>
      <c r="H551" s="7" t="n">
        <f aca="false">01_Data!G551</f>
        <v>79167</v>
      </c>
      <c r="I551" s="7" t="n">
        <f aca="false">01_Data!H551</f>
        <v>84915</v>
      </c>
      <c r="J551" s="7" t="n">
        <f aca="false">H551-I551</f>
        <v>-5748</v>
      </c>
      <c r="K551" s="8" t="n">
        <f aca="false">IFERROR(J551/H551,0)</f>
        <v>-0.0726060100799576</v>
      </c>
      <c r="L551" s="7" t="n">
        <f aca="false">D551-H551</f>
        <v>55976</v>
      </c>
      <c r="M551" s="7" t="n">
        <f aca="false">E551-I551</f>
        <v>57529</v>
      </c>
      <c r="N551" s="7" t="n">
        <f aca="false">IFERROR(L551/D551,0)</f>
        <v>0.414198293659309</v>
      </c>
      <c r="O551" s="7" t="n">
        <f aca="false">IFERROR(M551/E551,0)</f>
        <v>0.403870994917301</v>
      </c>
      <c r="P551" s="7" t="n">
        <f aca="false">01_Data!I551+01_Data!K551+01_Data!M551+01_Data!O551+01_Data!Q551+01_Data!S551+01_Data!U551</f>
        <v>36188</v>
      </c>
      <c r="Q551" s="7" t="n">
        <f aca="false">01_Data!J551+01_Data!L551+01_Data!N551+01_Data!P551+01_Data!R551+01_Data!T551+01_Data!V551</f>
        <v>38228</v>
      </c>
      <c r="R551" s="7" t="n">
        <f aca="false">P551-Q551</f>
        <v>-2040</v>
      </c>
      <c r="S551" s="7" t="n">
        <f aca="false">L551-P551</f>
        <v>19788</v>
      </c>
      <c r="T551" s="7" t="n">
        <f aca="false">M551-Q551</f>
        <v>19301</v>
      </c>
      <c r="U551" s="7" t="n">
        <f aca="false">T551-S551</f>
        <v>-487</v>
      </c>
      <c r="V551" s="8" t="n">
        <f aca="false">IFERROR(U551/S551,0)</f>
        <v>-0.0246108752779462</v>
      </c>
      <c r="W551" s="5" t="str">
        <f aca="false">IF(V551&lt;-0.1,"ADVERSE &gt;10%","")</f>
        <v/>
      </c>
    </row>
    <row r="552" customFormat="false" ht="15" hidden="false" customHeight="false" outlineLevel="0" collapsed="false">
      <c r="A552" s="5" t="str">
        <f aca="false">01_Data!A552</f>
        <v>Retail &amp; Consumer</v>
      </c>
      <c r="B552" s="5" t="str">
        <f aca="false">01_Data!C552</f>
        <v>2024-02</v>
      </c>
      <c r="C552" s="5" t="str">
        <f aca="false">01_Data!D552</f>
        <v>FY23</v>
      </c>
      <c r="D552" s="7" t="n">
        <f aca="false">01_Data!E552</f>
        <v>140407</v>
      </c>
      <c r="E552" s="7" t="n">
        <f aca="false">01_Data!F552</f>
        <v>145790</v>
      </c>
      <c r="F552" s="7" t="n">
        <f aca="false">E552-D552</f>
        <v>5383</v>
      </c>
      <c r="G552" s="8" t="n">
        <f aca="false">IFERROR(F552/D552,0)</f>
        <v>0.0383385443745682</v>
      </c>
      <c r="H552" s="7" t="n">
        <f aca="false">01_Data!G552</f>
        <v>80724</v>
      </c>
      <c r="I552" s="7" t="n">
        <f aca="false">01_Data!H552</f>
        <v>85489</v>
      </c>
      <c r="J552" s="7" t="n">
        <f aca="false">H552-I552</f>
        <v>-4765</v>
      </c>
      <c r="K552" s="8" t="n">
        <f aca="false">IFERROR(J552/H552,0)</f>
        <v>-0.0590282939398444</v>
      </c>
      <c r="L552" s="7" t="n">
        <f aca="false">D552-H552</f>
        <v>59683</v>
      </c>
      <c r="M552" s="7" t="n">
        <f aca="false">E552-I552</f>
        <v>60301</v>
      </c>
      <c r="N552" s="7" t="n">
        <f aca="false">IFERROR(L552/D552,0)</f>
        <v>0.425071399574095</v>
      </c>
      <c r="O552" s="7" t="n">
        <f aca="false">IFERROR(M552/E552,0)</f>
        <v>0.413615474312367</v>
      </c>
      <c r="P552" s="7" t="n">
        <f aca="false">01_Data!I552+01_Data!K552+01_Data!M552+01_Data!O552+01_Data!Q552+01_Data!S552+01_Data!U552</f>
        <v>38768</v>
      </c>
      <c r="Q552" s="7" t="n">
        <f aca="false">01_Data!J552+01_Data!L552+01_Data!N552+01_Data!P552+01_Data!R552+01_Data!T552+01_Data!V552</f>
        <v>39327</v>
      </c>
      <c r="R552" s="7" t="n">
        <f aca="false">P552-Q552</f>
        <v>-559</v>
      </c>
      <c r="S552" s="7" t="n">
        <f aca="false">L552-P552</f>
        <v>20915</v>
      </c>
      <c r="T552" s="7" t="n">
        <f aca="false">M552-Q552</f>
        <v>20974</v>
      </c>
      <c r="U552" s="7" t="n">
        <f aca="false">T552-S552</f>
        <v>59</v>
      </c>
      <c r="V552" s="8" t="n">
        <f aca="false">IFERROR(U552/S552,0)</f>
        <v>0.00282094190772173</v>
      </c>
      <c r="W552" s="5" t="str">
        <f aca="false">IF(V552&lt;-0.1,"ADVERSE &gt;10%","")</f>
        <v/>
      </c>
    </row>
    <row r="553" customFormat="false" ht="15" hidden="false" customHeight="false" outlineLevel="0" collapsed="false">
      <c r="A553" s="5" t="str">
        <f aca="false">01_Data!A553</f>
        <v>Retail &amp; Consumer</v>
      </c>
      <c r="B553" s="5" t="str">
        <f aca="false">01_Data!C553</f>
        <v>2024-03</v>
      </c>
      <c r="C553" s="5" t="str">
        <f aca="false">01_Data!D553</f>
        <v>FY23</v>
      </c>
      <c r="D553" s="7" t="n">
        <f aca="false">01_Data!E553</f>
        <v>157431</v>
      </c>
      <c r="E553" s="7" t="n">
        <f aca="false">01_Data!F553</f>
        <v>157929</v>
      </c>
      <c r="F553" s="7" t="n">
        <f aca="false">E553-D553</f>
        <v>498</v>
      </c>
      <c r="G553" s="8" t="n">
        <f aca="false">IFERROR(F553/D553,0)</f>
        <v>0.00316329058444652</v>
      </c>
      <c r="H553" s="7" t="n">
        <f aca="false">01_Data!G553</f>
        <v>88339</v>
      </c>
      <c r="I553" s="7" t="n">
        <f aca="false">01_Data!H553</f>
        <v>90343</v>
      </c>
      <c r="J553" s="7" t="n">
        <f aca="false">H553-I553</f>
        <v>-2004</v>
      </c>
      <c r="K553" s="8" t="n">
        <f aca="false">IFERROR(J553/H553,0)</f>
        <v>-0.0226853371670497</v>
      </c>
      <c r="L553" s="7" t="n">
        <f aca="false">D553-H553</f>
        <v>69092</v>
      </c>
      <c r="M553" s="7" t="n">
        <f aca="false">E553-I553</f>
        <v>67586</v>
      </c>
      <c r="N553" s="7" t="n">
        <f aca="false">IFERROR(L553/D553,0)</f>
        <v>0.438871632651765</v>
      </c>
      <c r="O553" s="7" t="n">
        <f aca="false">IFERROR(M553/E553,0)</f>
        <v>0.427951801125822</v>
      </c>
      <c r="P553" s="7" t="n">
        <f aca="false">01_Data!I553+01_Data!K553+01_Data!M553+01_Data!O553+01_Data!Q553+01_Data!S553+01_Data!U553</f>
        <v>39714</v>
      </c>
      <c r="Q553" s="7" t="n">
        <f aca="false">01_Data!J553+01_Data!L553+01_Data!N553+01_Data!P553+01_Data!R553+01_Data!T553+01_Data!V553</f>
        <v>39220</v>
      </c>
      <c r="R553" s="7" t="n">
        <f aca="false">P553-Q553</f>
        <v>494</v>
      </c>
      <c r="S553" s="7" t="n">
        <f aca="false">L553-P553</f>
        <v>29378</v>
      </c>
      <c r="T553" s="7" t="n">
        <f aca="false">M553-Q553</f>
        <v>28366</v>
      </c>
      <c r="U553" s="7" t="n">
        <f aca="false">T553-S553</f>
        <v>-1012</v>
      </c>
      <c r="V553" s="8" t="n">
        <f aca="false">IFERROR(U553/S553,0)</f>
        <v>-0.0344475457825584</v>
      </c>
      <c r="W553" s="5" t="str">
        <f aca="false">IF(V553&lt;-0.1,"ADVERSE &gt;10%","")</f>
        <v/>
      </c>
    </row>
    <row r="554" customFormat="false" ht="15" hidden="false" customHeight="false" outlineLevel="0" collapsed="false">
      <c r="A554" s="5" t="str">
        <f aca="false">01_Data!A554</f>
        <v>Retail &amp; Consumer</v>
      </c>
      <c r="B554" s="5" t="str">
        <f aca="false">01_Data!C554</f>
        <v>2024-04</v>
      </c>
      <c r="C554" s="5" t="str">
        <f aca="false">01_Data!D554</f>
        <v>FY24</v>
      </c>
      <c r="D554" s="7" t="n">
        <f aca="false">01_Data!E554</f>
        <v>159776</v>
      </c>
      <c r="E554" s="7" t="n">
        <f aca="false">01_Data!F554</f>
        <v>152070</v>
      </c>
      <c r="F554" s="7" t="n">
        <f aca="false">E554-D554</f>
        <v>-7706</v>
      </c>
      <c r="G554" s="8" t="n">
        <f aca="false">IFERROR(F554/D554,0)</f>
        <v>-0.0482300220308432</v>
      </c>
      <c r="H554" s="7" t="n">
        <f aca="false">01_Data!G554</f>
        <v>88689</v>
      </c>
      <c r="I554" s="7" t="n">
        <f aca="false">01_Data!H554</f>
        <v>86717</v>
      </c>
      <c r="J554" s="7" t="n">
        <f aca="false">H554-I554</f>
        <v>1972</v>
      </c>
      <c r="K554" s="8" t="n">
        <f aca="false">IFERROR(J554/H554,0)</f>
        <v>0.0222350009584052</v>
      </c>
      <c r="L554" s="7" t="n">
        <f aca="false">D554-H554</f>
        <v>71087</v>
      </c>
      <c r="M554" s="7" t="n">
        <f aca="false">E554-I554</f>
        <v>65353</v>
      </c>
      <c r="N554" s="7" t="n">
        <f aca="false">IFERROR(L554/D554,0)</f>
        <v>0.444916633286601</v>
      </c>
      <c r="O554" s="7" t="n">
        <f aca="false">IFERROR(M554/E554,0)</f>
        <v>0.429756033405668</v>
      </c>
      <c r="P554" s="7" t="n">
        <f aca="false">01_Data!I554+01_Data!K554+01_Data!M554+01_Data!O554+01_Data!Q554+01_Data!S554+01_Data!U554</f>
        <v>42500</v>
      </c>
      <c r="Q554" s="7" t="n">
        <f aca="false">01_Data!J554+01_Data!L554+01_Data!N554+01_Data!P554+01_Data!R554+01_Data!T554+01_Data!V554</f>
        <v>43545</v>
      </c>
      <c r="R554" s="7" t="n">
        <f aca="false">P554-Q554</f>
        <v>-1045</v>
      </c>
      <c r="S554" s="7" t="n">
        <f aca="false">L554-P554</f>
        <v>28587</v>
      </c>
      <c r="T554" s="7" t="n">
        <f aca="false">M554-Q554</f>
        <v>21808</v>
      </c>
      <c r="U554" s="7" t="n">
        <f aca="false">T554-S554</f>
        <v>-6779</v>
      </c>
      <c r="V554" s="8" t="n">
        <f aca="false">IFERROR(U554/S554,0)</f>
        <v>-0.237135761010249</v>
      </c>
      <c r="W554" s="5" t="str">
        <f aca="false">IF(V554&lt;-0.1,"ADVERSE &gt;10%","")</f>
        <v>ADVERSE &gt;10%</v>
      </c>
    </row>
    <row r="555" customFormat="false" ht="15" hidden="false" customHeight="false" outlineLevel="0" collapsed="false">
      <c r="A555" s="5" t="str">
        <f aca="false">01_Data!A555</f>
        <v>Retail &amp; Consumer</v>
      </c>
      <c r="B555" s="5" t="str">
        <f aca="false">01_Data!C555</f>
        <v>2024-05</v>
      </c>
      <c r="C555" s="5" t="str">
        <f aca="false">01_Data!D555</f>
        <v>FY24</v>
      </c>
      <c r="D555" s="7" t="n">
        <f aca="false">01_Data!E555</f>
        <v>143698</v>
      </c>
      <c r="E555" s="7" t="n">
        <f aca="false">01_Data!F555</f>
        <v>152287</v>
      </c>
      <c r="F555" s="7" t="n">
        <f aca="false">E555-D555</f>
        <v>8589</v>
      </c>
      <c r="G555" s="8" t="n">
        <f aca="false">IFERROR(F555/D555,0)</f>
        <v>0.0597711867945274</v>
      </c>
      <c r="H555" s="7" t="n">
        <f aca="false">01_Data!G555</f>
        <v>80512</v>
      </c>
      <c r="I555" s="7" t="n">
        <f aca="false">01_Data!H555</f>
        <v>84264</v>
      </c>
      <c r="J555" s="7" t="n">
        <f aca="false">H555-I555</f>
        <v>-3752</v>
      </c>
      <c r="K555" s="8" t="n">
        <f aca="false">IFERROR(J555/H555,0)</f>
        <v>-0.0466017488076312</v>
      </c>
      <c r="L555" s="7" t="n">
        <f aca="false">D555-H555</f>
        <v>63186</v>
      </c>
      <c r="M555" s="7" t="n">
        <f aca="false">E555-I555</f>
        <v>68023</v>
      </c>
      <c r="N555" s="7" t="n">
        <f aca="false">IFERROR(L555/D555,0)</f>
        <v>0.439713844312377</v>
      </c>
      <c r="O555" s="7" t="n">
        <f aca="false">IFERROR(M555/E555,0)</f>
        <v>0.446676341381733</v>
      </c>
      <c r="P555" s="7" t="n">
        <f aca="false">01_Data!I555+01_Data!K555+01_Data!M555+01_Data!O555+01_Data!Q555+01_Data!S555+01_Data!U555</f>
        <v>37721</v>
      </c>
      <c r="Q555" s="7" t="n">
        <f aca="false">01_Data!J555+01_Data!L555+01_Data!N555+01_Data!P555+01_Data!R555+01_Data!T555+01_Data!V555</f>
        <v>40257</v>
      </c>
      <c r="R555" s="7" t="n">
        <f aca="false">P555-Q555</f>
        <v>-2536</v>
      </c>
      <c r="S555" s="7" t="n">
        <f aca="false">L555-P555</f>
        <v>25465</v>
      </c>
      <c r="T555" s="7" t="n">
        <f aca="false">M555-Q555</f>
        <v>27766</v>
      </c>
      <c r="U555" s="7" t="n">
        <f aca="false">T555-S555</f>
        <v>2301</v>
      </c>
      <c r="V555" s="8" t="n">
        <f aca="false">IFERROR(U555/S555,0)</f>
        <v>0.0903593167092087</v>
      </c>
      <c r="W555" s="5" t="str">
        <f aca="false">IF(V555&lt;-0.1,"ADVERSE &gt;10%","")</f>
        <v/>
      </c>
    </row>
    <row r="556" customFormat="false" ht="15" hidden="false" customHeight="false" outlineLevel="0" collapsed="false">
      <c r="A556" s="5" t="str">
        <f aca="false">01_Data!A556</f>
        <v>Retail &amp; Consumer</v>
      </c>
      <c r="B556" s="5" t="str">
        <f aca="false">01_Data!C556</f>
        <v>2024-06</v>
      </c>
      <c r="C556" s="5" t="str">
        <f aca="false">01_Data!D556</f>
        <v>FY24</v>
      </c>
      <c r="D556" s="7" t="n">
        <f aca="false">01_Data!E556</f>
        <v>159825</v>
      </c>
      <c r="E556" s="7" t="n">
        <f aca="false">01_Data!F556</f>
        <v>151102</v>
      </c>
      <c r="F556" s="7" t="n">
        <f aca="false">E556-D556</f>
        <v>-8723</v>
      </c>
      <c r="G556" s="8" t="n">
        <f aca="false">IFERROR(F556/D556,0)</f>
        <v>-0.0545784451744095</v>
      </c>
      <c r="H556" s="7" t="n">
        <f aca="false">01_Data!G556</f>
        <v>95415</v>
      </c>
      <c r="I556" s="7" t="n">
        <f aca="false">01_Data!H556</f>
        <v>91704</v>
      </c>
      <c r="J556" s="7" t="n">
        <f aca="false">H556-I556</f>
        <v>3711</v>
      </c>
      <c r="K556" s="8" t="n">
        <f aca="false">IFERROR(J556/H556,0)</f>
        <v>0.0388932557773935</v>
      </c>
      <c r="L556" s="7" t="n">
        <f aca="false">D556-H556</f>
        <v>64410</v>
      </c>
      <c r="M556" s="7" t="n">
        <f aca="false">E556-I556</f>
        <v>59398</v>
      </c>
      <c r="N556" s="7" t="n">
        <f aca="false">IFERROR(L556/D556,0)</f>
        <v>0.403003284842797</v>
      </c>
      <c r="O556" s="7" t="n">
        <f aca="false">IFERROR(M556/E556,0)</f>
        <v>0.393098701539358</v>
      </c>
      <c r="P556" s="7" t="n">
        <f aca="false">01_Data!I556+01_Data!K556+01_Data!M556+01_Data!O556+01_Data!Q556+01_Data!S556+01_Data!U556</f>
        <v>43093</v>
      </c>
      <c r="Q556" s="7" t="n">
        <f aca="false">01_Data!J556+01_Data!L556+01_Data!N556+01_Data!P556+01_Data!R556+01_Data!T556+01_Data!V556</f>
        <v>43145</v>
      </c>
      <c r="R556" s="7" t="n">
        <f aca="false">P556-Q556</f>
        <v>-52</v>
      </c>
      <c r="S556" s="7" t="n">
        <f aca="false">L556-P556</f>
        <v>21317</v>
      </c>
      <c r="T556" s="7" t="n">
        <f aca="false">M556-Q556</f>
        <v>16253</v>
      </c>
      <c r="U556" s="7" t="n">
        <f aca="false">T556-S556</f>
        <v>-5064</v>
      </c>
      <c r="V556" s="8" t="n">
        <f aca="false">IFERROR(U556/S556,0)</f>
        <v>-0.237556879485856</v>
      </c>
      <c r="W556" s="5" t="str">
        <f aca="false">IF(V556&lt;-0.1,"ADVERSE &gt;10%","")</f>
        <v>ADVERSE &gt;10%</v>
      </c>
    </row>
    <row r="557" customFormat="false" ht="15" hidden="false" customHeight="false" outlineLevel="0" collapsed="false">
      <c r="A557" s="5" t="str">
        <f aca="false">01_Data!A557</f>
        <v>Retail &amp; Consumer</v>
      </c>
      <c r="B557" s="5" t="str">
        <f aca="false">01_Data!C557</f>
        <v>2024-07</v>
      </c>
      <c r="C557" s="5" t="str">
        <f aca="false">01_Data!D557</f>
        <v>FY24</v>
      </c>
      <c r="D557" s="7" t="n">
        <f aca="false">01_Data!E557</f>
        <v>154975</v>
      </c>
      <c r="E557" s="7" t="n">
        <f aca="false">01_Data!F557</f>
        <v>150048</v>
      </c>
      <c r="F557" s="7" t="n">
        <f aca="false">E557-D557</f>
        <v>-4927</v>
      </c>
      <c r="G557" s="8" t="n">
        <f aca="false">IFERROR(F557/D557,0)</f>
        <v>-0.0317922245523472</v>
      </c>
      <c r="H557" s="7" t="n">
        <f aca="false">01_Data!G557</f>
        <v>91231</v>
      </c>
      <c r="I557" s="7" t="n">
        <f aca="false">01_Data!H557</f>
        <v>89337</v>
      </c>
      <c r="J557" s="7" t="n">
        <f aca="false">H557-I557</f>
        <v>1894</v>
      </c>
      <c r="K557" s="8" t="n">
        <f aca="false">IFERROR(J557/H557,0)</f>
        <v>0.0207604871151253</v>
      </c>
      <c r="L557" s="7" t="n">
        <f aca="false">D557-H557</f>
        <v>63744</v>
      </c>
      <c r="M557" s="7" t="n">
        <f aca="false">E557-I557</f>
        <v>60711</v>
      </c>
      <c r="N557" s="7" t="n">
        <f aca="false">IFERROR(L557/D557,0)</f>
        <v>0.411317954508792</v>
      </c>
      <c r="O557" s="7" t="n">
        <f aca="false">IFERROR(M557/E557,0)</f>
        <v>0.404610524632118</v>
      </c>
      <c r="P557" s="7" t="n">
        <f aca="false">01_Data!I557+01_Data!K557+01_Data!M557+01_Data!O557+01_Data!Q557+01_Data!S557+01_Data!U557</f>
        <v>44022</v>
      </c>
      <c r="Q557" s="7" t="n">
        <f aca="false">01_Data!J557+01_Data!L557+01_Data!N557+01_Data!P557+01_Data!R557+01_Data!T557+01_Data!V557</f>
        <v>45810</v>
      </c>
      <c r="R557" s="7" t="n">
        <f aca="false">P557-Q557</f>
        <v>-1788</v>
      </c>
      <c r="S557" s="7" t="n">
        <f aca="false">L557-P557</f>
        <v>19722</v>
      </c>
      <c r="T557" s="7" t="n">
        <f aca="false">M557-Q557</f>
        <v>14901</v>
      </c>
      <c r="U557" s="7" t="n">
        <f aca="false">T557-S557</f>
        <v>-4821</v>
      </c>
      <c r="V557" s="8" t="n">
        <f aca="false">IFERROR(U557/S557,0)</f>
        <v>-0.244447824764223</v>
      </c>
      <c r="W557" s="5" t="str">
        <f aca="false">IF(V557&lt;-0.1,"ADVERSE &gt;10%","")</f>
        <v>ADVERSE &gt;10%</v>
      </c>
    </row>
    <row r="558" customFormat="false" ht="15" hidden="false" customHeight="false" outlineLevel="0" collapsed="false">
      <c r="A558" s="5" t="str">
        <f aca="false">01_Data!A558</f>
        <v>Retail &amp; Consumer</v>
      </c>
      <c r="B558" s="5" t="str">
        <f aca="false">01_Data!C558</f>
        <v>2024-08</v>
      </c>
      <c r="C558" s="5" t="str">
        <f aca="false">01_Data!D558</f>
        <v>FY24</v>
      </c>
      <c r="D558" s="7" t="n">
        <f aca="false">01_Data!E558</f>
        <v>148700</v>
      </c>
      <c r="E558" s="7" t="n">
        <f aca="false">01_Data!F558</f>
        <v>149841</v>
      </c>
      <c r="F558" s="7" t="n">
        <f aca="false">E558-D558</f>
        <v>1141</v>
      </c>
      <c r="G558" s="8" t="n">
        <f aca="false">IFERROR(F558/D558,0)</f>
        <v>0.00767316745124412</v>
      </c>
      <c r="H558" s="7" t="n">
        <f aca="false">01_Data!G558</f>
        <v>80815</v>
      </c>
      <c r="I558" s="7" t="n">
        <f aca="false">01_Data!H558</f>
        <v>80176</v>
      </c>
      <c r="J558" s="7" t="n">
        <f aca="false">H558-I558</f>
        <v>639</v>
      </c>
      <c r="K558" s="8" t="n">
        <f aca="false">IFERROR(J558/H558,0)</f>
        <v>0.00790694796758028</v>
      </c>
      <c r="L558" s="7" t="n">
        <f aca="false">D558-H558</f>
        <v>67885</v>
      </c>
      <c r="M558" s="7" t="n">
        <f aca="false">E558-I558</f>
        <v>69665</v>
      </c>
      <c r="N558" s="7" t="n">
        <f aca="false">IFERROR(L558/D558,0)</f>
        <v>0.456523201075992</v>
      </c>
      <c r="O558" s="7" t="n">
        <f aca="false">IFERROR(M558/E558,0)</f>
        <v>0.464926155057694</v>
      </c>
      <c r="P558" s="7" t="n">
        <f aca="false">01_Data!I558+01_Data!K558+01_Data!M558+01_Data!O558+01_Data!Q558+01_Data!S558+01_Data!U558</f>
        <v>41095</v>
      </c>
      <c r="Q558" s="7" t="n">
        <f aca="false">01_Data!J558+01_Data!L558+01_Data!N558+01_Data!P558+01_Data!R558+01_Data!T558+01_Data!V558</f>
        <v>41241</v>
      </c>
      <c r="R558" s="7" t="n">
        <f aca="false">P558-Q558</f>
        <v>-146</v>
      </c>
      <c r="S558" s="7" t="n">
        <f aca="false">L558-P558</f>
        <v>26790</v>
      </c>
      <c r="T558" s="7" t="n">
        <f aca="false">M558-Q558</f>
        <v>28424</v>
      </c>
      <c r="U558" s="7" t="n">
        <f aca="false">T558-S558</f>
        <v>1634</v>
      </c>
      <c r="V558" s="8" t="n">
        <f aca="false">IFERROR(U558/S558,0)</f>
        <v>0.0609929078014184</v>
      </c>
      <c r="W558" s="5" t="str">
        <f aca="false">IF(V558&lt;-0.1,"ADVERSE &gt;10%","")</f>
        <v/>
      </c>
    </row>
    <row r="559" customFormat="false" ht="15" hidden="false" customHeight="false" outlineLevel="0" collapsed="false">
      <c r="A559" s="5" t="str">
        <f aca="false">01_Data!A559</f>
        <v>Retail &amp; Consumer</v>
      </c>
      <c r="B559" s="5" t="str">
        <f aca="false">01_Data!C559</f>
        <v>2024-09</v>
      </c>
      <c r="C559" s="5" t="str">
        <f aca="false">01_Data!D559</f>
        <v>FY24</v>
      </c>
      <c r="D559" s="7" t="n">
        <f aca="false">01_Data!E559</f>
        <v>163885</v>
      </c>
      <c r="E559" s="7" t="n">
        <f aca="false">01_Data!F559</f>
        <v>160888</v>
      </c>
      <c r="F559" s="7" t="n">
        <f aca="false">E559-D559</f>
        <v>-2997</v>
      </c>
      <c r="G559" s="8" t="n">
        <f aca="false">IFERROR(F559/D559,0)</f>
        <v>-0.0182872135948989</v>
      </c>
      <c r="H559" s="7" t="n">
        <f aca="false">01_Data!G559</f>
        <v>90900</v>
      </c>
      <c r="I559" s="7" t="n">
        <f aca="false">01_Data!H559</f>
        <v>88372</v>
      </c>
      <c r="J559" s="7" t="n">
        <f aca="false">H559-I559</f>
        <v>2528</v>
      </c>
      <c r="K559" s="8" t="n">
        <f aca="false">IFERROR(J559/H559,0)</f>
        <v>0.0278107810781078</v>
      </c>
      <c r="L559" s="7" t="n">
        <f aca="false">D559-H559</f>
        <v>72985</v>
      </c>
      <c r="M559" s="7" t="n">
        <f aca="false">E559-I559</f>
        <v>72516</v>
      </c>
      <c r="N559" s="7" t="n">
        <f aca="false">IFERROR(L559/D559,0)</f>
        <v>0.44534277084541</v>
      </c>
      <c r="O559" s="7" t="n">
        <f aca="false">IFERROR(M559/E559,0)</f>
        <v>0.450723484660136</v>
      </c>
      <c r="P559" s="7" t="n">
        <f aca="false">01_Data!I559+01_Data!K559+01_Data!M559+01_Data!O559+01_Data!Q559+01_Data!S559+01_Data!U559</f>
        <v>43318</v>
      </c>
      <c r="Q559" s="7" t="n">
        <f aca="false">01_Data!J559+01_Data!L559+01_Data!N559+01_Data!P559+01_Data!R559+01_Data!T559+01_Data!V559</f>
        <v>44218</v>
      </c>
      <c r="R559" s="7" t="n">
        <f aca="false">P559-Q559</f>
        <v>-900</v>
      </c>
      <c r="S559" s="7" t="n">
        <f aca="false">L559-P559</f>
        <v>29667</v>
      </c>
      <c r="T559" s="7" t="n">
        <f aca="false">M559-Q559</f>
        <v>28298</v>
      </c>
      <c r="U559" s="7" t="n">
        <f aca="false">T559-S559</f>
        <v>-1369</v>
      </c>
      <c r="V559" s="8" t="n">
        <f aca="false">IFERROR(U559/S559,0)</f>
        <v>-0.0461455489264166</v>
      </c>
      <c r="W559" s="5" t="str">
        <f aca="false">IF(V559&lt;-0.1,"ADVERSE &gt;10%","")</f>
        <v/>
      </c>
    </row>
    <row r="560" customFormat="false" ht="15" hidden="false" customHeight="false" outlineLevel="0" collapsed="false">
      <c r="A560" s="5" t="str">
        <f aca="false">01_Data!A560</f>
        <v>Retail &amp; Consumer</v>
      </c>
      <c r="B560" s="5" t="str">
        <f aca="false">01_Data!C560</f>
        <v>2024-10</v>
      </c>
      <c r="C560" s="5" t="str">
        <f aca="false">01_Data!D560</f>
        <v>FY24</v>
      </c>
      <c r="D560" s="7" t="n">
        <f aca="false">01_Data!E560</f>
        <v>153758</v>
      </c>
      <c r="E560" s="7" t="n">
        <f aca="false">01_Data!F560</f>
        <v>150974</v>
      </c>
      <c r="F560" s="7" t="n">
        <f aca="false">E560-D560</f>
        <v>-2784</v>
      </c>
      <c r="G560" s="8" t="n">
        <f aca="false">IFERROR(F560/D560,0)</f>
        <v>-0.018106374952848</v>
      </c>
      <c r="H560" s="7" t="n">
        <f aca="false">01_Data!G560</f>
        <v>87890</v>
      </c>
      <c r="I560" s="7" t="n">
        <f aca="false">01_Data!H560</f>
        <v>85298</v>
      </c>
      <c r="J560" s="7" t="n">
        <f aca="false">H560-I560</f>
        <v>2592</v>
      </c>
      <c r="K560" s="8" t="n">
        <f aca="false">IFERROR(J560/H560,0)</f>
        <v>0.0294914097166913</v>
      </c>
      <c r="L560" s="7" t="n">
        <f aca="false">D560-H560</f>
        <v>65868</v>
      </c>
      <c r="M560" s="7" t="n">
        <f aca="false">E560-I560</f>
        <v>65676</v>
      </c>
      <c r="N560" s="7" t="n">
        <f aca="false">IFERROR(L560/D560,0)</f>
        <v>0.428387466018028</v>
      </c>
      <c r="O560" s="7" t="n">
        <f aca="false">IFERROR(M560/E560,0)</f>
        <v>0.435015300647794</v>
      </c>
      <c r="P560" s="7" t="n">
        <f aca="false">01_Data!I560+01_Data!K560+01_Data!M560+01_Data!O560+01_Data!Q560+01_Data!S560+01_Data!U560</f>
        <v>39680</v>
      </c>
      <c r="Q560" s="7" t="n">
        <f aca="false">01_Data!J560+01_Data!L560+01_Data!N560+01_Data!P560+01_Data!R560+01_Data!T560+01_Data!V560</f>
        <v>41122</v>
      </c>
      <c r="R560" s="7" t="n">
        <f aca="false">P560-Q560</f>
        <v>-1442</v>
      </c>
      <c r="S560" s="7" t="n">
        <f aca="false">L560-P560</f>
        <v>26188</v>
      </c>
      <c r="T560" s="7" t="n">
        <f aca="false">M560-Q560</f>
        <v>24554</v>
      </c>
      <c r="U560" s="7" t="n">
        <f aca="false">T560-S560</f>
        <v>-1634</v>
      </c>
      <c r="V560" s="8" t="n">
        <f aca="false">IFERROR(U560/S560,0)</f>
        <v>-0.0623949900717886</v>
      </c>
      <c r="W560" s="5" t="str">
        <f aca="false">IF(V560&lt;-0.1,"ADVERSE &gt;10%","")</f>
        <v/>
      </c>
    </row>
    <row r="561" customFormat="false" ht="15" hidden="false" customHeight="false" outlineLevel="0" collapsed="false">
      <c r="A561" s="5" t="str">
        <f aca="false">01_Data!A561</f>
        <v>Retail &amp; Consumer</v>
      </c>
      <c r="B561" s="5" t="str">
        <f aca="false">01_Data!C561</f>
        <v>2024-11</v>
      </c>
      <c r="C561" s="5" t="str">
        <f aca="false">01_Data!D561</f>
        <v>FY24</v>
      </c>
      <c r="D561" s="7" t="n">
        <f aca="false">01_Data!E561</f>
        <v>147927</v>
      </c>
      <c r="E561" s="7" t="n">
        <f aca="false">01_Data!F561</f>
        <v>154568</v>
      </c>
      <c r="F561" s="7" t="n">
        <f aca="false">E561-D561</f>
        <v>6641</v>
      </c>
      <c r="G561" s="8" t="n">
        <f aca="false">IFERROR(F561/D561,0)</f>
        <v>0.0448937651679545</v>
      </c>
      <c r="H561" s="7" t="n">
        <f aca="false">01_Data!G561</f>
        <v>88560</v>
      </c>
      <c r="I561" s="7" t="n">
        <f aca="false">01_Data!H561</f>
        <v>94842</v>
      </c>
      <c r="J561" s="7" t="n">
        <f aca="false">H561-I561</f>
        <v>-6282</v>
      </c>
      <c r="K561" s="8" t="n">
        <f aca="false">IFERROR(J561/H561,0)</f>
        <v>-0.0709349593495935</v>
      </c>
      <c r="L561" s="7" t="n">
        <f aca="false">D561-H561</f>
        <v>59367</v>
      </c>
      <c r="M561" s="7" t="n">
        <f aca="false">E561-I561</f>
        <v>59726</v>
      </c>
      <c r="N561" s="7" t="n">
        <f aca="false">IFERROR(L561/D561,0)</f>
        <v>0.401326329878927</v>
      </c>
      <c r="O561" s="7" t="n">
        <f aca="false">IFERROR(M561/E561,0)</f>
        <v>0.386405983127167</v>
      </c>
      <c r="P561" s="7" t="n">
        <f aca="false">01_Data!I561+01_Data!K561+01_Data!M561+01_Data!O561+01_Data!Q561+01_Data!S561+01_Data!U561</f>
        <v>38794</v>
      </c>
      <c r="Q561" s="7" t="n">
        <f aca="false">01_Data!J561+01_Data!L561+01_Data!N561+01_Data!P561+01_Data!R561+01_Data!T561+01_Data!V561</f>
        <v>39481</v>
      </c>
      <c r="R561" s="7" t="n">
        <f aca="false">P561-Q561</f>
        <v>-687</v>
      </c>
      <c r="S561" s="7" t="n">
        <f aca="false">L561-P561</f>
        <v>20573</v>
      </c>
      <c r="T561" s="7" t="n">
        <f aca="false">M561-Q561</f>
        <v>20245</v>
      </c>
      <c r="U561" s="7" t="n">
        <f aca="false">T561-S561</f>
        <v>-328</v>
      </c>
      <c r="V561" s="8" t="n">
        <f aca="false">IFERROR(U561/S561,0)</f>
        <v>-0.0159432265590823</v>
      </c>
      <c r="W561" s="5" t="str">
        <f aca="false">IF(V561&lt;-0.1,"ADVERSE &gt;10%","")</f>
        <v/>
      </c>
    </row>
    <row r="562" customFormat="false" ht="15" hidden="false" customHeight="false" outlineLevel="0" collapsed="false">
      <c r="A562" s="5" t="str">
        <f aca="false">01_Data!A562</f>
        <v>Retail &amp; Consumer</v>
      </c>
      <c r="B562" s="5" t="str">
        <f aca="false">01_Data!C562</f>
        <v>2024-12</v>
      </c>
      <c r="C562" s="5" t="str">
        <f aca="false">01_Data!D562</f>
        <v>FY24</v>
      </c>
      <c r="D562" s="7" t="n">
        <f aca="false">01_Data!E562</f>
        <v>158136</v>
      </c>
      <c r="E562" s="7" t="n">
        <f aca="false">01_Data!F562</f>
        <v>163925</v>
      </c>
      <c r="F562" s="7" t="n">
        <f aca="false">E562-D562</f>
        <v>5789</v>
      </c>
      <c r="G562" s="8" t="n">
        <f aca="false">IFERROR(F562/D562,0)</f>
        <v>0.0366077300551424</v>
      </c>
      <c r="H562" s="7" t="n">
        <f aca="false">01_Data!G562</f>
        <v>87143</v>
      </c>
      <c r="I562" s="7" t="n">
        <f aca="false">01_Data!H562</f>
        <v>90588</v>
      </c>
      <c r="J562" s="7" t="n">
        <f aca="false">H562-I562</f>
        <v>-3445</v>
      </c>
      <c r="K562" s="8" t="n">
        <f aca="false">IFERROR(J562/H562,0)</f>
        <v>-0.0395327220775048</v>
      </c>
      <c r="L562" s="7" t="n">
        <f aca="false">D562-H562</f>
        <v>70993</v>
      </c>
      <c r="M562" s="7" t="n">
        <f aca="false">E562-I562</f>
        <v>73337</v>
      </c>
      <c r="N562" s="7" t="n">
        <f aca="false">IFERROR(L562/D562,0)</f>
        <v>0.448936358577427</v>
      </c>
      <c r="O562" s="7" t="n">
        <f aca="false">IFERROR(M562/E562,0)</f>
        <v>0.447381424431905</v>
      </c>
      <c r="P562" s="7" t="n">
        <f aca="false">01_Data!I562+01_Data!K562+01_Data!M562+01_Data!O562+01_Data!Q562+01_Data!S562+01_Data!U562</f>
        <v>40645</v>
      </c>
      <c r="Q562" s="7" t="n">
        <f aca="false">01_Data!J562+01_Data!L562+01_Data!N562+01_Data!P562+01_Data!R562+01_Data!T562+01_Data!V562</f>
        <v>41576</v>
      </c>
      <c r="R562" s="7" t="n">
        <f aca="false">P562-Q562</f>
        <v>-931</v>
      </c>
      <c r="S562" s="7" t="n">
        <f aca="false">L562-P562</f>
        <v>30348</v>
      </c>
      <c r="T562" s="7" t="n">
        <f aca="false">M562-Q562</f>
        <v>31761</v>
      </c>
      <c r="U562" s="7" t="n">
        <f aca="false">T562-S562</f>
        <v>1413</v>
      </c>
      <c r="V562" s="8" t="n">
        <f aca="false">IFERROR(U562/S562,0)</f>
        <v>0.0465599051008304</v>
      </c>
      <c r="W562" s="5" t="str">
        <f aca="false">IF(V562&lt;-0.1,"ADVERSE &gt;10%","")</f>
        <v/>
      </c>
    </row>
    <row r="563" customFormat="false" ht="15" hidden="false" customHeight="false" outlineLevel="0" collapsed="false">
      <c r="A563" s="5" t="str">
        <f aca="false">01_Data!A563</f>
        <v>Retail &amp; Consumer</v>
      </c>
      <c r="B563" s="5" t="str">
        <f aca="false">01_Data!C563</f>
        <v>2025-01</v>
      </c>
      <c r="C563" s="5" t="str">
        <f aca="false">01_Data!D563</f>
        <v>FY24</v>
      </c>
      <c r="D563" s="7" t="n">
        <f aca="false">01_Data!E563</f>
        <v>153356</v>
      </c>
      <c r="E563" s="7" t="n">
        <f aca="false">01_Data!F563</f>
        <v>154701</v>
      </c>
      <c r="F563" s="7" t="n">
        <f aca="false">E563-D563</f>
        <v>1345</v>
      </c>
      <c r="G563" s="8" t="n">
        <f aca="false">IFERROR(F563/D563,0)</f>
        <v>0.00877044263021988</v>
      </c>
      <c r="H563" s="7" t="n">
        <f aca="false">01_Data!G563</f>
        <v>89522</v>
      </c>
      <c r="I563" s="7" t="n">
        <f aca="false">01_Data!H563</f>
        <v>92902</v>
      </c>
      <c r="J563" s="7" t="n">
        <f aca="false">H563-I563</f>
        <v>-3380</v>
      </c>
      <c r="K563" s="8" t="n">
        <f aca="false">IFERROR(J563/H563,0)</f>
        <v>-0.0377560823037912</v>
      </c>
      <c r="L563" s="7" t="n">
        <f aca="false">D563-H563</f>
        <v>63834</v>
      </c>
      <c r="M563" s="7" t="n">
        <f aca="false">E563-I563</f>
        <v>61799</v>
      </c>
      <c r="N563" s="7" t="n">
        <f aca="false">IFERROR(L563/D563,0)</f>
        <v>0.416247163462792</v>
      </c>
      <c r="O563" s="7" t="n">
        <f aca="false">IFERROR(M563/E563,0)</f>
        <v>0.399473823698619</v>
      </c>
      <c r="P563" s="7" t="n">
        <f aca="false">01_Data!I563+01_Data!K563+01_Data!M563+01_Data!O563+01_Data!Q563+01_Data!S563+01_Data!U563</f>
        <v>39440</v>
      </c>
      <c r="Q563" s="7" t="n">
        <f aca="false">01_Data!J563+01_Data!L563+01_Data!N563+01_Data!P563+01_Data!R563+01_Data!T563+01_Data!V563</f>
        <v>39702</v>
      </c>
      <c r="R563" s="7" t="n">
        <f aca="false">P563-Q563</f>
        <v>-262</v>
      </c>
      <c r="S563" s="7" t="n">
        <f aca="false">L563-P563</f>
        <v>24394</v>
      </c>
      <c r="T563" s="7" t="n">
        <f aca="false">M563-Q563</f>
        <v>22097</v>
      </c>
      <c r="U563" s="7" t="n">
        <f aca="false">T563-S563</f>
        <v>-2297</v>
      </c>
      <c r="V563" s="8" t="n">
        <f aca="false">IFERROR(U563/S563,0)</f>
        <v>-0.0941624989751578</v>
      </c>
      <c r="W563" s="5" t="str">
        <f aca="false">IF(V563&lt;-0.1,"ADVERSE &gt;10%","")</f>
        <v/>
      </c>
    </row>
    <row r="564" customFormat="false" ht="15" hidden="false" customHeight="false" outlineLevel="0" collapsed="false">
      <c r="A564" s="5" t="str">
        <f aca="false">01_Data!A564</f>
        <v>Retail &amp; Consumer</v>
      </c>
      <c r="B564" s="5" t="str">
        <f aca="false">01_Data!C564</f>
        <v>2025-02</v>
      </c>
      <c r="C564" s="5" t="str">
        <f aca="false">01_Data!D564</f>
        <v>FY24</v>
      </c>
      <c r="D564" s="7" t="n">
        <f aca="false">01_Data!E564</f>
        <v>152034</v>
      </c>
      <c r="E564" s="7" t="n">
        <f aca="false">01_Data!F564</f>
        <v>159061</v>
      </c>
      <c r="F564" s="7" t="n">
        <f aca="false">E564-D564</f>
        <v>7027</v>
      </c>
      <c r="G564" s="8" t="n">
        <f aca="false">IFERROR(F564/D564,0)</f>
        <v>0.0462199244905745</v>
      </c>
      <c r="H564" s="7" t="n">
        <f aca="false">01_Data!G564</f>
        <v>82237</v>
      </c>
      <c r="I564" s="7" t="n">
        <f aca="false">01_Data!H564</f>
        <v>89216</v>
      </c>
      <c r="J564" s="7" t="n">
        <f aca="false">H564-I564</f>
        <v>-6979</v>
      </c>
      <c r="K564" s="8" t="n">
        <f aca="false">IFERROR(J564/H564,0)</f>
        <v>-0.084864477060204</v>
      </c>
      <c r="L564" s="7" t="n">
        <f aca="false">D564-H564</f>
        <v>69797</v>
      </c>
      <c r="M564" s="7" t="n">
        <f aca="false">E564-I564</f>
        <v>69845</v>
      </c>
      <c r="N564" s="7" t="n">
        <f aca="false">IFERROR(L564/D564,0)</f>
        <v>0.459088098714761</v>
      </c>
      <c r="O564" s="7" t="n">
        <f aca="false">IFERROR(M564/E564,0)</f>
        <v>0.439108266639843</v>
      </c>
      <c r="P564" s="7" t="n">
        <f aca="false">01_Data!I564+01_Data!K564+01_Data!M564+01_Data!O564+01_Data!Q564+01_Data!S564+01_Data!U564</f>
        <v>41987</v>
      </c>
      <c r="Q564" s="7" t="n">
        <f aca="false">01_Data!J564+01_Data!L564+01_Data!N564+01_Data!P564+01_Data!R564+01_Data!T564+01_Data!V564</f>
        <v>41805</v>
      </c>
      <c r="R564" s="7" t="n">
        <f aca="false">P564-Q564</f>
        <v>182</v>
      </c>
      <c r="S564" s="7" t="n">
        <f aca="false">L564-P564</f>
        <v>27810</v>
      </c>
      <c r="T564" s="7" t="n">
        <f aca="false">M564-Q564</f>
        <v>28040</v>
      </c>
      <c r="U564" s="7" t="n">
        <f aca="false">T564-S564</f>
        <v>230</v>
      </c>
      <c r="V564" s="8" t="n">
        <f aca="false">IFERROR(U564/S564,0)</f>
        <v>0.00827040632865876</v>
      </c>
      <c r="W564" s="5" t="str">
        <f aca="false">IF(V564&lt;-0.1,"ADVERSE &gt;10%","")</f>
        <v/>
      </c>
    </row>
    <row r="565" customFormat="false" ht="15" hidden="false" customHeight="false" outlineLevel="0" collapsed="false">
      <c r="A565" s="5" t="str">
        <f aca="false">01_Data!A565</f>
        <v>Retail &amp; Consumer</v>
      </c>
      <c r="B565" s="5" t="str">
        <f aca="false">01_Data!C565</f>
        <v>2025-03</v>
      </c>
      <c r="C565" s="5" t="str">
        <f aca="false">01_Data!D565</f>
        <v>FY24</v>
      </c>
      <c r="D565" s="7" t="n">
        <f aca="false">01_Data!E565</f>
        <v>165770</v>
      </c>
      <c r="E565" s="7" t="n">
        <f aca="false">01_Data!F565</f>
        <v>170591</v>
      </c>
      <c r="F565" s="7" t="n">
        <f aca="false">E565-D565</f>
        <v>4821</v>
      </c>
      <c r="G565" s="8" t="n">
        <f aca="false">IFERROR(F565/D565,0)</f>
        <v>0.029082463654461</v>
      </c>
      <c r="H565" s="7" t="n">
        <f aca="false">01_Data!G565</f>
        <v>91294</v>
      </c>
      <c r="I565" s="7" t="n">
        <f aca="false">01_Data!H565</f>
        <v>94484</v>
      </c>
      <c r="J565" s="7" t="n">
        <f aca="false">H565-I565</f>
        <v>-3190</v>
      </c>
      <c r="K565" s="8" t="n">
        <f aca="false">IFERROR(J565/H565,0)</f>
        <v>-0.0349420553377002</v>
      </c>
      <c r="L565" s="7" t="n">
        <f aca="false">D565-H565</f>
        <v>74476</v>
      </c>
      <c r="M565" s="7" t="n">
        <f aca="false">E565-I565</f>
        <v>76107</v>
      </c>
      <c r="N565" s="7" t="n">
        <f aca="false">IFERROR(L565/D565,0)</f>
        <v>0.449273089220004</v>
      </c>
      <c r="O565" s="7" t="n">
        <f aca="false">IFERROR(M565/E565,0)</f>
        <v>0.446137252258325</v>
      </c>
      <c r="P565" s="7" t="n">
        <f aca="false">01_Data!I565+01_Data!K565+01_Data!M565+01_Data!O565+01_Data!Q565+01_Data!S565+01_Data!U565</f>
        <v>43776</v>
      </c>
      <c r="Q565" s="7" t="n">
        <f aca="false">01_Data!J565+01_Data!L565+01_Data!N565+01_Data!P565+01_Data!R565+01_Data!T565+01_Data!V565</f>
        <v>44220</v>
      </c>
      <c r="R565" s="7" t="n">
        <f aca="false">P565-Q565</f>
        <v>-444</v>
      </c>
      <c r="S565" s="7" t="n">
        <f aca="false">L565-P565</f>
        <v>30700</v>
      </c>
      <c r="T565" s="7" t="n">
        <f aca="false">M565-Q565</f>
        <v>31887</v>
      </c>
      <c r="U565" s="7" t="n">
        <f aca="false">T565-S565</f>
        <v>1187</v>
      </c>
      <c r="V565" s="8" t="n">
        <f aca="false">IFERROR(U565/S565,0)</f>
        <v>0.0386644951140065</v>
      </c>
      <c r="W565" s="5" t="str">
        <f aca="false">IF(V565&lt;-0.1,"ADVERSE &gt;10%","")</f>
        <v/>
      </c>
    </row>
    <row r="566" customFormat="false" ht="15" hidden="false" customHeight="false" outlineLevel="0" collapsed="false">
      <c r="A566" s="5" t="str">
        <f aca="false">01_Data!A566</f>
        <v>Retail &amp; Consumer</v>
      </c>
      <c r="B566" s="5" t="str">
        <f aca="false">01_Data!C566</f>
        <v>2025-04</v>
      </c>
      <c r="C566" s="5" t="str">
        <f aca="false">01_Data!D566</f>
        <v>FY25</v>
      </c>
      <c r="D566" s="7" t="n">
        <f aca="false">01_Data!E566</f>
        <v>167057</v>
      </c>
      <c r="E566" s="7" t="n">
        <f aca="false">01_Data!F566</f>
        <v>159972</v>
      </c>
      <c r="F566" s="7" t="n">
        <f aca="false">E566-D566</f>
        <v>-7085</v>
      </c>
      <c r="G566" s="8" t="n">
        <f aca="false">IFERROR(F566/D566,0)</f>
        <v>-0.0424106742010212</v>
      </c>
      <c r="H566" s="7" t="n">
        <f aca="false">01_Data!G566</f>
        <v>91486</v>
      </c>
      <c r="I566" s="7" t="n">
        <f aca="false">01_Data!H566</f>
        <v>89448</v>
      </c>
      <c r="J566" s="7" t="n">
        <f aca="false">H566-I566</f>
        <v>2038</v>
      </c>
      <c r="K566" s="8" t="n">
        <f aca="false">IFERROR(J566/H566,0)</f>
        <v>0.0222766324902171</v>
      </c>
      <c r="L566" s="7" t="n">
        <f aca="false">D566-H566</f>
        <v>75571</v>
      </c>
      <c r="M566" s="7" t="n">
        <f aca="false">E566-I566</f>
        <v>70524</v>
      </c>
      <c r="N566" s="7" t="n">
        <f aca="false">IFERROR(L566/D566,0)</f>
        <v>0.452366557522283</v>
      </c>
      <c r="O566" s="7" t="n">
        <f aca="false">IFERROR(M566/E566,0)</f>
        <v>0.440852149126097</v>
      </c>
      <c r="P566" s="7" t="n">
        <f aca="false">01_Data!I566+01_Data!K566+01_Data!M566+01_Data!O566+01_Data!Q566+01_Data!S566+01_Data!U566</f>
        <v>40313</v>
      </c>
      <c r="Q566" s="7" t="n">
        <f aca="false">01_Data!J566+01_Data!L566+01_Data!N566+01_Data!P566+01_Data!R566+01_Data!T566+01_Data!V566</f>
        <v>41365</v>
      </c>
      <c r="R566" s="7" t="n">
        <f aca="false">P566-Q566</f>
        <v>-1052</v>
      </c>
      <c r="S566" s="7" t="n">
        <f aca="false">L566-P566</f>
        <v>35258</v>
      </c>
      <c r="T566" s="7" t="n">
        <f aca="false">M566-Q566</f>
        <v>29159</v>
      </c>
      <c r="U566" s="7" t="n">
        <f aca="false">T566-S566</f>
        <v>-6099</v>
      </c>
      <c r="V566" s="8" t="n">
        <f aca="false">IFERROR(U566/S566,0)</f>
        <v>-0.172982018265358</v>
      </c>
      <c r="W566" s="5" t="str">
        <f aca="false">IF(V566&lt;-0.1,"ADVERSE &gt;10%","")</f>
        <v>ADVERSE &gt;10%</v>
      </c>
    </row>
    <row r="567" customFormat="false" ht="15" hidden="false" customHeight="false" outlineLevel="0" collapsed="false">
      <c r="A567" s="5" t="str">
        <f aca="false">01_Data!A567</f>
        <v>Retail &amp; Consumer</v>
      </c>
      <c r="B567" s="5" t="str">
        <f aca="false">01_Data!C567</f>
        <v>2025-05</v>
      </c>
      <c r="C567" s="5" t="str">
        <f aca="false">01_Data!D567</f>
        <v>FY25</v>
      </c>
      <c r="D567" s="7" t="n">
        <f aca="false">01_Data!E567</f>
        <v>169875</v>
      </c>
      <c r="E567" s="7" t="n">
        <f aca="false">01_Data!F567</f>
        <v>162887</v>
      </c>
      <c r="F567" s="7" t="n">
        <f aca="false">E567-D567</f>
        <v>-6988</v>
      </c>
      <c r="G567" s="8" t="n">
        <f aca="false">IFERROR(F567/D567,0)</f>
        <v>-0.0411361295069904</v>
      </c>
      <c r="H567" s="7" t="n">
        <f aca="false">01_Data!G567</f>
        <v>95334</v>
      </c>
      <c r="I567" s="7" t="n">
        <f aca="false">01_Data!H567</f>
        <v>94005</v>
      </c>
      <c r="J567" s="7" t="n">
        <f aca="false">H567-I567</f>
        <v>1329</v>
      </c>
      <c r="K567" s="8" t="n">
        <f aca="false">IFERROR(J567/H567,0)</f>
        <v>0.0139404619548115</v>
      </c>
      <c r="L567" s="7" t="n">
        <f aca="false">D567-H567</f>
        <v>74541</v>
      </c>
      <c r="M567" s="7" t="n">
        <f aca="false">E567-I567</f>
        <v>68882</v>
      </c>
      <c r="N567" s="7" t="n">
        <f aca="false">IFERROR(L567/D567,0)</f>
        <v>0.438799116997793</v>
      </c>
      <c r="O567" s="7" t="n">
        <f aca="false">IFERROR(M567/E567,0)</f>
        <v>0.422882120734006</v>
      </c>
      <c r="P567" s="7" t="n">
        <f aca="false">01_Data!I567+01_Data!K567+01_Data!M567+01_Data!O567+01_Data!Q567+01_Data!S567+01_Data!U567</f>
        <v>44487</v>
      </c>
      <c r="Q567" s="7" t="n">
        <f aca="false">01_Data!J567+01_Data!L567+01_Data!N567+01_Data!P567+01_Data!R567+01_Data!T567+01_Data!V567</f>
        <v>44925</v>
      </c>
      <c r="R567" s="7" t="n">
        <f aca="false">P567-Q567</f>
        <v>-438</v>
      </c>
      <c r="S567" s="7" t="n">
        <f aca="false">L567-P567</f>
        <v>30054</v>
      </c>
      <c r="T567" s="7" t="n">
        <f aca="false">M567-Q567</f>
        <v>23957</v>
      </c>
      <c r="U567" s="7" t="n">
        <f aca="false">T567-S567</f>
        <v>-6097</v>
      </c>
      <c r="V567" s="8" t="n">
        <f aca="false">IFERROR(U567/S567,0)</f>
        <v>-0.202868170626206</v>
      </c>
      <c r="W567" s="5" t="str">
        <f aca="false">IF(V567&lt;-0.1,"ADVERSE &gt;10%","")</f>
        <v>ADVERSE &gt;10%</v>
      </c>
    </row>
    <row r="568" customFormat="false" ht="15" hidden="false" customHeight="false" outlineLevel="0" collapsed="false">
      <c r="A568" s="5" t="str">
        <f aca="false">01_Data!A568</f>
        <v>Retail &amp; Consumer</v>
      </c>
      <c r="B568" s="5" t="str">
        <f aca="false">01_Data!C568</f>
        <v>2025-06</v>
      </c>
      <c r="C568" s="5" t="str">
        <f aca="false">01_Data!D568</f>
        <v>FY25</v>
      </c>
      <c r="D568" s="7" t="n">
        <f aca="false">01_Data!E568</f>
        <v>163279</v>
      </c>
      <c r="E568" s="7" t="n">
        <f aca="false">01_Data!F568</f>
        <v>166578</v>
      </c>
      <c r="F568" s="7" t="n">
        <f aca="false">E568-D568</f>
        <v>3299</v>
      </c>
      <c r="G568" s="8" t="n">
        <f aca="false">IFERROR(F568/D568,0)</f>
        <v>0.0202046803324371</v>
      </c>
      <c r="H568" s="7" t="n">
        <f aca="false">01_Data!G568</f>
        <v>92169</v>
      </c>
      <c r="I568" s="7" t="n">
        <f aca="false">01_Data!H568</f>
        <v>96130</v>
      </c>
      <c r="J568" s="7" t="n">
        <f aca="false">H568-I568</f>
        <v>-3961</v>
      </c>
      <c r="K568" s="8" t="n">
        <f aca="false">IFERROR(J568/H568,0)</f>
        <v>-0.0429754038776595</v>
      </c>
      <c r="L568" s="7" t="n">
        <f aca="false">D568-H568</f>
        <v>71110</v>
      </c>
      <c r="M568" s="7" t="n">
        <f aca="false">E568-I568</f>
        <v>70448</v>
      </c>
      <c r="N568" s="7" t="n">
        <f aca="false">IFERROR(L568/D568,0)</f>
        <v>0.435512221412429</v>
      </c>
      <c r="O568" s="7" t="n">
        <f aca="false">IFERROR(M568/E568,0)</f>
        <v>0.422912989710526</v>
      </c>
      <c r="P568" s="7" t="n">
        <f aca="false">01_Data!I568+01_Data!K568+01_Data!M568+01_Data!O568+01_Data!Q568+01_Data!S568+01_Data!U568</f>
        <v>44069</v>
      </c>
      <c r="Q568" s="7" t="n">
        <f aca="false">01_Data!J568+01_Data!L568+01_Data!N568+01_Data!P568+01_Data!R568+01_Data!T568+01_Data!V568</f>
        <v>46049</v>
      </c>
      <c r="R568" s="7" t="n">
        <f aca="false">P568-Q568</f>
        <v>-1980</v>
      </c>
      <c r="S568" s="7" t="n">
        <f aca="false">L568-P568</f>
        <v>27041</v>
      </c>
      <c r="T568" s="7" t="n">
        <f aca="false">M568-Q568</f>
        <v>24399</v>
      </c>
      <c r="U568" s="7" t="n">
        <f aca="false">T568-S568</f>
        <v>-2642</v>
      </c>
      <c r="V568" s="8" t="n">
        <f aca="false">IFERROR(U568/S568,0)</f>
        <v>-0.0977034872970674</v>
      </c>
      <c r="W568" s="5" t="str">
        <f aca="false">IF(V568&lt;-0.1,"ADVERSE &gt;10%","")</f>
        <v/>
      </c>
    </row>
    <row r="569" customFormat="false" ht="15" hidden="false" customHeight="false" outlineLevel="0" collapsed="false">
      <c r="A569" s="5" t="str">
        <f aca="false">01_Data!A569</f>
        <v>Retail &amp; Consumer</v>
      </c>
      <c r="B569" s="5" t="str">
        <f aca="false">01_Data!C569</f>
        <v>2025-07</v>
      </c>
      <c r="C569" s="5" t="str">
        <f aca="false">01_Data!D569</f>
        <v>FY25</v>
      </c>
      <c r="D569" s="7" t="n">
        <f aca="false">01_Data!E569</f>
        <v>161635</v>
      </c>
      <c r="E569" s="7" t="n">
        <f aca="false">01_Data!F569</f>
        <v>167361</v>
      </c>
      <c r="F569" s="7" t="n">
        <f aca="false">E569-D569</f>
        <v>5726</v>
      </c>
      <c r="G569" s="8" t="n">
        <f aca="false">IFERROR(F569/D569,0)</f>
        <v>0.0354254957156557</v>
      </c>
      <c r="H569" s="7" t="n">
        <f aca="false">01_Data!G569</f>
        <v>95339</v>
      </c>
      <c r="I569" s="7" t="n">
        <f aca="false">01_Data!H569</f>
        <v>95642</v>
      </c>
      <c r="J569" s="7" t="n">
        <f aca="false">H569-I569</f>
        <v>-303</v>
      </c>
      <c r="K569" s="8" t="n">
        <f aca="false">IFERROR(J569/H569,0)</f>
        <v>-0.00317813276833195</v>
      </c>
      <c r="L569" s="7" t="n">
        <f aca="false">D569-H569</f>
        <v>66296</v>
      </c>
      <c r="M569" s="7" t="n">
        <f aca="false">E569-I569</f>
        <v>71719</v>
      </c>
      <c r="N569" s="7" t="n">
        <f aca="false">IFERROR(L569/D569,0)</f>
        <v>0.410158690877595</v>
      </c>
      <c r="O569" s="7" t="n">
        <f aca="false">IFERROR(M569/E569,0)</f>
        <v>0.428528749230705</v>
      </c>
      <c r="P569" s="7" t="n">
        <f aca="false">01_Data!I569+01_Data!K569+01_Data!M569+01_Data!O569+01_Data!Q569+01_Data!S569+01_Data!U569</f>
        <v>45116</v>
      </c>
      <c r="Q569" s="7" t="n">
        <f aca="false">01_Data!J569+01_Data!L569+01_Data!N569+01_Data!P569+01_Data!R569+01_Data!T569+01_Data!V569</f>
        <v>45469</v>
      </c>
      <c r="R569" s="7" t="n">
        <f aca="false">P569-Q569</f>
        <v>-353</v>
      </c>
      <c r="S569" s="7" t="n">
        <f aca="false">L569-P569</f>
        <v>21180</v>
      </c>
      <c r="T569" s="7" t="n">
        <f aca="false">M569-Q569</f>
        <v>26250</v>
      </c>
      <c r="U569" s="7" t="n">
        <f aca="false">T569-S569</f>
        <v>5070</v>
      </c>
      <c r="V569" s="8" t="n">
        <f aca="false">IFERROR(U569/S569,0)</f>
        <v>0.239376770538244</v>
      </c>
      <c r="W569" s="5" t="str">
        <f aca="false">IF(V569&lt;-0.1,"ADVERSE &gt;10%","")</f>
        <v/>
      </c>
    </row>
    <row r="570" customFormat="false" ht="15" hidden="false" customHeight="false" outlineLevel="0" collapsed="false">
      <c r="A570" s="5" t="str">
        <f aca="false">01_Data!A570</f>
        <v>Retail &amp; Consumer</v>
      </c>
      <c r="B570" s="5" t="str">
        <f aca="false">01_Data!C570</f>
        <v>2025-08</v>
      </c>
      <c r="C570" s="5" t="str">
        <f aca="false">01_Data!D570</f>
        <v>FY25</v>
      </c>
      <c r="D570" s="7" t="n">
        <f aca="false">01_Data!E570</f>
        <v>165616</v>
      </c>
      <c r="E570" s="7" t="n">
        <f aca="false">01_Data!F570</f>
        <v>166168</v>
      </c>
      <c r="F570" s="7" t="n">
        <f aca="false">E570-D570</f>
        <v>552</v>
      </c>
      <c r="G570" s="8" t="n">
        <f aca="false">IFERROR(F570/D570,0)</f>
        <v>0.00333301130325572</v>
      </c>
      <c r="H570" s="7" t="n">
        <f aca="false">01_Data!G570</f>
        <v>94644</v>
      </c>
      <c r="I570" s="7" t="n">
        <f aca="false">01_Data!H570</f>
        <v>95300</v>
      </c>
      <c r="J570" s="7" t="n">
        <f aca="false">H570-I570</f>
        <v>-656</v>
      </c>
      <c r="K570" s="8" t="n">
        <f aca="false">IFERROR(J570/H570,0)</f>
        <v>-0.00693123705676007</v>
      </c>
      <c r="L570" s="7" t="n">
        <f aca="false">D570-H570</f>
        <v>70972</v>
      </c>
      <c r="M570" s="7" t="n">
        <f aca="false">E570-I570</f>
        <v>70868</v>
      </c>
      <c r="N570" s="7" t="n">
        <f aca="false">IFERROR(L570/D570,0)</f>
        <v>0.428533475026567</v>
      </c>
      <c r="O570" s="7" t="n">
        <f aca="false">IFERROR(M570/E570,0)</f>
        <v>0.426484040248423</v>
      </c>
      <c r="P570" s="7" t="n">
        <f aca="false">01_Data!I570+01_Data!K570+01_Data!M570+01_Data!O570+01_Data!Q570+01_Data!S570+01_Data!U570</f>
        <v>42734</v>
      </c>
      <c r="Q570" s="7" t="n">
        <f aca="false">01_Data!J570+01_Data!L570+01_Data!N570+01_Data!P570+01_Data!R570+01_Data!T570+01_Data!V570</f>
        <v>44387</v>
      </c>
      <c r="R570" s="7" t="n">
        <f aca="false">P570-Q570</f>
        <v>-1653</v>
      </c>
      <c r="S570" s="7" t="n">
        <f aca="false">L570-P570</f>
        <v>28238</v>
      </c>
      <c r="T570" s="7" t="n">
        <f aca="false">M570-Q570</f>
        <v>26481</v>
      </c>
      <c r="U570" s="7" t="n">
        <f aca="false">T570-S570</f>
        <v>-1757</v>
      </c>
      <c r="V570" s="8" t="n">
        <f aca="false">IFERROR(U570/S570,0)</f>
        <v>-0.0622211204759544</v>
      </c>
      <c r="W570" s="5" t="str">
        <f aca="false">IF(V570&lt;-0.1,"ADVERSE &gt;10%","")</f>
        <v/>
      </c>
    </row>
    <row r="571" customFormat="false" ht="15" hidden="false" customHeight="false" outlineLevel="0" collapsed="false">
      <c r="A571" s="5" t="str">
        <f aca="false">01_Data!A571</f>
        <v>Retail &amp; Consumer</v>
      </c>
      <c r="B571" s="5" t="str">
        <f aca="false">01_Data!C571</f>
        <v>2025-09</v>
      </c>
      <c r="C571" s="5" t="str">
        <f aca="false">01_Data!D571</f>
        <v>FY25</v>
      </c>
      <c r="D571" s="7" t="n">
        <f aca="false">01_Data!E571</f>
        <v>178556</v>
      </c>
      <c r="E571" s="7" t="n">
        <f aca="false">01_Data!F571</f>
        <v>178435</v>
      </c>
      <c r="F571" s="7" t="n">
        <f aca="false">E571-D571</f>
        <v>-121</v>
      </c>
      <c r="G571" s="8" t="n">
        <f aca="false">IFERROR(F571/D571,0)</f>
        <v>-0.000677658549698694</v>
      </c>
      <c r="H571" s="7" t="n">
        <f aca="false">01_Data!G571</f>
        <v>106219</v>
      </c>
      <c r="I571" s="7" t="n">
        <f aca="false">01_Data!H571</f>
        <v>108407</v>
      </c>
      <c r="J571" s="7" t="n">
        <f aca="false">H571-I571</f>
        <v>-2188</v>
      </c>
      <c r="K571" s="8" t="n">
        <f aca="false">IFERROR(J571/H571,0)</f>
        <v>-0.0205989512234158</v>
      </c>
      <c r="L571" s="7" t="n">
        <f aca="false">D571-H571</f>
        <v>72337</v>
      </c>
      <c r="M571" s="7" t="n">
        <f aca="false">E571-I571</f>
        <v>70028</v>
      </c>
      <c r="N571" s="7" t="n">
        <f aca="false">IFERROR(L571/D571,0)</f>
        <v>0.405122202558301</v>
      </c>
      <c r="O571" s="7" t="n">
        <f aca="false">IFERROR(M571/E571,0)</f>
        <v>0.392456636870569</v>
      </c>
      <c r="P571" s="7" t="n">
        <f aca="false">01_Data!I571+01_Data!K571+01_Data!M571+01_Data!O571+01_Data!Q571+01_Data!S571+01_Data!U571</f>
        <v>47596</v>
      </c>
      <c r="Q571" s="7" t="n">
        <f aca="false">01_Data!J571+01_Data!L571+01_Data!N571+01_Data!P571+01_Data!R571+01_Data!T571+01_Data!V571</f>
        <v>48076</v>
      </c>
      <c r="R571" s="7" t="n">
        <f aca="false">P571-Q571</f>
        <v>-480</v>
      </c>
      <c r="S571" s="7" t="n">
        <f aca="false">L571-P571</f>
        <v>24741</v>
      </c>
      <c r="T571" s="7" t="n">
        <f aca="false">M571-Q571</f>
        <v>21952</v>
      </c>
      <c r="U571" s="7" t="n">
        <f aca="false">T571-S571</f>
        <v>-2789</v>
      </c>
      <c r="V571" s="8" t="n">
        <f aca="false">IFERROR(U571/S571,0)</f>
        <v>-0.112727860636191</v>
      </c>
      <c r="W571" s="5" t="str">
        <f aca="false">IF(V571&lt;-0.1,"ADVERSE &gt;10%","")</f>
        <v>ADVERSE &gt;10%</v>
      </c>
    </row>
    <row r="572" customFormat="false" ht="15" hidden="false" customHeight="false" outlineLevel="0" collapsed="false">
      <c r="A572" s="5" t="str">
        <f aca="false">01_Data!A572</f>
        <v>Retail &amp; Consumer</v>
      </c>
      <c r="B572" s="5" t="str">
        <f aca="false">01_Data!C572</f>
        <v>2025-10</v>
      </c>
      <c r="C572" s="5" t="str">
        <f aca="false">01_Data!D572</f>
        <v>FY25</v>
      </c>
      <c r="D572" s="7" t="n">
        <f aca="false">01_Data!E572</f>
        <v>164441</v>
      </c>
      <c r="E572" s="7" t="n">
        <f aca="false">01_Data!F572</f>
        <v>166014</v>
      </c>
      <c r="F572" s="7" t="n">
        <f aca="false">E572-D572</f>
        <v>1573</v>
      </c>
      <c r="G572" s="8" t="n">
        <f aca="false">IFERROR(F572/D572,0)</f>
        <v>0.00956574090403245</v>
      </c>
      <c r="H572" s="7" t="n">
        <f aca="false">01_Data!G572</f>
        <v>98499</v>
      </c>
      <c r="I572" s="7" t="n">
        <f aca="false">01_Data!H572</f>
        <v>100903</v>
      </c>
      <c r="J572" s="7" t="n">
        <f aca="false">H572-I572</f>
        <v>-2404</v>
      </c>
      <c r="K572" s="8" t="n">
        <f aca="false">IFERROR(J572/H572,0)</f>
        <v>-0.0244063391506513</v>
      </c>
      <c r="L572" s="7" t="n">
        <f aca="false">D572-H572</f>
        <v>65942</v>
      </c>
      <c r="M572" s="7" t="n">
        <f aca="false">E572-I572</f>
        <v>65111</v>
      </c>
      <c r="N572" s="7" t="n">
        <f aca="false">IFERROR(L572/D572,0)</f>
        <v>0.401007048120603</v>
      </c>
      <c r="O572" s="7" t="n">
        <f aca="false">IFERROR(M572/E572,0)</f>
        <v>0.392201862493525</v>
      </c>
      <c r="P572" s="7" t="n">
        <f aca="false">01_Data!I572+01_Data!K572+01_Data!M572+01_Data!O572+01_Data!Q572+01_Data!S572+01_Data!U572</f>
        <v>44683</v>
      </c>
      <c r="Q572" s="7" t="n">
        <f aca="false">01_Data!J572+01_Data!L572+01_Data!N572+01_Data!P572+01_Data!R572+01_Data!T572+01_Data!V572</f>
        <v>46549</v>
      </c>
      <c r="R572" s="7" t="n">
        <f aca="false">P572-Q572</f>
        <v>-1866</v>
      </c>
      <c r="S572" s="7" t="n">
        <f aca="false">L572-P572</f>
        <v>21259</v>
      </c>
      <c r="T572" s="7" t="n">
        <f aca="false">M572-Q572</f>
        <v>18562</v>
      </c>
      <c r="U572" s="7" t="n">
        <f aca="false">T572-S572</f>
        <v>-2697</v>
      </c>
      <c r="V572" s="8" t="n">
        <f aca="false">IFERROR(U572/S572,0)</f>
        <v>-0.126863916458912</v>
      </c>
      <c r="W572" s="5" t="str">
        <f aca="false">IF(V572&lt;-0.1,"ADVERSE &gt;10%","")</f>
        <v>ADVERSE &gt;10%</v>
      </c>
    </row>
    <row r="573" customFormat="false" ht="15" hidden="false" customHeight="false" outlineLevel="0" collapsed="false">
      <c r="A573" s="5" t="str">
        <f aca="false">01_Data!A573</f>
        <v>Retail &amp; Consumer</v>
      </c>
      <c r="B573" s="5" t="str">
        <f aca="false">01_Data!C573</f>
        <v>2025-11</v>
      </c>
      <c r="C573" s="5" t="str">
        <f aca="false">01_Data!D573</f>
        <v>FY25</v>
      </c>
      <c r="D573" s="7" t="n">
        <f aca="false">01_Data!E573</f>
        <v>163581</v>
      </c>
      <c r="E573" s="7" t="n">
        <f aca="false">01_Data!F573</f>
        <v>171130</v>
      </c>
      <c r="F573" s="7" t="n">
        <f aca="false">E573-D573</f>
        <v>7549</v>
      </c>
      <c r="G573" s="8" t="n">
        <f aca="false">IFERROR(F573/D573,0)</f>
        <v>0.04614839131684</v>
      </c>
      <c r="H573" s="7" t="n">
        <f aca="false">01_Data!G573</f>
        <v>96842</v>
      </c>
      <c r="I573" s="7" t="n">
        <f aca="false">01_Data!H573</f>
        <v>105749</v>
      </c>
      <c r="J573" s="7" t="n">
        <f aca="false">H573-I573</f>
        <v>-8907</v>
      </c>
      <c r="K573" s="8" t="n">
        <f aca="false">IFERROR(J573/H573,0)</f>
        <v>-0.0919745564940832</v>
      </c>
      <c r="L573" s="7" t="n">
        <f aca="false">D573-H573</f>
        <v>66739</v>
      </c>
      <c r="M573" s="7" t="n">
        <f aca="false">E573-I573</f>
        <v>65381</v>
      </c>
      <c r="N573" s="7" t="n">
        <f aca="false">IFERROR(L573/D573,0)</f>
        <v>0.407987480208582</v>
      </c>
      <c r="O573" s="7" t="n">
        <f aca="false">IFERROR(M573/E573,0)</f>
        <v>0.382054578390697</v>
      </c>
      <c r="P573" s="7" t="n">
        <f aca="false">01_Data!I573+01_Data!K573+01_Data!M573+01_Data!O573+01_Data!Q573+01_Data!S573+01_Data!U573</f>
        <v>47308</v>
      </c>
      <c r="Q573" s="7" t="n">
        <f aca="false">01_Data!J573+01_Data!L573+01_Data!N573+01_Data!P573+01_Data!R573+01_Data!T573+01_Data!V573</f>
        <v>47344</v>
      </c>
      <c r="R573" s="7" t="n">
        <f aca="false">P573-Q573</f>
        <v>-36</v>
      </c>
      <c r="S573" s="7" t="n">
        <f aca="false">L573-P573</f>
        <v>19431</v>
      </c>
      <c r="T573" s="7" t="n">
        <f aca="false">M573-Q573</f>
        <v>18037</v>
      </c>
      <c r="U573" s="7" t="n">
        <f aca="false">T573-S573</f>
        <v>-1394</v>
      </c>
      <c r="V573" s="8" t="n">
        <f aca="false">IFERROR(U573/S573,0)</f>
        <v>-0.0717410323709536</v>
      </c>
      <c r="W573" s="5" t="str">
        <f aca="false">IF(V573&lt;-0.1,"ADVERSE &gt;10%","")</f>
        <v/>
      </c>
    </row>
    <row r="574" customFormat="false" ht="15" hidden="false" customHeight="false" outlineLevel="0" collapsed="false">
      <c r="A574" s="5" t="str">
        <f aca="false">01_Data!A574</f>
        <v>Retail &amp; Consumer</v>
      </c>
      <c r="B574" s="5" t="str">
        <f aca="false">01_Data!C574</f>
        <v>2025-12</v>
      </c>
      <c r="C574" s="5" t="str">
        <f aca="false">01_Data!D574</f>
        <v>FY25</v>
      </c>
      <c r="D574" s="7" t="n">
        <f aca="false">01_Data!E574</f>
        <v>182464</v>
      </c>
      <c r="E574" s="7" t="n">
        <f aca="false">01_Data!F574</f>
        <v>184481</v>
      </c>
      <c r="F574" s="7" t="n">
        <f aca="false">E574-D574</f>
        <v>2017</v>
      </c>
      <c r="G574" s="8" t="n">
        <f aca="false">IFERROR(F574/D574,0)</f>
        <v>0.0110542353560154</v>
      </c>
      <c r="H574" s="7" t="n">
        <f aca="false">01_Data!G574</f>
        <v>103454</v>
      </c>
      <c r="I574" s="7" t="n">
        <f aca="false">01_Data!H574</f>
        <v>108609</v>
      </c>
      <c r="J574" s="7" t="n">
        <f aca="false">H574-I574</f>
        <v>-5155</v>
      </c>
      <c r="K574" s="8" t="n">
        <f aca="false">IFERROR(J574/H574,0)</f>
        <v>-0.0498289094670095</v>
      </c>
      <c r="L574" s="7" t="n">
        <f aca="false">D574-H574</f>
        <v>79010</v>
      </c>
      <c r="M574" s="7" t="n">
        <f aca="false">E574-I574</f>
        <v>75872</v>
      </c>
      <c r="N574" s="7" t="n">
        <f aca="false">IFERROR(L574/D574,0)</f>
        <v>0.433016923886356</v>
      </c>
      <c r="O574" s="7" t="n">
        <f aca="false">IFERROR(M574/E574,0)</f>
        <v>0.411272705590278</v>
      </c>
      <c r="P574" s="7" t="n">
        <f aca="false">01_Data!I574+01_Data!K574+01_Data!M574+01_Data!O574+01_Data!Q574+01_Data!S574+01_Data!U574</f>
        <v>47917</v>
      </c>
      <c r="Q574" s="7" t="n">
        <f aca="false">01_Data!J574+01_Data!L574+01_Data!N574+01_Data!P574+01_Data!R574+01_Data!T574+01_Data!V574</f>
        <v>48751</v>
      </c>
      <c r="R574" s="7" t="n">
        <f aca="false">P574-Q574</f>
        <v>-834</v>
      </c>
      <c r="S574" s="7" t="n">
        <f aca="false">L574-P574</f>
        <v>31093</v>
      </c>
      <c r="T574" s="7" t="n">
        <f aca="false">M574-Q574</f>
        <v>27121</v>
      </c>
      <c r="U574" s="7" t="n">
        <f aca="false">T574-S574</f>
        <v>-3972</v>
      </c>
      <c r="V574" s="8" t="n">
        <f aca="false">IFERROR(U574/S574,0)</f>
        <v>-0.127745794873444</v>
      </c>
      <c r="W574" s="5" t="str">
        <f aca="false">IF(V574&lt;-0.1,"ADVERSE &gt;10%","")</f>
        <v>ADVERSE &gt;10%</v>
      </c>
    </row>
    <row r="575" customFormat="false" ht="15" hidden="false" customHeight="false" outlineLevel="0" collapsed="false">
      <c r="A575" s="5" t="str">
        <f aca="false">01_Data!A575</f>
        <v>Retail &amp; Consumer</v>
      </c>
      <c r="B575" s="5" t="str">
        <f aca="false">01_Data!C575</f>
        <v>2026-01</v>
      </c>
      <c r="C575" s="5" t="str">
        <f aca="false">01_Data!D575</f>
        <v>FY25</v>
      </c>
      <c r="D575" s="7" t="n">
        <f aca="false">01_Data!E575</f>
        <v>176468</v>
      </c>
      <c r="E575" s="7" t="n">
        <f aca="false">01_Data!F575</f>
        <v>174622</v>
      </c>
      <c r="F575" s="7" t="n">
        <f aca="false">E575-D575</f>
        <v>-1846</v>
      </c>
      <c r="G575" s="8" t="n">
        <f aca="false">IFERROR(F575/D575,0)</f>
        <v>-0.010460820092028</v>
      </c>
      <c r="H575" s="7" t="n">
        <f aca="false">01_Data!G575</f>
        <v>105296</v>
      </c>
      <c r="I575" s="7" t="n">
        <f aca="false">01_Data!H575</f>
        <v>101548</v>
      </c>
      <c r="J575" s="7" t="n">
        <f aca="false">H575-I575</f>
        <v>3748</v>
      </c>
      <c r="K575" s="8" t="n">
        <f aca="false">IFERROR(J575/H575,0)</f>
        <v>0.0355948943929494</v>
      </c>
      <c r="L575" s="7" t="n">
        <f aca="false">D575-H575</f>
        <v>71172</v>
      </c>
      <c r="M575" s="7" t="n">
        <f aca="false">E575-I575</f>
        <v>73074</v>
      </c>
      <c r="N575" s="7" t="n">
        <f aca="false">IFERROR(L575/D575,0)</f>
        <v>0.403313915270757</v>
      </c>
      <c r="O575" s="7" t="n">
        <f aca="false">IFERROR(M575/E575,0)</f>
        <v>0.418469608640378</v>
      </c>
      <c r="P575" s="7" t="n">
        <f aca="false">01_Data!I575+01_Data!K575+01_Data!M575+01_Data!O575+01_Data!Q575+01_Data!S575+01_Data!U575</f>
        <v>45963</v>
      </c>
      <c r="Q575" s="7" t="n">
        <f aca="false">01_Data!J575+01_Data!L575+01_Data!N575+01_Data!P575+01_Data!R575+01_Data!T575+01_Data!V575</f>
        <v>47554</v>
      </c>
      <c r="R575" s="7" t="n">
        <f aca="false">P575-Q575</f>
        <v>-1591</v>
      </c>
      <c r="S575" s="7" t="n">
        <f aca="false">L575-P575</f>
        <v>25209</v>
      </c>
      <c r="T575" s="7" t="n">
        <f aca="false">M575-Q575</f>
        <v>25520</v>
      </c>
      <c r="U575" s="7" t="n">
        <f aca="false">T575-S575</f>
        <v>311</v>
      </c>
      <c r="V575" s="8" t="n">
        <f aca="false">IFERROR(U575/S575,0)</f>
        <v>0.0123368638184775</v>
      </c>
      <c r="W575" s="5" t="str">
        <f aca="false">IF(V575&lt;-0.1,"ADVERSE &gt;10%","")</f>
        <v/>
      </c>
    </row>
    <row r="576" customFormat="false" ht="15" hidden="false" customHeight="false" outlineLevel="0" collapsed="false">
      <c r="A576" s="5" t="str">
        <f aca="false">01_Data!A576</f>
        <v>Retail &amp; Consumer</v>
      </c>
      <c r="B576" s="5" t="str">
        <f aca="false">01_Data!C576</f>
        <v>2026-02</v>
      </c>
      <c r="C576" s="5" t="str">
        <f aca="false">01_Data!D576</f>
        <v>FY25</v>
      </c>
      <c r="D576" s="7" t="n">
        <f aca="false">01_Data!E576</f>
        <v>174902</v>
      </c>
      <c r="E576" s="7" t="n">
        <f aca="false">01_Data!F576</f>
        <v>174501</v>
      </c>
      <c r="F576" s="7" t="n">
        <f aca="false">E576-D576</f>
        <v>-401</v>
      </c>
      <c r="G576" s="8" t="n">
        <f aca="false">IFERROR(F576/D576,0)</f>
        <v>-0.00229271249042321</v>
      </c>
      <c r="H576" s="7" t="n">
        <f aca="false">01_Data!G576</f>
        <v>100483</v>
      </c>
      <c r="I576" s="7" t="n">
        <f aca="false">01_Data!H576</f>
        <v>102132</v>
      </c>
      <c r="J576" s="7" t="n">
        <f aca="false">H576-I576</f>
        <v>-1649</v>
      </c>
      <c r="K576" s="8" t="n">
        <f aca="false">IFERROR(J576/H576,0)</f>
        <v>-0.0164107361444224</v>
      </c>
      <c r="L576" s="7" t="n">
        <f aca="false">D576-H576</f>
        <v>74419</v>
      </c>
      <c r="M576" s="7" t="n">
        <f aca="false">E576-I576</f>
        <v>72369</v>
      </c>
      <c r="N576" s="7" t="n">
        <f aca="false">IFERROR(L576/D576,0)</f>
        <v>0.425489702804999</v>
      </c>
      <c r="O576" s="7" t="n">
        <f aca="false">IFERROR(M576/E576,0)</f>
        <v>0.414719686420135</v>
      </c>
      <c r="P576" s="7" t="n">
        <f aca="false">01_Data!I576+01_Data!K576+01_Data!M576+01_Data!O576+01_Data!Q576+01_Data!S576+01_Data!U576</f>
        <v>43654</v>
      </c>
      <c r="Q576" s="7" t="n">
        <f aca="false">01_Data!J576+01_Data!L576+01_Data!N576+01_Data!P576+01_Data!R576+01_Data!T576+01_Data!V576</f>
        <v>44636</v>
      </c>
      <c r="R576" s="7" t="n">
        <f aca="false">P576-Q576</f>
        <v>-982</v>
      </c>
      <c r="S576" s="7" t="n">
        <f aca="false">L576-P576</f>
        <v>30765</v>
      </c>
      <c r="T576" s="7" t="n">
        <f aca="false">M576-Q576</f>
        <v>27733</v>
      </c>
      <c r="U576" s="7" t="n">
        <f aca="false">T576-S576</f>
        <v>-3032</v>
      </c>
      <c r="V576" s="8" t="n">
        <f aca="false">IFERROR(U576/S576,0)</f>
        <v>-0.0985535511132781</v>
      </c>
      <c r="W576" s="5" t="str">
        <f aca="false">IF(V576&lt;-0.1,"ADVERSE &gt;10%","")</f>
        <v/>
      </c>
    </row>
    <row r="577" customFormat="false" ht="15" hidden="false" customHeight="false" outlineLevel="0" collapsed="false">
      <c r="A577" s="5" t="str">
        <f aca="false">01_Data!A577</f>
        <v>Retail &amp; Consumer</v>
      </c>
      <c r="B577" s="5" t="str">
        <f aca="false">01_Data!C577</f>
        <v>2026-03</v>
      </c>
      <c r="C577" s="5" t="str">
        <f aca="false">01_Data!D577</f>
        <v>FY25</v>
      </c>
      <c r="D577" s="7" t="n">
        <f aca="false">01_Data!E577</f>
        <v>196897</v>
      </c>
      <c r="E577" s="7" t="n">
        <f aca="false">01_Data!F577</f>
        <v>191054</v>
      </c>
      <c r="F577" s="7" t="n">
        <f aca="false">E577-D577</f>
        <v>-5843</v>
      </c>
      <c r="G577" s="8" t="n">
        <f aca="false">IFERROR(F577/D577,0)</f>
        <v>-0.0296754140489698</v>
      </c>
      <c r="H577" s="7" t="n">
        <f aca="false">01_Data!G577</f>
        <v>106647</v>
      </c>
      <c r="I577" s="7" t="n">
        <f aca="false">01_Data!H577</f>
        <v>108283</v>
      </c>
      <c r="J577" s="7" t="n">
        <f aca="false">H577-I577</f>
        <v>-1636</v>
      </c>
      <c r="K577" s="8" t="n">
        <f aca="false">IFERROR(J577/H577,0)</f>
        <v>-0.0153403283730438</v>
      </c>
      <c r="L577" s="7" t="n">
        <f aca="false">D577-H577</f>
        <v>90250</v>
      </c>
      <c r="M577" s="7" t="n">
        <f aca="false">E577-I577</f>
        <v>82771</v>
      </c>
      <c r="N577" s="7" t="n">
        <f aca="false">IFERROR(L577/D577,0)</f>
        <v>0.458361478336389</v>
      </c>
      <c r="O577" s="7" t="n">
        <f aca="false">IFERROR(M577/E577,0)</f>
        <v>0.433233536068337</v>
      </c>
      <c r="P577" s="7" t="n">
        <f aca="false">01_Data!I577+01_Data!K577+01_Data!M577+01_Data!O577+01_Data!Q577+01_Data!S577+01_Data!U577</f>
        <v>55778</v>
      </c>
      <c r="Q577" s="7" t="n">
        <f aca="false">01_Data!J577+01_Data!L577+01_Data!N577+01_Data!P577+01_Data!R577+01_Data!T577+01_Data!V577</f>
        <v>56172</v>
      </c>
      <c r="R577" s="7" t="n">
        <f aca="false">P577-Q577</f>
        <v>-394</v>
      </c>
      <c r="S577" s="7" t="n">
        <f aca="false">L577-P577</f>
        <v>34472</v>
      </c>
      <c r="T577" s="7" t="n">
        <f aca="false">M577-Q577</f>
        <v>26599</v>
      </c>
      <c r="U577" s="7" t="n">
        <f aca="false">T577-S577</f>
        <v>-7873</v>
      </c>
      <c r="V577" s="8" t="n">
        <f aca="false">IFERROR(U577/S577,0)</f>
        <v>-0.228388257136227</v>
      </c>
      <c r="W577" s="5" t="str">
        <f aca="false">IF(V577&lt;-0.1,"ADVERSE &gt;10%","")</f>
        <v>ADVERSE &gt;10%</v>
      </c>
    </row>
    <row r="578" customFormat="false" ht="15" hidden="false" customHeight="false" outlineLevel="0" collapsed="false">
      <c r="A578" s="5" t="str">
        <f aca="false">01_Data!A578</f>
        <v>Retail &amp; Consumer</v>
      </c>
      <c r="B578" s="5" t="str">
        <f aca="false">01_Data!C578</f>
        <v>2023-04</v>
      </c>
      <c r="C578" s="5" t="str">
        <f aca="false">01_Data!D578</f>
        <v>FY23</v>
      </c>
      <c r="D578" s="7" t="n">
        <f aca="false">01_Data!E578</f>
        <v>120436</v>
      </c>
      <c r="E578" s="7" t="n">
        <f aca="false">01_Data!F578</f>
        <v>121423</v>
      </c>
      <c r="F578" s="7" t="n">
        <f aca="false">E578-D578</f>
        <v>987</v>
      </c>
      <c r="G578" s="8" t="n">
        <f aca="false">IFERROR(F578/D578,0)</f>
        <v>0.00819522401939619</v>
      </c>
      <c r="H578" s="7" t="n">
        <f aca="false">01_Data!G578</f>
        <v>66936</v>
      </c>
      <c r="I578" s="7" t="n">
        <f aca="false">01_Data!H578</f>
        <v>70305</v>
      </c>
      <c r="J578" s="7" t="n">
        <f aca="false">H578-I578</f>
        <v>-3369</v>
      </c>
      <c r="K578" s="8" t="n">
        <f aca="false">IFERROR(J578/H578,0)</f>
        <v>-0.0503316600932234</v>
      </c>
      <c r="L578" s="7" t="n">
        <f aca="false">D578-H578</f>
        <v>53500</v>
      </c>
      <c r="M578" s="7" t="n">
        <f aca="false">E578-I578</f>
        <v>51118</v>
      </c>
      <c r="N578" s="7" t="n">
        <f aca="false">IFERROR(L578/D578,0)</f>
        <v>0.44421933641104</v>
      </c>
      <c r="O578" s="7" t="n">
        <f aca="false">IFERROR(M578/E578,0)</f>
        <v>0.420991080767235</v>
      </c>
      <c r="P578" s="7" t="n">
        <f aca="false">01_Data!I578+01_Data!K578+01_Data!M578+01_Data!O578+01_Data!Q578+01_Data!S578+01_Data!U578</f>
        <v>33599</v>
      </c>
      <c r="Q578" s="7" t="n">
        <f aca="false">01_Data!J578+01_Data!L578+01_Data!N578+01_Data!P578+01_Data!R578+01_Data!T578+01_Data!V578</f>
        <v>34781</v>
      </c>
      <c r="R578" s="7" t="n">
        <f aca="false">P578-Q578</f>
        <v>-1182</v>
      </c>
      <c r="S578" s="7" t="n">
        <f aca="false">L578-P578</f>
        <v>19901</v>
      </c>
      <c r="T578" s="7" t="n">
        <f aca="false">M578-Q578</f>
        <v>16337</v>
      </c>
      <c r="U578" s="7" t="n">
        <f aca="false">T578-S578</f>
        <v>-3564</v>
      </c>
      <c r="V578" s="8" t="n">
        <f aca="false">IFERROR(U578/S578,0)</f>
        <v>-0.179086478066429</v>
      </c>
      <c r="W578" s="5" t="str">
        <f aca="false">IF(V578&lt;-0.1,"ADVERSE &gt;10%","")</f>
        <v>ADVERSE &gt;10%</v>
      </c>
    </row>
    <row r="579" customFormat="false" ht="15" hidden="false" customHeight="false" outlineLevel="0" collapsed="false">
      <c r="A579" s="5" t="str">
        <f aca="false">01_Data!A579</f>
        <v>Retail &amp; Consumer</v>
      </c>
      <c r="B579" s="5" t="str">
        <f aca="false">01_Data!C579</f>
        <v>2023-05</v>
      </c>
      <c r="C579" s="5" t="str">
        <f aca="false">01_Data!D579</f>
        <v>FY23</v>
      </c>
      <c r="D579" s="7" t="n">
        <f aca="false">01_Data!E579</f>
        <v>127888</v>
      </c>
      <c r="E579" s="7" t="n">
        <f aca="false">01_Data!F579</f>
        <v>121686</v>
      </c>
      <c r="F579" s="7" t="n">
        <f aca="false">E579-D579</f>
        <v>-6202</v>
      </c>
      <c r="G579" s="8" t="n">
        <f aca="false">IFERROR(F579/D579,0)</f>
        <v>-0.0484955586137871</v>
      </c>
      <c r="H579" s="7" t="n">
        <f aca="false">01_Data!G579</f>
        <v>72385</v>
      </c>
      <c r="I579" s="7" t="n">
        <f aca="false">01_Data!H579</f>
        <v>72114</v>
      </c>
      <c r="J579" s="7" t="n">
        <f aca="false">H579-I579</f>
        <v>271</v>
      </c>
      <c r="K579" s="8" t="n">
        <f aca="false">IFERROR(J579/H579,0)</f>
        <v>0.00374386958624024</v>
      </c>
      <c r="L579" s="7" t="n">
        <f aca="false">D579-H579</f>
        <v>55503</v>
      </c>
      <c r="M579" s="7" t="n">
        <f aca="false">E579-I579</f>
        <v>49572</v>
      </c>
      <c r="N579" s="7" t="n">
        <f aca="false">IFERROR(L579/D579,0)</f>
        <v>0.433996934817966</v>
      </c>
      <c r="O579" s="7" t="n">
        <f aca="false">IFERROR(M579/E579,0)</f>
        <v>0.407376362112322</v>
      </c>
      <c r="P579" s="7" t="n">
        <f aca="false">01_Data!I579+01_Data!K579+01_Data!M579+01_Data!O579+01_Data!Q579+01_Data!S579+01_Data!U579</f>
        <v>36108</v>
      </c>
      <c r="Q579" s="7" t="n">
        <f aca="false">01_Data!J579+01_Data!L579+01_Data!N579+01_Data!P579+01_Data!R579+01_Data!T579+01_Data!V579</f>
        <v>36060</v>
      </c>
      <c r="R579" s="7" t="n">
        <f aca="false">P579-Q579</f>
        <v>48</v>
      </c>
      <c r="S579" s="7" t="n">
        <f aca="false">L579-P579</f>
        <v>19395</v>
      </c>
      <c r="T579" s="7" t="n">
        <f aca="false">M579-Q579</f>
        <v>13512</v>
      </c>
      <c r="U579" s="7" t="n">
        <f aca="false">T579-S579</f>
        <v>-5883</v>
      </c>
      <c r="V579" s="8" t="n">
        <f aca="false">IFERROR(U579/S579,0)</f>
        <v>-0.303325599381284</v>
      </c>
      <c r="W579" s="5" t="str">
        <f aca="false">IF(V579&lt;-0.1,"ADVERSE &gt;10%","")</f>
        <v>ADVERSE &gt;10%</v>
      </c>
    </row>
    <row r="580" customFormat="false" ht="15" hidden="false" customHeight="false" outlineLevel="0" collapsed="false">
      <c r="A580" s="5" t="str">
        <f aca="false">01_Data!A580</f>
        <v>Retail &amp; Consumer</v>
      </c>
      <c r="B580" s="5" t="str">
        <f aca="false">01_Data!C580</f>
        <v>2023-06</v>
      </c>
      <c r="C580" s="5" t="str">
        <f aca="false">01_Data!D580</f>
        <v>FY23</v>
      </c>
      <c r="D580" s="7" t="n">
        <f aca="false">01_Data!E580</f>
        <v>127890</v>
      </c>
      <c r="E580" s="7" t="n">
        <f aca="false">01_Data!F580</f>
        <v>124403</v>
      </c>
      <c r="F580" s="7" t="n">
        <f aca="false">E580-D580</f>
        <v>-3487</v>
      </c>
      <c r="G580" s="8" t="n">
        <f aca="false">IFERROR(F580/D580,0)</f>
        <v>-0.0272656188912347</v>
      </c>
      <c r="H580" s="7" t="n">
        <f aca="false">01_Data!G580</f>
        <v>71229</v>
      </c>
      <c r="I580" s="7" t="n">
        <f aca="false">01_Data!H580</f>
        <v>68034</v>
      </c>
      <c r="J580" s="7" t="n">
        <f aca="false">H580-I580</f>
        <v>3195</v>
      </c>
      <c r="K580" s="8" t="n">
        <f aca="false">IFERROR(J580/H580,0)</f>
        <v>0.04485532578023</v>
      </c>
      <c r="L580" s="7" t="n">
        <f aca="false">D580-H580</f>
        <v>56661</v>
      </c>
      <c r="M580" s="7" t="n">
        <f aca="false">E580-I580</f>
        <v>56369</v>
      </c>
      <c r="N580" s="7" t="n">
        <f aca="false">IFERROR(L580/D580,0)</f>
        <v>0.443044804128548</v>
      </c>
      <c r="O580" s="7" t="n">
        <f aca="false">IFERROR(M580/E580,0)</f>
        <v>0.453116082409588</v>
      </c>
      <c r="P580" s="7" t="n">
        <f aca="false">01_Data!I580+01_Data!K580+01_Data!M580+01_Data!O580+01_Data!Q580+01_Data!S580+01_Data!U580</f>
        <v>35499</v>
      </c>
      <c r="Q580" s="7" t="n">
        <f aca="false">01_Data!J580+01_Data!L580+01_Data!N580+01_Data!P580+01_Data!R580+01_Data!T580+01_Data!V580</f>
        <v>37140</v>
      </c>
      <c r="R580" s="7" t="n">
        <f aca="false">P580-Q580</f>
        <v>-1641</v>
      </c>
      <c r="S580" s="7" t="n">
        <f aca="false">L580-P580</f>
        <v>21162</v>
      </c>
      <c r="T580" s="7" t="n">
        <f aca="false">M580-Q580</f>
        <v>19229</v>
      </c>
      <c r="U580" s="7" t="n">
        <f aca="false">T580-S580</f>
        <v>-1933</v>
      </c>
      <c r="V580" s="8" t="n">
        <f aca="false">IFERROR(U580/S580,0)</f>
        <v>-0.0913429732539458</v>
      </c>
      <c r="W580" s="5" t="str">
        <f aca="false">IF(V580&lt;-0.1,"ADVERSE &gt;10%","")</f>
        <v/>
      </c>
    </row>
    <row r="581" customFormat="false" ht="15" hidden="false" customHeight="false" outlineLevel="0" collapsed="false">
      <c r="A581" s="5" t="str">
        <f aca="false">01_Data!A581</f>
        <v>Retail &amp; Consumer</v>
      </c>
      <c r="B581" s="5" t="str">
        <f aca="false">01_Data!C581</f>
        <v>2023-07</v>
      </c>
      <c r="C581" s="5" t="str">
        <f aca="false">01_Data!D581</f>
        <v>FY23</v>
      </c>
      <c r="D581" s="7" t="n">
        <f aca="false">01_Data!E581</f>
        <v>127889</v>
      </c>
      <c r="E581" s="7" t="n">
        <f aca="false">01_Data!F581</f>
        <v>125525</v>
      </c>
      <c r="F581" s="7" t="n">
        <f aca="false">E581-D581</f>
        <v>-2364</v>
      </c>
      <c r="G581" s="8" t="n">
        <f aca="false">IFERROR(F581/D581,0)</f>
        <v>-0.0184847797699568</v>
      </c>
      <c r="H581" s="7" t="n">
        <f aca="false">01_Data!G581</f>
        <v>70442</v>
      </c>
      <c r="I581" s="7" t="n">
        <f aca="false">01_Data!H581</f>
        <v>68513</v>
      </c>
      <c r="J581" s="7" t="n">
        <f aca="false">H581-I581</f>
        <v>1929</v>
      </c>
      <c r="K581" s="8" t="n">
        <f aca="false">IFERROR(J581/H581,0)</f>
        <v>0.027384230998552</v>
      </c>
      <c r="L581" s="7" t="n">
        <f aca="false">D581-H581</f>
        <v>57447</v>
      </c>
      <c r="M581" s="7" t="n">
        <f aca="false">E581-I581</f>
        <v>57012</v>
      </c>
      <c r="N581" s="7" t="n">
        <f aca="false">IFERROR(L581/D581,0)</f>
        <v>0.449194223115358</v>
      </c>
      <c r="O581" s="7" t="n">
        <f aca="false">IFERROR(M581/E581,0)</f>
        <v>0.454188408683529</v>
      </c>
      <c r="P581" s="7" t="n">
        <f aca="false">01_Data!I581+01_Data!K581+01_Data!M581+01_Data!O581+01_Data!Q581+01_Data!S581+01_Data!U581</f>
        <v>33367</v>
      </c>
      <c r="Q581" s="7" t="n">
        <f aca="false">01_Data!J581+01_Data!L581+01_Data!N581+01_Data!P581+01_Data!R581+01_Data!T581+01_Data!V581</f>
        <v>33492</v>
      </c>
      <c r="R581" s="7" t="n">
        <f aca="false">P581-Q581</f>
        <v>-125</v>
      </c>
      <c r="S581" s="7" t="n">
        <f aca="false">L581-P581</f>
        <v>24080</v>
      </c>
      <c r="T581" s="7" t="n">
        <f aca="false">M581-Q581</f>
        <v>23520</v>
      </c>
      <c r="U581" s="7" t="n">
        <f aca="false">T581-S581</f>
        <v>-560</v>
      </c>
      <c r="V581" s="8" t="n">
        <f aca="false">IFERROR(U581/S581,0)</f>
        <v>-0.0232558139534884</v>
      </c>
      <c r="W581" s="5" t="str">
        <f aca="false">IF(V581&lt;-0.1,"ADVERSE &gt;10%","")</f>
        <v/>
      </c>
    </row>
    <row r="582" customFormat="false" ht="15" hidden="false" customHeight="false" outlineLevel="0" collapsed="false">
      <c r="A582" s="5" t="str">
        <f aca="false">01_Data!A582</f>
        <v>Retail &amp; Consumer</v>
      </c>
      <c r="B582" s="5" t="str">
        <f aca="false">01_Data!C582</f>
        <v>2023-08</v>
      </c>
      <c r="C582" s="5" t="str">
        <f aca="false">01_Data!D582</f>
        <v>FY23</v>
      </c>
      <c r="D582" s="7" t="n">
        <f aca="false">01_Data!E582</f>
        <v>121678</v>
      </c>
      <c r="E582" s="7" t="n">
        <f aca="false">01_Data!F582</f>
        <v>127559</v>
      </c>
      <c r="F582" s="7" t="n">
        <f aca="false">E582-D582</f>
        <v>5881</v>
      </c>
      <c r="G582" s="8" t="n">
        <f aca="false">IFERROR(F582/D582,0)</f>
        <v>0.0483324840973718</v>
      </c>
      <c r="H582" s="7" t="n">
        <f aca="false">01_Data!G582</f>
        <v>69099</v>
      </c>
      <c r="I582" s="7" t="n">
        <f aca="false">01_Data!H582</f>
        <v>71922</v>
      </c>
      <c r="J582" s="7" t="n">
        <f aca="false">H582-I582</f>
        <v>-2823</v>
      </c>
      <c r="K582" s="8" t="n">
        <f aca="false">IFERROR(J582/H582,0)</f>
        <v>-0.0408544262579777</v>
      </c>
      <c r="L582" s="7" t="n">
        <f aca="false">D582-H582</f>
        <v>52579</v>
      </c>
      <c r="M582" s="7" t="n">
        <f aca="false">E582-I582</f>
        <v>55637</v>
      </c>
      <c r="N582" s="7" t="n">
        <f aca="false">IFERROR(L582/D582,0)</f>
        <v>0.432115912490343</v>
      </c>
      <c r="O582" s="7" t="n">
        <f aca="false">IFERROR(M582/E582,0)</f>
        <v>0.436166793405405</v>
      </c>
      <c r="P582" s="7" t="n">
        <f aca="false">01_Data!I582+01_Data!K582+01_Data!M582+01_Data!O582+01_Data!Q582+01_Data!S582+01_Data!U582</f>
        <v>31515</v>
      </c>
      <c r="Q582" s="7" t="n">
        <f aca="false">01_Data!J582+01_Data!L582+01_Data!N582+01_Data!P582+01_Data!R582+01_Data!T582+01_Data!V582</f>
        <v>33142</v>
      </c>
      <c r="R582" s="7" t="n">
        <f aca="false">P582-Q582</f>
        <v>-1627</v>
      </c>
      <c r="S582" s="7" t="n">
        <f aca="false">L582-P582</f>
        <v>21064</v>
      </c>
      <c r="T582" s="7" t="n">
        <f aca="false">M582-Q582</f>
        <v>22495</v>
      </c>
      <c r="U582" s="7" t="n">
        <f aca="false">T582-S582</f>
        <v>1431</v>
      </c>
      <c r="V582" s="8" t="n">
        <f aca="false">IFERROR(U582/S582,0)</f>
        <v>0.0679358146600836</v>
      </c>
      <c r="W582" s="5" t="str">
        <f aca="false">IF(V582&lt;-0.1,"ADVERSE &gt;10%","")</f>
        <v/>
      </c>
    </row>
    <row r="583" customFormat="false" ht="15" hidden="false" customHeight="false" outlineLevel="0" collapsed="false">
      <c r="A583" s="5" t="str">
        <f aca="false">01_Data!A583</f>
        <v>Retail &amp; Consumer</v>
      </c>
      <c r="B583" s="5" t="str">
        <f aca="false">01_Data!C583</f>
        <v>2023-09</v>
      </c>
      <c r="C583" s="5" t="str">
        <f aca="false">01_Data!D583</f>
        <v>FY23</v>
      </c>
      <c r="D583" s="7" t="n">
        <f aca="false">01_Data!E583</f>
        <v>138605</v>
      </c>
      <c r="E583" s="7" t="n">
        <f aca="false">01_Data!F583</f>
        <v>142687</v>
      </c>
      <c r="F583" s="7" t="n">
        <f aca="false">E583-D583</f>
        <v>4082</v>
      </c>
      <c r="G583" s="8" t="n">
        <f aca="false">IFERROR(F583/D583,0)</f>
        <v>0.0294505970203095</v>
      </c>
      <c r="H583" s="7" t="n">
        <f aca="false">01_Data!G583</f>
        <v>77488</v>
      </c>
      <c r="I583" s="7" t="n">
        <f aca="false">01_Data!H583</f>
        <v>79709</v>
      </c>
      <c r="J583" s="7" t="n">
        <f aca="false">H583-I583</f>
        <v>-2221</v>
      </c>
      <c r="K583" s="8" t="n">
        <f aca="false">IFERROR(J583/H583,0)</f>
        <v>-0.0286625025810448</v>
      </c>
      <c r="L583" s="7" t="n">
        <f aca="false">D583-H583</f>
        <v>61117</v>
      </c>
      <c r="M583" s="7" t="n">
        <f aca="false">E583-I583</f>
        <v>62978</v>
      </c>
      <c r="N583" s="7" t="n">
        <f aca="false">IFERROR(L583/D583,0)</f>
        <v>0.440943688900112</v>
      </c>
      <c r="O583" s="7" t="n">
        <f aca="false">IFERROR(M583/E583,0)</f>
        <v>0.441371673663333</v>
      </c>
      <c r="P583" s="7" t="n">
        <f aca="false">01_Data!I583+01_Data!K583+01_Data!M583+01_Data!O583+01_Data!Q583+01_Data!S583+01_Data!U583</f>
        <v>38082</v>
      </c>
      <c r="Q583" s="7" t="n">
        <f aca="false">01_Data!J583+01_Data!L583+01_Data!N583+01_Data!P583+01_Data!R583+01_Data!T583+01_Data!V583</f>
        <v>37946</v>
      </c>
      <c r="R583" s="7" t="n">
        <f aca="false">P583-Q583</f>
        <v>136</v>
      </c>
      <c r="S583" s="7" t="n">
        <f aca="false">L583-P583</f>
        <v>23035</v>
      </c>
      <c r="T583" s="7" t="n">
        <f aca="false">M583-Q583</f>
        <v>25032</v>
      </c>
      <c r="U583" s="7" t="n">
        <f aca="false">T583-S583</f>
        <v>1997</v>
      </c>
      <c r="V583" s="8" t="n">
        <f aca="false">IFERROR(U583/S583,0)</f>
        <v>0.0866941610592577</v>
      </c>
      <c r="W583" s="5" t="str">
        <f aca="false">IF(V583&lt;-0.1,"ADVERSE &gt;10%","")</f>
        <v/>
      </c>
    </row>
    <row r="584" customFormat="false" ht="15" hidden="false" customHeight="false" outlineLevel="0" collapsed="false">
      <c r="A584" s="5" t="str">
        <f aca="false">01_Data!A584</f>
        <v>Retail &amp; Consumer</v>
      </c>
      <c r="B584" s="5" t="str">
        <f aca="false">01_Data!C584</f>
        <v>2023-10</v>
      </c>
      <c r="C584" s="5" t="str">
        <f aca="false">01_Data!D584</f>
        <v>FY23</v>
      </c>
      <c r="D584" s="7" t="n">
        <f aca="false">01_Data!E584</f>
        <v>129344</v>
      </c>
      <c r="E584" s="7" t="n">
        <f aca="false">01_Data!F584</f>
        <v>132043</v>
      </c>
      <c r="F584" s="7" t="n">
        <f aca="false">E584-D584</f>
        <v>2699</v>
      </c>
      <c r="G584" s="8" t="n">
        <f aca="false">IFERROR(F584/D584,0)</f>
        <v>0.0208668357248887</v>
      </c>
      <c r="H584" s="7" t="n">
        <f aca="false">01_Data!G584</f>
        <v>74541</v>
      </c>
      <c r="I584" s="7" t="n">
        <f aca="false">01_Data!H584</f>
        <v>73587</v>
      </c>
      <c r="J584" s="7" t="n">
        <f aca="false">H584-I584</f>
        <v>954</v>
      </c>
      <c r="K584" s="8" t="n">
        <f aca="false">IFERROR(J584/H584,0)</f>
        <v>0.0127983257536121</v>
      </c>
      <c r="L584" s="7" t="n">
        <f aca="false">D584-H584</f>
        <v>54803</v>
      </c>
      <c r="M584" s="7" t="n">
        <f aca="false">E584-I584</f>
        <v>58456</v>
      </c>
      <c r="N584" s="7" t="n">
        <f aca="false">IFERROR(L584/D584,0)</f>
        <v>0.423699591786244</v>
      </c>
      <c r="O584" s="7" t="n">
        <f aca="false">IFERROR(M584/E584,0)</f>
        <v>0.442704270578524</v>
      </c>
      <c r="P584" s="7" t="n">
        <f aca="false">01_Data!I584+01_Data!K584+01_Data!M584+01_Data!O584+01_Data!Q584+01_Data!S584+01_Data!U584</f>
        <v>34876</v>
      </c>
      <c r="Q584" s="7" t="n">
        <f aca="false">01_Data!J584+01_Data!L584+01_Data!N584+01_Data!P584+01_Data!R584+01_Data!T584+01_Data!V584</f>
        <v>36664</v>
      </c>
      <c r="R584" s="7" t="n">
        <f aca="false">P584-Q584</f>
        <v>-1788</v>
      </c>
      <c r="S584" s="7" t="n">
        <f aca="false">L584-P584</f>
        <v>19927</v>
      </c>
      <c r="T584" s="7" t="n">
        <f aca="false">M584-Q584</f>
        <v>21792</v>
      </c>
      <c r="U584" s="7" t="n">
        <f aca="false">T584-S584</f>
        <v>1865</v>
      </c>
      <c r="V584" s="8" t="n">
        <f aca="false">IFERROR(U584/S584,0)</f>
        <v>0.0935916093742159</v>
      </c>
      <c r="W584" s="5" t="str">
        <f aca="false">IF(V584&lt;-0.1,"ADVERSE &gt;10%","")</f>
        <v/>
      </c>
    </row>
    <row r="585" customFormat="false" ht="15" hidden="false" customHeight="false" outlineLevel="0" collapsed="false">
      <c r="A585" s="5" t="str">
        <f aca="false">01_Data!A585</f>
        <v>Retail &amp; Consumer</v>
      </c>
      <c r="B585" s="5" t="str">
        <f aca="false">01_Data!C585</f>
        <v>2023-11</v>
      </c>
      <c r="C585" s="5" t="str">
        <f aca="false">01_Data!D585</f>
        <v>FY23</v>
      </c>
      <c r="D585" s="7" t="n">
        <f aca="false">01_Data!E585</f>
        <v>136642</v>
      </c>
      <c r="E585" s="7" t="n">
        <f aca="false">01_Data!F585</f>
        <v>131874</v>
      </c>
      <c r="F585" s="7" t="n">
        <f aca="false">E585-D585</f>
        <v>-4768</v>
      </c>
      <c r="G585" s="8" t="n">
        <f aca="false">IFERROR(F585/D585,0)</f>
        <v>-0.0348941028380732</v>
      </c>
      <c r="H585" s="7" t="n">
        <f aca="false">01_Data!G585</f>
        <v>81253</v>
      </c>
      <c r="I585" s="7" t="n">
        <f aca="false">01_Data!H585</f>
        <v>77966</v>
      </c>
      <c r="J585" s="7" t="n">
        <f aca="false">H585-I585</f>
        <v>3287</v>
      </c>
      <c r="K585" s="8" t="n">
        <f aca="false">IFERROR(J585/H585,0)</f>
        <v>0.0404538909332579</v>
      </c>
      <c r="L585" s="7" t="n">
        <f aca="false">D585-H585</f>
        <v>55389</v>
      </c>
      <c r="M585" s="7" t="n">
        <f aca="false">E585-I585</f>
        <v>53908</v>
      </c>
      <c r="N585" s="7" t="n">
        <f aca="false">IFERROR(L585/D585,0)</f>
        <v>0.405358528124588</v>
      </c>
      <c r="O585" s="7" t="n">
        <f aca="false">IFERROR(M585/E585,0)</f>
        <v>0.408784142438995</v>
      </c>
      <c r="P585" s="7" t="n">
        <f aca="false">01_Data!I585+01_Data!K585+01_Data!M585+01_Data!O585+01_Data!Q585+01_Data!S585+01_Data!U585</f>
        <v>35411</v>
      </c>
      <c r="Q585" s="7" t="n">
        <f aca="false">01_Data!J585+01_Data!L585+01_Data!N585+01_Data!P585+01_Data!R585+01_Data!T585+01_Data!V585</f>
        <v>35857</v>
      </c>
      <c r="R585" s="7" t="n">
        <f aca="false">P585-Q585</f>
        <v>-446</v>
      </c>
      <c r="S585" s="7" t="n">
        <f aca="false">L585-P585</f>
        <v>19978</v>
      </c>
      <c r="T585" s="7" t="n">
        <f aca="false">M585-Q585</f>
        <v>18051</v>
      </c>
      <c r="U585" s="7" t="n">
        <f aca="false">T585-S585</f>
        <v>-1927</v>
      </c>
      <c r="V585" s="8" t="n">
        <f aca="false">IFERROR(U585/S585,0)</f>
        <v>-0.0964561017118831</v>
      </c>
      <c r="W585" s="5" t="str">
        <f aca="false">IF(V585&lt;-0.1,"ADVERSE &gt;10%","")</f>
        <v/>
      </c>
    </row>
    <row r="586" customFormat="false" ht="15" hidden="false" customHeight="false" outlineLevel="0" collapsed="false">
      <c r="A586" s="5" t="str">
        <f aca="false">01_Data!A586</f>
        <v>Retail &amp; Consumer</v>
      </c>
      <c r="B586" s="5" t="str">
        <f aca="false">01_Data!C586</f>
        <v>2023-12</v>
      </c>
      <c r="C586" s="5" t="str">
        <f aca="false">01_Data!D586</f>
        <v>FY23</v>
      </c>
      <c r="D586" s="7" t="n">
        <f aca="false">01_Data!E586</f>
        <v>138068</v>
      </c>
      <c r="E586" s="7" t="n">
        <f aca="false">01_Data!F586</f>
        <v>144599</v>
      </c>
      <c r="F586" s="7" t="n">
        <f aca="false">E586-D586</f>
        <v>6531</v>
      </c>
      <c r="G586" s="8" t="n">
        <f aca="false">IFERROR(F586/D586,0)</f>
        <v>0.0473027783411073</v>
      </c>
      <c r="H586" s="7" t="n">
        <f aca="false">01_Data!G586</f>
        <v>81052</v>
      </c>
      <c r="I586" s="7" t="n">
        <f aca="false">01_Data!H586</f>
        <v>86731</v>
      </c>
      <c r="J586" s="7" t="n">
        <f aca="false">H586-I586</f>
        <v>-5679</v>
      </c>
      <c r="K586" s="8" t="n">
        <f aca="false">IFERROR(J586/H586,0)</f>
        <v>-0.0700661303854316</v>
      </c>
      <c r="L586" s="7" t="n">
        <f aca="false">D586-H586</f>
        <v>57016</v>
      </c>
      <c r="M586" s="7" t="n">
        <f aca="false">E586-I586</f>
        <v>57868</v>
      </c>
      <c r="N586" s="7" t="n">
        <f aca="false">IFERROR(L586/D586,0)</f>
        <v>0.412955934756787</v>
      </c>
      <c r="O586" s="7" t="n">
        <f aca="false">IFERROR(M586/E586,0)</f>
        <v>0.400196405231018</v>
      </c>
      <c r="P586" s="7" t="n">
        <f aca="false">01_Data!I586+01_Data!K586+01_Data!M586+01_Data!O586+01_Data!Q586+01_Data!S586+01_Data!U586</f>
        <v>34687</v>
      </c>
      <c r="Q586" s="7" t="n">
        <f aca="false">01_Data!J586+01_Data!L586+01_Data!N586+01_Data!P586+01_Data!R586+01_Data!T586+01_Data!V586</f>
        <v>35442</v>
      </c>
      <c r="R586" s="7" t="n">
        <f aca="false">P586-Q586</f>
        <v>-755</v>
      </c>
      <c r="S586" s="7" t="n">
        <f aca="false">L586-P586</f>
        <v>22329</v>
      </c>
      <c r="T586" s="7" t="n">
        <f aca="false">M586-Q586</f>
        <v>22426</v>
      </c>
      <c r="U586" s="7" t="n">
        <f aca="false">T586-S586</f>
        <v>97</v>
      </c>
      <c r="V586" s="8" t="n">
        <f aca="false">IFERROR(U586/S586,0)</f>
        <v>0.0043441264723006</v>
      </c>
      <c r="W586" s="5" t="str">
        <f aca="false">IF(V586&lt;-0.1,"ADVERSE &gt;10%","")</f>
        <v/>
      </c>
    </row>
    <row r="587" customFormat="false" ht="15" hidden="false" customHeight="false" outlineLevel="0" collapsed="false">
      <c r="A587" s="5" t="str">
        <f aca="false">01_Data!A587</f>
        <v>Retail &amp; Consumer</v>
      </c>
      <c r="B587" s="5" t="str">
        <f aca="false">01_Data!C587</f>
        <v>2024-01</v>
      </c>
      <c r="C587" s="5" t="str">
        <f aca="false">01_Data!D587</f>
        <v>FY23</v>
      </c>
      <c r="D587" s="7" t="n">
        <f aca="false">01_Data!E587</f>
        <v>133248</v>
      </c>
      <c r="E587" s="7" t="n">
        <f aca="false">01_Data!F587</f>
        <v>131579</v>
      </c>
      <c r="F587" s="7" t="n">
        <f aca="false">E587-D587</f>
        <v>-1669</v>
      </c>
      <c r="G587" s="8" t="n">
        <f aca="false">IFERROR(F587/D587,0)</f>
        <v>-0.0125255163304515</v>
      </c>
      <c r="H587" s="7" t="n">
        <f aca="false">01_Data!G587</f>
        <v>74450</v>
      </c>
      <c r="I587" s="7" t="n">
        <f aca="false">01_Data!H587</f>
        <v>73016</v>
      </c>
      <c r="J587" s="7" t="n">
        <f aca="false">H587-I587</f>
        <v>1434</v>
      </c>
      <c r="K587" s="8" t="n">
        <f aca="false">IFERROR(J587/H587,0)</f>
        <v>0.0192612491605104</v>
      </c>
      <c r="L587" s="7" t="n">
        <f aca="false">D587-H587</f>
        <v>58798</v>
      </c>
      <c r="M587" s="7" t="n">
        <f aca="false">E587-I587</f>
        <v>58563</v>
      </c>
      <c r="N587" s="7" t="n">
        <f aca="false">IFERROR(L587/D587,0)</f>
        <v>0.441267411143132</v>
      </c>
      <c r="O587" s="7" t="n">
        <f aca="false">IFERROR(M587/E587,0)</f>
        <v>0.445078621968551</v>
      </c>
      <c r="P587" s="7" t="n">
        <f aca="false">01_Data!I587+01_Data!K587+01_Data!M587+01_Data!O587+01_Data!Q587+01_Data!S587+01_Data!U587</f>
        <v>35075</v>
      </c>
      <c r="Q587" s="7" t="n">
        <f aca="false">01_Data!J587+01_Data!L587+01_Data!N587+01_Data!P587+01_Data!R587+01_Data!T587+01_Data!V587</f>
        <v>34504</v>
      </c>
      <c r="R587" s="7" t="n">
        <f aca="false">P587-Q587</f>
        <v>571</v>
      </c>
      <c r="S587" s="7" t="n">
        <f aca="false">L587-P587</f>
        <v>23723</v>
      </c>
      <c r="T587" s="7" t="n">
        <f aca="false">M587-Q587</f>
        <v>24059</v>
      </c>
      <c r="U587" s="7" t="n">
        <f aca="false">T587-S587</f>
        <v>336</v>
      </c>
      <c r="V587" s="8" t="n">
        <f aca="false">IFERROR(U587/S587,0)</f>
        <v>0.0141634700501623</v>
      </c>
      <c r="W587" s="5" t="str">
        <f aca="false">IF(V587&lt;-0.1,"ADVERSE &gt;10%","")</f>
        <v/>
      </c>
    </row>
    <row r="588" customFormat="false" ht="15" hidden="false" customHeight="false" outlineLevel="0" collapsed="false">
      <c r="A588" s="5" t="str">
        <f aca="false">01_Data!A588</f>
        <v>Retail &amp; Consumer</v>
      </c>
      <c r="B588" s="5" t="str">
        <f aca="false">01_Data!C588</f>
        <v>2024-02</v>
      </c>
      <c r="C588" s="5" t="str">
        <f aca="false">01_Data!D588</f>
        <v>FY23</v>
      </c>
      <c r="D588" s="7" t="n">
        <f aca="false">01_Data!E588</f>
        <v>123873</v>
      </c>
      <c r="E588" s="7" t="n">
        <f aca="false">01_Data!F588</f>
        <v>131491</v>
      </c>
      <c r="F588" s="7" t="n">
        <f aca="false">E588-D588</f>
        <v>7618</v>
      </c>
      <c r="G588" s="8" t="n">
        <f aca="false">IFERROR(F588/D588,0)</f>
        <v>0.0614984702073898</v>
      </c>
      <c r="H588" s="7" t="n">
        <f aca="false">01_Data!G588</f>
        <v>70586</v>
      </c>
      <c r="I588" s="7" t="n">
        <f aca="false">01_Data!H588</f>
        <v>74885</v>
      </c>
      <c r="J588" s="7" t="n">
        <f aca="false">H588-I588</f>
        <v>-4299</v>
      </c>
      <c r="K588" s="8" t="n">
        <f aca="false">IFERROR(J588/H588,0)</f>
        <v>-0.0609044286402403</v>
      </c>
      <c r="L588" s="7" t="n">
        <f aca="false">D588-H588</f>
        <v>53287</v>
      </c>
      <c r="M588" s="7" t="n">
        <f aca="false">E588-I588</f>
        <v>56606</v>
      </c>
      <c r="N588" s="7" t="n">
        <f aca="false">IFERROR(L588/D588,0)</f>
        <v>0.430174452867049</v>
      </c>
      <c r="O588" s="7" t="n">
        <f aca="false">IFERROR(M588/E588,0)</f>
        <v>0.430493341749625</v>
      </c>
      <c r="P588" s="7" t="n">
        <f aca="false">01_Data!I588+01_Data!K588+01_Data!M588+01_Data!O588+01_Data!Q588+01_Data!S588+01_Data!U588</f>
        <v>32481</v>
      </c>
      <c r="Q588" s="7" t="n">
        <f aca="false">01_Data!J588+01_Data!L588+01_Data!N588+01_Data!P588+01_Data!R588+01_Data!T588+01_Data!V588</f>
        <v>33010</v>
      </c>
      <c r="R588" s="7" t="n">
        <f aca="false">P588-Q588</f>
        <v>-529</v>
      </c>
      <c r="S588" s="7" t="n">
        <f aca="false">L588-P588</f>
        <v>20806</v>
      </c>
      <c r="T588" s="7" t="n">
        <f aca="false">M588-Q588</f>
        <v>23596</v>
      </c>
      <c r="U588" s="7" t="n">
        <f aca="false">T588-S588</f>
        <v>2790</v>
      </c>
      <c r="V588" s="8" t="n">
        <f aca="false">IFERROR(U588/S588,0)</f>
        <v>0.134095933865231</v>
      </c>
      <c r="W588" s="5" t="str">
        <f aca="false">IF(V588&lt;-0.1,"ADVERSE &gt;10%","")</f>
        <v/>
      </c>
    </row>
    <row r="589" customFormat="false" ht="15" hidden="false" customHeight="false" outlineLevel="0" collapsed="false">
      <c r="A589" s="5" t="str">
        <f aca="false">01_Data!A589</f>
        <v>Retail &amp; Consumer</v>
      </c>
      <c r="B589" s="5" t="str">
        <f aca="false">01_Data!C589</f>
        <v>2024-03</v>
      </c>
      <c r="C589" s="5" t="str">
        <f aca="false">01_Data!D589</f>
        <v>FY23</v>
      </c>
      <c r="D589" s="7" t="n">
        <f aca="false">01_Data!E589</f>
        <v>149865</v>
      </c>
      <c r="E589" s="7" t="n">
        <f aca="false">01_Data!F589</f>
        <v>143579</v>
      </c>
      <c r="F589" s="7" t="n">
        <f aca="false">E589-D589</f>
        <v>-6286</v>
      </c>
      <c r="G589" s="8" t="n">
        <f aca="false">IFERROR(F589/D589,0)</f>
        <v>-0.0419444166416441</v>
      </c>
      <c r="H589" s="7" t="n">
        <f aca="false">01_Data!G589</f>
        <v>85331</v>
      </c>
      <c r="I589" s="7" t="n">
        <f aca="false">01_Data!H589</f>
        <v>80675</v>
      </c>
      <c r="J589" s="7" t="n">
        <f aca="false">H589-I589</f>
        <v>4656</v>
      </c>
      <c r="K589" s="8" t="n">
        <f aca="false">IFERROR(J589/H589,0)</f>
        <v>0.0545639919841558</v>
      </c>
      <c r="L589" s="7" t="n">
        <f aca="false">D589-H589</f>
        <v>64534</v>
      </c>
      <c r="M589" s="7" t="n">
        <f aca="false">E589-I589</f>
        <v>62904</v>
      </c>
      <c r="N589" s="7" t="n">
        <f aca="false">IFERROR(L589/D589,0)</f>
        <v>0.430614219464184</v>
      </c>
      <c r="O589" s="7" t="n">
        <f aca="false">IFERROR(M589/E589,0)</f>
        <v>0.438114208902416</v>
      </c>
      <c r="P589" s="7" t="n">
        <f aca="false">01_Data!I589+01_Data!K589+01_Data!M589+01_Data!O589+01_Data!Q589+01_Data!S589+01_Data!U589</f>
        <v>38372</v>
      </c>
      <c r="Q589" s="7" t="n">
        <f aca="false">01_Data!J589+01_Data!L589+01_Data!N589+01_Data!P589+01_Data!R589+01_Data!T589+01_Data!V589</f>
        <v>39114</v>
      </c>
      <c r="R589" s="7" t="n">
        <f aca="false">P589-Q589</f>
        <v>-742</v>
      </c>
      <c r="S589" s="7" t="n">
        <f aca="false">L589-P589</f>
        <v>26162</v>
      </c>
      <c r="T589" s="7" t="n">
        <f aca="false">M589-Q589</f>
        <v>23790</v>
      </c>
      <c r="U589" s="7" t="n">
        <f aca="false">T589-S589</f>
        <v>-2372</v>
      </c>
      <c r="V589" s="8" t="n">
        <f aca="false">IFERROR(U589/S589,0)</f>
        <v>-0.0906658512346151</v>
      </c>
      <c r="W589" s="5" t="str">
        <f aca="false">IF(V589&lt;-0.1,"ADVERSE &gt;10%","")</f>
        <v/>
      </c>
    </row>
    <row r="590" customFormat="false" ht="15" hidden="false" customHeight="false" outlineLevel="0" collapsed="false">
      <c r="A590" s="5" t="str">
        <f aca="false">01_Data!A590</f>
        <v>Retail &amp; Consumer</v>
      </c>
      <c r="B590" s="5" t="str">
        <f aca="false">01_Data!C590</f>
        <v>2024-04</v>
      </c>
      <c r="C590" s="5" t="str">
        <f aca="false">01_Data!D590</f>
        <v>FY24</v>
      </c>
      <c r="D590" s="7" t="n">
        <f aca="false">01_Data!E590</f>
        <v>132614</v>
      </c>
      <c r="E590" s="7" t="n">
        <f aca="false">01_Data!F590</f>
        <v>129652</v>
      </c>
      <c r="F590" s="7" t="n">
        <f aca="false">E590-D590</f>
        <v>-2962</v>
      </c>
      <c r="G590" s="8" t="n">
        <f aca="false">IFERROR(F590/D590,0)</f>
        <v>-0.022335500022622</v>
      </c>
      <c r="H590" s="7" t="n">
        <f aca="false">01_Data!G590</f>
        <v>77619</v>
      </c>
      <c r="I590" s="7" t="n">
        <f aca="false">01_Data!H590</f>
        <v>78444</v>
      </c>
      <c r="J590" s="7" t="n">
        <f aca="false">H590-I590</f>
        <v>-825</v>
      </c>
      <c r="K590" s="8" t="n">
        <f aca="false">IFERROR(J590/H590,0)</f>
        <v>-0.0106288408765895</v>
      </c>
      <c r="L590" s="7" t="n">
        <f aca="false">D590-H590</f>
        <v>54995</v>
      </c>
      <c r="M590" s="7" t="n">
        <f aca="false">E590-I590</f>
        <v>51208</v>
      </c>
      <c r="N590" s="7" t="n">
        <f aca="false">IFERROR(L590/D590,0)</f>
        <v>0.414699805450405</v>
      </c>
      <c r="O590" s="7" t="n">
        <f aca="false">IFERROR(M590/E590,0)</f>
        <v>0.394964983185759</v>
      </c>
      <c r="P590" s="7" t="n">
        <f aca="false">01_Data!I590+01_Data!K590+01_Data!M590+01_Data!O590+01_Data!Q590+01_Data!S590+01_Data!U590</f>
        <v>36617</v>
      </c>
      <c r="Q590" s="7" t="n">
        <f aca="false">01_Data!J590+01_Data!L590+01_Data!N590+01_Data!P590+01_Data!R590+01_Data!T590+01_Data!V590</f>
        <v>36838</v>
      </c>
      <c r="R590" s="7" t="n">
        <f aca="false">P590-Q590</f>
        <v>-221</v>
      </c>
      <c r="S590" s="7" t="n">
        <f aca="false">L590-P590</f>
        <v>18378</v>
      </c>
      <c r="T590" s="7" t="n">
        <f aca="false">M590-Q590</f>
        <v>14370</v>
      </c>
      <c r="U590" s="7" t="n">
        <f aca="false">T590-S590</f>
        <v>-4008</v>
      </c>
      <c r="V590" s="8" t="n">
        <f aca="false">IFERROR(U590/S590,0)</f>
        <v>-0.218086842964414</v>
      </c>
      <c r="W590" s="5" t="str">
        <f aca="false">IF(V590&lt;-0.1,"ADVERSE &gt;10%","")</f>
        <v>ADVERSE &gt;10%</v>
      </c>
    </row>
    <row r="591" customFormat="false" ht="15" hidden="false" customHeight="false" outlineLevel="0" collapsed="false">
      <c r="A591" s="5" t="str">
        <f aca="false">01_Data!A591</f>
        <v>Retail &amp; Consumer</v>
      </c>
      <c r="B591" s="5" t="str">
        <f aca="false">01_Data!C591</f>
        <v>2024-05</v>
      </c>
      <c r="C591" s="5" t="str">
        <f aca="false">01_Data!D591</f>
        <v>FY24</v>
      </c>
      <c r="D591" s="7" t="n">
        <f aca="false">01_Data!E591</f>
        <v>126907</v>
      </c>
      <c r="E591" s="7" t="n">
        <f aca="false">01_Data!F591</f>
        <v>132203</v>
      </c>
      <c r="F591" s="7" t="n">
        <f aca="false">E591-D591</f>
        <v>5296</v>
      </c>
      <c r="G591" s="8" t="n">
        <f aca="false">IFERROR(F591/D591,0)</f>
        <v>0.041731346576627</v>
      </c>
      <c r="H591" s="7" t="n">
        <f aca="false">01_Data!G591</f>
        <v>71862</v>
      </c>
      <c r="I591" s="7" t="n">
        <f aca="false">01_Data!H591</f>
        <v>78641</v>
      </c>
      <c r="J591" s="7" t="n">
        <f aca="false">H591-I591</f>
        <v>-6779</v>
      </c>
      <c r="K591" s="8" t="n">
        <f aca="false">IFERROR(J591/H591,0)</f>
        <v>-0.0943335838134202</v>
      </c>
      <c r="L591" s="7" t="n">
        <f aca="false">D591-H591</f>
        <v>55045</v>
      </c>
      <c r="M591" s="7" t="n">
        <f aca="false">E591-I591</f>
        <v>53562</v>
      </c>
      <c r="N591" s="7" t="n">
        <f aca="false">IFERROR(L591/D591,0)</f>
        <v>0.433742819545021</v>
      </c>
      <c r="O591" s="7" t="n">
        <f aca="false">IFERROR(M591/E591,0)</f>
        <v>0.405149656210525</v>
      </c>
      <c r="P591" s="7" t="n">
        <f aca="false">01_Data!I591+01_Data!K591+01_Data!M591+01_Data!O591+01_Data!Q591+01_Data!S591+01_Data!U591</f>
        <v>31412</v>
      </c>
      <c r="Q591" s="7" t="n">
        <f aca="false">01_Data!J591+01_Data!L591+01_Data!N591+01_Data!P591+01_Data!R591+01_Data!T591+01_Data!V591</f>
        <v>32540</v>
      </c>
      <c r="R591" s="7" t="n">
        <f aca="false">P591-Q591</f>
        <v>-1128</v>
      </c>
      <c r="S591" s="7" t="n">
        <f aca="false">L591-P591</f>
        <v>23633</v>
      </c>
      <c r="T591" s="7" t="n">
        <f aca="false">M591-Q591</f>
        <v>21022</v>
      </c>
      <c r="U591" s="7" t="n">
        <f aca="false">T591-S591</f>
        <v>-2611</v>
      </c>
      <c r="V591" s="8" t="n">
        <f aca="false">IFERROR(U591/S591,0)</f>
        <v>-0.110481106926755</v>
      </c>
      <c r="W591" s="5" t="str">
        <f aca="false">IF(V591&lt;-0.1,"ADVERSE &gt;10%","")</f>
        <v>ADVERSE &gt;10%</v>
      </c>
    </row>
    <row r="592" customFormat="false" ht="15" hidden="false" customHeight="false" outlineLevel="0" collapsed="false">
      <c r="A592" s="5" t="str">
        <f aca="false">01_Data!A592</f>
        <v>Retail &amp; Consumer</v>
      </c>
      <c r="B592" s="5" t="str">
        <f aca="false">01_Data!C592</f>
        <v>2024-06</v>
      </c>
      <c r="C592" s="5" t="str">
        <f aca="false">01_Data!D592</f>
        <v>FY24</v>
      </c>
      <c r="D592" s="7" t="n">
        <f aca="false">01_Data!E592</f>
        <v>132027</v>
      </c>
      <c r="E592" s="7" t="n">
        <f aca="false">01_Data!F592</f>
        <v>134093</v>
      </c>
      <c r="F592" s="7" t="n">
        <f aca="false">E592-D592</f>
        <v>2066</v>
      </c>
      <c r="G592" s="8" t="n">
        <f aca="false">IFERROR(F592/D592,0)</f>
        <v>0.0156483143599415</v>
      </c>
      <c r="H592" s="7" t="n">
        <f aca="false">01_Data!G592</f>
        <v>76445</v>
      </c>
      <c r="I592" s="7" t="n">
        <f aca="false">01_Data!H592</f>
        <v>75909</v>
      </c>
      <c r="J592" s="7" t="n">
        <f aca="false">H592-I592</f>
        <v>536</v>
      </c>
      <c r="K592" s="8" t="n">
        <f aca="false">IFERROR(J592/H592,0)</f>
        <v>0.0070115769507489</v>
      </c>
      <c r="L592" s="7" t="n">
        <f aca="false">D592-H592</f>
        <v>55582</v>
      </c>
      <c r="M592" s="7" t="n">
        <f aca="false">E592-I592</f>
        <v>58184</v>
      </c>
      <c r="N592" s="7" t="n">
        <f aca="false">IFERROR(L592/D592,0)</f>
        <v>0.420989646057246</v>
      </c>
      <c r="O592" s="7" t="n">
        <f aca="false">IFERROR(M592/E592,0)</f>
        <v>0.433907810251094</v>
      </c>
      <c r="P592" s="7" t="n">
        <f aca="false">01_Data!I592+01_Data!K592+01_Data!M592+01_Data!O592+01_Data!Q592+01_Data!S592+01_Data!U592</f>
        <v>36301</v>
      </c>
      <c r="Q592" s="7" t="n">
        <f aca="false">01_Data!J592+01_Data!L592+01_Data!N592+01_Data!P592+01_Data!R592+01_Data!T592+01_Data!V592</f>
        <v>36493</v>
      </c>
      <c r="R592" s="7" t="n">
        <f aca="false">P592-Q592</f>
        <v>-192</v>
      </c>
      <c r="S592" s="7" t="n">
        <f aca="false">L592-P592</f>
        <v>19281</v>
      </c>
      <c r="T592" s="7" t="n">
        <f aca="false">M592-Q592</f>
        <v>21691</v>
      </c>
      <c r="U592" s="7" t="n">
        <f aca="false">T592-S592</f>
        <v>2410</v>
      </c>
      <c r="V592" s="8" t="n">
        <f aca="false">IFERROR(U592/S592,0)</f>
        <v>0.124993516933769</v>
      </c>
      <c r="W592" s="5" t="str">
        <f aca="false">IF(V592&lt;-0.1,"ADVERSE &gt;10%","")</f>
        <v/>
      </c>
    </row>
    <row r="593" customFormat="false" ht="15" hidden="false" customHeight="false" outlineLevel="0" collapsed="false">
      <c r="A593" s="5" t="str">
        <f aca="false">01_Data!A593</f>
        <v>Retail &amp; Consumer</v>
      </c>
      <c r="B593" s="5" t="str">
        <f aca="false">01_Data!C593</f>
        <v>2024-07</v>
      </c>
      <c r="C593" s="5" t="str">
        <f aca="false">01_Data!D593</f>
        <v>FY24</v>
      </c>
      <c r="D593" s="7" t="n">
        <f aca="false">01_Data!E593</f>
        <v>131400</v>
      </c>
      <c r="E593" s="7" t="n">
        <f aca="false">01_Data!F593</f>
        <v>132733</v>
      </c>
      <c r="F593" s="7" t="n">
        <f aca="false">E593-D593</f>
        <v>1333</v>
      </c>
      <c r="G593" s="8" t="n">
        <f aca="false">IFERROR(F593/D593,0)</f>
        <v>0.010144596651446</v>
      </c>
      <c r="H593" s="7" t="n">
        <f aca="false">01_Data!G593</f>
        <v>72141</v>
      </c>
      <c r="I593" s="7" t="n">
        <f aca="false">01_Data!H593</f>
        <v>70664</v>
      </c>
      <c r="J593" s="7" t="n">
        <f aca="false">H593-I593</f>
        <v>1477</v>
      </c>
      <c r="K593" s="8" t="n">
        <f aca="false">IFERROR(J593/H593,0)</f>
        <v>0.0204737943749047</v>
      </c>
      <c r="L593" s="7" t="n">
        <f aca="false">D593-H593</f>
        <v>59259</v>
      </c>
      <c r="M593" s="7" t="n">
        <f aca="false">E593-I593</f>
        <v>62069</v>
      </c>
      <c r="N593" s="7" t="n">
        <f aca="false">IFERROR(L593/D593,0)</f>
        <v>0.450981735159817</v>
      </c>
      <c r="O593" s="7" t="n">
        <f aca="false">IFERROR(M593/E593,0)</f>
        <v>0.467622972433381</v>
      </c>
      <c r="P593" s="7" t="n">
        <f aca="false">01_Data!I593+01_Data!K593+01_Data!M593+01_Data!O593+01_Data!Q593+01_Data!S593+01_Data!U593</f>
        <v>35660</v>
      </c>
      <c r="Q593" s="7" t="n">
        <f aca="false">01_Data!J593+01_Data!L593+01_Data!N593+01_Data!P593+01_Data!R593+01_Data!T593+01_Data!V593</f>
        <v>35873</v>
      </c>
      <c r="R593" s="7" t="n">
        <f aca="false">P593-Q593</f>
        <v>-213</v>
      </c>
      <c r="S593" s="7" t="n">
        <f aca="false">L593-P593</f>
        <v>23599</v>
      </c>
      <c r="T593" s="7" t="n">
        <f aca="false">M593-Q593</f>
        <v>26196</v>
      </c>
      <c r="U593" s="7" t="n">
        <f aca="false">T593-S593</f>
        <v>2597</v>
      </c>
      <c r="V593" s="8" t="n">
        <f aca="false">IFERROR(U593/S593,0)</f>
        <v>0.110047035891351</v>
      </c>
      <c r="W593" s="5" t="str">
        <f aca="false">IF(V593&lt;-0.1,"ADVERSE &gt;10%","")</f>
        <v/>
      </c>
    </row>
    <row r="594" customFormat="false" ht="15" hidden="false" customHeight="false" outlineLevel="0" collapsed="false">
      <c r="A594" s="5" t="str">
        <f aca="false">01_Data!A594</f>
        <v>Retail &amp; Consumer</v>
      </c>
      <c r="B594" s="5" t="str">
        <f aca="false">01_Data!C594</f>
        <v>2024-08</v>
      </c>
      <c r="C594" s="5" t="str">
        <f aca="false">01_Data!D594</f>
        <v>FY24</v>
      </c>
      <c r="D594" s="7" t="n">
        <f aca="false">01_Data!E594</f>
        <v>137917</v>
      </c>
      <c r="E594" s="7" t="n">
        <f aca="false">01_Data!F594</f>
        <v>132805</v>
      </c>
      <c r="F594" s="7" t="n">
        <f aca="false">E594-D594</f>
        <v>-5112</v>
      </c>
      <c r="G594" s="8" t="n">
        <f aca="false">IFERROR(F594/D594,0)</f>
        <v>-0.0370657714422442</v>
      </c>
      <c r="H594" s="7" t="n">
        <f aca="false">01_Data!G594</f>
        <v>81659</v>
      </c>
      <c r="I594" s="7" t="n">
        <f aca="false">01_Data!H594</f>
        <v>79857</v>
      </c>
      <c r="J594" s="7" t="n">
        <f aca="false">H594-I594</f>
        <v>1802</v>
      </c>
      <c r="K594" s="8" t="n">
        <f aca="false">IFERROR(J594/H594,0)</f>
        <v>0.02206737775383</v>
      </c>
      <c r="L594" s="7" t="n">
        <f aca="false">D594-H594</f>
        <v>56258</v>
      </c>
      <c r="M594" s="7" t="n">
        <f aca="false">E594-I594</f>
        <v>52948</v>
      </c>
      <c r="N594" s="7" t="n">
        <f aca="false">IFERROR(L594/D594,0)</f>
        <v>0.407912005046514</v>
      </c>
      <c r="O594" s="7" t="n">
        <f aca="false">IFERROR(M594/E594,0)</f>
        <v>0.398689808365649</v>
      </c>
      <c r="P594" s="7" t="n">
        <f aca="false">01_Data!I594+01_Data!K594+01_Data!M594+01_Data!O594+01_Data!Q594+01_Data!S594+01_Data!U594</f>
        <v>35744</v>
      </c>
      <c r="Q594" s="7" t="n">
        <f aca="false">01_Data!J594+01_Data!L594+01_Data!N594+01_Data!P594+01_Data!R594+01_Data!T594+01_Data!V594</f>
        <v>36172</v>
      </c>
      <c r="R594" s="7" t="n">
        <f aca="false">P594-Q594</f>
        <v>-428</v>
      </c>
      <c r="S594" s="7" t="n">
        <f aca="false">L594-P594</f>
        <v>20514</v>
      </c>
      <c r="T594" s="7" t="n">
        <f aca="false">M594-Q594</f>
        <v>16776</v>
      </c>
      <c r="U594" s="7" t="n">
        <f aca="false">T594-S594</f>
        <v>-3738</v>
      </c>
      <c r="V594" s="8" t="n">
        <f aca="false">IFERROR(U594/S594,0)</f>
        <v>-0.182217022521205</v>
      </c>
      <c r="W594" s="5" t="str">
        <f aca="false">IF(V594&lt;-0.1,"ADVERSE &gt;10%","")</f>
        <v>ADVERSE &gt;10%</v>
      </c>
    </row>
    <row r="595" customFormat="false" ht="15" hidden="false" customHeight="false" outlineLevel="0" collapsed="false">
      <c r="A595" s="5" t="str">
        <f aca="false">01_Data!A595</f>
        <v>Retail &amp; Consumer</v>
      </c>
      <c r="B595" s="5" t="str">
        <f aca="false">01_Data!C595</f>
        <v>2024-09</v>
      </c>
      <c r="C595" s="5" t="str">
        <f aca="false">01_Data!D595</f>
        <v>FY24</v>
      </c>
      <c r="D595" s="7" t="n">
        <f aca="false">01_Data!E595</f>
        <v>145495</v>
      </c>
      <c r="E595" s="7" t="n">
        <f aca="false">01_Data!F595</f>
        <v>148522</v>
      </c>
      <c r="F595" s="7" t="n">
        <f aca="false">E595-D595</f>
        <v>3027</v>
      </c>
      <c r="G595" s="8" t="n">
        <f aca="false">IFERROR(F595/D595,0)</f>
        <v>0.0208048386542493</v>
      </c>
      <c r="H595" s="7" t="n">
        <f aca="false">01_Data!G595</f>
        <v>85306</v>
      </c>
      <c r="I595" s="7" t="n">
        <f aca="false">01_Data!H595</f>
        <v>88508</v>
      </c>
      <c r="J595" s="7" t="n">
        <f aca="false">H595-I595</f>
        <v>-3202</v>
      </c>
      <c r="K595" s="8" t="n">
        <f aca="false">IFERROR(J595/H595,0)</f>
        <v>-0.0375354605772161</v>
      </c>
      <c r="L595" s="7" t="n">
        <f aca="false">D595-H595</f>
        <v>60189</v>
      </c>
      <c r="M595" s="7" t="n">
        <f aca="false">E595-I595</f>
        <v>60014</v>
      </c>
      <c r="N595" s="7" t="n">
        <f aca="false">IFERROR(L595/D595,0)</f>
        <v>0.413684319048765</v>
      </c>
      <c r="O595" s="7" t="n">
        <f aca="false">IFERROR(M595/E595,0)</f>
        <v>0.404074817198799</v>
      </c>
      <c r="P595" s="7" t="n">
        <f aca="false">01_Data!I595+01_Data!K595+01_Data!M595+01_Data!O595+01_Data!Q595+01_Data!S595+01_Data!U595</f>
        <v>38831</v>
      </c>
      <c r="Q595" s="7" t="n">
        <f aca="false">01_Data!J595+01_Data!L595+01_Data!N595+01_Data!P595+01_Data!R595+01_Data!T595+01_Data!V595</f>
        <v>40432</v>
      </c>
      <c r="R595" s="7" t="n">
        <f aca="false">P595-Q595</f>
        <v>-1601</v>
      </c>
      <c r="S595" s="7" t="n">
        <f aca="false">L595-P595</f>
        <v>21358</v>
      </c>
      <c r="T595" s="7" t="n">
        <f aca="false">M595-Q595</f>
        <v>19582</v>
      </c>
      <c r="U595" s="7" t="n">
        <f aca="false">T595-S595</f>
        <v>-1776</v>
      </c>
      <c r="V595" s="8" t="n">
        <f aca="false">IFERROR(U595/S595,0)</f>
        <v>-0.0831538533570559</v>
      </c>
      <c r="W595" s="5" t="str">
        <f aca="false">IF(V595&lt;-0.1,"ADVERSE &gt;10%","")</f>
        <v/>
      </c>
    </row>
    <row r="596" customFormat="false" ht="15" hidden="false" customHeight="false" outlineLevel="0" collapsed="false">
      <c r="A596" s="5" t="str">
        <f aca="false">01_Data!A596</f>
        <v>Retail &amp; Consumer</v>
      </c>
      <c r="B596" s="5" t="str">
        <f aca="false">01_Data!C596</f>
        <v>2024-10</v>
      </c>
      <c r="C596" s="5" t="str">
        <f aca="false">01_Data!D596</f>
        <v>FY24</v>
      </c>
      <c r="D596" s="7" t="n">
        <f aca="false">01_Data!E596</f>
        <v>131520</v>
      </c>
      <c r="E596" s="7" t="n">
        <f aca="false">01_Data!F596</f>
        <v>138989</v>
      </c>
      <c r="F596" s="7" t="n">
        <f aca="false">E596-D596</f>
        <v>7469</v>
      </c>
      <c r="G596" s="8" t="n">
        <f aca="false">IFERROR(F596/D596,0)</f>
        <v>0.0567898418491484</v>
      </c>
      <c r="H596" s="7" t="n">
        <f aca="false">01_Data!G596</f>
        <v>75059</v>
      </c>
      <c r="I596" s="7" t="n">
        <f aca="false">01_Data!H596</f>
        <v>79597</v>
      </c>
      <c r="J596" s="7" t="n">
        <f aca="false">H596-I596</f>
        <v>-4538</v>
      </c>
      <c r="K596" s="8" t="n">
        <f aca="false">IFERROR(J596/H596,0)</f>
        <v>-0.0604591055036704</v>
      </c>
      <c r="L596" s="7" t="n">
        <f aca="false">D596-H596</f>
        <v>56461</v>
      </c>
      <c r="M596" s="7" t="n">
        <f aca="false">E596-I596</f>
        <v>59392</v>
      </c>
      <c r="N596" s="7" t="n">
        <f aca="false">IFERROR(L596/D596,0)</f>
        <v>0.429295924574209</v>
      </c>
      <c r="O596" s="7" t="n">
        <f aca="false">IFERROR(M596/E596,0)</f>
        <v>0.4273143917864</v>
      </c>
      <c r="P596" s="7" t="n">
        <f aca="false">01_Data!I596+01_Data!K596+01_Data!M596+01_Data!O596+01_Data!Q596+01_Data!S596+01_Data!U596</f>
        <v>35948</v>
      </c>
      <c r="Q596" s="7" t="n">
        <f aca="false">01_Data!J596+01_Data!L596+01_Data!N596+01_Data!P596+01_Data!R596+01_Data!T596+01_Data!V596</f>
        <v>36162</v>
      </c>
      <c r="R596" s="7" t="n">
        <f aca="false">P596-Q596</f>
        <v>-214</v>
      </c>
      <c r="S596" s="7" t="n">
        <f aca="false">L596-P596</f>
        <v>20513</v>
      </c>
      <c r="T596" s="7" t="n">
        <f aca="false">M596-Q596</f>
        <v>23230</v>
      </c>
      <c r="U596" s="7" t="n">
        <f aca="false">T596-S596</f>
        <v>2717</v>
      </c>
      <c r="V596" s="8" t="n">
        <f aca="false">IFERROR(U596/S596,0)</f>
        <v>0.132452591039828</v>
      </c>
      <c r="W596" s="5" t="str">
        <f aca="false">IF(V596&lt;-0.1,"ADVERSE &gt;10%","")</f>
        <v/>
      </c>
    </row>
    <row r="597" customFormat="false" ht="15" hidden="false" customHeight="false" outlineLevel="0" collapsed="false">
      <c r="A597" s="5" t="str">
        <f aca="false">01_Data!A597</f>
        <v>Retail &amp; Consumer</v>
      </c>
      <c r="B597" s="5" t="str">
        <f aca="false">01_Data!C597</f>
        <v>2024-11</v>
      </c>
      <c r="C597" s="5" t="str">
        <f aca="false">01_Data!D597</f>
        <v>FY24</v>
      </c>
      <c r="D597" s="7" t="n">
        <f aca="false">01_Data!E597</f>
        <v>148549</v>
      </c>
      <c r="E597" s="7" t="n">
        <f aca="false">01_Data!F597</f>
        <v>142831</v>
      </c>
      <c r="F597" s="7" t="n">
        <f aca="false">E597-D597</f>
        <v>-5718</v>
      </c>
      <c r="G597" s="8" t="n">
        <f aca="false">IFERROR(F597/D597,0)</f>
        <v>-0.0384923493258117</v>
      </c>
      <c r="H597" s="7" t="n">
        <f aca="false">01_Data!G597</f>
        <v>86557</v>
      </c>
      <c r="I597" s="7" t="n">
        <f aca="false">01_Data!H597</f>
        <v>86366</v>
      </c>
      <c r="J597" s="7" t="n">
        <f aca="false">H597-I597</f>
        <v>191</v>
      </c>
      <c r="K597" s="8" t="n">
        <f aca="false">IFERROR(J597/H597,0)</f>
        <v>0.00220663840012939</v>
      </c>
      <c r="L597" s="7" t="n">
        <f aca="false">D597-H597</f>
        <v>61992</v>
      </c>
      <c r="M597" s="7" t="n">
        <f aca="false">E597-I597</f>
        <v>56465</v>
      </c>
      <c r="N597" s="7" t="n">
        <f aca="false">IFERROR(L597/D597,0)</f>
        <v>0.417316844946785</v>
      </c>
      <c r="O597" s="7" t="n">
        <f aca="false">IFERROR(M597/E597,0)</f>
        <v>0.395327344904118</v>
      </c>
      <c r="P597" s="7" t="n">
        <f aca="false">01_Data!I597+01_Data!K597+01_Data!M597+01_Data!O597+01_Data!Q597+01_Data!S597+01_Data!U597</f>
        <v>39978</v>
      </c>
      <c r="Q597" s="7" t="n">
        <f aca="false">01_Data!J597+01_Data!L597+01_Data!N597+01_Data!P597+01_Data!R597+01_Data!T597+01_Data!V597</f>
        <v>40945</v>
      </c>
      <c r="R597" s="7" t="n">
        <f aca="false">P597-Q597</f>
        <v>-967</v>
      </c>
      <c r="S597" s="7" t="n">
        <f aca="false">L597-P597</f>
        <v>22014</v>
      </c>
      <c r="T597" s="7" t="n">
        <f aca="false">M597-Q597</f>
        <v>15520</v>
      </c>
      <c r="U597" s="7" t="n">
        <f aca="false">T597-S597</f>
        <v>-6494</v>
      </c>
      <c r="V597" s="8" t="n">
        <f aca="false">IFERROR(U597/S597,0)</f>
        <v>-0.29499409466703</v>
      </c>
      <c r="W597" s="5" t="str">
        <f aca="false">IF(V597&lt;-0.1,"ADVERSE &gt;10%","")</f>
        <v>ADVERSE &gt;10%</v>
      </c>
    </row>
    <row r="598" customFormat="false" ht="15" hidden="false" customHeight="false" outlineLevel="0" collapsed="false">
      <c r="A598" s="5" t="str">
        <f aca="false">01_Data!A598</f>
        <v>Retail &amp; Consumer</v>
      </c>
      <c r="B598" s="5" t="str">
        <f aca="false">01_Data!C598</f>
        <v>2024-12</v>
      </c>
      <c r="C598" s="5" t="str">
        <f aca="false">01_Data!D598</f>
        <v>FY24</v>
      </c>
      <c r="D598" s="7" t="n">
        <f aca="false">01_Data!E598</f>
        <v>169699</v>
      </c>
      <c r="E598" s="7" t="n">
        <f aca="false">01_Data!F598</f>
        <v>161199</v>
      </c>
      <c r="F598" s="7" t="n">
        <f aca="false">E598-D598</f>
        <v>-8500</v>
      </c>
      <c r="G598" s="8" t="n">
        <f aca="false">IFERROR(F598/D598,0)</f>
        <v>-0.0500886864389301</v>
      </c>
      <c r="H598" s="7" t="n">
        <f aca="false">01_Data!G598</f>
        <v>95532</v>
      </c>
      <c r="I598" s="7" t="n">
        <f aca="false">01_Data!H598</f>
        <v>88965</v>
      </c>
      <c r="J598" s="7" t="n">
        <f aca="false">H598-I598</f>
        <v>6567</v>
      </c>
      <c r="K598" s="8" t="n">
        <f aca="false">IFERROR(J598/H598,0)</f>
        <v>0.0687413641502324</v>
      </c>
      <c r="L598" s="7" t="n">
        <f aca="false">D598-H598</f>
        <v>74167</v>
      </c>
      <c r="M598" s="7" t="n">
        <f aca="false">E598-I598</f>
        <v>72234</v>
      </c>
      <c r="N598" s="7" t="n">
        <f aca="false">IFERROR(L598/D598,0)</f>
        <v>0.437050306719545</v>
      </c>
      <c r="O598" s="7" t="n">
        <f aca="false">IFERROR(M598/E598,0)</f>
        <v>0.448104516777399</v>
      </c>
      <c r="P598" s="7" t="n">
        <f aca="false">01_Data!I598+01_Data!K598+01_Data!M598+01_Data!O598+01_Data!Q598+01_Data!S598+01_Data!U598</f>
        <v>44539</v>
      </c>
      <c r="Q598" s="7" t="n">
        <f aca="false">01_Data!J598+01_Data!L598+01_Data!N598+01_Data!P598+01_Data!R598+01_Data!T598+01_Data!V598</f>
        <v>43475</v>
      </c>
      <c r="R598" s="7" t="n">
        <f aca="false">P598-Q598</f>
        <v>1064</v>
      </c>
      <c r="S598" s="7" t="n">
        <f aca="false">L598-P598</f>
        <v>29628</v>
      </c>
      <c r="T598" s="7" t="n">
        <f aca="false">M598-Q598</f>
        <v>28759</v>
      </c>
      <c r="U598" s="7" t="n">
        <f aca="false">T598-S598</f>
        <v>-869</v>
      </c>
      <c r="V598" s="8" t="n">
        <f aca="false">IFERROR(U598/S598,0)</f>
        <v>-0.0293303631699744</v>
      </c>
      <c r="W598" s="5" t="str">
        <f aca="false">IF(V598&lt;-0.1,"ADVERSE &gt;10%","")</f>
        <v/>
      </c>
    </row>
    <row r="599" customFormat="false" ht="15" hidden="false" customHeight="false" outlineLevel="0" collapsed="false">
      <c r="A599" s="5" t="str">
        <f aca="false">01_Data!A599</f>
        <v>Retail &amp; Consumer</v>
      </c>
      <c r="B599" s="5" t="str">
        <f aca="false">01_Data!C599</f>
        <v>2025-01</v>
      </c>
      <c r="C599" s="5" t="str">
        <f aca="false">01_Data!D599</f>
        <v>FY24</v>
      </c>
      <c r="D599" s="7" t="n">
        <f aca="false">01_Data!E599</f>
        <v>149211</v>
      </c>
      <c r="E599" s="7" t="n">
        <f aca="false">01_Data!F599</f>
        <v>145791</v>
      </c>
      <c r="F599" s="7" t="n">
        <f aca="false">E599-D599</f>
        <v>-3420</v>
      </c>
      <c r="G599" s="8" t="n">
        <f aca="false">IFERROR(F599/D599,0)</f>
        <v>-0.0229205621569455</v>
      </c>
      <c r="H599" s="7" t="n">
        <f aca="false">01_Data!G599</f>
        <v>82839</v>
      </c>
      <c r="I599" s="7" t="n">
        <f aca="false">01_Data!H599</f>
        <v>82583</v>
      </c>
      <c r="J599" s="7" t="n">
        <f aca="false">H599-I599</f>
        <v>256</v>
      </c>
      <c r="K599" s="8" t="n">
        <f aca="false">IFERROR(J599/H599,0)</f>
        <v>0.00309033184852545</v>
      </c>
      <c r="L599" s="7" t="n">
        <f aca="false">D599-H599</f>
        <v>66372</v>
      </c>
      <c r="M599" s="7" t="n">
        <f aca="false">E599-I599</f>
        <v>63208</v>
      </c>
      <c r="N599" s="7" t="n">
        <f aca="false">IFERROR(L599/D599,0)</f>
        <v>0.444819751894968</v>
      </c>
      <c r="O599" s="7" t="n">
        <f aca="false">IFERROR(M599/E599,0)</f>
        <v>0.433552139706841</v>
      </c>
      <c r="P599" s="7" t="n">
        <f aca="false">01_Data!I599+01_Data!K599+01_Data!M599+01_Data!O599+01_Data!Q599+01_Data!S599+01_Data!U599</f>
        <v>43285</v>
      </c>
      <c r="Q599" s="7" t="n">
        <f aca="false">01_Data!J599+01_Data!L599+01_Data!N599+01_Data!P599+01_Data!R599+01_Data!T599+01_Data!V599</f>
        <v>45578</v>
      </c>
      <c r="R599" s="7" t="n">
        <f aca="false">P599-Q599</f>
        <v>-2293</v>
      </c>
      <c r="S599" s="7" t="n">
        <f aca="false">L599-P599</f>
        <v>23087</v>
      </c>
      <c r="T599" s="7" t="n">
        <f aca="false">M599-Q599</f>
        <v>17630</v>
      </c>
      <c r="U599" s="7" t="n">
        <f aca="false">T599-S599</f>
        <v>-5457</v>
      </c>
      <c r="V599" s="8" t="n">
        <f aca="false">IFERROR(U599/S599,0)</f>
        <v>-0.236366786503227</v>
      </c>
      <c r="W599" s="5" t="str">
        <f aca="false">IF(V599&lt;-0.1,"ADVERSE &gt;10%","")</f>
        <v>ADVERSE &gt;10%</v>
      </c>
    </row>
    <row r="600" customFormat="false" ht="15" hidden="false" customHeight="false" outlineLevel="0" collapsed="false">
      <c r="A600" s="5" t="str">
        <f aca="false">01_Data!A600</f>
        <v>Retail &amp; Consumer</v>
      </c>
      <c r="B600" s="5" t="str">
        <f aca="false">01_Data!C600</f>
        <v>2025-02</v>
      </c>
      <c r="C600" s="5" t="str">
        <f aca="false">01_Data!D600</f>
        <v>FY24</v>
      </c>
      <c r="D600" s="7" t="n">
        <f aca="false">01_Data!E600</f>
        <v>149270</v>
      </c>
      <c r="E600" s="7" t="n">
        <f aca="false">01_Data!F600</f>
        <v>145156</v>
      </c>
      <c r="F600" s="7" t="n">
        <f aca="false">E600-D600</f>
        <v>-4114</v>
      </c>
      <c r="G600" s="8" t="n">
        <f aca="false">IFERROR(F600/D600,0)</f>
        <v>-0.0275607958732498</v>
      </c>
      <c r="H600" s="7" t="n">
        <f aca="false">01_Data!G600</f>
        <v>88406</v>
      </c>
      <c r="I600" s="7" t="n">
        <f aca="false">01_Data!H600</f>
        <v>84022</v>
      </c>
      <c r="J600" s="7" t="n">
        <f aca="false">H600-I600</f>
        <v>4384</v>
      </c>
      <c r="K600" s="8" t="n">
        <f aca="false">IFERROR(J600/H600,0)</f>
        <v>0.0495893943849965</v>
      </c>
      <c r="L600" s="7" t="n">
        <f aca="false">D600-H600</f>
        <v>60864</v>
      </c>
      <c r="M600" s="7" t="n">
        <f aca="false">E600-I600</f>
        <v>61134</v>
      </c>
      <c r="N600" s="7" t="n">
        <f aca="false">IFERROR(L600/D600,0)</f>
        <v>0.407744355865211</v>
      </c>
      <c r="O600" s="7" t="n">
        <f aca="false">IFERROR(M600/E600,0)</f>
        <v>0.421160682300422</v>
      </c>
      <c r="P600" s="7" t="n">
        <f aca="false">01_Data!I600+01_Data!K600+01_Data!M600+01_Data!O600+01_Data!Q600+01_Data!S600+01_Data!U600</f>
        <v>37832</v>
      </c>
      <c r="Q600" s="7" t="n">
        <f aca="false">01_Data!J600+01_Data!L600+01_Data!N600+01_Data!P600+01_Data!R600+01_Data!T600+01_Data!V600</f>
        <v>39796</v>
      </c>
      <c r="R600" s="7" t="n">
        <f aca="false">P600-Q600</f>
        <v>-1964</v>
      </c>
      <c r="S600" s="7" t="n">
        <f aca="false">L600-P600</f>
        <v>23032</v>
      </c>
      <c r="T600" s="7" t="n">
        <f aca="false">M600-Q600</f>
        <v>21338</v>
      </c>
      <c r="U600" s="7" t="n">
        <f aca="false">T600-S600</f>
        <v>-1694</v>
      </c>
      <c r="V600" s="8" t="n">
        <f aca="false">IFERROR(U600/S600,0)</f>
        <v>-0.0735498436957277</v>
      </c>
      <c r="W600" s="5" t="str">
        <f aca="false">IF(V600&lt;-0.1,"ADVERSE &gt;10%","")</f>
        <v/>
      </c>
    </row>
    <row r="601" customFormat="false" ht="15" hidden="false" customHeight="false" outlineLevel="0" collapsed="false">
      <c r="A601" s="5" t="str">
        <f aca="false">01_Data!A601</f>
        <v>Retail &amp; Consumer</v>
      </c>
      <c r="B601" s="5" t="str">
        <f aca="false">01_Data!C601</f>
        <v>2025-03</v>
      </c>
      <c r="C601" s="5" t="str">
        <f aca="false">01_Data!D601</f>
        <v>FY24</v>
      </c>
      <c r="D601" s="7" t="n">
        <f aca="false">01_Data!E601</f>
        <v>169856</v>
      </c>
      <c r="E601" s="7" t="n">
        <f aca="false">01_Data!F601</f>
        <v>161970</v>
      </c>
      <c r="F601" s="7" t="n">
        <f aca="false">E601-D601</f>
        <v>-7886</v>
      </c>
      <c r="G601" s="8" t="n">
        <f aca="false">IFERROR(F601/D601,0)</f>
        <v>-0.046427562170309</v>
      </c>
      <c r="H601" s="7" t="n">
        <f aca="false">01_Data!G601</f>
        <v>97703</v>
      </c>
      <c r="I601" s="7" t="n">
        <f aca="false">01_Data!H601</f>
        <v>97575</v>
      </c>
      <c r="J601" s="7" t="n">
        <f aca="false">H601-I601</f>
        <v>128</v>
      </c>
      <c r="K601" s="8" t="n">
        <f aca="false">IFERROR(J601/H601,0)</f>
        <v>0.00131009283235929</v>
      </c>
      <c r="L601" s="7" t="n">
        <f aca="false">D601-H601</f>
        <v>72153</v>
      </c>
      <c r="M601" s="7" t="n">
        <f aca="false">E601-I601</f>
        <v>64395</v>
      </c>
      <c r="N601" s="7" t="n">
        <f aca="false">IFERROR(L601/D601,0)</f>
        <v>0.424789233232856</v>
      </c>
      <c r="O601" s="7" t="n">
        <f aca="false">IFERROR(M601/E601,0)</f>
        <v>0.397573624745323</v>
      </c>
      <c r="P601" s="7" t="n">
        <f aca="false">01_Data!I601+01_Data!K601+01_Data!M601+01_Data!O601+01_Data!Q601+01_Data!S601+01_Data!U601</f>
        <v>45684</v>
      </c>
      <c r="Q601" s="7" t="n">
        <f aca="false">01_Data!J601+01_Data!L601+01_Data!N601+01_Data!P601+01_Data!R601+01_Data!T601+01_Data!V601</f>
        <v>47581</v>
      </c>
      <c r="R601" s="7" t="n">
        <f aca="false">P601-Q601</f>
        <v>-1897</v>
      </c>
      <c r="S601" s="7" t="n">
        <f aca="false">L601-P601</f>
        <v>26469</v>
      </c>
      <c r="T601" s="7" t="n">
        <f aca="false">M601-Q601</f>
        <v>16814</v>
      </c>
      <c r="U601" s="7" t="n">
        <f aca="false">T601-S601</f>
        <v>-9655</v>
      </c>
      <c r="V601" s="8" t="n">
        <f aca="false">IFERROR(U601/S601,0)</f>
        <v>-0.36476633042427</v>
      </c>
      <c r="W601" s="5" t="str">
        <f aca="false">IF(V601&lt;-0.1,"ADVERSE &gt;10%","")</f>
        <v>ADVERSE &gt;10%</v>
      </c>
    </row>
    <row r="602" customFormat="false" ht="15" hidden="false" customHeight="false" outlineLevel="0" collapsed="false">
      <c r="A602" s="5" t="str">
        <f aca="false">01_Data!A602</f>
        <v>Retail &amp; Consumer</v>
      </c>
      <c r="B602" s="5" t="str">
        <f aca="false">01_Data!C602</f>
        <v>2025-04</v>
      </c>
      <c r="C602" s="5" t="str">
        <f aca="false">01_Data!D602</f>
        <v>FY25</v>
      </c>
      <c r="D602" s="7" t="n">
        <f aca="false">01_Data!E602</f>
        <v>151621</v>
      </c>
      <c r="E602" s="7" t="n">
        <f aca="false">01_Data!F602</f>
        <v>147259</v>
      </c>
      <c r="F602" s="7" t="n">
        <f aca="false">E602-D602</f>
        <v>-4362</v>
      </c>
      <c r="G602" s="8" t="n">
        <f aca="false">IFERROR(F602/D602,0)</f>
        <v>-0.0287691019054089</v>
      </c>
      <c r="H602" s="7" t="n">
        <f aca="false">01_Data!G602</f>
        <v>89498</v>
      </c>
      <c r="I602" s="7" t="n">
        <f aca="false">01_Data!H602</f>
        <v>84001</v>
      </c>
      <c r="J602" s="7" t="n">
        <f aca="false">H602-I602</f>
        <v>5497</v>
      </c>
      <c r="K602" s="8" t="n">
        <f aca="false">IFERROR(J602/H602,0)</f>
        <v>0.061420366935574</v>
      </c>
      <c r="L602" s="7" t="n">
        <f aca="false">D602-H602</f>
        <v>62123</v>
      </c>
      <c r="M602" s="7" t="n">
        <f aca="false">E602-I602</f>
        <v>63258</v>
      </c>
      <c r="N602" s="7" t="n">
        <f aca="false">IFERROR(L602/D602,0)</f>
        <v>0.409725565719788</v>
      </c>
      <c r="O602" s="7" t="n">
        <f aca="false">IFERROR(M602/E602,0)</f>
        <v>0.429569669765515</v>
      </c>
      <c r="P602" s="7" t="n">
        <f aca="false">01_Data!I602+01_Data!K602+01_Data!M602+01_Data!O602+01_Data!Q602+01_Data!S602+01_Data!U602</f>
        <v>39169</v>
      </c>
      <c r="Q602" s="7" t="n">
        <f aca="false">01_Data!J602+01_Data!L602+01_Data!N602+01_Data!P602+01_Data!R602+01_Data!T602+01_Data!V602</f>
        <v>39682</v>
      </c>
      <c r="R602" s="7" t="n">
        <f aca="false">P602-Q602</f>
        <v>-513</v>
      </c>
      <c r="S602" s="7" t="n">
        <f aca="false">L602-P602</f>
        <v>22954</v>
      </c>
      <c r="T602" s="7" t="n">
        <f aca="false">M602-Q602</f>
        <v>23576</v>
      </c>
      <c r="U602" s="7" t="n">
        <f aca="false">T602-S602</f>
        <v>622</v>
      </c>
      <c r="V602" s="8" t="n">
        <f aca="false">IFERROR(U602/S602,0)</f>
        <v>0.0270976736080857</v>
      </c>
      <c r="W602" s="5" t="str">
        <f aca="false">IF(V602&lt;-0.1,"ADVERSE &gt;10%","")</f>
        <v/>
      </c>
    </row>
    <row r="603" customFormat="false" ht="15" hidden="false" customHeight="false" outlineLevel="0" collapsed="false">
      <c r="A603" s="5" t="str">
        <f aca="false">01_Data!A603</f>
        <v>Retail &amp; Consumer</v>
      </c>
      <c r="B603" s="5" t="str">
        <f aca="false">01_Data!C603</f>
        <v>2025-05</v>
      </c>
      <c r="C603" s="5" t="str">
        <f aca="false">01_Data!D603</f>
        <v>FY25</v>
      </c>
      <c r="D603" s="7" t="n">
        <f aca="false">01_Data!E603</f>
        <v>145299</v>
      </c>
      <c r="E603" s="7" t="n">
        <f aca="false">01_Data!F603</f>
        <v>150397</v>
      </c>
      <c r="F603" s="7" t="n">
        <f aca="false">E603-D603</f>
        <v>5098</v>
      </c>
      <c r="G603" s="8" t="n">
        <f aca="false">IFERROR(F603/D603,0)</f>
        <v>0.035086270380388</v>
      </c>
      <c r="H603" s="7" t="n">
        <f aca="false">01_Data!G603</f>
        <v>81727</v>
      </c>
      <c r="I603" s="7" t="n">
        <f aca="false">01_Data!H603</f>
        <v>82197</v>
      </c>
      <c r="J603" s="7" t="n">
        <f aca="false">H603-I603</f>
        <v>-470</v>
      </c>
      <c r="K603" s="8" t="n">
        <f aca="false">IFERROR(J603/H603,0)</f>
        <v>-0.00575085345112386</v>
      </c>
      <c r="L603" s="7" t="n">
        <f aca="false">D603-H603</f>
        <v>63572</v>
      </c>
      <c r="M603" s="7" t="n">
        <f aca="false">E603-I603</f>
        <v>68200</v>
      </c>
      <c r="N603" s="7" t="n">
        <f aca="false">IFERROR(L603/D603,0)</f>
        <v>0.437525378701849</v>
      </c>
      <c r="O603" s="7" t="n">
        <f aca="false">IFERROR(M603/E603,0)</f>
        <v>0.453466492017793</v>
      </c>
      <c r="P603" s="7" t="n">
        <f aca="false">01_Data!I603+01_Data!K603+01_Data!M603+01_Data!O603+01_Data!Q603+01_Data!S603+01_Data!U603</f>
        <v>40220</v>
      </c>
      <c r="Q603" s="7" t="n">
        <f aca="false">01_Data!J603+01_Data!L603+01_Data!N603+01_Data!P603+01_Data!R603+01_Data!T603+01_Data!V603</f>
        <v>39793</v>
      </c>
      <c r="R603" s="7" t="n">
        <f aca="false">P603-Q603</f>
        <v>427</v>
      </c>
      <c r="S603" s="7" t="n">
        <f aca="false">L603-P603</f>
        <v>23352</v>
      </c>
      <c r="T603" s="7" t="n">
        <f aca="false">M603-Q603</f>
        <v>28407</v>
      </c>
      <c r="U603" s="7" t="n">
        <f aca="false">T603-S603</f>
        <v>5055</v>
      </c>
      <c r="V603" s="8" t="n">
        <f aca="false">IFERROR(U603/S603,0)</f>
        <v>0.216469681397739</v>
      </c>
      <c r="W603" s="5" t="str">
        <f aca="false">IF(V603&lt;-0.1,"ADVERSE &gt;10%","")</f>
        <v/>
      </c>
    </row>
    <row r="604" customFormat="false" ht="15" hidden="false" customHeight="false" outlineLevel="0" collapsed="false">
      <c r="A604" s="5" t="str">
        <f aca="false">01_Data!A604</f>
        <v>Retail &amp; Consumer</v>
      </c>
      <c r="B604" s="5" t="str">
        <f aca="false">01_Data!C604</f>
        <v>2025-06</v>
      </c>
      <c r="C604" s="5" t="str">
        <f aca="false">01_Data!D604</f>
        <v>FY25</v>
      </c>
      <c r="D604" s="7" t="n">
        <f aca="false">01_Data!E604</f>
        <v>156857</v>
      </c>
      <c r="E604" s="7" t="n">
        <f aca="false">01_Data!F604</f>
        <v>149955</v>
      </c>
      <c r="F604" s="7" t="n">
        <f aca="false">E604-D604</f>
        <v>-6902</v>
      </c>
      <c r="G604" s="8" t="n">
        <f aca="false">IFERROR(F604/D604,0)</f>
        <v>-0.0440018615681799</v>
      </c>
      <c r="H604" s="7" t="n">
        <f aca="false">01_Data!G604</f>
        <v>86370</v>
      </c>
      <c r="I604" s="7" t="n">
        <f aca="false">01_Data!H604</f>
        <v>81781</v>
      </c>
      <c r="J604" s="7" t="n">
        <f aca="false">H604-I604</f>
        <v>4589</v>
      </c>
      <c r="K604" s="8" t="n">
        <f aca="false">IFERROR(J604/H604,0)</f>
        <v>0.0531318744934584</v>
      </c>
      <c r="L604" s="7" t="n">
        <f aca="false">D604-H604</f>
        <v>70487</v>
      </c>
      <c r="M604" s="7" t="n">
        <f aca="false">E604-I604</f>
        <v>68174</v>
      </c>
      <c r="N604" s="7" t="n">
        <f aca="false">IFERROR(L604/D604,0)</f>
        <v>0.449371083215923</v>
      </c>
      <c r="O604" s="7" t="n">
        <f aca="false">IFERROR(M604/E604,0)</f>
        <v>0.454629722250008</v>
      </c>
      <c r="P604" s="7" t="n">
        <f aca="false">01_Data!I604+01_Data!K604+01_Data!M604+01_Data!O604+01_Data!Q604+01_Data!S604+01_Data!U604</f>
        <v>43333</v>
      </c>
      <c r="Q604" s="7" t="n">
        <f aca="false">01_Data!J604+01_Data!L604+01_Data!N604+01_Data!P604+01_Data!R604+01_Data!T604+01_Data!V604</f>
        <v>43577</v>
      </c>
      <c r="R604" s="7" t="n">
        <f aca="false">P604-Q604</f>
        <v>-244</v>
      </c>
      <c r="S604" s="7" t="n">
        <f aca="false">L604-P604</f>
        <v>27154</v>
      </c>
      <c r="T604" s="7" t="n">
        <f aca="false">M604-Q604</f>
        <v>24597</v>
      </c>
      <c r="U604" s="7" t="n">
        <f aca="false">T604-S604</f>
        <v>-2557</v>
      </c>
      <c r="V604" s="8" t="n">
        <f aca="false">IFERROR(U604/S604,0)</f>
        <v>-0.0941666052883553</v>
      </c>
      <c r="W604" s="5" t="str">
        <f aca="false">IF(V604&lt;-0.1,"ADVERSE &gt;10%","")</f>
        <v/>
      </c>
    </row>
    <row r="605" customFormat="false" ht="15" hidden="false" customHeight="false" outlineLevel="0" collapsed="false">
      <c r="A605" s="5" t="str">
        <f aca="false">01_Data!A605</f>
        <v>Retail &amp; Consumer</v>
      </c>
      <c r="B605" s="5" t="str">
        <f aca="false">01_Data!C605</f>
        <v>2025-07</v>
      </c>
      <c r="C605" s="5" t="str">
        <f aca="false">01_Data!D605</f>
        <v>FY25</v>
      </c>
      <c r="D605" s="7" t="n">
        <f aca="false">01_Data!E605</f>
        <v>149822</v>
      </c>
      <c r="E605" s="7" t="n">
        <f aca="false">01_Data!F605</f>
        <v>152626</v>
      </c>
      <c r="F605" s="7" t="n">
        <f aca="false">E605-D605</f>
        <v>2804</v>
      </c>
      <c r="G605" s="8" t="n">
        <f aca="false">IFERROR(F605/D605,0)</f>
        <v>0.0187155424436999</v>
      </c>
      <c r="H605" s="7" t="n">
        <f aca="false">01_Data!G605</f>
        <v>88193</v>
      </c>
      <c r="I605" s="7" t="n">
        <f aca="false">01_Data!H605</f>
        <v>92868</v>
      </c>
      <c r="J605" s="7" t="n">
        <f aca="false">H605-I605</f>
        <v>-4675</v>
      </c>
      <c r="K605" s="8" t="n">
        <f aca="false">IFERROR(J605/H605,0)</f>
        <v>-0.0530087421904233</v>
      </c>
      <c r="L605" s="7" t="n">
        <f aca="false">D605-H605</f>
        <v>61629</v>
      </c>
      <c r="M605" s="7" t="n">
        <f aca="false">E605-I605</f>
        <v>59758</v>
      </c>
      <c r="N605" s="7" t="n">
        <f aca="false">IFERROR(L605/D605,0)</f>
        <v>0.411348133117967</v>
      </c>
      <c r="O605" s="7" t="n">
        <f aca="false">IFERROR(M605/E605,0)</f>
        <v>0.391532242212991</v>
      </c>
      <c r="P605" s="7" t="n">
        <f aca="false">01_Data!I605+01_Data!K605+01_Data!M605+01_Data!O605+01_Data!Q605+01_Data!S605+01_Data!U605</f>
        <v>38561</v>
      </c>
      <c r="Q605" s="7" t="n">
        <f aca="false">01_Data!J605+01_Data!L605+01_Data!N605+01_Data!P605+01_Data!R605+01_Data!T605+01_Data!V605</f>
        <v>39571</v>
      </c>
      <c r="R605" s="7" t="n">
        <f aca="false">P605-Q605</f>
        <v>-1010</v>
      </c>
      <c r="S605" s="7" t="n">
        <f aca="false">L605-P605</f>
        <v>23068</v>
      </c>
      <c r="T605" s="7" t="n">
        <f aca="false">M605-Q605</f>
        <v>20187</v>
      </c>
      <c r="U605" s="7" t="n">
        <f aca="false">T605-S605</f>
        <v>-2881</v>
      </c>
      <c r="V605" s="8" t="n">
        <f aca="false">IFERROR(U605/S605,0)</f>
        <v>-0.124891624761574</v>
      </c>
      <c r="W605" s="5" t="str">
        <f aca="false">IF(V605&lt;-0.1,"ADVERSE &gt;10%","")</f>
        <v>ADVERSE &gt;10%</v>
      </c>
    </row>
    <row r="606" customFormat="false" ht="15" hidden="false" customHeight="false" outlineLevel="0" collapsed="false">
      <c r="A606" s="5" t="str">
        <f aca="false">01_Data!A606</f>
        <v>Retail &amp; Consumer</v>
      </c>
      <c r="B606" s="5" t="str">
        <f aca="false">01_Data!C606</f>
        <v>2025-08</v>
      </c>
      <c r="C606" s="5" t="str">
        <f aca="false">01_Data!D606</f>
        <v>FY25</v>
      </c>
      <c r="D606" s="7" t="n">
        <f aca="false">01_Data!E606</f>
        <v>152265</v>
      </c>
      <c r="E606" s="7" t="n">
        <f aca="false">01_Data!F606</f>
        <v>154635</v>
      </c>
      <c r="F606" s="7" t="n">
        <f aca="false">E606-D606</f>
        <v>2370</v>
      </c>
      <c r="G606" s="8" t="n">
        <f aca="false">IFERROR(F606/D606,0)</f>
        <v>0.0155649689685745</v>
      </c>
      <c r="H606" s="7" t="n">
        <f aca="false">01_Data!G606</f>
        <v>85676</v>
      </c>
      <c r="I606" s="7" t="n">
        <f aca="false">01_Data!H606</f>
        <v>88466</v>
      </c>
      <c r="J606" s="7" t="n">
        <f aca="false">H606-I606</f>
        <v>-2790</v>
      </c>
      <c r="K606" s="8" t="n">
        <f aca="false">IFERROR(J606/H606,0)</f>
        <v>-0.0325645454969887</v>
      </c>
      <c r="L606" s="7" t="n">
        <f aca="false">D606-H606</f>
        <v>66589</v>
      </c>
      <c r="M606" s="7" t="n">
        <f aca="false">E606-I606</f>
        <v>66169</v>
      </c>
      <c r="N606" s="7" t="n">
        <f aca="false">IFERROR(L606/D606,0)</f>
        <v>0.437323088037303</v>
      </c>
      <c r="O606" s="7" t="n">
        <f aca="false">IFERROR(M606/E606,0)</f>
        <v>0.427904420086009</v>
      </c>
      <c r="P606" s="7" t="n">
        <f aca="false">01_Data!I606+01_Data!K606+01_Data!M606+01_Data!O606+01_Data!Q606+01_Data!S606+01_Data!U606</f>
        <v>36903</v>
      </c>
      <c r="Q606" s="7" t="n">
        <f aca="false">01_Data!J606+01_Data!L606+01_Data!N606+01_Data!P606+01_Data!R606+01_Data!T606+01_Data!V606</f>
        <v>38625</v>
      </c>
      <c r="R606" s="7" t="n">
        <f aca="false">P606-Q606</f>
        <v>-1722</v>
      </c>
      <c r="S606" s="7" t="n">
        <f aca="false">L606-P606</f>
        <v>29686</v>
      </c>
      <c r="T606" s="7" t="n">
        <f aca="false">M606-Q606</f>
        <v>27544</v>
      </c>
      <c r="U606" s="7" t="n">
        <f aca="false">T606-S606</f>
        <v>-2142</v>
      </c>
      <c r="V606" s="8" t="n">
        <f aca="false">IFERROR(U606/S606,0)</f>
        <v>-0.0721552246850367</v>
      </c>
      <c r="W606" s="5" t="str">
        <f aca="false">IF(V606&lt;-0.1,"ADVERSE &gt;10%","")</f>
        <v/>
      </c>
    </row>
    <row r="607" customFormat="false" ht="15" hidden="false" customHeight="false" outlineLevel="0" collapsed="false">
      <c r="A607" s="5" t="str">
        <f aca="false">01_Data!A607</f>
        <v>Retail &amp; Consumer</v>
      </c>
      <c r="B607" s="5" t="str">
        <f aca="false">01_Data!C607</f>
        <v>2025-09</v>
      </c>
      <c r="C607" s="5" t="str">
        <f aca="false">01_Data!D607</f>
        <v>FY25</v>
      </c>
      <c r="D607" s="7" t="n">
        <f aca="false">01_Data!E607</f>
        <v>172325</v>
      </c>
      <c r="E607" s="7" t="n">
        <f aca="false">01_Data!F607</f>
        <v>173230</v>
      </c>
      <c r="F607" s="7" t="n">
        <f aca="false">E607-D607</f>
        <v>905</v>
      </c>
      <c r="G607" s="8" t="n">
        <f aca="false">IFERROR(F607/D607,0)</f>
        <v>0.00525170462788336</v>
      </c>
      <c r="H607" s="7" t="n">
        <f aca="false">01_Data!G607</f>
        <v>99011</v>
      </c>
      <c r="I607" s="7" t="n">
        <f aca="false">01_Data!H607</f>
        <v>99834</v>
      </c>
      <c r="J607" s="7" t="n">
        <f aca="false">H607-I607</f>
        <v>-823</v>
      </c>
      <c r="K607" s="8" t="n">
        <f aca="false">IFERROR(J607/H607,0)</f>
        <v>-0.00831220773449415</v>
      </c>
      <c r="L607" s="7" t="n">
        <f aca="false">D607-H607</f>
        <v>73314</v>
      </c>
      <c r="M607" s="7" t="n">
        <f aca="false">E607-I607</f>
        <v>73396</v>
      </c>
      <c r="N607" s="7" t="n">
        <f aca="false">IFERROR(L607/D607,0)</f>
        <v>0.425440301755404</v>
      </c>
      <c r="O607" s="7" t="n">
        <f aca="false">IFERROR(M607/E607,0)</f>
        <v>0.423691046585464</v>
      </c>
      <c r="P607" s="7" t="n">
        <f aca="false">01_Data!I607+01_Data!K607+01_Data!M607+01_Data!O607+01_Data!Q607+01_Data!S607+01_Data!U607</f>
        <v>45109</v>
      </c>
      <c r="Q607" s="7" t="n">
        <f aca="false">01_Data!J607+01_Data!L607+01_Data!N607+01_Data!P607+01_Data!R607+01_Data!T607+01_Data!V607</f>
        <v>47522</v>
      </c>
      <c r="R607" s="7" t="n">
        <f aca="false">P607-Q607</f>
        <v>-2413</v>
      </c>
      <c r="S607" s="7" t="n">
        <f aca="false">L607-P607</f>
        <v>28205</v>
      </c>
      <c r="T607" s="7" t="n">
        <f aca="false">M607-Q607</f>
        <v>25874</v>
      </c>
      <c r="U607" s="7" t="n">
        <f aca="false">T607-S607</f>
        <v>-2331</v>
      </c>
      <c r="V607" s="8" t="n">
        <f aca="false">IFERROR(U607/S607,0)</f>
        <v>-0.0826449211132778</v>
      </c>
      <c r="W607" s="5" t="str">
        <f aca="false">IF(V607&lt;-0.1,"ADVERSE &gt;10%","")</f>
        <v/>
      </c>
    </row>
    <row r="608" customFormat="false" ht="15" hidden="false" customHeight="false" outlineLevel="0" collapsed="false">
      <c r="A608" s="5" t="str">
        <f aca="false">01_Data!A608</f>
        <v>Retail &amp; Consumer</v>
      </c>
      <c r="B608" s="5" t="str">
        <f aca="false">01_Data!C608</f>
        <v>2025-10</v>
      </c>
      <c r="C608" s="5" t="str">
        <f aca="false">01_Data!D608</f>
        <v>FY25</v>
      </c>
      <c r="D608" s="7" t="n">
        <f aca="false">01_Data!E608</f>
        <v>160546</v>
      </c>
      <c r="E608" s="7" t="n">
        <f aca="false">01_Data!F608</f>
        <v>162481</v>
      </c>
      <c r="F608" s="7" t="n">
        <f aca="false">E608-D608</f>
        <v>1935</v>
      </c>
      <c r="G608" s="8" t="n">
        <f aca="false">IFERROR(F608/D608,0)</f>
        <v>0.0120526204327732</v>
      </c>
      <c r="H608" s="7" t="n">
        <f aca="false">01_Data!G608</f>
        <v>86970</v>
      </c>
      <c r="I608" s="7" t="n">
        <f aca="false">01_Data!H608</f>
        <v>88930</v>
      </c>
      <c r="J608" s="7" t="n">
        <f aca="false">H608-I608</f>
        <v>-1960</v>
      </c>
      <c r="K608" s="8" t="n">
        <f aca="false">IFERROR(J608/H608,0)</f>
        <v>-0.0225365068414396</v>
      </c>
      <c r="L608" s="7" t="n">
        <f aca="false">D608-H608</f>
        <v>73576</v>
      </c>
      <c r="M608" s="7" t="n">
        <f aca="false">E608-I608</f>
        <v>73551</v>
      </c>
      <c r="N608" s="7" t="n">
        <f aca="false">IFERROR(L608/D608,0)</f>
        <v>0.458286098688226</v>
      </c>
      <c r="O608" s="7" t="n">
        <f aca="false">IFERROR(M608/E608,0)</f>
        <v>0.452674466553012</v>
      </c>
      <c r="P608" s="7" t="n">
        <f aca="false">01_Data!I608+01_Data!K608+01_Data!M608+01_Data!O608+01_Data!Q608+01_Data!S608+01_Data!U608</f>
        <v>46750</v>
      </c>
      <c r="Q608" s="7" t="n">
        <f aca="false">01_Data!J608+01_Data!L608+01_Data!N608+01_Data!P608+01_Data!R608+01_Data!T608+01_Data!V608</f>
        <v>49663</v>
      </c>
      <c r="R608" s="7" t="n">
        <f aca="false">P608-Q608</f>
        <v>-2913</v>
      </c>
      <c r="S608" s="7" t="n">
        <f aca="false">L608-P608</f>
        <v>26826</v>
      </c>
      <c r="T608" s="7" t="n">
        <f aca="false">M608-Q608</f>
        <v>23888</v>
      </c>
      <c r="U608" s="7" t="n">
        <f aca="false">T608-S608</f>
        <v>-2938</v>
      </c>
      <c r="V608" s="8" t="n">
        <f aca="false">IFERROR(U608/S608,0)</f>
        <v>-0.109520614329382</v>
      </c>
      <c r="W608" s="5" t="str">
        <f aca="false">IF(V608&lt;-0.1,"ADVERSE &gt;10%","")</f>
        <v>ADVERSE &gt;10%</v>
      </c>
    </row>
    <row r="609" customFormat="false" ht="15" hidden="false" customHeight="false" outlineLevel="0" collapsed="false">
      <c r="A609" s="5" t="str">
        <f aca="false">01_Data!A609</f>
        <v>Retail &amp; Consumer</v>
      </c>
      <c r="B609" s="5" t="str">
        <f aca="false">01_Data!C609</f>
        <v>2025-11</v>
      </c>
      <c r="C609" s="5" t="str">
        <f aca="false">01_Data!D609</f>
        <v>FY25</v>
      </c>
      <c r="D609" s="7" t="n">
        <f aca="false">01_Data!E609</f>
        <v>157201</v>
      </c>
      <c r="E609" s="7" t="n">
        <f aca="false">01_Data!F609</f>
        <v>163778</v>
      </c>
      <c r="F609" s="7" t="n">
        <f aca="false">E609-D609</f>
        <v>6577</v>
      </c>
      <c r="G609" s="8" t="n">
        <f aca="false">IFERROR(F609/D609,0)</f>
        <v>0.0418381562458254</v>
      </c>
      <c r="H609" s="7" t="n">
        <f aca="false">01_Data!G609</f>
        <v>84896</v>
      </c>
      <c r="I609" s="7" t="n">
        <f aca="false">01_Data!H609</f>
        <v>86381</v>
      </c>
      <c r="J609" s="7" t="n">
        <f aca="false">H609-I609</f>
        <v>-1485</v>
      </c>
      <c r="K609" s="8" t="n">
        <f aca="false">IFERROR(J609/H609,0)</f>
        <v>-0.0174919901997738</v>
      </c>
      <c r="L609" s="7" t="n">
        <f aca="false">D609-H609</f>
        <v>72305</v>
      </c>
      <c r="M609" s="7" t="n">
        <f aca="false">E609-I609</f>
        <v>77397</v>
      </c>
      <c r="N609" s="7" t="n">
        <f aca="false">IFERROR(L609/D609,0)</f>
        <v>0.45995254483114</v>
      </c>
      <c r="O609" s="7" t="n">
        <f aca="false">IFERROR(M609/E609,0)</f>
        <v>0.472572628802403</v>
      </c>
      <c r="P609" s="7" t="n">
        <f aca="false">01_Data!I609+01_Data!K609+01_Data!M609+01_Data!O609+01_Data!Q609+01_Data!S609+01_Data!U609</f>
        <v>42428</v>
      </c>
      <c r="Q609" s="7" t="n">
        <f aca="false">01_Data!J609+01_Data!L609+01_Data!N609+01_Data!P609+01_Data!R609+01_Data!T609+01_Data!V609</f>
        <v>42173</v>
      </c>
      <c r="R609" s="7" t="n">
        <f aca="false">P609-Q609</f>
        <v>255</v>
      </c>
      <c r="S609" s="7" t="n">
        <f aca="false">L609-P609</f>
        <v>29877</v>
      </c>
      <c r="T609" s="7" t="n">
        <f aca="false">M609-Q609</f>
        <v>35224</v>
      </c>
      <c r="U609" s="7" t="n">
        <f aca="false">T609-S609</f>
        <v>5347</v>
      </c>
      <c r="V609" s="8" t="n">
        <f aca="false">IFERROR(U609/S609,0)</f>
        <v>0.178967098436925</v>
      </c>
      <c r="W609" s="5" t="str">
        <f aca="false">IF(V609&lt;-0.1,"ADVERSE &gt;10%","")</f>
        <v/>
      </c>
    </row>
    <row r="610" customFormat="false" ht="15" hidden="false" customHeight="false" outlineLevel="0" collapsed="false">
      <c r="A610" s="5" t="str">
        <f aca="false">01_Data!A610</f>
        <v>Retail &amp; Consumer</v>
      </c>
      <c r="B610" s="5" t="str">
        <f aca="false">01_Data!C610</f>
        <v>2025-12</v>
      </c>
      <c r="C610" s="5" t="str">
        <f aca="false">01_Data!D610</f>
        <v>FY25</v>
      </c>
      <c r="D610" s="7" t="n">
        <f aca="false">01_Data!E610</f>
        <v>191722</v>
      </c>
      <c r="E610" s="7" t="n">
        <f aca="false">01_Data!F610</f>
        <v>182672</v>
      </c>
      <c r="F610" s="7" t="n">
        <f aca="false">E610-D610</f>
        <v>-9050</v>
      </c>
      <c r="G610" s="8" t="n">
        <f aca="false">IFERROR(F610/D610,0)</f>
        <v>-0.0472037637829774</v>
      </c>
      <c r="H610" s="7" t="n">
        <f aca="false">01_Data!G610</f>
        <v>111219</v>
      </c>
      <c r="I610" s="7" t="n">
        <f aca="false">01_Data!H610</f>
        <v>109909</v>
      </c>
      <c r="J610" s="7" t="n">
        <f aca="false">H610-I610</f>
        <v>1310</v>
      </c>
      <c r="K610" s="8" t="n">
        <f aca="false">IFERROR(J610/H610,0)</f>
        <v>0.0117785630153121</v>
      </c>
      <c r="L610" s="7" t="n">
        <f aca="false">D610-H610</f>
        <v>80503</v>
      </c>
      <c r="M610" s="7" t="n">
        <f aca="false">E610-I610</f>
        <v>72763</v>
      </c>
      <c r="N610" s="7" t="n">
        <f aca="false">IFERROR(L610/D610,0)</f>
        <v>0.419894430477462</v>
      </c>
      <c r="O610" s="7" t="n">
        <f aca="false">IFERROR(M610/E610,0)</f>
        <v>0.398325961285802</v>
      </c>
      <c r="P610" s="7" t="n">
        <f aca="false">01_Data!I610+01_Data!K610+01_Data!M610+01_Data!O610+01_Data!Q610+01_Data!S610+01_Data!U610</f>
        <v>51674</v>
      </c>
      <c r="Q610" s="7" t="n">
        <f aca="false">01_Data!J610+01_Data!L610+01_Data!N610+01_Data!P610+01_Data!R610+01_Data!T610+01_Data!V610</f>
        <v>53084</v>
      </c>
      <c r="R610" s="7" t="n">
        <f aca="false">P610-Q610</f>
        <v>-1410</v>
      </c>
      <c r="S610" s="7" t="n">
        <f aca="false">L610-P610</f>
        <v>28829</v>
      </c>
      <c r="T610" s="7" t="n">
        <f aca="false">M610-Q610</f>
        <v>19679</v>
      </c>
      <c r="U610" s="7" t="n">
        <f aca="false">T610-S610</f>
        <v>-9150</v>
      </c>
      <c r="V610" s="8" t="n">
        <f aca="false">IFERROR(U610/S610,0)</f>
        <v>-0.317388740504353</v>
      </c>
      <c r="W610" s="5" t="str">
        <f aca="false">IF(V610&lt;-0.1,"ADVERSE &gt;10%","")</f>
        <v>ADVERSE &gt;10%</v>
      </c>
    </row>
    <row r="611" customFormat="false" ht="15" hidden="false" customHeight="false" outlineLevel="0" collapsed="false">
      <c r="A611" s="5" t="str">
        <f aca="false">01_Data!A611</f>
        <v>Retail &amp; Consumer</v>
      </c>
      <c r="B611" s="5" t="str">
        <f aca="false">01_Data!C611</f>
        <v>2026-01</v>
      </c>
      <c r="C611" s="5" t="str">
        <f aca="false">01_Data!D611</f>
        <v>FY25</v>
      </c>
      <c r="D611" s="7" t="n">
        <f aca="false">01_Data!E611</f>
        <v>171663</v>
      </c>
      <c r="E611" s="7" t="n">
        <f aca="false">01_Data!F611</f>
        <v>169901</v>
      </c>
      <c r="F611" s="7" t="n">
        <f aca="false">E611-D611</f>
        <v>-1762</v>
      </c>
      <c r="G611" s="8" t="n">
        <f aca="false">IFERROR(F611/D611,0)</f>
        <v>-0.0102642969073126</v>
      </c>
      <c r="H611" s="7" t="n">
        <f aca="false">01_Data!G611</f>
        <v>94981</v>
      </c>
      <c r="I611" s="7" t="n">
        <f aca="false">01_Data!H611</f>
        <v>95778</v>
      </c>
      <c r="J611" s="7" t="n">
        <f aca="false">H611-I611</f>
        <v>-797</v>
      </c>
      <c r="K611" s="8" t="n">
        <f aca="false">IFERROR(J611/H611,0)</f>
        <v>-0.00839115191459345</v>
      </c>
      <c r="L611" s="7" t="n">
        <f aca="false">D611-H611</f>
        <v>76682</v>
      </c>
      <c r="M611" s="7" t="n">
        <f aca="false">E611-I611</f>
        <v>74123</v>
      </c>
      <c r="N611" s="7" t="n">
        <f aca="false">IFERROR(L611/D611,0)</f>
        <v>0.446700803318129</v>
      </c>
      <c r="O611" s="7" t="n">
        <f aca="false">IFERROR(M611/E611,0)</f>
        <v>0.436271711172977</v>
      </c>
      <c r="P611" s="7" t="n">
        <f aca="false">01_Data!I611+01_Data!K611+01_Data!M611+01_Data!O611+01_Data!Q611+01_Data!S611+01_Data!U611</f>
        <v>46576</v>
      </c>
      <c r="Q611" s="7" t="n">
        <f aca="false">01_Data!J611+01_Data!L611+01_Data!N611+01_Data!P611+01_Data!R611+01_Data!T611+01_Data!V611</f>
        <v>47873</v>
      </c>
      <c r="R611" s="7" t="n">
        <f aca="false">P611-Q611</f>
        <v>-1297</v>
      </c>
      <c r="S611" s="7" t="n">
        <f aca="false">L611-P611</f>
        <v>30106</v>
      </c>
      <c r="T611" s="7" t="n">
        <f aca="false">M611-Q611</f>
        <v>26250</v>
      </c>
      <c r="U611" s="7" t="n">
        <f aca="false">T611-S611</f>
        <v>-3856</v>
      </c>
      <c r="V611" s="8" t="n">
        <f aca="false">IFERROR(U611/S611,0)</f>
        <v>-0.12808078123962</v>
      </c>
      <c r="W611" s="5" t="str">
        <f aca="false">IF(V611&lt;-0.1,"ADVERSE &gt;10%","")</f>
        <v>ADVERSE &gt;10%</v>
      </c>
    </row>
    <row r="612" customFormat="false" ht="15" hidden="false" customHeight="false" outlineLevel="0" collapsed="false">
      <c r="A612" s="5" t="str">
        <f aca="false">01_Data!A612</f>
        <v>Retail &amp; Consumer</v>
      </c>
      <c r="B612" s="5" t="str">
        <f aca="false">01_Data!C612</f>
        <v>2026-02</v>
      </c>
      <c r="C612" s="5" t="str">
        <f aca="false">01_Data!D612</f>
        <v>FY25</v>
      </c>
      <c r="D612" s="7" t="n">
        <f aca="false">01_Data!E612</f>
        <v>166617</v>
      </c>
      <c r="E612" s="7" t="n">
        <f aca="false">01_Data!F612</f>
        <v>171030</v>
      </c>
      <c r="F612" s="7" t="n">
        <f aca="false">E612-D612</f>
        <v>4413</v>
      </c>
      <c r="G612" s="8" t="n">
        <f aca="false">IFERROR(F612/D612,0)</f>
        <v>0.0264858927960532</v>
      </c>
      <c r="H612" s="7" t="n">
        <f aca="false">01_Data!G612</f>
        <v>93840</v>
      </c>
      <c r="I612" s="7" t="n">
        <f aca="false">01_Data!H612</f>
        <v>99928</v>
      </c>
      <c r="J612" s="7" t="n">
        <f aca="false">H612-I612</f>
        <v>-6088</v>
      </c>
      <c r="K612" s="8" t="n">
        <f aca="false">IFERROR(J612/H612,0)</f>
        <v>-0.0648763853367434</v>
      </c>
      <c r="L612" s="7" t="n">
        <f aca="false">D612-H612</f>
        <v>72777</v>
      </c>
      <c r="M612" s="7" t="n">
        <f aca="false">E612-I612</f>
        <v>71102</v>
      </c>
      <c r="N612" s="7" t="n">
        <f aca="false">IFERROR(L612/D612,0)</f>
        <v>0.436792164064891</v>
      </c>
      <c r="O612" s="7" t="n">
        <f aca="false">IFERROR(M612/E612,0)</f>
        <v>0.415728234812606</v>
      </c>
      <c r="P612" s="7" t="n">
        <f aca="false">01_Data!I612+01_Data!K612+01_Data!M612+01_Data!O612+01_Data!Q612+01_Data!S612+01_Data!U612</f>
        <v>41918</v>
      </c>
      <c r="Q612" s="7" t="n">
        <f aca="false">01_Data!J612+01_Data!L612+01_Data!N612+01_Data!P612+01_Data!R612+01_Data!T612+01_Data!V612</f>
        <v>43837</v>
      </c>
      <c r="R612" s="7" t="n">
        <f aca="false">P612-Q612</f>
        <v>-1919</v>
      </c>
      <c r="S612" s="7" t="n">
        <f aca="false">L612-P612</f>
        <v>30859</v>
      </c>
      <c r="T612" s="7" t="n">
        <f aca="false">M612-Q612</f>
        <v>27265</v>
      </c>
      <c r="U612" s="7" t="n">
        <f aca="false">T612-S612</f>
        <v>-3594</v>
      </c>
      <c r="V612" s="8" t="n">
        <f aca="false">IFERROR(U612/S612,0)</f>
        <v>-0.116465212741826</v>
      </c>
      <c r="W612" s="5" t="str">
        <f aca="false">IF(V612&lt;-0.1,"ADVERSE &gt;10%","")</f>
        <v>ADVERSE &gt;10%</v>
      </c>
    </row>
    <row r="613" customFormat="false" ht="15" hidden="false" customHeight="false" outlineLevel="0" collapsed="false">
      <c r="A613" s="5" t="str">
        <f aca="false">01_Data!A613</f>
        <v>Retail &amp; Consumer</v>
      </c>
      <c r="B613" s="5" t="str">
        <f aca="false">01_Data!C613</f>
        <v>2026-03</v>
      </c>
      <c r="C613" s="5" t="str">
        <f aca="false">01_Data!D613</f>
        <v>FY25</v>
      </c>
      <c r="D613" s="7" t="n">
        <f aca="false">01_Data!E613</f>
        <v>187179</v>
      </c>
      <c r="E613" s="7" t="n">
        <f aca="false">01_Data!F613</f>
        <v>189822</v>
      </c>
      <c r="F613" s="7" t="n">
        <f aca="false">E613-D613</f>
        <v>2643</v>
      </c>
      <c r="G613" s="8" t="n">
        <f aca="false">IFERROR(F613/D613,0)</f>
        <v>0.0141201737374385</v>
      </c>
      <c r="H613" s="7" t="n">
        <f aca="false">01_Data!G613</f>
        <v>106183</v>
      </c>
      <c r="I613" s="7" t="n">
        <f aca="false">01_Data!H613</f>
        <v>108500</v>
      </c>
      <c r="J613" s="7" t="n">
        <f aca="false">H613-I613</f>
        <v>-2317</v>
      </c>
      <c r="K613" s="8" t="n">
        <f aca="false">IFERROR(J613/H613,0)</f>
        <v>-0.0218208187751335</v>
      </c>
      <c r="L613" s="7" t="n">
        <f aca="false">D613-H613</f>
        <v>80996</v>
      </c>
      <c r="M613" s="7" t="n">
        <f aca="false">E613-I613</f>
        <v>81322</v>
      </c>
      <c r="N613" s="7" t="n">
        <f aca="false">IFERROR(L613/D613,0)</f>
        <v>0.432719482420571</v>
      </c>
      <c r="O613" s="7" t="n">
        <f aca="false">IFERROR(M613/E613,0)</f>
        <v>0.428411880603934</v>
      </c>
      <c r="P613" s="7" t="n">
        <f aca="false">01_Data!I613+01_Data!K613+01_Data!M613+01_Data!O613+01_Data!Q613+01_Data!S613+01_Data!U613</f>
        <v>53159</v>
      </c>
      <c r="Q613" s="7" t="n">
        <f aca="false">01_Data!J613+01_Data!L613+01_Data!N613+01_Data!P613+01_Data!R613+01_Data!T613+01_Data!V613</f>
        <v>53690</v>
      </c>
      <c r="R613" s="7" t="n">
        <f aca="false">P613-Q613</f>
        <v>-531</v>
      </c>
      <c r="S613" s="7" t="n">
        <f aca="false">L613-P613</f>
        <v>27837</v>
      </c>
      <c r="T613" s="7" t="n">
        <f aca="false">M613-Q613</f>
        <v>27632</v>
      </c>
      <c r="U613" s="7" t="n">
        <f aca="false">T613-S613</f>
        <v>-205</v>
      </c>
      <c r="V613" s="8" t="n">
        <f aca="false">IFERROR(U613/S613,0)</f>
        <v>-0.00736429931386284</v>
      </c>
      <c r="W613" s="5" t="str">
        <f aca="false">IF(V613&lt;-0.1,"ADVERSE &gt;10%","")</f>
        <v/>
      </c>
    </row>
    <row r="614" customFormat="false" ht="15" hidden="false" customHeight="false" outlineLevel="0" collapsed="false">
      <c r="A614" s="5" t="str">
        <f aca="false">01_Data!A614</f>
        <v>Retail &amp; Consumer</v>
      </c>
      <c r="B614" s="5" t="str">
        <f aca="false">01_Data!C614</f>
        <v>2023-04</v>
      </c>
      <c r="C614" s="5" t="str">
        <f aca="false">01_Data!D614</f>
        <v>FY23</v>
      </c>
      <c r="D614" s="7" t="n">
        <f aca="false">01_Data!E614</f>
        <v>76343</v>
      </c>
      <c r="E614" s="7" t="n">
        <f aca="false">01_Data!F614</f>
        <v>77426</v>
      </c>
      <c r="F614" s="7" t="n">
        <f aca="false">E614-D614</f>
        <v>1083</v>
      </c>
      <c r="G614" s="8" t="n">
        <f aca="false">IFERROR(F614/D614,0)</f>
        <v>0.0141859764483974</v>
      </c>
      <c r="H614" s="7" t="n">
        <f aca="false">01_Data!G614</f>
        <v>44316</v>
      </c>
      <c r="I614" s="7" t="n">
        <f aca="false">01_Data!H614</f>
        <v>43978</v>
      </c>
      <c r="J614" s="7" t="n">
        <f aca="false">H614-I614</f>
        <v>338</v>
      </c>
      <c r="K614" s="8" t="n">
        <f aca="false">IFERROR(J614/H614,0)</f>
        <v>0.00762704215181876</v>
      </c>
      <c r="L614" s="7" t="n">
        <f aca="false">D614-H614</f>
        <v>32027</v>
      </c>
      <c r="M614" s="7" t="n">
        <f aca="false">E614-I614</f>
        <v>33448</v>
      </c>
      <c r="N614" s="7" t="n">
        <f aca="false">IFERROR(L614/D614,0)</f>
        <v>0.419514559291618</v>
      </c>
      <c r="O614" s="7" t="n">
        <f aca="false">IFERROR(M614/E614,0)</f>
        <v>0.431999586702141</v>
      </c>
      <c r="P614" s="7" t="n">
        <f aca="false">01_Data!I614+01_Data!K614+01_Data!M614+01_Data!O614+01_Data!Q614+01_Data!S614+01_Data!U614</f>
        <v>20406</v>
      </c>
      <c r="Q614" s="7" t="n">
        <f aca="false">01_Data!J614+01_Data!L614+01_Data!N614+01_Data!P614+01_Data!R614+01_Data!T614+01_Data!V614</f>
        <v>21086</v>
      </c>
      <c r="R614" s="7" t="n">
        <f aca="false">P614-Q614</f>
        <v>-680</v>
      </c>
      <c r="S614" s="7" t="n">
        <f aca="false">L614-P614</f>
        <v>11621</v>
      </c>
      <c r="T614" s="7" t="n">
        <f aca="false">M614-Q614</f>
        <v>12362</v>
      </c>
      <c r="U614" s="7" t="n">
        <f aca="false">T614-S614</f>
        <v>741</v>
      </c>
      <c r="V614" s="8" t="n">
        <f aca="false">IFERROR(U614/S614,0)</f>
        <v>0.0637638757421909</v>
      </c>
      <c r="W614" s="5" t="str">
        <f aca="false">IF(V614&lt;-0.1,"ADVERSE &gt;10%","")</f>
        <v/>
      </c>
    </row>
    <row r="615" customFormat="false" ht="15" hidden="false" customHeight="false" outlineLevel="0" collapsed="false">
      <c r="A615" s="5" t="str">
        <f aca="false">01_Data!A615</f>
        <v>Retail &amp; Consumer</v>
      </c>
      <c r="B615" s="5" t="str">
        <f aca="false">01_Data!C615</f>
        <v>2023-05</v>
      </c>
      <c r="C615" s="5" t="str">
        <f aca="false">01_Data!D615</f>
        <v>FY23</v>
      </c>
      <c r="D615" s="7" t="n">
        <f aca="false">01_Data!E615</f>
        <v>75937</v>
      </c>
      <c r="E615" s="7" t="n">
        <f aca="false">01_Data!F615</f>
        <v>77448</v>
      </c>
      <c r="F615" s="7" t="n">
        <f aca="false">E615-D615</f>
        <v>1511</v>
      </c>
      <c r="G615" s="8" t="n">
        <f aca="false">IFERROR(F615/D615,0)</f>
        <v>0.0198980734029524</v>
      </c>
      <c r="H615" s="7" t="n">
        <f aca="false">01_Data!G615</f>
        <v>42355</v>
      </c>
      <c r="I615" s="7" t="n">
        <f aca="false">01_Data!H615</f>
        <v>44821</v>
      </c>
      <c r="J615" s="7" t="n">
        <f aca="false">H615-I615</f>
        <v>-2466</v>
      </c>
      <c r="K615" s="8" t="n">
        <f aca="false">IFERROR(J615/H615,0)</f>
        <v>-0.0582221697556369</v>
      </c>
      <c r="L615" s="7" t="n">
        <f aca="false">D615-H615</f>
        <v>33582</v>
      </c>
      <c r="M615" s="7" t="n">
        <f aca="false">E615-I615</f>
        <v>32627</v>
      </c>
      <c r="N615" s="7" t="n">
        <f aca="false">IFERROR(L615/D615,0)</f>
        <v>0.442235010600893</v>
      </c>
      <c r="O615" s="7" t="n">
        <f aca="false">IFERROR(M615/E615,0)</f>
        <v>0.421276211135213</v>
      </c>
      <c r="P615" s="7" t="n">
        <f aca="false">01_Data!I615+01_Data!K615+01_Data!M615+01_Data!O615+01_Data!Q615+01_Data!S615+01_Data!U615</f>
        <v>19485</v>
      </c>
      <c r="Q615" s="7" t="n">
        <f aca="false">01_Data!J615+01_Data!L615+01_Data!N615+01_Data!P615+01_Data!R615+01_Data!T615+01_Data!V615</f>
        <v>19105</v>
      </c>
      <c r="R615" s="7" t="n">
        <f aca="false">P615-Q615</f>
        <v>380</v>
      </c>
      <c r="S615" s="7" t="n">
        <f aca="false">L615-P615</f>
        <v>14097</v>
      </c>
      <c r="T615" s="7" t="n">
        <f aca="false">M615-Q615</f>
        <v>13522</v>
      </c>
      <c r="U615" s="7" t="n">
        <f aca="false">T615-S615</f>
        <v>-575</v>
      </c>
      <c r="V615" s="8" t="n">
        <f aca="false">IFERROR(U615/S615,0)</f>
        <v>-0.0407888203163794</v>
      </c>
      <c r="W615" s="5" t="str">
        <f aca="false">IF(V615&lt;-0.1,"ADVERSE &gt;10%","")</f>
        <v/>
      </c>
    </row>
    <row r="616" customFormat="false" ht="15" hidden="false" customHeight="false" outlineLevel="0" collapsed="false">
      <c r="A616" s="5" t="str">
        <f aca="false">01_Data!A616</f>
        <v>Retail &amp; Consumer</v>
      </c>
      <c r="B616" s="5" t="str">
        <f aca="false">01_Data!C616</f>
        <v>2023-06</v>
      </c>
      <c r="C616" s="5" t="str">
        <f aca="false">01_Data!D616</f>
        <v>FY23</v>
      </c>
      <c r="D616" s="7" t="n">
        <f aca="false">01_Data!E616</f>
        <v>78010</v>
      </c>
      <c r="E616" s="7" t="n">
        <f aca="false">01_Data!F616</f>
        <v>78660</v>
      </c>
      <c r="F616" s="7" t="n">
        <f aca="false">E616-D616</f>
        <v>650</v>
      </c>
      <c r="G616" s="8" t="n">
        <f aca="false">IFERROR(F616/D616,0)</f>
        <v>0.00833226509421869</v>
      </c>
      <c r="H616" s="7" t="n">
        <f aca="false">01_Data!G616</f>
        <v>43411</v>
      </c>
      <c r="I616" s="7" t="n">
        <f aca="false">01_Data!H616</f>
        <v>46022</v>
      </c>
      <c r="J616" s="7" t="n">
        <f aca="false">H616-I616</f>
        <v>-2611</v>
      </c>
      <c r="K616" s="8" t="n">
        <f aca="false">IFERROR(J616/H616,0)</f>
        <v>-0.0601460459330584</v>
      </c>
      <c r="L616" s="7" t="n">
        <f aca="false">D616-H616</f>
        <v>34599</v>
      </c>
      <c r="M616" s="7" t="n">
        <f aca="false">E616-I616</f>
        <v>32638</v>
      </c>
      <c r="N616" s="7" t="n">
        <f aca="false">IFERROR(L616/D616,0)</f>
        <v>0.443520061530573</v>
      </c>
      <c r="O616" s="7" t="n">
        <f aca="false">IFERROR(M616/E616,0)</f>
        <v>0.414924993643529</v>
      </c>
      <c r="P616" s="7" t="n">
        <f aca="false">01_Data!I616+01_Data!K616+01_Data!M616+01_Data!O616+01_Data!Q616+01_Data!S616+01_Data!U616</f>
        <v>22188</v>
      </c>
      <c r="Q616" s="7" t="n">
        <f aca="false">01_Data!J616+01_Data!L616+01_Data!N616+01_Data!P616+01_Data!R616+01_Data!T616+01_Data!V616</f>
        <v>22461</v>
      </c>
      <c r="R616" s="7" t="n">
        <f aca="false">P616-Q616</f>
        <v>-273</v>
      </c>
      <c r="S616" s="7" t="n">
        <f aca="false">L616-P616</f>
        <v>12411</v>
      </c>
      <c r="T616" s="7" t="n">
        <f aca="false">M616-Q616</f>
        <v>10177</v>
      </c>
      <c r="U616" s="7" t="n">
        <f aca="false">T616-S616</f>
        <v>-2234</v>
      </c>
      <c r="V616" s="8" t="n">
        <f aca="false">IFERROR(U616/S616,0)</f>
        <v>-0.180001611473693</v>
      </c>
      <c r="W616" s="5" t="str">
        <f aca="false">IF(V616&lt;-0.1,"ADVERSE &gt;10%","")</f>
        <v>ADVERSE &gt;10%</v>
      </c>
    </row>
    <row r="617" customFormat="false" ht="15" hidden="false" customHeight="false" outlineLevel="0" collapsed="false">
      <c r="A617" s="5" t="str">
        <f aca="false">01_Data!A617</f>
        <v>Retail &amp; Consumer</v>
      </c>
      <c r="B617" s="5" t="str">
        <f aca="false">01_Data!C617</f>
        <v>2023-07</v>
      </c>
      <c r="C617" s="5" t="str">
        <f aca="false">01_Data!D617</f>
        <v>FY23</v>
      </c>
      <c r="D617" s="7" t="n">
        <f aca="false">01_Data!E617</f>
        <v>76902</v>
      </c>
      <c r="E617" s="7" t="n">
        <f aca="false">01_Data!F617</f>
        <v>80996</v>
      </c>
      <c r="F617" s="7" t="n">
        <f aca="false">E617-D617</f>
        <v>4094</v>
      </c>
      <c r="G617" s="8" t="n">
        <f aca="false">IFERROR(F617/D617,0)</f>
        <v>0.05323658682479</v>
      </c>
      <c r="H617" s="7" t="n">
        <f aca="false">01_Data!G617</f>
        <v>45806</v>
      </c>
      <c r="I617" s="7" t="n">
        <f aca="false">01_Data!H617</f>
        <v>49659</v>
      </c>
      <c r="J617" s="7" t="n">
        <f aca="false">H617-I617</f>
        <v>-3853</v>
      </c>
      <c r="K617" s="8" t="n">
        <f aca="false">IFERROR(J617/H617,0)</f>
        <v>-0.0841156180413046</v>
      </c>
      <c r="L617" s="7" t="n">
        <f aca="false">D617-H617</f>
        <v>31096</v>
      </c>
      <c r="M617" s="7" t="n">
        <f aca="false">E617-I617</f>
        <v>31337</v>
      </c>
      <c r="N617" s="7" t="n">
        <f aca="false">IFERROR(L617/D617,0)</f>
        <v>0.404358794309641</v>
      </c>
      <c r="O617" s="7" t="n">
        <f aca="false">IFERROR(M617/E617,0)</f>
        <v>0.38689564916786</v>
      </c>
      <c r="P617" s="7" t="n">
        <f aca="false">01_Data!I617+01_Data!K617+01_Data!M617+01_Data!O617+01_Data!Q617+01_Data!S617+01_Data!U617</f>
        <v>20879</v>
      </c>
      <c r="Q617" s="7" t="n">
        <f aca="false">01_Data!J617+01_Data!L617+01_Data!N617+01_Data!P617+01_Data!R617+01_Data!T617+01_Data!V617</f>
        <v>20592</v>
      </c>
      <c r="R617" s="7" t="n">
        <f aca="false">P617-Q617</f>
        <v>287</v>
      </c>
      <c r="S617" s="7" t="n">
        <f aca="false">L617-P617</f>
        <v>10217</v>
      </c>
      <c r="T617" s="7" t="n">
        <f aca="false">M617-Q617</f>
        <v>10745</v>
      </c>
      <c r="U617" s="7" t="n">
        <f aca="false">T617-S617</f>
        <v>528</v>
      </c>
      <c r="V617" s="8" t="n">
        <f aca="false">IFERROR(U617/S617,0)</f>
        <v>0.051678574924146</v>
      </c>
      <c r="W617" s="5" t="str">
        <f aca="false">IF(V617&lt;-0.1,"ADVERSE &gt;10%","")</f>
        <v/>
      </c>
    </row>
    <row r="618" customFormat="false" ht="15" hidden="false" customHeight="false" outlineLevel="0" collapsed="false">
      <c r="A618" s="5" t="str">
        <f aca="false">01_Data!A618</f>
        <v>Retail &amp; Consumer</v>
      </c>
      <c r="B618" s="5" t="str">
        <f aca="false">01_Data!C618</f>
        <v>2023-08</v>
      </c>
      <c r="C618" s="5" t="str">
        <f aca="false">01_Data!D618</f>
        <v>FY23</v>
      </c>
      <c r="D618" s="7" t="n">
        <f aca="false">01_Data!E618</f>
        <v>83895</v>
      </c>
      <c r="E618" s="7" t="n">
        <f aca="false">01_Data!F618</f>
        <v>80990</v>
      </c>
      <c r="F618" s="7" t="n">
        <f aca="false">E618-D618</f>
        <v>-2905</v>
      </c>
      <c r="G618" s="8" t="n">
        <f aca="false">IFERROR(F618/D618,0)</f>
        <v>-0.0346266166040884</v>
      </c>
      <c r="H618" s="7" t="n">
        <f aca="false">01_Data!G618</f>
        <v>47187</v>
      </c>
      <c r="I618" s="7" t="n">
        <f aca="false">01_Data!H618</f>
        <v>45848</v>
      </c>
      <c r="J618" s="7" t="n">
        <f aca="false">H618-I618</f>
        <v>1339</v>
      </c>
      <c r="K618" s="8" t="n">
        <f aca="false">IFERROR(J618/H618,0)</f>
        <v>0.0283764596181152</v>
      </c>
      <c r="L618" s="7" t="n">
        <f aca="false">D618-H618</f>
        <v>36708</v>
      </c>
      <c r="M618" s="7" t="n">
        <f aca="false">E618-I618</f>
        <v>35142</v>
      </c>
      <c r="N618" s="7" t="n">
        <f aca="false">IFERROR(L618/D618,0)</f>
        <v>0.437546933667084</v>
      </c>
      <c r="O618" s="7" t="n">
        <f aca="false">IFERROR(M618/E618,0)</f>
        <v>0.433905420422274</v>
      </c>
      <c r="P618" s="7" t="n">
        <f aca="false">01_Data!I618+01_Data!K618+01_Data!M618+01_Data!O618+01_Data!Q618+01_Data!S618+01_Data!U618</f>
        <v>23324</v>
      </c>
      <c r="Q618" s="7" t="n">
        <f aca="false">01_Data!J618+01_Data!L618+01_Data!N618+01_Data!P618+01_Data!R618+01_Data!T618+01_Data!V618</f>
        <v>23860</v>
      </c>
      <c r="R618" s="7" t="n">
        <f aca="false">P618-Q618</f>
        <v>-536</v>
      </c>
      <c r="S618" s="7" t="n">
        <f aca="false">L618-P618</f>
        <v>13384</v>
      </c>
      <c r="T618" s="7" t="n">
        <f aca="false">M618-Q618</f>
        <v>11282</v>
      </c>
      <c r="U618" s="7" t="n">
        <f aca="false">T618-S618</f>
        <v>-2102</v>
      </c>
      <c r="V618" s="8" t="n">
        <f aca="false">IFERROR(U618/S618,0)</f>
        <v>-0.157053197848177</v>
      </c>
      <c r="W618" s="5" t="str">
        <f aca="false">IF(V618&lt;-0.1,"ADVERSE &gt;10%","")</f>
        <v>ADVERSE &gt;10%</v>
      </c>
    </row>
    <row r="619" customFormat="false" ht="15" hidden="false" customHeight="false" outlineLevel="0" collapsed="false">
      <c r="A619" s="5" t="str">
        <f aca="false">01_Data!A619</f>
        <v>Retail &amp; Consumer</v>
      </c>
      <c r="B619" s="5" t="str">
        <f aca="false">01_Data!C619</f>
        <v>2023-09</v>
      </c>
      <c r="C619" s="5" t="str">
        <f aca="false">01_Data!D619</f>
        <v>FY23</v>
      </c>
      <c r="D619" s="7" t="n">
        <f aca="false">01_Data!E619</f>
        <v>90656</v>
      </c>
      <c r="E619" s="7" t="n">
        <f aca="false">01_Data!F619</f>
        <v>89591</v>
      </c>
      <c r="F619" s="7" t="n">
        <f aca="false">E619-D619</f>
        <v>-1065</v>
      </c>
      <c r="G619" s="8" t="n">
        <f aca="false">IFERROR(F619/D619,0)</f>
        <v>-0.011747705612425</v>
      </c>
      <c r="H619" s="7" t="n">
        <f aca="false">01_Data!G619</f>
        <v>54262</v>
      </c>
      <c r="I619" s="7" t="n">
        <f aca="false">01_Data!H619</f>
        <v>53258</v>
      </c>
      <c r="J619" s="7" t="n">
        <f aca="false">H619-I619</f>
        <v>1004</v>
      </c>
      <c r="K619" s="8" t="n">
        <f aca="false">IFERROR(J619/H619,0)</f>
        <v>0.0185028196527957</v>
      </c>
      <c r="L619" s="7" t="n">
        <f aca="false">D619-H619</f>
        <v>36394</v>
      </c>
      <c r="M619" s="7" t="n">
        <f aca="false">E619-I619</f>
        <v>36333</v>
      </c>
      <c r="N619" s="7" t="n">
        <f aca="false">IFERROR(L619/D619,0)</f>
        <v>0.401451641369573</v>
      </c>
      <c r="O619" s="7" t="n">
        <f aca="false">IFERROR(M619/E619,0)</f>
        <v>0.405542967485573</v>
      </c>
      <c r="P619" s="7" t="n">
        <f aca="false">01_Data!I619+01_Data!K619+01_Data!M619+01_Data!O619+01_Data!Q619+01_Data!S619+01_Data!U619</f>
        <v>22968</v>
      </c>
      <c r="Q619" s="7" t="n">
        <f aca="false">01_Data!J619+01_Data!L619+01_Data!N619+01_Data!P619+01_Data!R619+01_Data!T619+01_Data!V619</f>
        <v>22732</v>
      </c>
      <c r="R619" s="7" t="n">
        <f aca="false">P619-Q619</f>
        <v>236</v>
      </c>
      <c r="S619" s="7" t="n">
        <f aca="false">L619-P619</f>
        <v>13426</v>
      </c>
      <c r="T619" s="7" t="n">
        <f aca="false">M619-Q619</f>
        <v>13601</v>
      </c>
      <c r="U619" s="7" t="n">
        <f aca="false">T619-S619</f>
        <v>175</v>
      </c>
      <c r="V619" s="8" t="n">
        <f aca="false">IFERROR(U619/S619,0)</f>
        <v>0.0130344108446298</v>
      </c>
      <c r="W619" s="5" t="str">
        <f aca="false">IF(V619&lt;-0.1,"ADVERSE &gt;10%","")</f>
        <v/>
      </c>
    </row>
    <row r="620" customFormat="false" ht="15" hidden="false" customHeight="false" outlineLevel="0" collapsed="false">
      <c r="A620" s="5" t="str">
        <f aca="false">01_Data!A620</f>
        <v>Retail &amp; Consumer</v>
      </c>
      <c r="B620" s="5" t="str">
        <f aca="false">01_Data!C620</f>
        <v>2023-10</v>
      </c>
      <c r="C620" s="5" t="str">
        <f aca="false">01_Data!D620</f>
        <v>FY23</v>
      </c>
      <c r="D620" s="7" t="n">
        <f aca="false">01_Data!E620</f>
        <v>80848</v>
      </c>
      <c r="E620" s="7" t="n">
        <f aca="false">01_Data!F620</f>
        <v>81391</v>
      </c>
      <c r="F620" s="7" t="n">
        <f aca="false">E620-D620</f>
        <v>543</v>
      </c>
      <c r="G620" s="8" t="n">
        <f aca="false">IFERROR(F620/D620,0)</f>
        <v>0.00671630714427073</v>
      </c>
      <c r="H620" s="7" t="n">
        <f aca="false">01_Data!G620</f>
        <v>45899</v>
      </c>
      <c r="I620" s="7" t="n">
        <f aca="false">01_Data!H620</f>
        <v>47601</v>
      </c>
      <c r="J620" s="7" t="n">
        <f aca="false">H620-I620</f>
        <v>-1702</v>
      </c>
      <c r="K620" s="8" t="n">
        <f aca="false">IFERROR(J620/H620,0)</f>
        <v>-0.0370814178958147</v>
      </c>
      <c r="L620" s="7" t="n">
        <f aca="false">D620-H620</f>
        <v>34949</v>
      </c>
      <c r="M620" s="7" t="n">
        <f aca="false">E620-I620</f>
        <v>33790</v>
      </c>
      <c r="N620" s="7" t="n">
        <f aca="false">IFERROR(L620/D620,0)</f>
        <v>0.432280328517712</v>
      </c>
      <c r="O620" s="7" t="n">
        <f aca="false">IFERROR(M620/E620,0)</f>
        <v>0.415156466931233</v>
      </c>
      <c r="P620" s="7" t="n">
        <f aca="false">01_Data!I620+01_Data!K620+01_Data!M620+01_Data!O620+01_Data!Q620+01_Data!S620+01_Data!U620</f>
        <v>21000</v>
      </c>
      <c r="Q620" s="7" t="n">
        <f aca="false">01_Data!J620+01_Data!L620+01_Data!N620+01_Data!P620+01_Data!R620+01_Data!T620+01_Data!V620</f>
        <v>21784</v>
      </c>
      <c r="R620" s="7" t="n">
        <f aca="false">P620-Q620</f>
        <v>-784</v>
      </c>
      <c r="S620" s="7" t="n">
        <f aca="false">L620-P620</f>
        <v>13949</v>
      </c>
      <c r="T620" s="7" t="n">
        <f aca="false">M620-Q620</f>
        <v>12006</v>
      </c>
      <c r="U620" s="7" t="n">
        <f aca="false">T620-S620</f>
        <v>-1943</v>
      </c>
      <c r="V620" s="8" t="n">
        <f aca="false">IFERROR(U620/S620,0)</f>
        <v>-0.139293139293139</v>
      </c>
      <c r="W620" s="5" t="str">
        <f aca="false">IF(V620&lt;-0.1,"ADVERSE &gt;10%","")</f>
        <v>ADVERSE &gt;10%</v>
      </c>
    </row>
    <row r="621" customFormat="false" ht="15" hidden="false" customHeight="false" outlineLevel="0" collapsed="false">
      <c r="A621" s="5" t="str">
        <f aca="false">01_Data!A621</f>
        <v>Retail &amp; Consumer</v>
      </c>
      <c r="B621" s="5" t="str">
        <f aca="false">01_Data!C621</f>
        <v>2023-11</v>
      </c>
      <c r="C621" s="5" t="str">
        <f aca="false">01_Data!D621</f>
        <v>FY23</v>
      </c>
      <c r="D621" s="7" t="n">
        <f aca="false">01_Data!E621</f>
        <v>83329</v>
      </c>
      <c r="E621" s="7" t="n">
        <f aca="false">01_Data!F621</f>
        <v>81620</v>
      </c>
      <c r="F621" s="7" t="n">
        <f aca="false">E621-D621</f>
        <v>-1709</v>
      </c>
      <c r="G621" s="8" t="n">
        <f aca="false">IFERROR(F621/D621,0)</f>
        <v>-0.0205090664714565</v>
      </c>
      <c r="H621" s="7" t="n">
        <f aca="false">01_Data!G621</f>
        <v>45145</v>
      </c>
      <c r="I621" s="7" t="n">
        <f aca="false">01_Data!H621</f>
        <v>45137</v>
      </c>
      <c r="J621" s="7" t="n">
        <f aca="false">H621-I621</f>
        <v>8</v>
      </c>
      <c r="K621" s="8" t="n">
        <f aca="false">IFERROR(J621/H621,0)</f>
        <v>0.000177206778159265</v>
      </c>
      <c r="L621" s="7" t="n">
        <f aca="false">D621-H621</f>
        <v>38184</v>
      </c>
      <c r="M621" s="7" t="n">
        <f aca="false">E621-I621</f>
        <v>36483</v>
      </c>
      <c r="N621" s="7" t="n">
        <f aca="false">IFERROR(L621/D621,0)</f>
        <v>0.458231828055059</v>
      </c>
      <c r="O621" s="7" t="n">
        <f aca="false">IFERROR(M621/E621,0)</f>
        <v>0.446986032835089</v>
      </c>
      <c r="P621" s="7" t="n">
        <f aca="false">01_Data!I621+01_Data!K621+01_Data!M621+01_Data!O621+01_Data!Q621+01_Data!S621+01_Data!U621</f>
        <v>21030</v>
      </c>
      <c r="Q621" s="7" t="n">
        <f aca="false">01_Data!J621+01_Data!L621+01_Data!N621+01_Data!P621+01_Data!R621+01_Data!T621+01_Data!V621</f>
        <v>21759</v>
      </c>
      <c r="R621" s="7" t="n">
        <f aca="false">P621-Q621</f>
        <v>-729</v>
      </c>
      <c r="S621" s="7" t="n">
        <f aca="false">L621-P621</f>
        <v>17154</v>
      </c>
      <c r="T621" s="7" t="n">
        <f aca="false">M621-Q621</f>
        <v>14724</v>
      </c>
      <c r="U621" s="7" t="n">
        <f aca="false">T621-S621</f>
        <v>-2430</v>
      </c>
      <c r="V621" s="8" t="n">
        <f aca="false">IFERROR(U621/S621,0)</f>
        <v>-0.141657922350472</v>
      </c>
      <c r="W621" s="5" t="str">
        <f aca="false">IF(V621&lt;-0.1,"ADVERSE &gt;10%","")</f>
        <v>ADVERSE &gt;10%</v>
      </c>
    </row>
    <row r="622" customFormat="false" ht="15" hidden="false" customHeight="false" outlineLevel="0" collapsed="false">
      <c r="A622" s="5" t="str">
        <f aca="false">01_Data!A622</f>
        <v>Retail &amp; Consumer</v>
      </c>
      <c r="B622" s="5" t="str">
        <f aca="false">01_Data!C622</f>
        <v>2023-12</v>
      </c>
      <c r="C622" s="5" t="str">
        <f aca="false">01_Data!D622</f>
        <v>FY23</v>
      </c>
      <c r="D622" s="7" t="n">
        <f aca="false">01_Data!E622</f>
        <v>95433</v>
      </c>
      <c r="E622" s="7" t="n">
        <f aca="false">01_Data!F622</f>
        <v>90111</v>
      </c>
      <c r="F622" s="7" t="n">
        <f aca="false">E622-D622</f>
        <v>-5322</v>
      </c>
      <c r="G622" s="8" t="n">
        <f aca="false">IFERROR(F622/D622,0)</f>
        <v>-0.0557668730942127</v>
      </c>
      <c r="H622" s="7" t="n">
        <f aca="false">01_Data!G622</f>
        <v>54802</v>
      </c>
      <c r="I622" s="7" t="n">
        <f aca="false">01_Data!H622</f>
        <v>50748</v>
      </c>
      <c r="J622" s="7" t="n">
        <f aca="false">H622-I622</f>
        <v>4054</v>
      </c>
      <c r="K622" s="8" t="n">
        <f aca="false">IFERROR(J622/H622,0)</f>
        <v>0.0739754023575782</v>
      </c>
      <c r="L622" s="7" t="n">
        <f aca="false">D622-H622</f>
        <v>40631</v>
      </c>
      <c r="M622" s="7" t="n">
        <f aca="false">E622-I622</f>
        <v>39363</v>
      </c>
      <c r="N622" s="7" t="n">
        <f aca="false">IFERROR(L622/D622,0)</f>
        <v>0.425754194041893</v>
      </c>
      <c r="O622" s="7" t="n">
        <f aca="false">IFERROR(M622/E622,0)</f>
        <v>0.436827912241569</v>
      </c>
      <c r="P622" s="7" t="n">
        <f aca="false">01_Data!I622+01_Data!K622+01_Data!M622+01_Data!O622+01_Data!Q622+01_Data!S622+01_Data!U622</f>
        <v>24776</v>
      </c>
      <c r="Q622" s="7" t="n">
        <f aca="false">01_Data!J622+01_Data!L622+01_Data!N622+01_Data!P622+01_Data!R622+01_Data!T622+01_Data!V622</f>
        <v>25930</v>
      </c>
      <c r="R622" s="7" t="n">
        <f aca="false">P622-Q622</f>
        <v>-1154</v>
      </c>
      <c r="S622" s="7" t="n">
        <f aca="false">L622-P622</f>
        <v>15855</v>
      </c>
      <c r="T622" s="7" t="n">
        <f aca="false">M622-Q622</f>
        <v>13433</v>
      </c>
      <c r="U622" s="7" t="n">
        <f aca="false">T622-S622</f>
        <v>-2422</v>
      </c>
      <c r="V622" s="8" t="n">
        <f aca="false">IFERROR(U622/S622,0)</f>
        <v>-0.152759381898455</v>
      </c>
      <c r="W622" s="5" t="str">
        <f aca="false">IF(V622&lt;-0.1,"ADVERSE &gt;10%","")</f>
        <v>ADVERSE &gt;10%</v>
      </c>
    </row>
    <row r="623" customFormat="false" ht="15" hidden="false" customHeight="false" outlineLevel="0" collapsed="false">
      <c r="A623" s="5" t="str">
        <f aca="false">01_Data!A623</f>
        <v>Retail &amp; Consumer</v>
      </c>
      <c r="B623" s="5" t="str">
        <f aca="false">01_Data!C623</f>
        <v>2024-01</v>
      </c>
      <c r="C623" s="5" t="str">
        <f aca="false">01_Data!D623</f>
        <v>FY23</v>
      </c>
      <c r="D623" s="7" t="n">
        <f aca="false">01_Data!E623</f>
        <v>82119</v>
      </c>
      <c r="E623" s="7" t="n">
        <f aca="false">01_Data!F623</f>
        <v>81769</v>
      </c>
      <c r="F623" s="7" t="n">
        <f aca="false">E623-D623</f>
        <v>-350</v>
      </c>
      <c r="G623" s="8" t="n">
        <f aca="false">IFERROR(F623/D623,0)</f>
        <v>-0.00426210742946212</v>
      </c>
      <c r="H623" s="7" t="n">
        <f aca="false">01_Data!G623</f>
        <v>46277</v>
      </c>
      <c r="I623" s="7" t="n">
        <f aca="false">01_Data!H623</f>
        <v>47956</v>
      </c>
      <c r="J623" s="7" t="n">
        <f aca="false">H623-I623</f>
        <v>-1679</v>
      </c>
      <c r="K623" s="8" t="n">
        <f aca="false">IFERROR(J623/H623,0)</f>
        <v>-0.0362815221384273</v>
      </c>
      <c r="L623" s="7" t="n">
        <f aca="false">D623-H623</f>
        <v>35842</v>
      </c>
      <c r="M623" s="7" t="n">
        <f aca="false">E623-I623</f>
        <v>33813</v>
      </c>
      <c r="N623" s="7" t="n">
        <f aca="false">IFERROR(L623/D623,0)</f>
        <v>0.436464155676518</v>
      </c>
      <c r="O623" s="7" t="n">
        <f aca="false">IFERROR(M623/E623,0)</f>
        <v>0.413518570607443</v>
      </c>
      <c r="P623" s="7" t="n">
        <f aca="false">01_Data!I623+01_Data!K623+01_Data!M623+01_Data!O623+01_Data!Q623+01_Data!S623+01_Data!U623</f>
        <v>22019</v>
      </c>
      <c r="Q623" s="7" t="n">
        <f aca="false">01_Data!J623+01_Data!L623+01_Data!N623+01_Data!P623+01_Data!R623+01_Data!T623+01_Data!V623</f>
        <v>22354</v>
      </c>
      <c r="R623" s="7" t="n">
        <f aca="false">P623-Q623</f>
        <v>-335</v>
      </c>
      <c r="S623" s="7" t="n">
        <f aca="false">L623-P623</f>
        <v>13823</v>
      </c>
      <c r="T623" s="7" t="n">
        <f aca="false">M623-Q623</f>
        <v>11459</v>
      </c>
      <c r="U623" s="7" t="n">
        <f aca="false">T623-S623</f>
        <v>-2364</v>
      </c>
      <c r="V623" s="8" t="n">
        <f aca="false">IFERROR(U623/S623,0)</f>
        <v>-0.171019315633365</v>
      </c>
      <c r="W623" s="5" t="str">
        <f aca="false">IF(V623&lt;-0.1,"ADVERSE &gt;10%","")</f>
        <v>ADVERSE &gt;10%</v>
      </c>
    </row>
    <row r="624" customFormat="false" ht="15" hidden="false" customHeight="false" outlineLevel="0" collapsed="false">
      <c r="A624" s="5" t="str">
        <f aca="false">01_Data!A624</f>
        <v>Retail &amp; Consumer</v>
      </c>
      <c r="B624" s="5" t="str">
        <f aca="false">01_Data!C624</f>
        <v>2024-02</v>
      </c>
      <c r="C624" s="5" t="str">
        <f aca="false">01_Data!D624</f>
        <v>FY23</v>
      </c>
      <c r="D624" s="7" t="n">
        <f aca="false">01_Data!E624</f>
        <v>83271</v>
      </c>
      <c r="E624" s="7" t="n">
        <f aca="false">01_Data!F624</f>
        <v>84177</v>
      </c>
      <c r="F624" s="7" t="n">
        <f aca="false">E624-D624</f>
        <v>906</v>
      </c>
      <c r="G624" s="8" t="n">
        <f aca="false">IFERROR(F624/D624,0)</f>
        <v>0.0108801383434809</v>
      </c>
      <c r="H624" s="7" t="n">
        <f aca="false">01_Data!G624</f>
        <v>48146</v>
      </c>
      <c r="I624" s="7" t="n">
        <f aca="false">01_Data!H624</f>
        <v>49591</v>
      </c>
      <c r="J624" s="7" t="n">
        <f aca="false">H624-I624</f>
        <v>-1445</v>
      </c>
      <c r="K624" s="8" t="n">
        <f aca="false">IFERROR(J624/H624,0)</f>
        <v>-0.0300128774976114</v>
      </c>
      <c r="L624" s="7" t="n">
        <f aca="false">D624-H624</f>
        <v>35125</v>
      </c>
      <c r="M624" s="7" t="n">
        <f aca="false">E624-I624</f>
        <v>34586</v>
      </c>
      <c r="N624" s="7" t="n">
        <f aca="false">IFERROR(L624/D624,0)</f>
        <v>0.42181551800747</v>
      </c>
      <c r="O624" s="7" t="n">
        <f aca="false">IFERROR(M624/E624,0)</f>
        <v>0.410872328545802</v>
      </c>
      <c r="P624" s="7" t="n">
        <f aca="false">01_Data!I624+01_Data!K624+01_Data!M624+01_Data!O624+01_Data!Q624+01_Data!S624+01_Data!U624</f>
        <v>21988</v>
      </c>
      <c r="Q624" s="7" t="n">
        <f aca="false">01_Data!J624+01_Data!L624+01_Data!N624+01_Data!P624+01_Data!R624+01_Data!T624+01_Data!V624</f>
        <v>22830</v>
      </c>
      <c r="R624" s="7" t="n">
        <f aca="false">P624-Q624</f>
        <v>-842</v>
      </c>
      <c r="S624" s="7" t="n">
        <f aca="false">L624-P624</f>
        <v>13137</v>
      </c>
      <c r="T624" s="7" t="n">
        <f aca="false">M624-Q624</f>
        <v>11756</v>
      </c>
      <c r="U624" s="7" t="n">
        <f aca="false">T624-S624</f>
        <v>-1381</v>
      </c>
      <c r="V624" s="8" t="n">
        <f aca="false">IFERROR(U624/S624,0)</f>
        <v>-0.105122935221131</v>
      </c>
      <c r="W624" s="5" t="str">
        <f aca="false">IF(V624&lt;-0.1,"ADVERSE &gt;10%","")</f>
        <v>ADVERSE &gt;10%</v>
      </c>
    </row>
    <row r="625" customFormat="false" ht="15" hidden="false" customHeight="false" outlineLevel="0" collapsed="false">
      <c r="A625" s="5" t="str">
        <f aca="false">01_Data!A625</f>
        <v>Retail &amp; Consumer</v>
      </c>
      <c r="B625" s="5" t="str">
        <f aca="false">01_Data!C625</f>
        <v>2024-03</v>
      </c>
      <c r="C625" s="5" t="str">
        <f aca="false">01_Data!D625</f>
        <v>FY23</v>
      </c>
      <c r="D625" s="7" t="n">
        <f aca="false">01_Data!E625</f>
        <v>95163</v>
      </c>
      <c r="E625" s="7" t="n">
        <f aca="false">01_Data!F625</f>
        <v>94572</v>
      </c>
      <c r="F625" s="7" t="n">
        <f aca="false">E625-D625</f>
        <v>-591</v>
      </c>
      <c r="G625" s="8" t="n">
        <f aca="false">IFERROR(F625/D625,0)</f>
        <v>-0.00621039689795404</v>
      </c>
      <c r="H625" s="7" t="n">
        <f aca="false">01_Data!G625</f>
        <v>56318</v>
      </c>
      <c r="I625" s="7" t="n">
        <f aca="false">01_Data!H625</f>
        <v>58098</v>
      </c>
      <c r="J625" s="7" t="n">
        <f aca="false">H625-I625</f>
        <v>-1780</v>
      </c>
      <c r="K625" s="8" t="n">
        <f aca="false">IFERROR(J625/H625,0)</f>
        <v>-0.031606236016904</v>
      </c>
      <c r="L625" s="7" t="n">
        <f aca="false">D625-H625</f>
        <v>38845</v>
      </c>
      <c r="M625" s="7" t="n">
        <f aca="false">E625-I625</f>
        <v>36474</v>
      </c>
      <c r="N625" s="7" t="n">
        <f aca="false">IFERROR(L625/D625,0)</f>
        <v>0.408194361253849</v>
      </c>
      <c r="O625" s="7" t="n">
        <f aca="false">IFERROR(M625/E625,0)</f>
        <v>0.385674406801167</v>
      </c>
      <c r="P625" s="7" t="n">
        <f aca="false">01_Data!I625+01_Data!K625+01_Data!M625+01_Data!O625+01_Data!Q625+01_Data!S625+01_Data!U625</f>
        <v>25476</v>
      </c>
      <c r="Q625" s="7" t="n">
        <f aca="false">01_Data!J625+01_Data!L625+01_Data!N625+01_Data!P625+01_Data!R625+01_Data!T625+01_Data!V625</f>
        <v>25597</v>
      </c>
      <c r="R625" s="7" t="n">
        <f aca="false">P625-Q625</f>
        <v>-121</v>
      </c>
      <c r="S625" s="7" t="n">
        <f aca="false">L625-P625</f>
        <v>13369</v>
      </c>
      <c r="T625" s="7" t="n">
        <f aca="false">M625-Q625</f>
        <v>10877</v>
      </c>
      <c r="U625" s="7" t="n">
        <f aca="false">T625-S625</f>
        <v>-2492</v>
      </c>
      <c r="V625" s="8" t="n">
        <f aca="false">IFERROR(U625/S625,0)</f>
        <v>-0.186401376318348</v>
      </c>
      <c r="W625" s="5" t="str">
        <f aca="false">IF(V625&lt;-0.1,"ADVERSE &gt;10%","")</f>
        <v>ADVERSE &gt;10%</v>
      </c>
    </row>
    <row r="626" customFormat="false" ht="15" hidden="false" customHeight="false" outlineLevel="0" collapsed="false">
      <c r="A626" s="5" t="str">
        <f aca="false">01_Data!A626</f>
        <v>Retail &amp; Consumer</v>
      </c>
      <c r="B626" s="5" t="str">
        <f aca="false">01_Data!C626</f>
        <v>2024-04</v>
      </c>
      <c r="C626" s="5" t="str">
        <f aca="false">01_Data!D626</f>
        <v>FY24</v>
      </c>
      <c r="D626" s="7" t="n">
        <f aca="false">01_Data!E626</f>
        <v>92436</v>
      </c>
      <c r="E626" s="7" t="n">
        <f aca="false">01_Data!F626</f>
        <v>87473</v>
      </c>
      <c r="F626" s="7" t="n">
        <f aca="false">E626-D626</f>
        <v>-4963</v>
      </c>
      <c r="G626" s="8" t="n">
        <f aca="false">IFERROR(F626/D626,0)</f>
        <v>-0.0536912025617725</v>
      </c>
      <c r="H626" s="7" t="n">
        <f aca="false">01_Data!G626</f>
        <v>52690</v>
      </c>
      <c r="I626" s="7" t="n">
        <f aca="false">01_Data!H626</f>
        <v>48597</v>
      </c>
      <c r="J626" s="7" t="n">
        <f aca="false">H626-I626</f>
        <v>4093</v>
      </c>
      <c r="K626" s="8" t="n">
        <f aca="false">IFERROR(J626/H626,0)</f>
        <v>0.0776807743404821</v>
      </c>
      <c r="L626" s="7" t="n">
        <f aca="false">D626-H626</f>
        <v>39746</v>
      </c>
      <c r="M626" s="7" t="n">
        <f aca="false">E626-I626</f>
        <v>38876</v>
      </c>
      <c r="N626" s="7" t="n">
        <f aca="false">IFERROR(L626/D626,0)</f>
        <v>0.429983988922065</v>
      </c>
      <c r="O626" s="7" t="n">
        <f aca="false">IFERROR(M626/E626,0)</f>
        <v>0.444434282578624</v>
      </c>
      <c r="P626" s="7" t="n">
        <f aca="false">01_Data!I626+01_Data!K626+01_Data!M626+01_Data!O626+01_Data!Q626+01_Data!S626+01_Data!U626</f>
        <v>25081</v>
      </c>
      <c r="Q626" s="7" t="n">
        <f aca="false">01_Data!J626+01_Data!L626+01_Data!N626+01_Data!P626+01_Data!R626+01_Data!T626+01_Data!V626</f>
        <v>25424</v>
      </c>
      <c r="R626" s="7" t="n">
        <f aca="false">P626-Q626</f>
        <v>-343</v>
      </c>
      <c r="S626" s="7" t="n">
        <f aca="false">L626-P626</f>
        <v>14665</v>
      </c>
      <c r="T626" s="7" t="n">
        <f aca="false">M626-Q626</f>
        <v>13452</v>
      </c>
      <c r="U626" s="7" t="n">
        <f aca="false">T626-S626</f>
        <v>-1213</v>
      </c>
      <c r="V626" s="8" t="n">
        <f aca="false">IFERROR(U626/S626,0)</f>
        <v>-0.0827139447664507</v>
      </c>
      <c r="W626" s="5" t="str">
        <f aca="false">IF(V626&lt;-0.1,"ADVERSE &gt;10%","")</f>
        <v/>
      </c>
    </row>
    <row r="627" customFormat="false" ht="15" hidden="false" customHeight="false" outlineLevel="0" collapsed="false">
      <c r="A627" s="5" t="str">
        <f aca="false">01_Data!A627</f>
        <v>Retail &amp; Consumer</v>
      </c>
      <c r="B627" s="5" t="str">
        <f aca="false">01_Data!C627</f>
        <v>2024-05</v>
      </c>
      <c r="C627" s="5" t="str">
        <f aca="false">01_Data!D627</f>
        <v>FY24</v>
      </c>
      <c r="D627" s="7" t="n">
        <f aca="false">01_Data!E627</f>
        <v>89792</v>
      </c>
      <c r="E627" s="7" t="n">
        <f aca="false">01_Data!F627</f>
        <v>87524</v>
      </c>
      <c r="F627" s="7" t="n">
        <f aca="false">E627-D627</f>
        <v>-2268</v>
      </c>
      <c r="G627" s="8" t="n">
        <f aca="false">IFERROR(F627/D627,0)</f>
        <v>-0.0252583749109052</v>
      </c>
      <c r="H627" s="7" t="n">
        <f aca="false">01_Data!G627</f>
        <v>49139</v>
      </c>
      <c r="I627" s="7" t="n">
        <f aca="false">01_Data!H627</f>
        <v>49546</v>
      </c>
      <c r="J627" s="7" t="n">
        <f aca="false">H627-I627</f>
        <v>-407</v>
      </c>
      <c r="K627" s="8" t="n">
        <f aca="false">IFERROR(J627/H627,0)</f>
        <v>-0.00828262683408291</v>
      </c>
      <c r="L627" s="7" t="n">
        <f aca="false">D627-H627</f>
        <v>40653</v>
      </c>
      <c r="M627" s="7" t="n">
        <f aca="false">E627-I627</f>
        <v>37978</v>
      </c>
      <c r="N627" s="7" t="n">
        <f aca="false">IFERROR(L627/D627,0)</f>
        <v>0.452746347113329</v>
      </c>
      <c r="O627" s="7" t="n">
        <f aca="false">IFERROR(M627/E627,0)</f>
        <v>0.433915268954801</v>
      </c>
      <c r="P627" s="7" t="n">
        <f aca="false">01_Data!I627+01_Data!K627+01_Data!M627+01_Data!O627+01_Data!Q627+01_Data!S627+01_Data!U627</f>
        <v>24225</v>
      </c>
      <c r="Q627" s="7" t="n">
        <f aca="false">01_Data!J627+01_Data!L627+01_Data!N627+01_Data!P627+01_Data!R627+01_Data!T627+01_Data!V627</f>
        <v>24764</v>
      </c>
      <c r="R627" s="7" t="n">
        <f aca="false">P627-Q627</f>
        <v>-539</v>
      </c>
      <c r="S627" s="7" t="n">
        <f aca="false">L627-P627</f>
        <v>16428</v>
      </c>
      <c r="T627" s="7" t="n">
        <f aca="false">M627-Q627</f>
        <v>13214</v>
      </c>
      <c r="U627" s="7" t="n">
        <f aca="false">T627-S627</f>
        <v>-3214</v>
      </c>
      <c r="V627" s="8" t="n">
        <f aca="false">IFERROR(U627/S627,0)</f>
        <v>-0.195641587533479</v>
      </c>
      <c r="W627" s="5" t="str">
        <f aca="false">IF(V627&lt;-0.1,"ADVERSE &gt;10%","")</f>
        <v>ADVERSE &gt;10%</v>
      </c>
    </row>
    <row r="628" customFormat="false" ht="15" hidden="false" customHeight="false" outlineLevel="0" collapsed="false">
      <c r="A628" s="5" t="str">
        <f aca="false">01_Data!A628</f>
        <v>Retail &amp; Consumer</v>
      </c>
      <c r="B628" s="5" t="str">
        <f aca="false">01_Data!C628</f>
        <v>2024-06</v>
      </c>
      <c r="C628" s="5" t="str">
        <f aca="false">01_Data!D628</f>
        <v>FY24</v>
      </c>
      <c r="D628" s="7" t="n">
        <f aca="false">01_Data!E628</f>
        <v>83394</v>
      </c>
      <c r="E628" s="7" t="n">
        <f aca="false">01_Data!F628</f>
        <v>87094</v>
      </c>
      <c r="F628" s="7" t="n">
        <f aca="false">E628-D628</f>
        <v>3700</v>
      </c>
      <c r="G628" s="8" t="n">
        <f aca="false">IFERROR(F628/D628,0)</f>
        <v>0.0443677003141713</v>
      </c>
      <c r="H628" s="7" t="n">
        <f aca="false">01_Data!G628</f>
        <v>46346</v>
      </c>
      <c r="I628" s="7" t="n">
        <f aca="false">01_Data!H628</f>
        <v>50254</v>
      </c>
      <c r="J628" s="7" t="n">
        <f aca="false">H628-I628</f>
        <v>-3908</v>
      </c>
      <c r="K628" s="8" t="n">
        <f aca="false">IFERROR(J628/H628,0)</f>
        <v>-0.0843222716092004</v>
      </c>
      <c r="L628" s="7" t="n">
        <f aca="false">D628-H628</f>
        <v>37048</v>
      </c>
      <c r="M628" s="7" t="n">
        <f aca="false">E628-I628</f>
        <v>36840</v>
      </c>
      <c r="N628" s="7" t="n">
        <f aca="false">IFERROR(L628/D628,0)</f>
        <v>0.444252584118762</v>
      </c>
      <c r="O628" s="7" t="n">
        <f aca="false">IFERROR(M628/E628,0)</f>
        <v>0.422991250832434</v>
      </c>
      <c r="P628" s="7" t="n">
        <f aca="false">01_Data!I628+01_Data!K628+01_Data!M628+01_Data!O628+01_Data!Q628+01_Data!S628+01_Data!U628</f>
        <v>22151</v>
      </c>
      <c r="Q628" s="7" t="n">
        <f aca="false">01_Data!J628+01_Data!L628+01_Data!N628+01_Data!P628+01_Data!R628+01_Data!T628+01_Data!V628</f>
        <v>22158</v>
      </c>
      <c r="R628" s="7" t="n">
        <f aca="false">P628-Q628</f>
        <v>-7</v>
      </c>
      <c r="S628" s="7" t="n">
        <f aca="false">L628-P628</f>
        <v>14897</v>
      </c>
      <c r="T628" s="7" t="n">
        <f aca="false">M628-Q628</f>
        <v>14682</v>
      </c>
      <c r="U628" s="7" t="n">
        <f aca="false">T628-S628</f>
        <v>-215</v>
      </c>
      <c r="V628" s="8" t="n">
        <f aca="false">IFERROR(U628/S628,0)</f>
        <v>-0.0144324360609519</v>
      </c>
      <c r="W628" s="5" t="str">
        <f aca="false">IF(V628&lt;-0.1,"ADVERSE &gt;10%","")</f>
        <v/>
      </c>
    </row>
    <row r="629" customFormat="false" ht="15" hidden="false" customHeight="false" outlineLevel="0" collapsed="false">
      <c r="A629" s="5" t="str">
        <f aca="false">01_Data!A629</f>
        <v>Retail &amp; Consumer</v>
      </c>
      <c r="B629" s="5" t="str">
        <f aca="false">01_Data!C629</f>
        <v>2024-07</v>
      </c>
      <c r="C629" s="5" t="str">
        <f aca="false">01_Data!D629</f>
        <v>FY24</v>
      </c>
      <c r="D629" s="7" t="n">
        <f aca="false">01_Data!E629</f>
        <v>85004</v>
      </c>
      <c r="E629" s="7" t="n">
        <f aca="false">01_Data!F629</f>
        <v>87145</v>
      </c>
      <c r="F629" s="7" t="n">
        <f aca="false">E629-D629</f>
        <v>2141</v>
      </c>
      <c r="G629" s="8" t="n">
        <f aca="false">IFERROR(F629/D629,0)</f>
        <v>0.0251870500211755</v>
      </c>
      <c r="H629" s="7" t="n">
        <f aca="false">01_Data!G629</f>
        <v>48170</v>
      </c>
      <c r="I629" s="7" t="n">
        <f aca="false">01_Data!H629</f>
        <v>51071</v>
      </c>
      <c r="J629" s="7" t="n">
        <f aca="false">H629-I629</f>
        <v>-2901</v>
      </c>
      <c r="K629" s="8" t="n">
        <f aca="false">IFERROR(J629/H629,0)</f>
        <v>-0.0602242059373054</v>
      </c>
      <c r="L629" s="7" t="n">
        <f aca="false">D629-H629</f>
        <v>36834</v>
      </c>
      <c r="M629" s="7" t="n">
        <f aca="false">E629-I629</f>
        <v>36074</v>
      </c>
      <c r="N629" s="7" t="n">
        <f aca="false">IFERROR(L629/D629,0)</f>
        <v>0.43332078490424</v>
      </c>
      <c r="O629" s="7" t="n">
        <f aca="false">IFERROR(M629/E629,0)</f>
        <v>0.413953755235527</v>
      </c>
      <c r="P629" s="7" t="n">
        <f aca="false">01_Data!I629+01_Data!K629+01_Data!M629+01_Data!O629+01_Data!Q629+01_Data!S629+01_Data!U629</f>
        <v>23127</v>
      </c>
      <c r="Q629" s="7" t="n">
        <f aca="false">01_Data!J629+01_Data!L629+01_Data!N629+01_Data!P629+01_Data!R629+01_Data!T629+01_Data!V629</f>
        <v>23566</v>
      </c>
      <c r="R629" s="7" t="n">
        <f aca="false">P629-Q629</f>
        <v>-439</v>
      </c>
      <c r="S629" s="7" t="n">
        <f aca="false">L629-P629</f>
        <v>13707</v>
      </c>
      <c r="T629" s="7" t="n">
        <f aca="false">M629-Q629</f>
        <v>12508</v>
      </c>
      <c r="U629" s="7" t="n">
        <f aca="false">T629-S629</f>
        <v>-1199</v>
      </c>
      <c r="V629" s="8" t="n">
        <f aca="false">IFERROR(U629/S629,0)</f>
        <v>-0.0874735536587145</v>
      </c>
      <c r="W629" s="5" t="str">
        <f aca="false">IF(V629&lt;-0.1,"ADVERSE &gt;10%","")</f>
        <v/>
      </c>
    </row>
    <row r="630" customFormat="false" ht="15" hidden="false" customHeight="false" outlineLevel="0" collapsed="false">
      <c r="A630" s="5" t="str">
        <f aca="false">01_Data!A630</f>
        <v>Retail &amp; Consumer</v>
      </c>
      <c r="B630" s="5" t="str">
        <f aca="false">01_Data!C630</f>
        <v>2024-08</v>
      </c>
      <c r="C630" s="5" t="str">
        <f aca="false">01_Data!D630</f>
        <v>FY24</v>
      </c>
      <c r="D630" s="7" t="n">
        <f aca="false">01_Data!E630</f>
        <v>85668</v>
      </c>
      <c r="E630" s="7" t="n">
        <f aca="false">01_Data!F630</f>
        <v>87830</v>
      </c>
      <c r="F630" s="7" t="n">
        <f aca="false">E630-D630</f>
        <v>2162</v>
      </c>
      <c r="G630" s="8" t="n">
        <f aca="false">IFERROR(F630/D630,0)</f>
        <v>0.0252369612924312</v>
      </c>
      <c r="H630" s="7" t="n">
        <f aca="false">01_Data!G630</f>
        <v>50084</v>
      </c>
      <c r="I630" s="7" t="n">
        <f aca="false">01_Data!H630</f>
        <v>52643</v>
      </c>
      <c r="J630" s="7" t="n">
        <f aca="false">H630-I630</f>
        <v>-2559</v>
      </c>
      <c r="K630" s="8" t="n">
        <f aca="false">IFERROR(J630/H630,0)</f>
        <v>-0.0510941618081623</v>
      </c>
      <c r="L630" s="7" t="n">
        <f aca="false">D630-H630</f>
        <v>35584</v>
      </c>
      <c r="M630" s="7" t="n">
        <f aca="false">E630-I630</f>
        <v>35187</v>
      </c>
      <c r="N630" s="7" t="n">
        <f aca="false">IFERROR(L630/D630,0)</f>
        <v>0.415370966988841</v>
      </c>
      <c r="O630" s="7" t="n">
        <f aca="false">IFERROR(M630/E630,0)</f>
        <v>0.400626209723329</v>
      </c>
      <c r="P630" s="7" t="n">
        <f aca="false">01_Data!I630+01_Data!K630+01_Data!M630+01_Data!O630+01_Data!Q630+01_Data!S630+01_Data!U630</f>
        <v>21245</v>
      </c>
      <c r="Q630" s="7" t="n">
        <f aca="false">01_Data!J630+01_Data!L630+01_Data!N630+01_Data!P630+01_Data!R630+01_Data!T630+01_Data!V630</f>
        <v>21741</v>
      </c>
      <c r="R630" s="7" t="n">
        <f aca="false">P630-Q630</f>
        <v>-496</v>
      </c>
      <c r="S630" s="7" t="n">
        <f aca="false">L630-P630</f>
        <v>14339</v>
      </c>
      <c r="T630" s="7" t="n">
        <f aca="false">M630-Q630</f>
        <v>13446</v>
      </c>
      <c r="U630" s="7" t="n">
        <f aca="false">T630-S630</f>
        <v>-893</v>
      </c>
      <c r="V630" s="8" t="n">
        <f aca="false">IFERROR(U630/S630,0)</f>
        <v>-0.0622777041634703</v>
      </c>
      <c r="W630" s="5" t="str">
        <f aca="false">IF(V630&lt;-0.1,"ADVERSE &gt;10%","")</f>
        <v/>
      </c>
    </row>
    <row r="631" customFormat="false" ht="15" hidden="false" customHeight="false" outlineLevel="0" collapsed="false">
      <c r="A631" s="5" t="str">
        <f aca="false">01_Data!A631</f>
        <v>Retail &amp; Consumer</v>
      </c>
      <c r="B631" s="5" t="str">
        <f aca="false">01_Data!C631</f>
        <v>2024-09</v>
      </c>
      <c r="C631" s="5" t="str">
        <f aca="false">01_Data!D631</f>
        <v>FY24</v>
      </c>
      <c r="D631" s="7" t="n">
        <f aca="false">01_Data!E631</f>
        <v>94970</v>
      </c>
      <c r="E631" s="7" t="n">
        <f aca="false">01_Data!F631</f>
        <v>96779</v>
      </c>
      <c r="F631" s="7" t="n">
        <f aca="false">E631-D631</f>
        <v>1809</v>
      </c>
      <c r="G631" s="8" t="n">
        <f aca="false">IFERROR(F631/D631,0)</f>
        <v>0.0190481204590923</v>
      </c>
      <c r="H631" s="7" t="n">
        <f aca="false">01_Data!G631</f>
        <v>52172</v>
      </c>
      <c r="I631" s="7" t="n">
        <f aca="false">01_Data!H631</f>
        <v>55356</v>
      </c>
      <c r="J631" s="7" t="n">
        <f aca="false">H631-I631</f>
        <v>-3184</v>
      </c>
      <c r="K631" s="8" t="n">
        <f aca="false">IFERROR(J631/H631,0)</f>
        <v>-0.0610289043931611</v>
      </c>
      <c r="L631" s="7" t="n">
        <f aca="false">D631-H631</f>
        <v>42798</v>
      </c>
      <c r="M631" s="7" t="n">
        <f aca="false">E631-I631</f>
        <v>41423</v>
      </c>
      <c r="N631" s="7" t="n">
        <f aca="false">IFERROR(L631/D631,0)</f>
        <v>0.450647572917764</v>
      </c>
      <c r="O631" s="7" t="n">
        <f aca="false">IFERROR(M631/E631,0)</f>
        <v>0.428016408518377</v>
      </c>
      <c r="P631" s="7" t="n">
        <f aca="false">01_Data!I631+01_Data!K631+01_Data!M631+01_Data!O631+01_Data!Q631+01_Data!S631+01_Data!U631</f>
        <v>24098</v>
      </c>
      <c r="Q631" s="7" t="n">
        <f aca="false">01_Data!J631+01_Data!L631+01_Data!N631+01_Data!P631+01_Data!R631+01_Data!T631+01_Data!V631</f>
        <v>24463</v>
      </c>
      <c r="R631" s="7" t="n">
        <f aca="false">P631-Q631</f>
        <v>-365</v>
      </c>
      <c r="S631" s="7" t="n">
        <f aca="false">L631-P631</f>
        <v>18700</v>
      </c>
      <c r="T631" s="7" t="n">
        <f aca="false">M631-Q631</f>
        <v>16960</v>
      </c>
      <c r="U631" s="7" t="n">
        <f aca="false">T631-S631</f>
        <v>-1740</v>
      </c>
      <c r="V631" s="8" t="n">
        <f aca="false">IFERROR(U631/S631,0)</f>
        <v>-0.093048128342246</v>
      </c>
      <c r="W631" s="5" t="str">
        <f aca="false">IF(V631&lt;-0.1,"ADVERSE &gt;10%","")</f>
        <v/>
      </c>
    </row>
    <row r="632" customFormat="false" ht="15" hidden="false" customHeight="false" outlineLevel="0" collapsed="false">
      <c r="A632" s="5" t="str">
        <f aca="false">01_Data!A632</f>
        <v>Retail &amp; Consumer</v>
      </c>
      <c r="B632" s="5" t="str">
        <f aca="false">01_Data!C632</f>
        <v>2024-10</v>
      </c>
      <c r="C632" s="5" t="str">
        <f aca="false">01_Data!D632</f>
        <v>FY24</v>
      </c>
      <c r="D632" s="7" t="n">
        <f aca="false">01_Data!E632</f>
        <v>92552</v>
      </c>
      <c r="E632" s="7" t="n">
        <f aca="false">01_Data!F632</f>
        <v>89447</v>
      </c>
      <c r="F632" s="7" t="n">
        <f aca="false">E632-D632</f>
        <v>-3105</v>
      </c>
      <c r="G632" s="8" t="n">
        <f aca="false">IFERROR(F632/D632,0)</f>
        <v>-0.0335487077534791</v>
      </c>
      <c r="H632" s="7" t="n">
        <f aca="false">01_Data!G632</f>
        <v>53588</v>
      </c>
      <c r="I632" s="7" t="n">
        <f aca="false">01_Data!H632</f>
        <v>51595</v>
      </c>
      <c r="J632" s="7" t="n">
        <f aca="false">H632-I632</f>
        <v>1993</v>
      </c>
      <c r="K632" s="8" t="n">
        <f aca="false">IFERROR(J632/H632,0)</f>
        <v>0.0371911622004927</v>
      </c>
      <c r="L632" s="7" t="n">
        <f aca="false">D632-H632</f>
        <v>38964</v>
      </c>
      <c r="M632" s="7" t="n">
        <f aca="false">E632-I632</f>
        <v>37852</v>
      </c>
      <c r="N632" s="7" t="n">
        <f aca="false">IFERROR(L632/D632,0)</f>
        <v>0.420995764543176</v>
      </c>
      <c r="O632" s="7" t="n">
        <f aca="false">IFERROR(M632/E632,0)</f>
        <v>0.423177971312621</v>
      </c>
      <c r="P632" s="7" t="n">
        <f aca="false">01_Data!I632+01_Data!K632+01_Data!M632+01_Data!O632+01_Data!Q632+01_Data!S632+01_Data!U632</f>
        <v>24975</v>
      </c>
      <c r="Q632" s="7" t="n">
        <f aca="false">01_Data!J632+01_Data!L632+01_Data!N632+01_Data!P632+01_Data!R632+01_Data!T632+01_Data!V632</f>
        <v>26313</v>
      </c>
      <c r="R632" s="7" t="n">
        <f aca="false">P632-Q632</f>
        <v>-1338</v>
      </c>
      <c r="S632" s="7" t="n">
        <f aca="false">L632-P632</f>
        <v>13989</v>
      </c>
      <c r="T632" s="7" t="n">
        <f aca="false">M632-Q632</f>
        <v>11539</v>
      </c>
      <c r="U632" s="7" t="n">
        <f aca="false">T632-S632</f>
        <v>-2450</v>
      </c>
      <c r="V632" s="8" t="n">
        <f aca="false">IFERROR(U632/S632,0)</f>
        <v>-0.175137608120666</v>
      </c>
      <c r="W632" s="5" t="str">
        <f aca="false">IF(V632&lt;-0.1,"ADVERSE &gt;10%","")</f>
        <v>ADVERSE &gt;10%</v>
      </c>
    </row>
    <row r="633" customFormat="false" ht="15" hidden="false" customHeight="false" outlineLevel="0" collapsed="false">
      <c r="A633" s="5" t="str">
        <f aca="false">01_Data!A633</f>
        <v>Retail &amp; Consumer</v>
      </c>
      <c r="B633" s="5" t="str">
        <f aca="false">01_Data!C633</f>
        <v>2024-11</v>
      </c>
      <c r="C633" s="5" t="str">
        <f aca="false">01_Data!D633</f>
        <v>FY24</v>
      </c>
      <c r="D633" s="7" t="n">
        <f aca="false">01_Data!E633</f>
        <v>90938</v>
      </c>
      <c r="E633" s="7" t="n">
        <f aca="false">01_Data!F633</f>
        <v>90560</v>
      </c>
      <c r="F633" s="7" t="n">
        <f aca="false">E633-D633</f>
        <v>-378</v>
      </c>
      <c r="G633" s="8" t="n">
        <f aca="false">IFERROR(F633/D633,0)</f>
        <v>-0.00415667817633992</v>
      </c>
      <c r="H633" s="7" t="n">
        <f aca="false">01_Data!G633</f>
        <v>53151</v>
      </c>
      <c r="I633" s="7" t="n">
        <f aca="false">01_Data!H633</f>
        <v>55070</v>
      </c>
      <c r="J633" s="7" t="n">
        <f aca="false">H633-I633</f>
        <v>-1919</v>
      </c>
      <c r="K633" s="8" t="n">
        <f aca="false">IFERROR(J633/H633,0)</f>
        <v>-0.0361046828846118</v>
      </c>
      <c r="L633" s="7" t="n">
        <f aca="false">D633-H633</f>
        <v>37787</v>
      </c>
      <c r="M633" s="7" t="n">
        <f aca="false">E633-I633</f>
        <v>35490</v>
      </c>
      <c r="N633" s="7" t="n">
        <f aca="false">IFERROR(L633/D633,0)</f>
        <v>0.415524863093536</v>
      </c>
      <c r="O633" s="7" t="n">
        <f aca="false">IFERROR(M633/E633,0)</f>
        <v>0.391894876325088</v>
      </c>
      <c r="P633" s="7" t="n">
        <f aca="false">01_Data!I633+01_Data!K633+01_Data!M633+01_Data!O633+01_Data!Q633+01_Data!S633+01_Data!U633</f>
        <v>25563</v>
      </c>
      <c r="Q633" s="7" t="n">
        <f aca="false">01_Data!J633+01_Data!L633+01_Data!N633+01_Data!P633+01_Data!R633+01_Data!T633+01_Data!V633</f>
        <v>25126</v>
      </c>
      <c r="R633" s="7" t="n">
        <f aca="false">P633-Q633</f>
        <v>437</v>
      </c>
      <c r="S633" s="7" t="n">
        <f aca="false">L633-P633</f>
        <v>12224</v>
      </c>
      <c r="T633" s="7" t="n">
        <f aca="false">M633-Q633</f>
        <v>10364</v>
      </c>
      <c r="U633" s="7" t="n">
        <f aca="false">T633-S633</f>
        <v>-1860</v>
      </c>
      <c r="V633" s="8" t="n">
        <f aca="false">IFERROR(U633/S633,0)</f>
        <v>-0.152159685863874</v>
      </c>
      <c r="W633" s="5" t="str">
        <f aca="false">IF(V633&lt;-0.1,"ADVERSE &gt;10%","")</f>
        <v>ADVERSE &gt;10%</v>
      </c>
    </row>
    <row r="634" customFormat="false" ht="15" hidden="false" customHeight="false" outlineLevel="0" collapsed="false">
      <c r="A634" s="5" t="str">
        <f aca="false">01_Data!A634</f>
        <v>Retail &amp; Consumer</v>
      </c>
      <c r="B634" s="5" t="str">
        <f aca="false">01_Data!C634</f>
        <v>2024-12</v>
      </c>
      <c r="C634" s="5" t="str">
        <f aca="false">01_Data!D634</f>
        <v>FY24</v>
      </c>
      <c r="D634" s="7" t="n">
        <f aca="false">01_Data!E634</f>
        <v>95767</v>
      </c>
      <c r="E634" s="7" t="n">
        <f aca="false">01_Data!F634</f>
        <v>99467</v>
      </c>
      <c r="F634" s="7" t="n">
        <f aca="false">E634-D634</f>
        <v>3700</v>
      </c>
      <c r="G634" s="8" t="n">
        <f aca="false">IFERROR(F634/D634,0)</f>
        <v>0.038635438094542</v>
      </c>
      <c r="H634" s="7" t="n">
        <f aca="false">01_Data!G634</f>
        <v>56487</v>
      </c>
      <c r="I634" s="7" t="n">
        <f aca="false">01_Data!H634</f>
        <v>56997</v>
      </c>
      <c r="J634" s="7" t="n">
        <f aca="false">H634-I634</f>
        <v>-510</v>
      </c>
      <c r="K634" s="8" t="n">
        <f aca="false">IFERROR(J634/H634,0)</f>
        <v>-0.00902862605555261</v>
      </c>
      <c r="L634" s="7" t="n">
        <f aca="false">D634-H634</f>
        <v>39280</v>
      </c>
      <c r="M634" s="7" t="n">
        <f aca="false">E634-I634</f>
        <v>42470</v>
      </c>
      <c r="N634" s="7" t="n">
        <f aca="false">IFERROR(L634/D634,0)</f>
        <v>0.410162164419894</v>
      </c>
      <c r="O634" s="7" t="n">
        <f aca="false">IFERROR(M634/E634,0)</f>
        <v>0.426975780912262</v>
      </c>
      <c r="P634" s="7" t="n">
        <f aca="false">01_Data!I634+01_Data!K634+01_Data!M634+01_Data!O634+01_Data!Q634+01_Data!S634+01_Data!U634</f>
        <v>26046</v>
      </c>
      <c r="Q634" s="7" t="n">
        <f aca="false">01_Data!J634+01_Data!L634+01_Data!N634+01_Data!P634+01_Data!R634+01_Data!T634+01_Data!V634</f>
        <v>26303</v>
      </c>
      <c r="R634" s="7" t="n">
        <f aca="false">P634-Q634</f>
        <v>-257</v>
      </c>
      <c r="S634" s="7" t="n">
        <f aca="false">L634-P634</f>
        <v>13234</v>
      </c>
      <c r="T634" s="7" t="n">
        <f aca="false">M634-Q634</f>
        <v>16167</v>
      </c>
      <c r="U634" s="7" t="n">
        <f aca="false">T634-S634</f>
        <v>2933</v>
      </c>
      <c r="V634" s="8" t="n">
        <f aca="false">IFERROR(U634/S634,0)</f>
        <v>0.221626114553423</v>
      </c>
      <c r="W634" s="5" t="str">
        <f aca="false">IF(V634&lt;-0.1,"ADVERSE &gt;10%","")</f>
        <v/>
      </c>
    </row>
    <row r="635" customFormat="false" ht="15" hidden="false" customHeight="false" outlineLevel="0" collapsed="false">
      <c r="A635" s="5" t="str">
        <f aca="false">01_Data!A635</f>
        <v>Retail &amp; Consumer</v>
      </c>
      <c r="B635" s="5" t="str">
        <f aca="false">01_Data!C635</f>
        <v>2025-01</v>
      </c>
      <c r="C635" s="5" t="str">
        <f aca="false">01_Data!D635</f>
        <v>FY24</v>
      </c>
      <c r="D635" s="7" t="n">
        <f aca="false">01_Data!E635</f>
        <v>90278</v>
      </c>
      <c r="E635" s="7" t="n">
        <f aca="false">01_Data!F635</f>
        <v>89821</v>
      </c>
      <c r="F635" s="7" t="n">
        <f aca="false">E635-D635</f>
        <v>-457</v>
      </c>
      <c r="G635" s="8" t="n">
        <f aca="false">IFERROR(F635/D635,0)</f>
        <v>-0.00506214138549813</v>
      </c>
      <c r="H635" s="7" t="n">
        <f aca="false">01_Data!G635</f>
        <v>49915</v>
      </c>
      <c r="I635" s="7" t="n">
        <f aca="false">01_Data!H635</f>
        <v>50054</v>
      </c>
      <c r="J635" s="7" t="n">
        <f aca="false">H635-I635</f>
        <v>-139</v>
      </c>
      <c r="K635" s="8" t="n">
        <f aca="false">IFERROR(J635/H635,0)</f>
        <v>-0.0027847340478814</v>
      </c>
      <c r="L635" s="7" t="n">
        <f aca="false">D635-H635</f>
        <v>40363</v>
      </c>
      <c r="M635" s="7" t="n">
        <f aca="false">E635-I635</f>
        <v>39767</v>
      </c>
      <c r="N635" s="7" t="n">
        <f aca="false">IFERROR(L635/D635,0)</f>
        <v>0.447096745608011</v>
      </c>
      <c r="O635" s="7" t="n">
        <f aca="false">IFERROR(M635/E635,0)</f>
        <v>0.442736108482426</v>
      </c>
      <c r="P635" s="7" t="n">
        <f aca="false">01_Data!I635+01_Data!K635+01_Data!M635+01_Data!O635+01_Data!Q635+01_Data!S635+01_Data!U635</f>
        <v>24653</v>
      </c>
      <c r="Q635" s="7" t="n">
        <f aca="false">01_Data!J635+01_Data!L635+01_Data!N635+01_Data!P635+01_Data!R635+01_Data!T635+01_Data!V635</f>
        <v>25277</v>
      </c>
      <c r="R635" s="7" t="n">
        <f aca="false">P635-Q635</f>
        <v>-624</v>
      </c>
      <c r="S635" s="7" t="n">
        <f aca="false">L635-P635</f>
        <v>15710</v>
      </c>
      <c r="T635" s="7" t="n">
        <f aca="false">M635-Q635</f>
        <v>14490</v>
      </c>
      <c r="U635" s="7" t="n">
        <f aca="false">T635-S635</f>
        <v>-1220</v>
      </c>
      <c r="V635" s="8" t="n">
        <f aca="false">IFERROR(U635/S635,0)</f>
        <v>-0.0776575429662635</v>
      </c>
      <c r="W635" s="5" t="str">
        <f aca="false">IF(V635&lt;-0.1,"ADVERSE &gt;10%","")</f>
        <v/>
      </c>
    </row>
    <row r="636" customFormat="false" ht="15" hidden="false" customHeight="false" outlineLevel="0" collapsed="false">
      <c r="A636" s="5" t="str">
        <f aca="false">01_Data!A636</f>
        <v>Retail &amp; Consumer</v>
      </c>
      <c r="B636" s="5" t="str">
        <f aca="false">01_Data!C636</f>
        <v>2025-02</v>
      </c>
      <c r="C636" s="5" t="str">
        <f aca="false">01_Data!D636</f>
        <v>FY24</v>
      </c>
      <c r="D636" s="7" t="n">
        <f aca="false">01_Data!E636</f>
        <v>89648</v>
      </c>
      <c r="E636" s="7" t="n">
        <f aca="false">01_Data!F636</f>
        <v>89570</v>
      </c>
      <c r="F636" s="7" t="n">
        <f aca="false">E636-D636</f>
        <v>-78</v>
      </c>
      <c r="G636" s="8" t="n">
        <f aca="false">IFERROR(F636/D636,0)</f>
        <v>-0.000870069605568445</v>
      </c>
      <c r="H636" s="7" t="n">
        <f aca="false">01_Data!G636</f>
        <v>51176</v>
      </c>
      <c r="I636" s="7" t="n">
        <f aca="false">01_Data!H636</f>
        <v>53601</v>
      </c>
      <c r="J636" s="7" t="n">
        <f aca="false">H636-I636</f>
        <v>-2425</v>
      </c>
      <c r="K636" s="8" t="n">
        <f aca="false">IFERROR(J636/H636,0)</f>
        <v>-0.0473854931999375</v>
      </c>
      <c r="L636" s="7" t="n">
        <f aca="false">D636-H636</f>
        <v>38472</v>
      </c>
      <c r="M636" s="7" t="n">
        <f aca="false">E636-I636</f>
        <v>35969</v>
      </c>
      <c r="N636" s="7" t="n">
        <f aca="false">IFERROR(L636/D636,0)</f>
        <v>0.429145100838836</v>
      </c>
      <c r="O636" s="7" t="n">
        <f aca="false">IFERROR(M636/E636,0)</f>
        <v>0.401574187786089</v>
      </c>
      <c r="P636" s="7" t="n">
        <f aca="false">01_Data!I636+01_Data!K636+01_Data!M636+01_Data!O636+01_Data!Q636+01_Data!S636+01_Data!U636</f>
        <v>23241</v>
      </c>
      <c r="Q636" s="7" t="n">
        <f aca="false">01_Data!J636+01_Data!L636+01_Data!N636+01_Data!P636+01_Data!R636+01_Data!T636+01_Data!V636</f>
        <v>24342</v>
      </c>
      <c r="R636" s="7" t="n">
        <f aca="false">P636-Q636</f>
        <v>-1101</v>
      </c>
      <c r="S636" s="7" t="n">
        <f aca="false">L636-P636</f>
        <v>15231</v>
      </c>
      <c r="T636" s="7" t="n">
        <f aca="false">M636-Q636</f>
        <v>11627</v>
      </c>
      <c r="U636" s="7" t="n">
        <f aca="false">T636-S636</f>
        <v>-3604</v>
      </c>
      <c r="V636" s="8" t="n">
        <f aca="false">IFERROR(U636/S636,0)</f>
        <v>-0.23662267743418</v>
      </c>
      <c r="W636" s="5" t="str">
        <f aca="false">IF(V636&lt;-0.1,"ADVERSE &gt;10%","")</f>
        <v>ADVERSE &gt;10%</v>
      </c>
    </row>
    <row r="637" customFormat="false" ht="15" hidden="false" customHeight="false" outlineLevel="0" collapsed="false">
      <c r="A637" s="5" t="str">
        <f aca="false">01_Data!A637</f>
        <v>Retail &amp; Consumer</v>
      </c>
      <c r="B637" s="5" t="str">
        <f aca="false">01_Data!C637</f>
        <v>2025-03</v>
      </c>
      <c r="C637" s="5" t="str">
        <f aca="false">01_Data!D637</f>
        <v>FY24</v>
      </c>
      <c r="D637" s="7" t="n">
        <f aca="false">01_Data!E637</f>
        <v>97475</v>
      </c>
      <c r="E637" s="7" t="n">
        <f aca="false">01_Data!F637</f>
        <v>98277</v>
      </c>
      <c r="F637" s="7" t="n">
        <f aca="false">E637-D637</f>
        <v>802</v>
      </c>
      <c r="G637" s="8" t="n">
        <f aca="false">IFERROR(F637/D637,0)</f>
        <v>0.00822775070530905</v>
      </c>
      <c r="H637" s="7" t="n">
        <f aca="false">01_Data!G637</f>
        <v>54418</v>
      </c>
      <c r="I637" s="7" t="n">
        <f aca="false">01_Data!H637</f>
        <v>57447</v>
      </c>
      <c r="J637" s="7" t="n">
        <f aca="false">H637-I637</f>
        <v>-3029</v>
      </c>
      <c r="K637" s="8" t="n">
        <f aca="false">IFERROR(J637/H637,0)</f>
        <v>-0.0556617295747731</v>
      </c>
      <c r="L637" s="7" t="n">
        <f aca="false">D637-H637</f>
        <v>43057</v>
      </c>
      <c r="M637" s="7" t="n">
        <f aca="false">E637-I637</f>
        <v>40830</v>
      </c>
      <c r="N637" s="7" t="n">
        <f aca="false">IFERROR(L637/D637,0)</f>
        <v>0.441723518850987</v>
      </c>
      <c r="O637" s="7" t="n">
        <f aca="false">IFERROR(M637/E637,0)</f>
        <v>0.415458347324399</v>
      </c>
      <c r="P637" s="7" t="n">
        <f aca="false">01_Data!I637+01_Data!K637+01_Data!M637+01_Data!O637+01_Data!Q637+01_Data!S637+01_Data!U637</f>
        <v>25561</v>
      </c>
      <c r="Q637" s="7" t="n">
        <f aca="false">01_Data!J637+01_Data!L637+01_Data!N637+01_Data!P637+01_Data!R637+01_Data!T637+01_Data!V637</f>
        <v>26160</v>
      </c>
      <c r="R637" s="7" t="n">
        <f aca="false">P637-Q637</f>
        <v>-599</v>
      </c>
      <c r="S637" s="7" t="n">
        <f aca="false">L637-P637</f>
        <v>17496</v>
      </c>
      <c r="T637" s="7" t="n">
        <f aca="false">M637-Q637</f>
        <v>14670</v>
      </c>
      <c r="U637" s="7" t="n">
        <f aca="false">T637-S637</f>
        <v>-2826</v>
      </c>
      <c r="V637" s="8" t="n">
        <f aca="false">IFERROR(U637/S637,0)</f>
        <v>-0.161522633744856</v>
      </c>
      <c r="W637" s="5" t="str">
        <f aca="false">IF(V637&lt;-0.1,"ADVERSE &gt;10%","")</f>
        <v>ADVERSE &gt;10%</v>
      </c>
    </row>
    <row r="638" customFormat="false" ht="15" hidden="false" customHeight="false" outlineLevel="0" collapsed="false">
      <c r="A638" s="5" t="str">
        <f aca="false">01_Data!A638</f>
        <v>Retail &amp; Consumer</v>
      </c>
      <c r="B638" s="5" t="str">
        <f aca="false">01_Data!C638</f>
        <v>2025-04</v>
      </c>
      <c r="C638" s="5" t="str">
        <f aca="false">01_Data!D638</f>
        <v>FY25</v>
      </c>
      <c r="D638" s="7" t="n">
        <f aca="false">01_Data!E638</f>
        <v>84939</v>
      </c>
      <c r="E638" s="7" t="n">
        <f aca="false">01_Data!F638</f>
        <v>88592</v>
      </c>
      <c r="F638" s="7" t="n">
        <f aca="false">E638-D638</f>
        <v>3653</v>
      </c>
      <c r="G638" s="8" t="n">
        <f aca="false">IFERROR(F638/D638,0)</f>
        <v>0.043007334675473</v>
      </c>
      <c r="H638" s="7" t="n">
        <f aca="false">01_Data!G638</f>
        <v>49773</v>
      </c>
      <c r="I638" s="7" t="n">
        <f aca="false">01_Data!H638</f>
        <v>53622</v>
      </c>
      <c r="J638" s="7" t="n">
        <f aca="false">H638-I638</f>
        <v>-3849</v>
      </c>
      <c r="K638" s="8" t="n">
        <f aca="false">IFERROR(J638/H638,0)</f>
        <v>-0.0773310831173528</v>
      </c>
      <c r="L638" s="7" t="n">
        <f aca="false">D638-H638</f>
        <v>35166</v>
      </c>
      <c r="M638" s="7" t="n">
        <f aca="false">E638-I638</f>
        <v>34970</v>
      </c>
      <c r="N638" s="7" t="n">
        <f aca="false">IFERROR(L638/D638,0)</f>
        <v>0.414014763536185</v>
      </c>
      <c r="O638" s="7" t="n">
        <f aca="false">IFERROR(M638/E638,0)</f>
        <v>0.394730901210042</v>
      </c>
      <c r="P638" s="7" t="n">
        <f aca="false">01_Data!I638+01_Data!K638+01_Data!M638+01_Data!O638+01_Data!Q638+01_Data!S638+01_Data!U638</f>
        <v>23333</v>
      </c>
      <c r="Q638" s="7" t="n">
        <f aca="false">01_Data!J638+01_Data!L638+01_Data!N638+01_Data!P638+01_Data!R638+01_Data!T638+01_Data!V638</f>
        <v>24653</v>
      </c>
      <c r="R638" s="7" t="n">
        <f aca="false">P638-Q638</f>
        <v>-1320</v>
      </c>
      <c r="S638" s="7" t="n">
        <f aca="false">L638-P638</f>
        <v>11833</v>
      </c>
      <c r="T638" s="7" t="n">
        <f aca="false">M638-Q638</f>
        <v>10317</v>
      </c>
      <c r="U638" s="7" t="n">
        <f aca="false">T638-S638</f>
        <v>-1516</v>
      </c>
      <c r="V638" s="8" t="n">
        <f aca="false">IFERROR(U638/S638,0)</f>
        <v>-0.128116284965774</v>
      </c>
      <c r="W638" s="5" t="str">
        <f aca="false">IF(V638&lt;-0.1,"ADVERSE &gt;10%","")</f>
        <v>ADVERSE &gt;10%</v>
      </c>
    </row>
    <row r="639" customFormat="false" ht="15" hidden="false" customHeight="false" outlineLevel="0" collapsed="false">
      <c r="A639" s="5" t="str">
        <f aca="false">01_Data!A639</f>
        <v>Retail &amp; Consumer</v>
      </c>
      <c r="B639" s="5" t="str">
        <f aca="false">01_Data!C639</f>
        <v>2025-05</v>
      </c>
      <c r="C639" s="5" t="str">
        <f aca="false">01_Data!D639</f>
        <v>FY25</v>
      </c>
      <c r="D639" s="7" t="n">
        <f aca="false">01_Data!E639</f>
        <v>87350</v>
      </c>
      <c r="E639" s="7" t="n">
        <f aca="false">01_Data!F639</f>
        <v>88908</v>
      </c>
      <c r="F639" s="7" t="n">
        <f aca="false">E639-D639</f>
        <v>1558</v>
      </c>
      <c r="G639" s="8" t="n">
        <f aca="false">IFERROR(F639/D639,0)</f>
        <v>0.0178362907842015</v>
      </c>
      <c r="H639" s="7" t="n">
        <f aca="false">01_Data!G639</f>
        <v>51075</v>
      </c>
      <c r="I639" s="7" t="n">
        <f aca="false">01_Data!H639</f>
        <v>52207</v>
      </c>
      <c r="J639" s="7" t="n">
        <f aca="false">H639-I639</f>
        <v>-1132</v>
      </c>
      <c r="K639" s="8" t="n">
        <f aca="false">IFERROR(J639/H639,0)</f>
        <v>-0.0221634850709741</v>
      </c>
      <c r="L639" s="7" t="n">
        <f aca="false">D639-H639</f>
        <v>36275</v>
      </c>
      <c r="M639" s="7" t="n">
        <f aca="false">E639-I639</f>
        <v>36701</v>
      </c>
      <c r="N639" s="7" t="n">
        <f aca="false">IFERROR(L639/D639,0)</f>
        <v>0.415283342873497</v>
      </c>
      <c r="O639" s="7" t="n">
        <f aca="false">IFERROR(M639/E639,0)</f>
        <v>0.412797498537814</v>
      </c>
      <c r="P639" s="7" t="n">
        <f aca="false">01_Data!I639+01_Data!K639+01_Data!M639+01_Data!O639+01_Data!Q639+01_Data!S639+01_Data!U639</f>
        <v>22657</v>
      </c>
      <c r="Q639" s="7" t="n">
        <f aca="false">01_Data!J639+01_Data!L639+01_Data!N639+01_Data!P639+01_Data!R639+01_Data!T639+01_Data!V639</f>
        <v>23595</v>
      </c>
      <c r="R639" s="7" t="n">
        <f aca="false">P639-Q639</f>
        <v>-938</v>
      </c>
      <c r="S639" s="7" t="n">
        <f aca="false">L639-P639</f>
        <v>13618</v>
      </c>
      <c r="T639" s="7" t="n">
        <f aca="false">M639-Q639</f>
        <v>13106</v>
      </c>
      <c r="U639" s="7" t="n">
        <f aca="false">T639-S639</f>
        <v>-512</v>
      </c>
      <c r="V639" s="8" t="n">
        <f aca="false">IFERROR(U639/S639,0)</f>
        <v>-0.0375972976942282</v>
      </c>
      <c r="W639" s="5" t="str">
        <f aca="false">IF(V639&lt;-0.1,"ADVERSE &gt;10%","")</f>
        <v/>
      </c>
    </row>
    <row r="640" customFormat="false" ht="15" hidden="false" customHeight="false" outlineLevel="0" collapsed="false">
      <c r="A640" s="5" t="str">
        <f aca="false">01_Data!A640</f>
        <v>Retail &amp; Consumer</v>
      </c>
      <c r="B640" s="5" t="str">
        <f aca="false">01_Data!C640</f>
        <v>2025-06</v>
      </c>
      <c r="C640" s="5" t="str">
        <f aca="false">01_Data!D640</f>
        <v>FY25</v>
      </c>
      <c r="D640" s="7" t="n">
        <f aca="false">01_Data!E640</f>
        <v>87732</v>
      </c>
      <c r="E640" s="7" t="n">
        <f aca="false">01_Data!F640</f>
        <v>89085</v>
      </c>
      <c r="F640" s="7" t="n">
        <f aca="false">E640-D640</f>
        <v>1353</v>
      </c>
      <c r="G640" s="8" t="n">
        <f aca="false">IFERROR(F640/D640,0)</f>
        <v>0.015421966899193</v>
      </c>
      <c r="H640" s="7" t="n">
        <f aca="false">01_Data!G640</f>
        <v>49069</v>
      </c>
      <c r="I640" s="7" t="n">
        <f aca="false">01_Data!H640</f>
        <v>51567</v>
      </c>
      <c r="J640" s="7" t="n">
        <f aca="false">H640-I640</f>
        <v>-2498</v>
      </c>
      <c r="K640" s="8" t="n">
        <f aca="false">IFERROR(J640/H640,0)</f>
        <v>-0.0509079051947258</v>
      </c>
      <c r="L640" s="7" t="n">
        <f aca="false">D640-H640</f>
        <v>38663</v>
      </c>
      <c r="M640" s="7" t="n">
        <f aca="false">E640-I640</f>
        <v>37518</v>
      </c>
      <c r="N640" s="7" t="n">
        <f aca="false">IFERROR(L640/D640,0)</f>
        <v>0.440694387452697</v>
      </c>
      <c r="O640" s="7" t="n">
        <f aca="false">IFERROR(M640/E640,0)</f>
        <v>0.421148341471628</v>
      </c>
      <c r="P640" s="7" t="n">
        <f aca="false">01_Data!I640+01_Data!K640+01_Data!M640+01_Data!O640+01_Data!Q640+01_Data!S640+01_Data!U640</f>
        <v>22635</v>
      </c>
      <c r="Q640" s="7" t="n">
        <f aca="false">01_Data!J640+01_Data!L640+01_Data!N640+01_Data!P640+01_Data!R640+01_Data!T640+01_Data!V640</f>
        <v>23048</v>
      </c>
      <c r="R640" s="7" t="n">
        <f aca="false">P640-Q640</f>
        <v>-413</v>
      </c>
      <c r="S640" s="7" t="n">
        <f aca="false">L640-P640</f>
        <v>16028</v>
      </c>
      <c r="T640" s="7" t="n">
        <f aca="false">M640-Q640</f>
        <v>14470</v>
      </c>
      <c r="U640" s="7" t="n">
        <f aca="false">T640-S640</f>
        <v>-1558</v>
      </c>
      <c r="V640" s="8" t="n">
        <f aca="false">IFERROR(U640/S640,0)</f>
        <v>-0.09720489143998</v>
      </c>
      <c r="W640" s="5" t="str">
        <f aca="false">IF(V640&lt;-0.1,"ADVERSE &gt;10%","")</f>
        <v/>
      </c>
    </row>
    <row r="641" customFormat="false" ht="15" hidden="false" customHeight="false" outlineLevel="0" collapsed="false">
      <c r="A641" s="5" t="str">
        <f aca="false">01_Data!A641</f>
        <v>Retail &amp; Consumer</v>
      </c>
      <c r="B641" s="5" t="str">
        <f aca="false">01_Data!C641</f>
        <v>2025-07</v>
      </c>
      <c r="C641" s="5" t="str">
        <f aca="false">01_Data!D641</f>
        <v>FY25</v>
      </c>
      <c r="D641" s="7" t="n">
        <f aca="false">01_Data!E641</f>
        <v>92616</v>
      </c>
      <c r="E641" s="7" t="n">
        <f aca="false">01_Data!F641</f>
        <v>90575</v>
      </c>
      <c r="F641" s="7" t="n">
        <f aca="false">E641-D641</f>
        <v>-2041</v>
      </c>
      <c r="G641" s="8" t="n">
        <f aca="false">IFERROR(F641/D641,0)</f>
        <v>-0.0220372289885117</v>
      </c>
      <c r="H641" s="7" t="n">
        <f aca="false">01_Data!G641</f>
        <v>55063</v>
      </c>
      <c r="I641" s="7" t="n">
        <f aca="false">01_Data!H641</f>
        <v>54244</v>
      </c>
      <c r="J641" s="7" t="n">
        <f aca="false">H641-I641</f>
        <v>819</v>
      </c>
      <c r="K641" s="8" t="n">
        <f aca="false">IFERROR(J641/H641,0)</f>
        <v>0.0148738717469081</v>
      </c>
      <c r="L641" s="7" t="n">
        <f aca="false">D641-H641</f>
        <v>37553</v>
      </c>
      <c r="M641" s="7" t="n">
        <f aca="false">E641-I641</f>
        <v>36331</v>
      </c>
      <c r="N641" s="7" t="n">
        <f aca="false">IFERROR(L641/D641,0)</f>
        <v>0.405469897209985</v>
      </c>
      <c r="O641" s="7" t="n">
        <f aca="false">IFERROR(M641/E641,0)</f>
        <v>0.401115097985095</v>
      </c>
      <c r="P641" s="7" t="n">
        <f aca="false">01_Data!I641+01_Data!K641+01_Data!M641+01_Data!O641+01_Data!Q641+01_Data!S641+01_Data!U641</f>
        <v>24019</v>
      </c>
      <c r="Q641" s="7" t="n">
        <f aca="false">01_Data!J641+01_Data!L641+01_Data!N641+01_Data!P641+01_Data!R641+01_Data!T641+01_Data!V641</f>
        <v>24279</v>
      </c>
      <c r="R641" s="7" t="n">
        <f aca="false">P641-Q641</f>
        <v>-260</v>
      </c>
      <c r="S641" s="7" t="n">
        <f aca="false">L641-P641</f>
        <v>13534</v>
      </c>
      <c r="T641" s="7" t="n">
        <f aca="false">M641-Q641</f>
        <v>12052</v>
      </c>
      <c r="U641" s="7" t="n">
        <f aca="false">T641-S641</f>
        <v>-1482</v>
      </c>
      <c r="V641" s="8" t="n">
        <f aca="false">IFERROR(U641/S641,0)</f>
        <v>-0.109501994975617</v>
      </c>
      <c r="W641" s="5" t="str">
        <f aca="false">IF(V641&lt;-0.1,"ADVERSE &gt;10%","")</f>
        <v>ADVERSE &gt;10%</v>
      </c>
    </row>
    <row r="642" customFormat="false" ht="15" hidden="false" customHeight="false" outlineLevel="0" collapsed="false">
      <c r="A642" s="5" t="str">
        <f aca="false">01_Data!A642</f>
        <v>Retail &amp; Consumer</v>
      </c>
      <c r="B642" s="5" t="str">
        <f aca="false">01_Data!C642</f>
        <v>2025-08</v>
      </c>
      <c r="C642" s="5" t="str">
        <f aca="false">01_Data!D642</f>
        <v>FY25</v>
      </c>
      <c r="D642" s="7" t="n">
        <f aca="false">01_Data!E642</f>
        <v>86447</v>
      </c>
      <c r="E642" s="7" t="n">
        <f aca="false">01_Data!F642</f>
        <v>90232</v>
      </c>
      <c r="F642" s="7" t="n">
        <f aca="false">E642-D642</f>
        <v>3785</v>
      </c>
      <c r="G642" s="8" t="n">
        <f aca="false">IFERROR(F642/D642,0)</f>
        <v>0.043784052656541</v>
      </c>
      <c r="H642" s="7" t="n">
        <f aca="false">01_Data!G642</f>
        <v>48231</v>
      </c>
      <c r="I642" s="7" t="n">
        <f aca="false">01_Data!H642</f>
        <v>49441</v>
      </c>
      <c r="J642" s="7" t="n">
        <f aca="false">H642-I642</f>
        <v>-1210</v>
      </c>
      <c r="K642" s="8" t="n">
        <f aca="false">IFERROR(J642/H642,0)</f>
        <v>-0.0250875992618855</v>
      </c>
      <c r="L642" s="7" t="n">
        <f aca="false">D642-H642</f>
        <v>38216</v>
      </c>
      <c r="M642" s="7" t="n">
        <f aca="false">E642-I642</f>
        <v>40791</v>
      </c>
      <c r="N642" s="7" t="n">
        <f aca="false">IFERROR(L642/D642,0)</f>
        <v>0.442074334563374</v>
      </c>
      <c r="O642" s="7" t="n">
        <f aca="false">IFERROR(M642/E642,0)</f>
        <v>0.45206800248249</v>
      </c>
      <c r="P642" s="7" t="n">
        <f aca="false">01_Data!I642+01_Data!K642+01_Data!M642+01_Data!O642+01_Data!Q642+01_Data!S642+01_Data!U642</f>
        <v>21957</v>
      </c>
      <c r="Q642" s="7" t="n">
        <f aca="false">01_Data!J642+01_Data!L642+01_Data!N642+01_Data!P642+01_Data!R642+01_Data!T642+01_Data!V642</f>
        <v>22217</v>
      </c>
      <c r="R642" s="7" t="n">
        <f aca="false">P642-Q642</f>
        <v>-260</v>
      </c>
      <c r="S642" s="7" t="n">
        <f aca="false">L642-P642</f>
        <v>16259</v>
      </c>
      <c r="T642" s="7" t="n">
        <f aca="false">M642-Q642</f>
        <v>18574</v>
      </c>
      <c r="U642" s="7" t="n">
        <f aca="false">T642-S642</f>
        <v>2315</v>
      </c>
      <c r="V642" s="8" t="n">
        <f aca="false">IFERROR(U642/S642,0)</f>
        <v>0.142382680361646</v>
      </c>
      <c r="W642" s="5" t="str">
        <f aca="false">IF(V642&lt;-0.1,"ADVERSE &gt;10%","")</f>
        <v/>
      </c>
    </row>
    <row r="643" customFormat="false" ht="15" hidden="false" customHeight="false" outlineLevel="0" collapsed="false">
      <c r="A643" s="5" t="str">
        <f aca="false">01_Data!A643</f>
        <v>Retail &amp; Consumer</v>
      </c>
      <c r="B643" s="5" t="str">
        <f aca="false">01_Data!C643</f>
        <v>2025-09</v>
      </c>
      <c r="C643" s="5" t="str">
        <f aca="false">01_Data!D643</f>
        <v>FY25</v>
      </c>
      <c r="D643" s="7" t="n">
        <f aca="false">01_Data!E643</f>
        <v>101722</v>
      </c>
      <c r="E643" s="7" t="n">
        <f aca="false">01_Data!F643</f>
        <v>102387</v>
      </c>
      <c r="F643" s="7" t="n">
        <f aca="false">E643-D643</f>
        <v>665</v>
      </c>
      <c r="G643" s="8" t="n">
        <f aca="false">IFERROR(F643/D643,0)</f>
        <v>0.00653742553233322</v>
      </c>
      <c r="H643" s="7" t="n">
        <f aca="false">01_Data!G643</f>
        <v>60329</v>
      </c>
      <c r="I643" s="7" t="n">
        <f aca="false">01_Data!H643</f>
        <v>59618</v>
      </c>
      <c r="J643" s="7" t="n">
        <f aca="false">H643-I643</f>
        <v>711</v>
      </c>
      <c r="K643" s="8" t="n">
        <f aca="false">IFERROR(J643/H643,0)</f>
        <v>0.011785376850271</v>
      </c>
      <c r="L643" s="7" t="n">
        <f aca="false">D643-H643</f>
        <v>41393</v>
      </c>
      <c r="M643" s="7" t="n">
        <f aca="false">E643-I643</f>
        <v>42769</v>
      </c>
      <c r="N643" s="7" t="n">
        <f aca="false">IFERROR(L643/D643,0)</f>
        <v>0.406922789563713</v>
      </c>
      <c r="O643" s="7" t="n">
        <f aca="false">IFERROR(M643/E643,0)</f>
        <v>0.417719046363308</v>
      </c>
      <c r="P643" s="7" t="n">
        <f aca="false">01_Data!I643+01_Data!K643+01_Data!M643+01_Data!O643+01_Data!Q643+01_Data!S643+01_Data!U643</f>
        <v>26373</v>
      </c>
      <c r="Q643" s="7" t="n">
        <f aca="false">01_Data!J643+01_Data!L643+01_Data!N643+01_Data!P643+01_Data!R643+01_Data!T643+01_Data!V643</f>
        <v>26611</v>
      </c>
      <c r="R643" s="7" t="n">
        <f aca="false">P643-Q643</f>
        <v>-238</v>
      </c>
      <c r="S643" s="7" t="n">
        <f aca="false">L643-P643</f>
        <v>15020</v>
      </c>
      <c r="T643" s="7" t="n">
        <f aca="false">M643-Q643</f>
        <v>16158</v>
      </c>
      <c r="U643" s="7" t="n">
        <f aca="false">T643-S643</f>
        <v>1138</v>
      </c>
      <c r="V643" s="8" t="n">
        <f aca="false">IFERROR(U643/S643,0)</f>
        <v>0.0757656458055925</v>
      </c>
      <c r="W643" s="5" t="str">
        <f aca="false">IF(V643&lt;-0.1,"ADVERSE &gt;10%","")</f>
        <v/>
      </c>
    </row>
    <row r="644" customFormat="false" ht="15" hidden="false" customHeight="false" outlineLevel="0" collapsed="false">
      <c r="A644" s="5" t="str">
        <f aca="false">01_Data!A644</f>
        <v>Retail &amp; Consumer</v>
      </c>
      <c r="B644" s="5" t="str">
        <f aca="false">01_Data!C644</f>
        <v>2025-10</v>
      </c>
      <c r="C644" s="5" t="str">
        <f aca="false">01_Data!D644</f>
        <v>FY25</v>
      </c>
      <c r="D644" s="7" t="n">
        <f aca="false">01_Data!E644</f>
        <v>95276</v>
      </c>
      <c r="E644" s="7" t="n">
        <f aca="false">01_Data!F644</f>
        <v>95136</v>
      </c>
      <c r="F644" s="7" t="n">
        <f aca="false">E644-D644</f>
        <v>-140</v>
      </c>
      <c r="G644" s="8" t="n">
        <f aca="false">IFERROR(F644/D644,0)</f>
        <v>-0.00146941517276124</v>
      </c>
      <c r="H644" s="7" t="n">
        <f aca="false">01_Data!G644</f>
        <v>51542</v>
      </c>
      <c r="I644" s="7" t="n">
        <f aca="false">01_Data!H644</f>
        <v>51643</v>
      </c>
      <c r="J644" s="7" t="n">
        <f aca="false">H644-I644</f>
        <v>-101</v>
      </c>
      <c r="K644" s="8" t="n">
        <f aca="false">IFERROR(J644/H644,0)</f>
        <v>-0.00195956695510458</v>
      </c>
      <c r="L644" s="7" t="n">
        <f aca="false">D644-H644</f>
        <v>43734</v>
      </c>
      <c r="M644" s="7" t="n">
        <f aca="false">E644-I644</f>
        <v>43493</v>
      </c>
      <c r="N644" s="7" t="n">
        <f aca="false">IFERROR(L644/D644,0)</f>
        <v>0.459024308325287</v>
      </c>
      <c r="O644" s="7" t="n">
        <f aca="false">IFERROR(M644/E644,0)</f>
        <v>0.457166582576522</v>
      </c>
      <c r="P644" s="7" t="n">
        <f aca="false">01_Data!I644+01_Data!K644+01_Data!M644+01_Data!O644+01_Data!Q644+01_Data!S644+01_Data!U644</f>
        <v>25143</v>
      </c>
      <c r="Q644" s="7" t="n">
        <f aca="false">01_Data!J644+01_Data!L644+01_Data!N644+01_Data!P644+01_Data!R644+01_Data!T644+01_Data!V644</f>
        <v>26217</v>
      </c>
      <c r="R644" s="7" t="n">
        <f aca="false">P644-Q644</f>
        <v>-1074</v>
      </c>
      <c r="S644" s="7" t="n">
        <f aca="false">L644-P644</f>
        <v>18591</v>
      </c>
      <c r="T644" s="7" t="n">
        <f aca="false">M644-Q644</f>
        <v>17276</v>
      </c>
      <c r="U644" s="7" t="n">
        <f aca="false">T644-S644</f>
        <v>-1315</v>
      </c>
      <c r="V644" s="8" t="n">
        <f aca="false">IFERROR(U644/S644,0)</f>
        <v>-0.0707331504491421</v>
      </c>
      <c r="W644" s="5" t="str">
        <f aca="false">IF(V644&lt;-0.1,"ADVERSE &gt;10%","")</f>
        <v/>
      </c>
    </row>
    <row r="645" customFormat="false" ht="15" hidden="false" customHeight="false" outlineLevel="0" collapsed="false">
      <c r="A645" s="5" t="str">
        <f aca="false">01_Data!A645</f>
        <v>Retail &amp; Consumer</v>
      </c>
      <c r="B645" s="5" t="str">
        <f aca="false">01_Data!C645</f>
        <v>2025-11</v>
      </c>
      <c r="C645" s="5" t="str">
        <f aca="false">01_Data!D645</f>
        <v>FY25</v>
      </c>
      <c r="D645" s="7" t="n">
        <f aca="false">01_Data!E645</f>
        <v>99322</v>
      </c>
      <c r="E645" s="7" t="n">
        <f aca="false">01_Data!F645</f>
        <v>94529</v>
      </c>
      <c r="F645" s="7" t="n">
        <f aca="false">E645-D645</f>
        <v>-4793</v>
      </c>
      <c r="G645" s="8" t="n">
        <f aca="false">IFERROR(F645/D645,0)</f>
        <v>-0.0482571837055235</v>
      </c>
      <c r="H645" s="7" t="n">
        <f aca="false">01_Data!G645</f>
        <v>57269</v>
      </c>
      <c r="I645" s="7" t="n">
        <f aca="false">01_Data!H645</f>
        <v>57308</v>
      </c>
      <c r="J645" s="7" t="n">
        <f aca="false">H645-I645</f>
        <v>-39</v>
      </c>
      <c r="K645" s="8" t="n">
        <f aca="false">IFERROR(J645/H645,0)</f>
        <v>-0.000680996699785224</v>
      </c>
      <c r="L645" s="7" t="n">
        <f aca="false">D645-H645</f>
        <v>42053</v>
      </c>
      <c r="M645" s="7" t="n">
        <f aca="false">E645-I645</f>
        <v>37221</v>
      </c>
      <c r="N645" s="7" t="n">
        <f aca="false">IFERROR(L645/D645,0)</f>
        <v>0.423400656450736</v>
      </c>
      <c r="O645" s="7" t="n">
        <f aca="false">IFERROR(M645/E645,0)</f>
        <v>0.393752181870114</v>
      </c>
      <c r="P645" s="7" t="n">
        <f aca="false">01_Data!I645+01_Data!K645+01_Data!M645+01_Data!O645+01_Data!Q645+01_Data!S645+01_Data!U645</f>
        <v>27126</v>
      </c>
      <c r="Q645" s="7" t="n">
        <f aca="false">01_Data!J645+01_Data!L645+01_Data!N645+01_Data!P645+01_Data!R645+01_Data!T645+01_Data!V645</f>
        <v>28350</v>
      </c>
      <c r="R645" s="7" t="n">
        <f aca="false">P645-Q645</f>
        <v>-1224</v>
      </c>
      <c r="S645" s="7" t="n">
        <f aca="false">L645-P645</f>
        <v>14927</v>
      </c>
      <c r="T645" s="7" t="n">
        <f aca="false">M645-Q645</f>
        <v>8871</v>
      </c>
      <c r="U645" s="7" t="n">
        <f aca="false">T645-S645</f>
        <v>-6056</v>
      </c>
      <c r="V645" s="8" t="n">
        <f aca="false">IFERROR(U645/S645,0)</f>
        <v>-0.405707777852214</v>
      </c>
      <c r="W645" s="5" t="str">
        <f aca="false">IF(V645&lt;-0.1,"ADVERSE &gt;10%","")</f>
        <v>ADVERSE &gt;10%</v>
      </c>
    </row>
    <row r="646" customFormat="false" ht="15" hidden="false" customHeight="false" outlineLevel="0" collapsed="false">
      <c r="A646" s="5" t="str">
        <f aca="false">01_Data!A646</f>
        <v>Retail &amp; Consumer</v>
      </c>
      <c r="B646" s="5" t="str">
        <f aca="false">01_Data!C646</f>
        <v>2025-12</v>
      </c>
      <c r="C646" s="5" t="str">
        <f aca="false">01_Data!D646</f>
        <v>FY25</v>
      </c>
      <c r="D646" s="7" t="n">
        <f aca="false">01_Data!E646</f>
        <v>99222</v>
      </c>
      <c r="E646" s="7" t="n">
        <f aca="false">01_Data!F646</f>
        <v>105267</v>
      </c>
      <c r="F646" s="7" t="n">
        <f aca="false">E646-D646</f>
        <v>6045</v>
      </c>
      <c r="G646" s="8" t="n">
        <f aca="false">IFERROR(F646/D646,0)</f>
        <v>0.0609239886315535</v>
      </c>
      <c r="H646" s="7" t="n">
        <f aca="false">01_Data!G646</f>
        <v>57001</v>
      </c>
      <c r="I646" s="7" t="n">
        <f aca="false">01_Data!H646</f>
        <v>58402</v>
      </c>
      <c r="J646" s="7" t="n">
        <f aca="false">H646-I646</f>
        <v>-1401</v>
      </c>
      <c r="K646" s="8" t="n">
        <f aca="false">IFERROR(J646/H646,0)</f>
        <v>-0.024578516166383</v>
      </c>
      <c r="L646" s="7" t="n">
        <f aca="false">D646-H646</f>
        <v>42221</v>
      </c>
      <c r="M646" s="7" t="n">
        <f aca="false">E646-I646</f>
        <v>46865</v>
      </c>
      <c r="N646" s="7" t="n">
        <f aca="false">IFERROR(L646/D646,0)</f>
        <v>0.425520549878051</v>
      </c>
      <c r="O646" s="7" t="n">
        <f aca="false">IFERROR(M646/E646,0)</f>
        <v>0.445201250154369</v>
      </c>
      <c r="P646" s="7" t="n">
        <f aca="false">01_Data!I646+01_Data!K646+01_Data!M646+01_Data!O646+01_Data!Q646+01_Data!S646+01_Data!U646</f>
        <v>27049</v>
      </c>
      <c r="Q646" s="7" t="n">
        <f aca="false">01_Data!J646+01_Data!L646+01_Data!N646+01_Data!P646+01_Data!R646+01_Data!T646+01_Data!V646</f>
        <v>26634</v>
      </c>
      <c r="R646" s="7" t="n">
        <f aca="false">P646-Q646</f>
        <v>415</v>
      </c>
      <c r="S646" s="7" t="n">
        <f aca="false">L646-P646</f>
        <v>15172</v>
      </c>
      <c r="T646" s="7" t="n">
        <f aca="false">M646-Q646</f>
        <v>20231</v>
      </c>
      <c r="U646" s="7" t="n">
        <f aca="false">T646-S646</f>
        <v>5059</v>
      </c>
      <c r="V646" s="8" t="n">
        <f aca="false">IFERROR(U646/S646,0)</f>
        <v>0.333443184814131</v>
      </c>
      <c r="W646" s="5" t="str">
        <f aca="false">IF(V646&lt;-0.1,"ADVERSE &gt;10%","")</f>
        <v/>
      </c>
    </row>
    <row r="647" customFormat="false" ht="15" hidden="false" customHeight="false" outlineLevel="0" collapsed="false">
      <c r="A647" s="5" t="str">
        <f aca="false">01_Data!A647</f>
        <v>Retail &amp; Consumer</v>
      </c>
      <c r="B647" s="5" t="str">
        <f aca="false">01_Data!C647</f>
        <v>2026-01</v>
      </c>
      <c r="C647" s="5" t="str">
        <f aca="false">01_Data!D647</f>
        <v>FY25</v>
      </c>
      <c r="D647" s="7" t="n">
        <f aca="false">01_Data!E647</f>
        <v>93566</v>
      </c>
      <c r="E647" s="7" t="n">
        <f aca="false">01_Data!F647</f>
        <v>97636</v>
      </c>
      <c r="F647" s="7" t="n">
        <f aca="false">E647-D647</f>
        <v>4070</v>
      </c>
      <c r="G647" s="8" t="n">
        <f aca="false">IFERROR(F647/D647,0)</f>
        <v>0.0434987067952034</v>
      </c>
      <c r="H647" s="7" t="n">
        <f aca="false">01_Data!G647</f>
        <v>54865</v>
      </c>
      <c r="I647" s="7" t="n">
        <f aca="false">01_Data!H647</f>
        <v>56305</v>
      </c>
      <c r="J647" s="7" t="n">
        <f aca="false">H647-I647</f>
        <v>-1440</v>
      </c>
      <c r="K647" s="8" t="n">
        <f aca="false">IFERROR(J647/H647,0)</f>
        <v>-0.026246240772806</v>
      </c>
      <c r="L647" s="7" t="n">
        <f aca="false">D647-H647</f>
        <v>38701</v>
      </c>
      <c r="M647" s="7" t="n">
        <f aca="false">E647-I647</f>
        <v>41331</v>
      </c>
      <c r="N647" s="7" t="n">
        <f aca="false">IFERROR(L647/D647,0)</f>
        <v>0.413622469700532</v>
      </c>
      <c r="O647" s="7" t="n">
        <f aca="false">IFERROR(M647/E647,0)</f>
        <v>0.423317219058544</v>
      </c>
      <c r="P647" s="7" t="n">
        <f aca="false">01_Data!I647+01_Data!K647+01_Data!M647+01_Data!O647+01_Data!Q647+01_Data!S647+01_Data!U647</f>
        <v>24467</v>
      </c>
      <c r="Q647" s="7" t="n">
        <f aca="false">01_Data!J647+01_Data!L647+01_Data!N647+01_Data!P647+01_Data!R647+01_Data!T647+01_Data!V647</f>
        <v>24333</v>
      </c>
      <c r="R647" s="7" t="n">
        <f aca="false">P647-Q647</f>
        <v>134</v>
      </c>
      <c r="S647" s="7" t="n">
        <f aca="false">L647-P647</f>
        <v>14234</v>
      </c>
      <c r="T647" s="7" t="n">
        <f aca="false">M647-Q647</f>
        <v>16998</v>
      </c>
      <c r="U647" s="7" t="n">
        <f aca="false">T647-S647</f>
        <v>2764</v>
      </c>
      <c r="V647" s="8" t="n">
        <f aca="false">IFERROR(U647/S647,0)</f>
        <v>0.194182942250948</v>
      </c>
      <c r="W647" s="5" t="str">
        <f aca="false">IF(V647&lt;-0.1,"ADVERSE &gt;10%","")</f>
        <v/>
      </c>
    </row>
    <row r="648" customFormat="false" ht="15" hidden="false" customHeight="false" outlineLevel="0" collapsed="false">
      <c r="A648" s="5" t="str">
        <f aca="false">01_Data!A648</f>
        <v>Retail &amp; Consumer</v>
      </c>
      <c r="B648" s="5" t="str">
        <f aca="false">01_Data!C648</f>
        <v>2026-02</v>
      </c>
      <c r="C648" s="5" t="str">
        <f aca="false">01_Data!D648</f>
        <v>FY25</v>
      </c>
      <c r="D648" s="7" t="n">
        <f aca="false">01_Data!E648</f>
        <v>96957</v>
      </c>
      <c r="E648" s="7" t="n">
        <f aca="false">01_Data!F648</f>
        <v>100362</v>
      </c>
      <c r="F648" s="7" t="n">
        <f aca="false">E648-D648</f>
        <v>3405</v>
      </c>
      <c r="G648" s="8" t="n">
        <f aca="false">IFERROR(F648/D648,0)</f>
        <v>0.035118660849655</v>
      </c>
      <c r="H648" s="7" t="n">
        <f aca="false">01_Data!G648</f>
        <v>54424</v>
      </c>
      <c r="I648" s="7" t="n">
        <f aca="false">01_Data!H648</f>
        <v>55017</v>
      </c>
      <c r="J648" s="7" t="n">
        <f aca="false">H648-I648</f>
        <v>-593</v>
      </c>
      <c r="K648" s="8" t="n">
        <f aca="false">IFERROR(J648/H648,0)</f>
        <v>-0.0108959282669411</v>
      </c>
      <c r="L648" s="7" t="n">
        <f aca="false">D648-H648</f>
        <v>42533</v>
      </c>
      <c r="M648" s="7" t="n">
        <f aca="false">E648-I648</f>
        <v>45345</v>
      </c>
      <c r="N648" s="7" t="n">
        <f aca="false">IFERROR(L648/D648,0)</f>
        <v>0.438679002031829</v>
      </c>
      <c r="O648" s="7" t="n">
        <f aca="false">IFERROR(M648/E648,0)</f>
        <v>0.45181443175704</v>
      </c>
      <c r="P648" s="7" t="n">
        <f aca="false">01_Data!I648+01_Data!K648+01_Data!M648+01_Data!O648+01_Data!Q648+01_Data!S648+01_Data!U648</f>
        <v>27821</v>
      </c>
      <c r="Q648" s="7" t="n">
        <f aca="false">01_Data!J648+01_Data!L648+01_Data!N648+01_Data!P648+01_Data!R648+01_Data!T648+01_Data!V648</f>
        <v>28095</v>
      </c>
      <c r="R648" s="7" t="n">
        <f aca="false">P648-Q648</f>
        <v>-274</v>
      </c>
      <c r="S648" s="7" t="n">
        <f aca="false">L648-P648</f>
        <v>14712</v>
      </c>
      <c r="T648" s="7" t="n">
        <f aca="false">M648-Q648</f>
        <v>17250</v>
      </c>
      <c r="U648" s="7" t="n">
        <f aca="false">T648-S648</f>
        <v>2538</v>
      </c>
      <c r="V648" s="8" t="n">
        <f aca="false">IFERROR(U648/S648,0)</f>
        <v>0.172512234910277</v>
      </c>
      <c r="W648" s="5" t="str">
        <f aca="false">IF(V648&lt;-0.1,"ADVERSE &gt;10%","")</f>
        <v/>
      </c>
    </row>
    <row r="649" customFormat="false" ht="15" hidden="false" customHeight="false" outlineLevel="0" collapsed="false">
      <c r="A649" s="5" t="str">
        <f aca="false">01_Data!A649</f>
        <v>Retail &amp; Consumer</v>
      </c>
      <c r="B649" s="5" t="str">
        <f aca="false">01_Data!C649</f>
        <v>2026-03</v>
      </c>
      <c r="C649" s="5" t="str">
        <f aca="false">01_Data!D649</f>
        <v>FY25</v>
      </c>
      <c r="D649" s="7" t="n">
        <f aca="false">01_Data!E649</f>
        <v>116093</v>
      </c>
      <c r="E649" s="7" t="n">
        <f aca="false">01_Data!F649</f>
        <v>110608</v>
      </c>
      <c r="F649" s="7" t="n">
        <f aca="false">E649-D649</f>
        <v>-5485</v>
      </c>
      <c r="G649" s="8" t="n">
        <f aca="false">IFERROR(F649/D649,0)</f>
        <v>-0.047246604015746</v>
      </c>
      <c r="H649" s="7" t="n">
        <f aca="false">01_Data!G649</f>
        <v>67737</v>
      </c>
      <c r="I649" s="7" t="n">
        <f aca="false">01_Data!H649</f>
        <v>62997</v>
      </c>
      <c r="J649" s="7" t="n">
        <f aca="false">H649-I649</f>
        <v>4740</v>
      </c>
      <c r="K649" s="8" t="n">
        <f aca="false">IFERROR(J649/H649,0)</f>
        <v>0.0699765268612427</v>
      </c>
      <c r="L649" s="7" t="n">
        <f aca="false">D649-H649</f>
        <v>48356</v>
      </c>
      <c r="M649" s="7" t="n">
        <f aca="false">E649-I649</f>
        <v>47611</v>
      </c>
      <c r="N649" s="7" t="n">
        <f aca="false">IFERROR(L649/D649,0)</f>
        <v>0.416528128310923</v>
      </c>
      <c r="O649" s="7" t="n">
        <f aca="false">IFERROR(M649/E649,0)</f>
        <v>0.430448068855779</v>
      </c>
      <c r="P649" s="7" t="n">
        <f aca="false">01_Data!I649+01_Data!K649+01_Data!M649+01_Data!O649+01_Data!Q649+01_Data!S649+01_Data!U649</f>
        <v>31773</v>
      </c>
      <c r="Q649" s="7" t="n">
        <f aca="false">01_Data!J649+01_Data!L649+01_Data!N649+01_Data!P649+01_Data!R649+01_Data!T649+01_Data!V649</f>
        <v>31487</v>
      </c>
      <c r="R649" s="7" t="n">
        <f aca="false">P649-Q649</f>
        <v>286</v>
      </c>
      <c r="S649" s="7" t="n">
        <f aca="false">L649-P649</f>
        <v>16583</v>
      </c>
      <c r="T649" s="7" t="n">
        <f aca="false">M649-Q649</f>
        <v>16124</v>
      </c>
      <c r="U649" s="7" t="n">
        <f aca="false">T649-S649</f>
        <v>-459</v>
      </c>
      <c r="V649" s="8" t="n">
        <f aca="false">IFERROR(U649/S649,0)</f>
        <v>-0.0276789483205693</v>
      </c>
      <c r="W649" s="5" t="str">
        <f aca="false">IF(V649&lt;-0.1,"ADVERSE &gt;10%","")</f>
        <v/>
      </c>
    </row>
    <row r="650" customFormat="false" ht="15" hidden="false" customHeight="false" outlineLevel="0" collapsed="false">
      <c r="A650" s="5" t="str">
        <f aca="false">01_Data!A650</f>
        <v>Technology &amp; Telecom</v>
      </c>
      <c r="B650" s="5" t="str">
        <f aca="false">01_Data!C650</f>
        <v>2023-04</v>
      </c>
      <c r="C650" s="5" t="str">
        <f aca="false">01_Data!D650</f>
        <v>FY23</v>
      </c>
      <c r="D650" s="7" t="n">
        <f aca="false">01_Data!E650</f>
        <v>466587</v>
      </c>
      <c r="E650" s="7" t="n">
        <f aca="false">01_Data!F650</f>
        <v>474868</v>
      </c>
      <c r="F650" s="7" t="n">
        <f aca="false">E650-D650</f>
        <v>8281</v>
      </c>
      <c r="G650" s="8" t="n">
        <f aca="false">IFERROR(F650/D650,0)</f>
        <v>0.0177480298422374</v>
      </c>
      <c r="H650" s="7" t="n">
        <f aca="false">01_Data!G650</f>
        <v>278433</v>
      </c>
      <c r="I650" s="7" t="n">
        <f aca="false">01_Data!H650</f>
        <v>293739</v>
      </c>
      <c r="J650" s="7" t="n">
        <f aca="false">H650-I650</f>
        <v>-15306</v>
      </c>
      <c r="K650" s="8" t="n">
        <f aca="false">IFERROR(J650/H650,0)</f>
        <v>-0.0549719322063118</v>
      </c>
      <c r="L650" s="7" t="n">
        <f aca="false">D650-H650</f>
        <v>188154</v>
      </c>
      <c r="M650" s="7" t="n">
        <f aca="false">E650-I650</f>
        <v>181129</v>
      </c>
      <c r="N650" s="7" t="n">
        <f aca="false">IFERROR(L650/D650,0)</f>
        <v>0.403255984414482</v>
      </c>
      <c r="O650" s="7" t="n">
        <f aca="false">IFERROR(M650/E650,0)</f>
        <v>0.381430207973584</v>
      </c>
      <c r="P650" s="7" t="n">
        <f aca="false">01_Data!I650+01_Data!K650+01_Data!M650+01_Data!O650+01_Data!Q650+01_Data!S650+01_Data!U650</f>
        <v>120811</v>
      </c>
      <c r="Q650" s="7" t="n">
        <f aca="false">01_Data!J650+01_Data!L650+01_Data!N650+01_Data!P650+01_Data!R650+01_Data!T650+01_Data!V650</f>
        <v>127196</v>
      </c>
      <c r="R650" s="7" t="n">
        <f aca="false">P650-Q650</f>
        <v>-6385</v>
      </c>
      <c r="S650" s="7" t="n">
        <f aca="false">L650-P650</f>
        <v>67343</v>
      </c>
      <c r="T650" s="7" t="n">
        <f aca="false">M650-Q650</f>
        <v>53933</v>
      </c>
      <c r="U650" s="7" t="n">
        <f aca="false">T650-S650</f>
        <v>-13410</v>
      </c>
      <c r="V650" s="8" t="n">
        <f aca="false">IFERROR(U650/S650,0)</f>
        <v>-0.199129827895995</v>
      </c>
      <c r="W650" s="5" t="str">
        <f aca="false">IF(V650&lt;-0.1,"ADVERSE &gt;10%","")</f>
        <v>ADVERSE &gt;10%</v>
      </c>
    </row>
    <row r="651" customFormat="false" ht="15" hidden="false" customHeight="false" outlineLevel="0" collapsed="false">
      <c r="A651" s="5" t="str">
        <f aca="false">01_Data!A651</f>
        <v>Technology &amp; Telecom</v>
      </c>
      <c r="B651" s="5" t="str">
        <f aca="false">01_Data!C651</f>
        <v>2023-05</v>
      </c>
      <c r="C651" s="5" t="str">
        <f aca="false">01_Data!D651</f>
        <v>FY23</v>
      </c>
      <c r="D651" s="7" t="n">
        <f aca="false">01_Data!E651</f>
        <v>459582</v>
      </c>
      <c r="E651" s="7" t="n">
        <f aca="false">01_Data!F651</f>
        <v>481059</v>
      </c>
      <c r="F651" s="7" t="n">
        <f aca="false">E651-D651</f>
        <v>21477</v>
      </c>
      <c r="G651" s="8" t="n">
        <f aca="false">IFERROR(F651/D651,0)</f>
        <v>0.0467315952321893</v>
      </c>
      <c r="H651" s="7" t="n">
        <f aca="false">01_Data!G651</f>
        <v>252469</v>
      </c>
      <c r="I651" s="7" t="n">
        <f aca="false">01_Data!H651</f>
        <v>271365</v>
      </c>
      <c r="J651" s="7" t="n">
        <f aca="false">H651-I651</f>
        <v>-18896</v>
      </c>
      <c r="K651" s="8" t="n">
        <f aca="false">IFERROR(J651/H651,0)</f>
        <v>-0.0748448324348732</v>
      </c>
      <c r="L651" s="7" t="n">
        <f aca="false">D651-H651</f>
        <v>207113</v>
      </c>
      <c r="M651" s="7" t="n">
        <f aca="false">E651-I651</f>
        <v>209694</v>
      </c>
      <c r="N651" s="7" t="n">
        <f aca="false">IFERROR(L651/D651,0)</f>
        <v>0.450655160558943</v>
      </c>
      <c r="O651" s="7" t="n">
        <f aca="false">IFERROR(M651/E651,0)</f>
        <v>0.435900793873517</v>
      </c>
      <c r="P651" s="7" t="n">
        <f aca="false">01_Data!I651+01_Data!K651+01_Data!M651+01_Data!O651+01_Data!Q651+01_Data!S651+01_Data!U651</f>
        <v>130040</v>
      </c>
      <c r="Q651" s="7" t="n">
        <f aca="false">01_Data!J651+01_Data!L651+01_Data!N651+01_Data!P651+01_Data!R651+01_Data!T651+01_Data!V651</f>
        <v>130658</v>
      </c>
      <c r="R651" s="7" t="n">
        <f aca="false">P651-Q651</f>
        <v>-618</v>
      </c>
      <c r="S651" s="7" t="n">
        <f aca="false">L651-P651</f>
        <v>77073</v>
      </c>
      <c r="T651" s="7" t="n">
        <f aca="false">M651-Q651</f>
        <v>79036</v>
      </c>
      <c r="U651" s="7" t="n">
        <f aca="false">T651-S651</f>
        <v>1963</v>
      </c>
      <c r="V651" s="8" t="n">
        <f aca="false">IFERROR(U651/S651,0)</f>
        <v>0.0254693602169372</v>
      </c>
      <c r="W651" s="5" t="str">
        <f aca="false">IF(V651&lt;-0.1,"ADVERSE &gt;10%","")</f>
        <v/>
      </c>
    </row>
    <row r="652" customFormat="false" ht="15" hidden="false" customHeight="false" outlineLevel="0" collapsed="false">
      <c r="A652" s="5" t="str">
        <f aca="false">01_Data!A652</f>
        <v>Technology &amp; Telecom</v>
      </c>
      <c r="B652" s="5" t="str">
        <f aca="false">01_Data!C652</f>
        <v>2023-06</v>
      </c>
      <c r="C652" s="5" t="str">
        <f aca="false">01_Data!D652</f>
        <v>FY23</v>
      </c>
      <c r="D652" s="7" t="n">
        <f aca="false">01_Data!E652</f>
        <v>470317</v>
      </c>
      <c r="E652" s="7" t="n">
        <f aca="false">01_Data!F652</f>
        <v>493446</v>
      </c>
      <c r="F652" s="7" t="n">
        <f aca="false">E652-D652</f>
        <v>23129</v>
      </c>
      <c r="G652" s="8" t="n">
        <f aca="false">IFERROR(F652/D652,0)</f>
        <v>0.0491774696640776</v>
      </c>
      <c r="H652" s="7" t="n">
        <f aca="false">01_Data!G652</f>
        <v>258553</v>
      </c>
      <c r="I652" s="7" t="n">
        <f aca="false">01_Data!H652</f>
        <v>273675</v>
      </c>
      <c r="J652" s="7" t="n">
        <f aca="false">H652-I652</f>
        <v>-15122</v>
      </c>
      <c r="K652" s="8" t="n">
        <f aca="false">IFERROR(J652/H652,0)</f>
        <v>-0.0584870413416205</v>
      </c>
      <c r="L652" s="7" t="n">
        <f aca="false">D652-H652</f>
        <v>211764</v>
      </c>
      <c r="M652" s="7" t="n">
        <f aca="false">E652-I652</f>
        <v>219771</v>
      </c>
      <c r="N652" s="7" t="n">
        <f aca="false">IFERROR(L652/D652,0)</f>
        <v>0.450258017464816</v>
      </c>
      <c r="O652" s="7" t="n">
        <f aca="false">IFERROR(M652/E652,0)</f>
        <v>0.445380041585098</v>
      </c>
      <c r="P652" s="7" t="n">
        <f aca="false">01_Data!I652+01_Data!K652+01_Data!M652+01_Data!O652+01_Data!Q652+01_Data!S652+01_Data!U652</f>
        <v>123180</v>
      </c>
      <c r="Q652" s="7" t="n">
        <f aca="false">01_Data!J652+01_Data!L652+01_Data!N652+01_Data!P652+01_Data!R652+01_Data!T652+01_Data!V652</f>
        <v>125865</v>
      </c>
      <c r="R652" s="7" t="n">
        <f aca="false">P652-Q652</f>
        <v>-2685</v>
      </c>
      <c r="S652" s="7" t="n">
        <f aca="false">L652-P652</f>
        <v>88584</v>
      </c>
      <c r="T652" s="7" t="n">
        <f aca="false">M652-Q652</f>
        <v>93906</v>
      </c>
      <c r="U652" s="7" t="n">
        <f aca="false">T652-S652</f>
        <v>5322</v>
      </c>
      <c r="V652" s="8" t="n">
        <f aca="false">IFERROR(U652/S652,0)</f>
        <v>0.0600785694933622</v>
      </c>
      <c r="W652" s="5" t="str">
        <f aca="false">IF(V652&lt;-0.1,"ADVERSE &gt;10%","")</f>
        <v/>
      </c>
    </row>
    <row r="653" customFormat="false" ht="15" hidden="false" customHeight="false" outlineLevel="0" collapsed="false">
      <c r="A653" s="5" t="str">
        <f aca="false">01_Data!A653</f>
        <v>Technology &amp; Telecom</v>
      </c>
      <c r="B653" s="5" t="str">
        <f aca="false">01_Data!C653</f>
        <v>2023-07</v>
      </c>
      <c r="C653" s="5" t="str">
        <f aca="false">01_Data!D653</f>
        <v>FY23</v>
      </c>
      <c r="D653" s="7" t="n">
        <f aca="false">01_Data!E653</f>
        <v>478622</v>
      </c>
      <c r="E653" s="7" t="n">
        <f aca="false">01_Data!F653</f>
        <v>499094</v>
      </c>
      <c r="F653" s="7" t="n">
        <f aca="false">E653-D653</f>
        <v>20472</v>
      </c>
      <c r="G653" s="8" t="n">
        <f aca="false">IFERROR(F653/D653,0)</f>
        <v>0.0427727935615162</v>
      </c>
      <c r="H653" s="7" t="n">
        <f aca="false">01_Data!G653</f>
        <v>258885</v>
      </c>
      <c r="I653" s="7" t="n">
        <f aca="false">01_Data!H653</f>
        <v>282365</v>
      </c>
      <c r="J653" s="7" t="n">
        <f aca="false">H653-I653</f>
        <v>-23480</v>
      </c>
      <c r="K653" s="8" t="n">
        <f aca="false">IFERROR(J653/H653,0)</f>
        <v>-0.0906966413658574</v>
      </c>
      <c r="L653" s="7" t="n">
        <f aca="false">D653-H653</f>
        <v>219737</v>
      </c>
      <c r="M653" s="7" t="n">
        <f aca="false">E653-I653</f>
        <v>216729</v>
      </c>
      <c r="N653" s="7" t="n">
        <f aca="false">IFERROR(L653/D653,0)</f>
        <v>0.459103426085721</v>
      </c>
      <c r="O653" s="7" t="n">
        <f aca="false">IFERROR(M653/E653,0)</f>
        <v>0.434244851671228</v>
      </c>
      <c r="P653" s="7" t="n">
        <f aca="false">01_Data!I653+01_Data!K653+01_Data!M653+01_Data!O653+01_Data!Q653+01_Data!S653+01_Data!U653</f>
        <v>122730</v>
      </c>
      <c r="Q653" s="7" t="n">
        <f aca="false">01_Data!J653+01_Data!L653+01_Data!N653+01_Data!P653+01_Data!R653+01_Data!T653+01_Data!V653</f>
        <v>129141</v>
      </c>
      <c r="R653" s="7" t="n">
        <f aca="false">P653-Q653</f>
        <v>-6411</v>
      </c>
      <c r="S653" s="7" t="n">
        <f aca="false">L653-P653</f>
        <v>97007</v>
      </c>
      <c r="T653" s="7" t="n">
        <f aca="false">M653-Q653</f>
        <v>87588</v>
      </c>
      <c r="U653" s="7" t="n">
        <f aca="false">T653-S653</f>
        <v>-9419</v>
      </c>
      <c r="V653" s="8" t="n">
        <f aca="false">IFERROR(U653/S653,0)</f>
        <v>-0.0970960858494748</v>
      </c>
      <c r="W653" s="5" t="str">
        <f aca="false">IF(V653&lt;-0.1,"ADVERSE &gt;10%","")</f>
        <v/>
      </c>
    </row>
    <row r="654" customFormat="false" ht="15" hidden="false" customHeight="false" outlineLevel="0" collapsed="false">
      <c r="A654" s="5" t="str">
        <f aca="false">01_Data!A654</f>
        <v>Technology &amp; Telecom</v>
      </c>
      <c r="B654" s="5" t="str">
        <f aca="false">01_Data!C654</f>
        <v>2023-08</v>
      </c>
      <c r="C654" s="5" t="str">
        <f aca="false">01_Data!D654</f>
        <v>FY23</v>
      </c>
      <c r="D654" s="7" t="n">
        <f aca="false">01_Data!E654</f>
        <v>499267</v>
      </c>
      <c r="E654" s="7" t="n">
        <f aca="false">01_Data!F654</f>
        <v>507452</v>
      </c>
      <c r="F654" s="7" t="n">
        <f aca="false">E654-D654</f>
        <v>8185</v>
      </c>
      <c r="G654" s="8" t="n">
        <f aca="false">IFERROR(F654/D654,0)</f>
        <v>0.0163940336533358</v>
      </c>
      <c r="H654" s="7" t="n">
        <f aca="false">01_Data!G654</f>
        <v>287985</v>
      </c>
      <c r="I654" s="7" t="n">
        <f aca="false">01_Data!H654</f>
        <v>300732</v>
      </c>
      <c r="J654" s="7" t="n">
        <f aca="false">H654-I654</f>
        <v>-12747</v>
      </c>
      <c r="K654" s="8" t="n">
        <f aca="false">IFERROR(J654/H654,0)</f>
        <v>-0.0442627220167717</v>
      </c>
      <c r="L654" s="7" t="n">
        <f aca="false">D654-H654</f>
        <v>211282</v>
      </c>
      <c r="M654" s="7" t="n">
        <f aca="false">E654-I654</f>
        <v>206720</v>
      </c>
      <c r="N654" s="7" t="n">
        <f aca="false">IFERROR(L654/D654,0)</f>
        <v>0.423184388313267</v>
      </c>
      <c r="O654" s="7" t="n">
        <f aca="false">IFERROR(M654/E654,0)</f>
        <v>0.40736857870301</v>
      </c>
      <c r="P654" s="7" t="n">
        <f aca="false">01_Data!I654+01_Data!K654+01_Data!M654+01_Data!O654+01_Data!Q654+01_Data!S654+01_Data!U654</f>
        <v>132907</v>
      </c>
      <c r="Q654" s="7" t="n">
        <f aca="false">01_Data!J654+01_Data!L654+01_Data!N654+01_Data!P654+01_Data!R654+01_Data!T654+01_Data!V654</f>
        <v>135236</v>
      </c>
      <c r="R654" s="7" t="n">
        <f aca="false">P654-Q654</f>
        <v>-2329</v>
      </c>
      <c r="S654" s="7" t="n">
        <f aca="false">L654-P654</f>
        <v>78375</v>
      </c>
      <c r="T654" s="7" t="n">
        <f aca="false">M654-Q654</f>
        <v>71484</v>
      </c>
      <c r="U654" s="7" t="n">
        <f aca="false">T654-S654</f>
        <v>-6891</v>
      </c>
      <c r="V654" s="8" t="n">
        <f aca="false">IFERROR(U654/S654,0)</f>
        <v>-0.0879234449760766</v>
      </c>
      <c r="W654" s="5" t="str">
        <f aca="false">IF(V654&lt;-0.1,"ADVERSE &gt;10%","")</f>
        <v/>
      </c>
    </row>
    <row r="655" customFormat="false" ht="15" hidden="false" customHeight="false" outlineLevel="0" collapsed="false">
      <c r="A655" s="5" t="str">
        <f aca="false">01_Data!A655</f>
        <v>Technology &amp; Telecom</v>
      </c>
      <c r="B655" s="5" t="str">
        <f aca="false">01_Data!C655</f>
        <v>2023-09</v>
      </c>
      <c r="C655" s="5" t="str">
        <f aca="false">01_Data!D655</f>
        <v>FY23</v>
      </c>
      <c r="D655" s="7" t="n">
        <f aca="false">01_Data!E655</f>
        <v>550016</v>
      </c>
      <c r="E655" s="7" t="n">
        <f aca="false">01_Data!F655</f>
        <v>539695</v>
      </c>
      <c r="F655" s="7" t="n">
        <f aca="false">E655-D655</f>
        <v>-10321</v>
      </c>
      <c r="G655" s="8" t="n">
        <f aca="false">IFERROR(F655/D655,0)</f>
        <v>-0.0187649086572027</v>
      </c>
      <c r="H655" s="7" t="n">
        <f aca="false">01_Data!G655</f>
        <v>307854</v>
      </c>
      <c r="I655" s="7" t="n">
        <f aca="false">01_Data!H655</f>
        <v>317565</v>
      </c>
      <c r="J655" s="7" t="n">
        <f aca="false">H655-I655</f>
        <v>-9711</v>
      </c>
      <c r="K655" s="8" t="n">
        <f aca="false">IFERROR(J655/H655,0)</f>
        <v>-0.0315441735368064</v>
      </c>
      <c r="L655" s="7" t="n">
        <f aca="false">D655-H655</f>
        <v>242162</v>
      </c>
      <c r="M655" s="7" t="n">
        <f aca="false">E655-I655</f>
        <v>222130</v>
      </c>
      <c r="N655" s="7" t="n">
        <f aca="false">IFERROR(L655/D655,0)</f>
        <v>0.440281737258552</v>
      </c>
      <c r="O655" s="7" t="n">
        <f aca="false">IFERROR(M655/E655,0)</f>
        <v>0.41158432077377</v>
      </c>
      <c r="P655" s="7" t="n">
        <f aca="false">01_Data!I655+01_Data!K655+01_Data!M655+01_Data!O655+01_Data!Q655+01_Data!S655+01_Data!U655</f>
        <v>149019</v>
      </c>
      <c r="Q655" s="7" t="n">
        <f aca="false">01_Data!J655+01_Data!L655+01_Data!N655+01_Data!P655+01_Data!R655+01_Data!T655+01_Data!V655</f>
        <v>153936</v>
      </c>
      <c r="R655" s="7" t="n">
        <f aca="false">P655-Q655</f>
        <v>-4917</v>
      </c>
      <c r="S655" s="7" t="n">
        <f aca="false">L655-P655</f>
        <v>93143</v>
      </c>
      <c r="T655" s="7" t="n">
        <f aca="false">M655-Q655</f>
        <v>68194</v>
      </c>
      <c r="U655" s="7" t="n">
        <f aca="false">T655-S655</f>
        <v>-24949</v>
      </c>
      <c r="V655" s="8" t="n">
        <f aca="false">IFERROR(U655/S655,0)</f>
        <v>-0.267856951139645</v>
      </c>
      <c r="W655" s="5" t="str">
        <f aca="false">IF(V655&lt;-0.1,"ADVERSE &gt;10%","")</f>
        <v>ADVERSE &gt;10%</v>
      </c>
    </row>
    <row r="656" customFormat="false" ht="15" hidden="false" customHeight="false" outlineLevel="0" collapsed="false">
      <c r="A656" s="5" t="str">
        <f aca="false">01_Data!A656</f>
        <v>Technology &amp; Telecom</v>
      </c>
      <c r="B656" s="5" t="str">
        <f aca="false">01_Data!C656</f>
        <v>2023-10</v>
      </c>
      <c r="C656" s="5" t="str">
        <f aca="false">01_Data!D656</f>
        <v>FY23</v>
      </c>
      <c r="D656" s="7" t="n">
        <f aca="false">01_Data!E656</f>
        <v>486098</v>
      </c>
      <c r="E656" s="7" t="n">
        <f aca="false">01_Data!F656</f>
        <v>505373</v>
      </c>
      <c r="F656" s="7" t="n">
        <f aca="false">E656-D656</f>
        <v>19275</v>
      </c>
      <c r="G656" s="8" t="n">
        <f aca="false">IFERROR(F656/D656,0)</f>
        <v>0.0396524980559476</v>
      </c>
      <c r="H656" s="7" t="n">
        <f aca="false">01_Data!G656</f>
        <v>266662</v>
      </c>
      <c r="I656" s="7" t="n">
        <f aca="false">01_Data!H656</f>
        <v>267991</v>
      </c>
      <c r="J656" s="7" t="n">
        <f aca="false">H656-I656</f>
        <v>-1329</v>
      </c>
      <c r="K656" s="8" t="n">
        <f aca="false">IFERROR(J656/H656,0)</f>
        <v>-0.0049838372171513</v>
      </c>
      <c r="L656" s="7" t="n">
        <f aca="false">D656-H656</f>
        <v>219436</v>
      </c>
      <c r="M656" s="7" t="n">
        <f aca="false">E656-I656</f>
        <v>237382</v>
      </c>
      <c r="N656" s="7" t="n">
        <f aca="false">IFERROR(L656/D656,0)</f>
        <v>0.451423375533329</v>
      </c>
      <c r="O656" s="7" t="n">
        <f aca="false">IFERROR(M656/E656,0)</f>
        <v>0.469716427272529</v>
      </c>
      <c r="P656" s="7" t="n">
        <f aca="false">01_Data!I656+01_Data!K656+01_Data!M656+01_Data!O656+01_Data!Q656+01_Data!S656+01_Data!U656</f>
        <v>133055</v>
      </c>
      <c r="Q656" s="7" t="n">
        <f aca="false">01_Data!J656+01_Data!L656+01_Data!N656+01_Data!P656+01_Data!R656+01_Data!T656+01_Data!V656</f>
        <v>133271</v>
      </c>
      <c r="R656" s="7" t="n">
        <f aca="false">P656-Q656</f>
        <v>-216</v>
      </c>
      <c r="S656" s="7" t="n">
        <f aca="false">L656-P656</f>
        <v>86381</v>
      </c>
      <c r="T656" s="7" t="n">
        <f aca="false">M656-Q656</f>
        <v>104111</v>
      </c>
      <c r="U656" s="7" t="n">
        <f aca="false">T656-S656</f>
        <v>17730</v>
      </c>
      <c r="V656" s="8" t="n">
        <f aca="false">IFERROR(U656/S656,0)</f>
        <v>0.205253470091803</v>
      </c>
      <c r="W656" s="5" t="str">
        <f aca="false">IF(V656&lt;-0.1,"ADVERSE &gt;10%","")</f>
        <v/>
      </c>
    </row>
    <row r="657" customFormat="false" ht="15" hidden="false" customHeight="false" outlineLevel="0" collapsed="false">
      <c r="A657" s="5" t="str">
        <f aca="false">01_Data!A657</f>
        <v>Technology &amp; Telecom</v>
      </c>
      <c r="B657" s="5" t="str">
        <f aca="false">01_Data!C657</f>
        <v>2023-11</v>
      </c>
      <c r="C657" s="5" t="str">
        <f aca="false">01_Data!D657</f>
        <v>FY23</v>
      </c>
      <c r="D657" s="7" t="n">
        <f aca="false">01_Data!E657</f>
        <v>522442</v>
      </c>
      <c r="E657" s="7" t="n">
        <f aca="false">01_Data!F657</f>
        <v>506134</v>
      </c>
      <c r="F657" s="7" t="n">
        <f aca="false">E657-D657</f>
        <v>-16308</v>
      </c>
      <c r="G657" s="8" t="n">
        <f aca="false">IFERROR(F657/D657,0)</f>
        <v>-0.0312149482621994</v>
      </c>
      <c r="H657" s="7" t="n">
        <f aca="false">01_Data!G657</f>
        <v>311079</v>
      </c>
      <c r="I657" s="7" t="n">
        <f aca="false">01_Data!H657</f>
        <v>299781</v>
      </c>
      <c r="J657" s="7" t="n">
        <f aca="false">H657-I657</f>
        <v>11298</v>
      </c>
      <c r="K657" s="8" t="n">
        <f aca="false">IFERROR(J657/H657,0)</f>
        <v>0.0363187486136962</v>
      </c>
      <c r="L657" s="7" t="n">
        <f aca="false">D657-H657</f>
        <v>211363</v>
      </c>
      <c r="M657" s="7" t="n">
        <f aca="false">E657-I657</f>
        <v>206353</v>
      </c>
      <c r="N657" s="7" t="n">
        <f aca="false">IFERROR(L657/D657,0)</f>
        <v>0.404567396955069</v>
      </c>
      <c r="O657" s="7" t="n">
        <f aca="false">IFERROR(M657/E657,0)</f>
        <v>0.40770428384578</v>
      </c>
      <c r="P657" s="7" t="n">
        <f aca="false">01_Data!I657+01_Data!K657+01_Data!M657+01_Data!O657+01_Data!Q657+01_Data!S657+01_Data!U657</f>
        <v>151193</v>
      </c>
      <c r="Q657" s="7" t="n">
        <f aca="false">01_Data!J657+01_Data!L657+01_Data!N657+01_Data!P657+01_Data!R657+01_Data!T657+01_Data!V657</f>
        <v>151616</v>
      </c>
      <c r="R657" s="7" t="n">
        <f aca="false">P657-Q657</f>
        <v>-423</v>
      </c>
      <c r="S657" s="7" t="n">
        <f aca="false">L657-P657</f>
        <v>60170</v>
      </c>
      <c r="T657" s="7" t="n">
        <f aca="false">M657-Q657</f>
        <v>54737</v>
      </c>
      <c r="U657" s="7" t="n">
        <f aca="false">T657-S657</f>
        <v>-5433</v>
      </c>
      <c r="V657" s="8" t="n">
        <f aca="false">IFERROR(U657/S657,0)</f>
        <v>-0.0902941665281702</v>
      </c>
      <c r="W657" s="5" t="str">
        <f aca="false">IF(V657&lt;-0.1,"ADVERSE &gt;10%","")</f>
        <v/>
      </c>
    </row>
    <row r="658" customFormat="false" ht="15" hidden="false" customHeight="false" outlineLevel="0" collapsed="false">
      <c r="A658" s="5" t="str">
        <f aca="false">01_Data!A658</f>
        <v>Technology &amp; Telecom</v>
      </c>
      <c r="B658" s="5" t="str">
        <f aca="false">01_Data!C658</f>
        <v>2023-12</v>
      </c>
      <c r="C658" s="5" t="str">
        <f aca="false">01_Data!D658</f>
        <v>FY23</v>
      </c>
      <c r="D658" s="7" t="n">
        <f aca="false">01_Data!E658</f>
        <v>536466</v>
      </c>
      <c r="E658" s="7" t="n">
        <f aca="false">01_Data!F658</f>
        <v>539220</v>
      </c>
      <c r="F658" s="7" t="n">
        <f aca="false">E658-D658</f>
        <v>2754</v>
      </c>
      <c r="G658" s="8" t="n">
        <f aca="false">IFERROR(F658/D658,0)</f>
        <v>0.00513359653733881</v>
      </c>
      <c r="H658" s="7" t="n">
        <f aca="false">01_Data!G658</f>
        <v>293269</v>
      </c>
      <c r="I658" s="7" t="n">
        <f aca="false">01_Data!H658</f>
        <v>298831</v>
      </c>
      <c r="J658" s="7" t="n">
        <f aca="false">H658-I658</f>
        <v>-5562</v>
      </c>
      <c r="K658" s="8" t="n">
        <f aca="false">IFERROR(J658/H658,0)</f>
        <v>-0.0189655231204116</v>
      </c>
      <c r="L658" s="7" t="n">
        <f aca="false">D658-H658</f>
        <v>243197</v>
      </c>
      <c r="M658" s="7" t="n">
        <f aca="false">E658-I658</f>
        <v>240389</v>
      </c>
      <c r="N658" s="7" t="n">
        <f aca="false">IFERROR(L658/D658,0)</f>
        <v>0.453331618406386</v>
      </c>
      <c r="O658" s="7" t="n">
        <f aca="false">IFERROR(M658/E658,0)</f>
        <v>0.445808760802641</v>
      </c>
      <c r="P658" s="7" t="n">
        <f aca="false">01_Data!I658+01_Data!K658+01_Data!M658+01_Data!O658+01_Data!Q658+01_Data!S658+01_Data!U658</f>
        <v>145172</v>
      </c>
      <c r="Q658" s="7" t="n">
        <f aca="false">01_Data!J658+01_Data!L658+01_Data!N658+01_Data!P658+01_Data!R658+01_Data!T658+01_Data!V658</f>
        <v>148655</v>
      </c>
      <c r="R658" s="7" t="n">
        <f aca="false">P658-Q658</f>
        <v>-3483</v>
      </c>
      <c r="S658" s="7" t="n">
        <f aca="false">L658-P658</f>
        <v>98025</v>
      </c>
      <c r="T658" s="7" t="n">
        <f aca="false">M658-Q658</f>
        <v>91734</v>
      </c>
      <c r="U658" s="7" t="n">
        <f aca="false">T658-S658</f>
        <v>-6291</v>
      </c>
      <c r="V658" s="8" t="n">
        <f aca="false">IFERROR(U658/S658,0)</f>
        <v>-0.0641775057383321</v>
      </c>
      <c r="W658" s="5" t="str">
        <f aca="false">IF(V658&lt;-0.1,"ADVERSE &gt;10%","")</f>
        <v/>
      </c>
    </row>
    <row r="659" customFormat="false" ht="15" hidden="false" customHeight="false" outlineLevel="0" collapsed="false">
      <c r="A659" s="5" t="str">
        <f aca="false">01_Data!A659</f>
        <v>Technology &amp; Telecom</v>
      </c>
      <c r="B659" s="5" t="str">
        <f aca="false">01_Data!C659</f>
        <v>2024-01</v>
      </c>
      <c r="C659" s="5" t="str">
        <f aca="false">01_Data!D659</f>
        <v>FY23</v>
      </c>
      <c r="D659" s="7" t="n">
        <f aca="false">01_Data!E659</f>
        <v>515263</v>
      </c>
      <c r="E659" s="7" t="n">
        <f aca="false">01_Data!F659</f>
        <v>501224</v>
      </c>
      <c r="F659" s="7" t="n">
        <f aca="false">E659-D659</f>
        <v>-14039</v>
      </c>
      <c r="G659" s="8" t="n">
        <f aca="false">IFERROR(F659/D659,0)</f>
        <v>-0.0272462800550399</v>
      </c>
      <c r="H659" s="7" t="n">
        <f aca="false">01_Data!G659</f>
        <v>289184</v>
      </c>
      <c r="I659" s="7" t="n">
        <f aca="false">01_Data!H659</f>
        <v>286341</v>
      </c>
      <c r="J659" s="7" t="n">
        <f aca="false">H659-I659</f>
        <v>2843</v>
      </c>
      <c r="K659" s="8" t="n">
        <f aca="false">IFERROR(J659/H659,0)</f>
        <v>0.00983111098815979</v>
      </c>
      <c r="L659" s="7" t="n">
        <f aca="false">D659-H659</f>
        <v>226079</v>
      </c>
      <c r="M659" s="7" t="n">
        <f aca="false">E659-I659</f>
        <v>214883</v>
      </c>
      <c r="N659" s="7" t="n">
        <f aca="false">IFERROR(L659/D659,0)</f>
        <v>0.438764281541659</v>
      </c>
      <c r="O659" s="7" t="n">
        <f aca="false">IFERROR(M659/E659,0)</f>
        <v>0.428716502003096</v>
      </c>
      <c r="P659" s="7" t="n">
        <f aca="false">01_Data!I659+01_Data!K659+01_Data!M659+01_Data!O659+01_Data!Q659+01_Data!S659+01_Data!U659</f>
        <v>133253</v>
      </c>
      <c r="Q659" s="7" t="n">
        <f aca="false">01_Data!J659+01_Data!L659+01_Data!N659+01_Data!P659+01_Data!R659+01_Data!T659+01_Data!V659</f>
        <v>139738</v>
      </c>
      <c r="R659" s="7" t="n">
        <f aca="false">P659-Q659</f>
        <v>-6485</v>
      </c>
      <c r="S659" s="7" t="n">
        <f aca="false">L659-P659</f>
        <v>92826</v>
      </c>
      <c r="T659" s="7" t="n">
        <f aca="false">M659-Q659</f>
        <v>75145</v>
      </c>
      <c r="U659" s="7" t="n">
        <f aca="false">T659-S659</f>
        <v>-17681</v>
      </c>
      <c r="V659" s="8" t="n">
        <f aca="false">IFERROR(U659/S659,0)</f>
        <v>-0.190474651498503</v>
      </c>
      <c r="W659" s="5" t="str">
        <f aca="false">IF(V659&lt;-0.1,"ADVERSE &gt;10%","")</f>
        <v>ADVERSE &gt;10%</v>
      </c>
    </row>
    <row r="660" customFormat="false" ht="15" hidden="false" customHeight="false" outlineLevel="0" collapsed="false">
      <c r="A660" s="5" t="str">
        <f aca="false">01_Data!A660</f>
        <v>Technology &amp; Telecom</v>
      </c>
      <c r="B660" s="5" t="str">
        <f aca="false">01_Data!C660</f>
        <v>2024-02</v>
      </c>
      <c r="C660" s="5" t="str">
        <f aca="false">01_Data!D660</f>
        <v>FY23</v>
      </c>
      <c r="D660" s="7" t="n">
        <f aca="false">01_Data!E660</f>
        <v>490178</v>
      </c>
      <c r="E660" s="7" t="n">
        <f aca="false">01_Data!F660</f>
        <v>511537</v>
      </c>
      <c r="F660" s="7" t="n">
        <f aca="false">E660-D660</f>
        <v>21359</v>
      </c>
      <c r="G660" s="8" t="n">
        <f aca="false">IFERROR(F660/D660,0)</f>
        <v>0.0435739670079033</v>
      </c>
      <c r="H660" s="7" t="n">
        <f aca="false">01_Data!G660</f>
        <v>292407</v>
      </c>
      <c r="I660" s="7" t="n">
        <f aca="false">01_Data!H660</f>
        <v>310511</v>
      </c>
      <c r="J660" s="7" t="n">
        <f aca="false">H660-I660</f>
        <v>-18104</v>
      </c>
      <c r="K660" s="8" t="n">
        <f aca="false">IFERROR(J660/H660,0)</f>
        <v>-0.0619137024763429</v>
      </c>
      <c r="L660" s="7" t="n">
        <f aca="false">D660-H660</f>
        <v>197771</v>
      </c>
      <c r="M660" s="7" t="n">
        <f aca="false">E660-I660</f>
        <v>201026</v>
      </c>
      <c r="N660" s="7" t="n">
        <f aca="false">IFERROR(L660/D660,0)</f>
        <v>0.40346771988951</v>
      </c>
      <c r="O660" s="7" t="n">
        <f aca="false">IFERROR(M660/E660,0)</f>
        <v>0.392984280706967</v>
      </c>
      <c r="P660" s="7" t="n">
        <f aca="false">01_Data!I660+01_Data!K660+01_Data!M660+01_Data!O660+01_Data!Q660+01_Data!S660+01_Data!U660</f>
        <v>141081</v>
      </c>
      <c r="Q660" s="7" t="n">
        <f aca="false">01_Data!J660+01_Data!L660+01_Data!N660+01_Data!P660+01_Data!R660+01_Data!T660+01_Data!V660</f>
        <v>144355</v>
      </c>
      <c r="R660" s="7" t="n">
        <f aca="false">P660-Q660</f>
        <v>-3274</v>
      </c>
      <c r="S660" s="7" t="n">
        <f aca="false">L660-P660</f>
        <v>56690</v>
      </c>
      <c r="T660" s="7" t="n">
        <f aca="false">M660-Q660</f>
        <v>56671</v>
      </c>
      <c r="U660" s="7" t="n">
        <f aca="false">T660-S660</f>
        <v>-19</v>
      </c>
      <c r="V660" s="8" t="n">
        <f aca="false">IFERROR(U660/S660,0)</f>
        <v>-0.000335156112189099</v>
      </c>
      <c r="W660" s="5" t="str">
        <f aca="false">IF(V660&lt;-0.1,"ADVERSE &gt;10%","")</f>
        <v/>
      </c>
    </row>
    <row r="661" customFormat="false" ht="15" hidden="false" customHeight="false" outlineLevel="0" collapsed="false">
      <c r="A661" s="5" t="str">
        <f aca="false">01_Data!A661</f>
        <v>Technology &amp; Telecom</v>
      </c>
      <c r="B661" s="5" t="str">
        <f aca="false">01_Data!C661</f>
        <v>2024-03</v>
      </c>
      <c r="C661" s="5" t="str">
        <f aca="false">01_Data!D661</f>
        <v>FY23</v>
      </c>
      <c r="D661" s="7" t="n">
        <f aca="false">01_Data!E661</f>
        <v>574599</v>
      </c>
      <c r="E661" s="7" t="n">
        <f aca="false">01_Data!F661</f>
        <v>546838</v>
      </c>
      <c r="F661" s="7" t="n">
        <f aca="false">E661-D661</f>
        <v>-27761</v>
      </c>
      <c r="G661" s="8" t="n">
        <f aca="false">IFERROR(F661/D661,0)</f>
        <v>-0.0483136935497625</v>
      </c>
      <c r="H661" s="7" t="n">
        <f aca="false">01_Data!G661</f>
        <v>331421</v>
      </c>
      <c r="I661" s="7" t="n">
        <f aca="false">01_Data!H661</f>
        <v>330701</v>
      </c>
      <c r="J661" s="7" t="n">
        <f aca="false">H661-I661</f>
        <v>720</v>
      </c>
      <c r="K661" s="8" t="n">
        <f aca="false">IFERROR(J661/H661,0)</f>
        <v>0.00217246342265578</v>
      </c>
      <c r="L661" s="7" t="n">
        <f aca="false">D661-H661</f>
        <v>243178</v>
      </c>
      <c r="M661" s="7" t="n">
        <f aca="false">E661-I661</f>
        <v>216137</v>
      </c>
      <c r="N661" s="7" t="n">
        <f aca="false">IFERROR(L661/D661,0)</f>
        <v>0.423213406218946</v>
      </c>
      <c r="O661" s="7" t="n">
        <f aca="false">IFERROR(M661/E661,0)</f>
        <v>0.395248684253838</v>
      </c>
      <c r="P661" s="7" t="n">
        <f aca="false">01_Data!I661+01_Data!K661+01_Data!M661+01_Data!O661+01_Data!Q661+01_Data!S661+01_Data!U661</f>
        <v>149267</v>
      </c>
      <c r="Q661" s="7" t="n">
        <f aca="false">01_Data!J661+01_Data!L661+01_Data!N661+01_Data!P661+01_Data!R661+01_Data!T661+01_Data!V661</f>
        <v>152048</v>
      </c>
      <c r="R661" s="7" t="n">
        <f aca="false">P661-Q661</f>
        <v>-2781</v>
      </c>
      <c r="S661" s="7" t="n">
        <f aca="false">L661-P661</f>
        <v>93911</v>
      </c>
      <c r="T661" s="7" t="n">
        <f aca="false">M661-Q661</f>
        <v>64089</v>
      </c>
      <c r="U661" s="7" t="n">
        <f aca="false">T661-S661</f>
        <v>-29822</v>
      </c>
      <c r="V661" s="8" t="n">
        <f aca="false">IFERROR(U661/S661,0)</f>
        <v>-0.317555983857056</v>
      </c>
      <c r="W661" s="5" t="str">
        <f aca="false">IF(V661&lt;-0.1,"ADVERSE &gt;10%","")</f>
        <v>ADVERSE &gt;10%</v>
      </c>
    </row>
    <row r="662" customFormat="false" ht="15" hidden="false" customHeight="false" outlineLevel="0" collapsed="false">
      <c r="A662" s="5" t="str">
        <f aca="false">01_Data!A662</f>
        <v>Technology &amp; Telecom</v>
      </c>
      <c r="B662" s="5" t="str">
        <f aca="false">01_Data!C662</f>
        <v>2024-04</v>
      </c>
      <c r="C662" s="5" t="str">
        <f aca="false">01_Data!D662</f>
        <v>FY24</v>
      </c>
      <c r="D662" s="7" t="n">
        <f aca="false">01_Data!E662</f>
        <v>513755</v>
      </c>
      <c r="E662" s="7" t="n">
        <f aca="false">01_Data!F662</f>
        <v>527932</v>
      </c>
      <c r="F662" s="7" t="n">
        <f aca="false">E662-D662</f>
        <v>14177</v>
      </c>
      <c r="G662" s="8" t="n">
        <f aca="false">IFERROR(F662/D662,0)</f>
        <v>0.0275948652567858</v>
      </c>
      <c r="H662" s="7" t="n">
        <f aca="false">01_Data!G662</f>
        <v>304944</v>
      </c>
      <c r="I662" s="7" t="n">
        <f aca="false">01_Data!H662</f>
        <v>306059</v>
      </c>
      <c r="J662" s="7" t="n">
        <f aca="false">H662-I662</f>
        <v>-1115</v>
      </c>
      <c r="K662" s="8" t="n">
        <f aca="false">IFERROR(J662/H662,0)</f>
        <v>-0.00365640904559526</v>
      </c>
      <c r="L662" s="7" t="n">
        <f aca="false">D662-H662</f>
        <v>208811</v>
      </c>
      <c r="M662" s="7" t="n">
        <f aca="false">E662-I662</f>
        <v>221873</v>
      </c>
      <c r="N662" s="7" t="n">
        <f aca="false">IFERROR(L662/D662,0)</f>
        <v>0.406440813228095</v>
      </c>
      <c r="O662" s="7" t="n">
        <f aca="false">IFERROR(M662/E662,0)</f>
        <v>0.420268140593864</v>
      </c>
      <c r="P662" s="7" t="n">
        <f aca="false">01_Data!I662+01_Data!K662+01_Data!M662+01_Data!O662+01_Data!Q662+01_Data!S662+01_Data!U662</f>
        <v>136734</v>
      </c>
      <c r="Q662" s="7" t="n">
        <f aca="false">01_Data!J662+01_Data!L662+01_Data!N662+01_Data!P662+01_Data!R662+01_Data!T662+01_Data!V662</f>
        <v>143279</v>
      </c>
      <c r="R662" s="7" t="n">
        <f aca="false">P662-Q662</f>
        <v>-6545</v>
      </c>
      <c r="S662" s="7" t="n">
        <f aca="false">L662-P662</f>
        <v>72077</v>
      </c>
      <c r="T662" s="7" t="n">
        <f aca="false">M662-Q662</f>
        <v>78594</v>
      </c>
      <c r="U662" s="7" t="n">
        <f aca="false">T662-S662</f>
        <v>6517</v>
      </c>
      <c r="V662" s="8" t="n">
        <f aca="false">IFERROR(U662/S662,0)</f>
        <v>0.0904171927244475</v>
      </c>
      <c r="W662" s="5" t="str">
        <f aca="false">IF(V662&lt;-0.1,"ADVERSE &gt;10%","")</f>
        <v/>
      </c>
    </row>
    <row r="663" customFormat="false" ht="15" hidden="false" customHeight="false" outlineLevel="0" collapsed="false">
      <c r="A663" s="5" t="str">
        <f aca="false">01_Data!A663</f>
        <v>Technology &amp; Telecom</v>
      </c>
      <c r="B663" s="5" t="str">
        <f aca="false">01_Data!C663</f>
        <v>2024-05</v>
      </c>
      <c r="C663" s="5" t="str">
        <f aca="false">01_Data!D663</f>
        <v>FY24</v>
      </c>
      <c r="D663" s="7" t="n">
        <f aca="false">01_Data!E663</f>
        <v>540749</v>
      </c>
      <c r="E663" s="7" t="n">
        <f aca="false">01_Data!F663</f>
        <v>525433</v>
      </c>
      <c r="F663" s="7" t="n">
        <f aca="false">E663-D663</f>
        <v>-15316</v>
      </c>
      <c r="G663" s="8" t="n">
        <f aca="false">IFERROR(F663/D663,0)</f>
        <v>-0.028323676973975</v>
      </c>
      <c r="H663" s="7" t="n">
        <f aca="false">01_Data!G663</f>
        <v>306746</v>
      </c>
      <c r="I663" s="7" t="n">
        <f aca="false">01_Data!H663</f>
        <v>289399</v>
      </c>
      <c r="J663" s="7" t="n">
        <f aca="false">H663-I663</f>
        <v>17347</v>
      </c>
      <c r="K663" s="8" t="n">
        <f aca="false">IFERROR(J663/H663,0)</f>
        <v>0.0565516746754644</v>
      </c>
      <c r="L663" s="7" t="n">
        <f aca="false">D663-H663</f>
        <v>234003</v>
      </c>
      <c r="M663" s="7" t="n">
        <f aca="false">E663-I663</f>
        <v>236034</v>
      </c>
      <c r="N663" s="7" t="n">
        <f aca="false">IFERROR(L663/D663,0)</f>
        <v>0.4327386643341</v>
      </c>
      <c r="O663" s="7" t="n">
        <f aca="false">IFERROR(M663/E663,0)</f>
        <v>0.449218073474639</v>
      </c>
      <c r="P663" s="7" t="n">
        <f aca="false">01_Data!I663+01_Data!K663+01_Data!M663+01_Data!O663+01_Data!Q663+01_Data!S663+01_Data!U663</f>
        <v>157494</v>
      </c>
      <c r="Q663" s="7" t="n">
        <f aca="false">01_Data!J663+01_Data!L663+01_Data!N663+01_Data!P663+01_Data!R663+01_Data!T663+01_Data!V663</f>
        <v>163660</v>
      </c>
      <c r="R663" s="7" t="n">
        <f aca="false">P663-Q663</f>
        <v>-6166</v>
      </c>
      <c r="S663" s="7" t="n">
        <f aca="false">L663-P663</f>
        <v>76509</v>
      </c>
      <c r="T663" s="7" t="n">
        <f aca="false">M663-Q663</f>
        <v>72374</v>
      </c>
      <c r="U663" s="7" t="n">
        <f aca="false">T663-S663</f>
        <v>-4135</v>
      </c>
      <c r="V663" s="8" t="n">
        <f aca="false">IFERROR(U663/S663,0)</f>
        <v>-0.0540459292370832</v>
      </c>
      <c r="W663" s="5" t="str">
        <f aca="false">IF(V663&lt;-0.1,"ADVERSE &gt;10%","")</f>
        <v/>
      </c>
    </row>
    <row r="664" customFormat="false" ht="15" hidden="false" customHeight="false" outlineLevel="0" collapsed="false">
      <c r="A664" s="5" t="str">
        <f aca="false">01_Data!A664</f>
        <v>Technology &amp; Telecom</v>
      </c>
      <c r="B664" s="5" t="str">
        <f aca="false">01_Data!C664</f>
        <v>2024-06</v>
      </c>
      <c r="C664" s="5" t="str">
        <f aca="false">01_Data!D664</f>
        <v>FY24</v>
      </c>
      <c r="D664" s="7" t="n">
        <f aca="false">01_Data!E664</f>
        <v>500053</v>
      </c>
      <c r="E664" s="7" t="n">
        <f aca="false">01_Data!F664</f>
        <v>525064</v>
      </c>
      <c r="F664" s="7" t="n">
        <f aca="false">E664-D664</f>
        <v>25011</v>
      </c>
      <c r="G664" s="8" t="n">
        <f aca="false">IFERROR(F664/D664,0)</f>
        <v>0.0500166982299876</v>
      </c>
      <c r="H664" s="7" t="n">
        <f aca="false">01_Data!G664</f>
        <v>299960</v>
      </c>
      <c r="I664" s="7" t="n">
        <f aca="false">01_Data!H664</f>
        <v>320301</v>
      </c>
      <c r="J664" s="7" t="n">
        <f aca="false">H664-I664</f>
        <v>-20341</v>
      </c>
      <c r="K664" s="8" t="n">
        <f aca="false">IFERROR(J664/H664,0)</f>
        <v>-0.0678123749833311</v>
      </c>
      <c r="L664" s="7" t="n">
        <f aca="false">D664-H664</f>
        <v>200093</v>
      </c>
      <c r="M664" s="7" t="n">
        <f aca="false">E664-I664</f>
        <v>204763</v>
      </c>
      <c r="N664" s="7" t="n">
        <f aca="false">IFERROR(L664/D664,0)</f>
        <v>0.400143584780013</v>
      </c>
      <c r="O664" s="7" t="n">
        <f aca="false">IFERROR(M664/E664,0)</f>
        <v>0.389977221824387</v>
      </c>
      <c r="P664" s="7" t="n">
        <f aca="false">01_Data!I664+01_Data!K664+01_Data!M664+01_Data!O664+01_Data!Q664+01_Data!S664+01_Data!U664</f>
        <v>139450</v>
      </c>
      <c r="Q664" s="7" t="n">
        <f aca="false">01_Data!J664+01_Data!L664+01_Data!N664+01_Data!P664+01_Data!R664+01_Data!T664+01_Data!V664</f>
        <v>143004</v>
      </c>
      <c r="R664" s="7" t="n">
        <f aca="false">P664-Q664</f>
        <v>-3554</v>
      </c>
      <c r="S664" s="7" t="n">
        <f aca="false">L664-P664</f>
        <v>60643</v>
      </c>
      <c r="T664" s="7" t="n">
        <f aca="false">M664-Q664</f>
        <v>61759</v>
      </c>
      <c r="U664" s="7" t="n">
        <f aca="false">T664-S664</f>
        <v>1116</v>
      </c>
      <c r="V664" s="8" t="n">
        <f aca="false">IFERROR(U664/S664,0)</f>
        <v>0.0184027835034546</v>
      </c>
      <c r="W664" s="5" t="str">
        <f aca="false">IF(V664&lt;-0.1,"ADVERSE &gt;10%","")</f>
        <v/>
      </c>
    </row>
    <row r="665" customFormat="false" ht="15" hidden="false" customHeight="false" outlineLevel="0" collapsed="false">
      <c r="A665" s="5" t="str">
        <f aca="false">01_Data!A665</f>
        <v>Technology &amp; Telecom</v>
      </c>
      <c r="B665" s="5" t="str">
        <f aca="false">01_Data!C665</f>
        <v>2024-07</v>
      </c>
      <c r="C665" s="5" t="str">
        <f aca="false">01_Data!D665</f>
        <v>FY24</v>
      </c>
      <c r="D665" s="7" t="n">
        <f aca="false">01_Data!E665</f>
        <v>550174</v>
      </c>
      <c r="E665" s="7" t="n">
        <f aca="false">01_Data!F665</f>
        <v>528833</v>
      </c>
      <c r="F665" s="7" t="n">
        <f aca="false">E665-D665</f>
        <v>-21341</v>
      </c>
      <c r="G665" s="8" t="n">
        <f aca="false">IFERROR(F665/D665,0)</f>
        <v>-0.0387895465798093</v>
      </c>
      <c r="H665" s="7" t="n">
        <f aca="false">01_Data!G665</f>
        <v>329546</v>
      </c>
      <c r="I665" s="7" t="n">
        <f aca="false">01_Data!H665</f>
        <v>308384</v>
      </c>
      <c r="J665" s="7" t="n">
        <f aca="false">H665-I665</f>
        <v>21162</v>
      </c>
      <c r="K665" s="8" t="n">
        <f aca="false">IFERROR(J665/H665,0)</f>
        <v>0.0642156178500118</v>
      </c>
      <c r="L665" s="7" t="n">
        <f aca="false">D665-H665</f>
        <v>220628</v>
      </c>
      <c r="M665" s="7" t="n">
        <f aca="false">E665-I665</f>
        <v>220449</v>
      </c>
      <c r="N665" s="7" t="n">
        <f aca="false">IFERROR(L665/D665,0)</f>
        <v>0.401014951633483</v>
      </c>
      <c r="O665" s="7" t="n">
        <f aca="false">IFERROR(M665/E665,0)</f>
        <v>0.416859386611652</v>
      </c>
      <c r="P665" s="7" t="n">
        <f aca="false">01_Data!I665+01_Data!K665+01_Data!M665+01_Data!O665+01_Data!Q665+01_Data!S665+01_Data!U665</f>
        <v>138499</v>
      </c>
      <c r="Q665" s="7" t="n">
        <f aca="false">01_Data!J665+01_Data!L665+01_Data!N665+01_Data!P665+01_Data!R665+01_Data!T665+01_Data!V665</f>
        <v>145184</v>
      </c>
      <c r="R665" s="7" t="n">
        <f aca="false">P665-Q665</f>
        <v>-6685</v>
      </c>
      <c r="S665" s="7" t="n">
        <f aca="false">L665-P665</f>
        <v>82129</v>
      </c>
      <c r="T665" s="7" t="n">
        <f aca="false">M665-Q665</f>
        <v>75265</v>
      </c>
      <c r="U665" s="7" t="n">
        <f aca="false">T665-S665</f>
        <v>-6864</v>
      </c>
      <c r="V665" s="8" t="n">
        <f aca="false">IFERROR(U665/S665,0)</f>
        <v>-0.083575838010934</v>
      </c>
      <c r="W665" s="5" t="str">
        <f aca="false">IF(V665&lt;-0.1,"ADVERSE &gt;10%","")</f>
        <v/>
      </c>
    </row>
    <row r="666" customFormat="false" ht="15" hidden="false" customHeight="false" outlineLevel="0" collapsed="false">
      <c r="A666" s="5" t="str">
        <f aca="false">01_Data!A666</f>
        <v>Technology &amp; Telecom</v>
      </c>
      <c r="B666" s="5" t="str">
        <f aca="false">01_Data!C666</f>
        <v>2024-08</v>
      </c>
      <c r="C666" s="5" t="str">
        <f aca="false">01_Data!D666</f>
        <v>FY24</v>
      </c>
      <c r="D666" s="7" t="n">
        <f aca="false">01_Data!E666</f>
        <v>538326</v>
      </c>
      <c r="E666" s="7" t="n">
        <f aca="false">01_Data!F666</f>
        <v>531838</v>
      </c>
      <c r="F666" s="7" t="n">
        <f aca="false">E666-D666</f>
        <v>-6488</v>
      </c>
      <c r="G666" s="8" t="n">
        <f aca="false">IFERROR(F666/D666,0)</f>
        <v>-0.0120521765621575</v>
      </c>
      <c r="H666" s="7" t="n">
        <f aca="false">01_Data!G666</f>
        <v>309764</v>
      </c>
      <c r="I666" s="7" t="n">
        <f aca="false">01_Data!H666</f>
        <v>316497</v>
      </c>
      <c r="J666" s="7" t="n">
        <f aca="false">H666-I666</f>
        <v>-6733</v>
      </c>
      <c r="K666" s="8" t="n">
        <f aca="false">IFERROR(J666/H666,0)</f>
        <v>-0.0217359021706848</v>
      </c>
      <c r="L666" s="7" t="n">
        <f aca="false">D666-H666</f>
        <v>228562</v>
      </c>
      <c r="M666" s="7" t="n">
        <f aca="false">E666-I666</f>
        <v>215341</v>
      </c>
      <c r="N666" s="7" t="n">
        <f aca="false">IFERROR(L666/D666,0)</f>
        <v>0.42457915835386</v>
      </c>
      <c r="O666" s="7" t="n">
        <f aca="false">IFERROR(M666/E666,0)</f>
        <v>0.404899612287952</v>
      </c>
      <c r="P666" s="7" t="n">
        <f aca="false">01_Data!I666+01_Data!K666+01_Data!M666+01_Data!O666+01_Data!Q666+01_Data!S666+01_Data!U666</f>
        <v>150572</v>
      </c>
      <c r="Q666" s="7" t="n">
        <f aca="false">01_Data!J666+01_Data!L666+01_Data!N666+01_Data!P666+01_Data!R666+01_Data!T666+01_Data!V666</f>
        <v>156692</v>
      </c>
      <c r="R666" s="7" t="n">
        <f aca="false">P666-Q666</f>
        <v>-6120</v>
      </c>
      <c r="S666" s="7" t="n">
        <f aca="false">L666-P666</f>
        <v>77990</v>
      </c>
      <c r="T666" s="7" t="n">
        <f aca="false">M666-Q666</f>
        <v>58649</v>
      </c>
      <c r="U666" s="7" t="n">
        <f aca="false">T666-S666</f>
        <v>-19341</v>
      </c>
      <c r="V666" s="8" t="n">
        <f aca="false">IFERROR(U666/S666,0)</f>
        <v>-0.247993332478523</v>
      </c>
      <c r="W666" s="5" t="str">
        <f aca="false">IF(V666&lt;-0.1,"ADVERSE &gt;10%","")</f>
        <v>ADVERSE &gt;10%</v>
      </c>
    </row>
    <row r="667" customFormat="false" ht="15" hidden="false" customHeight="false" outlineLevel="0" collapsed="false">
      <c r="A667" s="5" t="str">
        <f aca="false">01_Data!A667</f>
        <v>Technology &amp; Telecom</v>
      </c>
      <c r="B667" s="5" t="str">
        <f aca="false">01_Data!C667</f>
        <v>2024-09</v>
      </c>
      <c r="C667" s="5" t="str">
        <f aca="false">01_Data!D667</f>
        <v>FY24</v>
      </c>
      <c r="D667" s="7" t="n">
        <f aca="false">01_Data!E667</f>
        <v>603666</v>
      </c>
      <c r="E667" s="7" t="n">
        <f aca="false">01_Data!F667</f>
        <v>573378</v>
      </c>
      <c r="F667" s="7" t="n">
        <f aca="false">E667-D667</f>
        <v>-30288</v>
      </c>
      <c r="G667" s="8" t="n">
        <f aca="false">IFERROR(F667/D667,0)</f>
        <v>-0.0501734402798899</v>
      </c>
      <c r="H667" s="7" t="n">
        <f aca="false">01_Data!G667</f>
        <v>355432</v>
      </c>
      <c r="I667" s="7" t="n">
        <f aca="false">01_Data!H667</f>
        <v>344139</v>
      </c>
      <c r="J667" s="7" t="n">
        <f aca="false">H667-I667</f>
        <v>11293</v>
      </c>
      <c r="K667" s="8" t="n">
        <f aca="false">IFERROR(J667/H667,0)</f>
        <v>0.0317726034797092</v>
      </c>
      <c r="L667" s="7" t="n">
        <f aca="false">D667-H667</f>
        <v>248234</v>
      </c>
      <c r="M667" s="7" t="n">
        <f aca="false">E667-I667</f>
        <v>229239</v>
      </c>
      <c r="N667" s="7" t="n">
        <f aca="false">IFERROR(L667/D667,0)</f>
        <v>0.411210835130685</v>
      </c>
      <c r="O667" s="7" t="n">
        <f aca="false">IFERROR(M667/E667,0)</f>
        <v>0.399804317570608</v>
      </c>
      <c r="P667" s="7" t="n">
        <f aca="false">01_Data!I667+01_Data!K667+01_Data!M667+01_Data!O667+01_Data!Q667+01_Data!S667+01_Data!U667</f>
        <v>162124</v>
      </c>
      <c r="Q667" s="7" t="n">
        <f aca="false">01_Data!J667+01_Data!L667+01_Data!N667+01_Data!P667+01_Data!R667+01_Data!T667+01_Data!V667</f>
        <v>168774</v>
      </c>
      <c r="R667" s="7" t="n">
        <f aca="false">P667-Q667</f>
        <v>-6650</v>
      </c>
      <c r="S667" s="7" t="n">
        <f aca="false">L667-P667</f>
        <v>86110</v>
      </c>
      <c r="T667" s="7" t="n">
        <f aca="false">M667-Q667</f>
        <v>60465</v>
      </c>
      <c r="U667" s="7" t="n">
        <f aca="false">T667-S667</f>
        <v>-25645</v>
      </c>
      <c r="V667" s="8" t="n">
        <f aca="false">IFERROR(U667/S667,0)</f>
        <v>-0.297816746022529</v>
      </c>
      <c r="W667" s="5" t="str">
        <f aca="false">IF(V667&lt;-0.1,"ADVERSE &gt;10%","")</f>
        <v>ADVERSE &gt;10%</v>
      </c>
    </row>
    <row r="668" customFormat="false" ht="15" hidden="false" customHeight="false" outlineLevel="0" collapsed="false">
      <c r="A668" s="5" t="str">
        <f aca="false">01_Data!A668</f>
        <v>Technology &amp; Telecom</v>
      </c>
      <c r="B668" s="5" t="str">
        <f aca="false">01_Data!C668</f>
        <v>2024-10</v>
      </c>
      <c r="C668" s="5" t="str">
        <f aca="false">01_Data!D668</f>
        <v>FY24</v>
      </c>
      <c r="D668" s="7" t="n">
        <f aca="false">01_Data!E668</f>
        <v>537077</v>
      </c>
      <c r="E668" s="7" t="n">
        <f aca="false">01_Data!F668</f>
        <v>553777</v>
      </c>
      <c r="F668" s="7" t="n">
        <f aca="false">E668-D668</f>
        <v>16700</v>
      </c>
      <c r="G668" s="8" t="n">
        <f aca="false">IFERROR(F668/D668,0)</f>
        <v>0.0310942378839533</v>
      </c>
      <c r="H668" s="7" t="n">
        <f aca="false">01_Data!G668</f>
        <v>304394</v>
      </c>
      <c r="I668" s="7" t="n">
        <f aca="false">01_Data!H668</f>
        <v>304107</v>
      </c>
      <c r="J668" s="7" t="n">
        <f aca="false">H668-I668</f>
        <v>287</v>
      </c>
      <c r="K668" s="8" t="n">
        <f aca="false">IFERROR(J668/H668,0)</f>
        <v>0.000942856955130522</v>
      </c>
      <c r="L668" s="7" t="n">
        <f aca="false">D668-H668</f>
        <v>232683</v>
      </c>
      <c r="M668" s="7" t="n">
        <f aca="false">E668-I668</f>
        <v>249670</v>
      </c>
      <c r="N668" s="7" t="n">
        <f aca="false">IFERROR(L668/D668,0)</f>
        <v>0.433239554104905</v>
      </c>
      <c r="O668" s="7" t="n">
        <f aca="false">IFERROR(M668/E668,0)</f>
        <v>0.450849349106229</v>
      </c>
      <c r="P668" s="7" t="n">
        <f aca="false">01_Data!I668+01_Data!K668+01_Data!M668+01_Data!O668+01_Data!Q668+01_Data!S668+01_Data!U668</f>
        <v>142488</v>
      </c>
      <c r="Q668" s="7" t="n">
        <f aca="false">01_Data!J668+01_Data!L668+01_Data!N668+01_Data!P668+01_Data!R668+01_Data!T668+01_Data!V668</f>
        <v>152328</v>
      </c>
      <c r="R668" s="7" t="n">
        <f aca="false">P668-Q668</f>
        <v>-9840</v>
      </c>
      <c r="S668" s="7" t="n">
        <f aca="false">L668-P668</f>
        <v>90195</v>
      </c>
      <c r="T668" s="7" t="n">
        <f aca="false">M668-Q668</f>
        <v>97342</v>
      </c>
      <c r="U668" s="7" t="n">
        <f aca="false">T668-S668</f>
        <v>7147</v>
      </c>
      <c r="V668" s="8" t="n">
        <f aca="false">IFERROR(U668/S668,0)</f>
        <v>0.0792394256887854</v>
      </c>
      <c r="W668" s="5" t="str">
        <f aca="false">IF(V668&lt;-0.1,"ADVERSE &gt;10%","")</f>
        <v/>
      </c>
    </row>
    <row r="669" customFormat="false" ht="15" hidden="false" customHeight="false" outlineLevel="0" collapsed="false">
      <c r="A669" s="5" t="str">
        <f aca="false">01_Data!A669</f>
        <v>Technology &amp; Telecom</v>
      </c>
      <c r="B669" s="5" t="str">
        <f aca="false">01_Data!C669</f>
        <v>2024-11</v>
      </c>
      <c r="C669" s="5" t="str">
        <f aca="false">01_Data!D669</f>
        <v>FY24</v>
      </c>
      <c r="D669" s="7" t="n">
        <f aca="false">01_Data!E669</f>
        <v>578338</v>
      </c>
      <c r="E669" s="7" t="n">
        <f aca="false">01_Data!F669</f>
        <v>562157</v>
      </c>
      <c r="F669" s="7" t="n">
        <f aca="false">E669-D669</f>
        <v>-16181</v>
      </c>
      <c r="G669" s="8" t="n">
        <f aca="false">IFERROR(F669/D669,0)</f>
        <v>-0.0279784485888875</v>
      </c>
      <c r="H669" s="7" t="n">
        <f aca="false">01_Data!G669</f>
        <v>341320</v>
      </c>
      <c r="I669" s="7" t="n">
        <f aca="false">01_Data!H669</f>
        <v>326924</v>
      </c>
      <c r="J669" s="7" t="n">
        <f aca="false">H669-I669</f>
        <v>14396</v>
      </c>
      <c r="K669" s="8" t="n">
        <f aca="false">IFERROR(J669/H669,0)</f>
        <v>0.0421774288058127</v>
      </c>
      <c r="L669" s="7" t="n">
        <f aca="false">D669-H669</f>
        <v>237018</v>
      </c>
      <c r="M669" s="7" t="n">
        <f aca="false">E669-I669</f>
        <v>235233</v>
      </c>
      <c r="N669" s="7" t="n">
        <f aca="false">IFERROR(L669/D669,0)</f>
        <v>0.409826087858657</v>
      </c>
      <c r="O669" s="7" t="n">
        <f aca="false">IFERROR(M669/E669,0)</f>
        <v>0.418447159779208</v>
      </c>
      <c r="P669" s="7" t="n">
        <f aca="false">01_Data!I669+01_Data!K669+01_Data!M669+01_Data!O669+01_Data!Q669+01_Data!S669+01_Data!U669</f>
        <v>160155</v>
      </c>
      <c r="Q669" s="7" t="n">
        <f aca="false">01_Data!J669+01_Data!L669+01_Data!N669+01_Data!P669+01_Data!R669+01_Data!T669+01_Data!V669</f>
        <v>161015</v>
      </c>
      <c r="R669" s="7" t="n">
        <f aca="false">P669-Q669</f>
        <v>-860</v>
      </c>
      <c r="S669" s="7" t="n">
        <f aca="false">L669-P669</f>
        <v>76863</v>
      </c>
      <c r="T669" s="7" t="n">
        <f aca="false">M669-Q669</f>
        <v>74218</v>
      </c>
      <c r="U669" s="7" t="n">
        <f aca="false">T669-S669</f>
        <v>-2645</v>
      </c>
      <c r="V669" s="8" t="n">
        <f aca="false">IFERROR(U669/S669,0)</f>
        <v>-0.0344118756749021</v>
      </c>
      <c r="W669" s="5" t="str">
        <f aca="false">IF(V669&lt;-0.1,"ADVERSE &gt;10%","")</f>
        <v/>
      </c>
    </row>
    <row r="670" customFormat="false" ht="15" hidden="false" customHeight="false" outlineLevel="0" collapsed="false">
      <c r="A670" s="5" t="str">
        <f aca="false">01_Data!A670</f>
        <v>Technology &amp; Telecom</v>
      </c>
      <c r="B670" s="5" t="str">
        <f aca="false">01_Data!C670</f>
        <v>2024-12</v>
      </c>
      <c r="C670" s="5" t="str">
        <f aca="false">01_Data!D670</f>
        <v>FY24</v>
      </c>
      <c r="D670" s="7" t="n">
        <f aca="false">01_Data!E670</f>
        <v>603523</v>
      </c>
      <c r="E670" s="7" t="n">
        <f aca="false">01_Data!F670</f>
        <v>616638</v>
      </c>
      <c r="F670" s="7" t="n">
        <f aca="false">E670-D670</f>
        <v>13115</v>
      </c>
      <c r="G670" s="8" t="n">
        <f aca="false">IFERROR(F670/D670,0)</f>
        <v>0.0217307376852249</v>
      </c>
      <c r="H670" s="7" t="n">
        <f aca="false">01_Data!G670</f>
        <v>329939</v>
      </c>
      <c r="I670" s="7" t="n">
        <f aca="false">01_Data!H670</f>
        <v>342716</v>
      </c>
      <c r="J670" s="7" t="n">
        <f aca="false">H670-I670</f>
        <v>-12777</v>
      </c>
      <c r="K670" s="8" t="n">
        <f aca="false">IFERROR(J670/H670,0)</f>
        <v>-0.0387253401386317</v>
      </c>
      <c r="L670" s="7" t="n">
        <f aca="false">D670-H670</f>
        <v>273584</v>
      </c>
      <c r="M670" s="7" t="n">
        <f aca="false">E670-I670</f>
        <v>273922</v>
      </c>
      <c r="N670" s="7" t="n">
        <f aca="false">IFERROR(L670/D670,0)</f>
        <v>0.453311638495965</v>
      </c>
      <c r="O670" s="7" t="n">
        <f aca="false">IFERROR(M670/E670,0)</f>
        <v>0.444218487994577</v>
      </c>
      <c r="P670" s="7" t="n">
        <f aca="false">01_Data!I670+01_Data!K670+01_Data!M670+01_Data!O670+01_Data!Q670+01_Data!S670+01_Data!U670</f>
        <v>168392</v>
      </c>
      <c r="Q670" s="7" t="n">
        <f aca="false">01_Data!J670+01_Data!L670+01_Data!N670+01_Data!P670+01_Data!R670+01_Data!T670+01_Data!V670</f>
        <v>174330</v>
      </c>
      <c r="R670" s="7" t="n">
        <f aca="false">P670-Q670</f>
        <v>-5938</v>
      </c>
      <c r="S670" s="7" t="n">
        <f aca="false">L670-P670</f>
        <v>105192</v>
      </c>
      <c r="T670" s="7" t="n">
        <f aca="false">M670-Q670</f>
        <v>99592</v>
      </c>
      <c r="U670" s="7" t="n">
        <f aca="false">T670-S670</f>
        <v>-5600</v>
      </c>
      <c r="V670" s="8" t="n">
        <f aca="false">IFERROR(U670/S670,0)</f>
        <v>-0.0532359875275686</v>
      </c>
      <c r="W670" s="5" t="str">
        <f aca="false">IF(V670&lt;-0.1,"ADVERSE &gt;10%","")</f>
        <v/>
      </c>
    </row>
    <row r="671" customFormat="false" ht="15" hidden="false" customHeight="false" outlineLevel="0" collapsed="false">
      <c r="A671" s="5" t="str">
        <f aca="false">01_Data!A671</f>
        <v>Technology &amp; Telecom</v>
      </c>
      <c r="B671" s="5" t="str">
        <f aca="false">01_Data!C671</f>
        <v>2025-01</v>
      </c>
      <c r="C671" s="5" t="str">
        <f aca="false">01_Data!D671</f>
        <v>FY24</v>
      </c>
      <c r="D671" s="7" t="n">
        <f aca="false">01_Data!E671</f>
        <v>578002</v>
      </c>
      <c r="E671" s="7" t="n">
        <f aca="false">01_Data!F671</f>
        <v>585253</v>
      </c>
      <c r="F671" s="7" t="n">
        <f aca="false">E671-D671</f>
        <v>7251</v>
      </c>
      <c r="G671" s="8" t="n">
        <f aca="false">IFERROR(F671/D671,0)</f>
        <v>0.0125449392908675</v>
      </c>
      <c r="H671" s="7" t="n">
        <f aca="false">01_Data!G671</f>
        <v>344070</v>
      </c>
      <c r="I671" s="7" t="n">
        <f aca="false">01_Data!H671</f>
        <v>339714</v>
      </c>
      <c r="J671" s="7" t="n">
        <f aca="false">H671-I671</f>
        <v>4356</v>
      </c>
      <c r="K671" s="8" t="n">
        <f aca="false">IFERROR(J671/H671,0)</f>
        <v>0.0126602144912372</v>
      </c>
      <c r="L671" s="7" t="n">
        <f aca="false">D671-H671</f>
        <v>233932</v>
      </c>
      <c r="M671" s="7" t="n">
        <f aca="false">E671-I671</f>
        <v>245539</v>
      </c>
      <c r="N671" s="7" t="n">
        <f aca="false">IFERROR(L671/D671,0)</f>
        <v>0.404725243165249</v>
      </c>
      <c r="O671" s="7" t="n">
        <f aca="false">IFERROR(M671/E671,0)</f>
        <v>0.419543342793629</v>
      </c>
      <c r="P671" s="7" t="n">
        <f aca="false">01_Data!I671+01_Data!K671+01_Data!M671+01_Data!O671+01_Data!Q671+01_Data!S671+01_Data!U671</f>
        <v>167191</v>
      </c>
      <c r="Q671" s="7" t="n">
        <f aca="false">01_Data!J671+01_Data!L671+01_Data!N671+01_Data!P671+01_Data!R671+01_Data!T671+01_Data!V671</f>
        <v>170820</v>
      </c>
      <c r="R671" s="7" t="n">
        <f aca="false">P671-Q671</f>
        <v>-3629</v>
      </c>
      <c r="S671" s="7" t="n">
        <f aca="false">L671-P671</f>
        <v>66741</v>
      </c>
      <c r="T671" s="7" t="n">
        <f aca="false">M671-Q671</f>
        <v>74719</v>
      </c>
      <c r="U671" s="7" t="n">
        <f aca="false">T671-S671</f>
        <v>7978</v>
      </c>
      <c r="V671" s="8" t="n">
        <f aca="false">IFERROR(U671/S671,0)</f>
        <v>0.119536716561034</v>
      </c>
      <c r="W671" s="5" t="str">
        <f aca="false">IF(V671&lt;-0.1,"ADVERSE &gt;10%","")</f>
        <v/>
      </c>
    </row>
    <row r="672" customFormat="false" ht="15" hidden="false" customHeight="false" outlineLevel="0" collapsed="false">
      <c r="A672" s="5" t="str">
        <f aca="false">01_Data!A672</f>
        <v>Technology &amp; Telecom</v>
      </c>
      <c r="B672" s="5" t="str">
        <f aca="false">01_Data!C672</f>
        <v>2025-02</v>
      </c>
      <c r="C672" s="5" t="str">
        <f aca="false">01_Data!D672</f>
        <v>FY24</v>
      </c>
      <c r="D672" s="7" t="n">
        <f aca="false">01_Data!E672</f>
        <v>584367</v>
      </c>
      <c r="E672" s="7" t="n">
        <f aca="false">01_Data!F672</f>
        <v>602787</v>
      </c>
      <c r="F672" s="7" t="n">
        <f aca="false">E672-D672</f>
        <v>18420</v>
      </c>
      <c r="G672" s="8" t="n">
        <f aca="false">IFERROR(F672/D672,0)</f>
        <v>0.0315212871363373</v>
      </c>
      <c r="H672" s="7" t="n">
        <f aca="false">01_Data!G672</f>
        <v>323476</v>
      </c>
      <c r="I672" s="7" t="n">
        <f aca="false">01_Data!H672</f>
        <v>341144</v>
      </c>
      <c r="J672" s="7" t="n">
        <f aca="false">H672-I672</f>
        <v>-17668</v>
      </c>
      <c r="K672" s="8" t="n">
        <f aca="false">IFERROR(J672/H672,0)</f>
        <v>-0.0546191989513905</v>
      </c>
      <c r="L672" s="7" t="n">
        <f aca="false">D672-H672</f>
        <v>260891</v>
      </c>
      <c r="M672" s="7" t="n">
        <f aca="false">E672-I672</f>
        <v>261643</v>
      </c>
      <c r="N672" s="7" t="n">
        <f aca="false">IFERROR(L672/D672,0)</f>
        <v>0.446450603815753</v>
      </c>
      <c r="O672" s="7" t="n">
        <f aca="false">IFERROR(M672/E672,0)</f>
        <v>0.434055478966866</v>
      </c>
      <c r="P672" s="7" t="n">
        <f aca="false">01_Data!I672+01_Data!K672+01_Data!M672+01_Data!O672+01_Data!Q672+01_Data!S672+01_Data!U672</f>
        <v>151041</v>
      </c>
      <c r="Q672" s="7" t="n">
        <f aca="false">01_Data!J672+01_Data!L672+01_Data!N672+01_Data!P672+01_Data!R672+01_Data!T672+01_Data!V672</f>
        <v>149659</v>
      </c>
      <c r="R672" s="7" t="n">
        <f aca="false">P672-Q672</f>
        <v>1382</v>
      </c>
      <c r="S672" s="7" t="n">
        <f aca="false">L672-P672</f>
        <v>109850</v>
      </c>
      <c r="T672" s="7" t="n">
        <f aca="false">M672-Q672</f>
        <v>111984</v>
      </c>
      <c r="U672" s="7" t="n">
        <f aca="false">T672-S672</f>
        <v>2134</v>
      </c>
      <c r="V672" s="8" t="n">
        <f aca="false">IFERROR(U672/S672,0)</f>
        <v>0.0194264906690942</v>
      </c>
      <c r="W672" s="5" t="str">
        <f aca="false">IF(V672&lt;-0.1,"ADVERSE &gt;10%","")</f>
        <v/>
      </c>
    </row>
    <row r="673" customFormat="false" ht="15" hidden="false" customHeight="false" outlineLevel="0" collapsed="false">
      <c r="A673" s="5" t="str">
        <f aca="false">01_Data!A673</f>
        <v>Technology &amp; Telecom</v>
      </c>
      <c r="B673" s="5" t="str">
        <f aca="false">01_Data!C673</f>
        <v>2025-03</v>
      </c>
      <c r="C673" s="5" t="str">
        <f aca="false">01_Data!D673</f>
        <v>FY24</v>
      </c>
      <c r="D673" s="7" t="n">
        <f aca="false">01_Data!E673</f>
        <v>681318</v>
      </c>
      <c r="E673" s="7" t="n">
        <f aca="false">01_Data!F673</f>
        <v>661721</v>
      </c>
      <c r="F673" s="7" t="n">
        <f aca="false">E673-D673</f>
        <v>-19597</v>
      </c>
      <c r="G673" s="8" t="n">
        <f aca="false">IFERROR(F673/D673,0)</f>
        <v>-0.0287633674730449</v>
      </c>
      <c r="H673" s="7" t="n">
        <f aca="false">01_Data!G673</f>
        <v>396803</v>
      </c>
      <c r="I673" s="7" t="n">
        <f aca="false">01_Data!H673</f>
        <v>404643</v>
      </c>
      <c r="J673" s="7" t="n">
        <f aca="false">H673-I673</f>
        <v>-7840</v>
      </c>
      <c r="K673" s="8" t="n">
        <f aca="false">IFERROR(J673/H673,0)</f>
        <v>-0.0197579151367303</v>
      </c>
      <c r="L673" s="7" t="n">
        <f aca="false">D673-H673</f>
        <v>284515</v>
      </c>
      <c r="M673" s="7" t="n">
        <f aca="false">E673-I673</f>
        <v>257078</v>
      </c>
      <c r="N673" s="7" t="n">
        <f aca="false">IFERROR(L673/D673,0)</f>
        <v>0.417595014369208</v>
      </c>
      <c r="O673" s="7" t="n">
        <f aca="false">IFERROR(M673/E673,0)</f>
        <v>0.388499080428156</v>
      </c>
      <c r="P673" s="7" t="n">
        <f aca="false">01_Data!I673+01_Data!K673+01_Data!M673+01_Data!O673+01_Data!Q673+01_Data!S673+01_Data!U673</f>
        <v>188155</v>
      </c>
      <c r="Q673" s="7" t="n">
        <f aca="false">01_Data!J673+01_Data!L673+01_Data!N673+01_Data!P673+01_Data!R673+01_Data!T673+01_Data!V673</f>
        <v>190609</v>
      </c>
      <c r="R673" s="7" t="n">
        <f aca="false">P673-Q673</f>
        <v>-2454</v>
      </c>
      <c r="S673" s="7" t="n">
        <f aca="false">L673-P673</f>
        <v>96360</v>
      </c>
      <c r="T673" s="7" t="n">
        <f aca="false">M673-Q673</f>
        <v>66469</v>
      </c>
      <c r="U673" s="7" t="n">
        <f aca="false">T673-S673</f>
        <v>-29891</v>
      </c>
      <c r="V673" s="8" t="n">
        <f aca="false">IFERROR(U673/S673,0)</f>
        <v>-0.310201328352013</v>
      </c>
      <c r="W673" s="5" t="str">
        <f aca="false">IF(V673&lt;-0.1,"ADVERSE &gt;10%","")</f>
        <v>ADVERSE &gt;10%</v>
      </c>
    </row>
    <row r="674" customFormat="false" ht="15" hidden="false" customHeight="false" outlineLevel="0" collapsed="false">
      <c r="A674" s="5" t="str">
        <f aca="false">01_Data!A674</f>
        <v>Technology &amp; Telecom</v>
      </c>
      <c r="B674" s="5" t="str">
        <f aca="false">01_Data!C674</f>
        <v>2025-04</v>
      </c>
      <c r="C674" s="5" t="str">
        <f aca="false">01_Data!D674</f>
        <v>FY25</v>
      </c>
      <c r="D674" s="7" t="n">
        <f aca="false">01_Data!E674</f>
        <v>661090</v>
      </c>
      <c r="E674" s="7" t="n">
        <f aca="false">01_Data!F674</f>
        <v>639286</v>
      </c>
      <c r="F674" s="7" t="n">
        <f aca="false">E674-D674</f>
        <v>-21804</v>
      </c>
      <c r="G674" s="8" t="n">
        <f aca="false">IFERROR(F674/D674,0)</f>
        <v>-0.0329818935394576</v>
      </c>
      <c r="H674" s="7" t="n">
        <f aca="false">01_Data!G674</f>
        <v>377117</v>
      </c>
      <c r="I674" s="7" t="n">
        <f aca="false">01_Data!H674</f>
        <v>367100</v>
      </c>
      <c r="J674" s="7" t="n">
        <f aca="false">H674-I674</f>
        <v>10017</v>
      </c>
      <c r="K674" s="8" t="n">
        <f aca="false">IFERROR(J674/H674,0)</f>
        <v>0.0265620483828626</v>
      </c>
      <c r="L674" s="7" t="n">
        <f aca="false">D674-H674</f>
        <v>283973</v>
      </c>
      <c r="M674" s="7" t="n">
        <f aca="false">E674-I674</f>
        <v>272186</v>
      </c>
      <c r="N674" s="7" t="n">
        <f aca="false">IFERROR(L674/D674,0)</f>
        <v>0.429552708405815</v>
      </c>
      <c r="O674" s="7" t="n">
        <f aca="false">IFERROR(M674/E674,0)</f>
        <v>0.425765619769555</v>
      </c>
      <c r="P674" s="7" t="n">
        <f aca="false">01_Data!I674+01_Data!K674+01_Data!M674+01_Data!O674+01_Data!Q674+01_Data!S674+01_Data!U674</f>
        <v>173234</v>
      </c>
      <c r="Q674" s="7" t="n">
        <f aca="false">01_Data!J674+01_Data!L674+01_Data!N674+01_Data!P674+01_Data!R674+01_Data!T674+01_Data!V674</f>
        <v>183608</v>
      </c>
      <c r="R674" s="7" t="n">
        <f aca="false">P674-Q674</f>
        <v>-10374</v>
      </c>
      <c r="S674" s="7" t="n">
        <f aca="false">L674-P674</f>
        <v>110739</v>
      </c>
      <c r="T674" s="7" t="n">
        <f aca="false">M674-Q674</f>
        <v>88578</v>
      </c>
      <c r="U674" s="7" t="n">
        <f aca="false">T674-S674</f>
        <v>-22161</v>
      </c>
      <c r="V674" s="8" t="n">
        <f aca="false">IFERROR(U674/S674,0)</f>
        <v>-0.200119199198115</v>
      </c>
      <c r="W674" s="5" t="str">
        <f aca="false">IF(V674&lt;-0.1,"ADVERSE &gt;10%","")</f>
        <v>ADVERSE &gt;10%</v>
      </c>
    </row>
    <row r="675" customFormat="false" ht="15" hidden="false" customHeight="false" outlineLevel="0" collapsed="false">
      <c r="A675" s="5" t="str">
        <f aca="false">01_Data!A675</f>
        <v>Technology &amp; Telecom</v>
      </c>
      <c r="B675" s="5" t="str">
        <f aca="false">01_Data!C675</f>
        <v>2025-05</v>
      </c>
      <c r="C675" s="5" t="str">
        <f aca="false">01_Data!D675</f>
        <v>FY25</v>
      </c>
      <c r="D675" s="7" t="n">
        <f aca="false">01_Data!E675</f>
        <v>631723</v>
      </c>
      <c r="E675" s="7" t="n">
        <f aca="false">01_Data!F675</f>
        <v>657661</v>
      </c>
      <c r="F675" s="7" t="n">
        <f aca="false">E675-D675</f>
        <v>25938</v>
      </c>
      <c r="G675" s="8" t="n">
        <f aca="false">IFERROR(F675/D675,0)</f>
        <v>0.0410591350956036</v>
      </c>
      <c r="H675" s="7" t="n">
        <f aca="false">01_Data!G675</f>
        <v>362355</v>
      </c>
      <c r="I675" s="7" t="n">
        <f aca="false">01_Data!H675</f>
        <v>382461</v>
      </c>
      <c r="J675" s="7" t="n">
        <f aca="false">H675-I675</f>
        <v>-20106</v>
      </c>
      <c r="K675" s="8" t="n">
        <f aca="false">IFERROR(J675/H675,0)</f>
        <v>-0.055487022395165</v>
      </c>
      <c r="L675" s="7" t="n">
        <f aca="false">D675-H675</f>
        <v>269368</v>
      </c>
      <c r="M675" s="7" t="n">
        <f aca="false">E675-I675</f>
        <v>275200</v>
      </c>
      <c r="N675" s="7" t="n">
        <f aca="false">IFERROR(L675/D675,0)</f>
        <v>0.426402078126014</v>
      </c>
      <c r="O675" s="7" t="n">
        <f aca="false">IFERROR(M675/E675,0)</f>
        <v>0.418452667863839</v>
      </c>
      <c r="P675" s="7" t="n">
        <f aca="false">01_Data!I675+01_Data!K675+01_Data!M675+01_Data!O675+01_Data!Q675+01_Data!S675+01_Data!U675</f>
        <v>170315</v>
      </c>
      <c r="Q675" s="7" t="n">
        <f aca="false">01_Data!J675+01_Data!L675+01_Data!N675+01_Data!P675+01_Data!R675+01_Data!T675+01_Data!V675</f>
        <v>169208</v>
      </c>
      <c r="R675" s="7" t="n">
        <f aca="false">P675-Q675</f>
        <v>1107</v>
      </c>
      <c r="S675" s="7" t="n">
        <f aca="false">L675-P675</f>
        <v>99053</v>
      </c>
      <c r="T675" s="7" t="n">
        <f aca="false">M675-Q675</f>
        <v>105992</v>
      </c>
      <c r="U675" s="7" t="n">
        <f aca="false">T675-S675</f>
        <v>6939</v>
      </c>
      <c r="V675" s="8" t="n">
        <f aca="false">IFERROR(U675/S675,0)</f>
        <v>0.0700534057524759</v>
      </c>
      <c r="W675" s="5" t="str">
        <f aca="false">IF(V675&lt;-0.1,"ADVERSE &gt;10%","")</f>
        <v/>
      </c>
    </row>
    <row r="676" customFormat="false" ht="15" hidden="false" customHeight="false" outlineLevel="0" collapsed="false">
      <c r="A676" s="5" t="str">
        <f aca="false">01_Data!A676</f>
        <v>Technology &amp; Telecom</v>
      </c>
      <c r="B676" s="5" t="str">
        <f aca="false">01_Data!C676</f>
        <v>2025-06</v>
      </c>
      <c r="C676" s="5" t="str">
        <f aca="false">01_Data!D676</f>
        <v>FY25</v>
      </c>
      <c r="D676" s="7" t="n">
        <f aca="false">01_Data!E676</f>
        <v>654291</v>
      </c>
      <c r="E676" s="7" t="n">
        <f aca="false">01_Data!F676</f>
        <v>677443</v>
      </c>
      <c r="F676" s="7" t="n">
        <f aca="false">E676-D676</f>
        <v>23152</v>
      </c>
      <c r="G676" s="8" t="n">
        <f aca="false">IFERROR(F676/D676,0)</f>
        <v>0.0353848669781489</v>
      </c>
      <c r="H676" s="7" t="n">
        <f aca="false">01_Data!G676</f>
        <v>371066</v>
      </c>
      <c r="I676" s="7" t="n">
        <f aca="false">01_Data!H676</f>
        <v>388884</v>
      </c>
      <c r="J676" s="7" t="n">
        <f aca="false">H676-I676</f>
        <v>-17818</v>
      </c>
      <c r="K676" s="8" t="n">
        <f aca="false">IFERROR(J676/H676,0)</f>
        <v>-0.0480184118189217</v>
      </c>
      <c r="L676" s="7" t="n">
        <f aca="false">D676-H676</f>
        <v>283225</v>
      </c>
      <c r="M676" s="7" t="n">
        <f aca="false">E676-I676</f>
        <v>288559</v>
      </c>
      <c r="N676" s="7" t="n">
        <f aca="false">IFERROR(L676/D676,0)</f>
        <v>0.432873140544498</v>
      </c>
      <c r="O676" s="7" t="n">
        <f aca="false">IFERROR(M676/E676,0)</f>
        <v>0.425953179824723</v>
      </c>
      <c r="P676" s="7" t="n">
        <f aca="false">01_Data!I676+01_Data!K676+01_Data!M676+01_Data!O676+01_Data!Q676+01_Data!S676+01_Data!U676</f>
        <v>179645</v>
      </c>
      <c r="Q676" s="7" t="n">
        <f aca="false">01_Data!J676+01_Data!L676+01_Data!N676+01_Data!P676+01_Data!R676+01_Data!T676+01_Data!V676</f>
        <v>182464</v>
      </c>
      <c r="R676" s="7" t="n">
        <f aca="false">P676-Q676</f>
        <v>-2819</v>
      </c>
      <c r="S676" s="7" t="n">
        <f aca="false">L676-P676</f>
        <v>103580</v>
      </c>
      <c r="T676" s="7" t="n">
        <f aca="false">M676-Q676</f>
        <v>106095</v>
      </c>
      <c r="U676" s="7" t="n">
        <f aca="false">T676-S676</f>
        <v>2515</v>
      </c>
      <c r="V676" s="8" t="n">
        <f aca="false">IFERROR(U676/S676,0)</f>
        <v>0.0242807491793783</v>
      </c>
      <c r="W676" s="5" t="str">
        <f aca="false">IF(V676&lt;-0.1,"ADVERSE &gt;10%","")</f>
        <v/>
      </c>
    </row>
    <row r="677" customFormat="false" ht="15" hidden="false" customHeight="false" outlineLevel="0" collapsed="false">
      <c r="A677" s="5" t="str">
        <f aca="false">01_Data!A677</f>
        <v>Technology &amp; Telecom</v>
      </c>
      <c r="B677" s="5" t="str">
        <f aca="false">01_Data!C677</f>
        <v>2025-07</v>
      </c>
      <c r="C677" s="5" t="str">
        <f aca="false">01_Data!D677</f>
        <v>FY25</v>
      </c>
      <c r="D677" s="7" t="n">
        <f aca="false">01_Data!E677</f>
        <v>707107</v>
      </c>
      <c r="E677" s="7" t="n">
        <f aca="false">01_Data!F677</f>
        <v>697577</v>
      </c>
      <c r="F677" s="7" t="n">
        <f aca="false">E677-D677</f>
        <v>-9530</v>
      </c>
      <c r="G677" s="8" t="n">
        <f aca="false">IFERROR(F677/D677,0)</f>
        <v>-0.0134774510788325</v>
      </c>
      <c r="H677" s="7" t="n">
        <f aca="false">01_Data!G677</f>
        <v>404314</v>
      </c>
      <c r="I677" s="7" t="n">
        <f aca="false">01_Data!H677</f>
        <v>410388</v>
      </c>
      <c r="J677" s="7" t="n">
        <f aca="false">H677-I677</f>
        <v>-6074</v>
      </c>
      <c r="K677" s="8" t="n">
        <f aca="false">IFERROR(J677/H677,0)</f>
        <v>-0.0150229771909951</v>
      </c>
      <c r="L677" s="7" t="n">
        <f aca="false">D677-H677</f>
        <v>302793</v>
      </c>
      <c r="M677" s="7" t="n">
        <f aca="false">E677-I677</f>
        <v>287189</v>
      </c>
      <c r="N677" s="7" t="n">
        <f aca="false">IFERROR(L677/D677,0)</f>
        <v>0.428213834681314</v>
      </c>
      <c r="O677" s="7" t="n">
        <f aca="false">IFERROR(M677/E677,0)</f>
        <v>0.411695053019237</v>
      </c>
      <c r="P677" s="7" t="n">
        <f aca="false">01_Data!I677+01_Data!K677+01_Data!M677+01_Data!O677+01_Data!Q677+01_Data!S677+01_Data!U677</f>
        <v>197193</v>
      </c>
      <c r="Q677" s="7" t="n">
        <f aca="false">01_Data!J677+01_Data!L677+01_Data!N677+01_Data!P677+01_Data!R677+01_Data!T677+01_Data!V677</f>
        <v>198602</v>
      </c>
      <c r="R677" s="7" t="n">
        <f aca="false">P677-Q677</f>
        <v>-1409</v>
      </c>
      <c r="S677" s="7" t="n">
        <f aca="false">L677-P677</f>
        <v>105600</v>
      </c>
      <c r="T677" s="7" t="n">
        <f aca="false">M677-Q677</f>
        <v>88587</v>
      </c>
      <c r="U677" s="7" t="n">
        <f aca="false">T677-S677</f>
        <v>-17013</v>
      </c>
      <c r="V677" s="8" t="n">
        <f aca="false">IFERROR(U677/S677,0)</f>
        <v>-0.161107954545455</v>
      </c>
      <c r="W677" s="5" t="str">
        <f aca="false">IF(V677&lt;-0.1,"ADVERSE &gt;10%","")</f>
        <v>ADVERSE &gt;10%</v>
      </c>
    </row>
    <row r="678" customFormat="false" ht="15" hidden="false" customHeight="false" outlineLevel="0" collapsed="false">
      <c r="A678" s="5" t="str">
        <f aca="false">01_Data!A678</f>
        <v>Technology &amp; Telecom</v>
      </c>
      <c r="B678" s="5" t="str">
        <f aca="false">01_Data!C678</f>
        <v>2025-08</v>
      </c>
      <c r="C678" s="5" t="str">
        <f aca="false">01_Data!D678</f>
        <v>FY25</v>
      </c>
      <c r="D678" s="7" t="n">
        <f aca="false">01_Data!E678</f>
        <v>718797</v>
      </c>
      <c r="E678" s="7" t="n">
        <f aca="false">01_Data!F678</f>
        <v>702245</v>
      </c>
      <c r="F678" s="7" t="n">
        <f aca="false">E678-D678</f>
        <v>-16552</v>
      </c>
      <c r="G678" s="8" t="n">
        <f aca="false">IFERROR(F678/D678,0)</f>
        <v>-0.0230273637758644</v>
      </c>
      <c r="H678" s="7" t="n">
        <f aca="false">01_Data!G678</f>
        <v>394124</v>
      </c>
      <c r="I678" s="7" t="n">
        <f aca="false">01_Data!H678</f>
        <v>383057</v>
      </c>
      <c r="J678" s="7" t="n">
        <f aca="false">H678-I678</f>
        <v>11067</v>
      </c>
      <c r="K678" s="8" t="n">
        <f aca="false">IFERROR(J678/H678,0)</f>
        <v>0.0280799951284367</v>
      </c>
      <c r="L678" s="7" t="n">
        <f aca="false">D678-H678</f>
        <v>324673</v>
      </c>
      <c r="M678" s="7" t="n">
        <f aca="false">E678-I678</f>
        <v>319188</v>
      </c>
      <c r="N678" s="7" t="n">
        <f aca="false">IFERROR(L678/D678,0)</f>
        <v>0.451689419961408</v>
      </c>
      <c r="O678" s="7" t="n">
        <f aca="false">IFERROR(M678/E678,0)</f>
        <v>0.454525130118406</v>
      </c>
      <c r="P678" s="7" t="n">
        <f aca="false">01_Data!I678+01_Data!K678+01_Data!M678+01_Data!O678+01_Data!Q678+01_Data!S678+01_Data!U678</f>
        <v>187002</v>
      </c>
      <c r="Q678" s="7" t="n">
        <f aca="false">01_Data!J678+01_Data!L678+01_Data!N678+01_Data!P678+01_Data!R678+01_Data!T678+01_Data!V678</f>
        <v>190044</v>
      </c>
      <c r="R678" s="7" t="n">
        <f aca="false">P678-Q678</f>
        <v>-3042</v>
      </c>
      <c r="S678" s="7" t="n">
        <f aca="false">L678-P678</f>
        <v>137671</v>
      </c>
      <c r="T678" s="7" t="n">
        <f aca="false">M678-Q678</f>
        <v>129144</v>
      </c>
      <c r="U678" s="7" t="n">
        <f aca="false">T678-S678</f>
        <v>-8527</v>
      </c>
      <c r="V678" s="8" t="n">
        <f aca="false">IFERROR(U678/S678,0)</f>
        <v>-0.0619375177052538</v>
      </c>
      <c r="W678" s="5" t="str">
        <f aca="false">IF(V678&lt;-0.1,"ADVERSE &gt;10%","")</f>
        <v/>
      </c>
    </row>
    <row r="679" customFormat="false" ht="15" hidden="false" customHeight="false" outlineLevel="0" collapsed="false">
      <c r="A679" s="5" t="str">
        <f aca="false">01_Data!A679</f>
        <v>Technology &amp; Telecom</v>
      </c>
      <c r="B679" s="5" t="str">
        <f aca="false">01_Data!C679</f>
        <v>2025-09</v>
      </c>
      <c r="C679" s="5" t="str">
        <f aca="false">01_Data!D679</f>
        <v>FY25</v>
      </c>
      <c r="D679" s="7" t="n">
        <f aca="false">01_Data!E679</f>
        <v>803555</v>
      </c>
      <c r="E679" s="7" t="n">
        <f aca="false">01_Data!F679</f>
        <v>759618</v>
      </c>
      <c r="F679" s="7" t="n">
        <f aca="false">E679-D679</f>
        <v>-43937</v>
      </c>
      <c r="G679" s="8" t="n">
        <f aca="false">IFERROR(F679/D679,0)</f>
        <v>-0.0546782734224789</v>
      </c>
      <c r="H679" s="7" t="n">
        <f aca="false">01_Data!G679</f>
        <v>436771</v>
      </c>
      <c r="I679" s="7" t="n">
        <f aca="false">01_Data!H679</f>
        <v>411870</v>
      </c>
      <c r="J679" s="7" t="n">
        <f aca="false">H679-I679</f>
        <v>24901</v>
      </c>
      <c r="K679" s="8" t="n">
        <f aca="false">IFERROR(J679/H679,0)</f>
        <v>0.057011568991531</v>
      </c>
      <c r="L679" s="7" t="n">
        <f aca="false">D679-H679</f>
        <v>366784</v>
      </c>
      <c r="M679" s="7" t="n">
        <f aca="false">E679-I679</f>
        <v>347748</v>
      </c>
      <c r="N679" s="7" t="n">
        <f aca="false">IFERROR(L679/D679,0)</f>
        <v>0.456451643011368</v>
      </c>
      <c r="O679" s="7" t="n">
        <f aca="false">IFERROR(M679/E679,0)</f>
        <v>0.457793259243462</v>
      </c>
      <c r="P679" s="7" t="n">
        <f aca="false">01_Data!I679+01_Data!K679+01_Data!M679+01_Data!O679+01_Data!Q679+01_Data!S679+01_Data!U679</f>
        <v>207768</v>
      </c>
      <c r="Q679" s="7" t="n">
        <f aca="false">01_Data!J679+01_Data!L679+01_Data!N679+01_Data!P679+01_Data!R679+01_Data!T679+01_Data!V679</f>
        <v>213539</v>
      </c>
      <c r="R679" s="7" t="n">
        <f aca="false">P679-Q679</f>
        <v>-5771</v>
      </c>
      <c r="S679" s="7" t="n">
        <f aca="false">L679-P679</f>
        <v>159016</v>
      </c>
      <c r="T679" s="7" t="n">
        <f aca="false">M679-Q679</f>
        <v>134209</v>
      </c>
      <c r="U679" s="7" t="n">
        <f aca="false">T679-S679</f>
        <v>-24807</v>
      </c>
      <c r="V679" s="8" t="n">
        <f aca="false">IFERROR(U679/S679,0)</f>
        <v>-0.156003169492378</v>
      </c>
      <c r="W679" s="5" t="str">
        <f aca="false">IF(V679&lt;-0.1,"ADVERSE &gt;10%","")</f>
        <v>ADVERSE &gt;10%</v>
      </c>
    </row>
    <row r="680" customFormat="false" ht="15" hidden="false" customHeight="false" outlineLevel="0" collapsed="false">
      <c r="A680" s="5" t="str">
        <f aca="false">01_Data!A680</f>
        <v>Technology &amp; Telecom</v>
      </c>
      <c r="B680" s="5" t="str">
        <f aca="false">01_Data!C680</f>
        <v>2025-10</v>
      </c>
      <c r="C680" s="5" t="str">
        <f aca="false">01_Data!D680</f>
        <v>FY25</v>
      </c>
      <c r="D680" s="7" t="n">
        <f aca="false">01_Data!E680</f>
        <v>747505</v>
      </c>
      <c r="E680" s="7" t="n">
        <f aca="false">01_Data!F680</f>
        <v>715554</v>
      </c>
      <c r="F680" s="7" t="n">
        <f aca="false">E680-D680</f>
        <v>-31951</v>
      </c>
      <c r="G680" s="8" t="n">
        <f aca="false">IFERROR(F680/D680,0)</f>
        <v>-0.0427435267991518</v>
      </c>
      <c r="H680" s="7" t="n">
        <f aca="false">01_Data!G680</f>
        <v>444584</v>
      </c>
      <c r="I680" s="7" t="n">
        <f aca="false">01_Data!H680</f>
        <v>432726</v>
      </c>
      <c r="J680" s="7" t="n">
        <f aca="false">H680-I680</f>
        <v>11858</v>
      </c>
      <c r="K680" s="8" t="n">
        <f aca="false">IFERROR(J680/H680,0)</f>
        <v>0.0266721249527648</v>
      </c>
      <c r="L680" s="7" t="n">
        <f aca="false">D680-H680</f>
        <v>302921</v>
      </c>
      <c r="M680" s="7" t="n">
        <f aca="false">E680-I680</f>
        <v>282828</v>
      </c>
      <c r="N680" s="7" t="n">
        <f aca="false">IFERROR(L680/D680,0)</f>
        <v>0.405242774295824</v>
      </c>
      <c r="O680" s="7" t="n">
        <f aca="false">IFERROR(M680/E680,0)</f>
        <v>0.395257380994307</v>
      </c>
      <c r="P680" s="7" t="n">
        <f aca="false">01_Data!I680+01_Data!K680+01_Data!M680+01_Data!O680+01_Data!Q680+01_Data!S680+01_Data!U680</f>
        <v>205846</v>
      </c>
      <c r="Q680" s="7" t="n">
        <f aca="false">01_Data!J680+01_Data!L680+01_Data!N680+01_Data!P680+01_Data!R680+01_Data!T680+01_Data!V680</f>
        <v>217120</v>
      </c>
      <c r="R680" s="7" t="n">
        <f aca="false">P680-Q680</f>
        <v>-11274</v>
      </c>
      <c r="S680" s="7" t="n">
        <f aca="false">L680-P680</f>
        <v>97075</v>
      </c>
      <c r="T680" s="7" t="n">
        <f aca="false">M680-Q680</f>
        <v>65708</v>
      </c>
      <c r="U680" s="7" t="n">
        <f aca="false">T680-S680</f>
        <v>-31367</v>
      </c>
      <c r="V680" s="8" t="n">
        <f aca="false">IFERROR(U680/S680,0)</f>
        <v>-0.323121297965491</v>
      </c>
      <c r="W680" s="5" t="str">
        <f aca="false">IF(V680&lt;-0.1,"ADVERSE &gt;10%","")</f>
        <v>ADVERSE &gt;10%</v>
      </c>
    </row>
    <row r="681" customFormat="false" ht="15" hidden="false" customHeight="false" outlineLevel="0" collapsed="false">
      <c r="A681" s="5" t="str">
        <f aca="false">01_Data!A681</f>
        <v>Technology &amp; Telecom</v>
      </c>
      <c r="B681" s="5" t="str">
        <f aca="false">01_Data!C681</f>
        <v>2025-11</v>
      </c>
      <c r="C681" s="5" t="str">
        <f aca="false">01_Data!D681</f>
        <v>FY25</v>
      </c>
      <c r="D681" s="7" t="n">
        <f aca="false">01_Data!E681</f>
        <v>703996</v>
      </c>
      <c r="E681" s="7" t="n">
        <f aca="false">01_Data!F681</f>
        <v>716983</v>
      </c>
      <c r="F681" s="7" t="n">
        <f aca="false">E681-D681</f>
        <v>12987</v>
      </c>
      <c r="G681" s="8" t="n">
        <f aca="false">IFERROR(F681/D681,0)</f>
        <v>0.0184475479974318</v>
      </c>
      <c r="H681" s="7" t="n">
        <f aca="false">01_Data!G681</f>
        <v>387779</v>
      </c>
      <c r="I681" s="7" t="n">
        <f aca="false">01_Data!H681</f>
        <v>399180</v>
      </c>
      <c r="J681" s="7" t="n">
        <f aca="false">H681-I681</f>
        <v>-11401</v>
      </c>
      <c r="K681" s="8" t="n">
        <f aca="false">IFERROR(J681/H681,0)</f>
        <v>-0.0294007669316802</v>
      </c>
      <c r="L681" s="7" t="n">
        <f aca="false">D681-H681</f>
        <v>316217</v>
      </c>
      <c r="M681" s="7" t="n">
        <f aca="false">E681-I681</f>
        <v>317803</v>
      </c>
      <c r="N681" s="7" t="n">
        <f aca="false">IFERROR(L681/D681,0)</f>
        <v>0.449174427127427</v>
      </c>
      <c r="O681" s="7" t="n">
        <f aca="false">IFERROR(M681/E681,0)</f>
        <v>0.443250397847648</v>
      </c>
      <c r="P681" s="7" t="n">
        <f aca="false">01_Data!I681+01_Data!K681+01_Data!M681+01_Data!O681+01_Data!Q681+01_Data!S681+01_Data!U681</f>
        <v>199216</v>
      </c>
      <c r="Q681" s="7" t="n">
        <f aca="false">01_Data!J681+01_Data!L681+01_Data!N681+01_Data!P681+01_Data!R681+01_Data!T681+01_Data!V681</f>
        <v>208707</v>
      </c>
      <c r="R681" s="7" t="n">
        <f aca="false">P681-Q681</f>
        <v>-9491</v>
      </c>
      <c r="S681" s="7" t="n">
        <f aca="false">L681-P681</f>
        <v>117001</v>
      </c>
      <c r="T681" s="7" t="n">
        <f aca="false">M681-Q681</f>
        <v>109096</v>
      </c>
      <c r="U681" s="7" t="n">
        <f aca="false">T681-S681</f>
        <v>-7905</v>
      </c>
      <c r="V681" s="8" t="n">
        <f aca="false">IFERROR(U681/S681,0)</f>
        <v>-0.0675635250980761</v>
      </c>
      <c r="W681" s="5" t="str">
        <f aca="false">IF(V681&lt;-0.1,"ADVERSE &gt;10%","")</f>
        <v/>
      </c>
    </row>
    <row r="682" customFormat="false" ht="15" hidden="false" customHeight="false" outlineLevel="0" collapsed="false">
      <c r="A682" s="5" t="str">
        <f aca="false">01_Data!A682</f>
        <v>Technology &amp; Telecom</v>
      </c>
      <c r="B682" s="5" t="str">
        <f aca="false">01_Data!C682</f>
        <v>2025-12</v>
      </c>
      <c r="C682" s="5" t="str">
        <f aca="false">01_Data!D682</f>
        <v>FY25</v>
      </c>
      <c r="D682" s="7" t="n">
        <f aca="false">01_Data!E682</f>
        <v>793357</v>
      </c>
      <c r="E682" s="7" t="n">
        <f aca="false">01_Data!F682</f>
        <v>764232</v>
      </c>
      <c r="F682" s="7" t="n">
        <f aca="false">E682-D682</f>
        <v>-29125</v>
      </c>
      <c r="G682" s="8" t="n">
        <f aca="false">IFERROR(F682/D682,0)</f>
        <v>-0.0367110897111893</v>
      </c>
      <c r="H682" s="7" t="n">
        <f aca="false">01_Data!G682</f>
        <v>437378</v>
      </c>
      <c r="I682" s="7" t="n">
        <f aca="false">01_Data!H682</f>
        <v>421485</v>
      </c>
      <c r="J682" s="7" t="n">
        <f aca="false">H682-I682</f>
        <v>15893</v>
      </c>
      <c r="K682" s="8" t="n">
        <f aca="false">IFERROR(J682/H682,0)</f>
        <v>0.0363369899720608</v>
      </c>
      <c r="L682" s="7" t="n">
        <f aca="false">D682-H682</f>
        <v>355979</v>
      </c>
      <c r="M682" s="7" t="n">
        <f aca="false">E682-I682</f>
        <v>342747</v>
      </c>
      <c r="N682" s="7" t="n">
        <f aca="false">IFERROR(L682/D682,0)</f>
        <v>0.448699639632599</v>
      </c>
      <c r="O682" s="7" t="n">
        <f aca="false">IFERROR(M682/E682,0)</f>
        <v>0.448485538422887</v>
      </c>
      <c r="P682" s="7" t="n">
        <f aca="false">01_Data!I682+01_Data!K682+01_Data!M682+01_Data!O682+01_Data!Q682+01_Data!S682+01_Data!U682</f>
        <v>218299</v>
      </c>
      <c r="Q682" s="7" t="n">
        <f aca="false">01_Data!J682+01_Data!L682+01_Data!N682+01_Data!P682+01_Data!R682+01_Data!T682+01_Data!V682</f>
        <v>230703</v>
      </c>
      <c r="R682" s="7" t="n">
        <f aca="false">P682-Q682</f>
        <v>-12404</v>
      </c>
      <c r="S682" s="7" t="n">
        <f aca="false">L682-P682</f>
        <v>137680</v>
      </c>
      <c r="T682" s="7" t="n">
        <f aca="false">M682-Q682</f>
        <v>112044</v>
      </c>
      <c r="U682" s="7" t="n">
        <f aca="false">T682-S682</f>
        <v>-25636</v>
      </c>
      <c r="V682" s="8" t="n">
        <f aca="false">IFERROR(U682/S682,0)</f>
        <v>-0.186199883788495</v>
      </c>
      <c r="W682" s="5" t="str">
        <f aca="false">IF(V682&lt;-0.1,"ADVERSE &gt;10%","")</f>
        <v>ADVERSE &gt;10%</v>
      </c>
    </row>
    <row r="683" customFormat="false" ht="15" hidden="false" customHeight="false" outlineLevel="0" collapsed="false">
      <c r="A683" s="5" t="str">
        <f aca="false">01_Data!A683</f>
        <v>Technology &amp; Telecom</v>
      </c>
      <c r="B683" s="5" t="str">
        <f aca="false">01_Data!C683</f>
        <v>2026-01</v>
      </c>
      <c r="C683" s="5" t="str">
        <f aca="false">01_Data!D683</f>
        <v>FY25</v>
      </c>
      <c r="D683" s="7" t="n">
        <f aca="false">01_Data!E683</f>
        <v>725333</v>
      </c>
      <c r="E683" s="7" t="n">
        <f aca="false">01_Data!F683</f>
        <v>721318</v>
      </c>
      <c r="F683" s="7" t="n">
        <f aca="false">E683-D683</f>
        <v>-4015</v>
      </c>
      <c r="G683" s="8" t="n">
        <f aca="false">IFERROR(F683/D683,0)</f>
        <v>-0.00553538857324843</v>
      </c>
      <c r="H683" s="7" t="n">
        <f aca="false">01_Data!G683</f>
        <v>400424</v>
      </c>
      <c r="I683" s="7" t="n">
        <f aca="false">01_Data!H683</f>
        <v>395334</v>
      </c>
      <c r="J683" s="7" t="n">
        <f aca="false">H683-I683</f>
        <v>5090</v>
      </c>
      <c r="K683" s="8" t="n">
        <f aca="false">IFERROR(J683/H683,0)</f>
        <v>0.0127115257826704</v>
      </c>
      <c r="L683" s="7" t="n">
        <f aca="false">D683-H683</f>
        <v>324909</v>
      </c>
      <c r="M683" s="7" t="n">
        <f aca="false">E683-I683</f>
        <v>325984</v>
      </c>
      <c r="N683" s="7" t="n">
        <f aca="false">IFERROR(L683/D683,0)</f>
        <v>0.447944599239246</v>
      </c>
      <c r="O683" s="7" t="n">
        <f aca="false">IFERROR(M683/E683,0)</f>
        <v>0.451928275739688</v>
      </c>
      <c r="P683" s="7" t="n">
        <f aca="false">01_Data!I683+01_Data!K683+01_Data!M683+01_Data!O683+01_Data!Q683+01_Data!S683+01_Data!U683</f>
        <v>195055</v>
      </c>
      <c r="Q683" s="7" t="n">
        <f aca="false">01_Data!J683+01_Data!L683+01_Data!N683+01_Data!P683+01_Data!R683+01_Data!T683+01_Data!V683</f>
        <v>194216</v>
      </c>
      <c r="R683" s="7" t="n">
        <f aca="false">P683-Q683</f>
        <v>839</v>
      </c>
      <c r="S683" s="7" t="n">
        <f aca="false">L683-P683</f>
        <v>129854</v>
      </c>
      <c r="T683" s="7" t="n">
        <f aca="false">M683-Q683</f>
        <v>131768</v>
      </c>
      <c r="U683" s="7" t="n">
        <f aca="false">T683-S683</f>
        <v>1914</v>
      </c>
      <c r="V683" s="8" t="n">
        <f aca="false">IFERROR(U683/S683,0)</f>
        <v>0.0147396306621282</v>
      </c>
      <c r="W683" s="5" t="str">
        <f aca="false">IF(V683&lt;-0.1,"ADVERSE &gt;10%","")</f>
        <v/>
      </c>
    </row>
    <row r="684" customFormat="false" ht="15" hidden="false" customHeight="false" outlineLevel="0" collapsed="false">
      <c r="A684" s="5" t="str">
        <f aca="false">01_Data!A684</f>
        <v>Technology &amp; Telecom</v>
      </c>
      <c r="B684" s="5" t="str">
        <f aca="false">01_Data!C684</f>
        <v>2026-02</v>
      </c>
      <c r="C684" s="5" t="str">
        <f aca="false">01_Data!D684</f>
        <v>FY25</v>
      </c>
      <c r="D684" s="7" t="n">
        <f aca="false">01_Data!E684</f>
        <v>737067</v>
      </c>
      <c r="E684" s="7" t="n">
        <f aca="false">01_Data!F684</f>
        <v>734638</v>
      </c>
      <c r="F684" s="7" t="n">
        <f aca="false">E684-D684</f>
        <v>-2429</v>
      </c>
      <c r="G684" s="8" t="n">
        <f aca="false">IFERROR(F684/D684,0)</f>
        <v>-0.00329549416810141</v>
      </c>
      <c r="H684" s="7" t="n">
        <f aca="false">01_Data!G684</f>
        <v>399857</v>
      </c>
      <c r="I684" s="7" t="n">
        <f aca="false">01_Data!H684</f>
        <v>418624</v>
      </c>
      <c r="J684" s="7" t="n">
        <f aca="false">H684-I684</f>
        <v>-18767</v>
      </c>
      <c r="K684" s="8" t="n">
        <f aca="false">IFERROR(J684/H684,0)</f>
        <v>-0.0469342790047442</v>
      </c>
      <c r="L684" s="7" t="n">
        <f aca="false">D684-H684</f>
        <v>337210</v>
      </c>
      <c r="M684" s="7" t="n">
        <f aca="false">E684-I684</f>
        <v>316014</v>
      </c>
      <c r="N684" s="7" t="n">
        <f aca="false">IFERROR(L684/D684,0)</f>
        <v>0.457502506556392</v>
      </c>
      <c r="O684" s="7" t="n">
        <f aca="false">IFERROR(M684/E684,0)</f>
        <v>0.430162882943708</v>
      </c>
      <c r="P684" s="7" t="n">
        <f aca="false">01_Data!I684+01_Data!K684+01_Data!M684+01_Data!O684+01_Data!Q684+01_Data!S684+01_Data!U684</f>
        <v>201225</v>
      </c>
      <c r="Q684" s="7" t="n">
        <f aca="false">01_Data!J684+01_Data!L684+01_Data!N684+01_Data!P684+01_Data!R684+01_Data!T684+01_Data!V684</f>
        <v>204353</v>
      </c>
      <c r="R684" s="7" t="n">
        <f aca="false">P684-Q684</f>
        <v>-3128</v>
      </c>
      <c r="S684" s="7" t="n">
        <f aca="false">L684-P684</f>
        <v>135985</v>
      </c>
      <c r="T684" s="7" t="n">
        <f aca="false">M684-Q684</f>
        <v>111661</v>
      </c>
      <c r="U684" s="7" t="n">
        <f aca="false">T684-S684</f>
        <v>-24324</v>
      </c>
      <c r="V684" s="8" t="n">
        <f aca="false">IFERROR(U684/S684,0)</f>
        <v>-0.178872669779755</v>
      </c>
      <c r="W684" s="5" t="str">
        <f aca="false">IF(V684&lt;-0.1,"ADVERSE &gt;10%","")</f>
        <v>ADVERSE &gt;10%</v>
      </c>
    </row>
    <row r="685" customFormat="false" ht="15" hidden="false" customHeight="false" outlineLevel="0" collapsed="false">
      <c r="A685" s="5" t="str">
        <f aca="false">01_Data!A685</f>
        <v>Technology &amp; Telecom</v>
      </c>
      <c r="B685" s="5" t="str">
        <f aca="false">01_Data!C685</f>
        <v>2026-03</v>
      </c>
      <c r="C685" s="5" t="str">
        <f aca="false">01_Data!D685</f>
        <v>FY25</v>
      </c>
      <c r="D685" s="7" t="n">
        <f aca="false">01_Data!E685</f>
        <v>801147</v>
      </c>
      <c r="E685" s="7" t="n">
        <f aca="false">01_Data!F685</f>
        <v>798848</v>
      </c>
      <c r="F685" s="7" t="n">
        <f aca="false">E685-D685</f>
        <v>-2299</v>
      </c>
      <c r="G685" s="8" t="n">
        <f aca="false">IFERROR(F685/D685,0)</f>
        <v>-0.00286963565987266</v>
      </c>
      <c r="H685" s="7" t="n">
        <f aca="false">01_Data!G685</f>
        <v>441190</v>
      </c>
      <c r="I685" s="7" t="n">
        <f aca="false">01_Data!H685</f>
        <v>438758</v>
      </c>
      <c r="J685" s="7" t="n">
        <f aca="false">H685-I685</f>
        <v>2432</v>
      </c>
      <c r="K685" s="8" t="n">
        <f aca="false">IFERROR(J685/H685,0)</f>
        <v>0.00551236428749518</v>
      </c>
      <c r="L685" s="7" t="n">
        <f aca="false">D685-H685</f>
        <v>359957</v>
      </c>
      <c r="M685" s="7" t="n">
        <f aca="false">E685-I685</f>
        <v>360090</v>
      </c>
      <c r="N685" s="7" t="n">
        <f aca="false">IFERROR(L685/D685,0)</f>
        <v>0.449302063166934</v>
      </c>
      <c r="O685" s="7" t="n">
        <f aca="false">IFERROR(M685/E685,0)</f>
        <v>0.450761596699247</v>
      </c>
      <c r="P685" s="7" t="n">
        <f aca="false">01_Data!I685+01_Data!K685+01_Data!M685+01_Data!O685+01_Data!Q685+01_Data!S685+01_Data!U685</f>
        <v>206087</v>
      </c>
      <c r="Q685" s="7" t="n">
        <f aca="false">01_Data!J685+01_Data!L685+01_Data!N685+01_Data!P685+01_Data!R685+01_Data!T685+01_Data!V685</f>
        <v>220673</v>
      </c>
      <c r="R685" s="7" t="n">
        <f aca="false">P685-Q685</f>
        <v>-14586</v>
      </c>
      <c r="S685" s="7" t="n">
        <f aca="false">L685-P685</f>
        <v>153870</v>
      </c>
      <c r="T685" s="7" t="n">
        <f aca="false">M685-Q685</f>
        <v>139417</v>
      </c>
      <c r="U685" s="7" t="n">
        <f aca="false">T685-S685</f>
        <v>-14453</v>
      </c>
      <c r="V685" s="8" t="n">
        <f aca="false">IFERROR(U685/S685,0)</f>
        <v>-0.0939299408591668</v>
      </c>
      <c r="W685" s="5" t="str">
        <f aca="false">IF(V685&lt;-0.1,"ADVERSE &gt;10%","")</f>
        <v/>
      </c>
    </row>
    <row r="686" customFormat="false" ht="15" hidden="false" customHeight="false" outlineLevel="0" collapsed="false">
      <c r="A686" s="5" t="str">
        <f aca="false">01_Data!A686</f>
        <v>Technology &amp; Telecom</v>
      </c>
      <c r="B686" s="5" t="str">
        <f aca="false">01_Data!C686</f>
        <v>2023-04</v>
      </c>
      <c r="C686" s="5" t="str">
        <f aca="false">01_Data!D686</f>
        <v>FY23</v>
      </c>
      <c r="D686" s="7" t="n">
        <f aca="false">01_Data!E686</f>
        <v>345791</v>
      </c>
      <c r="E686" s="7" t="n">
        <f aca="false">01_Data!F686</f>
        <v>333249</v>
      </c>
      <c r="F686" s="7" t="n">
        <f aca="false">E686-D686</f>
        <v>-12542</v>
      </c>
      <c r="G686" s="8" t="n">
        <f aca="false">IFERROR(F686/D686,0)</f>
        <v>-0.0362704639507679</v>
      </c>
      <c r="H686" s="7" t="n">
        <f aca="false">01_Data!G686</f>
        <v>203975</v>
      </c>
      <c r="I686" s="7" t="n">
        <f aca="false">01_Data!H686</f>
        <v>206314</v>
      </c>
      <c r="J686" s="7" t="n">
        <f aca="false">H686-I686</f>
        <v>-2339</v>
      </c>
      <c r="K686" s="8" t="n">
        <f aca="false">IFERROR(J686/H686,0)</f>
        <v>-0.0114670915553377</v>
      </c>
      <c r="L686" s="7" t="n">
        <f aca="false">D686-H686</f>
        <v>141816</v>
      </c>
      <c r="M686" s="7" t="n">
        <f aca="false">E686-I686</f>
        <v>126935</v>
      </c>
      <c r="N686" s="7" t="n">
        <f aca="false">IFERROR(L686/D686,0)</f>
        <v>0.410120564155805</v>
      </c>
      <c r="O686" s="7" t="n">
        <f aca="false">IFERROR(M686/E686,0)</f>
        <v>0.380901368046116</v>
      </c>
      <c r="P686" s="7" t="n">
        <f aca="false">01_Data!I686+01_Data!K686+01_Data!M686+01_Data!O686+01_Data!Q686+01_Data!S686+01_Data!U686</f>
        <v>96372</v>
      </c>
      <c r="Q686" s="7" t="n">
        <f aca="false">01_Data!J686+01_Data!L686+01_Data!N686+01_Data!P686+01_Data!R686+01_Data!T686+01_Data!V686</f>
        <v>101580</v>
      </c>
      <c r="R686" s="7" t="n">
        <f aca="false">P686-Q686</f>
        <v>-5208</v>
      </c>
      <c r="S686" s="7" t="n">
        <f aca="false">L686-P686</f>
        <v>45444</v>
      </c>
      <c r="T686" s="7" t="n">
        <f aca="false">M686-Q686</f>
        <v>25355</v>
      </c>
      <c r="U686" s="7" t="n">
        <f aca="false">T686-S686</f>
        <v>-20089</v>
      </c>
      <c r="V686" s="8" t="n">
        <f aca="false">IFERROR(U686/S686,0)</f>
        <v>-0.442060558049468</v>
      </c>
      <c r="W686" s="5" t="str">
        <f aca="false">IF(V686&lt;-0.1,"ADVERSE &gt;10%","")</f>
        <v>ADVERSE &gt;10%</v>
      </c>
    </row>
    <row r="687" customFormat="false" ht="15" hidden="false" customHeight="false" outlineLevel="0" collapsed="false">
      <c r="A687" s="5" t="str">
        <f aca="false">01_Data!A687</f>
        <v>Technology &amp; Telecom</v>
      </c>
      <c r="B687" s="5" t="str">
        <f aca="false">01_Data!C687</f>
        <v>2023-05</v>
      </c>
      <c r="C687" s="5" t="str">
        <f aca="false">01_Data!D687</f>
        <v>FY23</v>
      </c>
      <c r="D687" s="7" t="n">
        <f aca="false">01_Data!E687</f>
        <v>351868</v>
      </c>
      <c r="E687" s="7" t="n">
        <f aca="false">01_Data!F687</f>
        <v>342152</v>
      </c>
      <c r="F687" s="7" t="n">
        <f aca="false">E687-D687</f>
        <v>-9716</v>
      </c>
      <c r="G687" s="8" t="n">
        <f aca="false">IFERROR(F687/D687,0)</f>
        <v>-0.0276126274625712</v>
      </c>
      <c r="H687" s="7" t="n">
        <f aca="false">01_Data!G687</f>
        <v>195764</v>
      </c>
      <c r="I687" s="7" t="n">
        <f aca="false">01_Data!H687</f>
        <v>195325</v>
      </c>
      <c r="J687" s="7" t="n">
        <f aca="false">H687-I687</f>
        <v>439</v>
      </c>
      <c r="K687" s="8" t="n">
        <f aca="false">IFERROR(J687/H687,0)</f>
        <v>0.00224249606669255</v>
      </c>
      <c r="L687" s="7" t="n">
        <f aca="false">D687-H687</f>
        <v>156104</v>
      </c>
      <c r="M687" s="7" t="n">
        <f aca="false">E687-I687</f>
        <v>146827</v>
      </c>
      <c r="N687" s="7" t="n">
        <f aca="false">IFERROR(L687/D687,0)</f>
        <v>0.443643639091932</v>
      </c>
      <c r="O687" s="7" t="n">
        <f aca="false">IFERROR(M687/E687,0)</f>
        <v>0.429127989899226</v>
      </c>
      <c r="P687" s="7" t="n">
        <f aca="false">01_Data!I687+01_Data!K687+01_Data!M687+01_Data!O687+01_Data!Q687+01_Data!S687+01_Data!U687</f>
        <v>91646</v>
      </c>
      <c r="Q687" s="7" t="n">
        <f aca="false">01_Data!J687+01_Data!L687+01_Data!N687+01_Data!P687+01_Data!R687+01_Data!T687+01_Data!V687</f>
        <v>94766</v>
      </c>
      <c r="R687" s="7" t="n">
        <f aca="false">P687-Q687</f>
        <v>-3120</v>
      </c>
      <c r="S687" s="7" t="n">
        <f aca="false">L687-P687</f>
        <v>64458</v>
      </c>
      <c r="T687" s="7" t="n">
        <f aca="false">M687-Q687</f>
        <v>52061</v>
      </c>
      <c r="U687" s="7" t="n">
        <f aca="false">T687-S687</f>
        <v>-12397</v>
      </c>
      <c r="V687" s="8" t="n">
        <f aca="false">IFERROR(U687/S687,0)</f>
        <v>-0.192326786434578</v>
      </c>
      <c r="W687" s="5" t="str">
        <f aca="false">IF(V687&lt;-0.1,"ADVERSE &gt;10%","")</f>
        <v>ADVERSE &gt;10%</v>
      </c>
    </row>
    <row r="688" customFormat="false" ht="15" hidden="false" customHeight="false" outlineLevel="0" collapsed="false">
      <c r="A688" s="5" t="str">
        <f aca="false">01_Data!A688</f>
        <v>Technology &amp; Telecom</v>
      </c>
      <c r="B688" s="5" t="str">
        <f aca="false">01_Data!C688</f>
        <v>2023-06</v>
      </c>
      <c r="C688" s="5" t="str">
        <f aca="false">01_Data!D688</f>
        <v>FY23</v>
      </c>
      <c r="D688" s="7" t="n">
        <f aca="false">01_Data!E688</f>
        <v>357170</v>
      </c>
      <c r="E688" s="7" t="n">
        <f aca="false">01_Data!F688</f>
        <v>340725</v>
      </c>
      <c r="F688" s="7" t="n">
        <f aca="false">E688-D688</f>
        <v>-16445</v>
      </c>
      <c r="G688" s="8" t="n">
        <f aca="false">IFERROR(F688/D688,0)</f>
        <v>-0.0460425007699415</v>
      </c>
      <c r="H688" s="7" t="n">
        <f aca="false">01_Data!G688</f>
        <v>203341</v>
      </c>
      <c r="I688" s="7" t="n">
        <f aca="false">01_Data!H688</f>
        <v>190288</v>
      </c>
      <c r="J688" s="7" t="n">
        <f aca="false">H688-I688</f>
        <v>13053</v>
      </c>
      <c r="K688" s="8" t="n">
        <f aca="false">IFERROR(J688/H688,0)</f>
        <v>0.0641926615881696</v>
      </c>
      <c r="L688" s="7" t="n">
        <f aca="false">D688-H688</f>
        <v>153829</v>
      </c>
      <c r="M688" s="7" t="n">
        <f aca="false">E688-I688</f>
        <v>150437</v>
      </c>
      <c r="N688" s="7" t="n">
        <f aca="false">IFERROR(L688/D688,0)</f>
        <v>0.430688467676457</v>
      </c>
      <c r="O688" s="7" t="n">
        <f aca="false">IFERROR(M688/E688,0)</f>
        <v>0.441520287621983</v>
      </c>
      <c r="P688" s="7" t="n">
        <f aca="false">01_Data!I688+01_Data!K688+01_Data!M688+01_Data!O688+01_Data!Q688+01_Data!S688+01_Data!U688</f>
        <v>94173</v>
      </c>
      <c r="Q688" s="7" t="n">
        <f aca="false">01_Data!J688+01_Data!L688+01_Data!N688+01_Data!P688+01_Data!R688+01_Data!T688+01_Data!V688</f>
        <v>99089</v>
      </c>
      <c r="R688" s="7" t="n">
        <f aca="false">P688-Q688</f>
        <v>-4916</v>
      </c>
      <c r="S688" s="7" t="n">
        <f aca="false">L688-P688</f>
        <v>59656</v>
      </c>
      <c r="T688" s="7" t="n">
        <f aca="false">M688-Q688</f>
        <v>51348</v>
      </c>
      <c r="U688" s="7" t="n">
        <f aca="false">T688-S688</f>
        <v>-8308</v>
      </c>
      <c r="V688" s="8" t="n">
        <f aca="false">IFERROR(U688/S688,0)</f>
        <v>-0.139265120021456</v>
      </c>
      <c r="W688" s="5" t="str">
        <f aca="false">IF(V688&lt;-0.1,"ADVERSE &gt;10%","")</f>
        <v>ADVERSE &gt;10%</v>
      </c>
    </row>
    <row r="689" customFormat="false" ht="15" hidden="false" customHeight="false" outlineLevel="0" collapsed="false">
      <c r="A689" s="5" t="str">
        <f aca="false">01_Data!A689</f>
        <v>Technology &amp; Telecom</v>
      </c>
      <c r="B689" s="5" t="str">
        <f aca="false">01_Data!C689</f>
        <v>2023-07</v>
      </c>
      <c r="C689" s="5" t="str">
        <f aca="false">01_Data!D689</f>
        <v>FY23</v>
      </c>
      <c r="D689" s="7" t="n">
        <f aca="false">01_Data!E689</f>
        <v>345278</v>
      </c>
      <c r="E689" s="7" t="n">
        <f aca="false">01_Data!F689</f>
        <v>345362</v>
      </c>
      <c r="F689" s="7" t="n">
        <f aca="false">E689-D689</f>
        <v>84</v>
      </c>
      <c r="G689" s="8" t="n">
        <f aca="false">IFERROR(F689/D689,0)</f>
        <v>0.000243282224758021</v>
      </c>
      <c r="H689" s="7" t="n">
        <f aca="false">01_Data!G689</f>
        <v>189084</v>
      </c>
      <c r="I689" s="7" t="n">
        <f aca="false">01_Data!H689</f>
        <v>199414</v>
      </c>
      <c r="J689" s="7" t="n">
        <f aca="false">H689-I689</f>
        <v>-10330</v>
      </c>
      <c r="K689" s="8" t="n">
        <f aca="false">IFERROR(J689/H689,0)</f>
        <v>-0.0546318038543716</v>
      </c>
      <c r="L689" s="7" t="n">
        <f aca="false">D689-H689</f>
        <v>156194</v>
      </c>
      <c r="M689" s="7" t="n">
        <f aca="false">E689-I689</f>
        <v>145948</v>
      </c>
      <c r="N689" s="7" t="n">
        <f aca="false">IFERROR(L689/D689,0)</f>
        <v>0.452371712069695</v>
      </c>
      <c r="O689" s="7" t="n">
        <f aca="false">IFERROR(M689/E689,0)</f>
        <v>0.422594263410566</v>
      </c>
      <c r="P689" s="7" t="n">
        <f aca="false">01_Data!I689+01_Data!K689+01_Data!M689+01_Data!O689+01_Data!Q689+01_Data!S689+01_Data!U689</f>
        <v>88751</v>
      </c>
      <c r="Q689" s="7" t="n">
        <f aca="false">01_Data!J689+01_Data!L689+01_Data!N689+01_Data!P689+01_Data!R689+01_Data!T689+01_Data!V689</f>
        <v>89378</v>
      </c>
      <c r="R689" s="7" t="n">
        <f aca="false">P689-Q689</f>
        <v>-627</v>
      </c>
      <c r="S689" s="7" t="n">
        <f aca="false">L689-P689</f>
        <v>67443</v>
      </c>
      <c r="T689" s="7" t="n">
        <f aca="false">M689-Q689</f>
        <v>56570</v>
      </c>
      <c r="U689" s="7" t="n">
        <f aca="false">T689-S689</f>
        <v>-10873</v>
      </c>
      <c r="V689" s="8" t="n">
        <f aca="false">IFERROR(U689/S689,0)</f>
        <v>-0.161217620805717</v>
      </c>
      <c r="W689" s="5" t="str">
        <f aca="false">IF(V689&lt;-0.1,"ADVERSE &gt;10%","")</f>
        <v>ADVERSE &gt;10%</v>
      </c>
    </row>
    <row r="690" customFormat="false" ht="15" hidden="false" customHeight="false" outlineLevel="0" collapsed="false">
      <c r="A690" s="5" t="str">
        <f aca="false">01_Data!A690</f>
        <v>Technology &amp; Telecom</v>
      </c>
      <c r="B690" s="5" t="str">
        <f aca="false">01_Data!C690</f>
        <v>2023-08</v>
      </c>
      <c r="C690" s="5" t="str">
        <f aca="false">01_Data!D690</f>
        <v>FY23</v>
      </c>
      <c r="D690" s="7" t="n">
        <f aca="false">01_Data!E690</f>
        <v>339849</v>
      </c>
      <c r="E690" s="7" t="n">
        <f aca="false">01_Data!F690</f>
        <v>353025</v>
      </c>
      <c r="F690" s="7" t="n">
        <f aca="false">E690-D690</f>
        <v>13176</v>
      </c>
      <c r="G690" s="8" t="n">
        <f aca="false">IFERROR(F690/D690,0)</f>
        <v>0.0387701596885676</v>
      </c>
      <c r="H690" s="7" t="n">
        <f aca="false">01_Data!G690</f>
        <v>187809</v>
      </c>
      <c r="I690" s="7" t="n">
        <f aca="false">01_Data!H690</f>
        <v>193642</v>
      </c>
      <c r="J690" s="7" t="n">
        <f aca="false">H690-I690</f>
        <v>-5833</v>
      </c>
      <c r="K690" s="8" t="n">
        <f aca="false">IFERROR(J690/H690,0)</f>
        <v>-0.0310581495029525</v>
      </c>
      <c r="L690" s="7" t="n">
        <f aca="false">D690-H690</f>
        <v>152040</v>
      </c>
      <c r="M690" s="7" t="n">
        <f aca="false">E690-I690</f>
        <v>159383</v>
      </c>
      <c r="N690" s="7" t="n">
        <f aca="false">IFERROR(L690/D690,0)</f>
        <v>0.447375157790666</v>
      </c>
      <c r="O690" s="7" t="n">
        <f aca="false">IFERROR(M690/E690,0)</f>
        <v>0.451477940655761</v>
      </c>
      <c r="P690" s="7" t="n">
        <f aca="false">01_Data!I690+01_Data!K690+01_Data!M690+01_Data!O690+01_Data!Q690+01_Data!S690+01_Data!U690</f>
        <v>88824</v>
      </c>
      <c r="Q690" s="7" t="n">
        <f aca="false">01_Data!J690+01_Data!L690+01_Data!N690+01_Data!P690+01_Data!R690+01_Data!T690+01_Data!V690</f>
        <v>93327</v>
      </c>
      <c r="R690" s="7" t="n">
        <f aca="false">P690-Q690</f>
        <v>-4503</v>
      </c>
      <c r="S690" s="7" t="n">
        <f aca="false">L690-P690</f>
        <v>63216</v>
      </c>
      <c r="T690" s="7" t="n">
        <f aca="false">M690-Q690</f>
        <v>66056</v>
      </c>
      <c r="U690" s="7" t="n">
        <f aca="false">T690-S690</f>
        <v>2840</v>
      </c>
      <c r="V690" s="8" t="n">
        <f aca="false">IFERROR(U690/S690,0)</f>
        <v>0.0449253353581372</v>
      </c>
      <c r="W690" s="5" t="str">
        <f aca="false">IF(V690&lt;-0.1,"ADVERSE &gt;10%","")</f>
        <v/>
      </c>
    </row>
    <row r="691" customFormat="false" ht="15" hidden="false" customHeight="false" outlineLevel="0" collapsed="false">
      <c r="A691" s="5" t="str">
        <f aca="false">01_Data!A691</f>
        <v>Technology &amp; Telecom</v>
      </c>
      <c r="B691" s="5" t="str">
        <f aca="false">01_Data!C691</f>
        <v>2023-09</v>
      </c>
      <c r="C691" s="5" t="str">
        <f aca="false">01_Data!D691</f>
        <v>FY23</v>
      </c>
      <c r="D691" s="7" t="n">
        <f aca="false">01_Data!E691</f>
        <v>370817</v>
      </c>
      <c r="E691" s="7" t="n">
        <f aca="false">01_Data!F691</f>
        <v>373557</v>
      </c>
      <c r="F691" s="7" t="n">
        <f aca="false">E691-D691</f>
        <v>2740</v>
      </c>
      <c r="G691" s="8" t="n">
        <f aca="false">IFERROR(F691/D691,0)</f>
        <v>0.0073890894969756</v>
      </c>
      <c r="H691" s="7" t="n">
        <f aca="false">01_Data!G691</f>
        <v>219628</v>
      </c>
      <c r="I691" s="7" t="n">
        <f aca="false">01_Data!H691</f>
        <v>215075</v>
      </c>
      <c r="J691" s="7" t="n">
        <f aca="false">H691-I691</f>
        <v>4553</v>
      </c>
      <c r="K691" s="8" t="n">
        <f aca="false">IFERROR(J691/H691,0)</f>
        <v>0.020730507949806</v>
      </c>
      <c r="L691" s="7" t="n">
        <f aca="false">D691-H691</f>
        <v>151189</v>
      </c>
      <c r="M691" s="7" t="n">
        <f aca="false">E691-I691</f>
        <v>158482</v>
      </c>
      <c r="N691" s="7" t="n">
        <f aca="false">IFERROR(L691/D691,0)</f>
        <v>0.407718632101549</v>
      </c>
      <c r="O691" s="7" t="n">
        <f aca="false">IFERROR(M691/E691,0)</f>
        <v>0.424251185227422</v>
      </c>
      <c r="P691" s="7" t="n">
        <f aca="false">01_Data!I691+01_Data!K691+01_Data!M691+01_Data!O691+01_Data!Q691+01_Data!S691+01_Data!U691</f>
        <v>97274</v>
      </c>
      <c r="Q691" s="7" t="n">
        <f aca="false">01_Data!J691+01_Data!L691+01_Data!N691+01_Data!P691+01_Data!R691+01_Data!T691+01_Data!V691</f>
        <v>97511</v>
      </c>
      <c r="R691" s="7" t="n">
        <f aca="false">P691-Q691</f>
        <v>-237</v>
      </c>
      <c r="S691" s="7" t="n">
        <f aca="false">L691-P691</f>
        <v>53915</v>
      </c>
      <c r="T691" s="7" t="n">
        <f aca="false">M691-Q691</f>
        <v>60971</v>
      </c>
      <c r="U691" s="7" t="n">
        <f aca="false">T691-S691</f>
        <v>7056</v>
      </c>
      <c r="V691" s="8" t="n">
        <f aca="false">IFERROR(U691/S691,0)</f>
        <v>0.130872669943429</v>
      </c>
      <c r="W691" s="5" t="str">
        <f aca="false">IF(V691&lt;-0.1,"ADVERSE &gt;10%","")</f>
        <v/>
      </c>
    </row>
    <row r="692" customFormat="false" ht="15" hidden="false" customHeight="false" outlineLevel="0" collapsed="false">
      <c r="A692" s="5" t="str">
        <f aca="false">01_Data!A692</f>
        <v>Technology &amp; Telecom</v>
      </c>
      <c r="B692" s="5" t="str">
        <f aca="false">01_Data!C692</f>
        <v>2023-10</v>
      </c>
      <c r="C692" s="5" t="str">
        <f aca="false">01_Data!D692</f>
        <v>FY23</v>
      </c>
      <c r="D692" s="7" t="n">
        <f aca="false">01_Data!E692</f>
        <v>346209</v>
      </c>
      <c r="E692" s="7" t="n">
        <f aca="false">01_Data!F692</f>
        <v>357639</v>
      </c>
      <c r="F692" s="7" t="n">
        <f aca="false">E692-D692</f>
        <v>11430</v>
      </c>
      <c r="G692" s="8" t="n">
        <f aca="false">IFERROR(F692/D692,0)</f>
        <v>0.0330147396514822</v>
      </c>
      <c r="H692" s="7" t="n">
        <f aca="false">01_Data!G692</f>
        <v>194872</v>
      </c>
      <c r="I692" s="7" t="n">
        <f aca="false">01_Data!H692</f>
        <v>204215</v>
      </c>
      <c r="J692" s="7" t="n">
        <f aca="false">H692-I692</f>
        <v>-9343</v>
      </c>
      <c r="K692" s="8" t="n">
        <f aca="false">IFERROR(J692/H692,0)</f>
        <v>-0.0479442916375877</v>
      </c>
      <c r="L692" s="7" t="n">
        <f aca="false">D692-H692</f>
        <v>151337</v>
      </c>
      <c r="M692" s="7" t="n">
        <f aca="false">E692-I692</f>
        <v>153424</v>
      </c>
      <c r="N692" s="7" t="n">
        <f aca="false">IFERROR(L692/D692,0)</f>
        <v>0.437126129014555</v>
      </c>
      <c r="O692" s="7" t="n">
        <f aca="false">IFERROR(M692/E692,0)</f>
        <v>0.428991245361943</v>
      </c>
      <c r="P692" s="7" t="n">
        <f aca="false">01_Data!I692+01_Data!K692+01_Data!M692+01_Data!O692+01_Data!Q692+01_Data!S692+01_Data!U692</f>
        <v>94397</v>
      </c>
      <c r="Q692" s="7" t="n">
        <f aca="false">01_Data!J692+01_Data!L692+01_Data!N692+01_Data!P692+01_Data!R692+01_Data!T692+01_Data!V692</f>
        <v>97629</v>
      </c>
      <c r="R692" s="7" t="n">
        <f aca="false">P692-Q692</f>
        <v>-3232</v>
      </c>
      <c r="S692" s="7" t="n">
        <f aca="false">L692-P692</f>
        <v>56940</v>
      </c>
      <c r="T692" s="7" t="n">
        <f aca="false">M692-Q692</f>
        <v>55795</v>
      </c>
      <c r="U692" s="7" t="n">
        <f aca="false">T692-S692</f>
        <v>-1145</v>
      </c>
      <c r="V692" s="8" t="n">
        <f aca="false">IFERROR(U692/S692,0)</f>
        <v>-0.0201088865472427</v>
      </c>
      <c r="W692" s="5" t="str">
        <f aca="false">IF(V692&lt;-0.1,"ADVERSE &gt;10%","")</f>
        <v/>
      </c>
    </row>
    <row r="693" customFormat="false" ht="15" hidden="false" customHeight="false" outlineLevel="0" collapsed="false">
      <c r="A693" s="5" t="str">
        <f aca="false">01_Data!A693</f>
        <v>Technology &amp; Telecom</v>
      </c>
      <c r="B693" s="5" t="str">
        <f aca="false">01_Data!C693</f>
        <v>2023-11</v>
      </c>
      <c r="C693" s="5" t="str">
        <f aca="false">01_Data!D693</f>
        <v>FY23</v>
      </c>
      <c r="D693" s="7" t="n">
        <f aca="false">01_Data!E693</f>
        <v>373320</v>
      </c>
      <c r="E693" s="7" t="n">
        <f aca="false">01_Data!F693</f>
        <v>365303</v>
      </c>
      <c r="F693" s="7" t="n">
        <f aca="false">E693-D693</f>
        <v>-8017</v>
      </c>
      <c r="G693" s="8" t="n">
        <f aca="false">IFERROR(F693/D693,0)</f>
        <v>-0.0214748741026465</v>
      </c>
      <c r="H693" s="7" t="n">
        <f aca="false">01_Data!G693</f>
        <v>215315</v>
      </c>
      <c r="I693" s="7" t="n">
        <f aca="false">01_Data!H693</f>
        <v>209689</v>
      </c>
      <c r="J693" s="7" t="n">
        <f aca="false">H693-I693</f>
        <v>5626</v>
      </c>
      <c r="K693" s="8" t="n">
        <f aca="false">IFERROR(J693/H693,0)</f>
        <v>0.0261291596033718</v>
      </c>
      <c r="L693" s="7" t="n">
        <f aca="false">D693-H693</f>
        <v>158005</v>
      </c>
      <c r="M693" s="7" t="n">
        <f aca="false">E693-I693</f>
        <v>155614</v>
      </c>
      <c r="N693" s="7" t="n">
        <f aca="false">IFERROR(L693/D693,0)</f>
        <v>0.423242794385514</v>
      </c>
      <c r="O693" s="7" t="n">
        <f aca="false">IFERROR(M693/E693,0)</f>
        <v>0.425986099210792</v>
      </c>
      <c r="P693" s="7" t="n">
        <f aca="false">01_Data!I693+01_Data!K693+01_Data!M693+01_Data!O693+01_Data!Q693+01_Data!S693+01_Data!U693</f>
        <v>105912</v>
      </c>
      <c r="Q693" s="7" t="n">
        <f aca="false">01_Data!J693+01_Data!L693+01_Data!N693+01_Data!P693+01_Data!R693+01_Data!T693+01_Data!V693</f>
        <v>107488</v>
      </c>
      <c r="R693" s="7" t="n">
        <f aca="false">P693-Q693</f>
        <v>-1576</v>
      </c>
      <c r="S693" s="7" t="n">
        <f aca="false">L693-P693</f>
        <v>52093</v>
      </c>
      <c r="T693" s="7" t="n">
        <f aca="false">M693-Q693</f>
        <v>48126</v>
      </c>
      <c r="U693" s="7" t="n">
        <f aca="false">T693-S693</f>
        <v>-3967</v>
      </c>
      <c r="V693" s="8" t="n">
        <f aca="false">IFERROR(U693/S693,0)</f>
        <v>-0.0761522661394045</v>
      </c>
      <c r="W693" s="5" t="str">
        <f aca="false">IF(V693&lt;-0.1,"ADVERSE &gt;10%","")</f>
        <v/>
      </c>
    </row>
    <row r="694" customFormat="false" ht="15" hidden="false" customHeight="false" outlineLevel="0" collapsed="false">
      <c r="A694" s="5" t="str">
        <f aca="false">01_Data!A694</f>
        <v>Technology &amp; Telecom</v>
      </c>
      <c r="B694" s="5" t="str">
        <f aca="false">01_Data!C694</f>
        <v>2023-12</v>
      </c>
      <c r="C694" s="5" t="str">
        <f aca="false">01_Data!D694</f>
        <v>FY23</v>
      </c>
      <c r="D694" s="7" t="n">
        <f aca="false">01_Data!E694</f>
        <v>372204</v>
      </c>
      <c r="E694" s="7" t="n">
        <f aca="false">01_Data!F694</f>
        <v>388815</v>
      </c>
      <c r="F694" s="7" t="n">
        <f aca="false">E694-D694</f>
        <v>16611</v>
      </c>
      <c r="G694" s="8" t="n">
        <f aca="false">IFERROR(F694/D694,0)</f>
        <v>0.0446287519747235</v>
      </c>
      <c r="H694" s="7" t="n">
        <f aca="false">01_Data!G694</f>
        <v>211261</v>
      </c>
      <c r="I694" s="7" t="n">
        <f aca="false">01_Data!H694</f>
        <v>226730</v>
      </c>
      <c r="J694" s="7" t="n">
        <f aca="false">H694-I694</f>
        <v>-15469</v>
      </c>
      <c r="K694" s="8" t="n">
        <f aca="false">IFERROR(J694/H694,0)</f>
        <v>-0.0732222227481646</v>
      </c>
      <c r="L694" s="7" t="n">
        <f aca="false">D694-H694</f>
        <v>160943</v>
      </c>
      <c r="M694" s="7" t="n">
        <f aca="false">E694-I694</f>
        <v>162085</v>
      </c>
      <c r="N694" s="7" t="n">
        <f aca="false">IFERROR(L694/D694,0)</f>
        <v>0.432405347605077</v>
      </c>
      <c r="O694" s="7" t="n">
        <f aca="false">IFERROR(M694/E694,0)</f>
        <v>0.416869205148978</v>
      </c>
      <c r="P694" s="7" t="n">
        <f aca="false">01_Data!I694+01_Data!K694+01_Data!M694+01_Data!O694+01_Data!Q694+01_Data!S694+01_Data!U694</f>
        <v>98418</v>
      </c>
      <c r="Q694" s="7" t="n">
        <f aca="false">01_Data!J694+01_Data!L694+01_Data!N694+01_Data!P694+01_Data!R694+01_Data!T694+01_Data!V694</f>
        <v>100096</v>
      </c>
      <c r="R694" s="7" t="n">
        <f aca="false">P694-Q694</f>
        <v>-1678</v>
      </c>
      <c r="S694" s="7" t="n">
        <f aca="false">L694-P694</f>
        <v>62525</v>
      </c>
      <c r="T694" s="7" t="n">
        <f aca="false">M694-Q694</f>
        <v>61989</v>
      </c>
      <c r="U694" s="7" t="n">
        <f aca="false">T694-S694</f>
        <v>-536</v>
      </c>
      <c r="V694" s="8" t="n">
        <f aca="false">IFERROR(U694/S694,0)</f>
        <v>-0.00857257097161136</v>
      </c>
      <c r="W694" s="5" t="str">
        <f aca="false">IF(V694&lt;-0.1,"ADVERSE &gt;10%","")</f>
        <v/>
      </c>
    </row>
    <row r="695" customFormat="false" ht="15" hidden="false" customHeight="false" outlineLevel="0" collapsed="false">
      <c r="A695" s="5" t="str">
        <f aca="false">01_Data!A695</f>
        <v>Technology &amp; Telecom</v>
      </c>
      <c r="B695" s="5" t="str">
        <f aca="false">01_Data!C695</f>
        <v>2024-01</v>
      </c>
      <c r="C695" s="5" t="str">
        <f aca="false">01_Data!D695</f>
        <v>FY23</v>
      </c>
      <c r="D695" s="7" t="n">
        <f aca="false">01_Data!E695</f>
        <v>368153</v>
      </c>
      <c r="E695" s="7" t="n">
        <f aca="false">01_Data!F695</f>
        <v>381620</v>
      </c>
      <c r="F695" s="7" t="n">
        <f aca="false">E695-D695</f>
        <v>13467</v>
      </c>
      <c r="G695" s="8" t="n">
        <f aca="false">IFERROR(F695/D695,0)</f>
        <v>0.0365799002045345</v>
      </c>
      <c r="H695" s="7" t="n">
        <f aca="false">01_Data!G695</f>
        <v>203595</v>
      </c>
      <c r="I695" s="7" t="n">
        <f aca="false">01_Data!H695</f>
        <v>207054</v>
      </c>
      <c r="J695" s="7" t="n">
        <f aca="false">H695-I695</f>
        <v>-3459</v>
      </c>
      <c r="K695" s="8" t="n">
        <f aca="false">IFERROR(J695/H695,0)</f>
        <v>-0.0169896117291682</v>
      </c>
      <c r="L695" s="7" t="n">
        <f aca="false">D695-H695</f>
        <v>164558</v>
      </c>
      <c r="M695" s="7" t="n">
        <f aca="false">E695-I695</f>
        <v>174566</v>
      </c>
      <c r="N695" s="7" t="n">
        <f aca="false">IFERROR(L695/D695,0)</f>
        <v>0.446982640369629</v>
      </c>
      <c r="O695" s="7" t="n">
        <f aca="false">IFERROR(M695/E695,0)</f>
        <v>0.457434096745454</v>
      </c>
      <c r="P695" s="7" t="n">
        <f aca="false">01_Data!I695+01_Data!K695+01_Data!M695+01_Data!O695+01_Data!Q695+01_Data!S695+01_Data!U695</f>
        <v>98000</v>
      </c>
      <c r="Q695" s="7" t="n">
        <f aca="false">01_Data!J695+01_Data!L695+01_Data!N695+01_Data!P695+01_Data!R695+01_Data!T695+01_Data!V695</f>
        <v>101631</v>
      </c>
      <c r="R695" s="7" t="n">
        <f aca="false">P695-Q695</f>
        <v>-3631</v>
      </c>
      <c r="S695" s="7" t="n">
        <f aca="false">L695-P695</f>
        <v>66558</v>
      </c>
      <c r="T695" s="7" t="n">
        <f aca="false">M695-Q695</f>
        <v>72935</v>
      </c>
      <c r="U695" s="7" t="n">
        <f aca="false">T695-S695</f>
        <v>6377</v>
      </c>
      <c r="V695" s="8" t="n">
        <f aca="false">IFERROR(U695/S695,0)</f>
        <v>0.0958111722107034</v>
      </c>
      <c r="W695" s="5" t="str">
        <f aca="false">IF(V695&lt;-0.1,"ADVERSE &gt;10%","")</f>
        <v/>
      </c>
    </row>
    <row r="696" customFormat="false" ht="15" hidden="false" customHeight="false" outlineLevel="0" collapsed="false">
      <c r="A696" s="5" t="str">
        <f aca="false">01_Data!A696</f>
        <v>Technology &amp; Telecom</v>
      </c>
      <c r="B696" s="5" t="str">
        <f aca="false">01_Data!C696</f>
        <v>2024-02</v>
      </c>
      <c r="C696" s="5" t="str">
        <f aca="false">01_Data!D696</f>
        <v>FY23</v>
      </c>
      <c r="D696" s="7" t="n">
        <f aca="false">01_Data!E696</f>
        <v>403994</v>
      </c>
      <c r="E696" s="7" t="n">
        <f aca="false">01_Data!F696</f>
        <v>391107</v>
      </c>
      <c r="F696" s="7" t="n">
        <f aca="false">E696-D696</f>
        <v>-12887</v>
      </c>
      <c r="G696" s="8" t="n">
        <f aca="false">IFERROR(F696/D696,0)</f>
        <v>-0.0318989885988406</v>
      </c>
      <c r="H696" s="7" t="n">
        <f aca="false">01_Data!G696</f>
        <v>233273</v>
      </c>
      <c r="I696" s="7" t="n">
        <f aca="false">01_Data!H696</f>
        <v>219004</v>
      </c>
      <c r="J696" s="7" t="n">
        <f aca="false">H696-I696</f>
        <v>14269</v>
      </c>
      <c r="K696" s="8" t="n">
        <f aca="false">IFERROR(J696/H696,0)</f>
        <v>0.0611686736141774</v>
      </c>
      <c r="L696" s="7" t="n">
        <f aca="false">D696-H696</f>
        <v>170721</v>
      </c>
      <c r="M696" s="7" t="n">
        <f aca="false">E696-I696</f>
        <v>172103</v>
      </c>
      <c r="N696" s="7" t="n">
        <f aca="false">IFERROR(L696/D696,0)</f>
        <v>0.422583008658544</v>
      </c>
      <c r="O696" s="7" t="n">
        <f aca="false">IFERROR(M696/E696,0)</f>
        <v>0.440040704973319</v>
      </c>
      <c r="P696" s="7" t="n">
        <f aca="false">01_Data!I696+01_Data!K696+01_Data!M696+01_Data!O696+01_Data!Q696+01_Data!S696+01_Data!U696</f>
        <v>101515</v>
      </c>
      <c r="Q696" s="7" t="n">
        <f aca="false">01_Data!J696+01_Data!L696+01_Data!N696+01_Data!P696+01_Data!R696+01_Data!T696+01_Data!V696</f>
        <v>103561</v>
      </c>
      <c r="R696" s="7" t="n">
        <f aca="false">P696-Q696</f>
        <v>-2046</v>
      </c>
      <c r="S696" s="7" t="n">
        <f aca="false">L696-P696</f>
        <v>69206</v>
      </c>
      <c r="T696" s="7" t="n">
        <f aca="false">M696-Q696</f>
        <v>68542</v>
      </c>
      <c r="U696" s="7" t="n">
        <f aca="false">T696-S696</f>
        <v>-664</v>
      </c>
      <c r="V696" s="8" t="n">
        <f aca="false">IFERROR(U696/S696,0)</f>
        <v>-0.00959454382567986</v>
      </c>
      <c r="W696" s="5" t="str">
        <f aca="false">IF(V696&lt;-0.1,"ADVERSE &gt;10%","")</f>
        <v/>
      </c>
    </row>
    <row r="697" customFormat="false" ht="15" hidden="false" customHeight="false" outlineLevel="0" collapsed="false">
      <c r="A697" s="5" t="str">
        <f aca="false">01_Data!A697</f>
        <v>Technology &amp; Telecom</v>
      </c>
      <c r="B697" s="5" t="str">
        <f aca="false">01_Data!C697</f>
        <v>2024-03</v>
      </c>
      <c r="C697" s="5" t="str">
        <f aca="false">01_Data!D697</f>
        <v>FY23</v>
      </c>
      <c r="D697" s="7" t="n">
        <f aca="false">01_Data!E697</f>
        <v>423496</v>
      </c>
      <c r="E697" s="7" t="n">
        <f aca="false">01_Data!F697</f>
        <v>409641</v>
      </c>
      <c r="F697" s="7" t="n">
        <f aca="false">E697-D697</f>
        <v>-13855</v>
      </c>
      <c r="G697" s="8" t="n">
        <f aca="false">IFERROR(F697/D697,0)</f>
        <v>-0.0327157753556114</v>
      </c>
      <c r="H697" s="7" t="n">
        <f aca="false">01_Data!G697</f>
        <v>233714</v>
      </c>
      <c r="I697" s="7" t="n">
        <f aca="false">01_Data!H697</f>
        <v>226299</v>
      </c>
      <c r="J697" s="7" t="n">
        <f aca="false">H697-I697</f>
        <v>7415</v>
      </c>
      <c r="K697" s="8" t="n">
        <f aca="false">IFERROR(J697/H697,0)</f>
        <v>0.0317268114019699</v>
      </c>
      <c r="L697" s="7" t="n">
        <f aca="false">D697-H697</f>
        <v>189782</v>
      </c>
      <c r="M697" s="7" t="n">
        <f aca="false">E697-I697</f>
        <v>183342</v>
      </c>
      <c r="N697" s="7" t="n">
        <f aca="false">IFERROR(L697/D697,0)</f>
        <v>0.448131741504052</v>
      </c>
      <c r="O697" s="7" t="n">
        <f aca="false">IFERROR(M697/E697,0)</f>
        <v>0.447567504229313</v>
      </c>
      <c r="P697" s="7" t="n">
        <f aca="false">01_Data!I697+01_Data!K697+01_Data!M697+01_Data!O697+01_Data!Q697+01_Data!S697+01_Data!U697</f>
        <v>110181</v>
      </c>
      <c r="Q697" s="7" t="n">
        <f aca="false">01_Data!J697+01_Data!L697+01_Data!N697+01_Data!P697+01_Data!R697+01_Data!T697+01_Data!V697</f>
        <v>116996</v>
      </c>
      <c r="R697" s="7" t="n">
        <f aca="false">P697-Q697</f>
        <v>-6815</v>
      </c>
      <c r="S697" s="7" t="n">
        <f aca="false">L697-P697</f>
        <v>79601</v>
      </c>
      <c r="T697" s="7" t="n">
        <f aca="false">M697-Q697</f>
        <v>66346</v>
      </c>
      <c r="U697" s="7" t="n">
        <f aca="false">T697-S697</f>
        <v>-13255</v>
      </c>
      <c r="V697" s="8" t="n">
        <f aca="false">IFERROR(U697/S697,0)</f>
        <v>-0.166518008567732</v>
      </c>
      <c r="W697" s="5" t="str">
        <f aca="false">IF(V697&lt;-0.1,"ADVERSE &gt;10%","")</f>
        <v>ADVERSE &gt;10%</v>
      </c>
    </row>
    <row r="698" customFormat="false" ht="15" hidden="false" customHeight="false" outlineLevel="0" collapsed="false">
      <c r="A698" s="5" t="str">
        <f aca="false">01_Data!A698</f>
        <v>Technology &amp; Telecom</v>
      </c>
      <c r="B698" s="5" t="str">
        <f aca="false">01_Data!C698</f>
        <v>2024-04</v>
      </c>
      <c r="C698" s="5" t="str">
        <f aca="false">01_Data!D698</f>
        <v>FY24</v>
      </c>
      <c r="D698" s="7" t="n">
        <f aca="false">01_Data!E698</f>
        <v>407932</v>
      </c>
      <c r="E698" s="7" t="n">
        <f aca="false">01_Data!F698</f>
        <v>391372</v>
      </c>
      <c r="F698" s="7" t="n">
        <f aca="false">E698-D698</f>
        <v>-16560</v>
      </c>
      <c r="G698" s="8" t="n">
        <f aca="false">IFERROR(F698/D698,0)</f>
        <v>-0.0405950011276389</v>
      </c>
      <c r="H698" s="7" t="n">
        <f aca="false">01_Data!G698</f>
        <v>227951</v>
      </c>
      <c r="I698" s="7" t="n">
        <f aca="false">01_Data!H698</f>
        <v>228517</v>
      </c>
      <c r="J698" s="7" t="n">
        <f aca="false">H698-I698</f>
        <v>-566</v>
      </c>
      <c r="K698" s="8" t="n">
        <f aca="false">IFERROR(J698/H698,0)</f>
        <v>-0.00248298976534431</v>
      </c>
      <c r="L698" s="7" t="n">
        <f aca="false">D698-H698</f>
        <v>179981</v>
      </c>
      <c r="M698" s="7" t="n">
        <f aca="false">E698-I698</f>
        <v>162855</v>
      </c>
      <c r="N698" s="7" t="n">
        <f aca="false">IFERROR(L698/D698,0)</f>
        <v>0.441203435866762</v>
      </c>
      <c r="O698" s="7" t="n">
        <f aca="false">IFERROR(M698/E698,0)</f>
        <v>0.416113058675633</v>
      </c>
      <c r="P698" s="7" t="n">
        <f aca="false">01_Data!I698+01_Data!K698+01_Data!M698+01_Data!O698+01_Data!Q698+01_Data!S698+01_Data!U698</f>
        <v>103134</v>
      </c>
      <c r="Q698" s="7" t="n">
        <f aca="false">01_Data!J698+01_Data!L698+01_Data!N698+01_Data!P698+01_Data!R698+01_Data!T698+01_Data!V698</f>
        <v>105010</v>
      </c>
      <c r="R698" s="7" t="n">
        <f aca="false">P698-Q698</f>
        <v>-1876</v>
      </c>
      <c r="S698" s="7" t="n">
        <f aca="false">L698-P698</f>
        <v>76847</v>
      </c>
      <c r="T698" s="7" t="n">
        <f aca="false">M698-Q698</f>
        <v>57845</v>
      </c>
      <c r="U698" s="7" t="n">
        <f aca="false">T698-S698</f>
        <v>-19002</v>
      </c>
      <c r="V698" s="8" t="n">
        <f aca="false">IFERROR(U698/S698,0)</f>
        <v>-0.247270550574518</v>
      </c>
      <c r="W698" s="5" t="str">
        <f aca="false">IF(V698&lt;-0.1,"ADVERSE &gt;10%","")</f>
        <v>ADVERSE &gt;10%</v>
      </c>
    </row>
    <row r="699" customFormat="false" ht="15" hidden="false" customHeight="false" outlineLevel="0" collapsed="false">
      <c r="A699" s="5" t="str">
        <f aca="false">01_Data!A699</f>
        <v>Technology &amp; Telecom</v>
      </c>
      <c r="B699" s="5" t="str">
        <f aca="false">01_Data!C699</f>
        <v>2024-05</v>
      </c>
      <c r="C699" s="5" t="str">
        <f aca="false">01_Data!D699</f>
        <v>FY24</v>
      </c>
      <c r="D699" s="7" t="n">
        <f aca="false">01_Data!E699</f>
        <v>386348</v>
      </c>
      <c r="E699" s="7" t="n">
        <f aca="false">01_Data!F699</f>
        <v>390321</v>
      </c>
      <c r="F699" s="7" t="n">
        <f aca="false">E699-D699</f>
        <v>3973</v>
      </c>
      <c r="G699" s="8" t="n">
        <f aca="false">IFERROR(F699/D699,0)</f>
        <v>0.0102834750018118</v>
      </c>
      <c r="H699" s="7" t="n">
        <f aca="false">01_Data!G699</f>
        <v>220967</v>
      </c>
      <c r="I699" s="7" t="n">
        <f aca="false">01_Data!H699</f>
        <v>227500</v>
      </c>
      <c r="J699" s="7" t="n">
        <f aca="false">H699-I699</f>
        <v>-6533</v>
      </c>
      <c r="K699" s="8" t="n">
        <f aca="false">IFERROR(J699/H699,0)</f>
        <v>-0.0295655007308784</v>
      </c>
      <c r="L699" s="7" t="n">
        <f aca="false">D699-H699</f>
        <v>165381</v>
      </c>
      <c r="M699" s="7" t="n">
        <f aca="false">E699-I699</f>
        <v>162821</v>
      </c>
      <c r="N699" s="7" t="n">
        <f aca="false">IFERROR(L699/D699,0)</f>
        <v>0.428062265108141</v>
      </c>
      <c r="O699" s="7" t="n">
        <f aca="false">IFERROR(M699/E699,0)</f>
        <v>0.417146400014347</v>
      </c>
      <c r="P699" s="7" t="n">
        <f aca="false">01_Data!I699+01_Data!K699+01_Data!M699+01_Data!O699+01_Data!Q699+01_Data!S699+01_Data!U699</f>
        <v>100412</v>
      </c>
      <c r="Q699" s="7" t="n">
        <f aca="false">01_Data!J699+01_Data!L699+01_Data!N699+01_Data!P699+01_Data!R699+01_Data!T699+01_Data!V699</f>
        <v>104741</v>
      </c>
      <c r="R699" s="7" t="n">
        <f aca="false">P699-Q699</f>
        <v>-4329</v>
      </c>
      <c r="S699" s="7" t="n">
        <f aca="false">L699-P699</f>
        <v>64969</v>
      </c>
      <c r="T699" s="7" t="n">
        <f aca="false">M699-Q699</f>
        <v>58080</v>
      </c>
      <c r="U699" s="7" t="n">
        <f aca="false">T699-S699</f>
        <v>-6889</v>
      </c>
      <c r="V699" s="8" t="n">
        <f aca="false">IFERROR(U699/S699,0)</f>
        <v>-0.10603518601179</v>
      </c>
      <c r="W699" s="5" t="str">
        <f aca="false">IF(V699&lt;-0.1,"ADVERSE &gt;10%","")</f>
        <v>ADVERSE &gt;10%</v>
      </c>
    </row>
    <row r="700" customFormat="false" ht="15" hidden="false" customHeight="false" outlineLevel="0" collapsed="false">
      <c r="A700" s="5" t="str">
        <f aca="false">01_Data!A700</f>
        <v>Technology &amp; Telecom</v>
      </c>
      <c r="B700" s="5" t="str">
        <f aca="false">01_Data!C700</f>
        <v>2024-06</v>
      </c>
      <c r="C700" s="5" t="str">
        <f aca="false">01_Data!D700</f>
        <v>FY24</v>
      </c>
      <c r="D700" s="7" t="n">
        <f aca="false">01_Data!E700</f>
        <v>367124</v>
      </c>
      <c r="E700" s="7" t="n">
        <f aca="false">01_Data!F700</f>
        <v>389565</v>
      </c>
      <c r="F700" s="7" t="n">
        <f aca="false">E700-D700</f>
        <v>22441</v>
      </c>
      <c r="G700" s="8" t="n">
        <f aca="false">IFERROR(F700/D700,0)</f>
        <v>0.0611264858739826</v>
      </c>
      <c r="H700" s="7" t="n">
        <f aca="false">01_Data!G700</f>
        <v>213405</v>
      </c>
      <c r="I700" s="7" t="n">
        <f aca="false">01_Data!H700</f>
        <v>234590</v>
      </c>
      <c r="J700" s="7" t="n">
        <f aca="false">H700-I700</f>
        <v>-21185</v>
      </c>
      <c r="K700" s="8" t="n">
        <f aca="false">IFERROR(J700/H700,0)</f>
        <v>-0.099271338534711</v>
      </c>
      <c r="L700" s="7" t="n">
        <f aca="false">D700-H700</f>
        <v>153719</v>
      </c>
      <c r="M700" s="7" t="n">
        <f aca="false">E700-I700</f>
        <v>154975</v>
      </c>
      <c r="N700" s="7" t="n">
        <f aca="false">IFERROR(L700/D700,0)</f>
        <v>0.418711389067454</v>
      </c>
      <c r="O700" s="7" t="n">
        <f aca="false">IFERROR(M700/E700,0)</f>
        <v>0.397815512173835</v>
      </c>
      <c r="P700" s="7" t="n">
        <f aca="false">01_Data!I700+01_Data!K700+01_Data!M700+01_Data!O700+01_Data!Q700+01_Data!S700+01_Data!U700</f>
        <v>102219</v>
      </c>
      <c r="Q700" s="7" t="n">
        <f aca="false">01_Data!J700+01_Data!L700+01_Data!N700+01_Data!P700+01_Data!R700+01_Data!T700+01_Data!V700</f>
        <v>107444</v>
      </c>
      <c r="R700" s="7" t="n">
        <f aca="false">P700-Q700</f>
        <v>-5225</v>
      </c>
      <c r="S700" s="7" t="n">
        <f aca="false">L700-P700</f>
        <v>51500</v>
      </c>
      <c r="T700" s="7" t="n">
        <f aca="false">M700-Q700</f>
        <v>47531</v>
      </c>
      <c r="U700" s="7" t="n">
        <f aca="false">T700-S700</f>
        <v>-3969</v>
      </c>
      <c r="V700" s="8" t="n">
        <f aca="false">IFERROR(U700/S700,0)</f>
        <v>-0.0770679611650486</v>
      </c>
      <c r="W700" s="5" t="str">
        <f aca="false">IF(V700&lt;-0.1,"ADVERSE &gt;10%","")</f>
        <v/>
      </c>
    </row>
    <row r="701" customFormat="false" ht="15" hidden="false" customHeight="false" outlineLevel="0" collapsed="false">
      <c r="A701" s="5" t="str">
        <f aca="false">01_Data!A701</f>
        <v>Technology &amp; Telecom</v>
      </c>
      <c r="B701" s="5" t="str">
        <f aca="false">01_Data!C701</f>
        <v>2024-07</v>
      </c>
      <c r="C701" s="5" t="str">
        <f aca="false">01_Data!D701</f>
        <v>FY24</v>
      </c>
      <c r="D701" s="7" t="n">
        <f aca="false">01_Data!E701</f>
        <v>411458</v>
      </c>
      <c r="E701" s="7" t="n">
        <f aca="false">01_Data!F701</f>
        <v>388480</v>
      </c>
      <c r="F701" s="7" t="n">
        <f aca="false">E701-D701</f>
        <v>-22978</v>
      </c>
      <c r="G701" s="8" t="n">
        <f aca="false">IFERROR(F701/D701,0)</f>
        <v>-0.0558453110645558</v>
      </c>
      <c r="H701" s="7" t="n">
        <f aca="false">01_Data!G701</f>
        <v>241714</v>
      </c>
      <c r="I701" s="7" t="n">
        <f aca="false">01_Data!H701</f>
        <v>233439</v>
      </c>
      <c r="J701" s="7" t="n">
        <f aca="false">H701-I701</f>
        <v>8275</v>
      </c>
      <c r="K701" s="8" t="n">
        <f aca="false">IFERROR(J701/H701,0)</f>
        <v>0.0342346740362577</v>
      </c>
      <c r="L701" s="7" t="n">
        <f aca="false">D701-H701</f>
        <v>169744</v>
      </c>
      <c r="M701" s="7" t="n">
        <f aca="false">E701-I701</f>
        <v>155041</v>
      </c>
      <c r="N701" s="7" t="n">
        <f aca="false">IFERROR(L701/D701,0)</f>
        <v>0.412542713958654</v>
      </c>
      <c r="O701" s="7" t="n">
        <f aca="false">IFERROR(M701/E701,0)</f>
        <v>0.399096478583196</v>
      </c>
      <c r="P701" s="7" t="n">
        <f aca="false">01_Data!I701+01_Data!K701+01_Data!M701+01_Data!O701+01_Data!Q701+01_Data!S701+01_Data!U701</f>
        <v>116096</v>
      </c>
      <c r="Q701" s="7" t="n">
        <f aca="false">01_Data!J701+01_Data!L701+01_Data!N701+01_Data!P701+01_Data!R701+01_Data!T701+01_Data!V701</f>
        <v>118408</v>
      </c>
      <c r="R701" s="7" t="n">
        <f aca="false">P701-Q701</f>
        <v>-2312</v>
      </c>
      <c r="S701" s="7" t="n">
        <f aca="false">L701-P701</f>
        <v>53648</v>
      </c>
      <c r="T701" s="7" t="n">
        <f aca="false">M701-Q701</f>
        <v>36633</v>
      </c>
      <c r="U701" s="7" t="n">
        <f aca="false">T701-S701</f>
        <v>-17015</v>
      </c>
      <c r="V701" s="8" t="n">
        <f aca="false">IFERROR(U701/S701,0)</f>
        <v>-0.317160005964808</v>
      </c>
      <c r="W701" s="5" t="str">
        <f aca="false">IF(V701&lt;-0.1,"ADVERSE &gt;10%","")</f>
        <v>ADVERSE &gt;10%</v>
      </c>
    </row>
    <row r="702" customFormat="false" ht="15" hidden="false" customHeight="false" outlineLevel="0" collapsed="false">
      <c r="A702" s="5" t="str">
        <f aca="false">01_Data!A702</f>
        <v>Technology &amp; Telecom</v>
      </c>
      <c r="B702" s="5" t="str">
        <f aca="false">01_Data!C702</f>
        <v>2024-08</v>
      </c>
      <c r="C702" s="5" t="str">
        <f aca="false">01_Data!D702</f>
        <v>FY24</v>
      </c>
      <c r="D702" s="7" t="n">
        <f aca="false">01_Data!E702</f>
        <v>412854</v>
      </c>
      <c r="E702" s="7" t="n">
        <f aca="false">01_Data!F702</f>
        <v>393228</v>
      </c>
      <c r="F702" s="7" t="n">
        <f aca="false">E702-D702</f>
        <v>-19626</v>
      </c>
      <c r="G702" s="8" t="n">
        <f aca="false">IFERROR(F702/D702,0)</f>
        <v>-0.0475373860977488</v>
      </c>
      <c r="H702" s="7" t="n">
        <f aca="false">01_Data!G702</f>
        <v>235069</v>
      </c>
      <c r="I702" s="7" t="n">
        <f aca="false">01_Data!H702</f>
        <v>233840</v>
      </c>
      <c r="J702" s="7" t="n">
        <f aca="false">H702-I702</f>
        <v>1229</v>
      </c>
      <c r="K702" s="8" t="n">
        <f aca="false">IFERROR(J702/H702,0)</f>
        <v>0.00522825213022559</v>
      </c>
      <c r="L702" s="7" t="n">
        <f aca="false">D702-H702</f>
        <v>177785</v>
      </c>
      <c r="M702" s="7" t="n">
        <f aca="false">E702-I702</f>
        <v>159388</v>
      </c>
      <c r="N702" s="7" t="n">
        <f aca="false">IFERROR(L702/D702,0)</f>
        <v>0.430624385375944</v>
      </c>
      <c r="O702" s="7" t="n">
        <f aca="false">IFERROR(M702/E702,0)</f>
        <v>0.40533227542291</v>
      </c>
      <c r="P702" s="7" t="n">
        <f aca="false">01_Data!I702+01_Data!K702+01_Data!M702+01_Data!O702+01_Data!Q702+01_Data!S702+01_Data!U702</f>
        <v>106288</v>
      </c>
      <c r="Q702" s="7" t="n">
        <f aca="false">01_Data!J702+01_Data!L702+01_Data!N702+01_Data!P702+01_Data!R702+01_Data!T702+01_Data!V702</f>
        <v>105047</v>
      </c>
      <c r="R702" s="7" t="n">
        <f aca="false">P702-Q702</f>
        <v>1241</v>
      </c>
      <c r="S702" s="7" t="n">
        <f aca="false">L702-P702</f>
        <v>71497</v>
      </c>
      <c r="T702" s="7" t="n">
        <f aca="false">M702-Q702</f>
        <v>54341</v>
      </c>
      <c r="U702" s="7" t="n">
        <f aca="false">T702-S702</f>
        <v>-17156</v>
      </c>
      <c r="V702" s="8" t="n">
        <f aca="false">IFERROR(U702/S702,0)</f>
        <v>-0.239954123949257</v>
      </c>
      <c r="W702" s="5" t="str">
        <f aca="false">IF(V702&lt;-0.1,"ADVERSE &gt;10%","")</f>
        <v>ADVERSE &gt;10%</v>
      </c>
    </row>
    <row r="703" customFormat="false" ht="15" hidden="false" customHeight="false" outlineLevel="0" collapsed="false">
      <c r="A703" s="5" t="str">
        <f aca="false">01_Data!A703</f>
        <v>Technology &amp; Telecom</v>
      </c>
      <c r="B703" s="5" t="str">
        <f aca="false">01_Data!C703</f>
        <v>2024-09</v>
      </c>
      <c r="C703" s="5" t="str">
        <f aca="false">01_Data!D703</f>
        <v>FY24</v>
      </c>
      <c r="D703" s="7" t="n">
        <f aca="false">01_Data!E703</f>
        <v>393285</v>
      </c>
      <c r="E703" s="7" t="n">
        <f aca="false">01_Data!F703</f>
        <v>417365</v>
      </c>
      <c r="F703" s="7" t="n">
        <f aca="false">E703-D703</f>
        <v>24080</v>
      </c>
      <c r="G703" s="8" t="n">
        <f aca="false">IFERROR(F703/D703,0)</f>
        <v>0.0612278627458459</v>
      </c>
      <c r="H703" s="7" t="n">
        <f aca="false">01_Data!G703</f>
        <v>221357</v>
      </c>
      <c r="I703" s="7" t="n">
        <f aca="false">01_Data!H703</f>
        <v>245439</v>
      </c>
      <c r="J703" s="7" t="n">
        <f aca="false">H703-I703</f>
        <v>-24082</v>
      </c>
      <c r="K703" s="8" t="n">
        <f aca="false">IFERROR(J703/H703,0)</f>
        <v>-0.108792583925514</v>
      </c>
      <c r="L703" s="7" t="n">
        <f aca="false">D703-H703</f>
        <v>171928</v>
      </c>
      <c r="M703" s="7" t="n">
        <f aca="false">E703-I703</f>
        <v>171926</v>
      </c>
      <c r="N703" s="7" t="n">
        <f aca="false">IFERROR(L703/D703,0)</f>
        <v>0.437158803412284</v>
      </c>
      <c r="O703" s="7" t="n">
        <f aca="false">IFERROR(M703/E703,0)</f>
        <v>0.411932001964707</v>
      </c>
      <c r="P703" s="7" t="n">
        <f aca="false">01_Data!I703+01_Data!K703+01_Data!M703+01_Data!O703+01_Data!Q703+01_Data!S703+01_Data!U703</f>
        <v>106503</v>
      </c>
      <c r="Q703" s="7" t="n">
        <f aca="false">01_Data!J703+01_Data!L703+01_Data!N703+01_Data!P703+01_Data!R703+01_Data!T703+01_Data!V703</f>
        <v>108068</v>
      </c>
      <c r="R703" s="7" t="n">
        <f aca="false">P703-Q703</f>
        <v>-1565</v>
      </c>
      <c r="S703" s="7" t="n">
        <f aca="false">L703-P703</f>
        <v>65425</v>
      </c>
      <c r="T703" s="7" t="n">
        <f aca="false">M703-Q703</f>
        <v>63858</v>
      </c>
      <c r="U703" s="7" t="n">
        <f aca="false">T703-S703</f>
        <v>-1567</v>
      </c>
      <c r="V703" s="8" t="n">
        <f aca="false">IFERROR(U703/S703,0)</f>
        <v>-0.0239510890332442</v>
      </c>
      <c r="W703" s="5" t="str">
        <f aca="false">IF(V703&lt;-0.1,"ADVERSE &gt;10%","")</f>
        <v/>
      </c>
    </row>
    <row r="704" customFormat="false" ht="15" hidden="false" customHeight="false" outlineLevel="0" collapsed="false">
      <c r="A704" s="5" t="str">
        <f aca="false">01_Data!A704</f>
        <v>Technology &amp; Telecom</v>
      </c>
      <c r="B704" s="5" t="str">
        <f aca="false">01_Data!C704</f>
        <v>2024-10</v>
      </c>
      <c r="C704" s="5" t="str">
        <f aca="false">01_Data!D704</f>
        <v>FY24</v>
      </c>
      <c r="D704" s="7" t="n">
        <f aca="false">01_Data!E704</f>
        <v>422178</v>
      </c>
      <c r="E704" s="7" t="n">
        <f aca="false">01_Data!F704</f>
        <v>402226</v>
      </c>
      <c r="F704" s="7" t="n">
        <f aca="false">E704-D704</f>
        <v>-19952</v>
      </c>
      <c r="G704" s="8" t="n">
        <f aca="false">IFERROR(F704/D704,0)</f>
        <v>-0.0472596866724462</v>
      </c>
      <c r="H704" s="7" t="n">
        <f aca="false">01_Data!G704</f>
        <v>251249</v>
      </c>
      <c r="I704" s="7" t="n">
        <f aca="false">01_Data!H704</f>
        <v>233036</v>
      </c>
      <c r="J704" s="7" t="n">
        <f aca="false">H704-I704</f>
        <v>18213</v>
      </c>
      <c r="K704" s="8" t="n">
        <f aca="false">IFERROR(J704/H704,0)</f>
        <v>0.0724898407555851</v>
      </c>
      <c r="L704" s="7" t="n">
        <f aca="false">D704-H704</f>
        <v>170929</v>
      </c>
      <c r="M704" s="7" t="n">
        <f aca="false">E704-I704</f>
        <v>169190</v>
      </c>
      <c r="N704" s="7" t="n">
        <f aca="false">IFERROR(L704/D704,0)</f>
        <v>0.404874247355381</v>
      </c>
      <c r="O704" s="7" t="n">
        <f aca="false">IFERROR(M704/E704,0)</f>
        <v>0.420634170839279</v>
      </c>
      <c r="P704" s="7" t="n">
        <f aca="false">01_Data!I704+01_Data!K704+01_Data!M704+01_Data!O704+01_Data!Q704+01_Data!S704+01_Data!U704</f>
        <v>116013</v>
      </c>
      <c r="Q704" s="7" t="n">
        <f aca="false">01_Data!J704+01_Data!L704+01_Data!N704+01_Data!P704+01_Data!R704+01_Data!T704+01_Data!V704</f>
        <v>116283</v>
      </c>
      <c r="R704" s="7" t="n">
        <f aca="false">P704-Q704</f>
        <v>-270</v>
      </c>
      <c r="S704" s="7" t="n">
        <f aca="false">L704-P704</f>
        <v>54916</v>
      </c>
      <c r="T704" s="7" t="n">
        <f aca="false">M704-Q704</f>
        <v>52907</v>
      </c>
      <c r="U704" s="7" t="n">
        <f aca="false">T704-S704</f>
        <v>-2009</v>
      </c>
      <c r="V704" s="8" t="n">
        <f aca="false">IFERROR(U704/S704,0)</f>
        <v>-0.0365831451671644</v>
      </c>
      <c r="W704" s="5" t="str">
        <f aca="false">IF(V704&lt;-0.1,"ADVERSE &gt;10%","")</f>
        <v/>
      </c>
    </row>
    <row r="705" customFormat="false" ht="15" hidden="false" customHeight="false" outlineLevel="0" collapsed="false">
      <c r="A705" s="5" t="str">
        <f aca="false">01_Data!A705</f>
        <v>Technology &amp; Telecom</v>
      </c>
      <c r="B705" s="5" t="str">
        <f aca="false">01_Data!C705</f>
        <v>2024-11</v>
      </c>
      <c r="C705" s="5" t="str">
        <f aca="false">01_Data!D705</f>
        <v>FY24</v>
      </c>
      <c r="D705" s="7" t="n">
        <f aca="false">01_Data!E705</f>
        <v>413587</v>
      </c>
      <c r="E705" s="7" t="n">
        <f aca="false">01_Data!F705</f>
        <v>398892</v>
      </c>
      <c r="F705" s="7" t="n">
        <f aca="false">E705-D705</f>
        <v>-14695</v>
      </c>
      <c r="G705" s="8" t="n">
        <f aca="false">IFERROR(F705/D705,0)</f>
        <v>-0.03553061387326</v>
      </c>
      <c r="H705" s="7" t="n">
        <f aca="false">01_Data!G705</f>
        <v>244930</v>
      </c>
      <c r="I705" s="7" t="n">
        <f aca="false">01_Data!H705</f>
        <v>240565</v>
      </c>
      <c r="J705" s="7" t="n">
        <f aca="false">H705-I705</f>
        <v>4365</v>
      </c>
      <c r="K705" s="8" t="n">
        <f aca="false">IFERROR(J705/H705,0)</f>
        <v>0.0178214183644307</v>
      </c>
      <c r="L705" s="7" t="n">
        <f aca="false">D705-H705</f>
        <v>168657</v>
      </c>
      <c r="M705" s="7" t="n">
        <f aca="false">E705-I705</f>
        <v>158327</v>
      </c>
      <c r="N705" s="7" t="n">
        <f aca="false">IFERROR(L705/D705,0)</f>
        <v>0.407790863832761</v>
      </c>
      <c r="O705" s="7" t="n">
        <f aca="false">IFERROR(M705/E705,0)</f>
        <v>0.396916959979142</v>
      </c>
      <c r="P705" s="7" t="n">
        <f aca="false">01_Data!I705+01_Data!K705+01_Data!M705+01_Data!O705+01_Data!Q705+01_Data!S705+01_Data!U705</f>
        <v>107514</v>
      </c>
      <c r="Q705" s="7" t="n">
        <f aca="false">01_Data!J705+01_Data!L705+01_Data!N705+01_Data!P705+01_Data!R705+01_Data!T705+01_Data!V705</f>
        <v>109707</v>
      </c>
      <c r="R705" s="7" t="n">
        <f aca="false">P705-Q705</f>
        <v>-2193</v>
      </c>
      <c r="S705" s="7" t="n">
        <f aca="false">L705-P705</f>
        <v>61143</v>
      </c>
      <c r="T705" s="7" t="n">
        <f aca="false">M705-Q705</f>
        <v>48620</v>
      </c>
      <c r="U705" s="7" t="n">
        <f aca="false">T705-S705</f>
        <v>-12523</v>
      </c>
      <c r="V705" s="8" t="n">
        <f aca="false">IFERROR(U705/S705,0)</f>
        <v>-0.204814942021164</v>
      </c>
      <c r="W705" s="5" t="str">
        <f aca="false">IF(V705&lt;-0.1,"ADVERSE &gt;10%","")</f>
        <v>ADVERSE &gt;10%</v>
      </c>
    </row>
    <row r="706" customFormat="false" ht="15" hidden="false" customHeight="false" outlineLevel="0" collapsed="false">
      <c r="A706" s="5" t="str">
        <f aca="false">01_Data!A706</f>
        <v>Technology &amp; Telecom</v>
      </c>
      <c r="B706" s="5" t="str">
        <f aca="false">01_Data!C706</f>
        <v>2024-12</v>
      </c>
      <c r="C706" s="5" t="str">
        <f aca="false">01_Data!D706</f>
        <v>FY24</v>
      </c>
      <c r="D706" s="7" t="n">
        <f aca="false">01_Data!E706</f>
        <v>425501</v>
      </c>
      <c r="E706" s="7" t="n">
        <f aca="false">01_Data!F706</f>
        <v>411116</v>
      </c>
      <c r="F706" s="7" t="n">
        <f aca="false">E706-D706</f>
        <v>-14385</v>
      </c>
      <c r="G706" s="8" t="n">
        <f aca="false">IFERROR(F706/D706,0)</f>
        <v>-0.0338072060935227</v>
      </c>
      <c r="H706" s="7" t="n">
        <f aca="false">01_Data!G706</f>
        <v>235721</v>
      </c>
      <c r="I706" s="7" t="n">
        <f aca="false">01_Data!H706</f>
        <v>220557</v>
      </c>
      <c r="J706" s="7" t="n">
        <f aca="false">H706-I706</f>
        <v>15164</v>
      </c>
      <c r="K706" s="8" t="n">
        <f aca="false">IFERROR(J706/H706,0)</f>
        <v>0.0643302887735925</v>
      </c>
      <c r="L706" s="7" t="n">
        <f aca="false">D706-H706</f>
        <v>189780</v>
      </c>
      <c r="M706" s="7" t="n">
        <f aca="false">E706-I706</f>
        <v>190559</v>
      </c>
      <c r="N706" s="7" t="n">
        <f aca="false">IFERROR(L706/D706,0)</f>
        <v>0.446015403019029</v>
      </c>
      <c r="O706" s="7" t="n">
        <f aca="false">IFERROR(M706/E706,0)</f>
        <v>0.463516379805213</v>
      </c>
      <c r="P706" s="7" t="n">
        <f aca="false">01_Data!I706+01_Data!K706+01_Data!M706+01_Data!O706+01_Data!Q706+01_Data!S706+01_Data!U706</f>
        <v>106844</v>
      </c>
      <c r="Q706" s="7" t="n">
        <f aca="false">01_Data!J706+01_Data!L706+01_Data!N706+01_Data!P706+01_Data!R706+01_Data!T706+01_Data!V706</f>
        <v>106830</v>
      </c>
      <c r="R706" s="7" t="n">
        <f aca="false">P706-Q706</f>
        <v>14</v>
      </c>
      <c r="S706" s="7" t="n">
        <f aca="false">L706-P706</f>
        <v>82936</v>
      </c>
      <c r="T706" s="7" t="n">
        <f aca="false">M706-Q706</f>
        <v>83729</v>
      </c>
      <c r="U706" s="7" t="n">
        <f aca="false">T706-S706</f>
        <v>793</v>
      </c>
      <c r="V706" s="8" t="n">
        <f aca="false">IFERROR(U706/S706,0)</f>
        <v>0.00956158965949648</v>
      </c>
      <c r="W706" s="5" t="str">
        <f aca="false">IF(V706&lt;-0.1,"ADVERSE &gt;10%","")</f>
        <v/>
      </c>
    </row>
    <row r="707" customFormat="false" ht="15" hidden="false" customHeight="false" outlineLevel="0" collapsed="false">
      <c r="A707" s="5" t="str">
        <f aca="false">01_Data!A707</f>
        <v>Technology &amp; Telecom</v>
      </c>
      <c r="B707" s="5" t="str">
        <f aca="false">01_Data!C707</f>
        <v>2025-01</v>
      </c>
      <c r="C707" s="5" t="str">
        <f aca="false">01_Data!D707</f>
        <v>FY24</v>
      </c>
      <c r="D707" s="7" t="n">
        <f aca="false">01_Data!E707</f>
        <v>380431</v>
      </c>
      <c r="E707" s="7" t="n">
        <f aca="false">01_Data!F707</f>
        <v>394750</v>
      </c>
      <c r="F707" s="7" t="n">
        <f aca="false">E707-D707</f>
        <v>14319</v>
      </c>
      <c r="G707" s="8" t="n">
        <f aca="false">IFERROR(F707/D707,0)</f>
        <v>0.0376388885238059</v>
      </c>
      <c r="H707" s="7" t="n">
        <f aca="false">01_Data!G707</f>
        <v>208717</v>
      </c>
      <c r="I707" s="7" t="n">
        <f aca="false">01_Data!H707</f>
        <v>219376</v>
      </c>
      <c r="J707" s="7" t="n">
        <f aca="false">H707-I707</f>
        <v>-10659</v>
      </c>
      <c r="K707" s="8" t="n">
        <f aca="false">IFERROR(J707/H707,0)</f>
        <v>-0.0510691510514237</v>
      </c>
      <c r="L707" s="7" t="n">
        <f aca="false">D707-H707</f>
        <v>171714</v>
      </c>
      <c r="M707" s="7" t="n">
        <f aca="false">E707-I707</f>
        <v>175374</v>
      </c>
      <c r="N707" s="7" t="n">
        <f aca="false">IFERROR(L707/D707,0)</f>
        <v>0.451367002163336</v>
      </c>
      <c r="O707" s="7" t="n">
        <f aca="false">IFERROR(M707/E707,0)</f>
        <v>0.444265991133629</v>
      </c>
      <c r="P707" s="7" t="n">
        <f aca="false">01_Data!I707+01_Data!K707+01_Data!M707+01_Data!O707+01_Data!Q707+01_Data!S707+01_Data!U707</f>
        <v>108995</v>
      </c>
      <c r="Q707" s="7" t="n">
        <f aca="false">01_Data!J707+01_Data!L707+01_Data!N707+01_Data!P707+01_Data!R707+01_Data!T707+01_Data!V707</f>
        <v>110265</v>
      </c>
      <c r="R707" s="7" t="n">
        <f aca="false">P707-Q707</f>
        <v>-1270</v>
      </c>
      <c r="S707" s="7" t="n">
        <f aca="false">L707-P707</f>
        <v>62719</v>
      </c>
      <c r="T707" s="7" t="n">
        <f aca="false">M707-Q707</f>
        <v>65109</v>
      </c>
      <c r="U707" s="7" t="n">
        <f aca="false">T707-S707</f>
        <v>2390</v>
      </c>
      <c r="V707" s="8" t="n">
        <f aca="false">IFERROR(U707/S707,0)</f>
        <v>0.0381064749119087</v>
      </c>
      <c r="W707" s="5" t="str">
        <f aca="false">IF(V707&lt;-0.1,"ADVERSE &gt;10%","")</f>
        <v/>
      </c>
    </row>
    <row r="708" customFormat="false" ht="15" hidden="false" customHeight="false" outlineLevel="0" collapsed="false">
      <c r="A708" s="5" t="str">
        <f aca="false">01_Data!A708</f>
        <v>Technology &amp; Telecom</v>
      </c>
      <c r="B708" s="5" t="str">
        <f aca="false">01_Data!C708</f>
        <v>2025-02</v>
      </c>
      <c r="C708" s="5" t="str">
        <f aca="false">01_Data!D708</f>
        <v>FY24</v>
      </c>
      <c r="D708" s="7" t="n">
        <f aca="false">01_Data!E708</f>
        <v>415856</v>
      </c>
      <c r="E708" s="7" t="n">
        <f aca="false">01_Data!F708</f>
        <v>404430</v>
      </c>
      <c r="F708" s="7" t="n">
        <f aca="false">E708-D708</f>
        <v>-11426</v>
      </c>
      <c r="G708" s="8" t="n">
        <f aca="false">IFERROR(F708/D708,0)</f>
        <v>-0.0274758570274326</v>
      </c>
      <c r="H708" s="7" t="n">
        <f aca="false">01_Data!G708</f>
        <v>237800</v>
      </c>
      <c r="I708" s="7" t="n">
        <f aca="false">01_Data!H708</f>
        <v>236420</v>
      </c>
      <c r="J708" s="7" t="n">
        <f aca="false">H708-I708</f>
        <v>1380</v>
      </c>
      <c r="K708" s="8" t="n">
        <f aca="false">IFERROR(J708/H708,0)</f>
        <v>0.00580319596299411</v>
      </c>
      <c r="L708" s="7" t="n">
        <f aca="false">D708-H708</f>
        <v>178056</v>
      </c>
      <c r="M708" s="7" t="n">
        <f aca="false">E708-I708</f>
        <v>168010</v>
      </c>
      <c r="N708" s="7" t="n">
        <f aca="false">IFERROR(L708/D708,0)</f>
        <v>0.428167442576276</v>
      </c>
      <c r="O708" s="7" t="n">
        <f aca="false">IFERROR(M708/E708,0)</f>
        <v>0.415424177237099</v>
      </c>
      <c r="P708" s="7" t="n">
        <f aca="false">01_Data!I708+01_Data!K708+01_Data!M708+01_Data!O708+01_Data!Q708+01_Data!S708+01_Data!U708</f>
        <v>117844</v>
      </c>
      <c r="Q708" s="7" t="n">
        <f aca="false">01_Data!J708+01_Data!L708+01_Data!N708+01_Data!P708+01_Data!R708+01_Data!T708+01_Data!V708</f>
        <v>117025</v>
      </c>
      <c r="R708" s="7" t="n">
        <f aca="false">P708-Q708</f>
        <v>819</v>
      </c>
      <c r="S708" s="7" t="n">
        <f aca="false">L708-P708</f>
        <v>60212</v>
      </c>
      <c r="T708" s="7" t="n">
        <f aca="false">M708-Q708</f>
        <v>50985</v>
      </c>
      <c r="U708" s="7" t="n">
        <f aca="false">T708-S708</f>
        <v>-9227</v>
      </c>
      <c r="V708" s="8" t="n">
        <f aca="false">IFERROR(U708/S708,0)</f>
        <v>-0.153241878695277</v>
      </c>
      <c r="W708" s="5" t="str">
        <f aca="false">IF(V708&lt;-0.1,"ADVERSE &gt;10%","")</f>
        <v>ADVERSE &gt;10%</v>
      </c>
    </row>
    <row r="709" customFormat="false" ht="15" hidden="false" customHeight="false" outlineLevel="0" collapsed="false">
      <c r="A709" s="5" t="str">
        <f aca="false">01_Data!A709</f>
        <v>Technology &amp; Telecom</v>
      </c>
      <c r="B709" s="5" t="str">
        <f aca="false">01_Data!C709</f>
        <v>2025-03</v>
      </c>
      <c r="C709" s="5" t="str">
        <f aca="false">01_Data!D709</f>
        <v>FY24</v>
      </c>
      <c r="D709" s="7" t="n">
        <f aca="false">01_Data!E709</f>
        <v>422683</v>
      </c>
      <c r="E709" s="7" t="n">
        <f aca="false">01_Data!F709</f>
        <v>418259</v>
      </c>
      <c r="F709" s="7" t="n">
        <f aca="false">E709-D709</f>
        <v>-4424</v>
      </c>
      <c r="G709" s="8" t="n">
        <f aca="false">IFERROR(F709/D709,0)</f>
        <v>-0.0104664725101317</v>
      </c>
      <c r="H709" s="7" t="n">
        <f aca="false">01_Data!G709</f>
        <v>251488</v>
      </c>
      <c r="I709" s="7" t="n">
        <f aca="false">01_Data!H709</f>
        <v>248050</v>
      </c>
      <c r="J709" s="7" t="n">
        <f aca="false">H709-I709</f>
        <v>3438</v>
      </c>
      <c r="K709" s="8" t="n">
        <f aca="false">IFERROR(J709/H709,0)</f>
        <v>0.0136706323959791</v>
      </c>
      <c r="L709" s="7" t="n">
        <f aca="false">D709-H709</f>
        <v>171195</v>
      </c>
      <c r="M709" s="7" t="n">
        <f aca="false">E709-I709</f>
        <v>170209</v>
      </c>
      <c r="N709" s="7" t="n">
        <f aca="false">IFERROR(L709/D709,0)</f>
        <v>0.405019837561482</v>
      </c>
      <c r="O709" s="7" t="n">
        <f aca="false">IFERROR(M709/E709,0)</f>
        <v>0.40694641358584</v>
      </c>
      <c r="P709" s="7" t="n">
        <f aca="false">01_Data!I709+01_Data!K709+01_Data!M709+01_Data!O709+01_Data!Q709+01_Data!S709+01_Data!U709</f>
        <v>112645</v>
      </c>
      <c r="Q709" s="7" t="n">
        <f aca="false">01_Data!J709+01_Data!L709+01_Data!N709+01_Data!P709+01_Data!R709+01_Data!T709+01_Data!V709</f>
        <v>116814</v>
      </c>
      <c r="R709" s="7" t="n">
        <f aca="false">P709-Q709</f>
        <v>-4169</v>
      </c>
      <c r="S709" s="7" t="n">
        <f aca="false">L709-P709</f>
        <v>58550</v>
      </c>
      <c r="T709" s="7" t="n">
        <f aca="false">M709-Q709</f>
        <v>53395</v>
      </c>
      <c r="U709" s="7" t="n">
        <f aca="false">T709-S709</f>
        <v>-5155</v>
      </c>
      <c r="V709" s="8" t="n">
        <f aca="false">IFERROR(U709/S709,0)</f>
        <v>-0.0880444064901793</v>
      </c>
      <c r="W709" s="5" t="str">
        <f aca="false">IF(V709&lt;-0.1,"ADVERSE &gt;10%","")</f>
        <v/>
      </c>
    </row>
    <row r="710" customFormat="false" ht="15" hidden="false" customHeight="false" outlineLevel="0" collapsed="false">
      <c r="A710" s="5" t="str">
        <f aca="false">01_Data!A710</f>
        <v>Technology &amp; Telecom</v>
      </c>
      <c r="B710" s="5" t="str">
        <f aca="false">01_Data!C710</f>
        <v>2025-04</v>
      </c>
      <c r="C710" s="5" t="str">
        <f aca="false">01_Data!D710</f>
        <v>FY25</v>
      </c>
      <c r="D710" s="7" t="n">
        <f aca="false">01_Data!E710</f>
        <v>392391</v>
      </c>
      <c r="E710" s="7" t="n">
        <f aca="false">01_Data!F710</f>
        <v>399442</v>
      </c>
      <c r="F710" s="7" t="n">
        <f aca="false">E710-D710</f>
        <v>7051</v>
      </c>
      <c r="G710" s="8" t="n">
        <f aca="false">IFERROR(F710/D710,0)</f>
        <v>0.0179693214166482</v>
      </c>
      <c r="H710" s="7" t="n">
        <f aca="false">01_Data!G710</f>
        <v>222838</v>
      </c>
      <c r="I710" s="7" t="n">
        <f aca="false">01_Data!H710</f>
        <v>228073</v>
      </c>
      <c r="J710" s="7" t="n">
        <f aca="false">H710-I710</f>
        <v>-5235</v>
      </c>
      <c r="K710" s="8" t="n">
        <f aca="false">IFERROR(J710/H710,0)</f>
        <v>-0.0234924025525269</v>
      </c>
      <c r="L710" s="7" t="n">
        <f aca="false">D710-H710</f>
        <v>169553</v>
      </c>
      <c r="M710" s="7" t="n">
        <f aca="false">E710-I710</f>
        <v>171369</v>
      </c>
      <c r="N710" s="7" t="n">
        <f aca="false">IFERROR(L710/D710,0)</f>
        <v>0.43210216340334</v>
      </c>
      <c r="O710" s="7" t="n">
        <f aca="false">IFERROR(M710/E710,0)</f>
        <v>0.429020984273061</v>
      </c>
      <c r="P710" s="7" t="n">
        <f aca="false">01_Data!I710+01_Data!K710+01_Data!M710+01_Data!O710+01_Data!Q710+01_Data!S710+01_Data!U710</f>
        <v>113047</v>
      </c>
      <c r="Q710" s="7" t="n">
        <f aca="false">01_Data!J710+01_Data!L710+01_Data!N710+01_Data!P710+01_Data!R710+01_Data!T710+01_Data!V710</f>
        <v>117397</v>
      </c>
      <c r="R710" s="7" t="n">
        <f aca="false">P710-Q710</f>
        <v>-4350</v>
      </c>
      <c r="S710" s="7" t="n">
        <f aca="false">L710-P710</f>
        <v>56506</v>
      </c>
      <c r="T710" s="7" t="n">
        <f aca="false">M710-Q710</f>
        <v>53972</v>
      </c>
      <c r="U710" s="7" t="n">
        <f aca="false">T710-S710</f>
        <v>-2534</v>
      </c>
      <c r="V710" s="8" t="n">
        <f aca="false">IFERROR(U710/S710,0)</f>
        <v>-0.044844795242983</v>
      </c>
      <c r="W710" s="5" t="str">
        <f aca="false">IF(V710&lt;-0.1,"ADVERSE &gt;10%","")</f>
        <v/>
      </c>
    </row>
    <row r="711" customFormat="false" ht="15" hidden="false" customHeight="false" outlineLevel="0" collapsed="false">
      <c r="A711" s="5" t="str">
        <f aca="false">01_Data!A711</f>
        <v>Technology &amp; Telecom</v>
      </c>
      <c r="B711" s="5" t="str">
        <f aca="false">01_Data!C711</f>
        <v>2025-05</v>
      </c>
      <c r="C711" s="5" t="str">
        <f aca="false">01_Data!D711</f>
        <v>FY25</v>
      </c>
      <c r="D711" s="7" t="n">
        <f aca="false">01_Data!E711</f>
        <v>378899</v>
      </c>
      <c r="E711" s="7" t="n">
        <f aca="false">01_Data!F711</f>
        <v>402368</v>
      </c>
      <c r="F711" s="7" t="n">
        <f aca="false">E711-D711</f>
        <v>23469</v>
      </c>
      <c r="G711" s="8" t="n">
        <f aca="false">IFERROR(F711/D711,0)</f>
        <v>0.0619399892847434</v>
      </c>
      <c r="H711" s="7" t="n">
        <f aca="false">01_Data!G711</f>
        <v>222597</v>
      </c>
      <c r="I711" s="7" t="n">
        <f aca="false">01_Data!H711</f>
        <v>241651</v>
      </c>
      <c r="J711" s="7" t="n">
        <f aca="false">H711-I711</f>
        <v>-19054</v>
      </c>
      <c r="K711" s="8" t="n">
        <f aca="false">IFERROR(J711/H711,0)</f>
        <v>-0.0855986378971864</v>
      </c>
      <c r="L711" s="7" t="n">
        <f aca="false">D711-H711</f>
        <v>156302</v>
      </c>
      <c r="M711" s="7" t="n">
        <f aca="false">E711-I711</f>
        <v>160717</v>
      </c>
      <c r="N711" s="7" t="n">
        <f aca="false">IFERROR(L711/D711,0)</f>
        <v>0.412516264228726</v>
      </c>
      <c r="O711" s="7" t="n">
        <f aca="false">IFERROR(M711/E711,0)</f>
        <v>0.399427886909496</v>
      </c>
      <c r="P711" s="7" t="n">
        <f aca="false">01_Data!I711+01_Data!K711+01_Data!M711+01_Data!O711+01_Data!Q711+01_Data!S711+01_Data!U711</f>
        <v>94422</v>
      </c>
      <c r="Q711" s="7" t="n">
        <f aca="false">01_Data!J711+01_Data!L711+01_Data!N711+01_Data!P711+01_Data!R711+01_Data!T711+01_Data!V711</f>
        <v>94643</v>
      </c>
      <c r="R711" s="7" t="n">
        <f aca="false">P711-Q711</f>
        <v>-221</v>
      </c>
      <c r="S711" s="7" t="n">
        <f aca="false">L711-P711</f>
        <v>61880</v>
      </c>
      <c r="T711" s="7" t="n">
        <f aca="false">M711-Q711</f>
        <v>66074</v>
      </c>
      <c r="U711" s="7" t="n">
        <f aca="false">T711-S711</f>
        <v>4194</v>
      </c>
      <c r="V711" s="8" t="n">
        <f aca="false">IFERROR(U711/S711,0)</f>
        <v>0.0677763413057531</v>
      </c>
      <c r="W711" s="5" t="str">
        <f aca="false">IF(V711&lt;-0.1,"ADVERSE &gt;10%","")</f>
        <v/>
      </c>
    </row>
    <row r="712" customFormat="false" ht="15" hidden="false" customHeight="false" outlineLevel="0" collapsed="false">
      <c r="A712" s="5" t="str">
        <f aca="false">01_Data!A712</f>
        <v>Technology &amp; Telecom</v>
      </c>
      <c r="B712" s="5" t="str">
        <f aca="false">01_Data!C712</f>
        <v>2025-06</v>
      </c>
      <c r="C712" s="5" t="str">
        <f aca="false">01_Data!D712</f>
        <v>FY25</v>
      </c>
      <c r="D712" s="7" t="n">
        <f aca="false">01_Data!E712</f>
        <v>407287</v>
      </c>
      <c r="E712" s="7" t="n">
        <f aca="false">01_Data!F712</f>
        <v>410595</v>
      </c>
      <c r="F712" s="7" t="n">
        <f aca="false">E712-D712</f>
        <v>3308</v>
      </c>
      <c r="G712" s="8" t="n">
        <f aca="false">IFERROR(F712/D712,0)</f>
        <v>0.00812203679469269</v>
      </c>
      <c r="H712" s="7" t="n">
        <f aca="false">01_Data!G712</f>
        <v>243085</v>
      </c>
      <c r="I712" s="7" t="n">
        <f aca="false">01_Data!H712</f>
        <v>240129</v>
      </c>
      <c r="J712" s="7" t="n">
        <f aca="false">H712-I712</f>
        <v>2956</v>
      </c>
      <c r="K712" s="8" t="n">
        <f aca="false">IFERROR(J712/H712,0)</f>
        <v>0.0121603554312278</v>
      </c>
      <c r="L712" s="7" t="n">
        <f aca="false">D712-H712</f>
        <v>164202</v>
      </c>
      <c r="M712" s="7" t="n">
        <f aca="false">E712-I712</f>
        <v>170466</v>
      </c>
      <c r="N712" s="7" t="n">
        <f aca="false">IFERROR(L712/D712,0)</f>
        <v>0.403160424958322</v>
      </c>
      <c r="O712" s="7" t="n">
        <f aca="false">IFERROR(M712/E712,0)</f>
        <v>0.415168231468966</v>
      </c>
      <c r="P712" s="7" t="n">
        <f aca="false">01_Data!I712+01_Data!K712+01_Data!M712+01_Data!O712+01_Data!Q712+01_Data!S712+01_Data!U712</f>
        <v>116392</v>
      </c>
      <c r="Q712" s="7" t="n">
        <f aca="false">01_Data!J712+01_Data!L712+01_Data!N712+01_Data!P712+01_Data!R712+01_Data!T712+01_Data!V712</f>
        <v>112181</v>
      </c>
      <c r="R712" s="7" t="n">
        <f aca="false">P712-Q712</f>
        <v>4211</v>
      </c>
      <c r="S712" s="7" t="n">
        <f aca="false">L712-P712</f>
        <v>47810</v>
      </c>
      <c r="T712" s="7" t="n">
        <f aca="false">M712-Q712</f>
        <v>58285</v>
      </c>
      <c r="U712" s="7" t="n">
        <f aca="false">T712-S712</f>
        <v>10475</v>
      </c>
      <c r="V712" s="8" t="n">
        <f aca="false">IFERROR(U712/S712,0)</f>
        <v>0.219096423342397</v>
      </c>
      <c r="W712" s="5" t="str">
        <f aca="false">IF(V712&lt;-0.1,"ADVERSE &gt;10%","")</f>
        <v/>
      </c>
    </row>
    <row r="713" customFormat="false" ht="15" hidden="false" customHeight="false" outlineLevel="0" collapsed="false">
      <c r="A713" s="5" t="str">
        <f aca="false">01_Data!A713</f>
        <v>Technology &amp; Telecom</v>
      </c>
      <c r="B713" s="5" t="str">
        <f aca="false">01_Data!C713</f>
        <v>2025-07</v>
      </c>
      <c r="C713" s="5" t="str">
        <f aca="false">01_Data!D713</f>
        <v>FY25</v>
      </c>
      <c r="D713" s="7" t="n">
        <f aca="false">01_Data!E713</f>
        <v>426661</v>
      </c>
      <c r="E713" s="7" t="n">
        <f aca="false">01_Data!F713</f>
        <v>417441</v>
      </c>
      <c r="F713" s="7" t="n">
        <f aca="false">E713-D713</f>
        <v>-9220</v>
      </c>
      <c r="G713" s="8" t="n">
        <f aca="false">IFERROR(F713/D713,0)</f>
        <v>-0.0216096620033235</v>
      </c>
      <c r="H713" s="7" t="n">
        <f aca="false">01_Data!G713</f>
        <v>241379</v>
      </c>
      <c r="I713" s="7" t="n">
        <f aca="false">01_Data!H713</f>
        <v>230357</v>
      </c>
      <c r="J713" s="7" t="n">
        <f aca="false">H713-I713</f>
        <v>11022</v>
      </c>
      <c r="K713" s="8" t="n">
        <f aca="false">IFERROR(J713/H713,0)</f>
        <v>0.0456626301376673</v>
      </c>
      <c r="L713" s="7" t="n">
        <f aca="false">D713-H713</f>
        <v>185282</v>
      </c>
      <c r="M713" s="7" t="n">
        <f aca="false">E713-I713</f>
        <v>187084</v>
      </c>
      <c r="N713" s="7" t="n">
        <f aca="false">IFERROR(L713/D713,0)</f>
        <v>0.434260455021668</v>
      </c>
      <c r="O713" s="7" t="n">
        <f aca="false">IFERROR(M713/E713,0)</f>
        <v>0.448168723244722</v>
      </c>
      <c r="P713" s="7" t="n">
        <f aca="false">01_Data!I713+01_Data!K713+01_Data!M713+01_Data!O713+01_Data!Q713+01_Data!S713+01_Data!U713</f>
        <v>111646</v>
      </c>
      <c r="Q713" s="7" t="n">
        <f aca="false">01_Data!J713+01_Data!L713+01_Data!N713+01_Data!P713+01_Data!R713+01_Data!T713+01_Data!V713</f>
        <v>112165</v>
      </c>
      <c r="R713" s="7" t="n">
        <f aca="false">P713-Q713</f>
        <v>-519</v>
      </c>
      <c r="S713" s="7" t="n">
        <f aca="false">L713-P713</f>
        <v>73636</v>
      </c>
      <c r="T713" s="7" t="n">
        <f aca="false">M713-Q713</f>
        <v>74919</v>
      </c>
      <c r="U713" s="7" t="n">
        <f aca="false">T713-S713</f>
        <v>1283</v>
      </c>
      <c r="V713" s="8" t="n">
        <f aca="false">IFERROR(U713/S713,0)</f>
        <v>0.0174235428323103</v>
      </c>
      <c r="W713" s="5" t="str">
        <f aca="false">IF(V713&lt;-0.1,"ADVERSE &gt;10%","")</f>
        <v/>
      </c>
    </row>
    <row r="714" customFormat="false" ht="15" hidden="false" customHeight="false" outlineLevel="0" collapsed="false">
      <c r="A714" s="5" t="str">
        <f aca="false">01_Data!A714</f>
        <v>Technology &amp; Telecom</v>
      </c>
      <c r="B714" s="5" t="str">
        <f aca="false">01_Data!C714</f>
        <v>2025-08</v>
      </c>
      <c r="C714" s="5" t="str">
        <f aca="false">01_Data!D714</f>
        <v>FY25</v>
      </c>
      <c r="D714" s="7" t="n">
        <f aca="false">01_Data!E714</f>
        <v>439936</v>
      </c>
      <c r="E714" s="7" t="n">
        <f aca="false">01_Data!F714</f>
        <v>419031</v>
      </c>
      <c r="F714" s="7" t="n">
        <f aca="false">E714-D714</f>
        <v>-20905</v>
      </c>
      <c r="G714" s="8" t="n">
        <f aca="false">IFERROR(F714/D714,0)</f>
        <v>-0.0475182753855106</v>
      </c>
      <c r="H714" s="7" t="n">
        <f aca="false">01_Data!G714</f>
        <v>263236</v>
      </c>
      <c r="I714" s="7" t="n">
        <f aca="false">01_Data!H714</f>
        <v>258832</v>
      </c>
      <c r="J714" s="7" t="n">
        <f aca="false">H714-I714</f>
        <v>4404</v>
      </c>
      <c r="K714" s="8" t="n">
        <f aca="false">IFERROR(J714/H714,0)</f>
        <v>0.0167302344664104</v>
      </c>
      <c r="L714" s="7" t="n">
        <f aca="false">D714-H714</f>
        <v>176700</v>
      </c>
      <c r="M714" s="7" t="n">
        <f aca="false">E714-I714</f>
        <v>160199</v>
      </c>
      <c r="N714" s="7" t="n">
        <f aca="false">IFERROR(L714/D714,0)</f>
        <v>0.401649330811754</v>
      </c>
      <c r="O714" s="7" t="n">
        <f aca="false">IFERROR(M714/E714,0)</f>
        <v>0.382308230178674</v>
      </c>
      <c r="P714" s="7" t="n">
        <f aca="false">01_Data!I714+01_Data!K714+01_Data!M714+01_Data!O714+01_Data!Q714+01_Data!S714+01_Data!U714</f>
        <v>114810</v>
      </c>
      <c r="Q714" s="7" t="n">
        <f aca="false">01_Data!J714+01_Data!L714+01_Data!N714+01_Data!P714+01_Data!R714+01_Data!T714+01_Data!V714</f>
        <v>117962</v>
      </c>
      <c r="R714" s="7" t="n">
        <f aca="false">P714-Q714</f>
        <v>-3152</v>
      </c>
      <c r="S714" s="7" t="n">
        <f aca="false">L714-P714</f>
        <v>61890</v>
      </c>
      <c r="T714" s="7" t="n">
        <f aca="false">M714-Q714</f>
        <v>42237</v>
      </c>
      <c r="U714" s="7" t="n">
        <f aca="false">T714-S714</f>
        <v>-19653</v>
      </c>
      <c r="V714" s="8" t="n">
        <f aca="false">IFERROR(U714/S714,0)</f>
        <v>-0.317547261269995</v>
      </c>
      <c r="W714" s="5" t="str">
        <f aca="false">IF(V714&lt;-0.1,"ADVERSE &gt;10%","")</f>
        <v>ADVERSE &gt;10%</v>
      </c>
    </row>
    <row r="715" customFormat="false" ht="15" hidden="false" customHeight="false" outlineLevel="0" collapsed="false">
      <c r="A715" s="5" t="str">
        <f aca="false">01_Data!A715</f>
        <v>Technology &amp; Telecom</v>
      </c>
      <c r="B715" s="5" t="str">
        <f aca="false">01_Data!C715</f>
        <v>2025-09</v>
      </c>
      <c r="C715" s="5" t="str">
        <f aca="false">01_Data!D715</f>
        <v>FY25</v>
      </c>
      <c r="D715" s="7" t="n">
        <f aca="false">01_Data!E715</f>
        <v>432715</v>
      </c>
      <c r="E715" s="7" t="n">
        <f aca="false">01_Data!F715</f>
        <v>432147</v>
      </c>
      <c r="F715" s="7" t="n">
        <f aca="false">E715-D715</f>
        <v>-568</v>
      </c>
      <c r="G715" s="8" t="n">
        <f aca="false">IFERROR(F715/D715,0)</f>
        <v>-0.00131264227031649</v>
      </c>
      <c r="H715" s="7" t="n">
        <f aca="false">01_Data!G715</f>
        <v>236148</v>
      </c>
      <c r="I715" s="7" t="n">
        <f aca="false">01_Data!H715</f>
        <v>243404</v>
      </c>
      <c r="J715" s="7" t="n">
        <f aca="false">H715-I715</f>
        <v>-7256</v>
      </c>
      <c r="K715" s="8" t="n">
        <f aca="false">IFERROR(J715/H715,0)</f>
        <v>-0.0307264935548893</v>
      </c>
      <c r="L715" s="7" t="n">
        <f aca="false">D715-H715</f>
        <v>196567</v>
      </c>
      <c r="M715" s="7" t="n">
        <f aca="false">E715-I715</f>
        <v>188743</v>
      </c>
      <c r="N715" s="7" t="n">
        <f aca="false">IFERROR(L715/D715,0)</f>
        <v>0.454264354136094</v>
      </c>
      <c r="O715" s="7" t="n">
        <f aca="false">IFERROR(M715/E715,0)</f>
        <v>0.436756474070166</v>
      </c>
      <c r="P715" s="7" t="n">
        <f aca="false">01_Data!I715+01_Data!K715+01_Data!M715+01_Data!O715+01_Data!Q715+01_Data!S715+01_Data!U715</f>
        <v>119136</v>
      </c>
      <c r="Q715" s="7" t="n">
        <f aca="false">01_Data!J715+01_Data!L715+01_Data!N715+01_Data!P715+01_Data!R715+01_Data!T715+01_Data!V715</f>
        <v>119307</v>
      </c>
      <c r="R715" s="7" t="n">
        <f aca="false">P715-Q715</f>
        <v>-171</v>
      </c>
      <c r="S715" s="7" t="n">
        <f aca="false">L715-P715</f>
        <v>77431</v>
      </c>
      <c r="T715" s="7" t="n">
        <f aca="false">M715-Q715</f>
        <v>69436</v>
      </c>
      <c r="U715" s="7" t="n">
        <f aca="false">T715-S715</f>
        <v>-7995</v>
      </c>
      <c r="V715" s="8" t="n">
        <f aca="false">IFERROR(U715/S715,0)</f>
        <v>-0.103253218994976</v>
      </c>
      <c r="W715" s="5" t="str">
        <f aca="false">IF(V715&lt;-0.1,"ADVERSE &gt;10%","")</f>
        <v>ADVERSE &gt;10%</v>
      </c>
    </row>
    <row r="716" customFormat="false" ht="15" hidden="false" customHeight="false" outlineLevel="0" collapsed="false">
      <c r="A716" s="5" t="str">
        <f aca="false">01_Data!A716</f>
        <v>Technology &amp; Telecom</v>
      </c>
      <c r="B716" s="5" t="str">
        <f aca="false">01_Data!C716</f>
        <v>2025-10</v>
      </c>
      <c r="C716" s="5" t="str">
        <f aca="false">01_Data!D716</f>
        <v>FY25</v>
      </c>
      <c r="D716" s="7" t="n">
        <f aca="false">01_Data!E716</f>
        <v>422779</v>
      </c>
      <c r="E716" s="7" t="n">
        <f aca="false">01_Data!F716</f>
        <v>416134</v>
      </c>
      <c r="F716" s="7" t="n">
        <f aca="false">E716-D716</f>
        <v>-6645</v>
      </c>
      <c r="G716" s="8" t="n">
        <f aca="false">IFERROR(F716/D716,0)</f>
        <v>-0.0157174315659009</v>
      </c>
      <c r="H716" s="7" t="n">
        <f aca="false">01_Data!G716</f>
        <v>236601</v>
      </c>
      <c r="I716" s="7" t="n">
        <f aca="false">01_Data!H716</f>
        <v>241722</v>
      </c>
      <c r="J716" s="7" t="n">
        <f aca="false">H716-I716</f>
        <v>-5121</v>
      </c>
      <c r="K716" s="8" t="n">
        <f aca="false">IFERROR(J716/H716,0)</f>
        <v>-0.0216440336262315</v>
      </c>
      <c r="L716" s="7" t="n">
        <f aca="false">D716-H716</f>
        <v>186178</v>
      </c>
      <c r="M716" s="7" t="n">
        <f aca="false">E716-I716</f>
        <v>174412</v>
      </c>
      <c r="N716" s="7" t="n">
        <f aca="false">IFERROR(L716/D716,0)</f>
        <v>0.440367189477245</v>
      </c>
      <c r="O716" s="7" t="n">
        <f aca="false">IFERROR(M716/E716,0)</f>
        <v>0.419124608900018</v>
      </c>
      <c r="P716" s="7" t="n">
        <f aca="false">01_Data!I716+01_Data!K716+01_Data!M716+01_Data!O716+01_Data!Q716+01_Data!S716+01_Data!U716</f>
        <v>114536</v>
      </c>
      <c r="Q716" s="7" t="n">
        <f aca="false">01_Data!J716+01_Data!L716+01_Data!N716+01_Data!P716+01_Data!R716+01_Data!T716+01_Data!V716</f>
        <v>114373</v>
      </c>
      <c r="R716" s="7" t="n">
        <f aca="false">P716-Q716</f>
        <v>163</v>
      </c>
      <c r="S716" s="7" t="n">
        <f aca="false">L716-P716</f>
        <v>71642</v>
      </c>
      <c r="T716" s="7" t="n">
        <f aca="false">M716-Q716</f>
        <v>60039</v>
      </c>
      <c r="U716" s="7" t="n">
        <f aca="false">T716-S716</f>
        <v>-11603</v>
      </c>
      <c r="V716" s="8" t="n">
        <f aca="false">IFERROR(U716/S716,0)</f>
        <v>-0.161958069288965</v>
      </c>
      <c r="W716" s="5" t="str">
        <f aca="false">IF(V716&lt;-0.1,"ADVERSE &gt;10%","")</f>
        <v>ADVERSE &gt;10%</v>
      </c>
    </row>
    <row r="717" customFormat="false" ht="15" hidden="false" customHeight="false" outlineLevel="0" collapsed="false">
      <c r="A717" s="5" t="str">
        <f aca="false">01_Data!A717</f>
        <v>Technology &amp; Telecom</v>
      </c>
      <c r="B717" s="5" t="str">
        <f aca="false">01_Data!C717</f>
        <v>2025-11</v>
      </c>
      <c r="C717" s="5" t="str">
        <f aca="false">01_Data!D717</f>
        <v>FY25</v>
      </c>
      <c r="D717" s="7" t="n">
        <f aca="false">01_Data!E717</f>
        <v>430649</v>
      </c>
      <c r="E717" s="7" t="n">
        <f aca="false">01_Data!F717</f>
        <v>415740</v>
      </c>
      <c r="F717" s="7" t="n">
        <f aca="false">E717-D717</f>
        <v>-14909</v>
      </c>
      <c r="G717" s="8" t="n">
        <f aca="false">IFERROR(F717/D717,0)</f>
        <v>-0.0346198412163967</v>
      </c>
      <c r="H717" s="7" t="n">
        <f aca="false">01_Data!G717</f>
        <v>239849</v>
      </c>
      <c r="I717" s="7" t="n">
        <f aca="false">01_Data!H717</f>
        <v>239667</v>
      </c>
      <c r="J717" s="7" t="n">
        <f aca="false">H717-I717</f>
        <v>182</v>
      </c>
      <c r="K717" s="8" t="n">
        <f aca="false">IFERROR(J717/H717,0)</f>
        <v>0.000758810751764652</v>
      </c>
      <c r="L717" s="7" t="n">
        <f aca="false">D717-H717</f>
        <v>190800</v>
      </c>
      <c r="M717" s="7" t="n">
        <f aca="false">E717-I717</f>
        <v>176073</v>
      </c>
      <c r="N717" s="7" t="n">
        <f aca="false">IFERROR(L717/D717,0)</f>
        <v>0.443052230470755</v>
      </c>
      <c r="O717" s="7" t="n">
        <f aca="false">IFERROR(M717/E717,0)</f>
        <v>0.423517102034926</v>
      </c>
      <c r="P717" s="7" t="n">
        <f aca="false">01_Data!I717+01_Data!K717+01_Data!M717+01_Data!O717+01_Data!Q717+01_Data!S717+01_Data!U717</f>
        <v>110558</v>
      </c>
      <c r="Q717" s="7" t="n">
        <f aca="false">01_Data!J717+01_Data!L717+01_Data!N717+01_Data!P717+01_Data!R717+01_Data!T717+01_Data!V717</f>
        <v>113228</v>
      </c>
      <c r="R717" s="7" t="n">
        <f aca="false">P717-Q717</f>
        <v>-2670</v>
      </c>
      <c r="S717" s="7" t="n">
        <f aca="false">L717-P717</f>
        <v>80242</v>
      </c>
      <c r="T717" s="7" t="n">
        <f aca="false">M717-Q717</f>
        <v>62845</v>
      </c>
      <c r="U717" s="7" t="n">
        <f aca="false">T717-S717</f>
        <v>-17397</v>
      </c>
      <c r="V717" s="8" t="n">
        <f aca="false">IFERROR(U717/S717,0)</f>
        <v>-0.216806659853942</v>
      </c>
      <c r="W717" s="5" t="str">
        <f aca="false">IF(V717&lt;-0.1,"ADVERSE &gt;10%","")</f>
        <v>ADVERSE &gt;10%</v>
      </c>
    </row>
    <row r="718" customFormat="false" ht="15" hidden="false" customHeight="false" outlineLevel="0" collapsed="false">
      <c r="A718" s="5" t="str">
        <f aca="false">01_Data!A718</f>
        <v>Technology &amp; Telecom</v>
      </c>
      <c r="B718" s="5" t="str">
        <f aca="false">01_Data!C718</f>
        <v>2025-12</v>
      </c>
      <c r="C718" s="5" t="str">
        <f aca="false">01_Data!D718</f>
        <v>FY25</v>
      </c>
      <c r="D718" s="7" t="n">
        <f aca="false">01_Data!E718</f>
        <v>452406</v>
      </c>
      <c r="E718" s="7" t="n">
        <f aca="false">01_Data!F718</f>
        <v>438797</v>
      </c>
      <c r="F718" s="7" t="n">
        <f aca="false">E718-D718</f>
        <v>-13609</v>
      </c>
      <c r="G718" s="8" t="n">
        <f aca="false">IFERROR(F718/D718,0)</f>
        <v>-0.0300813870726737</v>
      </c>
      <c r="H718" s="7" t="n">
        <f aca="false">01_Data!G718</f>
        <v>247224</v>
      </c>
      <c r="I718" s="7" t="n">
        <f aca="false">01_Data!H718</f>
        <v>237013</v>
      </c>
      <c r="J718" s="7" t="n">
        <f aca="false">H718-I718</f>
        <v>10211</v>
      </c>
      <c r="K718" s="8" t="n">
        <f aca="false">IFERROR(J718/H718,0)</f>
        <v>0.0413026243406789</v>
      </c>
      <c r="L718" s="7" t="n">
        <f aca="false">D718-H718</f>
        <v>205182</v>
      </c>
      <c r="M718" s="7" t="n">
        <f aca="false">E718-I718</f>
        <v>201784</v>
      </c>
      <c r="N718" s="7" t="n">
        <f aca="false">IFERROR(L718/D718,0)</f>
        <v>0.453535099003992</v>
      </c>
      <c r="O718" s="7" t="n">
        <f aca="false">IFERROR(M718/E718,0)</f>
        <v>0.459857291640554</v>
      </c>
      <c r="P718" s="7" t="n">
        <f aca="false">01_Data!I718+01_Data!K718+01_Data!M718+01_Data!O718+01_Data!Q718+01_Data!S718+01_Data!U718</f>
        <v>114472</v>
      </c>
      <c r="Q718" s="7" t="n">
        <f aca="false">01_Data!J718+01_Data!L718+01_Data!N718+01_Data!P718+01_Data!R718+01_Data!T718+01_Data!V718</f>
        <v>119048</v>
      </c>
      <c r="R718" s="7" t="n">
        <f aca="false">P718-Q718</f>
        <v>-4576</v>
      </c>
      <c r="S718" s="7" t="n">
        <f aca="false">L718-P718</f>
        <v>90710</v>
      </c>
      <c r="T718" s="7" t="n">
        <f aca="false">M718-Q718</f>
        <v>82736</v>
      </c>
      <c r="U718" s="7" t="n">
        <f aca="false">T718-S718</f>
        <v>-7974</v>
      </c>
      <c r="V718" s="8" t="n">
        <f aca="false">IFERROR(U718/S718,0)</f>
        <v>-0.0879065152684379</v>
      </c>
      <c r="W718" s="5" t="str">
        <f aca="false">IF(V718&lt;-0.1,"ADVERSE &gt;10%","")</f>
        <v/>
      </c>
    </row>
    <row r="719" customFormat="false" ht="15" hidden="false" customHeight="false" outlineLevel="0" collapsed="false">
      <c r="A719" s="5" t="str">
        <f aca="false">01_Data!A719</f>
        <v>Technology &amp; Telecom</v>
      </c>
      <c r="B719" s="5" t="str">
        <f aca="false">01_Data!C719</f>
        <v>2026-01</v>
      </c>
      <c r="C719" s="5" t="str">
        <f aca="false">01_Data!D719</f>
        <v>FY25</v>
      </c>
      <c r="D719" s="7" t="n">
        <f aca="false">01_Data!E719</f>
        <v>423981</v>
      </c>
      <c r="E719" s="7" t="n">
        <f aca="false">01_Data!F719</f>
        <v>429363</v>
      </c>
      <c r="F719" s="7" t="n">
        <f aca="false">E719-D719</f>
        <v>5382</v>
      </c>
      <c r="G719" s="8" t="n">
        <f aca="false">IFERROR(F719/D719,0)</f>
        <v>0.012693965059755</v>
      </c>
      <c r="H719" s="7" t="n">
        <f aca="false">01_Data!G719</f>
        <v>237258</v>
      </c>
      <c r="I719" s="7" t="n">
        <f aca="false">01_Data!H719</f>
        <v>249632</v>
      </c>
      <c r="J719" s="7" t="n">
        <f aca="false">H719-I719</f>
        <v>-12374</v>
      </c>
      <c r="K719" s="8" t="n">
        <f aca="false">IFERROR(J719/H719,0)</f>
        <v>-0.0521541950113379</v>
      </c>
      <c r="L719" s="7" t="n">
        <f aca="false">D719-H719</f>
        <v>186723</v>
      </c>
      <c r="M719" s="7" t="n">
        <f aca="false">E719-I719</f>
        <v>179731</v>
      </c>
      <c r="N719" s="7" t="n">
        <f aca="false">IFERROR(L719/D719,0)</f>
        <v>0.440404169054745</v>
      </c>
      <c r="O719" s="7" t="n">
        <f aca="false">IFERROR(M719/E719,0)</f>
        <v>0.418599180646679</v>
      </c>
      <c r="P719" s="7" t="n">
        <f aca="false">01_Data!I719+01_Data!K719+01_Data!M719+01_Data!O719+01_Data!Q719+01_Data!S719+01_Data!U719</f>
        <v>109259</v>
      </c>
      <c r="Q719" s="7" t="n">
        <f aca="false">01_Data!J719+01_Data!L719+01_Data!N719+01_Data!P719+01_Data!R719+01_Data!T719+01_Data!V719</f>
        <v>107844</v>
      </c>
      <c r="R719" s="7" t="n">
        <f aca="false">P719-Q719</f>
        <v>1415</v>
      </c>
      <c r="S719" s="7" t="n">
        <f aca="false">L719-P719</f>
        <v>77464</v>
      </c>
      <c r="T719" s="7" t="n">
        <f aca="false">M719-Q719</f>
        <v>71887</v>
      </c>
      <c r="U719" s="7" t="n">
        <f aca="false">T719-S719</f>
        <v>-5577</v>
      </c>
      <c r="V719" s="8" t="n">
        <f aca="false">IFERROR(U719/S719,0)</f>
        <v>-0.0719947330372818</v>
      </c>
      <c r="W719" s="5" t="str">
        <f aca="false">IF(V719&lt;-0.1,"ADVERSE &gt;10%","")</f>
        <v/>
      </c>
    </row>
    <row r="720" customFormat="false" ht="15" hidden="false" customHeight="false" outlineLevel="0" collapsed="false">
      <c r="A720" s="5" t="str">
        <f aca="false">01_Data!A720</f>
        <v>Technology &amp; Telecom</v>
      </c>
      <c r="B720" s="5" t="str">
        <f aca="false">01_Data!C720</f>
        <v>2026-02</v>
      </c>
      <c r="C720" s="5" t="str">
        <f aca="false">01_Data!D720</f>
        <v>FY25</v>
      </c>
      <c r="D720" s="7" t="n">
        <f aca="false">01_Data!E720</f>
        <v>463543</v>
      </c>
      <c r="E720" s="7" t="n">
        <f aca="false">01_Data!F720</f>
        <v>438679</v>
      </c>
      <c r="F720" s="7" t="n">
        <f aca="false">E720-D720</f>
        <v>-24864</v>
      </c>
      <c r="G720" s="8" t="n">
        <f aca="false">IFERROR(F720/D720,0)</f>
        <v>-0.0536390367236696</v>
      </c>
      <c r="H720" s="7" t="n">
        <f aca="false">01_Data!G720</f>
        <v>259718</v>
      </c>
      <c r="I720" s="7" t="n">
        <f aca="false">01_Data!H720</f>
        <v>246065</v>
      </c>
      <c r="J720" s="7" t="n">
        <f aca="false">H720-I720</f>
        <v>13653</v>
      </c>
      <c r="K720" s="8" t="n">
        <f aca="false">IFERROR(J720/H720,0)</f>
        <v>0.0525685551251742</v>
      </c>
      <c r="L720" s="7" t="n">
        <f aca="false">D720-H720</f>
        <v>203825</v>
      </c>
      <c r="M720" s="7" t="n">
        <f aca="false">E720-I720</f>
        <v>192614</v>
      </c>
      <c r="N720" s="7" t="n">
        <f aca="false">IFERROR(L720/D720,0)</f>
        <v>0.439711094763593</v>
      </c>
      <c r="O720" s="7" t="n">
        <f aca="false">IFERROR(M720/E720,0)</f>
        <v>0.439077320774416</v>
      </c>
      <c r="P720" s="7" t="n">
        <f aca="false">01_Data!I720+01_Data!K720+01_Data!M720+01_Data!O720+01_Data!Q720+01_Data!S720+01_Data!U720</f>
        <v>125416</v>
      </c>
      <c r="Q720" s="7" t="n">
        <f aca="false">01_Data!J720+01_Data!L720+01_Data!N720+01_Data!P720+01_Data!R720+01_Data!T720+01_Data!V720</f>
        <v>128807</v>
      </c>
      <c r="R720" s="7" t="n">
        <f aca="false">P720-Q720</f>
        <v>-3391</v>
      </c>
      <c r="S720" s="7" t="n">
        <f aca="false">L720-P720</f>
        <v>78409</v>
      </c>
      <c r="T720" s="7" t="n">
        <f aca="false">M720-Q720</f>
        <v>63807</v>
      </c>
      <c r="U720" s="7" t="n">
        <f aca="false">T720-S720</f>
        <v>-14602</v>
      </c>
      <c r="V720" s="8" t="n">
        <f aca="false">IFERROR(U720/S720,0)</f>
        <v>-0.186228621714344</v>
      </c>
      <c r="W720" s="5" t="str">
        <f aca="false">IF(V720&lt;-0.1,"ADVERSE &gt;10%","")</f>
        <v>ADVERSE &gt;10%</v>
      </c>
    </row>
    <row r="721" customFormat="false" ht="15" hidden="false" customHeight="false" outlineLevel="0" collapsed="false">
      <c r="A721" s="5" t="str">
        <f aca="false">01_Data!A721</f>
        <v>Technology &amp; Telecom</v>
      </c>
      <c r="B721" s="5" t="str">
        <f aca="false">01_Data!C721</f>
        <v>2026-03</v>
      </c>
      <c r="C721" s="5" t="str">
        <f aca="false">01_Data!D721</f>
        <v>FY25</v>
      </c>
      <c r="D721" s="7" t="n">
        <f aca="false">01_Data!E721</f>
        <v>467160</v>
      </c>
      <c r="E721" s="7" t="n">
        <f aca="false">01_Data!F721</f>
        <v>463948</v>
      </c>
      <c r="F721" s="7" t="n">
        <f aca="false">E721-D721</f>
        <v>-3212</v>
      </c>
      <c r="G721" s="8" t="n">
        <f aca="false">IFERROR(F721/D721,0)</f>
        <v>-0.00687558866341296</v>
      </c>
      <c r="H721" s="7" t="n">
        <f aca="false">01_Data!G721</f>
        <v>253737</v>
      </c>
      <c r="I721" s="7" t="n">
        <f aca="false">01_Data!H721</f>
        <v>262267</v>
      </c>
      <c r="J721" s="7" t="n">
        <f aca="false">H721-I721</f>
        <v>-8530</v>
      </c>
      <c r="K721" s="8" t="n">
        <f aca="false">IFERROR(J721/H721,0)</f>
        <v>-0.0336174858219337</v>
      </c>
      <c r="L721" s="7" t="n">
        <f aca="false">D721-H721</f>
        <v>213423</v>
      </c>
      <c r="M721" s="7" t="n">
        <f aca="false">E721-I721</f>
        <v>201681</v>
      </c>
      <c r="N721" s="7" t="n">
        <f aca="false">IFERROR(L721/D721,0)</f>
        <v>0.456852042126894</v>
      </c>
      <c r="O721" s="7" t="n">
        <f aca="false">IFERROR(M721/E721,0)</f>
        <v>0.434706044642934</v>
      </c>
      <c r="P721" s="7" t="n">
        <f aca="false">01_Data!I721+01_Data!K721+01_Data!M721+01_Data!O721+01_Data!Q721+01_Data!S721+01_Data!U721</f>
        <v>117355</v>
      </c>
      <c r="Q721" s="7" t="n">
        <f aca="false">01_Data!J721+01_Data!L721+01_Data!N721+01_Data!P721+01_Data!R721+01_Data!T721+01_Data!V721</f>
        <v>116511</v>
      </c>
      <c r="R721" s="7" t="n">
        <f aca="false">P721-Q721</f>
        <v>844</v>
      </c>
      <c r="S721" s="7" t="n">
        <f aca="false">L721-P721</f>
        <v>96068</v>
      </c>
      <c r="T721" s="7" t="n">
        <f aca="false">M721-Q721</f>
        <v>85170</v>
      </c>
      <c r="U721" s="7" t="n">
        <f aca="false">T721-S721</f>
        <v>-10898</v>
      </c>
      <c r="V721" s="8" t="n">
        <f aca="false">IFERROR(U721/S721,0)</f>
        <v>-0.113440479660241</v>
      </c>
      <c r="W721" s="5" t="str">
        <f aca="false">IF(V721&lt;-0.1,"ADVERSE &gt;10%","")</f>
        <v>ADVERSE &gt;10%</v>
      </c>
    </row>
    <row r="722" customFormat="false" ht="15" hidden="false" customHeight="false" outlineLevel="0" collapsed="false">
      <c r="A722" s="5" t="str">
        <f aca="false">01_Data!A722</f>
        <v>Technology &amp; Telecom</v>
      </c>
      <c r="B722" s="5" t="str">
        <f aca="false">01_Data!C722</f>
        <v>2023-04</v>
      </c>
      <c r="C722" s="5" t="str">
        <f aca="false">01_Data!D722</f>
        <v>FY23</v>
      </c>
      <c r="D722" s="7" t="n">
        <f aca="false">01_Data!E722</f>
        <v>363830</v>
      </c>
      <c r="E722" s="7" t="n">
        <f aca="false">01_Data!F722</f>
        <v>359957</v>
      </c>
      <c r="F722" s="7" t="n">
        <f aca="false">E722-D722</f>
        <v>-3873</v>
      </c>
      <c r="G722" s="8" t="n">
        <f aca="false">IFERROR(F722/D722,0)</f>
        <v>-0.0106450814941044</v>
      </c>
      <c r="H722" s="7" t="n">
        <f aca="false">01_Data!G722</f>
        <v>201027</v>
      </c>
      <c r="I722" s="7" t="n">
        <f aca="false">01_Data!H722</f>
        <v>202176</v>
      </c>
      <c r="J722" s="7" t="n">
        <f aca="false">H722-I722</f>
        <v>-1149</v>
      </c>
      <c r="K722" s="8" t="n">
        <f aca="false">IFERROR(J722/H722,0)</f>
        <v>-0.00571565013654882</v>
      </c>
      <c r="L722" s="7" t="n">
        <f aca="false">D722-H722</f>
        <v>162803</v>
      </c>
      <c r="M722" s="7" t="n">
        <f aca="false">E722-I722</f>
        <v>157781</v>
      </c>
      <c r="N722" s="7" t="n">
        <f aca="false">IFERROR(L722/D722,0)</f>
        <v>0.447469972239782</v>
      </c>
      <c r="O722" s="7" t="n">
        <f aca="false">IFERROR(M722/E722,0)</f>
        <v>0.43833291198671</v>
      </c>
      <c r="P722" s="7" t="n">
        <f aca="false">01_Data!I722+01_Data!K722+01_Data!M722+01_Data!O722+01_Data!Q722+01_Data!S722+01_Data!U722</f>
        <v>92949</v>
      </c>
      <c r="Q722" s="7" t="n">
        <f aca="false">01_Data!J722+01_Data!L722+01_Data!N722+01_Data!P722+01_Data!R722+01_Data!T722+01_Data!V722</f>
        <v>94812</v>
      </c>
      <c r="R722" s="7" t="n">
        <f aca="false">P722-Q722</f>
        <v>-1863</v>
      </c>
      <c r="S722" s="7" t="n">
        <f aca="false">L722-P722</f>
        <v>69854</v>
      </c>
      <c r="T722" s="7" t="n">
        <f aca="false">M722-Q722</f>
        <v>62969</v>
      </c>
      <c r="U722" s="7" t="n">
        <f aca="false">T722-S722</f>
        <v>-6885</v>
      </c>
      <c r="V722" s="8" t="n">
        <f aca="false">IFERROR(U722/S722,0)</f>
        <v>-0.0985627165230338</v>
      </c>
      <c r="W722" s="5" t="str">
        <f aca="false">IF(V722&lt;-0.1,"ADVERSE &gt;10%","")</f>
        <v/>
      </c>
    </row>
    <row r="723" customFormat="false" ht="15" hidden="false" customHeight="false" outlineLevel="0" collapsed="false">
      <c r="A723" s="5" t="str">
        <f aca="false">01_Data!A723</f>
        <v>Technology &amp; Telecom</v>
      </c>
      <c r="B723" s="5" t="str">
        <f aca="false">01_Data!C723</f>
        <v>2023-05</v>
      </c>
      <c r="C723" s="5" t="str">
        <f aca="false">01_Data!D723</f>
        <v>FY23</v>
      </c>
      <c r="D723" s="7" t="n">
        <f aca="false">01_Data!E723</f>
        <v>363704</v>
      </c>
      <c r="E723" s="7" t="n">
        <f aca="false">01_Data!F723</f>
        <v>359067</v>
      </c>
      <c r="F723" s="7" t="n">
        <f aca="false">E723-D723</f>
        <v>-4637</v>
      </c>
      <c r="G723" s="8" t="n">
        <f aca="false">IFERROR(F723/D723,0)</f>
        <v>-0.0127493786155775</v>
      </c>
      <c r="H723" s="7" t="n">
        <f aca="false">01_Data!G723</f>
        <v>203699</v>
      </c>
      <c r="I723" s="7" t="n">
        <f aca="false">01_Data!H723</f>
        <v>199793</v>
      </c>
      <c r="J723" s="7" t="n">
        <f aca="false">H723-I723</f>
        <v>3906</v>
      </c>
      <c r="K723" s="8" t="n">
        <f aca="false">IFERROR(J723/H723,0)</f>
        <v>0.0191753518672158</v>
      </c>
      <c r="L723" s="7" t="n">
        <f aca="false">D723-H723</f>
        <v>160005</v>
      </c>
      <c r="M723" s="7" t="n">
        <f aca="false">E723-I723</f>
        <v>159274</v>
      </c>
      <c r="N723" s="7" t="n">
        <f aca="false">IFERROR(L723/D723,0)</f>
        <v>0.439931922662385</v>
      </c>
      <c r="O723" s="7" t="n">
        <f aca="false">IFERROR(M723/E723,0)</f>
        <v>0.443577382494075</v>
      </c>
      <c r="P723" s="7" t="n">
        <f aca="false">01_Data!I723+01_Data!K723+01_Data!M723+01_Data!O723+01_Data!Q723+01_Data!S723+01_Data!U723</f>
        <v>94738</v>
      </c>
      <c r="Q723" s="7" t="n">
        <f aca="false">01_Data!J723+01_Data!L723+01_Data!N723+01_Data!P723+01_Data!R723+01_Data!T723+01_Data!V723</f>
        <v>93637</v>
      </c>
      <c r="R723" s="7" t="n">
        <f aca="false">P723-Q723</f>
        <v>1101</v>
      </c>
      <c r="S723" s="7" t="n">
        <f aca="false">L723-P723</f>
        <v>65267</v>
      </c>
      <c r="T723" s="7" t="n">
        <f aca="false">M723-Q723</f>
        <v>65637</v>
      </c>
      <c r="U723" s="7" t="n">
        <f aca="false">T723-S723</f>
        <v>370</v>
      </c>
      <c r="V723" s="8" t="n">
        <f aca="false">IFERROR(U723/S723,0)</f>
        <v>0.00566902109795149</v>
      </c>
      <c r="W723" s="5" t="str">
        <f aca="false">IF(V723&lt;-0.1,"ADVERSE &gt;10%","")</f>
        <v/>
      </c>
    </row>
    <row r="724" customFormat="false" ht="15" hidden="false" customHeight="false" outlineLevel="0" collapsed="false">
      <c r="A724" s="5" t="str">
        <f aca="false">01_Data!A724</f>
        <v>Technology &amp; Telecom</v>
      </c>
      <c r="B724" s="5" t="str">
        <f aca="false">01_Data!C724</f>
        <v>2023-06</v>
      </c>
      <c r="C724" s="5" t="str">
        <f aca="false">01_Data!D724</f>
        <v>FY23</v>
      </c>
      <c r="D724" s="7" t="n">
        <f aca="false">01_Data!E724</f>
        <v>374311</v>
      </c>
      <c r="E724" s="7" t="n">
        <f aca="false">01_Data!F724</f>
        <v>363524</v>
      </c>
      <c r="F724" s="7" t="n">
        <f aca="false">E724-D724</f>
        <v>-10787</v>
      </c>
      <c r="G724" s="8" t="n">
        <f aca="false">IFERROR(F724/D724,0)</f>
        <v>-0.0288182821236886</v>
      </c>
      <c r="H724" s="7" t="n">
        <f aca="false">01_Data!G724</f>
        <v>220834</v>
      </c>
      <c r="I724" s="7" t="n">
        <f aca="false">01_Data!H724</f>
        <v>219454</v>
      </c>
      <c r="J724" s="7" t="n">
        <f aca="false">H724-I724</f>
        <v>1380</v>
      </c>
      <c r="K724" s="8" t="n">
        <f aca="false">IFERROR(J724/H724,0)</f>
        <v>0.006249037738754</v>
      </c>
      <c r="L724" s="7" t="n">
        <f aca="false">D724-H724</f>
        <v>153477</v>
      </c>
      <c r="M724" s="7" t="n">
        <f aca="false">E724-I724</f>
        <v>144070</v>
      </c>
      <c r="N724" s="7" t="n">
        <f aca="false">IFERROR(L724/D724,0)</f>
        <v>0.410025353249036</v>
      </c>
      <c r="O724" s="7" t="n">
        <f aca="false">IFERROR(M724/E724,0)</f>
        <v>0.396314961323049</v>
      </c>
      <c r="P724" s="7" t="n">
        <f aca="false">01_Data!I724+01_Data!K724+01_Data!M724+01_Data!O724+01_Data!Q724+01_Data!S724+01_Data!U724</f>
        <v>104046</v>
      </c>
      <c r="Q724" s="7" t="n">
        <f aca="false">01_Data!J724+01_Data!L724+01_Data!N724+01_Data!P724+01_Data!R724+01_Data!T724+01_Data!V724</f>
        <v>106189</v>
      </c>
      <c r="R724" s="7" t="n">
        <f aca="false">P724-Q724</f>
        <v>-2143</v>
      </c>
      <c r="S724" s="7" t="n">
        <f aca="false">L724-P724</f>
        <v>49431</v>
      </c>
      <c r="T724" s="7" t="n">
        <f aca="false">M724-Q724</f>
        <v>37881</v>
      </c>
      <c r="U724" s="7" t="n">
        <f aca="false">T724-S724</f>
        <v>-11550</v>
      </c>
      <c r="V724" s="8" t="n">
        <f aca="false">IFERROR(U724/S724,0)</f>
        <v>-0.233659039873763</v>
      </c>
      <c r="W724" s="5" t="str">
        <f aca="false">IF(V724&lt;-0.1,"ADVERSE &gt;10%","")</f>
        <v>ADVERSE &gt;10%</v>
      </c>
    </row>
    <row r="725" customFormat="false" ht="15" hidden="false" customHeight="false" outlineLevel="0" collapsed="false">
      <c r="A725" s="5" t="str">
        <f aca="false">01_Data!A725</f>
        <v>Technology &amp; Telecom</v>
      </c>
      <c r="B725" s="5" t="str">
        <f aca="false">01_Data!C725</f>
        <v>2023-07</v>
      </c>
      <c r="C725" s="5" t="str">
        <f aca="false">01_Data!D725</f>
        <v>FY23</v>
      </c>
      <c r="D725" s="7" t="n">
        <f aca="false">01_Data!E725</f>
        <v>380007</v>
      </c>
      <c r="E725" s="7" t="n">
        <f aca="false">01_Data!F725</f>
        <v>370234</v>
      </c>
      <c r="F725" s="7" t="n">
        <f aca="false">E725-D725</f>
        <v>-9773</v>
      </c>
      <c r="G725" s="8" t="n">
        <f aca="false">IFERROR(F725/D725,0)</f>
        <v>-0.0257179473009708</v>
      </c>
      <c r="H725" s="7" t="n">
        <f aca="false">01_Data!G725</f>
        <v>215644</v>
      </c>
      <c r="I725" s="7" t="n">
        <f aca="false">01_Data!H725</f>
        <v>209927</v>
      </c>
      <c r="J725" s="7" t="n">
        <f aca="false">H725-I725</f>
        <v>5717</v>
      </c>
      <c r="K725" s="8" t="n">
        <f aca="false">IFERROR(J725/H725,0)</f>
        <v>0.0265112871213667</v>
      </c>
      <c r="L725" s="7" t="n">
        <f aca="false">D725-H725</f>
        <v>164363</v>
      </c>
      <c r="M725" s="7" t="n">
        <f aca="false">E725-I725</f>
        <v>160307</v>
      </c>
      <c r="N725" s="7" t="n">
        <f aca="false">IFERROR(L725/D725,0)</f>
        <v>0.43252624293763</v>
      </c>
      <c r="O725" s="7" t="n">
        <f aca="false">IFERROR(M725/E725,0)</f>
        <v>0.432988326301744</v>
      </c>
      <c r="P725" s="7" t="n">
        <f aca="false">01_Data!I725+01_Data!K725+01_Data!M725+01_Data!O725+01_Data!Q725+01_Data!S725+01_Data!U725</f>
        <v>102571</v>
      </c>
      <c r="Q725" s="7" t="n">
        <f aca="false">01_Data!J725+01_Data!L725+01_Data!N725+01_Data!P725+01_Data!R725+01_Data!T725+01_Data!V725</f>
        <v>106529</v>
      </c>
      <c r="R725" s="7" t="n">
        <f aca="false">P725-Q725</f>
        <v>-3958</v>
      </c>
      <c r="S725" s="7" t="n">
        <f aca="false">L725-P725</f>
        <v>61792</v>
      </c>
      <c r="T725" s="7" t="n">
        <f aca="false">M725-Q725</f>
        <v>53778</v>
      </c>
      <c r="U725" s="7" t="n">
        <f aca="false">T725-S725</f>
        <v>-8014</v>
      </c>
      <c r="V725" s="8" t="n">
        <f aca="false">IFERROR(U725/S725,0)</f>
        <v>-0.129693164163646</v>
      </c>
      <c r="W725" s="5" t="str">
        <f aca="false">IF(V725&lt;-0.1,"ADVERSE &gt;10%","")</f>
        <v>ADVERSE &gt;10%</v>
      </c>
    </row>
    <row r="726" customFormat="false" ht="15" hidden="false" customHeight="false" outlineLevel="0" collapsed="false">
      <c r="A726" s="5" t="str">
        <f aca="false">01_Data!A726</f>
        <v>Technology &amp; Telecom</v>
      </c>
      <c r="B726" s="5" t="str">
        <f aca="false">01_Data!C726</f>
        <v>2023-08</v>
      </c>
      <c r="C726" s="5" t="str">
        <f aca="false">01_Data!D726</f>
        <v>FY23</v>
      </c>
      <c r="D726" s="7" t="n">
        <f aca="false">01_Data!E726</f>
        <v>363889</v>
      </c>
      <c r="E726" s="7" t="n">
        <f aca="false">01_Data!F726</f>
        <v>366304</v>
      </c>
      <c r="F726" s="7" t="n">
        <f aca="false">E726-D726</f>
        <v>2415</v>
      </c>
      <c r="G726" s="8" t="n">
        <f aca="false">IFERROR(F726/D726,0)</f>
        <v>0.00663663919491933</v>
      </c>
      <c r="H726" s="7" t="n">
        <f aca="false">01_Data!G726</f>
        <v>212411</v>
      </c>
      <c r="I726" s="7" t="n">
        <f aca="false">01_Data!H726</f>
        <v>224099</v>
      </c>
      <c r="J726" s="7" t="n">
        <f aca="false">H726-I726</f>
        <v>-11688</v>
      </c>
      <c r="K726" s="8" t="n">
        <f aca="false">IFERROR(J726/H726,0)</f>
        <v>-0.0550253988729397</v>
      </c>
      <c r="L726" s="7" t="n">
        <f aca="false">D726-H726</f>
        <v>151478</v>
      </c>
      <c r="M726" s="7" t="n">
        <f aca="false">E726-I726</f>
        <v>142205</v>
      </c>
      <c r="N726" s="7" t="n">
        <f aca="false">IFERROR(L726/D726,0)</f>
        <v>0.416275292740369</v>
      </c>
      <c r="O726" s="7" t="n">
        <f aca="false">IFERROR(M726/E726,0)</f>
        <v>0.388215798899275</v>
      </c>
      <c r="P726" s="7" t="n">
        <f aca="false">01_Data!I726+01_Data!K726+01_Data!M726+01_Data!O726+01_Data!Q726+01_Data!S726+01_Data!U726</f>
        <v>91798</v>
      </c>
      <c r="Q726" s="7" t="n">
        <f aca="false">01_Data!J726+01_Data!L726+01_Data!N726+01_Data!P726+01_Data!R726+01_Data!T726+01_Data!V726</f>
        <v>93797</v>
      </c>
      <c r="R726" s="7" t="n">
        <f aca="false">P726-Q726</f>
        <v>-1999</v>
      </c>
      <c r="S726" s="7" t="n">
        <f aca="false">L726-P726</f>
        <v>59680</v>
      </c>
      <c r="T726" s="7" t="n">
        <f aca="false">M726-Q726</f>
        <v>48408</v>
      </c>
      <c r="U726" s="7" t="n">
        <f aca="false">T726-S726</f>
        <v>-11272</v>
      </c>
      <c r="V726" s="8" t="n">
        <f aca="false">IFERROR(U726/S726,0)</f>
        <v>-0.18887399463807</v>
      </c>
      <c r="W726" s="5" t="str">
        <f aca="false">IF(V726&lt;-0.1,"ADVERSE &gt;10%","")</f>
        <v>ADVERSE &gt;10%</v>
      </c>
    </row>
    <row r="727" customFormat="false" ht="15" hidden="false" customHeight="false" outlineLevel="0" collapsed="false">
      <c r="A727" s="5" t="str">
        <f aca="false">01_Data!A727</f>
        <v>Technology &amp; Telecom</v>
      </c>
      <c r="B727" s="5" t="str">
        <f aca="false">01_Data!C727</f>
        <v>2023-09</v>
      </c>
      <c r="C727" s="5" t="str">
        <f aca="false">01_Data!D727</f>
        <v>FY23</v>
      </c>
      <c r="D727" s="7" t="n">
        <f aca="false">01_Data!E727</f>
        <v>425815</v>
      </c>
      <c r="E727" s="7" t="n">
        <f aca="false">01_Data!F727</f>
        <v>405635</v>
      </c>
      <c r="F727" s="7" t="n">
        <f aca="false">E727-D727</f>
        <v>-20180</v>
      </c>
      <c r="G727" s="8" t="n">
        <f aca="false">IFERROR(F727/D727,0)</f>
        <v>-0.0473914728227047</v>
      </c>
      <c r="H727" s="7" t="n">
        <f aca="false">01_Data!G727</f>
        <v>233014</v>
      </c>
      <c r="I727" s="7" t="n">
        <f aca="false">01_Data!H727</f>
        <v>226772</v>
      </c>
      <c r="J727" s="7" t="n">
        <f aca="false">H727-I727</f>
        <v>6242</v>
      </c>
      <c r="K727" s="8" t="n">
        <f aca="false">IFERROR(J727/H727,0)</f>
        <v>0.0267880899860094</v>
      </c>
      <c r="L727" s="7" t="n">
        <f aca="false">D727-H727</f>
        <v>192801</v>
      </c>
      <c r="M727" s="7" t="n">
        <f aca="false">E727-I727</f>
        <v>178863</v>
      </c>
      <c r="N727" s="7" t="n">
        <f aca="false">IFERROR(L727/D727,0)</f>
        <v>0.452781137348379</v>
      </c>
      <c r="O727" s="7" t="n">
        <f aca="false">IFERROR(M727/E727,0)</f>
        <v>0.440945677764493</v>
      </c>
      <c r="P727" s="7" t="n">
        <f aca="false">01_Data!I727+01_Data!K727+01_Data!M727+01_Data!O727+01_Data!Q727+01_Data!S727+01_Data!U727</f>
        <v>122895</v>
      </c>
      <c r="Q727" s="7" t="n">
        <f aca="false">01_Data!J727+01_Data!L727+01_Data!N727+01_Data!P727+01_Data!R727+01_Data!T727+01_Data!V727</f>
        <v>127556</v>
      </c>
      <c r="R727" s="7" t="n">
        <f aca="false">P727-Q727</f>
        <v>-4661</v>
      </c>
      <c r="S727" s="7" t="n">
        <f aca="false">L727-P727</f>
        <v>69906</v>
      </c>
      <c r="T727" s="7" t="n">
        <f aca="false">M727-Q727</f>
        <v>51307</v>
      </c>
      <c r="U727" s="7" t="n">
        <f aca="false">T727-S727</f>
        <v>-18599</v>
      </c>
      <c r="V727" s="8" t="n">
        <f aca="false">IFERROR(U727/S727,0)</f>
        <v>-0.266057276914714</v>
      </c>
      <c r="W727" s="5" t="str">
        <f aca="false">IF(V727&lt;-0.1,"ADVERSE &gt;10%","")</f>
        <v>ADVERSE &gt;10%</v>
      </c>
    </row>
    <row r="728" customFormat="false" ht="15" hidden="false" customHeight="false" outlineLevel="0" collapsed="false">
      <c r="A728" s="5" t="str">
        <f aca="false">01_Data!A728</f>
        <v>Technology &amp; Telecom</v>
      </c>
      <c r="B728" s="5" t="str">
        <f aca="false">01_Data!C728</f>
        <v>2023-10</v>
      </c>
      <c r="C728" s="5" t="str">
        <f aca="false">01_Data!D728</f>
        <v>FY23</v>
      </c>
      <c r="D728" s="7" t="n">
        <f aca="false">01_Data!E728</f>
        <v>370397</v>
      </c>
      <c r="E728" s="7" t="n">
        <f aca="false">01_Data!F728</f>
        <v>383491</v>
      </c>
      <c r="F728" s="7" t="n">
        <f aca="false">E728-D728</f>
        <v>13094</v>
      </c>
      <c r="G728" s="8" t="n">
        <f aca="false">IFERROR(F728/D728,0)</f>
        <v>0.0353512582445322</v>
      </c>
      <c r="H728" s="7" t="n">
        <f aca="false">01_Data!G728</f>
        <v>208849</v>
      </c>
      <c r="I728" s="7" t="n">
        <f aca="false">01_Data!H728</f>
        <v>215799</v>
      </c>
      <c r="J728" s="7" t="n">
        <f aca="false">H728-I728</f>
        <v>-6950</v>
      </c>
      <c r="K728" s="8" t="n">
        <f aca="false">IFERROR(J728/H728,0)</f>
        <v>-0.0332776312072359</v>
      </c>
      <c r="L728" s="7" t="n">
        <f aca="false">D728-H728</f>
        <v>161548</v>
      </c>
      <c r="M728" s="7" t="n">
        <f aca="false">E728-I728</f>
        <v>167692</v>
      </c>
      <c r="N728" s="7" t="n">
        <f aca="false">IFERROR(L728/D728,0)</f>
        <v>0.436148240941476</v>
      </c>
      <c r="O728" s="7" t="n">
        <f aca="false">IFERROR(M728/E728,0)</f>
        <v>0.437277537152111</v>
      </c>
      <c r="P728" s="7" t="n">
        <f aca="false">01_Data!I728+01_Data!K728+01_Data!M728+01_Data!O728+01_Data!Q728+01_Data!S728+01_Data!U728</f>
        <v>93621</v>
      </c>
      <c r="Q728" s="7" t="n">
        <f aca="false">01_Data!J728+01_Data!L728+01_Data!N728+01_Data!P728+01_Data!R728+01_Data!T728+01_Data!V728</f>
        <v>95090</v>
      </c>
      <c r="R728" s="7" t="n">
        <f aca="false">P728-Q728</f>
        <v>-1469</v>
      </c>
      <c r="S728" s="7" t="n">
        <f aca="false">L728-P728</f>
        <v>67927</v>
      </c>
      <c r="T728" s="7" t="n">
        <f aca="false">M728-Q728</f>
        <v>72602</v>
      </c>
      <c r="U728" s="7" t="n">
        <f aca="false">T728-S728</f>
        <v>4675</v>
      </c>
      <c r="V728" s="8" t="n">
        <f aca="false">IFERROR(U728/S728,0)</f>
        <v>0.0688238844642042</v>
      </c>
      <c r="W728" s="5" t="str">
        <f aca="false">IF(V728&lt;-0.1,"ADVERSE &gt;10%","")</f>
        <v/>
      </c>
    </row>
    <row r="729" customFormat="false" ht="15" hidden="false" customHeight="false" outlineLevel="0" collapsed="false">
      <c r="A729" s="5" t="str">
        <f aca="false">01_Data!A729</f>
        <v>Technology &amp; Telecom</v>
      </c>
      <c r="B729" s="5" t="str">
        <f aca="false">01_Data!C729</f>
        <v>2023-11</v>
      </c>
      <c r="C729" s="5" t="str">
        <f aca="false">01_Data!D729</f>
        <v>FY23</v>
      </c>
      <c r="D729" s="7" t="n">
        <f aca="false">01_Data!E729</f>
        <v>379576</v>
      </c>
      <c r="E729" s="7" t="n">
        <f aca="false">01_Data!F729</f>
        <v>394337</v>
      </c>
      <c r="F729" s="7" t="n">
        <f aca="false">E729-D729</f>
        <v>14761</v>
      </c>
      <c r="G729" s="8" t="n">
        <f aca="false">IFERROR(F729/D729,0)</f>
        <v>0.0388881278057622</v>
      </c>
      <c r="H729" s="7" t="n">
        <f aca="false">01_Data!G729</f>
        <v>220678</v>
      </c>
      <c r="I729" s="7" t="n">
        <f aca="false">01_Data!H729</f>
        <v>237351</v>
      </c>
      <c r="J729" s="7" t="n">
        <f aca="false">H729-I729</f>
        <v>-16673</v>
      </c>
      <c r="K729" s="8" t="n">
        <f aca="false">IFERROR(J729/H729,0)</f>
        <v>-0.07555352142035</v>
      </c>
      <c r="L729" s="7" t="n">
        <f aca="false">D729-H729</f>
        <v>158898</v>
      </c>
      <c r="M729" s="7" t="n">
        <f aca="false">E729-I729</f>
        <v>156986</v>
      </c>
      <c r="N729" s="7" t="n">
        <f aca="false">IFERROR(L729/D729,0)</f>
        <v>0.418619723059414</v>
      </c>
      <c r="O729" s="7" t="n">
        <f aca="false">IFERROR(M729/E729,0)</f>
        <v>0.398101116557665</v>
      </c>
      <c r="P729" s="7" t="n">
        <f aca="false">01_Data!I729+01_Data!K729+01_Data!M729+01_Data!O729+01_Data!Q729+01_Data!S729+01_Data!U729</f>
        <v>109635</v>
      </c>
      <c r="Q729" s="7" t="n">
        <f aca="false">01_Data!J729+01_Data!L729+01_Data!N729+01_Data!P729+01_Data!R729+01_Data!T729+01_Data!V729</f>
        <v>110270</v>
      </c>
      <c r="R729" s="7" t="n">
        <f aca="false">P729-Q729</f>
        <v>-635</v>
      </c>
      <c r="S729" s="7" t="n">
        <f aca="false">L729-P729</f>
        <v>49263</v>
      </c>
      <c r="T729" s="7" t="n">
        <f aca="false">M729-Q729</f>
        <v>46716</v>
      </c>
      <c r="U729" s="7" t="n">
        <f aca="false">T729-S729</f>
        <v>-2547</v>
      </c>
      <c r="V729" s="8" t="n">
        <f aca="false">IFERROR(U729/S729,0)</f>
        <v>-0.0517020887887461</v>
      </c>
      <c r="W729" s="5" t="str">
        <f aca="false">IF(V729&lt;-0.1,"ADVERSE &gt;10%","")</f>
        <v/>
      </c>
    </row>
    <row r="730" customFormat="false" ht="15" hidden="false" customHeight="false" outlineLevel="0" collapsed="false">
      <c r="A730" s="5" t="str">
        <f aca="false">01_Data!A730</f>
        <v>Technology &amp; Telecom</v>
      </c>
      <c r="B730" s="5" t="str">
        <f aca="false">01_Data!C730</f>
        <v>2023-12</v>
      </c>
      <c r="C730" s="5" t="str">
        <f aca="false">01_Data!D730</f>
        <v>FY23</v>
      </c>
      <c r="D730" s="7" t="n">
        <f aca="false">01_Data!E730</f>
        <v>446776</v>
      </c>
      <c r="E730" s="7" t="n">
        <f aca="false">01_Data!F730</f>
        <v>426224</v>
      </c>
      <c r="F730" s="7" t="n">
        <f aca="false">E730-D730</f>
        <v>-20552</v>
      </c>
      <c r="G730" s="8" t="n">
        <f aca="false">IFERROR(F730/D730,0)</f>
        <v>-0.0460006804304618</v>
      </c>
      <c r="H730" s="7" t="n">
        <f aca="false">01_Data!G730</f>
        <v>260726</v>
      </c>
      <c r="I730" s="7" t="n">
        <f aca="false">01_Data!H730</f>
        <v>251732</v>
      </c>
      <c r="J730" s="7" t="n">
        <f aca="false">H730-I730</f>
        <v>8994</v>
      </c>
      <c r="K730" s="8" t="n">
        <f aca="false">IFERROR(J730/H730,0)</f>
        <v>0.0344959842900209</v>
      </c>
      <c r="L730" s="7" t="n">
        <f aca="false">D730-H730</f>
        <v>186050</v>
      </c>
      <c r="M730" s="7" t="n">
        <f aca="false">E730-I730</f>
        <v>174492</v>
      </c>
      <c r="N730" s="7" t="n">
        <f aca="false">IFERROR(L730/D730,0)</f>
        <v>0.416427919136211</v>
      </c>
      <c r="O730" s="7" t="n">
        <f aca="false">IFERROR(M730/E730,0)</f>
        <v>0.409390367506288</v>
      </c>
      <c r="P730" s="7" t="n">
        <f aca="false">01_Data!I730+01_Data!K730+01_Data!M730+01_Data!O730+01_Data!Q730+01_Data!S730+01_Data!U730</f>
        <v>120207</v>
      </c>
      <c r="Q730" s="7" t="n">
        <f aca="false">01_Data!J730+01_Data!L730+01_Data!N730+01_Data!P730+01_Data!R730+01_Data!T730+01_Data!V730</f>
        <v>124128</v>
      </c>
      <c r="R730" s="7" t="n">
        <f aca="false">P730-Q730</f>
        <v>-3921</v>
      </c>
      <c r="S730" s="7" t="n">
        <f aca="false">L730-P730</f>
        <v>65843</v>
      </c>
      <c r="T730" s="7" t="n">
        <f aca="false">M730-Q730</f>
        <v>50364</v>
      </c>
      <c r="U730" s="7" t="n">
        <f aca="false">T730-S730</f>
        <v>-15479</v>
      </c>
      <c r="V730" s="8" t="n">
        <f aca="false">IFERROR(U730/S730,0)</f>
        <v>-0.23508953115745</v>
      </c>
      <c r="W730" s="5" t="str">
        <f aca="false">IF(V730&lt;-0.1,"ADVERSE &gt;10%","")</f>
        <v>ADVERSE &gt;10%</v>
      </c>
    </row>
    <row r="731" customFormat="false" ht="15" hidden="false" customHeight="false" outlineLevel="0" collapsed="false">
      <c r="A731" s="5" t="str">
        <f aca="false">01_Data!A731</f>
        <v>Technology &amp; Telecom</v>
      </c>
      <c r="B731" s="5" t="str">
        <f aca="false">01_Data!C731</f>
        <v>2024-01</v>
      </c>
      <c r="C731" s="5" t="str">
        <f aca="false">01_Data!D731</f>
        <v>FY23</v>
      </c>
      <c r="D731" s="7" t="n">
        <f aca="false">01_Data!E731</f>
        <v>378724</v>
      </c>
      <c r="E731" s="7" t="n">
        <f aca="false">01_Data!F731</f>
        <v>395941</v>
      </c>
      <c r="F731" s="7" t="n">
        <f aca="false">E731-D731</f>
        <v>17217</v>
      </c>
      <c r="G731" s="8" t="n">
        <f aca="false">IFERROR(F731/D731,0)</f>
        <v>0.0454605464665561</v>
      </c>
      <c r="H731" s="7" t="n">
        <f aca="false">01_Data!G731</f>
        <v>225524</v>
      </c>
      <c r="I731" s="7" t="n">
        <f aca="false">01_Data!H731</f>
        <v>240636</v>
      </c>
      <c r="J731" s="7" t="n">
        <f aca="false">H731-I731</f>
        <v>-15112</v>
      </c>
      <c r="K731" s="8" t="n">
        <f aca="false">IFERROR(J731/H731,0)</f>
        <v>-0.0670083893510225</v>
      </c>
      <c r="L731" s="7" t="n">
        <f aca="false">D731-H731</f>
        <v>153200</v>
      </c>
      <c r="M731" s="7" t="n">
        <f aca="false">E731-I731</f>
        <v>155305</v>
      </c>
      <c r="N731" s="7" t="n">
        <f aca="false">IFERROR(L731/D731,0)</f>
        <v>0.404516217614939</v>
      </c>
      <c r="O731" s="7" t="n">
        <f aca="false">IFERROR(M731/E731,0)</f>
        <v>0.392242783647059</v>
      </c>
      <c r="P731" s="7" t="n">
        <f aca="false">01_Data!I731+01_Data!K731+01_Data!M731+01_Data!O731+01_Data!Q731+01_Data!S731+01_Data!U731</f>
        <v>103353</v>
      </c>
      <c r="Q731" s="7" t="n">
        <f aca="false">01_Data!J731+01_Data!L731+01_Data!N731+01_Data!P731+01_Data!R731+01_Data!T731+01_Data!V731</f>
        <v>108432</v>
      </c>
      <c r="R731" s="7" t="n">
        <f aca="false">P731-Q731</f>
        <v>-5079</v>
      </c>
      <c r="S731" s="7" t="n">
        <f aca="false">L731-P731</f>
        <v>49847</v>
      </c>
      <c r="T731" s="7" t="n">
        <f aca="false">M731-Q731</f>
        <v>46873</v>
      </c>
      <c r="U731" s="7" t="n">
        <f aca="false">T731-S731</f>
        <v>-2974</v>
      </c>
      <c r="V731" s="8" t="n">
        <f aca="false">IFERROR(U731/S731,0)</f>
        <v>-0.0596625674564166</v>
      </c>
      <c r="W731" s="5" t="str">
        <f aca="false">IF(V731&lt;-0.1,"ADVERSE &gt;10%","")</f>
        <v/>
      </c>
    </row>
    <row r="732" customFormat="false" ht="15" hidden="false" customHeight="false" outlineLevel="0" collapsed="false">
      <c r="A732" s="5" t="str">
        <f aca="false">01_Data!A732</f>
        <v>Technology &amp; Telecom</v>
      </c>
      <c r="B732" s="5" t="str">
        <f aca="false">01_Data!C732</f>
        <v>2024-02</v>
      </c>
      <c r="C732" s="5" t="str">
        <f aca="false">01_Data!D732</f>
        <v>FY23</v>
      </c>
      <c r="D732" s="7" t="n">
        <f aca="false">01_Data!E732</f>
        <v>420164</v>
      </c>
      <c r="E732" s="7" t="n">
        <f aca="false">01_Data!F732</f>
        <v>404407</v>
      </c>
      <c r="F732" s="7" t="n">
        <f aca="false">E732-D732</f>
        <v>-15757</v>
      </c>
      <c r="G732" s="8" t="n">
        <f aca="false">IFERROR(F732/D732,0)</f>
        <v>-0.0375020230195828</v>
      </c>
      <c r="H732" s="7" t="n">
        <f aca="false">01_Data!G732</f>
        <v>236880</v>
      </c>
      <c r="I732" s="7" t="n">
        <f aca="false">01_Data!H732</f>
        <v>236559</v>
      </c>
      <c r="J732" s="7" t="n">
        <f aca="false">H732-I732</f>
        <v>321</v>
      </c>
      <c r="K732" s="8" t="n">
        <f aca="false">IFERROR(J732/H732,0)</f>
        <v>0.00135511651469098</v>
      </c>
      <c r="L732" s="7" t="n">
        <f aca="false">D732-H732</f>
        <v>183284</v>
      </c>
      <c r="M732" s="7" t="n">
        <f aca="false">E732-I732</f>
        <v>167848</v>
      </c>
      <c r="N732" s="7" t="n">
        <f aca="false">IFERROR(L732/D732,0)</f>
        <v>0.43622014261098</v>
      </c>
      <c r="O732" s="7" t="n">
        <f aca="false">IFERROR(M732/E732,0)</f>
        <v>0.415047217283578</v>
      </c>
      <c r="P732" s="7" t="n">
        <f aca="false">01_Data!I732+01_Data!K732+01_Data!M732+01_Data!O732+01_Data!Q732+01_Data!S732+01_Data!U732</f>
        <v>118492</v>
      </c>
      <c r="Q732" s="7" t="n">
        <f aca="false">01_Data!J732+01_Data!L732+01_Data!N732+01_Data!P732+01_Data!R732+01_Data!T732+01_Data!V732</f>
        <v>125357</v>
      </c>
      <c r="R732" s="7" t="n">
        <f aca="false">P732-Q732</f>
        <v>-6865</v>
      </c>
      <c r="S732" s="7" t="n">
        <f aca="false">L732-P732</f>
        <v>64792</v>
      </c>
      <c r="T732" s="7" t="n">
        <f aca="false">M732-Q732</f>
        <v>42491</v>
      </c>
      <c r="U732" s="7" t="n">
        <f aca="false">T732-S732</f>
        <v>-22301</v>
      </c>
      <c r="V732" s="8" t="n">
        <f aca="false">IFERROR(U732/S732,0)</f>
        <v>-0.344193727620694</v>
      </c>
      <c r="W732" s="5" t="str">
        <f aca="false">IF(V732&lt;-0.1,"ADVERSE &gt;10%","")</f>
        <v>ADVERSE &gt;10%</v>
      </c>
    </row>
    <row r="733" customFormat="false" ht="15" hidden="false" customHeight="false" outlineLevel="0" collapsed="false">
      <c r="A733" s="5" t="str">
        <f aca="false">01_Data!A733</f>
        <v>Technology &amp; Telecom</v>
      </c>
      <c r="B733" s="5" t="str">
        <f aca="false">01_Data!C733</f>
        <v>2024-03</v>
      </c>
      <c r="C733" s="5" t="str">
        <f aca="false">01_Data!D733</f>
        <v>FY23</v>
      </c>
      <c r="D733" s="7" t="n">
        <f aca="false">01_Data!E733</f>
        <v>460027</v>
      </c>
      <c r="E733" s="7" t="n">
        <f aca="false">01_Data!F733</f>
        <v>437109</v>
      </c>
      <c r="F733" s="7" t="n">
        <f aca="false">E733-D733</f>
        <v>-22918</v>
      </c>
      <c r="G733" s="8" t="n">
        <f aca="false">IFERROR(F733/D733,0)</f>
        <v>-0.0498188149825988</v>
      </c>
      <c r="H733" s="7" t="n">
        <f aca="false">01_Data!G733</f>
        <v>262854</v>
      </c>
      <c r="I733" s="7" t="n">
        <f aca="false">01_Data!H733</f>
        <v>258924</v>
      </c>
      <c r="J733" s="7" t="n">
        <f aca="false">H733-I733</f>
        <v>3930</v>
      </c>
      <c r="K733" s="8" t="n">
        <f aca="false">IFERROR(J733/H733,0)</f>
        <v>0.0149512657216554</v>
      </c>
      <c r="L733" s="7" t="n">
        <f aca="false">D733-H733</f>
        <v>197173</v>
      </c>
      <c r="M733" s="7" t="n">
        <f aca="false">E733-I733</f>
        <v>178185</v>
      </c>
      <c r="N733" s="7" t="n">
        <f aca="false">IFERROR(L733/D733,0)</f>
        <v>0.428611798872675</v>
      </c>
      <c r="O733" s="7" t="n">
        <f aca="false">IFERROR(M733/E733,0)</f>
        <v>0.407644317550085</v>
      </c>
      <c r="P733" s="7" t="n">
        <f aca="false">01_Data!I733+01_Data!K733+01_Data!M733+01_Data!O733+01_Data!Q733+01_Data!S733+01_Data!U733</f>
        <v>116931</v>
      </c>
      <c r="Q733" s="7" t="n">
        <f aca="false">01_Data!J733+01_Data!L733+01_Data!N733+01_Data!P733+01_Data!R733+01_Data!T733+01_Data!V733</f>
        <v>119849</v>
      </c>
      <c r="R733" s="7" t="n">
        <f aca="false">P733-Q733</f>
        <v>-2918</v>
      </c>
      <c r="S733" s="7" t="n">
        <f aca="false">L733-P733</f>
        <v>80242</v>
      </c>
      <c r="T733" s="7" t="n">
        <f aca="false">M733-Q733</f>
        <v>58336</v>
      </c>
      <c r="U733" s="7" t="n">
        <f aca="false">T733-S733</f>
        <v>-21906</v>
      </c>
      <c r="V733" s="8" t="n">
        <f aca="false">IFERROR(U733/S733,0)</f>
        <v>-0.272999177488099</v>
      </c>
      <c r="W733" s="5" t="str">
        <f aca="false">IF(V733&lt;-0.1,"ADVERSE &gt;10%","")</f>
        <v>ADVERSE &gt;10%</v>
      </c>
    </row>
    <row r="734" customFormat="false" ht="15" hidden="false" customHeight="false" outlineLevel="0" collapsed="false">
      <c r="A734" s="5" t="str">
        <f aca="false">01_Data!A734</f>
        <v>Technology &amp; Telecom</v>
      </c>
      <c r="B734" s="5" t="str">
        <f aca="false">01_Data!C734</f>
        <v>2024-04</v>
      </c>
      <c r="C734" s="5" t="str">
        <f aca="false">01_Data!D734</f>
        <v>FY24</v>
      </c>
      <c r="D734" s="7" t="n">
        <f aca="false">01_Data!E734</f>
        <v>383514</v>
      </c>
      <c r="E734" s="7" t="n">
        <f aca="false">01_Data!F734</f>
        <v>404267</v>
      </c>
      <c r="F734" s="7" t="n">
        <f aca="false">E734-D734</f>
        <v>20753</v>
      </c>
      <c r="G734" s="8" t="n">
        <f aca="false">IFERROR(F734/D734,0)</f>
        <v>0.0541127572917807</v>
      </c>
      <c r="H734" s="7" t="n">
        <f aca="false">01_Data!G734</f>
        <v>228960</v>
      </c>
      <c r="I734" s="7" t="n">
        <f aca="false">01_Data!H734</f>
        <v>238153</v>
      </c>
      <c r="J734" s="7" t="n">
        <f aca="false">H734-I734</f>
        <v>-9193</v>
      </c>
      <c r="K734" s="8" t="n">
        <f aca="false">IFERROR(J734/H734,0)</f>
        <v>-0.0401511180992313</v>
      </c>
      <c r="L734" s="7" t="n">
        <f aca="false">D734-H734</f>
        <v>154554</v>
      </c>
      <c r="M734" s="7" t="n">
        <f aca="false">E734-I734</f>
        <v>166114</v>
      </c>
      <c r="N734" s="7" t="n">
        <f aca="false">IFERROR(L734/D734,0)</f>
        <v>0.402994414806239</v>
      </c>
      <c r="O734" s="7" t="n">
        <f aca="false">IFERROR(M734/E734,0)</f>
        <v>0.410901706050704</v>
      </c>
      <c r="P734" s="7" t="n">
        <f aca="false">01_Data!I734+01_Data!K734+01_Data!M734+01_Data!O734+01_Data!Q734+01_Data!S734+01_Data!U734</f>
        <v>100386</v>
      </c>
      <c r="Q734" s="7" t="n">
        <f aca="false">01_Data!J734+01_Data!L734+01_Data!N734+01_Data!P734+01_Data!R734+01_Data!T734+01_Data!V734</f>
        <v>101201</v>
      </c>
      <c r="R734" s="7" t="n">
        <f aca="false">P734-Q734</f>
        <v>-815</v>
      </c>
      <c r="S734" s="7" t="n">
        <f aca="false">L734-P734</f>
        <v>54168</v>
      </c>
      <c r="T734" s="7" t="n">
        <f aca="false">M734-Q734</f>
        <v>64913</v>
      </c>
      <c r="U734" s="7" t="n">
        <f aca="false">T734-S734</f>
        <v>10745</v>
      </c>
      <c r="V734" s="8" t="n">
        <f aca="false">IFERROR(U734/S734,0)</f>
        <v>0.198364347954512</v>
      </c>
      <c r="W734" s="5" t="str">
        <f aca="false">IF(V734&lt;-0.1,"ADVERSE &gt;10%","")</f>
        <v/>
      </c>
    </row>
    <row r="735" customFormat="false" ht="15" hidden="false" customHeight="false" outlineLevel="0" collapsed="false">
      <c r="A735" s="5" t="str">
        <f aca="false">01_Data!A735</f>
        <v>Technology &amp; Telecom</v>
      </c>
      <c r="B735" s="5" t="str">
        <f aca="false">01_Data!C735</f>
        <v>2024-05</v>
      </c>
      <c r="C735" s="5" t="str">
        <f aca="false">01_Data!D735</f>
        <v>FY24</v>
      </c>
      <c r="D735" s="7" t="n">
        <f aca="false">01_Data!E735</f>
        <v>401088</v>
      </c>
      <c r="E735" s="7" t="n">
        <f aca="false">01_Data!F735</f>
        <v>405812</v>
      </c>
      <c r="F735" s="7" t="n">
        <f aca="false">E735-D735</f>
        <v>4724</v>
      </c>
      <c r="G735" s="8" t="n">
        <f aca="false">IFERROR(F735/D735,0)</f>
        <v>0.0117779639380884</v>
      </c>
      <c r="H735" s="7" t="n">
        <f aca="false">01_Data!G735</f>
        <v>233381</v>
      </c>
      <c r="I735" s="7" t="n">
        <f aca="false">01_Data!H735</f>
        <v>234105</v>
      </c>
      <c r="J735" s="7" t="n">
        <f aca="false">H735-I735</f>
        <v>-724</v>
      </c>
      <c r="K735" s="8" t="n">
        <f aca="false">IFERROR(J735/H735,0)</f>
        <v>-0.0031022234029334</v>
      </c>
      <c r="L735" s="7" t="n">
        <f aca="false">D735-H735</f>
        <v>167707</v>
      </c>
      <c r="M735" s="7" t="n">
        <f aca="false">E735-I735</f>
        <v>171707</v>
      </c>
      <c r="N735" s="7" t="n">
        <f aca="false">IFERROR(L735/D735,0)</f>
        <v>0.418130185894367</v>
      </c>
      <c r="O735" s="7" t="n">
        <f aca="false">IFERROR(M735/E735,0)</f>
        <v>0.423119572609977</v>
      </c>
      <c r="P735" s="7" t="n">
        <f aca="false">01_Data!I735+01_Data!K735+01_Data!M735+01_Data!O735+01_Data!Q735+01_Data!S735+01_Data!U735</f>
        <v>102229</v>
      </c>
      <c r="Q735" s="7" t="n">
        <f aca="false">01_Data!J735+01_Data!L735+01_Data!N735+01_Data!P735+01_Data!R735+01_Data!T735+01_Data!V735</f>
        <v>103013</v>
      </c>
      <c r="R735" s="7" t="n">
        <f aca="false">P735-Q735</f>
        <v>-784</v>
      </c>
      <c r="S735" s="7" t="n">
        <f aca="false">L735-P735</f>
        <v>65478</v>
      </c>
      <c r="T735" s="7" t="n">
        <f aca="false">M735-Q735</f>
        <v>68694</v>
      </c>
      <c r="U735" s="7" t="n">
        <f aca="false">T735-S735</f>
        <v>3216</v>
      </c>
      <c r="V735" s="8" t="n">
        <f aca="false">IFERROR(U735/S735,0)</f>
        <v>0.0491157335288188</v>
      </c>
      <c r="W735" s="5" t="str">
        <f aca="false">IF(V735&lt;-0.1,"ADVERSE &gt;10%","")</f>
        <v/>
      </c>
    </row>
    <row r="736" customFormat="false" ht="15" hidden="false" customHeight="false" outlineLevel="0" collapsed="false">
      <c r="A736" s="5" t="str">
        <f aca="false">01_Data!A736</f>
        <v>Technology &amp; Telecom</v>
      </c>
      <c r="B736" s="5" t="str">
        <f aca="false">01_Data!C736</f>
        <v>2024-06</v>
      </c>
      <c r="C736" s="5" t="str">
        <f aca="false">01_Data!D736</f>
        <v>FY24</v>
      </c>
      <c r="D736" s="7" t="n">
        <f aca="false">01_Data!E736</f>
        <v>390544</v>
      </c>
      <c r="E736" s="7" t="n">
        <f aca="false">01_Data!F736</f>
        <v>410338</v>
      </c>
      <c r="F736" s="7" t="n">
        <f aca="false">E736-D736</f>
        <v>19794</v>
      </c>
      <c r="G736" s="8" t="n">
        <f aca="false">IFERROR(F736/D736,0)</f>
        <v>0.0506831496579131</v>
      </c>
      <c r="H736" s="7" t="n">
        <f aca="false">01_Data!G736</f>
        <v>227029</v>
      </c>
      <c r="I736" s="7" t="n">
        <f aca="false">01_Data!H736</f>
        <v>243054</v>
      </c>
      <c r="J736" s="7" t="n">
        <f aca="false">H736-I736</f>
        <v>-16025</v>
      </c>
      <c r="K736" s="8" t="n">
        <f aca="false">IFERROR(J736/H736,0)</f>
        <v>-0.0705856961004982</v>
      </c>
      <c r="L736" s="7" t="n">
        <f aca="false">D736-H736</f>
        <v>163515</v>
      </c>
      <c r="M736" s="7" t="n">
        <f aca="false">E736-I736</f>
        <v>167284</v>
      </c>
      <c r="N736" s="7" t="n">
        <f aca="false">IFERROR(L736/D736,0)</f>
        <v>0.418685218566922</v>
      </c>
      <c r="O736" s="7" t="n">
        <f aca="false">IFERROR(M736/E736,0)</f>
        <v>0.407673673898104</v>
      </c>
      <c r="P736" s="7" t="n">
        <f aca="false">01_Data!I736+01_Data!K736+01_Data!M736+01_Data!O736+01_Data!Q736+01_Data!S736+01_Data!U736</f>
        <v>105108</v>
      </c>
      <c r="Q736" s="7" t="n">
        <f aca="false">01_Data!J736+01_Data!L736+01_Data!N736+01_Data!P736+01_Data!R736+01_Data!T736+01_Data!V736</f>
        <v>108940</v>
      </c>
      <c r="R736" s="7" t="n">
        <f aca="false">P736-Q736</f>
        <v>-3832</v>
      </c>
      <c r="S736" s="7" t="n">
        <f aca="false">L736-P736</f>
        <v>58407</v>
      </c>
      <c r="T736" s="7" t="n">
        <f aca="false">M736-Q736</f>
        <v>58344</v>
      </c>
      <c r="U736" s="7" t="n">
        <f aca="false">T736-S736</f>
        <v>-63</v>
      </c>
      <c r="V736" s="8" t="n">
        <f aca="false">IFERROR(U736/S736,0)</f>
        <v>-0.00107863783450614</v>
      </c>
      <c r="W736" s="5" t="str">
        <f aca="false">IF(V736&lt;-0.1,"ADVERSE &gt;10%","")</f>
        <v/>
      </c>
    </row>
    <row r="737" customFormat="false" ht="15" hidden="false" customHeight="false" outlineLevel="0" collapsed="false">
      <c r="A737" s="5" t="str">
        <f aca="false">01_Data!A737</f>
        <v>Technology &amp; Telecom</v>
      </c>
      <c r="B737" s="5" t="str">
        <f aca="false">01_Data!C737</f>
        <v>2024-07</v>
      </c>
      <c r="C737" s="5" t="str">
        <f aca="false">01_Data!D737</f>
        <v>FY24</v>
      </c>
      <c r="D737" s="7" t="n">
        <f aca="false">01_Data!E737</f>
        <v>405410</v>
      </c>
      <c r="E737" s="7" t="n">
        <f aca="false">01_Data!F737</f>
        <v>418395</v>
      </c>
      <c r="F737" s="7" t="n">
        <f aca="false">E737-D737</f>
        <v>12985</v>
      </c>
      <c r="G737" s="8" t="n">
        <f aca="false">IFERROR(F737/D737,0)</f>
        <v>0.0320293036678918</v>
      </c>
      <c r="H737" s="7" t="n">
        <f aca="false">01_Data!G737</f>
        <v>242857</v>
      </c>
      <c r="I737" s="7" t="n">
        <f aca="false">01_Data!H737</f>
        <v>242986</v>
      </c>
      <c r="J737" s="7" t="n">
        <f aca="false">H737-I737</f>
        <v>-129</v>
      </c>
      <c r="K737" s="8" t="n">
        <f aca="false">IFERROR(J737/H737,0)</f>
        <v>-0.000531176783045167</v>
      </c>
      <c r="L737" s="7" t="n">
        <f aca="false">D737-H737</f>
        <v>162553</v>
      </c>
      <c r="M737" s="7" t="n">
        <f aca="false">E737-I737</f>
        <v>175409</v>
      </c>
      <c r="N737" s="7" t="n">
        <f aca="false">IFERROR(L737/D737,0)</f>
        <v>0.400959522458745</v>
      </c>
      <c r="O737" s="7" t="n">
        <f aca="false">IFERROR(M737/E737,0)</f>
        <v>0.419242581770815</v>
      </c>
      <c r="P737" s="7" t="n">
        <f aca="false">01_Data!I737+01_Data!K737+01_Data!M737+01_Data!O737+01_Data!Q737+01_Data!S737+01_Data!U737</f>
        <v>106954</v>
      </c>
      <c r="Q737" s="7" t="n">
        <f aca="false">01_Data!J737+01_Data!L737+01_Data!N737+01_Data!P737+01_Data!R737+01_Data!T737+01_Data!V737</f>
        <v>109707</v>
      </c>
      <c r="R737" s="7" t="n">
        <f aca="false">P737-Q737</f>
        <v>-2753</v>
      </c>
      <c r="S737" s="7" t="n">
        <f aca="false">L737-P737</f>
        <v>55599</v>
      </c>
      <c r="T737" s="7" t="n">
        <f aca="false">M737-Q737</f>
        <v>65702</v>
      </c>
      <c r="U737" s="7" t="n">
        <f aca="false">T737-S737</f>
        <v>10103</v>
      </c>
      <c r="V737" s="8" t="n">
        <f aca="false">IFERROR(U737/S737,0)</f>
        <v>0.181711901293189</v>
      </c>
      <c r="W737" s="5" t="str">
        <f aca="false">IF(V737&lt;-0.1,"ADVERSE &gt;10%","")</f>
        <v/>
      </c>
    </row>
    <row r="738" customFormat="false" ht="15" hidden="false" customHeight="false" outlineLevel="0" collapsed="false">
      <c r="A738" s="5" t="str">
        <f aca="false">01_Data!A738</f>
        <v>Technology &amp; Telecom</v>
      </c>
      <c r="B738" s="5" t="str">
        <f aca="false">01_Data!C738</f>
        <v>2024-08</v>
      </c>
      <c r="C738" s="5" t="str">
        <f aca="false">01_Data!D738</f>
        <v>FY24</v>
      </c>
      <c r="D738" s="7" t="n">
        <f aca="false">01_Data!E738</f>
        <v>441958</v>
      </c>
      <c r="E738" s="7" t="n">
        <f aca="false">01_Data!F738</f>
        <v>420513</v>
      </c>
      <c r="F738" s="7" t="n">
        <f aca="false">E738-D738</f>
        <v>-21445</v>
      </c>
      <c r="G738" s="8" t="n">
        <f aca="false">IFERROR(F738/D738,0)</f>
        <v>-0.048522710302789</v>
      </c>
      <c r="H738" s="7" t="n">
        <f aca="false">01_Data!G738</f>
        <v>255992</v>
      </c>
      <c r="I738" s="7" t="n">
        <f aca="false">01_Data!H738</f>
        <v>236184</v>
      </c>
      <c r="J738" s="7" t="n">
        <f aca="false">H738-I738</f>
        <v>19808</v>
      </c>
      <c r="K738" s="8" t="n">
        <f aca="false">IFERROR(J738/H738,0)</f>
        <v>0.0773774180443139</v>
      </c>
      <c r="L738" s="7" t="n">
        <f aca="false">D738-H738</f>
        <v>185966</v>
      </c>
      <c r="M738" s="7" t="n">
        <f aca="false">E738-I738</f>
        <v>184329</v>
      </c>
      <c r="N738" s="7" t="n">
        <f aca="false">IFERROR(L738/D738,0)</f>
        <v>0.420777539947235</v>
      </c>
      <c r="O738" s="7" t="n">
        <f aca="false">IFERROR(M738/E738,0)</f>
        <v>0.438343166560844</v>
      </c>
      <c r="P738" s="7" t="n">
        <f aca="false">01_Data!I738+01_Data!K738+01_Data!M738+01_Data!O738+01_Data!Q738+01_Data!S738+01_Data!U738</f>
        <v>116966</v>
      </c>
      <c r="Q738" s="7" t="n">
        <f aca="false">01_Data!J738+01_Data!L738+01_Data!N738+01_Data!P738+01_Data!R738+01_Data!T738+01_Data!V738</f>
        <v>120056</v>
      </c>
      <c r="R738" s="7" t="n">
        <f aca="false">P738-Q738</f>
        <v>-3090</v>
      </c>
      <c r="S738" s="7" t="n">
        <f aca="false">L738-P738</f>
        <v>69000</v>
      </c>
      <c r="T738" s="7" t="n">
        <f aca="false">M738-Q738</f>
        <v>64273</v>
      </c>
      <c r="U738" s="7" t="n">
        <f aca="false">T738-S738</f>
        <v>-4727</v>
      </c>
      <c r="V738" s="8" t="n">
        <f aca="false">IFERROR(U738/S738,0)</f>
        <v>-0.0685072463768116</v>
      </c>
      <c r="W738" s="5" t="str">
        <f aca="false">IF(V738&lt;-0.1,"ADVERSE &gt;10%","")</f>
        <v/>
      </c>
    </row>
    <row r="739" customFormat="false" ht="15" hidden="false" customHeight="false" outlineLevel="0" collapsed="false">
      <c r="A739" s="5" t="str">
        <f aca="false">01_Data!A739</f>
        <v>Technology &amp; Telecom</v>
      </c>
      <c r="B739" s="5" t="str">
        <f aca="false">01_Data!C739</f>
        <v>2024-09</v>
      </c>
      <c r="C739" s="5" t="str">
        <f aca="false">01_Data!D739</f>
        <v>FY24</v>
      </c>
      <c r="D739" s="7" t="n">
        <f aca="false">01_Data!E739</f>
        <v>478875</v>
      </c>
      <c r="E739" s="7" t="n">
        <f aca="false">01_Data!F739</f>
        <v>461871</v>
      </c>
      <c r="F739" s="7" t="n">
        <f aca="false">E739-D739</f>
        <v>-17004</v>
      </c>
      <c r="G739" s="8" t="n">
        <f aca="false">IFERROR(F739/D739,0)</f>
        <v>-0.0355082223962412</v>
      </c>
      <c r="H739" s="7" t="n">
        <f aca="false">01_Data!G739</f>
        <v>284607</v>
      </c>
      <c r="I739" s="7" t="n">
        <f aca="false">01_Data!H739</f>
        <v>283103</v>
      </c>
      <c r="J739" s="7" t="n">
        <f aca="false">H739-I739</f>
        <v>1504</v>
      </c>
      <c r="K739" s="8" t="n">
        <f aca="false">IFERROR(J739/H739,0)</f>
        <v>0.00528448000224871</v>
      </c>
      <c r="L739" s="7" t="n">
        <f aca="false">D739-H739</f>
        <v>194268</v>
      </c>
      <c r="M739" s="7" t="n">
        <f aca="false">E739-I739</f>
        <v>178768</v>
      </c>
      <c r="N739" s="7" t="n">
        <f aca="false">IFERROR(L739/D739,0)</f>
        <v>0.40567580266249</v>
      </c>
      <c r="O739" s="7" t="n">
        <f aca="false">IFERROR(M739/E739,0)</f>
        <v>0.387051795847758</v>
      </c>
      <c r="P739" s="7" t="n">
        <f aca="false">01_Data!I739+01_Data!K739+01_Data!M739+01_Data!O739+01_Data!Q739+01_Data!S739+01_Data!U739</f>
        <v>123730</v>
      </c>
      <c r="Q739" s="7" t="n">
        <f aca="false">01_Data!J739+01_Data!L739+01_Data!N739+01_Data!P739+01_Data!R739+01_Data!T739+01_Data!V739</f>
        <v>124129</v>
      </c>
      <c r="R739" s="7" t="n">
        <f aca="false">P739-Q739</f>
        <v>-399</v>
      </c>
      <c r="S739" s="7" t="n">
        <f aca="false">L739-P739</f>
        <v>70538</v>
      </c>
      <c r="T739" s="7" t="n">
        <f aca="false">M739-Q739</f>
        <v>54639</v>
      </c>
      <c r="U739" s="7" t="n">
        <f aca="false">T739-S739</f>
        <v>-15899</v>
      </c>
      <c r="V739" s="8" t="n">
        <f aca="false">IFERROR(U739/S739,0)</f>
        <v>-0.225396240324364</v>
      </c>
      <c r="W739" s="5" t="str">
        <f aca="false">IF(V739&lt;-0.1,"ADVERSE &gt;10%","")</f>
        <v>ADVERSE &gt;10%</v>
      </c>
    </row>
    <row r="740" customFormat="false" ht="15" hidden="false" customHeight="false" outlineLevel="0" collapsed="false">
      <c r="A740" s="5" t="str">
        <f aca="false">01_Data!A740</f>
        <v>Technology &amp; Telecom</v>
      </c>
      <c r="B740" s="5" t="str">
        <f aca="false">01_Data!C740</f>
        <v>2024-10</v>
      </c>
      <c r="C740" s="5" t="str">
        <f aca="false">01_Data!D740</f>
        <v>FY24</v>
      </c>
      <c r="D740" s="7" t="n">
        <f aca="false">01_Data!E740</f>
        <v>425344</v>
      </c>
      <c r="E740" s="7" t="n">
        <f aca="false">01_Data!F740</f>
        <v>432260</v>
      </c>
      <c r="F740" s="7" t="n">
        <f aca="false">E740-D740</f>
        <v>6916</v>
      </c>
      <c r="G740" s="8" t="n">
        <f aca="false">IFERROR(F740/D740,0)</f>
        <v>0.0162597803189889</v>
      </c>
      <c r="H740" s="7" t="n">
        <f aca="false">01_Data!G740</f>
        <v>247523</v>
      </c>
      <c r="I740" s="7" t="n">
        <f aca="false">01_Data!H740</f>
        <v>243346</v>
      </c>
      <c r="J740" s="7" t="n">
        <f aca="false">H740-I740</f>
        <v>4177</v>
      </c>
      <c r="K740" s="8" t="n">
        <f aca="false">IFERROR(J740/H740,0)</f>
        <v>0.0168751994764123</v>
      </c>
      <c r="L740" s="7" t="n">
        <f aca="false">D740-H740</f>
        <v>177821</v>
      </c>
      <c r="M740" s="7" t="n">
        <f aca="false">E740-I740</f>
        <v>188914</v>
      </c>
      <c r="N740" s="7" t="n">
        <f aca="false">IFERROR(L740/D740,0)</f>
        <v>0.418063967047848</v>
      </c>
      <c r="O740" s="7" t="n">
        <f aca="false">IFERROR(M740/E740,0)</f>
        <v>0.437037893860177</v>
      </c>
      <c r="P740" s="7" t="n">
        <f aca="false">01_Data!I740+01_Data!K740+01_Data!M740+01_Data!O740+01_Data!Q740+01_Data!S740+01_Data!U740</f>
        <v>114160</v>
      </c>
      <c r="Q740" s="7" t="n">
        <f aca="false">01_Data!J740+01_Data!L740+01_Data!N740+01_Data!P740+01_Data!R740+01_Data!T740+01_Data!V740</f>
        <v>115619</v>
      </c>
      <c r="R740" s="7" t="n">
        <f aca="false">P740-Q740</f>
        <v>-1459</v>
      </c>
      <c r="S740" s="7" t="n">
        <f aca="false">L740-P740</f>
        <v>63661</v>
      </c>
      <c r="T740" s="7" t="n">
        <f aca="false">M740-Q740</f>
        <v>73295</v>
      </c>
      <c r="U740" s="7" t="n">
        <f aca="false">T740-S740</f>
        <v>9634</v>
      </c>
      <c r="V740" s="8" t="n">
        <f aca="false">IFERROR(U740/S740,0)</f>
        <v>0.151332841142929</v>
      </c>
      <c r="W740" s="5" t="str">
        <f aca="false">IF(V740&lt;-0.1,"ADVERSE &gt;10%","")</f>
        <v/>
      </c>
    </row>
    <row r="741" customFormat="false" ht="15" hidden="false" customHeight="false" outlineLevel="0" collapsed="false">
      <c r="A741" s="5" t="str">
        <f aca="false">01_Data!A741</f>
        <v>Technology &amp; Telecom</v>
      </c>
      <c r="B741" s="5" t="str">
        <f aca="false">01_Data!C741</f>
        <v>2024-11</v>
      </c>
      <c r="C741" s="5" t="str">
        <f aca="false">01_Data!D741</f>
        <v>FY24</v>
      </c>
      <c r="D741" s="7" t="n">
        <f aca="false">01_Data!E741</f>
        <v>463484</v>
      </c>
      <c r="E741" s="7" t="n">
        <f aca="false">01_Data!F741</f>
        <v>443498</v>
      </c>
      <c r="F741" s="7" t="n">
        <f aca="false">E741-D741</f>
        <v>-19986</v>
      </c>
      <c r="G741" s="8" t="n">
        <f aca="false">IFERROR(F741/D741,0)</f>
        <v>-0.0431212296433102</v>
      </c>
      <c r="H741" s="7" t="n">
        <f aca="false">01_Data!G741</f>
        <v>253647</v>
      </c>
      <c r="I741" s="7" t="n">
        <f aca="false">01_Data!H741</f>
        <v>237431</v>
      </c>
      <c r="J741" s="7" t="n">
        <f aca="false">H741-I741</f>
        <v>16216</v>
      </c>
      <c r="K741" s="8" t="n">
        <f aca="false">IFERROR(J741/H741,0)</f>
        <v>0.0639313691863101</v>
      </c>
      <c r="L741" s="7" t="n">
        <f aca="false">D741-H741</f>
        <v>209837</v>
      </c>
      <c r="M741" s="7" t="n">
        <f aca="false">E741-I741</f>
        <v>206067</v>
      </c>
      <c r="N741" s="7" t="n">
        <f aca="false">IFERROR(L741/D741,0)</f>
        <v>0.452738390106239</v>
      </c>
      <c r="O741" s="7" t="n">
        <f aca="false">IFERROR(M741/E741,0)</f>
        <v>0.464640201308687</v>
      </c>
      <c r="P741" s="7" t="n">
        <f aca="false">01_Data!I741+01_Data!K741+01_Data!M741+01_Data!O741+01_Data!Q741+01_Data!S741+01_Data!U741</f>
        <v>119301</v>
      </c>
      <c r="Q741" s="7" t="n">
        <f aca="false">01_Data!J741+01_Data!L741+01_Data!N741+01_Data!P741+01_Data!R741+01_Data!T741+01_Data!V741</f>
        <v>123948</v>
      </c>
      <c r="R741" s="7" t="n">
        <f aca="false">P741-Q741</f>
        <v>-4647</v>
      </c>
      <c r="S741" s="7" t="n">
        <f aca="false">L741-P741</f>
        <v>90536</v>
      </c>
      <c r="T741" s="7" t="n">
        <f aca="false">M741-Q741</f>
        <v>82119</v>
      </c>
      <c r="U741" s="7" t="n">
        <f aca="false">T741-S741</f>
        <v>-8417</v>
      </c>
      <c r="V741" s="8" t="n">
        <f aca="false">IFERROR(U741/S741,0)</f>
        <v>-0.0929685429000619</v>
      </c>
      <c r="W741" s="5" t="str">
        <f aca="false">IF(V741&lt;-0.1,"ADVERSE &gt;10%","")</f>
        <v/>
      </c>
    </row>
    <row r="742" customFormat="false" ht="15" hidden="false" customHeight="false" outlineLevel="0" collapsed="false">
      <c r="A742" s="5" t="str">
        <f aca="false">01_Data!A742</f>
        <v>Technology &amp; Telecom</v>
      </c>
      <c r="B742" s="5" t="str">
        <f aca="false">01_Data!C742</f>
        <v>2024-12</v>
      </c>
      <c r="C742" s="5" t="str">
        <f aca="false">01_Data!D742</f>
        <v>FY24</v>
      </c>
      <c r="D742" s="7" t="n">
        <f aca="false">01_Data!E742</f>
        <v>457196</v>
      </c>
      <c r="E742" s="7" t="n">
        <f aca="false">01_Data!F742</f>
        <v>485685</v>
      </c>
      <c r="F742" s="7" t="n">
        <f aca="false">E742-D742</f>
        <v>28489</v>
      </c>
      <c r="G742" s="8" t="n">
        <f aca="false">IFERROR(F742/D742,0)</f>
        <v>0.0623124436784224</v>
      </c>
      <c r="H742" s="7" t="n">
        <f aca="false">01_Data!G742</f>
        <v>248532</v>
      </c>
      <c r="I742" s="7" t="n">
        <f aca="false">01_Data!H742</f>
        <v>273443</v>
      </c>
      <c r="J742" s="7" t="n">
        <f aca="false">H742-I742</f>
        <v>-24911</v>
      </c>
      <c r="K742" s="8" t="n">
        <f aca="false">IFERROR(J742/H742,0)</f>
        <v>-0.100232565625352</v>
      </c>
      <c r="L742" s="7" t="n">
        <f aca="false">D742-H742</f>
        <v>208664</v>
      </c>
      <c r="M742" s="7" t="n">
        <f aca="false">E742-I742</f>
        <v>212242</v>
      </c>
      <c r="N742" s="7" t="n">
        <f aca="false">IFERROR(L742/D742,0)</f>
        <v>0.456399443564686</v>
      </c>
      <c r="O742" s="7" t="n">
        <f aca="false">IFERROR(M742/E742,0)</f>
        <v>0.43699517176771</v>
      </c>
      <c r="P742" s="7" t="n">
        <f aca="false">01_Data!I742+01_Data!K742+01_Data!M742+01_Data!O742+01_Data!Q742+01_Data!S742+01_Data!U742</f>
        <v>119688</v>
      </c>
      <c r="Q742" s="7" t="n">
        <f aca="false">01_Data!J742+01_Data!L742+01_Data!N742+01_Data!P742+01_Data!R742+01_Data!T742+01_Data!V742</f>
        <v>120691</v>
      </c>
      <c r="R742" s="7" t="n">
        <f aca="false">P742-Q742</f>
        <v>-1003</v>
      </c>
      <c r="S742" s="7" t="n">
        <f aca="false">L742-P742</f>
        <v>88976</v>
      </c>
      <c r="T742" s="7" t="n">
        <f aca="false">M742-Q742</f>
        <v>91551</v>
      </c>
      <c r="U742" s="7" t="n">
        <f aca="false">T742-S742</f>
        <v>2575</v>
      </c>
      <c r="V742" s="8" t="n">
        <f aca="false">IFERROR(U742/S742,0)</f>
        <v>0.028940388419349</v>
      </c>
      <c r="W742" s="5" t="str">
        <f aca="false">IF(V742&lt;-0.1,"ADVERSE &gt;10%","")</f>
        <v/>
      </c>
    </row>
    <row r="743" customFormat="false" ht="15" hidden="false" customHeight="false" outlineLevel="0" collapsed="false">
      <c r="A743" s="5" t="str">
        <f aca="false">01_Data!A743</f>
        <v>Technology &amp; Telecom</v>
      </c>
      <c r="B743" s="5" t="str">
        <f aca="false">01_Data!C743</f>
        <v>2025-01</v>
      </c>
      <c r="C743" s="5" t="str">
        <f aca="false">01_Data!D743</f>
        <v>FY24</v>
      </c>
      <c r="D743" s="7" t="n">
        <f aca="false">01_Data!E743</f>
        <v>460384</v>
      </c>
      <c r="E743" s="7" t="n">
        <f aca="false">01_Data!F743</f>
        <v>458108</v>
      </c>
      <c r="F743" s="7" t="n">
        <f aca="false">E743-D743</f>
        <v>-2276</v>
      </c>
      <c r="G743" s="8" t="n">
        <f aca="false">IFERROR(F743/D743,0)</f>
        <v>-0.00494369917286439</v>
      </c>
      <c r="H743" s="7" t="n">
        <f aca="false">01_Data!G743</f>
        <v>270813</v>
      </c>
      <c r="I743" s="7" t="n">
        <f aca="false">01_Data!H743</f>
        <v>263658</v>
      </c>
      <c r="J743" s="7" t="n">
        <f aca="false">H743-I743</f>
        <v>7155</v>
      </c>
      <c r="K743" s="8" t="n">
        <f aca="false">IFERROR(J743/H743,0)</f>
        <v>0.0264204451041863</v>
      </c>
      <c r="L743" s="7" t="n">
        <f aca="false">D743-H743</f>
        <v>189571</v>
      </c>
      <c r="M743" s="7" t="n">
        <f aca="false">E743-I743</f>
        <v>194450</v>
      </c>
      <c r="N743" s="7" t="n">
        <f aca="false">IFERROR(L743/D743,0)</f>
        <v>0.41176713352332</v>
      </c>
      <c r="O743" s="7" t="n">
        <f aca="false">IFERROR(M743/E743,0)</f>
        <v>0.424463227011971</v>
      </c>
      <c r="P743" s="7" t="n">
        <f aca="false">01_Data!I743+01_Data!K743+01_Data!M743+01_Data!O743+01_Data!Q743+01_Data!S743+01_Data!U743</f>
        <v>120069</v>
      </c>
      <c r="Q743" s="7" t="n">
        <f aca="false">01_Data!J743+01_Data!L743+01_Data!N743+01_Data!P743+01_Data!R743+01_Data!T743+01_Data!V743</f>
        <v>120776</v>
      </c>
      <c r="R743" s="7" t="n">
        <f aca="false">P743-Q743</f>
        <v>-707</v>
      </c>
      <c r="S743" s="7" t="n">
        <f aca="false">L743-P743</f>
        <v>69502</v>
      </c>
      <c r="T743" s="7" t="n">
        <f aca="false">M743-Q743</f>
        <v>73674</v>
      </c>
      <c r="U743" s="7" t="n">
        <f aca="false">T743-S743</f>
        <v>4172</v>
      </c>
      <c r="V743" s="8" t="n">
        <f aca="false">IFERROR(U743/S743,0)</f>
        <v>0.060027049581307</v>
      </c>
      <c r="W743" s="5" t="str">
        <f aca="false">IF(V743&lt;-0.1,"ADVERSE &gt;10%","")</f>
        <v/>
      </c>
    </row>
    <row r="744" customFormat="false" ht="15" hidden="false" customHeight="false" outlineLevel="0" collapsed="false">
      <c r="A744" s="5" t="str">
        <f aca="false">01_Data!A744</f>
        <v>Technology &amp; Telecom</v>
      </c>
      <c r="B744" s="5" t="str">
        <f aca="false">01_Data!C744</f>
        <v>2025-02</v>
      </c>
      <c r="C744" s="5" t="str">
        <f aca="false">01_Data!D744</f>
        <v>FY24</v>
      </c>
      <c r="D744" s="7" t="n">
        <f aca="false">01_Data!E744</f>
        <v>481751</v>
      </c>
      <c r="E744" s="7" t="n">
        <f aca="false">01_Data!F744</f>
        <v>461235</v>
      </c>
      <c r="F744" s="7" t="n">
        <f aca="false">E744-D744</f>
        <v>-20516</v>
      </c>
      <c r="G744" s="8" t="n">
        <f aca="false">IFERROR(F744/D744,0)</f>
        <v>-0.0425863153371763</v>
      </c>
      <c r="H744" s="7" t="n">
        <f aca="false">01_Data!G744</f>
        <v>282710</v>
      </c>
      <c r="I744" s="7" t="n">
        <f aca="false">01_Data!H744</f>
        <v>262083</v>
      </c>
      <c r="J744" s="7" t="n">
        <f aca="false">H744-I744</f>
        <v>20627</v>
      </c>
      <c r="K744" s="8" t="n">
        <f aca="false">IFERROR(J744/H744,0)</f>
        <v>0.0729616921934138</v>
      </c>
      <c r="L744" s="7" t="n">
        <f aca="false">D744-H744</f>
        <v>199041</v>
      </c>
      <c r="M744" s="7" t="n">
        <f aca="false">E744-I744</f>
        <v>199152</v>
      </c>
      <c r="N744" s="7" t="n">
        <f aca="false">IFERROR(L744/D744,0)</f>
        <v>0.413161571019053</v>
      </c>
      <c r="O744" s="7" t="n">
        <f aca="false">IFERROR(M744/E744,0)</f>
        <v>0.431779895281147</v>
      </c>
      <c r="P744" s="7" t="n">
        <f aca="false">01_Data!I744+01_Data!K744+01_Data!M744+01_Data!O744+01_Data!Q744+01_Data!S744+01_Data!U744</f>
        <v>129652</v>
      </c>
      <c r="Q744" s="7" t="n">
        <f aca="false">01_Data!J744+01_Data!L744+01_Data!N744+01_Data!P744+01_Data!R744+01_Data!T744+01_Data!V744</f>
        <v>138711</v>
      </c>
      <c r="R744" s="7" t="n">
        <f aca="false">P744-Q744</f>
        <v>-9059</v>
      </c>
      <c r="S744" s="7" t="n">
        <f aca="false">L744-P744</f>
        <v>69389</v>
      </c>
      <c r="T744" s="7" t="n">
        <f aca="false">M744-Q744</f>
        <v>60441</v>
      </c>
      <c r="U744" s="7" t="n">
        <f aca="false">T744-S744</f>
        <v>-8948</v>
      </c>
      <c r="V744" s="8" t="n">
        <f aca="false">IFERROR(U744/S744,0)</f>
        <v>-0.128954156998948</v>
      </c>
      <c r="W744" s="5" t="str">
        <f aca="false">IF(V744&lt;-0.1,"ADVERSE &gt;10%","")</f>
        <v>ADVERSE &gt;10%</v>
      </c>
    </row>
    <row r="745" customFormat="false" ht="15" hidden="false" customHeight="false" outlineLevel="0" collapsed="false">
      <c r="A745" s="5" t="str">
        <f aca="false">01_Data!A745</f>
        <v>Technology &amp; Telecom</v>
      </c>
      <c r="B745" s="5" t="str">
        <f aca="false">01_Data!C745</f>
        <v>2025-03</v>
      </c>
      <c r="C745" s="5" t="str">
        <f aca="false">01_Data!D745</f>
        <v>FY24</v>
      </c>
      <c r="D745" s="7" t="n">
        <f aca="false">01_Data!E745</f>
        <v>513097</v>
      </c>
      <c r="E745" s="7" t="n">
        <f aca="false">01_Data!F745</f>
        <v>496815</v>
      </c>
      <c r="F745" s="7" t="n">
        <f aca="false">E745-D745</f>
        <v>-16282</v>
      </c>
      <c r="G745" s="8" t="n">
        <f aca="false">IFERROR(F745/D745,0)</f>
        <v>-0.0317327912655892</v>
      </c>
      <c r="H745" s="7" t="n">
        <f aca="false">01_Data!G745</f>
        <v>290395</v>
      </c>
      <c r="I745" s="7" t="n">
        <f aca="false">01_Data!H745</f>
        <v>272011</v>
      </c>
      <c r="J745" s="7" t="n">
        <f aca="false">H745-I745</f>
        <v>18384</v>
      </c>
      <c r="K745" s="8" t="n">
        <f aca="false">IFERROR(J745/H745,0)</f>
        <v>0.0633068751183733</v>
      </c>
      <c r="L745" s="7" t="n">
        <f aca="false">D745-H745</f>
        <v>222702</v>
      </c>
      <c r="M745" s="7" t="n">
        <f aca="false">E745-I745</f>
        <v>224804</v>
      </c>
      <c r="N745" s="7" t="n">
        <f aca="false">IFERROR(L745/D745,0)</f>
        <v>0.434034890089009</v>
      </c>
      <c r="O745" s="7" t="n">
        <f aca="false">IFERROR(M745/E745,0)</f>
        <v>0.452490363616235</v>
      </c>
      <c r="P745" s="7" t="n">
        <f aca="false">01_Data!I745+01_Data!K745+01_Data!M745+01_Data!O745+01_Data!Q745+01_Data!S745+01_Data!U745</f>
        <v>133063</v>
      </c>
      <c r="Q745" s="7" t="n">
        <f aca="false">01_Data!J745+01_Data!L745+01_Data!N745+01_Data!P745+01_Data!R745+01_Data!T745+01_Data!V745</f>
        <v>130423</v>
      </c>
      <c r="R745" s="7" t="n">
        <f aca="false">P745-Q745</f>
        <v>2640</v>
      </c>
      <c r="S745" s="7" t="n">
        <f aca="false">L745-P745</f>
        <v>89639</v>
      </c>
      <c r="T745" s="7" t="n">
        <f aca="false">M745-Q745</f>
        <v>94381</v>
      </c>
      <c r="U745" s="7" t="n">
        <f aca="false">T745-S745</f>
        <v>4742</v>
      </c>
      <c r="V745" s="8" t="n">
        <f aca="false">IFERROR(U745/S745,0)</f>
        <v>0.0529010810026886</v>
      </c>
      <c r="W745" s="5" t="str">
        <f aca="false">IF(V745&lt;-0.1,"ADVERSE &gt;10%","")</f>
        <v/>
      </c>
    </row>
    <row r="746" customFormat="false" ht="15" hidden="false" customHeight="false" outlineLevel="0" collapsed="false">
      <c r="A746" s="5" t="str">
        <f aca="false">01_Data!A746</f>
        <v>Technology &amp; Telecom</v>
      </c>
      <c r="B746" s="5" t="str">
        <f aca="false">01_Data!C746</f>
        <v>2025-04</v>
      </c>
      <c r="C746" s="5" t="str">
        <f aca="false">01_Data!D746</f>
        <v>FY25</v>
      </c>
      <c r="D746" s="7" t="n">
        <f aca="false">01_Data!E746</f>
        <v>475131</v>
      </c>
      <c r="E746" s="7" t="n">
        <f aca="false">01_Data!F746</f>
        <v>474480</v>
      </c>
      <c r="F746" s="7" t="n">
        <f aca="false">E746-D746</f>
        <v>-651</v>
      </c>
      <c r="G746" s="8" t="n">
        <f aca="false">IFERROR(F746/D746,0)</f>
        <v>-0.00137014844327143</v>
      </c>
      <c r="H746" s="7" t="n">
        <f aca="false">01_Data!G746</f>
        <v>267577</v>
      </c>
      <c r="I746" s="7" t="n">
        <f aca="false">01_Data!H746</f>
        <v>278389</v>
      </c>
      <c r="J746" s="7" t="n">
        <f aca="false">H746-I746</f>
        <v>-10812</v>
      </c>
      <c r="K746" s="8" t="n">
        <f aca="false">IFERROR(J746/H746,0)</f>
        <v>-0.0404070603975678</v>
      </c>
      <c r="L746" s="7" t="n">
        <f aca="false">D746-H746</f>
        <v>207554</v>
      </c>
      <c r="M746" s="7" t="n">
        <f aca="false">E746-I746</f>
        <v>196091</v>
      </c>
      <c r="N746" s="7" t="n">
        <f aca="false">IFERROR(L746/D746,0)</f>
        <v>0.436835314892103</v>
      </c>
      <c r="O746" s="7" t="n">
        <f aca="false">IFERROR(M746/E746,0)</f>
        <v>0.413275585904569</v>
      </c>
      <c r="P746" s="7" t="n">
        <f aca="false">01_Data!I746+01_Data!K746+01_Data!M746+01_Data!O746+01_Data!Q746+01_Data!S746+01_Data!U746</f>
        <v>131783</v>
      </c>
      <c r="Q746" s="7" t="n">
        <f aca="false">01_Data!J746+01_Data!L746+01_Data!N746+01_Data!P746+01_Data!R746+01_Data!T746+01_Data!V746</f>
        <v>136180</v>
      </c>
      <c r="R746" s="7" t="n">
        <f aca="false">P746-Q746</f>
        <v>-4397</v>
      </c>
      <c r="S746" s="7" t="n">
        <f aca="false">L746-P746</f>
        <v>75771</v>
      </c>
      <c r="T746" s="7" t="n">
        <f aca="false">M746-Q746</f>
        <v>59911</v>
      </c>
      <c r="U746" s="7" t="n">
        <f aca="false">T746-S746</f>
        <v>-15860</v>
      </c>
      <c r="V746" s="8" t="n">
        <f aca="false">IFERROR(U746/S746,0)</f>
        <v>-0.209314909398055</v>
      </c>
      <c r="W746" s="5" t="str">
        <f aca="false">IF(V746&lt;-0.1,"ADVERSE &gt;10%","")</f>
        <v>ADVERSE &gt;10%</v>
      </c>
    </row>
    <row r="747" customFormat="false" ht="15" hidden="false" customHeight="false" outlineLevel="0" collapsed="false">
      <c r="A747" s="5" t="str">
        <f aca="false">01_Data!A747</f>
        <v>Technology &amp; Telecom</v>
      </c>
      <c r="B747" s="5" t="str">
        <f aca="false">01_Data!C747</f>
        <v>2025-05</v>
      </c>
      <c r="C747" s="5" t="str">
        <f aca="false">01_Data!D747</f>
        <v>FY25</v>
      </c>
      <c r="D747" s="7" t="n">
        <f aca="false">01_Data!E747</f>
        <v>462620</v>
      </c>
      <c r="E747" s="7" t="n">
        <f aca="false">01_Data!F747</f>
        <v>474641</v>
      </c>
      <c r="F747" s="7" t="n">
        <f aca="false">E747-D747</f>
        <v>12021</v>
      </c>
      <c r="G747" s="8" t="n">
        <f aca="false">IFERROR(F747/D747,0)</f>
        <v>0.0259846093986425</v>
      </c>
      <c r="H747" s="7" t="n">
        <f aca="false">01_Data!G747</f>
        <v>264069</v>
      </c>
      <c r="I747" s="7" t="n">
        <f aca="false">01_Data!H747</f>
        <v>268867</v>
      </c>
      <c r="J747" s="7" t="n">
        <f aca="false">H747-I747</f>
        <v>-4798</v>
      </c>
      <c r="K747" s="8" t="n">
        <f aca="false">IFERROR(J747/H747,0)</f>
        <v>-0.0181694935793296</v>
      </c>
      <c r="L747" s="7" t="n">
        <f aca="false">D747-H747</f>
        <v>198551</v>
      </c>
      <c r="M747" s="7" t="n">
        <f aca="false">E747-I747</f>
        <v>205774</v>
      </c>
      <c r="N747" s="7" t="n">
        <f aca="false">IFERROR(L747/D747,0)</f>
        <v>0.429188102546366</v>
      </c>
      <c r="O747" s="7" t="n">
        <f aca="false">IFERROR(M747/E747,0)</f>
        <v>0.433536083060671</v>
      </c>
      <c r="P747" s="7" t="n">
        <f aca="false">01_Data!I747+01_Data!K747+01_Data!M747+01_Data!O747+01_Data!Q747+01_Data!S747+01_Data!U747</f>
        <v>130438</v>
      </c>
      <c r="Q747" s="7" t="n">
        <f aca="false">01_Data!J747+01_Data!L747+01_Data!N747+01_Data!P747+01_Data!R747+01_Data!T747+01_Data!V747</f>
        <v>137035</v>
      </c>
      <c r="R747" s="7" t="n">
        <f aca="false">P747-Q747</f>
        <v>-6597</v>
      </c>
      <c r="S747" s="7" t="n">
        <f aca="false">L747-P747</f>
        <v>68113</v>
      </c>
      <c r="T747" s="7" t="n">
        <f aca="false">M747-Q747</f>
        <v>68739</v>
      </c>
      <c r="U747" s="7" t="n">
        <f aca="false">T747-S747</f>
        <v>626</v>
      </c>
      <c r="V747" s="8" t="n">
        <f aca="false">IFERROR(U747/S747,0)</f>
        <v>0.00919060972207949</v>
      </c>
      <c r="W747" s="5" t="str">
        <f aca="false">IF(V747&lt;-0.1,"ADVERSE &gt;10%","")</f>
        <v/>
      </c>
    </row>
    <row r="748" customFormat="false" ht="15" hidden="false" customHeight="false" outlineLevel="0" collapsed="false">
      <c r="A748" s="5" t="str">
        <f aca="false">01_Data!A748</f>
        <v>Technology &amp; Telecom</v>
      </c>
      <c r="B748" s="5" t="str">
        <f aca="false">01_Data!C748</f>
        <v>2025-06</v>
      </c>
      <c r="C748" s="5" t="str">
        <f aca="false">01_Data!D748</f>
        <v>FY25</v>
      </c>
      <c r="D748" s="7" t="n">
        <f aca="false">01_Data!E748</f>
        <v>472446</v>
      </c>
      <c r="E748" s="7" t="n">
        <f aca="false">01_Data!F748</f>
        <v>484360</v>
      </c>
      <c r="F748" s="7" t="n">
        <f aca="false">E748-D748</f>
        <v>11914</v>
      </c>
      <c r="G748" s="8" t="n">
        <f aca="false">IFERROR(F748/D748,0)</f>
        <v>0.0252176968373105</v>
      </c>
      <c r="H748" s="7" t="n">
        <f aca="false">01_Data!G748</f>
        <v>274598</v>
      </c>
      <c r="I748" s="7" t="n">
        <f aca="false">01_Data!H748</f>
        <v>280590</v>
      </c>
      <c r="J748" s="7" t="n">
        <f aca="false">H748-I748</f>
        <v>-5992</v>
      </c>
      <c r="K748" s="8" t="n">
        <f aca="false">IFERROR(J748/H748,0)</f>
        <v>-0.0218209892278895</v>
      </c>
      <c r="L748" s="7" t="n">
        <f aca="false">D748-H748</f>
        <v>197848</v>
      </c>
      <c r="M748" s="7" t="n">
        <f aca="false">E748-I748</f>
        <v>203770</v>
      </c>
      <c r="N748" s="7" t="n">
        <f aca="false">IFERROR(L748/D748,0)</f>
        <v>0.418773785787159</v>
      </c>
      <c r="O748" s="7" t="n">
        <f aca="false">IFERROR(M748/E748,0)</f>
        <v>0.420699479725824</v>
      </c>
      <c r="P748" s="7" t="n">
        <f aca="false">01_Data!I748+01_Data!K748+01_Data!M748+01_Data!O748+01_Data!Q748+01_Data!S748+01_Data!U748</f>
        <v>130079</v>
      </c>
      <c r="Q748" s="7" t="n">
        <f aca="false">01_Data!J748+01_Data!L748+01_Data!N748+01_Data!P748+01_Data!R748+01_Data!T748+01_Data!V748</f>
        <v>131707</v>
      </c>
      <c r="R748" s="7" t="n">
        <f aca="false">P748-Q748</f>
        <v>-1628</v>
      </c>
      <c r="S748" s="7" t="n">
        <f aca="false">L748-P748</f>
        <v>67769</v>
      </c>
      <c r="T748" s="7" t="n">
        <f aca="false">M748-Q748</f>
        <v>72063</v>
      </c>
      <c r="U748" s="7" t="n">
        <f aca="false">T748-S748</f>
        <v>4294</v>
      </c>
      <c r="V748" s="8" t="n">
        <f aca="false">IFERROR(U748/S748,0)</f>
        <v>0.0633623042984255</v>
      </c>
      <c r="W748" s="5" t="str">
        <f aca="false">IF(V748&lt;-0.1,"ADVERSE &gt;10%","")</f>
        <v/>
      </c>
    </row>
    <row r="749" customFormat="false" ht="15" hidden="false" customHeight="false" outlineLevel="0" collapsed="false">
      <c r="A749" s="5" t="str">
        <f aca="false">01_Data!A749</f>
        <v>Technology &amp; Telecom</v>
      </c>
      <c r="B749" s="5" t="str">
        <f aca="false">01_Data!C749</f>
        <v>2025-07</v>
      </c>
      <c r="C749" s="5" t="str">
        <f aca="false">01_Data!D749</f>
        <v>FY25</v>
      </c>
      <c r="D749" s="7" t="n">
        <f aca="false">01_Data!E749</f>
        <v>483114</v>
      </c>
      <c r="E749" s="7" t="n">
        <f aca="false">01_Data!F749</f>
        <v>484023</v>
      </c>
      <c r="F749" s="7" t="n">
        <f aca="false">E749-D749</f>
        <v>909</v>
      </c>
      <c r="G749" s="8" t="n">
        <f aca="false">IFERROR(F749/D749,0)</f>
        <v>0.00188154348663048</v>
      </c>
      <c r="H749" s="7" t="n">
        <f aca="false">01_Data!G749</f>
        <v>268729</v>
      </c>
      <c r="I749" s="7" t="n">
        <f aca="false">01_Data!H749</f>
        <v>273305</v>
      </c>
      <c r="J749" s="7" t="n">
        <f aca="false">H749-I749</f>
        <v>-4576</v>
      </c>
      <c r="K749" s="8" t="n">
        <f aca="false">IFERROR(J749/H749,0)</f>
        <v>-0.0170283073282005</v>
      </c>
      <c r="L749" s="7" t="n">
        <f aca="false">D749-H749</f>
        <v>214385</v>
      </c>
      <c r="M749" s="7" t="n">
        <f aca="false">E749-I749</f>
        <v>210718</v>
      </c>
      <c r="N749" s="7" t="n">
        <f aca="false">IFERROR(L749/D749,0)</f>
        <v>0.443756546074012</v>
      </c>
      <c r="O749" s="7" t="n">
        <f aca="false">IFERROR(M749/E749,0)</f>
        <v>0.435347080613938</v>
      </c>
      <c r="P749" s="7" t="n">
        <f aca="false">01_Data!I749+01_Data!K749+01_Data!M749+01_Data!O749+01_Data!Q749+01_Data!S749+01_Data!U749</f>
        <v>136626</v>
      </c>
      <c r="Q749" s="7" t="n">
        <f aca="false">01_Data!J749+01_Data!L749+01_Data!N749+01_Data!P749+01_Data!R749+01_Data!T749+01_Data!V749</f>
        <v>135701</v>
      </c>
      <c r="R749" s="7" t="n">
        <f aca="false">P749-Q749</f>
        <v>925</v>
      </c>
      <c r="S749" s="7" t="n">
        <f aca="false">L749-P749</f>
        <v>77759</v>
      </c>
      <c r="T749" s="7" t="n">
        <f aca="false">M749-Q749</f>
        <v>75017</v>
      </c>
      <c r="U749" s="7" t="n">
        <f aca="false">T749-S749</f>
        <v>-2742</v>
      </c>
      <c r="V749" s="8" t="n">
        <f aca="false">IFERROR(U749/S749,0)</f>
        <v>-0.0352627991615119</v>
      </c>
      <c r="W749" s="5" t="str">
        <f aca="false">IF(V749&lt;-0.1,"ADVERSE &gt;10%","")</f>
        <v/>
      </c>
    </row>
    <row r="750" customFormat="false" ht="15" hidden="false" customHeight="false" outlineLevel="0" collapsed="false">
      <c r="A750" s="5" t="str">
        <f aca="false">01_Data!A750</f>
        <v>Technology &amp; Telecom</v>
      </c>
      <c r="B750" s="5" t="str">
        <f aca="false">01_Data!C750</f>
        <v>2025-08</v>
      </c>
      <c r="C750" s="5" t="str">
        <f aca="false">01_Data!D750</f>
        <v>FY25</v>
      </c>
      <c r="D750" s="7" t="n">
        <f aca="false">01_Data!E750</f>
        <v>488222</v>
      </c>
      <c r="E750" s="7" t="n">
        <f aca="false">01_Data!F750</f>
        <v>484302</v>
      </c>
      <c r="F750" s="7" t="n">
        <f aca="false">E750-D750</f>
        <v>-3920</v>
      </c>
      <c r="G750" s="8" t="n">
        <f aca="false">IFERROR(F750/D750,0)</f>
        <v>-0.00802913428727095</v>
      </c>
      <c r="H750" s="7" t="n">
        <f aca="false">01_Data!G750</f>
        <v>269475</v>
      </c>
      <c r="I750" s="7" t="n">
        <f aca="false">01_Data!H750</f>
        <v>258860</v>
      </c>
      <c r="J750" s="7" t="n">
        <f aca="false">H750-I750</f>
        <v>10615</v>
      </c>
      <c r="K750" s="8" t="n">
        <f aca="false">IFERROR(J750/H750,0)</f>
        <v>0.0393914092216347</v>
      </c>
      <c r="L750" s="7" t="n">
        <f aca="false">D750-H750</f>
        <v>218747</v>
      </c>
      <c r="M750" s="7" t="n">
        <f aca="false">E750-I750</f>
        <v>225442</v>
      </c>
      <c r="N750" s="7" t="n">
        <f aca="false">IFERROR(L750/D750,0)</f>
        <v>0.448048223963689</v>
      </c>
      <c r="O750" s="7" t="n">
        <f aca="false">IFERROR(M750/E750,0)</f>
        <v>0.465498800335328</v>
      </c>
      <c r="P750" s="7" t="n">
        <f aca="false">01_Data!I750+01_Data!K750+01_Data!M750+01_Data!O750+01_Data!Q750+01_Data!S750+01_Data!U750</f>
        <v>130481</v>
      </c>
      <c r="Q750" s="7" t="n">
        <f aca="false">01_Data!J750+01_Data!L750+01_Data!N750+01_Data!P750+01_Data!R750+01_Data!T750+01_Data!V750</f>
        <v>134567</v>
      </c>
      <c r="R750" s="7" t="n">
        <f aca="false">P750-Q750</f>
        <v>-4086</v>
      </c>
      <c r="S750" s="7" t="n">
        <f aca="false">L750-P750</f>
        <v>88266</v>
      </c>
      <c r="T750" s="7" t="n">
        <f aca="false">M750-Q750</f>
        <v>90875</v>
      </c>
      <c r="U750" s="7" t="n">
        <f aca="false">T750-S750</f>
        <v>2609</v>
      </c>
      <c r="V750" s="8" t="n">
        <f aca="false">IFERROR(U750/S750,0)</f>
        <v>0.0295583803503048</v>
      </c>
      <c r="W750" s="5" t="str">
        <f aca="false">IF(V750&lt;-0.1,"ADVERSE &gt;10%","")</f>
        <v/>
      </c>
    </row>
    <row r="751" customFormat="false" ht="15" hidden="false" customHeight="false" outlineLevel="0" collapsed="false">
      <c r="A751" s="5" t="str">
        <f aca="false">01_Data!A751</f>
        <v>Technology &amp; Telecom</v>
      </c>
      <c r="B751" s="5" t="str">
        <f aca="false">01_Data!C751</f>
        <v>2025-09</v>
      </c>
      <c r="C751" s="5" t="str">
        <f aca="false">01_Data!D751</f>
        <v>FY25</v>
      </c>
      <c r="D751" s="7" t="n">
        <f aca="false">01_Data!E751</f>
        <v>559290</v>
      </c>
      <c r="E751" s="7" t="n">
        <f aca="false">01_Data!F751</f>
        <v>532105</v>
      </c>
      <c r="F751" s="7" t="n">
        <f aca="false">E751-D751</f>
        <v>-27185</v>
      </c>
      <c r="G751" s="8" t="n">
        <f aca="false">IFERROR(F751/D751,0)</f>
        <v>-0.0486062686620537</v>
      </c>
      <c r="H751" s="7" t="n">
        <f aca="false">01_Data!G751</f>
        <v>325061</v>
      </c>
      <c r="I751" s="7" t="n">
        <f aca="false">01_Data!H751</f>
        <v>304070</v>
      </c>
      <c r="J751" s="7" t="n">
        <f aca="false">H751-I751</f>
        <v>20991</v>
      </c>
      <c r="K751" s="8" t="n">
        <f aca="false">IFERROR(J751/H751,0)</f>
        <v>0.0645755719695688</v>
      </c>
      <c r="L751" s="7" t="n">
        <f aca="false">D751-H751</f>
        <v>234229</v>
      </c>
      <c r="M751" s="7" t="n">
        <f aca="false">E751-I751</f>
        <v>228035</v>
      </c>
      <c r="N751" s="7" t="n">
        <f aca="false">IFERROR(L751/D751,0)</f>
        <v>0.418797046255073</v>
      </c>
      <c r="O751" s="7" t="n">
        <f aca="false">IFERROR(M751/E751,0)</f>
        <v>0.428552635288148</v>
      </c>
      <c r="P751" s="7" t="n">
        <f aca="false">01_Data!I751+01_Data!K751+01_Data!M751+01_Data!O751+01_Data!Q751+01_Data!S751+01_Data!U751</f>
        <v>153531</v>
      </c>
      <c r="Q751" s="7" t="n">
        <f aca="false">01_Data!J751+01_Data!L751+01_Data!N751+01_Data!P751+01_Data!R751+01_Data!T751+01_Data!V751</f>
        <v>155385</v>
      </c>
      <c r="R751" s="7" t="n">
        <f aca="false">P751-Q751</f>
        <v>-1854</v>
      </c>
      <c r="S751" s="7" t="n">
        <f aca="false">L751-P751</f>
        <v>80698</v>
      </c>
      <c r="T751" s="7" t="n">
        <f aca="false">M751-Q751</f>
        <v>72650</v>
      </c>
      <c r="U751" s="7" t="n">
        <f aca="false">T751-S751</f>
        <v>-8048</v>
      </c>
      <c r="V751" s="8" t="n">
        <f aca="false">IFERROR(U751/S751,0)</f>
        <v>-0.0997298569976951</v>
      </c>
      <c r="W751" s="5" t="str">
        <f aca="false">IF(V751&lt;-0.1,"ADVERSE &gt;10%","")</f>
        <v/>
      </c>
    </row>
    <row r="752" customFormat="false" ht="15" hidden="false" customHeight="false" outlineLevel="0" collapsed="false">
      <c r="A752" s="5" t="str">
        <f aca="false">01_Data!A752</f>
        <v>Technology &amp; Telecom</v>
      </c>
      <c r="B752" s="5" t="str">
        <f aca="false">01_Data!C752</f>
        <v>2025-10</v>
      </c>
      <c r="C752" s="5" t="str">
        <f aca="false">01_Data!D752</f>
        <v>FY25</v>
      </c>
      <c r="D752" s="7" t="n">
        <f aca="false">01_Data!E752</f>
        <v>489296</v>
      </c>
      <c r="E752" s="7" t="n">
        <f aca="false">01_Data!F752</f>
        <v>500300</v>
      </c>
      <c r="F752" s="7" t="n">
        <f aca="false">E752-D752</f>
        <v>11004</v>
      </c>
      <c r="G752" s="8" t="n">
        <f aca="false">IFERROR(F752/D752,0)</f>
        <v>0.0224894542362905</v>
      </c>
      <c r="H752" s="7" t="n">
        <f aca="false">01_Data!G752</f>
        <v>270675</v>
      </c>
      <c r="I752" s="7" t="n">
        <f aca="false">01_Data!H752</f>
        <v>286911</v>
      </c>
      <c r="J752" s="7" t="n">
        <f aca="false">H752-I752</f>
        <v>-16236</v>
      </c>
      <c r="K752" s="8" t="n">
        <f aca="false">IFERROR(J752/H752,0)</f>
        <v>-0.0599833748960931</v>
      </c>
      <c r="L752" s="7" t="n">
        <f aca="false">D752-H752</f>
        <v>218621</v>
      </c>
      <c r="M752" s="7" t="n">
        <f aca="false">E752-I752</f>
        <v>213389</v>
      </c>
      <c r="N752" s="7" t="n">
        <f aca="false">IFERROR(L752/D752,0)</f>
        <v>0.446807249599424</v>
      </c>
      <c r="O752" s="7" t="n">
        <f aca="false">IFERROR(M752/E752,0)</f>
        <v>0.426522086747951</v>
      </c>
      <c r="P752" s="7" t="n">
        <f aca="false">01_Data!I752+01_Data!K752+01_Data!M752+01_Data!O752+01_Data!Q752+01_Data!S752+01_Data!U752</f>
        <v>137972</v>
      </c>
      <c r="Q752" s="7" t="n">
        <f aca="false">01_Data!J752+01_Data!L752+01_Data!N752+01_Data!P752+01_Data!R752+01_Data!T752+01_Data!V752</f>
        <v>138678</v>
      </c>
      <c r="R752" s="7" t="n">
        <f aca="false">P752-Q752</f>
        <v>-706</v>
      </c>
      <c r="S752" s="7" t="n">
        <f aca="false">L752-P752</f>
        <v>80649</v>
      </c>
      <c r="T752" s="7" t="n">
        <f aca="false">M752-Q752</f>
        <v>74711</v>
      </c>
      <c r="U752" s="7" t="n">
        <f aca="false">T752-S752</f>
        <v>-5938</v>
      </c>
      <c r="V752" s="8" t="n">
        <f aca="false">IFERROR(U752/S752,0)</f>
        <v>-0.0736276953217027</v>
      </c>
      <c r="W752" s="5" t="str">
        <f aca="false">IF(V752&lt;-0.1,"ADVERSE &gt;10%","")</f>
        <v/>
      </c>
    </row>
    <row r="753" customFormat="false" ht="15" hidden="false" customHeight="false" outlineLevel="0" collapsed="false">
      <c r="A753" s="5" t="str">
        <f aca="false">01_Data!A753</f>
        <v>Technology &amp; Telecom</v>
      </c>
      <c r="B753" s="5" t="str">
        <f aca="false">01_Data!C753</f>
        <v>2025-11</v>
      </c>
      <c r="C753" s="5" t="str">
        <f aca="false">01_Data!D753</f>
        <v>FY25</v>
      </c>
      <c r="D753" s="7" t="n">
        <f aca="false">01_Data!E753</f>
        <v>481767</v>
      </c>
      <c r="E753" s="7" t="n">
        <f aca="false">01_Data!F753</f>
        <v>498496</v>
      </c>
      <c r="F753" s="7" t="n">
        <f aca="false">E753-D753</f>
        <v>16729</v>
      </c>
      <c r="G753" s="8" t="n">
        <f aca="false">IFERROR(F753/D753,0)</f>
        <v>0.0347242546708264</v>
      </c>
      <c r="H753" s="7" t="n">
        <f aca="false">01_Data!G753</f>
        <v>263258</v>
      </c>
      <c r="I753" s="7" t="n">
        <f aca="false">01_Data!H753</f>
        <v>268381</v>
      </c>
      <c r="J753" s="7" t="n">
        <f aca="false">H753-I753</f>
        <v>-5123</v>
      </c>
      <c r="K753" s="8" t="n">
        <f aca="false">IFERROR(J753/H753,0)</f>
        <v>-0.0194599974169826</v>
      </c>
      <c r="L753" s="7" t="n">
        <f aca="false">D753-H753</f>
        <v>218509</v>
      </c>
      <c r="M753" s="7" t="n">
        <f aca="false">E753-I753</f>
        <v>230115</v>
      </c>
      <c r="N753" s="7" t="n">
        <f aca="false">IFERROR(L753/D753,0)</f>
        <v>0.453557425062323</v>
      </c>
      <c r="O753" s="7" t="n">
        <f aca="false">IFERROR(M753/E753,0)</f>
        <v>0.461618548594171</v>
      </c>
      <c r="P753" s="7" t="n">
        <f aca="false">01_Data!I753+01_Data!K753+01_Data!M753+01_Data!O753+01_Data!Q753+01_Data!S753+01_Data!U753</f>
        <v>122472</v>
      </c>
      <c r="Q753" s="7" t="n">
        <f aca="false">01_Data!J753+01_Data!L753+01_Data!N753+01_Data!P753+01_Data!R753+01_Data!T753+01_Data!V753</f>
        <v>125060</v>
      </c>
      <c r="R753" s="7" t="n">
        <f aca="false">P753-Q753</f>
        <v>-2588</v>
      </c>
      <c r="S753" s="7" t="n">
        <f aca="false">L753-P753</f>
        <v>96037</v>
      </c>
      <c r="T753" s="7" t="n">
        <f aca="false">M753-Q753</f>
        <v>105055</v>
      </c>
      <c r="U753" s="7" t="n">
        <f aca="false">T753-S753</f>
        <v>9018</v>
      </c>
      <c r="V753" s="8" t="n">
        <f aca="false">IFERROR(U753/S753,0)</f>
        <v>0.0939013088705395</v>
      </c>
      <c r="W753" s="5" t="str">
        <f aca="false">IF(V753&lt;-0.1,"ADVERSE &gt;10%","")</f>
        <v/>
      </c>
    </row>
    <row r="754" customFormat="false" ht="15" hidden="false" customHeight="false" outlineLevel="0" collapsed="false">
      <c r="A754" s="5" t="str">
        <f aca="false">01_Data!A754</f>
        <v>Technology &amp; Telecom</v>
      </c>
      <c r="B754" s="5" t="str">
        <f aca="false">01_Data!C754</f>
        <v>2025-12</v>
      </c>
      <c r="C754" s="5" t="str">
        <f aca="false">01_Data!D754</f>
        <v>FY25</v>
      </c>
      <c r="D754" s="7" t="n">
        <f aca="false">01_Data!E754</f>
        <v>561192</v>
      </c>
      <c r="E754" s="7" t="n">
        <f aca="false">01_Data!F754</f>
        <v>536606</v>
      </c>
      <c r="F754" s="7" t="n">
        <f aca="false">E754-D754</f>
        <v>-24586</v>
      </c>
      <c r="G754" s="8" t="n">
        <f aca="false">IFERROR(F754/D754,0)</f>
        <v>-0.0438103180373206</v>
      </c>
      <c r="H754" s="7" t="n">
        <f aca="false">01_Data!G754</f>
        <v>319594</v>
      </c>
      <c r="I754" s="7" t="n">
        <f aca="false">01_Data!H754</f>
        <v>316045</v>
      </c>
      <c r="J754" s="7" t="n">
        <f aca="false">H754-I754</f>
        <v>3549</v>
      </c>
      <c r="K754" s="8" t="n">
        <f aca="false">IFERROR(J754/H754,0)</f>
        <v>0.011104714106022</v>
      </c>
      <c r="L754" s="7" t="n">
        <f aca="false">D754-H754</f>
        <v>241598</v>
      </c>
      <c r="M754" s="7" t="n">
        <f aca="false">E754-I754</f>
        <v>220561</v>
      </c>
      <c r="N754" s="7" t="n">
        <f aca="false">IFERROR(L754/D754,0)</f>
        <v>0.430508631626965</v>
      </c>
      <c r="O754" s="7" t="n">
        <f aca="false">IFERROR(M754/E754,0)</f>
        <v>0.411029694039947</v>
      </c>
      <c r="P754" s="7" t="n">
        <f aca="false">01_Data!I754+01_Data!K754+01_Data!M754+01_Data!O754+01_Data!Q754+01_Data!S754+01_Data!U754</f>
        <v>149246</v>
      </c>
      <c r="Q754" s="7" t="n">
        <f aca="false">01_Data!J754+01_Data!L754+01_Data!N754+01_Data!P754+01_Data!R754+01_Data!T754+01_Data!V754</f>
        <v>152944</v>
      </c>
      <c r="R754" s="7" t="n">
        <f aca="false">P754-Q754</f>
        <v>-3698</v>
      </c>
      <c r="S754" s="7" t="n">
        <f aca="false">L754-P754</f>
        <v>92352</v>
      </c>
      <c r="T754" s="7" t="n">
        <f aca="false">M754-Q754</f>
        <v>67617</v>
      </c>
      <c r="U754" s="7" t="n">
        <f aca="false">T754-S754</f>
        <v>-24735</v>
      </c>
      <c r="V754" s="8" t="n">
        <f aca="false">IFERROR(U754/S754,0)</f>
        <v>-0.26783393970894</v>
      </c>
      <c r="W754" s="5" t="str">
        <f aca="false">IF(V754&lt;-0.1,"ADVERSE &gt;10%","")</f>
        <v>ADVERSE &gt;10%</v>
      </c>
    </row>
    <row r="755" customFormat="false" ht="15" hidden="false" customHeight="false" outlineLevel="0" collapsed="false">
      <c r="A755" s="5" t="str">
        <f aca="false">01_Data!A755</f>
        <v>Technology &amp; Telecom</v>
      </c>
      <c r="B755" s="5" t="str">
        <f aca="false">01_Data!C755</f>
        <v>2026-01</v>
      </c>
      <c r="C755" s="5" t="str">
        <f aca="false">01_Data!D755</f>
        <v>FY25</v>
      </c>
      <c r="D755" s="7" t="n">
        <f aca="false">01_Data!E755</f>
        <v>486419</v>
      </c>
      <c r="E755" s="7" t="n">
        <f aca="false">01_Data!F755</f>
        <v>501539</v>
      </c>
      <c r="F755" s="7" t="n">
        <f aca="false">E755-D755</f>
        <v>15120</v>
      </c>
      <c r="G755" s="8" t="n">
        <f aca="false">IFERROR(F755/D755,0)</f>
        <v>0.0310843120848487</v>
      </c>
      <c r="H755" s="7" t="n">
        <f aca="false">01_Data!G755</f>
        <v>271150</v>
      </c>
      <c r="I755" s="7" t="n">
        <f aca="false">01_Data!H755</f>
        <v>275338</v>
      </c>
      <c r="J755" s="7" t="n">
        <f aca="false">H755-I755</f>
        <v>-4188</v>
      </c>
      <c r="K755" s="8" t="n">
        <f aca="false">IFERROR(J755/H755,0)</f>
        <v>-0.0154453254656094</v>
      </c>
      <c r="L755" s="7" t="n">
        <f aca="false">D755-H755</f>
        <v>215269</v>
      </c>
      <c r="M755" s="7" t="n">
        <f aca="false">E755-I755</f>
        <v>226201</v>
      </c>
      <c r="N755" s="7" t="n">
        <f aca="false">IFERROR(L755/D755,0)</f>
        <v>0.44255878162654</v>
      </c>
      <c r="O755" s="7" t="n">
        <f aca="false">IFERROR(M755/E755,0)</f>
        <v>0.451013779586433</v>
      </c>
      <c r="P755" s="7" t="n">
        <f aca="false">01_Data!I755+01_Data!K755+01_Data!M755+01_Data!O755+01_Data!Q755+01_Data!S755+01_Data!U755</f>
        <v>127075</v>
      </c>
      <c r="Q755" s="7" t="n">
        <f aca="false">01_Data!J755+01_Data!L755+01_Data!N755+01_Data!P755+01_Data!R755+01_Data!T755+01_Data!V755</f>
        <v>132030</v>
      </c>
      <c r="R755" s="7" t="n">
        <f aca="false">P755-Q755</f>
        <v>-4955</v>
      </c>
      <c r="S755" s="7" t="n">
        <f aca="false">L755-P755</f>
        <v>88194</v>
      </c>
      <c r="T755" s="7" t="n">
        <f aca="false">M755-Q755</f>
        <v>94171</v>
      </c>
      <c r="U755" s="7" t="n">
        <f aca="false">T755-S755</f>
        <v>5977</v>
      </c>
      <c r="V755" s="8" t="n">
        <f aca="false">IFERROR(U755/S755,0)</f>
        <v>0.0677710501848198</v>
      </c>
      <c r="W755" s="5" t="str">
        <f aca="false">IF(V755&lt;-0.1,"ADVERSE &gt;10%","")</f>
        <v/>
      </c>
    </row>
    <row r="756" customFormat="false" ht="15" hidden="false" customHeight="false" outlineLevel="0" collapsed="false">
      <c r="A756" s="5" t="str">
        <f aca="false">01_Data!A756</f>
        <v>Technology &amp; Telecom</v>
      </c>
      <c r="B756" s="5" t="str">
        <f aca="false">01_Data!C756</f>
        <v>2026-02</v>
      </c>
      <c r="C756" s="5" t="str">
        <f aca="false">01_Data!D756</f>
        <v>FY25</v>
      </c>
      <c r="D756" s="7" t="n">
        <f aca="false">01_Data!E756</f>
        <v>483382</v>
      </c>
      <c r="E756" s="7" t="n">
        <f aca="false">01_Data!F756</f>
        <v>498028</v>
      </c>
      <c r="F756" s="7" t="n">
        <f aca="false">E756-D756</f>
        <v>14646</v>
      </c>
      <c r="G756" s="8" t="n">
        <f aca="false">IFERROR(F756/D756,0)</f>
        <v>0.0302990181678259</v>
      </c>
      <c r="H756" s="7" t="n">
        <f aca="false">01_Data!G756</f>
        <v>267655</v>
      </c>
      <c r="I756" s="7" t="n">
        <f aca="false">01_Data!H756</f>
        <v>274933</v>
      </c>
      <c r="J756" s="7" t="n">
        <f aca="false">H756-I756</f>
        <v>-7278</v>
      </c>
      <c r="K756" s="8" t="n">
        <f aca="false">IFERROR(J756/H756,0)</f>
        <v>-0.0271917206852104</v>
      </c>
      <c r="L756" s="7" t="n">
        <f aca="false">D756-H756</f>
        <v>215727</v>
      </c>
      <c r="M756" s="7" t="n">
        <f aca="false">E756-I756</f>
        <v>223095</v>
      </c>
      <c r="N756" s="7" t="n">
        <f aca="false">IFERROR(L756/D756,0)</f>
        <v>0.446286787675172</v>
      </c>
      <c r="O756" s="7" t="n">
        <f aca="false">IFERROR(M756/E756,0)</f>
        <v>0.447956741388034</v>
      </c>
      <c r="P756" s="7" t="n">
        <f aca="false">01_Data!I756+01_Data!K756+01_Data!M756+01_Data!O756+01_Data!Q756+01_Data!S756+01_Data!U756</f>
        <v>140479</v>
      </c>
      <c r="Q756" s="7" t="n">
        <f aca="false">01_Data!J756+01_Data!L756+01_Data!N756+01_Data!P756+01_Data!R756+01_Data!T756+01_Data!V756</f>
        <v>143786</v>
      </c>
      <c r="R756" s="7" t="n">
        <f aca="false">P756-Q756</f>
        <v>-3307</v>
      </c>
      <c r="S756" s="7" t="n">
        <f aca="false">L756-P756</f>
        <v>75248</v>
      </c>
      <c r="T756" s="7" t="n">
        <f aca="false">M756-Q756</f>
        <v>79309</v>
      </c>
      <c r="U756" s="7" t="n">
        <f aca="false">T756-S756</f>
        <v>4061</v>
      </c>
      <c r="V756" s="8" t="n">
        <f aca="false">IFERROR(U756/S756,0)</f>
        <v>0.0539682117797151</v>
      </c>
      <c r="W756" s="5" t="str">
        <f aca="false">IF(V756&lt;-0.1,"ADVERSE &gt;10%","")</f>
        <v/>
      </c>
    </row>
    <row r="757" customFormat="false" ht="15" hidden="false" customHeight="false" outlineLevel="0" collapsed="false">
      <c r="A757" s="5" t="str">
        <f aca="false">01_Data!A757</f>
        <v>Technology &amp; Telecom</v>
      </c>
      <c r="B757" s="5" t="str">
        <f aca="false">01_Data!C757</f>
        <v>2026-03</v>
      </c>
      <c r="C757" s="5" t="str">
        <f aca="false">01_Data!D757</f>
        <v>FY25</v>
      </c>
      <c r="D757" s="7" t="n">
        <f aca="false">01_Data!E757</f>
        <v>515829</v>
      </c>
      <c r="E757" s="7" t="n">
        <f aca="false">01_Data!F757</f>
        <v>545269</v>
      </c>
      <c r="F757" s="7" t="n">
        <f aca="false">E757-D757</f>
        <v>29440</v>
      </c>
      <c r="G757" s="8" t="n">
        <f aca="false">IFERROR(F757/D757,0)</f>
        <v>0.0570731773514091</v>
      </c>
      <c r="H757" s="7" t="n">
        <f aca="false">01_Data!G757</f>
        <v>281001</v>
      </c>
      <c r="I757" s="7" t="n">
        <f aca="false">01_Data!H757</f>
        <v>311543</v>
      </c>
      <c r="J757" s="7" t="n">
        <f aca="false">H757-I757</f>
        <v>-30542</v>
      </c>
      <c r="K757" s="8" t="n">
        <f aca="false">IFERROR(J757/H757,0)</f>
        <v>-0.108690004661905</v>
      </c>
      <c r="L757" s="7" t="n">
        <f aca="false">D757-H757</f>
        <v>234828</v>
      </c>
      <c r="M757" s="7" t="n">
        <f aca="false">E757-I757</f>
        <v>233726</v>
      </c>
      <c r="N757" s="7" t="n">
        <f aca="false">IFERROR(L757/D757,0)</f>
        <v>0.455243888963203</v>
      </c>
      <c r="O757" s="7" t="n">
        <f aca="false">IFERROR(M757/E757,0)</f>
        <v>0.428643476889389</v>
      </c>
      <c r="P757" s="7" t="n">
        <f aca="false">01_Data!I757+01_Data!K757+01_Data!M757+01_Data!O757+01_Data!Q757+01_Data!S757+01_Data!U757</f>
        <v>139278</v>
      </c>
      <c r="Q757" s="7" t="n">
        <f aca="false">01_Data!J757+01_Data!L757+01_Data!N757+01_Data!P757+01_Data!R757+01_Data!T757+01_Data!V757</f>
        <v>138571</v>
      </c>
      <c r="R757" s="7" t="n">
        <f aca="false">P757-Q757</f>
        <v>707</v>
      </c>
      <c r="S757" s="7" t="n">
        <f aca="false">L757-P757</f>
        <v>95550</v>
      </c>
      <c r="T757" s="7" t="n">
        <f aca="false">M757-Q757</f>
        <v>95155</v>
      </c>
      <c r="U757" s="7" t="n">
        <f aca="false">T757-S757</f>
        <v>-395</v>
      </c>
      <c r="V757" s="8" t="n">
        <f aca="false">IFERROR(U757/S757,0)</f>
        <v>-0.00413396127681842</v>
      </c>
      <c r="W757" s="5" t="str">
        <f aca="false">IF(V757&lt;-0.1,"ADVERSE &gt;10%","")</f>
        <v/>
      </c>
    </row>
    <row r="758" customFormat="false" ht="15" hidden="false" customHeight="false" outlineLevel="0" collapsed="false">
      <c r="A758" s="5" t="str">
        <f aca="false">01_Data!A758</f>
        <v>Technology &amp; Telecom</v>
      </c>
      <c r="B758" s="5" t="str">
        <f aca="false">01_Data!C758</f>
        <v>2023-04</v>
      </c>
      <c r="C758" s="5" t="str">
        <f aca="false">01_Data!D758</f>
        <v>FY23</v>
      </c>
      <c r="D758" s="7" t="n">
        <f aca="false">01_Data!E758</f>
        <v>212649</v>
      </c>
      <c r="E758" s="7" t="n">
        <f aca="false">01_Data!F758</f>
        <v>201938</v>
      </c>
      <c r="F758" s="7" t="n">
        <f aca="false">E758-D758</f>
        <v>-10711</v>
      </c>
      <c r="G758" s="8" t="n">
        <f aca="false">IFERROR(F758/D758,0)</f>
        <v>-0.0503693880526125</v>
      </c>
      <c r="H758" s="7" t="n">
        <f aca="false">01_Data!G758</f>
        <v>126249</v>
      </c>
      <c r="I758" s="7" t="n">
        <f aca="false">01_Data!H758</f>
        <v>118236</v>
      </c>
      <c r="J758" s="7" t="n">
        <f aca="false">H758-I758</f>
        <v>8013</v>
      </c>
      <c r="K758" s="8" t="n">
        <f aca="false">IFERROR(J758/H758,0)</f>
        <v>0.0634698096618587</v>
      </c>
      <c r="L758" s="7" t="n">
        <f aca="false">D758-H758</f>
        <v>86400</v>
      </c>
      <c r="M758" s="7" t="n">
        <f aca="false">E758-I758</f>
        <v>83702</v>
      </c>
      <c r="N758" s="7" t="n">
        <f aca="false">IFERROR(L758/D758,0)</f>
        <v>0.406303344948718</v>
      </c>
      <c r="O758" s="7" t="n">
        <f aca="false">IFERROR(M758/E758,0)</f>
        <v>0.414493557428518</v>
      </c>
      <c r="P758" s="7" t="n">
        <f aca="false">01_Data!I758+01_Data!K758+01_Data!M758+01_Data!O758+01_Data!Q758+01_Data!S758+01_Data!U758</f>
        <v>59283</v>
      </c>
      <c r="Q758" s="7" t="n">
        <f aca="false">01_Data!J758+01_Data!L758+01_Data!N758+01_Data!P758+01_Data!R758+01_Data!T758+01_Data!V758</f>
        <v>58036</v>
      </c>
      <c r="R758" s="7" t="n">
        <f aca="false">P758-Q758</f>
        <v>1247</v>
      </c>
      <c r="S758" s="7" t="n">
        <f aca="false">L758-P758</f>
        <v>27117</v>
      </c>
      <c r="T758" s="7" t="n">
        <f aca="false">M758-Q758</f>
        <v>25666</v>
      </c>
      <c r="U758" s="7" t="n">
        <f aca="false">T758-S758</f>
        <v>-1451</v>
      </c>
      <c r="V758" s="8" t="n">
        <f aca="false">IFERROR(U758/S758,0)</f>
        <v>-0.0535088689751816</v>
      </c>
      <c r="W758" s="5" t="str">
        <f aca="false">IF(V758&lt;-0.1,"ADVERSE &gt;10%","")</f>
        <v/>
      </c>
    </row>
    <row r="759" customFormat="false" ht="15" hidden="false" customHeight="false" outlineLevel="0" collapsed="false">
      <c r="A759" s="5" t="str">
        <f aca="false">01_Data!A759</f>
        <v>Technology &amp; Telecom</v>
      </c>
      <c r="B759" s="5" t="str">
        <f aca="false">01_Data!C759</f>
        <v>2023-05</v>
      </c>
      <c r="C759" s="5" t="str">
        <f aca="false">01_Data!D759</f>
        <v>FY23</v>
      </c>
      <c r="D759" s="7" t="n">
        <f aca="false">01_Data!E759</f>
        <v>208794</v>
      </c>
      <c r="E759" s="7" t="n">
        <f aca="false">01_Data!F759</f>
        <v>200253</v>
      </c>
      <c r="F759" s="7" t="n">
        <f aca="false">E759-D759</f>
        <v>-8541</v>
      </c>
      <c r="G759" s="8" t="n">
        <f aca="false">IFERROR(F759/D759,0)</f>
        <v>-0.0409063478835599</v>
      </c>
      <c r="H759" s="7" t="n">
        <f aca="false">01_Data!G759</f>
        <v>122349</v>
      </c>
      <c r="I759" s="7" t="n">
        <f aca="false">01_Data!H759</f>
        <v>118478</v>
      </c>
      <c r="J759" s="7" t="n">
        <f aca="false">H759-I759</f>
        <v>3871</v>
      </c>
      <c r="K759" s="8" t="n">
        <f aca="false">IFERROR(J759/H759,0)</f>
        <v>0.0316389999100933</v>
      </c>
      <c r="L759" s="7" t="n">
        <f aca="false">D759-H759</f>
        <v>86445</v>
      </c>
      <c r="M759" s="7" t="n">
        <f aca="false">E759-I759</f>
        <v>81775</v>
      </c>
      <c r="N759" s="7" t="n">
        <f aca="false">IFERROR(L759/D759,0)</f>
        <v>0.414020517830972</v>
      </c>
      <c r="O759" s="7" t="n">
        <f aca="false">IFERROR(M759/E759,0)</f>
        <v>0.408358426590363</v>
      </c>
      <c r="P759" s="7" t="n">
        <f aca="false">01_Data!I759+01_Data!K759+01_Data!M759+01_Data!O759+01_Data!Q759+01_Data!S759+01_Data!U759</f>
        <v>49535</v>
      </c>
      <c r="Q759" s="7" t="n">
        <f aca="false">01_Data!J759+01_Data!L759+01_Data!N759+01_Data!P759+01_Data!R759+01_Data!T759+01_Data!V759</f>
        <v>49737</v>
      </c>
      <c r="R759" s="7" t="n">
        <f aca="false">P759-Q759</f>
        <v>-202</v>
      </c>
      <c r="S759" s="7" t="n">
        <f aca="false">L759-P759</f>
        <v>36910</v>
      </c>
      <c r="T759" s="7" t="n">
        <f aca="false">M759-Q759</f>
        <v>32038</v>
      </c>
      <c r="U759" s="7" t="n">
        <f aca="false">T759-S759</f>
        <v>-4872</v>
      </c>
      <c r="V759" s="8" t="n">
        <f aca="false">IFERROR(U759/S759,0)</f>
        <v>-0.131996748848551</v>
      </c>
      <c r="W759" s="5" t="str">
        <f aca="false">IF(V759&lt;-0.1,"ADVERSE &gt;10%","")</f>
        <v>ADVERSE &gt;10%</v>
      </c>
    </row>
    <row r="760" customFormat="false" ht="15" hidden="false" customHeight="false" outlineLevel="0" collapsed="false">
      <c r="A760" s="5" t="str">
        <f aca="false">01_Data!A760</f>
        <v>Technology &amp; Telecom</v>
      </c>
      <c r="B760" s="5" t="str">
        <f aca="false">01_Data!C760</f>
        <v>2023-06</v>
      </c>
      <c r="C760" s="5" t="str">
        <f aca="false">01_Data!D760</f>
        <v>FY23</v>
      </c>
      <c r="D760" s="7" t="n">
        <f aca="false">01_Data!E760</f>
        <v>203894</v>
      </c>
      <c r="E760" s="7" t="n">
        <f aca="false">01_Data!F760</f>
        <v>200522</v>
      </c>
      <c r="F760" s="7" t="n">
        <f aca="false">E760-D760</f>
        <v>-3372</v>
      </c>
      <c r="G760" s="8" t="n">
        <f aca="false">IFERROR(F760/D760,0)</f>
        <v>-0.0165380050418355</v>
      </c>
      <c r="H760" s="7" t="n">
        <f aca="false">01_Data!G760</f>
        <v>119333</v>
      </c>
      <c r="I760" s="7" t="n">
        <f aca="false">01_Data!H760</f>
        <v>114022</v>
      </c>
      <c r="J760" s="7" t="n">
        <f aca="false">H760-I760</f>
        <v>5311</v>
      </c>
      <c r="K760" s="8" t="n">
        <f aca="false">IFERROR(J760/H760,0)</f>
        <v>0.044505710909807</v>
      </c>
      <c r="L760" s="7" t="n">
        <f aca="false">D760-H760</f>
        <v>84561</v>
      </c>
      <c r="M760" s="7" t="n">
        <f aca="false">E760-I760</f>
        <v>86500</v>
      </c>
      <c r="N760" s="7" t="n">
        <f aca="false">IFERROR(L760/D760,0)</f>
        <v>0.414730202948591</v>
      </c>
      <c r="O760" s="7" t="n">
        <f aca="false">IFERROR(M760/E760,0)</f>
        <v>0.431374113563599</v>
      </c>
      <c r="P760" s="7" t="n">
        <f aca="false">01_Data!I760+01_Data!K760+01_Data!M760+01_Data!O760+01_Data!Q760+01_Data!S760+01_Data!U760</f>
        <v>54705</v>
      </c>
      <c r="Q760" s="7" t="n">
        <f aca="false">01_Data!J760+01_Data!L760+01_Data!N760+01_Data!P760+01_Data!R760+01_Data!T760+01_Data!V760</f>
        <v>54484</v>
      </c>
      <c r="R760" s="7" t="n">
        <f aca="false">P760-Q760</f>
        <v>221</v>
      </c>
      <c r="S760" s="7" t="n">
        <f aca="false">L760-P760</f>
        <v>29856</v>
      </c>
      <c r="T760" s="7" t="n">
        <f aca="false">M760-Q760</f>
        <v>32016</v>
      </c>
      <c r="U760" s="7" t="n">
        <f aca="false">T760-S760</f>
        <v>2160</v>
      </c>
      <c r="V760" s="8" t="n">
        <f aca="false">IFERROR(U760/S760,0)</f>
        <v>0.0723472668810289</v>
      </c>
      <c r="W760" s="5" t="str">
        <f aca="false">IF(V760&lt;-0.1,"ADVERSE &gt;10%","")</f>
        <v/>
      </c>
    </row>
    <row r="761" customFormat="false" ht="15" hidden="false" customHeight="false" outlineLevel="0" collapsed="false">
      <c r="A761" s="5" t="str">
        <f aca="false">01_Data!A761</f>
        <v>Technology &amp; Telecom</v>
      </c>
      <c r="B761" s="5" t="str">
        <f aca="false">01_Data!C761</f>
        <v>2023-07</v>
      </c>
      <c r="C761" s="5" t="str">
        <f aca="false">01_Data!D761</f>
        <v>FY23</v>
      </c>
      <c r="D761" s="7" t="n">
        <f aca="false">01_Data!E761</f>
        <v>211043</v>
      </c>
      <c r="E761" s="7" t="n">
        <f aca="false">01_Data!F761</f>
        <v>204857</v>
      </c>
      <c r="F761" s="7" t="n">
        <f aca="false">E761-D761</f>
        <v>-6186</v>
      </c>
      <c r="G761" s="8" t="n">
        <f aca="false">IFERROR(F761/D761,0)</f>
        <v>-0.0293115620987192</v>
      </c>
      <c r="H761" s="7" t="n">
        <f aca="false">01_Data!G761</f>
        <v>120592</v>
      </c>
      <c r="I761" s="7" t="n">
        <f aca="false">01_Data!H761</f>
        <v>117136</v>
      </c>
      <c r="J761" s="7" t="n">
        <f aca="false">H761-I761</f>
        <v>3456</v>
      </c>
      <c r="K761" s="8" t="n">
        <f aca="false">IFERROR(J761/H761,0)</f>
        <v>0.0286586174870638</v>
      </c>
      <c r="L761" s="7" t="n">
        <f aca="false">D761-H761</f>
        <v>90451</v>
      </c>
      <c r="M761" s="7" t="n">
        <f aca="false">E761-I761</f>
        <v>87721</v>
      </c>
      <c r="N761" s="7" t="n">
        <f aca="false">IFERROR(L761/D761,0)</f>
        <v>0.428590382054842</v>
      </c>
      <c r="O761" s="7" t="n">
        <f aca="false">IFERROR(M761/E761,0)</f>
        <v>0.428206016880068</v>
      </c>
      <c r="P761" s="7" t="n">
        <f aca="false">01_Data!I761+01_Data!K761+01_Data!M761+01_Data!O761+01_Data!Q761+01_Data!S761+01_Data!U761</f>
        <v>56112</v>
      </c>
      <c r="Q761" s="7" t="n">
        <f aca="false">01_Data!J761+01_Data!L761+01_Data!N761+01_Data!P761+01_Data!R761+01_Data!T761+01_Data!V761</f>
        <v>56225</v>
      </c>
      <c r="R761" s="7" t="n">
        <f aca="false">P761-Q761</f>
        <v>-113</v>
      </c>
      <c r="S761" s="7" t="n">
        <f aca="false">L761-P761</f>
        <v>34339</v>
      </c>
      <c r="T761" s="7" t="n">
        <f aca="false">M761-Q761</f>
        <v>31496</v>
      </c>
      <c r="U761" s="7" t="n">
        <f aca="false">T761-S761</f>
        <v>-2843</v>
      </c>
      <c r="V761" s="8" t="n">
        <f aca="false">IFERROR(U761/S761,0)</f>
        <v>-0.0827921605171962</v>
      </c>
      <c r="W761" s="5" t="str">
        <f aca="false">IF(V761&lt;-0.1,"ADVERSE &gt;10%","")</f>
        <v/>
      </c>
    </row>
    <row r="762" customFormat="false" ht="15" hidden="false" customHeight="false" outlineLevel="0" collapsed="false">
      <c r="A762" s="5" t="str">
        <f aca="false">01_Data!A762</f>
        <v>Technology &amp; Telecom</v>
      </c>
      <c r="B762" s="5" t="str">
        <f aca="false">01_Data!C762</f>
        <v>2023-08</v>
      </c>
      <c r="C762" s="5" t="str">
        <f aca="false">01_Data!D762</f>
        <v>FY23</v>
      </c>
      <c r="D762" s="7" t="n">
        <f aca="false">01_Data!E762</f>
        <v>210120</v>
      </c>
      <c r="E762" s="7" t="n">
        <f aca="false">01_Data!F762</f>
        <v>206686</v>
      </c>
      <c r="F762" s="7" t="n">
        <f aca="false">E762-D762</f>
        <v>-3434</v>
      </c>
      <c r="G762" s="8" t="n">
        <f aca="false">IFERROR(F762/D762,0)</f>
        <v>-0.0163430420711974</v>
      </c>
      <c r="H762" s="7" t="n">
        <f aca="false">01_Data!G762</f>
        <v>115320</v>
      </c>
      <c r="I762" s="7" t="n">
        <f aca="false">01_Data!H762</f>
        <v>118243</v>
      </c>
      <c r="J762" s="7" t="n">
        <f aca="false">H762-I762</f>
        <v>-2923</v>
      </c>
      <c r="K762" s="8" t="n">
        <f aca="false">IFERROR(J762/H762,0)</f>
        <v>-0.0253468609087756</v>
      </c>
      <c r="L762" s="7" t="n">
        <f aca="false">D762-H762</f>
        <v>94800</v>
      </c>
      <c r="M762" s="7" t="n">
        <f aca="false">E762-I762</f>
        <v>88443</v>
      </c>
      <c r="N762" s="7" t="n">
        <f aca="false">IFERROR(L762/D762,0)</f>
        <v>0.451170759565962</v>
      </c>
      <c r="O762" s="7" t="n">
        <f aca="false">IFERROR(M762/E762,0)</f>
        <v>0.427909969712511</v>
      </c>
      <c r="P762" s="7" t="n">
        <f aca="false">01_Data!I762+01_Data!K762+01_Data!M762+01_Data!O762+01_Data!Q762+01_Data!S762+01_Data!U762</f>
        <v>57311</v>
      </c>
      <c r="Q762" s="7" t="n">
        <f aca="false">01_Data!J762+01_Data!L762+01_Data!N762+01_Data!P762+01_Data!R762+01_Data!T762+01_Data!V762</f>
        <v>58919</v>
      </c>
      <c r="R762" s="7" t="n">
        <f aca="false">P762-Q762</f>
        <v>-1608</v>
      </c>
      <c r="S762" s="7" t="n">
        <f aca="false">L762-P762</f>
        <v>37489</v>
      </c>
      <c r="T762" s="7" t="n">
        <f aca="false">M762-Q762</f>
        <v>29524</v>
      </c>
      <c r="U762" s="7" t="n">
        <f aca="false">T762-S762</f>
        <v>-7965</v>
      </c>
      <c r="V762" s="8" t="n">
        <f aca="false">IFERROR(U762/S762,0)</f>
        <v>-0.212462322281203</v>
      </c>
      <c r="W762" s="5" t="str">
        <f aca="false">IF(V762&lt;-0.1,"ADVERSE &gt;10%","")</f>
        <v>ADVERSE &gt;10%</v>
      </c>
    </row>
    <row r="763" customFormat="false" ht="15" hidden="false" customHeight="false" outlineLevel="0" collapsed="false">
      <c r="A763" s="5" t="str">
        <f aca="false">01_Data!A763</f>
        <v>Technology &amp; Telecom</v>
      </c>
      <c r="B763" s="5" t="str">
        <f aca="false">01_Data!C763</f>
        <v>2023-09</v>
      </c>
      <c r="C763" s="5" t="str">
        <f aca="false">01_Data!D763</f>
        <v>FY23</v>
      </c>
      <c r="D763" s="7" t="n">
        <f aca="false">01_Data!E763</f>
        <v>227388</v>
      </c>
      <c r="E763" s="7" t="n">
        <f aca="false">01_Data!F763</f>
        <v>215794</v>
      </c>
      <c r="F763" s="7" t="n">
        <f aca="false">E763-D763</f>
        <v>-11594</v>
      </c>
      <c r="G763" s="8" t="n">
        <f aca="false">IFERROR(F763/D763,0)</f>
        <v>-0.0509877390187697</v>
      </c>
      <c r="H763" s="7" t="n">
        <f aca="false">01_Data!G763</f>
        <v>135028</v>
      </c>
      <c r="I763" s="7" t="n">
        <f aca="false">01_Data!H763</f>
        <v>133784</v>
      </c>
      <c r="J763" s="7" t="n">
        <f aca="false">H763-I763</f>
        <v>1244</v>
      </c>
      <c r="K763" s="8" t="n">
        <f aca="false">IFERROR(J763/H763,0)</f>
        <v>0.0092129039902835</v>
      </c>
      <c r="L763" s="7" t="n">
        <f aca="false">D763-H763</f>
        <v>92360</v>
      </c>
      <c r="M763" s="7" t="n">
        <f aca="false">E763-I763</f>
        <v>82010</v>
      </c>
      <c r="N763" s="7" t="n">
        <f aca="false">IFERROR(L763/D763,0)</f>
        <v>0.406177986525234</v>
      </c>
      <c r="O763" s="7" t="n">
        <f aca="false">IFERROR(M763/E763,0)</f>
        <v>0.380038369926875</v>
      </c>
      <c r="P763" s="7" t="n">
        <f aca="false">01_Data!I763+01_Data!K763+01_Data!M763+01_Data!O763+01_Data!Q763+01_Data!S763+01_Data!U763</f>
        <v>60234</v>
      </c>
      <c r="Q763" s="7" t="n">
        <f aca="false">01_Data!J763+01_Data!L763+01_Data!N763+01_Data!P763+01_Data!R763+01_Data!T763+01_Data!V763</f>
        <v>59957</v>
      </c>
      <c r="R763" s="7" t="n">
        <f aca="false">P763-Q763</f>
        <v>277</v>
      </c>
      <c r="S763" s="7" t="n">
        <f aca="false">L763-P763</f>
        <v>32126</v>
      </c>
      <c r="T763" s="7" t="n">
        <f aca="false">M763-Q763</f>
        <v>22053</v>
      </c>
      <c r="U763" s="7" t="n">
        <f aca="false">T763-S763</f>
        <v>-10073</v>
      </c>
      <c r="V763" s="8" t="n">
        <f aca="false">IFERROR(U763/S763,0)</f>
        <v>-0.313546660026147</v>
      </c>
      <c r="W763" s="5" t="str">
        <f aca="false">IF(V763&lt;-0.1,"ADVERSE &gt;10%","")</f>
        <v>ADVERSE &gt;10%</v>
      </c>
    </row>
    <row r="764" customFormat="false" ht="15" hidden="false" customHeight="false" outlineLevel="0" collapsed="false">
      <c r="A764" s="5" t="str">
        <f aca="false">01_Data!A764</f>
        <v>Technology &amp; Telecom</v>
      </c>
      <c r="B764" s="5" t="str">
        <f aca="false">01_Data!C764</f>
        <v>2023-10</v>
      </c>
      <c r="C764" s="5" t="str">
        <f aca="false">01_Data!D764</f>
        <v>FY23</v>
      </c>
      <c r="D764" s="7" t="n">
        <f aca="false">01_Data!E764</f>
        <v>215526</v>
      </c>
      <c r="E764" s="7" t="n">
        <f aca="false">01_Data!F764</f>
        <v>205138</v>
      </c>
      <c r="F764" s="7" t="n">
        <f aca="false">E764-D764</f>
        <v>-10388</v>
      </c>
      <c r="G764" s="8" t="n">
        <f aca="false">IFERROR(F764/D764,0)</f>
        <v>-0.0481983612186001</v>
      </c>
      <c r="H764" s="7" t="n">
        <f aca="false">01_Data!G764</f>
        <v>118530</v>
      </c>
      <c r="I764" s="7" t="n">
        <f aca="false">01_Data!H764</f>
        <v>118890</v>
      </c>
      <c r="J764" s="7" t="n">
        <f aca="false">H764-I764</f>
        <v>-360</v>
      </c>
      <c r="K764" s="8" t="n">
        <f aca="false">IFERROR(J764/H764,0)</f>
        <v>-0.00303720577069096</v>
      </c>
      <c r="L764" s="7" t="n">
        <f aca="false">D764-H764</f>
        <v>96996</v>
      </c>
      <c r="M764" s="7" t="n">
        <f aca="false">E764-I764</f>
        <v>86248</v>
      </c>
      <c r="N764" s="7" t="n">
        <f aca="false">IFERROR(L764/D764,0)</f>
        <v>0.450043150246374</v>
      </c>
      <c r="O764" s="7" t="n">
        <f aca="false">IFERROR(M764/E764,0)</f>
        <v>0.420438924041377</v>
      </c>
      <c r="P764" s="7" t="n">
        <f aca="false">01_Data!I764+01_Data!K764+01_Data!M764+01_Data!O764+01_Data!Q764+01_Data!S764+01_Data!U764</f>
        <v>52764</v>
      </c>
      <c r="Q764" s="7" t="n">
        <f aca="false">01_Data!J764+01_Data!L764+01_Data!N764+01_Data!P764+01_Data!R764+01_Data!T764+01_Data!V764</f>
        <v>53549</v>
      </c>
      <c r="R764" s="7" t="n">
        <f aca="false">P764-Q764</f>
        <v>-785</v>
      </c>
      <c r="S764" s="7" t="n">
        <f aca="false">L764-P764</f>
        <v>44232</v>
      </c>
      <c r="T764" s="7" t="n">
        <f aca="false">M764-Q764</f>
        <v>32699</v>
      </c>
      <c r="U764" s="7" t="n">
        <f aca="false">T764-S764</f>
        <v>-11533</v>
      </c>
      <c r="V764" s="8" t="n">
        <f aca="false">IFERROR(U764/S764,0)</f>
        <v>-0.26073883161512</v>
      </c>
      <c r="W764" s="5" t="str">
        <f aca="false">IF(V764&lt;-0.1,"ADVERSE &gt;10%","")</f>
        <v>ADVERSE &gt;10%</v>
      </c>
    </row>
    <row r="765" customFormat="false" ht="15" hidden="false" customHeight="false" outlineLevel="0" collapsed="false">
      <c r="A765" s="5" t="str">
        <f aca="false">01_Data!A765</f>
        <v>Technology &amp; Telecom</v>
      </c>
      <c r="B765" s="5" t="str">
        <f aca="false">01_Data!C765</f>
        <v>2023-11</v>
      </c>
      <c r="C765" s="5" t="str">
        <f aca="false">01_Data!D765</f>
        <v>FY23</v>
      </c>
      <c r="D765" s="7" t="n">
        <f aca="false">01_Data!E765</f>
        <v>202866</v>
      </c>
      <c r="E765" s="7" t="n">
        <f aca="false">01_Data!F765</f>
        <v>204377</v>
      </c>
      <c r="F765" s="7" t="n">
        <f aca="false">E765-D765</f>
        <v>1511</v>
      </c>
      <c r="G765" s="8" t="n">
        <f aca="false">IFERROR(F765/D765,0)</f>
        <v>0.0074482663433005</v>
      </c>
      <c r="H765" s="7" t="n">
        <f aca="false">01_Data!G765</f>
        <v>115482</v>
      </c>
      <c r="I765" s="7" t="n">
        <f aca="false">01_Data!H765</f>
        <v>120058</v>
      </c>
      <c r="J765" s="7" t="n">
        <f aca="false">H765-I765</f>
        <v>-4576</v>
      </c>
      <c r="K765" s="8" t="n">
        <f aca="false">IFERROR(J765/H765,0)</f>
        <v>-0.0396252229784728</v>
      </c>
      <c r="L765" s="7" t="n">
        <f aca="false">D765-H765</f>
        <v>87384</v>
      </c>
      <c r="M765" s="7" t="n">
        <f aca="false">E765-I765</f>
        <v>84319</v>
      </c>
      <c r="N765" s="7" t="n">
        <f aca="false">IFERROR(L765/D765,0)</f>
        <v>0.430747389902694</v>
      </c>
      <c r="O765" s="7" t="n">
        <f aca="false">IFERROR(M765/E765,0)</f>
        <v>0.412565993237987</v>
      </c>
      <c r="P765" s="7" t="n">
        <f aca="false">01_Data!I765+01_Data!K765+01_Data!M765+01_Data!O765+01_Data!Q765+01_Data!S765+01_Data!U765</f>
        <v>52108</v>
      </c>
      <c r="Q765" s="7" t="n">
        <f aca="false">01_Data!J765+01_Data!L765+01_Data!N765+01_Data!P765+01_Data!R765+01_Data!T765+01_Data!V765</f>
        <v>54254</v>
      </c>
      <c r="R765" s="7" t="n">
        <f aca="false">P765-Q765</f>
        <v>-2146</v>
      </c>
      <c r="S765" s="7" t="n">
        <f aca="false">L765-P765</f>
        <v>35276</v>
      </c>
      <c r="T765" s="7" t="n">
        <f aca="false">M765-Q765</f>
        <v>30065</v>
      </c>
      <c r="U765" s="7" t="n">
        <f aca="false">T765-S765</f>
        <v>-5211</v>
      </c>
      <c r="V765" s="8" t="n">
        <f aca="false">IFERROR(U765/S765,0)</f>
        <v>-0.14772083002608</v>
      </c>
      <c r="W765" s="5" t="str">
        <f aca="false">IF(V765&lt;-0.1,"ADVERSE &gt;10%","")</f>
        <v>ADVERSE &gt;10%</v>
      </c>
    </row>
    <row r="766" customFormat="false" ht="15" hidden="false" customHeight="false" outlineLevel="0" collapsed="false">
      <c r="A766" s="5" t="str">
        <f aca="false">01_Data!A766</f>
        <v>Technology &amp; Telecom</v>
      </c>
      <c r="B766" s="5" t="str">
        <f aca="false">01_Data!C766</f>
        <v>2023-12</v>
      </c>
      <c r="C766" s="5" t="str">
        <f aca="false">01_Data!D766</f>
        <v>FY23</v>
      </c>
      <c r="D766" s="7" t="n">
        <f aca="false">01_Data!E766</f>
        <v>210770</v>
      </c>
      <c r="E766" s="7" t="n">
        <f aca="false">01_Data!F766</f>
        <v>213748</v>
      </c>
      <c r="F766" s="7" t="n">
        <f aca="false">E766-D766</f>
        <v>2978</v>
      </c>
      <c r="G766" s="8" t="n">
        <f aca="false">IFERROR(F766/D766,0)</f>
        <v>0.0141291455140675</v>
      </c>
      <c r="H766" s="7" t="n">
        <f aca="false">01_Data!G766</f>
        <v>118803</v>
      </c>
      <c r="I766" s="7" t="n">
        <f aca="false">01_Data!H766</f>
        <v>116655</v>
      </c>
      <c r="J766" s="7" t="n">
        <f aca="false">H766-I766</f>
        <v>2148</v>
      </c>
      <c r="K766" s="8" t="n">
        <f aca="false">IFERROR(J766/H766,0)</f>
        <v>0.0180803515062751</v>
      </c>
      <c r="L766" s="7" t="n">
        <f aca="false">D766-H766</f>
        <v>91967</v>
      </c>
      <c r="M766" s="7" t="n">
        <f aca="false">E766-I766</f>
        <v>97093</v>
      </c>
      <c r="N766" s="7" t="n">
        <f aca="false">IFERROR(L766/D766,0)</f>
        <v>0.436338188546757</v>
      </c>
      <c r="O766" s="7" t="n">
        <f aca="false">IFERROR(M766/E766,0)</f>
        <v>0.454240507513521</v>
      </c>
      <c r="P766" s="7" t="n">
        <f aca="false">01_Data!I766+01_Data!K766+01_Data!M766+01_Data!O766+01_Data!Q766+01_Data!S766+01_Data!U766</f>
        <v>52918</v>
      </c>
      <c r="Q766" s="7" t="n">
        <f aca="false">01_Data!J766+01_Data!L766+01_Data!N766+01_Data!P766+01_Data!R766+01_Data!T766+01_Data!V766</f>
        <v>55772</v>
      </c>
      <c r="R766" s="7" t="n">
        <f aca="false">P766-Q766</f>
        <v>-2854</v>
      </c>
      <c r="S766" s="7" t="n">
        <f aca="false">L766-P766</f>
        <v>39049</v>
      </c>
      <c r="T766" s="7" t="n">
        <f aca="false">M766-Q766</f>
        <v>41321</v>
      </c>
      <c r="U766" s="7" t="n">
        <f aca="false">T766-S766</f>
        <v>2272</v>
      </c>
      <c r="V766" s="8" t="n">
        <f aca="false">IFERROR(U766/S766,0)</f>
        <v>0.0581833081512971</v>
      </c>
      <c r="W766" s="5" t="str">
        <f aca="false">IF(V766&lt;-0.1,"ADVERSE &gt;10%","")</f>
        <v/>
      </c>
    </row>
    <row r="767" customFormat="false" ht="15" hidden="false" customHeight="false" outlineLevel="0" collapsed="false">
      <c r="A767" s="5" t="str">
        <f aca="false">01_Data!A767</f>
        <v>Technology &amp; Telecom</v>
      </c>
      <c r="B767" s="5" t="str">
        <f aca="false">01_Data!C767</f>
        <v>2024-01</v>
      </c>
      <c r="C767" s="5" t="str">
        <f aca="false">01_Data!D767</f>
        <v>FY23</v>
      </c>
      <c r="D767" s="7" t="n">
        <f aca="false">01_Data!E767</f>
        <v>194869</v>
      </c>
      <c r="E767" s="7" t="n">
        <f aca="false">01_Data!F767</f>
        <v>205573</v>
      </c>
      <c r="F767" s="7" t="n">
        <f aca="false">E767-D767</f>
        <v>10704</v>
      </c>
      <c r="G767" s="8" t="n">
        <f aca="false">IFERROR(F767/D767,0)</f>
        <v>0.054929208853127</v>
      </c>
      <c r="H767" s="7" t="n">
        <f aca="false">01_Data!G767</f>
        <v>110705</v>
      </c>
      <c r="I767" s="7" t="n">
        <f aca="false">01_Data!H767</f>
        <v>122760</v>
      </c>
      <c r="J767" s="7" t="n">
        <f aca="false">H767-I767</f>
        <v>-12055</v>
      </c>
      <c r="K767" s="8" t="n">
        <f aca="false">IFERROR(J767/H767,0)</f>
        <v>-0.108893003929362</v>
      </c>
      <c r="L767" s="7" t="n">
        <f aca="false">D767-H767</f>
        <v>84164</v>
      </c>
      <c r="M767" s="7" t="n">
        <f aca="false">E767-I767</f>
        <v>82813</v>
      </c>
      <c r="N767" s="7" t="n">
        <f aca="false">IFERROR(L767/D767,0)</f>
        <v>0.431900404887386</v>
      </c>
      <c r="O767" s="7" t="n">
        <f aca="false">IFERROR(M767/E767,0)</f>
        <v>0.40283986710317</v>
      </c>
      <c r="P767" s="7" t="n">
        <f aca="false">01_Data!I767+01_Data!K767+01_Data!M767+01_Data!O767+01_Data!Q767+01_Data!S767+01_Data!U767</f>
        <v>56155</v>
      </c>
      <c r="Q767" s="7" t="n">
        <f aca="false">01_Data!J767+01_Data!L767+01_Data!N767+01_Data!P767+01_Data!R767+01_Data!T767+01_Data!V767</f>
        <v>58056</v>
      </c>
      <c r="R767" s="7" t="n">
        <f aca="false">P767-Q767</f>
        <v>-1901</v>
      </c>
      <c r="S767" s="7" t="n">
        <f aca="false">L767-P767</f>
        <v>28009</v>
      </c>
      <c r="T767" s="7" t="n">
        <f aca="false">M767-Q767</f>
        <v>24757</v>
      </c>
      <c r="U767" s="7" t="n">
        <f aca="false">T767-S767</f>
        <v>-3252</v>
      </c>
      <c r="V767" s="8" t="n">
        <f aca="false">IFERROR(U767/S767,0)</f>
        <v>-0.116105537505802</v>
      </c>
      <c r="W767" s="5" t="str">
        <f aca="false">IF(V767&lt;-0.1,"ADVERSE &gt;10%","")</f>
        <v>ADVERSE &gt;10%</v>
      </c>
    </row>
    <row r="768" customFormat="false" ht="15" hidden="false" customHeight="false" outlineLevel="0" collapsed="false">
      <c r="A768" s="5" t="str">
        <f aca="false">01_Data!A768</f>
        <v>Technology &amp; Telecom</v>
      </c>
      <c r="B768" s="5" t="str">
        <f aca="false">01_Data!C768</f>
        <v>2024-02</v>
      </c>
      <c r="C768" s="5" t="str">
        <f aca="false">01_Data!D768</f>
        <v>FY23</v>
      </c>
      <c r="D768" s="7" t="n">
        <f aca="false">01_Data!E768</f>
        <v>209986</v>
      </c>
      <c r="E768" s="7" t="n">
        <f aca="false">01_Data!F768</f>
        <v>209315</v>
      </c>
      <c r="F768" s="7" t="n">
        <f aca="false">E768-D768</f>
        <v>-671</v>
      </c>
      <c r="G768" s="8" t="n">
        <f aca="false">IFERROR(F768/D768,0)</f>
        <v>-0.00319545112531312</v>
      </c>
      <c r="H768" s="7" t="n">
        <f aca="false">01_Data!G768</f>
        <v>121806</v>
      </c>
      <c r="I768" s="7" t="n">
        <f aca="false">01_Data!H768</f>
        <v>125973</v>
      </c>
      <c r="J768" s="7" t="n">
        <f aca="false">H768-I768</f>
        <v>-4167</v>
      </c>
      <c r="K768" s="8" t="n">
        <f aca="false">IFERROR(J768/H768,0)</f>
        <v>-0.0342101374316536</v>
      </c>
      <c r="L768" s="7" t="n">
        <f aca="false">D768-H768</f>
        <v>88180</v>
      </c>
      <c r="M768" s="7" t="n">
        <f aca="false">E768-I768</f>
        <v>83342</v>
      </c>
      <c r="N768" s="7" t="n">
        <f aca="false">IFERROR(L768/D768,0)</f>
        <v>0.419932757421923</v>
      </c>
      <c r="O768" s="7" t="n">
        <f aca="false">IFERROR(M768/E768,0)</f>
        <v>0.398165444425865</v>
      </c>
      <c r="P768" s="7" t="n">
        <f aca="false">01_Data!I768+01_Data!K768+01_Data!M768+01_Data!O768+01_Data!Q768+01_Data!S768+01_Data!U768</f>
        <v>57475</v>
      </c>
      <c r="Q768" s="7" t="n">
        <f aca="false">01_Data!J768+01_Data!L768+01_Data!N768+01_Data!P768+01_Data!R768+01_Data!T768+01_Data!V768</f>
        <v>60732</v>
      </c>
      <c r="R768" s="7" t="n">
        <f aca="false">P768-Q768</f>
        <v>-3257</v>
      </c>
      <c r="S768" s="7" t="n">
        <f aca="false">L768-P768</f>
        <v>30705</v>
      </c>
      <c r="T768" s="7" t="n">
        <f aca="false">M768-Q768</f>
        <v>22610</v>
      </c>
      <c r="U768" s="7" t="n">
        <f aca="false">T768-S768</f>
        <v>-8095</v>
      </c>
      <c r="V768" s="8" t="n">
        <f aca="false">IFERROR(U768/S768,0)</f>
        <v>-0.263637843999349</v>
      </c>
      <c r="W768" s="5" t="str">
        <f aca="false">IF(V768&lt;-0.1,"ADVERSE &gt;10%","")</f>
        <v>ADVERSE &gt;10%</v>
      </c>
    </row>
    <row r="769" customFormat="false" ht="15" hidden="false" customHeight="false" outlineLevel="0" collapsed="false">
      <c r="A769" s="5" t="str">
        <f aca="false">01_Data!A769</f>
        <v>Technology &amp; Telecom</v>
      </c>
      <c r="B769" s="5" t="str">
        <f aca="false">01_Data!C769</f>
        <v>2024-03</v>
      </c>
      <c r="C769" s="5" t="str">
        <f aca="false">01_Data!D769</f>
        <v>FY23</v>
      </c>
      <c r="D769" s="7" t="n">
        <f aca="false">01_Data!E769</f>
        <v>218669</v>
      </c>
      <c r="E769" s="7" t="n">
        <f aca="false">01_Data!F769</f>
        <v>225219</v>
      </c>
      <c r="F769" s="7" t="n">
        <f aca="false">E769-D769</f>
        <v>6550</v>
      </c>
      <c r="G769" s="8" t="n">
        <f aca="false">IFERROR(F769/D769,0)</f>
        <v>0.0299539486621332</v>
      </c>
      <c r="H769" s="7" t="n">
        <f aca="false">01_Data!G769</f>
        <v>128893</v>
      </c>
      <c r="I769" s="7" t="n">
        <f aca="false">01_Data!H769</f>
        <v>134500</v>
      </c>
      <c r="J769" s="7" t="n">
        <f aca="false">H769-I769</f>
        <v>-5607</v>
      </c>
      <c r="K769" s="8" t="n">
        <f aca="false">IFERROR(J769/H769,0)</f>
        <v>-0.0435011986686632</v>
      </c>
      <c r="L769" s="7" t="n">
        <f aca="false">D769-H769</f>
        <v>89776</v>
      </c>
      <c r="M769" s="7" t="n">
        <f aca="false">E769-I769</f>
        <v>90719</v>
      </c>
      <c r="N769" s="7" t="n">
        <f aca="false">IFERROR(L769/D769,0)</f>
        <v>0.410556594670484</v>
      </c>
      <c r="O769" s="7" t="n">
        <f aca="false">IFERROR(M769/E769,0)</f>
        <v>0.40280349348856</v>
      </c>
      <c r="P769" s="7" t="n">
        <f aca="false">01_Data!I769+01_Data!K769+01_Data!M769+01_Data!O769+01_Data!Q769+01_Data!S769+01_Data!U769</f>
        <v>61169</v>
      </c>
      <c r="Q769" s="7" t="n">
        <f aca="false">01_Data!J769+01_Data!L769+01_Data!N769+01_Data!P769+01_Data!R769+01_Data!T769+01_Data!V769</f>
        <v>60200</v>
      </c>
      <c r="R769" s="7" t="n">
        <f aca="false">P769-Q769</f>
        <v>969</v>
      </c>
      <c r="S769" s="7" t="n">
        <f aca="false">L769-P769</f>
        <v>28607</v>
      </c>
      <c r="T769" s="7" t="n">
        <f aca="false">M769-Q769</f>
        <v>30519</v>
      </c>
      <c r="U769" s="7" t="n">
        <f aca="false">T769-S769</f>
        <v>1912</v>
      </c>
      <c r="V769" s="8" t="n">
        <f aca="false">IFERROR(U769/S769,0)</f>
        <v>0.0668367881986926</v>
      </c>
      <c r="W769" s="5" t="str">
        <f aca="false">IF(V769&lt;-0.1,"ADVERSE &gt;10%","")</f>
        <v/>
      </c>
    </row>
    <row r="770" customFormat="false" ht="15" hidden="false" customHeight="false" outlineLevel="0" collapsed="false">
      <c r="A770" s="5" t="str">
        <f aca="false">01_Data!A770</f>
        <v>Technology &amp; Telecom</v>
      </c>
      <c r="B770" s="5" t="str">
        <f aca="false">01_Data!C770</f>
        <v>2024-04</v>
      </c>
      <c r="C770" s="5" t="str">
        <f aca="false">01_Data!D770</f>
        <v>FY24</v>
      </c>
      <c r="D770" s="7" t="n">
        <f aca="false">01_Data!E770</f>
        <v>208996</v>
      </c>
      <c r="E770" s="7" t="n">
        <f aca="false">01_Data!F770</f>
        <v>220470</v>
      </c>
      <c r="F770" s="7" t="n">
        <f aca="false">E770-D770</f>
        <v>11474</v>
      </c>
      <c r="G770" s="8" t="n">
        <f aca="false">IFERROR(F770/D770,0)</f>
        <v>0.0549005722597562</v>
      </c>
      <c r="H770" s="7" t="n">
        <f aca="false">01_Data!G770</f>
        <v>116795</v>
      </c>
      <c r="I770" s="7" t="n">
        <f aca="false">01_Data!H770</f>
        <v>128601</v>
      </c>
      <c r="J770" s="7" t="n">
        <f aca="false">H770-I770</f>
        <v>-11806</v>
      </c>
      <c r="K770" s="8" t="n">
        <f aca="false">IFERROR(J770/H770,0)</f>
        <v>-0.101083094310544</v>
      </c>
      <c r="L770" s="7" t="n">
        <f aca="false">D770-H770</f>
        <v>92201</v>
      </c>
      <c r="M770" s="7" t="n">
        <f aca="false">E770-I770</f>
        <v>91869</v>
      </c>
      <c r="N770" s="7" t="n">
        <f aca="false">IFERROR(L770/D770,0)</f>
        <v>0.441161553331164</v>
      </c>
      <c r="O770" s="7" t="n">
        <f aca="false">IFERROR(M770/E770,0)</f>
        <v>0.416696149135937</v>
      </c>
      <c r="P770" s="7" t="n">
        <f aca="false">01_Data!I770+01_Data!K770+01_Data!M770+01_Data!O770+01_Data!Q770+01_Data!S770+01_Data!U770</f>
        <v>53841</v>
      </c>
      <c r="Q770" s="7" t="n">
        <f aca="false">01_Data!J770+01_Data!L770+01_Data!N770+01_Data!P770+01_Data!R770+01_Data!T770+01_Data!V770</f>
        <v>56500</v>
      </c>
      <c r="R770" s="7" t="n">
        <f aca="false">P770-Q770</f>
        <v>-2659</v>
      </c>
      <c r="S770" s="7" t="n">
        <f aca="false">L770-P770</f>
        <v>38360</v>
      </c>
      <c r="T770" s="7" t="n">
        <f aca="false">M770-Q770</f>
        <v>35369</v>
      </c>
      <c r="U770" s="7" t="n">
        <f aca="false">T770-S770</f>
        <v>-2991</v>
      </c>
      <c r="V770" s="8" t="n">
        <f aca="false">IFERROR(U770/S770,0)</f>
        <v>-0.0779718456725756</v>
      </c>
      <c r="W770" s="5" t="str">
        <f aca="false">IF(V770&lt;-0.1,"ADVERSE &gt;10%","")</f>
        <v/>
      </c>
    </row>
    <row r="771" customFormat="false" ht="15" hidden="false" customHeight="false" outlineLevel="0" collapsed="false">
      <c r="A771" s="5" t="str">
        <f aca="false">01_Data!A771</f>
        <v>Technology &amp; Telecom</v>
      </c>
      <c r="B771" s="5" t="str">
        <f aca="false">01_Data!C771</f>
        <v>2024-05</v>
      </c>
      <c r="C771" s="5" t="str">
        <f aca="false">01_Data!D771</f>
        <v>FY24</v>
      </c>
      <c r="D771" s="7" t="n">
        <f aca="false">01_Data!E771</f>
        <v>224041</v>
      </c>
      <c r="E771" s="7" t="n">
        <f aca="false">01_Data!F771</f>
        <v>221107</v>
      </c>
      <c r="F771" s="7" t="n">
        <f aca="false">E771-D771</f>
        <v>-2934</v>
      </c>
      <c r="G771" s="8" t="n">
        <f aca="false">IFERROR(F771/D771,0)</f>
        <v>-0.0130958172834437</v>
      </c>
      <c r="H771" s="7" t="n">
        <f aca="false">01_Data!G771</f>
        <v>123199</v>
      </c>
      <c r="I771" s="7" t="n">
        <f aca="false">01_Data!H771</f>
        <v>118923</v>
      </c>
      <c r="J771" s="7" t="n">
        <f aca="false">H771-I771</f>
        <v>4276</v>
      </c>
      <c r="K771" s="8" t="n">
        <f aca="false">IFERROR(J771/H771,0)</f>
        <v>0.0347080739291715</v>
      </c>
      <c r="L771" s="7" t="n">
        <f aca="false">D771-H771</f>
        <v>100842</v>
      </c>
      <c r="M771" s="7" t="n">
        <f aca="false">E771-I771</f>
        <v>102184</v>
      </c>
      <c r="N771" s="7" t="n">
        <f aca="false">IFERROR(L771/D771,0)</f>
        <v>0.450105114688829</v>
      </c>
      <c r="O771" s="7" t="n">
        <f aca="false">IFERROR(M771/E771,0)</f>
        <v>0.462147286155572</v>
      </c>
      <c r="P771" s="7" t="n">
        <f aca="false">01_Data!I771+01_Data!K771+01_Data!M771+01_Data!O771+01_Data!Q771+01_Data!S771+01_Data!U771</f>
        <v>58596</v>
      </c>
      <c r="Q771" s="7" t="n">
        <f aca="false">01_Data!J771+01_Data!L771+01_Data!N771+01_Data!P771+01_Data!R771+01_Data!T771+01_Data!V771</f>
        <v>58226</v>
      </c>
      <c r="R771" s="7" t="n">
        <f aca="false">P771-Q771</f>
        <v>370</v>
      </c>
      <c r="S771" s="7" t="n">
        <f aca="false">L771-P771</f>
        <v>42246</v>
      </c>
      <c r="T771" s="7" t="n">
        <f aca="false">M771-Q771</f>
        <v>43958</v>
      </c>
      <c r="U771" s="7" t="n">
        <f aca="false">T771-S771</f>
        <v>1712</v>
      </c>
      <c r="V771" s="8" t="n">
        <f aca="false">IFERROR(U771/S771,0)</f>
        <v>0.0405245467026464</v>
      </c>
      <c r="W771" s="5" t="str">
        <f aca="false">IF(V771&lt;-0.1,"ADVERSE &gt;10%","")</f>
        <v/>
      </c>
    </row>
    <row r="772" customFormat="false" ht="15" hidden="false" customHeight="false" outlineLevel="0" collapsed="false">
      <c r="A772" s="5" t="str">
        <f aca="false">01_Data!A772</f>
        <v>Technology &amp; Telecom</v>
      </c>
      <c r="B772" s="5" t="str">
        <f aca="false">01_Data!C772</f>
        <v>2024-06</v>
      </c>
      <c r="C772" s="5" t="str">
        <f aca="false">01_Data!D772</f>
        <v>FY24</v>
      </c>
      <c r="D772" s="7" t="n">
        <f aca="false">01_Data!E772</f>
        <v>211063</v>
      </c>
      <c r="E772" s="7" t="n">
        <f aca="false">01_Data!F772</f>
        <v>220773</v>
      </c>
      <c r="F772" s="7" t="n">
        <f aca="false">E772-D772</f>
        <v>9710</v>
      </c>
      <c r="G772" s="8" t="n">
        <f aca="false">IFERROR(F772/D772,0)</f>
        <v>0.0460052211898817</v>
      </c>
      <c r="H772" s="7" t="n">
        <f aca="false">01_Data!G772</f>
        <v>126431</v>
      </c>
      <c r="I772" s="7" t="n">
        <f aca="false">01_Data!H772</f>
        <v>131881</v>
      </c>
      <c r="J772" s="7" t="n">
        <f aca="false">H772-I772</f>
        <v>-5450</v>
      </c>
      <c r="K772" s="8" t="n">
        <f aca="false">IFERROR(J772/H772,0)</f>
        <v>-0.0431065165979863</v>
      </c>
      <c r="L772" s="7" t="n">
        <f aca="false">D772-H772</f>
        <v>84632</v>
      </c>
      <c r="M772" s="7" t="n">
        <f aca="false">E772-I772</f>
        <v>88892</v>
      </c>
      <c r="N772" s="7" t="n">
        <f aca="false">IFERROR(L772/D772,0)</f>
        <v>0.400979802239142</v>
      </c>
      <c r="O772" s="7" t="n">
        <f aca="false">IFERROR(M772/E772,0)</f>
        <v>0.402639815557156</v>
      </c>
      <c r="P772" s="7" t="n">
        <f aca="false">01_Data!I772+01_Data!K772+01_Data!M772+01_Data!O772+01_Data!Q772+01_Data!S772+01_Data!U772</f>
        <v>55674</v>
      </c>
      <c r="Q772" s="7" t="n">
        <f aca="false">01_Data!J772+01_Data!L772+01_Data!N772+01_Data!P772+01_Data!R772+01_Data!T772+01_Data!V772</f>
        <v>58637</v>
      </c>
      <c r="R772" s="7" t="n">
        <f aca="false">P772-Q772</f>
        <v>-2963</v>
      </c>
      <c r="S772" s="7" t="n">
        <f aca="false">L772-P772</f>
        <v>28958</v>
      </c>
      <c r="T772" s="7" t="n">
        <f aca="false">M772-Q772</f>
        <v>30255</v>
      </c>
      <c r="U772" s="7" t="n">
        <f aca="false">T772-S772</f>
        <v>1297</v>
      </c>
      <c r="V772" s="8" t="n">
        <f aca="false">IFERROR(U772/S772,0)</f>
        <v>0.0447890047655225</v>
      </c>
      <c r="W772" s="5" t="str">
        <f aca="false">IF(V772&lt;-0.1,"ADVERSE &gt;10%","")</f>
        <v/>
      </c>
    </row>
    <row r="773" customFormat="false" ht="15" hidden="false" customHeight="false" outlineLevel="0" collapsed="false">
      <c r="A773" s="5" t="str">
        <f aca="false">01_Data!A773</f>
        <v>Technology &amp; Telecom</v>
      </c>
      <c r="B773" s="5" t="str">
        <f aca="false">01_Data!C773</f>
        <v>2024-07</v>
      </c>
      <c r="C773" s="5" t="str">
        <f aca="false">01_Data!D773</f>
        <v>FY24</v>
      </c>
      <c r="D773" s="7" t="n">
        <f aca="false">01_Data!E773</f>
        <v>235511</v>
      </c>
      <c r="E773" s="7" t="n">
        <f aca="false">01_Data!F773</f>
        <v>222344</v>
      </c>
      <c r="F773" s="7" t="n">
        <f aca="false">E773-D773</f>
        <v>-13167</v>
      </c>
      <c r="G773" s="8" t="n">
        <f aca="false">IFERROR(F773/D773,0)</f>
        <v>-0.0559082166013477</v>
      </c>
      <c r="H773" s="7" t="n">
        <f aca="false">01_Data!G773</f>
        <v>128696</v>
      </c>
      <c r="I773" s="7" t="n">
        <f aca="false">01_Data!H773</f>
        <v>123650</v>
      </c>
      <c r="J773" s="7" t="n">
        <f aca="false">H773-I773</f>
        <v>5046</v>
      </c>
      <c r="K773" s="8" t="n">
        <f aca="false">IFERROR(J773/H773,0)</f>
        <v>0.0392086778143843</v>
      </c>
      <c r="L773" s="7" t="n">
        <f aca="false">D773-H773</f>
        <v>106815</v>
      </c>
      <c r="M773" s="7" t="n">
        <f aca="false">E773-I773</f>
        <v>98694</v>
      </c>
      <c r="N773" s="7" t="n">
        <f aca="false">IFERROR(L773/D773,0)</f>
        <v>0.453545694256319</v>
      </c>
      <c r="O773" s="7" t="n">
        <f aca="false">IFERROR(M773/E773,0)</f>
        <v>0.443879753894866</v>
      </c>
      <c r="P773" s="7" t="n">
        <f aca="false">01_Data!I773+01_Data!K773+01_Data!M773+01_Data!O773+01_Data!Q773+01_Data!S773+01_Data!U773</f>
        <v>63012</v>
      </c>
      <c r="Q773" s="7" t="n">
        <f aca="false">01_Data!J773+01_Data!L773+01_Data!N773+01_Data!P773+01_Data!R773+01_Data!T773+01_Data!V773</f>
        <v>64354</v>
      </c>
      <c r="R773" s="7" t="n">
        <f aca="false">P773-Q773</f>
        <v>-1342</v>
      </c>
      <c r="S773" s="7" t="n">
        <f aca="false">L773-P773</f>
        <v>43803</v>
      </c>
      <c r="T773" s="7" t="n">
        <f aca="false">M773-Q773</f>
        <v>34340</v>
      </c>
      <c r="U773" s="7" t="n">
        <f aca="false">T773-S773</f>
        <v>-9463</v>
      </c>
      <c r="V773" s="8" t="n">
        <f aca="false">IFERROR(U773/S773,0)</f>
        <v>-0.216035431363149</v>
      </c>
      <c r="W773" s="5" t="str">
        <f aca="false">IF(V773&lt;-0.1,"ADVERSE &gt;10%","")</f>
        <v>ADVERSE &gt;10%</v>
      </c>
    </row>
    <row r="774" customFormat="false" ht="15" hidden="false" customHeight="false" outlineLevel="0" collapsed="false">
      <c r="A774" s="5" t="str">
        <f aca="false">01_Data!A774</f>
        <v>Technology &amp; Telecom</v>
      </c>
      <c r="B774" s="5" t="str">
        <f aca="false">01_Data!C774</f>
        <v>2024-08</v>
      </c>
      <c r="C774" s="5" t="str">
        <f aca="false">01_Data!D774</f>
        <v>FY24</v>
      </c>
      <c r="D774" s="7" t="n">
        <f aca="false">01_Data!E774</f>
        <v>231687</v>
      </c>
      <c r="E774" s="7" t="n">
        <f aca="false">01_Data!F774</f>
        <v>226392</v>
      </c>
      <c r="F774" s="7" t="n">
        <f aca="false">E774-D774</f>
        <v>-5295</v>
      </c>
      <c r="G774" s="8" t="n">
        <f aca="false">IFERROR(F774/D774,0)</f>
        <v>-0.0228541092076811</v>
      </c>
      <c r="H774" s="7" t="n">
        <f aca="false">01_Data!G774</f>
        <v>136375</v>
      </c>
      <c r="I774" s="7" t="n">
        <f aca="false">01_Data!H774</f>
        <v>132791</v>
      </c>
      <c r="J774" s="7" t="n">
        <f aca="false">H774-I774</f>
        <v>3584</v>
      </c>
      <c r="K774" s="8" t="n">
        <f aca="false">IFERROR(J774/H774,0)</f>
        <v>0.0262804766269478</v>
      </c>
      <c r="L774" s="7" t="n">
        <f aca="false">D774-H774</f>
        <v>95312</v>
      </c>
      <c r="M774" s="7" t="n">
        <f aca="false">E774-I774</f>
        <v>93601</v>
      </c>
      <c r="N774" s="7" t="n">
        <f aca="false">IFERROR(L774/D774,0)</f>
        <v>0.411382598074126</v>
      </c>
      <c r="O774" s="7" t="n">
        <f aca="false">IFERROR(M774/E774,0)</f>
        <v>0.413446588218665</v>
      </c>
      <c r="P774" s="7" t="n">
        <f aca="false">01_Data!I774+01_Data!K774+01_Data!M774+01_Data!O774+01_Data!Q774+01_Data!S774+01_Data!U774</f>
        <v>62474</v>
      </c>
      <c r="Q774" s="7" t="n">
        <f aca="false">01_Data!J774+01_Data!L774+01_Data!N774+01_Data!P774+01_Data!R774+01_Data!T774+01_Data!V774</f>
        <v>61695</v>
      </c>
      <c r="R774" s="7" t="n">
        <f aca="false">P774-Q774</f>
        <v>779</v>
      </c>
      <c r="S774" s="7" t="n">
        <f aca="false">L774-P774</f>
        <v>32838</v>
      </c>
      <c r="T774" s="7" t="n">
        <f aca="false">M774-Q774</f>
        <v>31906</v>
      </c>
      <c r="U774" s="7" t="n">
        <f aca="false">T774-S774</f>
        <v>-932</v>
      </c>
      <c r="V774" s="8" t="n">
        <f aca="false">IFERROR(U774/S774,0)</f>
        <v>-0.028381752847311</v>
      </c>
      <c r="W774" s="5" t="str">
        <f aca="false">IF(V774&lt;-0.1,"ADVERSE &gt;10%","")</f>
        <v/>
      </c>
    </row>
    <row r="775" customFormat="false" ht="15" hidden="false" customHeight="false" outlineLevel="0" collapsed="false">
      <c r="A775" s="5" t="str">
        <f aca="false">01_Data!A775</f>
        <v>Technology &amp; Telecom</v>
      </c>
      <c r="B775" s="5" t="str">
        <f aca="false">01_Data!C775</f>
        <v>2024-09</v>
      </c>
      <c r="C775" s="5" t="str">
        <f aca="false">01_Data!D775</f>
        <v>FY24</v>
      </c>
      <c r="D775" s="7" t="n">
        <f aca="false">01_Data!E775</f>
        <v>225851</v>
      </c>
      <c r="E775" s="7" t="n">
        <f aca="false">01_Data!F775</f>
        <v>237009</v>
      </c>
      <c r="F775" s="7" t="n">
        <f aca="false">E775-D775</f>
        <v>11158</v>
      </c>
      <c r="G775" s="8" t="n">
        <f aca="false">IFERROR(F775/D775,0)</f>
        <v>0.0494042532466095</v>
      </c>
      <c r="H775" s="7" t="n">
        <f aca="false">01_Data!G775</f>
        <v>128043</v>
      </c>
      <c r="I775" s="7" t="n">
        <f aca="false">01_Data!H775</f>
        <v>131398</v>
      </c>
      <c r="J775" s="7" t="n">
        <f aca="false">H775-I775</f>
        <v>-3355</v>
      </c>
      <c r="K775" s="8" t="n">
        <f aca="false">IFERROR(J775/H775,0)</f>
        <v>-0.0262021352201995</v>
      </c>
      <c r="L775" s="7" t="n">
        <f aca="false">D775-H775</f>
        <v>97808</v>
      </c>
      <c r="M775" s="7" t="n">
        <f aca="false">E775-I775</f>
        <v>105611</v>
      </c>
      <c r="N775" s="7" t="n">
        <f aca="false">IFERROR(L775/D775,0)</f>
        <v>0.433064276890516</v>
      </c>
      <c r="O775" s="7" t="n">
        <f aca="false">IFERROR(M775/E775,0)</f>
        <v>0.445599112269998</v>
      </c>
      <c r="P775" s="7" t="n">
        <f aca="false">01_Data!I775+01_Data!K775+01_Data!M775+01_Data!O775+01_Data!Q775+01_Data!S775+01_Data!U775</f>
        <v>57804</v>
      </c>
      <c r="Q775" s="7" t="n">
        <f aca="false">01_Data!J775+01_Data!L775+01_Data!N775+01_Data!P775+01_Data!R775+01_Data!T775+01_Data!V775</f>
        <v>60728</v>
      </c>
      <c r="R775" s="7" t="n">
        <f aca="false">P775-Q775</f>
        <v>-2924</v>
      </c>
      <c r="S775" s="7" t="n">
        <f aca="false">L775-P775</f>
        <v>40004</v>
      </c>
      <c r="T775" s="7" t="n">
        <f aca="false">M775-Q775</f>
        <v>44883</v>
      </c>
      <c r="U775" s="7" t="n">
        <f aca="false">T775-S775</f>
        <v>4879</v>
      </c>
      <c r="V775" s="8" t="n">
        <f aca="false">IFERROR(U775/S775,0)</f>
        <v>0.121962803719628</v>
      </c>
      <c r="W775" s="5" t="str">
        <f aca="false">IF(V775&lt;-0.1,"ADVERSE &gt;10%","")</f>
        <v/>
      </c>
    </row>
    <row r="776" customFormat="false" ht="15" hidden="false" customHeight="false" outlineLevel="0" collapsed="false">
      <c r="A776" s="5" t="str">
        <f aca="false">01_Data!A776</f>
        <v>Technology &amp; Telecom</v>
      </c>
      <c r="B776" s="5" t="str">
        <f aca="false">01_Data!C776</f>
        <v>2024-10</v>
      </c>
      <c r="C776" s="5" t="str">
        <f aca="false">01_Data!D776</f>
        <v>FY24</v>
      </c>
      <c r="D776" s="7" t="n">
        <f aca="false">01_Data!E776</f>
        <v>214623</v>
      </c>
      <c r="E776" s="7" t="n">
        <f aca="false">01_Data!F776</f>
        <v>223849</v>
      </c>
      <c r="F776" s="7" t="n">
        <f aca="false">E776-D776</f>
        <v>9226</v>
      </c>
      <c r="G776" s="8" t="n">
        <f aca="false">IFERROR(F776/D776,0)</f>
        <v>0.0429870051206068</v>
      </c>
      <c r="H776" s="7" t="n">
        <f aca="false">01_Data!G776</f>
        <v>118362</v>
      </c>
      <c r="I776" s="7" t="n">
        <f aca="false">01_Data!H776</f>
        <v>119713</v>
      </c>
      <c r="J776" s="7" t="n">
        <f aca="false">H776-I776</f>
        <v>-1351</v>
      </c>
      <c r="K776" s="8" t="n">
        <f aca="false">IFERROR(J776/H776,0)</f>
        <v>-0.0114141362937429</v>
      </c>
      <c r="L776" s="7" t="n">
        <f aca="false">D776-H776</f>
        <v>96261</v>
      </c>
      <c r="M776" s="7" t="n">
        <f aca="false">E776-I776</f>
        <v>104136</v>
      </c>
      <c r="N776" s="7" t="n">
        <f aca="false">IFERROR(L776/D776,0)</f>
        <v>0.44851204204582</v>
      </c>
      <c r="O776" s="7" t="n">
        <f aca="false">IFERROR(M776/E776,0)</f>
        <v>0.465206456137843</v>
      </c>
      <c r="P776" s="7" t="n">
        <f aca="false">01_Data!I776+01_Data!K776+01_Data!M776+01_Data!O776+01_Data!Q776+01_Data!S776+01_Data!U776</f>
        <v>52573</v>
      </c>
      <c r="Q776" s="7" t="n">
        <f aca="false">01_Data!J776+01_Data!L776+01_Data!N776+01_Data!P776+01_Data!R776+01_Data!T776+01_Data!V776</f>
        <v>55043</v>
      </c>
      <c r="R776" s="7" t="n">
        <f aca="false">P776-Q776</f>
        <v>-2470</v>
      </c>
      <c r="S776" s="7" t="n">
        <f aca="false">L776-P776</f>
        <v>43688</v>
      </c>
      <c r="T776" s="7" t="n">
        <f aca="false">M776-Q776</f>
        <v>49093</v>
      </c>
      <c r="U776" s="7" t="n">
        <f aca="false">T776-S776</f>
        <v>5405</v>
      </c>
      <c r="V776" s="8" t="n">
        <f aca="false">IFERROR(U776/S776,0)</f>
        <v>0.123718183482879</v>
      </c>
      <c r="W776" s="5" t="str">
        <f aca="false">IF(V776&lt;-0.1,"ADVERSE &gt;10%","")</f>
        <v/>
      </c>
    </row>
    <row r="777" customFormat="false" ht="15" hidden="false" customHeight="false" outlineLevel="0" collapsed="false">
      <c r="A777" s="5" t="str">
        <f aca="false">01_Data!A777</f>
        <v>Technology &amp; Telecom</v>
      </c>
      <c r="B777" s="5" t="str">
        <f aca="false">01_Data!C777</f>
        <v>2024-11</v>
      </c>
      <c r="C777" s="5" t="str">
        <f aca="false">01_Data!D777</f>
        <v>FY24</v>
      </c>
      <c r="D777" s="7" t="n">
        <f aca="false">01_Data!E777</f>
        <v>232032</v>
      </c>
      <c r="E777" s="7" t="n">
        <f aca="false">01_Data!F777</f>
        <v>230193</v>
      </c>
      <c r="F777" s="7" t="n">
        <f aca="false">E777-D777</f>
        <v>-1839</v>
      </c>
      <c r="G777" s="8" t="n">
        <f aca="false">IFERROR(F777/D777,0)</f>
        <v>-0.00792563094745552</v>
      </c>
      <c r="H777" s="7" t="n">
        <f aca="false">01_Data!G777</f>
        <v>135041</v>
      </c>
      <c r="I777" s="7" t="n">
        <f aca="false">01_Data!H777</f>
        <v>129452</v>
      </c>
      <c r="J777" s="7" t="n">
        <f aca="false">H777-I777</f>
        <v>5589</v>
      </c>
      <c r="K777" s="8" t="n">
        <f aca="false">IFERROR(J777/H777,0)</f>
        <v>0.0413874304840752</v>
      </c>
      <c r="L777" s="7" t="n">
        <f aca="false">D777-H777</f>
        <v>96991</v>
      </c>
      <c r="M777" s="7" t="n">
        <f aca="false">E777-I777</f>
        <v>100741</v>
      </c>
      <c r="N777" s="7" t="n">
        <f aca="false">IFERROR(L777/D777,0)</f>
        <v>0.418006999034616</v>
      </c>
      <c r="O777" s="7" t="n">
        <f aca="false">IFERROR(M777/E777,0)</f>
        <v>0.437637113205006</v>
      </c>
      <c r="P777" s="7" t="n">
        <f aca="false">01_Data!I777+01_Data!K777+01_Data!M777+01_Data!O777+01_Data!Q777+01_Data!S777+01_Data!U777</f>
        <v>65884</v>
      </c>
      <c r="Q777" s="7" t="n">
        <f aca="false">01_Data!J777+01_Data!L777+01_Data!N777+01_Data!P777+01_Data!R777+01_Data!T777+01_Data!V777</f>
        <v>68925</v>
      </c>
      <c r="R777" s="7" t="n">
        <f aca="false">P777-Q777</f>
        <v>-3041</v>
      </c>
      <c r="S777" s="7" t="n">
        <f aca="false">L777-P777</f>
        <v>31107</v>
      </c>
      <c r="T777" s="7" t="n">
        <f aca="false">M777-Q777</f>
        <v>31816</v>
      </c>
      <c r="U777" s="7" t="n">
        <f aca="false">T777-S777</f>
        <v>709</v>
      </c>
      <c r="V777" s="8" t="n">
        <f aca="false">IFERROR(U777/S777,0)</f>
        <v>0.0227922975536053</v>
      </c>
      <c r="W777" s="5" t="str">
        <f aca="false">IF(V777&lt;-0.1,"ADVERSE &gt;10%","")</f>
        <v/>
      </c>
    </row>
    <row r="778" customFormat="false" ht="15" hidden="false" customHeight="false" outlineLevel="0" collapsed="false">
      <c r="A778" s="5" t="str">
        <f aca="false">01_Data!A778</f>
        <v>Technology &amp; Telecom</v>
      </c>
      <c r="B778" s="5" t="str">
        <f aca="false">01_Data!C778</f>
        <v>2024-12</v>
      </c>
      <c r="C778" s="5" t="str">
        <f aca="false">01_Data!D778</f>
        <v>FY24</v>
      </c>
      <c r="D778" s="7" t="n">
        <f aca="false">01_Data!E778</f>
        <v>252258</v>
      </c>
      <c r="E778" s="7" t="n">
        <f aca="false">01_Data!F778</f>
        <v>246018</v>
      </c>
      <c r="F778" s="7" t="n">
        <f aca="false">E778-D778</f>
        <v>-6240</v>
      </c>
      <c r="G778" s="8" t="n">
        <f aca="false">IFERROR(F778/D778,0)</f>
        <v>-0.0247365792165164</v>
      </c>
      <c r="H778" s="7" t="n">
        <f aca="false">01_Data!G778</f>
        <v>148331</v>
      </c>
      <c r="I778" s="7" t="n">
        <f aca="false">01_Data!H778</f>
        <v>144330</v>
      </c>
      <c r="J778" s="7" t="n">
        <f aca="false">H778-I778</f>
        <v>4001</v>
      </c>
      <c r="K778" s="8" t="n">
        <f aca="false">IFERROR(J778/H778,0)</f>
        <v>0.0269734580094518</v>
      </c>
      <c r="L778" s="7" t="n">
        <f aca="false">D778-H778</f>
        <v>103927</v>
      </c>
      <c r="M778" s="7" t="n">
        <f aca="false">E778-I778</f>
        <v>101688</v>
      </c>
      <c r="N778" s="7" t="n">
        <f aca="false">IFERROR(L778/D778,0)</f>
        <v>0.411986934012004</v>
      </c>
      <c r="O778" s="7" t="n">
        <f aca="false">IFERROR(M778/E778,0)</f>
        <v>0.413335609589542</v>
      </c>
      <c r="P778" s="7" t="n">
        <f aca="false">01_Data!I778+01_Data!K778+01_Data!M778+01_Data!O778+01_Data!Q778+01_Data!S778+01_Data!U778</f>
        <v>65590</v>
      </c>
      <c r="Q778" s="7" t="n">
        <f aca="false">01_Data!J778+01_Data!L778+01_Data!N778+01_Data!P778+01_Data!R778+01_Data!T778+01_Data!V778</f>
        <v>67844</v>
      </c>
      <c r="R778" s="7" t="n">
        <f aca="false">P778-Q778</f>
        <v>-2254</v>
      </c>
      <c r="S778" s="7" t="n">
        <f aca="false">L778-P778</f>
        <v>38337</v>
      </c>
      <c r="T778" s="7" t="n">
        <f aca="false">M778-Q778</f>
        <v>33844</v>
      </c>
      <c r="U778" s="7" t="n">
        <f aca="false">T778-S778</f>
        <v>-4493</v>
      </c>
      <c r="V778" s="8" t="n">
        <f aca="false">IFERROR(U778/S778,0)</f>
        <v>-0.117197485457913</v>
      </c>
      <c r="W778" s="5" t="str">
        <f aca="false">IF(V778&lt;-0.1,"ADVERSE &gt;10%","")</f>
        <v>ADVERSE &gt;10%</v>
      </c>
    </row>
    <row r="779" customFormat="false" ht="15" hidden="false" customHeight="false" outlineLevel="0" collapsed="false">
      <c r="A779" s="5" t="str">
        <f aca="false">01_Data!A779</f>
        <v>Technology &amp; Telecom</v>
      </c>
      <c r="B779" s="5" t="str">
        <f aca="false">01_Data!C779</f>
        <v>2025-01</v>
      </c>
      <c r="C779" s="5" t="str">
        <f aca="false">01_Data!D779</f>
        <v>FY24</v>
      </c>
      <c r="D779" s="7" t="n">
        <f aca="false">01_Data!E779</f>
        <v>248903</v>
      </c>
      <c r="E779" s="7" t="n">
        <f aca="false">01_Data!F779</f>
        <v>236156</v>
      </c>
      <c r="F779" s="7" t="n">
        <f aca="false">E779-D779</f>
        <v>-12747</v>
      </c>
      <c r="G779" s="8" t="n">
        <f aca="false">IFERROR(F779/D779,0)</f>
        <v>-0.051212721421598</v>
      </c>
      <c r="H779" s="7" t="n">
        <f aca="false">01_Data!G779</f>
        <v>146359</v>
      </c>
      <c r="I779" s="7" t="n">
        <f aca="false">01_Data!H779</f>
        <v>139513</v>
      </c>
      <c r="J779" s="7" t="n">
        <f aca="false">H779-I779</f>
        <v>6846</v>
      </c>
      <c r="K779" s="8" t="n">
        <f aca="false">IFERROR(J779/H779,0)</f>
        <v>0.0467753947485293</v>
      </c>
      <c r="L779" s="7" t="n">
        <f aca="false">D779-H779</f>
        <v>102544</v>
      </c>
      <c r="M779" s="7" t="n">
        <f aca="false">E779-I779</f>
        <v>96643</v>
      </c>
      <c r="N779" s="7" t="n">
        <f aca="false">IFERROR(L779/D779,0)</f>
        <v>0.411983784847913</v>
      </c>
      <c r="O779" s="7" t="n">
        <f aca="false">IFERROR(M779/E779,0)</f>
        <v>0.409233726858517</v>
      </c>
      <c r="P779" s="7" t="n">
        <f aca="false">01_Data!I779+01_Data!K779+01_Data!M779+01_Data!O779+01_Data!Q779+01_Data!S779+01_Data!U779</f>
        <v>69391</v>
      </c>
      <c r="Q779" s="7" t="n">
        <f aca="false">01_Data!J779+01_Data!L779+01_Data!N779+01_Data!P779+01_Data!R779+01_Data!T779+01_Data!V779</f>
        <v>72290</v>
      </c>
      <c r="R779" s="7" t="n">
        <f aca="false">P779-Q779</f>
        <v>-2899</v>
      </c>
      <c r="S779" s="7" t="n">
        <f aca="false">L779-P779</f>
        <v>33153</v>
      </c>
      <c r="T779" s="7" t="n">
        <f aca="false">M779-Q779</f>
        <v>24353</v>
      </c>
      <c r="U779" s="7" t="n">
        <f aca="false">T779-S779</f>
        <v>-8800</v>
      </c>
      <c r="V779" s="8" t="n">
        <f aca="false">IFERROR(U779/S779,0)</f>
        <v>-0.265436008807649</v>
      </c>
      <c r="W779" s="5" t="str">
        <f aca="false">IF(V779&lt;-0.1,"ADVERSE &gt;10%","")</f>
        <v>ADVERSE &gt;10%</v>
      </c>
    </row>
    <row r="780" customFormat="false" ht="15" hidden="false" customHeight="false" outlineLevel="0" collapsed="false">
      <c r="A780" s="5" t="str">
        <f aca="false">01_Data!A780</f>
        <v>Technology &amp; Telecom</v>
      </c>
      <c r="B780" s="5" t="str">
        <f aca="false">01_Data!C780</f>
        <v>2025-02</v>
      </c>
      <c r="C780" s="5" t="str">
        <f aca="false">01_Data!D780</f>
        <v>FY24</v>
      </c>
      <c r="D780" s="7" t="n">
        <f aca="false">01_Data!E780</f>
        <v>231068</v>
      </c>
      <c r="E780" s="7" t="n">
        <f aca="false">01_Data!F780</f>
        <v>236309</v>
      </c>
      <c r="F780" s="7" t="n">
        <f aca="false">E780-D780</f>
        <v>5241</v>
      </c>
      <c r="G780" s="8" t="n">
        <f aca="false">IFERROR(F780/D780,0)</f>
        <v>0.0226816348434227</v>
      </c>
      <c r="H780" s="7" t="n">
        <f aca="false">01_Data!G780</f>
        <v>132969</v>
      </c>
      <c r="I780" s="7" t="n">
        <f aca="false">01_Data!H780</f>
        <v>136567</v>
      </c>
      <c r="J780" s="7" t="n">
        <f aca="false">H780-I780</f>
        <v>-3598</v>
      </c>
      <c r="K780" s="8" t="n">
        <f aca="false">IFERROR(J780/H780,0)</f>
        <v>-0.0270589385495867</v>
      </c>
      <c r="L780" s="7" t="n">
        <f aca="false">D780-H780</f>
        <v>98099</v>
      </c>
      <c r="M780" s="7" t="n">
        <f aca="false">E780-I780</f>
        <v>99742</v>
      </c>
      <c r="N780" s="7" t="n">
        <f aca="false">IFERROR(L780/D780,0)</f>
        <v>0.424546021084702</v>
      </c>
      <c r="O780" s="7" t="n">
        <f aca="false">IFERROR(M780/E780,0)</f>
        <v>0.422082950712838</v>
      </c>
      <c r="P780" s="7" t="n">
        <f aca="false">01_Data!I780+01_Data!K780+01_Data!M780+01_Data!O780+01_Data!Q780+01_Data!S780+01_Data!U780</f>
        <v>57742</v>
      </c>
      <c r="Q780" s="7" t="n">
        <f aca="false">01_Data!J780+01_Data!L780+01_Data!N780+01_Data!P780+01_Data!R780+01_Data!T780+01_Data!V780</f>
        <v>58987</v>
      </c>
      <c r="R780" s="7" t="n">
        <f aca="false">P780-Q780</f>
        <v>-1245</v>
      </c>
      <c r="S780" s="7" t="n">
        <f aca="false">L780-P780</f>
        <v>40357</v>
      </c>
      <c r="T780" s="7" t="n">
        <f aca="false">M780-Q780</f>
        <v>40755</v>
      </c>
      <c r="U780" s="7" t="n">
        <f aca="false">T780-S780</f>
        <v>398</v>
      </c>
      <c r="V780" s="8" t="n">
        <f aca="false">IFERROR(U780/S780,0)</f>
        <v>0.009861981812325</v>
      </c>
      <c r="W780" s="5" t="str">
        <f aca="false">IF(V780&lt;-0.1,"ADVERSE &gt;10%","")</f>
        <v/>
      </c>
    </row>
    <row r="781" customFormat="false" ht="15" hidden="false" customHeight="false" outlineLevel="0" collapsed="false">
      <c r="A781" s="5" t="str">
        <f aca="false">01_Data!A781</f>
        <v>Technology &amp; Telecom</v>
      </c>
      <c r="B781" s="5" t="str">
        <f aca="false">01_Data!C781</f>
        <v>2025-03</v>
      </c>
      <c r="C781" s="5" t="str">
        <f aca="false">01_Data!D781</f>
        <v>FY24</v>
      </c>
      <c r="D781" s="7" t="n">
        <f aca="false">01_Data!E781</f>
        <v>247364</v>
      </c>
      <c r="E781" s="7" t="n">
        <f aca="false">01_Data!F781</f>
        <v>254271</v>
      </c>
      <c r="F781" s="7" t="n">
        <f aca="false">E781-D781</f>
        <v>6907</v>
      </c>
      <c r="G781" s="8" t="n">
        <f aca="false">IFERROR(F781/D781,0)</f>
        <v>0.0279224139325043</v>
      </c>
      <c r="H781" s="7" t="n">
        <f aca="false">01_Data!G781</f>
        <v>145664</v>
      </c>
      <c r="I781" s="7" t="n">
        <f aca="false">01_Data!H781</f>
        <v>151595</v>
      </c>
      <c r="J781" s="7" t="n">
        <f aca="false">H781-I781</f>
        <v>-5931</v>
      </c>
      <c r="K781" s="8" t="n">
        <f aca="false">IFERROR(J781/H781,0)</f>
        <v>-0.0407169925307557</v>
      </c>
      <c r="L781" s="7" t="n">
        <f aca="false">D781-H781</f>
        <v>101700</v>
      </c>
      <c r="M781" s="7" t="n">
        <f aca="false">E781-I781</f>
        <v>102676</v>
      </c>
      <c r="N781" s="7" t="n">
        <f aca="false">IFERROR(L781/D781,0)</f>
        <v>0.411135007519283</v>
      </c>
      <c r="O781" s="7" t="n">
        <f aca="false">IFERROR(M781/E781,0)</f>
        <v>0.403805388738787</v>
      </c>
      <c r="P781" s="7" t="n">
        <f aca="false">01_Data!I781+01_Data!K781+01_Data!M781+01_Data!O781+01_Data!Q781+01_Data!S781+01_Data!U781</f>
        <v>67855</v>
      </c>
      <c r="Q781" s="7" t="n">
        <f aca="false">01_Data!J781+01_Data!L781+01_Data!N781+01_Data!P781+01_Data!R781+01_Data!T781+01_Data!V781</f>
        <v>68698</v>
      </c>
      <c r="R781" s="7" t="n">
        <f aca="false">P781-Q781</f>
        <v>-843</v>
      </c>
      <c r="S781" s="7" t="n">
        <f aca="false">L781-P781</f>
        <v>33845</v>
      </c>
      <c r="T781" s="7" t="n">
        <f aca="false">M781-Q781</f>
        <v>33978</v>
      </c>
      <c r="U781" s="7" t="n">
        <f aca="false">T781-S781</f>
        <v>133</v>
      </c>
      <c r="V781" s="8" t="n">
        <f aca="false">IFERROR(U781/S781,0)</f>
        <v>0.00392967942088935</v>
      </c>
      <c r="W781" s="5" t="str">
        <f aca="false">IF(V781&lt;-0.1,"ADVERSE &gt;10%","")</f>
        <v/>
      </c>
    </row>
    <row r="782" customFormat="false" ht="15" hidden="false" customHeight="false" outlineLevel="0" collapsed="false">
      <c r="A782" s="5" t="str">
        <f aca="false">01_Data!A782</f>
        <v>Technology &amp; Telecom</v>
      </c>
      <c r="B782" s="5" t="str">
        <f aca="false">01_Data!C782</f>
        <v>2025-04</v>
      </c>
      <c r="C782" s="5" t="str">
        <f aca="false">01_Data!D782</f>
        <v>FY25</v>
      </c>
      <c r="D782" s="7" t="n">
        <f aca="false">01_Data!E782</f>
        <v>251323</v>
      </c>
      <c r="E782" s="7" t="n">
        <f aca="false">01_Data!F782</f>
        <v>249504</v>
      </c>
      <c r="F782" s="7" t="n">
        <f aca="false">E782-D782</f>
        <v>-1819</v>
      </c>
      <c r="G782" s="8" t="n">
        <f aca="false">IFERROR(F782/D782,0)</f>
        <v>-0.00723769810164609</v>
      </c>
      <c r="H782" s="7" t="n">
        <f aca="false">01_Data!G782</f>
        <v>140669</v>
      </c>
      <c r="I782" s="7" t="n">
        <f aca="false">01_Data!H782</f>
        <v>141461</v>
      </c>
      <c r="J782" s="7" t="n">
        <f aca="false">H782-I782</f>
        <v>-792</v>
      </c>
      <c r="K782" s="8" t="n">
        <f aca="false">IFERROR(J782/H782,0)</f>
        <v>-0.00563023836097506</v>
      </c>
      <c r="L782" s="7" t="n">
        <f aca="false">D782-H782</f>
        <v>110654</v>
      </c>
      <c r="M782" s="7" t="n">
        <f aca="false">E782-I782</f>
        <v>108043</v>
      </c>
      <c r="N782" s="7" t="n">
        <f aca="false">IFERROR(L782/D782,0)</f>
        <v>0.440286006453846</v>
      </c>
      <c r="O782" s="7" t="n">
        <f aca="false">IFERROR(M782/E782,0)</f>
        <v>0.433031133769399</v>
      </c>
      <c r="P782" s="7" t="n">
        <f aca="false">01_Data!I782+01_Data!K782+01_Data!M782+01_Data!O782+01_Data!Q782+01_Data!S782+01_Data!U782</f>
        <v>63907</v>
      </c>
      <c r="Q782" s="7" t="n">
        <f aca="false">01_Data!J782+01_Data!L782+01_Data!N782+01_Data!P782+01_Data!R782+01_Data!T782+01_Data!V782</f>
        <v>65425</v>
      </c>
      <c r="R782" s="7" t="n">
        <f aca="false">P782-Q782</f>
        <v>-1518</v>
      </c>
      <c r="S782" s="7" t="n">
        <f aca="false">L782-P782</f>
        <v>46747</v>
      </c>
      <c r="T782" s="7" t="n">
        <f aca="false">M782-Q782</f>
        <v>42618</v>
      </c>
      <c r="U782" s="7" t="n">
        <f aca="false">T782-S782</f>
        <v>-4129</v>
      </c>
      <c r="V782" s="8" t="n">
        <f aca="false">IFERROR(U782/S782,0)</f>
        <v>-0.0883265236271846</v>
      </c>
      <c r="W782" s="5" t="str">
        <f aca="false">IF(V782&lt;-0.1,"ADVERSE &gt;10%","")</f>
        <v/>
      </c>
    </row>
    <row r="783" customFormat="false" ht="15" hidden="false" customHeight="false" outlineLevel="0" collapsed="false">
      <c r="A783" s="5" t="str">
        <f aca="false">01_Data!A783</f>
        <v>Technology &amp; Telecom</v>
      </c>
      <c r="B783" s="5" t="str">
        <f aca="false">01_Data!C783</f>
        <v>2025-05</v>
      </c>
      <c r="C783" s="5" t="str">
        <f aca="false">01_Data!D783</f>
        <v>FY25</v>
      </c>
      <c r="D783" s="7" t="n">
        <f aca="false">01_Data!E783</f>
        <v>236966</v>
      </c>
      <c r="E783" s="7" t="n">
        <f aca="false">01_Data!F783</f>
        <v>248989</v>
      </c>
      <c r="F783" s="7" t="n">
        <f aca="false">E783-D783</f>
        <v>12023</v>
      </c>
      <c r="G783" s="8" t="n">
        <f aca="false">IFERROR(F783/D783,0)</f>
        <v>0.0507372365655832</v>
      </c>
      <c r="H783" s="7" t="n">
        <f aca="false">01_Data!G783</f>
        <v>141209</v>
      </c>
      <c r="I783" s="7" t="n">
        <f aca="false">01_Data!H783</f>
        <v>147247</v>
      </c>
      <c r="J783" s="7" t="n">
        <f aca="false">H783-I783</f>
        <v>-6038</v>
      </c>
      <c r="K783" s="8" t="n">
        <f aca="false">IFERROR(J783/H783,0)</f>
        <v>-0.0427593142080179</v>
      </c>
      <c r="L783" s="7" t="n">
        <f aca="false">D783-H783</f>
        <v>95757</v>
      </c>
      <c r="M783" s="7" t="n">
        <f aca="false">E783-I783</f>
        <v>101742</v>
      </c>
      <c r="N783" s="7" t="n">
        <f aca="false">IFERROR(L783/D783,0)</f>
        <v>0.404095946253893</v>
      </c>
      <c r="O783" s="7" t="n">
        <f aca="false">IFERROR(M783/E783,0)</f>
        <v>0.40862046114487</v>
      </c>
      <c r="P783" s="7" t="n">
        <f aca="false">01_Data!I783+01_Data!K783+01_Data!M783+01_Data!O783+01_Data!Q783+01_Data!S783+01_Data!U783</f>
        <v>61723</v>
      </c>
      <c r="Q783" s="7" t="n">
        <f aca="false">01_Data!J783+01_Data!L783+01_Data!N783+01_Data!P783+01_Data!R783+01_Data!T783+01_Data!V783</f>
        <v>65328</v>
      </c>
      <c r="R783" s="7" t="n">
        <f aca="false">P783-Q783</f>
        <v>-3605</v>
      </c>
      <c r="S783" s="7" t="n">
        <f aca="false">L783-P783</f>
        <v>34034</v>
      </c>
      <c r="T783" s="7" t="n">
        <f aca="false">M783-Q783</f>
        <v>36414</v>
      </c>
      <c r="U783" s="7" t="n">
        <f aca="false">T783-S783</f>
        <v>2380</v>
      </c>
      <c r="V783" s="8" t="n">
        <f aca="false">IFERROR(U783/S783,0)</f>
        <v>0.0699300699300699</v>
      </c>
      <c r="W783" s="5" t="str">
        <f aca="false">IF(V783&lt;-0.1,"ADVERSE &gt;10%","")</f>
        <v/>
      </c>
    </row>
    <row r="784" customFormat="false" ht="15" hidden="false" customHeight="false" outlineLevel="0" collapsed="false">
      <c r="A784" s="5" t="str">
        <f aca="false">01_Data!A784</f>
        <v>Technology &amp; Telecom</v>
      </c>
      <c r="B784" s="5" t="str">
        <f aca="false">01_Data!C784</f>
        <v>2025-06</v>
      </c>
      <c r="C784" s="5" t="str">
        <f aca="false">01_Data!D784</f>
        <v>FY25</v>
      </c>
      <c r="D784" s="7" t="n">
        <f aca="false">01_Data!E784</f>
        <v>255964</v>
      </c>
      <c r="E784" s="7" t="n">
        <f aca="false">01_Data!F784</f>
        <v>248046</v>
      </c>
      <c r="F784" s="7" t="n">
        <f aca="false">E784-D784</f>
        <v>-7918</v>
      </c>
      <c r="G784" s="8" t="n">
        <f aca="false">IFERROR(F784/D784,0)</f>
        <v>-0.0309340375990374</v>
      </c>
      <c r="H784" s="7" t="n">
        <f aca="false">01_Data!G784</f>
        <v>150193</v>
      </c>
      <c r="I784" s="7" t="n">
        <f aca="false">01_Data!H784</f>
        <v>146356</v>
      </c>
      <c r="J784" s="7" t="n">
        <f aca="false">H784-I784</f>
        <v>3837</v>
      </c>
      <c r="K784" s="8" t="n">
        <f aca="false">IFERROR(J784/H784,0)</f>
        <v>0.0255471293602232</v>
      </c>
      <c r="L784" s="7" t="n">
        <f aca="false">D784-H784</f>
        <v>105771</v>
      </c>
      <c r="M784" s="7" t="n">
        <f aca="false">E784-I784</f>
        <v>101690</v>
      </c>
      <c r="N784" s="7" t="n">
        <f aca="false">IFERROR(L784/D784,0)</f>
        <v>0.413226078667313</v>
      </c>
      <c r="O784" s="7" t="n">
        <f aca="false">IFERROR(M784/E784,0)</f>
        <v>0.40996428081888</v>
      </c>
      <c r="P784" s="7" t="n">
        <f aca="false">01_Data!I784+01_Data!K784+01_Data!M784+01_Data!O784+01_Data!Q784+01_Data!S784+01_Data!U784</f>
        <v>67565</v>
      </c>
      <c r="Q784" s="7" t="n">
        <f aca="false">01_Data!J784+01_Data!L784+01_Data!N784+01_Data!P784+01_Data!R784+01_Data!T784+01_Data!V784</f>
        <v>68792</v>
      </c>
      <c r="R784" s="7" t="n">
        <f aca="false">P784-Q784</f>
        <v>-1227</v>
      </c>
      <c r="S784" s="7" t="n">
        <f aca="false">L784-P784</f>
        <v>38206</v>
      </c>
      <c r="T784" s="7" t="n">
        <f aca="false">M784-Q784</f>
        <v>32898</v>
      </c>
      <c r="U784" s="7" t="n">
        <f aca="false">T784-S784</f>
        <v>-5308</v>
      </c>
      <c r="V784" s="8" t="n">
        <f aca="false">IFERROR(U784/S784,0)</f>
        <v>-0.138931057949013</v>
      </c>
      <c r="W784" s="5" t="str">
        <f aca="false">IF(V784&lt;-0.1,"ADVERSE &gt;10%","")</f>
        <v>ADVERSE &gt;10%</v>
      </c>
    </row>
    <row r="785" customFormat="false" ht="15" hidden="false" customHeight="false" outlineLevel="0" collapsed="false">
      <c r="A785" s="5" t="str">
        <f aca="false">01_Data!A785</f>
        <v>Technology &amp; Telecom</v>
      </c>
      <c r="B785" s="5" t="str">
        <f aca="false">01_Data!C785</f>
        <v>2025-07</v>
      </c>
      <c r="C785" s="5" t="str">
        <f aca="false">01_Data!D785</f>
        <v>FY25</v>
      </c>
      <c r="D785" s="7" t="n">
        <f aca="false">01_Data!E785</f>
        <v>245478</v>
      </c>
      <c r="E785" s="7" t="n">
        <f aca="false">01_Data!F785</f>
        <v>255846</v>
      </c>
      <c r="F785" s="7" t="n">
        <f aca="false">E785-D785</f>
        <v>10368</v>
      </c>
      <c r="G785" s="8" t="n">
        <f aca="false">IFERROR(F785/D785,0)</f>
        <v>0.0422359641189842</v>
      </c>
      <c r="H785" s="7" t="n">
        <f aca="false">01_Data!G785</f>
        <v>137597</v>
      </c>
      <c r="I785" s="7" t="n">
        <f aca="false">01_Data!H785</f>
        <v>144970</v>
      </c>
      <c r="J785" s="7" t="n">
        <f aca="false">H785-I785</f>
        <v>-7373</v>
      </c>
      <c r="K785" s="8" t="n">
        <f aca="false">IFERROR(J785/H785,0)</f>
        <v>-0.0535840170933959</v>
      </c>
      <c r="L785" s="7" t="n">
        <f aca="false">D785-H785</f>
        <v>107881</v>
      </c>
      <c r="M785" s="7" t="n">
        <f aca="false">E785-I785</f>
        <v>110876</v>
      </c>
      <c r="N785" s="7" t="n">
        <f aca="false">IFERROR(L785/D785,0)</f>
        <v>0.43947319108026</v>
      </c>
      <c r="O785" s="7" t="n">
        <f aca="false">IFERROR(M785/E785,0)</f>
        <v>0.433370074185252</v>
      </c>
      <c r="P785" s="7" t="n">
        <f aca="false">01_Data!I785+01_Data!K785+01_Data!M785+01_Data!O785+01_Data!Q785+01_Data!S785+01_Data!U785</f>
        <v>67140</v>
      </c>
      <c r="Q785" s="7" t="n">
        <f aca="false">01_Data!J785+01_Data!L785+01_Data!N785+01_Data!P785+01_Data!R785+01_Data!T785+01_Data!V785</f>
        <v>67539</v>
      </c>
      <c r="R785" s="7" t="n">
        <f aca="false">P785-Q785</f>
        <v>-399</v>
      </c>
      <c r="S785" s="7" t="n">
        <f aca="false">L785-P785</f>
        <v>40741</v>
      </c>
      <c r="T785" s="7" t="n">
        <f aca="false">M785-Q785</f>
        <v>43337</v>
      </c>
      <c r="U785" s="7" t="n">
        <f aca="false">T785-S785</f>
        <v>2596</v>
      </c>
      <c r="V785" s="8" t="n">
        <f aca="false">IFERROR(U785/S785,0)</f>
        <v>0.0637195945116713</v>
      </c>
      <c r="W785" s="5" t="str">
        <f aca="false">IF(V785&lt;-0.1,"ADVERSE &gt;10%","")</f>
        <v/>
      </c>
    </row>
    <row r="786" customFormat="false" ht="15" hidden="false" customHeight="false" outlineLevel="0" collapsed="false">
      <c r="A786" s="5" t="str">
        <f aca="false">01_Data!A786</f>
        <v>Technology &amp; Telecom</v>
      </c>
      <c r="B786" s="5" t="str">
        <f aca="false">01_Data!C786</f>
        <v>2025-08</v>
      </c>
      <c r="C786" s="5" t="str">
        <f aca="false">01_Data!D786</f>
        <v>FY25</v>
      </c>
      <c r="D786" s="7" t="n">
        <f aca="false">01_Data!E786</f>
        <v>269405</v>
      </c>
      <c r="E786" s="7" t="n">
        <f aca="false">01_Data!F786</f>
        <v>261627</v>
      </c>
      <c r="F786" s="7" t="n">
        <f aca="false">E786-D786</f>
        <v>-7778</v>
      </c>
      <c r="G786" s="8" t="n">
        <f aca="false">IFERROR(F786/D786,0)</f>
        <v>-0.0288710306044802</v>
      </c>
      <c r="H786" s="7" t="n">
        <f aca="false">01_Data!G786</f>
        <v>146560</v>
      </c>
      <c r="I786" s="7" t="n">
        <f aca="false">01_Data!H786</f>
        <v>150086</v>
      </c>
      <c r="J786" s="7" t="n">
        <f aca="false">H786-I786</f>
        <v>-3526</v>
      </c>
      <c r="K786" s="8" t="n">
        <f aca="false">IFERROR(J786/H786,0)</f>
        <v>-0.0240584061135371</v>
      </c>
      <c r="L786" s="7" t="n">
        <f aca="false">D786-H786</f>
        <v>122845</v>
      </c>
      <c r="M786" s="7" t="n">
        <f aca="false">E786-I786</f>
        <v>111541</v>
      </c>
      <c r="N786" s="7" t="n">
        <f aca="false">IFERROR(L786/D786,0)</f>
        <v>0.455986340268369</v>
      </c>
      <c r="O786" s="7" t="n">
        <f aca="false">IFERROR(M786/E786,0)</f>
        <v>0.426335966853574</v>
      </c>
      <c r="P786" s="7" t="n">
        <f aca="false">01_Data!I786+01_Data!K786+01_Data!M786+01_Data!O786+01_Data!Q786+01_Data!S786+01_Data!U786</f>
        <v>71809</v>
      </c>
      <c r="Q786" s="7" t="n">
        <f aca="false">01_Data!J786+01_Data!L786+01_Data!N786+01_Data!P786+01_Data!R786+01_Data!T786+01_Data!V786</f>
        <v>73367</v>
      </c>
      <c r="R786" s="7" t="n">
        <f aca="false">P786-Q786</f>
        <v>-1558</v>
      </c>
      <c r="S786" s="7" t="n">
        <f aca="false">L786-P786</f>
        <v>51036</v>
      </c>
      <c r="T786" s="7" t="n">
        <f aca="false">M786-Q786</f>
        <v>38174</v>
      </c>
      <c r="U786" s="7" t="n">
        <f aca="false">T786-S786</f>
        <v>-12862</v>
      </c>
      <c r="V786" s="8" t="n">
        <f aca="false">IFERROR(U786/S786,0)</f>
        <v>-0.252018183243201</v>
      </c>
      <c r="W786" s="5" t="str">
        <f aca="false">IF(V786&lt;-0.1,"ADVERSE &gt;10%","")</f>
        <v>ADVERSE &gt;10%</v>
      </c>
    </row>
    <row r="787" customFormat="false" ht="15" hidden="false" customHeight="false" outlineLevel="0" collapsed="false">
      <c r="A787" s="5" t="str">
        <f aca="false">01_Data!A787</f>
        <v>Technology &amp; Telecom</v>
      </c>
      <c r="B787" s="5" t="str">
        <f aca="false">01_Data!C787</f>
        <v>2025-09</v>
      </c>
      <c r="C787" s="5" t="str">
        <f aca="false">01_Data!D787</f>
        <v>FY25</v>
      </c>
      <c r="D787" s="7" t="n">
        <f aca="false">01_Data!E787</f>
        <v>276968</v>
      </c>
      <c r="E787" s="7" t="n">
        <f aca="false">01_Data!F787</f>
        <v>279804</v>
      </c>
      <c r="F787" s="7" t="n">
        <f aca="false">E787-D787</f>
        <v>2836</v>
      </c>
      <c r="G787" s="8" t="n">
        <f aca="false">IFERROR(F787/D787,0)</f>
        <v>0.0102394500447705</v>
      </c>
      <c r="H787" s="7" t="n">
        <f aca="false">01_Data!G787</f>
        <v>163481</v>
      </c>
      <c r="I787" s="7" t="n">
        <f aca="false">01_Data!H787</f>
        <v>173123</v>
      </c>
      <c r="J787" s="7" t="n">
        <f aca="false">H787-I787</f>
        <v>-9642</v>
      </c>
      <c r="K787" s="8" t="n">
        <f aca="false">IFERROR(J787/H787,0)</f>
        <v>-0.0589793309314232</v>
      </c>
      <c r="L787" s="7" t="n">
        <f aca="false">D787-H787</f>
        <v>113487</v>
      </c>
      <c r="M787" s="7" t="n">
        <f aca="false">E787-I787</f>
        <v>106681</v>
      </c>
      <c r="N787" s="7" t="n">
        <f aca="false">IFERROR(L787/D787,0)</f>
        <v>0.409747696484793</v>
      </c>
      <c r="O787" s="7" t="n">
        <f aca="false">IFERROR(M787/E787,0)</f>
        <v>0.381270460751097</v>
      </c>
      <c r="P787" s="7" t="n">
        <f aca="false">01_Data!I787+01_Data!K787+01_Data!M787+01_Data!O787+01_Data!Q787+01_Data!S787+01_Data!U787</f>
        <v>77033</v>
      </c>
      <c r="Q787" s="7" t="n">
        <f aca="false">01_Data!J787+01_Data!L787+01_Data!N787+01_Data!P787+01_Data!R787+01_Data!T787+01_Data!V787</f>
        <v>76551</v>
      </c>
      <c r="R787" s="7" t="n">
        <f aca="false">P787-Q787</f>
        <v>482</v>
      </c>
      <c r="S787" s="7" t="n">
        <f aca="false">L787-P787</f>
        <v>36454</v>
      </c>
      <c r="T787" s="7" t="n">
        <f aca="false">M787-Q787</f>
        <v>30130</v>
      </c>
      <c r="U787" s="7" t="n">
        <f aca="false">T787-S787</f>
        <v>-6324</v>
      </c>
      <c r="V787" s="8" t="n">
        <f aca="false">IFERROR(U787/S787,0)</f>
        <v>-0.173478904921271</v>
      </c>
      <c r="W787" s="5" t="str">
        <f aca="false">IF(V787&lt;-0.1,"ADVERSE &gt;10%","")</f>
        <v>ADVERSE &gt;10%</v>
      </c>
    </row>
    <row r="788" customFormat="false" ht="15" hidden="false" customHeight="false" outlineLevel="0" collapsed="false">
      <c r="A788" s="5" t="str">
        <f aca="false">01_Data!A788</f>
        <v>Technology &amp; Telecom</v>
      </c>
      <c r="B788" s="5" t="str">
        <f aca="false">01_Data!C788</f>
        <v>2025-10</v>
      </c>
      <c r="C788" s="5" t="str">
        <f aca="false">01_Data!D788</f>
        <v>FY25</v>
      </c>
      <c r="D788" s="7" t="n">
        <f aca="false">01_Data!E788</f>
        <v>261289</v>
      </c>
      <c r="E788" s="7" t="n">
        <f aca="false">01_Data!F788</f>
        <v>267318</v>
      </c>
      <c r="F788" s="7" t="n">
        <f aca="false">E788-D788</f>
        <v>6029</v>
      </c>
      <c r="G788" s="8" t="n">
        <f aca="false">IFERROR(F788/D788,0)</f>
        <v>0.0230740674119462</v>
      </c>
      <c r="H788" s="7" t="n">
        <f aca="false">01_Data!G788</f>
        <v>153985</v>
      </c>
      <c r="I788" s="7" t="n">
        <f aca="false">01_Data!H788</f>
        <v>156114</v>
      </c>
      <c r="J788" s="7" t="n">
        <f aca="false">H788-I788</f>
        <v>-2129</v>
      </c>
      <c r="K788" s="8" t="n">
        <f aca="false">IFERROR(J788/H788,0)</f>
        <v>-0.0138260220151313</v>
      </c>
      <c r="L788" s="7" t="n">
        <f aca="false">D788-H788</f>
        <v>107304</v>
      </c>
      <c r="M788" s="7" t="n">
        <f aca="false">E788-I788</f>
        <v>111204</v>
      </c>
      <c r="N788" s="7" t="n">
        <f aca="false">IFERROR(L788/D788,0)</f>
        <v>0.410671708338277</v>
      </c>
      <c r="O788" s="7" t="n">
        <f aca="false">IFERROR(M788/E788,0)</f>
        <v>0.415998922631473</v>
      </c>
      <c r="P788" s="7" t="n">
        <f aca="false">01_Data!I788+01_Data!K788+01_Data!M788+01_Data!O788+01_Data!Q788+01_Data!S788+01_Data!U788</f>
        <v>68701</v>
      </c>
      <c r="Q788" s="7" t="n">
        <f aca="false">01_Data!J788+01_Data!L788+01_Data!N788+01_Data!P788+01_Data!R788+01_Data!T788+01_Data!V788</f>
        <v>68193</v>
      </c>
      <c r="R788" s="7" t="n">
        <f aca="false">P788-Q788</f>
        <v>508</v>
      </c>
      <c r="S788" s="7" t="n">
        <f aca="false">L788-P788</f>
        <v>38603</v>
      </c>
      <c r="T788" s="7" t="n">
        <f aca="false">M788-Q788</f>
        <v>43011</v>
      </c>
      <c r="U788" s="7" t="n">
        <f aca="false">T788-S788</f>
        <v>4408</v>
      </c>
      <c r="V788" s="8" t="n">
        <f aca="false">IFERROR(U788/S788,0)</f>
        <v>0.114188016475403</v>
      </c>
      <c r="W788" s="5" t="str">
        <f aca="false">IF(V788&lt;-0.1,"ADVERSE &gt;10%","")</f>
        <v/>
      </c>
    </row>
    <row r="789" customFormat="false" ht="15" hidden="false" customHeight="false" outlineLevel="0" collapsed="false">
      <c r="A789" s="5" t="str">
        <f aca="false">01_Data!A789</f>
        <v>Technology &amp; Telecom</v>
      </c>
      <c r="B789" s="5" t="str">
        <f aca="false">01_Data!C789</f>
        <v>2025-11</v>
      </c>
      <c r="C789" s="5" t="str">
        <f aca="false">01_Data!D789</f>
        <v>FY25</v>
      </c>
      <c r="D789" s="7" t="n">
        <f aca="false">01_Data!E789</f>
        <v>252874</v>
      </c>
      <c r="E789" s="7" t="n">
        <f aca="false">01_Data!F789</f>
        <v>268236</v>
      </c>
      <c r="F789" s="7" t="n">
        <f aca="false">E789-D789</f>
        <v>15362</v>
      </c>
      <c r="G789" s="8" t="n">
        <f aca="false">IFERROR(F789/D789,0)</f>
        <v>0.0607496223415614</v>
      </c>
      <c r="H789" s="7" t="n">
        <f aca="false">01_Data!G789</f>
        <v>151440</v>
      </c>
      <c r="I789" s="7" t="n">
        <f aca="false">01_Data!H789</f>
        <v>159671</v>
      </c>
      <c r="J789" s="7" t="n">
        <f aca="false">H789-I789</f>
        <v>-8231</v>
      </c>
      <c r="K789" s="8" t="n">
        <f aca="false">IFERROR(J789/H789,0)</f>
        <v>-0.054351558372953</v>
      </c>
      <c r="L789" s="7" t="n">
        <f aca="false">D789-H789</f>
        <v>101434</v>
      </c>
      <c r="M789" s="7" t="n">
        <f aca="false">E789-I789</f>
        <v>108565</v>
      </c>
      <c r="N789" s="7" t="n">
        <f aca="false">IFERROR(L789/D789,0)</f>
        <v>0.40112467078466</v>
      </c>
      <c r="O789" s="7" t="n">
        <f aca="false">IFERROR(M789/E789,0)</f>
        <v>0.404736873499456</v>
      </c>
      <c r="P789" s="7" t="n">
        <f aca="false">01_Data!I789+01_Data!K789+01_Data!M789+01_Data!O789+01_Data!Q789+01_Data!S789+01_Data!U789</f>
        <v>70299</v>
      </c>
      <c r="Q789" s="7" t="n">
        <f aca="false">01_Data!J789+01_Data!L789+01_Data!N789+01_Data!P789+01_Data!R789+01_Data!T789+01_Data!V789</f>
        <v>72921</v>
      </c>
      <c r="R789" s="7" t="n">
        <f aca="false">P789-Q789</f>
        <v>-2622</v>
      </c>
      <c r="S789" s="7" t="n">
        <f aca="false">L789-P789</f>
        <v>31135</v>
      </c>
      <c r="T789" s="7" t="n">
        <f aca="false">M789-Q789</f>
        <v>35644</v>
      </c>
      <c r="U789" s="7" t="n">
        <f aca="false">T789-S789</f>
        <v>4509</v>
      </c>
      <c r="V789" s="8" t="n">
        <f aca="false">IFERROR(U789/S789,0)</f>
        <v>0.144820941063112</v>
      </c>
      <c r="W789" s="5" t="str">
        <f aca="false">IF(V789&lt;-0.1,"ADVERSE &gt;10%","")</f>
        <v/>
      </c>
    </row>
    <row r="790" customFormat="false" ht="15" hidden="false" customHeight="false" outlineLevel="0" collapsed="false">
      <c r="A790" s="5" t="str">
        <f aca="false">01_Data!A790</f>
        <v>Technology &amp; Telecom</v>
      </c>
      <c r="B790" s="5" t="str">
        <f aca="false">01_Data!C790</f>
        <v>2025-12</v>
      </c>
      <c r="C790" s="5" t="str">
        <f aca="false">01_Data!D790</f>
        <v>FY25</v>
      </c>
      <c r="D790" s="7" t="n">
        <f aca="false">01_Data!E790</f>
        <v>294207</v>
      </c>
      <c r="E790" s="7" t="n">
        <f aca="false">01_Data!F790</f>
        <v>282626</v>
      </c>
      <c r="F790" s="7" t="n">
        <f aca="false">E790-D790</f>
        <v>-11581</v>
      </c>
      <c r="G790" s="8" t="n">
        <f aca="false">IFERROR(F790/D790,0)</f>
        <v>-0.0393634413865068</v>
      </c>
      <c r="H790" s="7" t="n">
        <f aca="false">01_Data!G790</f>
        <v>168584</v>
      </c>
      <c r="I790" s="7" t="n">
        <f aca="false">01_Data!H790</f>
        <v>163945</v>
      </c>
      <c r="J790" s="7" t="n">
        <f aca="false">H790-I790</f>
        <v>4639</v>
      </c>
      <c r="K790" s="8" t="n">
        <f aca="false">IFERROR(J790/H790,0)</f>
        <v>0.0275174393774024</v>
      </c>
      <c r="L790" s="7" t="n">
        <f aca="false">D790-H790</f>
        <v>125623</v>
      </c>
      <c r="M790" s="7" t="n">
        <f aca="false">E790-I790</f>
        <v>118681</v>
      </c>
      <c r="N790" s="7" t="n">
        <f aca="false">IFERROR(L790/D790,0)</f>
        <v>0.426988480899503</v>
      </c>
      <c r="O790" s="7" t="n">
        <f aca="false">IFERROR(M790/E790,0)</f>
        <v>0.419922441672033</v>
      </c>
      <c r="P790" s="7" t="n">
        <f aca="false">01_Data!I790+01_Data!K790+01_Data!M790+01_Data!O790+01_Data!Q790+01_Data!S790+01_Data!U790</f>
        <v>82372</v>
      </c>
      <c r="Q790" s="7" t="n">
        <f aca="false">01_Data!J790+01_Data!L790+01_Data!N790+01_Data!P790+01_Data!R790+01_Data!T790+01_Data!V790</f>
        <v>85933</v>
      </c>
      <c r="R790" s="7" t="n">
        <f aca="false">P790-Q790</f>
        <v>-3561</v>
      </c>
      <c r="S790" s="7" t="n">
        <f aca="false">L790-P790</f>
        <v>43251</v>
      </c>
      <c r="T790" s="7" t="n">
        <f aca="false">M790-Q790</f>
        <v>32748</v>
      </c>
      <c r="U790" s="7" t="n">
        <f aca="false">T790-S790</f>
        <v>-10503</v>
      </c>
      <c r="V790" s="8" t="n">
        <f aca="false">IFERROR(U790/S790,0)</f>
        <v>-0.24283831587709</v>
      </c>
      <c r="W790" s="5" t="str">
        <f aca="false">IF(V790&lt;-0.1,"ADVERSE &gt;10%","")</f>
        <v>ADVERSE &gt;10%</v>
      </c>
    </row>
    <row r="791" customFormat="false" ht="15" hidden="false" customHeight="false" outlineLevel="0" collapsed="false">
      <c r="A791" s="5" t="str">
        <f aca="false">01_Data!A791</f>
        <v>Technology &amp; Telecom</v>
      </c>
      <c r="B791" s="5" t="str">
        <f aca="false">01_Data!C791</f>
        <v>2026-01</v>
      </c>
      <c r="C791" s="5" t="str">
        <f aca="false">01_Data!D791</f>
        <v>FY25</v>
      </c>
      <c r="D791" s="7" t="n">
        <f aca="false">01_Data!E791</f>
        <v>255006</v>
      </c>
      <c r="E791" s="7" t="n">
        <f aca="false">01_Data!F791</f>
        <v>269492</v>
      </c>
      <c r="F791" s="7" t="n">
        <f aca="false">E791-D791</f>
        <v>14486</v>
      </c>
      <c r="G791" s="8" t="n">
        <f aca="false">IFERROR(F791/D791,0)</f>
        <v>0.0568065065135722</v>
      </c>
      <c r="H791" s="7" t="n">
        <f aca="false">01_Data!G791</f>
        <v>138755</v>
      </c>
      <c r="I791" s="7" t="n">
        <f aca="false">01_Data!H791</f>
        <v>154035</v>
      </c>
      <c r="J791" s="7" t="n">
        <f aca="false">H791-I791</f>
        <v>-15280</v>
      </c>
      <c r="K791" s="8" t="n">
        <f aca="false">IFERROR(J791/H791,0)</f>
        <v>-0.110122157760081</v>
      </c>
      <c r="L791" s="7" t="n">
        <f aca="false">D791-H791</f>
        <v>116251</v>
      </c>
      <c r="M791" s="7" t="n">
        <f aca="false">E791-I791</f>
        <v>115457</v>
      </c>
      <c r="N791" s="7" t="n">
        <f aca="false">IFERROR(L791/D791,0)</f>
        <v>0.455875548026321</v>
      </c>
      <c r="O791" s="7" t="n">
        <f aca="false">IFERROR(M791/E791,0)</f>
        <v>0.42842459145355</v>
      </c>
      <c r="P791" s="7" t="n">
        <f aca="false">01_Data!I791+01_Data!K791+01_Data!M791+01_Data!O791+01_Data!Q791+01_Data!S791+01_Data!U791</f>
        <v>67690</v>
      </c>
      <c r="Q791" s="7" t="n">
        <f aca="false">01_Data!J791+01_Data!L791+01_Data!N791+01_Data!P791+01_Data!R791+01_Data!T791+01_Data!V791</f>
        <v>67210</v>
      </c>
      <c r="R791" s="7" t="n">
        <f aca="false">P791-Q791</f>
        <v>480</v>
      </c>
      <c r="S791" s="7" t="n">
        <f aca="false">L791-P791</f>
        <v>48561</v>
      </c>
      <c r="T791" s="7" t="n">
        <f aca="false">M791-Q791</f>
        <v>48247</v>
      </c>
      <c r="U791" s="7" t="n">
        <f aca="false">T791-S791</f>
        <v>-314</v>
      </c>
      <c r="V791" s="8" t="n">
        <f aca="false">IFERROR(U791/S791,0)</f>
        <v>-0.00646609419081156</v>
      </c>
      <c r="W791" s="5" t="str">
        <f aca="false">IF(V791&lt;-0.1,"ADVERSE &gt;10%","")</f>
        <v/>
      </c>
    </row>
    <row r="792" customFormat="false" ht="15" hidden="false" customHeight="false" outlineLevel="0" collapsed="false">
      <c r="A792" s="5" t="str">
        <f aca="false">01_Data!A792</f>
        <v>Technology &amp; Telecom</v>
      </c>
      <c r="B792" s="5" t="str">
        <f aca="false">01_Data!C792</f>
        <v>2026-02</v>
      </c>
      <c r="C792" s="5" t="str">
        <f aca="false">01_Data!D792</f>
        <v>FY25</v>
      </c>
      <c r="D792" s="7" t="n">
        <f aca="false">01_Data!E792</f>
        <v>280941</v>
      </c>
      <c r="E792" s="7" t="n">
        <f aca="false">01_Data!F792</f>
        <v>276598</v>
      </c>
      <c r="F792" s="7" t="n">
        <f aca="false">E792-D792</f>
        <v>-4343</v>
      </c>
      <c r="G792" s="8" t="n">
        <f aca="false">IFERROR(F792/D792,0)</f>
        <v>-0.0154587618040799</v>
      </c>
      <c r="H792" s="7" t="n">
        <f aca="false">01_Data!G792</f>
        <v>151992</v>
      </c>
      <c r="I792" s="7" t="n">
        <f aca="false">01_Data!H792</f>
        <v>147131</v>
      </c>
      <c r="J792" s="7" t="n">
        <f aca="false">H792-I792</f>
        <v>4861</v>
      </c>
      <c r="K792" s="8" t="n">
        <f aca="false">IFERROR(J792/H792,0)</f>
        <v>0.0319819464182325</v>
      </c>
      <c r="L792" s="7" t="n">
        <f aca="false">D792-H792</f>
        <v>128949</v>
      </c>
      <c r="M792" s="7" t="n">
        <f aca="false">E792-I792</f>
        <v>129467</v>
      </c>
      <c r="N792" s="7" t="n">
        <f aca="false">IFERROR(L792/D792,0)</f>
        <v>0.458989609918097</v>
      </c>
      <c r="O792" s="7" t="n">
        <f aca="false">IFERROR(M792/E792,0)</f>
        <v>0.468069183435889</v>
      </c>
      <c r="P792" s="7" t="n">
        <f aca="false">01_Data!I792+01_Data!K792+01_Data!M792+01_Data!O792+01_Data!Q792+01_Data!S792+01_Data!U792</f>
        <v>77412</v>
      </c>
      <c r="Q792" s="7" t="n">
        <f aca="false">01_Data!J792+01_Data!L792+01_Data!N792+01_Data!P792+01_Data!R792+01_Data!T792+01_Data!V792</f>
        <v>78647</v>
      </c>
      <c r="R792" s="7" t="n">
        <f aca="false">P792-Q792</f>
        <v>-1235</v>
      </c>
      <c r="S792" s="7" t="n">
        <f aca="false">L792-P792</f>
        <v>51537</v>
      </c>
      <c r="T792" s="7" t="n">
        <f aca="false">M792-Q792</f>
        <v>50820</v>
      </c>
      <c r="U792" s="7" t="n">
        <f aca="false">T792-S792</f>
        <v>-717</v>
      </c>
      <c r="V792" s="8" t="n">
        <f aca="false">IFERROR(U792/S792,0)</f>
        <v>-0.0139123348274056</v>
      </c>
      <c r="W792" s="5" t="str">
        <f aca="false">IF(V792&lt;-0.1,"ADVERSE &gt;10%","")</f>
        <v/>
      </c>
    </row>
    <row r="793" customFormat="false" ht="15" hidden="false" customHeight="false" outlineLevel="0" collapsed="false">
      <c r="A793" s="5" t="str">
        <f aca="false">01_Data!A793</f>
        <v>Technology &amp; Telecom</v>
      </c>
      <c r="B793" s="5" t="str">
        <f aca="false">01_Data!C793</f>
        <v>2026-03</v>
      </c>
      <c r="C793" s="5" t="str">
        <f aca="false">01_Data!D793</f>
        <v>FY25</v>
      </c>
      <c r="D793" s="7" t="n">
        <f aca="false">01_Data!E793</f>
        <v>296487</v>
      </c>
      <c r="E793" s="7" t="n">
        <f aca="false">01_Data!F793</f>
        <v>290666</v>
      </c>
      <c r="F793" s="7" t="n">
        <f aca="false">E793-D793</f>
        <v>-5821</v>
      </c>
      <c r="G793" s="8" t="n">
        <f aca="false">IFERROR(F793/D793,0)</f>
        <v>-0.0196332385568339</v>
      </c>
      <c r="H793" s="7" t="n">
        <f aca="false">01_Data!G793</f>
        <v>163527</v>
      </c>
      <c r="I793" s="7" t="n">
        <f aca="false">01_Data!H793</f>
        <v>162173</v>
      </c>
      <c r="J793" s="7" t="n">
        <f aca="false">H793-I793</f>
        <v>1354</v>
      </c>
      <c r="K793" s="8" t="n">
        <f aca="false">IFERROR(J793/H793,0)</f>
        <v>0.00827997822989476</v>
      </c>
      <c r="L793" s="7" t="n">
        <f aca="false">D793-H793</f>
        <v>132960</v>
      </c>
      <c r="M793" s="7" t="n">
        <f aca="false">E793-I793</f>
        <v>128493</v>
      </c>
      <c r="N793" s="7" t="n">
        <f aca="false">IFERROR(L793/D793,0)</f>
        <v>0.448451365489887</v>
      </c>
      <c r="O793" s="7" t="n">
        <f aca="false">IFERROR(M793/E793,0)</f>
        <v>0.442064087302953</v>
      </c>
      <c r="P793" s="7" t="n">
        <f aca="false">01_Data!I793+01_Data!K793+01_Data!M793+01_Data!O793+01_Data!Q793+01_Data!S793+01_Data!U793</f>
        <v>78322</v>
      </c>
      <c r="Q793" s="7" t="n">
        <f aca="false">01_Data!J793+01_Data!L793+01_Data!N793+01_Data!P793+01_Data!R793+01_Data!T793+01_Data!V793</f>
        <v>80311</v>
      </c>
      <c r="R793" s="7" t="n">
        <f aca="false">P793-Q793</f>
        <v>-1989</v>
      </c>
      <c r="S793" s="7" t="n">
        <f aca="false">L793-P793</f>
        <v>54638</v>
      </c>
      <c r="T793" s="7" t="n">
        <f aca="false">M793-Q793</f>
        <v>48182</v>
      </c>
      <c r="U793" s="7" t="n">
        <f aca="false">T793-S793</f>
        <v>-6456</v>
      </c>
      <c r="V793" s="8" t="n">
        <f aca="false">IFERROR(U793/S793,0)</f>
        <v>-0.118159522676525</v>
      </c>
      <c r="W793" s="5" t="str">
        <f aca="false">IF(V793&lt;-0.1,"ADVERSE &gt;10%","")</f>
        <v>ADVERSE &gt;10%</v>
      </c>
    </row>
    <row r="794" customFormat="false" ht="15" hidden="false" customHeight="false" outlineLevel="0" collapsed="false">
      <c r="A794" s="5" t="str">
        <f aca="false">01_Data!A794</f>
        <v>Technology &amp; Telecom</v>
      </c>
      <c r="B794" s="5" t="str">
        <f aca="false">01_Data!C794</f>
        <v>2023-04</v>
      </c>
      <c r="C794" s="5" t="str">
        <f aca="false">01_Data!D794</f>
        <v>FY23</v>
      </c>
      <c r="D794" s="7" t="n">
        <f aca="false">01_Data!E794</f>
        <v>184629</v>
      </c>
      <c r="E794" s="7" t="n">
        <f aca="false">01_Data!F794</f>
        <v>181561</v>
      </c>
      <c r="F794" s="7" t="n">
        <f aca="false">E794-D794</f>
        <v>-3068</v>
      </c>
      <c r="G794" s="8" t="n">
        <f aca="false">IFERROR(F794/D794,0)</f>
        <v>-0.0166171078216315</v>
      </c>
      <c r="H794" s="7" t="n">
        <f aca="false">01_Data!G794</f>
        <v>101029</v>
      </c>
      <c r="I794" s="7" t="n">
        <f aca="false">01_Data!H794</f>
        <v>101810</v>
      </c>
      <c r="J794" s="7" t="n">
        <f aca="false">H794-I794</f>
        <v>-781</v>
      </c>
      <c r="K794" s="8" t="n">
        <f aca="false">IFERROR(J794/H794,0)</f>
        <v>-0.00773045363212543</v>
      </c>
      <c r="L794" s="7" t="n">
        <f aca="false">D794-H794</f>
        <v>83600</v>
      </c>
      <c r="M794" s="7" t="n">
        <f aca="false">E794-I794</f>
        <v>79751</v>
      </c>
      <c r="N794" s="7" t="n">
        <f aca="false">IFERROR(L794/D794,0)</f>
        <v>0.452799939337807</v>
      </c>
      <c r="O794" s="7" t="n">
        <f aca="false">IFERROR(M794/E794,0)</f>
        <v>0.439251821701797</v>
      </c>
      <c r="P794" s="7" t="n">
        <f aca="false">01_Data!I794+01_Data!K794+01_Data!M794+01_Data!O794+01_Data!Q794+01_Data!S794+01_Data!U794</f>
        <v>49718</v>
      </c>
      <c r="Q794" s="7" t="n">
        <f aca="false">01_Data!J794+01_Data!L794+01_Data!N794+01_Data!P794+01_Data!R794+01_Data!T794+01_Data!V794</f>
        <v>50008</v>
      </c>
      <c r="R794" s="7" t="n">
        <f aca="false">P794-Q794</f>
        <v>-290</v>
      </c>
      <c r="S794" s="7" t="n">
        <f aca="false">L794-P794</f>
        <v>33882</v>
      </c>
      <c r="T794" s="7" t="n">
        <f aca="false">M794-Q794</f>
        <v>29743</v>
      </c>
      <c r="U794" s="7" t="n">
        <f aca="false">T794-S794</f>
        <v>-4139</v>
      </c>
      <c r="V794" s="8" t="n">
        <f aca="false">IFERROR(U794/S794,0)</f>
        <v>-0.122159258603388</v>
      </c>
      <c r="W794" s="5" t="str">
        <f aca="false">IF(V794&lt;-0.1,"ADVERSE &gt;10%","")</f>
        <v>ADVERSE &gt;10%</v>
      </c>
    </row>
    <row r="795" customFormat="false" ht="15" hidden="false" customHeight="false" outlineLevel="0" collapsed="false">
      <c r="A795" s="5" t="str">
        <f aca="false">01_Data!A795</f>
        <v>Technology &amp; Telecom</v>
      </c>
      <c r="B795" s="5" t="str">
        <f aca="false">01_Data!C795</f>
        <v>2023-05</v>
      </c>
      <c r="C795" s="5" t="str">
        <f aca="false">01_Data!D795</f>
        <v>FY23</v>
      </c>
      <c r="D795" s="7" t="n">
        <f aca="false">01_Data!E795</f>
        <v>173447</v>
      </c>
      <c r="E795" s="7" t="n">
        <f aca="false">01_Data!F795</f>
        <v>179783</v>
      </c>
      <c r="F795" s="7" t="n">
        <f aca="false">E795-D795</f>
        <v>6336</v>
      </c>
      <c r="G795" s="8" t="n">
        <f aca="false">IFERROR(F795/D795,0)</f>
        <v>0.0365298909753412</v>
      </c>
      <c r="H795" s="7" t="n">
        <f aca="false">01_Data!G795</f>
        <v>95164</v>
      </c>
      <c r="I795" s="7" t="n">
        <f aca="false">01_Data!H795</f>
        <v>101556</v>
      </c>
      <c r="J795" s="7" t="n">
        <f aca="false">H795-I795</f>
        <v>-6392</v>
      </c>
      <c r="K795" s="8" t="n">
        <f aca="false">IFERROR(J795/H795,0)</f>
        <v>-0.0671682569038712</v>
      </c>
      <c r="L795" s="7" t="n">
        <f aca="false">D795-H795</f>
        <v>78283</v>
      </c>
      <c r="M795" s="7" t="n">
        <f aca="false">E795-I795</f>
        <v>78227</v>
      </c>
      <c r="N795" s="7" t="n">
        <f aca="false">IFERROR(L795/D795,0)</f>
        <v>0.451336719574279</v>
      </c>
      <c r="O795" s="7" t="n">
        <f aca="false">IFERROR(M795/E795,0)</f>
        <v>0.435119004577741</v>
      </c>
      <c r="P795" s="7" t="n">
        <f aca="false">01_Data!I795+01_Data!K795+01_Data!M795+01_Data!O795+01_Data!Q795+01_Data!S795+01_Data!U795</f>
        <v>48092</v>
      </c>
      <c r="Q795" s="7" t="n">
        <f aca="false">01_Data!J795+01_Data!L795+01_Data!N795+01_Data!P795+01_Data!R795+01_Data!T795+01_Data!V795</f>
        <v>50388</v>
      </c>
      <c r="R795" s="7" t="n">
        <f aca="false">P795-Q795</f>
        <v>-2296</v>
      </c>
      <c r="S795" s="7" t="n">
        <f aca="false">L795-P795</f>
        <v>30191</v>
      </c>
      <c r="T795" s="7" t="n">
        <f aca="false">M795-Q795</f>
        <v>27839</v>
      </c>
      <c r="U795" s="7" t="n">
        <f aca="false">T795-S795</f>
        <v>-2352</v>
      </c>
      <c r="V795" s="8" t="n">
        <f aca="false">IFERROR(U795/S795,0)</f>
        <v>-0.0779040111291444</v>
      </c>
      <c r="W795" s="5" t="str">
        <f aca="false">IF(V795&lt;-0.1,"ADVERSE &gt;10%","")</f>
        <v/>
      </c>
    </row>
    <row r="796" customFormat="false" ht="15" hidden="false" customHeight="false" outlineLevel="0" collapsed="false">
      <c r="A796" s="5" t="str">
        <f aca="false">01_Data!A796</f>
        <v>Technology &amp; Telecom</v>
      </c>
      <c r="B796" s="5" t="str">
        <f aca="false">01_Data!C796</f>
        <v>2023-06</v>
      </c>
      <c r="C796" s="5" t="str">
        <f aca="false">01_Data!D796</f>
        <v>FY23</v>
      </c>
      <c r="D796" s="7" t="n">
        <f aca="false">01_Data!E796</f>
        <v>190537</v>
      </c>
      <c r="E796" s="7" t="n">
        <f aca="false">01_Data!F796</f>
        <v>180793</v>
      </c>
      <c r="F796" s="7" t="n">
        <f aca="false">E796-D796</f>
        <v>-9744</v>
      </c>
      <c r="G796" s="8" t="n">
        <f aca="false">IFERROR(F796/D796,0)</f>
        <v>-0.0511396736591843</v>
      </c>
      <c r="H796" s="7" t="n">
        <f aca="false">01_Data!G796</f>
        <v>107891</v>
      </c>
      <c r="I796" s="7" t="n">
        <f aca="false">01_Data!H796</f>
        <v>101037</v>
      </c>
      <c r="J796" s="7" t="n">
        <f aca="false">H796-I796</f>
        <v>6854</v>
      </c>
      <c r="K796" s="8" t="n">
        <f aca="false">IFERROR(J796/H796,0)</f>
        <v>0.0635270782549054</v>
      </c>
      <c r="L796" s="7" t="n">
        <f aca="false">D796-H796</f>
        <v>82646</v>
      </c>
      <c r="M796" s="7" t="n">
        <f aca="false">E796-I796</f>
        <v>79756</v>
      </c>
      <c r="N796" s="7" t="n">
        <f aca="false">IFERROR(L796/D796,0)</f>
        <v>0.433753024346977</v>
      </c>
      <c r="O796" s="7" t="n">
        <f aca="false">IFERROR(M796/E796,0)</f>
        <v>0.441145398328475</v>
      </c>
      <c r="P796" s="7" t="n">
        <f aca="false">01_Data!I796+01_Data!K796+01_Data!M796+01_Data!O796+01_Data!Q796+01_Data!S796+01_Data!U796</f>
        <v>50318</v>
      </c>
      <c r="Q796" s="7" t="n">
        <f aca="false">01_Data!J796+01_Data!L796+01_Data!N796+01_Data!P796+01_Data!R796+01_Data!T796+01_Data!V796</f>
        <v>50851</v>
      </c>
      <c r="R796" s="7" t="n">
        <f aca="false">P796-Q796</f>
        <v>-533</v>
      </c>
      <c r="S796" s="7" t="n">
        <f aca="false">L796-P796</f>
        <v>32328</v>
      </c>
      <c r="T796" s="7" t="n">
        <f aca="false">M796-Q796</f>
        <v>28905</v>
      </c>
      <c r="U796" s="7" t="n">
        <f aca="false">T796-S796</f>
        <v>-3423</v>
      </c>
      <c r="V796" s="8" t="n">
        <f aca="false">IFERROR(U796/S796,0)</f>
        <v>-0.105883444691908</v>
      </c>
      <c r="W796" s="5" t="str">
        <f aca="false">IF(V796&lt;-0.1,"ADVERSE &gt;10%","")</f>
        <v>ADVERSE &gt;10%</v>
      </c>
    </row>
    <row r="797" customFormat="false" ht="15" hidden="false" customHeight="false" outlineLevel="0" collapsed="false">
      <c r="A797" s="5" t="str">
        <f aca="false">01_Data!A797</f>
        <v>Technology &amp; Telecom</v>
      </c>
      <c r="B797" s="5" t="str">
        <f aca="false">01_Data!C797</f>
        <v>2023-07</v>
      </c>
      <c r="C797" s="5" t="str">
        <f aca="false">01_Data!D797</f>
        <v>FY23</v>
      </c>
      <c r="D797" s="7" t="n">
        <f aca="false">01_Data!E797</f>
        <v>177742</v>
      </c>
      <c r="E797" s="7" t="n">
        <f aca="false">01_Data!F797</f>
        <v>178719</v>
      </c>
      <c r="F797" s="7" t="n">
        <f aca="false">E797-D797</f>
        <v>977</v>
      </c>
      <c r="G797" s="8" t="n">
        <f aca="false">IFERROR(F797/D797,0)</f>
        <v>0.00549673121715745</v>
      </c>
      <c r="H797" s="7" t="n">
        <f aca="false">01_Data!G797</f>
        <v>99214</v>
      </c>
      <c r="I797" s="7" t="n">
        <f aca="false">01_Data!H797</f>
        <v>98190</v>
      </c>
      <c r="J797" s="7" t="n">
        <f aca="false">H797-I797</f>
        <v>1024</v>
      </c>
      <c r="K797" s="8" t="n">
        <f aca="false">IFERROR(J797/H797,0)</f>
        <v>0.0103211240349144</v>
      </c>
      <c r="L797" s="7" t="n">
        <f aca="false">D797-H797</f>
        <v>78528</v>
      </c>
      <c r="M797" s="7" t="n">
        <f aca="false">E797-I797</f>
        <v>80529</v>
      </c>
      <c r="N797" s="7" t="n">
        <f aca="false">IFERROR(L797/D797,0)</f>
        <v>0.441808914043951</v>
      </c>
      <c r="O797" s="7" t="n">
        <f aca="false">IFERROR(M797/E797,0)</f>
        <v>0.450590032397227</v>
      </c>
      <c r="P797" s="7" t="n">
        <f aca="false">01_Data!I797+01_Data!K797+01_Data!M797+01_Data!O797+01_Data!Q797+01_Data!S797+01_Data!U797</f>
        <v>46739</v>
      </c>
      <c r="Q797" s="7" t="n">
        <f aca="false">01_Data!J797+01_Data!L797+01_Data!N797+01_Data!P797+01_Data!R797+01_Data!T797+01_Data!V797</f>
        <v>49746</v>
      </c>
      <c r="R797" s="7" t="n">
        <f aca="false">P797-Q797</f>
        <v>-3007</v>
      </c>
      <c r="S797" s="7" t="n">
        <f aca="false">L797-P797</f>
        <v>31789</v>
      </c>
      <c r="T797" s="7" t="n">
        <f aca="false">M797-Q797</f>
        <v>30783</v>
      </c>
      <c r="U797" s="7" t="n">
        <f aca="false">T797-S797</f>
        <v>-1006</v>
      </c>
      <c r="V797" s="8" t="n">
        <f aca="false">IFERROR(U797/S797,0)</f>
        <v>-0.0316461669130831</v>
      </c>
      <c r="W797" s="5" t="str">
        <f aca="false">IF(V797&lt;-0.1,"ADVERSE &gt;10%","")</f>
        <v/>
      </c>
    </row>
    <row r="798" customFormat="false" ht="15" hidden="false" customHeight="false" outlineLevel="0" collapsed="false">
      <c r="A798" s="5" t="str">
        <f aca="false">01_Data!A798</f>
        <v>Technology &amp; Telecom</v>
      </c>
      <c r="B798" s="5" t="str">
        <f aca="false">01_Data!C798</f>
        <v>2023-08</v>
      </c>
      <c r="C798" s="5" t="str">
        <f aca="false">01_Data!D798</f>
        <v>FY23</v>
      </c>
      <c r="D798" s="7" t="n">
        <f aca="false">01_Data!E798</f>
        <v>172299</v>
      </c>
      <c r="E798" s="7" t="n">
        <f aca="false">01_Data!F798</f>
        <v>177240</v>
      </c>
      <c r="F798" s="7" t="n">
        <f aca="false">E798-D798</f>
        <v>4941</v>
      </c>
      <c r="G798" s="8" t="n">
        <f aca="false">IFERROR(F798/D798,0)</f>
        <v>0.0286768930754096</v>
      </c>
      <c r="H798" s="7" t="n">
        <f aca="false">01_Data!G798</f>
        <v>96875</v>
      </c>
      <c r="I798" s="7" t="n">
        <f aca="false">01_Data!H798</f>
        <v>98367</v>
      </c>
      <c r="J798" s="7" t="n">
        <f aca="false">H798-I798</f>
        <v>-1492</v>
      </c>
      <c r="K798" s="8" t="n">
        <f aca="false">IFERROR(J798/H798,0)</f>
        <v>-0.0154012903225806</v>
      </c>
      <c r="L798" s="7" t="n">
        <f aca="false">D798-H798</f>
        <v>75424</v>
      </c>
      <c r="M798" s="7" t="n">
        <f aca="false">E798-I798</f>
        <v>78873</v>
      </c>
      <c r="N798" s="7" t="n">
        <f aca="false">IFERROR(L798/D798,0)</f>
        <v>0.43775065438569</v>
      </c>
      <c r="O798" s="7" t="n">
        <f aca="false">IFERROR(M798/E798,0)</f>
        <v>0.445006770480704</v>
      </c>
      <c r="P798" s="7" t="n">
        <f aca="false">01_Data!I798+01_Data!K798+01_Data!M798+01_Data!O798+01_Data!Q798+01_Data!S798+01_Data!U798</f>
        <v>45673</v>
      </c>
      <c r="Q798" s="7" t="n">
        <f aca="false">01_Data!J798+01_Data!L798+01_Data!N798+01_Data!P798+01_Data!R798+01_Data!T798+01_Data!V798</f>
        <v>46904</v>
      </c>
      <c r="R798" s="7" t="n">
        <f aca="false">P798-Q798</f>
        <v>-1231</v>
      </c>
      <c r="S798" s="7" t="n">
        <f aca="false">L798-P798</f>
        <v>29751</v>
      </c>
      <c r="T798" s="7" t="n">
        <f aca="false">M798-Q798</f>
        <v>31969</v>
      </c>
      <c r="U798" s="7" t="n">
        <f aca="false">T798-S798</f>
        <v>2218</v>
      </c>
      <c r="V798" s="8" t="n">
        <f aca="false">IFERROR(U798/S798,0)</f>
        <v>0.074552115895264</v>
      </c>
      <c r="W798" s="5" t="str">
        <f aca="false">IF(V798&lt;-0.1,"ADVERSE &gt;10%","")</f>
        <v/>
      </c>
    </row>
    <row r="799" customFormat="false" ht="15" hidden="false" customHeight="false" outlineLevel="0" collapsed="false">
      <c r="A799" s="5" t="str">
        <f aca="false">01_Data!A799</f>
        <v>Technology &amp; Telecom</v>
      </c>
      <c r="B799" s="5" t="str">
        <f aca="false">01_Data!C799</f>
        <v>2023-09</v>
      </c>
      <c r="C799" s="5" t="str">
        <f aca="false">01_Data!D799</f>
        <v>FY23</v>
      </c>
      <c r="D799" s="7" t="n">
        <f aca="false">01_Data!E799</f>
        <v>196941</v>
      </c>
      <c r="E799" s="7" t="n">
        <f aca="false">01_Data!F799</f>
        <v>187397</v>
      </c>
      <c r="F799" s="7" t="n">
        <f aca="false">E799-D799</f>
        <v>-9544</v>
      </c>
      <c r="G799" s="8" t="n">
        <f aca="false">IFERROR(F799/D799,0)</f>
        <v>-0.0484612142722947</v>
      </c>
      <c r="H799" s="7" t="n">
        <f aca="false">01_Data!G799</f>
        <v>117241</v>
      </c>
      <c r="I799" s="7" t="n">
        <f aca="false">01_Data!H799</f>
        <v>113691</v>
      </c>
      <c r="J799" s="7" t="n">
        <f aca="false">H799-I799</f>
        <v>3550</v>
      </c>
      <c r="K799" s="8" t="n">
        <f aca="false">IFERROR(J799/H799,0)</f>
        <v>0.0302795097278256</v>
      </c>
      <c r="L799" s="7" t="n">
        <f aca="false">D799-H799</f>
        <v>79700</v>
      </c>
      <c r="M799" s="7" t="n">
        <f aca="false">E799-I799</f>
        <v>73706</v>
      </c>
      <c r="N799" s="7" t="n">
        <f aca="false">IFERROR(L799/D799,0)</f>
        <v>0.404689729411347</v>
      </c>
      <c r="O799" s="7" t="n">
        <f aca="false">IFERROR(M799/E799,0)</f>
        <v>0.393314727557005</v>
      </c>
      <c r="P799" s="7" t="n">
        <f aca="false">01_Data!I799+01_Data!K799+01_Data!M799+01_Data!O799+01_Data!Q799+01_Data!S799+01_Data!U799</f>
        <v>55952</v>
      </c>
      <c r="Q799" s="7" t="n">
        <f aca="false">01_Data!J799+01_Data!L799+01_Data!N799+01_Data!P799+01_Data!R799+01_Data!T799+01_Data!V799</f>
        <v>54811</v>
      </c>
      <c r="R799" s="7" t="n">
        <f aca="false">P799-Q799</f>
        <v>1141</v>
      </c>
      <c r="S799" s="7" t="n">
        <f aca="false">L799-P799</f>
        <v>23748</v>
      </c>
      <c r="T799" s="7" t="n">
        <f aca="false">M799-Q799</f>
        <v>18895</v>
      </c>
      <c r="U799" s="7" t="n">
        <f aca="false">T799-S799</f>
        <v>-4853</v>
      </c>
      <c r="V799" s="8" t="n">
        <f aca="false">IFERROR(U799/S799,0)</f>
        <v>-0.204354050867441</v>
      </c>
      <c r="W799" s="5" t="str">
        <f aca="false">IF(V799&lt;-0.1,"ADVERSE &gt;10%","")</f>
        <v>ADVERSE &gt;10%</v>
      </c>
    </row>
    <row r="800" customFormat="false" ht="15" hidden="false" customHeight="false" outlineLevel="0" collapsed="false">
      <c r="A800" s="5" t="str">
        <f aca="false">01_Data!A800</f>
        <v>Technology &amp; Telecom</v>
      </c>
      <c r="B800" s="5" t="str">
        <f aca="false">01_Data!C800</f>
        <v>2023-10</v>
      </c>
      <c r="C800" s="5" t="str">
        <f aca="false">01_Data!D800</f>
        <v>FY23</v>
      </c>
      <c r="D800" s="7" t="n">
        <f aca="false">01_Data!E800</f>
        <v>183327</v>
      </c>
      <c r="E800" s="7" t="n">
        <f aca="false">01_Data!F800</f>
        <v>180536</v>
      </c>
      <c r="F800" s="7" t="n">
        <f aca="false">E800-D800</f>
        <v>-2791</v>
      </c>
      <c r="G800" s="8" t="n">
        <f aca="false">IFERROR(F800/D800,0)</f>
        <v>-0.0152241622892427</v>
      </c>
      <c r="H800" s="7" t="n">
        <f aca="false">01_Data!G800</f>
        <v>106365</v>
      </c>
      <c r="I800" s="7" t="n">
        <f aca="false">01_Data!H800</f>
        <v>109806</v>
      </c>
      <c r="J800" s="7" t="n">
        <f aca="false">H800-I800</f>
        <v>-3441</v>
      </c>
      <c r="K800" s="8" t="n">
        <f aca="false">IFERROR(J800/H800,0)</f>
        <v>-0.0323508672965731</v>
      </c>
      <c r="L800" s="7" t="n">
        <f aca="false">D800-H800</f>
        <v>76962</v>
      </c>
      <c r="M800" s="7" t="n">
        <f aca="false">E800-I800</f>
        <v>70730</v>
      </c>
      <c r="N800" s="7" t="n">
        <f aca="false">IFERROR(L800/D800,0)</f>
        <v>0.419807229704299</v>
      </c>
      <c r="O800" s="7" t="n">
        <f aca="false">IFERROR(M800/E800,0)</f>
        <v>0.391777817166659</v>
      </c>
      <c r="P800" s="7" t="n">
        <f aca="false">01_Data!I800+01_Data!K800+01_Data!M800+01_Data!O800+01_Data!Q800+01_Data!S800+01_Data!U800</f>
        <v>50619</v>
      </c>
      <c r="Q800" s="7" t="n">
        <f aca="false">01_Data!J800+01_Data!L800+01_Data!N800+01_Data!P800+01_Data!R800+01_Data!T800+01_Data!V800</f>
        <v>51046</v>
      </c>
      <c r="R800" s="7" t="n">
        <f aca="false">P800-Q800</f>
        <v>-427</v>
      </c>
      <c r="S800" s="7" t="n">
        <f aca="false">L800-P800</f>
        <v>26343</v>
      </c>
      <c r="T800" s="7" t="n">
        <f aca="false">M800-Q800</f>
        <v>19684</v>
      </c>
      <c r="U800" s="7" t="n">
        <f aca="false">T800-S800</f>
        <v>-6659</v>
      </c>
      <c r="V800" s="8" t="n">
        <f aca="false">IFERROR(U800/S800,0)</f>
        <v>-0.252780624833922</v>
      </c>
      <c r="W800" s="5" t="str">
        <f aca="false">IF(V800&lt;-0.1,"ADVERSE &gt;10%","")</f>
        <v>ADVERSE &gt;10%</v>
      </c>
    </row>
    <row r="801" customFormat="false" ht="15" hidden="false" customHeight="false" outlineLevel="0" collapsed="false">
      <c r="A801" s="5" t="str">
        <f aca="false">01_Data!A801</f>
        <v>Technology &amp; Telecom</v>
      </c>
      <c r="B801" s="5" t="str">
        <f aca="false">01_Data!C801</f>
        <v>2023-11</v>
      </c>
      <c r="C801" s="5" t="str">
        <f aca="false">01_Data!D801</f>
        <v>FY23</v>
      </c>
      <c r="D801" s="7" t="n">
        <f aca="false">01_Data!E801</f>
        <v>187233</v>
      </c>
      <c r="E801" s="7" t="n">
        <f aca="false">01_Data!F801</f>
        <v>178741</v>
      </c>
      <c r="F801" s="7" t="n">
        <f aca="false">E801-D801</f>
        <v>-8492</v>
      </c>
      <c r="G801" s="8" t="n">
        <f aca="false">IFERROR(F801/D801,0)</f>
        <v>-0.0453552525462926</v>
      </c>
      <c r="H801" s="7" t="n">
        <f aca="false">01_Data!G801</f>
        <v>103704</v>
      </c>
      <c r="I801" s="7" t="n">
        <f aca="false">01_Data!H801</f>
        <v>103170</v>
      </c>
      <c r="J801" s="7" t="n">
        <f aca="false">H801-I801</f>
        <v>534</v>
      </c>
      <c r="K801" s="8" t="n">
        <f aca="false">IFERROR(J801/H801,0)</f>
        <v>0.00514927100208285</v>
      </c>
      <c r="L801" s="7" t="n">
        <f aca="false">D801-H801</f>
        <v>83529</v>
      </c>
      <c r="M801" s="7" t="n">
        <f aca="false">E801-I801</f>
        <v>75571</v>
      </c>
      <c r="N801" s="7" t="n">
        <f aca="false">IFERROR(L801/D801,0)</f>
        <v>0.446123279550079</v>
      </c>
      <c r="O801" s="7" t="n">
        <f aca="false">IFERROR(M801/E801,0)</f>
        <v>0.422796112811274</v>
      </c>
      <c r="P801" s="7" t="n">
        <f aca="false">01_Data!I801+01_Data!K801+01_Data!M801+01_Data!O801+01_Data!Q801+01_Data!S801+01_Data!U801</f>
        <v>50540</v>
      </c>
      <c r="Q801" s="7" t="n">
        <f aca="false">01_Data!J801+01_Data!L801+01_Data!N801+01_Data!P801+01_Data!R801+01_Data!T801+01_Data!V801</f>
        <v>50395</v>
      </c>
      <c r="R801" s="7" t="n">
        <f aca="false">P801-Q801</f>
        <v>145</v>
      </c>
      <c r="S801" s="7" t="n">
        <f aca="false">L801-P801</f>
        <v>32989</v>
      </c>
      <c r="T801" s="7" t="n">
        <f aca="false">M801-Q801</f>
        <v>25176</v>
      </c>
      <c r="U801" s="7" t="n">
        <f aca="false">T801-S801</f>
        <v>-7813</v>
      </c>
      <c r="V801" s="8" t="n">
        <f aca="false">IFERROR(U801/S801,0)</f>
        <v>-0.236836521264664</v>
      </c>
      <c r="W801" s="5" t="str">
        <f aca="false">IF(V801&lt;-0.1,"ADVERSE &gt;10%","")</f>
        <v>ADVERSE &gt;10%</v>
      </c>
    </row>
    <row r="802" customFormat="false" ht="15" hidden="false" customHeight="false" outlineLevel="0" collapsed="false">
      <c r="A802" s="5" t="str">
        <f aca="false">01_Data!A802</f>
        <v>Technology &amp; Telecom</v>
      </c>
      <c r="B802" s="5" t="str">
        <f aca="false">01_Data!C802</f>
        <v>2023-12</v>
      </c>
      <c r="C802" s="5" t="str">
        <f aca="false">01_Data!D802</f>
        <v>FY23</v>
      </c>
      <c r="D802" s="7" t="n">
        <f aca="false">01_Data!E802</f>
        <v>195423</v>
      </c>
      <c r="E802" s="7" t="n">
        <f aca="false">01_Data!F802</f>
        <v>192126</v>
      </c>
      <c r="F802" s="7" t="n">
        <f aca="false">E802-D802</f>
        <v>-3297</v>
      </c>
      <c r="G802" s="8" t="n">
        <f aca="false">IFERROR(F802/D802,0)</f>
        <v>-0.0168710950092875</v>
      </c>
      <c r="H802" s="7" t="n">
        <f aca="false">01_Data!G802</f>
        <v>115962</v>
      </c>
      <c r="I802" s="7" t="n">
        <f aca="false">01_Data!H802</f>
        <v>118742</v>
      </c>
      <c r="J802" s="7" t="n">
        <f aca="false">H802-I802</f>
        <v>-2780</v>
      </c>
      <c r="K802" s="8" t="n">
        <f aca="false">IFERROR(J802/H802,0)</f>
        <v>-0.0239733705869164</v>
      </c>
      <c r="L802" s="7" t="n">
        <f aca="false">D802-H802</f>
        <v>79461</v>
      </c>
      <c r="M802" s="7" t="n">
        <f aca="false">E802-I802</f>
        <v>73384</v>
      </c>
      <c r="N802" s="7" t="n">
        <f aca="false">IFERROR(L802/D802,0)</f>
        <v>0.406610276170154</v>
      </c>
      <c r="O802" s="7" t="n">
        <f aca="false">IFERROR(M802/E802,0)</f>
        <v>0.381957673610027</v>
      </c>
      <c r="P802" s="7" t="n">
        <f aca="false">01_Data!I802+01_Data!K802+01_Data!M802+01_Data!O802+01_Data!Q802+01_Data!S802+01_Data!U802</f>
        <v>50098</v>
      </c>
      <c r="Q802" s="7" t="n">
        <f aca="false">01_Data!J802+01_Data!L802+01_Data!N802+01_Data!P802+01_Data!R802+01_Data!T802+01_Data!V802</f>
        <v>51950</v>
      </c>
      <c r="R802" s="7" t="n">
        <f aca="false">P802-Q802</f>
        <v>-1852</v>
      </c>
      <c r="S802" s="7" t="n">
        <f aca="false">L802-P802</f>
        <v>29363</v>
      </c>
      <c r="T802" s="7" t="n">
        <f aca="false">M802-Q802</f>
        <v>21434</v>
      </c>
      <c r="U802" s="7" t="n">
        <f aca="false">T802-S802</f>
        <v>-7929</v>
      </c>
      <c r="V802" s="8" t="n">
        <f aca="false">IFERROR(U802/S802,0)</f>
        <v>-0.270033715900964</v>
      </c>
      <c r="W802" s="5" t="str">
        <f aca="false">IF(V802&lt;-0.1,"ADVERSE &gt;10%","")</f>
        <v>ADVERSE &gt;10%</v>
      </c>
    </row>
    <row r="803" customFormat="false" ht="15" hidden="false" customHeight="false" outlineLevel="0" collapsed="false">
      <c r="A803" s="5" t="str">
        <f aca="false">01_Data!A803</f>
        <v>Technology &amp; Telecom</v>
      </c>
      <c r="B803" s="5" t="str">
        <f aca="false">01_Data!C803</f>
        <v>2024-01</v>
      </c>
      <c r="C803" s="5" t="str">
        <f aca="false">01_Data!D803</f>
        <v>FY23</v>
      </c>
      <c r="D803" s="7" t="n">
        <f aca="false">01_Data!E803</f>
        <v>187366</v>
      </c>
      <c r="E803" s="7" t="n">
        <f aca="false">01_Data!F803</f>
        <v>187601</v>
      </c>
      <c r="F803" s="7" t="n">
        <f aca="false">E803-D803</f>
        <v>235</v>
      </c>
      <c r="G803" s="8" t="n">
        <f aca="false">IFERROR(F803/D803,0)</f>
        <v>0.00125422968948475</v>
      </c>
      <c r="H803" s="7" t="n">
        <f aca="false">01_Data!G803</f>
        <v>112333</v>
      </c>
      <c r="I803" s="7" t="n">
        <f aca="false">01_Data!H803</f>
        <v>116185</v>
      </c>
      <c r="J803" s="7" t="n">
        <f aca="false">H803-I803</f>
        <v>-3852</v>
      </c>
      <c r="K803" s="8" t="n">
        <f aca="false">IFERROR(J803/H803,0)</f>
        <v>-0.0342909029403648</v>
      </c>
      <c r="L803" s="7" t="n">
        <f aca="false">D803-H803</f>
        <v>75033</v>
      </c>
      <c r="M803" s="7" t="n">
        <f aca="false">E803-I803</f>
        <v>71416</v>
      </c>
      <c r="N803" s="7" t="n">
        <f aca="false">IFERROR(L803/D803,0)</f>
        <v>0.400462196983444</v>
      </c>
      <c r="O803" s="7" t="n">
        <f aca="false">IFERROR(M803/E803,0)</f>
        <v>0.380680273559309</v>
      </c>
      <c r="P803" s="7" t="n">
        <f aca="false">01_Data!I803+01_Data!K803+01_Data!M803+01_Data!O803+01_Data!Q803+01_Data!S803+01_Data!U803</f>
        <v>53586</v>
      </c>
      <c r="Q803" s="7" t="n">
        <f aca="false">01_Data!J803+01_Data!L803+01_Data!N803+01_Data!P803+01_Data!R803+01_Data!T803+01_Data!V803</f>
        <v>52898</v>
      </c>
      <c r="R803" s="7" t="n">
        <f aca="false">P803-Q803</f>
        <v>688</v>
      </c>
      <c r="S803" s="7" t="n">
        <f aca="false">L803-P803</f>
        <v>21447</v>
      </c>
      <c r="T803" s="7" t="n">
        <f aca="false">M803-Q803</f>
        <v>18518</v>
      </c>
      <c r="U803" s="7" t="n">
        <f aca="false">T803-S803</f>
        <v>-2929</v>
      </c>
      <c r="V803" s="8" t="n">
        <f aca="false">IFERROR(U803/S803,0)</f>
        <v>-0.136569217139926</v>
      </c>
      <c r="W803" s="5" t="str">
        <f aca="false">IF(V803&lt;-0.1,"ADVERSE &gt;10%","")</f>
        <v>ADVERSE &gt;10%</v>
      </c>
    </row>
    <row r="804" customFormat="false" ht="15" hidden="false" customHeight="false" outlineLevel="0" collapsed="false">
      <c r="A804" s="5" t="str">
        <f aca="false">01_Data!A804</f>
        <v>Technology &amp; Telecom</v>
      </c>
      <c r="B804" s="5" t="str">
        <f aca="false">01_Data!C804</f>
        <v>2024-02</v>
      </c>
      <c r="C804" s="5" t="str">
        <f aca="false">01_Data!D804</f>
        <v>FY23</v>
      </c>
      <c r="D804" s="7" t="n">
        <f aca="false">01_Data!E804</f>
        <v>182984</v>
      </c>
      <c r="E804" s="7" t="n">
        <f aca="false">01_Data!F804</f>
        <v>189994</v>
      </c>
      <c r="F804" s="7" t="n">
        <f aca="false">E804-D804</f>
        <v>7010</v>
      </c>
      <c r="G804" s="8" t="n">
        <f aca="false">IFERROR(F804/D804,0)</f>
        <v>0.0383093603812355</v>
      </c>
      <c r="H804" s="7" t="n">
        <f aca="false">01_Data!G804</f>
        <v>107840</v>
      </c>
      <c r="I804" s="7" t="n">
        <f aca="false">01_Data!H804</f>
        <v>110396</v>
      </c>
      <c r="J804" s="7" t="n">
        <f aca="false">H804-I804</f>
        <v>-2556</v>
      </c>
      <c r="K804" s="8" t="n">
        <f aca="false">IFERROR(J804/H804,0)</f>
        <v>-0.0237017804154303</v>
      </c>
      <c r="L804" s="7" t="n">
        <f aca="false">D804-H804</f>
        <v>75144</v>
      </c>
      <c r="M804" s="7" t="n">
        <f aca="false">E804-I804</f>
        <v>79598</v>
      </c>
      <c r="N804" s="7" t="n">
        <f aca="false">IFERROR(L804/D804,0)</f>
        <v>0.410658855419053</v>
      </c>
      <c r="O804" s="7" t="n">
        <f aca="false">IFERROR(M804/E804,0)</f>
        <v>0.41895007210754</v>
      </c>
      <c r="P804" s="7" t="n">
        <f aca="false">01_Data!I804+01_Data!K804+01_Data!M804+01_Data!O804+01_Data!Q804+01_Data!S804+01_Data!U804</f>
        <v>46933</v>
      </c>
      <c r="Q804" s="7" t="n">
        <f aca="false">01_Data!J804+01_Data!L804+01_Data!N804+01_Data!P804+01_Data!R804+01_Data!T804+01_Data!V804</f>
        <v>46114</v>
      </c>
      <c r="R804" s="7" t="n">
        <f aca="false">P804-Q804</f>
        <v>819</v>
      </c>
      <c r="S804" s="7" t="n">
        <f aca="false">L804-P804</f>
        <v>28211</v>
      </c>
      <c r="T804" s="7" t="n">
        <f aca="false">M804-Q804</f>
        <v>33484</v>
      </c>
      <c r="U804" s="7" t="n">
        <f aca="false">T804-S804</f>
        <v>5273</v>
      </c>
      <c r="V804" s="8" t="n">
        <f aca="false">IFERROR(U804/S804,0)</f>
        <v>0.18691290631314</v>
      </c>
      <c r="W804" s="5" t="str">
        <f aca="false">IF(V804&lt;-0.1,"ADVERSE &gt;10%","")</f>
        <v/>
      </c>
    </row>
    <row r="805" customFormat="false" ht="15" hidden="false" customHeight="false" outlineLevel="0" collapsed="false">
      <c r="A805" s="5" t="str">
        <f aca="false">01_Data!A805</f>
        <v>Technology &amp; Telecom</v>
      </c>
      <c r="B805" s="5" t="str">
        <f aca="false">01_Data!C805</f>
        <v>2024-03</v>
      </c>
      <c r="C805" s="5" t="str">
        <f aca="false">01_Data!D805</f>
        <v>FY23</v>
      </c>
      <c r="D805" s="7" t="n">
        <f aca="false">01_Data!E805</f>
        <v>201306</v>
      </c>
      <c r="E805" s="7" t="n">
        <f aca="false">01_Data!F805</f>
        <v>202967</v>
      </c>
      <c r="F805" s="7" t="n">
        <f aca="false">E805-D805</f>
        <v>1661</v>
      </c>
      <c r="G805" s="8" t="n">
        <f aca="false">IFERROR(F805/D805,0)</f>
        <v>0.00825112018519071</v>
      </c>
      <c r="H805" s="7" t="n">
        <f aca="false">01_Data!G805</f>
        <v>117014</v>
      </c>
      <c r="I805" s="7" t="n">
        <f aca="false">01_Data!H805</f>
        <v>122380</v>
      </c>
      <c r="J805" s="7" t="n">
        <f aca="false">H805-I805</f>
        <v>-5366</v>
      </c>
      <c r="K805" s="8" t="n">
        <f aca="false">IFERROR(J805/H805,0)</f>
        <v>-0.0458577606098416</v>
      </c>
      <c r="L805" s="7" t="n">
        <f aca="false">D805-H805</f>
        <v>84292</v>
      </c>
      <c r="M805" s="7" t="n">
        <f aca="false">E805-I805</f>
        <v>80587</v>
      </c>
      <c r="N805" s="7" t="n">
        <f aca="false">IFERROR(L805/D805,0)</f>
        <v>0.418725721041598</v>
      </c>
      <c r="O805" s="7" t="n">
        <f aca="false">IFERROR(M805/E805,0)</f>
        <v>0.397044839801544</v>
      </c>
      <c r="P805" s="7" t="n">
        <f aca="false">01_Data!I805+01_Data!K805+01_Data!M805+01_Data!O805+01_Data!Q805+01_Data!S805+01_Data!U805</f>
        <v>49827</v>
      </c>
      <c r="Q805" s="7" t="n">
        <f aca="false">01_Data!J805+01_Data!L805+01_Data!N805+01_Data!P805+01_Data!R805+01_Data!T805+01_Data!V805</f>
        <v>49534</v>
      </c>
      <c r="R805" s="7" t="n">
        <f aca="false">P805-Q805</f>
        <v>293</v>
      </c>
      <c r="S805" s="7" t="n">
        <f aca="false">L805-P805</f>
        <v>34465</v>
      </c>
      <c r="T805" s="7" t="n">
        <f aca="false">M805-Q805</f>
        <v>31053</v>
      </c>
      <c r="U805" s="7" t="n">
        <f aca="false">T805-S805</f>
        <v>-3412</v>
      </c>
      <c r="V805" s="8" t="n">
        <f aca="false">IFERROR(U805/S805,0)</f>
        <v>-0.0989989844770057</v>
      </c>
      <c r="W805" s="5" t="str">
        <f aca="false">IF(V805&lt;-0.1,"ADVERSE &gt;10%","")</f>
        <v/>
      </c>
    </row>
    <row r="806" customFormat="false" ht="15" hidden="false" customHeight="false" outlineLevel="0" collapsed="false">
      <c r="A806" s="5" t="str">
        <f aca="false">01_Data!A806</f>
        <v>Technology &amp; Telecom</v>
      </c>
      <c r="B806" s="5" t="str">
        <f aca="false">01_Data!C806</f>
        <v>2024-04</v>
      </c>
      <c r="C806" s="5" t="str">
        <f aca="false">01_Data!D806</f>
        <v>FY24</v>
      </c>
      <c r="D806" s="7" t="n">
        <f aca="false">01_Data!E806</f>
        <v>201570</v>
      </c>
      <c r="E806" s="7" t="n">
        <f aca="false">01_Data!F806</f>
        <v>196530</v>
      </c>
      <c r="F806" s="7" t="n">
        <f aca="false">E806-D806</f>
        <v>-5040</v>
      </c>
      <c r="G806" s="8" t="n">
        <f aca="false">IFERROR(F806/D806,0)</f>
        <v>-0.0250037207917845</v>
      </c>
      <c r="H806" s="7" t="n">
        <f aca="false">01_Data!G806</f>
        <v>119537</v>
      </c>
      <c r="I806" s="7" t="n">
        <f aca="false">01_Data!H806</f>
        <v>117834</v>
      </c>
      <c r="J806" s="7" t="n">
        <f aca="false">H806-I806</f>
        <v>1703</v>
      </c>
      <c r="K806" s="8" t="n">
        <f aca="false">IFERROR(J806/H806,0)</f>
        <v>0.0142466349331169</v>
      </c>
      <c r="L806" s="7" t="n">
        <f aca="false">D806-H806</f>
        <v>82033</v>
      </c>
      <c r="M806" s="7" t="n">
        <f aca="false">E806-I806</f>
        <v>78696</v>
      </c>
      <c r="N806" s="7" t="n">
        <f aca="false">IFERROR(L806/D806,0)</f>
        <v>0.406970283276281</v>
      </c>
      <c r="O806" s="7" t="n">
        <f aca="false">IFERROR(M806/E806,0)</f>
        <v>0.400427415661731</v>
      </c>
      <c r="P806" s="7" t="n">
        <f aca="false">01_Data!I806+01_Data!K806+01_Data!M806+01_Data!O806+01_Data!Q806+01_Data!S806+01_Data!U806</f>
        <v>58940</v>
      </c>
      <c r="Q806" s="7" t="n">
        <f aca="false">01_Data!J806+01_Data!L806+01_Data!N806+01_Data!P806+01_Data!R806+01_Data!T806+01_Data!V806</f>
        <v>60209</v>
      </c>
      <c r="R806" s="7" t="n">
        <f aca="false">P806-Q806</f>
        <v>-1269</v>
      </c>
      <c r="S806" s="7" t="n">
        <f aca="false">L806-P806</f>
        <v>23093</v>
      </c>
      <c r="T806" s="7" t="n">
        <f aca="false">M806-Q806</f>
        <v>18487</v>
      </c>
      <c r="U806" s="7" t="n">
        <f aca="false">T806-S806</f>
        <v>-4606</v>
      </c>
      <c r="V806" s="8" t="n">
        <f aca="false">IFERROR(U806/S806,0)</f>
        <v>-0.199454380115186</v>
      </c>
      <c r="W806" s="5" t="str">
        <f aca="false">IF(V806&lt;-0.1,"ADVERSE &gt;10%","")</f>
        <v>ADVERSE &gt;10%</v>
      </c>
    </row>
    <row r="807" customFormat="false" ht="15" hidden="false" customHeight="false" outlineLevel="0" collapsed="false">
      <c r="A807" s="5" t="str">
        <f aca="false">01_Data!A807</f>
        <v>Technology &amp; Telecom</v>
      </c>
      <c r="B807" s="5" t="str">
        <f aca="false">01_Data!C807</f>
        <v>2024-05</v>
      </c>
      <c r="C807" s="5" t="str">
        <f aca="false">01_Data!D807</f>
        <v>FY24</v>
      </c>
      <c r="D807" s="7" t="n">
        <f aca="false">01_Data!E807</f>
        <v>198759</v>
      </c>
      <c r="E807" s="7" t="n">
        <f aca="false">01_Data!F807</f>
        <v>196256</v>
      </c>
      <c r="F807" s="7" t="n">
        <f aca="false">E807-D807</f>
        <v>-2503</v>
      </c>
      <c r="G807" s="8" t="n">
        <f aca="false">IFERROR(F807/D807,0)</f>
        <v>-0.0125931404364079</v>
      </c>
      <c r="H807" s="7" t="n">
        <f aca="false">01_Data!G807</f>
        <v>118375</v>
      </c>
      <c r="I807" s="7" t="n">
        <f aca="false">01_Data!H807</f>
        <v>120793</v>
      </c>
      <c r="J807" s="7" t="n">
        <f aca="false">H807-I807</f>
        <v>-2418</v>
      </c>
      <c r="K807" s="8" t="n">
        <f aca="false">IFERROR(J807/H807,0)</f>
        <v>-0.0204266103484689</v>
      </c>
      <c r="L807" s="7" t="n">
        <f aca="false">D807-H807</f>
        <v>80384</v>
      </c>
      <c r="M807" s="7" t="n">
        <f aca="false">E807-I807</f>
        <v>75463</v>
      </c>
      <c r="N807" s="7" t="n">
        <f aca="false">IFERROR(L807/D807,0)</f>
        <v>0.40442948495414</v>
      </c>
      <c r="O807" s="7" t="n">
        <f aca="false">IFERROR(M807/E807,0)</f>
        <v>0.384513084950269</v>
      </c>
      <c r="P807" s="7" t="n">
        <f aca="false">01_Data!I807+01_Data!K807+01_Data!M807+01_Data!O807+01_Data!Q807+01_Data!S807+01_Data!U807</f>
        <v>54972</v>
      </c>
      <c r="Q807" s="7" t="n">
        <f aca="false">01_Data!J807+01_Data!L807+01_Data!N807+01_Data!P807+01_Data!R807+01_Data!T807+01_Data!V807</f>
        <v>55201</v>
      </c>
      <c r="R807" s="7" t="n">
        <f aca="false">P807-Q807</f>
        <v>-229</v>
      </c>
      <c r="S807" s="7" t="n">
        <f aca="false">L807-P807</f>
        <v>25412</v>
      </c>
      <c r="T807" s="7" t="n">
        <f aca="false">M807-Q807</f>
        <v>20262</v>
      </c>
      <c r="U807" s="7" t="n">
        <f aca="false">T807-S807</f>
        <v>-5150</v>
      </c>
      <c r="V807" s="8" t="n">
        <f aca="false">IFERROR(U807/S807,0)</f>
        <v>-0.202660160554069</v>
      </c>
      <c r="W807" s="5" t="str">
        <f aca="false">IF(V807&lt;-0.1,"ADVERSE &gt;10%","")</f>
        <v>ADVERSE &gt;10%</v>
      </c>
    </row>
    <row r="808" customFormat="false" ht="15" hidden="false" customHeight="false" outlineLevel="0" collapsed="false">
      <c r="A808" s="5" t="str">
        <f aca="false">01_Data!A808</f>
        <v>Technology &amp; Telecom</v>
      </c>
      <c r="B808" s="5" t="str">
        <f aca="false">01_Data!C808</f>
        <v>2024-06</v>
      </c>
      <c r="C808" s="5" t="str">
        <f aca="false">01_Data!D808</f>
        <v>FY24</v>
      </c>
      <c r="D808" s="7" t="n">
        <f aca="false">01_Data!E808</f>
        <v>200137</v>
      </c>
      <c r="E808" s="7" t="n">
        <f aca="false">01_Data!F808</f>
        <v>196606</v>
      </c>
      <c r="F808" s="7" t="n">
        <f aca="false">E808-D808</f>
        <v>-3531</v>
      </c>
      <c r="G808" s="8" t="n">
        <f aca="false">IFERROR(F808/D808,0)</f>
        <v>-0.0176429146034966</v>
      </c>
      <c r="H808" s="7" t="n">
        <f aca="false">01_Data!G808</f>
        <v>116629</v>
      </c>
      <c r="I808" s="7" t="n">
        <f aca="false">01_Data!H808</f>
        <v>118668</v>
      </c>
      <c r="J808" s="7" t="n">
        <f aca="false">H808-I808</f>
        <v>-2039</v>
      </c>
      <c r="K808" s="8" t="n">
        <f aca="false">IFERROR(J808/H808,0)</f>
        <v>-0.0174827872998997</v>
      </c>
      <c r="L808" s="7" t="n">
        <f aca="false">D808-H808</f>
        <v>83508</v>
      </c>
      <c r="M808" s="7" t="n">
        <f aca="false">E808-I808</f>
        <v>77938</v>
      </c>
      <c r="N808" s="7" t="n">
        <f aca="false">IFERROR(L808/D808,0)</f>
        <v>0.417254180886093</v>
      </c>
      <c r="O808" s="7" t="n">
        <f aca="false">IFERROR(M808/E808,0)</f>
        <v>0.396417199881998</v>
      </c>
      <c r="P808" s="7" t="n">
        <f aca="false">01_Data!I808+01_Data!K808+01_Data!M808+01_Data!O808+01_Data!Q808+01_Data!S808+01_Data!U808</f>
        <v>50237</v>
      </c>
      <c r="Q808" s="7" t="n">
        <f aca="false">01_Data!J808+01_Data!L808+01_Data!N808+01_Data!P808+01_Data!R808+01_Data!T808+01_Data!V808</f>
        <v>50399</v>
      </c>
      <c r="R808" s="7" t="n">
        <f aca="false">P808-Q808</f>
        <v>-162</v>
      </c>
      <c r="S808" s="7" t="n">
        <f aca="false">L808-P808</f>
        <v>33271</v>
      </c>
      <c r="T808" s="7" t="n">
        <f aca="false">M808-Q808</f>
        <v>27539</v>
      </c>
      <c r="U808" s="7" t="n">
        <f aca="false">T808-S808</f>
        <v>-5732</v>
      </c>
      <c r="V808" s="8" t="n">
        <f aca="false">IFERROR(U808/S808,0)</f>
        <v>-0.172282167653512</v>
      </c>
      <c r="W808" s="5" t="str">
        <f aca="false">IF(V808&lt;-0.1,"ADVERSE &gt;10%","")</f>
        <v>ADVERSE &gt;10%</v>
      </c>
    </row>
    <row r="809" customFormat="false" ht="15" hidden="false" customHeight="false" outlineLevel="0" collapsed="false">
      <c r="A809" s="5" t="str">
        <f aca="false">01_Data!A809</f>
        <v>Technology &amp; Telecom</v>
      </c>
      <c r="B809" s="5" t="str">
        <f aca="false">01_Data!C809</f>
        <v>2024-07</v>
      </c>
      <c r="C809" s="5" t="str">
        <f aca="false">01_Data!D809</f>
        <v>FY24</v>
      </c>
      <c r="D809" s="7" t="n">
        <f aca="false">01_Data!E809</f>
        <v>205980</v>
      </c>
      <c r="E809" s="7" t="n">
        <f aca="false">01_Data!F809</f>
        <v>198177</v>
      </c>
      <c r="F809" s="7" t="n">
        <f aca="false">E809-D809</f>
        <v>-7803</v>
      </c>
      <c r="G809" s="8" t="n">
        <f aca="false">IFERROR(F809/D809,0)</f>
        <v>-0.0378823186717157</v>
      </c>
      <c r="H809" s="7" t="n">
        <f aca="false">01_Data!G809</f>
        <v>111773</v>
      </c>
      <c r="I809" s="7" t="n">
        <f aca="false">01_Data!H809</f>
        <v>108436</v>
      </c>
      <c r="J809" s="7" t="n">
        <f aca="false">H809-I809</f>
        <v>3337</v>
      </c>
      <c r="K809" s="8" t="n">
        <f aca="false">IFERROR(J809/H809,0)</f>
        <v>0.0298551528544461</v>
      </c>
      <c r="L809" s="7" t="n">
        <f aca="false">D809-H809</f>
        <v>94207</v>
      </c>
      <c r="M809" s="7" t="n">
        <f aca="false">E809-I809</f>
        <v>89741</v>
      </c>
      <c r="N809" s="7" t="n">
        <f aca="false">IFERROR(L809/D809,0)</f>
        <v>0.457359937858044</v>
      </c>
      <c r="O809" s="7" t="n">
        <f aca="false">IFERROR(M809/E809,0)</f>
        <v>0.452832568865206</v>
      </c>
      <c r="P809" s="7" t="n">
        <f aca="false">01_Data!I809+01_Data!K809+01_Data!M809+01_Data!O809+01_Data!Q809+01_Data!S809+01_Data!U809</f>
        <v>58186</v>
      </c>
      <c r="Q809" s="7" t="n">
        <f aca="false">01_Data!J809+01_Data!L809+01_Data!N809+01_Data!P809+01_Data!R809+01_Data!T809+01_Data!V809</f>
        <v>58017</v>
      </c>
      <c r="R809" s="7" t="n">
        <f aca="false">P809-Q809</f>
        <v>169</v>
      </c>
      <c r="S809" s="7" t="n">
        <f aca="false">L809-P809</f>
        <v>36021</v>
      </c>
      <c r="T809" s="7" t="n">
        <f aca="false">M809-Q809</f>
        <v>31724</v>
      </c>
      <c r="U809" s="7" t="n">
        <f aca="false">T809-S809</f>
        <v>-4297</v>
      </c>
      <c r="V809" s="8" t="n">
        <f aca="false">IFERROR(U809/S809,0)</f>
        <v>-0.119291524388551</v>
      </c>
      <c r="W809" s="5" t="str">
        <f aca="false">IF(V809&lt;-0.1,"ADVERSE &gt;10%","")</f>
        <v>ADVERSE &gt;10%</v>
      </c>
    </row>
    <row r="810" customFormat="false" ht="15" hidden="false" customHeight="false" outlineLevel="0" collapsed="false">
      <c r="A810" s="5" t="str">
        <f aca="false">01_Data!A810</f>
        <v>Technology &amp; Telecom</v>
      </c>
      <c r="B810" s="5" t="str">
        <f aca="false">01_Data!C810</f>
        <v>2024-08</v>
      </c>
      <c r="C810" s="5" t="str">
        <f aca="false">01_Data!D810</f>
        <v>FY24</v>
      </c>
      <c r="D810" s="7" t="n">
        <f aca="false">01_Data!E810</f>
        <v>186978</v>
      </c>
      <c r="E810" s="7" t="n">
        <f aca="false">01_Data!F810</f>
        <v>198076</v>
      </c>
      <c r="F810" s="7" t="n">
        <f aca="false">E810-D810</f>
        <v>11098</v>
      </c>
      <c r="G810" s="8" t="n">
        <f aca="false">IFERROR(F810/D810,0)</f>
        <v>0.0593545764742376</v>
      </c>
      <c r="H810" s="7" t="n">
        <f aca="false">01_Data!G810</f>
        <v>101097</v>
      </c>
      <c r="I810" s="7" t="n">
        <f aca="false">01_Data!H810</f>
        <v>103407</v>
      </c>
      <c r="J810" s="7" t="n">
        <f aca="false">H810-I810</f>
        <v>-2310</v>
      </c>
      <c r="K810" s="8" t="n">
        <f aca="false">IFERROR(J810/H810,0)</f>
        <v>-0.0228493427104662</v>
      </c>
      <c r="L810" s="7" t="n">
        <f aca="false">D810-H810</f>
        <v>85881</v>
      </c>
      <c r="M810" s="7" t="n">
        <f aca="false">E810-I810</f>
        <v>94669</v>
      </c>
      <c r="N810" s="7" t="n">
        <f aca="false">IFERROR(L810/D810,0)</f>
        <v>0.459310721047396</v>
      </c>
      <c r="O810" s="7" t="n">
        <f aca="false">IFERROR(M810/E810,0)</f>
        <v>0.47794280983057</v>
      </c>
      <c r="P810" s="7" t="n">
        <f aca="false">01_Data!I810+01_Data!K810+01_Data!M810+01_Data!O810+01_Data!Q810+01_Data!S810+01_Data!U810</f>
        <v>52473</v>
      </c>
      <c r="Q810" s="7" t="n">
        <f aca="false">01_Data!J810+01_Data!L810+01_Data!N810+01_Data!P810+01_Data!R810+01_Data!T810+01_Data!V810</f>
        <v>50905</v>
      </c>
      <c r="R810" s="7" t="n">
        <f aca="false">P810-Q810</f>
        <v>1568</v>
      </c>
      <c r="S810" s="7" t="n">
        <f aca="false">L810-P810</f>
        <v>33408</v>
      </c>
      <c r="T810" s="7" t="n">
        <f aca="false">M810-Q810</f>
        <v>43764</v>
      </c>
      <c r="U810" s="7" t="n">
        <f aca="false">T810-S810</f>
        <v>10356</v>
      </c>
      <c r="V810" s="8" t="n">
        <f aca="false">IFERROR(U810/S810,0)</f>
        <v>0.309985632183908</v>
      </c>
      <c r="W810" s="5" t="str">
        <f aca="false">IF(V810&lt;-0.1,"ADVERSE &gt;10%","")</f>
        <v/>
      </c>
    </row>
    <row r="811" customFormat="false" ht="15" hidden="false" customHeight="false" outlineLevel="0" collapsed="false">
      <c r="A811" s="5" t="str">
        <f aca="false">01_Data!A811</f>
        <v>Technology &amp; Telecom</v>
      </c>
      <c r="B811" s="5" t="str">
        <f aca="false">01_Data!C811</f>
        <v>2024-09</v>
      </c>
      <c r="C811" s="5" t="str">
        <f aca="false">01_Data!D811</f>
        <v>FY24</v>
      </c>
      <c r="D811" s="7" t="n">
        <f aca="false">01_Data!E811</f>
        <v>214899</v>
      </c>
      <c r="E811" s="7" t="n">
        <f aca="false">01_Data!F811</f>
        <v>207733</v>
      </c>
      <c r="F811" s="7" t="n">
        <f aca="false">E811-D811</f>
        <v>-7166</v>
      </c>
      <c r="G811" s="8" t="n">
        <f aca="false">IFERROR(F811/D811,0)</f>
        <v>-0.033345897375046</v>
      </c>
      <c r="H811" s="7" t="n">
        <f aca="false">01_Data!G811</f>
        <v>125696</v>
      </c>
      <c r="I811" s="7" t="n">
        <f aca="false">01_Data!H811</f>
        <v>123633</v>
      </c>
      <c r="J811" s="7" t="n">
        <f aca="false">H811-I811</f>
        <v>2063</v>
      </c>
      <c r="K811" s="8" t="n">
        <f aca="false">IFERROR(J811/H811,0)</f>
        <v>0.0164126145621181</v>
      </c>
      <c r="L811" s="7" t="n">
        <f aca="false">D811-H811</f>
        <v>89203</v>
      </c>
      <c r="M811" s="7" t="n">
        <f aca="false">E811-I811</f>
        <v>84100</v>
      </c>
      <c r="N811" s="7" t="n">
        <f aca="false">IFERROR(L811/D811,0)</f>
        <v>0.415092671441003</v>
      </c>
      <c r="O811" s="7" t="n">
        <f aca="false">IFERROR(M811/E811,0)</f>
        <v>0.404846605979791</v>
      </c>
      <c r="P811" s="7" t="n">
        <f aca="false">01_Data!I811+01_Data!K811+01_Data!M811+01_Data!O811+01_Data!Q811+01_Data!S811+01_Data!U811</f>
        <v>57226</v>
      </c>
      <c r="Q811" s="7" t="n">
        <f aca="false">01_Data!J811+01_Data!L811+01_Data!N811+01_Data!P811+01_Data!R811+01_Data!T811+01_Data!V811</f>
        <v>60503</v>
      </c>
      <c r="R811" s="7" t="n">
        <f aca="false">P811-Q811</f>
        <v>-3277</v>
      </c>
      <c r="S811" s="7" t="n">
        <f aca="false">L811-P811</f>
        <v>31977</v>
      </c>
      <c r="T811" s="7" t="n">
        <f aca="false">M811-Q811</f>
        <v>23597</v>
      </c>
      <c r="U811" s="7" t="n">
        <f aca="false">T811-S811</f>
        <v>-8380</v>
      </c>
      <c r="V811" s="8" t="n">
        <f aca="false">IFERROR(U811/S811,0)</f>
        <v>-0.26206335803859</v>
      </c>
      <c r="W811" s="5" t="str">
        <f aca="false">IF(V811&lt;-0.1,"ADVERSE &gt;10%","")</f>
        <v>ADVERSE &gt;10%</v>
      </c>
    </row>
    <row r="812" customFormat="false" ht="15" hidden="false" customHeight="false" outlineLevel="0" collapsed="false">
      <c r="A812" s="5" t="str">
        <f aca="false">01_Data!A812</f>
        <v>Technology &amp; Telecom</v>
      </c>
      <c r="B812" s="5" t="str">
        <f aca="false">01_Data!C812</f>
        <v>2024-10</v>
      </c>
      <c r="C812" s="5" t="str">
        <f aca="false">01_Data!D812</f>
        <v>FY24</v>
      </c>
      <c r="D812" s="7" t="n">
        <f aca="false">01_Data!E812</f>
        <v>206036</v>
      </c>
      <c r="E812" s="7" t="n">
        <f aca="false">01_Data!F812</f>
        <v>199617</v>
      </c>
      <c r="F812" s="7" t="n">
        <f aca="false">E812-D812</f>
        <v>-6419</v>
      </c>
      <c r="G812" s="8" t="n">
        <f aca="false">IFERROR(F812/D812,0)</f>
        <v>-0.0311547496554</v>
      </c>
      <c r="H812" s="7" t="n">
        <f aca="false">01_Data!G812</f>
        <v>113121</v>
      </c>
      <c r="I812" s="7" t="n">
        <f aca="false">01_Data!H812</f>
        <v>113832</v>
      </c>
      <c r="J812" s="7" t="n">
        <f aca="false">H812-I812</f>
        <v>-711</v>
      </c>
      <c r="K812" s="8" t="n">
        <f aca="false">IFERROR(J812/H812,0)</f>
        <v>-0.006285305115761</v>
      </c>
      <c r="L812" s="7" t="n">
        <f aca="false">D812-H812</f>
        <v>92915</v>
      </c>
      <c r="M812" s="7" t="n">
        <f aca="false">E812-I812</f>
        <v>85785</v>
      </c>
      <c r="N812" s="7" t="n">
        <f aca="false">IFERROR(L812/D812,0)</f>
        <v>0.450964879923897</v>
      </c>
      <c r="O812" s="7" t="n">
        <f aca="false">IFERROR(M812/E812,0)</f>
        <v>0.42974796735749</v>
      </c>
      <c r="P812" s="7" t="n">
        <f aca="false">01_Data!I812+01_Data!K812+01_Data!M812+01_Data!O812+01_Data!Q812+01_Data!S812+01_Data!U812</f>
        <v>49194</v>
      </c>
      <c r="Q812" s="7" t="n">
        <f aca="false">01_Data!J812+01_Data!L812+01_Data!N812+01_Data!P812+01_Data!R812+01_Data!T812+01_Data!V812</f>
        <v>50263</v>
      </c>
      <c r="R812" s="7" t="n">
        <f aca="false">P812-Q812</f>
        <v>-1069</v>
      </c>
      <c r="S812" s="7" t="n">
        <f aca="false">L812-P812</f>
        <v>43721</v>
      </c>
      <c r="T812" s="7" t="n">
        <f aca="false">M812-Q812</f>
        <v>35522</v>
      </c>
      <c r="U812" s="7" t="n">
        <f aca="false">T812-S812</f>
        <v>-8199</v>
      </c>
      <c r="V812" s="8" t="n">
        <f aca="false">IFERROR(U812/S812,0)</f>
        <v>-0.187530019898904</v>
      </c>
      <c r="W812" s="5" t="str">
        <f aca="false">IF(V812&lt;-0.1,"ADVERSE &gt;10%","")</f>
        <v>ADVERSE &gt;10%</v>
      </c>
    </row>
    <row r="813" customFormat="false" ht="15" hidden="false" customHeight="false" outlineLevel="0" collapsed="false">
      <c r="A813" s="5" t="str">
        <f aca="false">01_Data!A813</f>
        <v>Technology &amp; Telecom</v>
      </c>
      <c r="B813" s="5" t="str">
        <f aca="false">01_Data!C813</f>
        <v>2024-11</v>
      </c>
      <c r="C813" s="5" t="str">
        <f aca="false">01_Data!D813</f>
        <v>FY24</v>
      </c>
      <c r="D813" s="7" t="n">
        <f aca="false">01_Data!E813</f>
        <v>201671</v>
      </c>
      <c r="E813" s="7" t="n">
        <f aca="false">01_Data!F813</f>
        <v>200947</v>
      </c>
      <c r="F813" s="7" t="n">
        <f aca="false">E813-D813</f>
        <v>-724</v>
      </c>
      <c r="G813" s="8" t="n">
        <f aca="false">IFERROR(F813/D813,0)</f>
        <v>-0.00359000550401396</v>
      </c>
      <c r="H813" s="7" t="n">
        <f aca="false">01_Data!G813</f>
        <v>113805</v>
      </c>
      <c r="I813" s="7" t="n">
        <f aca="false">01_Data!H813</f>
        <v>115034</v>
      </c>
      <c r="J813" s="7" t="n">
        <f aca="false">H813-I813</f>
        <v>-1229</v>
      </c>
      <c r="K813" s="8" t="n">
        <f aca="false">IFERROR(J813/H813,0)</f>
        <v>-0.0107991740257458</v>
      </c>
      <c r="L813" s="7" t="n">
        <f aca="false">D813-H813</f>
        <v>87866</v>
      </c>
      <c r="M813" s="7" t="n">
        <f aca="false">E813-I813</f>
        <v>85913</v>
      </c>
      <c r="N813" s="7" t="n">
        <f aca="false">IFERROR(L813/D813,0)</f>
        <v>0.435689811623883</v>
      </c>
      <c r="O813" s="7" t="n">
        <f aca="false">IFERROR(M813/E813,0)</f>
        <v>0.427540595281343</v>
      </c>
      <c r="P813" s="7" t="n">
        <f aca="false">01_Data!I813+01_Data!K813+01_Data!M813+01_Data!O813+01_Data!Q813+01_Data!S813+01_Data!U813</f>
        <v>51187</v>
      </c>
      <c r="Q813" s="7" t="n">
        <f aca="false">01_Data!J813+01_Data!L813+01_Data!N813+01_Data!P813+01_Data!R813+01_Data!T813+01_Data!V813</f>
        <v>51055</v>
      </c>
      <c r="R813" s="7" t="n">
        <f aca="false">P813-Q813</f>
        <v>132</v>
      </c>
      <c r="S813" s="7" t="n">
        <f aca="false">L813-P813</f>
        <v>36679</v>
      </c>
      <c r="T813" s="7" t="n">
        <f aca="false">M813-Q813</f>
        <v>34858</v>
      </c>
      <c r="U813" s="7" t="n">
        <f aca="false">T813-S813</f>
        <v>-1821</v>
      </c>
      <c r="V813" s="8" t="n">
        <f aca="false">IFERROR(U813/S813,0)</f>
        <v>-0.0496469369393931</v>
      </c>
      <c r="W813" s="5" t="str">
        <f aca="false">IF(V813&lt;-0.1,"ADVERSE &gt;10%","")</f>
        <v/>
      </c>
    </row>
    <row r="814" customFormat="false" ht="15" hidden="false" customHeight="false" outlineLevel="0" collapsed="false">
      <c r="A814" s="5" t="str">
        <f aca="false">01_Data!A814</f>
        <v>Technology &amp; Telecom</v>
      </c>
      <c r="B814" s="5" t="str">
        <f aca="false">01_Data!C814</f>
        <v>2024-12</v>
      </c>
      <c r="C814" s="5" t="str">
        <f aca="false">01_Data!D814</f>
        <v>FY24</v>
      </c>
      <c r="D814" s="7" t="n">
        <f aca="false">01_Data!E814</f>
        <v>207101</v>
      </c>
      <c r="E814" s="7" t="n">
        <f aca="false">01_Data!F814</f>
        <v>209357</v>
      </c>
      <c r="F814" s="7" t="n">
        <f aca="false">E814-D814</f>
        <v>2256</v>
      </c>
      <c r="G814" s="8" t="n">
        <f aca="false">IFERROR(F814/D814,0)</f>
        <v>0.0108932356676211</v>
      </c>
      <c r="H814" s="7" t="n">
        <f aca="false">01_Data!G814</f>
        <v>122472</v>
      </c>
      <c r="I814" s="7" t="n">
        <f aca="false">01_Data!H814</f>
        <v>125462</v>
      </c>
      <c r="J814" s="7" t="n">
        <f aca="false">H814-I814</f>
        <v>-2990</v>
      </c>
      <c r="K814" s="8" t="n">
        <f aca="false">IFERROR(J814/H814,0)</f>
        <v>-0.024413743549546</v>
      </c>
      <c r="L814" s="7" t="n">
        <f aca="false">D814-H814</f>
        <v>84629</v>
      </c>
      <c r="M814" s="7" t="n">
        <f aca="false">E814-I814</f>
        <v>83895</v>
      </c>
      <c r="N814" s="7" t="n">
        <f aca="false">IFERROR(L814/D814,0)</f>
        <v>0.408636365831165</v>
      </c>
      <c r="O814" s="7" t="n">
        <f aca="false">IFERROR(M814/E814,0)</f>
        <v>0.40072698787239</v>
      </c>
      <c r="P814" s="7" t="n">
        <f aca="false">01_Data!I814+01_Data!K814+01_Data!M814+01_Data!O814+01_Data!Q814+01_Data!S814+01_Data!U814</f>
        <v>54097</v>
      </c>
      <c r="Q814" s="7" t="n">
        <f aca="false">01_Data!J814+01_Data!L814+01_Data!N814+01_Data!P814+01_Data!R814+01_Data!T814+01_Data!V814</f>
        <v>56416</v>
      </c>
      <c r="R814" s="7" t="n">
        <f aca="false">P814-Q814</f>
        <v>-2319</v>
      </c>
      <c r="S814" s="7" t="n">
        <f aca="false">L814-P814</f>
        <v>30532</v>
      </c>
      <c r="T814" s="7" t="n">
        <f aca="false">M814-Q814</f>
        <v>27479</v>
      </c>
      <c r="U814" s="7" t="n">
        <f aca="false">T814-S814</f>
        <v>-3053</v>
      </c>
      <c r="V814" s="8" t="n">
        <f aca="false">IFERROR(U814/S814,0)</f>
        <v>-0.0999934494956112</v>
      </c>
      <c r="W814" s="5" t="str">
        <f aca="false">IF(V814&lt;-0.1,"ADVERSE &gt;10%","")</f>
        <v/>
      </c>
    </row>
    <row r="815" customFormat="false" ht="15" hidden="false" customHeight="false" outlineLevel="0" collapsed="false">
      <c r="A815" s="5" t="str">
        <f aca="false">01_Data!A815</f>
        <v>Technology &amp; Telecom</v>
      </c>
      <c r="B815" s="5" t="str">
        <f aca="false">01_Data!C815</f>
        <v>2025-01</v>
      </c>
      <c r="C815" s="5" t="str">
        <f aca="false">01_Data!D815</f>
        <v>FY24</v>
      </c>
      <c r="D815" s="7" t="n">
        <f aca="false">01_Data!E815</f>
        <v>199304</v>
      </c>
      <c r="E815" s="7" t="n">
        <f aca="false">01_Data!F815</f>
        <v>197978</v>
      </c>
      <c r="F815" s="7" t="n">
        <f aca="false">E815-D815</f>
        <v>-1326</v>
      </c>
      <c r="G815" s="8" t="n">
        <f aca="false">IFERROR(F815/D815,0)</f>
        <v>-0.00665315297234376</v>
      </c>
      <c r="H815" s="7" t="n">
        <f aca="false">01_Data!G815</f>
        <v>113954</v>
      </c>
      <c r="I815" s="7" t="n">
        <f aca="false">01_Data!H815</f>
        <v>109285</v>
      </c>
      <c r="J815" s="7" t="n">
        <f aca="false">H815-I815</f>
        <v>4669</v>
      </c>
      <c r="K815" s="8" t="n">
        <f aca="false">IFERROR(J815/H815,0)</f>
        <v>0.0409726731839163</v>
      </c>
      <c r="L815" s="7" t="n">
        <f aca="false">D815-H815</f>
        <v>85350</v>
      </c>
      <c r="M815" s="7" t="n">
        <f aca="false">E815-I815</f>
        <v>88693</v>
      </c>
      <c r="N815" s="7" t="n">
        <f aca="false">IFERROR(L815/D815,0)</f>
        <v>0.42824027616104</v>
      </c>
      <c r="O815" s="7" t="n">
        <f aca="false">IFERROR(M815/E815,0)</f>
        <v>0.447994221580176</v>
      </c>
      <c r="P815" s="7" t="n">
        <f aca="false">01_Data!I815+01_Data!K815+01_Data!M815+01_Data!O815+01_Data!Q815+01_Data!S815+01_Data!U815</f>
        <v>55894</v>
      </c>
      <c r="Q815" s="7" t="n">
        <f aca="false">01_Data!J815+01_Data!L815+01_Data!N815+01_Data!P815+01_Data!R815+01_Data!T815+01_Data!V815</f>
        <v>55115</v>
      </c>
      <c r="R815" s="7" t="n">
        <f aca="false">P815-Q815</f>
        <v>779</v>
      </c>
      <c r="S815" s="7" t="n">
        <f aca="false">L815-P815</f>
        <v>29456</v>
      </c>
      <c r="T815" s="7" t="n">
        <f aca="false">M815-Q815</f>
        <v>33578</v>
      </c>
      <c r="U815" s="7" t="n">
        <f aca="false">T815-S815</f>
        <v>4122</v>
      </c>
      <c r="V815" s="8" t="n">
        <f aca="false">IFERROR(U815/S815,0)</f>
        <v>0.139937533948941</v>
      </c>
      <c r="W815" s="5" t="str">
        <f aca="false">IF(V815&lt;-0.1,"ADVERSE &gt;10%","")</f>
        <v/>
      </c>
    </row>
    <row r="816" customFormat="false" ht="15" hidden="false" customHeight="false" outlineLevel="0" collapsed="false">
      <c r="A816" s="5" t="str">
        <f aca="false">01_Data!A816</f>
        <v>Technology &amp; Telecom</v>
      </c>
      <c r="B816" s="5" t="str">
        <f aca="false">01_Data!C816</f>
        <v>2025-02</v>
      </c>
      <c r="C816" s="5" t="str">
        <f aca="false">01_Data!D816</f>
        <v>FY24</v>
      </c>
      <c r="D816" s="7" t="n">
        <f aca="false">01_Data!E816</f>
        <v>200327</v>
      </c>
      <c r="E816" s="7" t="n">
        <f aca="false">01_Data!F816</f>
        <v>195709</v>
      </c>
      <c r="F816" s="7" t="n">
        <f aca="false">E816-D816</f>
        <v>-4618</v>
      </c>
      <c r="G816" s="8" t="n">
        <f aca="false">IFERROR(F816/D816,0)</f>
        <v>-0.02305230947401</v>
      </c>
      <c r="H816" s="7" t="n">
        <f aca="false">01_Data!G816</f>
        <v>115618</v>
      </c>
      <c r="I816" s="7" t="n">
        <f aca="false">01_Data!H816</f>
        <v>111926</v>
      </c>
      <c r="J816" s="7" t="n">
        <f aca="false">H816-I816</f>
        <v>3692</v>
      </c>
      <c r="K816" s="8" t="n">
        <f aca="false">IFERROR(J816/H816,0)</f>
        <v>0.0319327440363957</v>
      </c>
      <c r="L816" s="7" t="n">
        <f aca="false">D816-H816</f>
        <v>84709</v>
      </c>
      <c r="M816" s="7" t="n">
        <f aca="false">E816-I816</f>
        <v>83783</v>
      </c>
      <c r="N816" s="7" t="n">
        <f aca="false">IFERROR(L816/D816,0)</f>
        <v>0.422853634307907</v>
      </c>
      <c r="O816" s="7" t="n">
        <f aca="false">IFERROR(M816/E816,0)</f>
        <v>0.428099882989541</v>
      </c>
      <c r="P816" s="7" t="n">
        <f aca="false">01_Data!I816+01_Data!K816+01_Data!M816+01_Data!O816+01_Data!Q816+01_Data!S816+01_Data!U816</f>
        <v>51419</v>
      </c>
      <c r="Q816" s="7" t="n">
        <f aca="false">01_Data!J816+01_Data!L816+01_Data!N816+01_Data!P816+01_Data!R816+01_Data!T816+01_Data!V816</f>
        <v>52655</v>
      </c>
      <c r="R816" s="7" t="n">
        <f aca="false">P816-Q816</f>
        <v>-1236</v>
      </c>
      <c r="S816" s="7" t="n">
        <f aca="false">L816-P816</f>
        <v>33290</v>
      </c>
      <c r="T816" s="7" t="n">
        <f aca="false">M816-Q816</f>
        <v>31128</v>
      </c>
      <c r="U816" s="7" t="n">
        <f aca="false">T816-S816</f>
        <v>-2162</v>
      </c>
      <c r="V816" s="8" t="n">
        <f aca="false">IFERROR(U816/S816,0)</f>
        <v>-0.0649444277560829</v>
      </c>
      <c r="W816" s="5" t="str">
        <f aca="false">IF(V816&lt;-0.1,"ADVERSE &gt;10%","")</f>
        <v/>
      </c>
    </row>
    <row r="817" customFormat="false" ht="15" hidden="false" customHeight="false" outlineLevel="0" collapsed="false">
      <c r="A817" s="5" t="str">
        <f aca="false">01_Data!A817</f>
        <v>Technology &amp; Telecom</v>
      </c>
      <c r="B817" s="5" t="str">
        <f aca="false">01_Data!C817</f>
        <v>2025-03</v>
      </c>
      <c r="C817" s="5" t="str">
        <f aca="false">01_Data!D817</f>
        <v>FY24</v>
      </c>
      <c r="D817" s="7" t="n">
        <f aca="false">01_Data!E817</f>
        <v>198147</v>
      </c>
      <c r="E817" s="7" t="n">
        <f aca="false">01_Data!F817</f>
        <v>208607</v>
      </c>
      <c r="F817" s="7" t="n">
        <f aca="false">E817-D817</f>
        <v>10460</v>
      </c>
      <c r="G817" s="8" t="n">
        <f aca="false">IFERROR(F817/D817,0)</f>
        <v>0.0527890909274428</v>
      </c>
      <c r="H817" s="7" t="n">
        <f aca="false">01_Data!G817</f>
        <v>117384</v>
      </c>
      <c r="I817" s="7" t="n">
        <f aca="false">01_Data!H817</f>
        <v>127982</v>
      </c>
      <c r="J817" s="7" t="n">
        <f aca="false">H817-I817</f>
        <v>-10598</v>
      </c>
      <c r="K817" s="8" t="n">
        <f aca="false">IFERROR(J817/H817,0)</f>
        <v>-0.0902848769849383</v>
      </c>
      <c r="L817" s="7" t="n">
        <f aca="false">D817-H817</f>
        <v>80763</v>
      </c>
      <c r="M817" s="7" t="n">
        <f aca="false">E817-I817</f>
        <v>80625</v>
      </c>
      <c r="N817" s="7" t="n">
        <f aca="false">IFERROR(L817/D817,0)</f>
        <v>0.407591333706793</v>
      </c>
      <c r="O817" s="7" t="n">
        <f aca="false">IFERROR(M817/E817,0)</f>
        <v>0.386492303709847</v>
      </c>
      <c r="P817" s="7" t="n">
        <f aca="false">01_Data!I817+01_Data!K817+01_Data!M817+01_Data!O817+01_Data!Q817+01_Data!S817+01_Data!U817</f>
        <v>52831</v>
      </c>
      <c r="Q817" s="7" t="n">
        <f aca="false">01_Data!J817+01_Data!L817+01_Data!N817+01_Data!P817+01_Data!R817+01_Data!T817+01_Data!V817</f>
        <v>54856</v>
      </c>
      <c r="R817" s="7" t="n">
        <f aca="false">P817-Q817</f>
        <v>-2025</v>
      </c>
      <c r="S817" s="7" t="n">
        <f aca="false">L817-P817</f>
        <v>27932</v>
      </c>
      <c r="T817" s="7" t="n">
        <f aca="false">M817-Q817</f>
        <v>25769</v>
      </c>
      <c r="U817" s="7" t="n">
        <f aca="false">T817-S817</f>
        <v>-2163</v>
      </c>
      <c r="V817" s="8" t="n">
        <f aca="false">IFERROR(U817/S817,0)</f>
        <v>-0.0774380638693971</v>
      </c>
      <c r="W817" s="5" t="str">
        <f aca="false">IF(V817&lt;-0.1,"ADVERSE &gt;10%","")</f>
        <v/>
      </c>
    </row>
    <row r="818" customFormat="false" ht="15" hidden="false" customHeight="false" outlineLevel="0" collapsed="false">
      <c r="A818" s="5" t="str">
        <f aca="false">01_Data!A818</f>
        <v>Technology &amp; Telecom</v>
      </c>
      <c r="B818" s="5" t="str">
        <f aca="false">01_Data!C818</f>
        <v>2025-04</v>
      </c>
      <c r="C818" s="5" t="str">
        <f aca="false">01_Data!D818</f>
        <v>FY25</v>
      </c>
      <c r="D818" s="7" t="n">
        <f aca="false">01_Data!E818</f>
        <v>214028</v>
      </c>
      <c r="E818" s="7" t="n">
        <f aca="false">01_Data!F818</f>
        <v>203958</v>
      </c>
      <c r="F818" s="7" t="n">
        <f aca="false">E818-D818</f>
        <v>-10070</v>
      </c>
      <c r="G818" s="8" t="n">
        <f aca="false">IFERROR(F818/D818,0)</f>
        <v>-0.0470499187022259</v>
      </c>
      <c r="H818" s="7" t="n">
        <f aca="false">01_Data!G818</f>
        <v>115874</v>
      </c>
      <c r="I818" s="7" t="n">
        <f aca="false">01_Data!H818</f>
        <v>107206</v>
      </c>
      <c r="J818" s="7" t="n">
        <f aca="false">H818-I818</f>
        <v>8668</v>
      </c>
      <c r="K818" s="8" t="n">
        <f aca="false">IFERROR(J818/H818,0)</f>
        <v>0.0748053920637934</v>
      </c>
      <c r="L818" s="7" t="n">
        <f aca="false">D818-H818</f>
        <v>98154</v>
      </c>
      <c r="M818" s="7" t="n">
        <f aca="false">E818-I818</f>
        <v>96752</v>
      </c>
      <c r="N818" s="7" t="n">
        <f aca="false">IFERROR(L818/D818,0)</f>
        <v>0.458603547199432</v>
      </c>
      <c r="O818" s="7" t="n">
        <f aca="false">IFERROR(M818/E818,0)</f>
        <v>0.474372174663411</v>
      </c>
      <c r="P818" s="7" t="n">
        <f aca="false">01_Data!I818+01_Data!K818+01_Data!M818+01_Data!O818+01_Data!Q818+01_Data!S818+01_Data!U818</f>
        <v>56074</v>
      </c>
      <c r="Q818" s="7" t="n">
        <f aca="false">01_Data!J818+01_Data!L818+01_Data!N818+01_Data!P818+01_Data!R818+01_Data!T818+01_Data!V818</f>
        <v>57419</v>
      </c>
      <c r="R818" s="7" t="n">
        <f aca="false">P818-Q818</f>
        <v>-1345</v>
      </c>
      <c r="S818" s="7" t="n">
        <f aca="false">L818-P818</f>
        <v>42080</v>
      </c>
      <c r="T818" s="7" t="n">
        <f aca="false">M818-Q818</f>
        <v>39333</v>
      </c>
      <c r="U818" s="7" t="n">
        <f aca="false">T818-S818</f>
        <v>-2747</v>
      </c>
      <c r="V818" s="8" t="n">
        <f aca="false">IFERROR(U818/S818,0)</f>
        <v>-0.0652804182509506</v>
      </c>
      <c r="W818" s="5" t="str">
        <f aca="false">IF(V818&lt;-0.1,"ADVERSE &gt;10%","")</f>
        <v/>
      </c>
    </row>
    <row r="819" customFormat="false" ht="15" hidden="false" customHeight="false" outlineLevel="0" collapsed="false">
      <c r="A819" s="5" t="str">
        <f aca="false">01_Data!A819</f>
        <v>Technology &amp; Telecom</v>
      </c>
      <c r="B819" s="5" t="str">
        <f aca="false">01_Data!C819</f>
        <v>2025-05</v>
      </c>
      <c r="C819" s="5" t="str">
        <f aca="false">01_Data!D819</f>
        <v>FY25</v>
      </c>
      <c r="D819" s="7" t="n">
        <f aca="false">01_Data!E819</f>
        <v>204917</v>
      </c>
      <c r="E819" s="7" t="n">
        <f aca="false">01_Data!F819</f>
        <v>209145</v>
      </c>
      <c r="F819" s="7" t="n">
        <f aca="false">E819-D819</f>
        <v>4228</v>
      </c>
      <c r="G819" s="8" t="n">
        <f aca="false">IFERROR(F819/D819,0)</f>
        <v>0.0206327439890297</v>
      </c>
      <c r="H819" s="7" t="n">
        <f aca="false">01_Data!G819</f>
        <v>122612</v>
      </c>
      <c r="I819" s="7" t="n">
        <f aca="false">01_Data!H819</f>
        <v>125828</v>
      </c>
      <c r="J819" s="7" t="n">
        <f aca="false">H819-I819</f>
        <v>-3216</v>
      </c>
      <c r="K819" s="8" t="n">
        <f aca="false">IFERROR(J819/H819,0)</f>
        <v>-0.026229080351026</v>
      </c>
      <c r="L819" s="7" t="n">
        <f aca="false">D819-H819</f>
        <v>82305</v>
      </c>
      <c r="M819" s="7" t="n">
        <f aca="false">E819-I819</f>
        <v>83317</v>
      </c>
      <c r="N819" s="7" t="n">
        <f aca="false">IFERROR(L819/D819,0)</f>
        <v>0.401650424318139</v>
      </c>
      <c r="O819" s="7" t="n">
        <f aca="false">IFERROR(M819/E819,0)</f>
        <v>0.398369552224533</v>
      </c>
      <c r="P819" s="7" t="n">
        <f aca="false">01_Data!I819+01_Data!K819+01_Data!M819+01_Data!O819+01_Data!Q819+01_Data!S819+01_Data!U819</f>
        <v>60004</v>
      </c>
      <c r="Q819" s="7" t="n">
        <f aca="false">01_Data!J819+01_Data!L819+01_Data!N819+01_Data!P819+01_Data!R819+01_Data!T819+01_Data!V819</f>
        <v>57535</v>
      </c>
      <c r="R819" s="7" t="n">
        <f aca="false">P819-Q819</f>
        <v>2469</v>
      </c>
      <c r="S819" s="7" t="n">
        <f aca="false">L819-P819</f>
        <v>22301</v>
      </c>
      <c r="T819" s="7" t="n">
        <f aca="false">M819-Q819</f>
        <v>25782</v>
      </c>
      <c r="U819" s="7" t="n">
        <f aca="false">T819-S819</f>
        <v>3481</v>
      </c>
      <c r="V819" s="8" t="n">
        <f aca="false">IFERROR(U819/S819,0)</f>
        <v>0.156091655082732</v>
      </c>
      <c r="W819" s="5" t="str">
        <f aca="false">IF(V819&lt;-0.1,"ADVERSE &gt;10%","")</f>
        <v/>
      </c>
    </row>
    <row r="820" customFormat="false" ht="15" hidden="false" customHeight="false" outlineLevel="0" collapsed="false">
      <c r="A820" s="5" t="str">
        <f aca="false">01_Data!A820</f>
        <v>Technology &amp; Telecom</v>
      </c>
      <c r="B820" s="5" t="str">
        <f aca="false">01_Data!C820</f>
        <v>2025-06</v>
      </c>
      <c r="C820" s="5" t="str">
        <f aca="false">01_Data!D820</f>
        <v>FY25</v>
      </c>
      <c r="D820" s="7" t="n">
        <f aca="false">01_Data!E820</f>
        <v>214083</v>
      </c>
      <c r="E820" s="7" t="n">
        <f aca="false">01_Data!F820</f>
        <v>208848</v>
      </c>
      <c r="F820" s="7" t="n">
        <f aca="false">E820-D820</f>
        <v>-5235</v>
      </c>
      <c r="G820" s="8" t="n">
        <f aca="false">IFERROR(F820/D820,0)</f>
        <v>-0.0244531326634997</v>
      </c>
      <c r="H820" s="7" t="n">
        <f aca="false">01_Data!G820</f>
        <v>120675</v>
      </c>
      <c r="I820" s="7" t="n">
        <f aca="false">01_Data!H820</f>
        <v>115864</v>
      </c>
      <c r="J820" s="7" t="n">
        <f aca="false">H820-I820</f>
        <v>4811</v>
      </c>
      <c r="K820" s="8" t="n">
        <f aca="false">IFERROR(J820/H820,0)</f>
        <v>0.0398674124715144</v>
      </c>
      <c r="L820" s="7" t="n">
        <f aca="false">D820-H820</f>
        <v>93408</v>
      </c>
      <c r="M820" s="7" t="n">
        <f aca="false">E820-I820</f>
        <v>92984</v>
      </c>
      <c r="N820" s="7" t="n">
        <f aca="false">IFERROR(L820/D820,0)</f>
        <v>0.436316755650846</v>
      </c>
      <c r="O820" s="7" t="n">
        <f aca="false">IFERROR(M820/E820,0)</f>
        <v>0.445223320309507</v>
      </c>
      <c r="P820" s="7" t="n">
        <f aca="false">01_Data!I820+01_Data!K820+01_Data!M820+01_Data!O820+01_Data!Q820+01_Data!S820+01_Data!U820</f>
        <v>53866</v>
      </c>
      <c r="Q820" s="7" t="n">
        <f aca="false">01_Data!J820+01_Data!L820+01_Data!N820+01_Data!P820+01_Data!R820+01_Data!T820+01_Data!V820</f>
        <v>54102</v>
      </c>
      <c r="R820" s="7" t="n">
        <f aca="false">P820-Q820</f>
        <v>-236</v>
      </c>
      <c r="S820" s="7" t="n">
        <f aca="false">L820-P820</f>
        <v>39542</v>
      </c>
      <c r="T820" s="7" t="n">
        <f aca="false">M820-Q820</f>
        <v>38882</v>
      </c>
      <c r="U820" s="7" t="n">
        <f aca="false">T820-S820</f>
        <v>-660</v>
      </c>
      <c r="V820" s="8" t="n">
        <f aca="false">IFERROR(U820/S820,0)</f>
        <v>-0.0166911132466744</v>
      </c>
      <c r="W820" s="5" t="str">
        <f aca="false">IF(V820&lt;-0.1,"ADVERSE &gt;10%","")</f>
        <v/>
      </c>
    </row>
    <row r="821" customFormat="false" ht="15" hidden="false" customHeight="false" outlineLevel="0" collapsed="false">
      <c r="A821" s="5" t="str">
        <f aca="false">01_Data!A821</f>
        <v>Technology &amp; Telecom</v>
      </c>
      <c r="B821" s="5" t="str">
        <f aca="false">01_Data!C821</f>
        <v>2025-07</v>
      </c>
      <c r="C821" s="5" t="str">
        <f aca="false">01_Data!D821</f>
        <v>FY25</v>
      </c>
      <c r="D821" s="7" t="n">
        <f aca="false">01_Data!E821</f>
        <v>204863</v>
      </c>
      <c r="E821" s="7" t="n">
        <f aca="false">01_Data!F821</f>
        <v>209308</v>
      </c>
      <c r="F821" s="7" t="n">
        <f aca="false">E821-D821</f>
        <v>4445</v>
      </c>
      <c r="G821" s="8" t="n">
        <f aca="false">IFERROR(F821/D821,0)</f>
        <v>0.0216974270610115</v>
      </c>
      <c r="H821" s="7" t="n">
        <f aca="false">01_Data!G821</f>
        <v>113400</v>
      </c>
      <c r="I821" s="7" t="n">
        <f aca="false">01_Data!H821</f>
        <v>120909</v>
      </c>
      <c r="J821" s="7" t="n">
        <f aca="false">H821-I821</f>
        <v>-7509</v>
      </c>
      <c r="K821" s="8" t="n">
        <f aca="false">IFERROR(J821/H821,0)</f>
        <v>-0.0662169312169312</v>
      </c>
      <c r="L821" s="7" t="n">
        <f aca="false">D821-H821</f>
        <v>91463</v>
      </c>
      <c r="M821" s="7" t="n">
        <f aca="false">E821-I821</f>
        <v>88399</v>
      </c>
      <c r="N821" s="7" t="n">
        <f aca="false">IFERROR(L821/D821,0)</f>
        <v>0.446459341120651</v>
      </c>
      <c r="O821" s="7" t="n">
        <f aca="false">IFERROR(M821/E821,0)</f>
        <v>0.422339327689338</v>
      </c>
      <c r="P821" s="7" t="n">
        <f aca="false">01_Data!I821+01_Data!K821+01_Data!M821+01_Data!O821+01_Data!Q821+01_Data!S821+01_Data!U821</f>
        <v>58897</v>
      </c>
      <c r="Q821" s="7" t="n">
        <f aca="false">01_Data!J821+01_Data!L821+01_Data!N821+01_Data!P821+01_Data!R821+01_Data!T821+01_Data!V821</f>
        <v>61668</v>
      </c>
      <c r="R821" s="7" t="n">
        <f aca="false">P821-Q821</f>
        <v>-2771</v>
      </c>
      <c r="S821" s="7" t="n">
        <f aca="false">L821-P821</f>
        <v>32566</v>
      </c>
      <c r="T821" s="7" t="n">
        <f aca="false">M821-Q821</f>
        <v>26731</v>
      </c>
      <c r="U821" s="7" t="n">
        <f aca="false">T821-S821</f>
        <v>-5835</v>
      </c>
      <c r="V821" s="8" t="n">
        <f aca="false">IFERROR(U821/S821,0)</f>
        <v>-0.179174599275318</v>
      </c>
      <c r="W821" s="5" t="str">
        <f aca="false">IF(V821&lt;-0.1,"ADVERSE &gt;10%","")</f>
        <v>ADVERSE &gt;10%</v>
      </c>
    </row>
    <row r="822" customFormat="false" ht="15" hidden="false" customHeight="false" outlineLevel="0" collapsed="false">
      <c r="A822" s="5" t="str">
        <f aca="false">01_Data!A822</f>
        <v>Technology &amp; Telecom</v>
      </c>
      <c r="B822" s="5" t="str">
        <f aca="false">01_Data!C822</f>
        <v>2025-08</v>
      </c>
      <c r="C822" s="5" t="str">
        <f aca="false">01_Data!D822</f>
        <v>FY25</v>
      </c>
      <c r="D822" s="7" t="n">
        <f aca="false">01_Data!E822</f>
        <v>201311</v>
      </c>
      <c r="E822" s="7" t="n">
        <f aca="false">01_Data!F822</f>
        <v>213869</v>
      </c>
      <c r="F822" s="7" t="n">
        <f aca="false">E822-D822</f>
        <v>12558</v>
      </c>
      <c r="G822" s="8" t="n">
        <f aca="false">IFERROR(F822/D822,0)</f>
        <v>0.0623810919423181</v>
      </c>
      <c r="H822" s="7" t="n">
        <f aca="false">01_Data!G822</f>
        <v>110940</v>
      </c>
      <c r="I822" s="7" t="n">
        <f aca="false">01_Data!H822</f>
        <v>122356</v>
      </c>
      <c r="J822" s="7" t="n">
        <f aca="false">H822-I822</f>
        <v>-11416</v>
      </c>
      <c r="K822" s="8" t="n">
        <f aca="false">IFERROR(J822/H822,0)</f>
        <v>-0.102902469803497</v>
      </c>
      <c r="L822" s="7" t="n">
        <f aca="false">D822-H822</f>
        <v>90371</v>
      </c>
      <c r="M822" s="7" t="n">
        <f aca="false">E822-I822</f>
        <v>91513</v>
      </c>
      <c r="N822" s="7" t="n">
        <f aca="false">IFERROR(L822/D822,0)</f>
        <v>0.448912379353339</v>
      </c>
      <c r="O822" s="7" t="n">
        <f aca="false">IFERROR(M822/E822,0)</f>
        <v>0.427892775484058</v>
      </c>
      <c r="P822" s="7" t="n">
        <f aca="false">01_Data!I822+01_Data!K822+01_Data!M822+01_Data!O822+01_Data!Q822+01_Data!S822+01_Data!U822</f>
        <v>54293</v>
      </c>
      <c r="Q822" s="7" t="n">
        <f aca="false">01_Data!J822+01_Data!L822+01_Data!N822+01_Data!P822+01_Data!R822+01_Data!T822+01_Data!V822</f>
        <v>54218</v>
      </c>
      <c r="R822" s="7" t="n">
        <f aca="false">P822-Q822</f>
        <v>75</v>
      </c>
      <c r="S822" s="7" t="n">
        <f aca="false">L822-P822</f>
        <v>36078</v>
      </c>
      <c r="T822" s="7" t="n">
        <f aca="false">M822-Q822</f>
        <v>37295</v>
      </c>
      <c r="U822" s="7" t="n">
        <f aca="false">T822-S822</f>
        <v>1217</v>
      </c>
      <c r="V822" s="8" t="n">
        <f aca="false">IFERROR(U822/S822,0)</f>
        <v>0.0337324685403847</v>
      </c>
      <c r="W822" s="5" t="str">
        <f aca="false">IF(V822&lt;-0.1,"ADVERSE &gt;10%","")</f>
        <v/>
      </c>
    </row>
    <row r="823" customFormat="false" ht="15" hidden="false" customHeight="false" outlineLevel="0" collapsed="false">
      <c r="A823" s="5" t="str">
        <f aca="false">01_Data!A823</f>
        <v>Technology &amp; Telecom</v>
      </c>
      <c r="B823" s="5" t="str">
        <f aca="false">01_Data!C823</f>
        <v>2025-09</v>
      </c>
      <c r="C823" s="5" t="str">
        <f aca="false">01_Data!D823</f>
        <v>FY25</v>
      </c>
      <c r="D823" s="7" t="n">
        <f aca="false">01_Data!E823</f>
        <v>219287</v>
      </c>
      <c r="E823" s="7" t="n">
        <f aca="false">01_Data!F823</f>
        <v>229773</v>
      </c>
      <c r="F823" s="7" t="n">
        <f aca="false">E823-D823</f>
        <v>10486</v>
      </c>
      <c r="G823" s="8" t="n">
        <f aca="false">IFERROR(F823/D823,0)</f>
        <v>0.0478186121384305</v>
      </c>
      <c r="H823" s="7" t="n">
        <f aca="false">01_Data!G823</f>
        <v>127951</v>
      </c>
      <c r="I823" s="7" t="n">
        <f aca="false">01_Data!H823</f>
        <v>134248</v>
      </c>
      <c r="J823" s="7" t="n">
        <f aca="false">H823-I823</f>
        <v>-6297</v>
      </c>
      <c r="K823" s="8" t="n">
        <f aca="false">IFERROR(J823/H823,0)</f>
        <v>-0.0492141522926745</v>
      </c>
      <c r="L823" s="7" t="n">
        <f aca="false">D823-H823</f>
        <v>91336</v>
      </c>
      <c r="M823" s="7" t="n">
        <f aca="false">E823-I823</f>
        <v>95525</v>
      </c>
      <c r="N823" s="7" t="n">
        <f aca="false">IFERROR(L823/D823,0)</f>
        <v>0.416513518813245</v>
      </c>
      <c r="O823" s="7" t="n">
        <f aca="false">IFERROR(M823/E823,0)</f>
        <v>0.415736400708525</v>
      </c>
      <c r="P823" s="7" t="n">
        <f aca="false">01_Data!I823+01_Data!K823+01_Data!M823+01_Data!O823+01_Data!Q823+01_Data!S823+01_Data!U823</f>
        <v>52632</v>
      </c>
      <c r="Q823" s="7" t="n">
        <f aca="false">01_Data!J823+01_Data!L823+01_Data!N823+01_Data!P823+01_Data!R823+01_Data!T823+01_Data!V823</f>
        <v>53550</v>
      </c>
      <c r="R823" s="7" t="n">
        <f aca="false">P823-Q823</f>
        <v>-918</v>
      </c>
      <c r="S823" s="7" t="n">
        <f aca="false">L823-P823</f>
        <v>38704</v>
      </c>
      <c r="T823" s="7" t="n">
        <f aca="false">M823-Q823</f>
        <v>41975</v>
      </c>
      <c r="U823" s="7" t="n">
        <f aca="false">T823-S823</f>
        <v>3271</v>
      </c>
      <c r="V823" s="8" t="n">
        <f aca="false">IFERROR(U823/S823,0)</f>
        <v>0.0845132286068623</v>
      </c>
      <c r="W823" s="5" t="str">
        <f aca="false">IF(V823&lt;-0.1,"ADVERSE &gt;10%","")</f>
        <v/>
      </c>
    </row>
    <row r="824" customFormat="false" ht="15" hidden="false" customHeight="false" outlineLevel="0" collapsed="false">
      <c r="A824" s="5" t="str">
        <f aca="false">01_Data!A824</f>
        <v>Technology &amp; Telecom</v>
      </c>
      <c r="B824" s="5" t="str">
        <f aca="false">01_Data!C824</f>
        <v>2025-10</v>
      </c>
      <c r="C824" s="5" t="str">
        <f aca="false">01_Data!D824</f>
        <v>FY25</v>
      </c>
      <c r="D824" s="7" t="n">
        <f aca="false">01_Data!E824</f>
        <v>215484</v>
      </c>
      <c r="E824" s="7" t="n">
        <f aca="false">01_Data!F824</f>
        <v>218181</v>
      </c>
      <c r="F824" s="7" t="n">
        <f aca="false">E824-D824</f>
        <v>2697</v>
      </c>
      <c r="G824" s="8" t="n">
        <f aca="false">IFERROR(F824/D824,0)</f>
        <v>0.0125160104694548</v>
      </c>
      <c r="H824" s="7" t="n">
        <f aca="false">01_Data!G824</f>
        <v>122533</v>
      </c>
      <c r="I824" s="7" t="n">
        <f aca="false">01_Data!H824</f>
        <v>128845</v>
      </c>
      <c r="J824" s="7" t="n">
        <f aca="false">H824-I824</f>
        <v>-6312</v>
      </c>
      <c r="K824" s="8" t="n">
        <f aca="false">IFERROR(J824/H824,0)</f>
        <v>-0.0515126537340961</v>
      </c>
      <c r="L824" s="7" t="n">
        <f aca="false">D824-H824</f>
        <v>92951</v>
      </c>
      <c r="M824" s="7" t="n">
        <f aca="false">E824-I824</f>
        <v>89336</v>
      </c>
      <c r="N824" s="7" t="n">
        <f aca="false">IFERROR(L824/D824,0)</f>
        <v>0.431359172838819</v>
      </c>
      <c r="O824" s="7" t="n">
        <f aca="false">IFERROR(M824/E824,0)</f>
        <v>0.409458202134925</v>
      </c>
      <c r="P824" s="7" t="n">
        <f aca="false">01_Data!I824+01_Data!K824+01_Data!M824+01_Data!O824+01_Data!Q824+01_Data!S824+01_Data!U824</f>
        <v>56533</v>
      </c>
      <c r="Q824" s="7" t="n">
        <f aca="false">01_Data!J824+01_Data!L824+01_Data!N824+01_Data!P824+01_Data!R824+01_Data!T824+01_Data!V824</f>
        <v>58795</v>
      </c>
      <c r="R824" s="7" t="n">
        <f aca="false">P824-Q824</f>
        <v>-2262</v>
      </c>
      <c r="S824" s="7" t="n">
        <f aca="false">L824-P824</f>
        <v>36418</v>
      </c>
      <c r="T824" s="7" t="n">
        <f aca="false">M824-Q824</f>
        <v>30541</v>
      </c>
      <c r="U824" s="7" t="n">
        <f aca="false">T824-S824</f>
        <v>-5877</v>
      </c>
      <c r="V824" s="8" t="n">
        <f aca="false">IFERROR(U824/S824,0)</f>
        <v>-0.161376242517436</v>
      </c>
      <c r="W824" s="5" t="str">
        <f aca="false">IF(V824&lt;-0.1,"ADVERSE &gt;10%","")</f>
        <v>ADVERSE &gt;10%</v>
      </c>
    </row>
    <row r="825" customFormat="false" ht="15" hidden="false" customHeight="false" outlineLevel="0" collapsed="false">
      <c r="A825" s="5" t="str">
        <f aca="false">01_Data!A825</f>
        <v>Technology &amp; Telecom</v>
      </c>
      <c r="B825" s="5" t="str">
        <f aca="false">01_Data!C825</f>
        <v>2025-11</v>
      </c>
      <c r="C825" s="5" t="str">
        <f aca="false">01_Data!D825</f>
        <v>FY25</v>
      </c>
      <c r="D825" s="7" t="n">
        <f aca="false">01_Data!E825</f>
        <v>230695</v>
      </c>
      <c r="E825" s="7" t="n">
        <f aca="false">01_Data!F825</f>
        <v>221211</v>
      </c>
      <c r="F825" s="7" t="n">
        <f aca="false">E825-D825</f>
        <v>-9484</v>
      </c>
      <c r="G825" s="8" t="n">
        <f aca="false">IFERROR(F825/D825,0)</f>
        <v>-0.0411105572292421</v>
      </c>
      <c r="H825" s="7" t="n">
        <f aca="false">01_Data!G825</f>
        <v>128644</v>
      </c>
      <c r="I825" s="7" t="n">
        <f aca="false">01_Data!H825</f>
        <v>124679</v>
      </c>
      <c r="J825" s="7" t="n">
        <f aca="false">H825-I825</f>
        <v>3965</v>
      </c>
      <c r="K825" s="8" t="n">
        <f aca="false">IFERROR(J825/H825,0)</f>
        <v>0.0308214918690339</v>
      </c>
      <c r="L825" s="7" t="n">
        <f aca="false">D825-H825</f>
        <v>102051</v>
      </c>
      <c r="M825" s="7" t="n">
        <f aca="false">E825-I825</f>
        <v>96532</v>
      </c>
      <c r="N825" s="7" t="n">
        <f aca="false">IFERROR(L825/D825,0)</f>
        <v>0.442363293526084</v>
      </c>
      <c r="O825" s="7" t="n">
        <f aca="false">IFERROR(M825/E825,0)</f>
        <v>0.436379746034329</v>
      </c>
      <c r="P825" s="7" t="n">
        <f aca="false">01_Data!I825+01_Data!K825+01_Data!M825+01_Data!O825+01_Data!Q825+01_Data!S825+01_Data!U825</f>
        <v>60894</v>
      </c>
      <c r="Q825" s="7" t="n">
        <f aca="false">01_Data!J825+01_Data!L825+01_Data!N825+01_Data!P825+01_Data!R825+01_Data!T825+01_Data!V825</f>
        <v>63184</v>
      </c>
      <c r="R825" s="7" t="n">
        <f aca="false">P825-Q825</f>
        <v>-2290</v>
      </c>
      <c r="S825" s="7" t="n">
        <f aca="false">L825-P825</f>
        <v>41157</v>
      </c>
      <c r="T825" s="7" t="n">
        <f aca="false">M825-Q825</f>
        <v>33348</v>
      </c>
      <c r="U825" s="7" t="n">
        <f aca="false">T825-S825</f>
        <v>-7809</v>
      </c>
      <c r="V825" s="8" t="n">
        <f aca="false">IFERROR(U825/S825,0)</f>
        <v>-0.189736861287266</v>
      </c>
      <c r="W825" s="5" t="str">
        <f aca="false">IF(V825&lt;-0.1,"ADVERSE &gt;10%","")</f>
        <v>ADVERSE &gt;10%</v>
      </c>
    </row>
    <row r="826" customFormat="false" ht="15" hidden="false" customHeight="false" outlineLevel="0" collapsed="false">
      <c r="A826" s="5" t="str">
        <f aca="false">01_Data!A826</f>
        <v>Technology &amp; Telecom</v>
      </c>
      <c r="B826" s="5" t="str">
        <f aca="false">01_Data!C826</f>
        <v>2025-12</v>
      </c>
      <c r="C826" s="5" t="str">
        <f aca="false">01_Data!D826</f>
        <v>FY25</v>
      </c>
      <c r="D826" s="7" t="n">
        <f aca="false">01_Data!E826</f>
        <v>222168</v>
      </c>
      <c r="E826" s="7" t="n">
        <f aca="false">01_Data!F826</f>
        <v>235808</v>
      </c>
      <c r="F826" s="7" t="n">
        <f aca="false">E826-D826</f>
        <v>13640</v>
      </c>
      <c r="G826" s="8" t="n">
        <f aca="false">IFERROR(F826/D826,0)</f>
        <v>0.0613949803752116</v>
      </c>
      <c r="H826" s="7" t="n">
        <f aca="false">01_Data!G826</f>
        <v>120533</v>
      </c>
      <c r="I826" s="7" t="n">
        <f aca="false">01_Data!H826</f>
        <v>125491</v>
      </c>
      <c r="J826" s="7" t="n">
        <f aca="false">H826-I826</f>
        <v>-4958</v>
      </c>
      <c r="K826" s="8" t="n">
        <f aca="false">IFERROR(J826/H826,0)</f>
        <v>-0.0411339633129516</v>
      </c>
      <c r="L826" s="7" t="n">
        <f aca="false">D826-H826</f>
        <v>101635</v>
      </c>
      <c r="M826" s="7" t="n">
        <f aca="false">E826-I826</f>
        <v>110317</v>
      </c>
      <c r="N826" s="7" t="n">
        <f aca="false">IFERROR(L826/D826,0)</f>
        <v>0.457469122465882</v>
      </c>
      <c r="O826" s="7" t="n">
        <f aca="false">IFERROR(M826/E826,0)</f>
        <v>0.467825519066359</v>
      </c>
      <c r="P826" s="7" t="n">
        <f aca="false">01_Data!I826+01_Data!K826+01_Data!M826+01_Data!O826+01_Data!Q826+01_Data!S826+01_Data!U826</f>
        <v>61277</v>
      </c>
      <c r="Q826" s="7" t="n">
        <f aca="false">01_Data!J826+01_Data!L826+01_Data!N826+01_Data!P826+01_Data!R826+01_Data!T826+01_Data!V826</f>
        <v>61530</v>
      </c>
      <c r="R826" s="7" t="n">
        <f aca="false">P826-Q826</f>
        <v>-253</v>
      </c>
      <c r="S826" s="7" t="n">
        <f aca="false">L826-P826</f>
        <v>40358</v>
      </c>
      <c r="T826" s="7" t="n">
        <f aca="false">M826-Q826</f>
        <v>48787</v>
      </c>
      <c r="U826" s="7" t="n">
        <f aca="false">T826-S826</f>
        <v>8429</v>
      </c>
      <c r="V826" s="8" t="n">
        <f aca="false">IFERROR(U826/S826,0)</f>
        <v>0.208855741117003</v>
      </c>
      <c r="W826" s="5" t="str">
        <f aca="false">IF(V826&lt;-0.1,"ADVERSE &gt;10%","")</f>
        <v/>
      </c>
    </row>
    <row r="827" customFormat="false" ht="15" hidden="false" customHeight="false" outlineLevel="0" collapsed="false">
      <c r="A827" s="5" t="str">
        <f aca="false">01_Data!A827</f>
        <v>Technology &amp; Telecom</v>
      </c>
      <c r="B827" s="5" t="str">
        <f aca="false">01_Data!C827</f>
        <v>2026-01</v>
      </c>
      <c r="C827" s="5" t="str">
        <f aca="false">01_Data!D827</f>
        <v>FY25</v>
      </c>
      <c r="D827" s="7" t="n">
        <f aca="false">01_Data!E827</f>
        <v>234523</v>
      </c>
      <c r="E827" s="7" t="n">
        <f aca="false">01_Data!F827</f>
        <v>223846</v>
      </c>
      <c r="F827" s="7" t="n">
        <f aca="false">E827-D827</f>
        <v>-10677</v>
      </c>
      <c r="G827" s="8" t="n">
        <f aca="false">IFERROR(F827/D827,0)</f>
        <v>-0.0455264515633861</v>
      </c>
      <c r="H827" s="7" t="n">
        <f aca="false">01_Data!G827</f>
        <v>131649</v>
      </c>
      <c r="I827" s="7" t="n">
        <f aca="false">01_Data!H827</f>
        <v>130327</v>
      </c>
      <c r="J827" s="7" t="n">
        <f aca="false">H827-I827</f>
        <v>1322</v>
      </c>
      <c r="K827" s="8" t="n">
        <f aca="false">IFERROR(J827/H827,0)</f>
        <v>0.010041853717081</v>
      </c>
      <c r="L827" s="7" t="n">
        <f aca="false">D827-H827</f>
        <v>102874</v>
      </c>
      <c r="M827" s="7" t="n">
        <f aca="false">E827-I827</f>
        <v>93519</v>
      </c>
      <c r="N827" s="7" t="n">
        <f aca="false">IFERROR(L827/D827,0)</f>
        <v>0.438652072504616</v>
      </c>
      <c r="O827" s="7" t="n">
        <f aca="false">IFERROR(M827/E827,0)</f>
        <v>0.417782761362723</v>
      </c>
      <c r="P827" s="7" t="n">
        <f aca="false">01_Data!I827+01_Data!K827+01_Data!M827+01_Data!O827+01_Data!Q827+01_Data!S827+01_Data!U827</f>
        <v>65429</v>
      </c>
      <c r="Q827" s="7" t="n">
        <f aca="false">01_Data!J827+01_Data!L827+01_Data!N827+01_Data!P827+01_Data!R827+01_Data!T827+01_Data!V827</f>
        <v>65506</v>
      </c>
      <c r="R827" s="7" t="n">
        <f aca="false">P827-Q827</f>
        <v>-77</v>
      </c>
      <c r="S827" s="7" t="n">
        <f aca="false">L827-P827</f>
        <v>37445</v>
      </c>
      <c r="T827" s="7" t="n">
        <f aca="false">M827-Q827</f>
        <v>28013</v>
      </c>
      <c r="U827" s="7" t="n">
        <f aca="false">T827-S827</f>
        <v>-9432</v>
      </c>
      <c r="V827" s="8" t="n">
        <f aca="false">IFERROR(U827/S827,0)</f>
        <v>-0.251889437842169</v>
      </c>
      <c r="W827" s="5" t="str">
        <f aca="false">IF(V827&lt;-0.1,"ADVERSE &gt;10%","")</f>
        <v>ADVERSE &gt;10%</v>
      </c>
    </row>
    <row r="828" customFormat="false" ht="15" hidden="false" customHeight="false" outlineLevel="0" collapsed="false">
      <c r="A828" s="5" t="str">
        <f aca="false">01_Data!A828</f>
        <v>Technology &amp; Telecom</v>
      </c>
      <c r="B828" s="5" t="str">
        <f aca="false">01_Data!C828</f>
        <v>2026-02</v>
      </c>
      <c r="C828" s="5" t="str">
        <f aca="false">01_Data!D828</f>
        <v>FY25</v>
      </c>
      <c r="D828" s="7" t="n">
        <f aca="false">01_Data!E828</f>
        <v>224891</v>
      </c>
      <c r="E828" s="7" t="n">
        <f aca="false">01_Data!F828</f>
        <v>223429</v>
      </c>
      <c r="F828" s="7" t="n">
        <f aca="false">E828-D828</f>
        <v>-1462</v>
      </c>
      <c r="G828" s="8" t="n">
        <f aca="false">IFERROR(F828/D828,0)</f>
        <v>-0.00650092711580277</v>
      </c>
      <c r="H828" s="7" t="n">
        <f aca="false">01_Data!G828</f>
        <v>132152</v>
      </c>
      <c r="I828" s="7" t="n">
        <f aca="false">01_Data!H828</f>
        <v>137830</v>
      </c>
      <c r="J828" s="7" t="n">
        <f aca="false">H828-I828</f>
        <v>-5678</v>
      </c>
      <c r="K828" s="8" t="n">
        <f aca="false">IFERROR(J828/H828,0)</f>
        <v>-0.042965675888371</v>
      </c>
      <c r="L828" s="7" t="n">
        <f aca="false">D828-H828</f>
        <v>92739</v>
      </c>
      <c r="M828" s="7" t="n">
        <f aca="false">E828-I828</f>
        <v>85599</v>
      </c>
      <c r="N828" s="7" t="n">
        <f aca="false">IFERROR(L828/D828,0)</f>
        <v>0.412373105193183</v>
      </c>
      <c r="O828" s="7" t="n">
        <f aca="false">IFERROR(M828/E828,0)</f>
        <v>0.383114994024948</v>
      </c>
      <c r="P828" s="7" t="n">
        <f aca="false">01_Data!I828+01_Data!K828+01_Data!M828+01_Data!O828+01_Data!Q828+01_Data!S828+01_Data!U828</f>
        <v>60508</v>
      </c>
      <c r="Q828" s="7" t="n">
        <f aca="false">01_Data!J828+01_Data!L828+01_Data!N828+01_Data!P828+01_Data!R828+01_Data!T828+01_Data!V828</f>
        <v>61611</v>
      </c>
      <c r="R828" s="7" t="n">
        <f aca="false">P828-Q828</f>
        <v>-1103</v>
      </c>
      <c r="S828" s="7" t="n">
        <f aca="false">L828-P828</f>
        <v>32231</v>
      </c>
      <c r="T828" s="7" t="n">
        <f aca="false">M828-Q828</f>
        <v>23988</v>
      </c>
      <c r="U828" s="7" t="n">
        <f aca="false">T828-S828</f>
        <v>-8243</v>
      </c>
      <c r="V828" s="8" t="n">
        <f aca="false">IFERROR(U828/S828,0)</f>
        <v>-0.255747572213087</v>
      </c>
      <c r="W828" s="5" t="str">
        <f aca="false">IF(V828&lt;-0.1,"ADVERSE &gt;10%","")</f>
        <v>ADVERSE &gt;10%</v>
      </c>
    </row>
    <row r="829" customFormat="false" ht="15" hidden="false" customHeight="false" outlineLevel="0" collapsed="false">
      <c r="A829" s="5" t="str">
        <f aca="false">01_Data!A829</f>
        <v>Technology &amp; Telecom</v>
      </c>
      <c r="B829" s="5" t="str">
        <f aca="false">01_Data!C829</f>
        <v>2026-03</v>
      </c>
      <c r="C829" s="5" t="str">
        <f aca="false">01_Data!D829</f>
        <v>FY25</v>
      </c>
      <c r="D829" s="7" t="n">
        <f aca="false">01_Data!E829</f>
        <v>223606</v>
      </c>
      <c r="E829" s="7" t="n">
        <f aca="false">01_Data!F829</f>
        <v>237332</v>
      </c>
      <c r="F829" s="7" t="n">
        <f aca="false">E829-D829</f>
        <v>13726</v>
      </c>
      <c r="G829" s="8" t="n">
        <f aca="false">IFERROR(F829/D829,0)</f>
        <v>0.0613847571174298</v>
      </c>
      <c r="H829" s="7" t="n">
        <f aca="false">01_Data!G829</f>
        <v>131779</v>
      </c>
      <c r="I829" s="7" t="n">
        <f aca="false">01_Data!H829</f>
        <v>141143</v>
      </c>
      <c r="J829" s="7" t="n">
        <f aca="false">H829-I829</f>
        <v>-9364</v>
      </c>
      <c r="K829" s="8" t="n">
        <f aca="false">IFERROR(J829/H829,0)</f>
        <v>-0.0710583628650999</v>
      </c>
      <c r="L829" s="7" t="n">
        <f aca="false">D829-H829</f>
        <v>91827</v>
      </c>
      <c r="M829" s="7" t="n">
        <f aca="false">E829-I829</f>
        <v>96189</v>
      </c>
      <c r="N829" s="7" t="n">
        <f aca="false">IFERROR(L829/D829,0)</f>
        <v>0.41066429344472</v>
      </c>
      <c r="O829" s="7" t="n">
        <f aca="false">IFERROR(M829/E829,0)</f>
        <v>0.405293007264086</v>
      </c>
      <c r="P829" s="7" t="n">
        <f aca="false">01_Data!I829+01_Data!K829+01_Data!M829+01_Data!O829+01_Data!Q829+01_Data!S829+01_Data!U829</f>
        <v>61742</v>
      </c>
      <c r="Q829" s="7" t="n">
        <f aca="false">01_Data!J829+01_Data!L829+01_Data!N829+01_Data!P829+01_Data!R829+01_Data!T829+01_Data!V829</f>
        <v>64010</v>
      </c>
      <c r="R829" s="7" t="n">
        <f aca="false">P829-Q829</f>
        <v>-2268</v>
      </c>
      <c r="S829" s="7" t="n">
        <f aca="false">L829-P829</f>
        <v>30085</v>
      </c>
      <c r="T829" s="7" t="n">
        <f aca="false">M829-Q829</f>
        <v>32179</v>
      </c>
      <c r="U829" s="7" t="n">
        <f aca="false">T829-S829</f>
        <v>2094</v>
      </c>
      <c r="V829" s="8" t="n">
        <f aca="false">IFERROR(U829/S829,0)</f>
        <v>0.0696027920890809</v>
      </c>
      <c r="W829" s="5" t="str">
        <f aca="false">IF(V829&lt;-0.1,"ADVERSE &gt;10%","")</f>
        <v/>
      </c>
    </row>
    <row r="830" customFormat="false" ht="15" hidden="false" customHeight="false" outlineLevel="0" collapsed="false">
      <c r="A830" s="5" t="str">
        <f aca="false">01_Data!A830</f>
        <v>Technology &amp; Telecom</v>
      </c>
      <c r="B830" s="5" t="str">
        <f aca="false">01_Data!C830</f>
        <v>2023-04</v>
      </c>
      <c r="C830" s="5" t="str">
        <f aca="false">01_Data!D830</f>
        <v>FY23</v>
      </c>
      <c r="D830" s="7" t="n">
        <f aca="false">01_Data!E830</f>
        <v>122944</v>
      </c>
      <c r="E830" s="7" t="n">
        <f aca="false">01_Data!F830</f>
        <v>117723</v>
      </c>
      <c r="F830" s="7" t="n">
        <f aca="false">E830-D830</f>
        <v>-5221</v>
      </c>
      <c r="G830" s="8" t="n">
        <f aca="false">IFERROR(F830/D830,0)</f>
        <v>-0.0424664888079125</v>
      </c>
      <c r="H830" s="7" t="n">
        <f aca="false">01_Data!G830</f>
        <v>71235</v>
      </c>
      <c r="I830" s="7" t="n">
        <f aca="false">01_Data!H830</f>
        <v>70742</v>
      </c>
      <c r="J830" s="7" t="n">
        <f aca="false">H830-I830</f>
        <v>493</v>
      </c>
      <c r="K830" s="8" t="n">
        <f aca="false">IFERROR(J830/H830,0)</f>
        <v>0.00692075524671861</v>
      </c>
      <c r="L830" s="7" t="n">
        <f aca="false">D830-H830</f>
        <v>51709</v>
      </c>
      <c r="M830" s="7" t="n">
        <f aca="false">E830-I830</f>
        <v>46981</v>
      </c>
      <c r="N830" s="7" t="n">
        <f aca="false">IFERROR(L830/D830,0)</f>
        <v>0.420589862051015</v>
      </c>
      <c r="O830" s="7" t="n">
        <f aca="false">IFERROR(M830/E830,0)</f>
        <v>0.399080893283386</v>
      </c>
      <c r="P830" s="7" t="n">
        <f aca="false">01_Data!I830+01_Data!K830+01_Data!M830+01_Data!O830+01_Data!Q830+01_Data!S830+01_Data!U830</f>
        <v>33317</v>
      </c>
      <c r="Q830" s="7" t="n">
        <f aca="false">01_Data!J830+01_Data!L830+01_Data!N830+01_Data!P830+01_Data!R830+01_Data!T830+01_Data!V830</f>
        <v>35163</v>
      </c>
      <c r="R830" s="7" t="n">
        <f aca="false">P830-Q830</f>
        <v>-1846</v>
      </c>
      <c r="S830" s="7" t="n">
        <f aca="false">L830-P830</f>
        <v>18392</v>
      </c>
      <c r="T830" s="7" t="n">
        <f aca="false">M830-Q830</f>
        <v>11818</v>
      </c>
      <c r="U830" s="7" t="n">
        <f aca="false">T830-S830</f>
        <v>-6574</v>
      </c>
      <c r="V830" s="8" t="n">
        <f aca="false">IFERROR(U830/S830,0)</f>
        <v>-0.357438016528926</v>
      </c>
      <c r="W830" s="5" t="str">
        <f aca="false">IF(V830&lt;-0.1,"ADVERSE &gt;10%","")</f>
        <v>ADVERSE &gt;10%</v>
      </c>
    </row>
    <row r="831" customFormat="false" ht="15" hidden="false" customHeight="false" outlineLevel="0" collapsed="false">
      <c r="A831" s="5" t="str">
        <f aca="false">01_Data!A831</f>
        <v>Technology &amp; Telecom</v>
      </c>
      <c r="B831" s="5" t="str">
        <f aca="false">01_Data!C831</f>
        <v>2023-05</v>
      </c>
      <c r="C831" s="5" t="str">
        <f aca="false">01_Data!D831</f>
        <v>FY23</v>
      </c>
      <c r="D831" s="7" t="n">
        <f aca="false">01_Data!E831</f>
        <v>115967</v>
      </c>
      <c r="E831" s="7" t="n">
        <f aca="false">01_Data!F831</f>
        <v>118900</v>
      </c>
      <c r="F831" s="7" t="n">
        <f aca="false">E831-D831</f>
        <v>2933</v>
      </c>
      <c r="G831" s="8" t="n">
        <f aca="false">IFERROR(F831/D831,0)</f>
        <v>0.0252916778048928</v>
      </c>
      <c r="H831" s="7" t="n">
        <f aca="false">01_Data!G831</f>
        <v>67996</v>
      </c>
      <c r="I831" s="7" t="n">
        <f aca="false">01_Data!H831</f>
        <v>72613</v>
      </c>
      <c r="J831" s="7" t="n">
        <f aca="false">H831-I831</f>
        <v>-4617</v>
      </c>
      <c r="K831" s="8" t="n">
        <f aca="false">IFERROR(J831/H831,0)</f>
        <v>-0.0679010530031178</v>
      </c>
      <c r="L831" s="7" t="n">
        <f aca="false">D831-H831</f>
        <v>47971</v>
      </c>
      <c r="M831" s="7" t="n">
        <f aca="false">E831-I831</f>
        <v>46287</v>
      </c>
      <c r="N831" s="7" t="n">
        <f aca="false">IFERROR(L831/D831,0)</f>
        <v>0.413660782808903</v>
      </c>
      <c r="O831" s="7" t="n">
        <f aca="false">IFERROR(M831/E831,0)</f>
        <v>0.389293523969722</v>
      </c>
      <c r="P831" s="7" t="n">
        <f aca="false">01_Data!I831+01_Data!K831+01_Data!M831+01_Data!O831+01_Data!Q831+01_Data!S831+01_Data!U831</f>
        <v>32547</v>
      </c>
      <c r="Q831" s="7" t="n">
        <f aca="false">01_Data!J831+01_Data!L831+01_Data!N831+01_Data!P831+01_Data!R831+01_Data!T831+01_Data!V831</f>
        <v>34264</v>
      </c>
      <c r="R831" s="7" t="n">
        <f aca="false">P831-Q831</f>
        <v>-1717</v>
      </c>
      <c r="S831" s="7" t="n">
        <f aca="false">L831-P831</f>
        <v>15424</v>
      </c>
      <c r="T831" s="7" t="n">
        <f aca="false">M831-Q831</f>
        <v>12023</v>
      </c>
      <c r="U831" s="7" t="n">
        <f aca="false">T831-S831</f>
        <v>-3401</v>
      </c>
      <c r="V831" s="8" t="n">
        <f aca="false">IFERROR(U831/S831,0)</f>
        <v>-0.220500518672199</v>
      </c>
      <c r="W831" s="5" t="str">
        <f aca="false">IF(V831&lt;-0.1,"ADVERSE &gt;10%","")</f>
        <v>ADVERSE &gt;10%</v>
      </c>
    </row>
    <row r="832" customFormat="false" ht="15" hidden="false" customHeight="false" outlineLevel="0" collapsed="false">
      <c r="A832" s="5" t="str">
        <f aca="false">01_Data!A832</f>
        <v>Technology &amp; Telecom</v>
      </c>
      <c r="B832" s="5" t="str">
        <f aca="false">01_Data!C832</f>
        <v>2023-06</v>
      </c>
      <c r="C832" s="5" t="str">
        <f aca="false">01_Data!D832</f>
        <v>FY23</v>
      </c>
      <c r="D832" s="7" t="n">
        <f aca="false">01_Data!E832</f>
        <v>119368</v>
      </c>
      <c r="E832" s="7" t="n">
        <f aca="false">01_Data!F832</f>
        <v>117643</v>
      </c>
      <c r="F832" s="7" t="n">
        <f aca="false">E832-D832</f>
        <v>-1725</v>
      </c>
      <c r="G832" s="8" t="n">
        <f aca="false">IFERROR(F832/D832,0)</f>
        <v>-0.0144511091749883</v>
      </c>
      <c r="H832" s="7" t="n">
        <f aca="false">01_Data!G832</f>
        <v>64623</v>
      </c>
      <c r="I832" s="7" t="n">
        <f aca="false">01_Data!H832</f>
        <v>64618</v>
      </c>
      <c r="J832" s="7" t="n">
        <f aca="false">H832-I832</f>
        <v>5</v>
      </c>
      <c r="K832" s="8" t="n">
        <f aca="false">IFERROR(J832/H832,0)</f>
        <v>7.73718335577117E-005</v>
      </c>
      <c r="L832" s="7" t="n">
        <f aca="false">D832-H832</f>
        <v>54745</v>
      </c>
      <c r="M832" s="7" t="n">
        <f aca="false">E832-I832</f>
        <v>53025</v>
      </c>
      <c r="N832" s="7" t="n">
        <f aca="false">IFERROR(L832/D832,0)</f>
        <v>0.458623751759265</v>
      </c>
      <c r="O832" s="7" t="n">
        <f aca="false">IFERROR(M832/E832,0)</f>
        <v>0.450728050117729</v>
      </c>
      <c r="P832" s="7" t="n">
        <f aca="false">01_Data!I832+01_Data!K832+01_Data!M832+01_Data!O832+01_Data!Q832+01_Data!S832+01_Data!U832</f>
        <v>30154</v>
      </c>
      <c r="Q832" s="7" t="n">
        <f aca="false">01_Data!J832+01_Data!L832+01_Data!N832+01_Data!P832+01_Data!R832+01_Data!T832+01_Data!V832</f>
        <v>31150</v>
      </c>
      <c r="R832" s="7" t="n">
        <f aca="false">P832-Q832</f>
        <v>-996</v>
      </c>
      <c r="S832" s="7" t="n">
        <f aca="false">L832-P832</f>
        <v>24591</v>
      </c>
      <c r="T832" s="7" t="n">
        <f aca="false">M832-Q832</f>
        <v>21875</v>
      </c>
      <c r="U832" s="7" t="n">
        <f aca="false">T832-S832</f>
        <v>-2716</v>
      </c>
      <c r="V832" s="8" t="n">
        <f aca="false">IFERROR(U832/S832,0)</f>
        <v>-0.110446911471677</v>
      </c>
      <c r="W832" s="5" t="str">
        <f aca="false">IF(V832&lt;-0.1,"ADVERSE &gt;10%","")</f>
        <v>ADVERSE &gt;10%</v>
      </c>
    </row>
    <row r="833" customFormat="false" ht="15" hidden="false" customHeight="false" outlineLevel="0" collapsed="false">
      <c r="A833" s="5" t="str">
        <f aca="false">01_Data!A833</f>
        <v>Technology &amp; Telecom</v>
      </c>
      <c r="B833" s="5" t="str">
        <f aca="false">01_Data!C833</f>
        <v>2023-07</v>
      </c>
      <c r="C833" s="5" t="str">
        <f aca="false">01_Data!D833</f>
        <v>FY23</v>
      </c>
      <c r="D833" s="7" t="n">
        <f aca="false">01_Data!E833</f>
        <v>122614</v>
      </c>
      <c r="E833" s="7" t="n">
        <f aca="false">01_Data!F833</f>
        <v>120443</v>
      </c>
      <c r="F833" s="7" t="n">
        <f aca="false">E833-D833</f>
        <v>-2171</v>
      </c>
      <c r="G833" s="8" t="n">
        <f aca="false">IFERROR(F833/D833,0)</f>
        <v>-0.0177059715856264</v>
      </c>
      <c r="H833" s="7" t="n">
        <f aca="false">01_Data!G833</f>
        <v>72822</v>
      </c>
      <c r="I833" s="7" t="n">
        <f aca="false">01_Data!H833</f>
        <v>72256</v>
      </c>
      <c r="J833" s="7" t="n">
        <f aca="false">H833-I833</f>
        <v>566</v>
      </c>
      <c r="K833" s="8" t="n">
        <f aca="false">IFERROR(J833/H833,0)</f>
        <v>0.00777237647963528</v>
      </c>
      <c r="L833" s="7" t="n">
        <f aca="false">D833-H833</f>
        <v>49792</v>
      </c>
      <c r="M833" s="7" t="n">
        <f aca="false">E833-I833</f>
        <v>48187</v>
      </c>
      <c r="N833" s="7" t="n">
        <f aca="false">IFERROR(L833/D833,0)</f>
        <v>0.406087396219029</v>
      </c>
      <c r="O833" s="7" t="n">
        <f aca="false">IFERROR(M833/E833,0)</f>
        <v>0.400081366289448</v>
      </c>
      <c r="P833" s="7" t="n">
        <f aca="false">01_Data!I833+01_Data!K833+01_Data!M833+01_Data!O833+01_Data!Q833+01_Data!S833+01_Data!U833</f>
        <v>32429</v>
      </c>
      <c r="Q833" s="7" t="n">
        <f aca="false">01_Data!J833+01_Data!L833+01_Data!N833+01_Data!P833+01_Data!R833+01_Data!T833+01_Data!V833</f>
        <v>33241</v>
      </c>
      <c r="R833" s="7" t="n">
        <f aca="false">P833-Q833</f>
        <v>-812</v>
      </c>
      <c r="S833" s="7" t="n">
        <f aca="false">L833-P833</f>
        <v>17363</v>
      </c>
      <c r="T833" s="7" t="n">
        <f aca="false">M833-Q833</f>
        <v>14946</v>
      </c>
      <c r="U833" s="7" t="n">
        <f aca="false">T833-S833</f>
        <v>-2417</v>
      </c>
      <c r="V833" s="8" t="n">
        <f aca="false">IFERROR(U833/S833,0)</f>
        <v>-0.13920405459886</v>
      </c>
      <c r="W833" s="5" t="str">
        <f aca="false">IF(V833&lt;-0.1,"ADVERSE &gt;10%","")</f>
        <v>ADVERSE &gt;10%</v>
      </c>
    </row>
    <row r="834" customFormat="false" ht="15" hidden="false" customHeight="false" outlineLevel="0" collapsed="false">
      <c r="A834" s="5" t="str">
        <f aca="false">01_Data!A834</f>
        <v>Technology &amp; Telecom</v>
      </c>
      <c r="B834" s="5" t="str">
        <f aca="false">01_Data!C834</f>
        <v>2023-08</v>
      </c>
      <c r="C834" s="5" t="str">
        <f aca="false">01_Data!D834</f>
        <v>FY23</v>
      </c>
      <c r="D834" s="7" t="n">
        <f aca="false">01_Data!E834</f>
        <v>126994</v>
      </c>
      <c r="E834" s="7" t="n">
        <f aca="false">01_Data!F834</f>
        <v>122808</v>
      </c>
      <c r="F834" s="7" t="n">
        <f aca="false">E834-D834</f>
        <v>-4186</v>
      </c>
      <c r="G834" s="8" t="n">
        <f aca="false">IFERROR(F834/D834,0)</f>
        <v>-0.032962187189946</v>
      </c>
      <c r="H834" s="7" t="n">
        <f aca="false">01_Data!G834</f>
        <v>71672</v>
      </c>
      <c r="I834" s="7" t="n">
        <f aca="false">01_Data!H834</f>
        <v>71539</v>
      </c>
      <c r="J834" s="7" t="n">
        <f aca="false">H834-I834</f>
        <v>133</v>
      </c>
      <c r="K834" s="8" t="n">
        <f aca="false">IFERROR(J834/H834,0)</f>
        <v>0.00185567585668043</v>
      </c>
      <c r="L834" s="7" t="n">
        <f aca="false">D834-H834</f>
        <v>55322</v>
      </c>
      <c r="M834" s="7" t="n">
        <f aca="false">E834-I834</f>
        <v>51269</v>
      </c>
      <c r="N834" s="7" t="n">
        <f aca="false">IFERROR(L834/D834,0)</f>
        <v>0.435626880010079</v>
      </c>
      <c r="O834" s="7" t="n">
        <f aca="false">IFERROR(M834/E834,0)</f>
        <v>0.417472803074718</v>
      </c>
      <c r="P834" s="7" t="n">
        <f aca="false">01_Data!I834+01_Data!K834+01_Data!M834+01_Data!O834+01_Data!Q834+01_Data!S834+01_Data!U834</f>
        <v>34199</v>
      </c>
      <c r="Q834" s="7" t="n">
        <f aca="false">01_Data!J834+01_Data!L834+01_Data!N834+01_Data!P834+01_Data!R834+01_Data!T834+01_Data!V834</f>
        <v>34004</v>
      </c>
      <c r="R834" s="7" t="n">
        <f aca="false">P834-Q834</f>
        <v>195</v>
      </c>
      <c r="S834" s="7" t="n">
        <f aca="false">L834-P834</f>
        <v>21123</v>
      </c>
      <c r="T834" s="7" t="n">
        <f aca="false">M834-Q834</f>
        <v>17265</v>
      </c>
      <c r="U834" s="7" t="n">
        <f aca="false">T834-S834</f>
        <v>-3858</v>
      </c>
      <c r="V834" s="8" t="n">
        <f aca="false">IFERROR(U834/S834,0)</f>
        <v>-0.182644510722909</v>
      </c>
      <c r="W834" s="5" t="str">
        <f aca="false">IF(V834&lt;-0.1,"ADVERSE &gt;10%","")</f>
        <v>ADVERSE &gt;10%</v>
      </c>
    </row>
    <row r="835" customFormat="false" ht="15" hidden="false" customHeight="false" outlineLevel="0" collapsed="false">
      <c r="A835" s="5" t="str">
        <f aca="false">01_Data!A835</f>
        <v>Technology &amp; Telecom</v>
      </c>
      <c r="B835" s="5" t="str">
        <f aca="false">01_Data!C835</f>
        <v>2023-09</v>
      </c>
      <c r="C835" s="5" t="str">
        <f aca="false">01_Data!D835</f>
        <v>FY23</v>
      </c>
      <c r="D835" s="7" t="n">
        <f aca="false">01_Data!E835</f>
        <v>140131</v>
      </c>
      <c r="E835" s="7" t="n">
        <f aca="false">01_Data!F835</f>
        <v>135789</v>
      </c>
      <c r="F835" s="7" t="n">
        <f aca="false">E835-D835</f>
        <v>-4342</v>
      </c>
      <c r="G835" s="8" t="n">
        <f aca="false">IFERROR(F835/D835,0)</f>
        <v>-0.0309852923336021</v>
      </c>
      <c r="H835" s="7" t="n">
        <f aca="false">01_Data!G835</f>
        <v>82458</v>
      </c>
      <c r="I835" s="7" t="n">
        <f aca="false">01_Data!H835</f>
        <v>79317</v>
      </c>
      <c r="J835" s="7" t="n">
        <f aca="false">H835-I835</f>
        <v>3141</v>
      </c>
      <c r="K835" s="8" t="n">
        <f aca="false">IFERROR(J835/H835,0)</f>
        <v>0.0380921196245361</v>
      </c>
      <c r="L835" s="7" t="n">
        <f aca="false">D835-H835</f>
        <v>57673</v>
      </c>
      <c r="M835" s="7" t="n">
        <f aca="false">E835-I835</f>
        <v>56472</v>
      </c>
      <c r="N835" s="7" t="n">
        <f aca="false">IFERROR(L835/D835,0)</f>
        <v>0.411564892850262</v>
      </c>
      <c r="O835" s="7" t="n">
        <f aca="false">IFERROR(M835/E835,0)</f>
        <v>0.415880520513444</v>
      </c>
      <c r="P835" s="7" t="n">
        <f aca="false">01_Data!I835+01_Data!K835+01_Data!M835+01_Data!O835+01_Data!Q835+01_Data!S835+01_Data!U835</f>
        <v>36320</v>
      </c>
      <c r="Q835" s="7" t="n">
        <f aca="false">01_Data!J835+01_Data!L835+01_Data!N835+01_Data!P835+01_Data!R835+01_Data!T835+01_Data!V835</f>
        <v>38742</v>
      </c>
      <c r="R835" s="7" t="n">
        <f aca="false">P835-Q835</f>
        <v>-2422</v>
      </c>
      <c r="S835" s="7" t="n">
        <f aca="false">L835-P835</f>
        <v>21353</v>
      </c>
      <c r="T835" s="7" t="n">
        <f aca="false">M835-Q835</f>
        <v>17730</v>
      </c>
      <c r="U835" s="7" t="n">
        <f aca="false">T835-S835</f>
        <v>-3623</v>
      </c>
      <c r="V835" s="8" t="n">
        <f aca="false">IFERROR(U835/S835,0)</f>
        <v>-0.169671708893364</v>
      </c>
      <c r="W835" s="5" t="str">
        <f aca="false">IF(V835&lt;-0.1,"ADVERSE &gt;10%","")</f>
        <v>ADVERSE &gt;10%</v>
      </c>
    </row>
    <row r="836" customFormat="false" ht="15" hidden="false" customHeight="false" outlineLevel="0" collapsed="false">
      <c r="A836" s="5" t="str">
        <f aca="false">01_Data!A836</f>
        <v>Technology &amp; Telecom</v>
      </c>
      <c r="B836" s="5" t="str">
        <f aca="false">01_Data!C836</f>
        <v>2023-10</v>
      </c>
      <c r="C836" s="5" t="str">
        <f aca="false">01_Data!D836</f>
        <v>FY23</v>
      </c>
      <c r="D836" s="7" t="n">
        <f aca="false">01_Data!E836</f>
        <v>128611</v>
      </c>
      <c r="E836" s="7" t="n">
        <f aca="false">01_Data!F836</f>
        <v>124831</v>
      </c>
      <c r="F836" s="7" t="n">
        <f aca="false">E836-D836</f>
        <v>-3780</v>
      </c>
      <c r="G836" s="8" t="n">
        <f aca="false">IFERROR(F836/D836,0)</f>
        <v>-0.029390954117455</v>
      </c>
      <c r="H836" s="7" t="n">
        <f aca="false">01_Data!G836</f>
        <v>69457</v>
      </c>
      <c r="I836" s="7" t="n">
        <f aca="false">01_Data!H836</f>
        <v>69087</v>
      </c>
      <c r="J836" s="7" t="n">
        <f aca="false">H836-I836</f>
        <v>370</v>
      </c>
      <c r="K836" s="8" t="n">
        <f aca="false">IFERROR(J836/H836,0)</f>
        <v>0.00532703687173359</v>
      </c>
      <c r="L836" s="7" t="n">
        <f aca="false">D836-H836</f>
        <v>59154</v>
      </c>
      <c r="M836" s="7" t="n">
        <f aca="false">E836-I836</f>
        <v>55744</v>
      </c>
      <c r="N836" s="7" t="n">
        <f aca="false">IFERROR(L836/D836,0)</f>
        <v>0.459945105784109</v>
      </c>
      <c r="O836" s="7" t="n">
        <f aca="false">IFERROR(M836/E836,0)</f>
        <v>0.44655574336503</v>
      </c>
      <c r="P836" s="7" t="n">
        <f aca="false">01_Data!I836+01_Data!K836+01_Data!M836+01_Data!O836+01_Data!Q836+01_Data!S836+01_Data!U836</f>
        <v>36117</v>
      </c>
      <c r="Q836" s="7" t="n">
        <f aca="false">01_Data!J836+01_Data!L836+01_Data!N836+01_Data!P836+01_Data!R836+01_Data!T836+01_Data!V836</f>
        <v>36534</v>
      </c>
      <c r="R836" s="7" t="n">
        <f aca="false">P836-Q836</f>
        <v>-417</v>
      </c>
      <c r="S836" s="7" t="n">
        <f aca="false">L836-P836</f>
        <v>23037</v>
      </c>
      <c r="T836" s="7" t="n">
        <f aca="false">M836-Q836</f>
        <v>19210</v>
      </c>
      <c r="U836" s="7" t="n">
        <f aca="false">T836-S836</f>
        <v>-3827</v>
      </c>
      <c r="V836" s="8" t="n">
        <f aca="false">IFERROR(U836/S836,0)</f>
        <v>-0.166124061292703</v>
      </c>
      <c r="W836" s="5" t="str">
        <f aca="false">IF(V836&lt;-0.1,"ADVERSE &gt;10%","")</f>
        <v>ADVERSE &gt;10%</v>
      </c>
    </row>
    <row r="837" customFormat="false" ht="15" hidden="false" customHeight="false" outlineLevel="0" collapsed="false">
      <c r="A837" s="5" t="str">
        <f aca="false">01_Data!A837</f>
        <v>Technology &amp; Telecom</v>
      </c>
      <c r="B837" s="5" t="str">
        <f aca="false">01_Data!C837</f>
        <v>2023-11</v>
      </c>
      <c r="C837" s="5" t="str">
        <f aca="false">01_Data!D837</f>
        <v>FY23</v>
      </c>
      <c r="D837" s="7" t="n">
        <f aca="false">01_Data!E837</f>
        <v>129956</v>
      </c>
      <c r="E837" s="7" t="n">
        <f aca="false">01_Data!F837</f>
        <v>123363</v>
      </c>
      <c r="F837" s="7" t="n">
        <f aca="false">E837-D837</f>
        <v>-6593</v>
      </c>
      <c r="G837" s="8" t="n">
        <f aca="false">IFERROR(F837/D837,0)</f>
        <v>-0.0507325556342147</v>
      </c>
      <c r="H837" s="7" t="n">
        <f aca="false">01_Data!G837</f>
        <v>73102</v>
      </c>
      <c r="I837" s="7" t="n">
        <f aca="false">01_Data!H837</f>
        <v>67271</v>
      </c>
      <c r="J837" s="7" t="n">
        <f aca="false">H837-I837</f>
        <v>5831</v>
      </c>
      <c r="K837" s="8" t="n">
        <f aca="false">IFERROR(J837/H837,0)</f>
        <v>0.0797652595004241</v>
      </c>
      <c r="L837" s="7" t="n">
        <f aca="false">D837-H837</f>
        <v>56854</v>
      </c>
      <c r="M837" s="7" t="n">
        <f aca="false">E837-I837</f>
        <v>56092</v>
      </c>
      <c r="N837" s="7" t="n">
        <f aca="false">IFERROR(L837/D837,0)</f>
        <v>0.437486533903783</v>
      </c>
      <c r="O837" s="7" t="n">
        <f aca="false">IFERROR(M837/E837,0)</f>
        <v>0.454690628470449</v>
      </c>
      <c r="P837" s="7" t="n">
        <f aca="false">01_Data!I837+01_Data!K837+01_Data!M837+01_Data!O837+01_Data!Q837+01_Data!S837+01_Data!U837</f>
        <v>35709</v>
      </c>
      <c r="Q837" s="7" t="n">
        <f aca="false">01_Data!J837+01_Data!L837+01_Data!N837+01_Data!P837+01_Data!R837+01_Data!T837+01_Data!V837</f>
        <v>34293</v>
      </c>
      <c r="R837" s="7" t="n">
        <f aca="false">P837-Q837</f>
        <v>1416</v>
      </c>
      <c r="S837" s="7" t="n">
        <f aca="false">L837-P837</f>
        <v>21145</v>
      </c>
      <c r="T837" s="7" t="n">
        <f aca="false">M837-Q837</f>
        <v>21799</v>
      </c>
      <c r="U837" s="7" t="n">
        <f aca="false">T837-S837</f>
        <v>654</v>
      </c>
      <c r="V837" s="8" t="n">
        <f aca="false">IFERROR(U837/S837,0)</f>
        <v>0.0309292977063136</v>
      </c>
      <c r="W837" s="5" t="str">
        <f aca="false">IF(V837&lt;-0.1,"ADVERSE &gt;10%","")</f>
        <v/>
      </c>
    </row>
    <row r="838" customFormat="false" ht="15" hidden="false" customHeight="false" outlineLevel="0" collapsed="false">
      <c r="A838" s="5" t="str">
        <f aca="false">01_Data!A838</f>
        <v>Technology &amp; Telecom</v>
      </c>
      <c r="B838" s="5" t="str">
        <f aca="false">01_Data!C838</f>
        <v>2023-12</v>
      </c>
      <c r="C838" s="5" t="str">
        <f aca="false">01_Data!D838</f>
        <v>FY23</v>
      </c>
      <c r="D838" s="7" t="n">
        <f aca="false">01_Data!E838</f>
        <v>131037</v>
      </c>
      <c r="E838" s="7" t="n">
        <f aca="false">01_Data!F838</f>
        <v>135584</v>
      </c>
      <c r="F838" s="7" t="n">
        <f aca="false">E838-D838</f>
        <v>4547</v>
      </c>
      <c r="G838" s="8" t="n">
        <f aca="false">IFERROR(F838/D838,0)</f>
        <v>0.0347001228660607</v>
      </c>
      <c r="H838" s="7" t="n">
        <f aca="false">01_Data!G838</f>
        <v>72960</v>
      </c>
      <c r="I838" s="7" t="n">
        <f aca="false">01_Data!H838</f>
        <v>72894</v>
      </c>
      <c r="J838" s="7" t="n">
        <f aca="false">H838-I838</f>
        <v>66</v>
      </c>
      <c r="K838" s="8" t="n">
        <f aca="false">IFERROR(J838/H838,0)</f>
        <v>0.000904605263157895</v>
      </c>
      <c r="L838" s="7" t="n">
        <f aca="false">D838-H838</f>
        <v>58077</v>
      </c>
      <c r="M838" s="7" t="n">
        <f aca="false">E838-I838</f>
        <v>62690</v>
      </c>
      <c r="N838" s="7" t="n">
        <f aca="false">IFERROR(L838/D838,0)</f>
        <v>0.443210696215573</v>
      </c>
      <c r="O838" s="7" t="n">
        <f aca="false">IFERROR(M838/E838,0)</f>
        <v>0.462370191173</v>
      </c>
      <c r="P838" s="7" t="n">
        <f aca="false">01_Data!I838+01_Data!K838+01_Data!M838+01_Data!O838+01_Data!Q838+01_Data!S838+01_Data!U838</f>
        <v>34793</v>
      </c>
      <c r="Q838" s="7" t="n">
        <f aca="false">01_Data!J838+01_Data!L838+01_Data!N838+01_Data!P838+01_Data!R838+01_Data!T838+01_Data!V838</f>
        <v>34841</v>
      </c>
      <c r="R838" s="7" t="n">
        <f aca="false">P838-Q838</f>
        <v>-48</v>
      </c>
      <c r="S838" s="7" t="n">
        <f aca="false">L838-P838</f>
        <v>23284</v>
      </c>
      <c r="T838" s="7" t="n">
        <f aca="false">M838-Q838</f>
        <v>27849</v>
      </c>
      <c r="U838" s="7" t="n">
        <f aca="false">T838-S838</f>
        <v>4565</v>
      </c>
      <c r="V838" s="8" t="n">
        <f aca="false">IFERROR(U838/S838,0)</f>
        <v>0.19605737845731</v>
      </c>
      <c r="W838" s="5" t="str">
        <f aca="false">IF(V838&lt;-0.1,"ADVERSE &gt;10%","")</f>
        <v/>
      </c>
    </row>
    <row r="839" customFormat="false" ht="15" hidden="false" customHeight="false" outlineLevel="0" collapsed="false">
      <c r="A839" s="5" t="str">
        <f aca="false">01_Data!A839</f>
        <v>Technology &amp; Telecom</v>
      </c>
      <c r="B839" s="5" t="str">
        <f aca="false">01_Data!C839</f>
        <v>2024-01</v>
      </c>
      <c r="C839" s="5" t="str">
        <f aca="false">01_Data!D839</f>
        <v>FY23</v>
      </c>
      <c r="D839" s="7" t="n">
        <f aca="false">01_Data!E839</f>
        <v>131683</v>
      </c>
      <c r="E839" s="7" t="n">
        <f aca="false">01_Data!F839</f>
        <v>128221</v>
      </c>
      <c r="F839" s="7" t="n">
        <f aca="false">E839-D839</f>
        <v>-3462</v>
      </c>
      <c r="G839" s="8" t="n">
        <f aca="false">IFERROR(F839/D839,0)</f>
        <v>-0.0262904095441325</v>
      </c>
      <c r="H839" s="7" t="n">
        <f aca="false">01_Data!G839</f>
        <v>77635</v>
      </c>
      <c r="I839" s="7" t="n">
        <f aca="false">01_Data!H839</f>
        <v>78946</v>
      </c>
      <c r="J839" s="7" t="n">
        <f aca="false">H839-I839</f>
        <v>-1311</v>
      </c>
      <c r="K839" s="8" t="n">
        <f aca="false">IFERROR(J839/H839,0)</f>
        <v>-0.0168867134668642</v>
      </c>
      <c r="L839" s="7" t="n">
        <f aca="false">D839-H839</f>
        <v>54048</v>
      </c>
      <c r="M839" s="7" t="n">
        <f aca="false">E839-I839</f>
        <v>49275</v>
      </c>
      <c r="N839" s="7" t="n">
        <f aca="false">IFERROR(L839/D839,0)</f>
        <v>0.410440223870963</v>
      </c>
      <c r="O839" s="7" t="n">
        <f aca="false">IFERROR(M839/E839,0)</f>
        <v>0.384297423978911</v>
      </c>
      <c r="P839" s="7" t="n">
        <f aca="false">01_Data!I839+01_Data!K839+01_Data!M839+01_Data!O839+01_Data!Q839+01_Data!S839+01_Data!U839</f>
        <v>36427</v>
      </c>
      <c r="Q839" s="7" t="n">
        <f aca="false">01_Data!J839+01_Data!L839+01_Data!N839+01_Data!P839+01_Data!R839+01_Data!T839+01_Data!V839</f>
        <v>38801</v>
      </c>
      <c r="R839" s="7" t="n">
        <f aca="false">P839-Q839</f>
        <v>-2374</v>
      </c>
      <c r="S839" s="7" t="n">
        <f aca="false">L839-P839</f>
        <v>17621</v>
      </c>
      <c r="T839" s="7" t="n">
        <f aca="false">M839-Q839</f>
        <v>10474</v>
      </c>
      <c r="U839" s="7" t="n">
        <f aca="false">T839-S839</f>
        <v>-7147</v>
      </c>
      <c r="V839" s="8" t="n">
        <f aca="false">IFERROR(U839/S839,0)</f>
        <v>-0.405595596163668</v>
      </c>
      <c r="W839" s="5" t="str">
        <f aca="false">IF(V839&lt;-0.1,"ADVERSE &gt;10%","")</f>
        <v>ADVERSE &gt;10%</v>
      </c>
    </row>
    <row r="840" customFormat="false" ht="15" hidden="false" customHeight="false" outlineLevel="0" collapsed="false">
      <c r="A840" s="5" t="str">
        <f aca="false">01_Data!A840</f>
        <v>Technology &amp; Telecom</v>
      </c>
      <c r="B840" s="5" t="str">
        <f aca="false">01_Data!C840</f>
        <v>2024-02</v>
      </c>
      <c r="C840" s="5" t="str">
        <f aca="false">01_Data!D840</f>
        <v>FY23</v>
      </c>
      <c r="D840" s="7" t="n">
        <f aca="false">01_Data!E840</f>
        <v>133856</v>
      </c>
      <c r="E840" s="7" t="n">
        <f aca="false">01_Data!F840</f>
        <v>127268</v>
      </c>
      <c r="F840" s="7" t="n">
        <f aca="false">E840-D840</f>
        <v>-6588</v>
      </c>
      <c r="G840" s="8" t="n">
        <f aca="false">IFERROR(F840/D840,0)</f>
        <v>-0.0492170690891705</v>
      </c>
      <c r="H840" s="7" t="n">
        <f aca="false">01_Data!G840</f>
        <v>75156</v>
      </c>
      <c r="I840" s="7" t="n">
        <f aca="false">01_Data!H840</f>
        <v>74834</v>
      </c>
      <c r="J840" s="7" t="n">
        <f aca="false">H840-I840</f>
        <v>322</v>
      </c>
      <c r="K840" s="8" t="n">
        <f aca="false">IFERROR(J840/H840,0)</f>
        <v>0.0042844217361222</v>
      </c>
      <c r="L840" s="7" t="n">
        <f aca="false">D840-H840</f>
        <v>58700</v>
      </c>
      <c r="M840" s="7" t="n">
        <f aca="false">E840-I840</f>
        <v>52434</v>
      </c>
      <c r="N840" s="7" t="n">
        <f aca="false">IFERROR(L840/D840,0)</f>
        <v>0.438530958642123</v>
      </c>
      <c r="O840" s="7" t="n">
        <f aca="false">IFERROR(M840/E840,0)</f>
        <v>0.411996731307163</v>
      </c>
      <c r="P840" s="7" t="n">
        <f aca="false">01_Data!I840+01_Data!K840+01_Data!M840+01_Data!O840+01_Data!Q840+01_Data!S840+01_Data!U840</f>
        <v>34290</v>
      </c>
      <c r="Q840" s="7" t="n">
        <f aca="false">01_Data!J840+01_Data!L840+01_Data!N840+01_Data!P840+01_Data!R840+01_Data!T840+01_Data!V840</f>
        <v>35872</v>
      </c>
      <c r="R840" s="7" t="n">
        <f aca="false">P840-Q840</f>
        <v>-1582</v>
      </c>
      <c r="S840" s="7" t="n">
        <f aca="false">L840-P840</f>
        <v>24410</v>
      </c>
      <c r="T840" s="7" t="n">
        <f aca="false">M840-Q840</f>
        <v>16562</v>
      </c>
      <c r="U840" s="7" t="n">
        <f aca="false">T840-S840</f>
        <v>-7848</v>
      </c>
      <c r="V840" s="8" t="n">
        <f aca="false">IFERROR(U840/S840,0)</f>
        <v>-0.321507578861122</v>
      </c>
      <c r="W840" s="5" t="str">
        <f aca="false">IF(V840&lt;-0.1,"ADVERSE &gt;10%","")</f>
        <v>ADVERSE &gt;10%</v>
      </c>
    </row>
    <row r="841" customFormat="false" ht="15" hidden="false" customHeight="false" outlineLevel="0" collapsed="false">
      <c r="A841" s="5" t="str">
        <f aca="false">01_Data!A841</f>
        <v>Technology &amp; Telecom</v>
      </c>
      <c r="B841" s="5" t="str">
        <f aca="false">01_Data!C841</f>
        <v>2024-03</v>
      </c>
      <c r="C841" s="5" t="str">
        <f aca="false">01_Data!D841</f>
        <v>FY23</v>
      </c>
      <c r="D841" s="7" t="n">
        <f aca="false">01_Data!E841</f>
        <v>143558</v>
      </c>
      <c r="E841" s="7" t="n">
        <f aca="false">01_Data!F841</f>
        <v>138167</v>
      </c>
      <c r="F841" s="7" t="n">
        <f aca="false">E841-D841</f>
        <v>-5391</v>
      </c>
      <c r="G841" s="8" t="n">
        <f aca="false">IFERROR(F841/D841,0)</f>
        <v>-0.0375527661293693</v>
      </c>
      <c r="H841" s="7" t="n">
        <f aca="false">01_Data!G841</f>
        <v>85959</v>
      </c>
      <c r="I841" s="7" t="n">
        <f aca="false">01_Data!H841</f>
        <v>82162</v>
      </c>
      <c r="J841" s="7" t="n">
        <f aca="false">H841-I841</f>
        <v>3797</v>
      </c>
      <c r="K841" s="8" t="n">
        <f aca="false">IFERROR(J841/H841,0)</f>
        <v>0.0441722216405496</v>
      </c>
      <c r="L841" s="7" t="n">
        <f aca="false">D841-H841</f>
        <v>57599</v>
      </c>
      <c r="M841" s="7" t="n">
        <f aca="false">E841-I841</f>
        <v>56005</v>
      </c>
      <c r="N841" s="7" t="n">
        <f aca="false">IFERROR(L841/D841,0)</f>
        <v>0.401224592150908</v>
      </c>
      <c r="O841" s="7" t="n">
        <f aca="false">IFERROR(M841/E841,0)</f>
        <v>0.405342809788155</v>
      </c>
      <c r="P841" s="7" t="n">
        <f aca="false">01_Data!I841+01_Data!K841+01_Data!M841+01_Data!O841+01_Data!Q841+01_Data!S841+01_Data!U841</f>
        <v>39555</v>
      </c>
      <c r="Q841" s="7" t="n">
        <f aca="false">01_Data!J841+01_Data!L841+01_Data!N841+01_Data!P841+01_Data!R841+01_Data!T841+01_Data!V841</f>
        <v>39909</v>
      </c>
      <c r="R841" s="7" t="n">
        <f aca="false">P841-Q841</f>
        <v>-354</v>
      </c>
      <c r="S841" s="7" t="n">
        <f aca="false">L841-P841</f>
        <v>18044</v>
      </c>
      <c r="T841" s="7" t="n">
        <f aca="false">M841-Q841</f>
        <v>16096</v>
      </c>
      <c r="U841" s="7" t="n">
        <f aca="false">T841-S841</f>
        <v>-1948</v>
      </c>
      <c r="V841" s="8" t="n">
        <f aca="false">IFERROR(U841/S841,0)</f>
        <v>-0.107958324096653</v>
      </c>
      <c r="W841" s="5" t="str">
        <f aca="false">IF(V841&lt;-0.1,"ADVERSE &gt;10%","")</f>
        <v>ADVERSE &gt;10%</v>
      </c>
    </row>
    <row r="842" customFormat="false" ht="15" hidden="false" customHeight="false" outlineLevel="0" collapsed="false">
      <c r="A842" s="5" t="str">
        <f aca="false">01_Data!A842</f>
        <v>Technology &amp; Telecom</v>
      </c>
      <c r="B842" s="5" t="str">
        <f aca="false">01_Data!C842</f>
        <v>2024-04</v>
      </c>
      <c r="C842" s="5" t="str">
        <f aca="false">01_Data!D842</f>
        <v>FY24</v>
      </c>
      <c r="D842" s="7" t="n">
        <f aca="false">01_Data!E842</f>
        <v>127392</v>
      </c>
      <c r="E842" s="7" t="n">
        <f aca="false">01_Data!F842</f>
        <v>130621</v>
      </c>
      <c r="F842" s="7" t="n">
        <f aca="false">E842-D842</f>
        <v>3229</v>
      </c>
      <c r="G842" s="8" t="n">
        <f aca="false">IFERROR(F842/D842,0)</f>
        <v>0.0253469605626727</v>
      </c>
      <c r="H842" s="7" t="n">
        <f aca="false">01_Data!G842</f>
        <v>69120</v>
      </c>
      <c r="I842" s="7" t="n">
        <f aca="false">01_Data!H842</f>
        <v>73599</v>
      </c>
      <c r="J842" s="7" t="n">
        <f aca="false">H842-I842</f>
        <v>-4479</v>
      </c>
      <c r="K842" s="8" t="n">
        <f aca="false">IFERROR(J842/H842,0)</f>
        <v>-0.0648003472222222</v>
      </c>
      <c r="L842" s="7" t="n">
        <f aca="false">D842-H842</f>
        <v>58272</v>
      </c>
      <c r="M842" s="7" t="n">
        <f aca="false">E842-I842</f>
        <v>57022</v>
      </c>
      <c r="N842" s="7" t="n">
        <f aca="false">IFERROR(L842/D842,0)</f>
        <v>0.45742275810098</v>
      </c>
      <c r="O842" s="7" t="n">
        <f aca="false">IFERROR(M842/E842,0)</f>
        <v>0.436545425314459</v>
      </c>
      <c r="P842" s="7" t="n">
        <f aca="false">01_Data!I842+01_Data!K842+01_Data!M842+01_Data!O842+01_Data!Q842+01_Data!S842+01_Data!U842</f>
        <v>33567</v>
      </c>
      <c r="Q842" s="7" t="n">
        <f aca="false">01_Data!J842+01_Data!L842+01_Data!N842+01_Data!P842+01_Data!R842+01_Data!T842+01_Data!V842</f>
        <v>34264</v>
      </c>
      <c r="R842" s="7" t="n">
        <f aca="false">P842-Q842</f>
        <v>-697</v>
      </c>
      <c r="S842" s="7" t="n">
        <f aca="false">L842-P842</f>
        <v>24705</v>
      </c>
      <c r="T842" s="7" t="n">
        <f aca="false">M842-Q842</f>
        <v>22758</v>
      </c>
      <c r="U842" s="7" t="n">
        <f aca="false">T842-S842</f>
        <v>-1947</v>
      </c>
      <c r="V842" s="8" t="n">
        <f aca="false">IFERROR(U842/S842,0)</f>
        <v>-0.0788099574984821</v>
      </c>
      <c r="W842" s="5" t="str">
        <f aca="false">IF(V842&lt;-0.1,"ADVERSE &gt;10%","")</f>
        <v/>
      </c>
    </row>
    <row r="843" customFormat="false" ht="15" hidden="false" customHeight="false" outlineLevel="0" collapsed="false">
      <c r="A843" s="5" t="str">
        <f aca="false">01_Data!A843</f>
        <v>Technology &amp; Telecom</v>
      </c>
      <c r="B843" s="5" t="str">
        <f aca="false">01_Data!C843</f>
        <v>2024-05</v>
      </c>
      <c r="C843" s="5" t="str">
        <f aca="false">01_Data!D843</f>
        <v>FY24</v>
      </c>
      <c r="D843" s="7" t="n">
        <f aca="false">01_Data!E843</f>
        <v>134532</v>
      </c>
      <c r="E843" s="7" t="n">
        <f aca="false">01_Data!F843</f>
        <v>129348</v>
      </c>
      <c r="F843" s="7" t="n">
        <f aca="false">E843-D843</f>
        <v>-5184</v>
      </c>
      <c r="G843" s="8" t="n">
        <f aca="false">IFERROR(F843/D843,0)</f>
        <v>-0.0385335830880385</v>
      </c>
      <c r="H843" s="7" t="n">
        <f aca="false">01_Data!G843</f>
        <v>77806</v>
      </c>
      <c r="I843" s="7" t="n">
        <f aca="false">01_Data!H843</f>
        <v>77900</v>
      </c>
      <c r="J843" s="7" t="n">
        <f aca="false">H843-I843</f>
        <v>-94</v>
      </c>
      <c r="K843" s="8" t="n">
        <f aca="false">IFERROR(J843/H843,0)</f>
        <v>-0.00120813304886513</v>
      </c>
      <c r="L843" s="7" t="n">
        <f aca="false">D843-H843</f>
        <v>56726</v>
      </c>
      <c r="M843" s="7" t="n">
        <f aca="false">E843-I843</f>
        <v>51448</v>
      </c>
      <c r="N843" s="7" t="n">
        <f aca="false">IFERROR(L843/D843,0)</f>
        <v>0.421654327594922</v>
      </c>
      <c r="O843" s="7" t="n">
        <f aca="false">IFERROR(M843/E843,0)</f>
        <v>0.397748708909299</v>
      </c>
      <c r="P843" s="7" t="n">
        <f aca="false">01_Data!I843+01_Data!K843+01_Data!M843+01_Data!O843+01_Data!Q843+01_Data!S843+01_Data!U843</f>
        <v>38706</v>
      </c>
      <c r="Q843" s="7" t="n">
        <f aca="false">01_Data!J843+01_Data!L843+01_Data!N843+01_Data!P843+01_Data!R843+01_Data!T843+01_Data!V843</f>
        <v>39142</v>
      </c>
      <c r="R843" s="7" t="n">
        <f aca="false">P843-Q843</f>
        <v>-436</v>
      </c>
      <c r="S843" s="7" t="n">
        <f aca="false">L843-P843</f>
        <v>18020</v>
      </c>
      <c r="T843" s="7" t="n">
        <f aca="false">M843-Q843</f>
        <v>12306</v>
      </c>
      <c r="U843" s="7" t="n">
        <f aca="false">T843-S843</f>
        <v>-5714</v>
      </c>
      <c r="V843" s="8" t="n">
        <f aca="false">IFERROR(U843/S843,0)</f>
        <v>-0.317092119866815</v>
      </c>
      <c r="W843" s="5" t="str">
        <f aca="false">IF(V843&lt;-0.1,"ADVERSE &gt;10%","")</f>
        <v>ADVERSE &gt;10%</v>
      </c>
    </row>
    <row r="844" customFormat="false" ht="15" hidden="false" customHeight="false" outlineLevel="0" collapsed="false">
      <c r="A844" s="5" t="str">
        <f aca="false">01_Data!A844</f>
        <v>Technology &amp; Telecom</v>
      </c>
      <c r="B844" s="5" t="str">
        <f aca="false">01_Data!C844</f>
        <v>2024-06</v>
      </c>
      <c r="C844" s="5" t="str">
        <f aca="false">01_Data!D844</f>
        <v>FY24</v>
      </c>
      <c r="D844" s="7" t="n">
        <f aca="false">01_Data!E844</f>
        <v>135002</v>
      </c>
      <c r="E844" s="7" t="n">
        <f aca="false">01_Data!F844</f>
        <v>129915</v>
      </c>
      <c r="F844" s="7" t="n">
        <f aca="false">E844-D844</f>
        <v>-5087</v>
      </c>
      <c r="G844" s="8" t="n">
        <f aca="false">IFERROR(F844/D844,0)</f>
        <v>-0.0376809232455815</v>
      </c>
      <c r="H844" s="7" t="n">
        <f aca="false">01_Data!G844</f>
        <v>79987</v>
      </c>
      <c r="I844" s="7" t="n">
        <f aca="false">01_Data!H844</f>
        <v>77878</v>
      </c>
      <c r="J844" s="7" t="n">
        <f aca="false">H844-I844</f>
        <v>2109</v>
      </c>
      <c r="K844" s="8" t="n">
        <f aca="false">IFERROR(J844/H844,0)</f>
        <v>0.0263667846024979</v>
      </c>
      <c r="L844" s="7" t="n">
        <f aca="false">D844-H844</f>
        <v>55015</v>
      </c>
      <c r="M844" s="7" t="n">
        <f aca="false">E844-I844</f>
        <v>52037</v>
      </c>
      <c r="N844" s="7" t="n">
        <f aca="false">IFERROR(L844/D844,0)</f>
        <v>0.407512481296573</v>
      </c>
      <c r="O844" s="7" t="n">
        <f aca="false">IFERROR(M844/E844,0)</f>
        <v>0.400546511180387</v>
      </c>
      <c r="P844" s="7" t="n">
        <f aca="false">01_Data!I844+01_Data!K844+01_Data!M844+01_Data!O844+01_Data!Q844+01_Data!S844+01_Data!U844</f>
        <v>37404</v>
      </c>
      <c r="Q844" s="7" t="n">
        <f aca="false">01_Data!J844+01_Data!L844+01_Data!N844+01_Data!P844+01_Data!R844+01_Data!T844+01_Data!V844</f>
        <v>38965</v>
      </c>
      <c r="R844" s="7" t="n">
        <f aca="false">P844-Q844</f>
        <v>-1561</v>
      </c>
      <c r="S844" s="7" t="n">
        <f aca="false">L844-P844</f>
        <v>17611</v>
      </c>
      <c r="T844" s="7" t="n">
        <f aca="false">M844-Q844</f>
        <v>13072</v>
      </c>
      <c r="U844" s="7" t="n">
        <f aca="false">T844-S844</f>
        <v>-4539</v>
      </c>
      <c r="V844" s="8" t="n">
        <f aca="false">IFERROR(U844/S844,0)</f>
        <v>-0.257736641871558</v>
      </c>
      <c r="W844" s="5" t="str">
        <f aca="false">IF(V844&lt;-0.1,"ADVERSE &gt;10%","")</f>
        <v>ADVERSE &gt;10%</v>
      </c>
    </row>
    <row r="845" customFormat="false" ht="15" hidden="false" customHeight="false" outlineLevel="0" collapsed="false">
      <c r="A845" s="5" t="str">
        <f aca="false">01_Data!A845</f>
        <v>Technology &amp; Telecom</v>
      </c>
      <c r="B845" s="5" t="str">
        <f aca="false">01_Data!C845</f>
        <v>2024-07</v>
      </c>
      <c r="C845" s="5" t="str">
        <f aca="false">01_Data!D845</f>
        <v>FY24</v>
      </c>
      <c r="D845" s="7" t="n">
        <f aca="false">01_Data!E845</f>
        <v>139640</v>
      </c>
      <c r="E845" s="7" t="n">
        <f aca="false">01_Data!F845</f>
        <v>131818</v>
      </c>
      <c r="F845" s="7" t="n">
        <f aca="false">E845-D845</f>
        <v>-7822</v>
      </c>
      <c r="G845" s="8" t="n">
        <f aca="false">IFERROR(F845/D845,0)</f>
        <v>-0.0560154683471785</v>
      </c>
      <c r="H845" s="7" t="n">
        <f aca="false">01_Data!G845</f>
        <v>79206</v>
      </c>
      <c r="I845" s="7" t="n">
        <f aca="false">01_Data!H845</f>
        <v>76747</v>
      </c>
      <c r="J845" s="7" t="n">
        <f aca="false">H845-I845</f>
        <v>2459</v>
      </c>
      <c r="K845" s="8" t="n">
        <f aca="false">IFERROR(J845/H845,0)</f>
        <v>0.0310456278564755</v>
      </c>
      <c r="L845" s="7" t="n">
        <f aca="false">D845-H845</f>
        <v>60434</v>
      </c>
      <c r="M845" s="7" t="n">
        <f aca="false">E845-I845</f>
        <v>55071</v>
      </c>
      <c r="N845" s="7" t="n">
        <f aca="false">IFERROR(L845/D845,0)</f>
        <v>0.432784302492123</v>
      </c>
      <c r="O845" s="7" t="n">
        <f aca="false">IFERROR(M845/E845,0)</f>
        <v>0.417780576249071</v>
      </c>
      <c r="P845" s="7" t="n">
        <f aca="false">01_Data!I845+01_Data!K845+01_Data!M845+01_Data!O845+01_Data!Q845+01_Data!S845+01_Data!U845</f>
        <v>35654</v>
      </c>
      <c r="Q845" s="7" t="n">
        <f aca="false">01_Data!J845+01_Data!L845+01_Data!N845+01_Data!P845+01_Data!R845+01_Data!T845+01_Data!V845</f>
        <v>37133</v>
      </c>
      <c r="R845" s="7" t="n">
        <f aca="false">P845-Q845</f>
        <v>-1479</v>
      </c>
      <c r="S845" s="7" t="n">
        <f aca="false">L845-P845</f>
        <v>24780</v>
      </c>
      <c r="T845" s="7" t="n">
        <f aca="false">M845-Q845</f>
        <v>17938</v>
      </c>
      <c r="U845" s="7" t="n">
        <f aca="false">T845-S845</f>
        <v>-6842</v>
      </c>
      <c r="V845" s="8" t="n">
        <f aca="false">IFERROR(U845/S845,0)</f>
        <v>-0.276109765940274</v>
      </c>
      <c r="W845" s="5" t="str">
        <f aca="false">IF(V845&lt;-0.1,"ADVERSE &gt;10%","")</f>
        <v>ADVERSE &gt;10%</v>
      </c>
    </row>
    <row r="846" customFormat="false" ht="15" hidden="false" customHeight="false" outlineLevel="0" collapsed="false">
      <c r="A846" s="5" t="str">
        <f aca="false">01_Data!A846</f>
        <v>Technology &amp; Telecom</v>
      </c>
      <c r="B846" s="5" t="str">
        <f aca="false">01_Data!C846</f>
        <v>2024-08</v>
      </c>
      <c r="C846" s="5" t="str">
        <f aca="false">01_Data!D846</f>
        <v>FY24</v>
      </c>
      <c r="D846" s="7" t="n">
        <f aca="false">01_Data!E846</f>
        <v>126482</v>
      </c>
      <c r="E846" s="7" t="n">
        <f aca="false">01_Data!F846</f>
        <v>131875</v>
      </c>
      <c r="F846" s="7" t="n">
        <f aca="false">E846-D846</f>
        <v>5393</v>
      </c>
      <c r="G846" s="8" t="n">
        <f aca="false">IFERROR(F846/D846,0)</f>
        <v>0.042638478202432</v>
      </c>
      <c r="H846" s="7" t="n">
        <f aca="false">01_Data!G846</f>
        <v>75830</v>
      </c>
      <c r="I846" s="7" t="n">
        <f aca="false">01_Data!H846</f>
        <v>80901</v>
      </c>
      <c r="J846" s="7" t="n">
        <f aca="false">H846-I846</f>
        <v>-5071</v>
      </c>
      <c r="K846" s="8" t="n">
        <f aca="false">IFERROR(J846/H846,0)</f>
        <v>-0.0668732691546881</v>
      </c>
      <c r="L846" s="7" t="n">
        <f aca="false">D846-H846</f>
        <v>50652</v>
      </c>
      <c r="M846" s="7" t="n">
        <f aca="false">E846-I846</f>
        <v>50974</v>
      </c>
      <c r="N846" s="7" t="n">
        <f aca="false">IFERROR(L846/D846,0)</f>
        <v>0.400468050789836</v>
      </c>
      <c r="O846" s="7" t="n">
        <f aca="false">IFERROR(M846/E846,0)</f>
        <v>0.386532701421801</v>
      </c>
      <c r="P846" s="7" t="n">
        <f aca="false">01_Data!I846+01_Data!K846+01_Data!M846+01_Data!O846+01_Data!Q846+01_Data!S846+01_Data!U846</f>
        <v>34319</v>
      </c>
      <c r="Q846" s="7" t="n">
        <f aca="false">01_Data!J846+01_Data!L846+01_Data!N846+01_Data!P846+01_Data!R846+01_Data!T846+01_Data!V846</f>
        <v>34086</v>
      </c>
      <c r="R846" s="7" t="n">
        <f aca="false">P846-Q846</f>
        <v>233</v>
      </c>
      <c r="S846" s="7" t="n">
        <f aca="false">L846-P846</f>
        <v>16333</v>
      </c>
      <c r="T846" s="7" t="n">
        <f aca="false">M846-Q846</f>
        <v>16888</v>
      </c>
      <c r="U846" s="7" t="n">
        <f aca="false">T846-S846</f>
        <v>555</v>
      </c>
      <c r="V846" s="8" t="n">
        <f aca="false">IFERROR(U846/S846,0)</f>
        <v>0.0339802853119451</v>
      </c>
      <c r="W846" s="5" t="str">
        <f aca="false">IF(V846&lt;-0.1,"ADVERSE &gt;10%","")</f>
        <v/>
      </c>
    </row>
    <row r="847" customFormat="false" ht="15" hidden="false" customHeight="false" outlineLevel="0" collapsed="false">
      <c r="A847" s="5" t="str">
        <f aca="false">01_Data!A847</f>
        <v>Technology &amp; Telecom</v>
      </c>
      <c r="B847" s="5" t="str">
        <f aca="false">01_Data!C847</f>
        <v>2024-09</v>
      </c>
      <c r="C847" s="5" t="str">
        <f aca="false">01_Data!D847</f>
        <v>FY24</v>
      </c>
      <c r="D847" s="7" t="n">
        <f aca="false">01_Data!E847</f>
        <v>142288</v>
      </c>
      <c r="E847" s="7" t="n">
        <f aca="false">01_Data!F847</f>
        <v>143031</v>
      </c>
      <c r="F847" s="7" t="n">
        <f aca="false">E847-D847</f>
        <v>743</v>
      </c>
      <c r="G847" s="8" t="n">
        <f aca="false">IFERROR(F847/D847,0)</f>
        <v>0.00522180366580457</v>
      </c>
      <c r="H847" s="7" t="n">
        <f aca="false">01_Data!G847</f>
        <v>81908</v>
      </c>
      <c r="I847" s="7" t="n">
        <f aca="false">01_Data!H847</f>
        <v>79757</v>
      </c>
      <c r="J847" s="7" t="n">
        <f aca="false">H847-I847</f>
        <v>2151</v>
      </c>
      <c r="K847" s="8" t="n">
        <f aca="false">IFERROR(J847/H847,0)</f>
        <v>0.026261171069981</v>
      </c>
      <c r="L847" s="7" t="n">
        <f aca="false">D847-H847</f>
        <v>60380</v>
      </c>
      <c r="M847" s="7" t="n">
        <f aca="false">E847-I847</f>
        <v>63274</v>
      </c>
      <c r="N847" s="7" t="n">
        <f aca="false">IFERROR(L847/D847,0)</f>
        <v>0.424350612841561</v>
      </c>
      <c r="O847" s="7" t="n">
        <f aca="false">IFERROR(M847/E847,0)</f>
        <v>0.442379623997595</v>
      </c>
      <c r="P847" s="7" t="n">
        <f aca="false">01_Data!I847+01_Data!K847+01_Data!M847+01_Data!O847+01_Data!Q847+01_Data!S847+01_Data!U847</f>
        <v>36613</v>
      </c>
      <c r="Q847" s="7" t="n">
        <f aca="false">01_Data!J847+01_Data!L847+01_Data!N847+01_Data!P847+01_Data!R847+01_Data!T847+01_Data!V847</f>
        <v>37512</v>
      </c>
      <c r="R847" s="7" t="n">
        <f aca="false">P847-Q847</f>
        <v>-899</v>
      </c>
      <c r="S847" s="7" t="n">
        <f aca="false">L847-P847</f>
        <v>23767</v>
      </c>
      <c r="T847" s="7" t="n">
        <f aca="false">M847-Q847</f>
        <v>25762</v>
      </c>
      <c r="U847" s="7" t="n">
        <f aca="false">T847-S847</f>
        <v>1995</v>
      </c>
      <c r="V847" s="8" t="n">
        <f aca="false">IFERROR(U847/S847,0)</f>
        <v>0.0839399166912105</v>
      </c>
      <c r="W847" s="5" t="str">
        <f aca="false">IF(V847&lt;-0.1,"ADVERSE &gt;10%","")</f>
        <v/>
      </c>
    </row>
    <row r="848" customFormat="false" ht="15" hidden="false" customHeight="false" outlineLevel="0" collapsed="false">
      <c r="A848" s="5" t="str">
        <f aca="false">01_Data!A848</f>
        <v>Technology &amp; Telecom</v>
      </c>
      <c r="B848" s="5" t="str">
        <f aca="false">01_Data!C848</f>
        <v>2024-10</v>
      </c>
      <c r="C848" s="5" t="str">
        <f aca="false">01_Data!D848</f>
        <v>FY24</v>
      </c>
      <c r="D848" s="7" t="n">
        <f aca="false">01_Data!E848</f>
        <v>137122</v>
      </c>
      <c r="E848" s="7" t="n">
        <f aca="false">01_Data!F848</f>
        <v>134502</v>
      </c>
      <c r="F848" s="7" t="n">
        <f aca="false">E848-D848</f>
        <v>-2620</v>
      </c>
      <c r="G848" s="8" t="n">
        <f aca="false">IFERROR(F848/D848,0)</f>
        <v>-0.0191070725339479</v>
      </c>
      <c r="H848" s="7" t="n">
        <f aca="false">01_Data!G848</f>
        <v>78507</v>
      </c>
      <c r="I848" s="7" t="n">
        <f aca="false">01_Data!H848</f>
        <v>80874</v>
      </c>
      <c r="J848" s="7" t="n">
        <f aca="false">H848-I848</f>
        <v>-2367</v>
      </c>
      <c r="K848" s="8" t="n">
        <f aca="false">IFERROR(J848/H848,0)</f>
        <v>-0.0301501776911613</v>
      </c>
      <c r="L848" s="7" t="n">
        <f aca="false">D848-H848</f>
        <v>58615</v>
      </c>
      <c r="M848" s="7" t="n">
        <f aca="false">E848-I848</f>
        <v>53628</v>
      </c>
      <c r="N848" s="7" t="n">
        <f aca="false">IFERROR(L848/D848,0)</f>
        <v>0.427466052128761</v>
      </c>
      <c r="O848" s="7" t="n">
        <f aca="false">IFERROR(M848/E848,0)</f>
        <v>0.398715260739617</v>
      </c>
      <c r="P848" s="7" t="n">
        <f aca="false">01_Data!I848+01_Data!K848+01_Data!M848+01_Data!O848+01_Data!Q848+01_Data!S848+01_Data!U848</f>
        <v>36521</v>
      </c>
      <c r="Q848" s="7" t="n">
        <f aca="false">01_Data!J848+01_Data!L848+01_Data!N848+01_Data!P848+01_Data!R848+01_Data!T848+01_Data!V848</f>
        <v>37729</v>
      </c>
      <c r="R848" s="7" t="n">
        <f aca="false">P848-Q848</f>
        <v>-1208</v>
      </c>
      <c r="S848" s="7" t="n">
        <f aca="false">L848-P848</f>
        <v>22094</v>
      </c>
      <c r="T848" s="7" t="n">
        <f aca="false">M848-Q848</f>
        <v>15899</v>
      </c>
      <c r="U848" s="7" t="n">
        <f aca="false">T848-S848</f>
        <v>-6195</v>
      </c>
      <c r="V848" s="8" t="n">
        <f aca="false">IFERROR(U848/S848,0)</f>
        <v>-0.280392866841676</v>
      </c>
      <c r="W848" s="5" t="str">
        <f aca="false">IF(V848&lt;-0.1,"ADVERSE &gt;10%","")</f>
        <v>ADVERSE &gt;10%</v>
      </c>
    </row>
    <row r="849" customFormat="false" ht="15" hidden="false" customHeight="false" outlineLevel="0" collapsed="false">
      <c r="A849" s="5" t="str">
        <f aca="false">01_Data!A849</f>
        <v>Technology &amp; Telecom</v>
      </c>
      <c r="B849" s="5" t="str">
        <f aca="false">01_Data!C849</f>
        <v>2024-11</v>
      </c>
      <c r="C849" s="5" t="str">
        <f aca="false">01_Data!D849</f>
        <v>FY24</v>
      </c>
      <c r="D849" s="7" t="n">
        <f aca="false">01_Data!E849</f>
        <v>140301</v>
      </c>
      <c r="E849" s="7" t="n">
        <f aca="false">01_Data!F849</f>
        <v>135265</v>
      </c>
      <c r="F849" s="7" t="n">
        <f aca="false">E849-D849</f>
        <v>-5036</v>
      </c>
      <c r="G849" s="8" t="n">
        <f aca="false">IFERROR(F849/D849,0)</f>
        <v>-0.035894255921198</v>
      </c>
      <c r="H849" s="7" t="n">
        <f aca="false">01_Data!G849</f>
        <v>83448</v>
      </c>
      <c r="I849" s="7" t="n">
        <f aca="false">01_Data!H849</f>
        <v>82449</v>
      </c>
      <c r="J849" s="7" t="n">
        <f aca="false">H849-I849</f>
        <v>999</v>
      </c>
      <c r="K849" s="8" t="n">
        <f aca="false">IFERROR(J849/H849,0)</f>
        <v>0.0119715271786022</v>
      </c>
      <c r="L849" s="7" t="n">
        <f aca="false">D849-H849</f>
        <v>56853</v>
      </c>
      <c r="M849" s="7" t="n">
        <f aca="false">E849-I849</f>
        <v>52816</v>
      </c>
      <c r="N849" s="7" t="n">
        <f aca="false">IFERROR(L849/D849,0)</f>
        <v>0.405221630636988</v>
      </c>
      <c r="O849" s="7" t="n">
        <f aca="false">IFERROR(M849/E849,0)</f>
        <v>0.390463164898533</v>
      </c>
      <c r="P849" s="7" t="n">
        <f aca="false">01_Data!I849+01_Data!K849+01_Data!M849+01_Data!O849+01_Data!Q849+01_Data!S849+01_Data!U849</f>
        <v>36682</v>
      </c>
      <c r="Q849" s="7" t="n">
        <f aca="false">01_Data!J849+01_Data!L849+01_Data!N849+01_Data!P849+01_Data!R849+01_Data!T849+01_Data!V849</f>
        <v>37360</v>
      </c>
      <c r="R849" s="7" t="n">
        <f aca="false">P849-Q849</f>
        <v>-678</v>
      </c>
      <c r="S849" s="7" t="n">
        <f aca="false">L849-P849</f>
        <v>20171</v>
      </c>
      <c r="T849" s="7" t="n">
        <f aca="false">M849-Q849</f>
        <v>15456</v>
      </c>
      <c r="U849" s="7" t="n">
        <f aca="false">T849-S849</f>
        <v>-4715</v>
      </c>
      <c r="V849" s="8" t="n">
        <f aca="false">IFERROR(U849/S849,0)</f>
        <v>-0.233751425313569</v>
      </c>
      <c r="W849" s="5" t="str">
        <f aca="false">IF(V849&lt;-0.1,"ADVERSE &gt;10%","")</f>
        <v>ADVERSE &gt;10%</v>
      </c>
    </row>
    <row r="850" customFormat="false" ht="15" hidden="false" customHeight="false" outlineLevel="0" collapsed="false">
      <c r="A850" s="5" t="str">
        <f aca="false">01_Data!A850</f>
        <v>Technology &amp; Telecom</v>
      </c>
      <c r="B850" s="5" t="str">
        <f aca="false">01_Data!C850</f>
        <v>2024-12</v>
      </c>
      <c r="C850" s="5" t="str">
        <f aca="false">01_Data!D850</f>
        <v>FY24</v>
      </c>
      <c r="D850" s="7" t="n">
        <f aca="false">01_Data!E850</f>
        <v>146957</v>
      </c>
      <c r="E850" s="7" t="n">
        <f aca="false">01_Data!F850</f>
        <v>144737</v>
      </c>
      <c r="F850" s="7" t="n">
        <f aca="false">E850-D850</f>
        <v>-2220</v>
      </c>
      <c r="G850" s="8" t="n">
        <f aca="false">IFERROR(F850/D850,0)</f>
        <v>-0.0151064597127051</v>
      </c>
      <c r="H850" s="7" t="n">
        <f aca="false">01_Data!G850</f>
        <v>87939</v>
      </c>
      <c r="I850" s="7" t="n">
        <f aca="false">01_Data!H850</f>
        <v>87298</v>
      </c>
      <c r="J850" s="7" t="n">
        <f aca="false">H850-I850</f>
        <v>641</v>
      </c>
      <c r="K850" s="8" t="n">
        <f aca="false">IFERROR(J850/H850,0)</f>
        <v>0.00728914361091211</v>
      </c>
      <c r="L850" s="7" t="n">
        <f aca="false">D850-H850</f>
        <v>59018</v>
      </c>
      <c r="M850" s="7" t="n">
        <f aca="false">E850-I850</f>
        <v>57439</v>
      </c>
      <c r="N850" s="7" t="n">
        <f aca="false">IFERROR(L850/D850,0)</f>
        <v>0.401600468164157</v>
      </c>
      <c r="O850" s="7" t="n">
        <f aca="false">IFERROR(M850/E850,0)</f>
        <v>0.396850839799084</v>
      </c>
      <c r="P850" s="7" t="n">
        <f aca="false">01_Data!I850+01_Data!K850+01_Data!M850+01_Data!O850+01_Data!Q850+01_Data!S850+01_Data!U850</f>
        <v>40183</v>
      </c>
      <c r="Q850" s="7" t="n">
        <f aca="false">01_Data!J850+01_Data!L850+01_Data!N850+01_Data!P850+01_Data!R850+01_Data!T850+01_Data!V850</f>
        <v>40659</v>
      </c>
      <c r="R850" s="7" t="n">
        <f aca="false">P850-Q850</f>
        <v>-476</v>
      </c>
      <c r="S850" s="7" t="n">
        <f aca="false">L850-P850</f>
        <v>18835</v>
      </c>
      <c r="T850" s="7" t="n">
        <f aca="false">M850-Q850</f>
        <v>16780</v>
      </c>
      <c r="U850" s="7" t="n">
        <f aca="false">T850-S850</f>
        <v>-2055</v>
      </c>
      <c r="V850" s="8" t="n">
        <f aca="false">IFERROR(U850/S850,0)</f>
        <v>-0.109105388903637</v>
      </c>
      <c r="W850" s="5" t="str">
        <f aca="false">IF(V850&lt;-0.1,"ADVERSE &gt;10%","")</f>
        <v>ADVERSE &gt;10%</v>
      </c>
    </row>
    <row r="851" customFormat="false" ht="15" hidden="false" customHeight="false" outlineLevel="0" collapsed="false">
      <c r="A851" s="5" t="str">
        <f aca="false">01_Data!A851</f>
        <v>Technology &amp; Telecom</v>
      </c>
      <c r="B851" s="5" t="str">
        <f aca="false">01_Data!C851</f>
        <v>2025-01</v>
      </c>
      <c r="C851" s="5" t="str">
        <f aca="false">01_Data!D851</f>
        <v>FY24</v>
      </c>
      <c r="D851" s="7" t="n">
        <f aca="false">01_Data!E851</f>
        <v>137983</v>
      </c>
      <c r="E851" s="7" t="n">
        <f aca="false">01_Data!F851</f>
        <v>135041</v>
      </c>
      <c r="F851" s="7" t="n">
        <f aca="false">E851-D851</f>
        <v>-2942</v>
      </c>
      <c r="G851" s="8" t="n">
        <f aca="false">IFERROR(F851/D851,0)</f>
        <v>-0.021321467137256</v>
      </c>
      <c r="H851" s="7" t="n">
        <f aca="false">01_Data!G851</f>
        <v>74516</v>
      </c>
      <c r="I851" s="7" t="n">
        <f aca="false">01_Data!H851</f>
        <v>74572</v>
      </c>
      <c r="J851" s="7" t="n">
        <f aca="false">H851-I851</f>
        <v>-56</v>
      </c>
      <c r="K851" s="8" t="n">
        <f aca="false">IFERROR(J851/H851,0)</f>
        <v>-0.000751516452842343</v>
      </c>
      <c r="L851" s="7" t="n">
        <f aca="false">D851-H851</f>
        <v>63467</v>
      </c>
      <c r="M851" s="7" t="n">
        <f aca="false">E851-I851</f>
        <v>60469</v>
      </c>
      <c r="N851" s="7" t="n">
        <f aca="false">IFERROR(L851/D851,0)</f>
        <v>0.459962459143518</v>
      </c>
      <c r="O851" s="7" t="n">
        <f aca="false">IFERROR(M851/E851,0)</f>
        <v>0.447782525307129</v>
      </c>
      <c r="P851" s="7" t="n">
        <f aca="false">01_Data!I851+01_Data!K851+01_Data!M851+01_Data!O851+01_Data!Q851+01_Data!S851+01_Data!U851</f>
        <v>37305</v>
      </c>
      <c r="Q851" s="7" t="n">
        <f aca="false">01_Data!J851+01_Data!L851+01_Data!N851+01_Data!P851+01_Data!R851+01_Data!T851+01_Data!V851</f>
        <v>39400</v>
      </c>
      <c r="R851" s="7" t="n">
        <f aca="false">P851-Q851</f>
        <v>-2095</v>
      </c>
      <c r="S851" s="7" t="n">
        <f aca="false">L851-P851</f>
        <v>26162</v>
      </c>
      <c r="T851" s="7" t="n">
        <f aca="false">M851-Q851</f>
        <v>21069</v>
      </c>
      <c r="U851" s="7" t="n">
        <f aca="false">T851-S851</f>
        <v>-5093</v>
      </c>
      <c r="V851" s="8" t="n">
        <f aca="false">IFERROR(U851/S851,0)</f>
        <v>-0.194671661187983</v>
      </c>
      <c r="W851" s="5" t="str">
        <f aca="false">IF(V851&lt;-0.1,"ADVERSE &gt;10%","")</f>
        <v>ADVERSE &gt;10%</v>
      </c>
    </row>
    <row r="852" customFormat="false" ht="15" hidden="false" customHeight="false" outlineLevel="0" collapsed="false">
      <c r="A852" s="5" t="str">
        <f aca="false">01_Data!A852</f>
        <v>Technology &amp; Telecom</v>
      </c>
      <c r="B852" s="5" t="str">
        <f aca="false">01_Data!C852</f>
        <v>2025-02</v>
      </c>
      <c r="C852" s="5" t="str">
        <f aca="false">01_Data!D852</f>
        <v>FY24</v>
      </c>
      <c r="D852" s="7" t="n">
        <f aca="false">01_Data!E852</f>
        <v>140668</v>
      </c>
      <c r="E852" s="7" t="n">
        <f aca="false">01_Data!F852</f>
        <v>134229</v>
      </c>
      <c r="F852" s="7" t="n">
        <f aca="false">E852-D852</f>
        <v>-6439</v>
      </c>
      <c r="G852" s="8" t="n">
        <f aca="false">IFERROR(F852/D852,0)</f>
        <v>-0.0457744476355674</v>
      </c>
      <c r="H852" s="7" t="n">
        <f aca="false">01_Data!G852</f>
        <v>77445</v>
      </c>
      <c r="I852" s="7" t="n">
        <f aca="false">01_Data!H852</f>
        <v>76226</v>
      </c>
      <c r="J852" s="7" t="n">
        <f aca="false">H852-I852</f>
        <v>1219</v>
      </c>
      <c r="K852" s="8" t="n">
        <f aca="false">IFERROR(J852/H852,0)</f>
        <v>0.0157402027245142</v>
      </c>
      <c r="L852" s="7" t="n">
        <f aca="false">D852-H852</f>
        <v>63223</v>
      </c>
      <c r="M852" s="7" t="n">
        <f aca="false">E852-I852</f>
        <v>58003</v>
      </c>
      <c r="N852" s="7" t="n">
        <f aca="false">IFERROR(L852/D852,0)</f>
        <v>0.449448346461171</v>
      </c>
      <c r="O852" s="7" t="n">
        <f aca="false">IFERROR(M852/E852,0)</f>
        <v>0.432119735675599</v>
      </c>
      <c r="P852" s="7" t="n">
        <f aca="false">01_Data!I852+01_Data!K852+01_Data!M852+01_Data!O852+01_Data!Q852+01_Data!S852+01_Data!U852</f>
        <v>38001</v>
      </c>
      <c r="Q852" s="7" t="n">
        <f aca="false">01_Data!J852+01_Data!L852+01_Data!N852+01_Data!P852+01_Data!R852+01_Data!T852+01_Data!V852</f>
        <v>38565</v>
      </c>
      <c r="R852" s="7" t="n">
        <f aca="false">P852-Q852</f>
        <v>-564</v>
      </c>
      <c r="S852" s="7" t="n">
        <f aca="false">L852-P852</f>
        <v>25222</v>
      </c>
      <c r="T852" s="7" t="n">
        <f aca="false">M852-Q852</f>
        <v>19438</v>
      </c>
      <c r="U852" s="7" t="n">
        <f aca="false">T852-S852</f>
        <v>-5784</v>
      </c>
      <c r="V852" s="8" t="n">
        <f aca="false">IFERROR(U852/S852,0)</f>
        <v>-0.229323606375387</v>
      </c>
      <c r="W852" s="5" t="str">
        <f aca="false">IF(V852&lt;-0.1,"ADVERSE &gt;10%","")</f>
        <v>ADVERSE &gt;10%</v>
      </c>
    </row>
    <row r="853" customFormat="false" ht="15" hidden="false" customHeight="false" outlineLevel="0" collapsed="false">
      <c r="A853" s="5" t="str">
        <f aca="false">01_Data!A853</f>
        <v>Technology &amp; Telecom</v>
      </c>
      <c r="B853" s="5" t="str">
        <f aca="false">01_Data!C853</f>
        <v>2025-03</v>
      </c>
      <c r="C853" s="5" t="str">
        <f aca="false">01_Data!D853</f>
        <v>FY24</v>
      </c>
      <c r="D853" s="7" t="n">
        <f aca="false">01_Data!E853</f>
        <v>153358</v>
      </c>
      <c r="E853" s="7" t="n">
        <f aca="false">01_Data!F853</f>
        <v>148209</v>
      </c>
      <c r="F853" s="7" t="n">
        <f aca="false">E853-D853</f>
        <v>-5149</v>
      </c>
      <c r="G853" s="8" t="n">
        <f aca="false">IFERROR(F853/D853,0)</f>
        <v>-0.0335750335815543</v>
      </c>
      <c r="H853" s="7" t="n">
        <f aca="false">01_Data!G853</f>
        <v>90453</v>
      </c>
      <c r="I853" s="7" t="n">
        <f aca="false">01_Data!H853</f>
        <v>86099</v>
      </c>
      <c r="J853" s="7" t="n">
        <f aca="false">H853-I853</f>
        <v>4354</v>
      </c>
      <c r="K853" s="8" t="n">
        <f aca="false">IFERROR(J853/H853,0)</f>
        <v>0.04813549578234</v>
      </c>
      <c r="L853" s="7" t="n">
        <f aca="false">D853-H853</f>
        <v>62905</v>
      </c>
      <c r="M853" s="7" t="n">
        <f aca="false">E853-I853</f>
        <v>62110</v>
      </c>
      <c r="N853" s="7" t="n">
        <f aca="false">IFERROR(L853/D853,0)</f>
        <v>0.410184013876029</v>
      </c>
      <c r="O853" s="7" t="n">
        <f aca="false">IFERROR(M853/E853,0)</f>
        <v>0.419070366846818</v>
      </c>
      <c r="P853" s="7" t="n">
        <f aca="false">01_Data!I853+01_Data!K853+01_Data!M853+01_Data!O853+01_Data!Q853+01_Data!S853+01_Data!U853</f>
        <v>44519</v>
      </c>
      <c r="Q853" s="7" t="n">
        <f aca="false">01_Data!J853+01_Data!L853+01_Data!N853+01_Data!P853+01_Data!R853+01_Data!T853+01_Data!V853</f>
        <v>45745</v>
      </c>
      <c r="R853" s="7" t="n">
        <f aca="false">P853-Q853</f>
        <v>-1226</v>
      </c>
      <c r="S853" s="7" t="n">
        <f aca="false">L853-P853</f>
        <v>18386</v>
      </c>
      <c r="T853" s="7" t="n">
        <f aca="false">M853-Q853</f>
        <v>16365</v>
      </c>
      <c r="U853" s="7" t="n">
        <f aca="false">T853-S853</f>
        <v>-2021</v>
      </c>
      <c r="V853" s="8" t="n">
        <f aca="false">IFERROR(U853/S853,0)</f>
        <v>-0.109920591754596</v>
      </c>
      <c r="W853" s="5" t="str">
        <f aca="false">IF(V853&lt;-0.1,"ADVERSE &gt;10%","")</f>
        <v>ADVERSE &gt;10%</v>
      </c>
    </row>
    <row r="854" customFormat="false" ht="15" hidden="false" customHeight="false" outlineLevel="0" collapsed="false">
      <c r="A854" s="5" t="str">
        <f aca="false">01_Data!A854</f>
        <v>Technology &amp; Telecom</v>
      </c>
      <c r="B854" s="5" t="str">
        <f aca="false">01_Data!C854</f>
        <v>2025-04</v>
      </c>
      <c r="C854" s="5" t="str">
        <f aca="false">01_Data!D854</f>
        <v>FY25</v>
      </c>
      <c r="D854" s="7" t="n">
        <f aca="false">01_Data!E854</f>
        <v>138691</v>
      </c>
      <c r="E854" s="7" t="n">
        <f aca="false">01_Data!F854</f>
        <v>140562</v>
      </c>
      <c r="F854" s="7" t="n">
        <f aca="false">E854-D854</f>
        <v>1871</v>
      </c>
      <c r="G854" s="8" t="n">
        <f aca="false">IFERROR(F854/D854,0)</f>
        <v>0.0134904211520575</v>
      </c>
      <c r="H854" s="7" t="n">
        <f aca="false">01_Data!G854</f>
        <v>82954</v>
      </c>
      <c r="I854" s="7" t="n">
        <f aca="false">01_Data!H854</f>
        <v>82469</v>
      </c>
      <c r="J854" s="7" t="n">
        <f aca="false">H854-I854</f>
        <v>485</v>
      </c>
      <c r="K854" s="8" t="n">
        <f aca="false">IFERROR(J854/H854,0)</f>
        <v>0.00584661378595366</v>
      </c>
      <c r="L854" s="7" t="n">
        <f aca="false">D854-H854</f>
        <v>55737</v>
      </c>
      <c r="M854" s="7" t="n">
        <f aca="false">E854-I854</f>
        <v>58093</v>
      </c>
      <c r="N854" s="7" t="n">
        <f aca="false">IFERROR(L854/D854,0)</f>
        <v>0.401878997195204</v>
      </c>
      <c r="O854" s="7" t="n">
        <f aca="false">IFERROR(M854/E854,0)</f>
        <v>0.413290932115365</v>
      </c>
      <c r="P854" s="7" t="n">
        <f aca="false">01_Data!I854+01_Data!K854+01_Data!M854+01_Data!O854+01_Data!Q854+01_Data!S854+01_Data!U854</f>
        <v>38849</v>
      </c>
      <c r="Q854" s="7" t="n">
        <f aca="false">01_Data!J854+01_Data!L854+01_Data!N854+01_Data!P854+01_Data!R854+01_Data!T854+01_Data!V854</f>
        <v>38910</v>
      </c>
      <c r="R854" s="7" t="n">
        <f aca="false">P854-Q854</f>
        <v>-61</v>
      </c>
      <c r="S854" s="7" t="n">
        <f aca="false">L854-P854</f>
        <v>16888</v>
      </c>
      <c r="T854" s="7" t="n">
        <f aca="false">M854-Q854</f>
        <v>19183</v>
      </c>
      <c r="U854" s="7" t="n">
        <f aca="false">T854-S854</f>
        <v>2295</v>
      </c>
      <c r="V854" s="8" t="n">
        <f aca="false">IFERROR(U854/S854,0)</f>
        <v>0.135895310279488</v>
      </c>
      <c r="W854" s="5" t="str">
        <f aca="false">IF(V854&lt;-0.1,"ADVERSE &gt;10%","")</f>
        <v/>
      </c>
    </row>
    <row r="855" customFormat="false" ht="15" hidden="false" customHeight="false" outlineLevel="0" collapsed="false">
      <c r="A855" s="5" t="str">
        <f aca="false">01_Data!A855</f>
        <v>Technology &amp; Telecom</v>
      </c>
      <c r="B855" s="5" t="str">
        <f aca="false">01_Data!C855</f>
        <v>2025-05</v>
      </c>
      <c r="C855" s="5" t="str">
        <f aca="false">01_Data!D855</f>
        <v>FY25</v>
      </c>
      <c r="D855" s="7" t="n">
        <f aca="false">01_Data!E855</f>
        <v>149462</v>
      </c>
      <c r="E855" s="7" t="n">
        <f aca="false">01_Data!F855</f>
        <v>141704</v>
      </c>
      <c r="F855" s="7" t="n">
        <f aca="false">E855-D855</f>
        <v>-7758</v>
      </c>
      <c r="G855" s="8" t="n">
        <f aca="false">IFERROR(F855/D855,0)</f>
        <v>-0.0519061701302003</v>
      </c>
      <c r="H855" s="7" t="n">
        <f aca="false">01_Data!G855</f>
        <v>89225</v>
      </c>
      <c r="I855" s="7" t="n">
        <f aca="false">01_Data!H855</f>
        <v>85718</v>
      </c>
      <c r="J855" s="7" t="n">
        <f aca="false">H855-I855</f>
        <v>3507</v>
      </c>
      <c r="K855" s="8" t="n">
        <f aca="false">IFERROR(J855/H855,0)</f>
        <v>0.039305127486691</v>
      </c>
      <c r="L855" s="7" t="n">
        <f aca="false">D855-H855</f>
        <v>60237</v>
      </c>
      <c r="M855" s="7" t="n">
        <f aca="false">E855-I855</f>
        <v>55986</v>
      </c>
      <c r="N855" s="7" t="n">
        <f aca="false">IFERROR(L855/D855,0)</f>
        <v>0.403025518191915</v>
      </c>
      <c r="O855" s="7" t="n">
        <f aca="false">IFERROR(M855/E855,0)</f>
        <v>0.39509117597245</v>
      </c>
      <c r="P855" s="7" t="n">
        <f aca="false">01_Data!I855+01_Data!K855+01_Data!M855+01_Data!O855+01_Data!Q855+01_Data!S855+01_Data!U855</f>
        <v>37785</v>
      </c>
      <c r="Q855" s="7" t="n">
        <f aca="false">01_Data!J855+01_Data!L855+01_Data!N855+01_Data!P855+01_Data!R855+01_Data!T855+01_Data!V855</f>
        <v>38164</v>
      </c>
      <c r="R855" s="7" t="n">
        <f aca="false">P855-Q855</f>
        <v>-379</v>
      </c>
      <c r="S855" s="7" t="n">
        <f aca="false">L855-P855</f>
        <v>22452</v>
      </c>
      <c r="T855" s="7" t="n">
        <f aca="false">M855-Q855</f>
        <v>17822</v>
      </c>
      <c r="U855" s="7" t="n">
        <f aca="false">T855-S855</f>
        <v>-4630</v>
      </c>
      <c r="V855" s="8" t="n">
        <f aca="false">IFERROR(U855/S855,0)</f>
        <v>-0.206217708890077</v>
      </c>
      <c r="W855" s="5" t="str">
        <f aca="false">IF(V855&lt;-0.1,"ADVERSE &gt;10%","")</f>
        <v>ADVERSE &gt;10%</v>
      </c>
    </row>
    <row r="856" customFormat="false" ht="15" hidden="false" customHeight="false" outlineLevel="0" collapsed="false">
      <c r="A856" s="5" t="str">
        <f aca="false">01_Data!A856</f>
        <v>Technology &amp; Telecom</v>
      </c>
      <c r="B856" s="5" t="str">
        <f aca="false">01_Data!C856</f>
        <v>2025-06</v>
      </c>
      <c r="C856" s="5" t="str">
        <f aca="false">01_Data!D856</f>
        <v>FY25</v>
      </c>
      <c r="D856" s="7" t="n">
        <f aca="false">01_Data!E856</f>
        <v>142371</v>
      </c>
      <c r="E856" s="7" t="n">
        <f aca="false">01_Data!F856</f>
        <v>142641</v>
      </c>
      <c r="F856" s="7" t="n">
        <f aca="false">E856-D856</f>
        <v>270</v>
      </c>
      <c r="G856" s="8" t="n">
        <f aca="false">IFERROR(F856/D856,0)</f>
        <v>0.0018964536317087</v>
      </c>
      <c r="H856" s="7" t="n">
        <f aca="false">01_Data!G856</f>
        <v>77281</v>
      </c>
      <c r="I856" s="7" t="n">
        <f aca="false">01_Data!H856</f>
        <v>78294</v>
      </c>
      <c r="J856" s="7" t="n">
        <f aca="false">H856-I856</f>
        <v>-1013</v>
      </c>
      <c r="K856" s="8" t="n">
        <f aca="false">IFERROR(J856/H856,0)</f>
        <v>-0.0131080084367438</v>
      </c>
      <c r="L856" s="7" t="n">
        <f aca="false">D856-H856</f>
        <v>65090</v>
      </c>
      <c r="M856" s="7" t="n">
        <f aca="false">E856-I856</f>
        <v>64347</v>
      </c>
      <c r="N856" s="7" t="n">
        <f aca="false">IFERROR(L856/D856,0)</f>
        <v>0.457185803288591</v>
      </c>
      <c r="O856" s="7" t="n">
        <f aca="false">IFERROR(M856/E856,0)</f>
        <v>0.451111531747534</v>
      </c>
      <c r="P856" s="7" t="n">
        <f aca="false">01_Data!I856+01_Data!K856+01_Data!M856+01_Data!O856+01_Data!Q856+01_Data!S856+01_Data!U856</f>
        <v>38584</v>
      </c>
      <c r="Q856" s="7" t="n">
        <f aca="false">01_Data!J856+01_Data!L856+01_Data!N856+01_Data!P856+01_Data!R856+01_Data!T856+01_Data!V856</f>
        <v>38414</v>
      </c>
      <c r="R856" s="7" t="n">
        <f aca="false">P856-Q856</f>
        <v>170</v>
      </c>
      <c r="S856" s="7" t="n">
        <f aca="false">L856-P856</f>
        <v>26506</v>
      </c>
      <c r="T856" s="7" t="n">
        <f aca="false">M856-Q856</f>
        <v>25933</v>
      </c>
      <c r="U856" s="7" t="n">
        <f aca="false">T856-S856</f>
        <v>-573</v>
      </c>
      <c r="V856" s="8" t="n">
        <f aca="false">IFERROR(U856/S856,0)</f>
        <v>-0.0216177469252245</v>
      </c>
      <c r="W856" s="5" t="str">
        <f aca="false">IF(V856&lt;-0.1,"ADVERSE &gt;10%","")</f>
        <v/>
      </c>
    </row>
    <row r="857" customFormat="false" ht="15" hidden="false" customHeight="false" outlineLevel="0" collapsed="false">
      <c r="A857" s="5" t="str">
        <f aca="false">01_Data!A857</f>
        <v>Technology &amp; Telecom</v>
      </c>
      <c r="B857" s="5" t="str">
        <f aca="false">01_Data!C857</f>
        <v>2025-07</v>
      </c>
      <c r="C857" s="5" t="str">
        <f aca="false">01_Data!D857</f>
        <v>FY25</v>
      </c>
      <c r="D857" s="7" t="n">
        <f aca="false">01_Data!E857</f>
        <v>151471</v>
      </c>
      <c r="E857" s="7" t="n">
        <f aca="false">01_Data!F857</f>
        <v>145911</v>
      </c>
      <c r="F857" s="7" t="n">
        <f aca="false">E857-D857</f>
        <v>-5560</v>
      </c>
      <c r="G857" s="8" t="n">
        <f aca="false">IFERROR(F857/D857,0)</f>
        <v>-0.0367066963313109</v>
      </c>
      <c r="H857" s="7" t="n">
        <f aca="false">01_Data!G857</f>
        <v>86119</v>
      </c>
      <c r="I857" s="7" t="n">
        <f aca="false">01_Data!H857</f>
        <v>86211</v>
      </c>
      <c r="J857" s="7" t="n">
        <f aca="false">H857-I857</f>
        <v>-92</v>
      </c>
      <c r="K857" s="8" t="n">
        <f aca="false">IFERROR(J857/H857,0)</f>
        <v>-0.00106828922769656</v>
      </c>
      <c r="L857" s="7" t="n">
        <f aca="false">D857-H857</f>
        <v>65352</v>
      </c>
      <c r="M857" s="7" t="n">
        <f aca="false">E857-I857</f>
        <v>59700</v>
      </c>
      <c r="N857" s="7" t="n">
        <f aca="false">IFERROR(L857/D857,0)</f>
        <v>0.431448924216517</v>
      </c>
      <c r="O857" s="7" t="n">
        <f aca="false">IFERROR(M857/E857,0)</f>
        <v>0.409153525094064</v>
      </c>
      <c r="P857" s="7" t="n">
        <f aca="false">01_Data!I857+01_Data!K857+01_Data!M857+01_Data!O857+01_Data!Q857+01_Data!S857+01_Data!U857</f>
        <v>39876</v>
      </c>
      <c r="Q857" s="7" t="n">
        <f aca="false">01_Data!J857+01_Data!L857+01_Data!N857+01_Data!P857+01_Data!R857+01_Data!T857+01_Data!V857</f>
        <v>41081</v>
      </c>
      <c r="R857" s="7" t="n">
        <f aca="false">P857-Q857</f>
        <v>-1205</v>
      </c>
      <c r="S857" s="7" t="n">
        <f aca="false">L857-P857</f>
        <v>25476</v>
      </c>
      <c r="T857" s="7" t="n">
        <f aca="false">M857-Q857</f>
        <v>18619</v>
      </c>
      <c r="U857" s="7" t="n">
        <f aca="false">T857-S857</f>
        <v>-6857</v>
      </c>
      <c r="V857" s="8" t="n">
        <f aca="false">IFERROR(U857/S857,0)</f>
        <v>-0.269155283403988</v>
      </c>
      <c r="W857" s="5" t="str">
        <f aca="false">IF(V857&lt;-0.1,"ADVERSE &gt;10%","")</f>
        <v>ADVERSE &gt;10%</v>
      </c>
    </row>
    <row r="858" customFormat="false" ht="15" hidden="false" customHeight="false" outlineLevel="0" collapsed="false">
      <c r="A858" s="5" t="str">
        <f aca="false">01_Data!A858</f>
        <v>Technology &amp; Telecom</v>
      </c>
      <c r="B858" s="5" t="str">
        <f aca="false">01_Data!C858</f>
        <v>2025-08</v>
      </c>
      <c r="C858" s="5" t="str">
        <f aca="false">01_Data!D858</f>
        <v>FY25</v>
      </c>
      <c r="D858" s="7" t="n">
        <f aca="false">01_Data!E858</f>
        <v>145366</v>
      </c>
      <c r="E858" s="7" t="n">
        <f aca="false">01_Data!F858</f>
        <v>146126</v>
      </c>
      <c r="F858" s="7" t="n">
        <f aca="false">E858-D858</f>
        <v>760</v>
      </c>
      <c r="G858" s="8" t="n">
        <f aca="false">IFERROR(F858/D858,0)</f>
        <v>0.00522818265619196</v>
      </c>
      <c r="H858" s="7" t="n">
        <f aca="false">01_Data!G858</f>
        <v>83868</v>
      </c>
      <c r="I858" s="7" t="n">
        <f aca="false">01_Data!H858</f>
        <v>88310</v>
      </c>
      <c r="J858" s="7" t="n">
        <f aca="false">H858-I858</f>
        <v>-4442</v>
      </c>
      <c r="K858" s="8" t="n">
        <f aca="false">IFERROR(J858/H858,0)</f>
        <v>-0.0529641818095102</v>
      </c>
      <c r="L858" s="7" t="n">
        <f aca="false">D858-H858</f>
        <v>61498</v>
      </c>
      <c r="M858" s="7" t="n">
        <f aca="false">E858-I858</f>
        <v>57816</v>
      </c>
      <c r="N858" s="7" t="n">
        <f aca="false">IFERROR(L858/D858,0)</f>
        <v>0.423056285513807</v>
      </c>
      <c r="O858" s="7" t="n">
        <f aca="false">IFERROR(M858/E858,0)</f>
        <v>0.395658541258914</v>
      </c>
      <c r="P858" s="7" t="n">
        <f aca="false">01_Data!I858+01_Data!K858+01_Data!M858+01_Data!O858+01_Data!Q858+01_Data!S858+01_Data!U858</f>
        <v>36681</v>
      </c>
      <c r="Q858" s="7" t="n">
        <f aca="false">01_Data!J858+01_Data!L858+01_Data!N858+01_Data!P858+01_Data!R858+01_Data!T858+01_Data!V858</f>
        <v>36949</v>
      </c>
      <c r="R858" s="7" t="n">
        <f aca="false">P858-Q858</f>
        <v>-268</v>
      </c>
      <c r="S858" s="7" t="n">
        <f aca="false">L858-P858</f>
        <v>24817</v>
      </c>
      <c r="T858" s="7" t="n">
        <f aca="false">M858-Q858</f>
        <v>20867</v>
      </c>
      <c r="U858" s="7" t="n">
        <f aca="false">T858-S858</f>
        <v>-3950</v>
      </c>
      <c r="V858" s="8" t="n">
        <f aca="false">IFERROR(U858/S858,0)</f>
        <v>-0.159165088447435</v>
      </c>
      <c r="W858" s="5" t="str">
        <f aca="false">IF(V858&lt;-0.1,"ADVERSE &gt;10%","")</f>
        <v>ADVERSE &gt;10%</v>
      </c>
    </row>
    <row r="859" customFormat="false" ht="15" hidden="false" customHeight="false" outlineLevel="0" collapsed="false">
      <c r="A859" s="5" t="str">
        <f aca="false">01_Data!A859</f>
        <v>Technology &amp; Telecom</v>
      </c>
      <c r="B859" s="5" t="str">
        <f aca="false">01_Data!C859</f>
        <v>2025-09</v>
      </c>
      <c r="C859" s="5" t="str">
        <f aca="false">01_Data!D859</f>
        <v>FY25</v>
      </c>
      <c r="D859" s="7" t="n">
        <f aca="false">01_Data!E859</f>
        <v>153644</v>
      </c>
      <c r="E859" s="7" t="n">
        <f aca="false">01_Data!F859</f>
        <v>156826</v>
      </c>
      <c r="F859" s="7" t="n">
        <f aca="false">E859-D859</f>
        <v>3182</v>
      </c>
      <c r="G859" s="8" t="n">
        <f aca="false">IFERROR(F859/D859,0)</f>
        <v>0.0207102132201713</v>
      </c>
      <c r="H859" s="7" t="n">
        <f aca="false">01_Data!G859</f>
        <v>90427</v>
      </c>
      <c r="I859" s="7" t="n">
        <f aca="false">01_Data!H859</f>
        <v>95509</v>
      </c>
      <c r="J859" s="7" t="n">
        <f aca="false">H859-I859</f>
        <v>-5082</v>
      </c>
      <c r="K859" s="8" t="n">
        <f aca="false">IFERROR(J859/H859,0)</f>
        <v>-0.0562000287524744</v>
      </c>
      <c r="L859" s="7" t="n">
        <f aca="false">D859-H859</f>
        <v>63217</v>
      </c>
      <c r="M859" s="7" t="n">
        <f aca="false">E859-I859</f>
        <v>61317</v>
      </c>
      <c r="N859" s="7" t="n">
        <f aca="false">IFERROR(L859/D859,0)</f>
        <v>0.411451146806904</v>
      </c>
      <c r="O859" s="7" t="n">
        <f aca="false">IFERROR(M859/E859,0)</f>
        <v>0.390987463813398</v>
      </c>
      <c r="P859" s="7" t="n">
        <f aca="false">01_Data!I859+01_Data!K859+01_Data!M859+01_Data!O859+01_Data!Q859+01_Data!S859+01_Data!U859</f>
        <v>39714</v>
      </c>
      <c r="Q859" s="7" t="n">
        <f aca="false">01_Data!J859+01_Data!L859+01_Data!N859+01_Data!P859+01_Data!R859+01_Data!T859+01_Data!V859</f>
        <v>39803</v>
      </c>
      <c r="R859" s="7" t="n">
        <f aca="false">P859-Q859</f>
        <v>-89</v>
      </c>
      <c r="S859" s="7" t="n">
        <f aca="false">L859-P859</f>
        <v>23503</v>
      </c>
      <c r="T859" s="7" t="n">
        <f aca="false">M859-Q859</f>
        <v>21514</v>
      </c>
      <c r="U859" s="7" t="n">
        <f aca="false">T859-S859</f>
        <v>-1989</v>
      </c>
      <c r="V859" s="8" t="n">
        <f aca="false">IFERROR(U859/S859,0)</f>
        <v>-0.0846274943624218</v>
      </c>
      <c r="W859" s="5" t="str">
        <f aca="false">IF(V859&lt;-0.1,"ADVERSE &gt;10%","")</f>
        <v/>
      </c>
    </row>
    <row r="860" customFormat="false" ht="15" hidden="false" customHeight="false" outlineLevel="0" collapsed="false">
      <c r="A860" s="5" t="str">
        <f aca="false">01_Data!A860</f>
        <v>Technology &amp; Telecom</v>
      </c>
      <c r="B860" s="5" t="str">
        <f aca="false">01_Data!C860</f>
        <v>2025-10</v>
      </c>
      <c r="C860" s="5" t="str">
        <f aca="false">01_Data!D860</f>
        <v>FY25</v>
      </c>
      <c r="D860" s="7" t="n">
        <f aca="false">01_Data!E860</f>
        <v>147852</v>
      </c>
      <c r="E860" s="7" t="n">
        <f aca="false">01_Data!F860</f>
        <v>147122</v>
      </c>
      <c r="F860" s="7" t="n">
        <f aca="false">E860-D860</f>
        <v>-730</v>
      </c>
      <c r="G860" s="8" t="n">
        <f aca="false">IFERROR(F860/D860,0)</f>
        <v>-0.00493736980223467</v>
      </c>
      <c r="H860" s="7" t="n">
        <f aca="false">01_Data!G860</f>
        <v>82852</v>
      </c>
      <c r="I860" s="7" t="n">
        <f aca="false">01_Data!H860</f>
        <v>83828</v>
      </c>
      <c r="J860" s="7" t="n">
        <f aca="false">H860-I860</f>
        <v>-976</v>
      </c>
      <c r="K860" s="8" t="n">
        <f aca="false">IFERROR(J860/H860,0)</f>
        <v>-0.0117800415198185</v>
      </c>
      <c r="L860" s="7" t="n">
        <f aca="false">D860-H860</f>
        <v>65000</v>
      </c>
      <c r="M860" s="7" t="n">
        <f aca="false">E860-I860</f>
        <v>63294</v>
      </c>
      <c r="N860" s="7" t="n">
        <f aca="false">IFERROR(L860/D860,0)</f>
        <v>0.439628818007196</v>
      </c>
      <c r="O860" s="7" t="n">
        <f aca="false">IFERROR(M860/E860,0)</f>
        <v>0.430214379902394</v>
      </c>
      <c r="P860" s="7" t="n">
        <f aca="false">01_Data!I860+01_Data!K860+01_Data!M860+01_Data!O860+01_Data!Q860+01_Data!S860+01_Data!U860</f>
        <v>41216</v>
      </c>
      <c r="Q860" s="7" t="n">
        <f aca="false">01_Data!J860+01_Data!L860+01_Data!N860+01_Data!P860+01_Data!R860+01_Data!T860+01_Data!V860</f>
        <v>43100</v>
      </c>
      <c r="R860" s="7" t="n">
        <f aca="false">P860-Q860</f>
        <v>-1884</v>
      </c>
      <c r="S860" s="7" t="n">
        <f aca="false">L860-P860</f>
        <v>23784</v>
      </c>
      <c r="T860" s="7" t="n">
        <f aca="false">M860-Q860</f>
        <v>20194</v>
      </c>
      <c r="U860" s="7" t="n">
        <f aca="false">T860-S860</f>
        <v>-3590</v>
      </c>
      <c r="V860" s="8" t="n">
        <f aca="false">IFERROR(U860/S860,0)</f>
        <v>-0.150941809619913</v>
      </c>
      <c r="W860" s="5" t="str">
        <f aca="false">IF(V860&lt;-0.1,"ADVERSE &gt;10%","")</f>
        <v>ADVERSE &gt;10%</v>
      </c>
    </row>
    <row r="861" customFormat="false" ht="15" hidden="false" customHeight="false" outlineLevel="0" collapsed="false">
      <c r="A861" s="5" t="str">
        <f aca="false">01_Data!A861</f>
        <v>Technology &amp; Telecom</v>
      </c>
      <c r="B861" s="5" t="str">
        <f aca="false">01_Data!C861</f>
        <v>2025-11</v>
      </c>
      <c r="C861" s="5" t="str">
        <f aca="false">01_Data!D861</f>
        <v>FY25</v>
      </c>
      <c r="D861" s="7" t="n">
        <f aca="false">01_Data!E861</f>
        <v>157185</v>
      </c>
      <c r="E861" s="7" t="n">
        <f aca="false">01_Data!F861</f>
        <v>150287</v>
      </c>
      <c r="F861" s="7" t="n">
        <f aca="false">E861-D861</f>
        <v>-6898</v>
      </c>
      <c r="G861" s="8" t="n">
        <f aca="false">IFERROR(F861/D861,0)</f>
        <v>-0.0438845945859974</v>
      </c>
      <c r="H861" s="7" t="n">
        <f aca="false">01_Data!G861</f>
        <v>85284</v>
      </c>
      <c r="I861" s="7" t="n">
        <f aca="false">01_Data!H861</f>
        <v>84560</v>
      </c>
      <c r="J861" s="7" t="n">
        <f aca="false">H861-I861</f>
        <v>724</v>
      </c>
      <c r="K861" s="8" t="n">
        <f aca="false">IFERROR(J861/H861,0)</f>
        <v>0.00848928286665729</v>
      </c>
      <c r="L861" s="7" t="n">
        <f aca="false">D861-H861</f>
        <v>71901</v>
      </c>
      <c r="M861" s="7" t="n">
        <f aca="false">E861-I861</f>
        <v>65727</v>
      </c>
      <c r="N861" s="7" t="n">
        <f aca="false">IFERROR(L861/D861,0)</f>
        <v>0.45742914400229</v>
      </c>
      <c r="O861" s="7" t="n">
        <f aca="false">IFERROR(M861/E861,0)</f>
        <v>0.437343216645485</v>
      </c>
      <c r="P861" s="7" t="n">
        <f aca="false">01_Data!I861+01_Data!K861+01_Data!M861+01_Data!O861+01_Data!Q861+01_Data!S861+01_Data!U861</f>
        <v>42792</v>
      </c>
      <c r="Q861" s="7" t="n">
        <f aca="false">01_Data!J861+01_Data!L861+01_Data!N861+01_Data!P861+01_Data!R861+01_Data!T861+01_Data!V861</f>
        <v>42104</v>
      </c>
      <c r="R861" s="7" t="n">
        <f aca="false">P861-Q861</f>
        <v>688</v>
      </c>
      <c r="S861" s="7" t="n">
        <f aca="false">L861-P861</f>
        <v>29109</v>
      </c>
      <c r="T861" s="7" t="n">
        <f aca="false">M861-Q861</f>
        <v>23623</v>
      </c>
      <c r="U861" s="7" t="n">
        <f aca="false">T861-S861</f>
        <v>-5486</v>
      </c>
      <c r="V861" s="8" t="n">
        <f aca="false">IFERROR(U861/S861,0)</f>
        <v>-0.188464048919578</v>
      </c>
      <c r="W861" s="5" t="str">
        <f aca="false">IF(V861&lt;-0.1,"ADVERSE &gt;10%","")</f>
        <v>ADVERSE &gt;10%</v>
      </c>
    </row>
    <row r="862" customFormat="false" ht="15" hidden="false" customHeight="false" outlineLevel="0" collapsed="false">
      <c r="A862" s="5" t="str">
        <f aca="false">01_Data!A862</f>
        <v>Technology &amp; Telecom</v>
      </c>
      <c r="B862" s="5" t="str">
        <f aca="false">01_Data!C862</f>
        <v>2025-12</v>
      </c>
      <c r="C862" s="5" t="str">
        <f aca="false">01_Data!D862</f>
        <v>FY25</v>
      </c>
      <c r="D862" s="7" t="n">
        <f aca="false">01_Data!E862</f>
        <v>154914</v>
      </c>
      <c r="E862" s="7" t="n">
        <f aca="false">01_Data!F862</f>
        <v>160617</v>
      </c>
      <c r="F862" s="7" t="n">
        <f aca="false">E862-D862</f>
        <v>5703</v>
      </c>
      <c r="G862" s="8" t="n">
        <f aca="false">IFERROR(F862/D862,0)</f>
        <v>0.0368139742050428</v>
      </c>
      <c r="H862" s="7" t="n">
        <f aca="false">01_Data!G862</f>
        <v>89537</v>
      </c>
      <c r="I862" s="7" t="n">
        <f aca="false">01_Data!H862</f>
        <v>94083</v>
      </c>
      <c r="J862" s="7" t="n">
        <f aca="false">H862-I862</f>
        <v>-4546</v>
      </c>
      <c r="K862" s="8" t="n">
        <f aca="false">IFERROR(J862/H862,0)</f>
        <v>-0.0507723064208093</v>
      </c>
      <c r="L862" s="7" t="n">
        <f aca="false">D862-H862</f>
        <v>65377</v>
      </c>
      <c r="M862" s="7" t="n">
        <f aca="false">E862-I862</f>
        <v>66534</v>
      </c>
      <c r="N862" s="7" t="n">
        <f aca="false">IFERROR(L862/D862,0)</f>
        <v>0.422021250500278</v>
      </c>
      <c r="O862" s="7" t="n">
        <f aca="false">IFERROR(M862/E862,0)</f>
        <v>0.414240086665795</v>
      </c>
      <c r="P862" s="7" t="n">
        <f aca="false">01_Data!I862+01_Data!K862+01_Data!M862+01_Data!O862+01_Data!Q862+01_Data!S862+01_Data!U862</f>
        <v>39471</v>
      </c>
      <c r="Q862" s="7" t="n">
        <f aca="false">01_Data!J862+01_Data!L862+01_Data!N862+01_Data!P862+01_Data!R862+01_Data!T862+01_Data!V862</f>
        <v>40463</v>
      </c>
      <c r="R862" s="7" t="n">
        <f aca="false">P862-Q862</f>
        <v>-992</v>
      </c>
      <c r="S862" s="7" t="n">
        <f aca="false">L862-P862</f>
        <v>25906</v>
      </c>
      <c r="T862" s="7" t="n">
        <f aca="false">M862-Q862</f>
        <v>26071</v>
      </c>
      <c r="U862" s="7" t="n">
        <f aca="false">T862-S862</f>
        <v>165</v>
      </c>
      <c r="V862" s="8" t="n">
        <f aca="false">IFERROR(U862/S862,0)</f>
        <v>0.00636918088473713</v>
      </c>
      <c r="W862" s="5" t="str">
        <f aca="false">IF(V862&lt;-0.1,"ADVERSE &gt;10%","")</f>
        <v/>
      </c>
    </row>
    <row r="863" customFormat="false" ht="15" hidden="false" customHeight="false" outlineLevel="0" collapsed="false">
      <c r="A863" s="5" t="str">
        <f aca="false">01_Data!A863</f>
        <v>Technology &amp; Telecom</v>
      </c>
      <c r="B863" s="5" t="str">
        <f aca="false">01_Data!C863</f>
        <v>2026-01</v>
      </c>
      <c r="C863" s="5" t="str">
        <f aca="false">01_Data!D863</f>
        <v>FY25</v>
      </c>
      <c r="D863" s="7" t="n">
        <f aca="false">01_Data!E863</f>
        <v>149423</v>
      </c>
      <c r="E863" s="7" t="n">
        <f aca="false">01_Data!F863</f>
        <v>150487</v>
      </c>
      <c r="F863" s="7" t="n">
        <f aca="false">E863-D863</f>
        <v>1064</v>
      </c>
      <c r="G863" s="8" t="n">
        <f aca="false">IFERROR(F863/D863,0)</f>
        <v>0.0071207243864733</v>
      </c>
      <c r="H863" s="7" t="n">
        <f aca="false">01_Data!G863</f>
        <v>89201</v>
      </c>
      <c r="I863" s="7" t="n">
        <f aca="false">01_Data!H863</f>
        <v>91665</v>
      </c>
      <c r="J863" s="7" t="n">
        <f aca="false">H863-I863</f>
        <v>-2464</v>
      </c>
      <c r="K863" s="8" t="n">
        <f aca="false">IFERROR(J863/H863,0)</f>
        <v>-0.0276230087106647</v>
      </c>
      <c r="L863" s="7" t="n">
        <f aca="false">D863-H863</f>
        <v>60222</v>
      </c>
      <c r="M863" s="7" t="n">
        <f aca="false">E863-I863</f>
        <v>58822</v>
      </c>
      <c r="N863" s="7" t="n">
        <f aca="false">IFERROR(L863/D863,0)</f>
        <v>0.403030323310334</v>
      </c>
      <c r="O863" s="7" t="n">
        <f aca="false">IFERROR(M863/E863,0)</f>
        <v>0.390877617335717</v>
      </c>
      <c r="P863" s="7" t="n">
        <f aca="false">01_Data!I863+01_Data!K863+01_Data!M863+01_Data!O863+01_Data!Q863+01_Data!S863+01_Data!U863</f>
        <v>38966</v>
      </c>
      <c r="Q863" s="7" t="n">
        <f aca="false">01_Data!J863+01_Data!L863+01_Data!N863+01_Data!P863+01_Data!R863+01_Data!T863+01_Data!V863</f>
        <v>37908</v>
      </c>
      <c r="R863" s="7" t="n">
        <f aca="false">P863-Q863</f>
        <v>1058</v>
      </c>
      <c r="S863" s="7" t="n">
        <f aca="false">L863-P863</f>
        <v>21256</v>
      </c>
      <c r="T863" s="7" t="n">
        <f aca="false">M863-Q863</f>
        <v>20914</v>
      </c>
      <c r="U863" s="7" t="n">
        <f aca="false">T863-S863</f>
        <v>-342</v>
      </c>
      <c r="V863" s="8" t="n">
        <f aca="false">IFERROR(U863/S863,0)</f>
        <v>-0.0160895747083177</v>
      </c>
      <c r="W863" s="5" t="str">
        <f aca="false">IF(V863&lt;-0.1,"ADVERSE &gt;10%","")</f>
        <v/>
      </c>
    </row>
    <row r="864" customFormat="false" ht="15" hidden="false" customHeight="false" outlineLevel="0" collapsed="false">
      <c r="A864" s="5" t="str">
        <f aca="false">01_Data!A864</f>
        <v>Technology &amp; Telecom</v>
      </c>
      <c r="B864" s="5" t="str">
        <f aca="false">01_Data!C864</f>
        <v>2026-02</v>
      </c>
      <c r="C864" s="5" t="str">
        <f aca="false">01_Data!D864</f>
        <v>FY25</v>
      </c>
      <c r="D864" s="7" t="n">
        <f aca="false">01_Data!E864</f>
        <v>147348</v>
      </c>
      <c r="E864" s="7" t="n">
        <f aca="false">01_Data!F864</f>
        <v>153033</v>
      </c>
      <c r="F864" s="7" t="n">
        <f aca="false">E864-D864</f>
        <v>5685</v>
      </c>
      <c r="G864" s="8" t="n">
        <f aca="false">IFERROR(F864/D864,0)</f>
        <v>0.0385821320954475</v>
      </c>
      <c r="H864" s="7" t="n">
        <f aca="false">01_Data!G864</f>
        <v>80124</v>
      </c>
      <c r="I864" s="7" t="n">
        <f aca="false">01_Data!H864</f>
        <v>81687</v>
      </c>
      <c r="J864" s="7" t="n">
        <f aca="false">H864-I864</f>
        <v>-1563</v>
      </c>
      <c r="K864" s="8" t="n">
        <f aca="false">IFERROR(J864/H864,0)</f>
        <v>-0.0195072637412011</v>
      </c>
      <c r="L864" s="7" t="n">
        <f aca="false">D864-H864</f>
        <v>67224</v>
      </c>
      <c r="M864" s="7" t="n">
        <f aca="false">E864-I864</f>
        <v>71346</v>
      </c>
      <c r="N864" s="7" t="n">
        <f aca="false">IFERROR(L864/D864,0)</f>
        <v>0.456226077042104</v>
      </c>
      <c r="O864" s="7" t="n">
        <f aca="false">IFERROR(M864/E864,0)</f>
        <v>0.466213169708494</v>
      </c>
      <c r="P864" s="7" t="n">
        <f aca="false">01_Data!I864+01_Data!K864+01_Data!M864+01_Data!O864+01_Data!Q864+01_Data!S864+01_Data!U864</f>
        <v>34875</v>
      </c>
      <c r="Q864" s="7" t="n">
        <f aca="false">01_Data!J864+01_Data!L864+01_Data!N864+01_Data!P864+01_Data!R864+01_Data!T864+01_Data!V864</f>
        <v>35930</v>
      </c>
      <c r="R864" s="7" t="n">
        <f aca="false">P864-Q864</f>
        <v>-1055</v>
      </c>
      <c r="S864" s="7" t="n">
        <f aca="false">L864-P864</f>
        <v>32349</v>
      </c>
      <c r="T864" s="7" t="n">
        <f aca="false">M864-Q864</f>
        <v>35416</v>
      </c>
      <c r="U864" s="7" t="n">
        <f aca="false">T864-S864</f>
        <v>3067</v>
      </c>
      <c r="V864" s="8" t="n">
        <f aca="false">IFERROR(U864/S864,0)</f>
        <v>0.0948097313672757</v>
      </c>
      <c r="W864" s="5" t="str">
        <f aca="false">IF(V864&lt;-0.1,"ADVERSE &gt;10%","")</f>
        <v/>
      </c>
    </row>
    <row r="865" customFormat="false" ht="15" hidden="false" customHeight="false" outlineLevel="0" collapsed="false">
      <c r="A865" s="5" t="str">
        <f aca="false">01_Data!A865</f>
        <v>Technology &amp; Telecom</v>
      </c>
      <c r="B865" s="5" t="str">
        <f aca="false">01_Data!C865</f>
        <v>2026-03</v>
      </c>
      <c r="C865" s="5" t="str">
        <f aca="false">01_Data!D865</f>
        <v>FY25</v>
      </c>
      <c r="D865" s="7" t="n">
        <f aca="false">01_Data!E865</f>
        <v>163868</v>
      </c>
      <c r="E865" s="7" t="n">
        <f aca="false">01_Data!F865</f>
        <v>164427</v>
      </c>
      <c r="F865" s="7" t="n">
        <f aca="false">E865-D865</f>
        <v>559</v>
      </c>
      <c r="G865" s="8" t="n">
        <f aca="false">IFERROR(F865/D865,0)</f>
        <v>0.00341128225156834</v>
      </c>
      <c r="H865" s="7" t="n">
        <f aca="false">01_Data!G865</f>
        <v>93588</v>
      </c>
      <c r="I865" s="7" t="n">
        <f aca="false">01_Data!H865</f>
        <v>91335</v>
      </c>
      <c r="J865" s="7" t="n">
        <f aca="false">H865-I865</f>
        <v>2253</v>
      </c>
      <c r="K865" s="8" t="n">
        <f aca="false">IFERROR(J865/H865,0)</f>
        <v>0.024073599179382</v>
      </c>
      <c r="L865" s="7" t="n">
        <f aca="false">D865-H865</f>
        <v>70280</v>
      </c>
      <c r="M865" s="7" t="n">
        <f aca="false">E865-I865</f>
        <v>73092</v>
      </c>
      <c r="N865" s="7" t="n">
        <f aca="false">IFERROR(L865/D865,0)</f>
        <v>0.42888178289843</v>
      </c>
      <c r="O865" s="7" t="n">
        <f aca="false">IFERROR(M865/E865,0)</f>
        <v>0.444525534127607</v>
      </c>
      <c r="P865" s="7" t="n">
        <f aca="false">01_Data!I865+01_Data!K865+01_Data!M865+01_Data!O865+01_Data!Q865+01_Data!S865+01_Data!U865</f>
        <v>44139</v>
      </c>
      <c r="Q865" s="7" t="n">
        <f aca="false">01_Data!J865+01_Data!L865+01_Data!N865+01_Data!P865+01_Data!R865+01_Data!T865+01_Data!V865</f>
        <v>46603</v>
      </c>
      <c r="R865" s="7" t="n">
        <f aca="false">P865-Q865</f>
        <v>-2464</v>
      </c>
      <c r="S865" s="7" t="n">
        <f aca="false">L865-P865</f>
        <v>26141</v>
      </c>
      <c r="T865" s="7" t="n">
        <f aca="false">M865-Q865</f>
        <v>26489</v>
      </c>
      <c r="U865" s="7" t="n">
        <f aca="false">T865-S865</f>
        <v>348</v>
      </c>
      <c r="V865" s="8" t="n">
        <f aca="false">IFERROR(U865/S865,0)</f>
        <v>0.0133124211009525</v>
      </c>
      <c r="W865" s="5" t="str">
        <f aca="false">IF(V865&lt;-0.1,"ADVERSE &gt;10%","")</f>
        <v/>
      </c>
    </row>
    <row r="866" customFormat="false" ht="15" hidden="false" customHeight="false" outlineLevel="0" collapsed="false">
      <c r="A866" s="5" t="str">
        <f aca="false">01_Data!A866</f>
        <v>Public Sector</v>
      </c>
      <c r="B866" s="5" t="str">
        <f aca="false">01_Data!C866</f>
        <v>2023-04</v>
      </c>
      <c r="C866" s="5" t="str">
        <f aca="false">01_Data!D866</f>
        <v>FY23</v>
      </c>
      <c r="D866" s="7" t="n">
        <f aca="false">01_Data!E866</f>
        <v>210344</v>
      </c>
      <c r="E866" s="7" t="n">
        <f aca="false">01_Data!F866</f>
        <v>211522</v>
      </c>
      <c r="F866" s="7" t="n">
        <f aca="false">E866-D866</f>
        <v>1178</v>
      </c>
      <c r="G866" s="8" t="n">
        <f aca="false">IFERROR(F866/D866,0)</f>
        <v>0.00560034990301601</v>
      </c>
      <c r="H866" s="7" t="n">
        <f aca="false">01_Data!G866</f>
        <v>124940</v>
      </c>
      <c r="I866" s="7" t="n">
        <f aca="false">01_Data!H866</f>
        <v>127266</v>
      </c>
      <c r="J866" s="7" t="n">
        <f aca="false">H866-I866</f>
        <v>-2326</v>
      </c>
      <c r="K866" s="8" t="n">
        <f aca="false">IFERROR(J866/H866,0)</f>
        <v>-0.0186169361293421</v>
      </c>
      <c r="L866" s="7" t="n">
        <f aca="false">D866-H866</f>
        <v>85404</v>
      </c>
      <c r="M866" s="7" t="n">
        <f aca="false">E866-I866</f>
        <v>84256</v>
      </c>
      <c r="N866" s="7" t="n">
        <f aca="false">IFERROR(L866/D866,0)</f>
        <v>0.406020613851596</v>
      </c>
      <c r="O866" s="7" t="n">
        <f aca="false">IFERROR(M866/E866,0)</f>
        <v>0.398332088387969</v>
      </c>
      <c r="P866" s="7" t="n">
        <f aca="false">01_Data!I866+01_Data!K866+01_Data!M866+01_Data!O866+01_Data!Q866+01_Data!S866+01_Data!U866</f>
        <v>59185</v>
      </c>
      <c r="Q866" s="7" t="n">
        <f aca="false">01_Data!J866+01_Data!L866+01_Data!N866+01_Data!P866+01_Data!R866+01_Data!T866+01_Data!V866</f>
        <v>58896</v>
      </c>
      <c r="R866" s="7" t="n">
        <f aca="false">P866-Q866</f>
        <v>289</v>
      </c>
      <c r="S866" s="7" t="n">
        <f aca="false">L866-P866</f>
        <v>26219</v>
      </c>
      <c r="T866" s="7" t="n">
        <f aca="false">M866-Q866</f>
        <v>25360</v>
      </c>
      <c r="U866" s="7" t="n">
        <f aca="false">T866-S866</f>
        <v>-859</v>
      </c>
      <c r="V866" s="8" t="n">
        <f aca="false">IFERROR(U866/S866,0)</f>
        <v>-0.0327625004767535</v>
      </c>
      <c r="W866" s="5" t="str">
        <f aca="false">IF(V866&lt;-0.1,"ADVERSE &gt;10%","")</f>
        <v/>
      </c>
    </row>
    <row r="867" customFormat="false" ht="15" hidden="false" customHeight="false" outlineLevel="0" collapsed="false">
      <c r="A867" s="5" t="str">
        <f aca="false">01_Data!A867</f>
        <v>Public Sector</v>
      </c>
      <c r="B867" s="5" t="str">
        <f aca="false">01_Data!C867</f>
        <v>2023-05</v>
      </c>
      <c r="C867" s="5" t="str">
        <f aca="false">01_Data!D867</f>
        <v>FY23</v>
      </c>
      <c r="D867" s="7" t="n">
        <f aca="false">01_Data!E867</f>
        <v>229116</v>
      </c>
      <c r="E867" s="7" t="n">
        <f aca="false">01_Data!F867</f>
        <v>217212</v>
      </c>
      <c r="F867" s="7" t="n">
        <f aca="false">E867-D867</f>
        <v>-11904</v>
      </c>
      <c r="G867" s="8" t="n">
        <f aca="false">IFERROR(F867/D867,0)</f>
        <v>-0.0519562143193841</v>
      </c>
      <c r="H867" s="7" t="n">
        <f aca="false">01_Data!G867</f>
        <v>136454</v>
      </c>
      <c r="I867" s="7" t="n">
        <f aca="false">01_Data!H867</f>
        <v>128558</v>
      </c>
      <c r="J867" s="7" t="n">
        <f aca="false">H867-I867</f>
        <v>7896</v>
      </c>
      <c r="K867" s="8" t="n">
        <f aca="false">IFERROR(J867/H867,0)</f>
        <v>0.057865654359711</v>
      </c>
      <c r="L867" s="7" t="n">
        <f aca="false">D867-H867</f>
        <v>92662</v>
      </c>
      <c r="M867" s="7" t="n">
        <f aca="false">E867-I867</f>
        <v>88654</v>
      </c>
      <c r="N867" s="7" t="n">
        <f aca="false">IFERROR(L867/D867,0)</f>
        <v>0.404432689118176</v>
      </c>
      <c r="O867" s="7" t="n">
        <f aca="false">IFERROR(M867/E867,0)</f>
        <v>0.408145038027365</v>
      </c>
      <c r="P867" s="7" t="n">
        <f aca="false">01_Data!I867+01_Data!K867+01_Data!M867+01_Data!O867+01_Data!Q867+01_Data!S867+01_Data!U867</f>
        <v>60645</v>
      </c>
      <c r="Q867" s="7" t="n">
        <f aca="false">01_Data!J867+01_Data!L867+01_Data!N867+01_Data!P867+01_Data!R867+01_Data!T867+01_Data!V867</f>
        <v>63520</v>
      </c>
      <c r="R867" s="7" t="n">
        <f aca="false">P867-Q867</f>
        <v>-2875</v>
      </c>
      <c r="S867" s="7" t="n">
        <f aca="false">L867-P867</f>
        <v>32017</v>
      </c>
      <c r="T867" s="7" t="n">
        <f aca="false">M867-Q867</f>
        <v>25134</v>
      </c>
      <c r="U867" s="7" t="n">
        <f aca="false">T867-S867</f>
        <v>-6883</v>
      </c>
      <c r="V867" s="8" t="n">
        <f aca="false">IFERROR(U867/S867,0)</f>
        <v>-0.21497954211825</v>
      </c>
      <c r="W867" s="5" t="str">
        <f aca="false">IF(V867&lt;-0.1,"ADVERSE &gt;10%","")</f>
        <v>ADVERSE &gt;10%</v>
      </c>
    </row>
    <row r="868" customFormat="false" ht="15" hidden="false" customHeight="false" outlineLevel="0" collapsed="false">
      <c r="A868" s="5" t="str">
        <f aca="false">01_Data!A868</f>
        <v>Public Sector</v>
      </c>
      <c r="B868" s="5" t="str">
        <f aca="false">01_Data!C868</f>
        <v>2023-06</v>
      </c>
      <c r="C868" s="5" t="str">
        <f aca="false">01_Data!D868</f>
        <v>FY23</v>
      </c>
      <c r="D868" s="7" t="n">
        <f aca="false">01_Data!E868</f>
        <v>207992</v>
      </c>
      <c r="E868" s="7" t="n">
        <f aca="false">01_Data!F868</f>
        <v>216661</v>
      </c>
      <c r="F868" s="7" t="n">
        <f aca="false">E868-D868</f>
        <v>8669</v>
      </c>
      <c r="G868" s="8" t="n">
        <f aca="false">IFERROR(F868/D868,0)</f>
        <v>0.0416794876726028</v>
      </c>
      <c r="H868" s="7" t="n">
        <f aca="false">01_Data!G868</f>
        <v>120469</v>
      </c>
      <c r="I868" s="7" t="n">
        <f aca="false">01_Data!H868</f>
        <v>128767</v>
      </c>
      <c r="J868" s="7" t="n">
        <f aca="false">H868-I868</f>
        <v>-8298</v>
      </c>
      <c r="K868" s="8" t="n">
        <f aca="false">IFERROR(J868/H868,0)</f>
        <v>-0.0688807909088645</v>
      </c>
      <c r="L868" s="7" t="n">
        <f aca="false">D868-H868</f>
        <v>87523</v>
      </c>
      <c r="M868" s="7" t="n">
        <f aca="false">E868-I868</f>
        <v>87894</v>
      </c>
      <c r="N868" s="7" t="n">
        <f aca="false">IFERROR(L868/D868,0)</f>
        <v>0.420799838455325</v>
      </c>
      <c r="O868" s="7" t="n">
        <f aca="false">IFERROR(M868/E868,0)</f>
        <v>0.405675225352048</v>
      </c>
      <c r="P868" s="7" t="n">
        <f aca="false">01_Data!I868+01_Data!K868+01_Data!M868+01_Data!O868+01_Data!Q868+01_Data!S868+01_Data!U868</f>
        <v>56440</v>
      </c>
      <c r="Q868" s="7" t="n">
        <f aca="false">01_Data!J868+01_Data!L868+01_Data!N868+01_Data!P868+01_Data!R868+01_Data!T868+01_Data!V868</f>
        <v>56622</v>
      </c>
      <c r="R868" s="7" t="n">
        <f aca="false">P868-Q868</f>
        <v>-182</v>
      </c>
      <c r="S868" s="7" t="n">
        <f aca="false">L868-P868</f>
        <v>31083</v>
      </c>
      <c r="T868" s="7" t="n">
        <f aca="false">M868-Q868</f>
        <v>31272</v>
      </c>
      <c r="U868" s="7" t="n">
        <f aca="false">T868-S868</f>
        <v>189</v>
      </c>
      <c r="V868" s="8" t="n">
        <f aca="false">IFERROR(U868/S868,0)</f>
        <v>0.00608049416079529</v>
      </c>
      <c r="W868" s="5" t="str">
        <f aca="false">IF(V868&lt;-0.1,"ADVERSE &gt;10%","")</f>
        <v/>
      </c>
    </row>
    <row r="869" customFormat="false" ht="15" hidden="false" customHeight="false" outlineLevel="0" collapsed="false">
      <c r="A869" s="5" t="str">
        <f aca="false">01_Data!A869</f>
        <v>Public Sector</v>
      </c>
      <c r="B869" s="5" t="str">
        <f aca="false">01_Data!C869</f>
        <v>2023-07</v>
      </c>
      <c r="C869" s="5" t="str">
        <f aca="false">01_Data!D869</f>
        <v>FY23</v>
      </c>
      <c r="D869" s="7" t="n">
        <f aca="false">01_Data!E869</f>
        <v>224169</v>
      </c>
      <c r="E869" s="7" t="n">
        <f aca="false">01_Data!F869</f>
        <v>222274</v>
      </c>
      <c r="F869" s="7" t="n">
        <f aca="false">E869-D869</f>
        <v>-1895</v>
      </c>
      <c r="G869" s="8" t="n">
        <f aca="false">IFERROR(F869/D869,0)</f>
        <v>-0.00845344360727844</v>
      </c>
      <c r="H869" s="7" t="n">
        <f aca="false">01_Data!G869</f>
        <v>124562</v>
      </c>
      <c r="I869" s="7" t="n">
        <f aca="false">01_Data!H869</f>
        <v>121886</v>
      </c>
      <c r="J869" s="7" t="n">
        <f aca="false">H869-I869</f>
        <v>2676</v>
      </c>
      <c r="K869" s="8" t="n">
        <f aca="false">IFERROR(J869/H869,0)</f>
        <v>0.0214832774040237</v>
      </c>
      <c r="L869" s="7" t="n">
        <f aca="false">D869-H869</f>
        <v>99607</v>
      </c>
      <c r="M869" s="7" t="n">
        <f aca="false">E869-I869</f>
        <v>100388</v>
      </c>
      <c r="N869" s="7" t="n">
        <f aca="false">IFERROR(L869/D869,0)</f>
        <v>0.444338869335189</v>
      </c>
      <c r="O869" s="7" t="n">
        <f aca="false">IFERROR(M869/E869,0)</f>
        <v>0.451640767701126</v>
      </c>
      <c r="P869" s="7" t="n">
        <f aca="false">01_Data!I869+01_Data!K869+01_Data!M869+01_Data!O869+01_Data!Q869+01_Data!S869+01_Data!U869</f>
        <v>61000</v>
      </c>
      <c r="Q869" s="7" t="n">
        <f aca="false">01_Data!J869+01_Data!L869+01_Data!N869+01_Data!P869+01_Data!R869+01_Data!T869+01_Data!V869</f>
        <v>63537</v>
      </c>
      <c r="R869" s="7" t="n">
        <f aca="false">P869-Q869</f>
        <v>-2537</v>
      </c>
      <c r="S869" s="7" t="n">
        <f aca="false">L869-P869</f>
        <v>38607</v>
      </c>
      <c r="T869" s="7" t="n">
        <f aca="false">M869-Q869</f>
        <v>36851</v>
      </c>
      <c r="U869" s="7" t="n">
        <f aca="false">T869-S869</f>
        <v>-1756</v>
      </c>
      <c r="V869" s="8" t="n">
        <f aca="false">IFERROR(U869/S869,0)</f>
        <v>-0.0454839795891937</v>
      </c>
      <c r="W869" s="5" t="str">
        <f aca="false">IF(V869&lt;-0.1,"ADVERSE &gt;10%","")</f>
        <v/>
      </c>
    </row>
    <row r="870" customFormat="false" ht="15" hidden="false" customHeight="false" outlineLevel="0" collapsed="false">
      <c r="A870" s="5" t="str">
        <f aca="false">01_Data!A870</f>
        <v>Public Sector</v>
      </c>
      <c r="B870" s="5" t="str">
        <f aca="false">01_Data!C870</f>
        <v>2023-08</v>
      </c>
      <c r="C870" s="5" t="str">
        <f aca="false">01_Data!D870</f>
        <v>FY23</v>
      </c>
      <c r="D870" s="7" t="n">
        <f aca="false">01_Data!E870</f>
        <v>226806</v>
      </c>
      <c r="E870" s="7" t="n">
        <f aca="false">01_Data!F870</f>
        <v>227666</v>
      </c>
      <c r="F870" s="7" t="n">
        <f aca="false">E870-D870</f>
        <v>860</v>
      </c>
      <c r="G870" s="8" t="n">
        <f aca="false">IFERROR(F870/D870,0)</f>
        <v>0.0037917868134</v>
      </c>
      <c r="H870" s="7" t="n">
        <f aca="false">01_Data!G870</f>
        <v>129647</v>
      </c>
      <c r="I870" s="7" t="n">
        <f aca="false">01_Data!H870</f>
        <v>131251</v>
      </c>
      <c r="J870" s="7" t="n">
        <f aca="false">H870-I870</f>
        <v>-1604</v>
      </c>
      <c r="K870" s="8" t="n">
        <f aca="false">IFERROR(J870/H870,0)</f>
        <v>-0.0123720564301526</v>
      </c>
      <c r="L870" s="7" t="n">
        <f aca="false">D870-H870</f>
        <v>97159</v>
      </c>
      <c r="M870" s="7" t="n">
        <f aca="false">E870-I870</f>
        <v>96415</v>
      </c>
      <c r="N870" s="7" t="n">
        <f aca="false">IFERROR(L870/D870,0)</f>
        <v>0.428379319771082</v>
      </c>
      <c r="O870" s="7" t="n">
        <f aca="false">IFERROR(M870/E870,0)</f>
        <v>0.423493187388543</v>
      </c>
      <c r="P870" s="7" t="n">
        <f aca="false">01_Data!I870+01_Data!K870+01_Data!M870+01_Data!O870+01_Data!Q870+01_Data!S870+01_Data!U870</f>
        <v>60705</v>
      </c>
      <c r="Q870" s="7" t="n">
        <f aca="false">01_Data!J870+01_Data!L870+01_Data!N870+01_Data!P870+01_Data!R870+01_Data!T870+01_Data!V870</f>
        <v>60800</v>
      </c>
      <c r="R870" s="7" t="n">
        <f aca="false">P870-Q870</f>
        <v>-95</v>
      </c>
      <c r="S870" s="7" t="n">
        <f aca="false">L870-P870</f>
        <v>36454</v>
      </c>
      <c r="T870" s="7" t="n">
        <f aca="false">M870-Q870</f>
        <v>35615</v>
      </c>
      <c r="U870" s="7" t="n">
        <f aca="false">T870-S870</f>
        <v>-839</v>
      </c>
      <c r="V870" s="8" t="n">
        <f aca="false">IFERROR(U870/S870,0)</f>
        <v>-0.0230153069621989</v>
      </c>
      <c r="W870" s="5" t="str">
        <f aca="false">IF(V870&lt;-0.1,"ADVERSE &gt;10%","")</f>
        <v/>
      </c>
    </row>
    <row r="871" customFormat="false" ht="15" hidden="false" customHeight="false" outlineLevel="0" collapsed="false">
      <c r="A871" s="5" t="str">
        <f aca="false">01_Data!A871</f>
        <v>Public Sector</v>
      </c>
      <c r="B871" s="5" t="str">
        <f aca="false">01_Data!C871</f>
        <v>2023-09</v>
      </c>
      <c r="C871" s="5" t="str">
        <f aca="false">01_Data!D871</f>
        <v>FY23</v>
      </c>
      <c r="D871" s="7" t="n">
        <f aca="false">01_Data!E871</f>
        <v>264407</v>
      </c>
      <c r="E871" s="7" t="n">
        <f aca="false">01_Data!F871</f>
        <v>253371</v>
      </c>
      <c r="F871" s="7" t="n">
        <f aca="false">E871-D871</f>
        <v>-11036</v>
      </c>
      <c r="G871" s="8" t="n">
        <f aca="false">IFERROR(F871/D871,0)</f>
        <v>-0.041738683166482</v>
      </c>
      <c r="H871" s="7" t="n">
        <f aca="false">01_Data!G871</f>
        <v>151473</v>
      </c>
      <c r="I871" s="7" t="n">
        <f aca="false">01_Data!H871</f>
        <v>142278</v>
      </c>
      <c r="J871" s="7" t="n">
        <f aca="false">H871-I871</f>
        <v>9195</v>
      </c>
      <c r="K871" s="8" t="n">
        <f aca="false">IFERROR(J871/H871,0)</f>
        <v>0.060703887821592</v>
      </c>
      <c r="L871" s="7" t="n">
        <f aca="false">D871-H871</f>
        <v>112934</v>
      </c>
      <c r="M871" s="7" t="n">
        <f aca="false">E871-I871</f>
        <v>111093</v>
      </c>
      <c r="N871" s="7" t="n">
        <f aca="false">IFERROR(L871/D871,0)</f>
        <v>0.427121823552327</v>
      </c>
      <c r="O871" s="7" t="n">
        <f aca="false">IFERROR(M871/E871,0)</f>
        <v>0.438459807949608</v>
      </c>
      <c r="P871" s="7" t="n">
        <f aca="false">01_Data!I871+01_Data!K871+01_Data!M871+01_Data!O871+01_Data!Q871+01_Data!S871+01_Data!U871</f>
        <v>74945</v>
      </c>
      <c r="Q871" s="7" t="n">
        <f aca="false">01_Data!J871+01_Data!L871+01_Data!N871+01_Data!P871+01_Data!R871+01_Data!T871+01_Data!V871</f>
        <v>76499</v>
      </c>
      <c r="R871" s="7" t="n">
        <f aca="false">P871-Q871</f>
        <v>-1554</v>
      </c>
      <c r="S871" s="7" t="n">
        <f aca="false">L871-P871</f>
        <v>37989</v>
      </c>
      <c r="T871" s="7" t="n">
        <f aca="false">M871-Q871</f>
        <v>34594</v>
      </c>
      <c r="U871" s="7" t="n">
        <f aca="false">T871-S871</f>
        <v>-3395</v>
      </c>
      <c r="V871" s="8" t="n">
        <f aca="false">IFERROR(U871/S871,0)</f>
        <v>-0.0893679749401142</v>
      </c>
      <c r="W871" s="5" t="str">
        <f aca="false">IF(V871&lt;-0.1,"ADVERSE &gt;10%","")</f>
        <v/>
      </c>
    </row>
    <row r="872" customFormat="false" ht="15" hidden="false" customHeight="false" outlineLevel="0" collapsed="false">
      <c r="A872" s="5" t="str">
        <f aca="false">01_Data!A872</f>
        <v>Public Sector</v>
      </c>
      <c r="B872" s="5" t="str">
        <f aca="false">01_Data!C872</f>
        <v>2023-10</v>
      </c>
      <c r="C872" s="5" t="str">
        <f aca="false">01_Data!D872</f>
        <v>FY23</v>
      </c>
      <c r="D872" s="7" t="n">
        <f aca="false">01_Data!E872</f>
        <v>225325</v>
      </c>
      <c r="E872" s="7" t="n">
        <f aca="false">01_Data!F872</f>
        <v>234187</v>
      </c>
      <c r="F872" s="7" t="n">
        <f aca="false">E872-D872</f>
        <v>8862</v>
      </c>
      <c r="G872" s="8" t="n">
        <f aca="false">IFERROR(F872/D872,0)</f>
        <v>0.0393298568734051</v>
      </c>
      <c r="H872" s="7" t="n">
        <f aca="false">01_Data!G872</f>
        <v>130293</v>
      </c>
      <c r="I872" s="7" t="n">
        <f aca="false">01_Data!H872</f>
        <v>135351</v>
      </c>
      <c r="J872" s="7" t="n">
        <f aca="false">H872-I872</f>
        <v>-5058</v>
      </c>
      <c r="K872" s="8" t="n">
        <f aca="false">IFERROR(J872/H872,0)</f>
        <v>-0.038820197554742</v>
      </c>
      <c r="L872" s="7" t="n">
        <f aca="false">D872-H872</f>
        <v>95032</v>
      </c>
      <c r="M872" s="7" t="n">
        <f aca="false">E872-I872</f>
        <v>98836</v>
      </c>
      <c r="N872" s="7" t="n">
        <f aca="false">IFERROR(L872/D872,0)</f>
        <v>0.421755242427605</v>
      </c>
      <c r="O872" s="7" t="n">
        <f aca="false">IFERROR(M872/E872,0)</f>
        <v>0.422038798054546</v>
      </c>
      <c r="P872" s="7" t="n">
        <f aca="false">01_Data!I872+01_Data!K872+01_Data!M872+01_Data!O872+01_Data!Q872+01_Data!S872+01_Data!U872</f>
        <v>59318</v>
      </c>
      <c r="Q872" s="7" t="n">
        <f aca="false">01_Data!J872+01_Data!L872+01_Data!N872+01_Data!P872+01_Data!R872+01_Data!T872+01_Data!V872</f>
        <v>62633</v>
      </c>
      <c r="R872" s="7" t="n">
        <f aca="false">P872-Q872</f>
        <v>-3315</v>
      </c>
      <c r="S872" s="7" t="n">
        <f aca="false">L872-P872</f>
        <v>35714</v>
      </c>
      <c r="T872" s="7" t="n">
        <f aca="false">M872-Q872</f>
        <v>36203</v>
      </c>
      <c r="U872" s="7" t="n">
        <f aca="false">T872-S872</f>
        <v>489</v>
      </c>
      <c r="V872" s="8" t="n">
        <f aca="false">IFERROR(U872/S872,0)</f>
        <v>0.0136921095368763</v>
      </c>
      <c r="W872" s="5" t="str">
        <f aca="false">IF(V872&lt;-0.1,"ADVERSE &gt;10%","")</f>
        <v/>
      </c>
    </row>
    <row r="873" customFormat="false" ht="15" hidden="false" customHeight="false" outlineLevel="0" collapsed="false">
      <c r="A873" s="5" t="str">
        <f aca="false">01_Data!A873</f>
        <v>Public Sector</v>
      </c>
      <c r="B873" s="5" t="str">
        <f aca="false">01_Data!C873</f>
        <v>2023-11</v>
      </c>
      <c r="C873" s="5" t="str">
        <f aca="false">01_Data!D873</f>
        <v>FY23</v>
      </c>
      <c r="D873" s="7" t="n">
        <f aca="false">01_Data!E873</f>
        <v>241317</v>
      </c>
      <c r="E873" s="7" t="n">
        <f aca="false">01_Data!F873</f>
        <v>231986</v>
      </c>
      <c r="F873" s="7" t="n">
        <f aca="false">E873-D873</f>
        <v>-9331</v>
      </c>
      <c r="G873" s="8" t="n">
        <f aca="false">IFERROR(F873/D873,0)</f>
        <v>-0.0386669816051086</v>
      </c>
      <c r="H873" s="7" t="n">
        <f aca="false">01_Data!G873</f>
        <v>132671</v>
      </c>
      <c r="I873" s="7" t="n">
        <f aca="false">01_Data!H873</f>
        <v>125338</v>
      </c>
      <c r="J873" s="7" t="n">
        <f aca="false">H873-I873</f>
        <v>7333</v>
      </c>
      <c r="K873" s="8" t="n">
        <f aca="false">IFERROR(J873/H873,0)</f>
        <v>0.0552720639778098</v>
      </c>
      <c r="L873" s="7" t="n">
        <f aca="false">D873-H873</f>
        <v>108646</v>
      </c>
      <c r="M873" s="7" t="n">
        <f aca="false">E873-I873</f>
        <v>106648</v>
      </c>
      <c r="N873" s="7" t="n">
        <f aca="false">IFERROR(L873/D873,0)</f>
        <v>0.450221078498407</v>
      </c>
      <c r="O873" s="7" t="n">
        <f aca="false">IFERROR(M873/E873,0)</f>
        <v>0.459717396739458</v>
      </c>
      <c r="P873" s="7" t="n">
        <f aca="false">01_Data!I873+01_Data!K873+01_Data!M873+01_Data!O873+01_Data!Q873+01_Data!S873+01_Data!U873</f>
        <v>66920</v>
      </c>
      <c r="Q873" s="7" t="n">
        <f aca="false">01_Data!J873+01_Data!L873+01_Data!N873+01_Data!P873+01_Data!R873+01_Data!T873+01_Data!V873</f>
        <v>68948</v>
      </c>
      <c r="R873" s="7" t="n">
        <f aca="false">P873-Q873</f>
        <v>-2028</v>
      </c>
      <c r="S873" s="7" t="n">
        <f aca="false">L873-P873</f>
        <v>41726</v>
      </c>
      <c r="T873" s="7" t="n">
        <f aca="false">M873-Q873</f>
        <v>37700</v>
      </c>
      <c r="U873" s="7" t="n">
        <f aca="false">T873-S873</f>
        <v>-4026</v>
      </c>
      <c r="V873" s="8" t="n">
        <f aca="false">IFERROR(U873/S873,0)</f>
        <v>-0.096486603077218</v>
      </c>
      <c r="W873" s="5" t="str">
        <f aca="false">IF(V873&lt;-0.1,"ADVERSE &gt;10%","")</f>
        <v/>
      </c>
    </row>
    <row r="874" customFormat="false" ht="15" hidden="false" customHeight="false" outlineLevel="0" collapsed="false">
      <c r="A874" s="5" t="str">
        <f aca="false">01_Data!A874</f>
        <v>Public Sector</v>
      </c>
      <c r="B874" s="5" t="str">
        <f aca="false">01_Data!C874</f>
        <v>2023-12</v>
      </c>
      <c r="C874" s="5" t="str">
        <f aca="false">01_Data!D874</f>
        <v>FY23</v>
      </c>
      <c r="D874" s="7" t="n">
        <f aca="false">01_Data!E874</f>
        <v>248115</v>
      </c>
      <c r="E874" s="7" t="n">
        <f aca="false">01_Data!F874</f>
        <v>257610</v>
      </c>
      <c r="F874" s="7" t="n">
        <f aca="false">E874-D874</f>
        <v>9495</v>
      </c>
      <c r="G874" s="8" t="n">
        <f aca="false">IFERROR(F874/D874,0)</f>
        <v>0.0382685448280032</v>
      </c>
      <c r="H874" s="7" t="n">
        <f aca="false">01_Data!G874</f>
        <v>143094</v>
      </c>
      <c r="I874" s="7" t="n">
        <f aca="false">01_Data!H874</f>
        <v>145947</v>
      </c>
      <c r="J874" s="7" t="n">
        <f aca="false">H874-I874</f>
        <v>-2853</v>
      </c>
      <c r="K874" s="8" t="n">
        <f aca="false">IFERROR(J874/H874,0)</f>
        <v>-0.0199379428906872</v>
      </c>
      <c r="L874" s="7" t="n">
        <f aca="false">D874-H874</f>
        <v>105021</v>
      </c>
      <c r="M874" s="7" t="n">
        <f aca="false">E874-I874</f>
        <v>111663</v>
      </c>
      <c r="N874" s="7" t="n">
        <f aca="false">IFERROR(L874/D874,0)</f>
        <v>0.423275497249259</v>
      </c>
      <c r="O874" s="7" t="n">
        <f aca="false">IFERROR(M874/E874,0)</f>
        <v>0.43345755211366</v>
      </c>
      <c r="P874" s="7" t="n">
        <f aca="false">01_Data!I874+01_Data!K874+01_Data!M874+01_Data!O874+01_Data!Q874+01_Data!S874+01_Data!U874</f>
        <v>61410</v>
      </c>
      <c r="Q874" s="7" t="n">
        <f aca="false">01_Data!J874+01_Data!L874+01_Data!N874+01_Data!P874+01_Data!R874+01_Data!T874+01_Data!V874</f>
        <v>60362</v>
      </c>
      <c r="R874" s="7" t="n">
        <f aca="false">P874-Q874</f>
        <v>1048</v>
      </c>
      <c r="S874" s="7" t="n">
        <f aca="false">L874-P874</f>
        <v>43611</v>
      </c>
      <c r="T874" s="7" t="n">
        <f aca="false">M874-Q874</f>
        <v>51301</v>
      </c>
      <c r="U874" s="7" t="n">
        <f aca="false">T874-S874</f>
        <v>7690</v>
      </c>
      <c r="V874" s="8" t="n">
        <f aca="false">IFERROR(U874/S874,0)</f>
        <v>0.176331659443718</v>
      </c>
      <c r="W874" s="5" t="str">
        <f aca="false">IF(V874&lt;-0.1,"ADVERSE &gt;10%","")</f>
        <v/>
      </c>
    </row>
    <row r="875" customFormat="false" ht="15" hidden="false" customHeight="false" outlineLevel="0" collapsed="false">
      <c r="A875" s="5" t="str">
        <f aca="false">01_Data!A875</f>
        <v>Public Sector</v>
      </c>
      <c r="B875" s="5" t="str">
        <f aca="false">01_Data!C875</f>
        <v>2024-01</v>
      </c>
      <c r="C875" s="5" t="str">
        <f aca="false">01_Data!D875</f>
        <v>FY23</v>
      </c>
      <c r="D875" s="7" t="n">
        <f aca="false">01_Data!E875</f>
        <v>238736</v>
      </c>
      <c r="E875" s="7" t="n">
        <f aca="false">01_Data!F875</f>
        <v>239877</v>
      </c>
      <c r="F875" s="7" t="n">
        <f aca="false">E875-D875</f>
        <v>1141</v>
      </c>
      <c r="G875" s="8" t="n">
        <f aca="false">IFERROR(F875/D875,0)</f>
        <v>0.00477933784598888</v>
      </c>
      <c r="H875" s="7" t="n">
        <f aca="false">01_Data!G875</f>
        <v>135600</v>
      </c>
      <c r="I875" s="7" t="n">
        <f aca="false">01_Data!H875</f>
        <v>139369</v>
      </c>
      <c r="J875" s="7" t="n">
        <f aca="false">H875-I875</f>
        <v>-3769</v>
      </c>
      <c r="K875" s="8" t="n">
        <f aca="false">IFERROR(J875/H875,0)</f>
        <v>-0.0277949852507375</v>
      </c>
      <c r="L875" s="7" t="n">
        <f aca="false">D875-H875</f>
        <v>103136</v>
      </c>
      <c r="M875" s="7" t="n">
        <f aca="false">E875-I875</f>
        <v>100508</v>
      </c>
      <c r="N875" s="7" t="n">
        <f aca="false">IFERROR(L875/D875,0)</f>
        <v>0.432008578513504</v>
      </c>
      <c r="O875" s="7" t="n">
        <f aca="false">IFERROR(M875/E875,0)</f>
        <v>0.418998069844128</v>
      </c>
      <c r="P875" s="7" t="n">
        <f aca="false">01_Data!I875+01_Data!K875+01_Data!M875+01_Data!O875+01_Data!Q875+01_Data!S875+01_Data!U875</f>
        <v>59478</v>
      </c>
      <c r="Q875" s="7" t="n">
        <f aca="false">01_Data!J875+01_Data!L875+01_Data!N875+01_Data!P875+01_Data!R875+01_Data!T875+01_Data!V875</f>
        <v>60298</v>
      </c>
      <c r="R875" s="7" t="n">
        <f aca="false">P875-Q875</f>
        <v>-820</v>
      </c>
      <c r="S875" s="7" t="n">
        <f aca="false">L875-P875</f>
        <v>43658</v>
      </c>
      <c r="T875" s="7" t="n">
        <f aca="false">M875-Q875</f>
        <v>40210</v>
      </c>
      <c r="U875" s="7" t="n">
        <f aca="false">T875-S875</f>
        <v>-3448</v>
      </c>
      <c r="V875" s="8" t="n">
        <f aca="false">IFERROR(U875/S875,0)</f>
        <v>-0.0789775069861194</v>
      </c>
      <c r="W875" s="5" t="str">
        <f aca="false">IF(V875&lt;-0.1,"ADVERSE &gt;10%","")</f>
        <v/>
      </c>
    </row>
    <row r="876" customFormat="false" ht="15" hidden="false" customHeight="false" outlineLevel="0" collapsed="false">
      <c r="A876" s="5" t="str">
        <f aca="false">01_Data!A876</f>
        <v>Public Sector</v>
      </c>
      <c r="B876" s="5" t="str">
        <f aca="false">01_Data!C876</f>
        <v>2024-02</v>
      </c>
      <c r="C876" s="5" t="str">
        <f aca="false">01_Data!D876</f>
        <v>FY23</v>
      </c>
      <c r="D876" s="7" t="n">
        <f aca="false">01_Data!E876</f>
        <v>257009</v>
      </c>
      <c r="E876" s="7" t="n">
        <f aca="false">01_Data!F876</f>
        <v>244331</v>
      </c>
      <c r="F876" s="7" t="n">
        <f aca="false">E876-D876</f>
        <v>-12678</v>
      </c>
      <c r="G876" s="8" t="n">
        <f aca="false">IFERROR(F876/D876,0)</f>
        <v>-0.0493290118244886</v>
      </c>
      <c r="H876" s="7" t="n">
        <f aca="false">01_Data!G876</f>
        <v>141837</v>
      </c>
      <c r="I876" s="7" t="n">
        <f aca="false">01_Data!H876</f>
        <v>137565</v>
      </c>
      <c r="J876" s="7" t="n">
        <f aca="false">H876-I876</f>
        <v>4272</v>
      </c>
      <c r="K876" s="8" t="n">
        <f aca="false">IFERROR(J876/H876,0)</f>
        <v>0.0301190803527993</v>
      </c>
      <c r="L876" s="7" t="n">
        <f aca="false">D876-H876</f>
        <v>115172</v>
      </c>
      <c r="M876" s="7" t="n">
        <f aca="false">E876-I876</f>
        <v>106766</v>
      </c>
      <c r="N876" s="7" t="n">
        <f aca="false">IFERROR(L876/D876,0)</f>
        <v>0.448124384749172</v>
      </c>
      <c r="O876" s="7" t="n">
        <f aca="false">IFERROR(M876/E876,0)</f>
        <v>0.436972795101727</v>
      </c>
      <c r="P876" s="7" t="n">
        <f aca="false">01_Data!I876+01_Data!K876+01_Data!M876+01_Data!O876+01_Data!Q876+01_Data!S876+01_Data!U876</f>
        <v>72670</v>
      </c>
      <c r="Q876" s="7" t="n">
        <f aca="false">01_Data!J876+01_Data!L876+01_Data!N876+01_Data!P876+01_Data!R876+01_Data!T876+01_Data!V876</f>
        <v>71314</v>
      </c>
      <c r="R876" s="7" t="n">
        <f aca="false">P876-Q876</f>
        <v>1356</v>
      </c>
      <c r="S876" s="7" t="n">
        <f aca="false">L876-P876</f>
        <v>42502</v>
      </c>
      <c r="T876" s="7" t="n">
        <f aca="false">M876-Q876</f>
        <v>35452</v>
      </c>
      <c r="U876" s="7" t="n">
        <f aca="false">T876-S876</f>
        <v>-7050</v>
      </c>
      <c r="V876" s="8" t="n">
        <f aca="false">IFERROR(U876/S876,0)</f>
        <v>-0.165874547080137</v>
      </c>
      <c r="W876" s="5" t="str">
        <f aca="false">IF(V876&lt;-0.1,"ADVERSE &gt;10%","")</f>
        <v>ADVERSE &gt;10%</v>
      </c>
    </row>
    <row r="877" customFormat="false" ht="15" hidden="false" customHeight="false" outlineLevel="0" collapsed="false">
      <c r="A877" s="5" t="str">
        <f aca="false">01_Data!A877</f>
        <v>Public Sector</v>
      </c>
      <c r="B877" s="5" t="str">
        <f aca="false">01_Data!C877</f>
        <v>2024-03</v>
      </c>
      <c r="C877" s="5" t="str">
        <f aca="false">01_Data!D877</f>
        <v>FY23</v>
      </c>
      <c r="D877" s="7" t="n">
        <f aca="false">01_Data!E877</f>
        <v>257656</v>
      </c>
      <c r="E877" s="7" t="n">
        <f aca="false">01_Data!F877</f>
        <v>264497</v>
      </c>
      <c r="F877" s="7" t="n">
        <f aca="false">E877-D877</f>
        <v>6841</v>
      </c>
      <c r="G877" s="8" t="n">
        <f aca="false">IFERROR(F877/D877,0)</f>
        <v>0.026550905082746</v>
      </c>
      <c r="H877" s="7" t="n">
        <f aca="false">01_Data!G877</f>
        <v>151345</v>
      </c>
      <c r="I877" s="7" t="n">
        <f aca="false">01_Data!H877</f>
        <v>159106</v>
      </c>
      <c r="J877" s="7" t="n">
        <f aca="false">H877-I877</f>
        <v>-7761</v>
      </c>
      <c r="K877" s="8" t="n">
        <f aca="false">IFERROR(J877/H877,0)</f>
        <v>-0.0512801876507318</v>
      </c>
      <c r="L877" s="7" t="n">
        <f aca="false">D877-H877</f>
        <v>106311</v>
      </c>
      <c r="M877" s="7" t="n">
        <f aca="false">E877-I877</f>
        <v>105391</v>
      </c>
      <c r="N877" s="7" t="n">
        <f aca="false">IFERROR(L877/D877,0)</f>
        <v>0.412608283913435</v>
      </c>
      <c r="O877" s="7" t="n">
        <f aca="false">IFERROR(M877/E877,0)</f>
        <v>0.39845820557511</v>
      </c>
      <c r="P877" s="7" t="n">
        <f aca="false">01_Data!I877+01_Data!K877+01_Data!M877+01_Data!O877+01_Data!Q877+01_Data!S877+01_Data!U877</f>
        <v>67562</v>
      </c>
      <c r="Q877" s="7" t="n">
        <f aca="false">01_Data!J877+01_Data!L877+01_Data!N877+01_Data!P877+01_Data!R877+01_Data!T877+01_Data!V877</f>
        <v>67650</v>
      </c>
      <c r="R877" s="7" t="n">
        <f aca="false">P877-Q877</f>
        <v>-88</v>
      </c>
      <c r="S877" s="7" t="n">
        <f aca="false">L877-P877</f>
        <v>38749</v>
      </c>
      <c r="T877" s="7" t="n">
        <f aca="false">M877-Q877</f>
        <v>37741</v>
      </c>
      <c r="U877" s="7" t="n">
        <f aca="false">T877-S877</f>
        <v>-1008</v>
      </c>
      <c r="V877" s="8" t="n">
        <f aca="false">IFERROR(U877/S877,0)</f>
        <v>-0.0260135745438592</v>
      </c>
      <c r="W877" s="5" t="str">
        <f aca="false">IF(V877&lt;-0.1,"ADVERSE &gt;10%","")</f>
        <v/>
      </c>
    </row>
    <row r="878" customFormat="false" ht="15" hidden="false" customHeight="false" outlineLevel="0" collapsed="false">
      <c r="A878" s="5" t="str">
        <f aca="false">01_Data!A878</f>
        <v>Public Sector</v>
      </c>
      <c r="B878" s="5" t="str">
        <f aca="false">01_Data!C878</f>
        <v>2024-04</v>
      </c>
      <c r="C878" s="5" t="str">
        <f aca="false">01_Data!D878</f>
        <v>FY24</v>
      </c>
      <c r="D878" s="7" t="n">
        <f aca="false">01_Data!E878</f>
        <v>256543</v>
      </c>
      <c r="E878" s="7" t="n">
        <f aca="false">01_Data!F878</f>
        <v>246496</v>
      </c>
      <c r="F878" s="7" t="n">
        <f aca="false">E878-D878</f>
        <v>-10047</v>
      </c>
      <c r="G878" s="8" t="n">
        <f aca="false">IFERROR(F878/D878,0)</f>
        <v>-0.0391630253018013</v>
      </c>
      <c r="H878" s="7" t="n">
        <f aca="false">01_Data!G878</f>
        <v>139549</v>
      </c>
      <c r="I878" s="7" t="n">
        <f aca="false">01_Data!H878</f>
        <v>138301</v>
      </c>
      <c r="J878" s="7" t="n">
        <f aca="false">H878-I878</f>
        <v>1248</v>
      </c>
      <c r="K878" s="8" t="n">
        <f aca="false">IFERROR(J878/H878,0)</f>
        <v>0.00894309525686318</v>
      </c>
      <c r="L878" s="7" t="n">
        <f aca="false">D878-H878</f>
        <v>116994</v>
      </c>
      <c r="M878" s="7" t="n">
        <f aca="false">E878-I878</f>
        <v>108195</v>
      </c>
      <c r="N878" s="7" t="n">
        <f aca="false">IFERROR(L878/D878,0)</f>
        <v>0.456040507829097</v>
      </c>
      <c r="O878" s="7" t="n">
        <f aca="false">IFERROR(M878/E878,0)</f>
        <v>0.438932071920031</v>
      </c>
      <c r="P878" s="7" t="n">
        <f aca="false">01_Data!I878+01_Data!K878+01_Data!M878+01_Data!O878+01_Data!Q878+01_Data!S878+01_Data!U878</f>
        <v>68421</v>
      </c>
      <c r="Q878" s="7" t="n">
        <f aca="false">01_Data!J878+01_Data!L878+01_Data!N878+01_Data!P878+01_Data!R878+01_Data!T878+01_Data!V878</f>
        <v>70213</v>
      </c>
      <c r="R878" s="7" t="n">
        <f aca="false">P878-Q878</f>
        <v>-1792</v>
      </c>
      <c r="S878" s="7" t="n">
        <f aca="false">L878-P878</f>
        <v>48573</v>
      </c>
      <c r="T878" s="7" t="n">
        <f aca="false">M878-Q878</f>
        <v>37982</v>
      </c>
      <c r="U878" s="7" t="n">
        <f aca="false">T878-S878</f>
        <v>-10591</v>
      </c>
      <c r="V878" s="8" t="n">
        <f aca="false">IFERROR(U878/S878,0)</f>
        <v>-0.218042945669405</v>
      </c>
      <c r="W878" s="5" t="str">
        <f aca="false">IF(V878&lt;-0.1,"ADVERSE &gt;10%","")</f>
        <v>ADVERSE &gt;10%</v>
      </c>
    </row>
    <row r="879" customFormat="false" ht="15" hidden="false" customHeight="false" outlineLevel="0" collapsed="false">
      <c r="A879" s="5" t="str">
        <f aca="false">01_Data!A879</f>
        <v>Public Sector</v>
      </c>
      <c r="B879" s="5" t="str">
        <f aca="false">01_Data!C879</f>
        <v>2024-05</v>
      </c>
      <c r="C879" s="5" t="str">
        <f aca="false">01_Data!D879</f>
        <v>FY24</v>
      </c>
      <c r="D879" s="7" t="n">
        <f aca="false">01_Data!E879</f>
        <v>241948</v>
      </c>
      <c r="E879" s="7" t="n">
        <f aca="false">01_Data!F879</f>
        <v>247088</v>
      </c>
      <c r="F879" s="7" t="n">
        <f aca="false">E879-D879</f>
        <v>5140</v>
      </c>
      <c r="G879" s="8" t="n">
        <f aca="false">IFERROR(F879/D879,0)</f>
        <v>0.021244234298279</v>
      </c>
      <c r="H879" s="7" t="n">
        <f aca="false">01_Data!G879</f>
        <v>135975</v>
      </c>
      <c r="I879" s="7" t="n">
        <f aca="false">01_Data!H879</f>
        <v>137714</v>
      </c>
      <c r="J879" s="7" t="n">
        <f aca="false">H879-I879</f>
        <v>-1739</v>
      </c>
      <c r="K879" s="8" t="n">
        <f aca="false">IFERROR(J879/H879,0)</f>
        <v>-0.0127891156462585</v>
      </c>
      <c r="L879" s="7" t="n">
        <f aca="false">D879-H879</f>
        <v>105973</v>
      </c>
      <c r="M879" s="7" t="n">
        <f aca="false">E879-I879</f>
        <v>109374</v>
      </c>
      <c r="N879" s="7" t="n">
        <f aca="false">IFERROR(L879/D879,0)</f>
        <v>0.437999074181229</v>
      </c>
      <c r="O879" s="7" t="n">
        <f aca="false">IFERROR(M879/E879,0)</f>
        <v>0.442652010619698</v>
      </c>
      <c r="P879" s="7" t="n">
        <f aca="false">01_Data!I879+01_Data!K879+01_Data!M879+01_Data!O879+01_Data!Q879+01_Data!S879+01_Data!U879</f>
        <v>65452</v>
      </c>
      <c r="Q879" s="7" t="n">
        <f aca="false">01_Data!J879+01_Data!L879+01_Data!N879+01_Data!P879+01_Data!R879+01_Data!T879+01_Data!V879</f>
        <v>66679</v>
      </c>
      <c r="R879" s="7" t="n">
        <f aca="false">P879-Q879</f>
        <v>-1227</v>
      </c>
      <c r="S879" s="7" t="n">
        <f aca="false">L879-P879</f>
        <v>40521</v>
      </c>
      <c r="T879" s="7" t="n">
        <f aca="false">M879-Q879</f>
        <v>42695</v>
      </c>
      <c r="U879" s="7" t="n">
        <f aca="false">T879-S879</f>
        <v>2174</v>
      </c>
      <c r="V879" s="8" t="n">
        <f aca="false">IFERROR(U879/S879,0)</f>
        <v>0.0536511932084598</v>
      </c>
      <c r="W879" s="5" t="str">
        <f aca="false">IF(V879&lt;-0.1,"ADVERSE &gt;10%","")</f>
        <v/>
      </c>
    </row>
    <row r="880" customFormat="false" ht="15" hidden="false" customHeight="false" outlineLevel="0" collapsed="false">
      <c r="A880" s="5" t="str">
        <f aca="false">01_Data!A880</f>
        <v>Public Sector</v>
      </c>
      <c r="B880" s="5" t="str">
        <f aca="false">01_Data!C880</f>
        <v>2024-06</v>
      </c>
      <c r="C880" s="5" t="str">
        <f aca="false">01_Data!D880</f>
        <v>FY24</v>
      </c>
      <c r="D880" s="7" t="n">
        <f aca="false">01_Data!E880</f>
        <v>247615</v>
      </c>
      <c r="E880" s="7" t="n">
        <f aca="false">01_Data!F880</f>
        <v>244706</v>
      </c>
      <c r="F880" s="7" t="n">
        <f aca="false">E880-D880</f>
        <v>-2909</v>
      </c>
      <c r="G880" s="8" t="n">
        <f aca="false">IFERROR(F880/D880,0)</f>
        <v>-0.011748076651253</v>
      </c>
      <c r="H880" s="7" t="n">
        <f aca="false">01_Data!G880</f>
        <v>134626</v>
      </c>
      <c r="I880" s="7" t="n">
        <f aca="false">01_Data!H880</f>
        <v>136946</v>
      </c>
      <c r="J880" s="7" t="n">
        <f aca="false">H880-I880</f>
        <v>-2320</v>
      </c>
      <c r="K880" s="8" t="n">
        <f aca="false">IFERROR(J880/H880,0)</f>
        <v>-0.0172329267749172</v>
      </c>
      <c r="L880" s="7" t="n">
        <f aca="false">D880-H880</f>
        <v>112989</v>
      </c>
      <c r="M880" s="7" t="n">
        <f aca="false">E880-I880</f>
        <v>107760</v>
      </c>
      <c r="N880" s="7" t="n">
        <f aca="false">IFERROR(L880/D880,0)</f>
        <v>0.456309189669447</v>
      </c>
      <c r="O880" s="7" t="n">
        <f aca="false">IFERROR(M880/E880,0)</f>
        <v>0.440365172901359</v>
      </c>
      <c r="P880" s="7" t="n">
        <f aca="false">01_Data!I880+01_Data!K880+01_Data!M880+01_Data!O880+01_Data!Q880+01_Data!S880+01_Data!U880</f>
        <v>71143</v>
      </c>
      <c r="Q880" s="7" t="n">
        <f aca="false">01_Data!J880+01_Data!L880+01_Data!N880+01_Data!P880+01_Data!R880+01_Data!T880+01_Data!V880</f>
        <v>71169</v>
      </c>
      <c r="R880" s="7" t="n">
        <f aca="false">P880-Q880</f>
        <v>-26</v>
      </c>
      <c r="S880" s="7" t="n">
        <f aca="false">L880-P880</f>
        <v>41846</v>
      </c>
      <c r="T880" s="7" t="n">
        <f aca="false">M880-Q880</f>
        <v>36591</v>
      </c>
      <c r="U880" s="7" t="n">
        <f aca="false">T880-S880</f>
        <v>-5255</v>
      </c>
      <c r="V880" s="8" t="n">
        <f aca="false">IFERROR(U880/S880,0)</f>
        <v>-0.125579505807007</v>
      </c>
      <c r="W880" s="5" t="str">
        <f aca="false">IF(V880&lt;-0.1,"ADVERSE &gt;10%","")</f>
        <v>ADVERSE &gt;10%</v>
      </c>
    </row>
    <row r="881" customFormat="false" ht="15" hidden="false" customHeight="false" outlineLevel="0" collapsed="false">
      <c r="A881" s="5" t="str">
        <f aca="false">01_Data!A881</f>
        <v>Public Sector</v>
      </c>
      <c r="B881" s="5" t="str">
        <f aca="false">01_Data!C881</f>
        <v>2024-07</v>
      </c>
      <c r="C881" s="5" t="str">
        <f aca="false">01_Data!D881</f>
        <v>FY24</v>
      </c>
      <c r="D881" s="7" t="n">
        <f aca="false">01_Data!E881</f>
        <v>239806</v>
      </c>
      <c r="E881" s="7" t="n">
        <f aca="false">01_Data!F881</f>
        <v>248087</v>
      </c>
      <c r="F881" s="7" t="n">
        <f aca="false">E881-D881</f>
        <v>8281</v>
      </c>
      <c r="G881" s="8" t="n">
        <f aca="false">IFERROR(F881/D881,0)</f>
        <v>0.0345320800980793</v>
      </c>
      <c r="H881" s="7" t="n">
        <f aca="false">01_Data!G881</f>
        <v>139716</v>
      </c>
      <c r="I881" s="7" t="n">
        <f aca="false">01_Data!H881</f>
        <v>143120</v>
      </c>
      <c r="J881" s="7" t="n">
        <f aca="false">H881-I881</f>
        <v>-3404</v>
      </c>
      <c r="K881" s="8" t="n">
        <f aca="false">IFERROR(J881/H881,0)</f>
        <v>-0.0243637092387414</v>
      </c>
      <c r="L881" s="7" t="n">
        <f aca="false">D881-H881</f>
        <v>100090</v>
      </c>
      <c r="M881" s="7" t="n">
        <f aca="false">E881-I881</f>
        <v>104967</v>
      </c>
      <c r="N881" s="7" t="n">
        <f aca="false">IFERROR(L881/D881,0)</f>
        <v>0.417379048063852</v>
      </c>
      <c r="O881" s="7" t="n">
        <f aca="false">IFERROR(M881/E881,0)</f>
        <v>0.423105604082439</v>
      </c>
      <c r="P881" s="7" t="n">
        <f aca="false">01_Data!I881+01_Data!K881+01_Data!M881+01_Data!O881+01_Data!Q881+01_Data!S881+01_Data!U881</f>
        <v>62814</v>
      </c>
      <c r="Q881" s="7" t="n">
        <f aca="false">01_Data!J881+01_Data!L881+01_Data!N881+01_Data!P881+01_Data!R881+01_Data!T881+01_Data!V881</f>
        <v>63350</v>
      </c>
      <c r="R881" s="7" t="n">
        <f aca="false">P881-Q881</f>
        <v>-536</v>
      </c>
      <c r="S881" s="7" t="n">
        <f aca="false">L881-P881</f>
        <v>37276</v>
      </c>
      <c r="T881" s="7" t="n">
        <f aca="false">M881-Q881</f>
        <v>41617</v>
      </c>
      <c r="U881" s="7" t="n">
        <f aca="false">T881-S881</f>
        <v>4341</v>
      </c>
      <c r="V881" s="8" t="n">
        <f aca="false">IFERROR(U881/S881,0)</f>
        <v>0.116455628286297</v>
      </c>
      <c r="W881" s="5" t="str">
        <f aca="false">IF(V881&lt;-0.1,"ADVERSE &gt;10%","")</f>
        <v/>
      </c>
    </row>
    <row r="882" customFormat="false" ht="15" hidden="false" customHeight="false" outlineLevel="0" collapsed="false">
      <c r="A882" s="5" t="str">
        <f aca="false">01_Data!A882</f>
        <v>Public Sector</v>
      </c>
      <c r="B882" s="5" t="str">
        <f aca="false">01_Data!C882</f>
        <v>2024-08</v>
      </c>
      <c r="C882" s="5" t="str">
        <f aca="false">01_Data!D882</f>
        <v>FY24</v>
      </c>
      <c r="D882" s="7" t="n">
        <f aca="false">01_Data!E882</f>
        <v>251156</v>
      </c>
      <c r="E882" s="7" t="n">
        <f aca="false">01_Data!F882</f>
        <v>255075</v>
      </c>
      <c r="F882" s="7" t="n">
        <f aca="false">E882-D882</f>
        <v>3919</v>
      </c>
      <c r="G882" s="8" t="n">
        <f aca="false">IFERROR(F882/D882,0)</f>
        <v>0.015603847807737</v>
      </c>
      <c r="H882" s="7" t="n">
        <f aca="false">01_Data!G882</f>
        <v>142031</v>
      </c>
      <c r="I882" s="7" t="n">
        <f aca="false">01_Data!H882</f>
        <v>141346</v>
      </c>
      <c r="J882" s="7" t="n">
        <f aca="false">H882-I882</f>
        <v>685</v>
      </c>
      <c r="K882" s="8" t="n">
        <f aca="false">IFERROR(J882/H882,0)</f>
        <v>0.00482289077736551</v>
      </c>
      <c r="L882" s="7" t="n">
        <f aca="false">D882-H882</f>
        <v>109125</v>
      </c>
      <c r="M882" s="7" t="n">
        <f aca="false">E882-I882</f>
        <v>113729</v>
      </c>
      <c r="N882" s="7" t="n">
        <f aca="false">IFERROR(L882/D882,0)</f>
        <v>0.434490914013601</v>
      </c>
      <c r="O882" s="7" t="n">
        <f aca="false">IFERROR(M882/E882,0)</f>
        <v>0.445864941683818</v>
      </c>
      <c r="P882" s="7" t="n">
        <f aca="false">01_Data!I882+01_Data!K882+01_Data!M882+01_Data!O882+01_Data!Q882+01_Data!S882+01_Data!U882</f>
        <v>61620</v>
      </c>
      <c r="Q882" s="7" t="n">
        <f aca="false">01_Data!J882+01_Data!L882+01_Data!N882+01_Data!P882+01_Data!R882+01_Data!T882+01_Data!V882</f>
        <v>63006</v>
      </c>
      <c r="R882" s="7" t="n">
        <f aca="false">P882-Q882</f>
        <v>-1386</v>
      </c>
      <c r="S882" s="7" t="n">
        <f aca="false">L882-P882</f>
        <v>47505</v>
      </c>
      <c r="T882" s="7" t="n">
        <f aca="false">M882-Q882</f>
        <v>50723</v>
      </c>
      <c r="U882" s="7" t="n">
        <f aca="false">T882-S882</f>
        <v>3218</v>
      </c>
      <c r="V882" s="8" t="n">
        <f aca="false">IFERROR(U882/S882,0)</f>
        <v>0.0677402378696979</v>
      </c>
      <c r="W882" s="5" t="str">
        <f aca="false">IF(V882&lt;-0.1,"ADVERSE &gt;10%","")</f>
        <v/>
      </c>
    </row>
    <row r="883" customFormat="false" ht="15" hidden="false" customHeight="false" outlineLevel="0" collapsed="false">
      <c r="A883" s="5" t="str">
        <f aca="false">01_Data!A883</f>
        <v>Public Sector</v>
      </c>
      <c r="B883" s="5" t="str">
        <f aca="false">01_Data!C883</f>
        <v>2024-09</v>
      </c>
      <c r="C883" s="5" t="str">
        <f aca="false">01_Data!D883</f>
        <v>FY24</v>
      </c>
      <c r="D883" s="7" t="n">
        <f aca="false">01_Data!E883</f>
        <v>285730</v>
      </c>
      <c r="E883" s="7" t="n">
        <f aca="false">01_Data!F883</f>
        <v>283896</v>
      </c>
      <c r="F883" s="7" t="n">
        <f aca="false">E883-D883</f>
        <v>-1834</v>
      </c>
      <c r="G883" s="8" t="n">
        <f aca="false">IFERROR(F883/D883,0)</f>
        <v>-0.00641864697441641</v>
      </c>
      <c r="H883" s="7" t="n">
        <f aca="false">01_Data!G883</f>
        <v>156015</v>
      </c>
      <c r="I883" s="7" t="n">
        <f aca="false">01_Data!H883</f>
        <v>154994</v>
      </c>
      <c r="J883" s="7" t="n">
        <f aca="false">H883-I883</f>
        <v>1021</v>
      </c>
      <c r="K883" s="8" t="n">
        <f aca="false">IFERROR(J883/H883,0)</f>
        <v>0.00654424254078134</v>
      </c>
      <c r="L883" s="7" t="n">
        <f aca="false">D883-H883</f>
        <v>129715</v>
      </c>
      <c r="M883" s="7" t="n">
        <f aca="false">E883-I883</f>
        <v>128902</v>
      </c>
      <c r="N883" s="7" t="n">
        <f aca="false">IFERROR(L883/D883,0)</f>
        <v>0.453977531235782</v>
      </c>
      <c r="O883" s="7" t="n">
        <f aca="false">IFERROR(M883/E883,0)</f>
        <v>0.454046552258574</v>
      </c>
      <c r="P883" s="7" t="n">
        <f aca="false">01_Data!I883+01_Data!K883+01_Data!M883+01_Data!O883+01_Data!Q883+01_Data!S883+01_Data!U883</f>
        <v>78510</v>
      </c>
      <c r="Q883" s="7" t="n">
        <f aca="false">01_Data!J883+01_Data!L883+01_Data!N883+01_Data!P883+01_Data!R883+01_Data!T883+01_Data!V883</f>
        <v>78462</v>
      </c>
      <c r="R883" s="7" t="n">
        <f aca="false">P883-Q883</f>
        <v>48</v>
      </c>
      <c r="S883" s="7" t="n">
        <f aca="false">L883-P883</f>
        <v>51205</v>
      </c>
      <c r="T883" s="7" t="n">
        <f aca="false">M883-Q883</f>
        <v>50440</v>
      </c>
      <c r="U883" s="7" t="n">
        <f aca="false">T883-S883</f>
        <v>-765</v>
      </c>
      <c r="V883" s="8" t="n">
        <f aca="false">IFERROR(U883/S883,0)</f>
        <v>-0.0149399472707743</v>
      </c>
      <c r="W883" s="5" t="str">
        <f aca="false">IF(V883&lt;-0.1,"ADVERSE &gt;10%","")</f>
        <v/>
      </c>
    </row>
    <row r="884" customFormat="false" ht="15" hidden="false" customHeight="false" outlineLevel="0" collapsed="false">
      <c r="A884" s="5" t="str">
        <f aca="false">01_Data!A884</f>
        <v>Public Sector</v>
      </c>
      <c r="B884" s="5" t="str">
        <f aca="false">01_Data!C884</f>
        <v>2024-10</v>
      </c>
      <c r="C884" s="5" t="str">
        <f aca="false">01_Data!D884</f>
        <v>FY24</v>
      </c>
      <c r="D884" s="7" t="n">
        <f aca="false">01_Data!E884</f>
        <v>252298</v>
      </c>
      <c r="E884" s="7" t="n">
        <f aca="false">01_Data!F884</f>
        <v>261867</v>
      </c>
      <c r="F884" s="7" t="n">
        <f aca="false">E884-D884</f>
        <v>9569</v>
      </c>
      <c r="G884" s="8" t="n">
        <f aca="false">IFERROR(F884/D884,0)</f>
        <v>0.0379273716002505</v>
      </c>
      <c r="H884" s="7" t="n">
        <f aca="false">01_Data!G884</f>
        <v>136884</v>
      </c>
      <c r="I884" s="7" t="n">
        <f aca="false">01_Data!H884</f>
        <v>142769</v>
      </c>
      <c r="J884" s="7" t="n">
        <f aca="false">H884-I884</f>
        <v>-5885</v>
      </c>
      <c r="K884" s="8" t="n">
        <f aca="false">IFERROR(J884/H884,0)</f>
        <v>-0.0429926068788171</v>
      </c>
      <c r="L884" s="7" t="n">
        <f aca="false">D884-H884</f>
        <v>115414</v>
      </c>
      <c r="M884" s="7" t="n">
        <f aca="false">E884-I884</f>
        <v>119098</v>
      </c>
      <c r="N884" s="7" t="n">
        <f aca="false">IFERROR(L884/D884,0)</f>
        <v>0.457451109402373</v>
      </c>
      <c r="O884" s="7" t="n">
        <f aca="false">IFERROR(M884/E884,0)</f>
        <v>0.454803392561873</v>
      </c>
      <c r="P884" s="7" t="n">
        <f aca="false">01_Data!I884+01_Data!K884+01_Data!M884+01_Data!O884+01_Data!Q884+01_Data!S884+01_Data!U884</f>
        <v>63787</v>
      </c>
      <c r="Q884" s="7" t="n">
        <f aca="false">01_Data!J884+01_Data!L884+01_Data!N884+01_Data!P884+01_Data!R884+01_Data!T884+01_Data!V884</f>
        <v>63868</v>
      </c>
      <c r="R884" s="7" t="n">
        <f aca="false">P884-Q884</f>
        <v>-81</v>
      </c>
      <c r="S884" s="7" t="n">
        <f aca="false">L884-P884</f>
        <v>51627</v>
      </c>
      <c r="T884" s="7" t="n">
        <f aca="false">M884-Q884</f>
        <v>55230</v>
      </c>
      <c r="U884" s="7" t="n">
        <f aca="false">T884-S884</f>
        <v>3603</v>
      </c>
      <c r="V884" s="8" t="n">
        <f aca="false">IFERROR(U884/S884,0)</f>
        <v>0.0697890638619327</v>
      </c>
      <c r="W884" s="5" t="str">
        <f aca="false">IF(V884&lt;-0.1,"ADVERSE &gt;10%","")</f>
        <v/>
      </c>
    </row>
    <row r="885" customFormat="false" ht="15" hidden="false" customHeight="false" outlineLevel="0" collapsed="false">
      <c r="A885" s="5" t="str">
        <f aca="false">01_Data!A885</f>
        <v>Public Sector</v>
      </c>
      <c r="B885" s="5" t="str">
        <f aca="false">01_Data!C885</f>
        <v>2024-11</v>
      </c>
      <c r="C885" s="5" t="str">
        <f aca="false">01_Data!D885</f>
        <v>FY24</v>
      </c>
      <c r="D885" s="7" t="n">
        <f aca="false">01_Data!E885</f>
        <v>254564</v>
      </c>
      <c r="E885" s="7" t="n">
        <f aca="false">01_Data!F885</f>
        <v>264673</v>
      </c>
      <c r="F885" s="7" t="n">
        <f aca="false">E885-D885</f>
        <v>10109</v>
      </c>
      <c r="G885" s="8" t="n">
        <f aca="false">IFERROR(F885/D885,0)</f>
        <v>0.0397110353388539</v>
      </c>
      <c r="H885" s="7" t="n">
        <f aca="false">01_Data!G885</f>
        <v>145586</v>
      </c>
      <c r="I885" s="7" t="n">
        <f aca="false">01_Data!H885</f>
        <v>153062</v>
      </c>
      <c r="J885" s="7" t="n">
        <f aca="false">H885-I885</f>
        <v>-7476</v>
      </c>
      <c r="K885" s="8" t="n">
        <f aca="false">IFERROR(J885/H885,0)</f>
        <v>-0.0513510914511011</v>
      </c>
      <c r="L885" s="7" t="n">
        <f aca="false">D885-H885</f>
        <v>108978</v>
      </c>
      <c r="M885" s="7" t="n">
        <f aca="false">E885-I885</f>
        <v>111611</v>
      </c>
      <c r="N885" s="7" t="n">
        <f aca="false">IFERROR(L885/D885,0)</f>
        <v>0.428096667242815</v>
      </c>
      <c r="O885" s="7" t="n">
        <f aca="false">IFERROR(M885/E885,0)</f>
        <v>0.421693939313795</v>
      </c>
      <c r="P885" s="7" t="n">
        <f aca="false">01_Data!I885+01_Data!K885+01_Data!M885+01_Data!O885+01_Data!Q885+01_Data!S885+01_Data!U885</f>
        <v>65208</v>
      </c>
      <c r="Q885" s="7" t="n">
        <f aca="false">01_Data!J885+01_Data!L885+01_Data!N885+01_Data!P885+01_Data!R885+01_Data!T885+01_Data!V885</f>
        <v>65284</v>
      </c>
      <c r="R885" s="7" t="n">
        <f aca="false">P885-Q885</f>
        <v>-76</v>
      </c>
      <c r="S885" s="7" t="n">
        <f aca="false">L885-P885</f>
        <v>43770</v>
      </c>
      <c r="T885" s="7" t="n">
        <f aca="false">M885-Q885</f>
        <v>46327</v>
      </c>
      <c r="U885" s="7" t="n">
        <f aca="false">T885-S885</f>
        <v>2557</v>
      </c>
      <c r="V885" s="8" t="n">
        <f aca="false">IFERROR(U885/S885,0)</f>
        <v>0.0584190084532785</v>
      </c>
      <c r="W885" s="5" t="str">
        <f aca="false">IF(V885&lt;-0.1,"ADVERSE &gt;10%","")</f>
        <v/>
      </c>
    </row>
    <row r="886" customFormat="false" ht="15" hidden="false" customHeight="false" outlineLevel="0" collapsed="false">
      <c r="A886" s="5" t="str">
        <f aca="false">01_Data!A886</f>
        <v>Public Sector</v>
      </c>
      <c r="B886" s="5" t="str">
        <f aca="false">01_Data!C886</f>
        <v>2024-12</v>
      </c>
      <c r="C886" s="5" t="str">
        <f aca="false">01_Data!D886</f>
        <v>FY24</v>
      </c>
      <c r="D886" s="7" t="n">
        <f aca="false">01_Data!E886</f>
        <v>281900</v>
      </c>
      <c r="E886" s="7" t="n">
        <f aca="false">01_Data!F886</f>
        <v>290467</v>
      </c>
      <c r="F886" s="7" t="n">
        <f aca="false">E886-D886</f>
        <v>8567</v>
      </c>
      <c r="G886" s="8" t="n">
        <f aca="false">IFERROR(F886/D886,0)</f>
        <v>0.0303902092940759</v>
      </c>
      <c r="H886" s="7" t="n">
        <f aca="false">01_Data!G886</f>
        <v>159625</v>
      </c>
      <c r="I886" s="7" t="n">
        <f aca="false">01_Data!H886</f>
        <v>164384</v>
      </c>
      <c r="J886" s="7" t="n">
        <f aca="false">H886-I886</f>
        <v>-4759</v>
      </c>
      <c r="K886" s="8" t="n">
        <f aca="false">IFERROR(J886/H886,0)</f>
        <v>-0.0298136256851997</v>
      </c>
      <c r="L886" s="7" t="n">
        <f aca="false">D886-H886</f>
        <v>122275</v>
      </c>
      <c r="M886" s="7" t="n">
        <f aca="false">E886-I886</f>
        <v>126083</v>
      </c>
      <c r="N886" s="7" t="n">
        <f aca="false">IFERROR(L886/D886,0)</f>
        <v>0.433753103937567</v>
      </c>
      <c r="O886" s="7" t="n">
        <f aca="false">IFERROR(M886/E886,0)</f>
        <v>0.434069963197196</v>
      </c>
      <c r="P886" s="7" t="n">
        <f aca="false">01_Data!I886+01_Data!K886+01_Data!M886+01_Data!O886+01_Data!Q886+01_Data!S886+01_Data!U886</f>
        <v>79419</v>
      </c>
      <c r="Q886" s="7" t="n">
        <f aca="false">01_Data!J886+01_Data!L886+01_Data!N886+01_Data!P886+01_Data!R886+01_Data!T886+01_Data!V886</f>
        <v>78544</v>
      </c>
      <c r="R886" s="7" t="n">
        <f aca="false">P886-Q886</f>
        <v>875</v>
      </c>
      <c r="S886" s="7" t="n">
        <f aca="false">L886-P886</f>
        <v>42856</v>
      </c>
      <c r="T886" s="7" t="n">
        <f aca="false">M886-Q886</f>
        <v>47539</v>
      </c>
      <c r="U886" s="7" t="n">
        <f aca="false">T886-S886</f>
        <v>4683</v>
      </c>
      <c r="V886" s="8" t="n">
        <f aca="false">IFERROR(U886/S886,0)</f>
        <v>0.109272913944372</v>
      </c>
      <c r="W886" s="5" t="str">
        <f aca="false">IF(V886&lt;-0.1,"ADVERSE &gt;10%","")</f>
        <v/>
      </c>
    </row>
    <row r="887" customFormat="false" ht="15" hidden="false" customHeight="false" outlineLevel="0" collapsed="false">
      <c r="A887" s="5" t="str">
        <f aca="false">01_Data!A887</f>
        <v>Public Sector</v>
      </c>
      <c r="B887" s="5" t="str">
        <f aca="false">01_Data!C887</f>
        <v>2025-01</v>
      </c>
      <c r="C887" s="5" t="str">
        <f aca="false">01_Data!D887</f>
        <v>FY24</v>
      </c>
      <c r="D887" s="7" t="n">
        <f aca="false">01_Data!E887</f>
        <v>280657</v>
      </c>
      <c r="E887" s="7" t="n">
        <f aca="false">01_Data!F887</f>
        <v>271058</v>
      </c>
      <c r="F887" s="7" t="n">
        <f aca="false">E887-D887</f>
        <v>-9599</v>
      </c>
      <c r="G887" s="8" t="n">
        <f aca="false">IFERROR(F887/D887,0)</f>
        <v>-0.0342018905639268</v>
      </c>
      <c r="H887" s="7" t="n">
        <f aca="false">01_Data!G887</f>
        <v>152406</v>
      </c>
      <c r="I887" s="7" t="n">
        <f aca="false">01_Data!H887</f>
        <v>149749</v>
      </c>
      <c r="J887" s="7" t="n">
        <f aca="false">H887-I887</f>
        <v>2657</v>
      </c>
      <c r="K887" s="8" t="n">
        <f aca="false">IFERROR(J887/H887,0)</f>
        <v>0.0174336968360826</v>
      </c>
      <c r="L887" s="7" t="n">
        <f aca="false">D887-H887</f>
        <v>128251</v>
      </c>
      <c r="M887" s="7" t="n">
        <f aca="false">E887-I887</f>
        <v>121309</v>
      </c>
      <c r="N887" s="7" t="n">
        <f aca="false">IFERROR(L887/D887,0)</f>
        <v>0.456967045183266</v>
      </c>
      <c r="O887" s="7" t="n">
        <f aca="false">IFERROR(M887/E887,0)</f>
        <v>0.447538903112987</v>
      </c>
      <c r="P887" s="7" t="n">
        <f aca="false">01_Data!I887+01_Data!K887+01_Data!M887+01_Data!O887+01_Data!Q887+01_Data!S887+01_Data!U887</f>
        <v>75552</v>
      </c>
      <c r="Q887" s="7" t="n">
        <f aca="false">01_Data!J887+01_Data!L887+01_Data!N887+01_Data!P887+01_Data!R887+01_Data!T887+01_Data!V887</f>
        <v>75679</v>
      </c>
      <c r="R887" s="7" t="n">
        <f aca="false">P887-Q887</f>
        <v>-127</v>
      </c>
      <c r="S887" s="7" t="n">
        <f aca="false">L887-P887</f>
        <v>52699</v>
      </c>
      <c r="T887" s="7" t="n">
        <f aca="false">M887-Q887</f>
        <v>45630</v>
      </c>
      <c r="U887" s="7" t="n">
        <f aca="false">T887-S887</f>
        <v>-7069</v>
      </c>
      <c r="V887" s="8" t="n">
        <f aca="false">IFERROR(U887/S887,0)</f>
        <v>-0.134139167726143</v>
      </c>
      <c r="W887" s="5" t="str">
        <f aca="false">IF(V887&lt;-0.1,"ADVERSE &gt;10%","")</f>
        <v>ADVERSE &gt;10%</v>
      </c>
    </row>
    <row r="888" customFormat="false" ht="15" hidden="false" customHeight="false" outlineLevel="0" collapsed="false">
      <c r="A888" s="5" t="str">
        <f aca="false">01_Data!A888</f>
        <v>Public Sector</v>
      </c>
      <c r="B888" s="5" t="str">
        <f aca="false">01_Data!C888</f>
        <v>2025-02</v>
      </c>
      <c r="C888" s="5" t="str">
        <f aca="false">01_Data!D888</f>
        <v>FY24</v>
      </c>
      <c r="D888" s="7" t="n">
        <f aca="false">01_Data!E888</f>
        <v>259761</v>
      </c>
      <c r="E888" s="7" t="n">
        <f aca="false">01_Data!F888</f>
        <v>267818</v>
      </c>
      <c r="F888" s="7" t="n">
        <f aca="false">E888-D888</f>
        <v>8057</v>
      </c>
      <c r="G888" s="8" t="n">
        <f aca="false">IFERROR(F888/D888,0)</f>
        <v>0.0310169732946824</v>
      </c>
      <c r="H888" s="7" t="n">
        <f aca="false">01_Data!G888</f>
        <v>155817</v>
      </c>
      <c r="I888" s="7" t="n">
        <f aca="false">01_Data!H888</f>
        <v>156175</v>
      </c>
      <c r="J888" s="7" t="n">
        <f aca="false">H888-I888</f>
        <v>-358</v>
      </c>
      <c r="K888" s="8" t="n">
        <f aca="false">IFERROR(J888/H888,0)</f>
        <v>-0.0022975670177195</v>
      </c>
      <c r="L888" s="7" t="n">
        <f aca="false">D888-H888</f>
        <v>103944</v>
      </c>
      <c r="M888" s="7" t="n">
        <f aca="false">E888-I888</f>
        <v>111643</v>
      </c>
      <c r="N888" s="7" t="n">
        <f aca="false">IFERROR(L888/D888,0)</f>
        <v>0.400152447827041</v>
      </c>
      <c r="O888" s="7" t="n">
        <f aca="false">IFERROR(M888/E888,0)</f>
        <v>0.41686145068666</v>
      </c>
      <c r="P888" s="7" t="n">
        <f aca="false">01_Data!I888+01_Data!K888+01_Data!M888+01_Data!O888+01_Data!Q888+01_Data!S888+01_Data!U888</f>
        <v>74839</v>
      </c>
      <c r="Q888" s="7" t="n">
        <f aca="false">01_Data!J888+01_Data!L888+01_Data!N888+01_Data!P888+01_Data!R888+01_Data!T888+01_Data!V888</f>
        <v>75042</v>
      </c>
      <c r="R888" s="7" t="n">
        <f aca="false">P888-Q888</f>
        <v>-203</v>
      </c>
      <c r="S888" s="7" t="n">
        <f aca="false">L888-P888</f>
        <v>29105</v>
      </c>
      <c r="T888" s="7" t="n">
        <f aca="false">M888-Q888</f>
        <v>36601</v>
      </c>
      <c r="U888" s="7" t="n">
        <f aca="false">T888-S888</f>
        <v>7496</v>
      </c>
      <c r="V888" s="8" t="n">
        <f aca="false">IFERROR(U888/S888,0)</f>
        <v>0.257550249098093</v>
      </c>
      <c r="W888" s="5" t="str">
        <f aca="false">IF(V888&lt;-0.1,"ADVERSE &gt;10%","")</f>
        <v/>
      </c>
    </row>
    <row r="889" customFormat="false" ht="15" hidden="false" customHeight="false" outlineLevel="0" collapsed="false">
      <c r="A889" s="5" t="str">
        <f aca="false">01_Data!A889</f>
        <v>Public Sector</v>
      </c>
      <c r="B889" s="5" t="str">
        <f aca="false">01_Data!C889</f>
        <v>2025-03</v>
      </c>
      <c r="C889" s="5" t="str">
        <f aca="false">01_Data!D889</f>
        <v>FY24</v>
      </c>
      <c r="D889" s="7" t="n">
        <f aca="false">01_Data!E889</f>
        <v>294235</v>
      </c>
      <c r="E889" s="7" t="n">
        <f aca="false">01_Data!F889</f>
        <v>291080</v>
      </c>
      <c r="F889" s="7" t="n">
        <f aca="false">E889-D889</f>
        <v>-3155</v>
      </c>
      <c r="G889" s="8" t="n">
        <f aca="false">IFERROR(F889/D889,0)</f>
        <v>-0.010722721634068</v>
      </c>
      <c r="H889" s="7" t="n">
        <f aca="false">01_Data!G889</f>
        <v>170983</v>
      </c>
      <c r="I889" s="7" t="n">
        <f aca="false">01_Data!H889</f>
        <v>175170</v>
      </c>
      <c r="J889" s="7" t="n">
        <f aca="false">H889-I889</f>
        <v>-4187</v>
      </c>
      <c r="K889" s="8" t="n">
        <f aca="false">IFERROR(J889/H889,0)</f>
        <v>-0.0244878145780575</v>
      </c>
      <c r="L889" s="7" t="n">
        <f aca="false">D889-H889</f>
        <v>123252</v>
      </c>
      <c r="M889" s="7" t="n">
        <f aca="false">E889-I889</f>
        <v>115910</v>
      </c>
      <c r="N889" s="7" t="n">
        <f aca="false">IFERROR(L889/D889,0)</f>
        <v>0.418889663024453</v>
      </c>
      <c r="O889" s="7" t="n">
        <f aca="false">IFERROR(M889/E889,0)</f>
        <v>0.398206678576336</v>
      </c>
      <c r="P889" s="7" t="n">
        <f aca="false">01_Data!I889+01_Data!K889+01_Data!M889+01_Data!O889+01_Data!Q889+01_Data!S889+01_Data!U889</f>
        <v>73095</v>
      </c>
      <c r="Q889" s="7" t="n">
        <f aca="false">01_Data!J889+01_Data!L889+01_Data!N889+01_Data!P889+01_Data!R889+01_Data!T889+01_Data!V889</f>
        <v>73444</v>
      </c>
      <c r="R889" s="7" t="n">
        <f aca="false">P889-Q889</f>
        <v>-349</v>
      </c>
      <c r="S889" s="7" t="n">
        <f aca="false">L889-P889</f>
        <v>50157</v>
      </c>
      <c r="T889" s="7" t="n">
        <f aca="false">M889-Q889</f>
        <v>42466</v>
      </c>
      <c r="U889" s="7" t="n">
        <f aca="false">T889-S889</f>
        <v>-7691</v>
      </c>
      <c r="V889" s="8" t="n">
        <f aca="false">IFERROR(U889/S889,0)</f>
        <v>-0.153338517056443</v>
      </c>
      <c r="W889" s="5" t="str">
        <f aca="false">IF(V889&lt;-0.1,"ADVERSE &gt;10%","")</f>
        <v>ADVERSE &gt;10%</v>
      </c>
    </row>
    <row r="890" customFormat="false" ht="15" hidden="false" customHeight="false" outlineLevel="0" collapsed="false">
      <c r="A890" s="5" t="str">
        <f aca="false">01_Data!A890</f>
        <v>Public Sector</v>
      </c>
      <c r="B890" s="5" t="str">
        <f aca="false">01_Data!C890</f>
        <v>2025-04</v>
      </c>
      <c r="C890" s="5" t="str">
        <f aca="false">01_Data!D890</f>
        <v>FY25</v>
      </c>
      <c r="D890" s="7" t="n">
        <f aca="false">01_Data!E890</f>
        <v>273027</v>
      </c>
      <c r="E890" s="7" t="n">
        <f aca="false">01_Data!F890</f>
        <v>265478</v>
      </c>
      <c r="F890" s="7" t="n">
        <f aca="false">E890-D890</f>
        <v>-7549</v>
      </c>
      <c r="G890" s="8" t="n">
        <f aca="false">IFERROR(F890/D890,0)</f>
        <v>-0.0276492801078282</v>
      </c>
      <c r="H890" s="7" t="n">
        <f aca="false">01_Data!G890</f>
        <v>163276</v>
      </c>
      <c r="I890" s="7" t="n">
        <f aca="false">01_Data!H890</f>
        <v>162342</v>
      </c>
      <c r="J890" s="7" t="n">
        <f aca="false">H890-I890</f>
        <v>934</v>
      </c>
      <c r="K890" s="8" t="n">
        <f aca="false">IFERROR(J890/H890,0)</f>
        <v>0.00572037531541684</v>
      </c>
      <c r="L890" s="7" t="n">
        <f aca="false">D890-H890</f>
        <v>109751</v>
      </c>
      <c r="M890" s="7" t="n">
        <f aca="false">E890-I890</f>
        <v>103136</v>
      </c>
      <c r="N890" s="7" t="n">
        <f aca="false">IFERROR(L890/D890,0)</f>
        <v>0.401978558897105</v>
      </c>
      <c r="O890" s="7" t="n">
        <f aca="false">IFERROR(M890/E890,0)</f>
        <v>0.388491701760598</v>
      </c>
      <c r="P890" s="7" t="n">
        <f aca="false">01_Data!I890+01_Data!K890+01_Data!M890+01_Data!O890+01_Data!Q890+01_Data!S890+01_Data!U890</f>
        <v>74613</v>
      </c>
      <c r="Q890" s="7" t="n">
        <f aca="false">01_Data!J890+01_Data!L890+01_Data!N890+01_Data!P890+01_Data!R890+01_Data!T890+01_Data!V890</f>
        <v>78044</v>
      </c>
      <c r="R890" s="7" t="n">
        <f aca="false">P890-Q890</f>
        <v>-3431</v>
      </c>
      <c r="S890" s="7" t="n">
        <f aca="false">L890-P890</f>
        <v>35138</v>
      </c>
      <c r="T890" s="7" t="n">
        <f aca="false">M890-Q890</f>
        <v>25092</v>
      </c>
      <c r="U890" s="7" t="n">
        <f aca="false">T890-S890</f>
        <v>-10046</v>
      </c>
      <c r="V890" s="8" t="n">
        <f aca="false">IFERROR(U890/S890,0)</f>
        <v>-0.285901303432182</v>
      </c>
      <c r="W890" s="5" t="str">
        <f aca="false">IF(V890&lt;-0.1,"ADVERSE &gt;10%","")</f>
        <v>ADVERSE &gt;10%</v>
      </c>
    </row>
    <row r="891" customFormat="false" ht="15" hidden="false" customHeight="false" outlineLevel="0" collapsed="false">
      <c r="A891" s="5" t="str">
        <f aca="false">01_Data!A891</f>
        <v>Public Sector</v>
      </c>
      <c r="B891" s="5" t="str">
        <f aca="false">01_Data!C891</f>
        <v>2025-05</v>
      </c>
      <c r="C891" s="5" t="str">
        <f aca="false">01_Data!D891</f>
        <v>FY25</v>
      </c>
      <c r="D891" s="7" t="n">
        <f aca="false">01_Data!E891</f>
        <v>278069</v>
      </c>
      <c r="E891" s="7" t="n">
        <f aca="false">01_Data!F891</f>
        <v>267792</v>
      </c>
      <c r="F891" s="7" t="n">
        <f aca="false">E891-D891</f>
        <v>-10277</v>
      </c>
      <c r="G891" s="8" t="n">
        <f aca="false">IFERROR(F891/D891,0)</f>
        <v>-0.0369584527581284</v>
      </c>
      <c r="H891" s="7" t="n">
        <f aca="false">01_Data!G891</f>
        <v>159176</v>
      </c>
      <c r="I891" s="7" t="n">
        <f aca="false">01_Data!H891</f>
        <v>150234</v>
      </c>
      <c r="J891" s="7" t="n">
        <f aca="false">H891-I891</f>
        <v>8942</v>
      </c>
      <c r="K891" s="8" t="n">
        <f aca="false">IFERROR(J891/H891,0)</f>
        <v>0.0561768105744585</v>
      </c>
      <c r="L891" s="7" t="n">
        <f aca="false">D891-H891</f>
        <v>118893</v>
      </c>
      <c r="M891" s="7" t="n">
        <f aca="false">E891-I891</f>
        <v>117558</v>
      </c>
      <c r="N891" s="7" t="n">
        <f aca="false">IFERROR(L891/D891,0)</f>
        <v>0.427566539240261</v>
      </c>
      <c r="O891" s="7" t="n">
        <f aca="false">IFERROR(M891/E891,0)</f>
        <v>0.438989962358846</v>
      </c>
      <c r="P891" s="7" t="n">
        <f aca="false">01_Data!I891+01_Data!K891+01_Data!M891+01_Data!O891+01_Data!Q891+01_Data!S891+01_Data!U891</f>
        <v>69789</v>
      </c>
      <c r="Q891" s="7" t="n">
        <f aca="false">01_Data!J891+01_Data!L891+01_Data!N891+01_Data!P891+01_Data!R891+01_Data!T891+01_Data!V891</f>
        <v>70393</v>
      </c>
      <c r="R891" s="7" t="n">
        <f aca="false">P891-Q891</f>
        <v>-604</v>
      </c>
      <c r="S891" s="7" t="n">
        <f aca="false">L891-P891</f>
        <v>49104</v>
      </c>
      <c r="T891" s="7" t="n">
        <f aca="false">M891-Q891</f>
        <v>47165</v>
      </c>
      <c r="U891" s="7" t="n">
        <f aca="false">T891-S891</f>
        <v>-1939</v>
      </c>
      <c r="V891" s="8" t="n">
        <f aca="false">IFERROR(U891/S891,0)</f>
        <v>-0.0394876181166504</v>
      </c>
      <c r="W891" s="5" t="str">
        <f aca="false">IF(V891&lt;-0.1,"ADVERSE &gt;10%","")</f>
        <v/>
      </c>
    </row>
    <row r="892" customFormat="false" ht="15" hidden="false" customHeight="false" outlineLevel="0" collapsed="false">
      <c r="A892" s="5" t="str">
        <f aca="false">01_Data!A892</f>
        <v>Public Sector</v>
      </c>
      <c r="B892" s="5" t="str">
        <f aca="false">01_Data!C892</f>
        <v>2025-06</v>
      </c>
      <c r="C892" s="5" t="str">
        <f aca="false">01_Data!D892</f>
        <v>FY25</v>
      </c>
      <c r="D892" s="7" t="n">
        <f aca="false">01_Data!E892</f>
        <v>275009</v>
      </c>
      <c r="E892" s="7" t="n">
        <f aca="false">01_Data!F892</f>
        <v>272667</v>
      </c>
      <c r="F892" s="7" t="n">
        <f aca="false">E892-D892</f>
        <v>-2342</v>
      </c>
      <c r="G892" s="8" t="n">
        <f aca="false">IFERROR(F892/D892,0)</f>
        <v>-0.00851608492812963</v>
      </c>
      <c r="H892" s="7" t="n">
        <f aca="false">01_Data!G892</f>
        <v>158331</v>
      </c>
      <c r="I892" s="7" t="n">
        <f aca="false">01_Data!H892</f>
        <v>163594</v>
      </c>
      <c r="J892" s="7" t="n">
        <f aca="false">H892-I892</f>
        <v>-5263</v>
      </c>
      <c r="K892" s="8" t="n">
        <f aca="false">IFERROR(J892/H892,0)</f>
        <v>-0.0332404898598506</v>
      </c>
      <c r="L892" s="7" t="n">
        <f aca="false">D892-H892</f>
        <v>116678</v>
      </c>
      <c r="M892" s="7" t="n">
        <f aca="false">E892-I892</f>
        <v>109073</v>
      </c>
      <c r="N892" s="7" t="n">
        <f aca="false">IFERROR(L892/D892,0)</f>
        <v>0.42426975117178</v>
      </c>
      <c r="O892" s="7" t="n">
        <f aca="false">IFERROR(M892/E892,0)</f>
        <v>0.400022738358511</v>
      </c>
      <c r="P892" s="7" t="n">
        <f aca="false">01_Data!I892+01_Data!K892+01_Data!M892+01_Data!O892+01_Data!Q892+01_Data!S892+01_Data!U892</f>
        <v>77681</v>
      </c>
      <c r="Q892" s="7" t="n">
        <f aca="false">01_Data!J892+01_Data!L892+01_Data!N892+01_Data!P892+01_Data!R892+01_Data!T892+01_Data!V892</f>
        <v>79817</v>
      </c>
      <c r="R892" s="7" t="n">
        <f aca="false">P892-Q892</f>
        <v>-2136</v>
      </c>
      <c r="S892" s="7" t="n">
        <f aca="false">L892-P892</f>
        <v>38997</v>
      </c>
      <c r="T892" s="7" t="n">
        <f aca="false">M892-Q892</f>
        <v>29256</v>
      </c>
      <c r="U892" s="7" t="n">
        <f aca="false">T892-S892</f>
        <v>-9741</v>
      </c>
      <c r="V892" s="8" t="n">
        <f aca="false">IFERROR(U892/S892,0)</f>
        <v>-0.24978844526502</v>
      </c>
      <c r="W892" s="5" t="str">
        <f aca="false">IF(V892&lt;-0.1,"ADVERSE &gt;10%","")</f>
        <v>ADVERSE &gt;10%</v>
      </c>
    </row>
    <row r="893" customFormat="false" ht="15" hidden="false" customHeight="false" outlineLevel="0" collapsed="false">
      <c r="A893" s="5" t="str">
        <f aca="false">01_Data!A893</f>
        <v>Public Sector</v>
      </c>
      <c r="B893" s="5" t="str">
        <f aca="false">01_Data!C893</f>
        <v>2025-07</v>
      </c>
      <c r="C893" s="5" t="str">
        <f aca="false">01_Data!D893</f>
        <v>FY25</v>
      </c>
      <c r="D893" s="7" t="n">
        <f aca="false">01_Data!E893</f>
        <v>294431</v>
      </c>
      <c r="E893" s="7" t="n">
        <f aca="false">01_Data!F893</f>
        <v>280045</v>
      </c>
      <c r="F893" s="7" t="n">
        <f aca="false">E893-D893</f>
        <v>-14386</v>
      </c>
      <c r="G893" s="8" t="n">
        <f aca="false">IFERROR(F893/D893,0)</f>
        <v>-0.0488603441893007</v>
      </c>
      <c r="H893" s="7" t="n">
        <f aca="false">01_Data!G893</f>
        <v>174789</v>
      </c>
      <c r="I893" s="7" t="n">
        <f aca="false">01_Data!H893</f>
        <v>164906</v>
      </c>
      <c r="J893" s="7" t="n">
        <f aca="false">H893-I893</f>
        <v>9883</v>
      </c>
      <c r="K893" s="8" t="n">
        <f aca="false">IFERROR(J893/H893,0)</f>
        <v>0.0565424597657747</v>
      </c>
      <c r="L893" s="7" t="n">
        <f aca="false">D893-H893</f>
        <v>119642</v>
      </c>
      <c r="M893" s="7" t="n">
        <f aca="false">E893-I893</f>
        <v>115139</v>
      </c>
      <c r="N893" s="7" t="n">
        <f aca="false">IFERROR(L893/D893,0)</f>
        <v>0.406349874843342</v>
      </c>
      <c r="O893" s="7" t="n">
        <f aca="false">IFERROR(M893/E893,0)</f>
        <v>0.411144637468978</v>
      </c>
      <c r="P893" s="7" t="n">
        <f aca="false">01_Data!I893+01_Data!K893+01_Data!M893+01_Data!O893+01_Data!Q893+01_Data!S893+01_Data!U893</f>
        <v>74948</v>
      </c>
      <c r="Q893" s="7" t="n">
        <f aca="false">01_Data!J893+01_Data!L893+01_Data!N893+01_Data!P893+01_Data!R893+01_Data!T893+01_Data!V893</f>
        <v>78103</v>
      </c>
      <c r="R893" s="7" t="n">
        <f aca="false">P893-Q893</f>
        <v>-3155</v>
      </c>
      <c r="S893" s="7" t="n">
        <f aca="false">L893-P893</f>
        <v>44694</v>
      </c>
      <c r="T893" s="7" t="n">
        <f aca="false">M893-Q893</f>
        <v>37036</v>
      </c>
      <c r="U893" s="7" t="n">
        <f aca="false">T893-S893</f>
        <v>-7658</v>
      </c>
      <c r="V893" s="8" t="n">
        <f aca="false">IFERROR(U893/S893,0)</f>
        <v>-0.171342909562805</v>
      </c>
      <c r="W893" s="5" t="str">
        <f aca="false">IF(V893&lt;-0.1,"ADVERSE &gt;10%","")</f>
        <v>ADVERSE &gt;10%</v>
      </c>
    </row>
    <row r="894" customFormat="false" ht="15" hidden="false" customHeight="false" outlineLevel="0" collapsed="false">
      <c r="A894" s="5" t="str">
        <f aca="false">01_Data!A894</f>
        <v>Public Sector</v>
      </c>
      <c r="B894" s="5" t="str">
        <f aca="false">01_Data!C894</f>
        <v>2025-08</v>
      </c>
      <c r="C894" s="5" t="str">
        <f aca="false">01_Data!D894</f>
        <v>FY25</v>
      </c>
      <c r="D894" s="7" t="n">
        <f aca="false">01_Data!E894</f>
        <v>264389</v>
      </c>
      <c r="E894" s="7" t="n">
        <f aca="false">01_Data!F894</f>
        <v>279594</v>
      </c>
      <c r="F894" s="7" t="n">
        <f aca="false">E894-D894</f>
        <v>15205</v>
      </c>
      <c r="G894" s="8" t="n">
        <f aca="false">IFERROR(F894/D894,0)</f>
        <v>0.057509956919539</v>
      </c>
      <c r="H894" s="7" t="n">
        <f aca="false">01_Data!G894</f>
        <v>150294</v>
      </c>
      <c r="I894" s="7" t="n">
        <f aca="false">01_Data!H894</f>
        <v>159962</v>
      </c>
      <c r="J894" s="7" t="n">
        <f aca="false">H894-I894</f>
        <v>-9668</v>
      </c>
      <c r="K894" s="8" t="n">
        <f aca="false">IFERROR(J894/H894,0)</f>
        <v>-0.064327251919571</v>
      </c>
      <c r="L894" s="7" t="n">
        <f aca="false">D894-H894</f>
        <v>114095</v>
      </c>
      <c r="M894" s="7" t="n">
        <f aca="false">E894-I894</f>
        <v>119632</v>
      </c>
      <c r="N894" s="7" t="n">
        <f aca="false">IFERROR(L894/D894,0)</f>
        <v>0.43154215946957</v>
      </c>
      <c r="O894" s="7" t="n">
        <f aca="false">IFERROR(M894/E894,0)</f>
        <v>0.427877565326867</v>
      </c>
      <c r="P894" s="7" t="n">
        <f aca="false">01_Data!I894+01_Data!K894+01_Data!M894+01_Data!O894+01_Data!Q894+01_Data!S894+01_Data!U894</f>
        <v>66858</v>
      </c>
      <c r="Q894" s="7" t="n">
        <f aca="false">01_Data!J894+01_Data!L894+01_Data!N894+01_Data!P894+01_Data!R894+01_Data!T894+01_Data!V894</f>
        <v>69939</v>
      </c>
      <c r="R894" s="7" t="n">
        <f aca="false">P894-Q894</f>
        <v>-3081</v>
      </c>
      <c r="S894" s="7" t="n">
        <f aca="false">L894-P894</f>
        <v>47237</v>
      </c>
      <c r="T894" s="7" t="n">
        <f aca="false">M894-Q894</f>
        <v>49693</v>
      </c>
      <c r="U894" s="7" t="n">
        <f aca="false">T894-S894</f>
        <v>2456</v>
      </c>
      <c r="V894" s="8" t="n">
        <f aca="false">IFERROR(U894/S894,0)</f>
        <v>0.0519931409700023</v>
      </c>
      <c r="W894" s="5" t="str">
        <f aca="false">IF(V894&lt;-0.1,"ADVERSE &gt;10%","")</f>
        <v/>
      </c>
    </row>
    <row r="895" customFormat="false" ht="15" hidden="false" customHeight="false" outlineLevel="0" collapsed="false">
      <c r="A895" s="5" t="str">
        <f aca="false">01_Data!A895</f>
        <v>Public Sector</v>
      </c>
      <c r="B895" s="5" t="str">
        <f aca="false">01_Data!C895</f>
        <v>2025-09</v>
      </c>
      <c r="C895" s="5" t="str">
        <f aca="false">01_Data!D895</f>
        <v>FY25</v>
      </c>
      <c r="D895" s="7" t="n">
        <f aca="false">01_Data!E895</f>
        <v>305980</v>
      </c>
      <c r="E895" s="7" t="n">
        <f aca="false">01_Data!F895</f>
        <v>308816</v>
      </c>
      <c r="F895" s="7" t="n">
        <f aca="false">E895-D895</f>
        <v>2836</v>
      </c>
      <c r="G895" s="8" t="n">
        <f aca="false">IFERROR(F895/D895,0)</f>
        <v>0.00926857964572848</v>
      </c>
      <c r="H895" s="7" t="n">
        <f aca="false">01_Data!G895</f>
        <v>181822</v>
      </c>
      <c r="I895" s="7" t="n">
        <f aca="false">01_Data!H895</f>
        <v>179654</v>
      </c>
      <c r="J895" s="7" t="n">
        <f aca="false">H895-I895</f>
        <v>2168</v>
      </c>
      <c r="K895" s="8" t="n">
        <f aca="false">IFERROR(J895/H895,0)</f>
        <v>0.0119237496012584</v>
      </c>
      <c r="L895" s="7" t="n">
        <f aca="false">D895-H895</f>
        <v>124158</v>
      </c>
      <c r="M895" s="7" t="n">
        <f aca="false">E895-I895</f>
        <v>129162</v>
      </c>
      <c r="N895" s="7" t="n">
        <f aca="false">IFERROR(L895/D895,0)</f>
        <v>0.405771619060069</v>
      </c>
      <c r="O895" s="7" t="n">
        <f aca="false">IFERROR(M895/E895,0)</f>
        <v>0.418249054453137</v>
      </c>
      <c r="P895" s="7" t="n">
        <f aca="false">01_Data!I895+01_Data!K895+01_Data!M895+01_Data!O895+01_Data!Q895+01_Data!S895+01_Data!U895</f>
        <v>85265</v>
      </c>
      <c r="Q895" s="7" t="n">
        <f aca="false">01_Data!J895+01_Data!L895+01_Data!N895+01_Data!P895+01_Data!R895+01_Data!T895+01_Data!V895</f>
        <v>87296</v>
      </c>
      <c r="R895" s="7" t="n">
        <f aca="false">P895-Q895</f>
        <v>-2031</v>
      </c>
      <c r="S895" s="7" t="n">
        <f aca="false">L895-P895</f>
        <v>38893</v>
      </c>
      <c r="T895" s="7" t="n">
        <f aca="false">M895-Q895</f>
        <v>41866</v>
      </c>
      <c r="U895" s="7" t="n">
        <f aca="false">T895-S895</f>
        <v>2973</v>
      </c>
      <c r="V895" s="8" t="n">
        <f aca="false">IFERROR(U895/S895,0)</f>
        <v>0.0764404905767105</v>
      </c>
      <c r="W895" s="5" t="str">
        <f aca="false">IF(V895&lt;-0.1,"ADVERSE &gt;10%","")</f>
        <v/>
      </c>
    </row>
    <row r="896" customFormat="false" ht="15" hidden="false" customHeight="false" outlineLevel="0" collapsed="false">
      <c r="A896" s="5" t="str">
        <f aca="false">01_Data!A896</f>
        <v>Public Sector</v>
      </c>
      <c r="B896" s="5" t="str">
        <f aca="false">01_Data!C896</f>
        <v>2025-10</v>
      </c>
      <c r="C896" s="5" t="str">
        <f aca="false">01_Data!D896</f>
        <v>FY25</v>
      </c>
      <c r="D896" s="7" t="n">
        <f aca="false">01_Data!E896</f>
        <v>268093</v>
      </c>
      <c r="E896" s="7" t="n">
        <f aca="false">01_Data!F896</f>
        <v>283611</v>
      </c>
      <c r="F896" s="7" t="n">
        <f aca="false">E896-D896</f>
        <v>15518</v>
      </c>
      <c r="G896" s="8" t="n">
        <f aca="false">IFERROR(F896/D896,0)</f>
        <v>0.0578828988448039</v>
      </c>
      <c r="H896" s="7" t="n">
        <f aca="false">01_Data!G896</f>
        <v>159241</v>
      </c>
      <c r="I896" s="7" t="n">
        <f aca="false">01_Data!H896</f>
        <v>171894</v>
      </c>
      <c r="J896" s="7" t="n">
        <f aca="false">H896-I896</f>
        <v>-12653</v>
      </c>
      <c r="K896" s="8" t="n">
        <f aca="false">IFERROR(J896/H896,0)</f>
        <v>-0.0794581797401423</v>
      </c>
      <c r="L896" s="7" t="n">
        <f aca="false">D896-H896</f>
        <v>108852</v>
      </c>
      <c r="M896" s="7" t="n">
        <f aca="false">E896-I896</f>
        <v>111717</v>
      </c>
      <c r="N896" s="7" t="n">
        <f aca="false">IFERROR(L896/D896,0)</f>
        <v>0.40602328296524</v>
      </c>
      <c r="O896" s="7" t="n">
        <f aca="false">IFERROR(M896/E896,0)</f>
        <v>0.393909263039868</v>
      </c>
      <c r="P896" s="7" t="n">
        <f aca="false">01_Data!I896+01_Data!K896+01_Data!M896+01_Data!O896+01_Data!Q896+01_Data!S896+01_Data!U896</f>
        <v>72227</v>
      </c>
      <c r="Q896" s="7" t="n">
        <f aca="false">01_Data!J896+01_Data!L896+01_Data!N896+01_Data!P896+01_Data!R896+01_Data!T896+01_Data!V896</f>
        <v>72819</v>
      </c>
      <c r="R896" s="7" t="n">
        <f aca="false">P896-Q896</f>
        <v>-592</v>
      </c>
      <c r="S896" s="7" t="n">
        <f aca="false">L896-P896</f>
        <v>36625</v>
      </c>
      <c r="T896" s="7" t="n">
        <f aca="false">M896-Q896</f>
        <v>38898</v>
      </c>
      <c r="U896" s="7" t="n">
        <f aca="false">T896-S896</f>
        <v>2273</v>
      </c>
      <c r="V896" s="8" t="n">
        <f aca="false">IFERROR(U896/S896,0)</f>
        <v>0.062061433447099</v>
      </c>
      <c r="W896" s="5" t="str">
        <f aca="false">IF(V896&lt;-0.1,"ADVERSE &gt;10%","")</f>
        <v/>
      </c>
    </row>
    <row r="897" customFormat="false" ht="15" hidden="false" customHeight="false" outlineLevel="0" collapsed="false">
      <c r="A897" s="5" t="str">
        <f aca="false">01_Data!A897</f>
        <v>Public Sector</v>
      </c>
      <c r="B897" s="5" t="str">
        <f aca="false">01_Data!C897</f>
        <v>2025-11</v>
      </c>
      <c r="C897" s="5" t="str">
        <f aca="false">01_Data!D897</f>
        <v>FY25</v>
      </c>
      <c r="D897" s="7" t="n">
        <f aca="false">01_Data!E897</f>
        <v>300781</v>
      </c>
      <c r="E897" s="7" t="n">
        <f aca="false">01_Data!F897</f>
        <v>287506</v>
      </c>
      <c r="F897" s="7" t="n">
        <f aca="false">E897-D897</f>
        <v>-13275</v>
      </c>
      <c r="G897" s="8" t="n">
        <f aca="false">IFERROR(F897/D897,0)</f>
        <v>-0.0441351016187858</v>
      </c>
      <c r="H897" s="7" t="n">
        <f aca="false">01_Data!G897</f>
        <v>179137</v>
      </c>
      <c r="I897" s="7" t="n">
        <f aca="false">01_Data!H897</f>
        <v>175572</v>
      </c>
      <c r="J897" s="7" t="n">
        <f aca="false">H897-I897</f>
        <v>3565</v>
      </c>
      <c r="K897" s="8" t="n">
        <f aca="false">IFERROR(J897/H897,0)</f>
        <v>0.0199009696489279</v>
      </c>
      <c r="L897" s="7" t="n">
        <f aca="false">D897-H897</f>
        <v>121644</v>
      </c>
      <c r="M897" s="7" t="n">
        <f aca="false">E897-I897</f>
        <v>111934</v>
      </c>
      <c r="N897" s="7" t="n">
        <f aca="false">IFERROR(L897/D897,0)</f>
        <v>0.40442714134204</v>
      </c>
      <c r="O897" s="7" t="n">
        <f aca="false">IFERROR(M897/E897,0)</f>
        <v>0.389327527077696</v>
      </c>
      <c r="P897" s="7" t="n">
        <f aca="false">01_Data!I897+01_Data!K897+01_Data!M897+01_Data!O897+01_Data!Q897+01_Data!S897+01_Data!U897</f>
        <v>73375</v>
      </c>
      <c r="Q897" s="7" t="n">
        <f aca="false">01_Data!J897+01_Data!L897+01_Data!N897+01_Data!P897+01_Data!R897+01_Data!T897+01_Data!V897</f>
        <v>74693</v>
      </c>
      <c r="R897" s="7" t="n">
        <f aca="false">P897-Q897</f>
        <v>-1318</v>
      </c>
      <c r="S897" s="7" t="n">
        <f aca="false">L897-P897</f>
        <v>48269</v>
      </c>
      <c r="T897" s="7" t="n">
        <f aca="false">M897-Q897</f>
        <v>37241</v>
      </c>
      <c r="U897" s="7" t="n">
        <f aca="false">T897-S897</f>
        <v>-11028</v>
      </c>
      <c r="V897" s="8" t="n">
        <f aca="false">IFERROR(U897/S897,0)</f>
        <v>-0.228469618181442</v>
      </c>
      <c r="W897" s="5" t="str">
        <f aca="false">IF(V897&lt;-0.1,"ADVERSE &gt;10%","")</f>
        <v>ADVERSE &gt;10%</v>
      </c>
    </row>
    <row r="898" customFormat="false" ht="15" hidden="false" customHeight="false" outlineLevel="0" collapsed="false">
      <c r="A898" s="5" t="str">
        <f aca="false">01_Data!A898</f>
        <v>Public Sector</v>
      </c>
      <c r="B898" s="5" t="str">
        <f aca="false">01_Data!C898</f>
        <v>2025-12</v>
      </c>
      <c r="C898" s="5" t="str">
        <f aca="false">01_Data!D898</f>
        <v>FY25</v>
      </c>
      <c r="D898" s="7" t="n">
        <f aca="false">01_Data!E898</f>
        <v>316792</v>
      </c>
      <c r="E898" s="7" t="n">
        <f aca="false">01_Data!F898</f>
        <v>322379</v>
      </c>
      <c r="F898" s="7" t="n">
        <f aca="false">E898-D898</f>
        <v>5587</v>
      </c>
      <c r="G898" s="8" t="n">
        <f aca="false">IFERROR(F898/D898,0)</f>
        <v>0.0176361776812546</v>
      </c>
      <c r="H898" s="7" t="n">
        <f aca="false">01_Data!G898</f>
        <v>185514</v>
      </c>
      <c r="I898" s="7" t="n">
        <f aca="false">01_Data!H898</f>
        <v>195645</v>
      </c>
      <c r="J898" s="7" t="n">
        <f aca="false">H898-I898</f>
        <v>-10131</v>
      </c>
      <c r="K898" s="8" t="n">
        <f aca="false">IFERROR(J898/H898,0)</f>
        <v>-0.0546104337138976</v>
      </c>
      <c r="L898" s="7" t="n">
        <f aca="false">D898-H898</f>
        <v>131278</v>
      </c>
      <c r="M898" s="7" t="n">
        <f aca="false">E898-I898</f>
        <v>126734</v>
      </c>
      <c r="N898" s="7" t="n">
        <f aca="false">IFERROR(L898/D898,0)</f>
        <v>0.41439809086088</v>
      </c>
      <c r="O898" s="7" t="n">
        <f aca="false">IFERROR(M898/E898,0)</f>
        <v>0.393121140024629</v>
      </c>
      <c r="P898" s="7" t="n">
        <f aca="false">01_Data!I898+01_Data!K898+01_Data!M898+01_Data!O898+01_Data!Q898+01_Data!S898+01_Data!U898</f>
        <v>80349</v>
      </c>
      <c r="Q898" s="7" t="n">
        <f aca="false">01_Data!J898+01_Data!L898+01_Data!N898+01_Data!P898+01_Data!R898+01_Data!T898+01_Data!V898</f>
        <v>83540</v>
      </c>
      <c r="R898" s="7" t="n">
        <f aca="false">P898-Q898</f>
        <v>-3191</v>
      </c>
      <c r="S898" s="7" t="n">
        <f aca="false">L898-P898</f>
        <v>50929</v>
      </c>
      <c r="T898" s="7" t="n">
        <f aca="false">M898-Q898</f>
        <v>43194</v>
      </c>
      <c r="U898" s="7" t="n">
        <f aca="false">T898-S898</f>
        <v>-7735</v>
      </c>
      <c r="V898" s="8" t="n">
        <f aca="false">IFERROR(U898/S898,0)</f>
        <v>-0.151878104812582</v>
      </c>
      <c r="W898" s="5" t="str">
        <f aca="false">IF(V898&lt;-0.1,"ADVERSE &gt;10%","")</f>
        <v>ADVERSE &gt;10%</v>
      </c>
    </row>
    <row r="899" customFormat="false" ht="15" hidden="false" customHeight="false" outlineLevel="0" collapsed="false">
      <c r="A899" s="5" t="str">
        <f aca="false">01_Data!A899</f>
        <v>Public Sector</v>
      </c>
      <c r="B899" s="5" t="str">
        <f aca="false">01_Data!C899</f>
        <v>2026-01</v>
      </c>
      <c r="C899" s="5" t="str">
        <f aca="false">01_Data!D899</f>
        <v>FY25</v>
      </c>
      <c r="D899" s="7" t="n">
        <f aca="false">01_Data!E899</f>
        <v>315074</v>
      </c>
      <c r="E899" s="7" t="n">
        <f aca="false">01_Data!F899</f>
        <v>297556</v>
      </c>
      <c r="F899" s="7" t="n">
        <f aca="false">E899-D899</f>
        <v>-17518</v>
      </c>
      <c r="G899" s="8" t="n">
        <f aca="false">IFERROR(F899/D899,0)</f>
        <v>-0.055599636910694</v>
      </c>
      <c r="H899" s="7" t="n">
        <f aca="false">01_Data!G899</f>
        <v>184373</v>
      </c>
      <c r="I899" s="7" t="n">
        <f aca="false">01_Data!H899</f>
        <v>174794</v>
      </c>
      <c r="J899" s="7" t="n">
        <f aca="false">H899-I899</f>
        <v>9579</v>
      </c>
      <c r="K899" s="8" t="n">
        <f aca="false">IFERROR(J899/H899,0)</f>
        <v>0.0519544618789085</v>
      </c>
      <c r="L899" s="7" t="n">
        <f aca="false">D899-H899</f>
        <v>130701</v>
      </c>
      <c r="M899" s="7" t="n">
        <f aca="false">E899-I899</f>
        <v>122762</v>
      </c>
      <c r="N899" s="7" t="n">
        <f aca="false">IFERROR(L899/D899,0)</f>
        <v>0.414826358252347</v>
      </c>
      <c r="O899" s="7" t="n">
        <f aca="false">IFERROR(M899/E899,0)</f>
        <v>0.412567718345454</v>
      </c>
      <c r="P899" s="7" t="n">
        <f aca="false">01_Data!I899+01_Data!K899+01_Data!M899+01_Data!O899+01_Data!Q899+01_Data!S899+01_Data!U899</f>
        <v>86712</v>
      </c>
      <c r="Q899" s="7" t="n">
        <f aca="false">01_Data!J899+01_Data!L899+01_Data!N899+01_Data!P899+01_Data!R899+01_Data!T899+01_Data!V899</f>
        <v>87181</v>
      </c>
      <c r="R899" s="7" t="n">
        <f aca="false">P899-Q899</f>
        <v>-469</v>
      </c>
      <c r="S899" s="7" t="n">
        <f aca="false">L899-P899</f>
        <v>43989</v>
      </c>
      <c r="T899" s="7" t="n">
        <f aca="false">M899-Q899</f>
        <v>35581</v>
      </c>
      <c r="U899" s="7" t="n">
        <f aca="false">T899-S899</f>
        <v>-8408</v>
      </c>
      <c r="V899" s="8" t="n">
        <f aca="false">IFERROR(U899/S899,0)</f>
        <v>-0.19113869376435</v>
      </c>
      <c r="W899" s="5" t="str">
        <f aca="false">IF(V899&lt;-0.1,"ADVERSE &gt;10%","")</f>
        <v>ADVERSE &gt;10%</v>
      </c>
    </row>
    <row r="900" customFormat="false" ht="15" hidden="false" customHeight="false" outlineLevel="0" collapsed="false">
      <c r="A900" s="5" t="str">
        <f aca="false">01_Data!A900</f>
        <v>Public Sector</v>
      </c>
      <c r="B900" s="5" t="str">
        <f aca="false">01_Data!C900</f>
        <v>2026-02</v>
      </c>
      <c r="C900" s="5" t="str">
        <f aca="false">01_Data!D900</f>
        <v>FY25</v>
      </c>
      <c r="D900" s="7" t="n">
        <f aca="false">01_Data!E900</f>
        <v>319643</v>
      </c>
      <c r="E900" s="7" t="n">
        <f aca="false">01_Data!F900</f>
        <v>305944</v>
      </c>
      <c r="F900" s="7" t="n">
        <f aca="false">E900-D900</f>
        <v>-13699</v>
      </c>
      <c r="G900" s="8" t="n">
        <f aca="false">IFERROR(F900/D900,0)</f>
        <v>-0.0428571875498603</v>
      </c>
      <c r="H900" s="7" t="n">
        <f aca="false">01_Data!G900</f>
        <v>186315</v>
      </c>
      <c r="I900" s="7" t="n">
        <f aca="false">01_Data!H900</f>
        <v>173863</v>
      </c>
      <c r="J900" s="7" t="n">
        <f aca="false">H900-I900</f>
        <v>12452</v>
      </c>
      <c r="K900" s="8" t="n">
        <f aca="false">IFERROR(J900/H900,0)</f>
        <v>0.0668330515524783</v>
      </c>
      <c r="L900" s="7" t="n">
        <f aca="false">D900-H900</f>
        <v>133328</v>
      </c>
      <c r="M900" s="7" t="n">
        <f aca="false">E900-I900</f>
        <v>132081</v>
      </c>
      <c r="N900" s="7" t="n">
        <f aca="false">IFERROR(L900/D900,0)</f>
        <v>0.417115344305991</v>
      </c>
      <c r="O900" s="7" t="n">
        <f aca="false">IFERROR(M900/E900,0)</f>
        <v>0.431716261799545</v>
      </c>
      <c r="P900" s="7" t="n">
        <f aca="false">01_Data!I900+01_Data!K900+01_Data!M900+01_Data!O900+01_Data!Q900+01_Data!S900+01_Data!U900</f>
        <v>83305</v>
      </c>
      <c r="Q900" s="7" t="n">
        <f aca="false">01_Data!J900+01_Data!L900+01_Data!N900+01_Data!P900+01_Data!R900+01_Data!T900+01_Data!V900</f>
        <v>83830</v>
      </c>
      <c r="R900" s="7" t="n">
        <f aca="false">P900-Q900</f>
        <v>-525</v>
      </c>
      <c r="S900" s="7" t="n">
        <f aca="false">L900-P900</f>
        <v>50023</v>
      </c>
      <c r="T900" s="7" t="n">
        <f aca="false">M900-Q900</f>
        <v>48251</v>
      </c>
      <c r="U900" s="7" t="n">
        <f aca="false">T900-S900</f>
        <v>-1772</v>
      </c>
      <c r="V900" s="8" t="n">
        <f aca="false">IFERROR(U900/S900,0)</f>
        <v>-0.035423705095656</v>
      </c>
      <c r="W900" s="5" t="str">
        <f aca="false">IF(V900&lt;-0.1,"ADVERSE &gt;10%","")</f>
        <v/>
      </c>
    </row>
    <row r="901" customFormat="false" ht="15" hidden="false" customHeight="false" outlineLevel="0" collapsed="false">
      <c r="A901" s="5" t="str">
        <f aca="false">01_Data!A901</f>
        <v>Public Sector</v>
      </c>
      <c r="B901" s="5" t="str">
        <f aca="false">01_Data!C901</f>
        <v>2026-03</v>
      </c>
      <c r="C901" s="5" t="str">
        <f aca="false">01_Data!D901</f>
        <v>FY25</v>
      </c>
      <c r="D901" s="7" t="n">
        <f aca="false">01_Data!E901</f>
        <v>325669</v>
      </c>
      <c r="E901" s="7" t="n">
        <f aca="false">01_Data!F901</f>
        <v>333592</v>
      </c>
      <c r="F901" s="7" t="n">
        <f aca="false">E901-D901</f>
        <v>7923</v>
      </c>
      <c r="G901" s="8" t="n">
        <f aca="false">IFERROR(F901/D901,0)</f>
        <v>0.0243283824987948</v>
      </c>
      <c r="H901" s="7" t="n">
        <f aca="false">01_Data!G901</f>
        <v>178688</v>
      </c>
      <c r="I901" s="7" t="n">
        <f aca="false">01_Data!H901</f>
        <v>178441</v>
      </c>
      <c r="J901" s="7" t="n">
        <f aca="false">H901-I901</f>
        <v>247</v>
      </c>
      <c r="K901" s="8" t="n">
        <f aca="false">IFERROR(J901/H901,0)</f>
        <v>0.00138229763610315</v>
      </c>
      <c r="L901" s="7" t="n">
        <f aca="false">D901-H901</f>
        <v>146981</v>
      </c>
      <c r="M901" s="7" t="n">
        <f aca="false">E901-I901</f>
        <v>155151</v>
      </c>
      <c r="N901" s="7" t="n">
        <f aca="false">IFERROR(L901/D901,0)</f>
        <v>0.45132020548471</v>
      </c>
      <c r="O901" s="7" t="n">
        <f aca="false">IFERROR(M901/E901,0)</f>
        <v>0.465092088539294</v>
      </c>
      <c r="P901" s="7" t="n">
        <f aca="false">01_Data!I901+01_Data!K901+01_Data!M901+01_Data!O901+01_Data!Q901+01_Data!S901+01_Data!U901</f>
        <v>80108</v>
      </c>
      <c r="Q901" s="7" t="n">
        <f aca="false">01_Data!J901+01_Data!L901+01_Data!N901+01_Data!P901+01_Data!R901+01_Data!T901+01_Data!V901</f>
        <v>80315</v>
      </c>
      <c r="R901" s="7" t="n">
        <f aca="false">P901-Q901</f>
        <v>-207</v>
      </c>
      <c r="S901" s="7" t="n">
        <f aca="false">L901-P901</f>
        <v>66873</v>
      </c>
      <c r="T901" s="7" t="n">
        <f aca="false">M901-Q901</f>
        <v>74836</v>
      </c>
      <c r="U901" s="7" t="n">
        <f aca="false">T901-S901</f>
        <v>7963</v>
      </c>
      <c r="V901" s="8" t="n">
        <f aca="false">IFERROR(U901/S901,0)</f>
        <v>0.119076458361372</v>
      </c>
      <c r="W901" s="5" t="str">
        <f aca="false">IF(V901&lt;-0.1,"ADVERSE &gt;10%","")</f>
        <v/>
      </c>
    </row>
    <row r="902" customFormat="false" ht="15" hidden="false" customHeight="false" outlineLevel="0" collapsed="false">
      <c r="A902" s="5" t="str">
        <f aca="false">01_Data!A902</f>
        <v>Public Sector</v>
      </c>
      <c r="B902" s="5" t="str">
        <f aca="false">01_Data!C902</f>
        <v>2023-04</v>
      </c>
      <c r="C902" s="5" t="str">
        <f aca="false">01_Data!D902</f>
        <v>FY23</v>
      </c>
      <c r="D902" s="7" t="n">
        <f aca="false">01_Data!E902</f>
        <v>155610</v>
      </c>
      <c r="E902" s="7" t="n">
        <f aca="false">01_Data!F902</f>
        <v>151025</v>
      </c>
      <c r="F902" s="7" t="n">
        <f aca="false">E902-D902</f>
        <v>-4585</v>
      </c>
      <c r="G902" s="8" t="n">
        <f aca="false">IFERROR(F902/D902,0)</f>
        <v>-0.0294646873594242</v>
      </c>
      <c r="H902" s="7" t="n">
        <f aca="false">01_Data!G902</f>
        <v>89916</v>
      </c>
      <c r="I902" s="7" t="n">
        <f aca="false">01_Data!H902</f>
        <v>88374</v>
      </c>
      <c r="J902" s="7" t="n">
        <f aca="false">H902-I902</f>
        <v>1542</v>
      </c>
      <c r="K902" s="8" t="n">
        <f aca="false">IFERROR(J902/H902,0)</f>
        <v>0.0171493393834245</v>
      </c>
      <c r="L902" s="7" t="n">
        <f aca="false">D902-H902</f>
        <v>65694</v>
      </c>
      <c r="M902" s="7" t="n">
        <f aca="false">E902-I902</f>
        <v>62651</v>
      </c>
      <c r="N902" s="7" t="n">
        <f aca="false">IFERROR(L902/D902,0)</f>
        <v>0.422170811644496</v>
      </c>
      <c r="O902" s="7" t="n">
        <f aca="false">IFERROR(M902/E902,0)</f>
        <v>0.414838602880318</v>
      </c>
      <c r="P902" s="7" t="n">
        <f aca="false">01_Data!I902+01_Data!K902+01_Data!M902+01_Data!O902+01_Data!Q902+01_Data!S902+01_Data!U902</f>
        <v>44415</v>
      </c>
      <c r="Q902" s="7" t="n">
        <f aca="false">01_Data!J902+01_Data!L902+01_Data!N902+01_Data!P902+01_Data!R902+01_Data!T902+01_Data!V902</f>
        <v>46038</v>
      </c>
      <c r="R902" s="7" t="n">
        <f aca="false">P902-Q902</f>
        <v>-1623</v>
      </c>
      <c r="S902" s="7" t="n">
        <f aca="false">L902-P902</f>
        <v>21279</v>
      </c>
      <c r="T902" s="7" t="n">
        <f aca="false">M902-Q902</f>
        <v>16613</v>
      </c>
      <c r="U902" s="7" t="n">
        <f aca="false">T902-S902</f>
        <v>-4666</v>
      </c>
      <c r="V902" s="8" t="n">
        <f aca="false">IFERROR(U902/S902,0)</f>
        <v>-0.219277221673951</v>
      </c>
      <c r="W902" s="5" t="str">
        <f aca="false">IF(V902&lt;-0.1,"ADVERSE &gt;10%","")</f>
        <v>ADVERSE &gt;10%</v>
      </c>
    </row>
    <row r="903" customFormat="false" ht="15" hidden="false" customHeight="false" outlineLevel="0" collapsed="false">
      <c r="A903" s="5" t="str">
        <f aca="false">01_Data!A903</f>
        <v>Public Sector</v>
      </c>
      <c r="B903" s="5" t="str">
        <f aca="false">01_Data!C903</f>
        <v>2023-05</v>
      </c>
      <c r="C903" s="5" t="str">
        <f aca="false">01_Data!D903</f>
        <v>FY23</v>
      </c>
      <c r="D903" s="7" t="n">
        <f aca="false">01_Data!E903</f>
        <v>160737</v>
      </c>
      <c r="E903" s="7" t="n">
        <f aca="false">01_Data!F903</f>
        <v>152551</v>
      </c>
      <c r="F903" s="7" t="n">
        <f aca="false">E903-D903</f>
        <v>-8186</v>
      </c>
      <c r="G903" s="8" t="n">
        <f aca="false">IFERROR(F903/D903,0)</f>
        <v>-0.0509279132993648</v>
      </c>
      <c r="H903" s="7" t="n">
        <f aca="false">01_Data!G903</f>
        <v>92063</v>
      </c>
      <c r="I903" s="7" t="n">
        <f aca="false">01_Data!H903</f>
        <v>89025</v>
      </c>
      <c r="J903" s="7" t="n">
        <f aca="false">H903-I903</f>
        <v>3038</v>
      </c>
      <c r="K903" s="8" t="n">
        <f aca="false">IFERROR(J903/H903,0)</f>
        <v>0.0329991418919653</v>
      </c>
      <c r="L903" s="7" t="n">
        <f aca="false">D903-H903</f>
        <v>68674</v>
      </c>
      <c r="M903" s="7" t="n">
        <f aca="false">E903-I903</f>
        <v>63526</v>
      </c>
      <c r="N903" s="7" t="n">
        <f aca="false">IFERROR(L903/D903,0)</f>
        <v>0.427244504998849</v>
      </c>
      <c r="O903" s="7" t="n">
        <f aca="false">IFERROR(M903/E903,0)</f>
        <v>0.416424671093602</v>
      </c>
      <c r="P903" s="7" t="n">
        <f aca="false">01_Data!I903+01_Data!K903+01_Data!M903+01_Data!O903+01_Data!Q903+01_Data!S903+01_Data!U903</f>
        <v>42252</v>
      </c>
      <c r="Q903" s="7" t="n">
        <f aca="false">01_Data!J903+01_Data!L903+01_Data!N903+01_Data!P903+01_Data!R903+01_Data!T903+01_Data!V903</f>
        <v>44404</v>
      </c>
      <c r="R903" s="7" t="n">
        <f aca="false">P903-Q903</f>
        <v>-2152</v>
      </c>
      <c r="S903" s="7" t="n">
        <f aca="false">L903-P903</f>
        <v>26422</v>
      </c>
      <c r="T903" s="7" t="n">
        <f aca="false">M903-Q903</f>
        <v>19122</v>
      </c>
      <c r="U903" s="7" t="n">
        <f aca="false">T903-S903</f>
        <v>-7300</v>
      </c>
      <c r="V903" s="8" t="n">
        <f aca="false">IFERROR(U903/S903,0)</f>
        <v>-0.276284914086746</v>
      </c>
      <c r="W903" s="5" t="str">
        <f aca="false">IF(V903&lt;-0.1,"ADVERSE &gt;10%","")</f>
        <v>ADVERSE &gt;10%</v>
      </c>
    </row>
    <row r="904" customFormat="false" ht="15" hidden="false" customHeight="false" outlineLevel="0" collapsed="false">
      <c r="A904" s="5" t="str">
        <f aca="false">01_Data!A904</f>
        <v>Public Sector</v>
      </c>
      <c r="B904" s="5" t="str">
        <f aca="false">01_Data!C904</f>
        <v>2023-06</v>
      </c>
      <c r="C904" s="5" t="str">
        <f aca="false">01_Data!D904</f>
        <v>FY23</v>
      </c>
      <c r="D904" s="7" t="n">
        <f aca="false">01_Data!E904</f>
        <v>155093</v>
      </c>
      <c r="E904" s="7" t="n">
        <f aca="false">01_Data!F904</f>
        <v>152173</v>
      </c>
      <c r="F904" s="7" t="n">
        <f aca="false">E904-D904</f>
        <v>-2920</v>
      </c>
      <c r="G904" s="8" t="n">
        <f aca="false">IFERROR(F904/D904,0)</f>
        <v>-0.0188274132294817</v>
      </c>
      <c r="H904" s="7" t="n">
        <f aca="false">01_Data!G904</f>
        <v>84780</v>
      </c>
      <c r="I904" s="7" t="n">
        <f aca="false">01_Data!H904</f>
        <v>84810</v>
      </c>
      <c r="J904" s="7" t="n">
        <f aca="false">H904-I904</f>
        <v>-30</v>
      </c>
      <c r="K904" s="8" t="n">
        <f aca="false">IFERROR(J904/H904,0)</f>
        <v>-0.000353857041755131</v>
      </c>
      <c r="L904" s="7" t="n">
        <f aca="false">D904-H904</f>
        <v>70313</v>
      </c>
      <c r="M904" s="7" t="n">
        <f aca="false">E904-I904</f>
        <v>67363</v>
      </c>
      <c r="N904" s="7" t="n">
        <f aca="false">IFERROR(L904/D904,0)</f>
        <v>0.453360241919365</v>
      </c>
      <c r="O904" s="7" t="n">
        <f aca="false">IFERROR(M904/E904,0)</f>
        <v>0.442673798899936</v>
      </c>
      <c r="P904" s="7" t="n">
        <f aca="false">01_Data!I904+01_Data!K904+01_Data!M904+01_Data!O904+01_Data!Q904+01_Data!S904+01_Data!U904</f>
        <v>41824</v>
      </c>
      <c r="Q904" s="7" t="n">
        <f aca="false">01_Data!J904+01_Data!L904+01_Data!N904+01_Data!P904+01_Data!R904+01_Data!T904+01_Data!V904</f>
        <v>42748</v>
      </c>
      <c r="R904" s="7" t="n">
        <f aca="false">P904-Q904</f>
        <v>-924</v>
      </c>
      <c r="S904" s="7" t="n">
        <f aca="false">L904-P904</f>
        <v>28489</v>
      </c>
      <c r="T904" s="7" t="n">
        <f aca="false">M904-Q904</f>
        <v>24615</v>
      </c>
      <c r="U904" s="7" t="n">
        <f aca="false">T904-S904</f>
        <v>-3874</v>
      </c>
      <c r="V904" s="8" t="n">
        <f aca="false">IFERROR(U904/S904,0)</f>
        <v>-0.135982308961354</v>
      </c>
      <c r="W904" s="5" t="str">
        <f aca="false">IF(V904&lt;-0.1,"ADVERSE &gt;10%","")</f>
        <v>ADVERSE &gt;10%</v>
      </c>
    </row>
    <row r="905" customFormat="false" ht="15" hidden="false" customHeight="false" outlineLevel="0" collapsed="false">
      <c r="A905" s="5" t="str">
        <f aca="false">01_Data!A905</f>
        <v>Public Sector</v>
      </c>
      <c r="B905" s="5" t="str">
        <f aca="false">01_Data!C905</f>
        <v>2023-07</v>
      </c>
      <c r="C905" s="5" t="str">
        <f aca="false">01_Data!D905</f>
        <v>FY23</v>
      </c>
      <c r="D905" s="7" t="n">
        <f aca="false">01_Data!E905</f>
        <v>155673</v>
      </c>
      <c r="E905" s="7" t="n">
        <f aca="false">01_Data!F905</f>
        <v>154970</v>
      </c>
      <c r="F905" s="7" t="n">
        <f aca="false">E905-D905</f>
        <v>-703</v>
      </c>
      <c r="G905" s="8" t="n">
        <f aca="false">IFERROR(F905/D905,0)</f>
        <v>-0.00451587622773378</v>
      </c>
      <c r="H905" s="7" t="n">
        <f aca="false">01_Data!G905</f>
        <v>91268</v>
      </c>
      <c r="I905" s="7" t="n">
        <f aca="false">01_Data!H905</f>
        <v>94013</v>
      </c>
      <c r="J905" s="7" t="n">
        <f aca="false">H905-I905</f>
        <v>-2745</v>
      </c>
      <c r="K905" s="8" t="n">
        <f aca="false">IFERROR(J905/H905,0)</f>
        <v>-0.0300762589297454</v>
      </c>
      <c r="L905" s="7" t="n">
        <f aca="false">D905-H905</f>
        <v>64405</v>
      </c>
      <c r="M905" s="7" t="n">
        <f aca="false">E905-I905</f>
        <v>60957</v>
      </c>
      <c r="N905" s="7" t="n">
        <f aca="false">IFERROR(L905/D905,0)</f>
        <v>0.413719784419906</v>
      </c>
      <c r="O905" s="7" t="n">
        <f aca="false">IFERROR(M905/E905,0)</f>
        <v>0.393347099438601</v>
      </c>
      <c r="P905" s="7" t="n">
        <f aca="false">01_Data!I905+01_Data!K905+01_Data!M905+01_Data!O905+01_Data!Q905+01_Data!S905+01_Data!U905</f>
        <v>38469</v>
      </c>
      <c r="Q905" s="7" t="n">
        <f aca="false">01_Data!J905+01_Data!L905+01_Data!N905+01_Data!P905+01_Data!R905+01_Data!T905+01_Data!V905</f>
        <v>38967</v>
      </c>
      <c r="R905" s="7" t="n">
        <f aca="false">P905-Q905</f>
        <v>-498</v>
      </c>
      <c r="S905" s="7" t="n">
        <f aca="false">L905-P905</f>
        <v>25936</v>
      </c>
      <c r="T905" s="7" t="n">
        <f aca="false">M905-Q905</f>
        <v>21990</v>
      </c>
      <c r="U905" s="7" t="n">
        <f aca="false">T905-S905</f>
        <v>-3946</v>
      </c>
      <c r="V905" s="8" t="n">
        <f aca="false">IFERROR(U905/S905,0)</f>
        <v>-0.152143738433066</v>
      </c>
      <c r="W905" s="5" t="str">
        <f aca="false">IF(V905&lt;-0.1,"ADVERSE &gt;10%","")</f>
        <v>ADVERSE &gt;10%</v>
      </c>
    </row>
    <row r="906" customFormat="false" ht="15" hidden="false" customHeight="false" outlineLevel="0" collapsed="false">
      <c r="A906" s="5" t="str">
        <f aca="false">01_Data!A906</f>
        <v>Public Sector</v>
      </c>
      <c r="B906" s="5" t="str">
        <f aca="false">01_Data!C906</f>
        <v>2023-08</v>
      </c>
      <c r="C906" s="5" t="str">
        <f aca="false">01_Data!D906</f>
        <v>FY23</v>
      </c>
      <c r="D906" s="7" t="n">
        <f aca="false">01_Data!E906</f>
        <v>154037</v>
      </c>
      <c r="E906" s="7" t="n">
        <f aca="false">01_Data!F906</f>
        <v>153478</v>
      </c>
      <c r="F906" s="7" t="n">
        <f aca="false">E906-D906</f>
        <v>-559</v>
      </c>
      <c r="G906" s="8" t="n">
        <f aca="false">IFERROR(F906/D906,0)</f>
        <v>-0.00362899822769854</v>
      </c>
      <c r="H906" s="7" t="n">
        <f aca="false">01_Data!G906</f>
        <v>88544</v>
      </c>
      <c r="I906" s="7" t="n">
        <f aca="false">01_Data!H906</f>
        <v>86526</v>
      </c>
      <c r="J906" s="7" t="n">
        <f aca="false">H906-I906</f>
        <v>2018</v>
      </c>
      <c r="K906" s="8" t="n">
        <f aca="false">IFERROR(J906/H906,0)</f>
        <v>0.0227909288037586</v>
      </c>
      <c r="L906" s="7" t="n">
        <f aca="false">D906-H906</f>
        <v>65493</v>
      </c>
      <c r="M906" s="7" t="n">
        <f aca="false">E906-I906</f>
        <v>66952</v>
      </c>
      <c r="N906" s="7" t="n">
        <f aca="false">IFERROR(L906/D906,0)</f>
        <v>0.425177067847335</v>
      </c>
      <c r="O906" s="7" t="n">
        <f aca="false">IFERROR(M906/E906,0)</f>
        <v>0.436231902943744</v>
      </c>
      <c r="P906" s="7" t="n">
        <f aca="false">01_Data!I906+01_Data!K906+01_Data!M906+01_Data!O906+01_Data!Q906+01_Data!S906+01_Data!U906</f>
        <v>39796</v>
      </c>
      <c r="Q906" s="7" t="n">
        <f aca="false">01_Data!J906+01_Data!L906+01_Data!N906+01_Data!P906+01_Data!R906+01_Data!T906+01_Data!V906</f>
        <v>40709</v>
      </c>
      <c r="R906" s="7" t="n">
        <f aca="false">P906-Q906</f>
        <v>-913</v>
      </c>
      <c r="S906" s="7" t="n">
        <f aca="false">L906-P906</f>
        <v>25697</v>
      </c>
      <c r="T906" s="7" t="n">
        <f aca="false">M906-Q906</f>
        <v>26243</v>
      </c>
      <c r="U906" s="7" t="n">
        <f aca="false">T906-S906</f>
        <v>546</v>
      </c>
      <c r="V906" s="8" t="n">
        <f aca="false">IFERROR(U906/S906,0)</f>
        <v>0.0212476164532825</v>
      </c>
      <c r="W906" s="5" t="str">
        <f aca="false">IF(V906&lt;-0.1,"ADVERSE &gt;10%","")</f>
        <v/>
      </c>
    </row>
    <row r="907" customFormat="false" ht="15" hidden="false" customHeight="false" outlineLevel="0" collapsed="false">
      <c r="A907" s="5" t="str">
        <f aca="false">01_Data!A907</f>
        <v>Public Sector</v>
      </c>
      <c r="B907" s="5" t="str">
        <f aca="false">01_Data!C907</f>
        <v>2023-09</v>
      </c>
      <c r="C907" s="5" t="str">
        <f aca="false">01_Data!D907</f>
        <v>FY23</v>
      </c>
      <c r="D907" s="7" t="n">
        <f aca="false">01_Data!E907</f>
        <v>160253</v>
      </c>
      <c r="E907" s="7" t="n">
        <f aca="false">01_Data!F907</f>
        <v>161736</v>
      </c>
      <c r="F907" s="7" t="n">
        <f aca="false">E907-D907</f>
        <v>1483</v>
      </c>
      <c r="G907" s="8" t="n">
        <f aca="false">IFERROR(F907/D907,0)</f>
        <v>0.00925411692760822</v>
      </c>
      <c r="H907" s="7" t="n">
        <f aca="false">01_Data!G907</f>
        <v>90038</v>
      </c>
      <c r="I907" s="7" t="n">
        <f aca="false">01_Data!H907</f>
        <v>93753</v>
      </c>
      <c r="J907" s="7" t="n">
        <f aca="false">H907-I907</f>
        <v>-3715</v>
      </c>
      <c r="K907" s="8" t="n">
        <f aca="false">IFERROR(J907/H907,0)</f>
        <v>-0.0412603567382661</v>
      </c>
      <c r="L907" s="7" t="n">
        <f aca="false">D907-H907</f>
        <v>70215</v>
      </c>
      <c r="M907" s="7" t="n">
        <f aca="false">E907-I907</f>
        <v>67983</v>
      </c>
      <c r="N907" s="7" t="n">
        <f aca="false">IFERROR(L907/D907,0)</f>
        <v>0.43815092385166</v>
      </c>
      <c r="O907" s="7" t="n">
        <f aca="false">IFERROR(M907/E907,0)</f>
        <v>0.420333135480042</v>
      </c>
      <c r="P907" s="7" t="n">
        <f aca="false">01_Data!I907+01_Data!K907+01_Data!M907+01_Data!O907+01_Data!Q907+01_Data!S907+01_Data!U907</f>
        <v>41353</v>
      </c>
      <c r="Q907" s="7" t="n">
        <f aca="false">01_Data!J907+01_Data!L907+01_Data!N907+01_Data!P907+01_Data!R907+01_Data!T907+01_Data!V907</f>
        <v>43783</v>
      </c>
      <c r="R907" s="7" t="n">
        <f aca="false">P907-Q907</f>
        <v>-2430</v>
      </c>
      <c r="S907" s="7" t="n">
        <f aca="false">L907-P907</f>
        <v>28862</v>
      </c>
      <c r="T907" s="7" t="n">
        <f aca="false">M907-Q907</f>
        <v>24200</v>
      </c>
      <c r="U907" s="7" t="n">
        <f aca="false">T907-S907</f>
        <v>-4662</v>
      </c>
      <c r="V907" s="8" t="n">
        <f aca="false">IFERROR(U907/S907,0)</f>
        <v>-0.161527267687617</v>
      </c>
      <c r="W907" s="5" t="str">
        <f aca="false">IF(V907&lt;-0.1,"ADVERSE &gt;10%","")</f>
        <v>ADVERSE &gt;10%</v>
      </c>
    </row>
    <row r="908" customFormat="false" ht="15" hidden="false" customHeight="false" outlineLevel="0" collapsed="false">
      <c r="A908" s="5" t="str">
        <f aca="false">01_Data!A908</f>
        <v>Public Sector</v>
      </c>
      <c r="B908" s="5" t="str">
        <f aca="false">01_Data!C908</f>
        <v>2023-10</v>
      </c>
      <c r="C908" s="5" t="str">
        <f aca="false">01_Data!D908</f>
        <v>FY23</v>
      </c>
      <c r="D908" s="7" t="n">
        <f aca="false">01_Data!E908</f>
        <v>161469</v>
      </c>
      <c r="E908" s="7" t="n">
        <f aca="false">01_Data!F908</f>
        <v>156161</v>
      </c>
      <c r="F908" s="7" t="n">
        <f aca="false">E908-D908</f>
        <v>-5308</v>
      </c>
      <c r="G908" s="8" t="n">
        <f aca="false">IFERROR(F908/D908,0)</f>
        <v>-0.0328731830877754</v>
      </c>
      <c r="H908" s="7" t="n">
        <f aca="false">01_Data!G908</f>
        <v>95470</v>
      </c>
      <c r="I908" s="7" t="n">
        <f aca="false">01_Data!H908</f>
        <v>90647</v>
      </c>
      <c r="J908" s="7" t="n">
        <f aca="false">H908-I908</f>
        <v>4823</v>
      </c>
      <c r="K908" s="8" t="n">
        <f aca="false">IFERROR(J908/H908,0)</f>
        <v>0.050518487482979</v>
      </c>
      <c r="L908" s="7" t="n">
        <f aca="false">D908-H908</f>
        <v>65999</v>
      </c>
      <c r="M908" s="7" t="n">
        <f aca="false">E908-I908</f>
        <v>65514</v>
      </c>
      <c r="N908" s="7" t="n">
        <f aca="false">IFERROR(L908/D908,0)</f>
        <v>0.408740996723829</v>
      </c>
      <c r="O908" s="7" t="n">
        <f aca="false">IFERROR(M908/E908,0)</f>
        <v>0.419528563469752</v>
      </c>
      <c r="P908" s="7" t="n">
        <f aca="false">01_Data!I908+01_Data!K908+01_Data!M908+01_Data!O908+01_Data!Q908+01_Data!S908+01_Data!U908</f>
        <v>40411</v>
      </c>
      <c r="Q908" s="7" t="n">
        <f aca="false">01_Data!J908+01_Data!L908+01_Data!N908+01_Data!P908+01_Data!R908+01_Data!T908+01_Data!V908</f>
        <v>41318</v>
      </c>
      <c r="R908" s="7" t="n">
        <f aca="false">P908-Q908</f>
        <v>-907</v>
      </c>
      <c r="S908" s="7" t="n">
        <f aca="false">L908-P908</f>
        <v>25588</v>
      </c>
      <c r="T908" s="7" t="n">
        <f aca="false">M908-Q908</f>
        <v>24196</v>
      </c>
      <c r="U908" s="7" t="n">
        <f aca="false">T908-S908</f>
        <v>-1392</v>
      </c>
      <c r="V908" s="8" t="n">
        <f aca="false">IFERROR(U908/S908,0)</f>
        <v>-0.0544005002344849</v>
      </c>
      <c r="W908" s="5" t="str">
        <f aca="false">IF(V908&lt;-0.1,"ADVERSE &gt;10%","")</f>
        <v/>
      </c>
    </row>
    <row r="909" customFormat="false" ht="15" hidden="false" customHeight="false" outlineLevel="0" collapsed="false">
      <c r="A909" s="5" t="str">
        <f aca="false">01_Data!A909</f>
        <v>Public Sector</v>
      </c>
      <c r="B909" s="5" t="str">
        <f aca="false">01_Data!C909</f>
        <v>2023-11</v>
      </c>
      <c r="C909" s="5" t="str">
        <f aca="false">01_Data!D909</f>
        <v>FY23</v>
      </c>
      <c r="D909" s="7" t="n">
        <f aca="false">01_Data!E909</f>
        <v>165572</v>
      </c>
      <c r="E909" s="7" t="n">
        <f aca="false">01_Data!F909</f>
        <v>159852</v>
      </c>
      <c r="F909" s="7" t="n">
        <f aca="false">E909-D909</f>
        <v>-5720</v>
      </c>
      <c r="G909" s="8" t="n">
        <f aca="false">IFERROR(F909/D909,0)</f>
        <v>-0.0345469040659049</v>
      </c>
      <c r="H909" s="7" t="n">
        <f aca="false">01_Data!G909</f>
        <v>93663</v>
      </c>
      <c r="I909" s="7" t="n">
        <f aca="false">01_Data!H909</f>
        <v>94274</v>
      </c>
      <c r="J909" s="7" t="n">
        <f aca="false">H909-I909</f>
        <v>-611</v>
      </c>
      <c r="K909" s="8" t="n">
        <f aca="false">IFERROR(J909/H909,0)</f>
        <v>-0.00652338703650321</v>
      </c>
      <c r="L909" s="7" t="n">
        <f aca="false">D909-H909</f>
        <v>71909</v>
      </c>
      <c r="M909" s="7" t="n">
        <f aca="false">E909-I909</f>
        <v>65578</v>
      </c>
      <c r="N909" s="7" t="n">
        <f aca="false">IFERROR(L909/D909,0)</f>
        <v>0.434306525257894</v>
      </c>
      <c r="O909" s="7" t="n">
        <f aca="false">IFERROR(M909/E909,0)</f>
        <v>0.410241973825789</v>
      </c>
      <c r="P909" s="7" t="n">
        <f aca="false">01_Data!I909+01_Data!K909+01_Data!M909+01_Data!O909+01_Data!Q909+01_Data!S909+01_Data!U909</f>
        <v>44556</v>
      </c>
      <c r="Q909" s="7" t="n">
        <f aca="false">01_Data!J909+01_Data!L909+01_Data!N909+01_Data!P909+01_Data!R909+01_Data!T909+01_Data!V909</f>
        <v>45844</v>
      </c>
      <c r="R909" s="7" t="n">
        <f aca="false">P909-Q909</f>
        <v>-1288</v>
      </c>
      <c r="S909" s="7" t="n">
        <f aca="false">L909-P909</f>
        <v>27353</v>
      </c>
      <c r="T909" s="7" t="n">
        <f aca="false">M909-Q909</f>
        <v>19734</v>
      </c>
      <c r="U909" s="7" t="n">
        <f aca="false">T909-S909</f>
        <v>-7619</v>
      </c>
      <c r="V909" s="8" t="n">
        <f aca="false">IFERROR(U909/S909,0)</f>
        <v>-0.278543487003254</v>
      </c>
      <c r="W909" s="5" t="str">
        <f aca="false">IF(V909&lt;-0.1,"ADVERSE &gt;10%","")</f>
        <v>ADVERSE &gt;10%</v>
      </c>
    </row>
    <row r="910" customFormat="false" ht="15" hidden="false" customHeight="false" outlineLevel="0" collapsed="false">
      <c r="A910" s="5" t="str">
        <f aca="false">01_Data!A910</f>
        <v>Public Sector</v>
      </c>
      <c r="B910" s="5" t="str">
        <f aca="false">01_Data!C910</f>
        <v>2023-12</v>
      </c>
      <c r="C910" s="5" t="str">
        <f aca="false">01_Data!D910</f>
        <v>FY23</v>
      </c>
      <c r="D910" s="7" t="n">
        <f aca="false">01_Data!E910</f>
        <v>170313</v>
      </c>
      <c r="E910" s="7" t="n">
        <f aca="false">01_Data!F910</f>
        <v>169965</v>
      </c>
      <c r="F910" s="7" t="n">
        <f aca="false">E910-D910</f>
        <v>-348</v>
      </c>
      <c r="G910" s="8" t="n">
        <f aca="false">IFERROR(F910/D910,0)</f>
        <v>-0.00204329675362421</v>
      </c>
      <c r="H910" s="7" t="n">
        <f aca="false">01_Data!G910</f>
        <v>95936</v>
      </c>
      <c r="I910" s="7" t="n">
        <f aca="false">01_Data!H910</f>
        <v>92851</v>
      </c>
      <c r="J910" s="7" t="n">
        <f aca="false">H910-I910</f>
        <v>3085</v>
      </c>
      <c r="K910" s="8" t="n">
        <f aca="false">IFERROR(J910/H910,0)</f>
        <v>0.0321568545697131</v>
      </c>
      <c r="L910" s="7" t="n">
        <f aca="false">D910-H910</f>
        <v>74377</v>
      </c>
      <c r="M910" s="7" t="n">
        <f aca="false">E910-I910</f>
        <v>77114</v>
      </c>
      <c r="N910" s="7" t="n">
        <f aca="false">IFERROR(L910/D910,0)</f>
        <v>0.436707708748011</v>
      </c>
      <c r="O910" s="7" t="n">
        <f aca="false">IFERROR(M910/E910,0)</f>
        <v>0.45370517459477</v>
      </c>
      <c r="P910" s="7" t="n">
        <f aca="false">01_Data!I910+01_Data!K910+01_Data!M910+01_Data!O910+01_Data!Q910+01_Data!S910+01_Data!U910</f>
        <v>45856</v>
      </c>
      <c r="Q910" s="7" t="n">
        <f aca="false">01_Data!J910+01_Data!L910+01_Data!N910+01_Data!P910+01_Data!R910+01_Data!T910+01_Data!V910</f>
        <v>48658</v>
      </c>
      <c r="R910" s="7" t="n">
        <f aca="false">P910-Q910</f>
        <v>-2802</v>
      </c>
      <c r="S910" s="7" t="n">
        <f aca="false">L910-P910</f>
        <v>28521</v>
      </c>
      <c r="T910" s="7" t="n">
        <f aca="false">M910-Q910</f>
        <v>28456</v>
      </c>
      <c r="U910" s="7" t="n">
        <f aca="false">T910-S910</f>
        <v>-65</v>
      </c>
      <c r="V910" s="8" t="n">
        <f aca="false">IFERROR(U910/S910,0)</f>
        <v>-0.00227902247466779</v>
      </c>
      <c r="W910" s="5" t="str">
        <f aca="false">IF(V910&lt;-0.1,"ADVERSE &gt;10%","")</f>
        <v/>
      </c>
    </row>
    <row r="911" customFormat="false" ht="15" hidden="false" customHeight="false" outlineLevel="0" collapsed="false">
      <c r="A911" s="5" t="str">
        <f aca="false">01_Data!A911</f>
        <v>Public Sector</v>
      </c>
      <c r="B911" s="5" t="str">
        <f aca="false">01_Data!C911</f>
        <v>2024-01</v>
      </c>
      <c r="C911" s="5" t="str">
        <f aca="false">01_Data!D911</f>
        <v>FY23</v>
      </c>
      <c r="D911" s="7" t="n">
        <f aca="false">01_Data!E911</f>
        <v>153978</v>
      </c>
      <c r="E911" s="7" t="n">
        <f aca="false">01_Data!F911</f>
        <v>163522</v>
      </c>
      <c r="F911" s="7" t="n">
        <f aca="false">E911-D911</f>
        <v>9544</v>
      </c>
      <c r="G911" s="8" t="n">
        <f aca="false">IFERROR(F911/D911,0)</f>
        <v>0.0619828806712647</v>
      </c>
      <c r="H911" s="7" t="n">
        <f aca="false">01_Data!G911</f>
        <v>90557</v>
      </c>
      <c r="I911" s="7" t="n">
        <f aca="false">01_Data!H911</f>
        <v>96547</v>
      </c>
      <c r="J911" s="7" t="n">
        <f aca="false">H911-I911</f>
        <v>-5990</v>
      </c>
      <c r="K911" s="8" t="n">
        <f aca="false">IFERROR(J911/H911,0)</f>
        <v>-0.0661461841712954</v>
      </c>
      <c r="L911" s="7" t="n">
        <f aca="false">D911-H911</f>
        <v>63421</v>
      </c>
      <c r="M911" s="7" t="n">
        <f aca="false">E911-I911</f>
        <v>66975</v>
      </c>
      <c r="N911" s="7" t="n">
        <f aca="false">IFERROR(L911/D911,0)</f>
        <v>0.411883515826936</v>
      </c>
      <c r="O911" s="7" t="n">
        <f aca="false">IFERROR(M911/E911,0)</f>
        <v>0.409577916121378</v>
      </c>
      <c r="P911" s="7" t="n">
        <f aca="false">01_Data!I911+01_Data!K911+01_Data!M911+01_Data!O911+01_Data!Q911+01_Data!S911+01_Data!U911</f>
        <v>42706</v>
      </c>
      <c r="Q911" s="7" t="n">
        <f aca="false">01_Data!J911+01_Data!L911+01_Data!N911+01_Data!P911+01_Data!R911+01_Data!T911+01_Data!V911</f>
        <v>42951</v>
      </c>
      <c r="R911" s="7" t="n">
        <f aca="false">P911-Q911</f>
        <v>-245</v>
      </c>
      <c r="S911" s="7" t="n">
        <f aca="false">L911-P911</f>
        <v>20715</v>
      </c>
      <c r="T911" s="7" t="n">
        <f aca="false">M911-Q911</f>
        <v>24024</v>
      </c>
      <c r="U911" s="7" t="n">
        <f aca="false">T911-S911</f>
        <v>3309</v>
      </c>
      <c r="V911" s="8" t="n">
        <f aca="false">IFERROR(U911/S911,0)</f>
        <v>0.159739319333816</v>
      </c>
      <c r="W911" s="5" t="str">
        <f aca="false">IF(V911&lt;-0.1,"ADVERSE &gt;10%","")</f>
        <v/>
      </c>
    </row>
    <row r="912" customFormat="false" ht="15" hidden="false" customHeight="false" outlineLevel="0" collapsed="false">
      <c r="A912" s="5" t="str">
        <f aca="false">01_Data!A912</f>
        <v>Public Sector</v>
      </c>
      <c r="B912" s="5" t="str">
        <f aca="false">01_Data!C912</f>
        <v>2024-02</v>
      </c>
      <c r="C912" s="5" t="str">
        <f aca="false">01_Data!D912</f>
        <v>FY23</v>
      </c>
      <c r="D912" s="7" t="n">
        <f aca="false">01_Data!E912</f>
        <v>165067</v>
      </c>
      <c r="E912" s="7" t="n">
        <f aca="false">01_Data!F912</f>
        <v>163328</v>
      </c>
      <c r="F912" s="7" t="n">
        <f aca="false">E912-D912</f>
        <v>-1739</v>
      </c>
      <c r="G912" s="8" t="n">
        <f aca="false">IFERROR(F912/D912,0)</f>
        <v>-0.0105351160437883</v>
      </c>
      <c r="H912" s="7" t="n">
        <f aca="false">01_Data!G912</f>
        <v>92958</v>
      </c>
      <c r="I912" s="7" t="n">
        <f aca="false">01_Data!H912</f>
        <v>94858</v>
      </c>
      <c r="J912" s="7" t="n">
        <f aca="false">H912-I912</f>
        <v>-1900</v>
      </c>
      <c r="K912" s="8" t="n">
        <f aca="false">IFERROR(J912/H912,0)</f>
        <v>-0.0204393381957443</v>
      </c>
      <c r="L912" s="7" t="n">
        <f aca="false">D912-H912</f>
        <v>72109</v>
      </c>
      <c r="M912" s="7" t="n">
        <f aca="false">E912-I912</f>
        <v>68470</v>
      </c>
      <c r="N912" s="7" t="n">
        <f aca="false">IFERROR(L912/D912,0)</f>
        <v>0.436846856125089</v>
      </c>
      <c r="O912" s="7" t="n">
        <f aca="false">IFERROR(M912/E912,0)</f>
        <v>0.419217770376176</v>
      </c>
      <c r="P912" s="7" t="n">
        <f aca="false">01_Data!I912+01_Data!K912+01_Data!M912+01_Data!O912+01_Data!Q912+01_Data!S912+01_Data!U912</f>
        <v>43256</v>
      </c>
      <c r="Q912" s="7" t="n">
        <f aca="false">01_Data!J912+01_Data!L912+01_Data!N912+01_Data!P912+01_Data!R912+01_Data!T912+01_Data!V912</f>
        <v>44150</v>
      </c>
      <c r="R912" s="7" t="n">
        <f aca="false">P912-Q912</f>
        <v>-894</v>
      </c>
      <c r="S912" s="7" t="n">
        <f aca="false">L912-P912</f>
        <v>28853</v>
      </c>
      <c r="T912" s="7" t="n">
        <f aca="false">M912-Q912</f>
        <v>24320</v>
      </c>
      <c r="U912" s="7" t="n">
        <f aca="false">T912-S912</f>
        <v>-4533</v>
      </c>
      <c r="V912" s="8" t="n">
        <f aca="false">IFERROR(U912/S912,0)</f>
        <v>-0.157106713340034</v>
      </c>
      <c r="W912" s="5" t="str">
        <f aca="false">IF(V912&lt;-0.1,"ADVERSE &gt;10%","")</f>
        <v>ADVERSE &gt;10%</v>
      </c>
    </row>
    <row r="913" customFormat="false" ht="15" hidden="false" customHeight="false" outlineLevel="0" collapsed="false">
      <c r="A913" s="5" t="str">
        <f aca="false">01_Data!A913</f>
        <v>Public Sector</v>
      </c>
      <c r="B913" s="5" t="str">
        <f aca="false">01_Data!C913</f>
        <v>2024-03</v>
      </c>
      <c r="C913" s="5" t="str">
        <f aca="false">01_Data!D913</f>
        <v>FY23</v>
      </c>
      <c r="D913" s="7" t="n">
        <f aca="false">01_Data!E913</f>
        <v>184639</v>
      </c>
      <c r="E913" s="7" t="n">
        <f aca="false">01_Data!F913</f>
        <v>175179</v>
      </c>
      <c r="F913" s="7" t="n">
        <f aca="false">E913-D913</f>
        <v>-9460</v>
      </c>
      <c r="G913" s="8" t="n">
        <f aca="false">IFERROR(F913/D913,0)</f>
        <v>-0.0512351128418157</v>
      </c>
      <c r="H913" s="7" t="n">
        <f aca="false">01_Data!G913</f>
        <v>100227</v>
      </c>
      <c r="I913" s="7" t="n">
        <f aca="false">01_Data!H913</f>
        <v>97508</v>
      </c>
      <c r="J913" s="7" t="n">
        <f aca="false">H913-I913</f>
        <v>2719</v>
      </c>
      <c r="K913" s="8" t="n">
        <f aca="false">IFERROR(J913/H913,0)</f>
        <v>0.0271284184900276</v>
      </c>
      <c r="L913" s="7" t="n">
        <f aca="false">D913-H913</f>
        <v>84412</v>
      </c>
      <c r="M913" s="7" t="n">
        <f aca="false">E913-I913</f>
        <v>77671</v>
      </c>
      <c r="N913" s="7" t="n">
        <f aca="false">IFERROR(L913/D913,0)</f>
        <v>0.457173186596548</v>
      </c>
      <c r="O913" s="7" t="n">
        <f aca="false">IFERROR(M913/E913,0)</f>
        <v>0.443380770526148</v>
      </c>
      <c r="P913" s="7" t="n">
        <f aca="false">01_Data!I913+01_Data!K913+01_Data!M913+01_Data!O913+01_Data!Q913+01_Data!S913+01_Data!U913</f>
        <v>46717</v>
      </c>
      <c r="Q913" s="7" t="n">
        <f aca="false">01_Data!J913+01_Data!L913+01_Data!N913+01_Data!P913+01_Data!R913+01_Data!T913+01_Data!V913</f>
        <v>47549</v>
      </c>
      <c r="R913" s="7" t="n">
        <f aca="false">P913-Q913</f>
        <v>-832</v>
      </c>
      <c r="S913" s="7" t="n">
        <f aca="false">L913-P913</f>
        <v>37695</v>
      </c>
      <c r="T913" s="7" t="n">
        <f aca="false">M913-Q913</f>
        <v>30122</v>
      </c>
      <c r="U913" s="7" t="n">
        <f aca="false">T913-S913</f>
        <v>-7573</v>
      </c>
      <c r="V913" s="8" t="n">
        <f aca="false">IFERROR(U913/S913,0)</f>
        <v>-0.200901976389442</v>
      </c>
      <c r="W913" s="5" t="str">
        <f aca="false">IF(V913&lt;-0.1,"ADVERSE &gt;10%","")</f>
        <v>ADVERSE &gt;10%</v>
      </c>
    </row>
    <row r="914" customFormat="false" ht="15" hidden="false" customHeight="false" outlineLevel="0" collapsed="false">
      <c r="A914" s="5" t="str">
        <f aca="false">01_Data!A914</f>
        <v>Public Sector</v>
      </c>
      <c r="B914" s="5" t="str">
        <f aca="false">01_Data!C914</f>
        <v>2024-04</v>
      </c>
      <c r="C914" s="5" t="str">
        <f aca="false">01_Data!D914</f>
        <v>FY24</v>
      </c>
      <c r="D914" s="7" t="n">
        <f aca="false">01_Data!E914</f>
        <v>172151</v>
      </c>
      <c r="E914" s="7" t="n">
        <f aca="false">01_Data!F914</f>
        <v>167401</v>
      </c>
      <c r="F914" s="7" t="n">
        <f aca="false">E914-D914</f>
        <v>-4750</v>
      </c>
      <c r="G914" s="8" t="n">
        <f aca="false">IFERROR(F914/D914,0)</f>
        <v>-0.0275920558114678</v>
      </c>
      <c r="H914" s="7" t="n">
        <f aca="false">01_Data!G914</f>
        <v>103055</v>
      </c>
      <c r="I914" s="7" t="n">
        <f aca="false">01_Data!H914</f>
        <v>102573</v>
      </c>
      <c r="J914" s="7" t="n">
        <f aca="false">H914-I914</f>
        <v>482</v>
      </c>
      <c r="K914" s="8" t="n">
        <f aca="false">IFERROR(J914/H914,0)</f>
        <v>0.0046771141623405</v>
      </c>
      <c r="L914" s="7" t="n">
        <f aca="false">D914-H914</f>
        <v>69096</v>
      </c>
      <c r="M914" s="7" t="n">
        <f aca="false">E914-I914</f>
        <v>64828</v>
      </c>
      <c r="N914" s="7" t="n">
        <f aca="false">IFERROR(L914/D914,0)</f>
        <v>0.401368565968249</v>
      </c>
      <c r="O914" s="7" t="n">
        <f aca="false">IFERROR(M914/E914,0)</f>
        <v>0.387261724840353</v>
      </c>
      <c r="P914" s="7" t="n">
        <f aca="false">01_Data!I914+01_Data!K914+01_Data!M914+01_Data!O914+01_Data!Q914+01_Data!S914+01_Data!U914</f>
        <v>46219</v>
      </c>
      <c r="Q914" s="7" t="n">
        <f aca="false">01_Data!J914+01_Data!L914+01_Data!N914+01_Data!P914+01_Data!R914+01_Data!T914+01_Data!V914</f>
        <v>47914</v>
      </c>
      <c r="R914" s="7" t="n">
        <f aca="false">P914-Q914</f>
        <v>-1695</v>
      </c>
      <c r="S914" s="7" t="n">
        <f aca="false">L914-P914</f>
        <v>22877</v>
      </c>
      <c r="T914" s="7" t="n">
        <f aca="false">M914-Q914</f>
        <v>16914</v>
      </c>
      <c r="U914" s="7" t="n">
        <f aca="false">T914-S914</f>
        <v>-5963</v>
      </c>
      <c r="V914" s="8" t="n">
        <f aca="false">IFERROR(U914/S914,0)</f>
        <v>-0.260654806137168</v>
      </c>
      <c r="W914" s="5" t="str">
        <f aca="false">IF(V914&lt;-0.1,"ADVERSE &gt;10%","")</f>
        <v>ADVERSE &gt;10%</v>
      </c>
    </row>
    <row r="915" customFormat="false" ht="15" hidden="false" customHeight="false" outlineLevel="0" collapsed="false">
      <c r="A915" s="5" t="str">
        <f aca="false">01_Data!A915</f>
        <v>Public Sector</v>
      </c>
      <c r="B915" s="5" t="str">
        <f aca="false">01_Data!C915</f>
        <v>2024-05</v>
      </c>
      <c r="C915" s="5" t="str">
        <f aca="false">01_Data!D915</f>
        <v>FY24</v>
      </c>
      <c r="D915" s="7" t="n">
        <f aca="false">01_Data!E915</f>
        <v>160793</v>
      </c>
      <c r="E915" s="7" t="n">
        <f aca="false">01_Data!F915</f>
        <v>167429</v>
      </c>
      <c r="F915" s="7" t="n">
        <f aca="false">E915-D915</f>
        <v>6636</v>
      </c>
      <c r="G915" s="8" t="n">
        <f aca="false">IFERROR(F915/D915,0)</f>
        <v>0.0412704533157538</v>
      </c>
      <c r="H915" s="7" t="n">
        <f aca="false">01_Data!G915</f>
        <v>87530</v>
      </c>
      <c r="I915" s="7" t="n">
        <f aca="false">01_Data!H915</f>
        <v>91768</v>
      </c>
      <c r="J915" s="7" t="n">
        <f aca="false">H915-I915</f>
        <v>-4238</v>
      </c>
      <c r="K915" s="8" t="n">
        <f aca="false">IFERROR(J915/H915,0)</f>
        <v>-0.0484176853650177</v>
      </c>
      <c r="L915" s="7" t="n">
        <f aca="false">D915-H915</f>
        <v>73263</v>
      </c>
      <c r="M915" s="7" t="n">
        <f aca="false">E915-I915</f>
        <v>75661</v>
      </c>
      <c r="N915" s="7" t="n">
        <f aca="false">IFERROR(L915/D915,0)</f>
        <v>0.455635506520806</v>
      </c>
      <c r="O915" s="7" t="n">
        <f aca="false">IFERROR(M915/E915,0)</f>
        <v>0.451899013910374</v>
      </c>
      <c r="P915" s="7" t="n">
        <f aca="false">01_Data!I915+01_Data!K915+01_Data!M915+01_Data!O915+01_Data!Q915+01_Data!S915+01_Data!U915</f>
        <v>42419</v>
      </c>
      <c r="Q915" s="7" t="n">
        <f aca="false">01_Data!J915+01_Data!L915+01_Data!N915+01_Data!P915+01_Data!R915+01_Data!T915+01_Data!V915</f>
        <v>43733</v>
      </c>
      <c r="R915" s="7" t="n">
        <f aca="false">P915-Q915</f>
        <v>-1314</v>
      </c>
      <c r="S915" s="7" t="n">
        <f aca="false">L915-P915</f>
        <v>30844</v>
      </c>
      <c r="T915" s="7" t="n">
        <f aca="false">M915-Q915</f>
        <v>31928</v>
      </c>
      <c r="U915" s="7" t="n">
        <f aca="false">T915-S915</f>
        <v>1084</v>
      </c>
      <c r="V915" s="8" t="n">
        <f aca="false">IFERROR(U915/S915,0)</f>
        <v>0.0351445986253404</v>
      </c>
      <c r="W915" s="5" t="str">
        <f aca="false">IF(V915&lt;-0.1,"ADVERSE &gt;10%","")</f>
        <v/>
      </c>
    </row>
    <row r="916" customFormat="false" ht="15" hidden="false" customHeight="false" outlineLevel="0" collapsed="false">
      <c r="A916" s="5" t="str">
        <f aca="false">01_Data!A916</f>
        <v>Public Sector</v>
      </c>
      <c r="B916" s="5" t="str">
        <f aca="false">01_Data!C916</f>
        <v>2024-06</v>
      </c>
      <c r="C916" s="5" t="str">
        <f aca="false">01_Data!D916</f>
        <v>FY24</v>
      </c>
      <c r="D916" s="7" t="n">
        <f aca="false">01_Data!E916</f>
        <v>169806</v>
      </c>
      <c r="E916" s="7" t="n">
        <f aca="false">01_Data!F916</f>
        <v>169744</v>
      </c>
      <c r="F916" s="7" t="n">
        <f aca="false">E916-D916</f>
        <v>-62</v>
      </c>
      <c r="G916" s="8" t="n">
        <f aca="false">IFERROR(F916/D916,0)</f>
        <v>-0.000365122551617728</v>
      </c>
      <c r="H916" s="7" t="n">
        <f aca="false">01_Data!G916</f>
        <v>93171</v>
      </c>
      <c r="I916" s="7" t="n">
        <f aca="false">01_Data!H916</f>
        <v>95039</v>
      </c>
      <c r="J916" s="7" t="n">
        <f aca="false">H916-I916</f>
        <v>-1868</v>
      </c>
      <c r="K916" s="8" t="n">
        <f aca="false">IFERROR(J916/H916,0)</f>
        <v>-0.0200491569265115</v>
      </c>
      <c r="L916" s="7" t="n">
        <f aca="false">D916-H916</f>
        <v>76635</v>
      </c>
      <c r="M916" s="7" t="n">
        <f aca="false">E916-I916</f>
        <v>74705</v>
      </c>
      <c r="N916" s="7" t="n">
        <f aca="false">IFERROR(L916/D916,0)</f>
        <v>0.451309141019752</v>
      </c>
      <c r="O916" s="7" t="n">
        <f aca="false">IFERROR(M916/E916,0)</f>
        <v>0.440103921198982</v>
      </c>
      <c r="P916" s="7" t="n">
        <f aca="false">01_Data!I916+01_Data!K916+01_Data!M916+01_Data!O916+01_Data!Q916+01_Data!S916+01_Data!U916</f>
        <v>45397</v>
      </c>
      <c r="Q916" s="7" t="n">
        <f aca="false">01_Data!J916+01_Data!L916+01_Data!N916+01_Data!P916+01_Data!R916+01_Data!T916+01_Data!V916</f>
        <v>47207</v>
      </c>
      <c r="R916" s="7" t="n">
        <f aca="false">P916-Q916</f>
        <v>-1810</v>
      </c>
      <c r="S916" s="7" t="n">
        <f aca="false">L916-P916</f>
        <v>31238</v>
      </c>
      <c r="T916" s="7" t="n">
        <f aca="false">M916-Q916</f>
        <v>27498</v>
      </c>
      <c r="U916" s="7" t="n">
        <f aca="false">T916-S916</f>
        <v>-3740</v>
      </c>
      <c r="V916" s="8" t="n">
        <f aca="false">IFERROR(U916/S916,0)</f>
        <v>-0.119725974774313</v>
      </c>
      <c r="W916" s="5" t="str">
        <f aca="false">IF(V916&lt;-0.1,"ADVERSE &gt;10%","")</f>
        <v>ADVERSE &gt;10%</v>
      </c>
    </row>
    <row r="917" customFormat="false" ht="15" hidden="false" customHeight="false" outlineLevel="0" collapsed="false">
      <c r="A917" s="5" t="str">
        <f aca="false">01_Data!A917</f>
        <v>Public Sector</v>
      </c>
      <c r="B917" s="5" t="str">
        <f aca="false">01_Data!C917</f>
        <v>2024-07</v>
      </c>
      <c r="C917" s="5" t="str">
        <f aca="false">01_Data!D917</f>
        <v>FY24</v>
      </c>
      <c r="D917" s="7" t="n">
        <f aca="false">01_Data!E917</f>
        <v>169724</v>
      </c>
      <c r="E917" s="7" t="n">
        <f aca="false">01_Data!F917</f>
        <v>172933</v>
      </c>
      <c r="F917" s="7" t="n">
        <f aca="false">E917-D917</f>
        <v>3209</v>
      </c>
      <c r="G917" s="8" t="n">
        <f aca="false">IFERROR(F917/D917,0)</f>
        <v>0.018907166929839</v>
      </c>
      <c r="H917" s="7" t="n">
        <f aca="false">01_Data!G917</f>
        <v>93405</v>
      </c>
      <c r="I917" s="7" t="n">
        <f aca="false">01_Data!H917</f>
        <v>93910</v>
      </c>
      <c r="J917" s="7" t="n">
        <f aca="false">H917-I917</f>
        <v>-505</v>
      </c>
      <c r="K917" s="8" t="n">
        <f aca="false">IFERROR(J917/H917,0)</f>
        <v>-0.0054065628178363</v>
      </c>
      <c r="L917" s="7" t="n">
        <f aca="false">D917-H917</f>
        <v>76319</v>
      </c>
      <c r="M917" s="7" t="n">
        <f aca="false">E917-I917</f>
        <v>79023</v>
      </c>
      <c r="N917" s="7" t="n">
        <f aca="false">IFERROR(L917/D917,0)</f>
        <v>0.449665339020999</v>
      </c>
      <c r="O917" s="7" t="n">
        <f aca="false">IFERROR(M917/E917,0)</f>
        <v>0.456957318730375</v>
      </c>
      <c r="P917" s="7" t="n">
        <f aca="false">01_Data!I917+01_Data!K917+01_Data!M917+01_Data!O917+01_Data!Q917+01_Data!S917+01_Data!U917</f>
        <v>46490</v>
      </c>
      <c r="Q917" s="7" t="n">
        <f aca="false">01_Data!J917+01_Data!L917+01_Data!N917+01_Data!P917+01_Data!R917+01_Data!T917+01_Data!V917</f>
        <v>48428</v>
      </c>
      <c r="R917" s="7" t="n">
        <f aca="false">P917-Q917</f>
        <v>-1938</v>
      </c>
      <c r="S917" s="7" t="n">
        <f aca="false">L917-P917</f>
        <v>29829</v>
      </c>
      <c r="T917" s="7" t="n">
        <f aca="false">M917-Q917</f>
        <v>30595</v>
      </c>
      <c r="U917" s="7" t="n">
        <f aca="false">T917-S917</f>
        <v>766</v>
      </c>
      <c r="V917" s="8" t="n">
        <f aca="false">IFERROR(U917/S917,0)</f>
        <v>0.0256797076670354</v>
      </c>
      <c r="W917" s="5" t="str">
        <f aca="false">IF(V917&lt;-0.1,"ADVERSE &gt;10%","")</f>
        <v/>
      </c>
    </row>
    <row r="918" customFormat="false" ht="15" hidden="false" customHeight="false" outlineLevel="0" collapsed="false">
      <c r="A918" s="5" t="str">
        <f aca="false">01_Data!A918</f>
        <v>Public Sector</v>
      </c>
      <c r="B918" s="5" t="str">
        <f aca="false">01_Data!C918</f>
        <v>2024-08</v>
      </c>
      <c r="C918" s="5" t="str">
        <f aca="false">01_Data!D918</f>
        <v>FY24</v>
      </c>
      <c r="D918" s="7" t="n">
        <f aca="false">01_Data!E918</f>
        <v>180467</v>
      </c>
      <c r="E918" s="7" t="n">
        <f aca="false">01_Data!F918</f>
        <v>175095</v>
      </c>
      <c r="F918" s="7" t="n">
        <f aca="false">E918-D918</f>
        <v>-5372</v>
      </c>
      <c r="G918" s="8" t="n">
        <f aca="false">IFERROR(F918/D918,0)</f>
        <v>-0.0297672150587088</v>
      </c>
      <c r="H918" s="7" t="n">
        <f aca="false">01_Data!G918</f>
        <v>106120</v>
      </c>
      <c r="I918" s="7" t="n">
        <f aca="false">01_Data!H918</f>
        <v>105320</v>
      </c>
      <c r="J918" s="7" t="n">
        <f aca="false">H918-I918</f>
        <v>800</v>
      </c>
      <c r="K918" s="8" t="n">
        <f aca="false">IFERROR(J918/H918,0)</f>
        <v>0.00753863550697324</v>
      </c>
      <c r="L918" s="7" t="n">
        <f aca="false">D918-H918</f>
        <v>74347</v>
      </c>
      <c r="M918" s="7" t="n">
        <f aca="false">E918-I918</f>
        <v>69775</v>
      </c>
      <c r="N918" s="7" t="n">
        <f aca="false">IFERROR(L918/D918,0)</f>
        <v>0.411970055467205</v>
      </c>
      <c r="O918" s="7" t="n">
        <f aca="false">IFERROR(M918/E918,0)</f>
        <v>0.398497958251235</v>
      </c>
      <c r="P918" s="7" t="n">
        <f aca="false">01_Data!I918+01_Data!K918+01_Data!M918+01_Data!O918+01_Data!Q918+01_Data!S918+01_Data!U918</f>
        <v>46889</v>
      </c>
      <c r="Q918" s="7" t="n">
        <f aca="false">01_Data!J918+01_Data!L918+01_Data!N918+01_Data!P918+01_Data!R918+01_Data!T918+01_Data!V918</f>
        <v>48468</v>
      </c>
      <c r="R918" s="7" t="n">
        <f aca="false">P918-Q918</f>
        <v>-1579</v>
      </c>
      <c r="S918" s="7" t="n">
        <f aca="false">L918-P918</f>
        <v>27458</v>
      </c>
      <c r="T918" s="7" t="n">
        <f aca="false">M918-Q918</f>
        <v>21307</v>
      </c>
      <c r="U918" s="7" t="n">
        <f aca="false">T918-S918</f>
        <v>-6151</v>
      </c>
      <c r="V918" s="8" t="n">
        <f aca="false">IFERROR(U918/S918,0)</f>
        <v>-0.22401485905747</v>
      </c>
      <c r="W918" s="5" t="str">
        <f aca="false">IF(V918&lt;-0.1,"ADVERSE &gt;10%","")</f>
        <v>ADVERSE &gt;10%</v>
      </c>
    </row>
    <row r="919" customFormat="false" ht="15" hidden="false" customHeight="false" outlineLevel="0" collapsed="false">
      <c r="A919" s="5" t="str">
        <f aca="false">01_Data!A919</f>
        <v>Public Sector</v>
      </c>
      <c r="B919" s="5" t="str">
        <f aca="false">01_Data!C919</f>
        <v>2024-09</v>
      </c>
      <c r="C919" s="5" t="str">
        <f aca="false">01_Data!D919</f>
        <v>FY24</v>
      </c>
      <c r="D919" s="7" t="n">
        <f aca="false">01_Data!E919</f>
        <v>193117</v>
      </c>
      <c r="E919" s="7" t="n">
        <f aca="false">01_Data!F919</f>
        <v>188799</v>
      </c>
      <c r="F919" s="7" t="n">
        <f aca="false">E919-D919</f>
        <v>-4318</v>
      </c>
      <c r="G919" s="8" t="n">
        <f aca="false">IFERROR(F919/D919,0)</f>
        <v>-0.0223595022706442</v>
      </c>
      <c r="H919" s="7" t="n">
        <f aca="false">01_Data!G919</f>
        <v>104989</v>
      </c>
      <c r="I919" s="7" t="n">
        <f aca="false">01_Data!H919</f>
        <v>108241</v>
      </c>
      <c r="J919" s="7" t="n">
        <f aca="false">H919-I919</f>
        <v>-3252</v>
      </c>
      <c r="K919" s="8" t="n">
        <f aca="false">IFERROR(J919/H919,0)</f>
        <v>-0.0309746735372277</v>
      </c>
      <c r="L919" s="7" t="n">
        <f aca="false">D919-H919</f>
        <v>88128</v>
      </c>
      <c r="M919" s="7" t="n">
        <f aca="false">E919-I919</f>
        <v>80558</v>
      </c>
      <c r="N919" s="7" t="n">
        <f aca="false">IFERROR(L919/D919,0)</f>
        <v>0.456345117208739</v>
      </c>
      <c r="O919" s="7" t="n">
        <f aca="false">IFERROR(M919/E919,0)</f>
        <v>0.426686582026388</v>
      </c>
      <c r="P919" s="7" t="n">
        <f aca="false">01_Data!I919+01_Data!K919+01_Data!M919+01_Data!O919+01_Data!Q919+01_Data!S919+01_Data!U919</f>
        <v>48446</v>
      </c>
      <c r="Q919" s="7" t="n">
        <f aca="false">01_Data!J919+01_Data!L919+01_Data!N919+01_Data!P919+01_Data!R919+01_Data!T919+01_Data!V919</f>
        <v>49576</v>
      </c>
      <c r="R919" s="7" t="n">
        <f aca="false">P919-Q919</f>
        <v>-1130</v>
      </c>
      <c r="S919" s="7" t="n">
        <f aca="false">L919-P919</f>
        <v>39682</v>
      </c>
      <c r="T919" s="7" t="n">
        <f aca="false">M919-Q919</f>
        <v>30982</v>
      </c>
      <c r="U919" s="7" t="n">
        <f aca="false">T919-S919</f>
        <v>-8700</v>
      </c>
      <c r="V919" s="8" t="n">
        <f aca="false">IFERROR(U919/S919,0)</f>
        <v>-0.219242981704551</v>
      </c>
      <c r="W919" s="5" t="str">
        <f aca="false">IF(V919&lt;-0.1,"ADVERSE &gt;10%","")</f>
        <v>ADVERSE &gt;10%</v>
      </c>
    </row>
    <row r="920" customFormat="false" ht="15" hidden="false" customHeight="false" outlineLevel="0" collapsed="false">
      <c r="A920" s="5" t="str">
        <f aca="false">01_Data!A920</f>
        <v>Public Sector</v>
      </c>
      <c r="B920" s="5" t="str">
        <f aca="false">01_Data!C920</f>
        <v>2024-10</v>
      </c>
      <c r="C920" s="5" t="str">
        <f aca="false">01_Data!D920</f>
        <v>FY24</v>
      </c>
      <c r="D920" s="7" t="n">
        <f aca="false">01_Data!E920</f>
        <v>172859</v>
      </c>
      <c r="E920" s="7" t="n">
        <f aca="false">01_Data!F920</f>
        <v>177814</v>
      </c>
      <c r="F920" s="7" t="n">
        <f aca="false">E920-D920</f>
        <v>4955</v>
      </c>
      <c r="G920" s="8" t="n">
        <f aca="false">IFERROR(F920/D920,0)</f>
        <v>0.028664981285325</v>
      </c>
      <c r="H920" s="7" t="n">
        <f aca="false">01_Data!G920</f>
        <v>102726</v>
      </c>
      <c r="I920" s="7" t="n">
        <f aca="false">01_Data!H920</f>
        <v>109508</v>
      </c>
      <c r="J920" s="7" t="n">
        <f aca="false">H920-I920</f>
        <v>-6782</v>
      </c>
      <c r="K920" s="8" t="n">
        <f aca="false">IFERROR(J920/H920,0)</f>
        <v>-0.0660202869770068</v>
      </c>
      <c r="L920" s="7" t="n">
        <f aca="false">D920-H920</f>
        <v>70133</v>
      </c>
      <c r="M920" s="7" t="n">
        <f aca="false">E920-I920</f>
        <v>68306</v>
      </c>
      <c r="N920" s="7" t="n">
        <f aca="false">IFERROR(L920/D920,0)</f>
        <v>0.405723740158164</v>
      </c>
      <c r="O920" s="7" t="n">
        <f aca="false">IFERROR(M920/E920,0)</f>
        <v>0.384142980867648</v>
      </c>
      <c r="P920" s="7" t="n">
        <f aca="false">01_Data!I920+01_Data!K920+01_Data!M920+01_Data!O920+01_Data!Q920+01_Data!S920+01_Data!U920</f>
        <v>47829</v>
      </c>
      <c r="Q920" s="7" t="n">
        <f aca="false">01_Data!J920+01_Data!L920+01_Data!N920+01_Data!P920+01_Data!R920+01_Data!T920+01_Data!V920</f>
        <v>49089</v>
      </c>
      <c r="R920" s="7" t="n">
        <f aca="false">P920-Q920</f>
        <v>-1260</v>
      </c>
      <c r="S920" s="7" t="n">
        <f aca="false">L920-P920</f>
        <v>22304</v>
      </c>
      <c r="T920" s="7" t="n">
        <f aca="false">M920-Q920</f>
        <v>19217</v>
      </c>
      <c r="U920" s="7" t="n">
        <f aca="false">T920-S920</f>
        <v>-3087</v>
      </c>
      <c r="V920" s="8" t="n">
        <f aca="false">IFERROR(U920/S920,0)</f>
        <v>-0.138405667144907</v>
      </c>
      <c r="W920" s="5" t="str">
        <f aca="false">IF(V920&lt;-0.1,"ADVERSE &gt;10%","")</f>
        <v>ADVERSE &gt;10%</v>
      </c>
    </row>
    <row r="921" customFormat="false" ht="15" hidden="false" customHeight="false" outlineLevel="0" collapsed="false">
      <c r="A921" s="5" t="str">
        <f aca="false">01_Data!A921</f>
        <v>Public Sector</v>
      </c>
      <c r="B921" s="5" t="str">
        <f aca="false">01_Data!C921</f>
        <v>2024-11</v>
      </c>
      <c r="C921" s="5" t="str">
        <f aca="false">01_Data!D921</f>
        <v>FY24</v>
      </c>
      <c r="D921" s="7" t="n">
        <f aca="false">01_Data!E921</f>
        <v>182534</v>
      </c>
      <c r="E921" s="7" t="n">
        <f aca="false">01_Data!F921</f>
        <v>182161</v>
      </c>
      <c r="F921" s="7" t="n">
        <f aca="false">E921-D921</f>
        <v>-373</v>
      </c>
      <c r="G921" s="8" t="n">
        <f aca="false">IFERROR(F921/D921,0)</f>
        <v>-0.00204345491798788</v>
      </c>
      <c r="H921" s="7" t="n">
        <f aca="false">01_Data!G921</f>
        <v>104205</v>
      </c>
      <c r="I921" s="7" t="n">
        <f aca="false">01_Data!H921</f>
        <v>100799</v>
      </c>
      <c r="J921" s="7" t="n">
        <f aca="false">H921-I921</f>
        <v>3406</v>
      </c>
      <c r="K921" s="8" t="n">
        <f aca="false">IFERROR(J921/H921,0)</f>
        <v>0.0326855717096109</v>
      </c>
      <c r="L921" s="7" t="n">
        <f aca="false">D921-H921</f>
        <v>78329</v>
      </c>
      <c r="M921" s="7" t="n">
        <f aca="false">E921-I921</f>
        <v>81362</v>
      </c>
      <c r="N921" s="7" t="n">
        <f aca="false">IFERROR(L921/D921,0)</f>
        <v>0.42912005434604</v>
      </c>
      <c r="O921" s="7" t="n">
        <f aca="false">IFERROR(M921/E921,0)</f>
        <v>0.446648843605382</v>
      </c>
      <c r="P921" s="7" t="n">
        <f aca="false">01_Data!I921+01_Data!K921+01_Data!M921+01_Data!O921+01_Data!Q921+01_Data!S921+01_Data!U921</f>
        <v>46630</v>
      </c>
      <c r="Q921" s="7" t="n">
        <f aca="false">01_Data!J921+01_Data!L921+01_Data!N921+01_Data!P921+01_Data!R921+01_Data!T921+01_Data!V921</f>
        <v>48264</v>
      </c>
      <c r="R921" s="7" t="n">
        <f aca="false">P921-Q921</f>
        <v>-1634</v>
      </c>
      <c r="S921" s="7" t="n">
        <f aca="false">L921-P921</f>
        <v>31699</v>
      </c>
      <c r="T921" s="7" t="n">
        <f aca="false">M921-Q921</f>
        <v>33098</v>
      </c>
      <c r="U921" s="7" t="n">
        <f aca="false">T921-S921</f>
        <v>1399</v>
      </c>
      <c r="V921" s="8" t="n">
        <f aca="false">IFERROR(U921/S921,0)</f>
        <v>0.044133884349664</v>
      </c>
      <c r="W921" s="5" t="str">
        <f aca="false">IF(V921&lt;-0.1,"ADVERSE &gt;10%","")</f>
        <v/>
      </c>
    </row>
    <row r="922" customFormat="false" ht="15" hidden="false" customHeight="false" outlineLevel="0" collapsed="false">
      <c r="A922" s="5" t="str">
        <f aca="false">01_Data!A922</f>
        <v>Public Sector</v>
      </c>
      <c r="B922" s="5" t="str">
        <f aca="false">01_Data!C922</f>
        <v>2024-12</v>
      </c>
      <c r="C922" s="5" t="str">
        <f aca="false">01_Data!D922</f>
        <v>FY24</v>
      </c>
      <c r="D922" s="7" t="n">
        <f aca="false">01_Data!E922</f>
        <v>196537</v>
      </c>
      <c r="E922" s="7" t="n">
        <f aca="false">01_Data!F922</f>
        <v>193487</v>
      </c>
      <c r="F922" s="7" t="n">
        <f aca="false">E922-D922</f>
        <v>-3050</v>
      </c>
      <c r="G922" s="8" t="n">
        <f aca="false">IFERROR(F922/D922,0)</f>
        <v>-0.0155187064013392</v>
      </c>
      <c r="H922" s="7" t="n">
        <f aca="false">01_Data!G922</f>
        <v>114048</v>
      </c>
      <c r="I922" s="7" t="n">
        <f aca="false">01_Data!H922</f>
        <v>113808</v>
      </c>
      <c r="J922" s="7" t="n">
        <f aca="false">H922-I922</f>
        <v>240</v>
      </c>
      <c r="K922" s="8" t="n">
        <f aca="false">IFERROR(J922/H922,0)</f>
        <v>0.0021043771043771</v>
      </c>
      <c r="L922" s="7" t="n">
        <f aca="false">D922-H922</f>
        <v>82489</v>
      </c>
      <c r="M922" s="7" t="n">
        <f aca="false">E922-I922</f>
        <v>79679</v>
      </c>
      <c r="N922" s="7" t="n">
        <f aca="false">IFERROR(L922/D922,0)</f>
        <v>0.419712318800022</v>
      </c>
      <c r="O922" s="7" t="n">
        <f aca="false">IFERROR(M922/E922,0)</f>
        <v>0.411805444293415</v>
      </c>
      <c r="P922" s="7" t="n">
        <f aca="false">01_Data!I922+01_Data!K922+01_Data!M922+01_Data!O922+01_Data!Q922+01_Data!S922+01_Data!U922</f>
        <v>53295</v>
      </c>
      <c r="Q922" s="7" t="n">
        <f aca="false">01_Data!J922+01_Data!L922+01_Data!N922+01_Data!P922+01_Data!R922+01_Data!T922+01_Data!V922</f>
        <v>53834</v>
      </c>
      <c r="R922" s="7" t="n">
        <f aca="false">P922-Q922</f>
        <v>-539</v>
      </c>
      <c r="S922" s="7" t="n">
        <f aca="false">L922-P922</f>
        <v>29194</v>
      </c>
      <c r="T922" s="7" t="n">
        <f aca="false">M922-Q922</f>
        <v>25845</v>
      </c>
      <c r="U922" s="7" t="n">
        <f aca="false">T922-S922</f>
        <v>-3349</v>
      </c>
      <c r="V922" s="8" t="n">
        <f aca="false">IFERROR(U922/S922,0)</f>
        <v>-0.114715352469686</v>
      </c>
      <c r="W922" s="5" t="str">
        <f aca="false">IF(V922&lt;-0.1,"ADVERSE &gt;10%","")</f>
        <v>ADVERSE &gt;10%</v>
      </c>
    </row>
    <row r="923" customFormat="false" ht="15" hidden="false" customHeight="false" outlineLevel="0" collapsed="false">
      <c r="A923" s="5" t="str">
        <f aca="false">01_Data!A923</f>
        <v>Public Sector</v>
      </c>
      <c r="B923" s="5" t="str">
        <f aca="false">01_Data!C923</f>
        <v>2025-01</v>
      </c>
      <c r="C923" s="5" t="str">
        <f aca="false">01_Data!D923</f>
        <v>FY24</v>
      </c>
      <c r="D923" s="7" t="n">
        <f aca="false">01_Data!E923</f>
        <v>175874</v>
      </c>
      <c r="E923" s="7" t="n">
        <f aca="false">01_Data!F923</f>
        <v>185090</v>
      </c>
      <c r="F923" s="7" t="n">
        <f aca="false">E923-D923</f>
        <v>9216</v>
      </c>
      <c r="G923" s="8" t="n">
        <f aca="false">IFERROR(F923/D923,0)</f>
        <v>0.0524011508238853</v>
      </c>
      <c r="H923" s="7" t="n">
        <f aca="false">01_Data!G923</f>
        <v>100357</v>
      </c>
      <c r="I923" s="7" t="n">
        <f aca="false">01_Data!H923</f>
        <v>102353</v>
      </c>
      <c r="J923" s="7" t="n">
        <f aca="false">H923-I923</f>
        <v>-1996</v>
      </c>
      <c r="K923" s="8" t="n">
        <f aca="false">IFERROR(J923/H923,0)</f>
        <v>-0.0198889962832687</v>
      </c>
      <c r="L923" s="7" t="n">
        <f aca="false">D923-H923</f>
        <v>75517</v>
      </c>
      <c r="M923" s="7" t="n">
        <f aca="false">E923-I923</f>
        <v>82737</v>
      </c>
      <c r="N923" s="7" t="n">
        <f aca="false">IFERROR(L923/D923,0)</f>
        <v>0.429381261584998</v>
      </c>
      <c r="O923" s="7" t="n">
        <f aca="false">IFERROR(M923/E923,0)</f>
        <v>0.447009562915339</v>
      </c>
      <c r="P923" s="7" t="n">
        <f aca="false">01_Data!I923+01_Data!K923+01_Data!M923+01_Data!O923+01_Data!Q923+01_Data!S923+01_Data!U923</f>
        <v>47270</v>
      </c>
      <c r="Q923" s="7" t="n">
        <f aca="false">01_Data!J923+01_Data!L923+01_Data!N923+01_Data!P923+01_Data!R923+01_Data!T923+01_Data!V923</f>
        <v>48182</v>
      </c>
      <c r="R923" s="7" t="n">
        <f aca="false">P923-Q923</f>
        <v>-912</v>
      </c>
      <c r="S923" s="7" t="n">
        <f aca="false">L923-P923</f>
        <v>28247</v>
      </c>
      <c r="T923" s="7" t="n">
        <f aca="false">M923-Q923</f>
        <v>34555</v>
      </c>
      <c r="U923" s="7" t="n">
        <f aca="false">T923-S923</f>
        <v>6308</v>
      </c>
      <c r="V923" s="8" t="n">
        <f aca="false">IFERROR(U923/S923,0)</f>
        <v>0.223315750345169</v>
      </c>
      <c r="W923" s="5" t="str">
        <f aca="false">IF(V923&lt;-0.1,"ADVERSE &gt;10%","")</f>
        <v/>
      </c>
    </row>
    <row r="924" customFormat="false" ht="15" hidden="false" customHeight="false" outlineLevel="0" collapsed="false">
      <c r="A924" s="5" t="str">
        <f aca="false">01_Data!A924</f>
        <v>Public Sector</v>
      </c>
      <c r="B924" s="5" t="str">
        <f aca="false">01_Data!C924</f>
        <v>2025-02</v>
      </c>
      <c r="C924" s="5" t="str">
        <f aca="false">01_Data!D924</f>
        <v>FY24</v>
      </c>
      <c r="D924" s="7" t="n">
        <f aca="false">01_Data!E924</f>
        <v>189763</v>
      </c>
      <c r="E924" s="7" t="n">
        <f aca="false">01_Data!F924</f>
        <v>182423</v>
      </c>
      <c r="F924" s="7" t="n">
        <f aca="false">E924-D924</f>
        <v>-7340</v>
      </c>
      <c r="G924" s="8" t="n">
        <f aca="false">IFERROR(F924/D924,0)</f>
        <v>-0.0386798269420277</v>
      </c>
      <c r="H924" s="7" t="n">
        <f aca="false">01_Data!G924</f>
        <v>107075</v>
      </c>
      <c r="I924" s="7" t="n">
        <f aca="false">01_Data!H924</f>
        <v>100948</v>
      </c>
      <c r="J924" s="7" t="n">
        <f aca="false">H924-I924</f>
        <v>6127</v>
      </c>
      <c r="K924" s="8" t="n">
        <f aca="false">IFERROR(J924/H924,0)</f>
        <v>0.0572215736633201</v>
      </c>
      <c r="L924" s="7" t="n">
        <f aca="false">D924-H924</f>
        <v>82688</v>
      </c>
      <c r="M924" s="7" t="n">
        <f aca="false">E924-I924</f>
        <v>81475</v>
      </c>
      <c r="N924" s="7" t="n">
        <f aca="false">IFERROR(L924/D924,0)</f>
        <v>0.435743532722396</v>
      </c>
      <c r="O924" s="7" t="n">
        <f aca="false">IFERROR(M924/E924,0)</f>
        <v>0.446626795963228</v>
      </c>
      <c r="P924" s="7" t="n">
        <f aca="false">01_Data!I924+01_Data!K924+01_Data!M924+01_Data!O924+01_Data!Q924+01_Data!S924+01_Data!U924</f>
        <v>51177</v>
      </c>
      <c r="Q924" s="7" t="n">
        <f aca="false">01_Data!J924+01_Data!L924+01_Data!N924+01_Data!P924+01_Data!R924+01_Data!T924+01_Data!V924</f>
        <v>53858</v>
      </c>
      <c r="R924" s="7" t="n">
        <f aca="false">P924-Q924</f>
        <v>-2681</v>
      </c>
      <c r="S924" s="7" t="n">
        <f aca="false">L924-P924</f>
        <v>31511</v>
      </c>
      <c r="T924" s="7" t="n">
        <f aca="false">M924-Q924</f>
        <v>27617</v>
      </c>
      <c r="U924" s="7" t="n">
        <f aca="false">T924-S924</f>
        <v>-3894</v>
      </c>
      <c r="V924" s="8" t="n">
        <f aca="false">IFERROR(U924/S924,0)</f>
        <v>-0.123575894132208</v>
      </c>
      <c r="W924" s="5" t="str">
        <f aca="false">IF(V924&lt;-0.1,"ADVERSE &gt;10%","")</f>
        <v>ADVERSE &gt;10%</v>
      </c>
    </row>
    <row r="925" customFormat="false" ht="15" hidden="false" customHeight="false" outlineLevel="0" collapsed="false">
      <c r="A925" s="5" t="str">
        <f aca="false">01_Data!A925</f>
        <v>Public Sector</v>
      </c>
      <c r="B925" s="5" t="str">
        <f aca="false">01_Data!C925</f>
        <v>2025-03</v>
      </c>
      <c r="C925" s="5" t="str">
        <f aca="false">01_Data!D925</f>
        <v>FY24</v>
      </c>
      <c r="D925" s="7" t="n">
        <f aca="false">01_Data!E925</f>
        <v>193288</v>
      </c>
      <c r="E925" s="7" t="n">
        <f aca="false">01_Data!F925</f>
        <v>189931</v>
      </c>
      <c r="F925" s="7" t="n">
        <f aca="false">E925-D925</f>
        <v>-3357</v>
      </c>
      <c r="G925" s="8" t="n">
        <f aca="false">IFERROR(F925/D925,0)</f>
        <v>-0.0173678655684781</v>
      </c>
      <c r="H925" s="7" t="n">
        <f aca="false">01_Data!G925</f>
        <v>115000</v>
      </c>
      <c r="I925" s="7" t="n">
        <f aca="false">01_Data!H925</f>
        <v>112045</v>
      </c>
      <c r="J925" s="7" t="n">
        <f aca="false">H925-I925</f>
        <v>2955</v>
      </c>
      <c r="K925" s="8" t="n">
        <f aca="false">IFERROR(J925/H925,0)</f>
        <v>0.025695652173913</v>
      </c>
      <c r="L925" s="7" t="n">
        <f aca="false">D925-H925</f>
        <v>78288</v>
      </c>
      <c r="M925" s="7" t="n">
        <f aca="false">E925-I925</f>
        <v>77886</v>
      </c>
      <c r="N925" s="7" t="n">
        <f aca="false">IFERROR(L925/D925,0)</f>
        <v>0.405032904267208</v>
      </c>
      <c r="O925" s="7" t="n">
        <f aca="false">IFERROR(M925/E925,0)</f>
        <v>0.410075237849535</v>
      </c>
      <c r="P925" s="7" t="n">
        <f aca="false">01_Data!I925+01_Data!K925+01_Data!M925+01_Data!O925+01_Data!Q925+01_Data!S925+01_Data!U925</f>
        <v>50818</v>
      </c>
      <c r="Q925" s="7" t="n">
        <f aca="false">01_Data!J925+01_Data!L925+01_Data!N925+01_Data!P925+01_Data!R925+01_Data!T925+01_Data!V925</f>
        <v>51539</v>
      </c>
      <c r="R925" s="7" t="n">
        <f aca="false">P925-Q925</f>
        <v>-721</v>
      </c>
      <c r="S925" s="7" t="n">
        <f aca="false">L925-P925</f>
        <v>27470</v>
      </c>
      <c r="T925" s="7" t="n">
        <f aca="false">M925-Q925</f>
        <v>26347</v>
      </c>
      <c r="U925" s="7" t="n">
        <f aca="false">T925-S925</f>
        <v>-1123</v>
      </c>
      <c r="V925" s="8" t="n">
        <f aca="false">IFERROR(U925/S925,0)</f>
        <v>-0.0408809610484165</v>
      </c>
      <c r="W925" s="5" t="str">
        <f aca="false">IF(V925&lt;-0.1,"ADVERSE &gt;10%","")</f>
        <v/>
      </c>
    </row>
    <row r="926" customFormat="false" ht="15" hidden="false" customHeight="false" outlineLevel="0" collapsed="false">
      <c r="A926" s="5" t="str">
        <f aca="false">01_Data!A926</f>
        <v>Public Sector</v>
      </c>
      <c r="B926" s="5" t="str">
        <f aca="false">01_Data!C926</f>
        <v>2025-04</v>
      </c>
      <c r="C926" s="5" t="str">
        <f aca="false">01_Data!D926</f>
        <v>FY25</v>
      </c>
      <c r="D926" s="7" t="n">
        <f aca="false">01_Data!E926</f>
        <v>170309</v>
      </c>
      <c r="E926" s="7" t="n">
        <f aca="false">01_Data!F926</f>
        <v>180833</v>
      </c>
      <c r="F926" s="7" t="n">
        <f aca="false">E926-D926</f>
        <v>10524</v>
      </c>
      <c r="G926" s="8" t="n">
        <f aca="false">IFERROR(F926/D926,0)</f>
        <v>0.0617935634640565</v>
      </c>
      <c r="H926" s="7" t="n">
        <f aca="false">01_Data!G926</f>
        <v>99866</v>
      </c>
      <c r="I926" s="7" t="n">
        <f aca="false">01_Data!H926</f>
        <v>109294</v>
      </c>
      <c r="J926" s="7" t="n">
        <f aca="false">H926-I926</f>
        <v>-9428</v>
      </c>
      <c r="K926" s="8" t="n">
        <f aca="false">IFERROR(J926/H926,0)</f>
        <v>-0.0944065047163199</v>
      </c>
      <c r="L926" s="7" t="n">
        <f aca="false">D926-H926</f>
        <v>70443</v>
      </c>
      <c r="M926" s="7" t="n">
        <f aca="false">E926-I926</f>
        <v>71539</v>
      </c>
      <c r="N926" s="7" t="n">
        <f aca="false">IFERROR(L926/D926,0)</f>
        <v>0.413618775284923</v>
      </c>
      <c r="O926" s="7" t="n">
        <f aca="false">IFERROR(M926/E926,0)</f>
        <v>0.395608102503415</v>
      </c>
      <c r="P926" s="7" t="n">
        <f aca="false">01_Data!I926+01_Data!K926+01_Data!M926+01_Data!O926+01_Data!Q926+01_Data!S926+01_Data!U926</f>
        <v>45111</v>
      </c>
      <c r="Q926" s="7" t="n">
        <f aca="false">01_Data!J926+01_Data!L926+01_Data!N926+01_Data!P926+01_Data!R926+01_Data!T926+01_Data!V926</f>
        <v>45688</v>
      </c>
      <c r="R926" s="7" t="n">
        <f aca="false">P926-Q926</f>
        <v>-577</v>
      </c>
      <c r="S926" s="7" t="n">
        <f aca="false">L926-P926</f>
        <v>25332</v>
      </c>
      <c r="T926" s="7" t="n">
        <f aca="false">M926-Q926</f>
        <v>25851</v>
      </c>
      <c r="U926" s="7" t="n">
        <f aca="false">T926-S926</f>
        <v>519</v>
      </c>
      <c r="V926" s="8" t="n">
        <f aca="false">IFERROR(U926/S926,0)</f>
        <v>0.020487920416864</v>
      </c>
      <c r="W926" s="5" t="str">
        <f aca="false">IF(V926&lt;-0.1,"ADVERSE &gt;10%","")</f>
        <v/>
      </c>
    </row>
    <row r="927" customFormat="false" ht="15" hidden="false" customHeight="false" outlineLevel="0" collapsed="false">
      <c r="A927" s="5" t="str">
        <f aca="false">01_Data!A927</f>
        <v>Public Sector</v>
      </c>
      <c r="B927" s="5" t="str">
        <f aca="false">01_Data!C927</f>
        <v>2025-05</v>
      </c>
      <c r="C927" s="5" t="str">
        <f aca="false">01_Data!D927</f>
        <v>FY25</v>
      </c>
      <c r="D927" s="7" t="n">
        <f aca="false">01_Data!E927</f>
        <v>174354</v>
      </c>
      <c r="E927" s="7" t="n">
        <f aca="false">01_Data!F927</f>
        <v>182723</v>
      </c>
      <c r="F927" s="7" t="n">
        <f aca="false">E927-D927</f>
        <v>8369</v>
      </c>
      <c r="G927" s="8" t="n">
        <f aca="false">IFERROR(F927/D927,0)</f>
        <v>0.048000045883662</v>
      </c>
      <c r="H927" s="7" t="n">
        <f aca="false">01_Data!G927</f>
        <v>99687</v>
      </c>
      <c r="I927" s="7" t="n">
        <f aca="false">01_Data!H927</f>
        <v>107049</v>
      </c>
      <c r="J927" s="7" t="n">
        <f aca="false">H927-I927</f>
        <v>-7362</v>
      </c>
      <c r="K927" s="8" t="n">
        <f aca="false">IFERROR(J927/H927,0)</f>
        <v>-0.0738511541123717</v>
      </c>
      <c r="L927" s="7" t="n">
        <f aca="false">D927-H927</f>
        <v>74667</v>
      </c>
      <c r="M927" s="7" t="n">
        <f aca="false">E927-I927</f>
        <v>75674</v>
      </c>
      <c r="N927" s="7" t="n">
        <f aca="false">IFERROR(L927/D927,0)</f>
        <v>0.428249423586496</v>
      </c>
      <c r="O927" s="7" t="n">
        <f aca="false">IFERROR(M927/E927,0)</f>
        <v>0.414146002418962</v>
      </c>
      <c r="P927" s="7" t="n">
        <f aca="false">01_Data!I927+01_Data!K927+01_Data!M927+01_Data!O927+01_Data!Q927+01_Data!S927+01_Data!U927</f>
        <v>45250</v>
      </c>
      <c r="Q927" s="7" t="n">
        <f aca="false">01_Data!J927+01_Data!L927+01_Data!N927+01_Data!P927+01_Data!R927+01_Data!T927+01_Data!V927</f>
        <v>46973</v>
      </c>
      <c r="R927" s="7" t="n">
        <f aca="false">P927-Q927</f>
        <v>-1723</v>
      </c>
      <c r="S927" s="7" t="n">
        <f aca="false">L927-P927</f>
        <v>29417</v>
      </c>
      <c r="T927" s="7" t="n">
        <f aca="false">M927-Q927</f>
        <v>28701</v>
      </c>
      <c r="U927" s="7" t="n">
        <f aca="false">T927-S927</f>
        <v>-716</v>
      </c>
      <c r="V927" s="8" t="n">
        <f aca="false">IFERROR(U927/S927,0)</f>
        <v>-0.024339667539178</v>
      </c>
      <c r="W927" s="5" t="str">
        <f aca="false">IF(V927&lt;-0.1,"ADVERSE &gt;10%","")</f>
        <v/>
      </c>
    </row>
    <row r="928" customFormat="false" ht="15" hidden="false" customHeight="false" outlineLevel="0" collapsed="false">
      <c r="A928" s="5" t="str">
        <f aca="false">01_Data!A928</f>
        <v>Public Sector</v>
      </c>
      <c r="B928" s="5" t="str">
        <f aca="false">01_Data!C928</f>
        <v>2025-06</v>
      </c>
      <c r="C928" s="5" t="str">
        <f aca="false">01_Data!D928</f>
        <v>FY25</v>
      </c>
      <c r="D928" s="7" t="n">
        <f aca="false">01_Data!E928</f>
        <v>189218</v>
      </c>
      <c r="E928" s="7" t="n">
        <f aca="false">01_Data!F928</f>
        <v>180941</v>
      </c>
      <c r="F928" s="7" t="n">
        <f aca="false">E928-D928</f>
        <v>-8277</v>
      </c>
      <c r="G928" s="8" t="n">
        <f aca="false">IFERROR(F928/D928,0)</f>
        <v>-0.043743195679058</v>
      </c>
      <c r="H928" s="7" t="n">
        <f aca="false">01_Data!G928</f>
        <v>110851</v>
      </c>
      <c r="I928" s="7" t="n">
        <f aca="false">01_Data!H928</f>
        <v>105627</v>
      </c>
      <c r="J928" s="7" t="n">
        <f aca="false">H928-I928</f>
        <v>5224</v>
      </c>
      <c r="K928" s="8" t="n">
        <f aca="false">IFERROR(J928/H928,0)</f>
        <v>0.047126322721491</v>
      </c>
      <c r="L928" s="7" t="n">
        <f aca="false">D928-H928</f>
        <v>78367</v>
      </c>
      <c r="M928" s="7" t="n">
        <f aca="false">E928-I928</f>
        <v>75314</v>
      </c>
      <c r="N928" s="7" t="n">
        <f aca="false">IFERROR(L928/D928,0)</f>
        <v>0.414162500396368</v>
      </c>
      <c r="O928" s="7" t="n">
        <f aca="false">IFERROR(M928/E928,0)</f>
        <v>0.416235126367158</v>
      </c>
      <c r="P928" s="7" t="n">
        <f aca="false">01_Data!I928+01_Data!K928+01_Data!M928+01_Data!O928+01_Data!Q928+01_Data!S928+01_Data!U928</f>
        <v>52232</v>
      </c>
      <c r="Q928" s="7" t="n">
        <f aca="false">01_Data!J928+01_Data!L928+01_Data!N928+01_Data!P928+01_Data!R928+01_Data!T928+01_Data!V928</f>
        <v>53812</v>
      </c>
      <c r="R928" s="7" t="n">
        <f aca="false">P928-Q928</f>
        <v>-1580</v>
      </c>
      <c r="S928" s="7" t="n">
        <f aca="false">L928-P928</f>
        <v>26135</v>
      </c>
      <c r="T928" s="7" t="n">
        <f aca="false">M928-Q928</f>
        <v>21502</v>
      </c>
      <c r="U928" s="7" t="n">
        <f aca="false">T928-S928</f>
        <v>-4633</v>
      </c>
      <c r="V928" s="8" t="n">
        <f aca="false">IFERROR(U928/S928,0)</f>
        <v>-0.177271857662139</v>
      </c>
      <c r="W928" s="5" t="str">
        <f aca="false">IF(V928&lt;-0.1,"ADVERSE &gt;10%","")</f>
        <v>ADVERSE &gt;10%</v>
      </c>
    </row>
    <row r="929" customFormat="false" ht="15" hidden="false" customHeight="false" outlineLevel="0" collapsed="false">
      <c r="A929" s="5" t="str">
        <f aca="false">01_Data!A929</f>
        <v>Public Sector</v>
      </c>
      <c r="B929" s="5" t="str">
        <f aca="false">01_Data!C929</f>
        <v>2025-07</v>
      </c>
      <c r="C929" s="5" t="str">
        <f aca="false">01_Data!D929</f>
        <v>FY25</v>
      </c>
      <c r="D929" s="7" t="n">
        <f aca="false">01_Data!E929</f>
        <v>177983</v>
      </c>
      <c r="E929" s="7" t="n">
        <f aca="false">01_Data!F929</f>
        <v>181565</v>
      </c>
      <c r="F929" s="7" t="n">
        <f aca="false">E929-D929</f>
        <v>3582</v>
      </c>
      <c r="G929" s="8" t="n">
        <f aca="false">IFERROR(F929/D929,0)</f>
        <v>0.020125517605614</v>
      </c>
      <c r="H929" s="7" t="n">
        <f aca="false">01_Data!G929</f>
        <v>99468</v>
      </c>
      <c r="I929" s="7" t="n">
        <f aca="false">01_Data!H929</f>
        <v>106529</v>
      </c>
      <c r="J929" s="7" t="n">
        <f aca="false">H929-I929</f>
        <v>-7061</v>
      </c>
      <c r="K929" s="8" t="n">
        <f aca="false">IFERROR(J929/H929,0)</f>
        <v>-0.0709876543209877</v>
      </c>
      <c r="L929" s="7" t="n">
        <f aca="false">D929-H929</f>
        <v>78515</v>
      </c>
      <c r="M929" s="7" t="n">
        <f aca="false">E929-I929</f>
        <v>75036</v>
      </c>
      <c r="N929" s="7" t="n">
        <f aca="false">IFERROR(L929/D929,0)</f>
        <v>0.441137636740588</v>
      </c>
      <c r="O929" s="7" t="n">
        <f aca="false">IFERROR(M929/E929,0)</f>
        <v>0.413273483325531</v>
      </c>
      <c r="P929" s="7" t="n">
        <f aca="false">01_Data!I929+01_Data!K929+01_Data!M929+01_Data!O929+01_Data!Q929+01_Data!S929+01_Data!U929</f>
        <v>46984</v>
      </c>
      <c r="Q929" s="7" t="n">
        <f aca="false">01_Data!J929+01_Data!L929+01_Data!N929+01_Data!P929+01_Data!R929+01_Data!T929+01_Data!V929</f>
        <v>48318</v>
      </c>
      <c r="R929" s="7" t="n">
        <f aca="false">P929-Q929</f>
        <v>-1334</v>
      </c>
      <c r="S929" s="7" t="n">
        <f aca="false">L929-P929</f>
        <v>31531</v>
      </c>
      <c r="T929" s="7" t="n">
        <f aca="false">M929-Q929</f>
        <v>26718</v>
      </c>
      <c r="U929" s="7" t="n">
        <f aca="false">T929-S929</f>
        <v>-4813</v>
      </c>
      <c r="V929" s="8" t="n">
        <f aca="false">IFERROR(U929/S929,0)</f>
        <v>-0.152643430274968</v>
      </c>
      <c r="W929" s="5" t="str">
        <f aca="false">IF(V929&lt;-0.1,"ADVERSE &gt;10%","")</f>
        <v>ADVERSE &gt;10%</v>
      </c>
    </row>
    <row r="930" customFormat="false" ht="15" hidden="false" customHeight="false" outlineLevel="0" collapsed="false">
      <c r="A930" s="5" t="str">
        <f aca="false">01_Data!A930</f>
        <v>Public Sector</v>
      </c>
      <c r="B930" s="5" t="str">
        <f aca="false">01_Data!C930</f>
        <v>2025-08</v>
      </c>
      <c r="C930" s="5" t="str">
        <f aca="false">01_Data!D930</f>
        <v>FY25</v>
      </c>
      <c r="D930" s="7" t="n">
        <f aca="false">01_Data!E930</f>
        <v>192817</v>
      </c>
      <c r="E930" s="7" t="n">
        <f aca="false">01_Data!F930</f>
        <v>183148</v>
      </c>
      <c r="F930" s="7" t="n">
        <f aca="false">E930-D930</f>
        <v>-9669</v>
      </c>
      <c r="G930" s="8" t="n">
        <f aca="false">IFERROR(F930/D930,0)</f>
        <v>-0.0501459933512087</v>
      </c>
      <c r="H930" s="7" t="n">
        <f aca="false">01_Data!G930</f>
        <v>109162</v>
      </c>
      <c r="I930" s="7" t="n">
        <f aca="false">01_Data!H930</f>
        <v>101646</v>
      </c>
      <c r="J930" s="7" t="n">
        <f aca="false">H930-I930</f>
        <v>7516</v>
      </c>
      <c r="K930" s="8" t="n">
        <f aca="false">IFERROR(J930/H930,0)</f>
        <v>0.0688517982448105</v>
      </c>
      <c r="L930" s="7" t="n">
        <f aca="false">D930-H930</f>
        <v>83655</v>
      </c>
      <c r="M930" s="7" t="n">
        <f aca="false">E930-I930</f>
        <v>81502</v>
      </c>
      <c r="N930" s="7" t="n">
        <f aca="false">IFERROR(L930/D930,0)</f>
        <v>0.433856973192198</v>
      </c>
      <c r="O930" s="7" t="n">
        <f aca="false">IFERROR(M930/E930,0)</f>
        <v>0.445006224474196</v>
      </c>
      <c r="P930" s="7" t="n">
        <f aca="false">01_Data!I930+01_Data!K930+01_Data!M930+01_Data!O930+01_Data!Q930+01_Data!S930+01_Data!U930</f>
        <v>49583</v>
      </c>
      <c r="Q930" s="7" t="n">
        <f aca="false">01_Data!J930+01_Data!L930+01_Data!N930+01_Data!P930+01_Data!R930+01_Data!T930+01_Data!V930</f>
        <v>52475</v>
      </c>
      <c r="R930" s="7" t="n">
        <f aca="false">P930-Q930</f>
        <v>-2892</v>
      </c>
      <c r="S930" s="7" t="n">
        <f aca="false">L930-P930</f>
        <v>34072</v>
      </c>
      <c r="T930" s="7" t="n">
        <f aca="false">M930-Q930</f>
        <v>29027</v>
      </c>
      <c r="U930" s="7" t="n">
        <f aca="false">T930-S930</f>
        <v>-5045</v>
      </c>
      <c r="V930" s="8" t="n">
        <f aca="false">IFERROR(U930/S930,0)</f>
        <v>-0.1480687954919</v>
      </c>
      <c r="W930" s="5" t="str">
        <f aca="false">IF(V930&lt;-0.1,"ADVERSE &gt;10%","")</f>
        <v>ADVERSE &gt;10%</v>
      </c>
    </row>
    <row r="931" customFormat="false" ht="15" hidden="false" customHeight="false" outlineLevel="0" collapsed="false">
      <c r="A931" s="5" t="str">
        <f aca="false">01_Data!A931</f>
        <v>Public Sector</v>
      </c>
      <c r="B931" s="5" t="str">
        <f aca="false">01_Data!C931</f>
        <v>2025-09</v>
      </c>
      <c r="C931" s="5" t="str">
        <f aca="false">01_Data!D931</f>
        <v>FY25</v>
      </c>
      <c r="D931" s="7" t="n">
        <f aca="false">01_Data!E931</f>
        <v>192547</v>
      </c>
      <c r="E931" s="7" t="n">
        <f aca="false">01_Data!F931</f>
        <v>192869</v>
      </c>
      <c r="F931" s="7" t="n">
        <f aca="false">E931-D931</f>
        <v>322</v>
      </c>
      <c r="G931" s="8" t="n">
        <f aca="false">IFERROR(F931/D931,0)</f>
        <v>0.00167231896627836</v>
      </c>
      <c r="H931" s="7" t="n">
        <f aca="false">01_Data!G931</f>
        <v>113622</v>
      </c>
      <c r="I931" s="7" t="n">
        <f aca="false">01_Data!H931</f>
        <v>113031</v>
      </c>
      <c r="J931" s="7" t="n">
        <f aca="false">H931-I931</f>
        <v>591</v>
      </c>
      <c r="K931" s="8" t="n">
        <f aca="false">IFERROR(J931/H931,0)</f>
        <v>0.00520145746422348</v>
      </c>
      <c r="L931" s="7" t="n">
        <f aca="false">D931-H931</f>
        <v>78925</v>
      </c>
      <c r="M931" s="7" t="n">
        <f aca="false">E931-I931</f>
        <v>79838</v>
      </c>
      <c r="N931" s="7" t="n">
        <f aca="false">IFERROR(L931/D931,0)</f>
        <v>0.409899920538881</v>
      </c>
      <c r="O931" s="7" t="n">
        <f aca="false">IFERROR(M931/E931,0)</f>
        <v>0.413949364594621</v>
      </c>
      <c r="P931" s="7" t="n">
        <f aca="false">01_Data!I931+01_Data!K931+01_Data!M931+01_Data!O931+01_Data!Q931+01_Data!S931+01_Data!U931</f>
        <v>54693</v>
      </c>
      <c r="Q931" s="7" t="n">
        <f aca="false">01_Data!J931+01_Data!L931+01_Data!N931+01_Data!P931+01_Data!R931+01_Data!T931+01_Data!V931</f>
        <v>53947</v>
      </c>
      <c r="R931" s="7" t="n">
        <f aca="false">P931-Q931</f>
        <v>746</v>
      </c>
      <c r="S931" s="7" t="n">
        <f aca="false">L931-P931</f>
        <v>24232</v>
      </c>
      <c r="T931" s="7" t="n">
        <f aca="false">M931-Q931</f>
        <v>25891</v>
      </c>
      <c r="U931" s="7" t="n">
        <f aca="false">T931-S931</f>
        <v>1659</v>
      </c>
      <c r="V931" s="8" t="n">
        <f aca="false">IFERROR(U931/S931,0)</f>
        <v>0.0684631891713437</v>
      </c>
      <c r="W931" s="5" t="str">
        <f aca="false">IF(V931&lt;-0.1,"ADVERSE &gt;10%","")</f>
        <v/>
      </c>
    </row>
    <row r="932" customFormat="false" ht="15" hidden="false" customHeight="false" outlineLevel="0" collapsed="false">
      <c r="A932" s="5" t="str">
        <f aca="false">01_Data!A932</f>
        <v>Public Sector</v>
      </c>
      <c r="B932" s="5" t="str">
        <f aca="false">01_Data!C932</f>
        <v>2025-10</v>
      </c>
      <c r="C932" s="5" t="str">
        <f aca="false">01_Data!D932</f>
        <v>FY25</v>
      </c>
      <c r="D932" s="7" t="n">
        <f aca="false">01_Data!E932</f>
        <v>192687</v>
      </c>
      <c r="E932" s="7" t="n">
        <f aca="false">01_Data!F932</f>
        <v>182802</v>
      </c>
      <c r="F932" s="7" t="n">
        <f aca="false">E932-D932</f>
        <v>-9885</v>
      </c>
      <c r="G932" s="8" t="n">
        <f aca="false">IFERROR(F932/D932,0)</f>
        <v>-0.0513008142739261</v>
      </c>
      <c r="H932" s="7" t="n">
        <f aca="false">01_Data!G932</f>
        <v>109362</v>
      </c>
      <c r="I932" s="7" t="n">
        <f aca="false">01_Data!H932</f>
        <v>102026</v>
      </c>
      <c r="J932" s="7" t="n">
        <f aca="false">H932-I932</f>
        <v>7336</v>
      </c>
      <c r="K932" s="8" t="n">
        <f aca="false">IFERROR(J932/H932,0)</f>
        <v>0.0670799729339259</v>
      </c>
      <c r="L932" s="7" t="n">
        <f aca="false">D932-H932</f>
        <v>83325</v>
      </c>
      <c r="M932" s="7" t="n">
        <f aca="false">E932-I932</f>
        <v>80776</v>
      </c>
      <c r="N932" s="7" t="n">
        <f aca="false">IFERROR(L932/D932,0)</f>
        <v>0.432437061140606</v>
      </c>
      <c r="O932" s="7" t="n">
        <f aca="false">IFERROR(M932/E932,0)</f>
        <v>0.441877003533878</v>
      </c>
      <c r="P932" s="7" t="n">
        <f aca="false">01_Data!I932+01_Data!K932+01_Data!M932+01_Data!O932+01_Data!Q932+01_Data!S932+01_Data!U932</f>
        <v>49296</v>
      </c>
      <c r="Q932" s="7" t="n">
        <f aca="false">01_Data!J932+01_Data!L932+01_Data!N932+01_Data!P932+01_Data!R932+01_Data!T932+01_Data!V932</f>
        <v>50967</v>
      </c>
      <c r="R932" s="7" t="n">
        <f aca="false">P932-Q932</f>
        <v>-1671</v>
      </c>
      <c r="S932" s="7" t="n">
        <f aca="false">L932-P932</f>
        <v>34029</v>
      </c>
      <c r="T932" s="7" t="n">
        <f aca="false">M932-Q932</f>
        <v>29809</v>
      </c>
      <c r="U932" s="7" t="n">
        <f aca="false">T932-S932</f>
        <v>-4220</v>
      </c>
      <c r="V932" s="8" t="n">
        <f aca="false">IFERROR(U932/S932,0)</f>
        <v>-0.12401187222663</v>
      </c>
      <c r="W932" s="5" t="str">
        <f aca="false">IF(V932&lt;-0.1,"ADVERSE &gt;10%","")</f>
        <v>ADVERSE &gt;10%</v>
      </c>
    </row>
    <row r="933" customFormat="false" ht="15" hidden="false" customHeight="false" outlineLevel="0" collapsed="false">
      <c r="A933" s="5" t="str">
        <f aca="false">01_Data!A933</f>
        <v>Public Sector</v>
      </c>
      <c r="B933" s="5" t="str">
        <f aca="false">01_Data!C933</f>
        <v>2025-11</v>
      </c>
      <c r="C933" s="5" t="str">
        <f aca="false">01_Data!D933</f>
        <v>FY25</v>
      </c>
      <c r="D933" s="7" t="n">
        <f aca="false">01_Data!E933</f>
        <v>185499</v>
      </c>
      <c r="E933" s="7" t="n">
        <f aca="false">01_Data!F933</f>
        <v>181388</v>
      </c>
      <c r="F933" s="7" t="n">
        <f aca="false">E933-D933</f>
        <v>-4111</v>
      </c>
      <c r="G933" s="8" t="n">
        <f aca="false">IFERROR(F933/D933,0)</f>
        <v>-0.0221618445382455</v>
      </c>
      <c r="H933" s="7" t="n">
        <f aca="false">01_Data!G933</f>
        <v>108150</v>
      </c>
      <c r="I933" s="7" t="n">
        <f aca="false">01_Data!H933</f>
        <v>104306</v>
      </c>
      <c r="J933" s="7" t="n">
        <f aca="false">H933-I933</f>
        <v>3844</v>
      </c>
      <c r="K933" s="8" t="n">
        <f aca="false">IFERROR(J933/H933,0)</f>
        <v>0.0355432269995377</v>
      </c>
      <c r="L933" s="7" t="n">
        <f aca="false">D933-H933</f>
        <v>77349</v>
      </c>
      <c r="M933" s="7" t="n">
        <f aca="false">E933-I933</f>
        <v>77082</v>
      </c>
      <c r="N933" s="7" t="n">
        <f aca="false">IFERROR(L933/D933,0)</f>
        <v>0.416977989099672</v>
      </c>
      <c r="O933" s="7" t="n">
        <f aca="false">IFERROR(M933/E933,0)</f>
        <v>0.424956446953492</v>
      </c>
      <c r="P933" s="7" t="n">
        <f aca="false">01_Data!I933+01_Data!K933+01_Data!M933+01_Data!O933+01_Data!Q933+01_Data!S933+01_Data!U933</f>
        <v>47759</v>
      </c>
      <c r="Q933" s="7" t="n">
        <f aca="false">01_Data!J933+01_Data!L933+01_Data!N933+01_Data!P933+01_Data!R933+01_Data!T933+01_Data!V933</f>
        <v>49585</v>
      </c>
      <c r="R933" s="7" t="n">
        <f aca="false">P933-Q933</f>
        <v>-1826</v>
      </c>
      <c r="S933" s="7" t="n">
        <f aca="false">L933-P933</f>
        <v>29590</v>
      </c>
      <c r="T933" s="7" t="n">
        <f aca="false">M933-Q933</f>
        <v>27497</v>
      </c>
      <c r="U933" s="7" t="n">
        <f aca="false">T933-S933</f>
        <v>-2093</v>
      </c>
      <c r="V933" s="8" t="n">
        <f aca="false">IFERROR(U933/S933,0)</f>
        <v>-0.0707333558634674</v>
      </c>
      <c r="W933" s="5" t="str">
        <f aca="false">IF(V933&lt;-0.1,"ADVERSE &gt;10%","")</f>
        <v/>
      </c>
    </row>
    <row r="934" customFormat="false" ht="15" hidden="false" customHeight="false" outlineLevel="0" collapsed="false">
      <c r="A934" s="5" t="str">
        <f aca="false">01_Data!A934</f>
        <v>Public Sector</v>
      </c>
      <c r="B934" s="5" t="str">
        <f aca="false">01_Data!C934</f>
        <v>2025-12</v>
      </c>
      <c r="C934" s="5" t="str">
        <f aca="false">01_Data!D934</f>
        <v>FY25</v>
      </c>
      <c r="D934" s="7" t="n">
        <f aca="false">01_Data!E934</f>
        <v>204183</v>
      </c>
      <c r="E934" s="7" t="n">
        <f aca="false">01_Data!F934</f>
        <v>193178</v>
      </c>
      <c r="F934" s="7" t="n">
        <f aca="false">E934-D934</f>
        <v>-11005</v>
      </c>
      <c r="G934" s="8" t="n">
        <f aca="false">IFERROR(F934/D934,0)</f>
        <v>-0.0538977289980067</v>
      </c>
      <c r="H934" s="7" t="n">
        <f aca="false">01_Data!G934</f>
        <v>117737</v>
      </c>
      <c r="I934" s="7" t="n">
        <f aca="false">01_Data!H934</f>
        <v>115678</v>
      </c>
      <c r="J934" s="7" t="n">
        <f aca="false">H934-I934</f>
        <v>2059</v>
      </c>
      <c r="K934" s="8" t="n">
        <f aca="false">IFERROR(J934/H934,0)</f>
        <v>0.017488130324367</v>
      </c>
      <c r="L934" s="7" t="n">
        <f aca="false">D934-H934</f>
        <v>86446</v>
      </c>
      <c r="M934" s="7" t="n">
        <f aca="false">E934-I934</f>
        <v>77500</v>
      </c>
      <c r="N934" s="7" t="n">
        <f aca="false">IFERROR(L934/D934,0)</f>
        <v>0.42337510958307</v>
      </c>
      <c r="O934" s="7" t="n">
        <f aca="false">IFERROR(M934/E934,0)</f>
        <v>0.401184399879904</v>
      </c>
      <c r="P934" s="7" t="n">
        <f aca="false">01_Data!I934+01_Data!K934+01_Data!M934+01_Data!O934+01_Data!Q934+01_Data!S934+01_Data!U934</f>
        <v>58234</v>
      </c>
      <c r="Q934" s="7" t="n">
        <f aca="false">01_Data!J934+01_Data!L934+01_Data!N934+01_Data!P934+01_Data!R934+01_Data!T934+01_Data!V934</f>
        <v>56422</v>
      </c>
      <c r="R934" s="7" t="n">
        <f aca="false">P934-Q934</f>
        <v>1812</v>
      </c>
      <c r="S934" s="7" t="n">
        <f aca="false">L934-P934</f>
        <v>28212</v>
      </c>
      <c r="T934" s="7" t="n">
        <f aca="false">M934-Q934</f>
        <v>21078</v>
      </c>
      <c r="U934" s="7" t="n">
        <f aca="false">T934-S934</f>
        <v>-7134</v>
      </c>
      <c r="V934" s="8" t="n">
        <f aca="false">IFERROR(U934/S934,0)</f>
        <v>-0.252871118672905</v>
      </c>
      <c r="W934" s="5" t="str">
        <f aca="false">IF(V934&lt;-0.1,"ADVERSE &gt;10%","")</f>
        <v>ADVERSE &gt;10%</v>
      </c>
    </row>
    <row r="935" customFormat="false" ht="15" hidden="false" customHeight="false" outlineLevel="0" collapsed="false">
      <c r="A935" s="5" t="str">
        <f aca="false">01_Data!A935</f>
        <v>Public Sector</v>
      </c>
      <c r="B935" s="5" t="str">
        <f aca="false">01_Data!C935</f>
        <v>2026-01</v>
      </c>
      <c r="C935" s="5" t="str">
        <f aca="false">01_Data!D935</f>
        <v>FY25</v>
      </c>
      <c r="D935" s="7" t="n">
        <f aca="false">01_Data!E935</f>
        <v>171036</v>
      </c>
      <c r="E935" s="7" t="n">
        <f aca="false">01_Data!F935</f>
        <v>180322</v>
      </c>
      <c r="F935" s="7" t="n">
        <f aca="false">E935-D935</f>
        <v>9286</v>
      </c>
      <c r="G935" s="8" t="n">
        <f aca="false">IFERROR(F935/D935,0)</f>
        <v>0.0542926635328235</v>
      </c>
      <c r="H935" s="7" t="n">
        <f aca="false">01_Data!G935</f>
        <v>96774</v>
      </c>
      <c r="I935" s="7" t="n">
        <f aca="false">01_Data!H935</f>
        <v>101252</v>
      </c>
      <c r="J935" s="7" t="n">
        <f aca="false">H935-I935</f>
        <v>-4478</v>
      </c>
      <c r="K935" s="8" t="n">
        <f aca="false">IFERROR(J935/H935,0)</f>
        <v>-0.0462727592121851</v>
      </c>
      <c r="L935" s="7" t="n">
        <f aca="false">D935-H935</f>
        <v>74262</v>
      </c>
      <c r="M935" s="7" t="n">
        <f aca="false">E935-I935</f>
        <v>79070</v>
      </c>
      <c r="N935" s="7" t="n">
        <f aca="false">IFERROR(L935/D935,0)</f>
        <v>0.434189293482074</v>
      </c>
      <c r="O935" s="7" t="n">
        <f aca="false">IFERROR(M935/E935,0)</f>
        <v>0.438493361874868</v>
      </c>
      <c r="P935" s="7" t="n">
        <f aca="false">01_Data!I935+01_Data!K935+01_Data!M935+01_Data!O935+01_Data!Q935+01_Data!S935+01_Data!U935</f>
        <v>42401</v>
      </c>
      <c r="Q935" s="7" t="n">
        <f aca="false">01_Data!J935+01_Data!L935+01_Data!N935+01_Data!P935+01_Data!R935+01_Data!T935+01_Data!V935</f>
        <v>44643</v>
      </c>
      <c r="R935" s="7" t="n">
        <f aca="false">P935-Q935</f>
        <v>-2242</v>
      </c>
      <c r="S935" s="7" t="n">
        <f aca="false">L935-P935</f>
        <v>31861</v>
      </c>
      <c r="T935" s="7" t="n">
        <f aca="false">M935-Q935</f>
        <v>34427</v>
      </c>
      <c r="U935" s="7" t="n">
        <f aca="false">T935-S935</f>
        <v>2566</v>
      </c>
      <c r="V935" s="8" t="n">
        <f aca="false">IFERROR(U935/S935,0)</f>
        <v>0.0805373340447569</v>
      </c>
      <c r="W935" s="5" t="str">
        <f aca="false">IF(V935&lt;-0.1,"ADVERSE &gt;10%","")</f>
        <v/>
      </c>
    </row>
    <row r="936" customFormat="false" ht="15" hidden="false" customHeight="false" outlineLevel="0" collapsed="false">
      <c r="A936" s="5" t="str">
        <f aca="false">01_Data!A936</f>
        <v>Public Sector</v>
      </c>
      <c r="B936" s="5" t="str">
        <f aca="false">01_Data!C936</f>
        <v>2026-02</v>
      </c>
      <c r="C936" s="5" t="str">
        <f aca="false">01_Data!D936</f>
        <v>FY25</v>
      </c>
      <c r="D936" s="7" t="n">
        <f aca="false">01_Data!E936</f>
        <v>183019</v>
      </c>
      <c r="E936" s="7" t="n">
        <f aca="false">01_Data!F936</f>
        <v>180997</v>
      </c>
      <c r="F936" s="7" t="n">
        <f aca="false">E936-D936</f>
        <v>-2022</v>
      </c>
      <c r="G936" s="8" t="n">
        <f aca="false">IFERROR(F936/D936,0)</f>
        <v>-0.0110480332643059</v>
      </c>
      <c r="H936" s="7" t="n">
        <f aca="false">01_Data!G936</f>
        <v>105123</v>
      </c>
      <c r="I936" s="7" t="n">
        <f aca="false">01_Data!H936</f>
        <v>108172</v>
      </c>
      <c r="J936" s="7" t="n">
        <f aca="false">H936-I936</f>
        <v>-3049</v>
      </c>
      <c r="K936" s="8" t="n">
        <f aca="false">IFERROR(J936/H936,0)</f>
        <v>-0.0290041189844278</v>
      </c>
      <c r="L936" s="7" t="n">
        <f aca="false">D936-H936</f>
        <v>77896</v>
      </c>
      <c r="M936" s="7" t="n">
        <f aca="false">E936-I936</f>
        <v>72825</v>
      </c>
      <c r="N936" s="7" t="n">
        <f aca="false">IFERROR(L936/D936,0)</f>
        <v>0.425617012441331</v>
      </c>
      <c r="O936" s="7" t="n">
        <f aca="false">IFERROR(M936/E936,0)</f>
        <v>0.402354735161356</v>
      </c>
      <c r="P936" s="7" t="n">
        <f aca="false">01_Data!I936+01_Data!K936+01_Data!M936+01_Data!O936+01_Data!Q936+01_Data!S936+01_Data!U936</f>
        <v>49074</v>
      </c>
      <c r="Q936" s="7" t="n">
        <f aca="false">01_Data!J936+01_Data!L936+01_Data!N936+01_Data!P936+01_Data!R936+01_Data!T936+01_Data!V936</f>
        <v>49892</v>
      </c>
      <c r="R936" s="7" t="n">
        <f aca="false">P936-Q936</f>
        <v>-818</v>
      </c>
      <c r="S936" s="7" t="n">
        <f aca="false">L936-P936</f>
        <v>28822</v>
      </c>
      <c r="T936" s="7" t="n">
        <f aca="false">M936-Q936</f>
        <v>22933</v>
      </c>
      <c r="U936" s="7" t="n">
        <f aca="false">T936-S936</f>
        <v>-5889</v>
      </c>
      <c r="V936" s="8" t="n">
        <f aca="false">IFERROR(U936/S936,0)</f>
        <v>-0.204323086531122</v>
      </c>
      <c r="W936" s="5" t="str">
        <f aca="false">IF(V936&lt;-0.1,"ADVERSE &gt;10%","")</f>
        <v>ADVERSE &gt;10%</v>
      </c>
    </row>
    <row r="937" customFormat="false" ht="15" hidden="false" customHeight="false" outlineLevel="0" collapsed="false">
      <c r="A937" s="5" t="str">
        <f aca="false">01_Data!A937</f>
        <v>Public Sector</v>
      </c>
      <c r="B937" s="5" t="str">
        <f aca="false">01_Data!C937</f>
        <v>2026-03</v>
      </c>
      <c r="C937" s="5" t="str">
        <f aca="false">01_Data!D937</f>
        <v>FY25</v>
      </c>
      <c r="D937" s="7" t="n">
        <f aca="false">01_Data!E937</f>
        <v>198091</v>
      </c>
      <c r="E937" s="7" t="n">
        <f aca="false">01_Data!F937</f>
        <v>188981</v>
      </c>
      <c r="F937" s="7" t="n">
        <f aca="false">E937-D937</f>
        <v>-9110</v>
      </c>
      <c r="G937" s="8" t="n">
        <f aca="false">IFERROR(F937/D937,0)</f>
        <v>-0.0459889646677537</v>
      </c>
      <c r="H937" s="7" t="n">
        <f aca="false">01_Data!G937</f>
        <v>115590</v>
      </c>
      <c r="I937" s="7" t="n">
        <f aca="false">01_Data!H937</f>
        <v>107163</v>
      </c>
      <c r="J937" s="7" t="n">
        <f aca="false">H937-I937</f>
        <v>8427</v>
      </c>
      <c r="K937" s="8" t="n">
        <f aca="false">IFERROR(J937/H937,0)</f>
        <v>0.0729042304697638</v>
      </c>
      <c r="L937" s="7" t="n">
        <f aca="false">D937-H937</f>
        <v>82501</v>
      </c>
      <c r="M937" s="7" t="n">
        <f aca="false">E937-I937</f>
        <v>81818</v>
      </c>
      <c r="N937" s="7" t="n">
        <f aca="false">IFERROR(L937/D937,0)</f>
        <v>0.416480304506515</v>
      </c>
      <c r="O937" s="7" t="n">
        <f aca="false">IFERROR(M937/E937,0)</f>
        <v>0.432942994269265</v>
      </c>
      <c r="P937" s="7" t="n">
        <f aca="false">01_Data!I937+01_Data!K937+01_Data!M937+01_Data!O937+01_Data!Q937+01_Data!S937+01_Data!U937</f>
        <v>50428</v>
      </c>
      <c r="Q937" s="7" t="n">
        <f aca="false">01_Data!J937+01_Data!L937+01_Data!N937+01_Data!P937+01_Data!R937+01_Data!T937+01_Data!V937</f>
        <v>50231</v>
      </c>
      <c r="R937" s="7" t="n">
        <f aca="false">P937-Q937</f>
        <v>197</v>
      </c>
      <c r="S937" s="7" t="n">
        <f aca="false">L937-P937</f>
        <v>32073</v>
      </c>
      <c r="T937" s="7" t="n">
        <f aca="false">M937-Q937</f>
        <v>31587</v>
      </c>
      <c r="U937" s="7" t="n">
        <f aca="false">T937-S937</f>
        <v>-486</v>
      </c>
      <c r="V937" s="8" t="n">
        <f aca="false">IFERROR(U937/S937,0)</f>
        <v>-0.015152932373024</v>
      </c>
      <c r="W937" s="5" t="str">
        <f aca="false">IF(V937&lt;-0.1,"ADVERSE &gt;10%","")</f>
        <v/>
      </c>
    </row>
    <row r="938" customFormat="false" ht="15" hidden="false" customHeight="false" outlineLevel="0" collapsed="false">
      <c r="A938" s="5" t="str">
        <f aca="false">01_Data!A938</f>
        <v>Public Sector</v>
      </c>
      <c r="B938" s="5" t="str">
        <f aca="false">01_Data!C938</f>
        <v>2023-04</v>
      </c>
      <c r="C938" s="5" t="str">
        <f aca="false">01_Data!D938</f>
        <v>FY23</v>
      </c>
      <c r="D938" s="7" t="n">
        <f aca="false">01_Data!E938</f>
        <v>162306</v>
      </c>
      <c r="E938" s="7" t="n">
        <f aca="false">01_Data!F938</f>
        <v>169392</v>
      </c>
      <c r="F938" s="7" t="n">
        <f aca="false">E938-D938</f>
        <v>7086</v>
      </c>
      <c r="G938" s="8" t="n">
        <f aca="false">IFERROR(F938/D938,0)</f>
        <v>0.0436582751099775</v>
      </c>
      <c r="H938" s="7" t="n">
        <f aca="false">01_Data!G938</f>
        <v>92806</v>
      </c>
      <c r="I938" s="7" t="n">
        <f aca="false">01_Data!H938</f>
        <v>96905</v>
      </c>
      <c r="J938" s="7" t="n">
        <f aca="false">H938-I938</f>
        <v>-4099</v>
      </c>
      <c r="K938" s="8" t="n">
        <f aca="false">IFERROR(J938/H938,0)</f>
        <v>-0.0441674029696356</v>
      </c>
      <c r="L938" s="7" t="n">
        <f aca="false">D938-H938</f>
        <v>69500</v>
      </c>
      <c r="M938" s="7" t="n">
        <f aca="false">E938-I938</f>
        <v>72487</v>
      </c>
      <c r="N938" s="7" t="n">
        <f aca="false">IFERROR(L938/D938,0)</f>
        <v>0.428203516813919</v>
      </c>
      <c r="O938" s="7" t="n">
        <f aca="false">IFERROR(M938/E938,0)</f>
        <v>0.427924577311798</v>
      </c>
      <c r="P938" s="7" t="n">
        <f aca="false">01_Data!I938+01_Data!K938+01_Data!M938+01_Data!O938+01_Data!Q938+01_Data!S938+01_Data!U938</f>
        <v>42826</v>
      </c>
      <c r="Q938" s="7" t="n">
        <f aca="false">01_Data!J938+01_Data!L938+01_Data!N938+01_Data!P938+01_Data!R938+01_Data!T938+01_Data!V938</f>
        <v>44308</v>
      </c>
      <c r="R938" s="7" t="n">
        <f aca="false">P938-Q938</f>
        <v>-1482</v>
      </c>
      <c r="S938" s="7" t="n">
        <f aca="false">L938-P938</f>
        <v>26674</v>
      </c>
      <c r="T938" s="7" t="n">
        <f aca="false">M938-Q938</f>
        <v>28179</v>
      </c>
      <c r="U938" s="7" t="n">
        <f aca="false">T938-S938</f>
        <v>1505</v>
      </c>
      <c r="V938" s="8" t="n">
        <f aca="false">IFERROR(U938/S938,0)</f>
        <v>0.0564219839544125</v>
      </c>
      <c r="W938" s="5" t="str">
        <f aca="false">IF(V938&lt;-0.1,"ADVERSE &gt;10%","")</f>
        <v/>
      </c>
    </row>
    <row r="939" customFormat="false" ht="15" hidden="false" customHeight="false" outlineLevel="0" collapsed="false">
      <c r="A939" s="5" t="str">
        <f aca="false">01_Data!A939</f>
        <v>Public Sector</v>
      </c>
      <c r="B939" s="5" t="str">
        <f aca="false">01_Data!C939</f>
        <v>2023-05</v>
      </c>
      <c r="C939" s="5" t="str">
        <f aca="false">01_Data!D939</f>
        <v>FY23</v>
      </c>
      <c r="D939" s="7" t="n">
        <f aca="false">01_Data!E939</f>
        <v>177961</v>
      </c>
      <c r="E939" s="7" t="n">
        <f aca="false">01_Data!F939</f>
        <v>169400</v>
      </c>
      <c r="F939" s="7" t="n">
        <f aca="false">E939-D939</f>
        <v>-8561</v>
      </c>
      <c r="G939" s="8" t="n">
        <f aca="false">IFERROR(F939/D939,0)</f>
        <v>-0.0481060457066436</v>
      </c>
      <c r="H939" s="7" t="n">
        <f aca="false">01_Data!G939</f>
        <v>104618</v>
      </c>
      <c r="I939" s="7" t="n">
        <f aca="false">01_Data!H939</f>
        <v>101538</v>
      </c>
      <c r="J939" s="7" t="n">
        <f aca="false">H939-I939</f>
        <v>3080</v>
      </c>
      <c r="K939" s="8" t="n">
        <f aca="false">IFERROR(J939/H939,0)</f>
        <v>0.0294404404595767</v>
      </c>
      <c r="L939" s="7" t="n">
        <f aca="false">D939-H939</f>
        <v>73343</v>
      </c>
      <c r="M939" s="7" t="n">
        <f aca="false">E939-I939</f>
        <v>67862</v>
      </c>
      <c r="N939" s="7" t="n">
        <f aca="false">IFERROR(L939/D939,0)</f>
        <v>0.412129623906362</v>
      </c>
      <c r="O939" s="7" t="n">
        <f aca="false">IFERROR(M939/E939,0)</f>
        <v>0.40060212514758</v>
      </c>
      <c r="P939" s="7" t="n">
        <f aca="false">01_Data!I939+01_Data!K939+01_Data!M939+01_Data!O939+01_Data!Q939+01_Data!S939+01_Data!U939</f>
        <v>47357</v>
      </c>
      <c r="Q939" s="7" t="n">
        <f aca="false">01_Data!J939+01_Data!L939+01_Data!N939+01_Data!P939+01_Data!R939+01_Data!T939+01_Data!V939</f>
        <v>47139</v>
      </c>
      <c r="R939" s="7" t="n">
        <f aca="false">P939-Q939</f>
        <v>218</v>
      </c>
      <c r="S939" s="7" t="n">
        <f aca="false">L939-P939</f>
        <v>25986</v>
      </c>
      <c r="T939" s="7" t="n">
        <f aca="false">M939-Q939</f>
        <v>20723</v>
      </c>
      <c r="U939" s="7" t="n">
        <f aca="false">T939-S939</f>
        <v>-5263</v>
      </c>
      <c r="V939" s="8" t="n">
        <f aca="false">IFERROR(U939/S939,0)</f>
        <v>-0.202532132686831</v>
      </c>
      <c r="W939" s="5" t="str">
        <f aca="false">IF(V939&lt;-0.1,"ADVERSE &gt;10%","")</f>
        <v>ADVERSE &gt;10%</v>
      </c>
    </row>
    <row r="940" customFormat="false" ht="15" hidden="false" customHeight="false" outlineLevel="0" collapsed="false">
      <c r="A940" s="5" t="str">
        <f aca="false">01_Data!A940</f>
        <v>Public Sector</v>
      </c>
      <c r="B940" s="5" t="str">
        <f aca="false">01_Data!C940</f>
        <v>2023-06</v>
      </c>
      <c r="C940" s="5" t="str">
        <f aca="false">01_Data!D940</f>
        <v>FY23</v>
      </c>
      <c r="D940" s="7" t="n">
        <f aca="false">01_Data!E940</f>
        <v>162814</v>
      </c>
      <c r="E940" s="7" t="n">
        <f aca="false">01_Data!F940</f>
        <v>169257</v>
      </c>
      <c r="F940" s="7" t="n">
        <f aca="false">E940-D940</f>
        <v>6443</v>
      </c>
      <c r="G940" s="8" t="n">
        <f aca="false">IFERROR(F940/D940,0)</f>
        <v>0.0395727640129227</v>
      </c>
      <c r="H940" s="7" t="n">
        <f aca="false">01_Data!G940</f>
        <v>95975</v>
      </c>
      <c r="I940" s="7" t="n">
        <f aca="false">01_Data!H940</f>
        <v>101416</v>
      </c>
      <c r="J940" s="7" t="n">
        <f aca="false">H940-I940</f>
        <v>-5441</v>
      </c>
      <c r="K940" s="8" t="n">
        <f aca="false">IFERROR(J940/H940,0)</f>
        <v>-0.0566918468351133</v>
      </c>
      <c r="L940" s="7" t="n">
        <f aca="false">D940-H940</f>
        <v>66839</v>
      </c>
      <c r="M940" s="7" t="n">
        <f aca="false">E940-I940</f>
        <v>67841</v>
      </c>
      <c r="N940" s="7" t="n">
        <f aca="false">IFERROR(L940/D940,0)</f>
        <v>0.41052366504109</v>
      </c>
      <c r="O940" s="7" t="n">
        <f aca="false">IFERROR(M940/E940,0)</f>
        <v>0.400816509804617</v>
      </c>
      <c r="P940" s="7" t="n">
        <f aca="false">01_Data!I940+01_Data!K940+01_Data!M940+01_Data!O940+01_Data!Q940+01_Data!S940+01_Data!U940</f>
        <v>43775</v>
      </c>
      <c r="Q940" s="7" t="n">
        <f aca="false">01_Data!J940+01_Data!L940+01_Data!N940+01_Data!P940+01_Data!R940+01_Data!T940+01_Data!V940</f>
        <v>43787</v>
      </c>
      <c r="R940" s="7" t="n">
        <f aca="false">P940-Q940</f>
        <v>-12</v>
      </c>
      <c r="S940" s="7" t="n">
        <f aca="false">L940-P940</f>
        <v>23064</v>
      </c>
      <c r="T940" s="7" t="n">
        <f aca="false">M940-Q940</f>
        <v>24054</v>
      </c>
      <c r="U940" s="7" t="n">
        <f aca="false">T940-S940</f>
        <v>990</v>
      </c>
      <c r="V940" s="8" t="n">
        <f aca="false">IFERROR(U940/S940,0)</f>
        <v>0.0429240374609782</v>
      </c>
      <c r="W940" s="5" t="str">
        <f aca="false">IF(V940&lt;-0.1,"ADVERSE &gt;10%","")</f>
        <v/>
      </c>
    </row>
    <row r="941" customFormat="false" ht="15" hidden="false" customHeight="false" outlineLevel="0" collapsed="false">
      <c r="A941" s="5" t="str">
        <f aca="false">01_Data!A941</f>
        <v>Public Sector</v>
      </c>
      <c r="B941" s="5" t="str">
        <f aca="false">01_Data!C941</f>
        <v>2023-07</v>
      </c>
      <c r="C941" s="5" t="str">
        <f aca="false">01_Data!D941</f>
        <v>FY23</v>
      </c>
      <c r="D941" s="7" t="n">
        <f aca="false">01_Data!E941</f>
        <v>165680</v>
      </c>
      <c r="E941" s="7" t="n">
        <f aca="false">01_Data!F941</f>
        <v>174149</v>
      </c>
      <c r="F941" s="7" t="n">
        <f aca="false">E941-D941</f>
        <v>8469</v>
      </c>
      <c r="G941" s="8" t="n">
        <f aca="false">IFERROR(F941/D941,0)</f>
        <v>0.0511166103331724</v>
      </c>
      <c r="H941" s="7" t="n">
        <f aca="false">01_Data!G941</f>
        <v>99272</v>
      </c>
      <c r="I941" s="7" t="n">
        <f aca="false">01_Data!H941</f>
        <v>101029</v>
      </c>
      <c r="J941" s="7" t="n">
        <f aca="false">H941-I941</f>
        <v>-1757</v>
      </c>
      <c r="K941" s="8" t="n">
        <f aca="false">IFERROR(J941/H941,0)</f>
        <v>-0.0176988476106052</v>
      </c>
      <c r="L941" s="7" t="n">
        <f aca="false">D941-H941</f>
        <v>66408</v>
      </c>
      <c r="M941" s="7" t="n">
        <f aca="false">E941-I941</f>
        <v>73120</v>
      </c>
      <c r="N941" s="7" t="n">
        <f aca="false">IFERROR(L941/D941,0)</f>
        <v>0.40082085948817</v>
      </c>
      <c r="O941" s="7" t="n">
        <f aca="false">IFERROR(M941/E941,0)</f>
        <v>0.419870340914964</v>
      </c>
      <c r="P941" s="7" t="n">
        <f aca="false">01_Data!I941+01_Data!K941+01_Data!M941+01_Data!O941+01_Data!Q941+01_Data!S941+01_Data!U941</f>
        <v>44157</v>
      </c>
      <c r="Q941" s="7" t="n">
        <f aca="false">01_Data!J941+01_Data!L941+01_Data!N941+01_Data!P941+01_Data!R941+01_Data!T941+01_Data!V941</f>
        <v>44866</v>
      </c>
      <c r="R941" s="7" t="n">
        <f aca="false">P941-Q941</f>
        <v>-709</v>
      </c>
      <c r="S941" s="7" t="n">
        <f aca="false">L941-P941</f>
        <v>22251</v>
      </c>
      <c r="T941" s="7" t="n">
        <f aca="false">M941-Q941</f>
        <v>28254</v>
      </c>
      <c r="U941" s="7" t="n">
        <f aca="false">T941-S941</f>
        <v>6003</v>
      </c>
      <c r="V941" s="8" t="n">
        <f aca="false">IFERROR(U941/S941,0)</f>
        <v>0.269785627612242</v>
      </c>
      <c r="W941" s="5" t="str">
        <f aca="false">IF(V941&lt;-0.1,"ADVERSE &gt;10%","")</f>
        <v/>
      </c>
    </row>
    <row r="942" customFormat="false" ht="15" hidden="false" customHeight="false" outlineLevel="0" collapsed="false">
      <c r="A942" s="5" t="str">
        <f aca="false">01_Data!A942</f>
        <v>Public Sector</v>
      </c>
      <c r="B942" s="5" t="str">
        <f aca="false">01_Data!C942</f>
        <v>2023-08</v>
      </c>
      <c r="C942" s="5" t="str">
        <f aca="false">01_Data!D942</f>
        <v>FY23</v>
      </c>
      <c r="D942" s="7" t="n">
        <f aca="false">01_Data!E942</f>
        <v>166430</v>
      </c>
      <c r="E942" s="7" t="n">
        <f aca="false">01_Data!F942</f>
        <v>173138</v>
      </c>
      <c r="F942" s="7" t="n">
        <f aca="false">E942-D942</f>
        <v>6708</v>
      </c>
      <c r="G942" s="8" t="n">
        <f aca="false">IFERROR(F942/D942,0)</f>
        <v>0.0403052334314727</v>
      </c>
      <c r="H942" s="7" t="n">
        <f aca="false">01_Data!G942</f>
        <v>89879</v>
      </c>
      <c r="I942" s="7" t="n">
        <f aca="false">01_Data!H942</f>
        <v>90754</v>
      </c>
      <c r="J942" s="7" t="n">
        <f aca="false">H942-I942</f>
        <v>-875</v>
      </c>
      <c r="K942" s="8" t="n">
        <f aca="false">IFERROR(J942/H942,0)</f>
        <v>-0.0097353108067513</v>
      </c>
      <c r="L942" s="7" t="n">
        <f aca="false">D942-H942</f>
        <v>76551</v>
      </c>
      <c r="M942" s="7" t="n">
        <f aca="false">E942-I942</f>
        <v>82384</v>
      </c>
      <c r="N942" s="7" t="n">
        <f aca="false">IFERROR(L942/D942,0)</f>
        <v>0.459959141981614</v>
      </c>
      <c r="O942" s="7" t="n">
        <f aca="false">IFERROR(M942/E942,0)</f>
        <v>0.475828529843246</v>
      </c>
      <c r="P942" s="7" t="n">
        <f aca="false">01_Data!I942+01_Data!K942+01_Data!M942+01_Data!O942+01_Data!Q942+01_Data!S942+01_Data!U942</f>
        <v>41155</v>
      </c>
      <c r="Q942" s="7" t="n">
        <f aca="false">01_Data!J942+01_Data!L942+01_Data!N942+01_Data!P942+01_Data!R942+01_Data!T942+01_Data!V942</f>
        <v>41991</v>
      </c>
      <c r="R942" s="7" t="n">
        <f aca="false">P942-Q942</f>
        <v>-836</v>
      </c>
      <c r="S942" s="7" t="n">
        <f aca="false">L942-P942</f>
        <v>35396</v>
      </c>
      <c r="T942" s="7" t="n">
        <f aca="false">M942-Q942</f>
        <v>40393</v>
      </c>
      <c r="U942" s="7" t="n">
        <f aca="false">T942-S942</f>
        <v>4997</v>
      </c>
      <c r="V942" s="8" t="n">
        <f aca="false">IFERROR(U942/S942,0)</f>
        <v>0.14117414397107</v>
      </c>
      <c r="W942" s="5" t="str">
        <f aca="false">IF(V942&lt;-0.1,"ADVERSE &gt;10%","")</f>
        <v/>
      </c>
    </row>
    <row r="943" customFormat="false" ht="15" hidden="false" customHeight="false" outlineLevel="0" collapsed="false">
      <c r="A943" s="5" t="str">
        <f aca="false">01_Data!A943</f>
        <v>Public Sector</v>
      </c>
      <c r="B943" s="5" t="str">
        <f aca="false">01_Data!C943</f>
        <v>2023-09</v>
      </c>
      <c r="C943" s="5" t="str">
        <f aca="false">01_Data!D943</f>
        <v>FY23</v>
      </c>
      <c r="D943" s="7" t="n">
        <f aca="false">01_Data!E943</f>
        <v>179288</v>
      </c>
      <c r="E943" s="7" t="n">
        <f aca="false">01_Data!F943</f>
        <v>186376</v>
      </c>
      <c r="F943" s="7" t="n">
        <f aca="false">E943-D943</f>
        <v>7088</v>
      </c>
      <c r="G943" s="8" t="n">
        <f aca="false">IFERROR(F943/D943,0)</f>
        <v>0.0395341573334523</v>
      </c>
      <c r="H943" s="7" t="n">
        <f aca="false">01_Data!G943</f>
        <v>106266</v>
      </c>
      <c r="I943" s="7" t="n">
        <f aca="false">01_Data!H943</f>
        <v>115747</v>
      </c>
      <c r="J943" s="7" t="n">
        <f aca="false">H943-I943</f>
        <v>-9481</v>
      </c>
      <c r="K943" s="8" t="n">
        <f aca="false">IFERROR(J943/H943,0)</f>
        <v>-0.0892195057685431</v>
      </c>
      <c r="L943" s="7" t="n">
        <f aca="false">D943-H943</f>
        <v>73022</v>
      </c>
      <c r="M943" s="7" t="n">
        <f aca="false">E943-I943</f>
        <v>70629</v>
      </c>
      <c r="N943" s="7" t="n">
        <f aca="false">IFERROR(L943/D943,0)</f>
        <v>0.407288831377449</v>
      </c>
      <c r="O943" s="7" t="n">
        <f aca="false">IFERROR(M943/E943,0)</f>
        <v>0.378959737305232</v>
      </c>
      <c r="P943" s="7" t="n">
        <f aca="false">01_Data!I943+01_Data!K943+01_Data!M943+01_Data!O943+01_Data!Q943+01_Data!S943+01_Data!U943</f>
        <v>47957</v>
      </c>
      <c r="Q943" s="7" t="n">
        <f aca="false">01_Data!J943+01_Data!L943+01_Data!N943+01_Data!P943+01_Data!R943+01_Data!T943+01_Data!V943</f>
        <v>50020</v>
      </c>
      <c r="R943" s="7" t="n">
        <f aca="false">P943-Q943</f>
        <v>-2063</v>
      </c>
      <c r="S943" s="7" t="n">
        <f aca="false">L943-P943</f>
        <v>25065</v>
      </c>
      <c r="T943" s="7" t="n">
        <f aca="false">M943-Q943</f>
        <v>20609</v>
      </c>
      <c r="U943" s="7" t="n">
        <f aca="false">T943-S943</f>
        <v>-4456</v>
      </c>
      <c r="V943" s="8" t="n">
        <f aca="false">IFERROR(U943/S943,0)</f>
        <v>-0.177777777777778</v>
      </c>
      <c r="W943" s="5" t="str">
        <f aca="false">IF(V943&lt;-0.1,"ADVERSE &gt;10%","")</f>
        <v>ADVERSE &gt;10%</v>
      </c>
    </row>
    <row r="944" customFormat="false" ht="15" hidden="false" customHeight="false" outlineLevel="0" collapsed="false">
      <c r="A944" s="5" t="str">
        <f aca="false">01_Data!A944</f>
        <v>Public Sector</v>
      </c>
      <c r="B944" s="5" t="str">
        <f aca="false">01_Data!C944</f>
        <v>2023-10</v>
      </c>
      <c r="C944" s="5" t="str">
        <f aca="false">01_Data!D944</f>
        <v>FY23</v>
      </c>
      <c r="D944" s="7" t="n">
        <f aca="false">01_Data!E944</f>
        <v>186155</v>
      </c>
      <c r="E944" s="7" t="n">
        <f aca="false">01_Data!F944</f>
        <v>181615</v>
      </c>
      <c r="F944" s="7" t="n">
        <f aca="false">E944-D944</f>
        <v>-4540</v>
      </c>
      <c r="G944" s="8" t="n">
        <f aca="false">IFERROR(F944/D944,0)</f>
        <v>-0.0243882785850501</v>
      </c>
      <c r="H944" s="7" t="n">
        <f aca="false">01_Data!G944</f>
        <v>107112</v>
      </c>
      <c r="I944" s="7" t="n">
        <f aca="false">01_Data!H944</f>
        <v>104193</v>
      </c>
      <c r="J944" s="7" t="n">
        <f aca="false">H944-I944</f>
        <v>2919</v>
      </c>
      <c r="K944" s="8" t="n">
        <f aca="false">IFERROR(J944/H944,0)</f>
        <v>0.0272518485323773</v>
      </c>
      <c r="L944" s="7" t="n">
        <f aca="false">D944-H944</f>
        <v>79043</v>
      </c>
      <c r="M944" s="7" t="n">
        <f aca="false">E944-I944</f>
        <v>77422</v>
      </c>
      <c r="N944" s="7" t="n">
        <f aca="false">IFERROR(L944/D944,0)</f>
        <v>0.42460852515377</v>
      </c>
      <c r="O944" s="7" t="n">
        <f aca="false">IFERROR(M944/E944,0)</f>
        <v>0.426297387330342</v>
      </c>
      <c r="P944" s="7" t="n">
        <f aca="false">01_Data!I944+01_Data!K944+01_Data!M944+01_Data!O944+01_Data!Q944+01_Data!S944+01_Data!U944</f>
        <v>48283</v>
      </c>
      <c r="Q944" s="7" t="n">
        <f aca="false">01_Data!J944+01_Data!L944+01_Data!N944+01_Data!P944+01_Data!R944+01_Data!T944+01_Data!V944</f>
        <v>47761</v>
      </c>
      <c r="R944" s="7" t="n">
        <f aca="false">P944-Q944</f>
        <v>522</v>
      </c>
      <c r="S944" s="7" t="n">
        <f aca="false">L944-P944</f>
        <v>30760</v>
      </c>
      <c r="T944" s="7" t="n">
        <f aca="false">M944-Q944</f>
        <v>29661</v>
      </c>
      <c r="U944" s="7" t="n">
        <f aca="false">T944-S944</f>
        <v>-1099</v>
      </c>
      <c r="V944" s="8" t="n">
        <f aca="false">IFERROR(U944/S944,0)</f>
        <v>-0.0357282184655397</v>
      </c>
      <c r="W944" s="5" t="str">
        <f aca="false">IF(V944&lt;-0.1,"ADVERSE &gt;10%","")</f>
        <v/>
      </c>
    </row>
    <row r="945" customFormat="false" ht="15" hidden="false" customHeight="false" outlineLevel="0" collapsed="false">
      <c r="A945" s="5" t="str">
        <f aca="false">01_Data!A945</f>
        <v>Public Sector</v>
      </c>
      <c r="B945" s="5" t="str">
        <f aca="false">01_Data!C945</f>
        <v>2023-11</v>
      </c>
      <c r="C945" s="5" t="str">
        <f aca="false">01_Data!D945</f>
        <v>FY23</v>
      </c>
      <c r="D945" s="7" t="n">
        <f aca="false">01_Data!E945</f>
        <v>192093</v>
      </c>
      <c r="E945" s="7" t="n">
        <f aca="false">01_Data!F945</f>
        <v>182507</v>
      </c>
      <c r="F945" s="7" t="n">
        <f aca="false">E945-D945</f>
        <v>-9586</v>
      </c>
      <c r="G945" s="8" t="n">
        <f aca="false">IFERROR(F945/D945,0)</f>
        <v>-0.049902911610522</v>
      </c>
      <c r="H945" s="7" t="n">
        <f aca="false">01_Data!G945</f>
        <v>113853</v>
      </c>
      <c r="I945" s="7" t="n">
        <f aca="false">01_Data!H945</f>
        <v>108431</v>
      </c>
      <c r="J945" s="7" t="n">
        <f aca="false">H945-I945</f>
        <v>5422</v>
      </c>
      <c r="K945" s="8" t="n">
        <f aca="false">IFERROR(J945/H945,0)</f>
        <v>0.0476228118714483</v>
      </c>
      <c r="L945" s="7" t="n">
        <f aca="false">D945-H945</f>
        <v>78240</v>
      </c>
      <c r="M945" s="7" t="n">
        <f aca="false">E945-I945</f>
        <v>74076</v>
      </c>
      <c r="N945" s="7" t="n">
        <f aca="false">IFERROR(L945/D945,0)</f>
        <v>0.407302712748512</v>
      </c>
      <c r="O945" s="7" t="n">
        <f aca="false">IFERROR(M945/E945,0)</f>
        <v>0.405880322398593</v>
      </c>
      <c r="P945" s="7" t="n">
        <f aca="false">01_Data!I945+01_Data!K945+01_Data!M945+01_Data!O945+01_Data!Q945+01_Data!S945+01_Data!U945</f>
        <v>54692</v>
      </c>
      <c r="Q945" s="7" t="n">
        <f aca="false">01_Data!J945+01_Data!L945+01_Data!N945+01_Data!P945+01_Data!R945+01_Data!T945+01_Data!V945</f>
        <v>56551</v>
      </c>
      <c r="R945" s="7" t="n">
        <f aca="false">P945-Q945</f>
        <v>-1859</v>
      </c>
      <c r="S945" s="7" t="n">
        <f aca="false">L945-P945</f>
        <v>23548</v>
      </c>
      <c r="T945" s="7" t="n">
        <f aca="false">M945-Q945</f>
        <v>17525</v>
      </c>
      <c r="U945" s="7" t="n">
        <f aca="false">T945-S945</f>
        <v>-6023</v>
      </c>
      <c r="V945" s="8" t="n">
        <f aca="false">IFERROR(U945/S945,0)</f>
        <v>-0.25577543740445</v>
      </c>
      <c r="W945" s="5" t="str">
        <f aca="false">IF(V945&lt;-0.1,"ADVERSE &gt;10%","")</f>
        <v>ADVERSE &gt;10%</v>
      </c>
    </row>
    <row r="946" customFormat="false" ht="15" hidden="false" customHeight="false" outlineLevel="0" collapsed="false">
      <c r="A946" s="5" t="str">
        <f aca="false">01_Data!A946</f>
        <v>Public Sector</v>
      </c>
      <c r="B946" s="5" t="str">
        <f aca="false">01_Data!C946</f>
        <v>2023-12</v>
      </c>
      <c r="C946" s="5" t="str">
        <f aca="false">01_Data!D946</f>
        <v>FY23</v>
      </c>
      <c r="D946" s="7" t="n">
        <f aca="false">01_Data!E946</f>
        <v>190723</v>
      </c>
      <c r="E946" s="7" t="n">
        <f aca="false">01_Data!F946</f>
        <v>196777</v>
      </c>
      <c r="F946" s="7" t="n">
        <f aca="false">E946-D946</f>
        <v>6054</v>
      </c>
      <c r="G946" s="8" t="n">
        <f aca="false">IFERROR(F946/D946,0)</f>
        <v>0.0317423698243002</v>
      </c>
      <c r="H946" s="7" t="n">
        <f aca="false">01_Data!G946</f>
        <v>107268</v>
      </c>
      <c r="I946" s="7" t="n">
        <f aca="false">01_Data!H946</f>
        <v>112317</v>
      </c>
      <c r="J946" s="7" t="n">
        <f aca="false">H946-I946</f>
        <v>-5049</v>
      </c>
      <c r="K946" s="8" t="n">
        <f aca="false">IFERROR(J946/H946,0)</f>
        <v>-0.0470690233806914</v>
      </c>
      <c r="L946" s="7" t="n">
        <f aca="false">D946-H946</f>
        <v>83455</v>
      </c>
      <c r="M946" s="7" t="n">
        <f aca="false">E946-I946</f>
        <v>84460</v>
      </c>
      <c r="N946" s="7" t="n">
        <f aca="false">IFERROR(L946/D946,0)</f>
        <v>0.437571766383708</v>
      </c>
      <c r="O946" s="7" t="n">
        <f aca="false">IFERROR(M946/E946,0)</f>
        <v>0.4292168292026</v>
      </c>
      <c r="P946" s="7" t="n">
        <f aca="false">01_Data!I946+01_Data!K946+01_Data!M946+01_Data!O946+01_Data!Q946+01_Data!S946+01_Data!U946</f>
        <v>47916</v>
      </c>
      <c r="Q946" s="7" t="n">
        <f aca="false">01_Data!J946+01_Data!L946+01_Data!N946+01_Data!P946+01_Data!R946+01_Data!T946+01_Data!V946</f>
        <v>48689</v>
      </c>
      <c r="R946" s="7" t="n">
        <f aca="false">P946-Q946</f>
        <v>-773</v>
      </c>
      <c r="S946" s="7" t="n">
        <f aca="false">L946-P946</f>
        <v>35539</v>
      </c>
      <c r="T946" s="7" t="n">
        <f aca="false">M946-Q946</f>
        <v>35771</v>
      </c>
      <c r="U946" s="7" t="n">
        <f aca="false">T946-S946</f>
        <v>232</v>
      </c>
      <c r="V946" s="8" t="n">
        <f aca="false">IFERROR(U946/S946,0)</f>
        <v>0.00652803961844734</v>
      </c>
      <c r="W946" s="5" t="str">
        <f aca="false">IF(V946&lt;-0.1,"ADVERSE &gt;10%","")</f>
        <v/>
      </c>
    </row>
    <row r="947" customFormat="false" ht="15" hidden="false" customHeight="false" outlineLevel="0" collapsed="false">
      <c r="A947" s="5" t="str">
        <f aca="false">01_Data!A947</f>
        <v>Public Sector</v>
      </c>
      <c r="B947" s="5" t="str">
        <f aca="false">01_Data!C947</f>
        <v>2024-01</v>
      </c>
      <c r="C947" s="5" t="str">
        <f aca="false">01_Data!D947</f>
        <v>FY23</v>
      </c>
      <c r="D947" s="7" t="n">
        <f aca="false">01_Data!E947</f>
        <v>189627</v>
      </c>
      <c r="E947" s="7" t="n">
        <f aca="false">01_Data!F947</f>
        <v>190140</v>
      </c>
      <c r="F947" s="7" t="n">
        <f aca="false">E947-D947</f>
        <v>513</v>
      </c>
      <c r="G947" s="8" t="n">
        <f aca="false">IFERROR(F947/D947,0)</f>
        <v>0.00270531095255423</v>
      </c>
      <c r="H947" s="7" t="n">
        <f aca="false">01_Data!G947</f>
        <v>102900</v>
      </c>
      <c r="I947" s="7" t="n">
        <f aca="false">01_Data!H947</f>
        <v>105987</v>
      </c>
      <c r="J947" s="7" t="n">
        <f aca="false">H947-I947</f>
        <v>-3087</v>
      </c>
      <c r="K947" s="8" t="n">
        <f aca="false">IFERROR(J947/H947,0)</f>
        <v>-0.03</v>
      </c>
      <c r="L947" s="7" t="n">
        <f aca="false">D947-H947</f>
        <v>86727</v>
      </c>
      <c r="M947" s="7" t="n">
        <f aca="false">E947-I947</f>
        <v>84153</v>
      </c>
      <c r="N947" s="7" t="n">
        <f aca="false">IFERROR(L947/D947,0)</f>
        <v>0.457355756300527</v>
      </c>
      <c r="O947" s="7" t="n">
        <f aca="false">IFERROR(M947/E947,0)</f>
        <v>0.442584411486273</v>
      </c>
      <c r="P947" s="7" t="n">
        <f aca="false">01_Data!I947+01_Data!K947+01_Data!M947+01_Data!O947+01_Data!Q947+01_Data!S947+01_Data!U947</f>
        <v>48778</v>
      </c>
      <c r="Q947" s="7" t="n">
        <f aca="false">01_Data!J947+01_Data!L947+01_Data!N947+01_Data!P947+01_Data!R947+01_Data!T947+01_Data!V947</f>
        <v>50402</v>
      </c>
      <c r="R947" s="7" t="n">
        <f aca="false">P947-Q947</f>
        <v>-1624</v>
      </c>
      <c r="S947" s="7" t="n">
        <f aca="false">L947-P947</f>
        <v>37949</v>
      </c>
      <c r="T947" s="7" t="n">
        <f aca="false">M947-Q947</f>
        <v>33751</v>
      </c>
      <c r="U947" s="7" t="n">
        <f aca="false">T947-S947</f>
        <v>-4198</v>
      </c>
      <c r="V947" s="8" t="n">
        <f aca="false">IFERROR(U947/S947,0)</f>
        <v>-0.110622150781312</v>
      </c>
      <c r="W947" s="5" t="str">
        <f aca="false">IF(V947&lt;-0.1,"ADVERSE &gt;10%","")</f>
        <v>ADVERSE &gt;10%</v>
      </c>
    </row>
    <row r="948" customFormat="false" ht="15" hidden="false" customHeight="false" outlineLevel="0" collapsed="false">
      <c r="A948" s="5" t="str">
        <f aca="false">01_Data!A948</f>
        <v>Public Sector</v>
      </c>
      <c r="B948" s="5" t="str">
        <f aca="false">01_Data!C948</f>
        <v>2024-02</v>
      </c>
      <c r="C948" s="5" t="str">
        <f aca="false">01_Data!D948</f>
        <v>FY23</v>
      </c>
      <c r="D948" s="7" t="n">
        <f aca="false">01_Data!E948</f>
        <v>189334</v>
      </c>
      <c r="E948" s="7" t="n">
        <f aca="false">01_Data!F948</f>
        <v>192171</v>
      </c>
      <c r="F948" s="7" t="n">
        <f aca="false">E948-D948</f>
        <v>2837</v>
      </c>
      <c r="G948" s="8" t="n">
        <f aca="false">IFERROR(F948/D948,0)</f>
        <v>0.0149841021686543</v>
      </c>
      <c r="H948" s="7" t="n">
        <f aca="false">01_Data!G948</f>
        <v>111874</v>
      </c>
      <c r="I948" s="7" t="n">
        <f aca="false">01_Data!H948</f>
        <v>111218</v>
      </c>
      <c r="J948" s="7" t="n">
        <f aca="false">H948-I948</f>
        <v>656</v>
      </c>
      <c r="K948" s="8" t="n">
        <f aca="false">IFERROR(J948/H948,0)</f>
        <v>0.00586373956415253</v>
      </c>
      <c r="L948" s="7" t="n">
        <f aca="false">D948-H948</f>
        <v>77460</v>
      </c>
      <c r="M948" s="7" t="n">
        <f aca="false">E948-I948</f>
        <v>80953</v>
      </c>
      <c r="N948" s="7" t="n">
        <f aca="false">IFERROR(L948/D948,0)</f>
        <v>0.409118277752543</v>
      </c>
      <c r="O948" s="7" t="n">
        <f aca="false">IFERROR(M948/E948,0)</f>
        <v>0.421255028073955</v>
      </c>
      <c r="P948" s="7" t="n">
        <f aca="false">01_Data!I948+01_Data!K948+01_Data!M948+01_Data!O948+01_Data!Q948+01_Data!S948+01_Data!U948</f>
        <v>48716</v>
      </c>
      <c r="Q948" s="7" t="n">
        <f aca="false">01_Data!J948+01_Data!L948+01_Data!N948+01_Data!P948+01_Data!R948+01_Data!T948+01_Data!V948</f>
        <v>48733</v>
      </c>
      <c r="R948" s="7" t="n">
        <f aca="false">P948-Q948</f>
        <v>-17</v>
      </c>
      <c r="S948" s="7" t="n">
        <f aca="false">L948-P948</f>
        <v>28744</v>
      </c>
      <c r="T948" s="7" t="n">
        <f aca="false">M948-Q948</f>
        <v>32220</v>
      </c>
      <c r="U948" s="7" t="n">
        <f aca="false">T948-S948</f>
        <v>3476</v>
      </c>
      <c r="V948" s="8" t="n">
        <f aca="false">IFERROR(U948/S948,0)</f>
        <v>0.120929585304759</v>
      </c>
      <c r="W948" s="5" t="str">
        <f aca="false">IF(V948&lt;-0.1,"ADVERSE &gt;10%","")</f>
        <v/>
      </c>
    </row>
    <row r="949" customFormat="false" ht="15" hidden="false" customHeight="false" outlineLevel="0" collapsed="false">
      <c r="A949" s="5" t="str">
        <f aca="false">01_Data!A949</f>
        <v>Public Sector</v>
      </c>
      <c r="B949" s="5" t="str">
        <f aca="false">01_Data!C949</f>
        <v>2024-03</v>
      </c>
      <c r="C949" s="5" t="str">
        <f aca="false">01_Data!D949</f>
        <v>FY23</v>
      </c>
      <c r="D949" s="7" t="n">
        <f aca="false">01_Data!E949</f>
        <v>213356</v>
      </c>
      <c r="E949" s="7" t="n">
        <f aca="false">01_Data!F949</f>
        <v>202494</v>
      </c>
      <c r="F949" s="7" t="n">
        <f aca="false">E949-D949</f>
        <v>-10862</v>
      </c>
      <c r="G949" s="8" t="n">
        <f aca="false">IFERROR(F949/D949,0)</f>
        <v>-0.0509102157895724</v>
      </c>
      <c r="H949" s="7" t="n">
        <f aca="false">01_Data!G949</f>
        <v>124205</v>
      </c>
      <c r="I949" s="7" t="n">
        <f aca="false">01_Data!H949</f>
        <v>115345</v>
      </c>
      <c r="J949" s="7" t="n">
        <f aca="false">H949-I949</f>
        <v>8860</v>
      </c>
      <c r="K949" s="8" t="n">
        <f aca="false">IFERROR(J949/H949,0)</f>
        <v>0.0713336822189123</v>
      </c>
      <c r="L949" s="7" t="n">
        <f aca="false">D949-H949</f>
        <v>89151</v>
      </c>
      <c r="M949" s="7" t="n">
        <f aca="false">E949-I949</f>
        <v>87149</v>
      </c>
      <c r="N949" s="7" t="n">
        <f aca="false">IFERROR(L949/D949,0)</f>
        <v>0.417850915840192</v>
      </c>
      <c r="O949" s="7" t="n">
        <f aca="false">IFERROR(M949/E949,0)</f>
        <v>0.430378184044959</v>
      </c>
      <c r="P949" s="7" t="n">
        <f aca="false">01_Data!I949+01_Data!K949+01_Data!M949+01_Data!O949+01_Data!Q949+01_Data!S949+01_Data!U949</f>
        <v>59576</v>
      </c>
      <c r="Q949" s="7" t="n">
        <f aca="false">01_Data!J949+01_Data!L949+01_Data!N949+01_Data!P949+01_Data!R949+01_Data!T949+01_Data!V949</f>
        <v>58339</v>
      </c>
      <c r="R949" s="7" t="n">
        <f aca="false">P949-Q949</f>
        <v>1237</v>
      </c>
      <c r="S949" s="7" t="n">
        <f aca="false">L949-P949</f>
        <v>29575</v>
      </c>
      <c r="T949" s="7" t="n">
        <f aca="false">M949-Q949</f>
        <v>28810</v>
      </c>
      <c r="U949" s="7" t="n">
        <f aca="false">T949-S949</f>
        <v>-765</v>
      </c>
      <c r="V949" s="8" t="n">
        <f aca="false">IFERROR(U949/S949,0)</f>
        <v>-0.0258664412510566</v>
      </c>
      <c r="W949" s="5" t="str">
        <f aca="false">IF(V949&lt;-0.1,"ADVERSE &gt;10%","")</f>
        <v/>
      </c>
    </row>
    <row r="950" customFormat="false" ht="15" hidden="false" customHeight="false" outlineLevel="0" collapsed="false">
      <c r="A950" s="5" t="str">
        <f aca="false">01_Data!A950</f>
        <v>Public Sector</v>
      </c>
      <c r="B950" s="5" t="str">
        <f aca="false">01_Data!C950</f>
        <v>2024-04</v>
      </c>
      <c r="C950" s="5" t="str">
        <f aca="false">01_Data!D950</f>
        <v>FY24</v>
      </c>
      <c r="D950" s="7" t="n">
        <f aca="false">01_Data!E950</f>
        <v>197436</v>
      </c>
      <c r="E950" s="7" t="n">
        <f aca="false">01_Data!F950</f>
        <v>197189</v>
      </c>
      <c r="F950" s="7" t="n">
        <f aca="false">E950-D950</f>
        <v>-247</v>
      </c>
      <c r="G950" s="8" t="n">
        <f aca="false">IFERROR(F950/D950,0)</f>
        <v>-0.00125103831114893</v>
      </c>
      <c r="H950" s="7" t="n">
        <f aca="false">01_Data!G950</f>
        <v>109494</v>
      </c>
      <c r="I950" s="7" t="n">
        <f aca="false">01_Data!H950</f>
        <v>106906</v>
      </c>
      <c r="J950" s="7" t="n">
        <f aca="false">H950-I950</f>
        <v>2588</v>
      </c>
      <c r="K950" s="8" t="n">
        <f aca="false">IFERROR(J950/H950,0)</f>
        <v>0.0236359983195426</v>
      </c>
      <c r="L950" s="7" t="n">
        <f aca="false">D950-H950</f>
        <v>87942</v>
      </c>
      <c r="M950" s="7" t="n">
        <f aca="false">E950-I950</f>
        <v>90283</v>
      </c>
      <c r="N950" s="7" t="n">
        <f aca="false">IFERROR(L950/D950,0)</f>
        <v>0.445420288093357</v>
      </c>
      <c r="O950" s="7" t="n">
        <f aca="false">IFERROR(M950/E950,0)</f>
        <v>0.457850082915376</v>
      </c>
      <c r="P950" s="7" t="n">
        <f aca="false">01_Data!I950+01_Data!K950+01_Data!M950+01_Data!O950+01_Data!Q950+01_Data!S950+01_Data!U950</f>
        <v>55500</v>
      </c>
      <c r="Q950" s="7" t="n">
        <f aca="false">01_Data!J950+01_Data!L950+01_Data!N950+01_Data!P950+01_Data!R950+01_Data!T950+01_Data!V950</f>
        <v>55661</v>
      </c>
      <c r="R950" s="7" t="n">
        <f aca="false">P950-Q950</f>
        <v>-161</v>
      </c>
      <c r="S950" s="7" t="n">
        <f aca="false">L950-P950</f>
        <v>32442</v>
      </c>
      <c r="T950" s="7" t="n">
        <f aca="false">M950-Q950</f>
        <v>34622</v>
      </c>
      <c r="U950" s="7" t="n">
        <f aca="false">T950-S950</f>
        <v>2180</v>
      </c>
      <c r="V950" s="8" t="n">
        <f aca="false">IFERROR(U950/S950,0)</f>
        <v>0.0671968435978053</v>
      </c>
      <c r="W950" s="5" t="str">
        <f aca="false">IF(V950&lt;-0.1,"ADVERSE &gt;10%","")</f>
        <v/>
      </c>
    </row>
    <row r="951" customFormat="false" ht="15" hidden="false" customHeight="false" outlineLevel="0" collapsed="false">
      <c r="A951" s="5" t="str">
        <f aca="false">01_Data!A951</f>
        <v>Public Sector</v>
      </c>
      <c r="B951" s="5" t="str">
        <f aca="false">01_Data!C951</f>
        <v>2024-05</v>
      </c>
      <c r="C951" s="5" t="str">
        <f aca="false">01_Data!D951</f>
        <v>FY24</v>
      </c>
      <c r="D951" s="7" t="n">
        <f aca="false">01_Data!E951</f>
        <v>202021</v>
      </c>
      <c r="E951" s="7" t="n">
        <f aca="false">01_Data!F951</f>
        <v>203212</v>
      </c>
      <c r="F951" s="7" t="n">
        <f aca="false">E951-D951</f>
        <v>1191</v>
      </c>
      <c r="G951" s="8" t="n">
        <f aca="false">IFERROR(F951/D951,0)</f>
        <v>0.00589542671306448</v>
      </c>
      <c r="H951" s="7" t="n">
        <f aca="false">01_Data!G951</f>
        <v>119482</v>
      </c>
      <c r="I951" s="7" t="n">
        <f aca="false">01_Data!H951</f>
        <v>124867</v>
      </c>
      <c r="J951" s="7" t="n">
        <f aca="false">H951-I951</f>
        <v>-5385</v>
      </c>
      <c r="K951" s="8" t="n">
        <f aca="false">IFERROR(J951/H951,0)</f>
        <v>-0.0450695502251385</v>
      </c>
      <c r="L951" s="7" t="n">
        <f aca="false">D951-H951</f>
        <v>82539</v>
      </c>
      <c r="M951" s="7" t="n">
        <f aca="false">E951-I951</f>
        <v>78345</v>
      </c>
      <c r="N951" s="7" t="n">
        <f aca="false">IFERROR(L951/D951,0)</f>
        <v>0.408566436162577</v>
      </c>
      <c r="O951" s="7" t="n">
        <f aca="false">IFERROR(M951/E951,0)</f>
        <v>0.385533334645592</v>
      </c>
      <c r="P951" s="7" t="n">
        <f aca="false">01_Data!I951+01_Data!K951+01_Data!M951+01_Data!O951+01_Data!Q951+01_Data!S951+01_Data!U951</f>
        <v>52083</v>
      </c>
      <c r="Q951" s="7" t="n">
        <f aca="false">01_Data!J951+01_Data!L951+01_Data!N951+01_Data!P951+01_Data!R951+01_Data!T951+01_Data!V951</f>
        <v>53254</v>
      </c>
      <c r="R951" s="7" t="n">
        <f aca="false">P951-Q951</f>
        <v>-1171</v>
      </c>
      <c r="S951" s="7" t="n">
        <f aca="false">L951-P951</f>
        <v>30456</v>
      </c>
      <c r="T951" s="7" t="n">
        <f aca="false">M951-Q951</f>
        <v>25091</v>
      </c>
      <c r="U951" s="7" t="n">
        <f aca="false">T951-S951</f>
        <v>-5365</v>
      </c>
      <c r="V951" s="8" t="n">
        <f aca="false">IFERROR(U951/S951,0)</f>
        <v>-0.176155765694773</v>
      </c>
      <c r="W951" s="5" t="str">
        <f aca="false">IF(V951&lt;-0.1,"ADVERSE &gt;10%","")</f>
        <v>ADVERSE &gt;10%</v>
      </c>
    </row>
    <row r="952" customFormat="false" ht="15" hidden="false" customHeight="false" outlineLevel="0" collapsed="false">
      <c r="A952" s="5" t="str">
        <f aca="false">01_Data!A952</f>
        <v>Public Sector</v>
      </c>
      <c r="B952" s="5" t="str">
        <f aca="false">01_Data!C952</f>
        <v>2024-06</v>
      </c>
      <c r="C952" s="5" t="str">
        <f aca="false">01_Data!D952</f>
        <v>FY24</v>
      </c>
      <c r="D952" s="7" t="n">
        <f aca="false">01_Data!E952</f>
        <v>195208</v>
      </c>
      <c r="E952" s="7" t="n">
        <f aca="false">01_Data!F952</f>
        <v>205627</v>
      </c>
      <c r="F952" s="7" t="n">
        <f aca="false">E952-D952</f>
        <v>10419</v>
      </c>
      <c r="G952" s="8" t="n">
        <f aca="false">IFERROR(F952/D952,0)</f>
        <v>0.0533738371378222</v>
      </c>
      <c r="H952" s="7" t="n">
        <f aca="false">01_Data!G952</f>
        <v>110823</v>
      </c>
      <c r="I952" s="7" t="n">
        <f aca="false">01_Data!H952</f>
        <v>117389</v>
      </c>
      <c r="J952" s="7" t="n">
        <f aca="false">H952-I952</f>
        <v>-6566</v>
      </c>
      <c r="K952" s="8" t="n">
        <f aca="false">IFERROR(J952/H952,0)</f>
        <v>-0.0592476291022622</v>
      </c>
      <c r="L952" s="7" t="n">
        <f aca="false">D952-H952</f>
        <v>84385</v>
      </c>
      <c r="M952" s="7" t="n">
        <f aca="false">E952-I952</f>
        <v>88238</v>
      </c>
      <c r="N952" s="7" t="n">
        <f aca="false">IFERROR(L952/D952,0)</f>
        <v>0.432282488422606</v>
      </c>
      <c r="O952" s="7" t="n">
        <f aca="false">IFERROR(M952/E952,0)</f>
        <v>0.429116798863962</v>
      </c>
      <c r="P952" s="7" t="n">
        <f aca="false">01_Data!I952+01_Data!K952+01_Data!M952+01_Data!O952+01_Data!Q952+01_Data!S952+01_Data!U952</f>
        <v>45874</v>
      </c>
      <c r="Q952" s="7" t="n">
        <f aca="false">01_Data!J952+01_Data!L952+01_Data!N952+01_Data!P952+01_Data!R952+01_Data!T952+01_Data!V952</f>
        <v>47523</v>
      </c>
      <c r="R952" s="7" t="n">
        <f aca="false">P952-Q952</f>
        <v>-1649</v>
      </c>
      <c r="S952" s="7" t="n">
        <f aca="false">L952-P952</f>
        <v>38511</v>
      </c>
      <c r="T952" s="7" t="n">
        <f aca="false">M952-Q952</f>
        <v>40715</v>
      </c>
      <c r="U952" s="7" t="n">
        <f aca="false">T952-S952</f>
        <v>2204</v>
      </c>
      <c r="V952" s="8" t="n">
        <f aca="false">IFERROR(U952/S952,0)</f>
        <v>0.0572304017034094</v>
      </c>
      <c r="W952" s="5" t="str">
        <f aca="false">IF(V952&lt;-0.1,"ADVERSE &gt;10%","")</f>
        <v/>
      </c>
    </row>
    <row r="953" customFormat="false" ht="15" hidden="false" customHeight="false" outlineLevel="0" collapsed="false">
      <c r="A953" s="5" t="str">
        <f aca="false">01_Data!A953</f>
        <v>Public Sector</v>
      </c>
      <c r="B953" s="5" t="str">
        <f aca="false">01_Data!C953</f>
        <v>2024-07</v>
      </c>
      <c r="C953" s="5" t="str">
        <f aca="false">01_Data!D953</f>
        <v>FY24</v>
      </c>
      <c r="D953" s="7" t="n">
        <f aca="false">01_Data!E953</f>
        <v>201491</v>
      </c>
      <c r="E953" s="7" t="n">
        <f aca="false">01_Data!F953</f>
        <v>209775</v>
      </c>
      <c r="F953" s="7" t="n">
        <f aca="false">E953-D953</f>
        <v>8284</v>
      </c>
      <c r="G953" s="8" t="n">
        <f aca="false">IFERROR(F953/D953,0)</f>
        <v>0.0411134988659543</v>
      </c>
      <c r="H953" s="7" t="n">
        <f aca="false">01_Data!G953</f>
        <v>113068</v>
      </c>
      <c r="I953" s="7" t="n">
        <f aca="false">01_Data!H953</f>
        <v>123069</v>
      </c>
      <c r="J953" s="7" t="n">
        <f aca="false">H953-I953</f>
        <v>-10001</v>
      </c>
      <c r="K953" s="8" t="n">
        <f aca="false">IFERROR(J953/H953,0)</f>
        <v>-0.0884511975094633</v>
      </c>
      <c r="L953" s="7" t="n">
        <f aca="false">D953-H953</f>
        <v>88423</v>
      </c>
      <c r="M953" s="7" t="n">
        <f aca="false">E953-I953</f>
        <v>86706</v>
      </c>
      <c r="N953" s="7" t="n">
        <f aca="false">IFERROR(L953/D953,0)</f>
        <v>0.438843422286852</v>
      </c>
      <c r="O953" s="7" t="n">
        <f aca="false">IFERROR(M953/E953,0)</f>
        <v>0.413328566321058</v>
      </c>
      <c r="P953" s="7" t="n">
        <f aca="false">01_Data!I953+01_Data!K953+01_Data!M953+01_Data!O953+01_Data!Q953+01_Data!S953+01_Data!U953</f>
        <v>55900</v>
      </c>
      <c r="Q953" s="7" t="n">
        <f aca="false">01_Data!J953+01_Data!L953+01_Data!N953+01_Data!P953+01_Data!R953+01_Data!T953+01_Data!V953</f>
        <v>57883</v>
      </c>
      <c r="R953" s="7" t="n">
        <f aca="false">P953-Q953</f>
        <v>-1983</v>
      </c>
      <c r="S953" s="7" t="n">
        <f aca="false">L953-P953</f>
        <v>32523</v>
      </c>
      <c r="T953" s="7" t="n">
        <f aca="false">M953-Q953</f>
        <v>28823</v>
      </c>
      <c r="U953" s="7" t="n">
        <f aca="false">T953-S953</f>
        <v>-3700</v>
      </c>
      <c r="V953" s="8" t="n">
        <f aca="false">IFERROR(U953/S953,0)</f>
        <v>-0.113765642775882</v>
      </c>
      <c r="W953" s="5" t="str">
        <f aca="false">IF(V953&lt;-0.1,"ADVERSE &gt;10%","")</f>
        <v>ADVERSE &gt;10%</v>
      </c>
    </row>
    <row r="954" customFormat="false" ht="15" hidden="false" customHeight="false" outlineLevel="0" collapsed="false">
      <c r="A954" s="5" t="str">
        <f aca="false">01_Data!A954</f>
        <v>Public Sector</v>
      </c>
      <c r="B954" s="5" t="str">
        <f aca="false">01_Data!C954</f>
        <v>2024-08</v>
      </c>
      <c r="C954" s="5" t="str">
        <f aca="false">01_Data!D954</f>
        <v>FY24</v>
      </c>
      <c r="D954" s="7" t="n">
        <f aca="false">01_Data!E954</f>
        <v>216812</v>
      </c>
      <c r="E954" s="7" t="n">
        <f aca="false">01_Data!F954</f>
        <v>210506</v>
      </c>
      <c r="F954" s="7" t="n">
        <f aca="false">E954-D954</f>
        <v>-6306</v>
      </c>
      <c r="G954" s="8" t="n">
        <f aca="false">IFERROR(F954/D954,0)</f>
        <v>-0.0290851059904433</v>
      </c>
      <c r="H954" s="7" t="n">
        <f aca="false">01_Data!G954</f>
        <v>126058</v>
      </c>
      <c r="I954" s="7" t="n">
        <f aca="false">01_Data!H954</f>
        <v>123133</v>
      </c>
      <c r="J954" s="7" t="n">
        <f aca="false">H954-I954</f>
        <v>2925</v>
      </c>
      <c r="K954" s="8" t="n">
        <f aca="false">IFERROR(J954/H954,0)</f>
        <v>0.0232036046899046</v>
      </c>
      <c r="L954" s="7" t="n">
        <f aca="false">D954-H954</f>
        <v>90754</v>
      </c>
      <c r="M954" s="7" t="n">
        <f aca="false">E954-I954</f>
        <v>87373</v>
      </c>
      <c r="N954" s="7" t="n">
        <f aca="false">IFERROR(L954/D954,0)</f>
        <v>0.418583842222755</v>
      </c>
      <c r="O954" s="7" t="n">
        <f aca="false">IFERROR(M954/E954,0)</f>
        <v>0.415061803464034</v>
      </c>
      <c r="P954" s="7" t="n">
        <f aca="false">01_Data!I954+01_Data!K954+01_Data!M954+01_Data!O954+01_Data!Q954+01_Data!S954+01_Data!U954</f>
        <v>58666</v>
      </c>
      <c r="Q954" s="7" t="n">
        <f aca="false">01_Data!J954+01_Data!L954+01_Data!N954+01_Data!P954+01_Data!R954+01_Data!T954+01_Data!V954</f>
        <v>57423</v>
      </c>
      <c r="R954" s="7" t="n">
        <f aca="false">P954-Q954</f>
        <v>1243</v>
      </c>
      <c r="S954" s="7" t="n">
        <f aca="false">L954-P954</f>
        <v>32088</v>
      </c>
      <c r="T954" s="7" t="n">
        <f aca="false">M954-Q954</f>
        <v>29950</v>
      </c>
      <c r="U954" s="7" t="n">
        <f aca="false">T954-S954</f>
        <v>-2138</v>
      </c>
      <c r="V954" s="8" t="n">
        <f aca="false">IFERROR(U954/S954,0)</f>
        <v>-0.0666292695088507</v>
      </c>
      <c r="W954" s="5" t="str">
        <f aca="false">IF(V954&lt;-0.1,"ADVERSE &gt;10%","")</f>
        <v/>
      </c>
    </row>
    <row r="955" customFormat="false" ht="15" hidden="false" customHeight="false" outlineLevel="0" collapsed="false">
      <c r="A955" s="5" t="str">
        <f aca="false">01_Data!A955</f>
        <v>Public Sector</v>
      </c>
      <c r="B955" s="5" t="str">
        <f aca="false">01_Data!C955</f>
        <v>2024-09</v>
      </c>
      <c r="C955" s="5" t="str">
        <f aca="false">01_Data!D955</f>
        <v>FY24</v>
      </c>
      <c r="D955" s="7" t="n">
        <f aca="false">01_Data!E955</f>
        <v>228840</v>
      </c>
      <c r="E955" s="7" t="n">
        <f aca="false">01_Data!F955</f>
        <v>228606</v>
      </c>
      <c r="F955" s="7" t="n">
        <f aca="false">E955-D955</f>
        <v>-234</v>
      </c>
      <c r="G955" s="8" t="n">
        <f aca="false">IFERROR(F955/D955,0)</f>
        <v>-0.00102254850550603</v>
      </c>
      <c r="H955" s="7" t="n">
        <f aca="false">01_Data!G955</f>
        <v>131563</v>
      </c>
      <c r="I955" s="7" t="n">
        <f aca="false">01_Data!H955</f>
        <v>137135</v>
      </c>
      <c r="J955" s="7" t="n">
        <f aca="false">H955-I955</f>
        <v>-5572</v>
      </c>
      <c r="K955" s="8" t="n">
        <f aca="false">IFERROR(J955/H955,0)</f>
        <v>-0.0423523331027721</v>
      </c>
      <c r="L955" s="7" t="n">
        <f aca="false">D955-H955</f>
        <v>97277</v>
      </c>
      <c r="M955" s="7" t="n">
        <f aca="false">E955-I955</f>
        <v>91471</v>
      </c>
      <c r="N955" s="7" t="n">
        <f aca="false">IFERROR(L955/D955,0)</f>
        <v>0.425087397308163</v>
      </c>
      <c r="O955" s="7" t="n">
        <f aca="false">IFERROR(M955/E955,0)</f>
        <v>0.400125106077706</v>
      </c>
      <c r="P955" s="7" t="n">
        <f aca="false">01_Data!I955+01_Data!K955+01_Data!M955+01_Data!O955+01_Data!Q955+01_Data!S955+01_Data!U955</f>
        <v>64200</v>
      </c>
      <c r="Q955" s="7" t="n">
        <f aca="false">01_Data!J955+01_Data!L955+01_Data!N955+01_Data!P955+01_Data!R955+01_Data!T955+01_Data!V955</f>
        <v>63276</v>
      </c>
      <c r="R955" s="7" t="n">
        <f aca="false">P955-Q955</f>
        <v>924</v>
      </c>
      <c r="S955" s="7" t="n">
        <f aca="false">L955-P955</f>
        <v>33077</v>
      </c>
      <c r="T955" s="7" t="n">
        <f aca="false">M955-Q955</f>
        <v>28195</v>
      </c>
      <c r="U955" s="7" t="n">
        <f aca="false">T955-S955</f>
        <v>-4882</v>
      </c>
      <c r="V955" s="8" t="n">
        <f aca="false">IFERROR(U955/S955,0)</f>
        <v>-0.14759500559301</v>
      </c>
      <c r="W955" s="5" t="str">
        <f aca="false">IF(V955&lt;-0.1,"ADVERSE &gt;10%","")</f>
        <v>ADVERSE &gt;10%</v>
      </c>
    </row>
    <row r="956" customFormat="false" ht="15" hidden="false" customHeight="false" outlineLevel="0" collapsed="false">
      <c r="A956" s="5" t="str">
        <f aca="false">01_Data!A956</f>
        <v>Public Sector</v>
      </c>
      <c r="B956" s="5" t="str">
        <f aca="false">01_Data!C956</f>
        <v>2024-10</v>
      </c>
      <c r="C956" s="5" t="str">
        <f aca="false">01_Data!D956</f>
        <v>FY24</v>
      </c>
      <c r="D956" s="7" t="n">
        <f aca="false">01_Data!E956</f>
        <v>229036</v>
      </c>
      <c r="E956" s="7" t="n">
        <f aca="false">01_Data!F956</f>
        <v>220091</v>
      </c>
      <c r="F956" s="7" t="n">
        <f aca="false">E956-D956</f>
        <v>-8945</v>
      </c>
      <c r="G956" s="8" t="n">
        <f aca="false">IFERROR(F956/D956,0)</f>
        <v>-0.0390549957211967</v>
      </c>
      <c r="H956" s="7" t="n">
        <f aca="false">01_Data!G956</f>
        <v>126821</v>
      </c>
      <c r="I956" s="7" t="n">
        <f aca="false">01_Data!H956</f>
        <v>124757</v>
      </c>
      <c r="J956" s="7" t="n">
        <f aca="false">H956-I956</f>
        <v>2064</v>
      </c>
      <c r="K956" s="8" t="n">
        <f aca="false">IFERROR(J956/H956,0)</f>
        <v>0.0162749071526009</v>
      </c>
      <c r="L956" s="7" t="n">
        <f aca="false">D956-H956</f>
        <v>102215</v>
      </c>
      <c r="M956" s="7" t="n">
        <f aca="false">E956-I956</f>
        <v>95334</v>
      </c>
      <c r="N956" s="7" t="n">
        <f aca="false">IFERROR(L956/D956,0)</f>
        <v>0.446283553677151</v>
      </c>
      <c r="O956" s="7" t="n">
        <f aca="false">IFERROR(M956/E956,0)</f>
        <v>0.433157194069726</v>
      </c>
      <c r="P956" s="7" t="n">
        <f aca="false">01_Data!I956+01_Data!K956+01_Data!M956+01_Data!O956+01_Data!Q956+01_Data!S956+01_Data!U956</f>
        <v>56438</v>
      </c>
      <c r="Q956" s="7" t="n">
        <f aca="false">01_Data!J956+01_Data!L956+01_Data!N956+01_Data!P956+01_Data!R956+01_Data!T956+01_Data!V956</f>
        <v>56984</v>
      </c>
      <c r="R956" s="7" t="n">
        <f aca="false">P956-Q956</f>
        <v>-546</v>
      </c>
      <c r="S956" s="7" t="n">
        <f aca="false">L956-P956</f>
        <v>45777</v>
      </c>
      <c r="T956" s="7" t="n">
        <f aca="false">M956-Q956</f>
        <v>38350</v>
      </c>
      <c r="U956" s="7" t="n">
        <f aca="false">T956-S956</f>
        <v>-7427</v>
      </c>
      <c r="V956" s="8" t="n">
        <f aca="false">IFERROR(U956/S956,0)</f>
        <v>-0.162243047818774</v>
      </c>
      <c r="W956" s="5" t="str">
        <f aca="false">IF(V956&lt;-0.1,"ADVERSE &gt;10%","")</f>
        <v>ADVERSE &gt;10%</v>
      </c>
    </row>
    <row r="957" customFormat="false" ht="15" hidden="false" customHeight="false" outlineLevel="0" collapsed="false">
      <c r="A957" s="5" t="str">
        <f aca="false">01_Data!A957</f>
        <v>Public Sector</v>
      </c>
      <c r="B957" s="5" t="str">
        <f aca="false">01_Data!C957</f>
        <v>2024-11</v>
      </c>
      <c r="C957" s="5" t="str">
        <f aca="false">01_Data!D957</f>
        <v>FY24</v>
      </c>
      <c r="D957" s="7" t="n">
        <f aca="false">01_Data!E957</f>
        <v>206900</v>
      </c>
      <c r="E957" s="7" t="n">
        <f aca="false">01_Data!F957</f>
        <v>219820</v>
      </c>
      <c r="F957" s="7" t="n">
        <f aca="false">E957-D957</f>
        <v>12920</v>
      </c>
      <c r="G957" s="8" t="n">
        <f aca="false">IFERROR(F957/D957,0)</f>
        <v>0.0624456259062349</v>
      </c>
      <c r="H957" s="7" t="n">
        <f aca="false">01_Data!G957</f>
        <v>113297</v>
      </c>
      <c r="I957" s="7" t="n">
        <f aca="false">01_Data!H957</f>
        <v>122870</v>
      </c>
      <c r="J957" s="7" t="n">
        <f aca="false">H957-I957</f>
        <v>-9573</v>
      </c>
      <c r="K957" s="8" t="n">
        <f aca="false">IFERROR(J957/H957,0)</f>
        <v>-0.0844947350768335</v>
      </c>
      <c r="L957" s="7" t="n">
        <f aca="false">D957-H957</f>
        <v>93603</v>
      </c>
      <c r="M957" s="7" t="n">
        <f aca="false">E957-I957</f>
        <v>96950</v>
      </c>
      <c r="N957" s="7" t="n">
        <f aca="false">IFERROR(L957/D957,0)</f>
        <v>0.452406959884002</v>
      </c>
      <c r="O957" s="7" t="n">
        <f aca="false">IFERROR(M957/E957,0)</f>
        <v>0.441042671276499</v>
      </c>
      <c r="P957" s="7" t="n">
        <f aca="false">01_Data!I957+01_Data!K957+01_Data!M957+01_Data!O957+01_Data!Q957+01_Data!S957+01_Data!U957</f>
        <v>52935</v>
      </c>
      <c r="Q957" s="7" t="n">
        <f aca="false">01_Data!J957+01_Data!L957+01_Data!N957+01_Data!P957+01_Data!R957+01_Data!T957+01_Data!V957</f>
        <v>51368</v>
      </c>
      <c r="R957" s="7" t="n">
        <f aca="false">P957-Q957</f>
        <v>1567</v>
      </c>
      <c r="S957" s="7" t="n">
        <f aca="false">L957-P957</f>
        <v>40668</v>
      </c>
      <c r="T957" s="7" t="n">
        <f aca="false">M957-Q957</f>
        <v>45582</v>
      </c>
      <c r="U957" s="7" t="n">
        <f aca="false">T957-S957</f>
        <v>4914</v>
      </c>
      <c r="V957" s="8" t="n">
        <f aca="false">IFERROR(U957/S957,0)</f>
        <v>0.120832103865447</v>
      </c>
      <c r="W957" s="5" t="str">
        <f aca="false">IF(V957&lt;-0.1,"ADVERSE &gt;10%","")</f>
        <v/>
      </c>
    </row>
    <row r="958" customFormat="false" ht="15" hidden="false" customHeight="false" outlineLevel="0" collapsed="false">
      <c r="A958" s="5" t="str">
        <f aca="false">01_Data!A958</f>
        <v>Public Sector</v>
      </c>
      <c r="B958" s="5" t="str">
        <f aca="false">01_Data!C958</f>
        <v>2024-12</v>
      </c>
      <c r="C958" s="5" t="str">
        <f aca="false">01_Data!D958</f>
        <v>FY24</v>
      </c>
      <c r="D958" s="7" t="n">
        <f aca="false">01_Data!E958</f>
        <v>223592</v>
      </c>
      <c r="E958" s="7" t="n">
        <f aca="false">01_Data!F958</f>
        <v>236612</v>
      </c>
      <c r="F958" s="7" t="n">
        <f aca="false">E958-D958</f>
        <v>13020</v>
      </c>
      <c r="G958" s="8" t="n">
        <f aca="false">IFERROR(F958/D958,0)</f>
        <v>0.0582310637232101</v>
      </c>
      <c r="H958" s="7" t="n">
        <f aca="false">01_Data!G958</f>
        <v>131161</v>
      </c>
      <c r="I958" s="7" t="n">
        <f aca="false">01_Data!H958</f>
        <v>135612</v>
      </c>
      <c r="J958" s="7" t="n">
        <f aca="false">H958-I958</f>
        <v>-4451</v>
      </c>
      <c r="K958" s="8" t="n">
        <f aca="false">IFERROR(J958/H958,0)</f>
        <v>-0.033935392380357</v>
      </c>
      <c r="L958" s="7" t="n">
        <f aca="false">D958-H958</f>
        <v>92431</v>
      </c>
      <c r="M958" s="7" t="n">
        <f aca="false">E958-I958</f>
        <v>101000</v>
      </c>
      <c r="N958" s="7" t="n">
        <f aca="false">IFERROR(L958/D958,0)</f>
        <v>0.413391355683567</v>
      </c>
      <c r="O958" s="7" t="n">
        <f aca="false">IFERROR(M958/E958,0)</f>
        <v>0.426859161834565</v>
      </c>
      <c r="P958" s="7" t="n">
        <f aca="false">01_Data!I958+01_Data!K958+01_Data!M958+01_Data!O958+01_Data!Q958+01_Data!S958+01_Data!U958</f>
        <v>56349</v>
      </c>
      <c r="Q958" s="7" t="n">
        <f aca="false">01_Data!J958+01_Data!L958+01_Data!N958+01_Data!P958+01_Data!R958+01_Data!T958+01_Data!V958</f>
        <v>56616</v>
      </c>
      <c r="R958" s="7" t="n">
        <f aca="false">P958-Q958</f>
        <v>-267</v>
      </c>
      <c r="S958" s="7" t="n">
        <f aca="false">L958-P958</f>
        <v>36082</v>
      </c>
      <c r="T958" s="7" t="n">
        <f aca="false">M958-Q958</f>
        <v>44384</v>
      </c>
      <c r="U958" s="7" t="n">
        <f aca="false">T958-S958</f>
        <v>8302</v>
      </c>
      <c r="V958" s="8" t="n">
        <f aca="false">IFERROR(U958/S958,0)</f>
        <v>0.230087024000887</v>
      </c>
      <c r="W958" s="5" t="str">
        <f aca="false">IF(V958&lt;-0.1,"ADVERSE &gt;10%","")</f>
        <v/>
      </c>
    </row>
    <row r="959" customFormat="false" ht="15" hidden="false" customHeight="false" outlineLevel="0" collapsed="false">
      <c r="A959" s="5" t="str">
        <f aca="false">01_Data!A959</f>
        <v>Public Sector</v>
      </c>
      <c r="B959" s="5" t="str">
        <f aca="false">01_Data!C959</f>
        <v>2025-01</v>
      </c>
      <c r="C959" s="5" t="str">
        <f aca="false">01_Data!D959</f>
        <v>FY24</v>
      </c>
      <c r="D959" s="7" t="n">
        <f aca="false">01_Data!E959</f>
        <v>223997</v>
      </c>
      <c r="E959" s="7" t="n">
        <f aca="false">01_Data!F959</f>
        <v>223000</v>
      </c>
      <c r="F959" s="7" t="n">
        <f aca="false">E959-D959</f>
        <v>-997</v>
      </c>
      <c r="G959" s="8" t="n">
        <f aca="false">IFERROR(F959/D959,0)</f>
        <v>-0.00445095246811341</v>
      </c>
      <c r="H959" s="7" t="n">
        <f aca="false">01_Data!G959</f>
        <v>122733</v>
      </c>
      <c r="I959" s="7" t="n">
        <f aca="false">01_Data!H959</f>
        <v>118518</v>
      </c>
      <c r="J959" s="7" t="n">
        <f aca="false">H959-I959</f>
        <v>4215</v>
      </c>
      <c r="K959" s="8" t="n">
        <f aca="false">IFERROR(J959/H959,0)</f>
        <v>0.0343428417784948</v>
      </c>
      <c r="L959" s="7" t="n">
        <f aca="false">D959-H959</f>
        <v>101264</v>
      </c>
      <c r="M959" s="7" t="n">
        <f aca="false">E959-I959</f>
        <v>104482</v>
      </c>
      <c r="N959" s="7" t="n">
        <f aca="false">IFERROR(L959/D959,0)</f>
        <v>0.452077483180578</v>
      </c>
      <c r="O959" s="7" t="n">
        <f aca="false">IFERROR(M959/E959,0)</f>
        <v>0.468529147982063</v>
      </c>
      <c r="P959" s="7" t="n">
        <f aca="false">01_Data!I959+01_Data!K959+01_Data!M959+01_Data!O959+01_Data!Q959+01_Data!S959+01_Data!U959</f>
        <v>58901</v>
      </c>
      <c r="Q959" s="7" t="n">
        <f aca="false">01_Data!J959+01_Data!L959+01_Data!N959+01_Data!P959+01_Data!R959+01_Data!T959+01_Data!V959</f>
        <v>58619</v>
      </c>
      <c r="R959" s="7" t="n">
        <f aca="false">P959-Q959</f>
        <v>282</v>
      </c>
      <c r="S959" s="7" t="n">
        <f aca="false">L959-P959</f>
        <v>42363</v>
      </c>
      <c r="T959" s="7" t="n">
        <f aca="false">M959-Q959</f>
        <v>45863</v>
      </c>
      <c r="U959" s="7" t="n">
        <f aca="false">T959-S959</f>
        <v>3500</v>
      </c>
      <c r="V959" s="8" t="n">
        <f aca="false">IFERROR(U959/S959,0)</f>
        <v>0.0826192668130208</v>
      </c>
      <c r="W959" s="5" t="str">
        <f aca="false">IF(V959&lt;-0.1,"ADVERSE &gt;10%","")</f>
        <v/>
      </c>
    </row>
    <row r="960" customFormat="false" ht="15" hidden="false" customHeight="false" outlineLevel="0" collapsed="false">
      <c r="A960" s="5" t="str">
        <f aca="false">01_Data!A960</f>
        <v>Public Sector</v>
      </c>
      <c r="B960" s="5" t="str">
        <f aca="false">01_Data!C960</f>
        <v>2025-02</v>
      </c>
      <c r="C960" s="5" t="str">
        <f aca="false">01_Data!D960</f>
        <v>FY24</v>
      </c>
      <c r="D960" s="7" t="n">
        <f aca="false">01_Data!E960</f>
        <v>229629</v>
      </c>
      <c r="E960" s="7" t="n">
        <f aca="false">01_Data!F960</f>
        <v>222031</v>
      </c>
      <c r="F960" s="7" t="n">
        <f aca="false">E960-D960</f>
        <v>-7598</v>
      </c>
      <c r="G960" s="8" t="n">
        <f aca="false">IFERROR(F960/D960,0)</f>
        <v>-0.033088155241716</v>
      </c>
      <c r="H960" s="7" t="n">
        <f aca="false">01_Data!G960</f>
        <v>127632</v>
      </c>
      <c r="I960" s="7" t="n">
        <f aca="false">01_Data!H960</f>
        <v>128318</v>
      </c>
      <c r="J960" s="7" t="n">
        <f aca="false">H960-I960</f>
        <v>-686</v>
      </c>
      <c r="K960" s="8" t="n">
        <f aca="false">IFERROR(J960/H960,0)</f>
        <v>-0.00537482762943463</v>
      </c>
      <c r="L960" s="7" t="n">
        <f aca="false">D960-H960</f>
        <v>101997</v>
      </c>
      <c r="M960" s="7" t="n">
        <f aca="false">E960-I960</f>
        <v>93713</v>
      </c>
      <c r="N960" s="7" t="n">
        <f aca="false">IFERROR(L960/D960,0)</f>
        <v>0.444181701788537</v>
      </c>
      <c r="O960" s="7" t="n">
        <f aca="false">IFERROR(M960/E960,0)</f>
        <v>0.422071692691561</v>
      </c>
      <c r="P960" s="7" t="n">
        <f aca="false">01_Data!I960+01_Data!K960+01_Data!M960+01_Data!O960+01_Data!Q960+01_Data!S960+01_Data!U960</f>
        <v>61067</v>
      </c>
      <c r="Q960" s="7" t="n">
        <f aca="false">01_Data!J960+01_Data!L960+01_Data!N960+01_Data!P960+01_Data!R960+01_Data!T960+01_Data!V960</f>
        <v>63060</v>
      </c>
      <c r="R960" s="7" t="n">
        <f aca="false">P960-Q960</f>
        <v>-1993</v>
      </c>
      <c r="S960" s="7" t="n">
        <f aca="false">L960-P960</f>
        <v>40930</v>
      </c>
      <c r="T960" s="7" t="n">
        <f aca="false">M960-Q960</f>
        <v>30653</v>
      </c>
      <c r="U960" s="7" t="n">
        <f aca="false">T960-S960</f>
        <v>-10277</v>
      </c>
      <c r="V960" s="8" t="n">
        <f aca="false">IFERROR(U960/S960,0)</f>
        <v>-0.251087222086489</v>
      </c>
      <c r="W960" s="5" t="str">
        <f aca="false">IF(V960&lt;-0.1,"ADVERSE &gt;10%","")</f>
        <v>ADVERSE &gt;10%</v>
      </c>
    </row>
    <row r="961" customFormat="false" ht="15" hidden="false" customHeight="false" outlineLevel="0" collapsed="false">
      <c r="A961" s="5" t="str">
        <f aca="false">01_Data!A961</f>
        <v>Public Sector</v>
      </c>
      <c r="B961" s="5" t="str">
        <f aca="false">01_Data!C961</f>
        <v>2025-03</v>
      </c>
      <c r="C961" s="5" t="str">
        <f aca="false">01_Data!D961</f>
        <v>FY24</v>
      </c>
      <c r="D961" s="7" t="n">
        <f aca="false">01_Data!E961</f>
        <v>250001</v>
      </c>
      <c r="E961" s="7" t="n">
        <f aca="false">01_Data!F961</f>
        <v>240161</v>
      </c>
      <c r="F961" s="7" t="n">
        <f aca="false">E961-D961</f>
        <v>-9840</v>
      </c>
      <c r="G961" s="8" t="n">
        <f aca="false">IFERROR(F961/D961,0)</f>
        <v>-0.0393598425606298</v>
      </c>
      <c r="H961" s="7" t="n">
        <f aca="false">01_Data!G961</f>
        <v>148612</v>
      </c>
      <c r="I961" s="7" t="n">
        <f aca="false">01_Data!H961</f>
        <v>143489</v>
      </c>
      <c r="J961" s="7" t="n">
        <f aca="false">H961-I961</f>
        <v>5123</v>
      </c>
      <c r="K961" s="8" t="n">
        <f aca="false">IFERROR(J961/H961,0)</f>
        <v>0.0344723171749253</v>
      </c>
      <c r="L961" s="7" t="n">
        <f aca="false">D961-H961</f>
        <v>101389</v>
      </c>
      <c r="M961" s="7" t="n">
        <f aca="false">E961-I961</f>
        <v>96672</v>
      </c>
      <c r="N961" s="7" t="n">
        <f aca="false">IFERROR(L961/D961,0)</f>
        <v>0.405554377782489</v>
      </c>
      <c r="O961" s="7" t="n">
        <f aca="false">IFERROR(M961/E961,0)</f>
        <v>0.402529969478808</v>
      </c>
      <c r="P961" s="7" t="n">
        <f aca="false">01_Data!I961+01_Data!K961+01_Data!M961+01_Data!O961+01_Data!Q961+01_Data!S961+01_Data!U961</f>
        <v>67783</v>
      </c>
      <c r="Q961" s="7" t="n">
        <f aca="false">01_Data!J961+01_Data!L961+01_Data!N961+01_Data!P961+01_Data!R961+01_Data!T961+01_Data!V961</f>
        <v>70786</v>
      </c>
      <c r="R961" s="7" t="n">
        <f aca="false">P961-Q961</f>
        <v>-3003</v>
      </c>
      <c r="S961" s="7" t="n">
        <f aca="false">L961-P961</f>
        <v>33606</v>
      </c>
      <c r="T961" s="7" t="n">
        <f aca="false">M961-Q961</f>
        <v>25886</v>
      </c>
      <c r="U961" s="7" t="n">
        <f aca="false">T961-S961</f>
        <v>-7720</v>
      </c>
      <c r="V961" s="8" t="n">
        <f aca="false">IFERROR(U961/S961,0)</f>
        <v>-0.229720883175623</v>
      </c>
      <c r="W961" s="5" t="str">
        <f aca="false">IF(V961&lt;-0.1,"ADVERSE &gt;10%","")</f>
        <v>ADVERSE &gt;10%</v>
      </c>
    </row>
    <row r="962" customFormat="false" ht="15" hidden="false" customHeight="false" outlineLevel="0" collapsed="false">
      <c r="A962" s="5" t="str">
        <f aca="false">01_Data!A962</f>
        <v>Public Sector</v>
      </c>
      <c r="B962" s="5" t="str">
        <f aca="false">01_Data!C962</f>
        <v>2025-04</v>
      </c>
      <c r="C962" s="5" t="str">
        <f aca="false">01_Data!D962</f>
        <v>FY25</v>
      </c>
      <c r="D962" s="7" t="n">
        <f aca="false">01_Data!E962</f>
        <v>227633</v>
      </c>
      <c r="E962" s="7" t="n">
        <f aca="false">01_Data!F962</f>
        <v>229520</v>
      </c>
      <c r="F962" s="7" t="n">
        <f aca="false">E962-D962</f>
        <v>1887</v>
      </c>
      <c r="G962" s="8" t="n">
        <f aca="false">IFERROR(F962/D962,0)</f>
        <v>0.00828965923218514</v>
      </c>
      <c r="H962" s="7" t="n">
        <f aca="false">01_Data!G962</f>
        <v>136302</v>
      </c>
      <c r="I962" s="7" t="n">
        <f aca="false">01_Data!H962</f>
        <v>140701</v>
      </c>
      <c r="J962" s="7" t="n">
        <f aca="false">H962-I962</f>
        <v>-4399</v>
      </c>
      <c r="K962" s="8" t="n">
        <f aca="false">IFERROR(J962/H962,0)</f>
        <v>-0.0322739211456912</v>
      </c>
      <c r="L962" s="7" t="n">
        <f aca="false">D962-H962</f>
        <v>91331</v>
      </c>
      <c r="M962" s="7" t="n">
        <f aca="false">E962-I962</f>
        <v>88819</v>
      </c>
      <c r="N962" s="7" t="n">
        <f aca="false">IFERROR(L962/D962,0)</f>
        <v>0.401220385444993</v>
      </c>
      <c r="O962" s="7" t="n">
        <f aca="false">IFERROR(M962/E962,0)</f>
        <v>0.386977169745556</v>
      </c>
      <c r="P962" s="7" t="n">
        <f aca="false">01_Data!I962+01_Data!K962+01_Data!M962+01_Data!O962+01_Data!Q962+01_Data!S962+01_Data!U962</f>
        <v>57445</v>
      </c>
      <c r="Q962" s="7" t="n">
        <f aca="false">01_Data!J962+01_Data!L962+01_Data!N962+01_Data!P962+01_Data!R962+01_Data!T962+01_Data!V962</f>
        <v>57567</v>
      </c>
      <c r="R962" s="7" t="n">
        <f aca="false">P962-Q962</f>
        <v>-122</v>
      </c>
      <c r="S962" s="7" t="n">
        <f aca="false">L962-P962</f>
        <v>33886</v>
      </c>
      <c r="T962" s="7" t="n">
        <f aca="false">M962-Q962</f>
        <v>31252</v>
      </c>
      <c r="U962" s="7" t="n">
        <f aca="false">T962-S962</f>
        <v>-2634</v>
      </c>
      <c r="V962" s="8" t="n">
        <f aca="false">IFERROR(U962/S962,0)</f>
        <v>-0.0777312164315647</v>
      </c>
      <c r="W962" s="5" t="str">
        <f aca="false">IF(V962&lt;-0.1,"ADVERSE &gt;10%","")</f>
        <v/>
      </c>
    </row>
    <row r="963" customFormat="false" ht="15" hidden="false" customHeight="false" outlineLevel="0" collapsed="false">
      <c r="A963" s="5" t="str">
        <f aca="false">01_Data!A963</f>
        <v>Public Sector</v>
      </c>
      <c r="B963" s="5" t="str">
        <f aca="false">01_Data!C963</f>
        <v>2025-05</v>
      </c>
      <c r="C963" s="5" t="str">
        <f aca="false">01_Data!D963</f>
        <v>FY25</v>
      </c>
      <c r="D963" s="7" t="n">
        <f aca="false">01_Data!E963</f>
        <v>220994</v>
      </c>
      <c r="E963" s="7" t="n">
        <f aca="false">01_Data!F963</f>
        <v>228779</v>
      </c>
      <c r="F963" s="7" t="n">
        <f aca="false">E963-D963</f>
        <v>7785</v>
      </c>
      <c r="G963" s="8" t="n">
        <f aca="false">IFERROR(F963/D963,0)</f>
        <v>0.0352272007384816</v>
      </c>
      <c r="H963" s="7" t="n">
        <f aca="false">01_Data!G963</f>
        <v>124786</v>
      </c>
      <c r="I963" s="7" t="n">
        <f aca="false">01_Data!H963</f>
        <v>126178</v>
      </c>
      <c r="J963" s="7" t="n">
        <f aca="false">H963-I963</f>
        <v>-1392</v>
      </c>
      <c r="K963" s="8" t="n">
        <f aca="false">IFERROR(J963/H963,0)</f>
        <v>-0.0111550975269662</v>
      </c>
      <c r="L963" s="7" t="n">
        <f aca="false">D963-H963</f>
        <v>96208</v>
      </c>
      <c r="M963" s="7" t="n">
        <f aca="false">E963-I963</f>
        <v>102601</v>
      </c>
      <c r="N963" s="7" t="n">
        <f aca="false">IFERROR(L963/D963,0)</f>
        <v>0.435342135985592</v>
      </c>
      <c r="O963" s="7" t="n">
        <f aca="false">IFERROR(M963/E963,0)</f>
        <v>0.448472106268495</v>
      </c>
      <c r="P963" s="7" t="n">
        <f aca="false">01_Data!I963+01_Data!K963+01_Data!M963+01_Data!O963+01_Data!Q963+01_Data!S963+01_Data!U963</f>
        <v>63094</v>
      </c>
      <c r="Q963" s="7" t="n">
        <f aca="false">01_Data!J963+01_Data!L963+01_Data!N963+01_Data!P963+01_Data!R963+01_Data!T963+01_Data!V963</f>
        <v>64438</v>
      </c>
      <c r="R963" s="7" t="n">
        <f aca="false">P963-Q963</f>
        <v>-1344</v>
      </c>
      <c r="S963" s="7" t="n">
        <f aca="false">L963-P963</f>
        <v>33114</v>
      </c>
      <c r="T963" s="7" t="n">
        <f aca="false">M963-Q963</f>
        <v>38163</v>
      </c>
      <c r="U963" s="7" t="n">
        <f aca="false">T963-S963</f>
        <v>5049</v>
      </c>
      <c r="V963" s="8" t="n">
        <f aca="false">IFERROR(U963/S963,0)</f>
        <v>0.152473274143867</v>
      </c>
      <c r="W963" s="5" t="str">
        <f aca="false">IF(V963&lt;-0.1,"ADVERSE &gt;10%","")</f>
        <v/>
      </c>
    </row>
    <row r="964" customFormat="false" ht="15" hidden="false" customHeight="false" outlineLevel="0" collapsed="false">
      <c r="A964" s="5" t="str">
        <f aca="false">01_Data!A964</f>
        <v>Public Sector</v>
      </c>
      <c r="B964" s="5" t="str">
        <f aca="false">01_Data!C964</f>
        <v>2025-06</v>
      </c>
      <c r="C964" s="5" t="str">
        <f aca="false">01_Data!D964</f>
        <v>FY25</v>
      </c>
      <c r="D964" s="7" t="n">
        <f aca="false">01_Data!E964</f>
        <v>239086</v>
      </c>
      <c r="E964" s="7" t="n">
        <f aca="false">01_Data!F964</f>
        <v>232396</v>
      </c>
      <c r="F964" s="7" t="n">
        <f aca="false">E964-D964</f>
        <v>-6690</v>
      </c>
      <c r="G964" s="8" t="n">
        <f aca="false">IFERROR(F964/D964,0)</f>
        <v>-0.0279815631195469</v>
      </c>
      <c r="H964" s="7" t="n">
        <f aca="false">01_Data!G964</f>
        <v>142452</v>
      </c>
      <c r="I964" s="7" t="n">
        <f aca="false">01_Data!H964</f>
        <v>135532</v>
      </c>
      <c r="J964" s="7" t="n">
        <f aca="false">H964-I964</f>
        <v>6920</v>
      </c>
      <c r="K964" s="8" t="n">
        <f aca="false">IFERROR(J964/H964,0)</f>
        <v>0.0485777665459242</v>
      </c>
      <c r="L964" s="7" t="n">
        <f aca="false">D964-H964</f>
        <v>96634</v>
      </c>
      <c r="M964" s="7" t="n">
        <f aca="false">E964-I964</f>
        <v>96864</v>
      </c>
      <c r="N964" s="7" t="n">
        <f aca="false">IFERROR(L964/D964,0)</f>
        <v>0.404180922345934</v>
      </c>
      <c r="O964" s="7" t="n">
        <f aca="false">IFERROR(M964/E964,0)</f>
        <v>0.41680579700167</v>
      </c>
      <c r="P964" s="7" t="n">
        <f aca="false">01_Data!I964+01_Data!K964+01_Data!M964+01_Data!O964+01_Data!Q964+01_Data!S964+01_Data!U964</f>
        <v>63062</v>
      </c>
      <c r="Q964" s="7" t="n">
        <f aca="false">01_Data!J964+01_Data!L964+01_Data!N964+01_Data!P964+01_Data!R964+01_Data!T964+01_Data!V964</f>
        <v>63161</v>
      </c>
      <c r="R964" s="7" t="n">
        <f aca="false">P964-Q964</f>
        <v>-99</v>
      </c>
      <c r="S964" s="7" t="n">
        <f aca="false">L964-P964</f>
        <v>33572</v>
      </c>
      <c r="T964" s="7" t="n">
        <f aca="false">M964-Q964</f>
        <v>33703</v>
      </c>
      <c r="U964" s="7" t="n">
        <f aca="false">T964-S964</f>
        <v>131</v>
      </c>
      <c r="V964" s="8" t="n">
        <f aca="false">IFERROR(U964/S964,0)</f>
        <v>0.00390206124151078</v>
      </c>
      <c r="W964" s="5" t="str">
        <f aca="false">IF(V964&lt;-0.1,"ADVERSE &gt;10%","")</f>
        <v/>
      </c>
    </row>
    <row r="965" customFormat="false" ht="15" hidden="false" customHeight="false" outlineLevel="0" collapsed="false">
      <c r="A965" s="5" t="str">
        <f aca="false">01_Data!A965</f>
        <v>Public Sector</v>
      </c>
      <c r="B965" s="5" t="str">
        <f aca="false">01_Data!C965</f>
        <v>2025-07</v>
      </c>
      <c r="C965" s="5" t="str">
        <f aca="false">01_Data!D965</f>
        <v>FY25</v>
      </c>
      <c r="D965" s="7" t="n">
        <f aca="false">01_Data!E965</f>
        <v>230418</v>
      </c>
      <c r="E965" s="7" t="n">
        <f aca="false">01_Data!F965</f>
        <v>239420</v>
      </c>
      <c r="F965" s="7" t="n">
        <f aca="false">E965-D965</f>
        <v>9002</v>
      </c>
      <c r="G965" s="8" t="n">
        <f aca="false">IFERROR(F965/D965,0)</f>
        <v>0.0390681283580276</v>
      </c>
      <c r="H965" s="7" t="n">
        <f aca="false">01_Data!G965</f>
        <v>129481</v>
      </c>
      <c r="I965" s="7" t="n">
        <f aca="false">01_Data!H965</f>
        <v>130440</v>
      </c>
      <c r="J965" s="7" t="n">
        <f aca="false">H965-I965</f>
        <v>-959</v>
      </c>
      <c r="K965" s="8" t="n">
        <f aca="false">IFERROR(J965/H965,0)</f>
        <v>-0.00740649207219592</v>
      </c>
      <c r="L965" s="7" t="n">
        <f aca="false">D965-H965</f>
        <v>100937</v>
      </c>
      <c r="M965" s="7" t="n">
        <f aca="false">E965-I965</f>
        <v>108980</v>
      </c>
      <c r="N965" s="7" t="n">
        <f aca="false">IFERROR(L965/D965,0)</f>
        <v>0.438060394587228</v>
      </c>
      <c r="O965" s="7" t="n">
        <f aca="false">IFERROR(M965/E965,0)</f>
        <v>0.45518335978615</v>
      </c>
      <c r="P965" s="7" t="n">
        <f aca="false">01_Data!I965+01_Data!K965+01_Data!M965+01_Data!O965+01_Data!Q965+01_Data!S965+01_Data!U965</f>
        <v>61191</v>
      </c>
      <c r="Q965" s="7" t="n">
        <f aca="false">01_Data!J965+01_Data!L965+01_Data!N965+01_Data!P965+01_Data!R965+01_Data!T965+01_Data!V965</f>
        <v>61160</v>
      </c>
      <c r="R965" s="7" t="n">
        <f aca="false">P965-Q965</f>
        <v>31</v>
      </c>
      <c r="S965" s="7" t="n">
        <f aca="false">L965-P965</f>
        <v>39746</v>
      </c>
      <c r="T965" s="7" t="n">
        <f aca="false">M965-Q965</f>
        <v>47820</v>
      </c>
      <c r="U965" s="7" t="n">
        <f aca="false">T965-S965</f>
        <v>8074</v>
      </c>
      <c r="V965" s="8" t="n">
        <f aca="false">IFERROR(U965/S965,0)</f>
        <v>0.203139938610175</v>
      </c>
      <c r="W965" s="5" t="str">
        <f aca="false">IF(V965&lt;-0.1,"ADVERSE &gt;10%","")</f>
        <v/>
      </c>
    </row>
    <row r="966" customFormat="false" ht="15" hidden="false" customHeight="false" outlineLevel="0" collapsed="false">
      <c r="A966" s="5" t="str">
        <f aca="false">01_Data!A966</f>
        <v>Public Sector</v>
      </c>
      <c r="B966" s="5" t="str">
        <f aca="false">01_Data!C966</f>
        <v>2025-08</v>
      </c>
      <c r="C966" s="5" t="str">
        <f aca="false">01_Data!D966</f>
        <v>FY25</v>
      </c>
      <c r="D966" s="7" t="n">
        <f aca="false">01_Data!E966</f>
        <v>239849</v>
      </c>
      <c r="E966" s="7" t="n">
        <f aca="false">01_Data!F966</f>
        <v>240805</v>
      </c>
      <c r="F966" s="7" t="n">
        <f aca="false">E966-D966</f>
        <v>956</v>
      </c>
      <c r="G966" s="8" t="n">
        <f aca="false">IFERROR(F966/D966,0)</f>
        <v>0.00398584109168685</v>
      </c>
      <c r="H966" s="7" t="n">
        <f aca="false">01_Data!G966</f>
        <v>139992</v>
      </c>
      <c r="I966" s="7" t="n">
        <f aca="false">01_Data!H966</f>
        <v>146764</v>
      </c>
      <c r="J966" s="7" t="n">
        <f aca="false">H966-I966</f>
        <v>-6772</v>
      </c>
      <c r="K966" s="8" t="n">
        <f aca="false">IFERROR(J966/H966,0)</f>
        <v>-0.0483741928110178</v>
      </c>
      <c r="L966" s="7" t="n">
        <f aca="false">D966-H966</f>
        <v>99857</v>
      </c>
      <c r="M966" s="7" t="n">
        <f aca="false">E966-I966</f>
        <v>94041</v>
      </c>
      <c r="N966" s="7" t="n">
        <f aca="false">IFERROR(L966/D966,0)</f>
        <v>0.416332776038257</v>
      </c>
      <c r="O966" s="7" t="n">
        <f aca="false">IFERROR(M966/E966,0)</f>
        <v>0.39052760532381</v>
      </c>
      <c r="P966" s="7" t="n">
        <f aca="false">01_Data!I966+01_Data!K966+01_Data!M966+01_Data!O966+01_Data!Q966+01_Data!S966+01_Data!U966</f>
        <v>65132</v>
      </c>
      <c r="Q966" s="7" t="n">
        <f aca="false">01_Data!J966+01_Data!L966+01_Data!N966+01_Data!P966+01_Data!R966+01_Data!T966+01_Data!V966</f>
        <v>66507</v>
      </c>
      <c r="R966" s="7" t="n">
        <f aca="false">P966-Q966</f>
        <v>-1375</v>
      </c>
      <c r="S966" s="7" t="n">
        <f aca="false">L966-P966</f>
        <v>34725</v>
      </c>
      <c r="T966" s="7" t="n">
        <f aca="false">M966-Q966</f>
        <v>27534</v>
      </c>
      <c r="U966" s="7" t="n">
        <f aca="false">T966-S966</f>
        <v>-7191</v>
      </c>
      <c r="V966" s="8" t="n">
        <f aca="false">IFERROR(U966/S966,0)</f>
        <v>-0.207084233261339</v>
      </c>
      <c r="W966" s="5" t="str">
        <f aca="false">IF(V966&lt;-0.1,"ADVERSE &gt;10%","")</f>
        <v>ADVERSE &gt;10%</v>
      </c>
    </row>
    <row r="967" customFormat="false" ht="15" hidden="false" customHeight="false" outlineLevel="0" collapsed="false">
      <c r="A967" s="5" t="str">
        <f aca="false">01_Data!A967</f>
        <v>Public Sector</v>
      </c>
      <c r="B967" s="5" t="str">
        <f aca="false">01_Data!C967</f>
        <v>2025-09</v>
      </c>
      <c r="C967" s="5" t="str">
        <f aca="false">01_Data!D967</f>
        <v>FY25</v>
      </c>
      <c r="D967" s="7" t="n">
        <f aca="false">01_Data!E967</f>
        <v>254778</v>
      </c>
      <c r="E967" s="7" t="n">
        <f aca="false">01_Data!F967</f>
        <v>255631</v>
      </c>
      <c r="F967" s="7" t="n">
        <f aca="false">E967-D967</f>
        <v>853</v>
      </c>
      <c r="G967" s="8" t="n">
        <f aca="false">IFERROR(F967/D967,0)</f>
        <v>0.00334801277975335</v>
      </c>
      <c r="H967" s="7" t="n">
        <f aca="false">01_Data!G967</f>
        <v>150685</v>
      </c>
      <c r="I967" s="7" t="n">
        <f aca="false">01_Data!H967</f>
        <v>151100</v>
      </c>
      <c r="J967" s="7" t="n">
        <f aca="false">H967-I967</f>
        <v>-415</v>
      </c>
      <c r="K967" s="8" t="n">
        <f aca="false">IFERROR(J967/H967,0)</f>
        <v>-0.00275408965723197</v>
      </c>
      <c r="L967" s="7" t="n">
        <f aca="false">D967-H967</f>
        <v>104093</v>
      </c>
      <c r="M967" s="7" t="n">
        <f aca="false">E967-I967</f>
        <v>104531</v>
      </c>
      <c r="N967" s="7" t="n">
        <f aca="false">IFERROR(L967/D967,0)</f>
        <v>0.408563533743102</v>
      </c>
      <c r="O967" s="7" t="n">
        <f aca="false">IFERROR(M967/E967,0)</f>
        <v>0.408913629411143</v>
      </c>
      <c r="P967" s="7" t="n">
        <f aca="false">01_Data!I967+01_Data!K967+01_Data!M967+01_Data!O967+01_Data!Q967+01_Data!S967+01_Data!U967</f>
        <v>69914</v>
      </c>
      <c r="Q967" s="7" t="n">
        <f aca="false">01_Data!J967+01_Data!L967+01_Data!N967+01_Data!P967+01_Data!R967+01_Data!T967+01_Data!V967</f>
        <v>72775</v>
      </c>
      <c r="R967" s="7" t="n">
        <f aca="false">P967-Q967</f>
        <v>-2861</v>
      </c>
      <c r="S967" s="7" t="n">
        <f aca="false">L967-P967</f>
        <v>34179</v>
      </c>
      <c r="T967" s="7" t="n">
        <f aca="false">M967-Q967</f>
        <v>31756</v>
      </c>
      <c r="U967" s="7" t="n">
        <f aca="false">T967-S967</f>
        <v>-2423</v>
      </c>
      <c r="V967" s="8" t="n">
        <f aca="false">IFERROR(U967/S967,0)</f>
        <v>-0.0708914830744024</v>
      </c>
      <c r="W967" s="5" t="str">
        <f aca="false">IF(V967&lt;-0.1,"ADVERSE &gt;10%","")</f>
        <v/>
      </c>
    </row>
    <row r="968" customFormat="false" ht="15" hidden="false" customHeight="false" outlineLevel="0" collapsed="false">
      <c r="A968" s="5" t="str">
        <f aca="false">01_Data!A968</f>
        <v>Public Sector</v>
      </c>
      <c r="B968" s="5" t="str">
        <f aca="false">01_Data!C968</f>
        <v>2025-10</v>
      </c>
      <c r="C968" s="5" t="str">
        <f aca="false">01_Data!D968</f>
        <v>FY25</v>
      </c>
      <c r="D968" s="7" t="n">
        <f aca="false">01_Data!E968</f>
        <v>261632</v>
      </c>
      <c r="E968" s="7" t="n">
        <f aca="false">01_Data!F968</f>
        <v>249162</v>
      </c>
      <c r="F968" s="7" t="n">
        <f aca="false">E968-D968</f>
        <v>-12470</v>
      </c>
      <c r="G968" s="8" t="n">
        <f aca="false">IFERROR(F968/D968,0)</f>
        <v>-0.0476623654598826</v>
      </c>
      <c r="H968" s="7" t="n">
        <f aca="false">01_Data!G968</f>
        <v>146090</v>
      </c>
      <c r="I968" s="7" t="n">
        <f aca="false">01_Data!H968</f>
        <v>135235</v>
      </c>
      <c r="J968" s="7" t="n">
        <f aca="false">H968-I968</f>
        <v>10855</v>
      </c>
      <c r="K968" s="8" t="n">
        <f aca="false">IFERROR(J968/H968,0)</f>
        <v>0.0743035115339859</v>
      </c>
      <c r="L968" s="7" t="n">
        <f aca="false">D968-H968</f>
        <v>115542</v>
      </c>
      <c r="M968" s="7" t="n">
        <f aca="false">E968-I968</f>
        <v>113927</v>
      </c>
      <c r="N968" s="7" t="n">
        <f aca="false">IFERROR(L968/D968,0)</f>
        <v>0.44162029109589</v>
      </c>
      <c r="O968" s="7" t="n">
        <f aca="false">IFERROR(M968/E968,0)</f>
        <v>0.457240670728281</v>
      </c>
      <c r="P968" s="7" t="n">
        <f aca="false">01_Data!I968+01_Data!K968+01_Data!M968+01_Data!O968+01_Data!Q968+01_Data!S968+01_Data!U968</f>
        <v>69709</v>
      </c>
      <c r="Q968" s="7" t="n">
        <f aca="false">01_Data!J968+01_Data!L968+01_Data!N968+01_Data!P968+01_Data!R968+01_Data!T968+01_Data!V968</f>
        <v>72259</v>
      </c>
      <c r="R968" s="7" t="n">
        <f aca="false">P968-Q968</f>
        <v>-2550</v>
      </c>
      <c r="S968" s="7" t="n">
        <f aca="false">L968-P968</f>
        <v>45833</v>
      </c>
      <c r="T968" s="7" t="n">
        <f aca="false">M968-Q968</f>
        <v>41668</v>
      </c>
      <c r="U968" s="7" t="n">
        <f aca="false">T968-S968</f>
        <v>-4165</v>
      </c>
      <c r="V968" s="8" t="n">
        <f aca="false">IFERROR(U968/S968,0)</f>
        <v>-0.0908733881700958</v>
      </c>
      <c r="W968" s="5" t="str">
        <f aca="false">IF(V968&lt;-0.1,"ADVERSE &gt;10%","")</f>
        <v/>
      </c>
    </row>
    <row r="969" customFormat="false" ht="15" hidden="false" customHeight="false" outlineLevel="0" collapsed="false">
      <c r="A969" s="5" t="str">
        <f aca="false">01_Data!A969</f>
        <v>Public Sector</v>
      </c>
      <c r="B969" s="5" t="str">
        <f aca="false">01_Data!C969</f>
        <v>2025-11</v>
      </c>
      <c r="C969" s="5" t="str">
        <f aca="false">01_Data!D969</f>
        <v>FY25</v>
      </c>
      <c r="D969" s="7" t="n">
        <f aca="false">01_Data!E969</f>
        <v>257122</v>
      </c>
      <c r="E969" s="7" t="n">
        <f aca="false">01_Data!F969</f>
        <v>250585</v>
      </c>
      <c r="F969" s="7" t="n">
        <f aca="false">E969-D969</f>
        <v>-6537</v>
      </c>
      <c r="G969" s="8" t="n">
        <f aca="false">IFERROR(F969/D969,0)</f>
        <v>-0.0254237288135593</v>
      </c>
      <c r="H969" s="7" t="n">
        <f aca="false">01_Data!G969</f>
        <v>154077</v>
      </c>
      <c r="I969" s="7" t="n">
        <f aca="false">01_Data!H969</f>
        <v>148477</v>
      </c>
      <c r="J969" s="7" t="n">
        <f aca="false">H969-I969</f>
        <v>5600</v>
      </c>
      <c r="K969" s="8" t="n">
        <f aca="false">IFERROR(J969/H969,0)</f>
        <v>0.0363454636318205</v>
      </c>
      <c r="L969" s="7" t="n">
        <f aca="false">D969-H969</f>
        <v>103045</v>
      </c>
      <c r="M969" s="7" t="n">
        <f aca="false">E969-I969</f>
        <v>102108</v>
      </c>
      <c r="N969" s="7" t="n">
        <f aca="false">IFERROR(L969/D969,0)</f>
        <v>0.400763061892798</v>
      </c>
      <c r="O969" s="7" t="n">
        <f aca="false">IFERROR(M969/E969,0)</f>
        <v>0.407478500309276</v>
      </c>
      <c r="P969" s="7" t="n">
        <f aca="false">01_Data!I969+01_Data!K969+01_Data!M969+01_Data!O969+01_Data!Q969+01_Data!S969+01_Data!U969</f>
        <v>68802</v>
      </c>
      <c r="Q969" s="7" t="n">
        <f aca="false">01_Data!J969+01_Data!L969+01_Data!N969+01_Data!P969+01_Data!R969+01_Data!T969+01_Data!V969</f>
        <v>72916</v>
      </c>
      <c r="R969" s="7" t="n">
        <f aca="false">P969-Q969</f>
        <v>-4114</v>
      </c>
      <c r="S969" s="7" t="n">
        <f aca="false">L969-P969</f>
        <v>34243</v>
      </c>
      <c r="T969" s="7" t="n">
        <f aca="false">M969-Q969</f>
        <v>29192</v>
      </c>
      <c r="U969" s="7" t="n">
        <f aca="false">T969-S969</f>
        <v>-5051</v>
      </c>
      <c r="V969" s="8" t="n">
        <f aca="false">IFERROR(U969/S969,0)</f>
        <v>-0.147504599480186</v>
      </c>
      <c r="W969" s="5" t="str">
        <f aca="false">IF(V969&lt;-0.1,"ADVERSE &gt;10%","")</f>
        <v>ADVERSE &gt;10%</v>
      </c>
    </row>
    <row r="970" customFormat="false" ht="15" hidden="false" customHeight="false" outlineLevel="0" collapsed="false">
      <c r="A970" s="5" t="str">
        <f aca="false">01_Data!A970</f>
        <v>Public Sector</v>
      </c>
      <c r="B970" s="5" t="str">
        <f aca="false">01_Data!C970</f>
        <v>2025-12</v>
      </c>
      <c r="C970" s="5" t="str">
        <f aca="false">01_Data!D970</f>
        <v>FY25</v>
      </c>
      <c r="D970" s="7" t="n">
        <f aca="false">01_Data!E970</f>
        <v>255356</v>
      </c>
      <c r="E970" s="7" t="n">
        <f aca="false">01_Data!F970</f>
        <v>269733</v>
      </c>
      <c r="F970" s="7" t="n">
        <f aca="false">E970-D970</f>
        <v>14377</v>
      </c>
      <c r="G970" s="8" t="n">
        <f aca="false">IFERROR(F970/D970,0)</f>
        <v>0.0563017904415796</v>
      </c>
      <c r="H970" s="7" t="n">
        <f aca="false">01_Data!G970</f>
        <v>146573</v>
      </c>
      <c r="I970" s="7" t="n">
        <f aca="false">01_Data!H970</f>
        <v>152398</v>
      </c>
      <c r="J970" s="7" t="n">
        <f aca="false">H970-I970</f>
        <v>-5825</v>
      </c>
      <c r="K970" s="8" t="n">
        <f aca="false">IFERROR(J970/H970,0)</f>
        <v>-0.0397412893234088</v>
      </c>
      <c r="L970" s="7" t="n">
        <f aca="false">D970-H970</f>
        <v>108783</v>
      </c>
      <c r="M970" s="7" t="n">
        <f aca="false">E970-I970</f>
        <v>117335</v>
      </c>
      <c r="N970" s="7" t="n">
        <f aca="false">IFERROR(L970/D970,0)</f>
        <v>0.426005263240339</v>
      </c>
      <c r="O970" s="7" t="n">
        <f aca="false">IFERROR(M970/E970,0)</f>
        <v>0.435004244938513</v>
      </c>
      <c r="P970" s="7" t="n">
        <f aca="false">01_Data!I970+01_Data!K970+01_Data!M970+01_Data!O970+01_Data!Q970+01_Data!S970+01_Data!U970</f>
        <v>72203</v>
      </c>
      <c r="Q970" s="7" t="n">
        <f aca="false">01_Data!J970+01_Data!L970+01_Data!N970+01_Data!P970+01_Data!R970+01_Data!T970+01_Data!V970</f>
        <v>72015</v>
      </c>
      <c r="R970" s="7" t="n">
        <f aca="false">P970-Q970</f>
        <v>188</v>
      </c>
      <c r="S970" s="7" t="n">
        <f aca="false">L970-P970</f>
        <v>36580</v>
      </c>
      <c r="T970" s="7" t="n">
        <f aca="false">M970-Q970</f>
        <v>45320</v>
      </c>
      <c r="U970" s="7" t="n">
        <f aca="false">T970-S970</f>
        <v>8740</v>
      </c>
      <c r="V970" s="8" t="n">
        <f aca="false">IFERROR(U970/S970,0)</f>
        <v>0.238928376161837</v>
      </c>
      <c r="W970" s="5" t="str">
        <f aca="false">IF(V970&lt;-0.1,"ADVERSE &gt;10%","")</f>
        <v/>
      </c>
    </row>
    <row r="971" customFormat="false" ht="15" hidden="false" customHeight="false" outlineLevel="0" collapsed="false">
      <c r="A971" s="5" t="str">
        <f aca="false">01_Data!A971</f>
        <v>Public Sector</v>
      </c>
      <c r="B971" s="5" t="str">
        <f aca="false">01_Data!C971</f>
        <v>2026-01</v>
      </c>
      <c r="C971" s="5" t="str">
        <f aca="false">01_Data!D971</f>
        <v>FY25</v>
      </c>
      <c r="D971" s="7" t="n">
        <f aca="false">01_Data!E971</f>
        <v>246234</v>
      </c>
      <c r="E971" s="7" t="n">
        <f aca="false">01_Data!F971</f>
        <v>258898</v>
      </c>
      <c r="F971" s="7" t="n">
        <f aca="false">E971-D971</f>
        <v>12664</v>
      </c>
      <c r="G971" s="8" t="n">
        <f aca="false">IFERROR(F971/D971,0)</f>
        <v>0.0514307528610996</v>
      </c>
      <c r="H971" s="7" t="n">
        <f aca="false">01_Data!G971</f>
        <v>146744</v>
      </c>
      <c r="I971" s="7" t="n">
        <f aca="false">01_Data!H971</f>
        <v>152748</v>
      </c>
      <c r="J971" s="7" t="n">
        <f aca="false">H971-I971</f>
        <v>-6004</v>
      </c>
      <c r="K971" s="8" t="n">
        <f aca="false">IFERROR(J971/H971,0)</f>
        <v>-0.0409147903832525</v>
      </c>
      <c r="L971" s="7" t="n">
        <f aca="false">D971-H971</f>
        <v>99490</v>
      </c>
      <c r="M971" s="7" t="n">
        <f aca="false">E971-I971</f>
        <v>106150</v>
      </c>
      <c r="N971" s="7" t="n">
        <f aca="false">IFERROR(L971/D971,0)</f>
        <v>0.404046557339766</v>
      </c>
      <c r="O971" s="7" t="n">
        <f aca="false">IFERROR(M971/E971,0)</f>
        <v>0.410007029795518</v>
      </c>
      <c r="P971" s="7" t="n">
        <f aca="false">01_Data!I971+01_Data!K971+01_Data!M971+01_Data!O971+01_Data!Q971+01_Data!S971+01_Data!U971</f>
        <v>65260</v>
      </c>
      <c r="Q971" s="7" t="n">
        <f aca="false">01_Data!J971+01_Data!L971+01_Data!N971+01_Data!P971+01_Data!R971+01_Data!T971+01_Data!V971</f>
        <v>66154</v>
      </c>
      <c r="R971" s="7" t="n">
        <f aca="false">P971-Q971</f>
        <v>-894</v>
      </c>
      <c r="S971" s="7" t="n">
        <f aca="false">L971-P971</f>
        <v>34230</v>
      </c>
      <c r="T971" s="7" t="n">
        <f aca="false">M971-Q971</f>
        <v>39996</v>
      </c>
      <c r="U971" s="7" t="n">
        <f aca="false">T971-S971</f>
        <v>5766</v>
      </c>
      <c r="V971" s="8" t="n">
        <f aca="false">IFERROR(U971/S971,0)</f>
        <v>0.168448729184926</v>
      </c>
      <c r="W971" s="5" t="str">
        <f aca="false">IF(V971&lt;-0.1,"ADVERSE &gt;10%","")</f>
        <v/>
      </c>
    </row>
    <row r="972" customFormat="false" ht="15" hidden="false" customHeight="false" outlineLevel="0" collapsed="false">
      <c r="A972" s="5" t="str">
        <f aca="false">01_Data!A972</f>
        <v>Public Sector</v>
      </c>
      <c r="B972" s="5" t="str">
        <f aca="false">01_Data!C972</f>
        <v>2026-02</v>
      </c>
      <c r="C972" s="5" t="str">
        <f aca="false">01_Data!D972</f>
        <v>FY25</v>
      </c>
      <c r="D972" s="7" t="n">
        <f aca="false">01_Data!E972</f>
        <v>252627</v>
      </c>
      <c r="E972" s="7" t="n">
        <f aca="false">01_Data!F972</f>
        <v>263254</v>
      </c>
      <c r="F972" s="7" t="n">
        <f aca="false">E972-D972</f>
        <v>10627</v>
      </c>
      <c r="G972" s="8" t="n">
        <f aca="false">IFERROR(F972/D972,0)</f>
        <v>0.0420659707790537</v>
      </c>
      <c r="H972" s="7" t="n">
        <f aca="false">01_Data!G972</f>
        <v>146242</v>
      </c>
      <c r="I972" s="7" t="n">
        <f aca="false">01_Data!H972</f>
        <v>157868</v>
      </c>
      <c r="J972" s="7" t="n">
        <f aca="false">H972-I972</f>
        <v>-11626</v>
      </c>
      <c r="K972" s="8" t="n">
        <f aca="false">IFERROR(J972/H972,0)</f>
        <v>-0.0794983657225694</v>
      </c>
      <c r="L972" s="7" t="n">
        <f aca="false">D972-H972</f>
        <v>106385</v>
      </c>
      <c r="M972" s="7" t="n">
        <f aca="false">E972-I972</f>
        <v>105386</v>
      </c>
      <c r="N972" s="7" t="n">
        <f aca="false">IFERROR(L972/D972,0)</f>
        <v>0.421114924374671</v>
      </c>
      <c r="O972" s="7" t="n">
        <f aca="false">IFERROR(M972/E972,0)</f>
        <v>0.400320602915815</v>
      </c>
      <c r="P972" s="7" t="n">
        <f aca="false">01_Data!I972+01_Data!K972+01_Data!M972+01_Data!O972+01_Data!Q972+01_Data!S972+01_Data!U972</f>
        <v>65214</v>
      </c>
      <c r="Q972" s="7" t="n">
        <f aca="false">01_Data!J972+01_Data!L972+01_Data!N972+01_Data!P972+01_Data!R972+01_Data!T972+01_Data!V972</f>
        <v>66465</v>
      </c>
      <c r="R972" s="7" t="n">
        <f aca="false">P972-Q972</f>
        <v>-1251</v>
      </c>
      <c r="S972" s="7" t="n">
        <f aca="false">L972-P972</f>
        <v>41171</v>
      </c>
      <c r="T972" s="7" t="n">
        <f aca="false">M972-Q972</f>
        <v>38921</v>
      </c>
      <c r="U972" s="7" t="n">
        <f aca="false">T972-S972</f>
        <v>-2250</v>
      </c>
      <c r="V972" s="8" t="n">
        <f aca="false">IFERROR(U972/S972,0)</f>
        <v>-0.054650117801365</v>
      </c>
      <c r="W972" s="5" t="str">
        <f aca="false">IF(V972&lt;-0.1,"ADVERSE &gt;10%","")</f>
        <v/>
      </c>
    </row>
    <row r="973" customFormat="false" ht="15" hidden="false" customHeight="false" outlineLevel="0" collapsed="false">
      <c r="A973" s="5" t="str">
        <f aca="false">01_Data!A973</f>
        <v>Public Sector</v>
      </c>
      <c r="B973" s="5" t="str">
        <f aca="false">01_Data!C973</f>
        <v>2026-03</v>
      </c>
      <c r="C973" s="5" t="str">
        <f aca="false">01_Data!D973</f>
        <v>FY25</v>
      </c>
      <c r="D973" s="7" t="n">
        <f aca="false">01_Data!E973</f>
        <v>290526</v>
      </c>
      <c r="E973" s="7" t="n">
        <f aca="false">01_Data!F973</f>
        <v>285534</v>
      </c>
      <c r="F973" s="7" t="n">
        <f aca="false">E973-D973</f>
        <v>-4992</v>
      </c>
      <c r="G973" s="8" t="n">
        <f aca="false">IFERROR(F973/D973,0)</f>
        <v>-0.0171826273724211</v>
      </c>
      <c r="H973" s="7" t="n">
        <f aca="false">01_Data!G973</f>
        <v>157697</v>
      </c>
      <c r="I973" s="7" t="n">
        <f aca="false">01_Data!H973</f>
        <v>160173</v>
      </c>
      <c r="J973" s="7" t="n">
        <f aca="false">H973-I973</f>
        <v>-2476</v>
      </c>
      <c r="K973" s="8" t="n">
        <f aca="false">IFERROR(J973/H973,0)</f>
        <v>-0.015700996214259</v>
      </c>
      <c r="L973" s="7" t="n">
        <f aca="false">D973-H973</f>
        <v>132829</v>
      </c>
      <c r="M973" s="7" t="n">
        <f aca="false">E973-I973</f>
        <v>125361</v>
      </c>
      <c r="N973" s="7" t="n">
        <f aca="false">IFERROR(L973/D973,0)</f>
        <v>0.457201765074382</v>
      </c>
      <c r="O973" s="7" t="n">
        <f aca="false">IFERROR(M973/E973,0)</f>
        <v>0.439040534577318</v>
      </c>
      <c r="P973" s="7" t="n">
        <f aca="false">01_Data!I973+01_Data!K973+01_Data!M973+01_Data!O973+01_Data!Q973+01_Data!S973+01_Data!U973</f>
        <v>79983</v>
      </c>
      <c r="Q973" s="7" t="n">
        <f aca="false">01_Data!J973+01_Data!L973+01_Data!N973+01_Data!P973+01_Data!R973+01_Data!T973+01_Data!V973</f>
        <v>84286</v>
      </c>
      <c r="R973" s="7" t="n">
        <f aca="false">P973-Q973</f>
        <v>-4303</v>
      </c>
      <c r="S973" s="7" t="n">
        <f aca="false">L973-P973</f>
        <v>52846</v>
      </c>
      <c r="T973" s="7" t="n">
        <f aca="false">M973-Q973</f>
        <v>41075</v>
      </c>
      <c r="U973" s="7" t="n">
        <f aca="false">T973-S973</f>
        <v>-11771</v>
      </c>
      <c r="V973" s="8" t="n">
        <f aca="false">IFERROR(U973/S973,0)</f>
        <v>-0.222741550921546</v>
      </c>
      <c r="W973" s="5" t="str">
        <f aca="false">IF(V973&lt;-0.1,"ADVERSE &gt;10%","")</f>
        <v>ADVERSE &gt;10%</v>
      </c>
    </row>
    <row r="974" customFormat="false" ht="15" hidden="false" customHeight="false" outlineLevel="0" collapsed="false">
      <c r="A974" s="5" t="str">
        <f aca="false">01_Data!A974</f>
        <v>Public Sector</v>
      </c>
      <c r="B974" s="5" t="str">
        <f aca="false">01_Data!C974</f>
        <v>2023-04</v>
      </c>
      <c r="C974" s="5" t="str">
        <f aca="false">01_Data!D974</f>
        <v>FY23</v>
      </c>
      <c r="D974" s="7" t="n">
        <f aca="false">01_Data!E974</f>
        <v>91507</v>
      </c>
      <c r="E974" s="7" t="n">
        <f aca="false">01_Data!F974</f>
        <v>89756</v>
      </c>
      <c r="F974" s="7" t="n">
        <f aca="false">E974-D974</f>
        <v>-1751</v>
      </c>
      <c r="G974" s="8" t="n">
        <f aca="false">IFERROR(F974/D974,0)</f>
        <v>-0.0191351481307441</v>
      </c>
      <c r="H974" s="7" t="n">
        <f aca="false">01_Data!G974</f>
        <v>54604</v>
      </c>
      <c r="I974" s="7" t="n">
        <f aca="false">01_Data!H974</f>
        <v>52302</v>
      </c>
      <c r="J974" s="7" t="n">
        <f aca="false">H974-I974</f>
        <v>2302</v>
      </c>
      <c r="K974" s="8" t="n">
        <f aca="false">IFERROR(J974/H974,0)</f>
        <v>0.042158083656875</v>
      </c>
      <c r="L974" s="7" t="n">
        <f aca="false">D974-H974</f>
        <v>36903</v>
      </c>
      <c r="M974" s="7" t="n">
        <f aca="false">E974-I974</f>
        <v>37454</v>
      </c>
      <c r="N974" s="7" t="n">
        <f aca="false">IFERROR(L974/D974,0)</f>
        <v>0.403280623340291</v>
      </c>
      <c r="O974" s="7" t="n">
        <f aca="false">IFERROR(M974/E974,0)</f>
        <v>0.417286866616159</v>
      </c>
      <c r="P974" s="7" t="n">
        <f aca="false">01_Data!I974+01_Data!K974+01_Data!M974+01_Data!O974+01_Data!Q974+01_Data!S974+01_Data!U974</f>
        <v>23861</v>
      </c>
      <c r="Q974" s="7" t="n">
        <f aca="false">01_Data!J974+01_Data!L974+01_Data!N974+01_Data!P974+01_Data!R974+01_Data!T974+01_Data!V974</f>
        <v>24606</v>
      </c>
      <c r="R974" s="7" t="n">
        <f aca="false">P974-Q974</f>
        <v>-745</v>
      </c>
      <c r="S974" s="7" t="n">
        <f aca="false">L974-P974</f>
        <v>13042</v>
      </c>
      <c r="T974" s="7" t="n">
        <f aca="false">M974-Q974</f>
        <v>12848</v>
      </c>
      <c r="U974" s="7" t="n">
        <f aca="false">T974-S974</f>
        <v>-194</v>
      </c>
      <c r="V974" s="8" t="n">
        <f aca="false">IFERROR(U974/S974,0)</f>
        <v>-0.0148750191688391</v>
      </c>
      <c r="W974" s="5" t="str">
        <f aca="false">IF(V974&lt;-0.1,"ADVERSE &gt;10%","")</f>
        <v/>
      </c>
    </row>
    <row r="975" customFormat="false" ht="15" hidden="false" customHeight="false" outlineLevel="0" collapsed="false">
      <c r="A975" s="5" t="str">
        <f aca="false">01_Data!A975</f>
        <v>Public Sector</v>
      </c>
      <c r="B975" s="5" t="str">
        <f aca="false">01_Data!C975</f>
        <v>2023-05</v>
      </c>
      <c r="C975" s="5" t="str">
        <f aca="false">01_Data!D975</f>
        <v>FY23</v>
      </c>
      <c r="D975" s="7" t="n">
        <f aca="false">01_Data!E975</f>
        <v>89029</v>
      </c>
      <c r="E975" s="7" t="n">
        <f aca="false">01_Data!F975</f>
        <v>90649</v>
      </c>
      <c r="F975" s="7" t="n">
        <f aca="false">E975-D975</f>
        <v>1620</v>
      </c>
      <c r="G975" s="8" t="n">
        <f aca="false">IFERROR(F975/D975,0)</f>
        <v>0.0181963180536679</v>
      </c>
      <c r="H975" s="7" t="n">
        <f aca="false">01_Data!G975</f>
        <v>48899</v>
      </c>
      <c r="I975" s="7" t="n">
        <f aca="false">01_Data!H975</f>
        <v>51491</v>
      </c>
      <c r="J975" s="7" t="n">
        <f aca="false">H975-I975</f>
        <v>-2592</v>
      </c>
      <c r="K975" s="8" t="n">
        <f aca="false">IFERROR(J975/H975,0)</f>
        <v>-0.053007218961533</v>
      </c>
      <c r="L975" s="7" t="n">
        <f aca="false">D975-H975</f>
        <v>40130</v>
      </c>
      <c r="M975" s="7" t="n">
        <f aca="false">E975-I975</f>
        <v>39158</v>
      </c>
      <c r="N975" s="7" t="n">
        <f aca="false">IFERROR(L975/D975,0)</f>
        <v>0.450752002156601</v>
      </c>
      <c r="O975" s="7" t="n">
        <f aca="false">IFERROR(M975/E975,0)</f>
        <v>0.431973877262849</v>
      </c>
      <c r="P975" s="7" t="n">
        <f aca="false">01_Data!I975+01_Data!K975+01_Data!M975+01_Data!O975+01_Data!Q975+01_Data!S975+01_Data!U975</f>
        <v>23654</v>
      </c>
      <c r="Q975" s="7" t="n">
        <f aca="false">01_Data!J975+01_Data!L975+01_Data!N975+01_Data!P975+01_Data!R975+01_Data!T975+01_Data!V975</f>
        <v>24549</v>
      </c>
      <c r="R975" s="7" t="n">
        <f aca="false">P975-Q975</f>
        <v>-895</v>
      </c>
      <c r="S975" s="7" t="n">
        <f aca="false">L975-P975</f>
        <v>16476</v>
      </c>
      <c r="T975" s="7" t="n">
        <f aca="false">M975-Q975</f>
        <v>14609</v>
      </c>
      <c r="U975" s="7" t="n">
        <f aca="false">T975-S975</f>
        <v>-1867</v>
      </c>
      <c r="V975" s="8" t="n">
        <f aca="false">IFERROR(U975/S975,0)</f>
        <v>-0.113316338917213</v>
      </c>
      <c r="W975" s="5" t="str">
        <f aca="false">IF(V975&lt;-0.1,"ADVERSE &gt;10%","")</f>
        <v>ADVERSE &gt;10%</v>
      </c>
    </row>
    <row r="976" customFormat="false" ht="15" hidden="false" customHeight="false" outlineLevel="0" collapsed="false">
      <c r="A976" s="5" t="str">
        <f aca="false">01_Data!A976</f>
        <v>Public Sector</v>
      </c>
      <c r="B976" s="5" t="str">
        <f aca="false">01_Data!C976</f>
        <v>2023-06</v>
      </c>
      <c r="C976" s="5" t="str">
        <f aca="false">01_Data!D976</f>
        <v>FY23</v>
      </c>
      <c r="D976" s="7" t="n">
        <f aca="false">01_Data!E976</f>
        <v>86557</v>
      </c>
      <c r="E976" s="7" t="n">
        <f aca="false">01_Data!F976</f>
        <v>90138</v>
      </c>
      <c r="F976" s="7" t="n">
        <f aca="false">E976-D976</f>
        <v>3581</v>
      </c>
      <c r="G976" s="8" t="n">
        <f aca="false">IFERROR(F976/D976,0)</f>
        <v>0.0413715817322689</v>
      </c>
      <c r="H976" s="7" t="n">
        <f aca="false">01_Data!G976</f>
        <v>50064</v>
      </c>
      <c r="I976" s="7" t="n">
        <f aca="false">01_Data!H976</f>
        <v>53807</v>
      </c>
      <c r="J976" s="7" t="n">
        <f aca="false">H976-I976</f>
        <v>-3743</v>
      </c>
      <c r="K976" s="8" t="n">
        <f aca="false">IFERROR(J976/H976,0)</f>
        <v>-0.0747643016938319</v>
      </c>
      <c r="L976" s="7" t="n">
        <f aca="false">D976-H976</f>
        <v>36493</v>
      </c>
      <c r="M976" s="7" t="n">
        <f aca="false">E976-I976</f>
        <v>36331</v>
      </c>
      <c r="N976" s="7" t="n">
        <f aca="false">IFERROR(L976/D976,0)</f>
        <v>0.421606571392262</v>
      </c>
      <c r="O976" s="7" t="n">
        <f aca="false">IFERROR(M976/E976,0)</f>
        <v>0.403059752823448</v>
      </c>
      <c r="P976" s="7" t="n">
        <f aca="false">01_Data!I976+01_Data!K976+01_Data!M976+01_Data!O976+01_Data!Q976+01_Data!S976+01_Data!U976</f>
        <v>22576</v>
      </c>
      <c r="Q976" s="7" t="n">
        <f aca="false">01_Data!J976+01_Data!L976+01_Data!N976+01_Data!P976+01_Data!R976+01_Data!T976+01_Data!V976</f>
        <v>23295</v>
      </c>
      <c r="R976" s="7" t="n">
        <f aca="false">P976-Q976</f>
        <v>-719</v>
      </c>
      <c r="S976" s="7" t="n">
        <f aca="false">L976-P976</f>
        <v>13917</v>
      </c>
      <c r="T976" s="7" t="n">
        <f aca="false">M976-Q976</f>
        <v>13036</v>
      </c>
      <c r="U976" s="7" t="n">
        <f aca="false">T976-S976</f>
        <v>-881</v>
      </c>
      <c r="V976" s="8" t="n">
        <f aca="false">IFERROR(U976/S976,0)</f>
        <v>-0.0633038729611267</v>
      </c>
      <c r="W976" s="5" t="str">
        <f aca="false">IF(V976&lt;-0.1,"ADVERSE &gt;10%","")</f>
        <v/>
      </c>
    </row>
    <row r="977" customFormat="false" ht="15" hidden="false" customHeight="false" outlineLevel="0" collapsed="false">
      <c r="A977" s="5" t="str">
        <f aca="false">01_Data!A977</f>
        <v>Public Sector</v>
      </c>
      <c r="B977" s="5" t="str">
        <f aca="false">01_Data!C977</f>
        <v>2023-07</v>
      </c>
      <c r="C977" s="5" t="str">
        <f aca="false">01_Data!D977</f>
        <v>FY23</v>
      </c>
      <c r="D977" s="7" t="n">
        <f aca="false">01_Data!E977</f>
        <v>90404</v>
      </c>
      <c r="E977" s="7" t="n">
        <f aca="false">01_Data!F977</f>
        <v>90325</v>
      </c>
      <c r="F977" s="7" t="n">
        <f aca="false">E977-D977</f>
        <v>-79</v>
      </c>
      <c r="G977" s="8" t="n">
        <f aca="false">IFERROR(F977/D977,0)</f>
        <v>-0.000873855139153135</v>
      </c>
      <c r="H977" s="7" t="n">
        <f aca="false">01_Data!G977</f>
        <v>54090</v>
      </c>
      <c r="I977" s="7" t="n">
        <f aca="false">01_Data!H977</f>
        <v>54357</v>
      </c>
      <c r="J977" s="7" t="n">
        <f aca="false">H977-I977</f>
        <v>-267</v>
      </c>
      <c r="K977" s="8" t="n">
        <f aca="false">IFERROR(J977/H977,0)</f>
        <v>-0.00493621741541875</v>
      </c>
      <c r="L977" s="7" t="n">
        <f aca="false">D977-H977</f>
        <v>36314</v>
      </c>
      <c r="M977" s="7" t="n">
        <f aca="false">E977-I977</f>
        <v>35968</v>
      </c>
      <c r="N977" s="7" t="n">
        <f aca="false">IFERROR(L977/D977,0)</f>
        <v>0.401685766116544</v>
      </c>
      <c r="O977" s="7" t="n">
        <f aca="false">IFERROR(M977/E977,0)</f>
        <v>0.398206476612234</v>
      </c>
      <c r="P977" s="7" t="n">
        <f aca="false">01_Data!I977+01_Data!K977+01_Data!M977+01_Data!O977+01_Data!Q977+01_Data!S977+01_Data!U977</f>
        <v>23572</v>
      </c>
      <c r="Q977" s="7" t="n">
        <f aca="false">01_Data!J977+01_Data!L977+01_Data!N977+01_Data!P977+01_Data!R977+01_Data!T977+01_Data!V977</f>
        <v>22756</v>
      </c>
      <c r="R977" s="7" t="n">
        <f aca="false">P977-Q977</f>
        <v>816</v>
      </c>
      <c r="S977" s="7" t="n">
        <f aca="false">L977-P977</f>
        <v>12742</v>
      </c>
      <c r="T977" s="7" t="n">
        <f aca="false">M977-Q977</f>
        <v>13212</v>
      </c>
      <c r="U977" s="7" t="n">
        <f aca="false">T977-S977</f>
        <v>470</v>
      </c>
      <c r="V977" s="8" t="n">
        <f aca="false">IFERROR(U977/S977,0)</f>
        <v>0.0368858891853712</v>
      </c>
      <c r="W977" s="5" t="str">
        <f aca="false">IF(V977&lt;-0.1,"ADVERSE &gt;10%","")</f>
        <v/>
      </c>
    </row>
    <row r="978" customFormat="false" ht="15" hidden="false" customHeight="false" outlineLevel="0" collapsed="false">
      <c r="A978" s="5" t="str">
        <f aca="false">01_Data!A978</f>
        <v>Public Sector</v>
      </c>
      <c r="B978" s="5" t="str">
        <f aca="false">01_Data!C978</f>
        <v>2023-08</v>
      </c>
      <c r="C978" s="5" t="str">
        <f aca="false">01_Data!D978</f>
        <v>FY23</v>
      </c>
      <c r="D978" s="7" t="n">
        <f aca="false">01_Data!E978</f>
        <v>85230</v>
      </c>
      <c r="E978" s="7" t="n">
        <f aca="false">01_Data!F978</f>
        <v>89530</v>
      </c>
      <c r="F978" s="7" t="n">
        <f aca="false">E978-D978</f>
        <v>4300</v>
      </c>
      <c r="G978" s="8" t="n">
        <f aca="false">IFERROR(F978/D978,0)</f>
        <v>0.0504517188783292</v>
      </c>
      <c r="H978" s="7" t="n">
        <f aca="false">01_Data!G978</f>
        <v>49322</v>
      </c>
      <c r="I978" s="7" t="n">
        <f aca="false">01_Data!H978</f>
        <v>54282</v>
      </c>
      <c r="J978" s="7" t="n">
        <f aca="false">H978-I978</f>
        <v>-4960</v>
      </c>
      <c r="K978" s="8" t="n">
        <f aca="false">IFERROR(J978/H978,0)</f>
        <v>-0.100563642999067</v>
      </c>
      <c r="L978" s="7" t="n">
        <f aca="false">D978-H978</f>
        <v>35908</v>
      </c>
      <c r="M978" s="7" t="n">
        <f aca="false">E978-I978</f>
        <v>35248</v>
      </c>
      <c r="N978" s="7" t="n">
        <f aca="false">IFERROR(L978/D978,0)</f>
        <v>0.421307051507685</v>
      </c>
      <c r="O978" s="7" t="n">
        <f aca="false">IFERROR(M978/E978,0)</f>
        <v>0.393700435608176</v>
      </c>
      <c r="P978" s="7" t="n">
        <f aca="false">01_Data!I978+01_Data!K978+01_Data!M978+01_Data!O978+01_Data!Q978+01_Data!S978+01_Data!U978</f>
        <v>24183</v>
      </c>
      <c r="Q978" s="7" t="n">
        <f aca="false">01_Data!J978+01_Data!L978+01_Data!N978+01_Data!P978+01_Data!R978+01_Data!T978+01_Data!V978</f>
        <v>24522</v>
      </c>
      <c r="R978" s="7" t="n">
        <f aca="false">P978-Q978</f>
        <v>-339</v>
      </c>
      <c r="S978" s="7" t="n">
        <f aca="false">L978-P978</f>
        <v>11725</v>
      </c>
      <c r="T978" s="7" t="n">
        <f aca="false">M978-Q978</f>
        <v>10726</v>
      </c>
      <c r="U978" s="7" t="n">
        <f aca="false">T978-S978</f>
        <v>-999</v>
      </c>
      <c r="V978" s="8" t="n">
        <f aca="false">IFERROR(U978/S978,0)</f>
        <v>-0.0852025586353945</v>
      </c>
      <c r="W978" s="5" t="str">
        <f aca="false">IF(V978&lt;-0.1,"ADVERSE &gt;10%","")</f>
        <v/>
      </c>
    </row>
    <row r="979" customFormat="false" ht="15" hidden="false" customHeight="false" outlineLevel="0" collapsed="false">
      <c r="A979" s="5" t="str">
        <f aca="false">01_Data!A979</f>
        <v>Public Sector</v>
      </c>
      <c r="B979" s="5" t="str">
        <f aca="false">01_Data!C979</f>
        <v>2023-09</v>
      </c>
      <c r="C979" s="5" t="str">
        <f aca="false">01_Data!D979</f>
        <v>FY23</v>
      </c>
      <c r="D979" s="7" t="n">
        <f aca="false">01_Data!E979</f>
        <v>96187</v>
      </c>
      <c r="E979" s="7" t="n">
        <f aca="false">01_Data!F979</f>
        <v>96436</v>
      </c>
      <c r="F979" s="7" t="n">
        <f aca="false">E979-D979</f>
        <v>249</v>
      </c>
      <c r="G979" s="8" t="n">
        <f aca="false">IFERROR(F979/D979,0)</f>
        <v>0.00258870741368376</v>
      </c>
      <c r="H979" s="7" t="n">
        <f aca="false">01_Data!G979</f>
        <v>53813</v>
      </c>
      <c r="I979" s="7" t="n">
        <f aca="false">01_Data!H979</f>
        <v>55658</v>
      </c>
      <c r="J979" s="7" t="n">
        <f aca="false">H979-I979</f>
        <v>-1845</v>
      </c>
      <c r="K979" s="8" t="n">
        <f aca="false">IFERROR(J979/H979,0)</f>
        <v>-0.0342853957222233</v>
      </c>
      <c r="L979" s="7" t="n">
        <f aca="false">D979-H979</f>
        <v>42374</v>
      </c>
      <c r="M979" s="7" t="n">
        <f aca="false">E979-I979</f>
        <v>40778</v>
      </c>
      <c r="N979" s="7" t="n">
        <f aca="false">IFERROR(L979/D979,0)</f>
        <v>0.440537702600143</v>
      </c>
      <c r="O979" s="7" t="n">
        <f aca="false">IFERROR(M979/E979,0)</f>
        <v>0.422850387821975</v>
      </c>
      <c r="P979" s="7" t="n">
        <f aca="false">01_Data!I979+01_Data!K979+01_Data!M979+01_Data!O979+01_Data!Q979+01_Data!S979+01_Data!U979</f>
        <v>26489</v>
      </c>
      <c r="Q979" s="7" t="n">
        <f aca="false">01_Data!J979+01_Data!L979+01_Data!N979+01_Data!P979+01_Data!R979+01_Data!T979+01_Data!V979</f>
        <v>26153</v>
      </c>
      <c r="R979" s="7" t="n">
        <f aca="false">P979-Q979</f>
        <v>336</v>
      </c>
      <c r="S979" s="7" t="n">
        <f aca="false">L979-P979</f>
        <v>15885</v>
      </c>
      <c r="T979" s="7" t="n">
        <f aca="false">M979-Q979</f>
        <v>14625</v>
      </c>
      <c r="U979" s="7" t="n">
        <f aca="false">T979-S979</f>
        <v>-1260</v>
      </c>
      <c r="V979" s="8" t="n">
        <f aca="false">IFERROR(U979/S979,0)</f>
        <v>-0.0793201133144476</v>
      </c>
      <c r="W979" s="5" t="str">
        <f aca="false">IF(V979&lt;-0.1,"ADVERSE &gt;10%","")</f>
        <v/>
      </c>
    </row>
    <row r="980" customFormat="false" ht="15" hidden="false" customHeight="false" outlineLevel="0" collapsed="false">
      <c r="A980" s="5" t="str">
        <f aca="false">01_Data!A980</f>
        <v>Public Sector</v>
      </c>
      <c r="B980" s="5" t="str">
        <f aca="false">01_Data!C980</f>
        <v>2023-10</v>
      </c>
      <c r="C980" s="5" t="str">
        <f aca="false">01_Data!D980</f>
        <v>FY23</v>
      </c>
      <c r="D980" s="7" t="n">
        <f aca="false">01_Data!E980</f>
        <v>97242</v>
      </c>
      <c r="E980" s="7" t="n">
        <f aca="false">01_Data!F980</f>
        <v>93236</v>
      </c>
      <c r="F980" s="7" t="n">
        <f aca="false">E980-D980</f>
        <v>-4006</v>
      </c>
      <c r="G980" s="8" t="n">
        <f aca="false">IFERROR(F980/D980,0)</f>
        <v>-0.0411961909462989</v>
      </c>
      <c r="H980" s="7" t="n">
        <f aca="false">01_Data!G980</f>
        <v>55813</v>
      </c>
      <c r="I980" s="7" t="n">
        <f aca="false">01_Data!H980</f>
        <v>54994</v>
      </c>
      <c r="J980" s="7" t="n">
        <f aca="false">H980-I980</f>
        <v>819</v>
      </c>
      <c r="K980" s="8" t="n">
        <f aca="false">IFERROR(J980/H980,0)</f>
        <v>0.014674000680845</v>
      </c>
      <c r="L980" s="7" t="n">
        <f aca="false">D980-H980</f>
        <v>41429</v>
      </c>
      <c r="M980" s="7" t="n">
        <f aca="false">E980-I980</f>
        <v>38242</v>
      </c>
      <c r="N980" s="7" t="n">
        <f aca="false">IFERROR(L980/D980,0)</f>
        <v>0.426040188395961</v>
      </c>
      <c r="O980" s="7" t="n">
        <f aca="false">IFERROR(M980/E980,0)</f>
        <v>0.410163456175726</v>
      </c>
      <c r="P980" s="7" t="n">
        <f aca="false">01_Data!I980+01_Data!K980+01_Data!M980+01_Data!O980+01_Data!Q980+01_Data!S980+01_Data!U980</f>
        <v>27476</v>
      </c>
      <c r="Q980" s="7" t="n">
        <f aca="false">01_Data!J980+01_Data!L980+01_Data!N980+01_Data!P980+01_Data!R980+01_Data!T980+01_Data!V980</f>
        <v>28195</v>
      </c>
      <c r="R980" s="7" t="n">
        <f aca="false">P980-Q980</f>
        <v>-719</v>
      </c>
      <c r="S980" s="7" t="n">
        <f aca="false">L980-P980</f>
        <v>13953</v>
      </c>
      <c r="T980" s="7" t="n">
        <f aca="false">M980-Q980</f>
        <v>10047</v>
      </c>
      <c r="U980" s="7" t="n">
        <f aca="false">T980-S980</f>
        <v>-3906</v>
      </c>
      <c r="V980" s="8" t="n">
        <f aca="false">IFERROR(U980/S980,0)</f>
        <v>-0.279939797892926</v>
      </c>
      <c r="W980" s="5" t="str">
        <f aca="false">IF(V980&lt;-0.1,"ADVERSE &gt;10%","")</f>
        <v>ADVERSE &gt;10%</v>
      </c>
    </row>
    <row r="981" customFormat="false" ht="15" hidden="false" customHeight="false" outlineLevel="0" collapsed="false">
      <c r="A981" s="5" t="str">
        <f aca="false">01_Data!A981</f>
        <v>Public Sector</v>
      </c>
      <c r="B981" s="5" t="str">
        <f aca="false">01_Data!C981</f>
        <v>2023-11</v>
      </c>
      <c r="C981" s="5" t="str">
        <f aca="false">01_Data!D981</f>
        <v>FY23</v>
      </c>
      <c r="D981" s="7" t="n">
        <f aca="false">01_Data!E981</f>
        <v>98510</v>
      </c>
      <c r="E981" s="7" t="n">
        <f aca="false">01_Data!F981</f>
        <v>95193</v>
      </c>
      <c r="F981" s="7" t="n">
        <f aca="false">E981-D981</f>
        <v>-3317</v>
      </c>
      <c r="G981" s="8" t="n">
        <f aca="false">IFERROR(F981/D981,0)</f>
        <v>-0.0336717084559943</v>
      </c>
      <c r="H981" s="7" t="n">
        <f aca="false">01_Data!G981</f>
        <v>56025</v>
      </c>
      <c r="I981" s="7" t="n">
        <f aca="false">01_Data!H981</f>
        <v>56037</v>
      </c>
      <c r="J981" s="7" t="n">
        <f aca="false">H981-I981</f>
        <v>-12</v>
      </c>
      <c r="K981" s="8" t="n">
        <f aca="false">IFERROR(J981/H981,0)</f>
        <v>-0.000214190093708166</v>
      </c>
      <c r="L981" s="7" t="n">
        <f aca="false">D981-H981</f>
        <v>42485</v>
      </c>
      <c r="M981" s="7" t="n">
        <f aca="false">E981-I981</f>
        <v>39156</v>
      </c>
      <c r="N981" s="7" t="n">
        <f aca="false">IFERROR(L981/D981,0)</f>
        <v>0.431276012587555</v>
      </c>
      <c r="O981" s="7" t="n">
        <f aca="false">IFERROR(M981/E981,0)</f>
        <v>0.411332766064732</v>
      </c>
      <c r="P981" s="7" t="n">
        <f aca="false">01_Data!I981+01_Data!K981+01_Data!M981+01_Data!O981+01_Data!Q981+01_Data!S981+01_Data!U981</f>
        <v>25273</v>
      </c>
      <c r="Q981" s="7" t="n">
        <f aca="false">01_Data!J981+01_Data!L981+01_Data!N981+01_Data!P981+01_Data!R981+01_Data!T981+01_Data!V981</f>
        <v>26051</v>
      </c>
      <c r="R981" s="7" t="n">
        <f aca="false">P981-Q981</f>
        <v>-778</v>
      </c>
      <c r="S981" s="7" t="n">
        <f aca="false">L981-P981</f>
        <v>17212</v>
      </c>
      <c r="T981" s="7" t="n">
        <f aca="false">M981-Q981</f>
        <v>13105</v>
      </c>
      <c r="U981" s="7" t="n">
        <f aca="false">T981-S981</f>
        <v>-4107</v>
      </c>
      <c r="V981" s="8" t="n">
        <f aca="false">IFERROR(U981/S981,0)</f>
        <v>-0.238612595863351</v>
      </c>
      <c r="W981" s="5" t="str">
        <f aca="false">IF(V981&lt;-0.1,"ADVERSE &gt;10%","")</f>
        <v>ADVERSE &gt;10%</v>
      </c>
    </row>
    <row r="982" customFormat="false" ht="15" hidden="false" customHeight="false" outlineLevel="0" collapsed="false">
      <c r="A982" s="5" t="str">
        <f aca="false">01_Data!A982</f>
        <v>Public Sector</v>
      </c>
      <c r="B982" s="5" t="str">
        <f aca="false">01_Data!C982</f>
        <v>2023-12</v>
      </c>
      <c r="C982" s="5" t="str">
        <f aca="false">01_Data!D982</f>
        <v>FY23</v>
      </c>
      <c r="D982" s="7" t="n">
        <f aca="false">01_Data!E982</f>
        <v>94811</v>
      </c>
      <c r="E982" s="7" t="n">
        <f aca="false">01_Data!F982</f>
        <v>100689</v>
      </c>
      <c r="F982" s="7" t="n">
        <f aca="false">E982-D982</f>
        <v>5878</v>
      </c>
      <c r="G982" s="8" t="n">
        <f aca="false">IFERROR(F982/D982,0)</f>
        <v>0.0619970256615794</v>
      </c>
      <c r="H982" s="7" t="n">
        <f aca="false">01_Data!G982</f>
        <v>54952</v>
      </c>
      <c r="I982" s="7" t="n">
        <f aca="false">01_Data!H982</f>
        <v>57452</v>
      </c>
      <c r="J982" s="7" t="n">
        <f aca="false">H982-I982</f>
        <v>-2500</v>
      </c>
      <c r="K982" s="8" t="n">
        <f aca="false">IFERROR(J982/H982,0)</f>
        <v>-0.0454942495268598</v>
      </c>
      <c r="L982" s="7" t="n">
        <f aca="false">D982-H982</f>
        <v>39859</v>
      </c>
      <c r="M982" s="7" t="n">
        <f aca="false">E982-I982</f>
        <v>43237</v>
      </c>
      <c r="N982" s="7" t="n">
        <f aca="false">IFERROR(L982/D982,0)</f>
        <v>0.42040480534959</v>
      </c>
      <c r="O982" s="7" t="n">
        <f aca="false">IFERROR(M982/E982,0)</f>
        <v>0.429411355758822</v>
      </c>
      <c r="P982" s="7" t="n">
        <f aca="false">01_Data!I982+01_Data!K982+01_Data!M982+01_Data!O982+01_Data!Q982+01_Data!S982+01_Data!U982</f>
        <v>24377</v>
      </c>
      <c r="Q982" s="7" t="n">
        <f aca="false">01_Data!J982+01_Data!L982+01_Data!N982+01_Data!P982+01_Data!R982+01_Data!T982+01_Data!V982</f>
        <v>24847</v>
      </c>
      <c r="R982" s="7" t="n">
        <f aca="false">P982-Q982</f>
        <v>-470</v>
      </c>
      <c r="S982" s="7" t="n">
        <f aca="false">L982-P982</f>
        <v>15482</v>
      </c>
      <c r="T982" s="7" t="n">
        <f aca="false">M982-Q982</f>
        <v>18390</v>
      </c>
      <c r="U982" s="7" t="n">
        <f aca="false">T982-S982</f>
        <v>2908</v>
      </c>
      <c r="V982" s="8" t="n">
        <f aca="false">IFERROR(U982/S982,0)</f>
        <v>0.187831029582741</v>
      </c>
      <c r="W982" s="5" t="str">
        <f aca="false">IF(V982&lt;-0.1,"ADVERSE &gt;10%","")</f>
        <v/>
      </c>
    </row>
    <row r="983" customFormat="false" ht="15" hidden="false" customHeight="false" outlineLevel="0" collapsed="false">
      <c r="A983" s="5" t="str">
        <f aca="false">01_Data!A983</f>
        <v>Public Sector</v>
      </c>
      <c r="B983" s="5" t="str">
        <f aca="false">01_Data!C983</f>
        <v>2024-01</v>
      </c>
      <c r="C983" s="5" t="str">
        <f aca="false">01_Data!D983</f>
        <v>FY23</v>
      </c>
      <c r="D983" s="7" t="n">
        <f aca="false">01_Data!E983</f>
        <v>99175</v>
      </c>
      <c r="E983" s="7" t="n">
        <f aca="false">01_Data!F983</f>
        <v>95737</v>
      </c>
      <c r="F983" s="7" t="n">
        <f aca="false">E983-D983</f>
        <v>-3438</v>
      </c>
      <c r="G983" s="8" t="n">
        <f aca="false">IFERROR(F983/D983,0)</f>
        <v>-0.0346659944542475</v>
      </c>
      <c r="H983" s="7" t="n">
        <f aca="false">01_Data!G983</f>
        <v>59129</v>
      </c>
      <c r="I983" s="7" t="n">
        <f aca="false">01_Data!H983</f>
        <v>58322</v>
      </c>
      <c r="J983" s="7" t="n">
        <f aca="false">H983-I983</f>
        <v>807</v>
      </c>
      <c r="K983" s="8" t="n">
        <f aca="false">IFERROR(J983/H983,0)</f>
        <v>0.013648125285393</v>
      </c>
      <c r="L983" s="7" t="n">
        <f aca="false">D983-H983</f>
        <v>40046</v>
      </c>
      <c r="M983" s="7" t="n">
        <f aca="false">E983-I983</f>
        <v>37415</v>
      </c>
      <c r="N983" s="7" t="n">
        <f aca="false">IFERROR(L983/D983,0)</f>
        <v>0.403791278043862</v>
      </c>
      <c r="O983" s="7" t="n">
        <f aca="false">IFERROR(M983/E983,0)</f>
        <v>0.390810240554853</v>
      </c>
      <c r="P983" s="7" t="n">
        <f aca="false">01_Data!I983+01_Data!K983+01_Data!M983+01_Data!O983+01_Data!Q983+01_Data!S983+01_Data!U983</f>
        <v>25770</v>
      </c>
      <c r="Q983" s="7" t="n">
        <f aca="false">01_Data!J983+01_Data!L983+01_Data!N983+01_Data!P983+01_Data!R983+01_Data!T983+01_Data!V983</f>
        <v>26093</v>
      </c>
      <c r="R983" s="7" t="n">
        <f aca="false">P983-Q983</f>
        <v>-323</v>
      </c>
      <c r="S983" s="7" t="n">
        <f aca="false">L983-P983</f>
        <v>14276</v>
      </c>
      <c r="T983" s="7" t="n">
        <f aca="false">M983-Q983</f>
        <v>11322</v>
      </c>
      <c r="U983" s="7" t="n">
        <f aca="false">T983-S983</f>
        <v>-2954</v>
      </c>
      <c r="V983" s="8" t="n">
        <f aca="false">IFERROR(U983/S983,0)</f>
        <v>-0.206920706080135</v>
      </c>
      <c r="W983" s="5" t="str">
        <f aca="false">IF(V983&lt;-0.1,"ADVERSE &gt;10%","")</f>
        <v>ADVERSE &gt;10%</v>
      </c>
    </row>
    <row r="984" customFormat="false" ht="15" hidden="false" customHeight="false" outlineLevel="0" collapsed="false">
      <c r="A984" s="5" t="str">
        <f aca="false">01_Data!A984</f>
        <v>Public Sector</v>
      </c>
      <c r="B984" s="5" t="str">
        <f aca="false">01_Data!C984</f>
        <v>2024-02</v>
      </c>
      <c r="C984" s="5" t="str">
        <f aca="false">01_Data!D984</f>
        <v>FY23</v>
      </c>
      <c r="D984" s="7" t="n">
        <f aca="false">01_Data!E984</f>
        <v>96069</v>
      </c>
      <c r="E984" s="7" t="n">
        <f aca="false">01_Data!F984</f>
        <v>95529</v>
      </c>
      <c r="F984" s="7" t="n">
        <f aca="false">E984-D984</f>
        <v>-540</v>
      </c>
      <c r="G984" s="8" t="n">
        <f aca="false">IFERROR(F984/D984,0)</f>
        <v>-0.00562095993504669</v>
      </c>
      <c r="H984" s="7" t="n">
        <f aca="false">01_Data!G984</f>
        <v>53939</v>
      </c>
      <c r="I984" s="7" t="n">
        <f aca="false">01_Data!H984</f>
        <v>52609</v>
      </c>
      <c r="J984" s="7" t="n">
        <f aca="false">H984-I984</f>
        <v>1330</v>
      </c>
      <c r="K984" s="8" t="n">
        <f aca="false">IFERROR(J984/H984,0)</f>
        <v>0.0246574834535308</v>
      </c>
      <c r="L984" s="7" t="n">
        <f aca="false">D984-H984</f>
        <v>42130</v>
      </c>
      <c r="M984" s="7" t="n">
        <f aca="false">E984-I984</f>
        <v>42920</v>
      </c>
      <c r="N984" s="7" t="n">
        <f aca="false">IFERROR(L984/D984,0)</f>
        <v>0.43853896678429</v>
      </c>
      <c r="O984" s="7" t="n">
        <f aca="false">IFERROR(M984/E984,0)</f>
        <v>0.449287650870416</v>
      </c>
      <c r="P984" s="7" t="n">
        <f aca="false">01_Data!I984+01_Data!K984+01_Data!M984+01_Data!O984+01_Data!Q984+01_Data!S984+01_Data!U984</f>
        <v>24617</v>
      </c>
      <c r="Q984" s="7" t="n">
        <f aca="false">01_Data!J984+01_Data!L984+01_Data!N984+01_Data!P984+01_Data!R984+01_Data!T984+01_Data!V984</f>
        <v>23790</v>
      </c>
      <c r="R984" s="7" t="n">
        <f aca="false">P984-Q984</f>
        <v>827</v>
      </c>
      <c r="S984" s="7" t="n">
        <f aca="false">L984-P984</f>
        <v>17513</v>
      </c>
      <c r="T984" s="7" t="n">
        <f aca="false">M984-Q984</f>
        <v>19130</v>
      </c>
      <c r="U984" s="7" t="n">
        <f aca="false">T984-S984</f>
        <v>1617</v>
      </c>
      <c r="V984" s="8" t="n">
        <f aca="false">IFERROR(U984/S984,0)</f>
        <v>0.0923314109518643</v>
      </c>
      <c r="W984" s="5" t="str">
        <f aca="false">IF(V984&lt;-0.1,"ADVERSE &gt;10%","")</f>
        <v/>
      </c>
    </row>
    <row r="985" customFormat="false" ht="15" hidden="false" customHeight="false" outlineLevel="0" collapsed="false">
      <c r="A985" s="5" t="str">
        <f aca="false">01_Data!A985</f>
        <v>Public Sector</v>
      </c>
      <c r="B985" s="5" t="str">
        <f aca="false">01_Data!C985</f>
        <v>2024-03</v>
      </c>
      <c r="C985" s="5" t="str">
        <f aca="false">01_Data!D985</f>
        <v>FY23</v>
      </c>
      <c r="D985" s="7" t="n">
        <f aca="false">01_Data!E985</f>
        <v>105138</v>
      </c>
      <c r="E985" s="7" t="n">
        <f aca="false">01_Data!F985</f>
        <v>102053</v>
      </c>
      <c r="F985" s="7" t="n">
        <f aca="false">E985-D985</f>
        <v>-3085</v>
      </c>
      <c r="G985" s="8" t="n">
        <f aca="false">IFERROR(F985/D985,0)</f>
        <v>-0.0293423880994502</v>
      </c>
      <c r="H985" s="7" t="n">
        <f aca="false">01_Data!G985</f>
        <v>59487</v>
      </c>
      <c r="I985" s="7" t="n">
        <f aca="false">01_Data!H985</f>
        <v>60531</v>
      </c>
      <c r="J985" s="7" t="n">
        <f aca="false">H985-I985</f>
        <v>-1044</v>
      </c>
      <c r="K985" s="8" t="n">
        <f aca="false">IFERROR(J985/H985,0)</f>
        <v>-0.017550052952746</v>
      </c>
      <c r="L985" s="7" t="n">
        <f aca="false">D985-H985</f>
        <v>45651</v>
      </c>
      <c r="M985" s="7" t="n">
        <f aca="false">E985-I985</f>
        <v>41522</v>
      </c>
      <c r="N985" s="7" t="n">
        <f aca="false">IFERROR(L985/D985,0)</f>
        <v>0.434200764709239</v>
      </c>
      <c r="O985" s="7" t="n">
        <f aca="false">IFERROR(M985/E985,0)</f>
        <v>0.406867020077803</v>
      </c>
      <c r="P985" s="7" t="n">
        <f aca="false">01_Data!I985+01_Data!K985+01_Data!M985+01_Data!O985+01_Data!Q985+01_Data!S985+01_Data!U985</f>
        <v>27761</v>
      </c>
      <c r="Q985" s="7" t="n">
        <f aca="false">01_Data!J985+01_Data!L985+01_Data!N985+01_Data!P985+01_Data!R985+01_Data!T985+01_Data!V985</f>
        <v>28143</v>
      </c>
      <c r="R985" s="7" t="n">
        <f aca="false">P985-Q985</f>
        <v>-382</v>
      </c>
      <c r="S985" s="7" t="n">
        <f aca="false">L985-P985</f>
        <v>17890</v>
      </c>
      <c r="T985" s="7" t="n">
        <f aca="false">M985-Q985</f>
        <v>13379</v>
      </c>
      <c r="U985" s="7" t="n">
        <f aca="false">T985-S985</f>
        <v>-4511</v>
      </c>
      <c r="V985" s="8" t="n">
        <f aca="false">IFERROR(U985/S985,0)</f>
        <v>-0.252152040245947</v>
      </c>
      <c r="W985" s="5" t="str">
        <f aca="false">IF(V985&lt;-0.1,"ADVERSE &gt;10%","")</f>
        <v>ADVERSE &gt;10%</v>
      </c>
    </row>
    <row r="986" customFormat="false" ht="15" hidden="false" customHeight="false" outlineLevel="0" collapsed="false">
      <c r="A986" s="5" t="str">
        <f aca="false">01_Data!A986</f>
        <v>Public Sector</v>
      </c>
      <c r="B986" s="5" t="str">
        <f aca="false">01_Data!C986</f>
        <v>2024-04</v>
      </c>
      <c r="C986" s="5" t="str">
        <f aca="false">01_Data!D986</f>
        <v>FY24</v>
      </c>
      <c r="D986" s="7" t="n">
        <f aca="false">01_Data!E986</f>
        <v>99400</v>
      </c>
      <c r="E986" s="7" t="n">
        <f aca="false">01_Data!F986</f>
        <v>97356</v>
      </c>
      <c r="F986" s="7" t="n">
        <f aca="false">E986-D986</f>
        <v>-2044</v>
      </c>
      <c r="G986" s="8" t="n">
        <f aca="false">IFERROR(F986/D986,0)</f>
        <v>-0.0205633802816901</v>
      </c>
      <c r="H986" s="7" t="n">
        <f aca="false">01_Data!G986</f>
        <v>53845</v>
      </c>
      <c r="I986" s="7" t="n">
        <f aca="false">01_Data!H986</f>
        <v>55459</v>
      </c>
      <c r="J986" s="7" t="n">
        <f aca="false">H986-I986</f>
        <v>-1614</v>
      </c>
      <c r="K986" s="8" t="n">
        <f aca="false">IFERROR(J986/H986,0)</f>
        <v>-0.0299749280341722</v>
      </c>
      <c r="L986" s="7" t="n">
        <f aca="false">D986-H986</f>
        <v>45555</v>
      </c>
      <c r="M986" s="7" t="n">
        <f aca="false">E986-I986</f>
        <v>41897</v>
      </c>
      <c r="N986" s="7" t="n">
        <f aca="false">IFERROR(L986/D986,0)</f>
        <v>0.458299798792757</v>
      </c>
      <c r="O986" s="7" t="n">
        <f aca="false">IFERROR(M986/E986,0)</f>
        <v>0.430348412013641</v>
      </c>
      <c r="P986" s="7" t="n">
        <f aca="false">01_Data!I986+01_Data!K986+01_Data!M986+01_Data!O986+01_Data!Q986+01_Data!S986+01_Data!U986</f>
        <v>27943</v>
      </c>
      <c r="Q986" s="7" t="n">
        <f aca="false">01_Data!J986+01_Data!L986+01_Data!N986+01_Data!P986+01_Data!R986+01_Data!T986+01_Data!V986</f>
        <v>29573</v>
      </c>
      <c r="R986" s="7" t="n">
        <f aca="false">P986-Q986</f>
        <v>-1630</v>
      </c>
      <c r="S986" s="7" t="n">
        <f aca="false">L986-P986</f>
        <v>17612</v>
      </c>
      <c r="T986" s="7" t="n">
        <f aca="false">M986-Q986</f>
        <v>12324</v>
      </c>
      <c r="U986" s="7" t="n">
        <f aca="false">T986-S986</f>
        <v>-5288</v>
      </c>
      <c r="V986" s="8" t="n">
        <f aca="false">IFERROR(U986/S986,0)</f>
        <v>-0.300249829661594</v>
      </c>
      <c r="W986" s="5" t="str">
        <f aca="false">IF(V986&lt;-0.1,"ADVERSE &gt;10%","")</f>
        <v>ADVERSE &gt;10%</v>
      </c>
    </row>
    <row r="987" customFormat="false" ht="15" hidden="false" customHeight="false" outlineLevel="0" collapsed="false">
      <c r="A987" s="5" t="str">
        <f aca="false">01_Data!A987</f>
        <v>Public Sector</v>
      </c>
      <c r="B987" s="5" t="str">
        <f aca="false">01_Data!C987</f>
        <v>2024-05</v>
      </c>
      <c r="C987" s="5" t="str">
        <f aca="false">01_Data!D987</f>
        <v>FY24</v>
      </c>
      <c r="D987" s="7" t="n">
        <f aca="false">01_Data!E987</f>
        <v>99365</v>
      </c>
      <c r="E987" s="7" t="n">
        <f aca="false">01_Data!F987</f>
        <v>96247</v>
      </c>
      <c r="F987" s="7" t="n">
        <f aca="false">E987-D987</f>
        <v>-3118</v>
      </c>
      <c r="G987" s="8" t="n">
        <f aca="false">IFERROR(F987/D987,0)</f>
        <v>-0.0313792582901424</v>
      </c>
      <c r="H987" s="7" t="n">
        <f aca="false">01_Data!G987</f>
        <v>55617</v>
      </c>
      <c r="I987" s="7" t="n">
        <f aca="false">01_Data!H987</f>
        <v>52854</v>
      </c>
      <c r="J987" s="7" t="n">
        <f aca="false">H987-I987</f>
        <v>2763</v>
      </c>
      <c r="K987" s="8" t="n">
        <f aca="false">IFERROR(J987/H987,0)</f>
        <v>0.0496790549652085</v>
      </c>
      <c r="L987" s="7" t="n">
        <f aca="false">D987-H987</f>
        <v>43748</v>
      </c>
      <c r="M987" s="7" t="n">
        <f aca="false">E987-I987</f>
        <v>43393</v>
      </c>
      <c r="N987" s="7" t="n">
        <f aca="false">IFERROR(L987/D987,0)</f>
        <v>0.440275751018971</v>
      </c>
      <c r="O987" s="7" t="n">
        <f aca="false">IFERROR(M987/E987,0)</f>
        <v>0.450850416116866</v>
      </c>
      <c r="P987" s="7" t="n">
        <f aca="false">01_Data!I987+01_Data!K987+01_Data!M987+01_Data!O987+01_Data!Q987+01_Data!S987+01_Data!U987</f>
        <v>27335</v>
      </c>
      <c r="Q987" s="7" t="n">
        <f aca="false">01_Data!J987+01_Data!L987+01_Data!N987+01_Data!P987+01_Data!R987+01_Data!T987+01_Data!V987</f>
        <v>28177</v>
      </c>
      <c r="R987" s="7" t="n">
        <f aca="false">P987-Q987</f>
        <v>-842</v>
      </c>
      <c r="S987" s="7" t="n">
        <f aca="false">L987-P987</f>
        <v>16413</v>
      </c>
      <c r="T987" s="7" t="n">
        <f aca="false">M987-Q987</f>
        <v>15216</v>
      </c>
      <c r="U987" s="7" t="n">
        <f aca="false">T987-S987</f>
        <v>-1197</v>
      </c>
      <c r="V987" s="8" t="n">
        <f aca="false">IFERROR(U987/S987,0)</f>
        <v>-0.0729299945165418</v>
      </c>
      <c r="W987" s="5" t="str">
        <f aca="false">IF(V987&lt;-0.1,"ADVERSE &gt;10%","")</f>
        <v/>
      </c>
    </row>
    <row r="988" customFormat="false" ht="15" hidden="false" customHeight="false" outlineLevel="0" collapsed="false">
      <c r="A988" s="5" t="str">
        <f aca="false">01_Data!A988</f>
        <v>Public Sector</v>
      </c>
      <c r="B988" s="5" t="str">
        <f aca="false">01_Data!C988</f>
        <v>2024-06</v>
      </c>
      <c r="C988" s="5" t="str">
        <f aca="false">01_Data!D988</f>
        <v>FY24</v>
      </c>
      <c r="D988" s="7" t="n">
        <f aca="false">01_Data!E988</f>
        <v>96464</v>
      </c>
      <c r="E988" s="7" t="n">
        <f aca="false">01_Data!F988</f>
        <v>96975</v>
      </c>
      <c r="F988" s="7" t="n">
        <f aca="false">E988-D988</f>
        <v>511</v>
      </c>
      <c r="G988" s="8" t="n">
        <f aca="false">IFERROR(F988/D988,0)</f>
        <v>0.0052973129872284</v>
      </c>
      <c r="H988" s="7" t="n">
        <f aca="false">01_Data!G988</f>
        <v>57425</v>
      </c>
      <c r="I988" s="7" t="n">
        <f aca="false">01_Data!H988</f>
        <v>58117</v>
      </c>
      <c r="J988" s="7" t="n">
        <f aca="false">H988-I988</f>
        <v>-692</v>
      </c>
      <c r="K988" s="8" t="n">
        <f aca="false">IFERROR(J988/H988,0)</f>
        <v>-0.0120505006530257</v>
      </c>
      <c r="L988" s="7" t="n">
        <f aca="false">D988-H988</f>
        <v>39039</v>
      </c>
      <c r="M988" s="7" t="n">
        <f aca="false">E988-I988</f>
        <v>38858</v>
      </c>
      <c r="N988" s="7" t="n">
        <f aca="false">IFERROR(L988/D988,0)</f>
        <v>0.404700199037983</v>
      </c>
      <c r="O988" s="7" t="n">
        <f aca="false">IFERROR(M988/E988,0)</f>
        <v>0.400701211652488</v>
      </c>
      <c r="P988" s="7" t="n">
        <f aca="false">01_Data!I988+01_Data!K988+01_Data!M988+01_Data!O988+01_Data!Q988+01_Data!S988+01_Data!U988</f>
        <v>26689</v>
      </c>
      <c r="Q988" s="7" t="n">
        <f aca="false">01_Data!J988+01_Data!L988+01_Data!N988+01_Data!P988+01_Data!R988+01_Data!T988+01_Data!V988</f>
        <v>26488</v>
      </c>
      <c r="R988" s="7" t="n">
        <f aca="false">P988-Q988</f>
        <v>201</v>
      </c>
      <c r="S988" s="7" t="n">
        <f aca="false">L988-P988</f>
        <v>12350</v>
      </c>
      <c r="T988" s="7" t="n">
        <f aca="false">M988-Q988</f>
        <v>12370</v>
      </c>
      <c r="U988" s="7" t="n">
        <f aca="false">T988-S988</f>
        <v>20</v>
      </c>
      <c r="V988" s="8" t="n">
        <f aca="false">IFERROR(U988/S988,0)</f>
        <v>0.00161943319838057</v>
      </c>
      <c r="W988" s="5" t="str">
        <f aca="false">IF(V988&lt;-0.1,"ADVERSE &gt;10%","")</f>
        <v/>
      </c>
    </row>
    <row r="989" customFormat="false" ht="15" hidden="false" customHeight="false" outlineLevel="0" collapsed="false">
      <c r="A989" s="5" t="str">
        <f aca="false">01_Data!A989</f>
        <v>Public Sector</v>
      </c>
      <c r="B989" s="5" t="str">
        <f aca="false">01_Data!C989</f>
        <v>2024-07</v>
      </c>
      <c r="C989" s="5" t="str">
        <f aca="false">01_Data!D989</f>
        <v>FY24</v>
      </c>
      <c r="D989" s="7" t="n">
        <f aca="false">01_Data!E989</f>
        <v>97341</v>
      </c>
      <c r="E989" s="7" t="n">
        <f aca="false">01_Data!F989</f>
        <v>98695</v>
      </c>
      <c r="F989" s="7" t="n">
        <f aca="false">E989-D989</f>
        <v>1354</v>
      </c>
      <c r="G989" s="8" t="n">
        <f aca="false">IFERROR(F989/D989,0)</f>
        <v>0.0139098632641949</v>
      </c>
      <c r="H989" s="7" t="n">
        <f aca="false">01_Data!G989</f>
        <v>54594</v>
      </c>
      <c r="I989" s="7" t="n">
        <f aca="false">01_Data!H989</f>
        <v>56788</v>
      </c>
      <c r="J989" s="7" t="n">
        <f aca="false">H989-I989</f>
        <v>-2194</v>
      </c>
      <c r="K989" s="8" t="n">
        <f aca="false">IFERROR(J989/H989,0)</f>
        <v>-0.040187566399238</v>
      </c>
      <c r="L989" s="7" t="n">
        <f aca="false">D989-H989</f>
        <v>42747</v>
      </c>
      <c r="M989" s="7" t="n">
        <f aca="false">E989-I989</f>
        <v>41907</v>
      </c>
      <c r="N989" s="7" t="n">
        <f aca="false">IFERROR(L989/D989,0)</f>
        <v>0.439146916510001</v>
      </c>
      <c r="O989" s="7" t="n">
        <f aca="false">IFERROR(M989/E989,0)</f>
        <v>0.424611175844774</v>
      </c>
      <c r="P989" s="7" t="n">
        <f aca="false">01_Data!I989+01_Data!K989+01_Data!M989+01_Data!O989+01_Data!Q989+01_Data!S989+01_Data!U989</f>
        <v>24492</v>
      </c>
      <c r="Q989" s="7" t="n">
        <f aca="false">01_Data!J989+01_Data!L989+01_Data!N989+01_Data!P989+01_Data!R989+01_Data!T989+01_Data!V989</f>
        <v>25538</v>
      </c>
      <c r="R989" s="7" t="n">
        <f aca="false">P989-Q989</f>
        <v>-1046</v>
      </c>
      <c r="S989" s="7" t="n">
        <f aca="false">L989-P989</f>
        <v>18255</v>
      </c>
      <c r="T989" s="7" t="n">
        <f aca="false">M989-Q989</f>
        <v>16369</v>
      </c>
      <c r="U989" s="7" t="n">
        <f aca="false">T989-S989</f>
        <v>-1886</v>
      </c>
      <c r="V989" s="8" t="n">
        <f aca="false">IFERROR(U989/S989,0)</f>
        <v>-0.103314160503972</v>
      </c>
      <c r="W989" s="5" t="str">
        <f aca="false">IF(V989&lt;-0.1,"ADVERSE &gt;10%","")</f>
        <v>ADVERSE &gt;10%</v>
      </c>
    </row>
    <row r="990" customFormat="false" ht="15" hidden="false" customHeight="false" outlineLevel="0" collapsed="false">
      <c r="A990" s="5" t="str">
        <f aca="false">01_Data!A990</f>
        <v>Public Sector</v>
      </c>
      <c r="B990" s="5" t="str">
        <f aca="false">01_Data!C990</f>
        <v>2024-08</v>
      </c>
      <c r="C990" s="5" t="str">
        <f aca="false">01_Data!D990</f>
        <v>FY24</v>
      </c>
      <c r="D990" s="7" t="n">
        <f aca="false">01_Data!E990</f>
        <v>99225</v>
      </c>
      <c r="E990" s="7" t="n">
        <f aca="false">01_Data!F990</f>
        <v>97643</v>
      </c>
      <c r="F990" s="7" t="n">
        <f aca="false">E990-D990</f>
        <v>-1582</v>
      </c>
      <c r="G990" s="8" t="n">
        <f aca="false">IFERROR(F990/D990,0)</f>
        <v>-0.0159435626102293</v>
      </c>
      <c r="H990" s="7" t="n">
        <f aca="false">01_Data!G990</f>
        <v>57452</v>
      </c>
      <c r="I990" s="7" t="n">
        <f aca="false">01_Data!H990</f>
        <v>55253</v>
      </c>
      <c r="J990" s="7" t="n">
        <f aca="false">H990-I990</f>
        <v>2199</v>
      </c>
      <c r="K990" s="8" t="n">
        <f aca="false">IFERROR(J990/H990,0)</f>
        <v>0.0382754299241106</v>
      </c>
      <c r="L990" s="7" t="n">
        <f aca="false">D990-H990</f>
        <v>41773</v>
      </c>
      <c r="M990" s="7" t="n">
        <f aca="false">E990-I990</f>
        <v>42390</v>
      </c>
      <c r="N990" s="7" t="n">
        <f aca="false">IFERROR(L990/D990,0)</f>
        <v>0.420992693373646</v>
      </c>
      <c r="O990" s="7" t="n">
        <f aca="false">IFERROR(M990/E990,0)</f>
        <v>0.43413250309802</v>
      </c>
      <c r="P990" s="7" t="n">
        <f aca="false">01_Data!I990+01_Data!K990+01_Data!M990+01_Data!O990+01_Data!Q990+01_Data!S990+01_Data!U990</f>
        <v>25867</v>
      </c>
      <c r="Q990" s="7" t="n">
        <f aca="false">01_Data!J990+01_Data!L990+01_Data!N990+01_Data!P990+01_Data!R990+01_Data!T990+01_Data!V990</f>
        <v>26030</v>
      </c>
      <c r="R990" s="7" t="n">
        <f aca="false">P990-Q990</f>
        <v>-163</v>
      </c>
      <c r="S990" s="7" t="n">
        <f aca="false">L990-P990</f>
        <v>15906</v>
      </c>
      <c r="T990" s="7" t="n">
        <f aca="false">M990-Q990</f>
        <v>16360</v>
      </c>
      <c r="U990" s="7" t="n">
        <f aca="false">T990-S990</f>
        <v>454</v>
      </c>
      <c r="V990" s="8" t="n">
        <f aca="false">IFERROR(U990/S990,0)</f>
        <v>0.0285426882937256</v>
      </c>
      <c r="W990" s="5" t="str">
        <f aca="false">IF(V990&lt;-0.1,"ADVERSE &gt;10%","")</f>
        <v/>
      </c>
    </row>
    <row r="991" customFormat="false" ht="15" hidden="false" customHeight="false" outlineLevel="0" collapsed="false">
      <c r="A991" s="5" t="str">
        <f aca="false">01_Data!A991</f>
        <v>Public Sector</v>
      </c>
      <c r="B991" s="5" t="str">
        <f aca="false">01_Data!C991</f>
        <v>2024-09</v>
      </c>
      <c r="C991" s="5" t="str">
        <f aca="false">01_Data!D991</f>
        <v>FY24</v>
      </c>
      <c r="D991" s="7" t="n">
        <f aca="false">01_Data!E991</f>
        <v>106927</v>
      </c>
      <c r="E991" s="7" t="n">
        <f aca="false">01_Data!F991</f>
        <v>105483</v>
      </c>
      <c r="F991" s="7" t="n">
        <f aca="false">E991-D991</f>
        <v>-1444</v>
      </c>
      <c r="G991" s="8" t="n">
        <f aca="false">IFERROR(F991/D991,0)</f>
        <v>-0.0135045404808888</v>
      </c>
      <c r="H991" s="7" t="n">
        <f aca="false">01_Data!G991</f>
        <v>63618</v>
      </c>
      <c r="I991" s="7" t="n">
        <f aca="false">01_Data!H991</f>
        <v>63924</v>
      </c>
      <c r="J991" s="7" t="n">
        <f aca="false">H991-I991</f>
        <v>-306</v>
      </c>
      <c r="K991" s="8" t="n">
        <f aca="false">IFERROR(J991/H991,0)</f>
        <v>-0.00480995944543997</v>
      </c>
      <c r="L991" s="7" t="n">
        <f aca="false">D991-H991</f>
        <v>43309</v>
      </c>
      <c r="M991" s="7" t="n">
        <f aca="false">E991-I991</f>
        <v>41559</v>
      </c>
      <c r="N991" s="7" t="n">
        <f aca="false">IFERROR(L991/D991,0)</f>
        <v>0.405033340503334</v>
      </c>
      <c r="O991" s="7" t="n">
        <f aca="false">IFERROR(M991/E991,0)</f>
        <v>0.393987656778817</v>
      </c>
      <c r="P991" s="7" t="n">
        <f aca="false">01_Data!I991+01_Data!K991+01_Data!M991+01_Data!O991+01_Data!Q991+01_Data!S991+01_Data!U991</f>
        <v>29097</v>
      </c>
      <c r="Q991" s="7" t="n">
        <f aca="false">01_Data!J991+01_Data!L991+01_Data!N991+01_Data!P991+01_Data!R991+01_Data!T991+01_Data!V991</f>
        <v>29868</v>
      </c>
      <c r="R991" s="7" t="n">
        <f aca="false">P991-Q991</f>
        <v>-771</v>
      </c>
      <c r="S991" s="7" t="n">
        <f aca="false">L991-P991</f>
        <v>14212</v>
      </c>
      <c r="T991" s="7" t="n">
        <f aca="false">M991-Q991</f>
        <v>11691</v>
      </c>
      <c r="U991" s="7" t="n">
        <f aca="false">T991-S991</f>
        <v>-2521</v>
      </c>
      <c r="V991" s="8" t="n">
        <f aca="false">IFERROR(U991/S991,0)</f>
        <v>-0.177385308190262</v>
      </c>
      <c r="W991" s="5" t="str">
        <f aca="false">IF(V991&lt;-0.1,"ADVERSE &gt;10%","")</f>
        <v>ADVERSE &gt;10%</v>
      </c>
    </row>
    <row r="992" customFormat="false" ht="15" hidden="false" customHeight="false" outlineLevel="0" collapsed="false">
      <c r="A992" s="5" t="str">
        <f aca="false">01_Data!A992</f>
        <v>Public Sector</v>
      </c>
      <c r="B992" s="5" t="str">
        <f aca="false">01_Data!C992</f>
        <v>2024-10</v>
      </c>
      <c r="C992" s="5" t="str">
        <f aca="false">01_Data!D992</f>
        <v>FY24</v>
      </c>
      <c r="D992" s="7" t="n">
        <f aca="false">01_Data!E992</f>
        <v>93975</v>
      </c>
      <c r="E992" s="7" t="n">
        <f aca="false">01_Data!F992</f>
        <v>99050</v>
      </c>
      <c r="F992" s="7" t="n">
        <f aca="false">E992-D992</f>
        <v>5075</v>
      </c>
      <c r="G992" s="8" t="n">
        <f aca="false">IFERROR(F992/D992,0)</f>
        <v>0.0540037243947858</v>
      </c>
      <c r="H992" s="7" t="n">
        <f aca="false">01_Data!G992</f>
        <v>55802</v>
      </c>
      <c r="I992" s="7" t="n">
        <f aca="false">01_Data!H992</f>
        <v>59866</v>
      </c>
      <c r="J992" s="7" t="n">
        <f aca="false">H992-I992</f>
        <v>-4064</v>
      </c>
      <c r="K992" s="8" t="n">
        <f aca="false">IFERROR(J992/H992,0)</f>
        <v>-0.0728289308626931</v>
      </c>
      <c r="L992" s="7" t="n">
        <f aca="false">D992-H992</f>
        <v>38173</v>
      </c>
      <c r="M992" s="7" t="n">
        <f aca="false">E992-I992</f>
        <v>39184</v>
      </c>
      <c r="N992" s="7" t="n">
        <f aca="false">IFERROR(L992/D992,0)</f>
        <v>0.406203777600426</v>
      </c>
      <c r="O992" s="7" t="n">
        <f aca="false">IFERROR(M992/E992,0)</f>
        <v>0.395598182735992</v>
      </c>
      <c r="P992" s="7" t="n">
        <f aca="false">01_Data!I992+01_Data!K992+01_Data!M992+01_Data!O992+01_Data!Q992+01_Data!S992+01_Data!U992</f>
        <v>25046</v>
      </c>
      <c r="Q992" s="7" t="n">
        <f aca="false">01_Data!J992+01_Data!L992+01_Data!N992+01_Data!P992+01_Data!R992+01_Data!T992+01_Data!V992</f>
        <v>26653</v>
      </c>
      <c r="R992" s="7" t="n">
        <f aca="false">P992-Q992</f>
        <v>-1607</v>
      </c>
      <c r="S992" s="7" t="n">
        <f aca="false">L992-P992</f>
        <v>13127</v>
      </c>
      <c r="T992" s="7" t="n">
        <f aca="false">M992-Q992</f>
        <v>12531</v>
      </c>
      <c r="U992" s="7" t="n">
        <f aca="false">T992-S992</f>
        <v>-596</v>
      </c>
      <c r="V992" s="8" t="n">
        <f aca="false">IFERROR(U992/S992,0)</f>
        <v>-0.045402605317285</v>
      </c>
      <c r="W992" s="5" t="str">
        <f aca="false">IF(V992&lt;-0.1,"ADVERSE &gt;10%","")</f>
        <v/>
      </c>
    </row>
    <row r="993" customFormat="false" ht="15" hidden="false" customHeight="false" outlineLevel="0" collapsed="false">
      <c r="A993" s="5" t="str">
        <f aca="false">01_Data!A993</f>
        <v>Public Sector</v>
      </c>
      <c r="B993" s="5" t="str">
        <f aca="false">01_Data!C993</f>
        <v>2024-11</v>
      </c>
      <c r="C993" s="5" t="str">
        <f aca="false">01_Data!D993</f>
        <v>FY24</v>
      </c>
      <c r="D993" s="7" t="n">
        <f aca="false">01_Data!E993</f>
        <v>102141</v>
      </c>
      <c r="E993" s="7" t="n">
        <f aca="false">01_Data!F993</f>
        <v>100248</v>
      </c>
      <c r="F993" s="7" t="n">
        <f aca="false">E993-D993</f>
        <v>-1893</v>
      </c>
      <c r="G993" s="8" t="n">
        <f aca="false">IFERROR(F993/D993,0)</f>
        <v>-0.0185332041002144</v>
      </c>
      <c r="H993" s="7" t="n">
        <f aca="false">01_Data!G993</f>
        <v>58596</v>
      </c>
      <c r="I993" s="7" t="n">
        <f aca="false">01_Data!H993</f>
        <v>56238</v>
      </c>
      <c r="J993" s="7" t="n">
        <f aca="false">H993-I993</f>
        <v>2358</v>
      </c>
      <c r="K993" s="8" t="n">
        <f aca="false">IFERROR(J993/H993,0)</f>
        <v>0.0402416547204587</v>
      </c>
      <c r="L993" s="7" t="n">
        <f aca="false">D993-H993</f>
        <v>43545</v>
      </c>
      <c r="M993" s="7" t="n">
        <f aca="false">E993-I993</f>
        <v>44010</v>
      </c>
      <c r="N993" s="7" t="n">
        <f aca="false">IFERROR(L993/D993,0)</f>
        <v>0.426322436631715</v>
      </c>
      <c r="O993" s="7" t="n">
        <f aca="false">IFERROR(M993/E993,0)</f>
        <v>0.439011252094805</v>
      </c>
      <c r="P993" s="7" t="n">
        <f aca="false">01_Data!I993+01_Data!K993+01_Data!M993+01_Data!O993+01_Data!Q993+01_Data!S993+01_Data!U993</f>
        <v>26051</v>
      </c>
      <c r="Q993" s="7" t="n">
        <f aca="false">01_Data!J993+01_Data!L993+01_Data!N993+01_Data!P993+01_Data!R993+01_Data!T993+01_Data!V993</f>
        <v>26953</v>
      </c>
      <c r="R993" s="7" t="n">
        <f aca="false">P993-Q993</f>
        <v>-902</v>
      </c>
      <c r="S993" s="7" t="n">
        <f aca="false">L993-P993</f>
        <v>17494</v>
      </c>
      <c r="T993" s="7" t="n">
        <f aca="false">M993-Q993</f>
        <v>17057</v>
      </c>
      <c r="U993" s="7" t="n">
        <f aca="false">T993-S993</f>
        <v>-437</v>
      </c>
      <c r="V993" s="8" t="n">
        <f aca="false">IFERROR(U993/S993,0)</f>
        <v>-0.0249799931405053</v>
      </c>
      <c r="W993" s="5" t="str">
        <f aca="false">IF(V993&lt;-0.1,"ADVERSE &gt;10%","")</f>
        <v/>
      </c>
    </row>
    <row r="994" customFormat="false" ht="15" hidden="false" customHeight="false" outlineLevel="0" collapsed="false">
      <c r="A994" s="5" t="str">
        <f aca="false">01_Data!A994</f>
        <v>Public Sector</v>
      </c>
      <c r="B994" s="5" t="str">
        <f aca="false">01_Data!C994</f>
        <v>2024-12</v>
      </c>
      <c r="C994" s="5" t="str">
        <f aca="false">01_Data!D994</f>
        <v>FY24</v>
      </c>
      <c r="D994" s="7" t="n">
        <f aca="false">01_Data!E994</f>
        <v>98890</v>
      </c>
      <c r="E994" s="7" t="n">
        <f aca="false">01_Data!F994</f>
        <v>105095</v>
      </c>
      <c r="F994" s="7" t="n">
        <f aca="false">E994-D994</f>
        <v>6205</v>
      </c>
      <c r="G994" s="8" t="n">
        <f aca="false">IFERROR(F994/D994,0)</f>
        <v>0.0627464859945394</v>
      </c>
      <c r="H994" s="7" t="n">
        <f aca="false">01_Data!G994</f>
        <v>58706</v>
      </c>
      <c r="I994" s="7" t="n">
        <f aca="false">01_Data!H994</f>
        <v>63289</v>
      </c>
      <c r="J994" s="7" t="n">
        <f aca="false">H994-I994</f>
        <v>-4583</v>
      </c>
      <c r="K994" s="8" t="n">
        <f aca="false">IFERROR(J994/H994,0)</f>
        <v>-0.0780669778216877</v>
      </c>
      <c r="L994" s="7" t="n">
        <f aca="false">D994-H994</f>
        <v>40184</v>
      </c>
      <c r="M994" s="7" t="n">
        <f aca="false">E994-I994</f>
        <v>41806</v>
      </c>
      <c r="N994" s="7" t="n">
        <f aca="false">IFERROR(L994/D994,0)</f>
        <v>0.406350490443928</v>
      </c>
      <c r="O994" s="7" t="n">
        <f aca="false">IFERROR(M994/E994,0)</f>
        <v>0.397792473476379</v>
      </c>
      <c r="P994" s="7" t="n">
        <f aca="false">01_Data!I994+01_Data!K994+01_Data!M994+01_Data!O994+01_Data!Q994+01_Data!S994+01_Data!U994</f>
        <v>24710</v>
      </c>
      <c r="Q994" s="7" t="n">
        <f aca="false">01_Data!J994+01_Data!L994+01_Data!N994+01_Data!P994+01_Data!R994+01_Data!T994+01_Data!V994</f>
        <v>25411</v>
      </c>
      <c r="R994" s="7" t="n">
        <f aca="false">P994-Q994</f>
        <v>-701</v>
      </c>
      <c r="S994" s="7" t="n">
        <f aca="false">L994-P994</f>
        <v>15474</v>
      </c>
      <c r="T994" s="7" t="n">
        <f aca="false">M994-Q994</f>
        <v>16395</v>
      </c>
      <c r="U994" s="7" t="n">
        <f aca="false">T994-S994</f>
        <v>921</v>
      </c>
      <c r="V994" s="8" t="n">
        <f aca="false">IFERROR(U994/S994,0)</f>
        <v>0.0595191934858472</v>
      </c>
      <c r="W994" s="5" t="str">
        <f aca="false">IF(V994&lt;-0.1,"ADVERSE &gt;10%","")</f>
        <v/>
      </c>
    </row>
    <row r="995" customFormat="false" ht="15" hidden="false" customHeight="false" outlineLevel="0" collapsed="false">
      <c r="A995" s="5" t="str">
        <f aca="false">01_Data!A995</f>
        <v>Public Sector</v>
      </c>
      <c r="B995" s="5" t="str">
        <f aca="false">01_Data!C995</f>
        <v>2025-01</v>
      </c>
      <c r="C995" s="5" t="str">
        <f aca="false">01_Data!D995</f>
        <v>FY24</v>
      </c>
      <c r="D995" s="7" t="n">
        <f aca="false">01_Data!E995</f>
        <v>96543</v>
      </c>
      <c r="E995" s="7" t="n">
        <f aca="false">01_Data!F995</f>
        <v>101084</v>
      </c>
      <c r="F995" s="7" t="n">
        <f aca="false">E995-D995</f>
        <v>4541</v>
      </c>
      <c r="G995" s="8" t="n">
        <f aca="false">IFERROR(F995/D995,0)</f>
        <v>0.047036035756088</v>
      </c>
      <c r="H995" s="7" t="n">
        <f aca="false">01_Data!G995</f>
        <v>53549</v>
      </c>
      <c r="I995" s="7" t="n">
        <f aca="false">01_Data!H995</f>
        <v>54263</v>
      </c>
      <c r="J995" s="7" t="n">
        <f aca="false">H995-I995</f>
        <v>-714</v>
      </c>
      <c r="K995" s="8" t="n">
        <f aca="false">IFERROR(J995/H995,0)</f>
        <v>-0.0133335823264673</v>
      </c>
      <c r="L995" s="7" t="n">
        <f aca="false">D995-H995</f>
        <v>42994</v>
      </c>
      <c r="M995" s="7" t="n">
        <f aca="false">E995-I995</f>
        <v>46821</v>
      </c>
      <c r="N995" s="7" t="n">
        <f aca="false">IFERROR(L995/D995,0)</f>
        <v>0.44533523921983</v>
      </c>
      <c r="O995" s="7" t="n">
        <f aca="false">IFERROR(M995/E995,0)</f>
        <v>0.46318903090499</v>
      </c>
      <c r="P995" s="7" t="n">
        <f aca="false">01_Data!I995+01_Data!K995+01_Data!M995+01_Data!O995+01_Data!Q995+01_Data!S995+01_Data!U995</f>
        <v>23947</v>
      </c>
      <c r="Q995" s="7" t="n">
        <f aca="false">01_Data!J995+01_Data!L995+01_Data!N995+01_Data!P995+01_Data!R995+01_Data!T995+01_Data!V995</f>
        <v>24718</v>
      </c>
      <c r="R995" s="7" t="n">
        <f aca="false">P995-Q995</f>
        <v>-771</v>
      </c>
      <c r="S995" s="7" t="n">
        <f aca="false">L995-P995</f>
        <v>19047</v>
      </c>
      <c r="T995" s="7" t="n">
        <f aca="false">M995-Q995</f>
        <v>22103</v>
      </c>
      <c r="U995" s="7" t="n">
        <f aca="false">T995-S995</f>
        <v>3056</v>
      </c>
      <c r="V995" s="8" t="n">
        <f aca="false">IFERROR(U995/S995,0)</f>
        <v>0.16044521446947</v>
      </c>
      <c r="W995" s="5" t="str">
        <f aca="false">IF(V995&lt;-0.1,"ADVERSE &gt;10%","")</f>
        <v/>
      </c>
    </row>
    <row r="996" customFormat="false" ht="15" hidden="false" customHeight="false" outlineLevel="0" collapsed="false">
      <c r="A996" s="5" t="str">
        <f aca="false">01_Data!A996</f>
        <v>Public Sector</v>
      </c>
      <c r="B996" s="5" t="str">
        <f aca="false">01_Data!C996</f>
        <v>2025-02</v>
      </c>
      <c r="C996" s="5" t="str">
        <f aca="false">01_Data!D996</f>
        <v>FY24</v>
      </c>
      <c r="D996" s="7" t="n">
        <f aca="false">01_Data!E996</f>
        <v>105799</v>
      </c>
      <c r="E996" s="7" t="n">
        <f aca="false">01_Data!F996</f>
        <v>101436</v>
      </c>
      <c r="F996" s="7" t="n">
        <f aca="false">E996-D996</f>
        <v>-4363</v>
      </c>
      <c r="G996" s="8" t="n">
        <f aca="false">IFERROR(F996/D996,0)</f>
        <v>-0.0412385750337905</v>
      </c>
      <c r="H996" s="7" t="n">
        <f aca="false">01_Data!G996</f>
        <v>62618</v>
      </c>
      <c r="I996" s="7" t="n">
        <f aca="false">01_Data!H996</f>
        <v>60689</v>
      </c>
      <c r="J996" s="7" t="n">
        <f aca="false">H996-I996</f>
        <v>1929</v>
      </c>
      <c r="K996" s="8" t="n">
        <f aca="false">IFERROR(J996/H996,0)</f>
        <v>0.0308058385767671</v>
      </c>
      <c r="L996" s="7" t="n">
        <f aca="false">D996-H996</f>
        <v>43181</v>
      </c>
      <c r="M996" s="7" t="n">
        <f aca="false">E996-I996</f>
        <v>40747</v>
      </c>
      <c r="N996" s="7" t="n">
        <f aca="false">IFERROR(L996/D996,0)</f>
        <v>0.408141853892759</v>
      </c>
      <c r="O996" s="7" t="n">
        <f aca="false">IFERROR(M996/E996,0)</f>
        <v>0.401701565519145</v>
      </c>
      <c r="P996" s="7" t="n">
        <f aca="false">01_Data!I996+01_Data!K996+01_Data!M996+01_Data!O996+01_Data!Q996+01_Data!S996+01_Data!U996</f>
        <v>29066</v>
      </c>
      <c r="Q996" s="7" t="n">
        <f aca="false">01_Data!J996+01_Data!L996+01_Data!N996+01_Data!P996+01_Data!R996+01_Data!T996+01_Data!V996</f>
        <v>29878</v>
      </c>
      <c r="R996" s="7" t="n">
        <f aca="false">P996-Q996</f>
        <v>-812</v>
      </c>
      <c r="S996" s="7" t="n">
        <f aca="false">L996-P996</f>
        <v>14115</v>
      </c>
      <c r="T996" s="7" t="n">
        <f aca="false">M996-Q996</f>
        <v>10869</v>
      </c>
      <c r="U996" s="7" t="n">
        <f aca="false">T996-S996</f>
        <v>-3246</v>
      </c>
      <c r="V996" s="8" t="n">
        <f aca="false">IFERROR(U996/S996,0)</f>
        <v>-0.229968119022317</v>
      </c>
      <c r="W996" s="5" t="str">
        <f aca="false">IF(V996&lt;-0.1,"ADVERSE &gt;10%","")</f>
        <v>ADVERSE &gt;10%</v>
      </c>
    </row>
    <row r="997" customFormat="false" ht="15" hidden="false" customHeight="false" outlineLevel="0" collapsed="false">
      <c r="A997" s="5" t="str">
        <f aca="false">01_Data!A997</f>
        <v>Public Sector</v>
      </c>
      <c r="B997" s="5" t="str">
        <f aca="false">01_Data!C997</f>
        <v>2025-03</v>
      </c>
      <c r="C997" s="5" t="str">
        <f aca="false">01_Data!D997</f>
        <v>FY24</v>
      </c>
      <c r="D997" s="7" t="n">
        <f aca="false">01_Data!E997</f>
        <v>104087</v>
      </c>
      <c r="E997" s="7" t="n">
        <f aca="false">01_Data!F997</f>
        <v>107182</v>
      </c>
      <c r="F997" s="7" t="n">
        <f aca="false">E997-D997</f>
        <v>3095</v>
      </c>
      <c r="G997" s="8" t="n">
        <f aca="false">IFERROR(F997/D997,0)</f>
        <v>0.0297347411300162</v>
      </c>
      <c r="H997" s="7" t="n">
        <f aca="false">01_Data!G997</f>
        <v>58251</v>
      </c>
      <c r="I997" s="7" t="n">
        <f aca="false">01_Data!H997</f>
        <v>59918</v>
      </c>
      <c r="J997" s="7" t="n">
        <f aca="false">H997-I997</f>
        <v>-1667</v>
      </c>
      <c r="K997" s="8" t="n">
        <f aca="false">IFERROR(J997/H997,0)</f>
        <v>-0.0286175344629277</v>
      </c>
      <c r="L997" s="7" t="n">
        <f aca="false">D997-H997</f>
        <v>45836</v>
      </c>
      <c r="M997" s="7" t="n">
        <f aca="false">E997-I997</f>
        <v>47264</v>
      </c>
      <c r="N997" s="7" t="n">
        <f aca="false">IFERROR(L997/D997,0)</f>
        <v>0.440362389155226</v>
      </c>
      <c r="O997" s="7" t="n">
        <f aca="false">IFERROR(M997/E997,0)</f>
        <v>0.4409695657853</v>
      </c>
      <c r="P997" s="7" t="n">
        <f aca="false">01_Data!I997+01_Data!K997+01_Data!M997+01_Data!O997+01_Data!Q997+01_Data!S997+01_Data!U997</f>
        <v>25681</v>
      </c>
      <c r="Q997" s="7" t="n">
        <f aca="false">01_Data!J997+01_Data!L997+01_Data!N997+01_Data!P997+01_Data!R997+01_Data!T997+01_Data!V997</f>
        <v>25795</v>
      </c>
      <c r="R997" s="7" t="n">
        <f aca="false">P997-Q997</f>
        <v>-114</v>
      </c>
      <c r="S997" s="7" t="n">
        <f aca="false">L997-P997</f>
        <v>20155</v>
      </c>
      <c r="T997" s="7" t="n">
        <f aca="false">M997-Q997</f>
        <v>21469</v>
      </c>
      <c r="U997" s="7" t="n">
        <f aca="false">T997-S997</f>
        <v>1314</v>
      </c>
      <c r="V997" s="8" t="n">
        <f aca="false">IFERROR(U997/S997,0)</f>
        <v>0.0651947407591168</v>
      </c>
      <c r="W997" s="5" t="str">
        <f aca="false">IF(V997&lt;-0.1,"ADVERSE &gt;10%","")</f>
        <v/>
      </c>
    </row>
    <row r="998" customFormat="false" ht="15" hidden="false" customHeight="false" outlineLevel="0" collapsed="false">
      <c r="A998" s="5" t="str">
        <f aca="false">01_Data!A998</f>
        <v>Public Sector</v>
      </c>
      <c r="B998" s="5" t="str">
        <f aca="false">01_Data!C998</f>
        <v>2025-04</v>
      </c>
      <c r="C998" s="5" t="str">
        <f aca="false">01_Data!D998</f>
        <v>FY25</v>
      </c>
      <c r="D998" s="7" t="n">
        <f aca="false">01_Data!E998</f>
        <v>99218</v>
      </c>
      <c r="E998" s="7" t="n">
        <f aca="false">01_Data!F998</f>
        <v>100343</v>
      </c>
      <c r="F998" s="7" t="n">
        <f aca="false">E998-D998</f>
        <v>1125</v>
      </c>
      <c r="G998" s="8" t="n">
        <f aca="false">IFERROR(F998/D998,0)</f>
        <v>0.0113386683867847</v>
      </c>
      <c r="H998" s="7" t="n">
        <f aca="false">01_Data!G998</f>
        <v>57483</v>
      </c>
      <c r="I998" s="7" t="n">
        <f aca="false">01_Data!H998</f>
        <v>56222</v>
      </c>
      <c r="J998" s="7" t="n">
        <f aca="false">H998-I998</f>
        <v>1261</v>
      </c>
      <c r="K998" s="8" t="n">
        <f aca="false">IFERROR(J998/H998,0)</f>
        <v>0.0219369204808378</v>
      </c>
      <c r="L998" s="7" t="n">
        <f aca="false">D998-H998</f>
        <v>41735</v>
      </c>
      <c r="M998" s="7" t="n">
        <f aca="false">E998-I998</f>
        <v>44121</v>
      </c>
      <c r="N998" s="7" t="n">
        <f aca="false">IFERROR(L998/D998,0)</f>
        <v>0.420639400108851</v>
      </c>
      <c r="O998" s="7" t="n">
        <f aca="false">IFERROR(M998/E998,0)</f>
        <v>0.439701822747974</v>
      </c>
      <c r="P998" s="7" t="n">
        <f aca="false">01_Data!I998+01_Data!K998+01_Data!M998+01_Data!O998+01_Data!Q998+01_Data!S998+01_Data!U998</f>
        <v>26428</v>
      </c>
      <c r="Q998" s="7" t="n">
        <f aca="false">01_Data!J998+01_Data!L998+01_Data!N998+01_Data!P998+01_Data!R998+01_Data!T998+01_Data!V998</f>
        <v>27488</v>
      </c>
      <c r="R998" s="7" t="n">
        <f aca="false">P998-Q998</f>
        <v>-1060</v>
      </c>
      <c r="S998" s="7" t="n">
        <f aca="false">L998-P998</f>
        <v>15307</v>
      </c>
      <c r="T998" s="7" t="n">
        <f aca="false">M998-Q998</f>
        <v>16633</v>
      </c>
      <c r="U998" s="7" t="n">
        <f aca="false">T998-S998</f>
        <v>1326</v>
      </c>
      <c r="V998" s="8" t="n">
        <f aca="false">IFERROR(U998/S998,0)</f>
        <v>0.0866270333834193</v>
      </c>
      <c r="W998" s="5" t="str">
        <f aca="false">IF(V998&lt;-0.1,"ADVERSE &gt;10%","")</f>
        <v/>
      </c>
    </row>
    <row r="999" customFormat="false" ht="15" hidden="false" customHeight="false" outlineLevel="0" collapsed="false">
      <c r="A999" s="5" t="str">
        <f aca="false">01_Data!A999</f>
        <v>Public Sector</v>
      </c>
      <c r="B999" s="5" t="str">
        <f aca="false">01_Data!C999</f>
        <v>2025-05</v>
      </c>
      <c r="C999" s="5" t="str">
        <f aca="false">01_Data!D999</f>
        <v>FY25</v>
      </c>
      <c r="D999" s="7" t="n">
        <f aca="false">01_Data!E999</f>
        <v>103298</v>
      </c>
      <c r="E999" s="7" t="n">
        <f aca="false">01_Data!F999</f>
        <v>102449</v>
      </c>
      <c r="F999" s="7" t="n">
        <f aca="false">E999-D999</f>
        <v>-849</v>
      </c>
      <c r="G999" s="8" t="n">
        <f aca="false">IFERROR(F999/D999,0)</f>
        <v>-0.00821893937927162</v>
      </c>
      <c r="H999" s="7" t="n">
        <f aca="false">01_Data!G999</f>
        <v>57520</v>
      </c>
      <c r="I999" s="7" t="n">
        <f aca="false">01_Data!H999</f>
        <v>58857</v>
      </c>
      <c r="J999" s="7" t="n">
        <f aca="false">H999-I999</f>
        <v>-1337</v>
      </c>
      <c r="K999" s="8" t="n">
        <f aca="false">IFERROR(J999/H999,0)</f>
        <v>-0.0232440890125174</v>
      </c>
      <c r="L999" s="7" t="n">
        <f aca="false">D999-H999</f>
        <v>45778</v>
      </c>
      <c r="M999" s="7" t="n">
        <f aca="false">E999-I999</f>
        <v>43592</v>
      </c>
      <c r="N999" s="7" t="n">
        <f aca="false">IFERROR(L999/D999,0)</f>
        <v>0.443164436871963</v>
      </c>
      <c r="O999" s="7" t="n">
        <f aca="false">IFERROR(M999/E999,0)</f>
        <v>0.425499516832766</v>
      </c>
      <c r="P999" s="7" t="n">
        <f aca="false">01_Data!I999+01_Data!K999+01_Data!M999+01_Data!O999+01_Data!Q999+01_Data!S999+01_Data!U999</f>
        <v>29221</v>
      </c>
      <c r="Q999" s="7" t="n">
        <f aca="false">01_Data!J999+01_Data!L999+01_Data!N999+01_Data!P999+01_Data!R999+01_Data!T999+01_Data!V999</f>
        <v>28733</v>
      </c>
      <c r="R999" s="7" t="n">
        <f aca="false">P999-Q999</f>
        <v>488</v>
      </c>
      <c r="S999" s="7" t="n">
        <f aca="false">L999-P999</f>
        <v>16557</v>
      </c>
      <c r="T999" s="7" t="n">
        <f aca="false">M999-Q999</f>
        <v>14859</v>
      </c>
      <c r="U999" s="7" t="n">
        <f aca="false">T999-S999</f>
        <v>-1698</v>
      </c>
      <c r="V999" s="8" t="n">
        <f aca="false">IFERROR(U999/S999,0)</f>
        <v>-0.102554810654104</v>
      </c>
      <c r="W999" s="5" t="str">
        <f aca="false">IF(V999&lt;-0.1,"ADVERSE &gt;10%","")</f>
        <v>ADVERSE &gt;10%</v>
      </c>
    </row>
    <row r="1000" customFormat="false" ht="15" hidden="false" customHeight="false" outlineLevel="0" collapsed="false">
      <c r="A1000" s="5" t="str">
        <f aca="false">01_Data!A1000</f>
        <v>Public Sector</v>
      </c>
      <c r="B1000" s="5" t="str">
        <f aca="false">01_Data!C1000</f>
        <v>2025-06</v>
      </c>
      <c r="C1000" s="5" t="str">
        <f aca="false">01_Data!D1000</f>
        <v>FY25</v>
      </c>
      <c r="D1000" s="7" t="n">
        <f aca="false">01_Data!E1000</f>
        <v>108358</v>
      </c>
      <c r="E1000" s="7" t="n">
        <f aca="false">01_Data!F1000</f>
        <v>104174</v>
      </c>
      <c r="F1000" s="7" t="n">
        <f aca="false">E1000-D1000</f>
        <v>-4184</v>
      </c>
      <c r="G1000" s="8" t="n">
        <f aca="false">IFERROR(F1000/D1000,0)</f>
        <v>-0.0386127466361505</v>
      </c>
      <c r="H1000" s="7" t="n">
        <f aca="false">01_Data!G1000</f>
        <v>64672</v>
      </c>
      <c r="I1000" s="7" t="n">
        <f aca="false">01_Data!H1000</f>
        <v>60942</v>
      </c>
      <c r="J1000" s="7" t="n">
        <f aca="false">H1000-I1000</f>
        <v>3730</v>
      </c>
      <c r="K1000" s="8" t="n">
        <f aca="false">IFERROR(J1000/H1000,0)</f>
        <v>0.0576756556160317</v>
      </c>
      <c r="L1000" s="7" t="n">
        <f aca="false">D1000-H1000</f>
        <v>43686</v>
      </c>
      <c r="M1000" s="7" t="n">
        <f aca="false">E1000-I1000</f>
        <v>43232</v>
      </c>
      <c r="N1000" s="7" t="n">
        <f aca="false">IFERROR(L1000/D1000,0)</f>
        <v>0.403163587367799</v>
      </c>
      <c r="O1000" s="7" t="n">
        <f aca="false">IFERROR(M1000/E1000,0)</f>
        <v>0.414997984141916</v>
      </c>
      <c r="P1000" s="7" t="n">
        <f aca="false">01_Data!I1000+01_Data!K1000+01_Data!M1000+01_Data!O1000+01_Data!Q1000+01_Data!S1000+01_Data!U1000</f>
        <v>29726</v>
      </c>
      <c r="Q1000" s="7" t="n">
        <f aca="false">01_Data!J1000+01_Data!L1000+01_Data!N1000+01_Data!P1000+01_Data!R1000+01_Data!T1000+01_Data!V1000</f>
        <v>30818</v>
      </c>
      <c r="R1000" s="7" t="n">
        <f aca="false">P1000-Q1000</f>
        <v>-1092</v>
      </c>
      <c r="S1000" s="7" t="n">
        <f aca="false">L1000-P1000</f>
        <v>13960</v>
      </c>
      <c r="T1000" s="7" t="n">
        <f aca="false">M1000-Q1000</f>
        <v>12414</v>
      </c>
      <c r="U1000" s="7" t="n">
        <f aca="false">T1000-S1000</f>
        <v>-1546</v>
      </c>
      <c r="V1000" s="8" t="n">
        <f aca="false">IFERROR(U1000/S1000,0)</f>
        <v>-0.110744985673352</v>
      </c>
      <c r="W1000" s="5" t="str">
        <f aca="false">IF(V1000&lt;-0.1,"ADVERSE &gt;10%","")</f>
        <v>ADVERSE &gt;10%</v>
      </c>
    </row>
    <row r="1001" customFormat="false" ht="15" hidden="false" customHeight="false" outlineLevel="0" collapsed="false">
      <c r="A1001" s="5" t="str">
        <f aca="false">01_Data!A1001</f>
        <v>Public Sector</v>
      </c>
      <c r="B1001" s="5" t="str">
        <f aca="false">01_Data!C1001</f>
        <v>2025-07</v>
      </c>
      <c r="C1001" s="5" t="str">
        <f aca="false">01_Data!D1001</f>
        <v>FY25</v>
      </c>
      <c r="D1001" s="7" t="n">
        <f aca="false">01_Data!E1001</f>
        <v>98649</v>
      </c>
      <c r="E1001" s="7" t="n">
        <f aca="false">01_Data!F1001</f>
        <v>103175</v>
      </c>
      <c r="F1001" s="7" t="n">
        <f aca="false">E1001-D1001</f>
        <v>4526</v>
      </c>
      <c r="G1001" s="8" t="n">
        <f aca="false">IFERROR(F1001/D1001,0)</f>
        <v>0.0458798365923628</v>
      </c>
      <c r="H1001" s="7" t="n">
        <f aca="false">01_Data!G1001</f>
        <v>55646</v>
      </c>
      <c r="I1001" s="7" t="n">
        <f aca="false">01_Data!H1001</f>
        <v>61250</v>
      </c>
      <c r="J1001" s="7" t="n">
        <f aca="false">H1001-I1001</f>
        <v>-5604</v>
      </c>
      <c r="K1001" s="8" t="n">
        <f aca="false">IFERROR(J1001/H1001,0)</f>
        <v>-0.100708047298997</v>
      </c>
      <c r="L1001" s="7" t="n">
        <f aca="false">D1001-H1001</f>
        <v>43003</v>
      </c>
      <c r="M1001" s="7" t="n">
        <f aca="false">E1001-I1001</f>
        <v>41925</v>
      </c>
      <c r="N1001" s="7" t="n">
        <f aca="false">IFERROR(L1001/D1001,0)</f>
        <v>0.43591926932863</v>
      </c>
      <c r="O1001" s="7" t="n">
        <f aca="false">IFERROR(M1001/E1001,0)</f>
        <v>0.406348437121396</v>
      </c>
      <c r="P1001" s="7" t="n">
        <f aca="false">01_Data!I1001+01_Data!K1001+01_Data!M1001+01_Data!O1001+01_Data!Q1001+01_Data!S1001+01_Data!U1001</f>
        <v>24127</v>
      </c>
      <c r="Q1001" s="7" t="n">
        <f aca="false">01_Data!J1001+01_Data!L1001+01_Data!N1001+01_Data!P1001+01_Data!R1001+01_Data!T1001+01_Data!V1001</f>
        <v>25349</v>
      </c>
      <c r="R1001" s="7" t="n">
        <f aca="false">P1001-Q1001</f>
        <v>-1222</v>
      </c>
      <c r="S1001" s="7" t="n">
        <f aca="false">L1001-P1001</f>
        <v>18876</v>
      </c>
      <c r="T1001" s="7" t="n">
        <f aca="false">M1001-Q1001</f>
        <v>16576</v>
      </c>
      <c r="U1001" s="7" t="n">
        <f aca="false">T1001-S1001</f>
        <v>-2300</v>
      </c>
      <c r="V1001" s="8" t="n">
        <f aca="false">IFERROR(U1001/S1001,0)</f>
        <v>-0.121847849120576</v>
      </c>
      <c r="W1001" s="5" t="str">
        <f aca="false">IF(V1001&lt;-0.1,"ADVERSE &gt;10%","")</f>
        <v>ADVERSE &gt;10%</v>
      </c>
    </row>
    <row r="1002" customFormat="false" ht="15" hidden="false" customHeight="false" outlineLevel="0" collapsed="false">
      <c r="A1002" s="5" t="str">
        <f aca="false">01_Data!A1002</f>
        <v>Public Sector</v>
      </c>
      <c r="B1002" s="5" t="str">
        <f aca="false">01_Data!C1002</f>
        <v>2025-08</v>
      </c>
      <c r="C1002" s="5" t="str">
        <f aca="false">01_Data!D1002</f>
        <v>FY25</v>
      </c>
      <c r="D1002" s="7" t="n">
        <f aca="false">01_Data!E1002</f>
        <v>101943</v>
      </c>
      <c r="E1002" s="7" t="n">
        <f aca="false">01_Data!F1002</f>
        <v>102208</v>
      </c>
      <c r="F1002" s="7" t="n">
        <f aca="false">E1002-D1002</f>
        <v>265</v>
      </c>
      <c r="G1002" s="8" t="n">
        <f aca="false">IFERROR(F1002/D1002,0)</f>
        <v>0.00259949187290937</v>
      </c>
      <c r="H1002" s="7" t="n">
        <f aca="false">01_Data!G1002</f>
        <v>58780</v>
      </c>
      <c r="I1002" s="7" t="n">
        <f aca="false">01_Data!H1002</f>
        <v>60726</v>
      </c>
      <c r="J1002" s="7" t="n">
        <f aca="false">H1002-I1002</f>
        <v>-1946</v>
      </c>
      <c r="K1002" s="8" t="n">
        <f aca="false">IFERROR(J1002/H1002,0)</f>
        <v>-0.0331064988091188</v>
      </c>
      <c r="L1002" s="7" t="n">
        <f aca="false">D1002-H1002</f>
        <v>43163</v>
      </c>
      <c r="M1002" s="7" t="n">
        <f aca="false">E1002-I1002</f>
        <v>41482</v>
      </c>
      <c r="N1002" s="7" t="n">
        <f aca="false">IFERROR(L1002/D1002,0)</f>
        <v>0.42340327437882</v>
      </c>
      <c r="O1002" s="7" t="n">
        <f aca="false">IFERROR(M1002/E1002,0)</f>
        <v>0.405858641202254</v>
      </c>
      <c r="P1002" s="7" t="n">
        <f aca="false">01_Data!I1002+01_Data!K1002+01_Data!M1002+01_Data!O1002+01_Data!Q1002+01_Data!S1002+01_Data!U1002</f>
        <v>25944</v>
      </c>
      <c r="Q1002" s="7" t="n">
        <f aca="false">01_Data!J1002+01_Data!L1002+01_Data!N1002+01_Data!P1002+01_Data!R1002+01_Data!T1002+01_Data!V1002</f>
        <v>26790</v>
      </c>
      <c r="R1002" s="7" t="n">
        <f aca="false">P1002-Q1002</f>
        <v>-846</v>
      </c>
      <c r="S1002" s="7" t="n">
        <f aca="false">L1002-P1002</f>
        <v>17219</v>
      </c>
      <c r="T1002" s="7" t="n">
        <f aca="false">M1002-Q1002</f>
        <v>14692</v>
      </c>
      <c r="U1002" s="7" t="n">
        <f aca="false">T1002-S1002</f>
        <v>-2527</v>
      </c>
      <c r="V1002" s="8" t="n">
        <f aca="false">IFERROR(U1002/S1002,0)</f>
        <v>-0.146756489923921</v>
      </c>
      <c r="W1002" s="5" t="str">
        <f aca="false">IF(V1002&lt;-0.1,"ADVERSE &gt;10%","")</f>
        <v>ADVERSE &gt;10%</v>
      </c>
    </row>
    <row r="1003" customFormat="false" ht="15" hidden="false" customHeight="false" outlineLevel="0" collapsed="false">
      <c r="A1003" s="5" t="str">
        <f aca="false">01_Data!A1003</f>
        <v>Public Sector</v>
      </c>
      <c r="B1003" s="5" t="str">
        <f aca="false">01_Data!C1003</f>
        <v>2025-09</v>
      </c>
      <c r="C1003" s="5" t="str">
        <f aca="false">01_Data!D1003</f>
        <v>FY25</v>
      </c>
      <c r="D1003" s="7" t="n">
        <f aca="false">01_Data!E1003</f>
        <v>113288</v>
      </c>
      <c r="E1003" s="7" t="n">
        <f aca="false">01_Data!F1003</f>
        <v>107878</v>
      </c>
      <c r="F1003" s="7" t="n">
        <f aca="false">E1003-D1003</f>
        <v>-5410</v>
      </c>
      <c r="G1003" s="8" t="n">
        <f aca="false">IFERROR(F1003/D1003,0)</f>
        <v>-0.0477543958759975</v>
      </c>
      <c r="H1003" s="7" t="n">
        <f aca="false">01_Data!G1003</f>
        <v>66562</v>
      </c>
      <c r="I1003" s="7" t="n">
        <f aca="false">01_Data!H1003</f>
        <v>61477</v>
      </c>
      <c r="J1003" s="7" t="n">
        <f aca="false">H1003-I1003</f>
        <v>5085</v>
      </c>
      <c r="K1003" s="8" t="n">
        <f aca="false">IFERROR(J1003/H1003,0)</f>
        <v>0.0763949400558878</v>
      </c>
      <c r="L1003" s="7" t="n">
        <f aca="false">D1003-H1003</f>
        <v>46726</v>
      </c>
      <c r="M1003" s="7" t="n">
        <f aca="false">E1003-I1003</f>
        <v>46401</v>
      </c>
      <c r="N1003" s="7" t="n">
        <f aca="false">IFERROR(L1003/D1003,0)</f>
        <v>0.41245321658075</v>
      </c>
      <c r="O1003" s="7" t="n">
        <f aca="false">IFERROR(M1003/E1003,0)</f>
        <v>0.430124770574167</v>
      </c>
      <c r="P1003" s="7" t="n">
        <f aca="false">01_Data!I1003+01_Data!K1003+01_Data!M1003+01_Data!O1003+01_Data!Q1003+01_Data!S1003+01_Data!U1003</f>
        <v>31355</v>
      </c>
      <c r="Q1003" s="7" t="n">
        <f aca="false">01_Data!J1003+01_Data!L1003+01_Data!N1003+01_Data!P1003+01_Data!R1003+01_Data!T1003+01_Data!V1003</f>
        <v>32354</v>
      </c>
      <c r="R1003" s="7" t="n">
        <f aca="false">P1003-Q1003</f>
        <v>-999</v>
      </c>
      <c r="S1003" s="7" t="n">
        <f aca="false">L1003-P1003</f>
        <v>15371</v>
      </c>
      <c r="T1003" s="7" t="n">
        <f aca="false">M1003-Q1003</f>
        <v>14047</v>
      </c>
      <c r="U1003" s="7" t="n">
        <f aca="false">T1003-S1003</f>
        <v>-1324</v>
      </c>
      <c r="V1003" s="8" t="n">
        <f aca="false">IFERROR(U1003/S1003,0)</f>
        <v>-0.0861362305640492</v>
      </c>
      <c r="W1003" s="5" t="str">
        <f aca="false">IF(V1003&lt;-0.1,"ADVERSE &gt;10%","")</f>
        <v/>
      </c>
    </row>
    <row r="1004" customFormat="false" ht="15" hidden="false" customHeight="false" outlineLevel="0" collapsed="false">
      <c r="A1004" s="5" t="str">
        <f aca="false">01_Data!A1004</f>
        <v>Public Sector</v>
      </c>
      <c r="B1004" s="5" t="str">
        <f aca="false">01_Data!C1004</f>
        <v>2025-10</v>
      </c>
      <c r="C1004" s="5" t="str">
        <f aca="false">01_Data!D1004</f>
        <v>FY25</v>
      </c>
      <c r="D1004" s="7" t="n">
        <f aca="false">01_Data!E1004</f>
        <v>104275</v>
      </c>
      <c r="E1004" s="7" t="n">
        <f aca="false">01_Data!F1004</f>
        <v>100485</v>
      </c>
      <c r="F1004" s="7" t="n">
        <f aca="false">E1004-D1004</f>
        <v>-3790</v>
      </c>
      <c r="G1004" s="8" t="n">
        <f aca="false">IFERROR(F1004/D1004,0)</f>
        <v>-0.0363461999520499</v>
      </c>
      <c r="H1004" s="7" t="n">
        <f aca="false">01_Data!G1004</f>
        <v>60827</v>
      </c>
      <c r="I1004" s="7" t="n">
        <f aca="false">01_Data!H1004</f>
        <v>61210</v>
      </c>
      <c r="J1004" s="7" t="n">
        <f aca="false">H1004-I1004</f>
        <v>-383</v>
      </c>
      <c r="K1004" s="8" t="n">
        <f aca="false">IFERROR(J1004/H1004,0)</f>
        <v>-0.00629654594176928</v>
      </c>
      <c r="L1004" s="7" t="n">
        <f aca="false">D1004-H1004</f>
        <v>43448</v>
      </c>
      <c r="M1004" s="7" t="n">
        <f aca="false">E1004-I1004</f>
        <v>39275</v>
      </c>
      <c r="N1004" s="7" t="n">
        <f aca="false">IFERROR(L1004/D1004,0)</f>
        <v>0.416667465835531</v>
      </c>
      <c r="O1004" s="7" t="n">
        <f aca="false">IFERROR(M1004/E1004,0)</f>
        <v>0.390854356371598</v>
      </c>
      <c r="P1004" s="7" t="n">
        <f aca="false">01_Data!I1004+01_Data!K1004+01_Data!M1004+01_Data!O1004+01_Data!Q1004+01_Data!S1004+01_Data!U1004</f>
        <v>26596</v>
      </c>
      <c r="Q1004" s="7" t="n">
        <f aca="false">01_Data!J1004+01_Data!L1004+01_Data!N1004+01_Data!P1004+01_Data!R1004+01_Data!T1004+01_Data!V1004</f>
        <v>28423</v>
      </c>
      <c r="R1004" s="7" t="n">
        <f aca="false">P1004-Q1004</f>
        <v>-1827</v>
      </c>
      <c r="S1004" s="7" t="n">
        <f aca="false">L1004-P1004</f>
        <v>16852</v>
      </c>
      <c r="T1004" s="7" t="n">
        <f aca="false">M1004-Q1004</f>
        <v>10852</v>
      </c>
      <c r="U1004" s="7" t="n">
        <f aca="false">T1004-S1004</f>
        <v>-6000</v>
      </c>
      <c r="V1004" s="8" t="n">
        <f aca="false">IFERROR(U1004/S1004,0)</f>
        <v>-0.356040826014716</v>
      </c>
      <c r="W1004" s="5" t="str">
        <f aca="false">IF(V1004&lt;-0.1,"ADVERSE &gt;10%","")</f>
        <v>ADVERSE &gt;10%</v>
      </c>
    </row>
    <row r="1005" customFormat="false" ht="15" hidden="false" customHeight="false" outlineLevel="0" collapsed="false">
      <c r="A1005" s="5" t="str">
        <f aca="false">01_Data!A1005</f>
        <v>Public Sector</v>
      </c>
      <c r="B1005" s="5" t="str">
        <f aca="false">01_Data!C1005</f>
        <v>2025-11</v>
      </c>
      <c r="C1005" s="5" t="str">
        <f aca="false">01_Data!D1005</f>
        <v>FY25</v>
      </c>
      <c r="D1005" s="7" t="n">
        <f aca="false">01_Data!E1005</f>
        <v>97163</v>
      </c>
      <c r="E1005" s="7" t="n">
        <f aca="false">01_Data!F1005</f>
        <v>102709</v>
      </c>
      <c r="F1005" s="7" t="n">
        <f aca="false">E1005-D1005</f>
        <v>5546</v>
      </c>
      <c r="G1005" s="8" t="n">
        <f aca="false">IFERROR(F1005/D1005,0)</f>
        <v>0.0570793409013719</v>
      </c>
      <c r="H1005" s="7" t="n">
        <f aca="false">01_Data!G1005</f>
        <v>54565</v>
      </c>
      <c r="I1005" s="7" t="n">
        <f aca="false">01_Data!H1005</f>
        <v>58407</v>
      </c>
      <c r="J1005" s="7" t="n">
        <f aca="false">H1005-I1005</f>
        <v>-3842</v>
      </c>
      <c r="K1005" s="8" t="n">
        <f aca="false">IFERROR(J1005/H1005,0)</f>
        <v>-0.0704114359021351</v>
      </c>
      <c r="L1005" s="7" t="n">
        <f aca="false">D1005-H1005</f>
        <v>42598</v>
      </c>
      <c r="M1005" s="7" t="n">
        <f aca="false">E1005-I1005</f>
        <v>44302</v>
      </c>
      <c r="N1005" s="7" t="n">
        <f aca="false">IFERROR(L1005/D1005,0)</f>
        <v>0.438417916285006</v>
      </c>
      <c r="O1005" s="7" t="n">
        <f aca="false">IFERROR(M1005/E1005,0)</f>
        <v>0.431335131293265</v>
      </c>
      <c r="P1005" s="7" t="n">
        <f aca="false">01_Data!I1005+01_Data!K1005+01_Data!M1005+01_Data!O1005+01_Data!Q1005+01_Data!S1005+01_Data!U1005</f>
        <v>26087</v>
      </c>
      <c r="Q1005" s="7" t="n">
        <f aca="false">01_Data!J1005+01_Data!L1005+01_Data!N1005+01_Data!P1005+01_Data!R1005+01_Data!T1005+01_Data!V1005</f>
        <v>27224</v>
      </c>
      <c r="R1005" s="7" t="n">
        <f aca="false">P1005-Q1005</f>
        <v>-1137</v>
      </c>
      <c r="S1005" s="7" t="n">
        <f aca="false">L1005-P1005</f>
        <v>16511</v>
      </c>
      <c r="T1005" s="7" t="n">
        <f aca="false">M1005-Q1005</f>
        <v>17078</v>
      </c>
      <c r="U1005" s="7" t="n">
        <f aca="false">T1005-S1005</f>
        <v>567</v>
      </c>
      <c r="V1005" s="8" t="n">
        <f aca="false">IFERROR(U1005/S1005,0)</f>
        <v>0.0343407425352795</v>
      </c>
      <c r="W1005" s="5" t="str">
        <f aca="false">IF(V1005&lt;-0.1,"ADVERSE &gt;10%","")</f>
        <v/>
      </c>
    </row>
    <row r="1006" customFormat="false" ht="15" hidden="false" customHeight="false" outlineLevel="0" collapsed="false">
      <c r="A1006" s="5" t="str">
        <f aca="false">01_Data!A1006</f>
        <v>Public Sector</v>
      </c>
      <c r="B1006" s="5" t="str">
        <f aca="false">01_Data!C1006</f>
        <v>2025-12</v>
      </c>
      <c r="C1006" s="5" t="str">
        <f aca="false">01_Data!D1006</f>
        <v>FY25</v>
      </c>
      <c r="D1006" s="7" t="n">
        <f aca="false">01_Data!E1006</f>
        <v>107645</v>
      </c>
      <c r="E1006" s="7" t="n">
        <f aca="false">01_Data!F1006</f>
        <v>110540</v>
      </c>
      <c r="F1006" s="7" t="n">
        <f aca="false">E1006-D1006</f>
        <v>2895</v>
      </c>
      <c r="G1006" s="8" t="n">
        <f aca="false">IFERROR(F1006/D1006,0)</f>
        <v>0.0268939569882484</v>
      </c>
      <c r="H1006" s="7" t="n">
        <f aca="false">01_Data!G1006</f>
        <v>59773</v>
      </c>
      <c r="I1006" s="7" t="n">
        <f aca="false">01_Data!H1006</f>
        <v>61973</v>
      </c>
      <c r="J1006" s="7" t="n">
        <f aca="false">H1006-I1006</f>
        <v>-2200</v>
      </c>
      <c r="K1006" s="8" t="n">
        <f aca="false">IFERROR(J1006/H1006,0)</f>
        <v>-0.036805915714453</v>
      </c>
      <c r="L1006" s="7" t="n">
        <f aca="false">D1006-H1006</f>
        <v>47872</v>
      </c>
      <c r="M1006" s="7" t="n">
        <f aca="false">E1006-I1006</f>
        <v>48567</v>
      </c>
      <c r="N1006" s="7" t="n">
        <f aca="false">IFERROR(L1006/D1006,0)</f>
        <v>0.444721073900321</v>
      </c>
      <c r="O1006" s="7" t="n">
        <f aca="false">IFERROR(M1006/E1006,0)</f>
        <v>0.439361317170255</v>
      </c>
      <c r="P1006" s="7" t="n">
        <f aca="false">01_Data!I1006+01_Data!K1006+01_Data!M1006+01_Data!O1006+01_Data!Q1006+01_Data!S1006+01_Data!U1006</f>
        <v>28889</v>
      </c>
      <c r="Q1006" s="7" t="n">
        <f aca="false">01_Data!J1006+01_Data!L1006+01_Data!N1006+01_Data!P1006+01_Data!R1006+01_Data!T1006+01_Data!V1006</f>
        <v>30358</v>
      </c>
      <c r="R1006" s="7" t="n">
        <f aca="false">P1006-Q1006</f>
        <v>-1469</v>
      </c>
      <c r="S1006" s="7" t="n">
        <f aca="false">L1006-P1006</f>
        <v>18983</v>
      </c>
      <c r="T1006" s="7" t="n">
        <f aca="false">M1006-Q1006</f>
        <v>18209</v>
      </c>
      <c r="U1006" s="7" t="n">
        <f aca="false">T1006-S1006</f>
        <v>-774</v>
      </c>
      <c r="V1006" s="8" t="n">
        <f aca="false">IFERROR(U1006/S1006,0)</f>
        <v>-0.0407733234999737</v>
      </c>
      <c r="W1006" s="5" t="str">
        <f aca="false">IF(V1006&lt;-0.1,"ADVERSE &gt;10%","")</f>
        <v/>
      </c>
    </row>
    <row r="1007" customFormat="false" ht="15" hidden="false" customHeight="false" outlineLevel="0" collapsed="false">
      <c r="A1007" s="5" t="str">
        <f aca="false">01_Data!A1007</f>
        <v>Public Sector</v>
      </c>
      <c r="B1007" s="5" t="str">
        <f aca="false">01_Data!C1007</f>
        <v>2026-01</v>
      </c>
      <c r="C1007" s="5" t="str">
        <f aca="false">01_Data!D1007</f>
        <v>FY25</v>
      </c>
      <c r="D1007" s="7" t="n">
        <f aca="false">01_Data!E1007</f>
        <v>111758</v>
      </c>
      <c r="E1007" s="7" t="n">
        <f aca="false">01_Data!F1007</f>
        <v>105641</v>
      </c>
      <c r="F1007" s="7" t="n">
        <f aca="false">E1007-D1007</f>
        <v>-6117</v>
      </c>
      <c r="G1007" s="8" t="n">
        <f aca="false">IFERROR(F1007/D1007,0)</f>
        <v>-0.0547343366917805</v>
      </c>
      <c r="H1007" s="7" t="n">
        <f aca="false">01_Data!G1007</f>
        <v>64056</v>
      </c>
      <c r="I1007" s="7" t="n">
        <f aca="false">01_Data!H1007</f>
        <v>62702</v>
      </c>
      <c r="J1007" s="7" t="n">
        <f aca="false">H1007-I1007</f>
        <v>1354</v>
      </c>
      <c r="K1007" s="8" t="n">
        <f aca="false">IFERROR(J1007/H1007,0)</f>
        <v>0.0211377544648433</v>
      </c>
      <c r="L1007" s="7" t="n">
        <f aca="false">D1007-H1007</f>
        <v>47702</v>
      </c>
      <c r="M1007" s="7" t="n">
        <f aca="false">E1007-I1007</f>
        <v>42939</v>
      </c>
      <c r="N1007" s="7" t="n">
        <f aca="false">IFERROR(L1007/D1007,0)</f>
        <v>0.426832978399757</v>
      </c>
      <c r="O1007" s="7" t="n">
        <f aca="false">IFERROR(M1007/E1007,0)</f>
        <v>0.406461506422696</v>
      </c>
      <c r="P1007" s="7" t="n">
        <f aca="false">01_Data!I1007+01_Data!K1007+01_Data!M1007+01_Data!O1007+01_Data!Q1007+01_Data!S1007+01_Data!U1007</f>
        <v>31721</v>
      </c>
      <c r="Q1007" s="7" t="n">
        <f aca="false">01_Data!J1007+01_Data!L1007+01_Data!N1007+01_Data!P1007+01_Data!R1007+01_Data!T1007+01_Data!V1007</f>
        <v>32332</v>
      </c>
      <c r="R1007" s="7" t="n">
        <f aca="false">P1007-Q1007</f>
        <v>-611</v>
      </c>
      <c r="S1007" s="7" t="n">
        <f aca="false">L1007-P1007</f>
        <v>15981</v>
      </c>
      <c r="T1007" s="7" t="n">
        <f aca="false">M1007-Q1007</f>
        <v>10607</v>
      </c>
      <c r="U1007" s="7" t="n">
        <f aca="false">T1007-S1007</f>
        <v>-5374</v>
      </c>
      <c r="V1007" s="8" t="n">
        <f aca="false">IFERROR(U1007/S1007,0)</f>
        <v>-0.336274325761842</v>
      </c>
      <c r="W1007" s="5" t="str">
        <f aca="false">IF(V1007&lt;-0.1,"ADVERSE &gt;10%","")</f>
        <v>ADVERSE &gt;10%</v>
      </c>
    </row>
    <row r="1008" customFormat="false" ht="15" hidden="false" customHeight="false" outlineLevel="0" collapsed="false">
      <c r="A1008" s="5" t="str">
        <f aca="false">01_Data!A1008</f>
        <v>Public Sector</v>
      </c>
      <c r="B1008" s="5" t="str">
        <f aca="false">01_Data!C1008</f>
        <v>2026-02</v>
      </c>
      <c r="C1008" s="5" t="str">
        <f aca="false">01_Data!D1008</f>
        <v>FY25</v>
      </c>
      <c r="D1008" s="7" t="n">
        <f aca="false">01_Data!E1008</f>
        <v>103502</v>
      </c>
      <c r="E1008" s="7" t="n">
        <f aca="false">01_Data!F1008</f>
        <v>106679</v>
      </c>
      <c r="F1008" s="7" t="n">
        <f aca="false">E1008-D1008</f>
        <v>3177</v>
      </c>
      <c r="G1008" s="8" t="n">
        <f aca="false">IFERROR(F1008/D1008,0)</f>
        <v>0.0306950590326757</v>
      </c>
      <c r="H1008" s="7" t="n">
        <f aca="false">01_Data!G1008</f>
        <v>58095</v>
      </c>
      <c r="I1008" s="7" t="n">
        <f aca="false">01_Data!H1008</f>
        <v>60936</v>
      </c>
      <c r="J1008" s="7" t="n">
        <f aca="false">H1008-I1008</f>
        <v>-2841</v>
      </c>
      <c r="K1008" s="8" t="n">
        <f aca="false">IFERROR(J1008/H1008,0)</f>
        <v>-0.0489026594371288</v>
      </c>
      <c r="L1008" s="7" t="n">
        <f aca="false">D1008-H1008</f>
        <v>45407</v>
      </c>
      <c r="M1008" s="7" t="n">
        <f aca="false">E1008-I1008</f>
        <v>45743</v>
      </c>
      <c r="N1008" s="7" t="n">
        <f aca="false">IFERROR(L1008/D1008,0)</f>
        <v>0.438706498425151</v>
      </c>
      <c r="O1008" s="7" t="n">
        <f aca="false">IFERROR(M1008/E1008,0)</f>
        <v>0.428791046035302</v>
      </c>
      <c r="P1008" s="7" t="n">
        <f aca="false">01_Data!I1008+01_Data!K1008+01_Data!M1008+01_Data!O1008+01_Data!Q1008+01_Data!S1008+01_Data!U1008</f>
        <v>27949</v>
      </c>
      <c r="Q1008" s="7" t="n">
        <f aca="false">01_Data!J1008+01_Data!L1008+01_Data!N1008+01_Data!P1008+01_Data!R1008+01_Data!T1008+01_Data!V1008</f>
        <v>29040</v>
      </c>
      <c r="R1008" s="7" t="n">
        <f aca="false">P1008-Q1008</f>
        <v>-1091</v>
      </c>
      <c r="S1008" s="7" t="n">
        <f aca="false">L1008-P1008</f>
        <v>17458</v>
      </c>
      <c r="T1008" s="7" t="n">
        <f aca="false">M1008-Q1008</f>
        <v>16703</v>
      </c>
      <c r="U1008" s="7" t="n">
        <f aca="false">T1008-S1008</f>
        <v>-755</v>
      </c>
      <c r="V1008" s="8" t="n">
        <f aca="false">IFERROR(U1008/S1008,0)</f>
        <v>-0.0432466491006988</v>
      </c>
      <c r="W1008" s="5" t="str">
        <f aca="false">IF(V1008&lt;-0.1,"ADVERSE &gt;10%","")</f>
        <v/>
      </c>
    </row>
    <row r="1009" customFormat="false" ht="15" hidden="false" customHeight="false" outlineLevel="0" collapsed="false">
      <c r="A1009" s="5" t="str">
        <f aca="false">01_Data!A1009</f>
        <v>Public Sector</v>
      </c>
      <c r="B1009" s="5" t="str">
        <f aca="false">01_Data!C1009</f>
        <v>2026-03</v>
      </c>
      <c r="C1009" s="5" t="str">
        <f aca="false">01_Data!D1009</f>
        <v>FY25</v>
      </c>
      <c r="D1009" s="7" t="n">
        <f aca="false">01_Data!E1009</f>
        <v>107532</v>
      </c>
      <c r="E1009" s="7" t="n">
        <f aca="false">01_Data!F1009</f>
        <v>111880</v>
      </c>
      <c r="F1009" s="7" t="n">
        <f aca="false">E1009-D1009</f>
        <v>4348</v>
      </c>
      <c r="G1009" s="8" t="n">
        <f aca="false">IFERROR(F1009/D1009,0)</f>
        <v>0.0404344753189748</v>
      </c>
      <c r="H1009" s="7" t="n">
        <f aca="false">01_Data!G1009</f>
        <v>62449</v>
      </c>
      <c r="I1009" s="7" t="n">
        <f aca="false">01_Data!H1009</f>
        <v>66569</v>
      </c>
      <c r="J1009" s="7" t="n">
        <f aca="false">H1009-I1009</f>
        <v>-4120</v>
      </c>
      <c r="K1009" s="8" t="n">
        <f aca="false">IFERROR(J1009/H1009,0)</f>
        <v>-0.0659738346490737</v>
      </c>
      <c r="L1009" s="7" t="n">
        <f aca="false">D1009-H1009</f>
        <v>45083</v>
      </c>
      <c r="M1009" s="7" t="n">
        <f aca="false">E1009-I1009</f>
        <v>45311</v>
      </c>
      <c r="N1009" s="7" t="n">
        <f aca="false">IFERROR(L1009/D1009,0)</f>
        <v>0.419251943607484</v>
      </c>
      <c r="O1009" s="7" t="n">
        <f aca="false">IFERROR(M1009/E1009,0)</f>
        <v>0.404996424740794</v>
      </c>
      <c r="P1009" s="7" t="n">
        <f aca="false">01_Data!I1009+01_Data!K1009+01_Data!M1009+01_Data!O1009+01_Data!Q1009+01_Data!S1009+01_Data!U1009</f>
        <v>27562</v>
      </c>
      <c r="Q1009" s="7" t="n">
        <f aca="false">01_Data!J1009+01_Data!L1009+01_Data!N1009+01_Data!P1009+01_Data!R1009+01_Data!T1009+01_Data!V1009</f>
        <v>29332</v>
      </c>
      <c r="R1009" s="7" t="n">
        <f aca="false">P1009-Q1009</f>
        <v>-1770</v>
      </c>
      <c r="S1009" s="7" t="n">
        <f aca="false">L1009-P1009</f>
        <v>17521</v>
      </c>
      <c r="T1009" s="7" t="n">
        <f aca="false">M1009-Q1009</f>
        <v>15979</v>
      </c>
      <c r="U1009" s="7" t="n">
        <f aca="false">T1009-S1009</f>
        <v>-1542</v>
      </c>
      <c r="V1009" s="8" t="n">
        <f aca="false">IFERROR(U1009/S1009,0)</f>
        <v>-0.088008675303921</v>
      </c>
      <c r="W1009" s="5" t="str">
        <f aca="false">IF(V1009&lt;-0.1,"ADVERSE &gt;10%","")</f>
        <v/>
      </c>
    </row>
    <row r="1010" customFormat="false" ht="15" hidden="false" customHeight="false" outlineLevel="0" collapsed="false">
      <c r="A1010" s="5" t="str">
        <f aca="false">01_Data!A1010</f>
        <v>Public Sector</v>
      </c>
      <c r="B1010" s="5" t="str">
        <f aca="false">01_Data!C1010</f>
        <v>2023-04</v>
      </c>
      <c r="C1010" s="5" t="str">
        <f aca="false">01_Data!D1010</f>
        <v>FY23</v>
      </c>
      <c r="D1010" s="7" t="n">
        <f aca="false">01_Data!E1010</f>
        <v>83682</v>
      </c>
      <c r="E1010" s="7" t="n">
        <f aca="false">01_Data!F1010</f>
        <v>82885</v>
      </c>
      <c r="F1010" s="7" t="n">
        <f aca="false">E1010-D1010</f>
        <v>-797</v>
      </c>
      <c r="G1010" s="8" t="n">
        <f aca="false">IFERROR(F1010/D1010,0)</f>
        <v>-0.0095241509524151</v>
      </c>
      <c r="H1010" s="7" t="n">
        <f aca="false">01_Data!G1010</f>
        <v>46848</v>
      </c>
      <c r="I1010" s="7" t="n">
        <f aca="false">01_Data!H1010</f>
        <v>45867</v>
      </c>
      <c r="J1010" s="7" t="n">
        <f aca="false">H1010-I1010</f>
        <v>981</v>
      </c>
      <c r="K1010" s="8" t="n">
        <f aca="false">IFERROR(J1010/H1010,0)</f>
        <v>0.0209400614754098</v>
      </c>
      <c r="L1010" s="7" t="n">
        <f aca="false">D1010-H1010</f>
        <v>36834</v>
      </c>
      <c r="M1010" s="7" t="n">
        <f aca="false">E1010-I1010</f>
        <v>37018</v>
      </c>
      <c r="N1010" s="7" t="n">
        <f aca="false">IFERROR(L1010/D1010,0)</f>
        <v>0.440166344016634</v>
      </c>
      <c r="O1010" s="7" t="n">
        <f aca="false">IFERROR(M1010/E1010,0)</f>
        <v>0.446618809193461</v>
      </c>
      <c r="P1010" s="7" t="n">
        <f aca="false">01_Data!I1010+01_Data!K1010+01_Data!M1010+01_Data!O1010+01_Data!Q1010+01_Data!S1010+01_Data!U1010</f>
        <v>21841</v>
      </c>
      <c r="Q1010" s="7" t="n">
        <f aca="false">01_Data!J1010+01_Data!L1010+01_Data!N1010+01_Data!P1010+01_Data!R1010+01_Data!T1010+01_Data!V1010</f>
        <v>21986</v>
      </c>
      <c r="R1010" s="7" t="n">
        <f aca="false">P1010-Q1010</f>
        <v>-145</v>
      </c>
      <c r="S1010" s="7" t="n">
        <f aca="false">L1010-P1010</f>
        <v>14993</v>
      </c>
      <c r="T1010" s="7" t="n">
        <f aca="false">M1010-Q1010</f>
        <v>15032</v>
      </c>
      <c r="U1010" s="7" t="n">
        <f aca="false">T1010-S1010</f>
        <v>39</v>
      </c>
      <c r="V1010" s="8" t="n">
        <f aca="false">IFERROR(U1010/S1010,0)</f>
        <v>0.00260121389981992</v>
      </c>
      <c r="W1010" s="5" t="str">
        <f aca="false">IF(V1010&lt;-0.1,"ADVERSE &gt;10%","")</f>
        <v/>
      </c>
    </row>
    <row r="1011" customFormat="false" ht="15" hidden="false" customHeight="false" outlineLevel="0" collapsed="false">
      <c r="A1011" s="5" t="str">
        <f aca="false">01_Data!A1011</f>
        <v>Public Sector</v>
      </c>
      <c r="B1011" s="5" t="str">
        <f aca="false">01_Data!C1011</f>
        <v>2023-05</v>
      </c>
      <c r="C1011" s="5" t="str">
        <f aca="false">01_Data!D1011</f>
        <v>FY23</v>
      </c>
      <c r="D1011" s="7" t="n">
        <f aca="false">01_Data!E1011</f>
        <v>84551</v>
      </c>
      <c r="E1011" s="7" t="n">
        <f aca="false">01_Data!F1011</f>
        <v>83206</v>
      </c>
      <c r="F1011" s="7" t="n">
        <f aca="false">E1011-D1011</f>
        <v>-1345</v>
      </c>
      <c r="G1011" s="8" t="n">
        <f aca="false">IFERROR(F1011/D1011,0)</f>
        <v>-0.0159075587515228</v>
      </c>
      <c r="H1011" s="7" t="n">
        <f aca="false">01_Data!G1011</f>
        <v>46719</v>
      </c>
      <c r="I1011" s="7" t="n">
        <f aca="false">01_Data!H1011</f>
        <v>48254</v>
      </c>
      <c r="J1011" s="7" t="n">
        <f aca="false">H1011-I1011</f>
        <v>-1535</v>
      </c>
      <c r="K1011" s="8" t="n">
        <f aca="false">IFERROR(J1011/H1011,0)</f>
        <v>-0.0328560114728483</v>
      </c>
      <c r="L1011" s="7" t="n">
        <f aca="false">D1011-H1011</f>
        <v>37832</v>
      </c>
      <c r="M1011" s="7" t="n">
        <f aca="false">E1011-I1011</f>
        <v>34952</v>
      </c>
      <c r="N1011" s="7" t="n">
        <f aca="false">IFERROR(L1011/D1011,0)</f>
        <v>0.447445920213835</v>
      </c>
      <c r="O1011" s="7" t="n">
        <f aca="false">IFERROR(M1011/E1011,0)</f>
        <v>0.42006586063505</v>
      </c>
      <c r="P1011" s="7" t="n">
        <f aca="false">01_Data!I1011+01_Data!K1011+01_Data!M1011+01_Data!O1011+01_Data!Q1011+01_Data!S1011+01_Data!U1011</f>
        <v>22719</v>
      </c>
      <c r="Q1011" s="7" t="n">
        <f aca="false">01_Data!J1011+01_Data!L1011+01_Data!N1011+01_Data!P1011+01_Data!R1011+01_Data!T1011+01_Data!V1011</f>
        <v>22673</v>
      </c>
      <c r="R1011" s="7" t="n">
        <f aca="false">P1011-Q1011</f>
        <v>46</v>
      </c>
      <c r="S1011" s="7" t="n">
        <f aca="false">L1011-P1011</f>
        <v>15113</v>
      </c>
      <c r="T1011" s="7" t="n">
        <f aca="false">M1011-Q1011</f>
        <v>12279</v>
      </c>
      <c r="U1011" s="7" t="n">
        <f aca="false">T1011-S1011</f>
        <v>-2834</v>
      </c>
      <c r="V1011" s="8" t="n">
        <f aca="false">IFERROR(U1011/S1011,0)</f>
        <v>-0.187520677562364</v>
      </c>
      <c r="W1011" s="5" t="str">
        <f aca="false">IF(V1011&lt;-0.1,"ADVERSE &gt;10%","")</f>
        <v>ADVERSE &gt;10%</v>
      </c>
    </row>
    <row r="1012" customFormat="false" ht="15" hidden="false" customHeight="false" outlineLevel="0" collapsed="false">
      <c r="A1012" s="5" t="str">
        <f aca="false">01_Data!A1012</f>
        <v>Public Sector</v>
      </c>
      <c r="B1012" s="5" t="str">
        <f aca="false">01_Data!C1012</f>
        <v>2023-06</v>
      </c>
      <c r="C1012" s="5" t="str">
        <f aca="false">01_Data!D1012</f>
        <v>FY23</v>
      </c>
      <c r="D1012" s="7" t="n">
        <f aca="false">01_Data!E1012</f>
        <v>81180</v>
      </c>
      <c r="E1012" s="7" t="n">
        <f aca="false">01_Data!F1012</f>
        <v>84911</v>
      </c>
      <c r="F1012" s="7" t="n">
        <f aca="false">E1012-D1012</f>
        <v>3731</v>
      </c>
      <c r="G1012" s="8" t="n">
        <f aca="false">IFERROR(F1012/D1012,0)</f>
        <v>0.045959595959596</v>
      </c>
      <c r="H1012" s="7" t="n">
        <f aca="false">01_Data!G1012</f>
        <v>47023</v>
      </c>
      <c r="I1012" s="7" t="n">
        <f aca="false">01_Data!H1012</f>
        <v>49918</v>
      </c>
      <c r="J1012" s="7" t="n">
        <f aca="false">H1012-I1012</f>
        <v>-2895</v>
      </c>
      <c r="K1012" s="8" t="n">
        <f aca="false">IFERROR(J1012/H1012,0)</f>
        <v>-0.0615656168258087</v>
      </c>
      <c r="L1012" s="7" t="n">
        <f aca="false">D1012-H1012</f>
        <v>34157</v>
      </c>
      <c r="M1012" s="7" t="n">
        <f aca="false">E1012-I1012</f>
        <v>34993</v>
      </c>
      <c r="N1012" s="7" t="n">
        <f aca="false">IFERROR(L1012/D1012,0)</f>
        <v>0.420756343927076</v>
      </c>
      <c r="O1012" s="7" t="n">
        <f aca="false">IFERROR(M1012/E1012,0)</f>
        <v>0.412113860395002</v>
      </c>
      <c r="P1012" s="7" t="n">
        <f aca="false">01_Data!I1012+01_Data!K1012+01_Data!M1012+01_Data!O1012+01_Data!Q1012+01_Data!S1012+01_Data!U1012</f>
        <v>22735</v>
      </c>
      <c r="Q1012" s="7" t="n">
        <f aca="false">01_Data!J1012+01_Data!L1012+01_Data!N1012+01_Data!P1012+01_Data!R1012+01_Data!T1012+01_Data!V1012</f>
        <v>22700</v>
      </c>
      <c r="R1012" s="7" t="n">
        <f aca="false">P1012-Q1012</f>
        <v>35</v>
      </c>
      <c r="S1012" s="7" t="n">
        <f aca="false">L1012-P1012</f>
        <v>11422</v>
      </c>
      <c r="T1012" s="7" t="n">
        <f aca="false">M1012-Q1012</f>
        <v>12293</v>
      </c>
      <c r="U1012" s="7" t="n">
        <f aca="false">T1012-S1012</f>
        <v>871</v>
      </c>
      <c r="V1012" s="8" t="n">
        <f aca="false">IFERROR(U1012/S1012,0)</f>
        <v>0.0762563473997549</v>
      </c>
      <c r="W1012" s="5" t="str">
        <f aca="false">IF(V1012&lt;-0.1,"ADVERSE &gt;10%","")</f>
        <v/>
      </c>
    </row>
    <row r="1013" customFormat="false" ht="15" hidden="false" customHeight="false" outlineLevel="0" collapsed="false">
      <c r="A1013" s="5" t="str">
        <f aca="false">01_Data!A1013</f>
        <v>Public Sector</v>
      </c>
      <c r="B1013" s="5" t="str">
        <f aca="false">01_Data!C1013</f>
        <v>2023-07</v>
      </c>
      <c r="C1013" s="5" t="str">
        <f aca="false">01_Data!D1013</f>
        <v>FY23</v>
      </c>
      <c r="D1013" s="7" t="n">
        <f aca="false">01_Data!E1013</f>
        <v>87725</v>
      </c>
      <c r="E1013" s="7" t="n">
        <f aca="false">01_Data!F1013</f>
        <v>85467</v>
      </c>
      <c r="F1013" s="7" t="n">
        <f aca="false">E1013-D1013</f>
        <v>-2258</v>
      </c>
      <c r="G1013" s="8" t="n">
        <f aca="false">IFERROR(F1013/D1013,0)</f>
        <v>-0.0257395269307495</v>
      </c>
      <c r="H1013" s="7" t="n">
        <f aca="false">01_Data!G1013</f>
        <v>48183</v>
      </c>
      <c r="I1013" s="7" t="n">
        <f aca="false">01_Data!H1013</f>
        <v>46980</v>
      </c>
      <c r="J1013" s="7" t="n">
        <f aca="false">H1013-I1013</f>
        <v>1203</v>
      </c>
      <c r="K1013" s="8" t="n">
        <f aca="false">IFERROR(J1013/H1013,0)</f>
        <v>0.0249673121225328</v>
      </c>
      <c r="L1013" s="7" t="n">
        <f aca="false">D1013-H1013</f>
        <v>39542</v>
      </c>
      <c r="M1013" s="7" t="n">
        <f aca="false">E1013-I1013</f>
        <v>38487</v>
      </c>
      <c r="N1013" s="7" t="n">
        <f aca="false">IFERROR(L1013/D1013,0)</f>
        <v>0.450749501282417</v>
      </c>
      <c r="O1013" s="7" t="n">
        <f aca="false">IFERROR(M1013/E1013,0)</f>
        <v>0.450314156341044</v>
      </c>
      <c r="P1013" s="7" t="n">
        <f aca="false">01_Data!I1013+01_Data!K1013+01_Data!M1013+01_Data!O1013+01_Data!Q1013+01_Data!S1013+01_Data!U1013</f>
        <v>23850</v>
      </c>
      <c r="Q1013" s="7" t="n">
        <f aca="false">01_Data!J1013+01_Data!L1013+01_Data!N1013+01_Data!P1013+01_Data!R1013+01_Data!T1013+01_Data!V1013</f>
        <v>24713</v>
      </c>
      <c r="R1013" s="7" t="n">
        <f aca="false">P1013-Q1013</f>
        <v>-863</v>
      </c>
      <c r="S1013" s="7" t="n">
        <f aca="false">L1013-P1013</f>
        <v>15692</v>
      </c>
      <c r="T1013" s="7" t="n">
        <f aca="false">M1013-Q1013</f>
        <v>13774</v>
      </c>
      <c r="U1013" s="7" t="n">
        <f aca="false">T1013-S1013</f>
        <v>-1918</v>
      </c>
      <c r="V1013" s="8" t="n">
        <f aca="false">IFERROR(U1013/S1013,0)</f>
        <v>-0.12222788682131</v>
      </c>
      <c r="W1013" s="5" t="str">
        <f aca="false">IF(V1013&lt;-0.1,"ADVERSE &gt;10%","")</f>
        <v>ADVERSE &gt;10%</v>
      </c>
    </row>
    <row r="1014" customFormat="false" ht="15" hidden="false" customHeight="false" outlineLevel="0" collapsed="false">
      <c r="A1014" s="5" t="str">
        <f aca="false">01_Data!A1014</f>
        <v>Public Sector</v>
      </c>
      <c r="B1014" s="5" t="str">
        <f aca="false">01_Data!C1014</f>
        <v>2023-08</v>
      </c>
      <c r="C1014" s="5" t="str">
        <f aca="false">01_Data!D1014</f>
        <v>FY23</v>
      </c>
      <c r="D1014" s="7" t="n">
        <f aca="false">01_Data!E1014</f>
        <v>89393</v>
      </c>
      <c r="E1014" s="7" t="n">
        <f aca="false">01_Data!F1014</f>
        <v>86685</v>
      </c>
      <c r="F1014" s="7" t="n">
        <f aca="false">E1014-D1014</f>
        <v>-2708</v>
      </c>
      <c r="G1014" s="8" t="n">
        <f aca="false">IFERROR(F1014/D1014,0)</f>
        <v>-0.030293199691251</v>
      </c>
      <c r="H1014" s="7" t="n">
        <f aca="false">01_Data!G1014</f>
        <v>48489</v>
      </c>
      <c r="I1014" s="7" t="n">
        <f aca="false">01_Data!H1014</f>
        <v>46468</v>
      </c>
      <c r="J1014" s="7" t="n">
        <f aca="false">H1014-I1014</f>
        <v>2021</v>
      </c>
      <c r="K1014" s="8" t="n">
        <f aca="false">IFERROR(J1014/H1014,0)</f>
        <v>0.0416795561880014</v>
      </c>
      <c r="L1014" s="7" t="n">
        <f aca="false">D1014-H1014</f>
        <v>40904</v>
      </c>
      <c r="M1014" s="7" t="n">
        <f aca="false">E1014-I1014</f>
        <v>40217</v>
      </c>
      <c r="N1014" s="7" t="n">
        <f aca="false">IFERROR(L1014/D1014,0)</f>
        <v>0.457574977906548</v>
      </c>
      <c r="O1014" s="7" t="n">
        <f aca="false">IFERROR(M1014/E1014,0)</f>
        <v>0.463944165657265</v>
      </c>
      <c r="P1014" s="7" t="n">
        <f aca="false">01_Data!I1014+01_Data!K1014+01_Data!M1014+01_Data!O1014+01_Data!Q1014+01_Data!S1014+01_Data!U1014</f>
        <v>25058</v>
      </c>
      <c r="Q1014" s="7" t="n">
        <f aca="false">01_Data!J1014+01_Data!L1014+01_Data!N1014+01_Data!P1014+01_Data!R1014+01_Data!T1014+01_Data!V1014</f>
        <v>25407</v>
      </c>
      <c r="R1014" s="7" t="n">
        <f aca="false">P1014-Q1014</f>
        <v>-349</v>
      </c>
      <c r="S1014" s="7" t="n">
        <f aca="false">L1014-P1014</f>
        <v>15846</v>
      </c>
      <c r="T1014" s="7" t="n">
        <f aca="false">M1014-Q1014</f>
        <v>14810</v>
      </c>
      <c r="U1014" s="7" t="n">
        <f aca="false">T1014-S1014</f>
        <v>-1036</v>
      </c>
      <c r="V1014" s="8" t="n">
        <f aca="false">IFERROR(U1014/S1014,0)</f>
        <v>-0.0653792755269469</v>
      </c>
      <c r="W1014" s="5" t="str">
        <f aca="false">IF(V1014&lt;-0.1,"ADVERSE &gt;10%","")</f>
        <v/>
      </c>
    </row>
    <row r="1015" customFormat="false" ht="15" hidden="false" customHeight="false" outlineLevel="0" collapsed="false">
      <c r="A1015" s="5" t="str">
        <f aca="false">01_Data!A1015</f>
        <v>Public Sector</v>
      </c>
      <c r="B1015" s="5" t="str">
        <f aca="false">01_Data!C1015</f>
        <v>2023-09</v>
      </c>
      <c r="C1015" s="5" t="str">
        <f aca="false">01_Data!D1015</f>
        <v>FY23</v>
      </c>
      <c r="D1015" s="7" t="n">
        <f aca="false">01_Data!E1015</f>
        <v>95069</v>
      </c>
      <c r="E1015" s="7" t="n">
        <f aca="false">01_Data!F1015</f>
        <v>94634</v>
      </c>
      <c r="F1015" s="7" t="n">
        <f aca="false">E1015-D1015</f>
        <v>-435</v>
      </c>
      <c r="G1015" s="8" t="n">
        <f aca="false">IFERROR(F1015/D1015,0)</f>
        <v>-0.00457562402044831</v>
      </c>
      <c r="H1015" s="7" t="n">
        <f aca="false">01_Data!G1015</f>
        <v>56298</v>
      </c>
      <c r="I1015" s="7" t="n">
        <f aca="false">01_Data!H1015</f>
        <v>56719</v>
      </c>
      <c r="J1015" s="7" t="n">
        <f aca="false">H1015-I1015</f>
        <v>-421</v>
      </c>
      <c r="K1015" s="8" t="n">
        <f aca="false">IFERROR(J1015/H1015,0)</f>
        <v>-0.00747806316387794</v>
      </c>
      <c r="L1015" s="7" t="n">
        <f aca="false">D1015-H1015</f>
        <v>38771</v>
      </c>
      <c r="M1015" s="7" t="n">
        <f aca="false">E1015-I1015</f>
        <v>37915</v>
      </c>
      <c r="N1015" s="7" t="n">
        <f aca="false">IFERROR(L1015/D1015,0)</f>
        <v>0.407819583670808</v>
      </c>
      <c r="O1015" s="7" t="n">
        <f aca="false">IFERROR(M1015/E1015,0)</f>
        <v>0.400648815436313</v>
      </c>
      <c r="P1015" s="7" t="n">
        <f aca="false">01_Data!I1015+01_Data!K1015+01_Data!M1015+01_Data!O1015+01_Data!Q1015+01_Data!S1015+01_Data!U1015</f>
        <v>25082</v>
      </c>
      <c r="Q1015" s="7" t="n">
        <f aca="false">01_Data!J1015+01_Data!L1015+01_Data!N1015+01_Data!P1015+01_Data!R1015+01_Data!T1015+01_Data!V1015</f>
        <v>25576</v>
      </c>
      <c r="R1015" s="7" t="n">
        <f aca="false">P1015-Q1015</f>
        <v>-494</v>
      </c>
      <c r="S1015" s="7" t="n">
        <f aca="false">L1015-P1015</f>
        <v>13689</v>
      </c>
      <c r="T1015" s="7" t="n">
        <f aca="false">M1015-Q1015</f>
        <v>12339</v>
      </c>
      <c r="U1015" s="7" t="n">
        <f aca="false">T1015-S1015</f>
        <v>-1350</v>
      </c>
      <c r="V1015" s="8" t="n">
        <f aca="false">IFERROR(U1015/S1015,0)</f>
        <v>-0.0986193293885602</v>
      </c>
      <c r="W1015" s="5" t="str">
        <f aca="false">IF(V1015&lt;-0.1,"ADVERSE &gt;10%","")</f>
        <v/>
      </c>
    </row>
    <row r="1016" customFormat="false" ht="15" hidden="false" customHeight="false" outlineLevel="0" collapsed="false">
      <c r="A1016" s="5" t="str">
        <f aca="false">01_Data!A1016</f>
        <v>Public Sector</v>
      </c>
      <c r="B1016" s="5" t="str">
        <f aca="false">01_Data!C1016</f>
        <v>2023-10</v>
      </c>
      <c r="C1016" s="5" t="str">
        <f aca="false">01_Data!D1016</f>
        <v>FY23</v>
      </c>
      <c r="D1016" s="7" t="n">
        <f aca="false">01_Data!E1016</f>
        <v>86395</v>
      </c>
      <c r="E1016" s="7" t="n">
        <f aca="false">01_Data!F1016</f>
        <v>89871</v>
      </c>
      <c r="F1016" s="7" t="n">
        <f aca="false">E1016-D1016</f>
        <v>3476</v>
      </c>
      <c r="G1016" s="8" t="n">
        <f aca="false">IFERROR(F1016/D1016,0)</f>
        <v>0.0402338098269576</v>
      </c>
      <c r="H1016" s="7" t="n">
        <f aca="false">01_Data!G1016</f>
        <v>51464</v>
      </c>
      <c r="I1016" s="7" t="n">
        <f aca="false">01_Data!H1016</f>
        <v>55851</v>
      </c>
      <c r="J1016" s="7" t="n">
        <f aca="false">H1016-I1016</f>
        <v>-4387</v>
      </c>
      <c r="K1016" s="8" t="n">
        <f aca="false">IFERROR(J1016/H1016,0)</f>
        <v>-0.0852440540960672</v>
      </c>
      <c r="L1016" s="7" t="n">
        <f aca="false">D1016-H1016</f>
        <v>34931</v>
      </c>
      <c r="M1016" s="7" t="n">
        <f aca="false">E1016-I1016</f>
        <v>34020</v>
      </c>
      <c r="N1016" s="7" t="n">
        <f aca="false">IFERROR(L1016/D1016,0)</f>
        <v>0.404317379477979</v>
      </c>
      <c r="O1016" s="7" t="n">
        <f aca="false">IFERROR(M1016/E1016,0)</f>
        <v>0.378542577694696</v>
      </c>
      <c r="P1016" s="7" t="n">
        <f aca="false">01_Data!I1016+01_Data!K1016+01_Data!M1016+01_Data!O1016+01_Data!Q1016+01_Data!S1016+01_Data!U1016</f>
        <v>23095</v>
      </c>
      <c r="Q1016" s="7" t="n">
        <f aca="false">01_Data!J1016+01_Data!L1016+01_Data!N1016+01_Data!P1016+01_Data!R1016+01_Data!T1016+01_Data!V1016</f>
        <v>24418</v>
      </c>
      <c r="R1016" s="7" t="n">
        <f aca="false">P1016-Q1016</f>
        <v>-1323</v>
      </c>
      <c r="S1016" s="7" t="n">
        <f aca="false">L1016-P1016</f>
        <v>11836</v>
      </c>
      <c r="T1016" s="7" t="n">
        <f aca="false">M1016-Q1016</f>
        <v>9602</v>
      </c>
      <c r="U1016" s="7" t="n">
        <f aca="false">T1016-S1016</f>
        <v>-2234</v>
      </c>
      <c r="V1016" s="8" t="n">
        <f aca="false">IFERROR(U1016/S1016,0)</f>
        <v>-0.188746198039878</v>
      </c>
      <c r="W1016" s="5" t="str">
        <f aca="false">IF(V1016&lt;-0.1,"ADVERSE &gt;10%","")</f>
        <v>ADVERSE &gt;10%</v>
      </c>
    </row>
    <row r="1017" customFormat="false" ht="15" hidden="false" customHeight="false" outlineLevel="0" collapsed="false">
      <c r="A1017" s="5" t="str">
        <f aca="false">01_Data!A1017</f>
        <v>Public Sector</v>
      </c>
      <c r="B1017" s="5" t="str">
        <f aca="false">01_Data!C1017</f>
        <v>2023-11</v>
      </c>
      <c r="C1017" s="5" t="str">
        <f aca="false">01_Data!D1017</f>
        <v>FY23</v>
      </c>
      <c r="D1017" s="7" t="n">
        <f aca="false">01_Data!E1017</f>
        <v>87066</v>
      </c>
      <c r="E1017" s="7" t="n">
        <f aca="false">01_Data!F1017</f>
        <v>89249</v>
      </c>
      <c r="F1017" s="7" t="n">
        <f aca="false">E1017-D1017</f>
        <v>2183</v>
      </c>
      <c r="G1017" s="8" t="n">
        <f aca="false">IFERROR(F1017/D1017,0)</f>
        <v>0.02507293317713</v>
      </c>
      <c r="H1017" s="7" t="n">
        <f aca="false">01_Data!G1017</f>
        <v>47957</v>
      </c>
      <c r="I1017" s="7" t="n">
        <f aca="false">01_Data!H1017</f>
        <v>50099</v>
      </c>
      <c r="J1017" s="7" t="n">
        <f aca="false">H1017-I1017</f>
        <v>-2142</v>
      </c>
      <c r="K1017" s="8" t="n">
        <f aca="false">IFERROR(J1017/H1017,0)</f>
        <v>-0.0446650124069479</v>
      </c>
      <c r="L1017" s="7" t="n">
        <f aca="false">D1017-H1017</f>
        <v>39109</v>
      </c>
      <c r="M1017" s="7" t="n">
        <f aca="false">E1017-I1017</f>
        <v>39150</v>
      </c>
      <c r="N1017" s="7" t="n">
        <f aca="false">IFERROR(L1017/D1017,0)</f>
        <v>0.44918797234282</v>
      </c>
      <c r="O1017" s="7" t="n">
        <f aca="false">IFERROR(M1017/E1017,0)</f>
        <v>0.438660377147083</v>
      </c>
      <c r="P1017" s="7" t="n">
        <f aca="false">01_Data!I1017+01_Data!K1017+01_Data!M1017+01_Data!O1017+01_Data!Q1017+01_Data!S1017+01_Data!U1017</f>
        <v>23205</v>
      </c>
      <c r="Q1017" s="7" t="n">
        <f aca="false">01_Data!J1017+01_Data!L1017+01_Data!N1017+01_Data!P1017+01_Data!R1017+01_Data!T1017+01_Data!V1017</f>
        <v>23070</v>
      </c>
      <c r="R1017" s="7" t="n">
        <f aca="false">P1017-Q1017</f>
        <v>135</v>
      </c>
      <c r="S1017" s="7" t="n">
        <f aca="false">L1017-P1017</f>
        <v>15904</v>
      </c>
      <c r="T1017" s="7" t="n">
        <f aca="false">M1017-Q1017</f>
        <v>16080</v>
      </c>
      <c r="U1017" s="7" t="n">
        <f aca="false">T1017-S1017</f>
        <v>176</v>
      </c>
      <c r="V1017" s="8" t="n">
        <f aca="false">IFERROR(U1017/S1017,0)</f>
        <v>0.0110663983903421</v>
      </c>
      <c r="W1017" s="5" t="str">
        <f aca="false">IF(V1017&lt;-0.1,"ADVERSE &gt;10%","")</f>
        <v/>
      </c>
    </row>
    <row r="1018" customFormat="false" ht="15" hidden="false" customHeight="false" outlineLevel="0" collapsed="false">
      <c r="A1018" s="5" t="str">
        <f aca="false">01_Data!A1018</f>
        <v>Public Sector</v>
      </c>
      <c r="B1018" s="5" t="str">
        <f aca="false">01_Data!C1018</f>
        <v>2023-12</v>
      </c>
      <c r="C1018" s="5" t="str">
        <f aca="false">01_Data!D1018</f>
        <v>FY23</v>
      </c>
      <c r="D1018" s="7" t="n">
        <f aca="false">01_Data!E1018</f>
        <v>99035</v>
      </c>
      <c r="E1018" s="7" t="n">
        <f aca="false">01_Data!F1018</f>
        <v>98229</v>
      </c>
      <c r="F1018" s="7" t="n">
        <f aca="false">E1018-D1018</f>
        <v>-806</v>
      </c>
      <c r="G1018" s="8" t="n">
        <f aca="false">IFERROR(F1018/D1018,0)</f>
        <v>-0.00813853688090069</v>
      </c>
      <c r="H1018" s="7" t="n">
        <f aca="false">01_Data!G1018</f>
        <v>58600</v>
      </c>
      <c r="I1018" s="7" t="n">
        <f aca="false">01_Data!H1018</f>
        <v>60411</v>
      </c>
      <c r="J1018" s="7" t="n">
        <f aca="false">H1018-I1018</f>
        <v>-1811</v>
      </c>
      <c r="K1018" s="8" t="n">
        <f aca="false">IFERROR(J1018/H1018,0)</f>
        <v>-0.0309044368600683</v>
      </c>
      <c r="L1018" s="7" t="n">
        <f aca="false">D1018-H1018</f>
        <v>40435</v>
      </c>
      <c r="M1018" s="7" t="n">
        <f aca="false">E1018-I1018</f>
        <v>37818</v>
      </c>
      <c r="N1018" s="7" t="n">
        <f aca="false">IFERROR(L1018/D1018,0)</f>
        <v>0.408289998485384</v>
      </c>
      <c r="O1018" s="7" t="n">
        <f aca="false">IFERROR(M1018/E1018,0)</f>
        <v>0.384998320251657</v>
      </c>
      <c r="P1018" s="7" t="n">
        <f aca="false">01_Data!I1018+01_Data!K1018+01_Data!M1018+01_Data!O1018+01_Data!Q1018+01_Data!S1018+01_Data!U1018</f>
        <v>25117</v>
      </c>
      <c r="Q1018" s="7" t="n">
        <f aca="false">01_Data!J1018+01_Data!L1018+01_Data!N1018+01_Data!P1018+01_Data!R1018+01_Data!T1018+01_Data!V1018</f>
        <v>26408</v>
      </c>
      <c r="R1018" s="7" t="n">
        <f aca="false">P1018-Q1018</f>
        <v>-1291</v>
      </c>
      <c r="S1018" s="7" t="n">
        <f aca="false">L1018-P1018</f>
        <v>15318</v>
      </c>
      <c r="T1018" s="7" t="n">
        <f aca="false">M1018-Q1018</f>
        <v>11410</v>
      </c>
      <c r="U1018" s="7" t="n">
        <f aca="false">T1018-S1018</f>
        <v>-3908</v>
      </c>
      <c r="V1018" s="8" t="n">
        <f aca="false">IFERROR(U1018/S1018,0)</f>
        <v>-0.255124689907299</v>
      </c>
      <c r="W1018" s="5" t="str">
        <f aca="false">IF(V1018&lt;-0.1,"ADVERSE &gt;10%","")</f>
        <v>ADVERSE &gt;10%</v>
      </c>
    </row>
    <row r="1019" customFormat="false" ht="15" hidden="false" customHeight="false" outlineLevel="0" collapsed="false">
      <c r="A1019" s="5" t="str">
        <f aca="false">01_Data!A1019</f>
        <v>Public Sector</v>
      </c>
      <c r="B1019" s="5" t="str">
        <f aca="false">01_Data!C1019</f>
        <v>2024-01</v>
      </c>
      <c r="C1019" s="5" t="str">
        <f aca="false">01_Data!D1019</f>
        <v>FY23</v>
      </c>
      <c r="D1019" s="7" t="n">
        <f aca="false">01_Data!E1019</f>
        <v>94642</v>
      </c>
      <c r="E1019" s="7" t="n">
        <f aca="false">01_Data!F1019</f>
        <v>90565</v>
      </c>
      <c r="F1019" s="7" t="n">
        <f aca="false">E1019-D1019</f>
        <v>-4077</v>
      </c>
      <c r="G1019" s="8" t="n">
        <f aca="false">IFERROR(F1019/D1019,0)</f>
        <v>-0.043078125990575</v>
      </c>
      <c r="H1019" s="7" t="n">
        <f aca="false">01_Data!G1019</f>
        <v>53504</v>
      </c>
      <c r="I1019" s="7" t="n">
        <f aca="false">01_Data!H1019</f>
        <v>49483</v>
      </c>
      <c r="J1019" s="7" t="n">
        <f aca="false">H1019-I1019</f>
        <v>4021</v>
      </c>
      <c r="K1019" s="8" t="n">
        <f aca="false">IFERROR(J1019/H1019,0)</f>
        <v>0.075153259569378</v>
      </c>
      <c r="L1019" s="7" t="n">
        <f aca="false">D1019-H1019</f>
        <v>41138</v>
      </c>
      <c r="M1019" s="7" t="n">
        <f aca="false">E1019-I1019</f>
        <v>41082</v>
      </c>
      <c r="N1019" s="7" t="n">
        <f aca="false">IFERROR(L1019/D1019,0)</f>
        <v>0.434669597007671</v>
      </c>
      <c r="O1019" s="7" t="n">
        <f aca="false">IFERROR(M1019/E1019,0)</f>
        <v>0.453618947717109</v>
      </c>
      <c r="P1019" s="7" t="n">
        <f aca="false">01_Data!I1019+01_Data!K1019+01_Data!M1019+01_Data!O1019+01_Data!Q1019+01_Data!S1019+01_Data!U1019</f>
        <v>24899</v>
      </c>
      <c r="Q1019" s="7" t="n">
        <f aca="false">01_Data!J1019+01_Data!L1019+01_Data!N1019+01_Data!P1019+01_Data!R1019+01_Data!T1019+01_Data!V1019</f>
        <v>24697</v>
      </c>
      <c r="R1019" s="7" t="n">
        <f aca="false">P1019-Q1019</f>
        <v>202</v>
      </c>
      <c r="S1019" s="7" t="n">
        <f aca="false">L1019-P1019</f>
        <v>16239</v>
      </c>
      <c r="T1019" s="7" t="n">
        <f aca="false">M1019-Q1019</f>
        <v>16385</v>
      </c>
      <c r="U1019" s="7" t="n">
        <f aca="false">T1019-S1019</f>
        <v>146</v>
      </c>
      <c r="V1019" s="8" t="n">
        <f aca="false">IFERROR(U1019/S1019,0)</f>
        <v>0.00899070139786933</v>
      </c>
      <c r="W1019" s="5" t="str">
        <f aca="false">IF(V1019&lt;-0.1,"ADVERSE &gt;10%","")</f>
        <v/>
      </c>
    </row>
    <row r="1020" customFormat="false" ht="15" hidden="false" customHeight="false" outlineLevel="0" collapsed="false">
      <c r="A1020" s="5" t="str">
        <f aca="false">01_Data!A1020</f>
        <v>Public Sector</v>
      </c>
      <c r="B1020" s="5" t="str">
        <f aca="false">01_Data!C1020</f>
        <v>2024-02</v>
      </c>
      <c r="C1020" s="5" t="str">
        <f aca="false">01_Data!D1020</f>
        <v>FY23</v>
      </c>
      <c r="D1020" s="7" t="n">
        <f aca="false">01_Data!E1020</f>
        <v>90676</v>
      </c>
      <c r="E1020" s="7" t="n">
        <f aca="false">01_Data!F1020</f>
        <v>90357</v>
      </c>
      <c r="F1020" s="7" t="n">
        <f aca="false">E1020-D1020</f>
        <v>-319</v>
      </c>
      <c r="G1020" s="8" t="n">
        <f aca="false">IFERROR(F1020/D1020,0)</f>
        <v>-0.00351802020380255</v>
      </c>
      <c r="H1020" s="7" t="n">
        <f aca="false">01_Data!G1020</f>
        <v>50243</v>
      </c>
      <c r="I1020" s="7" t="n">
        <f aca="false">01_Data!H1020</f>
        <v>51466</v>
      </c>
      <c r="J1020" s="7" t="n">
        <f aca="false">H1020-I1020</f>
        <v>-1223</v>
      </c>
      <c r="K1020" s="8" t="n">
        <f aca="false">IFERROR(J1020/H1020,0)</f>
        <v>-0.0243416993412018</v>
      </c>
      <c r="L1020" s="7" t="n">
        <f aca="false">D1020-H1020</f>
        <v>40433</v>
      </c>
      <c r="M1020" s="7" t="n">
        <f aca="false">E1020-I1020</f>
        <v>38891</v>
      </c>
      <c r="N1020" s="7" t="n">
        <f aca="false">IFERROR(L1020/D1020,0)</f>
        <v>0.445906303762848</v>
      </c>
      <c r="O1020" s="7" t="n">
        <f aca="false">IFERROR(M1020/E1020,0)</f>
        <v>0.430414909746893</v>
      </c>
      <c r="P1020" s="7" t="n">
        <f aca="false">01_Data!I1020+01_Data!K1020+01_Data!M1020+01_Data!O1020+01_Data!Q1020+01_Data!S1020+01_Data!U1020</f>
        <v>25378</v>
      </c>
      <c r="Q1020" s="7" t="n">
        <f aca="false">01_Data!J1020+01_Data!L1020+01_Data!N1020+01_Data!P1020+01_Data!R1020+01_Data!T1020+01_Data!V1020</f>
        <v>25875</v>
      </c>
      <c r="R1020" s="7" t="n">
        <f aca="false">P1020-Q1020</f>
        <v>-497</v>
      </c>
      <c r="S1020" s="7" t="n">
        <f aca="false">L1020-P1020</f>
        <v>15055</v>
      </c>
      <c r="T1020" s="7" t="n">
        <f aca="false">M1020-Q1020</f>
        <v>13016</v>
      </c>
      <c r="U1020" s="7" t="n">
        <f aca="false">T1020-S1020</f>
        <v>-2039</v>
      </c>
      <c r="V1020" s="8" t="n">
        <f aca="false">IFERROR(U1020/S1020,0)</f>
        <v>-0.13543673198273</v>
      </c>
      <c r="W1020" s="5" t="str">
        <f aca="false">IF(V1020&lt;-0.1,"ADVERSE &gt;10%","")</f>
        <v>ADVERSE &gt;10%</v>
      </c>
    </row>
    <row r="1021" customFormat="false" ht="15" hidden="false" customHeight="false" outlineLevel="0" collapsed="false">
      <c r="A1021" s="5" t="str">
        <f aca="false">01_Data!A1021</f>
        <v>Public Sector</v>
      </c>
      <c r="B1021" s="5" t="str">
        <f aca="false">01_Data!C1021</f>
        <v>2024-03</v>
      </c>
      <c r="C1021" s="5" t="str">
        <f aca="false">01_Data!D1021</f>
        <v>FY23</v>
      </c>
      <c r="D1021" s="7" t="n">
        <f aca="false">01_Data!E1021</f>
        <v>103786</v>
      </c>
      <c r="E1021" s="7" t="n">
        <f aca="false">01_Data!F1021</f>
        <v>99513</v>
      </c>
      <c r="F1021" s="7" t="n">
        <f aca="false">E1021-D1021</f>
        <v>-4273</v>
      </c>
      <c r="G1021" s="8" t="n">
        <f aca="false">IFERROR(F1021/D1021,0)</f>
        <v>-0.0411712562387991</v>
      </c>
      <c r="H1021" s="7" t="n">
        <f aca="false">01_Data!G1021</f>
        <v>57149</v>
      </c>
      <c r="I1021" s="7" t="n">
        <f aca="false">01_Data!H1021</f>
        <v>55571</v>
      </c>
      <c r="J1021" s="7" t="n">
        <f aca="false">H1021-I1021</f>
        <v>1578</v>
      </c>
      <c r="K1021" s="8" t="n">
        <f aca="false">IFERROR(J1021/H1021,0)</f>
        <v>0.0276120317065915</v>
      </c>
      <c r="L1021" s="7" t="n">
        <f aca="false">D1021-H1021</f>
        <v>46637</v>
      </c>
      <c r="M1021" s="7" t="n">
        <f aca="false">E1021-I1021</f>
        <v>43942</v>
      </c>
      <c r="N1021" s="7" t="n">
        <f aca="false">IFERROR(L1021/D1021,0)</f>
        <v>0.449357331431985</v>
      </c>
      <c r="O1021" s="7" t="n">
        <f aca="false">IFERROR(M1021/E1021,0)</f>
        <v>0.44157044808216</v>
      </c>
      <c r="P1021" s="7" t="n">
        <f aca="false">01_Data!I1021+01_Data!K1021+01_Data!M1021+01_Data!O1021+01_Data!Q1021+01_Data!S1021+01_Data!U1021</f>
        <v>29070</v>
      </c>
      <c r="Q1021" s="7" t="n">
        <f aca="false">01_Data!J1021+01_Data!L1021+01_Data!N1021+01_Data!P1021+01_Data!R1021+01_Data!T1021+01_Data!V1021</f>
        <v>31315</v>
      </c>
      <c r="R1021" s="7" t="n">
        <f aca="false">P1021-Q1021</f>
        <v>-2245</v>
      </c>
      <c r="S1021" s="7" t="n">
        <f aca="false">L1021-P1021</f>
        <v>17567</v>
      </c>
      <c r="T1021" s="7" t="n">
        <f aca="false">M1021-Q1021</f>
        <v>12627</v>
      </c>
      <c r="U1021" s="7" t="n">
        <f aca="false">T1021-S1021</f>
        <v>-4940</v>
      </c>
      <c r="V1021" s="8" t="n">
        <f aca="false">IFERROR(U1021/S1021,0)</f>
        <v>-0.281209085216599</v>
      </c>
      <c r="W1021" s="5" t="str">
        <f aca="false">IF(V1021&lt;-0.1,"ADVERSE &gt;10%","")</f>
        <v>ADVERSE &gt;10%</v>
      </c>
    </row>
    <row r="1022" customFormat="false" ht="15" hidden="false" customHeight="false" outlineLevel="0" collapsed="false">
      <c r="A1022" s="5" t="str">
        <f aca="false">01_Data!A1022</f>
        <v>Public Sector</v>
      </c>
      <c r="B1022" s="5" t="str">
        <f aca="false">01_Data!C1022</f>
        <v>2024-04</v>
      </c>
      <c r="C1022" s="5" t="str">
        <f aca="false">01_Data!D1022</f>
        <v>FY24</v>
      </c>
      <c r="D1022" s="7" t="n">
        <f aca="false">01_Data!E1022</f>
        <v>97796</v>
      </c>
      <c r="E1022" s="7" t="n">
        <f aca="false">01_Data!F1022</f>
        <v>94947</v>
      </c>
      <c r="F1022" s="7" t="n">
        <f aca="false">E1022-D1022</f>
        <v>-2849</v>
      </c>
      <c r="G1022" s="8" t="n">
        <f aca="false">IFERROR(F1022/D1022,0)</f>
        <v>-0.0291320708413432</v>
      </c>
      <c r="H1022" s="7" t="n">
        <f aca="false">01_Data!G1022</f>
        <v>57316</v>
      </c>
      <c r="I1022" s="7" t="n">
        <f aca="false">01_Data!H1022</f>
        <v>54588</v>
      </c>
      <c r="J1022" s="7" t="n">
        <f aca="false">H1022-I1022</f>
        <v>2728</v>
      </c>
      <c r="K1022" s="8" t="n">
        <f aca="false">IFERROR(J1022/H1022,0)</f>
        <v>0.0475957847721404</v>
      </c>
      <c r="L1022" s="7" t="n">
        <f aca="false">D1022-H1022</f>
        <v>40480</v>
      </c>
      <c r="M1022" s="7" t="n">
        <f aca="false">E1022-I1022</f>
        <v>40359</v>
      </c>
      <c r="N1022" s="7" t="n">
        <f aca="false">IFERROR(L1022/D1022,0)</f>
        <v>0.413922859830668</v>
      </c>
      <c r="O1022" s="7" t="n">
        <f aca="false">IFERROR(M1022/E1022,0)</f>
        <v>0.425068722550476</v>
      </c>
      <c r="P1022" s="7" t="n">
        <f aca="false">01_Data!I1022+01_Data!K1022+01_Data!M1022+01_Data!O1022+01_Data!Q1022+01_Data!S1022+01_Data!U1022</f>
        <v>25159</v>
      </c>
      <c r="Q1022" s="7" t="n">
        <f aca="false">01_Data!J1022+01_Data!L1022+01_Data!N1022+01_Data!P1022+01_Data!R1022+01_Data!T1022+01_Data!V1022</f>
        <v>25897</v>
      </c>
      <c r="R1022" s="7" t="n">
        <f aca="false">P1022-Q1022</f>
        <v>-738</v>
      </c>
      <c r="S1022" s="7" t="n">
        <f aca="false">L1022-P1022</f>
        <v>15321</v>
      </c>
      <c r="T1022" s="7" t="n">
        <f aca="false">M1022-Q1022</f>
        <v>14462</v>
      </c>
      <c r="U1022" s="7" t="n">
        <f aca="false">T1022-S1022</f>
        <v>-859</v>
      </c>
      <c r="V1022" s="8" t="n">
        <f aca="false">IFERROR(U1022/S1022,0)</f>
        <v>-0.0560668363683833</v>
      </c>
      <c r="W1022" s="5" t="str">
        <f aca="false">IF(V1022&lt;-0.1,"ADVERSE &gt;10%","")</f>
        <v/>
      </c>
    </row>
    <row r="1023" customFormat="false" ht="15" hidden="false" customHeight="false" outlineLevel="0" collapsed="false">
      <c r="A1023" s="5" t="str">
        <f aca="false">01_Data!A1023</f>
        <v>Public Sector</v>
      </c>
      <c r="B1023" s="5" t="str">
        <f aca="false">01_Data!C1023</f>
        <v>2024-05</v>
      </c>
      <c r="C1023" s="5" t="str">
        <f aca="false">01_Data!D1023</f>
        <v>FY24</v>
      </c>
      <c r="D1023" s="7" t="n">
        <f aca="false">01_Data!E1023</f>
        <v>101148</v>
      </c>
      <c r="E1023" s="7" t="n">
        <f aca="false">01_Data!F1023</f>
        <v>95739</v>
      </c>
      <c r="F1023" s="7" t="n">
        <f aca="false">E1023-D1023</f>
        <v>-5409</v>
      </c>
      <c r="G1023" s="8" t="n">
        <f aca="false">IFERROR(F1023/D1023,0)</f>
        <v>-0.0534760944358761</v>
      </c>
      <c r="H1023" s="7" t="n">
        <f aca="false">01_Data!G1023</f>
        <v>56740</v>
      </c>
      <c r="I1023" s="7" t="n">
        <f aca="false">01_Data!H1023</f>
        <v>52685</v>
      </c>
      <c r="J1023" s="7" t="n">
        <f aca="false">H1023-I1023</f>
        <v>4055</v>
      </c>
      <c r="K1023" s="8" t="n">
        <f aca="false">IFERROR(J1023/H1023,0)</f>
        <v>0.0714663376806486</v>
      </c>
      <c r="L1023" s="7" t="n">
        <f aca="false">D1023-H1023</f>
        <v>44408</v>
      </c>
      <c r="M1023" s="7" t="n">
        <f aca="false">E1023-I1023</f>
        <v>43054</v>
      </c>
      <c r="N1023" s="7" t="n">
        <f aca="false">IFERROR(L1023/D1023,0)</f>
        <v>0.439039822833867</v>
      </c>
      <c r="O1023" s="7" t="n">
        <f aca="false">IFERROR(M1023/E1023,0)</f>
        <v>0.449701793417521</v>
      </c>
      <c r="P1023" s="7" t="n">
        <f aca="false">01_Data!I1023+01_Data!K1023+01_Data!M1023+01_Data!O1023+01_Data!Q1023+01_Data!S1023+01_Data!U1023</f>
        <v>27876</v>
      </c>
      <c r="Q1023" s="7" t="n">
        <f aca="false">01_Data!J1023+01_Data!L1023+01_Data!N1023+01_Data!P1023+01_Data!R1023+01_Data!T1023+01_Data!V1023</f>
        <v>28885</v>
      </c>
      <c r="R1023" s="7" t="n">
        <f aca="false">P1023-Q1023</f>
        <v>-1009</v>
      </c>
      <c r="S1023" s="7" t="n">
        <f aca="false">L1023-P1023</f>
        <v>16532</v>
      </c>
      <c r="T1023" s="7" t="n">
        <f aca="false">M1023-Q1023</f>
        <v>14169</v>
      </c>
      <c r="U1023" s="7" t="n">
        <f aca="false">T1023-S1023</f>
        <v>-2363</v>
      </c>
      <c r="V1023" s="8" t="n">
        <f aca="false">IFERROR(U1023/S1023,0)</f>
        <v>-0.142934914105976</v>
      </c>
      <c r="W1023" s="5" t="str">
        <f aca="false">IF(V1023&lt;-0.1,"ADVERSE &gt;10%","")</f>
        <v>ADVERSE &gt;10%</v>
      </c>
    </row>
    <row r="1024" customFormat="false" ht="15" hidden="false" customHeight="false" outlineLevel="0" collapsed="false">
      <c r="A1024" s="5" t="str">
        <f aca="false">01_Data!A1024</f>
        <v>Public Sector</v>
      </c>
      <c r="B1024" s="5" t="str">
        <f aca="false">01_Data!C1024</f>
        <v>2024-06</v>
      </c>
      <c r="C1024" s="5" t="str">
        <f aca="false">01_Data!D1024</f>
        <v>FY24</v>
      </c>
      <c r="D1024" s="7" t="n">
        <f aca="false">01_Data!E1024</f>
        <v>96951</v>
      </c>
      <c r="E1024" s="7" t="n">
        <f aca="false">01_Data!F1024</f>
        <v>96006</v>
      </c>
      <c r="F1024" s="7" t="n">
        <f aca="false">E1024-D1024</f>
        <v>-945</v>
      </c>
      <c r="G1024" s="8" t="n">
        <f aca="false">IFERROR(F1024/D1024,0)</f>
        <v>-0.00974719188043445</v>
      </c>
      <c r="H1024" s="7" t="n">
        <f aca="false">01_Data!G1024</f>
        <v>52390</v>
      </c>
      <c r="I1024" s="7" t="n">
        <f aca="false">01_Data!H1024</f>
        <v>54274</v>
      </c>
      <c r="J1024" s="7" t="n">
        <f aca="false">H1024-I1024</f>
        <v>-1884</v>
      </c>
      <c r="K1024" s="8" t="n">
        <f aca="false">IFERROR(J1024/H1024,0)</f>
        <v>-0.035961061271235</v>
      </c>
      <c r="L1024" s="7" t="n">
        <f aca="false">D1024-H1024</f>
        <v>44561</v>
      </c>
      <c r="M1024" s="7" t="n">
        <f aca="false">E1024-I1024</f>
        <v>41732</v>
      </c>
      <c r="N1024" s="7" t="n">
        <f aca="false">IFERROR(L1024/D1024,0)</f>
        <v>0.459623933739724</v>
      </c>
      <c r="O1024" s="7" t="n">
        <f aca="false">IFERROR(M1024/E1024,0)</f>
        <v>0.434681165760473</v>
      </c>
      <c r="P1024" s="7" t="n">
        <f aca="false">01_Data!I1024+01_Data!K1024+01_Data!M1024+01_Data!O1024+01_Data!Q1024+01_Data!S1024+01_Data!U1024</f>
        <v>26759</v>
      </c>
      <c r="Q1024" s="7" t="n">
        <f aca="false">01_Data!J1024+01_Data!L1024+01_Data!N1024+01_Data!P1024+01_Data!R1024+01_Data!T1024+01_Data!V1024</f>
        <v>26276</v>
      </c>
      <c r="R1024" s="7" t="n">
        <f aca="false">P1024-Q1024</f>
        <v>483</v>
      </c>
      <c r="S1024" s="7" t="n">
        <f aca="false">L1024-P1024</f>
        <v>17802</v>
      </c>
      <c r="T1024" s="7" t="n">
        <f aca="false">M1024-Q1024</f>
        <v>15456</v>
      </c>
      <c r="U1024" s="7" t="n">
        <f aca="false">T1024-S1024</f>
        <v>-2346</v>
      </c>
      <c r="V1024" s="8" t="n">
        <f aca="false">IFERROR(U1024/S1024,0)</f>
        <v>-0.131782945736434</v>
      </c>
      <c r="W1024" s="5" t="str">
        <f aca="false">IF(V1024&lt;-0.1,"ADVERSE &gt;10%","")</f>
        <v>ADVERSE &gt;10%</v>
      </c>
    </row>
    <row r="1025" customFormat="false" ht="15" hidden="false" customHeight="false" outlineLevel="0" collapsed="false">
      <c r="A1025" s="5" t="str">
        <f aca="false">01_Data!A1025</f>
        <v>Public Sector</v>
      </c>
      <c r="B1025" s="5" t="str">
        <f aca="false">01_Data!C1025</f>
        <v>2024-07</v>
      </c>
      <c r="C1025" s="5" t="str">
        <f aca="false">01_Data!D1025</f>
        <v>FY24</v>
      </c>
      <c r="D1025" s="7" t="n">
        <f aca="false">01_Data!E1025</f>
        <v>99830</v>
      </c>
      <c r="E1025" s="7" t="n">
        <f aca="false">01_Data!F1025</f>
        <v>98143</v>
      </c>
      <c r="F1025" s="7" t="n">
        <f aca="false">E1025-D1025</f>
        <v>-1687</v>
      </c>
      <c r="G1025" s="8" t="n">
        <f aca="false">IFERROR(F1025/D1025,0)</f>
        <v>-0.0168987278373235</v>
      </c>
      <c r="H1025" s="7" t="n">
        <f aca="false">01_Data!G1025</f>
        <v>57149</v>
      </c>
      <c r="I1025" s="7" t="n">
        <f aca="false">01_Data!H1025</f>
        <v>55687</v>
      </c>
      <c r="J1025" s="7" t="n">
        <f aca="false">H1025-I1025</f>
        <v>1462</v>
      </c>
      <c r="K1025" s="8" t="n">
        <f aca="false">IFERROR(J1025/H1025,0)</f>
        <v>0.0255822499081349</v>
      </c>
      <c r="L1025" s="7" t="n">
        <f aca="false">D1025-H1025</f>
        <v>42681</v>
      </c>
      <c r="M1025" s="7" t="n">
        <f aca="false">E1025-I1025</f>
        <v>42456</v>
      </c>
      <c r="N1025" s="7" t="n">
        <f aca="false">IFERROR(L1025/D1025,0)</f>
        <v>0.427536812581388</v>
      </c>
      <c r="O1025" s="7" t="n">
        <f aca="false">IFERROR(M1025/E1025,0)</f>
        <v>0.432593256778374</v>
      </c>
      <c r="P1025" s="7" t="n">
        <f aca="false">01_Data!I1025+01_Data!K1025+01_Data!M1025+01_Data!O1025+01_Data!Q1025+01_Data!S1025+01_Data!U1025</f>
        <v>28176</v>
      </c>
      <c r="Q1025" s="7" t="n">
        <f aca="false">01_Data!J1025+01_Data!L1025+01_Data!N1025+01_Data!P1025+01_Data!R1025+01_Data!T1025+01_Data!V1025</f>
        <v>28164</v>
      </c>
      <c r="R1025" s="7" t="n">
        <f aca="false">P1025-Q1025</f>
        <v>12</v>
      </c>
      <c r="S1025" s="7" t="n">
        <f aca="false">L1025-P1025</f>
        <v>14505</v>
      </c>
      <c r="T1025" s="7" t="n">
        <f aca="false">M1025-Q1025</f>
        <v>14292</v>
      </c>
      <c r="U1025" s="7" t="n">
        <f aca="false">T1025-S1025</f>
        <v>-213</v>
      </c>
      <c r="V1025" s="8" t="n">
        <f aca="false">IFERROR(U1025/S1025,0)</f>
        <v>-0.0146845915201655</v>
      </c>
      <c r="W1025" s="5" t="str">
        <f aca="false">IF(V1025&lt;-0.1,"ADVERSE &gt;10%","")</f>
        <v/>
      </c>
    </row>
    <row r="1026" customFormat="false" ht="15" hidden="false" customHeight="false" outlineLevel="0" collapsed="false">
      <c r="A1026" s="5" t="str">
        <f aca="false">01_Data!A1026</f>
        <v>Public Sector</v>
      </c>
      <c r="B1026" s="5" t="str">
        <f aca="false">01_Data!C1026</f>
        <v>2024-08</v>
      </c>
      <c r="C1026" s="5" t="str">
        <f aca="false">01_Data!D1026</f>
        <v>FY24</v>
      </c>
      <c r="D1026" s="7" t="n">
        <f aca="false">01_Data!E1026</f>
        <v>95265</v>
      </c>
      <c r="E1026" s="7" t="n">
        <f aca="false">01_Data!F1026</f>
        <v>97324</v>
      </c>
      <c r="F1026" s="7" t="n">
        <f aca="false">E1026-D1026</f>
        <v>2059</v>
      </c>
      <c r="G1026" s="8" t="n">
        <f aca="false">IFERROR(F1026/D1026,0)</f>
        <v>0.0216133942161339</v>
      </c>
      <c r="H1026" s="7" t="n">
        <f aca="false">01_Data!G1026</f>
        <v>52610</v>
      </c>
      <c r="I1026" s="7" t="n">
        <f aca="false">01_Data!H1026</f>
        <v>54802</v>
      </c>
      <c r="J1026" s="7" t="n">
        <f aca="false">H1026-I1026</f>
        <v>-2192</v>
      </c>
      <c r="K1026" s="8" t="n">
        <f aca="false">IFERROR(J1026/H1026,0)</f>
        <v>-0.0416650826839004</v>
      </c>
      <c r="L1026" s="7" t="n">
        <f aca="false">D1026-H1026</f>
        <v>42655</v>
      </c>
      <c r="M1026" s="7" t="n">
        <f aca="false">E1026-I1026</f>
        <v>42522</v>
      </c>
      <c r="N1026" s="7" t="n">
        <f aca="false">IFERROR(L1026/D1026,0)</f>
        <v>0.447751010339579</v>
      </c>
      <c r="O1026" s="7" t="n">
        <f aca="false">IFERROR(M1026/E1026,0)</f>
        <v>0.43691175866179</v>
      </c>
      <c r="P1026" s="7" t="n">
        <f aca="false">01_Data!I1026+01_Data!K1026+01_Data!M1026+01_Data!O1026+01_Data!Q1026+01_Data!S1026+01_Data!U1026</f>
        <v>24706</v>
      </c>
      <c r="Q1026" s="7" t="n">
        <f aca="false">01_Data!J1026+01_Data!L1026+01_Data!N1026+01_Data!P1026+01_Data!R1026+01_Data!T1026+01_Data!V1026</f>
        <v>25743</v>
      </c>
      <c r="R1026" s="7" t="n">
        <f aca="false">P1026-Q1026</f>
        <v>-1037</v>
      </c>
      <c r="S1026" s="7" t="n">
        <f aca="false">L1026-P1026</f>
        <v>17949</v>
      </c>
      <c r="T1026" s="7" t="n">
        <f aca="false">M1026-Q1026</f>
        <v>16779</v>
      </c>
      <c r="U1026" s="7" t="n">
        <f aca="false">T1026-S1026</f>
        <v>-1170</v>
      </c>
      <c r="V1026" s="8" t="n">
        <f aca="false">IFERROR(U1026/S1026,0)</f>
        <v>-0.0651846899548721</v>
      </c>
      <c r="W1026" s="5" t="str">
        <f aca="false">IF(V1026&lt;-0.1,"ADVERSE &gt;10%","")</f>
        <v/>
      </c>
    </row>
    <row r="1027" customFormat="false" ht="15" hidden="false" customHeight="false" outlineLevel="0" collapsed="false">
      <c r="A1027" s="5" t="str">
        <f aca="false">01_Data!A1027</f>
        <v>Public Sector</v>
      </c>
      <c r="B1027" s="5" t="str">
        <f aca="false">01_Data!C1027</f>
        <v>2024-09</v>
      </c>
      <c r="C1027" s="5" t="str">
        <f aca="false">01_Data!D1027</f>
        <v>FY24</v>
      </c>
      <c r="D1027" s="7" t="n">
        <f aca="false">01_Data!E1027</f>
        <v>108599</v>
      </c>
      <c r="E1027" s="7" t="n">
        <f aca="false">01_Data!F1027</f>
        <v>105254</v>
      </c>
      <c r="F1027" s="7" t="n">
        <f aca="false">E1027-D1027</f>
        <v>-3345</v>
      </c>
      <c r="G1027" s="8" t="n">
        <f aca="false">IFERROR(F1027/D1027,0)</f>
        <v>-0.0308013885947384</v>
      </c>
      <c r="H1027" s="7" t="n">
        <f aca="false">01_Data!G1027</f>
        <v>61328</v>
      </c>
      <c r="I1027" s="7" t="n">
        <f aca="false">01_Data!H1027</f>
        <v>60440</v>
      </c>
      <c r="J1027" s="7" t="n">
        <f aca="false">H1027-I1027</f>
        <v>888</v>
      </c>
      <c r="K1027" s="8" t="n">
        <f aca="false">IFERROR(J1027/H1027,0)</f>
        <v>0.0144795199582572</v>
      </c>
      <c r="L1027" s="7" t="n">
        <f aca="false">D1027-H1027</f>
        <v>47271</v>
      </c>
      <c r="M1027" s="7" t="n">
        <f aca="false">E1027-I1027</f>
        <v>44814</v>
      </c>
      <c r="N1027" s="7" t="n">
        <f aca="false">IFERROR(L1027/D1027,0)</f>
        <v>0.435280251199367</v>
      </c>
      <c r="O1027" s="7" t="n">
        <f aca="false">IFERROR(M1027/E1027,0)</f>
        <v>0.425770041993653</v>
      </c>
      <c r="P1027" s="7" t="n">
        <f aca="false">01_Data!I1027+01_Data!K1027+01_Data!M1027+01_Data!O1027+01_Data!Q1027+01_Data!S1027+01_Data!U1027</f>
        <v>30361</v>
      </c>
      <c r="Q1027" s="7" t="n">
        <f aca="false">01_Data!J1027+01_Data!L1027+01_Data!N1027+01_Data!P1027+01_Data!R1027+01_Data!T1027+01_Data!V1027</f>
        <v>30256</v>
      </c>
      <c r="R1027" s="7" t="n">
        <f aca="false">P1027-Q1027</f>
        <v>105</v>
      </c>
      <c r="S1027" s="7" t="n">
        <f aca="false">L1027-P1027</f>
        <v>16910</v>
      </c>
      <c r="T1027" s="7" t="n">
        <f aca="false">M1027-Q1027</f>
        <v>14558</v>
      </c>
      <c r="U1027" s="7" t="n">
        <f aca="false">T1027-S1027</f>
        <v>-2352</v>
      </c>
      <c r="V1027" s="8" t="n">
        <f aca="false">IFERROR(U1027/S1027,0)</f>
        <v>-0.139089296274394</v>
      </c>
      <c r="W1027" s="5" t="str">
        <f aca="false">IF(V1027&lt;-0.1,"ADVERSE &gt;10%","")</f>
        <v>ADVERSE &gt;10%</v>
      </c>
    </row>
    <row r="1028" customFormat="false" ht="15" hidden="false" customHeight="false" outlineLevel="0" collapsed="false">
      <c r="A1028" s="5" t="str">
        <f aca="false">01_Data!A1028</f>
        <v>Public Sector</v>
      </c>
      <c r="B1028" s="5" t="str">
        <f aca="false">01_Data!C1028</f>
        <v>2024-10</v>
      </c>
      <c r="C1028" s="5" t="str">
        <f aca="false">01_Data!D1028</f>
        <v>FY24</v>
      </c>
      <c r="D1028" s="7" t="n">
        <f aca="false">01_Data!E1028</f>
        <v>93404</v>
      </c>
      <c r="E1028" s="7" t="n">
        <f aca="false">01_Data!F1028</f>
        <v>98420</v>
      </c>
      <c r="F1028" s="7" t="n">
        <f aca="false">E1028-D1028</f>
        <v>5016</v>
      </c>
      <c r="G1028" s="8" t="n">
        <f aca="false">IFERROR(F1028/D1028,0)</f>
        <v>0.0537021969080553</v>
      </c>
      <c r="H1028" s="7" t="n">
        <f aca="false">01_Data!G1028</f>
        <v>53291</v>
      </c>
      <c r="I1028" s="7" t="n">
        <f aca="false">01_Data!H1028</f>
        <v>58135</v>
      </c>
      <c r="J1028" s="7" t="n">
        <f aca="false">H1028-I1028</f>
        <v>-4844</v>
      </c>
      <c r="K1028" s="8" t="n">
        <f aca="false">IFERROR(J1028/H1028,0)</f>
        <v>-0.0908971496125049</v>
      </c>
      <c r="L1028" s="7" t="n">
        <f aca="false">D1028-H1028</f>
        <v>40113</v>
      </c>
      <c r="M1028" s="7" t="n">
        <f aca="false">E1028-I1028</f>
        <v>40285</v>
      </c>
      <c r="N1028" s="7" t="n">
        <f aca="false">IFERROR(L1028/D1028,0)</f>
        <v>0.42945698257034</v>
      </c>
      <c r="O1028" s="7" t="n">
        <f aca="false">IFERROR(M1028/E1028,0)</f>
        <v>0.409317211948791</v>
      </c>
      <c r="P1028" s="7" t="n">
        <f aca="false">01_Data!I1028+01_Data!K1028+01_Data!M1028+01_Data!O1028+01_Data!Q1028+01_Data!S1028+01_Data!U1028</f>
        <v>25505</v>
      </c>
      <c r="Q1028" s="7" t="n">
        <f aca="false">01_Data!J1028+01_Data!L1028+01_Data!N1028+01_Data!P1028+01_Data!R1028+01_Data!T1028+01_Data!V1028</f>
        <v>26341</v>
      </c>
      <c r="R1028" s="7" t="n">
        <f aca="false">P1028-Q1028</f>
        <v>-836</v>
      </c>
      <c r="S1028" s="7" t="n">
        <f aca="false">L1028-P1028</f>
        <v>14608</v>
      </c>
      <c r="T1028" s="7" t="n">
        <f aca="false">M1028-Q1028</f>
        <v>13944</v>
      </c>
      <c r="U1028" s="7" t="n">
        <f aca="false">T1028-S1028</f>
        <v>-664</v>
      </c>
      <c r="V1028" s="8" t="n">
        <f aca="false">IFERROR(U1028/S1028,0)</f>
        <v>-0.0454545454545455</v>
      </c>
      <c r="W1028" s="5" t="str">
        <f aca="false">IF(V1028&lt;-0.1,"ADVERSE &gt;10%","")</f>
        <v/>
      </c>
    </row>
    <row r="1029" customFormat="false" ht="15" hidden="false" customHeight="false" outlineLevel="0" collapsed="false">
      <c r="A1029" s="5" t="str">
        <f aca="false">01_Data!A1029</f>
        <v>Public Sector</v>
      </c>
      <c r="B1029" s="5" t="str">
        <f aca="false">01_Data!C1029</f>
        <v>2024-11</v>
      </c>
      <c r="C1029" s="5" t="str">
        <f aca="false">01_Data!D1029</f>
        <v>FY24</v>
      </c>
      <c r="D1029" s="7" t="n">
        <f aca="false">01_Data!E1029</f>
        <v>96544</v>
      </c>
      <c r="E1029" s="7" t="n">
        <f aca="false">01_Data!F1029</f>
        <v>99343</v>
      </c>
      <c r="F1029" s="7" t="n">
        <f aca="false">E1029-D1029</f>
        <v>2799</v>
      </c>
      <c r="G1029" s="8" t="n">
        <f aca="false">IFERROR(F1029/D1029,0)</f>
        <v>0.02899196221412</v>
      </c>
      <c r="H1029" s="7" t="n">
        <f aca="false">01_Data!G1029</f>
        <v>53964</v>
      </c>
      <c r="I1029" s="7" t="n">
        <f aca="false">01_Data!H1029</f>
        <v>57478</v>
      </c>
      <c r="J1029" s="7" t="n">
        <f aca="false">H1029-I1029</f>
        <v>-3514</v>
      </c>
      <c r="K1029" s="8" t="n">
        <f aca="false">IFERROR(J1029/H1029,0)</f>
        <v>-0.0651174857312282</v>
      </c>
      <c r="L1029" s="7" t="n">
        <f aca="false">D1029-H1029</f>
        <v>42580</v>
      </c>
      <c r="M1029" s="7" t="n">
        <f aca="false">E1029-I1029</f>
        <v>41865</v>
      </c>
      <c r="N1029" s="7" t="n">
        <f aca="false">IFERROR(L1029/D1029,0)</f>
        <v>0.441042426251243</v>
      </c>
      <c r="O1029" s="7" t="n">
        <f aca="false">IFERROR(M1029/E1029,0)</f>
        <v>0.42141872099695</v>
      </c>
      <c r="P1029" s="7" t="n">
        <f aca="false">01_Data!I1029+01_Data!K1029+01_Data!M1029+01_Data!O1029+01_Data!Q1029+01_Data!S1029+01_Data!U1029</f>
        <v>24976</v>
      </c>
      <c r="Q1029" s="7" t="n">
        <f aca="false">01_Data!J1029+01_Data!L1029+01_Data!N1029+01_Data!P1029+01_Data!R1029+01_Data!T1029+01_Data!V1029</f>
        <v>26025</v>
      </c>
      <c r="R1029" s="7" t="n">
        <f aca="false">P1029-Q1029</f>
        <v>-1049</v>
      </c>
      <c r="S1029" s="7" t="n">
        <f aca="false">L1029-P1029</f>
        <v>17604</v>
      </c>
      <c r="T1029" s="7" t="n">
        <f aca="false">M1029-Q1029</f>
        <v>15840</v>
      </c>
      <c r="U1029" s="7" t="n">
        <f aca="false">T1029-S1029</f>
        <v>-1764</v>
      </c>
      <c r="V1029" s="8" t="n">
        <f aca="false">IFERROR(U1029/S1029,0)</f>
        <v>-0.100204498977505</v>
      </c>
      <c r="W1029" s="5" t="str">
        <f aca="false">IF(V1029&lt;-0.1,"ADVERSE &gt;10%","")</f>
        <v>ADVERSE &gt;10%</v>
      </c>
    </row>
    <row r="1030" customFormat="false" ht="15" hidden="false" customHeight="false" outlineLevel="0" collapsed="false">
      <c r="A1030" s="5" t="str">
        <f aca="false">01_Data!A1030</f>
        <v>Public Sector</v>
      </c>
      <c r="B1030" s="5" t="str">
        <f aca="false">01_Data!C1030</f>
        <v>2024-12</v>
      </c>
      <c r="C1030" s="5" t="str">
        <f aca="false">01_Data!D1030</f>
        <v>FY24</v>
      </c>
      <c r="D1030" s="7" t="n">
        <f aca="false">01_Data!E1030</f>
        <v>109966</v>
      </c>
      <c r="E1030" s="7" t="n">
        <f aca="false">01_Data!F1030</f>
        <v>105657</v>
      </c>
      <c r="F1030" s="7" t="n">
        <f aca="false">E1030-D1030</f>
        <v>-4309</v>
      </c>
      <c r="G1030" s="8" t="n">
        <f aca="false">IFERROR(F1030/D1030,0)</f>
        <v>-0.039184838950221</v>
      </c>
      <c r="H1030" s="7" t="n">
        <f aca="false">01_Data!G1030</f>
        <v>60564</v>
      </c>
      <c r="I1030" s="7" t="n">
        <f aca="false">01_Data!H1030</f>
        <v>58902</v>
      </c>
      <c r="J1030" s="7" t="n">
        <f aca="false">H1030-I1030</f>
        <v>1662</v>
      </c>
      <c r="K1030" s="8" t="n">
        <f aca="false">IFERROR(J1030/H1030,0)</f>
        <v>0.0274420447790767</v>
      </c>
      <c r="L1030" s="7" t="n">
        <f aca="false">D1030-H1030</f>
        <v>49402</v>
      </c>
      <c r="M1030" s="7" t="n">
        <f aca="false">E1030-I1030</f>
        <v>46755</v>
      </c>
      <c r="N1030" s="7" t="n">
        <f aca="false">IFERROR(L1030/D1030,0)</f>
        <v>0.449247949366168</v>
      </c>
      <c r="O1030" s="7" t="n">
        <f aca="false">IFERROR(M1030/E1030,0)</f>
        <v>0.442516823305602</v>
      </c>
      <c r="P1030" s="7" t="n">
        <f aca="false">01_Data!I1030+01_Data!K1030+01_Data!M1030+01_Data!O1030+01_Data!Q1030+01_Data!S1030+01_Data!U1030</f>
        <v>28358</v>
      </c>
      <c r="Q1030" s="7" t="n">
        <f aca="false">01_Data!J1030+01_Data!L1030+01_Data!N1030+01_Data!P1030+01_Data!R1030+01_Data!T1030+01_Data!V1030</f>
        <v>28651</v>
      </c>
      <c r="R1030" s="7" t="n">
        <f aca="false">P1030-Q1030</f>
        <v>-293</v>
      </c>
      <c r="S1030" s="7" t="n">
        <f aca="false">L1030-P1030</f>
        <v>21044</v>
      </c>
      <c r="T1030" s="7" t="n">
        <f aca="false">M1030-Q1030</f>
        <v>18104</v>
      </c>
      <c r="U1030" s="7" t="n">
        <f aca="false">T1030-S1030</f>
        <v>-2940</v>
      </c>
      <c r="V1030" s="8" t="n">
        <f aca="false">IFERROR(U1030/S1030,0)</f>
        <v>-0.139707279984794</v>
      </c>
      <c r="W1030" s="5" t="str">
        <f aca="false">IF(V1030&lt;-0.1,"ADVERSE &gt;10%","")</f>
        <v>ADVERSE &gt;10%</v>
      </c>
    </row>
    <row r="1031" customFormat="false" ht="15" hidden="false" customHeight="false" outlineLevel="0" collapsed="false">
      <c r="A1031" s="5" t="str">
        <f aca="false">01_Data!A1031</f>
        <v>Public Sector</v>
      </c>
      <c r="B1031" s="5" t="str">
        <f aca="false">01_Data!C1031</f>
        <v>2025-01</v>
      </c>
      <c r="C1031" s="5" t="str">
        <f aca="false">01_Data!D1031</f>
        <v>FY24</v>
      </c>
      <c r="D1031" s="7" t="n">
        <f aca="false">01_Data!E1031</f>
        <v>103030</v>
      </c>
      <c r="E1031" s="7" t="n">
        <f aca="false">01_Data!F1031</f>
        <v>99066</v>
      </c>
      <c r="F1031" s="7" t="n">
        <f aca="false">E1031-D1031</f>
        <v>-3964</v>
      </c>
      <c r="G1031" s="8" t="n">
        <f aca="false">IFERROR(F1031/D1031,0)</f>
        <v>-0.0384742308065612</v>
      </c>
      <c r="H1031" s="7" t="n">
        <f aca="false">01_Data!G1031</f>
        <v>60232</v>
      </c>
      <c r="I1031" s="7" t="n">
        <f aca="false">01_Data!H1031</f>
        <v>56459</v>
      </c>
      <c r="J1031" s="7" t="n">
        <f aca="false">H1031-I1031</f>
        <v>3773</v>
      </c>
      <c r="K1031" s="8" t="n">
        <f aca="false">IFERROR(J1031/H1031,0)</f>
        <v>0.0626411209988046</v>
      </c>
      <c r="L1031" s="7" t="n">
        <f aca="false">D1031-H1031</f>
        <v>42798</v>
      </c>
      <c r="M1031" s="7" t="n">
        <f aca="false">E1031-I1031</f>
        <v>42607</v>
      </c>
      <c r="N1031" s="7" t="n">
        <f aca="false">IFERROR(L1031/D1031,0)</f>
        <v>0.415393574686984</v>
      </c>
      <c r="O1031" s="7" t="n">
        <f aca="false">IFERROR(M1031/E1031,0)</f>
        <v>0.430087012698605</v>
      </c>
      <c r="P1031" s="7" t="n">
        <f aca="false">01_Data!I1031+01_Data!K1031+01_Data!M1031+01_Data!O1031+01_Data!Q1031+01_Data!S1031+01_Data!U1031</f>
        <v>27190</v>
      </c>
      <c r="Q1031" s="7" t="n">
        <f aca="false">01_Data!J1031+01_Data!L1031+01_Data!N1031+01_Data!P1031+01_Data!R1031+01_Data!T1031+01_Data!V1031</f>
        <v>28554</v>
      </c>
      <c r="R1031" s="7" t="n">
        <f aca="false">P1031-Q1031</f>
        <v>-1364</v>
      </c>
      <c r="S1031" s="7" t="n">
        <f aca="false">L1031-P1031</f>
        <v>15608</v>
      </c>
      <c r="T1031" s="7" t="n">
        <f aca="false">M1031-Q1031</f>
        <v>14053</v>
      </c>
      <c r="U1031" s="7" t="n">
        <f aca="false">T1031-S1031</f>
        <v>-1555</v>
      </c>
      <c r="V1031" s="8" t="n">
        <f aca="false">IFERROR(U1031/S1031,0)</f>
        <v>-0.0996283956945156</v>
      </c>
      <c r="W1031" s="5" t="str">
        <f aca="false">IF(V1031&lt;-0.1,"ADVERSE &gt;10%","")</f>
        <v/>
      </c>
    </row>
    <row r="1032" customFormat="false" ht="15" hidden="false" customHeight="false" outlineLevel="0" collapsed="false">
      <c r="A1032" s="5" t="str">
        <f aca="false">01_Data!A1032</f>
        <v>Public Sector</v>
      </c>
      <c r="B1032" s="5" t="str">
        <f aca="false">01_Data!C1032</f>
        <v>2025-02</v>
      </c>
      <c r="C1032" s="5" t="str">
        <f aca="false">01_Data!D1032</f>
        <v>FY24</v>
      </c>
      <c r="D1032" s="7" t="n">
        <f aca="false">01_Data!E1032</f>
        <v>102509</v>
      </c>
      <c r="E1032" s="7" t="n">
        <f aca="false">01_Data!F1032</f>
        <v>101336</v>
      </c>
      <c r="F1032" s="7" t="n">
        <f aca="false">E1032-D1032</f>
        <v>-1173</v>
      </c>
      <c r="G1032" s="8" t="n">
        <f aca="false">IFERROR(F1032/D1032,0)</f>
        <v>-0.0114428976967876</v>
      </c>
      <c r="H1032" s="7" t="n">
        <f aca="false">01_Data!G1032</f>
        <v>59322</v>
      </c>
      <c r="I1032" s="7" t="n">
        <f aca="false">01_Data!H1032</f>
        <v>56704</v>
      </c>
      <c r="J1032" s="7" t="n">
        <f aca="false">H1032-I1032</f>
        <v>2618</v>
      </c>
      <c r="K1032" s="8" t="n">
        <f aca="false">IFERROR(J1032/H1032,0)</f>
        <v>0.0441320252183001</v>
      </c>
      <c r="L1032" s="7" t="n">
        <f aca="false">D1032-H1032</f>
        <v>43187</v>
      </c>
      <c r="M1032" s="7" t="n">
        <f aca="false">E1032-I1032</f>
        <v>44632</v>
      </c>
      <c r="N1032" s="7" t="n">
        <f aca="false">IFERROR(L1032/D1032,0)</f>
        <v>0.42129959320645</v>
      </c>
      <c r="O1032" s="7" t="n">
        <f aca="false">IFERROR(M1032/E1032,0)</f>
        <v>0.440435778005842</v>
      </c>
      <c r="P1032" s="7" t="n">
        <f aca="false">01_Data!I1032+01_Data!K1032+01_Data!M1032+01_Data!O1032+01_Data!Q1032+01_Data!S1032+01_Data!U1032</f>
        <v>28863</v>
      </c>
      <c r="Q1032" s="7" t="n">
        <f aca="false">01_Data!J1032+01_Data!L1032+01_Data!N1032+01_Data!P1032+01_Data!R1032+01_Data!T1032+01_Data!V1032</f>
        <v>29180</v>
      </c>
      <c r="R1032" s="7" t="n">
        <f aca="false">P1032-Q1032</f>
        <v>-317</v>
      </c>
      <c r="S1032" s="7" t="n">
        <f aca="false">L1032-P1032</f>
        <v>14324</v>
      </c>
      <c r="T1032" s="7" t="n">
        <f aca="false">M1032-Q1032</f>
        <v>15452</v>
      </c>
      <c r="U1032" s="7" t="n">
        <f aca="false">T1032-S1032</f>
        <v>1128</v>
      </c>
      <c r="V1032" s="8" t="n">
        <f aca="false">IFERROR(U1032/S1032,0)</f>
        <v>0.0787489528064786</v>
      </c>
      <c r="W1032" s="5" t="str">
        <f aca="false">IF(V1032&lt;-0.1,"ADVERSE &gt;10%","")</f>
        <v/>
      </c>
    </row>
    <row r="1033" customFormat="false" ht="15" hidden="false" customHeight="false" outlineLevel="0" collapsed="false">
      <c r="A1033" s="5" t="str">
        <f aca="false">01_Data!A1033</f>
        <v>Public Sector</v>
      </c>
      <c r="B1033" s="5" t="str">
        <f aca="false">01_Data!C1033</f>
        <v>2025-03</v>
      </c>
      <c r="C1033" s="5" t="str">
        <f aca="false">01_Data!D1033</f>
        <v>FY24</v>
      </c>
      <c r="D1033" s="7" t="n">
        <f aca="false">01_Data!E1033</f>
        <v>104291</v>
      </c>
      <c r="E1033" s="7" t="n">
        <f aca="false">01_Data!F1033</f>
        <v>110672</v>
      </c>
      <c r="F1033" s="7" t="n">
        <f aca="false">E1033-D1033</f>
        <v>6381</v>
      </c>
      <c r="G1033" s="8" t="n">
        <f aca="false">IFERROR(F1033/D1033,0)</f>
        <v>0.0611845700971321</v>
      </c>
      <c r="H1033" s="7" t="n">
        <f aca="false">01_Data!G1033</f>
        <v>57057</v>
      </c>
      <c r="I1033" s="7" t="n">
        <f aca="false">01_Data!H1033</f>
        <v>60948</v>
      </c>
      <c r="J1033" s="7" t="n">
        <f aca="false">H1033-I1033</f>
        <v>-3891</v>
      </c>
      <c r="K1033" s="8" t="n">
        <f aca="false">IFERROR(J1033/H1033,0)</f>
        <v>-0.068194962931805</v>
      </c>
      <c r="L1033" s="7" t="n">
        <f aca="false">D1033-H1033</f>
        <v>47234</v>
      </c>
      <c r="M1033" s="7" t="n">
        <f aca="false">E1033-I1033</f>
        <v>49724</v>
      </c>
      <c r="N1033" s="7" t="n">
        <f aca="false">IFERROR(L1033/D1033,0)</f>
        <v>0.452905811623247</v>
      </c>
      <c r="O1033" s="7" t="n">
        <f aca="false">IFERROR(M1033/E1033,0)</f>
        <v>0.4492916004048</v>
      </c>
      <c r="P1033" s="7" t="n">
        <f aca="false">01_Data!I1033+01_Data!K1033+01_Data!M1033+01_Data!O1033+01_Data!Q1033+01_Data!S1033+01_Data!U1033</f>
        <v>26705</v>
      </c>
      <c r="Q1033" s="7" t="n">
        <f aca="false">01_Data!J1033+01_Data!L1033+01_Data!N1033+01_Data!P1033+01_Data!R1033+01_Data!T1033+01_Data!V1033</f>
        <v>27345</v>
      </c>
      <c r="R1033" s="7" t="n">
        <f aca="false">P1033-Q1033</f>
        <v>-640</v>
      </c>
      <c r="S1033" s="7" t="n">
        <f aca="false">L1033-P1033</f>
        <v>20529</v>
      </c>
      <c r="T1033" s="7" t="n">
        <f aca="false">M1033-Q1033</f>
        <v>22379</v>
      </c>
      <c r="U1033" s="7" t="n">
        <f aca="false">T1033-S1033</f>
        <v>1850</v>
      </c>
      <c r="V1033" s="8" t="n">
        <f aca="false">IFERROR(U1033/S1033,0)</f>
        <v>0.090116420673194</v>
      </c>
      <c r="W1033" s="5" t="str">
        <f aca="false">IF(V1033&lt;-0.1,"ADVERSE &gt;10%","")</f>
        <v/>
      </c>
    </row>
    <row r="1034" customFormat="false" ht="15" hidden="false" customHeight="false" outlineLevel="0" collapsed="false">
      <c r="A1034" s="5" t="str">
        <f aca="false">01_Data!A1034</f>
        <v>Public Sector</v>
      </c>
      <c r="B1034" s="5" t="str">
        <f aca="false">01_Data!C1034</f>
        <v>2025-04</v>
      </c>
      <c r="C1034" s="5" t="str">
        <f aca="false">01_Data!D1034</f>
        <v>FY25</v>
      </c>
      <c r="D1034" s="7" t="n">
        <f aca="false">01_Data!E1034</f>
        <v>101784</v>
      </c>
      <c r="E1034" s="7" t="n">
        <f aca="false">01_Data!F1034</f>
        <v>101980</v>
      </c>
      <c r="F1034" s="7" t="n">
        <f aca="false">E1034-D1034</f>
        <v>196</v>
      </c>
      <c r="G1034" s="8" t="n">
        <f aca="false">IFERROR(F1034/D1034,0)</f>
        <v>0.00192564646702822</v>
      </c>
      <c r="H1034" s="7" t="n">
        <f aca="false">01_Data!G1034</f>
        <v>59026</v>
      </c>
      <c r="I1034" s="7" t="n">
        <f aca="false">01_Data!H1034</f>
        <v>61968</v>
      </c>
      <c r="J1034" s="7" t="n">
        <f aca="false">H1034-I1034</f>
        <v>-2942</v>
      </c>
      <c r="K1034" s="8" t="n">
        <f aca="false">IFERROR(J1034/H1034,0)</f>
        <v>-0.0498424423135567</v>
      </c>
      <c r="L1034" s="7" t="n">
        <f aca="false">D1034-H1034</f>
        <v>42758</v>
      </c>
      <c r="M1034" s="7" t="n">
        <f aca="false">E1034-I1034</f>
        <v>40012</v>
      </c>
      <c r="N1034" s="7" t="n">
        <f aca="false">IFERROR(L1034/D1034,0)</f>
        <v>0.420085671618329</v>
      </c>
      <c r="O1034" s="7" t="n">
        <f aca="false">IFERROR(M1034/E1034,0)</f>
        <v>0.39235144145911</v>
      </c>
      <c r="P1034" s="7" t="n">
        <f aca="false">01_Data!I1034+01_Data!K1034+01_Data!M1034+01_Data!O1034+01_Data!Q1034+01_Data!S1034+01_Data!U1034</f>
        <v>27069</v>
      </c>
      <c r="Q1034" s="7" t="n">
        <f aca="false">01_Data!J1034+01_Data!L1034+01_Data!N1034+01_Data!P1034+01_Data!R1034+01_Data!T1034+01_Data!V1034</f>
        <v>28117</v>
      </c>
      <c r="R1034" s="7" t="n">
        <f aca="false">P1034-Q1034</f>
        <v>-1048</v>
      </c>
      <c r="S1034" s="7" t="n">
        <f aca="false">L1034-P1034</f>
        <v>15689</v>
      </c>
      <c r="T1034" s="7" t="n">
        <f aca="false">M1034-Q1034</f>
        <v>11895</v>
      </c>
      <c r="U1034" s="7" t="n">
        <f aca="false">T1034-S1034</f>
        <v>-3794</v>
      </c>
      <c r="V1034" s="8" t="n">
        <f aca="false">IFERROR(U1034/S1034,0)</f>
        <v>-0.24182548282236</v>
      </c>
      <c r="W1034" s="5" t="str">
        <f aca="false">IF(V1034&lt;-0.1,"ADVERSE &gt;10%","")</f>
        <v>ADVERSE &gt;10%</v>
      </c>
    </row>
    <row r="1035" customFormat="false" ht="15" hidden="false" customHeight="false" outlineLevel="0" collapsed="false">
      <c r="A1035" s="5" t="str">
        <f aca="false">01_Data!A1035</f>
        <v>Public Sector</v>
      </c>
      <c r="B1035" s="5" t="str">
        <f aca="false">01_Data!C1035</f>
        <v>2025-05</v>
      </c>
      <c r="C1035" s="5" t="str">
        <f aca="false">01_Data!D1035</f>
        <v>FY25</v>
      </c>
      <c r="D1035" s="7" t="n">
        <f aca="false">01_Data!E1035</f>
        <v>98534</v>
      </c>
      <c r="E1035" s="7" t="n">
        <f aca="false">01_Data!F1035</f>
        <v>102491</v>
      </c>
      <c r="F1035" s="7" t="n">
        <f aca="false">E1035-D1035</f>
        <v>3957</v>
      </c>
      <c r="G1035" s="8" t="n">
        <f aca="false">IFERROR(F1035/D1035,0)</f>
        <v>0.0401587269368949</v>
      </c>
      <c r="H1035" s="7" t="n">
        <f aca="false">01_Data!G1035</f>
        <v>58759</v>
      </c>
      <c r="I1035" s="7" t="n">
        <f aca="false">01_Data!H1035</f>
        <v>59996</v>
      </c>
      <c r="J1035" s="7" t="n">
        <f aca="false">H1035-I1035</f>
        <v>-1237</v>
      </c>
      <c r="K1035" s="8" t="n">
        <f aca="false">IFERROR(J1035/H1035,0)</f>
        <v>-0.0210520941472796</v>
      </c>
      <c r="L1035" s="7" t="n">
        <f aca="false">D1035-H1035</f>
        <v>39775</v>
      </c>
      <c r="M1035" s="7" t="n">
        <f aca="false">E1035-I1035</f>
        <v>42495</v>
      </c>
      <c r="N1035" s="7" t="n">
        <f aca="false">IFERROR(L1035/D1035,0)</f>
        <v>0.403667769500883</v>
      </c>
      <c r="O1035" s="7" t="n">
        <f aca="false">IFERROR(M1035/E1035,0)</f>
        <v>0.414621771667756</v>
      </c>
      <c r="P1035" s="7" t="n">
        <f aca="false">01_Data!I1035+01_Data!K1035+01_Data!M1035+01_Data!O1035+01_Data!Q1035+01_Data!S1035+01_Data!U1035</f>
        <v>25694</v>
      </c>
      <c r="Q1035" s="7" t="n">
        <f aca="false">01_Data!J1035+01_Data!L1035+01_Data!N1035+01_Data!P1035+01_Data!R1035+01_Data!T1035+01_Data!V1035</f>
        <v>26119</v>
      </c>
      <c r="R1035" s="7" t="n">
        <f aca="false">P1035-Q1035</f>
        <v>-425</v>
      </c>
      <c r="S1035" s="7" t="n">
        <f aca="false">L1035-P1035</f>
        <v>14081</v>
      </c>
      <c r="T1035" s="7" t="n">
        <f aca="false">M1035-Q1035</f>
        <v>16376</v>
      </c>
      <c r="U1035" s="7" t="n">
        <f aca="false">T1035-S1035</f>
        <v>2295</v>
      </c>
      <c r="V1035" s="8" t="n">
        <f aca="false">IFERROR(U1035/S1035,0)</f>
        <v>0.162985583410269</v>
      </c>
      <c r="W1035" s="5" t="str">
        <f aca="false">IF(V1035&lt;-0.1,"ADVERSE &gt;10%","")</f>
        <v/>
      </c>
    </row>
    <row r="1036" customFormat="false" ht="15" hidden="false" customHeight="false" outlineLevel="0" collapsed="false">
      <c r="A1036" s="5" t="str">
        <f aca="false">01_Data!A1036</f>
        <v>Public Sector</v>
      </c>
      <c r="B1036" s="5" t="str">
        <f aca="false">01_Data!C1036</f>
        <v>2025-06</v>
      </c>
      <c r="C1036" s="5" t="str">
        <f aca="false">01_Data!D1036</f>
        <v>FY25</v>
      </c>
      <c r="D1036" s="7" t="n">
        <f aca="false">01_Data!E1036</f>
        <v>101567</v>
      </c>
      <c r="E1036" s="7" t="n">
        <f aca="false">01_Data!F1036</f>
        <v>103730</v>
      </c>
      <c r="F1036" s="7" t="n">
        <f aca="false">E1036-D1036</f>
        <v>2163</v>
      </c>
      <c r="G1036" s="8" t="n">
        <f aca="false">IFERROR(F1036/D1036,0)</f>
        <v>0.0212962871798911</v>
      </c>
      <c r="H1036" s="7" t="n">
        <f aca="false">01_Data!G1036</f>
        <v>55434</v>
      </c>
      <c r="I1036" s="7" t="n">
        <f aca="false">01_Data!H1036</f>
        <v>58814</v>
      </c>
      <c r="J1036" s="7" t="n">
        <f aca="false">H1036-I1036</f>
        <v>-3380</v>
      </c>
      <c r="K1036" s="8" t="n">
        <f aca="false">IFERROR(J1036/H1036,0)</f>
        <v>-0.0609734098206877</v>
      </c>
      <c r="L1036" s="7" t="n">
        <f aca="false">D1036-H1036</f>
        <v>46133</v>
      </c>
      <c r="M1036" s="7" t="n">
        <f aca="false">E1036-I1036</f>
        <v>44916</v>
      </c>
      <c r="N1036" s="7" t="n">
        <f aca="false">IFERROR(L1036/D1036,0)</f>
        <v>0.454212490277354</v>
      </c>
      <c r="O1036" s="7" t="n">
        <f aca="false">IFERROR(M1036/E1036,0)</f>
        <v>0.433008772775475</v>
      </c>
      <c r="P1036" s="7" t="n">
        <f aca="false">01_Data!I1036+01_Data!K1036+01_Data!M1036+01_Data!O1036+01_Data!Q1036+01_Data!S1036+01_Data!U1036</f>
        <v>26333</v>
      </c>
      <c r="Q1036" s="7" t="n">
        <f aca="false">01_Data!J1036+01_Data!L1036+01_Data!N1036+01_Data!P1036+01_Data!R1036+01_Data!T1036+01_Data!V1036</f>
        <v>26102</v>
      </c>
      <c r="R1036" s="7" t="n">
        <f aca="false">P1036-Q1036</f>
        <v>231</v>
      </c>
      <c r="S1036" s="7" t="n">
        <f aca="false">L1036-P1036</f>
        <v>19800</v>
      </c>
      <c r="T1036" s="7" t="n">
        <f aca="false">M1036-Q1036</f>
        <v>18814</v>
      </c>
      <c r="U1036" s="7" t="n">
        <f aca="false">T1036-S1036</f>
        <v>-986</v>
      </c>
      <c r="V1036" s="8" t="n">
        <f aca="false">IFERROR(U1036/S1036,0)</f>
        <v>-0.0497979797979798</v>
      </c>
      <c r="W1036" s="5" t="str">
        <f aca="false">IF(V1036&lt;-0.1,"ADVERSE &gt;10%","")</f>
        <v/>
      </c>
    </row>
    <row r="1037" customFormat="false" ht="15" hidden="false" customHeight="false" outlineLevel="0" collapsed="false">
      <c r="A1037" s="5" t="str">
        <f aca="false">01_Data!A1037</f>
        <v>Public Sector</v>
      </c>
      <c r="B1037" s="5" t="str">
        <f aca="false">01_Data!C1037</f>
        <v>2025-07</v>
      </c>
      <c r="C1037" s="5" t="str">
        <f aca="false">01_Data!D1037</f>
        <v>FY25</v>
      </c>
      <c r="D1037" s="7" t="n">
        <f aca="false">01_Data!E1037</f>
        <v>110862</v>
      </c>
      <c r="E1037" s="7" t="n">
        <f aca="false">01_Data!F1037</f>
        <v>105224</v>
      </c>
      <c r="F1037" s="7" t="n">
        <f aca="false">E1037-D1037</f>
        <v>-5638</v>
      </c>
      <c r="G1037" s="8" t="n">
        <f aca="false">IFERROR(F1037/D1037,0)</f>
        <v>-0.0508560191950353</v>
      </c>
      <c r="H1037" s="7" t="n">
        <f aca="false">01_Data!G1037</f>
        <v>66055</v>
      </c>
      <c r="I1037" s="7" t="n">
        <f aca="false">01_Data!H1037</f>
        <v>60949</v>
      </c>
      <c r="J1037" s="7" t="n">
        <f aca="false">H1037-I1037</f>
        <v>5106</v>
      </c>
      <c r="K1037" s="8" t="n">
        <f aca="false">IFERROR(J1037/H1037,0)</f>
        <v>0.0772992203466808</v>
      </c>
      <c r="L1037" s="7" t="n">
        <f aca="false">D1037-H1037</f>
        <v>44807</v>
      </c>
      <c r="M1037" s="7" t="n">
        <f aca="false">E1037-I1037</f>
        <v>44275</v>
      </c>
      <c r="N1037" s="7" t="n">
        <f aca="false">IFERROR(L1037/D1037,0)</f>
        <v>0.404169147228085</v>
      </c>
      <c r="O1037" s="7" t="n">
        <f aca="false">IFERROR(M1037/E1037,0)</f>
        <v>0.420769026077701</v>
      </c>
      <c r="P1037" s="7" t="n">
        <f aca="false">01_Data!I1037+01_Data!K1037+01_Data!M1037+01_Data!O1037+01_Data!Q1037+01_Data!S1037+01_Data!U1037</f>
        <v>30414</v>
      </c>
      <c r="Q1037" s="7" t="n">
        <f aca="false">01_Data!J1037+01_Data!L1037+01_Data!N1037+01_Data!P1037+01_Data!R1037+01_Data!T1037+01_Data!V1037</f>
        <v>31179</v>
      </c>
      <c r="R1037" s="7" t="n">
        <f aca="false">P1037-Q1037</f>
        <v>-765</v>
      </c>
      <c r="S1037" s="7" t="n">
        <f aca="false">L1037-P1037</f>
        <v>14393</v>
      </c>
      <c r="T1037" s="7" t="n">
        <f aca="false">M1037-Q1037</f>
        <v>13096</v>
      </c>
      <c r="U1037" s="7" t="n">
        <f aca="false">T1037-S1037</f>
        <v>-1297</v>
      </c>
      <c r="V1037" s="8" t="n">
        <f aca="false">IFERROR(U1037/S1037,0)</f>
        <v>-0.0901132494962829</v>
      </c>
      <c r="W1037" s="5" t="str">
        <f aca="false">IF(V1037&lt;-0.1,"ADVERSE &gt;10%","")</f>
        <v/>
      </c>
    </row>
    <row r="1038" customFormat="false" ht="15" hidden="false" customHeight="false" outlineLevel="0" collapsed="false">
      <c r="A1038" s="5" t="str">
        <f aca="false">01_Data!A1038</f>
        <v>Public Sector</v>
      </c>
      <c r="B1038" s="5" t="str">
        <f aca="false">01_Data!C1038</f>
        <v>2025-08</v>
      </c>
      <c r="C1038" s="5" t="str">
        <f aca="false">01_Data!D1038</f>
        <v>FY25</v>
      </c>
      <c r="D1038" s="7" t="n">
        <f aca="false">01_Data!E1038</f>
        <v>102100</v>
      </c>
      <c r="E1038" s="7" t="n">
        <f aca="false">01_Data!F1038</f>
        <v>106297</v>
      </c>
      <c r="F1038" s="7" t="n">
        <f aca="false">E1038-D1038</f>
        <v>4197</v>
      </c>
      <c r="G1038" s="8" t="n">
        <f aca="false">IFERROR(F1038/D1038,0)</f>
        <v>0.0411067580803134</v>
      </c>
      <c r="H1038" s="7" t="n">
        <f aca="false">01_Data!G1038</f>
        <v>58714</v>
      </c>
      <c r="I1038" s="7" t="n">
        <f aca="false">01_Data!H1038</f>
        <v>60624</v>
      </c>
      <c r="J1038" s="7" t="n">
        <f aca="false">H1038-I1038</f>
        <v>-1910</v>
      </c>
      <c r="K1038" s="8" t="n">
        <f aca="false">IFERROR(J1038/H1038,0)</f>
        <v>-0.0325305719249242</v>
      </c>
      <c r="L1038" s="7" t="n">
        <f aca="false">D1038-H1038</f>
        <v>43386</v>
      </c>
      <c r="M1038" s="7" t="n">
        <f aca="false">E1038-I1038</f>
        <v>45673</v>
      </c>
      <c r="N1038" s="7" t="n">
        <f aca="false">IFERROR(L1038/D1038,0)</f>
        <v>0.424936336924584</v>
      </c>
      <c r="O1038" s="7" t="n">
        <f aca="false">IFERROR(M1038/E1038,0)</f>
        <v>0.429673462092063</v>
      </c>
      <c r="P1038" s="7" t="n">
        <f aca="false">01_Data!I1038+01_Data!K1038+01_Data!M1038+01_Data!O1038+01_Data!Q1038+01_Data!S1038+01_Data!U1038</f>
        <v>27818</v>
      </c>
      <c r="Q1038" s="7" t="n">
        <f aca="false">01_Data!J1038+01_Data!L1038+01_Data!N1038+01_Data!P1038+01_Data!R1038+01_Data!T1038+01_Data!V1038</f>
        <v>27792</v>
      </c>
      <c r="R1038" s="7" t="n">
        <f aca="false">P1038-Q1038</f>
        <v>26</v>
      </c>
      <c r="S1038" s="7" t="n">
        <f aca="false">L1038-P1038</f>
        <v>15568</v>
      </c>
      <c r="T1038" s="7" t="n">
        <f aca="false">M1038-Q1038</f>
        <v>17881</v>
      </c>
      <c r="U1038" s="7" t="n">
        <f aca="false">T1038-S1038</f>
        <v>2313</v>
      </c>
      <c r="V1038" s="8" t="n">
        <f aca="false">IFERROR(U1038/S1038,0)</f>
        <v>0.148573997944502</v>
      </c>
      <c r="W1038" s="5" t="str">
        <f aca="false">IF(V1038&lt;-0.1,"ADVERSE &gt;10%","")</f>
        <v/>
      </c>
    </row>
    <row r="1039" customFormat="false" ht="15" hidden="false" customHeight="false" outlineLevel="0" collapsed="false">
      <c r="A1039" s="5" t="str">
        <f aca="false">01_Data!A1039</f>
        <v>Public Sector</v>
      </c>
      <c r="B1039" s="5" t="str">
        <f aca="false">01_Data!C1039</f>
        <v>2025-09</v>
      </c>
      <c r="C1039" s="5" t="str">
        <f aca="false">01_Data!D1039</f>
        <v>FY25</v>
      </c>
      <c r="D1039" s="7" t="n">
        <f aca="false">01_Data!E1039</f>
        <v>108610</v>
      </c>
      <c r="E1039" s="7" t="n">
        <f aca="false">01_Data!F1039</f>
        <v>114191</v>
      </c>
      <c r="F1039" s="7" t="n">
        <f aca="false">E1039-D1039</f>
        <v>5581</v>
      </c>
      <c r="G1039" s="8" t="n">
        <f aca="false">IFERROR(F1039/D1039,0)</f>
        <v>0.0513856919252371</v>
      </c>
      <c r="H1039" s="7" t="n">
        <f aca="false">01_Data!G1039</f>
        <v>61570</v>
      </c>
      <c r="I1039" s="7" t="n">
        <f aca="false">01_Data!H1039</f>
        <v>64205</v>
      </c>
      <c r="J1039" s="7" t="n">
        <f aca="false">H1039-I1039</f>
        <v>-2635</v>
      </c>
      <c r="K1039" s="8" t="n">
        <f aca="false">IFERROR(J1039/H1039,0)</f>
        <v>-0.0427968166314764</v>
      </c>
      <c r="L1039" s="7" t="n">
        <f aca="false">D1039-H1039</f>
        <v>47040</v>
      </c>
      <c r="M1039" s="7" t="n">
        <f aca="false">E1039-I1039</f>
        <v>49986</v>
      </c>
      <c r="N1039" s="7" t="n">
        <f aca="false">IFERROR(L1039/D1039,0)</f>
        <v>0.433109290120615</v>
      </c>
      <c r="O1039" s="7" t="n">
        <f aca="false">IFERROR(M1039/E1039,0)</f>
        <v>0.437740277254775</v>
      </c>
      <c r="P1039" s="7" t="n">
        <f aca="false">01_Data!I1039+01_Data!K1039+01_Data!M1039+01_Data!O1039+01_Data!Q1039+01_Data!S1039+01_Data!U1039</f>
        <v>29125</v>
      </c>
      <c r="Q1039" s="7" t="n">
        <f aca="false">01_Data!J1039+01_Data!L1039+01_Data!N1039+01_Data!P1039+01_Data!R1039+01_Data!T1039+01_Data!V1039</f>
        <v>30031</v>
      </c>
      <c r="R1039" s="7" t="n">
        <f aca="false">P1039-Q1039</f>
        <v>-906</v>
      </c>
      <c r="S1039" s="7" t="n">
        <f aca="false">L1039-P1039</f>
        <v>17915</v>
      </c>
      <c r="T1039" s="7" t="n">
        <f aca="false">M1039-Q1039</f>
        <v>19955</v>
      </c>
      <c r="U1039" s="7" t="n">
        <f aca="false">T1039-S1039</f>
        <v>2040</v>
      </c>
      <c r="V1039" s="8" t="n">
        <f aca="false">IFERROR(U1039/S1039,0)</f>
        <v>0.113871057772816</v>
      </c>
      <c r="W1039" s="5" t="str">
        <f aca="false">IF(V1039&lt;-0.1,"ADVERSE &gt;10%","")</f>
        <v/>
      </c>
    </row>
    <row r="1040" customFormat="false" ht="15" hidden="false" customHeight="false" outlineLevel="0" collapsed="false">
      <c r="A1040" s="5" t="str">
        <f aca="false">01_Data!A1040</f>
        <v>Public Sector</v>
      </c>
      <c r="B1040" s="5" t="str">
        <f aca="false">01_Data!C1040</f>
        <v>2025-10</v>
      </c>
      <c r="C1040" s="5" t="str">
        <f aca="false">01_Data!D1040</f>
        <v>FY25</v>
      </c>
      <c r="D1040" s="7" t="n">
        <f aca="false">01_Data!E1040</f>
        <v>109417</v>
      </c>
      <c r="E1040" s="7" t="n">
        <f aca="false">01_Data!F1040</f>
        <v>108492</v>
      </c>
      <c r="F1040" s="7" t="n">
        <f aca="false">E1040-D1040</f>
        <v>-925</v>
      </c>
      <c r="G1040" s="8" t="n">
        <f aca="false">IFERROR(F1040/D1040,0)</f>
        <v>-0.00845389656086349</v>
      </c>
      <c r="H1040" s="7" t="n">
        <f aca="false">01_Data!G1040</f>
        <v>60394</v>
      </c>
      <c r="I1040" s="7" t="n">
        <f aca="false">01_Data!H1040</f>
        <v>59284</v>
      </c>
      <c r="J1040" s="7" t="n">
        <f aca="false">H1040-I1040</f>
        <v>1110</v>
      </c>
      <c r="K1040" s="8" t="n">
        <f aca="false">IFERROR(J1040/H1040,0)</f>
        <v>0.018379309202901</v>
      </c>
      <c r="L1040" s="7" t="n">
        <f aca="false">D1040-H1040</f>
        <v>49023</v>
      </c>
      <c r="M1040" s="7" t="n">
        <f aca="false">E1040-I1040</f>
        <v>49208</v>
      </c>
      <c r="N1040" s="7" t="n">
        <f aca="false">IFERROR(L1040/D1040,0)</f>
        <v>0.448038239030498</v>
      </c>
      <c r="O1040" s="7" t="n">
        <f aca="false">IFERROR(M1040/E1040,0)</f>
        <v>0.453563396379457</v>
      </c>
      <c r="P1040" s="7" t="n">
        <f aca="false">01_Data!I1040+01_Data!K1040+01_Data!M1040+01_Data!O1040+01_Data!Q1040+01_Data!S1040+01_Data!U1040</f>
        <v>29790</v>
      </c>
      <c r="Q1040" s="7" t="n">
        <f aca="false">01_Data!J1040+01_Data!L1040+01_Data!N1040+01_Data!P1040+01_Data!R1040+01_Data!T1040+01_Data!V1040</f>
        <v>29491</v>
      </c>
      <c r="R1040" s="7" t="n">
        <f aca="false">P1040-Q1040</f>
        <v>299</v>
      </c>
      <c r="S1040" s="7" t="n">
        <f aca="false">L1040-P1040</f>
        <v>19233</v>
      </c>
      <c r="T1040" s="7" t="n">
        <f aca="false">M1040-Q1040</f>
        <v>19717</v>
      </c>
      <c r="U1040" s="7" t="n">
        <f aca="false">T1040-S1040</f>
        <v>484</v>
      </c>
      <c r="V1040" s="8" t="n">
        <f aca="false">IFERROR(U1040/S1040,0)</f>
        <v>0.0251650808506213</v>
      </c>
      <c r="W1040" s="5" t="str">
        <f aca="false">IF(V1040&lt;-0.1,"ADVERSE &gt;10%","")</f>
        <v/>
      </c>
    </row>
    <row r="1041" customFormat="false" ht="15" hidden="false" customHeight="false" outlineLevel="0" collapsed="false">
      <c r="A1041" s="5" t="str">
        <f aca="false">01_Data!A1041</f>
        <v>Public Sector</v>
      </c>
      <c r="B1041" s="5" t="str">
        <f aca="false">01_Data!C1041</f>
        <v>2025-11</v>
      </c>
      <c r="C1041" s="5" t="str">
        <f aca="false">01_Data!D1041</f>
        <v>FY25</v>
      </c>
      <c r="D1041" s="7" t="n">
        <f aca="false">01_Data!E1041</f>
        <v>110488</v>
      </c>
      <c r="E1041" s="7" t="n">
        <f aca="false">01_Data!F1041</f>
        <v>111463</v>
      </c>
      <c r="F1041" s="7" t="n">
        <f aca="false">E1041-D1041</f>
        <v>975</v>
      </c>
      <c r="G1041" s="8" t="n">
        <f aca="false">IFERROR(F1041/D1041,0)</f>
        <v>0.00882448772717399</v>
      </c>
      <c r="H1041" s="7" t="n">
        <f aca="false">01_Data!G1041</f>
        <v>59912</v>
      </c>
      <c r="I1041" s="7" t="n">
        <f aca="false">01_Data!H1041</f>
        <v>60855</v>
      </c>
      <c r="J1041" s="7" t="n">
        <f aca="false">H1041-I1041</f>
        <v>-943</v>
      </c>
      <c r="K1041" s="8" t="n">
        <f aca="false">IFERROR(J1041/H1041,0)</f>
        <v>-0.0157397516357324</v>
      </c>
      <c r="L1041" s="7" t="n">
        <f aca="false">D1041-H1041</f>
        <v>50576</v>
      </c>
      <c r="M1041" s="7" t="n">
        <f aca="false">E1041-I1041</f>
        <v>50608</v>
      </c>
      <c r="N1041" s="7" t="n">
        <f aca="false">IFERROR(L1041/D1041,0)</f>
        <v>0.457751067989284</v>
      </c>
      <c r="O1041" s="7" t="n">
        <f aca="false">IFERROR(M1041/E1041,0)</f>
        <v>0.454034074087365</v>
      </c>
      <c r="P1041" s="7" t="n">
        <f aca="false">01_Data!I1041+01_Data!K1041+01_Data!M1041+01_Data!O1041+01_Data!Q1041+01_Data!S1041+01_Data!U1041</f>
        <v>30316</v>
      </c>
      <c r="Q1041" s="7" t="n">
        <f aca="false">01_Data!J1041+01_Data!L1041+01_Data!N1041+01_Data!P1041+01_Data!R1041+01_Data!T1041+01_Data!V1041</f>
        <v>29349</v>
      </c>
      <c r="R1041" s="7" t="n">
        <f aca="false">P1041-Q1041</f>
        <v>967</v>
      </c>
      <c r="S1041" s="7" t="n">
        <f aca="false">L1041-P1041</f>
        <v>20260</v>
      </c>
      <c r="T1041" s="7" t="n">
        <f aca="false">M1041-Q1041</f>
        <v>21259</v>
      </c>
      <c r="U1041" s="7" t="n">
        <f aca="false">T1041-S1041</f>
        <v>999</v>
      </c>
      <c r="V1041" s="8" t="n">
        <f aca="false">IFERROR(U1041/S1041,0)</f>
        <v>0.0493089832181639</v>
      </c>
      <c r="W1041" s="5" t="str">
        <f aca="false">IF(V1041&lt;-0.1,"ADVERSE &gt;10%","")</f>
        <v/>
      </c>
    </row>
    <row r="1042" customFormat="false" ht="15" hidden="false" customHeight="false" outlineLevel="0" collapsed="false">
      <c r="A1042" s="5" t="str">
        <f aca="false">01_Data!A1042</f>
        <v>Public Sector</v>
      </c>
      <c r="B1042" s="5" t="str">
        <f aca="false">01_Data!C1042</f>
        <v>2025-12</v>
      </c>
      <c r="C1042" s="5" t="str">
        <f aca="false">01_Data!D1042</f>
        <v>FY25</v>
      </c>
      <c r="D1042" s="7" t="n">
        <f aca="false">01_Data!E1042</f>
        <v>117238</v>
      </c>
      <c r="E1042" s="7" t="n">
        <f aca="false">01_Data!F1042</f>
        <v>119728</v>
      </c>
      <c r="F1042" s="7" t="n">
        <f aca="false">E1042-D1042</f>
        <v>2490</v>
      </c>
      <c r="G1042" s="8" t="n">
        <f aca="false">IFERROR(F1042/D1042,0)</f>
        <v>0.0212388474726625</v>
      </c>
      <c r="H1042" s="7" t="n">
        <f aca="false">01_Data!G1042</f>
        <v>67957</v>
      </c>
      <c r="I1042" s="7" t="n">
        <f aca="false">01_Data!H1042</f>
        <v>72553</v>
      </c>
      <c r="J1042" s="7" t="n">
        <f aca="false">H1042-I1042</f>
        <v>-4596</v>
      </c>
      <c r="K1042" s="8" t="n">
        <f aca="false">IFERROR(J1042/H1042,0)</f>
        <v>-0.06763100195712</v>
      </c>
      <c r="L1042" s="7" t="n">
        <f aca="false">D1042-H1042</f>
        <v>49281</v>
      </c>
      <c r="M1042" s="7" t="n">
        <f aca="false">E1042-I1042</f>
        <v>47175</v>
      </c>
      <c r="N1042" s="7" t="n">
        <f aca="false">IFERROR(L1042/D1042,0)</f>
        <v>0.420350057148706</v>
      </c>
      <c r="O1042" s="7" t="n">
        <f aca="false">IFERROR(M1042/E1042,0)</f>
        <v>0.394018107710811</v>
      </c>
      <c r="P1042" s="7" t="n">
        <f aca="false">01_Data!I1042+01_Data!K1042+01_Data!M1042+01_Data!O1042+01_Data!Q1042+01_Data!S1042+01_Data!U1042</f>
        <v>32374</v>
      </c>
      <c r="Q1042" s="7" t="n">
        <f aca="false">01_Data!J1042+01_Data!L1042+01_Data!N1042+01_Data!P1042+01_Data!R1042+01_Data!T1042+01_Data!V1042</f>
        <v>32980</v>
      </c>
      <c r="R1042" s="7" t="n">
        <f aca="false">P1042-Q1042</f>
        <v>-606</v>
      </c>
      <c r="S1042" s="7" t="n">
        <f aca="false">L1042-P1042</f>
        <v>16907</v>
      </c>
      <c r="T1042" s="7" t="n">
        <f aca="false">M1042-Q1042</f>
        <v>14195</v>
      </c>
      <c r="U1042" s="7" t="n">
        <f aca="false">T1042-S1042</f>
        <v>-2712</v>
      </c>
      <c r="V1042" s="8" t="n">
        <f aca="false">IFERROR(U1042/S1042,0)</f>
        <v>-0.160406932039983</v>
      </c>
      <c r="W1042" s="5" t="str">
        <f aca="false">IF(V1042&lt;-0.1,"ADVERSE &gt;10%","")</f>
        <v>ADVERSE &gt;10%</v>
      </c>
    </row>
    <row r="1043" customFormat="false" ht="15" hidden="false" customHeight="false" outlineLevel="0" collapsed="false">
      <c r="A1043" s="5" t="str">
        <f aca="false">01_Data!A1043</f>
        <v>Public Sector</v>
      </c>
      <c r="B1043" s="5" t="str">
        <f aca="false">01_Data!C1043</f>
        <v>2026-01</v>
      </c>
      <c r="C1043" s="5" t="str">
        <f aca="false">01_Data!D1043</f>
        <v>FY25</v>
      </c>
      <c r="D1043" s="7" t="n">
        <f aca="false">01_Data!E1043</f>
        <v>107306</v>
      </c>
      <c r="E1043" s="7" t="n">
        <f aca="false">01_Data!F1043</f>
        <v>111834</v>
      </c>
      <c r="F1043" s="7" t="n">
        <f aca="false">E1043-D1043</f>
        <v>4528</v>
      </c>
      <c r="G1043" s="8" t="n">
        <f aca="false">IFERROR(F1043/D1043,0)</f>
        <v>0.042197081244292</v>
      </c>
      <c r="H1043" s="7" t="n">
        <f aca="false">01_Data!G1043</f>
        <v>63154</v>
      </c>
      <c r="I1043" s="7" t="n">
        <f aca="false">01_Data!H1043</f>
        <v>66875</v>
      </c>
      <c r="J1043" s="7" t="n">
        <f aca="false">H1043-I1043</f>
        <v>-3721</v>
      </c>
      <c r="K1043" s="8" t="n">
        <f aca="false">IFERROR(J1043/H1043,0)</f>
        <v>-0.0589194667004465</v>
      </c>
      <c r="L1043" s="7" t="n">
        <f aca="false">D1043-H1043</f>
        <v>44152</v>
      </c>
      <c r="M1043" s="7" t="n">
        <f aca="false">E1043-I1043</f>
        <v>44959</v>
      </c>
      <c r="N1043" s="7" t="n">
        <f aca="false">IFERROR(L1043/D1043,0)</f>
        <v>0.411458818705385</v>
      </c>
      <c r="O1043" s="7" t="n">
        <f aca="false">IFERROR(M1043/E1043,0)</f>
        <v>0.402015487240016</v>
      </c>
      <c r="P1043" s="7" t="n">
        <f aca="false">01_Data!I1043+01_Data!K1043+01_Data!M1043+01_Data!O1043+01_Data!Q1043+01_Data!S1043+01_Data!U1043</f>
        <v>27186</v>
      </c>
      <c r="Q1043" s="7" t="n">
        <f aca="false">01_Data!J1043+01_Data!L1043+01_Data!N1043+01_Data!P1043+01_Data!R1043+01_Data!T1043+01_Data!V1043</f>
        <v>27651</v>
      </c>
      <c r="R1043" s="7" t="n">
        <f aca="false">P1043-Q1043</f>
        <v>-465</v>
      </c>
      <c r="S1043" s="7" t="n">
        <f aca="false">L1043-P1043</f>
        <v>16966</v>
      </c>
      <c r="T1043" s="7" t="n">
        <f aca="false">M1043-Q1043</f>
        <v>17308</v>
      </c>
      <c r="U1043" s="7" t="n">
        <f aca="false">T1043-S1043</f>
        <v>342</v>
      </c>
      <c r="V1043" s="8" t="n">
        <f aca="false">IFERROR(U1043/S1043,0)</f>
        <v>0.0201579629847931</v>
      </c>
      <c r="W1043" s="5" t="str">
        <f aca="false">IF(V1043&lt;-0.1,"ADVERSE &gt;10%","")</f>
        <v/>
      </c>
    </row>
    <row r="1044" customFormat="false" ht="15" hidden="false" customHeight="false" outlineLevel="0" collapsed="false">
      <c r="A1044" s="5" t="str">
        <f aca="false">01_Data!A1044</f>
        <v>Public Sector</v>
      </c>
      <c r="B1044" s="5" t="str">
        <f aca="false">01_Data!C1044</f>
        <v>2026-02</v>
      </c>
      <c r="C1044" s="5" t="str">
        <f aca="false">01_Data!D1044</f>
        <v>FY25</v>
      </c>
      <c r="D1044" s="7" t="n">
        <f aca="false">01_Data!E1044</f>
        <v>108299</v>
      </c>
      <c r="E1044" s="7" t="n">
        <f aca="false">01_Data!F1044</f>
        <v>113585</v>
      </c>
      <c r="F1044" s="7" t="n">
        <f aca="false">E1044-D1044</f>
        <v>5286</v>
      </c>
      <c r="G1044" s="8" t="n">
        <f aca="false">IFERROR(F1044/D1044,0)</f>
        <v>0.0488093149521233</v>
      </c>
      <c r="H1044" s="7" t="n">
        <f aca="false">01_Data!G1044</f>
        <v>61940</v>
      </c>
      <c r="I1044" s="7" t="n">
        <f aca="false">01_Data!H1044</f>
        <v>65839</v>
      </c>
      <c r="J1044" s="7" t="n">
        <f aca="false">H1044-I1044</f>
        <v>-3899</v>
      </c>
      <c r="K1044" s="8" t="n">
        <f aca="false">IFERROR(J1044/H1044,0)</f>
        <v>-0.0629480142072974</v>
      </c>
      <c r="L1044" s="7" t="n">
        <f aca="false">D1044-H1044</f>
        <v>46359</v>
      </c>
      <c r="M1044" s="7" t="n">
        <f aca="false">E1044-I1044</f>
        <v>47746</v>
      </c>
      <c r="N1044" s="7" t="n">
        <f aca="false">IFERROR(L1044/D1044,0)</f>
        <v>0.428064894412691</v>
      </c>
      <c r="O1044" s="7" t="n">
        <f aca="false">IFERROR(M1044/E1044,0)</f>
        <v>0.420354800369767</v>
      </c>
      <c r="P1044" s="7" t="n">
        <f aca="false">01_Data!I1044+01_Data!K1044+01_Data!M1044+01_Data!O1044+01_Data!Q1044+01_Data!S1044+01_Data!U1044</f>
        <v>28555</v>
      </c>
      <c r="Q1044" s="7" t="n">
        <f aca="false">01_Data!J1044+01_Data!L1044+01_Data!N1044+01_Data!P1044+01_Data!R1044+01_Data!T1044+01_Data!V1044</f>
        <v>29509</v>
      </c>
      <c r="R1044" s="7" t="n">
        <f aca="false">P1044-Q1044</f>
        <v>-954</v>
      </c>
      <c r="S1044" s="7" t="n">
        <f aca="false">L1044-P1044</f>
        <v>17804</v>
      </c>
      <c r="T1044" s="7" t="n">
        <f aca="false">M1044-Q1044</f>
        <v>18237</v>
      </c>
      <c r="U1044" s="7" t="n">
        <f aca="false">T1044-S1044</f>
        <v>433</v>
      </c>
      <c r="V1044" s="8" t="n">
        <f aca="false">IFERROR(U1044/S1044,0)</f>
        <v>0.0243203774432712</v>
      </c>
      <c r="W1044" s="5" t="str">
        <f aca="false">IF(V1044&lt;-0.1,"ADVERSE &gt;10%","")</f>
        <v/>
      </c>
    </row>
    <row r="1045" customFormat="false" ht="15" hidden="false" customHeight="false" outlineLevel="0" collapsed="false">
      <c r="A1045" s="5" t="str">
        <f aca="false">01_Data!A1045</f>
        <v>Public Sector</v>
      </c>
      <c r="B1045" s="5" t="str">
        <f aca="false">01_Data!C1045</f>
        <v>2026-03</v>
      </c>
      <c r="C1045" s="5" t="str">
        <f aca="false">01_Data!D1045</f>
        <v>FY25</v>
      </c>
      <c r="D1045" s="7" t="n">
        <f aca="false">01_Data!E1045</f>
        <v>128269</v>
      </c>
      <c r="E1045" s="7" t="n">
        <f aca="false">01_Data!F1045</f>
        <v>121865</v>
      </c>
      <c r="F1045" s="7" t="n">
        <f aca="false">E1045-D1045</f>
        <v>-6404</v>
      </c>
      <c r="G1045" s="8" t="n">
        <f aca="false">IFERROR(F1045/D1045,0)</f>
        <v>-0.0499263267040361</v>
      </c>
      <c r="H1045" s="7" t="n">
        <f aca="false">01_Data!G1045</f>
        <v>75241</v>
      </c>
      <c r="I1045" s="7" t="n">
        <f aca="false">01_Data!H1045</f>
        <v>70860</v>
      </c>
      <c r="J1045" s="7" t="n">
        <f aca="false">H1045-I1045</f>
        <v>4381</v>
      </c>
      <c r="K1045" s="8" t="n">
        <f aca="false">IFERROR(J1045/H1045,0)</f>
        <v>0.0582262330378384</v>
      </c>
      <c r="L1045" s="7" t="n">
        <f aca="false">D1045-H1045</f>
        <v>53028</v>
      </c>
      <c r="M1045" s="7" t="n">
        <f aca="false">E1045-I1045</f>
        <v>51005</v>
      </c>
      <c r="N1045" s="7" t="n">
        <f aca="false">IFERROR(L1045/D1045,0)</f>
        <v>0.413412437923427</v>
      </c>
      <c r="O1045" s="7" t="n">
        <f aca="false">IFERROR(M1045/E1045,0)</f>
        <v>0.418536905592254</v>
      </c>
      <c r="P1045" s="7" t="n">
        <f aca="false">01_Data!I1045+01_Data!K1045+01_Data!M1045+01_Data!O1045+01_Data!Q1045+01_Data!S1045+01_Data!U1045</f>
        <v>35699</v>
      </c>
      <c r="Q1045" s="7" t="n">
        <f aca="false">01_Data!J1045+01_Data!L1045+01_Data!N1045+01_Data!P1045+01_Data!R1045+01_Data!T1045+01_Data!V1045</f>
        <v>37992</v>
      </c>
      <c r="R1045" s="7" t="n">
        <f aca="false">P1045-Q1045</f>
        <v>-2293</v>
      </c>
      <c r="S1045" s="7" t="n">
        <f aca="false">L1045-P1045</f>
        <v>17329</v>
      </c>
      <c r="T1045" s="7" t="n">
        <f aca="false">M1045-Q1045</f>
        <v>13013</v>
      </c>
      <c r="U1045" s="7" t="n">
        <f aca="false">T1045-S1045</f>
        <v>-4316</v>
      </c>
      <c r="V1045" s="8" t="n">
        <f aca="false">IFERROR(U1045/S1045,0)</f>
        <v>-0.249062265566392</v>
      </c>
      <c r="W1045" s="5" t="str">
        <f aca="false">IF(V1045&lt;-0.1,"ADVERSE &gt;10%","")</f>
        <v>ADVERSE &gt;10%</v>
      </c>
    </row>
    <row r="1046" customFormat="false" ht="15" hidden="false" customHeight="false" outlineLevel="0" collapsed="false">
      <c r="A1046" s="5" t="str">
        <f aca="false">01_Data!A1046</f>
        <v>Public Sector</v>
      </c>
      <c r="B1046" s="5" t="str">
        <f aca="false">01_Data!C1046</f>
        <v>2023-04</v>
      </c>
      <c r="C1046" s="5" t="str">
        <f aca="false">01_Data!D1046</f>
        <v>FY23</v>
      </c>
      <c r="D1046" s="7" t="n">
        <f aca="false">01_Data!E1046</f>
        <v>50577</v>
      </c>
      <c r="E1046" s="7" t="n">
        <f aca="false">01_Data!F1046</f>
        <v>53455</v>
      </c>
      <c r="F1046" s="7" t="n">
        <f aca="false">E1046-D1046</f>
        <v>2878</v>
      </c>
      <c r="G1046" s="8" t="n">
        <f aca="false">IFERROR(F1046/D1046,0)</f>
        <v>0.056903335508235</v>
      </c>
      <c r="H1046" s="7" t="n">
        <f aca="false">01_Data!G1046</f>
        <v>27747</v>
      </c>
      <c r="I1046" s="7" t="n">
        <f aca="false">01_Data!H1046</f>
        <v>29436</v>
      </c>
      <c r="J1046" s="7" t="n">
        <f aca="false">H1046-I1046</f>
        <v>-1689</v>
      </c>
      <c r="K1046" s="8" t="n">
        <f aca="false">IFERROR(J1046/H1046,0)</f>
        <v>-0.0608714455616823</v>
      </c>
      <c r="L1046" s="7" t="n">
        <f aca="false">D1046-H1046</f>
        <v>22830</v>
      </c>
      <c r="M1046" s="7" t="n">
        <f aca="false">E1046-I1046</f>
        <v>24019</v>
      </c>
      <c r="N1046" s="7" t="n">
        <f aca="false">IFERROR(L1046/D1046,0)</f>
        <v>0.451390948454831</v>
      </c>
      <c r="O1046" s="7" t="n">
        <f aca="false">IFERROR(M1046/E1046,0)</f>
        <v>0.449331213169956</v>
      </c>
      <c r="P1046" s="7" t="n">
        <f aca="false">01_Data!I1046+01_Data!K1046+01_Data!M1046+01_Data!O1046+01_Data!Q1046+01_Data!S1046+01_Data!U1046</f>
        <v>13928</v>
      </c>
      <c r="Q1046" s="7" t="n">
        <f aca="false">01_Data!J1046+01_Data!L1046+01_Data!N1046+01_Data!P1046+01_Data!R1046+01_Data!T1046+01_Data!V1046</f>
        <v>14647</v>
      </c>
      <c r="R1046" s="7" t="n">
        <f aca="false">P1046-Q1046</f>
        <v>-719</v>
      </c>
      <c r="S1046" s="7" t="n">
        <f aca="false">L1046-P1046</f>
        <v>8902</v>
      </c>
      <c r="T1046" s="7" t="n">
        <f aca="false">M1046-Q1046</f>
        <v>9372</v>
      </c>
      <c r="U1046" s="7" t="n">
        <f aca="false">T1046-S1046</f>
        <v>470</v>
      </c>
      <c r="V1046" s="8" t="n">
        <f aca="false">IFERROR(U1046/S1046,0)</f>
        <v>0.0527971242417434</v>
      </c>
      <c r="W1046" s="5" t="str">
        <f aca="false">IF(V1046&lt;-0.1,"ADVERSE &gt;10%","")</f>
        <v/>
      </c>
    </row>
    <row r="1047" customFormat="false" ht="15" hidden="false" customHeight="false" outlineLevel="0" collapsed="false">
      <c r="A1047" s="5" t="str">
        <f aca="false">01_Data!A1047</f>
        <v>Public Sector</v>
      </c>
      <c r="B1047" s="5" t="str">
        <f aca="false">01_Data!C1047</f>
        <v>2023-05</v>
      </c>
      <c r="C1047" s="5" t="str">
        <f aca="false">01_Data!D1047</f>
        <v>FY23</v>
      </c>
      <c r="D1047" s="7" t="n">
        <f aca="false">01_Data!E1047</f>
        <v>54220</v>
      </c>
      <c r="E1047" s="7" t="n">
        <f aca="false">01_Data!F1047</f>
        <v>53701</v>
      </c>
      <c r="F1047" s="7" t="n">
        <f aca="false">E1047-D1047</f>
        <v>-519</v>
      </c>
      <c r="G1047" s="8" t="n">
        <f aca="false">IFERROR(F1047/D1047,0)</f>
        <v>-0.00957211361121358</v>
      </c>
      <c r="H1047" s="7" t="n">
        <f aca="false">01_Data!G1047</f>
        <v>30252</v>
      </c>
      <c r="I1047" s="7" t="n">
        <f aca="false">01_Data!H1047</f>
        <v>31481</v>
      </c>
      <c r="J1047" s="7" t="n">
        <f aca="false">H1047-I1047</f>
        <v>-1229</v>
      </c>
      <c r="K1047" s="8" t="n">
        <f aca="false">IFERROR(J1047/H1047,0)</f>
        <v>-0.0406254131958218</v>
      </c>
      <c r="L1047" s="7" t="n">
        <f aca="false">D1047-H1047</f>
        <v>23968</v>
      </c>
      <c r="M1047" s="7" t="n">
        <f aca="false">E1047-I1047</f>
        <v>22220</v>
      </c>
      <c r="N1047" s="7" t="n">
        <f aca="false">IFERROR(L1047/D1047,0)</f>
        <v>0.442050903725563</v>
      </c>
      <c r="O1047" s="7" t="n">
        <f aca="false">IFERROR(M1047/E1047,0)</f>
        <v>0.413772555445895</v>
      </c>
      <c r="P1047" s="7" t="n">
        <f aca="false">01_Data!I1047+01_Data!K1047+01_Data!M1047+01_Data!O1047+01_Data!Q1047+01_Data!S1047+01_Data!U1047</f>
        <v>15387</v>
      </c>
      <c r="Q1047" s="7" t="n">
        <f aca="false">01_Data!J1047+01_Data!L1047+01_Data!N1047+01_Data!P1047+01_Data!R1047+01_Data!T1047+01_Data!V1047</f>
        <v>16184</v>
      </c>
      <c r="R1047" s="7" t="n">
        <f aca="false">P1047-Q1047</f>
        <v>-797</v>
      </c>
      <c r="S1047" s="7" t="n">
        <f aca="false">L1047-P1047</f>
        <v>8581</v>
      </c>
      <c r="T1047" s="7" t="n">
        <f aca="false">M1047-Q1047</f>
        <v>6036</v>
      </c>
      <c r="U1047" s="7" t="n">
        <f aca="false">T1047-S1047</f>
        <v>-2545</v>
      </c>
      <c r="V1047" s="8" t="n">
        <f aca="false">IFERROR(U1047/S1047,0)</f>
        <v>-0.296585479547838</v>
      </c>
      <c r="W1047" s="5" t="str">
        <f aca="false">IF(V1047&lt;-0.1,"ADVERSE &gt;10%","")</f>
        <v>ADVERSE &gt;10%</v>
      </c>
    </row>
    <row r="1048" customFormat="false" ht="15" hidden="false" customHeight="false" outlineLevel="0" collapsed="false">
      <c r="A1048" s="5" t="str">
        <f aca="false">01_Data!A1048</f>
        <v>Public Sector</v>
      </c>
      <c r="B1048" s="5" t="str">
        <f aca="false">01_Data!C1048</f>
        <v>2023-06</v>
      </c>
      <c r="C1048" s="5" t="str">
        <f aca="false">01_Data!D1048</f>
        <v>FY23</v>
      </c>
      <c r="D1048" s="7" t="n">
        <f aca="false">01_Data!E1048</f>
        <v>55971</v>
      </c>
      <c r="E1048" s="7" t="n">
        <f aca="false">01_Data!F1048</f>
        <v>54328</v>
      </c>
      <c r="F1048" s="7" t="n">
        <f aca="false">E1048-D1048</f>
        <v>-1643</v>
      </c>
      <c r="G1048" s="8" t="n">
        <f aca="false">IFERROR(F1048/D1048,0)</f>
        <v>-0.0293544871451287</v>
      </c>
      <c r="H1048" s="7" t="n">
        <f aca="false">01_Data!G1048</f>
        <v>33075</v>
      </c>
      <c r="I1048" s="7" t="n">
        <f aca="false">01_Data!H1048</f>
        <v>31328</v>
      </c>
      <c r="J1048" s="7" t="n">
        <f aca="false">H1048-I1048</f>
        <v>1747</v>
      </c>
      <c r="K1048" s="8" t="n">
        <f aca="false">IFERROR(J1048/H1048,0)</f>
        <v>0.0528193499622071</v>
      </c>
      <c r="L1048" s="7" t="n">
        <f aca="false">D1048-H1048</f>
        <v>22896</v>
      </c>
      <c r="M1048" s="7" t="n">
        <f aca="false">E1048-I1048</f>
        <v>23000</v>
      </c>
      <c r="N1048" s="7" t="n">
        <f aca="false">IFERROR(L1048/D1048,0)</f>
        <v>0.409068982151471</v>
      </c>
      <c r="O1048" s="7" t="n">
        <f aca="false">IFERROR(M1048/E1048,0)</f>
        <v>0.423354439699602</v>
      </c>
      <c r="P1048" s="7" t="n">
        <f aca="false">01_Data!I1048+01_Data!K1048+01_Data!M1048+01_Data!O1048+01_Data!Q1048+01_Data!S1048+01_Data!U1048</f>
        <v>15375</v>
      </c>
      <c r="Q1048" s="7" t="n">
        <f aca="false">01_Data!J1048+01_Data!L1048+01_Data!N1048+01_Data!P1048+01_Data!R1048+01_Data!T1048+01_Data!V1048</f>
        <v>15440</v>
      </c>
      <c r="R1048" s="7" t="n">
        <f aca="false">P1048-Q1048</f>
        <v>-65</v>
      </c>
      <c r="S1048" s="7" t="n">
        <f aca="false">L1048-P1048</f>
        <v>7521</v>
      </c>
      <c r="T1048" s="7" t="n">
        <f aca="false">M1048-Q1048</f>
        <v>7560</v>
      </c>
      <c r="U1048" s="7" t="n">
        <f aca="false">T1048-S1048</f>
        <v>39</v>
      </c>
      <c r="V1048" s="8" t="n">
        <f aca="false">IFERROR(U1048/S1048,0)</f>
        <v>0.00518548065416833</v>
      </c>
      <c r="W1048" s="5" t="str">
        <f aca="false">IF(V1048&lt;-0.1,"ADVERSE &gt;10%","")</f>
        <v/>
      </c>
    </row>
    <row r="1049" customFormat="false" ht="15" hidden="false" customHeight="false" outlineLevel="0" collapsed="false">
      <c r="A1049" s="5" t="str">
        <f aca="false">01_Data!A1049</f>
        <v>Public Sector</v>
      </c>
      <c r="B1049" s="5" t="str">
        <f aca="false">01_Data!C1049</f>
        <v>2023-07</v>
      </c>
      <c r="C1049" s="5" t="str">
        <f aca="false">01_Data!D1049</f>
        <v>FY23</v>
      </c>
      <c r="D1049" s="7" t="n">
        <f aca="false">01_Data!E1049</f>
        <v>57404</v>
      </c>
      <c r="E1049" s="7" t="n">
        <f aca="false">01_Data!F1049</f>
        <v>55116</v>
      </c>
      <c r="F1049" s="7" t="n">
        <f aca="false">E1049-D1049</f>
        <v>-2288</v>
      </c>
      <c r="G1049" s="8" t="n">
        <f aca="false">IFERROR(F1049/D1049,0)</f>
        <v>-0.0398578496272037</v>
      </c>
      <c r="H1049" s="7" t="n">
        <f aca="false">01_Data!G1049</f>
        <v>33869</v>
      </c>
      <c r="I1049" s="7" t="n">
        <f aca="false">01_Data!H1049</f>
        <v>32643</v>
      </c>
      <c r="J1049" s="7" t="n">
        <f aca="false">H1049-I1049</f>
        <v>1226</v>
      </c>
      <c r="K1049" s="8" t="n">
        <f aca="false">IFERROR(J1049/H1049,0)</f>
        <v>0.0361982934246656</v>
      </c>
      <c r="L1049" s="7" t="n">
        <f aca="false">D1049-H1049</f>
        <v>23535</v>
      </c>
      <c r="M1049" s="7" t="n">
        <f aca="false">E1049-I1049</f>
        <v>22473</v>
      </c>
      <c r="N1049" s="7" t="n">
        <f aca="false">IFERROR(L1049/D1049,0)</f>
        <v>0.409988850951153</v>
      </c>
      <c r="O1049" s="7" t="n">
        <f aca="false">IFERROR(M1049/E1049,0)</f>
        <v>0.407740039190072</v>
      </c>
      <c r="P1049" s="7" t="n">
        <f aca="false">01_Data!I1049+01_Data!K1049+01_Data!M1049+01_Data!O1049+01_Data!Q1049+01_Data!S1049+01_Data!U1049</f>
        <v>15057</v>
      </c>
      <c r="Q1049" s="7" t="n">
        <f aca="false">01_Data!J1049+01_Data!L1049+01_Data!N1049+01_Data!P1049+01_Data!R1049+01_Data!T1049+01_Data!V1049</f>
        <v>15535</v>
      </c>
      <c r="R1049" s="7" t="n">
        <f aca="false">P1049-Q1049</f>
        <v>-478</v>
      </c>
      <c r="S1049" s="7" t="n">
        <f aca="false">L1049-P1049</f>
        <v>8478</v>
      </c>
      <c r="T1049" s="7" t="n">
        <f aca="false">M1049-Q1049</f>
        <v>6938</v>
      </c>
      <c r="U1049" s="7" t="n">
        <f aca="false">T1049-S1049</f>
        <v>-1540</v>
      </c>
      <c r="V1049" s="8" t="n">
        <f aca="false">IFERROR(U1049/S1049,0)</f>
        <v>-0.181646614767634</v>
      </c>
      <c r="W1049" s="5" t="str">
        <f aca="false">IF(V1049&lt;-0.1,"ADVERSE &gt;10%","")</f>
        <v>ADVERSE &gt;10%</v>
      </c>
    </row>
    <row r="1050" customFormat="false" ht="15" hidden="false" customHeight="false" outlineLevel="0" collapsed="false">
      <c r="A1050" s="5" t="str">
        <f aca="false">01_Data!A1050</f>
        <v>Public Sector</v>
      </c>
      <c r="B1050" s="5" t="str">
        <f aca="false">01_Data!C1050</f>
        <v>2023-08</v>
      </c>
      <c r="C1050" s="5" t="str">
        <f aca="false">01_Data!D1050</f>
        <v>FY23</v>
      </c>
      <c r="D1050" s="7" t="n">
        <f aca="false">01_Data!E1050</f>
        <v>57339</v>
      </c>
      <c r="E1050" s="7" t="n">
        <f aca="false">01_Data!F1050</f>
        <v>55675</v>
      </c>
      <c r="F1050" s="7" t="n">
        <f aca="false">E1050-D1050</f>
        <v>-1664</v>
      </c>
      <c r="G1050" s="8" t="n">
        <f aca="false">IFERROR(F1050/D1050,0)</f>
        <v>-0.0290203875198382</v>
      </c>
      <c r="H1050" s="7" t="n">
        <f aca="false">01_Data!G1050</f>
        <v>33608</v>
      </c>
      <c r="I1050" s="7" t="n">
        <f aca="false">01_Data!H1050</f>
        <v>33381</v>
      </c>
      <c r="J1050" s="7" t="n">
        <f aca="false">H1050-I1050</f>
        <v>227</v>
      </c>
      <c r="K1050" s="8" t="n">
        <f aca="false">IFERROR(J1050/H1050,0)</f>
        <v>0.00675434420376101</v>
      </c>
      <c r="L1050" s="7" t="n">
        <f aca="false">D1050-H1050</f>
        <v>23731</v>
      </c>
      <c r="M1050" s="7" t="n">
        <f aca="false">E1050-I1050</f>
        <v>22294</v>
      </c>
      <c r="N1050" s="7" t="n">
        <f aca="false">IFERROR(L1050/D1050,0)</f>
        <v>0.413871884755576</v>
      </c>
      <c r="O1050" s="7" t="n">
        <f aca="false">IFERROR(M1050/E1050,0)</f>
        <v>0.400431073192636</v>
      </c>
      <c r="P1050" s="7" t="n">
        <f aca="false">01_Data!I1050+01_Data!K1050+01_Data!M1050+01_Data!O1050+01_Data!Q1050+01_Data!S1050+01_Data!U1050</f>
        <v>14490</v>
      </c>
      <c r="Q1050" s="7" t="n">
        <f aca="false">01_Data!J1050+01_Data!L1050+01_Data!N1050+01_Data!P1050+01_Data!R1050+01_Data!T1050+01_Data!V1050</f>
        <v>15062</v>
      </c>
      <c r="R1050" s="7" t="n">
        <f aca="false">P1050-Q1050</f>
        <v>-572</v>
      </c>
      <c r="S1050" s="7" t="n">
        <f aca="false">L1050-P1050</f>
        <v>9241</v>
      </c>
      <c r="T1050" s="7" t="n">
        <f aca="false">M1050-Q1050</f>
        <v>7232</v>
      </c>
      <c r="U1050" s="7" t="n">
        <f aca="false">T1050-S1050</f>
        <v>-2009</v>
      </c>
      <c r="V1050" s="8" t="n">
        <f aca="false">IFERROR(U1050/S1050,0)</f>
        <v>-0.217400714208419</v>
      </c>
      <c r="W1050" s="5" t="str">
        <f aca="false">IF(V1050&lt;-0.1,"ADVERSE &gt;10%","")</f>
        <v>ADVERSE &gt;10%</v>
      </c>
    </row>
    <row r="1051" customFormat="false" ht="15" hidden="false" customHeight="false" outlineLevel="0" collapsed="false">
      <c r="A1051" s="5" t="str">
        <f aca="false">01_Data!A1051</f>
        <v>Public Sector</v>
      </c>
      <c r="B1051" s="5" t="str">
        <f aca="false">01_Data!C1051</f>
        <v>2023-09</v>
      </c>
      <c r="C1051" s="5" t="str">
        <f aca="false">01_Data!D1051</f>
        <v>FY23</v>
      </c>
      <c r="D1051" s="7" t="n">
        <f aca="false">01_Data!E1051</f>
        <v>58112</v>
      </c>
      <c r="E1051" s="7" t="n">
        <f aca="false">01_Data!F1051</f>
        <v>60879</v>
      </c>
      <c r="F1051" s="7" t="n">
        <f aca="false">E1051-D1051</f>
        <v>2767</v>
      </c>
      <c r="G1051" s="8" t="n">
        <f aca="false">IFERROR(F1051/D1051,0)</f>
        <v>0.0476149504405286</v>
      </c>
      <c r="H1051" s="7" t="n">
        <f aca="false">01_Data!G1051</f>
        <v>33903</v>
      </c>
      <c r="I1051" s="7" t="n">
        <f aca="false">01_Data!H1051</f>
        <v>34429</v>
      </c>
      <c r="J1051" s="7" t="n">
        <f aca="false">H1051-I1051</f>
        <v>-526</v>
      </c>
      <c r="K1051" s="8" t="n">
        <f aca="false">IFERROR(J1051/H1051,0)</f>
        <v>-0.0155148511931098</v>
      </c>
      <c r="L1051" s="7" t="n">
        <f aca="false">D1051-H1051</f>
        <v>24209</v>
      </c>
      <c r="M1051" s="7" t="n">
        <f aca="false">E1051-I1051</f>
        <v>26450</v>
      </c>
      <c r="N1051" s="7" t="n">
        <f aca="false">IFERROR(L1051/D1051,0)</f>
        <v>0.416592098017621</v>
      </c>
      <c r="O1051" s="7" t="n">
        <f aca="false">IFERROR(M1051/E1051,0)</f>
        <v>0.434468371688103</v>
      </c>
      <c r="P1051" s="7" t="n">
        <f aca="false">01_Data!I1051+01_Data!K1051+01_Data!M1051+01_Data!O1051+01_Data!Q1051+01_Data!S1051+01_Data!U1051</f>
        <v>14913</v>
      </c>
      <c r="Q1051" s="7" t="n">
        <f aca="false">01_Data!J1051+01_Data!L1051+01_Data!N1051+01_Data!P1051+01_Data!R1051+01_Data!T1051+01_Data!V1051</f>
        <v>15344</v>
      </c>
      <c r="R1051" s="7" t="n">
        <f aca="false">P1051-Q1051</f>
        <v>-431</v>
      </c>
      <c r="S1051" s="7" t="n">
        <f aca="false">L1051-P1051</f>
        <v>9296</v>
      </c>
      <c r="T1051" s="7" t="n">
        <f aca="false">M1051-Q1051</f>
        <v>11106</v>
      </c>
      <c r="U1051" s="7" t="n">
        <f aca="false">T1051-S1051</f>
        <v>1810</v>
      </c>
      <c r="V1051" s="8" t="n">
        <f aca="false">IFERROR(U1051/S1051,0)</f>
        <v>0.194707401032702</v>
      </c>
      <c r="W1051" s="5" t="str">
        <f aca="false">IF(V1051&lt;-0.1,"ADVERSE &gt;10%","")</f>
        <v/>
      </c>
    </row>
    <row r="1052" customFormat="false" ht="15" hidden="false" customHeight="false" outlineLevel="0" collapsed="false">
      <c r="A1052" s="5" t="str">
        <f aca="false">01_Data!A1052</f>
        <v>Public Sector</v>
      </c>
      <c r="B1052" s="5" t="str">
        <f aca="false">01_Data!C1052</f>
        <v>2023-10</v>
      </c>
      <c r="C1052" s="5" t="str">
        <f aca="false">01_Data!D1052</f>
        <v>FY23</v>
      </c>
      <c r="D1052" s="7" t="n">
        <f aca="false">01_Data!E1052</f>
        <v>58958</v>
      </c>
      <c r="E1052" s="7" t="n">
        <f aca="false">01_Data!F1052</f>
        <v>56995</v>
      </c>
      <c r="F1052" s="7" t="n">
        <f aca="false">E1052-D1052</f>
        <v>-1963</v>
      </c>
      <c r="G1052" s="8" t="n">
        <f aca="false">IFERROR(F1052/D1052,0)</f>
        <v>-0.0332948878862919</v>
      </c>
      <c r="H1052" s="7" t="n">
        <f aca="false">01_Data!G1052</f>
        <v>33593</v>
      </c>
      <c r="I1052" s="7" t="n">
        <f aca="false">01_Data!H1052</f>
        <v>32415</v>
      </c>
      <c r="J1052" s="7" t="n">
        <f aca="false">H1052-I1052</f>
        <v>1178</v>
      </c>
      <c r="K1052" s="8" t="n">
        <f aca="false">IFERROR(J1052/H1052,0)</f>
        <v>0.0350668293989819</v>
      </c>
      <c r="L1052" s="7" t="n">
        <f aca="false">D1052-H1052</f>
        <v>25365</v>
      </c>
      <c r="M1052" s="7" t="n">
        <f aca="false">E1052-I1052</f>
        <v>24580</v>
      </c>
      <c r="N1052" s="7" t="n">
        <f aca="false">IFERROR(L1052/D1052,0)</f>
        <v>0.430221513619865</v>
      </c>
      <c r="O1052" s="7" t="n">
        <f aca="false">IFERROR(M1052/E1052,0)</f>
        <v>0.431265900517589</v>
      </c>
      <c r="P1052" s="7" t="n">
        <f aca="false">01_Data!I1052+01_Data!K1052+01_Data!M1052+01_Data!O1052+01_Data!Q1052+01_Data!S1052+01_Data!U1052</f>
        <v>15217</v>
      </c>
      <c r="Q1052" s="7" t="n">
        <f aca="false">01_Data!J1052+01_Data!L1052+01_Data!N1052+01_Data!P1052+01_Data!R1052+01_Data!T1052+01_Data!V1052</f>
        <v>16089</v>
      </c>
      <c r="R1052" s="7" t="n">
        <f aca="false">P1052-Q1052</f>
        <v>-872</v>
      </c>
      <c r="S1052" s="7" t="n">
        <f aca="false">L1052-P1052</f>
        <v>10148</v>
      </c>
      <c r="T1052" s="7" t="n">
        <f aca="false">M1052-Q1052</f>
        <v>8491</v>
      </c>
      <c r="U1052" s="7" t="n">
        <f aca="false">T1052-S1052</f>
        <v>-1657</v>
      </c>
      <c r="V1052" s="8" t="n">
        <f aca="false">IFERROR(U1052/S1052,0)</f>
        <v>-0.163283405597162</v>
      </c>
      <c r="W1052" s="5" t="str">
        <f aca="false">IF(V1052&lt;-0.1,"ADVERSE &gt;10%","")</f>
        <v>ADVERSE &gt;10%</v>
      </c>
    </row>
    <row r="1053" customFormat="false" ht="15" hidden="false" customHeight="false" outlineLevel="0" collapsed="false">
      <c r="A1053" s="5" t="str">
        <f aca="false">01_Data!A1053</f>
        <v>Public Sector</v>
      </c>
      <c r="B1053" s="5" t="str">
        <f aca="false">01_Data!C1053</f>
        <v>2023-11</v>
      </c>
      <c r="C1053" s="5" t="str">
        <f aca="false">01_Data!D1053</f>
        <v>FY23</v>
      </c>
      <c r="D1053" s="7" t="n">
        <f aca="false">01_Data!E1053</f>
        <v>61161</v>
      </c>
      <c r="E1053" s="7" t="n">
        <f aca="false">01_Data!F1053</f>
        <v>58753</v>
      </c>
      <c r="F1053" s="7" t="n">
        <f aca="false">E1053-D1053</f>
        <v>-2408</v>
      </c>
      <c r="G1053" s="8" t="n">
        <f aca="false">IFERROR(F1053/D1053,0)</f>
        <v>-0.0393714949068851</v>
      </c>
      <c r="H1053" s="7" t="n">
        <f aca="false">01_Data!G1053</f>
        <v>34606</v>
      </c>
      <c r="I1053" s="7" t="n">
        <f aca="false">01_Data!H1053</f>
        <v>33145</v>
      </c>
      <c r="J1053" s="7" t="n">
        <f aca="false">H1053-I1053</f>
        <v>1461</v>
      </c>
      <c r="K1053" s="8" t="n">
        <f aca="false">IFERROR(J1053/H1053,0)</f>
        <v>0.0422181124660464</v>
      </c>
      <c r="L1053" s="7" t="n">
        <f aca="false">D1053-H1053</f>
        <v>26555</v>
      </c>
      <c r="M1053" s="7" t="n">
        <f aca="false">E1053-I1053</f>
        <v>25608</v>
      </c>
      <c r="N1053" s="7" t="n">
        <f aca="false">IFERROR(L1053/D1053,0)</f>
        <v>0.43418191331077</v>
      </c>
      <c r="O1053" s="7" t="n">
        <f aca="false">IFERROR(M1053/E1053,0)</f>
        <v>0.435858594454751</v>
      </c>
      <c r="P1053" s="7" t="n">
        <f aca="false">01_Data!I1053+01_Data!K1053+01_Data!M1053+01_Data!O1053+01_Data!Q1053+01_Data!S1053+01_Data!U1053</f>
        <v>16785</v>
      </c>
      <c r="Q1053" s="7" t="n">
        <f aca="false">01_Data!J1053+01_Data!L1053+01_Data!N1053+01_Data!P1053+01_Data!R1053+01_Data!T1053+01_Data!V1053</f>
        <v>17124</v>
      </c>
      <c r="R1053" s="7" t="n">
        <f aca="false">P1053-Q1053</f>
        <v>-339</v>
      </c>
      <c r="S1053" s="7" t="n">
        <f aca="false">L1053-P1053</f>
        <v>9770</v>
      </c>
      <c r="T1053" s="7" t="n">
        <f aca="false">M1053-Q1053</f>
        <v>8484</v>
      </c>
      <c r="U1053" s="7" t="n">
        <f aca="false">T1053-S1053</f>
        <v>-1286</v>
      </c>
      <c r="V1053" s="8" t="n">
        <f aca="false">IFERROR(U1053/S1053,0)</f>
        <v>-0.131627430910952</v>
      </c>
      <c r="W1053" s="5" t="str">
        <f aca="false">IF(V1053&lt;-0.1,"ADVERSE &gt;10%","")</f>
        <v>ADVERSE &gt;10%</v>
      </c>
    </row>
    <row r="1054" customFormat="false" ht="15" hidden="false" customHeight="false" outlineLevel="0" collapsed="false">
      <c r="A1054" s="5" t="str">
        <f aca="false">01_Data!A1054</f>
        <v>Public Sector</v>
      </c>
      <c r="B1054" s="5" t="str">
        <f aca="false">01_Data!C1054</f>
        <v>2023-12</v>
      </c>
      <c r="C1054" s="5" t="str">
        <f aca="false">01_Data!D1054</f>
        <v>FY23</v>
      </c>
      <c r="D1054" s="7" t="n">
        <f aca="false">01_Data!E1054</f>
        <v>61608</v>
      </c>
      <c r="E1054" s="7" t="n">
        <f aca="false">01_Data!F1054</f>
        <v>65186</v>
      </c>
      <c r="F1054" s="7" t="n">
        <f aca="false">E1054-D1054</f>
        <v>3578</v>
      </c>
      <c r="G1054" s="8" t="n">
        <f aca="false">IFERROR(F1054/D1054,0)</f>
        <v>0.0580768731333593</v>
      </c>
      <c r="H1054" s="7" t="n">
        <f aca="false">01_Data!G1054</f>
        <v>33764</v>
      </c>
      <c r="I1054" s="7" t="n">
        <f aca="false">01_Data!H1054</f>
        <v>36077</v>
      </c>
      <c r="J1054" s="7" t="n">
        <f aca="false">H1054-I1054</f>
        <v>-2313</v>
      </c>
      <c r="K1054" s="8" t="n">
        <f aca="false">IFERROR(J1054/H1054,0)</f>
        <v>-0.0685049164790902</v>
      </c>
      <c r="L1054" s="7" t="n">
        <f aca="false">D1054-H1054</f>
        <v>27844</v>
      </c>
      <c r="M1054" s="7" t="n">
        <f aca="false">E1054-I1054</f>
        <v>29109</v>
      </c>
      <c r="N1054" s="7" t="n">
        <f aca="false">IFERROR(L1054/D1054,0)</f>
        <v>0.451954291650435</v>
      </c>
      <c r="O1054" s="7" t="n">
        <f aca="false">IFERROR(M1054/E1054,0)</f>
        <v>0.446552940815513</v>
      </c>
      <c r="P1054" s="7" t="n">
        <f aca="false">01_Data!I1054+01_Data!K1054+01_Data!M1054+01_Data!O1054+01_Data!Q1054+01_Data!S1054+01_Data!U1054</f>
        <v>15718</v>
      </c>
      <c r="Q1054" s="7" t="n">
        <f aca="false">01_Data!J1054+01_Data!L1054+01_Data!N1054+01_Data!P1054+01_Data!R1054+01_Data!T1054+01_Data!V1054</f>
        <v>16159</v>
      </c>
      <c r="R1054" s="7" t="n">
        <f aca="false">P1054-Q1054</f>
        <v>-441</v>
      </c>
      <c r="S1054" s="7" t="n">
        <f aca="false">L1054-P1054</f>
        <v>12126</v>
      </c>
      <c r="T1054" s="7" t="n">
        <f aca="false">M1054-Q1054</f>
        <v>12950</v>
      </c>
      <c r="U1054" s="7" t="n">
        <f aca="false">T1054-S1054</f>
        <v>824</v>
      </c>
      <c r="V1054" s="8" t="n">
        <f aca="false">IFERROR(U1054/S1054,0)</f>
        <v>0.0679531585023916</v>
      </c>
      <c r="W1054" s="5" t="str">
        <f aca="false">IF(V1054&lt;-0.1,"ADVERSE &gt;10%","")</f>
        <v/>
      </c>
    </row>
    <row r="1055" customFormat="false" ht="15" hidden="false" customHeight="false" outlineLevel="0" collapsed="false">
      <c r="A1055" s="5" t="str">
        <f aca="false">01_Data!A1055</f>
        <v>Public Sector</v>
      </c>
      <c r="B1055" s="5" t="str">
        <f aca="false">01_Data!C1055</f>
        <v>2024-01</v>
      </c>
      <c r="C1055" s="5" t="str">
        <f aca="false">01_Data!D1055</f>
        <v>FY23</v>
      </c>
      <c r="D1055" s="7" t="n">
        <f aca="false">01_Data!E1055</f>
        <v>60967</v>
      </c>
      <c r="E1055" s="7" t="n">
        <f aca="false">01_Data!F1055</f>
        <v>59505</v>
      </c>
      <c r="F1055" s="7" t="n">
        <f aca="false">E1055-D1055</f>
        <v>-1462</v>
      </c>
      <c r="G1055" s="8" t="n">
        <f aca="false">IFERROR(F1055/D1055,0)</f>
        <v>-0.0239801860022635</v>
      </c>
      <c r="H1055" s="7" t="n">
        <f aca="false">01_Data!G1055</f>
        <v>34430</v>
      </c>
      <c r="I1055" s="7" t="n">
        <f aca="false">01_Data!H1055</f>
        <v>32518</v>
      </c>
      <c r="J1055" s="7" t="n">
        <f aca="false">H1055-I1055</f>
        <v>1912</v>
      </c>
      <c r="K1055" s="8" t="n">
        <f aca="false">IFERROR(J1055/H1055,0)</f>
        <v>0.0555329654371188</v>
      </c>
      <c r="L1055" s="7" t="n">
        <f aca="false">D1055-H1055</f>
        <v>26537</v>
      </c>
      <c r="M1055" s="7" t="n">
        <f aca="false">E1055-I1055</f>
        <v>26987</v>
      </c>
      <c r="N1055" s="7" t="n">
        <f aca="false">IFERROR(L1055/D1055,0)</f>
        <v>0.435268259878295</v>
      </c>
      <c r="O1055" s="7" t="n">
        <f aca="false">IFERROR(M1055/E1055,0)</f>
        <v>0.453524913872784</v>
      </c>
      <c r="P1055" s="7" t="n">
        <f aca="false">01_Data!I1055+01_Data!K1055+01_Data!M1055+01_Data!O1055+01_Data!Q1055+01_Data!S1055+01_Data!U1055</f>
        <v>16002</v>
      </c>
      <c r="Q1055" s="7" t="n">
        <f aca="false">01_Data!J1055+01_Data!L1055+01_Data!N1055+01_Data!P1055+01_Data!R1055+01_Data!T1055+01_Data!V1055</f>
        <v>17059</v>
      </c>
      <c r="R1055" s="7" t="n">
        <f aca="false">P1055-Q1055</f>
        <v>-1057</v>
      </c>
      <c r="S1055" s="7" t="n">
        <f aca="false">L1055-P1055</f>
        <v>10535</v>
      </c>
      <c r="T1055" s="7" t="n">
        <f aca="false">M1055-Q1055</f>
        <v>9928</v>
      </c>
      <c r="U1055" s="7" t="n">
        <f aca="false">T1055-S1055</f>
        <v>-607</v>
      </c>
      <c r="V1055" s="8" t="n">
        <f aca="false">IFERROR(U1055/S1055,0)</f>
        <v>-0.0576174655908875</v>
      </c>
      <c r="W1055" s="5" t="str">
        <f aca="false">IF(V1055&lt;-0.1,"ADVERSE &gt;10%","")</f>
        <v/>
      </c>
    </row>
    <row r="1056" customFormat="false" ht="15" hidden="false" customHeight="false" outlineLevel="0" collapsed="false">
      <c r="A1056" s="5" t="str">
        <f aca="false">01_Data!A1056</f>
        <v>Public Sector</v>
      </c>
      <c r="B1056" s="5" t="str">
        <f aca="false">01_Data!C1056</f>
        <v>2024-02</v>
      </c>
      <c r="C1056" s="5" t="str">
        <f aca="false">01_Data!D1056</f>
        <v>FY23</v>
      </c>
      <c r="D1056" s="7" t="n">
        <f aca="false">01_Data!E1056</f>
        <v>60942</v>
      </c>
      <c r="E1056" s="7" t="n">
        <f aca="false">01_Data!F1056</f>
        <v>60601</v>
      </c>
      <c r="F1056" s="7" t="n">
        <f aca="false">E1056-D1056</f>
        <v>-341</v>
      </c>
      <c r="G1056" s="8" t="n">
        <f aca="false">IFERROR(F1056/D1056,0)</f>
        <v>-0.00559548423090808</v>
      </c>
      <c r="H1056" s="7" t="n">
        <f aca="false">01_Data!G1056</f>
        <v>33404</v>
      </c>
      <c r="I1056" s="7" t="n">
        <f aca="false">01_Data!H1056</f>
        <v>34975</v>
      </c>
      <c r="J1056" s="7" t="n">
        <f aca="false">H1056-I1056</f>
        <v>-1571</v>
      </c>
      <c r="K1056" s="8" t="n">
        <f aca="false">IFERROR(J1056/H1056,0)</f>
        <v>-0.0470302957729613</v>
      </c>
      <c r="L1056" s="7" t="n">
        <f aca="false">D1056-H1056</f>
        <v>27538</v>
      </c>
      <c r="M1056" s="7" t="n">
        <f aca="false">E1056-I1056</f>
        <v>25626</v>
      </c>
      <c r="N1056" s="7" t="n">
        <f aca="false">IFERROR(L1056/D1056,0)</f>
        <v>0.451872271996324</v>
      </c>
      <c r="O1056" s="7" t="n">
        <f aca="false">IFERROR(M1056/E1056,0)</f>
        <v>0.422864309169816</v>
      </c>
      <c r="P1056" s="7" t="n">
        <f aca="false">01_Data!I1056+01_Data!K1056+01_Data!M1056+01_Data!O1056+01_Data!Q1056+01_Data!S1056+01_Data!U1056</f>
        <v>15394</v>
      </c>
      <c r="Q1056" s="7" t="n">
        <f aca="false">01_Data!J1056+01_Data!L1056+01_Data!N1056+01_Data!P1056+01_Data!R1056+01_Data!T1056+01_Data!V1056</f>
        <v>15427</v>
      </c>
      <c r="R1056" s="7" t="n">
        <f aca="false">P1056-Q1056</f>
        <v>-33</v>
      </c>
      <c r="S1056" s="7" t="n">
        <f aca="false">L1056-P1056</f>
        <v>12144</v>
      </c>
      <c r="T1056" s="7" t="n">
        <f aca="false">M1056-Q1056</f>
        <v>10199</v>
      </c>
      <c r="U1056" s="7" t="n">
        <f aca="false">T1056-S1056</f>
        <v>-1945</v>
      </c>
      <c r="V1056" s="8" t="n">
        <f aca="false">IFERROR(U1056/S1056,0)</f>
        <v>-0.16016139657444</v>
      </c>
      <c r="W1056" s="5" t="str">
        <f aca="false">IF(V1056&lt;-0.1,"ADVERSE &gt;10%","")</f>
        <v>ADVERSE &gt;10%</v>
      </c>
    </row>
    <row r="1057" customFormat="false" ht="15" hidden="false" customHeight="false" outlineLevel="0" collapsed="false">
      <c r="A1057" s="5" t="str">
        <f aca="false">01_Data!A1057</f>
        <v>Public Sector</v>
      </c>
      <c r="B1057" s="5" t="str">
        <f aca="false">01_Data!C1057</f>
        <v>2024-03</v>
      </c>
      <c r="C1057" s="5" t="str">
        <f aca="false">01_Data!D1057</f>
        <v>FY23</v>
      </c>
      <c r="D1057" s="7" t="n">
        <f aca="false">01_Data!E1057</f>
        <v>68511</v>
      </c>
      <c r="E1057" s="7" t="n">
        <f aca="false">01_Data!F1057</f>
        <v>67897</v>
      </c>
      <c r="F1057" s="7" t="n">
        <f aca="false">E1057-D1057</f>
        <v>-614</v>
      </c>
      <c r="G1057" s="8" t="n">
        <f aca="false">IFERROR(F1057/D1057,0)</f>
        <v>-0.00896206448599495</v>
      </c>
      <c r="H1057" s="7" t="n">
        <f aca="false">01_Data!G1057</f>
        <v>39360</v>
      </c>
      <c r="I1057" s="7" t="n">
        <f aca="false">01_Data!H1057</f>
        <v>37802</v>
      </c>
      <c r="J1057" s="7" t="n">
        <f aca="false">H1057-I1057</f>
        <v>1558</v>
      </c>
      <c r="K1057" s="8" t="n">
        <f aca="false">IFERROR(J1057/H1057,0)</f>
        <v>0.0395833333333333</v>
      </c>
      <c r="L1057" s="7" t="n">
        <f aca="false">D1057-H1057</f>
        <v>29151</v>
      </c>
      <c r="M1057" s="7" t="n">
        <f aca="false">E1057-I1057</f>
        <v>30095</v>
      </c>
      <c r="N1057" s="7" t="n">
        <f aca="false">IFERROR(L1057/D1057,0)</f>
        <v>0.425493716337522</v>
      </c>
      <c r="O1057" s="7" t="n">
        <f aca="false">IFERROR(M1057/E1057,0)</f>
        <v>0.443244915091978</v>
      </c>
      <c r="P1057" s="7" t="n">
        <f aca="false">01_Data!I1057+01_Data!K1057+01_Data!M1057+01_Data!O1057+01_Data!Q1057+01_Data!S1057+01_Data!U1057</f>
        <v>18858</v>
      </c>
      <c r="Q1057" s="7" t="n">
        <f aca="false">01_Data!J1057+01_Data!L1057+01_Data!N1057+01_Data!P1057+01_Data!R1057+01_Data!T1057+01_Data!V1057</f>
        <v>19058</v>
      </c>
      <c r="R1057" s="7" t="n">
        <f aca="false">P1057-Q1057</f>
        <v>-200</v>
      </c>
      <c r="S1057" s="7" t="n">
        <f aca="false">L1057-P1057</f>
        <v>10293</v>
      </c>
      <c r="T1057" s="7" t="n">
        <f aca="false">M1057-Q1057</f>
        <v>11037</v>
      </c>
      <c r="U1057" s="7" t="n">
        <f aca="false">T1057-S1057</f>
        <v>744</v>
      </c>
      <c r="V1057" s="8" t="n">
        <f aca="false">IFERROR(U1057/S1057,0)</f>
        <v>0.0722821334887788</v>
      </c>
      <c r="W1057" s="5" t="str">
        <f aca="false">IF(V1057&lt;-0.1,"ADVERSE &gt;10%","")</f>
        <v/>
      </c>
    </row>
    <row r="1058" customFormat="false" ht="15" hidden="false" customHeight="false" outlineLevel="0" collapsed="false">
      <c r="A1058" s="5" t="str">
        <f aca="false">01_Data!A1058</f>
        <v>Public Sector</v>
      </c>
      <c r="B1058" s="5" t="str">
        <f aca="false">01_Data!C1058</f>
        <v>2024-04</v>
      </c>
      <c r="C1058" s="5" t="str">
        <f aca="false">01_Data!D1058</f>
        <v>FY24</v>
      </c>
      <c r="D1058" s="7" t="n">
        <f aca="false">01_Data!E1058</f>
        <v>61137</v>
      </c>
      <c r="E1058" s="7" t="n">
        <f aca="false">01_Data!F1058</f>
        <v>62487</v>
      </c>
      <c r="F1058" s="7" t="n">
        <f aca="false">E1058-D1058</f>
        <v>1350</v>
      </c>
      <c r="G1058" s="8" t="n">
        <f aca="false">IFERROR(F1058/D1058,0)</f>
        <v>0.0220815545414397</v>
      </c>
      <c r="H1058" s="7" t="n">
        <f aca="false">01_Data!G1058</f>
        <v>36539</v>
      </c>
      <c r="I1058" s="7" t="n">
        <f aca="false">01_Data!H1058</f>
        <v>36445</v>
      </c>
      <c r="J1058" s="7" t="n">
        <f aca="false">H1058-I1058</f>
        <v>94</v>
      </c>
      <c r="K1058" s="8" t="n">
        <f aca="false">IFERROR(J1058/H1058,0)</f>
        <v>0.0025725936670407</v>
      </c>
      <c r="L1058" s="7" t="n">
        <f aca="false">D1058-H1058</f>
        <v>24598</v>
      </c>
      <c r="M1058" s="7" t="n">
        <f aca="false">E1058-I1058</f>
        <v>26042</v>
      </c>
      <c r="N1058" s="7" t="n">
        <f aca="false">IFERROR(L1058/D1058,0)</f>
        <v>0.402342280452099</v>
      </c>
      <c r="O1058" s="7" t="n">
        <f aca="false">IFERROR(M1058/E1058,0)</f>
        <v>0.416758685806648</v>
      </c>
      <c r="P1058" s="7" t="n">
        <f aca="false">01_Data!I1058+01_Data!K1058+01_Data!M1058+01_Data!O1058+01_Data!Q1058+01_Data!S1058+01_Data!U1058</f>
        <v>17754</v>
      </c>
      <c r="Q1058" s="7" t="n">
        <f aca="false">01_Data!J1058+01_Data!L1058+01_Data!N1058+01_Data!P1058+01_Data!R1058+01_Data!T1058+01_Data!V1058</f>
        <v>18470</v>
      </c>
      <c r="R1058" s="7" t="n">
        <f aca="false">P1058-Q1058</f>
        <v>-716</v>
      </c>
      <c r="S1058" s="7" t="n">
        <f aca="false">L1058-P1058</f>
        <v>6844</v>
      </c>
      <c r="T1058" s="7" t="n">
        <f aca="false">M1058-Q1058</f>
        <v>7572</v>
      </c>
      <c r="U1058" s="7" t="n">
        <f aca="false">T1058-S1058</f>
        <v>728</v>
      </c>
      <c r="V1058" s="8" t="n">
        <f aca="false">IFERROR(U1058/S1058,0)</f>
        <v>0.106370543541788</v>
      </c>
      <c r="W1058" s="5" t="str">
        <f aca="false">IF(V1058&lt;-0.1,"ADVERSE &gt;10%","")</f>
        <v/>
      </c>
    </row>
    <row r="1059" customFormat="false" ht="15" hidden="false" customHeight="false" outlineLevel="0" collapsed="false">
      <c r="A1059" s="5" t="str">
        <f aca="false">01_Data!A1059</f>
        <v>Public Sector</v>
      </c>
      <c r="B1059" s="5" t="str">
        <f aca="false">01_Data!C1059</f>
        <v>2024-05</v>
      </c>
      <c r="C1059" s="5" t="str">
        <f aca="false">01_Data!D1059</f>
        <v>FY24</v>
      </c>
      <c r="D1059" s="7" t="n">
        <f aca="false">01_Data!E1059</f>
        <v>65916</v>
      </c>
      <c r="E1059" s="7" t="n">
        <f aca="false">01_Data!F1059</f>
        <v>63940</v>
      </c>
      <c r="F1059" s="7" t="n">
        <f aca="false">E1059-D1059</f>
        <v>-1976</v>
      </c>
      <c r="G1059" s="8" t="n">
        <f aca="false">IFERROR(F1059/D1059,0)</f>
        <v>-0.029977547181261</v>
      </c>
      <c r="H1059" s="7" t="n">
        <f aca="false">01_Data!G1059</f>
        <v>38913</v>
      </c>
      <c r="I1059" s="7" t="n">
        <f aca="false">01_Data!H1059</f>
        <v>39092</v>
      </c>
      <c r="J1059" s="7" t="n">
        <f aca="false">H1059-I1059</f>
        <v>-179</v>
      </c>
      <c r="K1059" s="8" t="n">
        <f aca="false">IFERROR(J1059/H1059,0)</f>
        <v>-0.00460000513967055</v>
      </c>
      <c r="L1059" s="7" t="n">
        <f aca="false">D1059-H1059</f>
        <v>27003</v>
      </c>
      <c r="M1059" s="7" t="n">
        <f aca="false">E1059-I1059</f>
        <v>24848</v>
      </c>
      <c r="N1059" s="7" t="n">
        <f aca="false">IFERROR(L1059/D1059,0)</f>
        <v>0.409657746222465</v>
      </c>
      <c r="O1059" s="7" t="n">
        <f aca="false">IFERROR(M1059/E1059,0)</f>
        <v>0.38861432593056</v>
      </c>
      <c r="P1059" s="7" t="n">
        <f aca="false">01_Data!I1059+01_Data!K1059+01_Data!M1059+01_Data!O1059+01_Data!Q1059+01_Data!S1059+01_Data!U1059</f>
        <v>17843</v>
      </c>
      <c r="Q1059" s="7" t="n">
        <f aca="false">01_Data!J1059+01_Data!L1059+01_Data!N1059+01_Data!P1059+01_Data!R1059+01_Data!T1059+01_Data!V1059</f>
        <v>18389</v>
      </c>
      <c r="R1059" s="7" t="n">
        <f aca="false">P1059-Q1059</f>
        <v>-546</v>
      </c>
      <c r="S1059" s="7" t="n">
        <f aca="false">L1059-P1059</f>
        <v>9160</v>
      </c>
      <c r="T1059" s="7" t="n">
        <f aca="false">M1059-Q1059</f>
        <v>6459</v>
      </c>
      <c r="U1059" s="7" t="n">
        <f aca="false">T1059-S1059</f>
        <v>-2701</v>
      </c>
      <c r="V1059" s="8" t="n">
        <f aca="false">IFERROR(U1059/S1059,0)</f>
        <v>-0.294868995633188</v>
      </c>
      <c r="W1059" s="5" t="str">
        <f aca="false">IF(V1059&lt;-0.1,"ADVERSE &gt;10%","")</f>
        <v>ADVERSE &gt;10%</v>
      </c>
    </row>
    <row r="1060" customFormat="false" ht="15" hidden="false" customHeight="false" outlineLevel="0" collapsed="false">
      <c r="A1060" s="5" t="str">
        <f aca="false">01_Data!A1060</f>
        <v>Public Sector</v>
      </c>
      <c r="B1060" s="5" t="str">
        <f aca="false">01_Data!C1060</f>
        <v>2024-06</v>
      </c>
      <c r="C1060" s="5" t="str">
        <f aca="false">01_Data!D1060</f>
        <v>FY24</v>
      </c>
      <c r="D1060" s="7" t="n">
        <f aca="false">01_Data!E1060</f>
        <v>63259</v>
      </c>
      <c r="E1060" s="7" t="n">
        <f aca="false">01_Data!F1060</f>
        <v>63991</v>
      </c>
      <c r="F1060" s="7" t="n">
        <f aca="false">E1060-D1060</f>
        <v>732</v>
      </c>
      <c r="G1060" s="8" t="n">
        <f aca="false">IFERROR(F1060/D1060,0)</f>
        <v>0.0115714759955105</v>
      </c>
      <c r="H1060" s="7" t="n">
        <f aca="false">01_Data!G1060</f>
        <v>37048</v>
      </c>
      <c r="I1060" s="7" t="n">
        <f aca="false">01_Data!H1060</f>
        <v>37635</v>
      </c>
      <c r="J1060" s="7" t="n">
        <f aca="false">H1060-I1060</f>
        <v>-587</v>
      </c>
      <c r="K1060" s="8" t="n">
        <f aca="false">IFERROR(J1060/H1060,0)</f>
        <v>-0.0158443100842151</v>
      </c>
      <c r="L1060" s="7" t="n">
        <f aca="false">D1060-H1060</f>
        <v>26211</v>
      </c>
      <c r="M1060" s="7" t="n">
        <f aca="false">E1060-I1060</f>
        <v>26356</v>
      </c>
      <c r="N1060" s="7" t="n">
        <f aca="false">IFERROR(L1060/D1060,0)</f>
        <v>0.414344203986785</v>
      </c>
      <c r="O1060" s="7" t="n">
        <f aca="false">IFERROR(M1060/E1060,0)</f>
        <v>0.411870419277711</v>
      </c>
      <c r="P1060" s="7" t="n">
        <f aca="false">01_Data!I1060+01_Data!K1060+01_Data!M1060+01_Data!O1060+01_Data!Q1060+01_Data!S1060+01_Data!U1060</f>
        <v>18169</v>
      </c>
      <c r="Q1060" s="7" t="n">
        <f aca="false">01_Data!J1060+01_Data!L1060+01_Data!N1060+01_Data!P1060+01_Data!R1060+01_Data!T1060+01_Data!V1060</f>
        <v>17782</v>
      </c>
      <c r="R1060" s="7" t="n">
        <f aca="false">P1060-Q1060</f>
        <v>387</v>
      </c>
      <c r="S1060" s="7" t="n">
        <f aca="false">L1060-P1060</f>
        <v>8042</v>
      </c>
      <c r="T1060" s="7" t="n">
        <f aca="false">M1060-Q1060</f>
        <v>8574</v>
      </c>
      <c r="U1060" s="7" t="n">
        <f aca="false">T1060-S1060</f>
        <v>532</v>
      </c>
      <c r="V1060" s="8" t="n">
        <f aca="false">IFERROR(U1060/S1060,0)</f>
        <v>0.0661526983337478</v>
      </c>
      <c r="W1060" s="5" t="str">
        <f aca="false">IF(V1060&lt;-0.1,"ADVERSE &gt;10%","")</f>
        <v/>
      </c>
    </row>
    <row r="1061" customFormat="false" ht="15" hidden="false" customHeight="false" outlineLevel="0" collapsed="false">
      <c r="A1061" s="5" t="str">
        <f aca="false">01_Data!A1061</f>
        <v>Public Sector</v>
      </c>
      <c r="B1061" s="5" t="str">
        <f aca="false">01_Data!C1061</f>
        <v>2024-07</v>
      </c>
      <c r="C1061" s="5" t="str">
        <f aca="false">01_Data!D1061</f>
        <v>FY24</v>
      </c>
      <c r="D1061" s="7" t="n">
        <f aca="false">01_Data!E1061</f>
        <v>61559</v>
      </c>
      <c r="E1061" s="7" t="n">
        <f aca="false">01_Data!F1061</f>
        <v>64122</v>
      </c>
      <c r="F1061" s="7" t="n">
        <f aca="false">E1061-D1061</f>
        <v>2563</v>
      </c>
      <c r="G1061" s="8" t="n">
        <f aca="false">IFERROR(F1061/D1061,0)</f>
        <v>0.0416348543673549</v>
      </c>
      <c r="H1061" s="7" t="n">
        <f aca="false">01_Data!G1061</f>
        <v>33388</v>
      </c>
      <c r="I1061" s="7" t="n">
        <f aca="false">01_Data!H1061</f>
        <v>34335</v>
      </c>
      <c r="J1061" s="7" t="n">
        <f aca="false">H1061-I1061</f>
        <v>-947</v>
      </c>
      <c r="K1061" s="8" t="n">
        <f aca="false">IFERROR(J1061/H1061,0)</f>
        <v>-0.0283634838864263</v>
      </c>
      <c r="L1061" s="7" t="n">
        <f aca="false">D1061-H1061</f>
        <v>28171</v>
      </c>
      <c r="M1061" s="7" t="n">
        <f aca="false">E1061-I1061</f>
        <v>29787</v>
      </c>
      <c r="N1061" s="7" t="n">
        <f aca="false">IFERROR(L1061/D1061,0)</f>
        <v>0.457626017316721</v>
      </c>
      <c r="O1061" s="7" t="n">
        <f aca="false">IFERROR(M1061/E1061,0)</f>
        <v>0.464536352577898</v>
      </c>
      <c r="P1061" s="7" t="n">
        <f aca="false">01_Data!I1061+01_Data!K1061+01_Data!M1061+01_Data!O1061+01_Data!Q1061+01_Data!S1061+01_Data!U1061</f>
        <v>16737</v>
      </c>
      <c r="Q1061" s="7" t="n">
        <f aca="false">01_Data!J1061+01_Data!L1061+01_Data!N1061+01_Data!P1061+01_Data!R1061+01_Data!T1061+01_Data!V1061</f>
        <v>16967</v>
      </c>
      <c r="R1061" s="7" t="n">
        <f aca="false">P1061-Q1061</f>
        <v>-230</v>
      </c>
      <c r="S1061" s="7" t="n">
        <f aca="false">L1061-P1061</f>
        <v>11434</v>
      </c>
      <c r="T1061" s="7" t="n">
        <f aca="false">M1061-Q1061</f>
        <v>12820</v>
      </c>
      <c r="U1061" s="7" t="n">
        <f aca="false">T1061-S1061</f>
        <v>1386</v>
      </c>
      <c r="V1061" s="8" t="n">
        <f aca="false">IFERROR(U1061/S1061,0)</f>
        <v>0.121217421724681</v>
      </c>
      <c r="W1061" s="5" t="str">
        <f aca="false">IF(V1061&lt;-0.1,"ADVERSE &gt;10%","")</f>
        <v/>
      </c>
    </row>
    <row r="1062" customFormat="false" ht="15" hidden="false" customHeight="false" outlineLevel="0" collapsed="false">
      <c r="A1062" s="5" t="str">
        <f aca="false">01_Data!A1062</f>
        <v>Public Sector</v>
      </c>
      <c r="B1062" s="5" t="str">
        <f aca="false">01_Data!C1062</f>
        <v>2024-08</v>
      </c>
      <c r="C1062" s="5" t="str">
        <f aca="false">01_Data!D1062</f>
        <v>FY24</v>
      </c>
      <c r="D1062" s="7" t="n">
        <f aca="false">01_Data!E1062</f>
        <v>63944</v>
      </c>
      <c r="E1062" s="7" t="n">
        <f aca="false">01_Data!F1062</f>
        <v>65742</v>
      </c>
      <c r="F1062" s="7" t="n">
        <f aca="false">E1062-D1062</f>
        <v>1798</v>
      </c>
      <c r="G1062" s="8" t="n">
        <f aca="false">IFERROR(F1062/D1062,0)</f>
        <v>0.0281183535593644</v>
      </c>
      <c r="H1062" s="7" t="n">
        <f aca="false">01_Data!G1062</f>
        <v>36698</v>
      </c>
      <c r="I1062" s="7" t="n">
        <f aca="false">01_Data!H1062</f>
        <v>36939</v>
      </c>
      <c r="J1062" s="7" t="n">
        <f aca="false">H1062-I1062</f>
        <v>-241</v>
      </c>
      <c r="K1062" s="8" t="n">
        <f aca="false">IFERROR(J1062/H1062,0)</f>
        <v>-0.00656711537413483</v>
      </c>
      <c r="L1062" s="7" t="n">
        <f aca="false">D1062-H1062</f>
        <v>27246</v>
      </c>
      <c r="M1062" s="7" t="n">
        <f aca="false">E1062-I1062</f>
        <v>28803</v>
      </c>
      <c r="N1062" s="7" t="n">
        <f aca="false">IFERROR(L1062/D1062,0)</f>
        <v>0.426091580132616</v>
      </c>
      <c r="O1062" s="7" t="n">
        <f aca="false">IFERROR(M1062/E1062,0)</f>
        <v>0.438121748653829</v>
      </c>
      <c r="P1062" s="7" t="n">
        <f aca="false">01_Data!I1062+01_Data!K1062+01_Data!M1062+01_Data!O1062+01_Data!Q1062+01_Data!S1062+01_Data!U1062</f>
        <v>17173</v>
      </c>
      <c r="Q1062" s="7" t="n">
        <f aca="false">01_Data!J1062+01_Data!L1062+01_Data!N1062+01_Data!P1062+01_Data!R1062+01_Data!T1062+01_Data!V1062</f>
        <v>17783</v>
      </c>
      <c r="R1062" s="7" t="n">
        <f aca="false">P1062-Q1062</f>
        <v>-610</v>
      </c>
      <c r="S1062" s="7" t="n">
        <f aca="false">L1062-P1062</f>
        <v>10073</v>
      </c>
      <c r="T1062" s="7" t="n">
        <f aca="false">M1062-Q1062</f>
        <v>11020</v>
      </c>
      <c r="U1062" s="7" t="n">
        <f aca="false">T1062-S1062</f>
        <v>947</v>
      </c>
      <c r="V1062" s="8" t="n">
        <f aca="false">IFERROR(U1062/S1062,0)</f>
        <v>0.0940136999900725</v>
      </c>
      <c r="W1062" s="5" t="str">
        <f aca="false">IF(V1062&lt;-0.1,"ADVERSE &gt;10%","")</f>
        <v/>
      </c>
    </row>
    <row r="1063" customFormat="false" ht="15" hidden="false" customHeight="false" outlineLevel="0" collapsed="false">
      <c r="A1063" s="5" t="str">
        <f aca="false">01_Data!A1063</f>
        <v>Public Sector</v>
      </c>
      <c r="B1063" s="5" t="str">
        <f aca="false">01_Data!C1063</f>
        <v>2024-09</v>
      </c>
      <c r="C1063" s="5" t="str">
        <f aca="false">01_Data!D1063</f>
        <v>FY24</v>
      </c>
      <c r="D1063" s="7" t="n">
        <f aca="false">01_Data!E1063</f>
        <v>72882</v>
      </c>
      <c r="E1063" s="7" t="n">
        <f aca="false">01_Data!F1063</f>
        <v>73104</v>
      </c>
      <c r="F1063" s="7" t="n">
        <f aca="false">E1063-D1063</f>
        <v>222</v>
      </c>
      <c r="G1063" s="8" t="n">
        <f aca="false">IFERROR(F1063/D1063,0)</f>
        <v>0.00304601959331522</v>
      </c>
      <c r="H1063" s="7" t="n">
        <f aca="false">01_Data!G1063</f>
        <v>42612</v>
      </c>
      <c r="I1063" s="7" t="n">
        <f aca="false">01_Data!H1063</f>
        <v>44872</v>
      </c>
      <c r="J1063" s="7" t="n">
        <f aca="false">H1063-I1063</f>
        <v>-2260</v>
      </c>
      <c r="K1063" s="8" t="n">
        <f aca="false">IFERROR(J1063/H1063,0)</f>
        <v>-0.0530367032760725</v>
      </c>
      <c r="L1063" s="7" t="n">
        <f aca="false">D1063-H1063</f>
        <v>30270</v>
      </c>
      <c r="M1063" s="7" t="n">
        <f aca="false">E1063-I1063</f>
        <v>28232</v>
      </c>
      <c r="N1063" s="7" t="n">
        <f aca="false">IFERROR(L1063/D1063,0)</f>
        <v>0.415328887791224</v>
      </c>
      <c r="O1063" s="7" t="n">
        <f aca="false">IFERROR(M1063/E1063,0)</f>
        <v>0.386189538192165</v>
      </c>
      <c r="P1063" s="7" t="n">
        <f aca="false">01_Data!I1063+01_Data!K1063+01_Data!M1063+01_Data!O1063+01_Data!Q1063+01_Data!S1063+01_Data!U1063</f>
        <v>19413</v>
      </c>
      <c r="Q1063" s="7" t="n">
        <f aca="false">01_Data!J1063+01_Data!L1063+01_Data!N1063+01_Data!P1063+01_Data!R1063+01_Data!T1063+01_Data!V1063</f>
        <v>19720</v>
      </c>
      <c r="R1063" s="7" t="n">
        <f aca="false">P1063-Q1063</f>
        <v>-307</v>
      </c>
      <c r="S1063" s="7" t="n">
        <f aca="false">L1063-P1063</f>
        <v>10857</v>
      </c>
      <c r="T1063" s="7" t="n">
        <f aca="false">M1063-Q1063</f>
        <v>8512</v>
      </c>
      <c r="U1063" s="7" t="n">
        <f aca="false">T1063-S1063</f>
        <v>-2345</v>
      </c>
      <c r="V1063" s="8" t="n">
        <f aca="false">IFERROR(U1063/S1063,0)</f>
        <v>-0.21598968407479</v>
      </c>
      <c r="W1063" s="5" t="str">
        <f aca="false">IF(V1063&lt;-0.1,"ADVERSE &gt;10%","")</f>
        <v>ADVERSE &gt;10%</v>
      </c>
    </row>
    <row r="1064" customFormat="false" ht="15" hidden="false" customHeight="false" outlineLevel="0" collapsed="false">
      <c r="A1064" s="5" t="str">
        <f aca="false">01_Data!A1064</f>
        <v>Public Sector</v>
      </c>
      <c r="B1064" s="5" t="str">
        <f aca="false">01_Data!C1064</f>
        <v>2024-10</v>
      </c>
      <c r="C1064" s="5" t="str">
        <f aca="false">01_Data!D1064</f>
        <v>FY24</v>
      </c>
      <c r="D1064" s="7" t="n">
        <f aca="false">01_Data!E1064</f>
        <v>69474</v>
      </c>
      <c r="E1064" s="7" t="n">
        <f aca="false">01_Data!F1064</f>
        <v>66840</v>
      </c>
      <c r="F1064" s="7" t="n">
        <f aca="false">E1064-D1064</f>
        <v>-2634</v>
      </c>
      <c r="G1064" s="8" t="n">
        <f aca="false">IFERROR(F1064/D1064,0)</f>
        <v>-0.037913464029709</v>
      </c>
      <c r="H1064" s="7" t="n">
        <f aca="false">01_Data!G1064</f>
        <v>37731</v>
      </c>
      <c r="I1064" s="7" t="n">
        <f aca="false">01_Data!H1064</f>
        <v>35607</v>
      </c>
      <c r="J1064" s="7" t="n">
        <f aca="false">H1064-I1064</f>
        <v>2124</v>
      </c>
      <c r="K1064" s="8" t="n">
        <f aca="false">IFERROR(J1064/H1064,0)</f>
        <v>0.0562932336805279</v>
      </c>
      <c r="L1064" s="7" t="n">
        <f aca="false">D1064-H1064</f>
        <v>31743</v>
      </c>
      <c r="M1064" s="7" t="n">
        <f aca="false">E1064-I1064</f>
        <v>31233</v>
      </c>
      <c r="N1064" s="7" t="n">
        <f aca="false">IFERROR(L1064/D1064,0)</f>
        <v>0.456904741342085</v>
      </c>
      <c r="O1064" s="7" t="n">
        <f aca="false">IFERROR(M1064/E1064,0)</f>
        <v>0.467280071813285</v>
      </c>
      <c r="P1064" s="7" t="n">
        <f aca="false">01_Data!I1064+01_Data!K1064+01_Data!M1064+01_Data!O1064+01_Data!Q1064+01_Data!S1064+01_Data!U1064</f>
        <v>18156</v>
      </c>
      <c r="Q1064" s="7" t="n">
        <f aca="false">01_Data!J1064+01_Data!L1064+01_Data!N1064+01_Data!P1064+01_Data!R1064+01_Data!T1064+01_Data!V1064</f>
        <v>18114</v>
      </c>
      <c r="R1064" s="7" t="n">
        <f aca="false">P1064-Q1064</f>
        <v>42</v>
      </c>
      <c r="S1064" s="7" t="n">
        <f aca="false">L1064-P1064</f>
        <v>13587</v>
      </c>
      <c r="T1064" s="7" t="n">
        <f aca="false">M1064-Q1064</f>
        <v>13119</v>
      </c>
      <c r="U1064" s="7" t="n">
        <f aca="false">T1064-S1064</f>
        <v>-468</v>
      </c>
      <c r="V1064" s="8" t="n">
        <f aca="false">IFERROR(U1064/S1064,0)</f>
        <v>-0.0344446897769927</v>
      </c>
      <c r="W1064" s="5" t="str">
        <f aca="false">IF(V1064&lt;-0.1,"ADVERSE &gt;10%","")</f>
        <v/>
      </c>
    </row>
    <row r="1065" customFormat="false" ht="15" hidden="false" customHeight="false" outlineLevel="0" collapsed="false">
      <c r="A1065" s="5" t="str">
        <f aca="false">01_Data!A1065</f>
        <v>Public Sector</v>
      </c>
      <c r="B1065" s="5" t="str">
        <f aca="false">01_Data!C1065</f>
        <v>2024-11</v>
      </c>
      <c r="C1065" s="5" t="str">
        <f aca="false">01_Data!D1065</f>
        <v>FY24</v>
      </c>
      <c r="D1065" s="7" t="n">
        <f aca="false">01_Data!E1065</f>
        <v>70057</v>
      </c>
      <c r="E1065" s="7" t="n">
        <f aca="false">01_Data!F1065</f>
        <v>66900</v>
      </c>
      <c r="F1065" s="7" t="n">
        <f aca="false">E1065-D1065</f>
        <v>-3157</v>
      </c>
      <c r="G1065" s="8" t="n">
        <f aca="false">IFERROR(F1065/D1065,0)</f>
        <v>-0.0450633055940163</v>
      </c>
      <c r="H1065" s="7" t="n">
        <f aca="false">01_Data!G1065</f>
        <v>39571</v>
      </c>
      <c r="I1065" s="7" t="n">
        <f aca="false">01_Data!H1065</f>
        <v>36904</v>
      </c>
      <c r="J1065" s="7" t="n">
        <f aca="false">H1065-I1065</f>
        <v>2667</v>
      </c>
      <c r="K1065" s="8" t="n">
        <f aca="false">IFERROR(J1065/H1065,0)</f>
        <v>0.0673978418538829</v>
      </c>
      <c r="L1065" s="7" t="n">
        <f aca="false">D1065-H1065</f>
        <v>30486</v>
      </c>
      <c r="M1065" s="7" t="n">
        <f aca="false">E1065-I1065</f>
        <v>29996</v>
      </c>
      <c r="N1065" s="7" t="n">
        <f aca="false">IFERROR(L1065/D1065,0)</f>
        <v>0.435159941190745</v>
      </c>
      <c r="O1065" s="7" t="n">
        <f aca="false">IFERROR(M1065/E1065,0)</f>
        <v>0.448370702541106</v>
      </c>
      <c r="P1065" s="7" t="n">
        <f aca="false">01_Data!I1065+01_Data!K1065+01_Data!M1065+01_Data!O1065+01_Data!Q1065+01_Data!S1065+01_Data!U1065</f>
        <v>19200</v>
      </c>
      <c r="Q1065" s="7" t="n">
        <f aca="false">01_Data!J1065+01_Data!L1065+01_Data!N1065+01_Data!P1065+01_Data!R1065+01_Data!T1065+01_Data!V1065</f>
        <v>19134</v>
      </c>
      <c r="R1065" s="7" t="n">
        <f aca="false">P1065-Q1065</f>
        <v>66</v>
      </c>
      <c r="S1065" s="7" t="n">
        <f aca="false">L1065-P1065</f>
        <v>11286</v>
      </c>
      <c r="T1065" s="7" t="n">
        <f aca="false">M1065-Q1065</f>
        <v>10862</v>
      </c>
      <c r="U1065" s="7" t="n">
        <f aca="false">T1065-S1065</f>
        <v>-424</v>
      </c>
      <c r="V1065" s="8" t="n">
        <f aca="false">IFERROR(U1065/S1065,0)</f>
        <v>-0.0375686691476165</v>
      </c>
      <c r="W1065" s="5" t="str">
        <f aca="false">IF(V1065&lt;-0.1,"ADVERSE &gt;10%","")</f>
        <v/>
      </c>
    </row>
    <row r="1066" customFormat="false" ht="15" hidden="false" customHeight="false" outlineLevel="0" collapsed="false">
      <c r="A1066" s="5" t="str">
        <f aca="false">01_Data!A1066</f>
        <v>Public Sector</v>
      </c>
      <c r="B1066" s="5" t="str">
        <f aca="false">01_Data!C1066</f>
        <v>2024-12</v>
      </c>
      <c r="C1066" s="5" t="str">
        <f aca="false">01_Data!D1066</f>
        <v>FY24</v>
      </c>
      <c r="D1066" s="7" t="n">
        <f aca="false">01_Data!E1066</f>
        <v>74602</v>
      </c>
      <c r="E1066" s="7" t="n">
        <f aca="false">01_Data!F1066</f>
        <v>73584</v>
      </c>
      <c r="F1066" s="7" t="n">
        <f aca="false">E1066-D1066</f>
        <v>-1018</v>
      </c>
      <c r="G1066" s="8" t="n">
        <f aca="false">IFERROR(F1066/D1066,0)</f>
        <v>-0.0136457467628214</v>
      </c>
      <c r="H1066" s="7" t="n">
        <f aca="false">01_Data!G1066</f>
        <v>40686</v>
      </c>
      <c r="I1066" s="7" t="n">
        <f aca="false">01_Data!H1066</f>
        <v>41428</v>
      </c>
      <c r="J1066" s="7" t="n">
        <f aca="false">H1066-I1066</f>
        <v>-742</v>
      </c>
      <c r="K1066" s="8" t="n">
        <f aca="false">IFERROR(J1066/H1066,0)</f>
        <v>-0.018237231480116</v>
      </c>
      <c r="L1066" s="7" t="n">
        <f aca="false">D1066-H1066</f>
        <v>33916</v>
      </c>
      <c r="M1066" s="7" t="n">
        <f aca="false">E1066-I1066</f>
        <v>32156</v>
      </c>
      <c r="N1066" s="7" t="n">
        <f aca="false">IFERROR(L1066/D1066,0)</f>
        <v>0.454625881343664</v>
      </c>
      <c r="O1066" s="7" t="n">
        <f aca="false">IFERROR(M1066/E1066,0)</f>
        <v>0.436997173298543</v>
      </c>
      <c r="P1066" s="7" t="n">
        <f aca="false">01_Data!I1066+01_Data!K1066+01_Data!M1066+01_Data!O1066+01_Data!Q1066+01_Data!S1066+01_Data!U1066</f>
        <v>18049</v>
      </c>
      <c r="Q1066" s="7" t="n">
        <f aca="false">01_Data!J1066+01_Data!L1066+01_Data!N1066+01_Data!P1066+01_Data!R1066+01_Data!T1066+01_Data!V1066</f>
        <v>18060</v>
      </c>
      <c r="R1066" s="7" t="n">
        <f aca="false">P1066-Q1066</f>
        <v>-11</v>
      </c>
      <c r="S1066" s="7" t="n">
        <f aca="false">L1066-P1066</f>
        <v>15867</v>
      </c>
      <c r="T1066" s="7" t="n">
        <f aca="false">M1066-Q1066</f>
        <v>14096</v>
      </c>
      <c r="U1066" s="7" t="n">
        <f aca="false">T1066-S1066</f>
        <v>-1771</v>
      </c>
      <c r="V1066" s="8" t="n">
        <f aca="false">IFERROR(U1066/S1066,0)</f>
        <v>-0.111615302199534</v>
      </c>
      <c r="W1066" s="5" t="str">
        <f aca="false">IF(V1066&lt;-0.1,"ADVERSE &gt;10%","")</f>
        <v>ADVERSE &gt;10%</v>
      </c>
    </row>
    <row r="1067" customFormat="false" ht="15" hidden="false" customHeight="false" outlineLevel="0" collapsed="false">
      <c r="A1067" s="5" t="str">
        <f aca="false">01_Data!A1067</f>
        <v>Public Sector</v>
      </c>
      <c r="B1067" s="5" t="str">
        <f aca="false">01_Data!C1067</f>
        <v>2025-01</v>
      </c>
      <c r="C1067" s="5" t="str">
        <f aca="false">01_Data!D1067</f>
        <v>FY24</v>
      </c>
      <c r="D1067" s="7" t="n">
        <f aca="false">01_Data!E1067</f>
        <v>71284</v>
      </c>
      <c r="E1067" s="7" t="n">
        <f aca="false">01_Data!F1067</f>
        <v>67848</v>
      </c>
      <c r="F1067" s="7" t="n">
        <f aca="false">E1067-D1067</f>
        <v>-3436</v>
      </c>
      <c r="G1067" s="8" t="n">
        <f aca="false">IFERROR(F1067/D1067,0)</f>
        <v>-0.0482015599573537</v>
      </c>
      <c r="H1067" s="7" t="n">
        <f aca="false">01_Data!G1067</f>
        <v>41802</v>
      </c>
      <c r="I1067" s="7" t="n">
        <f aca="false">01_Data!H1067</f>
        <v>40952</v>
      </c>
      <c r="J1067" s="7" t="n">
        <f aca="false">H1067-I1067</f>
        <v>850</v>
      </c>
      <c r="K1067" s="8" t="n">
        <f aca="false">IFERROR(J1067/H1067,0)</f>
        <v>0.0203339553131429</v>
      </c>
      <c r="L1067" s="7" t="n">
        <f aca="false">D1067-H1067</f>
        <v>29482</v>
      </c>
      <c r="M1067" s="7" t="n">
        <f aca="false">E1067-I1067</f>
        <v>26896</v>
      </c>
      <c r="N1067" s="7" t="n">
        <f aca="false">IFERROR(L1067/D1067,0)</f>
        <v>0.413585096234779</v>
      </c>
      <c r="O1067" s="7" t="n">
        <f aca="false">IFERROR(M1067/E1067,0)</f>
        <v>0.396415517038085</v>
      </c>
      <c r="P1067" s="7" t="n">
        <f aca="false">01_Data!I1067+01_Data!K1067+01_Data!M1067+01_Data!O1067+01_Data!Q1067+01_Data!S1067+01_Data!U1067</f>
        <v>19279</v>
      </c>
      <c r="Q1067" s="7" t="n">
        <f aca="false">01_Data!J1067+01_Data!L1067+01_Data!N1067+01_Data!P1067+01_Data!R1067+01_Data!T1067+01_Data!V1067</f>
        <v>20384</v>
      </c>
      <c r="R1067" s="7" t="n">
        <f aca="false">P1067-Q1067</f>
        <v>-1105</v>
      </c>
      <c r="S1067" s="7" t="n">
        <f aca="false">L1067-P1067</f>
        <v>10203</v>
      </c>
      <c r="T1067" s="7" t="n">
        <f aca="false">M1067-Q1067</f>
        <v>6512</v>
      </c>
      <c r="U1067" s="7" t="n">
        <f aca="false">T1067-S1067</f>
        <v>-3691</v>
      </c>
      <c r="V1067" s="8" t="n">
        <f aca="false">IFERROR(U1067/S1067,0)</f>
        <v>-0.361756346172694</v>
      </c>
      <c r="W1067" s="5" t="str">
        <f aca="false">IF(V1067&lt;-0.1,"ADVERSE &gt;10%","")</f>
        <v>ADVERSE &gt;10%</v>
      </c>
    </row>
    <row r="1068" customFormat="false" ht="15" hidden="false" customHeight="false" outlineLevel="0" collapsed="false">
      <c r="A1068" s="5" t="str">
        <f aca="false">01_Data!A1068</f>
        <v>Public Sector</v>
      </c>
      <c r="B1068" s="5" t="str">
        <f aca="false">01_Data!C1068</f>
        <v>2025-02</v>
      </c>
      <c r="C1068" s="5" t="str">
        <f aca="false">01_Data!D1068</f>
        <v>FY24</v>
      </c>
      <c r="D1068" s="7" t="n">
        <f aca="false">01_Data!E1068</f>
        <v>70404</v>
      </c>
      <c r="E1068" s="7" t="n">
        <f aca="false">01_Data!F1068</f>
        <v>68064</v>
      </c>
      <c r="F1068" s="7" t="n">
        <f aca="false">E1068-D1068</f>
        <v>-2340</v>
      </c>
      <c r="G1068" s="8" t="n">
        <f aca="false">IFERROR(F1068/D1068,0)</f>
        <v>-0.0332367479120505</v>
      </c>
      <c r="H1068" s="7" t="n">
        <f aca="false">01_Data!G1068</f>
        <v>41830</v>
      </c>
      <c r="I1068" s="7" t="n">
        <f aca="false">01_Data!H1068</f>
        <v>39704</v>
      </c>
      <c r="J1068" s="7" t="n">
        <f aca="false">H1068-I1068</f>
        <v>2126</v>
      </c>
      <c r="K1068" s="8" t="n">
        <f aca="false">IFERROR(J1068/H1068,0)</f>
        <v>0.0508247669136983</v>
      </c>
      <c r="L1068" s="7" t="n">
        <f aca="false">D1068-H1068</f>
        <v>28574</v>
      </c>
      <c r="M1068" s="7" t="n">
        <f aca="false">E1068-I1068</f>
        <v>28360</v>
      </c>
      <c r="N1068" s="7" t="n">
        <f aca="false">IFERROR(L1068/D1068,0)</f>
        <v>0.405857621726038</v>
      </c>
      <c r="O1068" s="7" t="n">
        <f aca="false">IFERROR(M1068/E1068,0)</f>
        <v>0.416666666666667</v>
      </c>
      <c r="P1068" s="7" t="n">
        <f aca="false">01_Data!I1068+01_Data!K1068+01_Data!M1068+01_Data!O1068+01_Data!Q1068+01_Data!S1068+01_Data!U1068</f>
        <v>17664</v>
      </c>
      <c r="Q1068" s="7" t="n">
        <f aca="false">01_Data!J1068+01_Data!L1068+01_Data!N1068+01_Data!P1068+01_Data!R1068+01_Data!T1068+01_Data!V1068</f>
        <v>18177</v>
      </c>
      <c r="R1068" s="7" t="n">
        <f aca="false">P1068-Q1068</f>
        <v>-513</v>
      </c>
      <c r="S1068" s="7" t="n">
        <f aca="false">L1068-P1068</f>
        <v>10910</v>
      </c>
      <c r="T1068" s="7" t="n">
        <f aca="false">M1068-Q1068</f>
        <v>10183</v>
      </c>
      <c r="U1068" s="7" t="n">
        <f aca="false">T1068-S1068</f>
        <v>-727</v>
      </c>
      <c r="V1068" s="8" t="n">
        <f aca="false">IFERROR(U1068/S1068,0)</f>
        <v>-0.0666361136571952</v>
      </c>
      <c r="W1068" s="5" t="str">
        <f aca="false">IF(V1068&lt;-0.1,"ADVERSE &gt;10%","")</f>
        <v/>
      </c>
    </row>
    <row r="1069" customFormat="false" ht="15" hidden="false" customHeight="false" outlineLevel="0" collapsed="false">
      <c r="A1069" s="5" t="str">
        <f aca="false">01_Data!A1069</f>
        <v>Public Sector</v>
      </c>
      <c r="B1069" s="5" t="str">
        <f aca="false">01_Data!C1069</f>
        <v>2025-03</v>
      </c>
      <c r="C1069" s="5" t="str">
        <f aca="false">01_Data!D1069</f>
        <v>FY24</v>
      </c>
      <c r="D1069" s="7" t="n">
        <f aca="false">01_Data!E1069</f>
        <v>75641</v>
      </c>
      <c r="E1069" s="7" t="n">
        <f aca="false">01_Data!F1069</f>
        <v>75874</v>
      </c>
      <c r="F1069" s="7" t="n">
        <f aca="false">E1069-D1069</f>
        <v>233</v>
      </c>
      <c r="G1069" s="8" t="n">
        <f aca="false">IFERROR(F1069/D1069,0)</f>
        <v>0.00308034002723391</v>
      </c>
      <c r="H1069" s="7" t="n">
        <f aca="false">01_Data!G1069</f>
        <v>41664</v>
      </c>
      <c r="I1069" s="7" t="n">
        <f aca="false">01_Data!H1069</f>
        <v>42616</v>
      </c>
      <c r="J1069" s="7" t="n">
        <f aca="false">H1069-I1069</f>
        <v>-952</v>
      </c>
      <c r="K1069" s="8" t="n">
        <f aca="false">IFERROR(J1069/H1069,0)</f>
        <v>-0.0228494623655914</v>
      </c>
      <c r="L1069" s="7" t="n">
        <f aca="false">D1069-H1069</f>
        <v>33977</v>
      </c>
      <c r="M1069" s="7" t="n">
        <f aca="false">E1069-I1069</f>
        <v>33258</v>
      </c>
      <c r="N1069" s="7" t="n">
        <f aca="false">IFERROR(L1069/D1069,0)</f>
        <v>0.449187609894105</v>
      </c>
      <c r="O1069" s="7" t="n">
        <f aca="false">IFERROR(M1069/E1069,0)</f>
        <v>0.438331971426312</v>
      </c>
      <c r="P1069" s="7" t="n">
        <f aca="false">01_Data!I1069+01_Data!K1069+01_Data!M1069+01_Data!O1069+01_Data!Q1069+01_Data!S1069+01_Data!U1069</f>
        <v>19892</v>
      </c>
      <c r="Q1069" s="7" t="n">
        <f aca="false">01_Data!J1069+01_Data!L1069+01_Data!N1069+01_Data!P1069+01_Data!R1069+01_Data!T1069+01_Data!V1069</f>
        <v>19585</v>
      </c>
      <c r="R1069" s="7" t="n">
        <f aca="false">P1069-Q1069</f>
        <v>307</v>
      </c>
      <c r="S1069" s="7" t="n">
        <f aca="false">L1069-P1069</f>
        <v>14085</v>
      </c>
      <c r="T1069" s="7" t="n">
        <f aca="false">M1069-Q1069</f>
        <v>13673</v>
      </c>
      <c r="U1069" s="7" t="n">
        <f aca="false">T1069-S1069</f>
        <v>-412</v>
      </c>
      <c r="V1069" s="8" t="n">
        <f aca="false">IFERROR(U1069/S1069,0)</f>
        <v>-0.0292509762158324</v>
      </c>
      <c r="W1069" s="5" t="str">
        <f aca="false">IF(V1069&lt;-0.1,"ADVERSE &gt;10%","")</f>
        <v/>
      </c>
    </row>
    <row r="1070" customFormat="false" ht="15" hidden="false" customHeight="false" outlineLevel="0" collapsed="false">
      <c r="A1070" s="5" t="str">
        <f aca="false">01_Data!A1070</f>
        <v>Public Sector</v>
      </c>
      <c r="B1070" s="5" t="str">
        <f aca="false">01_Data!C1070</f>
        <v>2025-04</v>
      </c>
      <c r="C1070" s="5" t="str">
        <f aca="false">01_Data!D1070</f>
        <v>FY25</v>
      </c>
      <c r="D1070" s="7" t="n">
        <f aca="false">01_Data!E1070</f>
        <v>74556</v>
      </c>
      <c r="E1070" s="7" t="n">
        <f aca="false">01_Data!F1070</f>
        <v>71740</v>
      </c>
      <c r="F1070" s="7" t="n">
        <f aca="false">E1070-D1070</f>
        <v>-2816</v>
      </c>
      <c r="G1070" s="8" t="n">
        <f aca="false">IFERROR(F1070/D1070,0)</f>
        <v>-0.0377702666452063</v>
      </c>
      <c r="H1070" s="7" t="n">
        <f aca="false">01_Data!G1070</f>
        <v>41867</v>
      </c>
      <c r="I1070" s="7" t="n">
        <f aca="false">01_Data!H1070</f>
        <v>40788</v>
      </c>
      <c r="J1070" s="7" t="n">
        <f aca="false">H1070-I1070</f>
        <v>1079</v>
      </c>
      <c r="K1070" s="8" t="n">
        <f aca="false">IFERROR(J1070/H1070,0)</f>
        <v>0.0257720878018487</v>
      </c>
      <c r="L1070" s="7" t="n">
        <f aca="false">D1070-H1070</f>
        <v>32689</v>
      </c>
      <c r="M1070" s="7" t="n">
        <f aca="false">E1070-I1070</f>
        <v>30952</v>
      </c>
      <c r="N1070" s="7" t="n">
        <f aca="false">IFERROR(L1070/D1070,0)</f>
        <v>0.438448951123987</v>
      </c>
      <c r="O1070" s="7" t="n">
        <f aca="false">IFERROR(M1070/E1070,0)</f>
        <v>0.43144689155283</v>
      </c>
      <c r="P1070" s="7" t="n">
        <f aca="false">01_Data!I1070+01_Data!K1070+01_Data!M1070+01_Data!O1070+01_Data!Q1070+01_Data!S1070+01_Data!U1070</f>
        <v>18387</v>
      </c>
      <c r="Q1070" s="7" t="n">
        <f aca="false">01_Data!J1070+01_Data!L1070+01_Data!N1070+01_Data!P1070+01_Data!R1070+01_Data!T1070+01_Data!V1070</f>
        <v>18510</v>
      </c>
      <c r="R1070" s="7" t="n">
        <f aca="false">P1070-Q1070</f>
        <v>-123</v>
      </c>
      <c r="S1070" s="7" t="n">
        <f aca="false">L1070-P1070</f>
        <v>14302</v>
      </c>
      <c r="T1070" s="7" t="n">
        <f aca="false">M1070-Q1070</f>
        <v>12442</v>
      </c>
      <c r="U1070" s="7" t="n">
        <f aca="false">T1070-S1070</f>
        <v>-1860</v>
      </c>
      <c r="V1070" s="8" t="n">
        <f aca="false">IFERROR(U1070/S1070,0)</f>
        <v>-0.130051741015243</v>
      </c>
      <c r="W1070" s="5" t="str">
        <f aca="false">IF(V1070&lt;-0.1,"ADVERSE &gt;10%","")</f>
        <v>ADVERSE &gt;10%</v>
      </c>
    </row>
    <row r="1071" customFormat="false" ht="15" hidden="false" customHeight="false" outlineLevel="0" collapsed="false">
      <c r="A1071" s="5" t="str">
        <f aca="false">01_Data!A1071</f>
        <v>Public Sector</v>
      </c>
      <c r="B1071" s="5" t="str">
        <f aca="false">01_Data!C1071</f>
        <v>2025-05</v>
      </c>
      <c r="C1071" s="5" t="str">
        <f aca="false">01_Data!D1071</f>
        <v>FY25</v>
      </c>
      <c r="D1071" s="7" t="n">
        <f aca="false">01_Data!E1071</f>
        <v>73194</v>
      </c>
      <c r="E1071" s="7" t="n">
        <f aca="false">01_Data!F1071</f>
        <v>72880</v>
      </c>
      <c r="F1071" s="7" t="n">
        <f aca="false">E1071-D1071</f>
        <v>-314</v>
      </c>
      <c r="G1071" s="8" t="n">
        <f aca="false">IFERROR(F1071/D1071,0)</f>
        <v>-0.00428996912315217</v>
      </c>
      <c r="H1071" s="7" t="n">
        <f aca="false">01_Data!G1071</f>
        <v>41341</v>
      </c>
      <c r="I1071" s="7" t="n">
        <f aca="false">01_Data!H1071</f>
        <v>41452</v>
      </c>
      <c r="J1071" s="7" t="n">
        <f aca="false">H1071-I1071</f>
        <v>-111</v>
      </c>
      <c r="K1071" s="8" t="n">
        <f aca="false">IFERROR(J1071/H1071,0)</f>
        <v>-0.0026849858493989</v>
      </c>
      <c r="L1071" s="7" t="n">
        <f aca="false">D1071-H1071</f>
        <v>31853</v>
      </c>
      <c r="M1071" s="7" t="n">
        <f aca="false">E1071-I1071</f>
        <v>31428</v>
      </c>
      <c r="N1071" s="7" t="n">
        <f aca="false">IFERROR(L1071/D1071,0)</f>
        <v>0.435185944203077</v>
      </c>
      <c r="O1071" s="7" t="n">
        <f aca="false">IFERROR(M1071/E1071,0)</f>
        <v>0.431229418221734</v>
      </c>
      <c r="P1071" s="7" t="n">
        <f aca="false">01_Data!I1071+01_Data!K1071+01_Data!M1071+01_Data!O1071+01_Data!Q1071+01_Data!S1071+01_Data!U1071</f>
        <v>20251</v>
      </c>
      <c r="Q1071" s="7" t="n">
        <f aca="false">01_Data!J1071+01_Data!L1071+01_Data!N1071+01_Data!P1071+01_Data!R1071+01_Data!T1071+01_Data!V1071</f>
        <v>21169</v>
      </c>
      <c r="R1071" s="7" t="n">
        <f aca="false">P1071-Q1071</f>
        <v>-918</v>
      </c>
      <c r="S1071" s="7" t="n">
        <f aca="false">L1071-P1071</f>
        <v>11602</v>
      </c>
      <c r="T1071" s="7" t="n">
        <f aca="false">M1071-Q1071</f>
        <v>10259</v>
      </c>
      <c r="U1071" s="7" t="n">
        <f aca="false">T1071-S1071</f>
        <v>-1343</v>
      </c>
      <c r="V1071" s="8" t="n">
        <f aca="false">IFERROR(U1071/S1071,0)</f>
        <v>-0.115755904154456</v>
      </c>
      <c r="W1071" s="5" t="str">
        <f aca="false">IF(V1071&lt;-0.1,"ADVERSE &gt;10%","")</f>
        <v>ADVERSE &gt;10%</v>
      </c>
    </row>
    <row r="1072" customFormat="false" ht="15" hidden="false" customHeight="false" outlineLevel="0" collapsed="false">
      <c r="A1072" s="5" t="str">
        <f aca="false">01_Data!A1072</f>
        <v>Public Sector</v>
      </c>
      <c r="B1072" s="5" t="str">
        <f aca="false">01_Data!C1072</f>
        <v>2025-06</v>
      </c>
      <c r="C1072" s="5" t="str">
        <f aca="false">01_Data!D1072</f>
        <v>FY25</v>
      </c>
      <c r="D1072" s="7" t="n">
        <f aca="false">01_Data!E1072</f>
        <v>78427</v>
      </c>
      <c r="E1072" s="7" t="n">
        <f aca="false">01_Data!F1072</f>
        <v>74186</v>
      </c>
      <c r="F1072" s="7" t="n">
        <f aca="false">E1072-D1072</f>
        <v>-4241</v>
      </c>
      <c r="G1072" s="8" t="n">
        <f aca="false">IFERROR(F1072/D1072,0)</f>
        <v>-0.0540757647238834</v>
      </c>
      <c r="H1072" s="7" t="n">
        <f aca="false">01_Data!G1072</f>
        <v>46947</v>
      </c>
      <c r="I1072" s="7" t="n">
        <f aca="false">01_Data!H1072</f>
        <v>43331</v>
      </c>
      <c r="J1072" s="7" t="n">
        <f aca="false">H1072-I1072</f>
        <v>3616</v>
      </c>
      <c r="K1072" s="8" t="n">
        <f aca="false">IFERROR(J1072/H1072,0)</f>
        <v>0.0770230259654504</v>
      </c>
      <c r="L1072" s="7" t="n">
        <f aca="false">D1072-H1072</f>
        <v>31480</v>
      </c>
      <c r="M1072" s="7" t="n">
        <f aca="false">E1072-I1072</f>
        <v>30855</v>
      </c>
      <c r="N1072" s="7" t="n">
        <f aca="false">IFERROR(L1072/D1072,0)</f>
        <v>0.401392377625053</v>
      </c>
      <c r="O1072" s="7" t="n">
        <f aca="false">IFERROR(M1072/E1072,0)</f>
        <v>0.415914053864611</v>
      </c>
      <c r="P1072" s="7" t="n">
        <f aca="false">01_Data!I1072+01_Data!K1072+01_Data!M1072+01_Data!O1072+01_Data!Q1072+01_Data!S1072+01_Data!U1072</f>
        <v>20195</v>
      </c>
      <c r="Q1072" s="7" t="n">
        <f aca="false">01_Data!J1072+01_Data!L1072+01_Data!N1072+01_Data!P1072+01_Data!R1072+01_Data!T1072+01_Data!V1072</f>
        <v>20248</v>
      </c>
      <c r="R1072" s="7" t="n">
        <f aca="false">P1072-Q1072</f>
        <v>-53</v>
      </c>
      <c r="S1072" s="7" t="n">
        <f aca="false">L1072-P1072</f>
        <v>11285</v>
      </c>
      <c r="T1072" s="7" t="n">
        <f aca="false">M1072-Q1072</f>
        <v>10607</v>
      </c>
      <c r="U1072" s="7" t="n">
        <f aca="false">T1072-S1072</f>
        <v>-678</v>
      </c>
      <c r="V1072" s="8" t="n">
        <f aca="false">IFERROR(U1072/S1072,0)</f>
        <v>-0.0600797518830306</v>
      </c>
      <c r="W1072" s="5" t="str">
        <f aca="false">IF(V1072&lt;-0.1,"ADVERSE &gt;10%","")</f>
        <v/>
      </c>
    </row>
    <row r="1073" customFormat="false" ht="15" hidden="false" customHeight="false" outlineLevel="0" collapsed="false">
      <c r="A1073" s="5" t="str">
        <f aca="false">01_Data!A1073</f>
        <v>Public Sector</v>
      </c>
      <c r="B1073" s="5" t="str">
        <f aca="false">01_Data!C1073</f>
        <v>2025-07</v>
      </c>
      <c r="C1073" s="5" t="str">
        <f aca="false">01_Data!D1073</f>
        <v>FY25</v>
      </c>
      <c r="D1073" s="7" t="n">
        <f aca="false">01_Data!E1073</f>
        <v>72354</v>
      </c>
      <c r="E1073" s="7" t="n">
        <f aca="false">01_Data!F1073</f>
        <v>75736</v>
      </c>
      <c r="F1073" s="7" t="n">
        <f aca="false">E1073-D1073</f>
        <v>3382</v>
      </c>
      <c r="G1073" s="8" t="n">
        <f aca="false">IFERROR(F1073/D1073,0)</f>
        <v>0.0467424053956934</v>
      </c>
      <c r="H1073" s="7" t="n">
        <f aca="false">01_Data!G1073</f>
        <v>39928</v>
      </c>
      <c r="I1073" s="7" t="n">
        <f aca="false">01_Data!H1073</f>
        <v>41514</v>
      </c>
      <c r="J1073" s="7" t="n">
        <f aca="false">H1073-I1073</f>
        <v>-1586</v>
      </c>
      <c r="K1073" s="8" t="n">
        <f aca="false">IFERROR(J1073/H1073,0)</f>
        <v>-0.0397214986976558</v>
      </c>
      <c r="L1073" s="7" t="n">
        <f aca="false">D1073-H1073</f>
        <v>32426</v>
      </c>
      <c r="M1073" s="7" t="n">
        <f aca="false">E1073-I1073</f>
        <v>34222</v>
      </c>
      <c r="N1073" s="7" t="n">
        <f aca="false">IFERROR(L1073/D1073,0)</f>
        <v>0.448157669237361</v>
      </c>
      <c r="O1073" s="7" t="n">
        <f aca="false">IFERROR(M1073/E1073,0)</f>
        <v>0.451859089468681</v>
      </c>
      <c r="P1073" s="7" t="n">
        <f aca="false">01_Data!I1073+01_Data!K1073+01_Data!M1073+01_Data!O1073+01_Data!Q1073+01_Data!S1073+01_Data!U1073</f>
        <v>19047</v>
      </c>
      <c r="Q1073" s="7" t="n">
        <f aca="false">01_Data!J1073+01_Data!L1073+01_Data!N1073+01_Data!P1073+01_Data!R1073+01_Data!T1073+01_Data!V1073</f>
        <v>18856</v>
      </c>
      <c r="R1073" s="7" t="n">
        <f aca="false">P1073-Q1073</f>
        <v>191</v>
      </c>
      <c r="S1073" s="7" t="n">
        <f aca="false">L1073-P1073</f>
        <v>13379</v>
      </c>
      <c r="T1073" s="7" t="n">
        <f aca="false">M1073-Q1073</f>
        <v>15366</v>
      </c>
      <c r="U1073" s="7" t="n">
        <f aca="false">T1073-S1073</f>
        <v>1987</v>
      </c>
      <c r="V1073" s="8" t="n">
        <f aca="false">IFERROR(U1073/S1073,0)</f>
        <v>0.148516331564392</v>
      </c>
      <c r="W1073" s="5" t="str">
        <f aca="false">IF(V1073&lt;-0.1,"ADVERSE &gt;10%","")</f>
        <v/>
      </c>
    </row>
    <row r="1074" customFormat="false" ht="15" hidden="false" customHeight="false" outlineLevel="0" collapsed="false">
      <c r="A1074" s="5" t="str">
        <f aca="false">01_Data!A1074</f>
        <v>Public Sector</v>
      </c>
      <c r="B1074" s="5" t="str">
        <f aca="false">01_Data!C1074</f>
        <v>2025-08</v>
      </c>
      <c r="C1074" s="5" t="str">
        <f aca="false">01_Data!D1074</f>
        <v>FY25</v>
      </c>
      <c r="D1074" s="7" t="n">
        <f aca="false">01_Data!E1074</f>
        <v>72268</v>
      </c>
      <c r="E1074" s="7" t="n">
        <f aca="false">01_Data!F1074</f>
        <v>75281</v>
      </c>
      <c r="F1074" s="7" t="n">
        <f aca="false">E1074-D1074</f>
        <v>3013</v>
      </c>
      <c r="G1074" s="8" t="n">
        <f aca="false">IFERROR(F1074/D1074,0)</f>
        <v>0.0416920352023025</v>
      </c>
      <c r="H1074" s="7" t="n">
        <f aca="false">01_Data!G1074</f>
        <v>42249</v>
      </c>
      <c r="I1074" s="7" t="n">
        <f aca="false">01_Data!H1074</f>
        <v>44355</v>
      </c>
      <c r="J1074" s="7" t="n">
        <f aca="false">H1074-I1074</f>
        <v>-2106</v>
      </c>
      <c r="K1074" s="8" t="n">
        <f aca="false">IFERROR(J1074/H1074,0)</f>
        <v>-0.0498473336647021</v>
      </c>
      <c r="L1074" s="7" t="n">
        <f aca="false">D1074-H1074</f>
        <v>30019</v>
      </c>
      <c r="M1074" s="7" t="n">
        <f aca="false">E1074-I1074</f>
        <v>30926</v>
      </c>
      <c r="N1074" s="7" t="n">
        <f aca="false">IFERROR(L1074/D1074,0)</f>
        <v>0.415384402501799</v>
      </c>
      <c r="O1074" s="7" t="n">
        <f aca="false">IFERROR(M1074/E1074,0)</f>
        <v>0.410807507870512</v>
      </c>
      <c r="P1074" s="7" t="n">
        <f aca="false">01_Data!I1074+01_Data!K1074+01_Data!M1074+01_Data!O1074+01_Data!Q1074+01_Data!S1074+01_Data!U1074</f>
        <v>19032</v>
      </c>
      <c r="Q1074" s="7" t="n">
        <f aca="false">01_Data!J1074+01_Data!L1074+01_Data!N1074+01_Data!P1074+01_Data!R1074+01_Data!T1074+01_Data!V1074</f>
        <v>18862</v>
      </c>
      <c r="R1074" s="7" t="n">
        <f aca="false">P1074-Q1074</f>
        <v>170</v>
      </c>
      <c r="S1074" s="7" t="n">
        <f aca="false">L1074-P1074</f>
        <v>10987</v>
      </c>
      <c r="T1074" s="7" t="n">
        <f aca="false">M1074-Q1074</f>
        <v>12064</v>
      </c>
      <c r="U1074" s="7" t="n">
        <f aca="false">T1074-S1074</f>
        <v>1077</v>
      </c>
      <c r="V1074" s="8" t="n">
        <f aca="false">IFERROR(U1074/S1074,0)</f>
        <v>0.0980249385637572</v>
      </c>
      <c r="W1074" s="5" t="str">
        <f aca="false">IF(V1074&lt;-0.1,"ADVERSE &gt;10%","")</f>
        <v/>
      </c>
    </row>
    <row r="1075" customFormat="false" ht="15" hidden="false" customHeight="false" outlineLevel="0" collapsed="false">
      <c r="A1075" s="5" t="str">
        <f aca="false">01_Data!A1075</f>
        <v>Public Sector</v>
      </c>
      <c r="B1075" s="5" t="str">
        <f aca="false">01_Data!C1075</f>
        <v>2025-09</v>
      </c>
      <c r="C1075" s="5" t="str">
        <f aca="false">01_Data!D1075</f>
        <v>FY25</v>
      </c>
      <c r="D1075" s="7" t="n">
        <f aca="false">01_Data!E1075</f>
        <v>78237</v>
      </c>
      <c r="E1075" s="7" t="n">
        <f aca="false">01_Data!F1075</f>
        <v>82066</v>
      </c>
      <c r="F1075" s="7" t="n">
        <f aca="false">E1075-D1075</f>
        <v>3829</v>
      </c>
      <c r="G1075" s="8" t="n">
        <f aca="false">IFERROR(F1075/D1075,0)</f>
        <v>0.0489410381277401</v>
      </c>
      <c r="H1075" s="7" t="n">
        <f aca="false">01_Data!G1075</f>
        <v>42271</v>
      </c>
      <c r="I1075" s="7" t="n">
        <f aca="false">01_Data!H1075</f>
        <v>44816</v>
      </c>
      <c r="J1075" s="7" t="n">
        <f aca="false">H1075-I1075</f>
        <v>-2545</v>
      </c>
      <c r="K1075" s="8" t="n">
        <f aca="false">IFERROR(J1075/H1075,0)</f>
        <v>-0.0602067611364765</v>
      </c>
      <c r="L1075" s="7" t="n">
        <f aca="false">D1075-H1075</f>
        <v>35966</v>
      </c>
      <c r="M1075" s="7" t="n">
        <f aca="false">E1075-I1075</f>
        <v>37250</v>
      </c>
      <c r="N1075" s="7" t="n">
        <f aca="false">IFERROR(L1075/D1075,0)</f>
        <v>0.459705765814129</v>
      </c>
      <c r="O1075" s="7" t="n">
        <f aca="false">IFERROR(M1075/E1075,0)</f>
        <v>0.453902956157239</v>
      </c>
      <c r="P1075" s="7" t="n">
        <f aca="false">01_Data!I1075+01_Data!K1075+01_Data!M1075+01_Data!O1075+01_Data!Q1075+01_Data!S1075+01_Data!U1075</f>
        <v>21650</v>
      </c>
      <c r="Q1075" s="7" t="n">
        <f aca="false">01_Data!J1075+01_Data!L1075+01_Data!N1075+01_Data!P1075+01_Data!R1075+01_Data!T1075+01_Data!V1075</f>
        <v>22372</v>
      </c>
      <c r="R1075" s="7" t="n">
        <f aca="false">P1075-Q1075</f>
        <v>-722</v>
      </c>
      <c r="S1075" s="7" t="n">
        <f aca="false">L1075-P1075</f>
        <v>14316</v>
      </c>
      <c r="T1075" s="7" t="n">
        <f aca="false">M1075-Q1075</f>
        <v>14878</v>
      </c>
      <c r="U1075" s="7" t="n">
        <f aca="false">T1075-S1075</f>
        <v>562</v>
      </c>
      <c r="V1075" s="8" t="n">
        <f aca="false">IFERROR(U1075/S1075,0)</f>
        <v>0.0392567756356524</v>
      </c>
      <c r="W1075" s="5" t="str">
        <f aca="false">IF(V1075&lt;-0.1,"ADVERSE &gt;10%","")</f>
        <v/>
      </c>
    </row>
    <row r="1076" customFormat="false" ht="15" hidden="false" customHeight="false" outlineLevel="0" collapsed="false">
      <c r="A1076" s="5" t="str">
        <f aca="false">01_Data!A1076</f>
        <v>Public Sector</v>
      </c>
      <c r="B1076" s="5" t="str">
        <f aca="false">01_Data!C1076</f>
        <v>2025-10</v>
      </c>
      <c r="C1076" s="5" t="str">
        <f aca="false">01_Data!D1076</f>
        <v>FY25</v>
      </c>
      <c r="D1076" s="7" t="n">
        <f aca="false">01_Data!E1076</f>
        <v>80179</v>
      </c>
      <c r="E1076" s="7" t="n">
        <f aca="false">01_Data!F1076</f>
        <v>76212</v>
      </c>
      <c r="F1076" s="7" t="n">
        <f aca="false">E1076-D1076</f>
        <v>-3967</v>
      </c>
      <c r="G1076" s="8" t="n">
        <f aca="false">IFERROR(F1076/D1076,0)</f>
        <v>-0.0494767956696891</v>
      </c>
      <c r="H1076" s="7" t="n">
        <f aca="false">01_Data!G1076</f>
        <v>46867</v>
      </c>
      <c r="I1076" s="7" t="n">
        <f aca="false">01_Data!H1076</f>
        <v>45242</v>
      </c>
      <c r="J1076" s="7" t="n">
        <f aca="false">H1076-I1076</f>
        <v>1625</v>
      </c>
      <c r="K1076" s="8" t="n">
        <f aca="false">IFERROR(J1076/H1076,0)</f>
        <v>0.0346725841210233</v>
      </c>
      <c r="L1076" s="7" t="n">
        <f aca="false">D1076-H1076</f>
        <v>33312</v>
      </c>
      <c r="M1076" s="7" t="n">
        <f aca="false">E1076-I1076</f>
        <v>30970</v>
      </c>
      <c r="N1076" s="7" t="n">
        <f aca="false">IFERROR(L1076/D1076,0)</f>
        <v>0.415470385013532</v>
      </c>
      <c r="O1076" s="7" t="n">
        <f aca="false">IFERROR(M1076/E1076,0)</f>
        <v>0.406366451477458</v>
      </c>
      <c r="P1076" s="7" t="n">
        <f aca="false">01_Data!I1076+01_Data!K1076+01_Data!M1076+01_Data!O1076+01_Data!Q1076+01_Data!S1076+01_Data!U1076</f>
        <v>22241</v>
      </c>
      <c r="Q1076" s="7" t="n">
        <f aca="false">01_Data!J1076+01_Data!L1076+01_Data!N1076+01_Data!P1076+01_Data!R1076+01_Data!T1076+01_Data!V1076</f>
        <v>23606</v>
      </c>
      <c r="R1076" s="7" t="n">
        <f aca="false">P1076-Q1076</f>
        <v>-1365</v>
      </c>
      <c r="S1076" s="7" t="n">
        <f aca="false">L1076-P1076</f>
        <v>11071</v>
      </c>
      <c r="T1076" s="7" t="n">
        <f aca="false">M1076-Q1076</f>
        <v>7364</v>
      </c>
      <c r="U1076" s="7" t="n">
        <f aca="false">T1076-S1076</f>
        <v>-3707</v>
      </c>
      <c r="V1076" s="8" t="n">
        <f aca="false">IFERROR(U1076/S1076,0)</f>
        <v>-0.334838767952308</v>
      </c>
      <c r="W1076" s="5" t="str">
        <f aca="false">IF(V1076&lt;-0.1,"ADVERSE &gt;10%","")</f>
        <v>ADVERSE &gt;10%</v>
      </c>
    </row>
    <row r="1077" customFormat="false" ht="15" hidden="false" customHeight="false" outlineLevel="0" collapsed="false">
      <c r="A1077" s="5" t="str">
        <f aca="false">01_Data!A1077</f>
        <v>Public Sector</v>
      </c>
      <c r="B1077" s="5" t="str">
        <f aca="false">01_Data!C1077</f>
        <v>2025-11</v>
      </c>
      <c r="C1077" s="5" t="str">
        <f aca="false">01_Data!D1077</f>
        <v>FY25</v>
      </c>
      <c r="D1077" s="7" t="n">
        <f aca="false">01_Data!E1077</f>
        <v>74795</v>
      </c>
      <c r="E1077" s="7" t="n">
        <f aca="false">01_Data!F1077</f>
        <v>77032</v>
      </c>
      <c r="F1077" s="7" t="n">
        <f aca="false">E1077-D1077</f>
        <v>2237</v>
      </c>
      <c r="G1077" s="8" t="n">
        <f aca="false">IFERROR(F1077/D1077,0)</f>
        <v>0.0299084163379905</v>
      </c>
      <c r="H1077" s="7" t="n">
        <f aca="false">01_Data!G1077</f>
        <v>41489</v>
      </c>
      <c r="I1077" s="7" t="n">
        <f aca="false">01_Data!H1077</f>
        <v>41384</v>
      </c>
      <c r="J1077" s="7" t="n">
        <f aca="false">H1077-I1077</f>
        <v>105</v>
      </c>
      <c r="K1077" s="8" t="n">
        <f aca="false">IFERROR(J1077/H1077,0)</f>
        <v>0.00253079129407795</v>
      </c>
      <c r="L1077" s="7" t="n">
        <f aca="false">D1077-H1077</f>
        <v>33306</v>
      </c>
      <c r="M1077" s="7" t="n">
        <f aca="false">E1077-I1077</f>
        <v>35648</v>
      </c>
      <c r="N1077" s="7" t="n">
        <f aca="false">IFERROR(L1077/D1077,0)</f>
        <v>0.445297145531118</v>
      </c>
      <c r="O1077" s="7" t="n">
        <f aca="false">IFERROR(M1077/E1077,0)</f>
        <v>0.462768719493198</v>
      </c>
      <c r="P1077" s="7" t="n">
        <f aca="false">01_Data!I1077+01_Data!K1077+01_Data!M1077+01_Data!O1077+01_Data!Q1077+01_Data!S1077+01_Data!U1077</f>
        <v>21557</v>
      </c>
      <c r="Q1077" s="7" t="n">
        <f aca="false">01_Data!J1077+01_Data!L1077+01_Data!N1077+01_Data!P1077+01_Data!R1077+01_Data!T1077+01_Data!V1077</f>
        <v>22127</v>
      </c>
      <c r="R1077" s="7" t="n">
        <f aca="false">P1077-Q1077</f>
        <v>-570</v>
      </c>
      <c r="S1077" s="7" t="n">
        <f aca="false">L1077-P1077</f>
        <v>11749</v>
      </c>
      <c r="T1077" s="7" t="n">
        <f aca="false">M1077-Q1077</f>
        <v>13521</v>
      </c>
      <c r="U1077" s="7" t="n">
        <f aca="false">T1077-S1077</f>
        <v>1772</v>
      </c>
      <c r="V1077" s="8" t="n">
        <f aca="false">IFERROR(U1077/S1077,0)</f>
        <v>0.150821346497574</v>
      </c>
      <c r="W1077" s="5" t="str">
        <f aca="false">IF(V1077&lt;-0.1,"ADVERSE &gt;10%","")</f>
        <v/>
      </c>
    </row>
    <row r="1078" customFormat="false" ht="15" hidden="false" customHeight="false" outlineLevel="0" collapsed="false">
      <c r="A1078" s="5" t="str">
        <f aca="false">01_Data!A1078</f>
        <v>Public Sector</v>
      </c>
      <c r="B1078" s="5" t="str">
        <f aca="false">01_Data!C1078</f>
        <v>2025-12</v>
      </c>
      <c r="C1078" s="5" t="str">
        <f aca="false">01_Data!D1078</f>
        <v>FY25</v>
      </c>
      <c r="D1078" s="7" t="n">
        <f aca="false">01_Data!E1078</f>
        <v>85976</v>
      </c>
      <c r="E1078" s="7" t="n">
        <f aca="false">01_Data!F1078</f>
        <v>85409</v>
      </c>
      <c r="F1078" s="7" t="n">
        <f aca="false">E1078-D1078</f>
        <v>-567</v>
      </c>
      <c r="G1078" s="8" t="n">
        <f aca="false">IFERROR(F1078/D1078,0)</f>
        <v>-0.00659486368288825</v>
      </c>
      <c r="H1078" s="7" t="n">
        <f aca="false">01_Data!G1078</f>
        <v>48333</v>
      </c>
      <c r="I1078" s="7" t="n">
        <f aca="false">01_Data!H1078</f>
        <v>47412</v>
      </c>
      <c r="J1078" s="7" t="n">
        <f aca="false">H1078-I1078</f>
        <v>921</v>
      </c>
      <c r="K1078" s="8" t="n">
        <f aca="false">IFERROR(J1078/H1078,0)</f>
        <v>0.0190553038296816</v>
      </c>
      <c r="L1078" s="7" t="n">
        <f aca="false">D1078-H1078</f>
        <v>37643</v>
      </c>
      <c r="M1078" s="7" t="n">
        <f aca="false">E1078-I1078</f>
        <v>37997</v>
      </c>
      <c r="N1078" s="7" t="n">
        <f aca="false">IFERROR(L1078/D1078,0)</f>
        <v>0.437831487857076</v>
      </c>
      <c r="O1078" s="7" t="n">
        <f aca="false">IFERROR(M1078/E1078,0)</f>
        <v>0.444882857778454</v>
      </c>
      <c r="P1078" s="7" t="n">
        <f aca="false">01_Data!I1078+01_Data!K1078+01_Data!M1078+01_Data!O1078+01_Data!Q1078+01_Data!S1078+01_Data!U1078</f>
        <v>23132</v>
      </c>
      <c r="Q1078" s="7" t="n">
        <f aca="false">01_Data!J1078+01_Data!L1078+01_Data!N1078+01_Data!P1078+01_Data!R1078+01_Data!T1078+01_Data!V1078</f>
        <v>23559</v>
      </c>
      <c r="R1078" s="7" t="n">
        <f aca="false">P1078-Q1078</f>
        <v>-427</v>
      </c>
      <c r="S1078" s="7" t="n">
        <f aca="false">L1078-P1078</f>
        <v>14511</v>
      </c>
      <c r="T1078" s="7" t="n">
        <f aca="false">M1078-Q1078</f>
        <v>14438</v>
      </c>
      <c r="U1078" s="7" t="n">
        <f aca="false">T1078-S1078</f>
        <v>-73</v>
      </c>
      <c r="V1078" s="8" t="n">
        <f aca="false">IFERROR(U1078/S1078,0)</f>
        <v>-0.00503066639101371</v>
      </c>
      <c r="W1078" s="5" t="str">
        <f aca="false">IF(V1078&lt;-0.1,"ADVERSE &gt;10%","")</f>
        <v/>
      </c>
    </row>
    <row r="1079" customFormat="false" ht="15" hidden="false" customHeight="false" outlineLevel="0" collapsed="false">
      <c r="A1079" s="5" t="str">
        <f aca="false">01_Data!A1079</f>
        <v>Public Sector</v>
      </c>
      <c r="B1079" s="5" t="str">
        <f aca="false">01_Data!C1079</f>
        <v>2026-01</v>
      </c>
      <c r="C1079" s="5" t="str">
        <f aca="false">01_Data!D1079</f>
        <v>FY25</v>
      </c>
      <c r="D1079" s="7" t="n">
        <f aca="false">01_Data!E1079</f>
        <v>82961</v>
      </c>
      <c r="E1079" s="7" t="n">
        <f aca="false">01_Data!F1079</f>
        <v>78769</v>
      </c>
      <c r="F1079" s="7" t="n">
        <f aca="false">E1079-D1079</f>
        <v>-4192</v>
      </c>
      <c r="G1079" s="8" t="n">
        <f aca="false">IFERROR(F1079/D1079,0)</f>
        <v>-0.0505297669989513</v>
      </c>
      <c r="H1079" s="7" t="n">
        <f aca="false">01_Data!G1079</f>
        <v>47821</v>
      </c>
      <c r="I1079" s="7" t="n">
        <f aca="false">01_Data!H1079</f>
        <v>44816</v>
      </c>
      <c r="J1079" s="7" t="n">
        <f aca="false">H1079-I1079</f>
        <v>3005</v>
      </c>
      <c r="K1079" s="8" t="n">
        <f aca="false">IFERROR(J1079/H1079,0)</f>
        <v>0.0628385019133853</v>
      </c>
      <c r="L1079" s="7" t="n">
        <f aca="false">D1079-H1079</f>
        <v>35140</v>
      </c>
      <c r="M1079" s="7" t="n">
        <f aca="false">E1079-I1079</f>
        <v>33953</v>
      </c>
      <c r="N1079" s="7" t="n">
        <f aca="false">IFERROR(L1079/D1079,0)</f>
        <v>0.423572522028423</v>
      </c>
      <c r="O1079" s="7" t="n">
        <f aca="false">IFERROR(M1079/E1079,0)</f>
        <v>0.431045208140258</v>
      </c>
      <c r="P1079" s="7" t="n">
        <f aca="false">01_Data!I1079+01_Data!K1079+01_Data!M1079+01_Data!O1079+01_Data!Q1079+01_Data!S1079+01_Data!U1079</f>
        <v>22675</v>
      </c>
      <c r="Q1079" s="7" t="n">
        <f aca="false">01_Data!J1079+01_Data!L1079+01_Data!N1079+01_Data!P1079+01_Data!R1079+01_Data!T1079+01_Data!V1079</f>
        <v>23209</v>
      </c>
      <c r="R1079" s="7" t="n">
        <f aca="false">P1079-Q1079</f>
        <v>-534</v>
      </c>
      <c r="S1079" s="7" t="n">
        <f aca="false">L1079-P1079</f>
        <v>12465</v>
      </c>
      <c r="T1079" s="7" t="n">
        <f aca="false">M1079-Q1079</f>
        <v>10744</v>
      </c>
      <c r="U1079" s="7" t="n">
        <f aca="false">T1079-S1079</f>
        <v>-1721</v>
      </c>
      <c r="V1079" s="8" t="n">
        <f aca="false">IFERROR(U1079/S1079,0)</f>
        <v>-0.138066586442038</v>
      </c>
      <c r="W1079" s="5" t="str">
        <f aca="false">IF(V1079&lt;-0.1,"ADVERSE &gt;10%","")</f>
        <v>ADVERSE &gt;10%</v>
      </c>
    </row>
    <row r="1080" customFormat="false" ht="15" hidden="false" customHeight="false" outlineLevel="0" collapsed="false">
      <c r="A1080" s="5" t="str">
        <f aca="false">01_Data!A1080</f>
        <v>Public Sector</v>
      </c>
      <c r="B1080" s="5" t="str">
        <f aca="false">01_Data!C1080</f>
        <v>2026-02</v>
      </c>
      <c r="C1080" s="5" t="str">
        <f aca="false">01_Data!D1080</f>
        <v>FY25</v>
      </c>
      <c r="D1080" s="7" t="n">
        <f aca="false">01_Data!E1080</f>
        <v>83725</v>
      </c>
      <c r="E1080" s="7" t="n">
        <f aca="false">01_Data!F1080</f>
        <v>79702</v>
      </c>
      <c r="F1080" s="7" t="n">
        <f aca="false">E1080-D1080</f>
        <v>-4023</v>
      </c>
      <c r="G1080" s="8" t="n">
        <f aca="false">IFERROR(F1080/D1080,0)</f>
        <v>-0.0480501642281278</v>
      </c>
      <c r="H1080" s="7" t="n">
        <f aca="false">01_Data!G1080</f>
        <v>48490</v>
      </c>
      <c r="I1080" s="7" t="n">
        <f aca="false">01_Data!H1080</f>
        <v>46612</v>
      </c>
      <c r="J1080" s="7" t="n">
        <f aca="false">H1080-I1080</f>
        <v>1878</v>
      </c>
      <c r="K1080" s="8" t="n">
        <f aca="false">IFERROR(J1080/H1080,0)</f>
        <v>0.0387296349762838</v>
      </c>
      <c r="L1080" s="7" t="n">
        <f aca="false">D1080-H1080</f>
        <v>35235</v>
      </c>
      <c r="M1080" s="7" t="n">
        <f aca="false">E1080-I1080</f>
        <v>33090</v>
      </c>
      <c r="N1080" s="7" t="n">
        <f aca="false">IFERROR(L1080/D1080,0)</f>
        <v>0.420842042400717</v>
      </c>
      <c r="O1080" s="7" t="n">
        <f aca="false">IFERROR(M1080/E1080,0)</f>
        <v>0.415171513889237</v>
      </c>
      <c r="P1080" s="7" t="n">
        <f aca="false">01_Data!I1080+01_Data!K1080+01_Data!M1080+01_Data!O1080+01_Data!Q1080+01_Data!S1080+01_Data!U1080</f>
        <v>22836</v>
      </c>
      <c r="Q1080" s="7" t="n">
        <f aca="false">01_Data!J1080+01_Data!L1080+01_Data!N1080+01_Data!P1080+01_Data!R1080+01_Data!T1080+01_Data!V1080</f>
        <v>23058</v>
      </c>
      <c r="R1080" s="7" t="n">
        <f aca="false">P1080-Q1080</f>
        <v>-222</v>
      </c>
      <c r="S1080" s="7" t="n">
        <f aca="false">L1080-P1080</f>
        <v>12399</v>
      </c>
      <c r="T1080" s="7" t="n">
        <f aca="false">M1080-Q1080</f>
        <v>10032</v>
      </c>
      <c r="U1080" s="7" t="n">
        <f aca="false">T1080-S1080</f>
        <v>-2367</v>
      </c>
      <c r="V1080" s="8" t="n">
        <f aca="false">IFERROR(U1080/S1080,0)</f>
        <v>-0.190902492136463</v>
      </c>
      <c r="W1080" s="5" t="str">
        <f aca="false">IF(V1080&lt;-0.1,"ADVERSE &gt;10%","")</f>
        <v>ADVERSE &gt;10%</v>
      </c>
    </row>
    <row r="1081" customFormat="false" ht="15" hidden="false" customHeight="false" outlineLevel="0" collapsed="false">
      <c r="A1081" s="5" t="str">
        <f aca="false">01_Data!A1081</f>
        <v>Public Sector</v>
      </c>
      <c r="B1081" s="5" t="str">
        <f aca="false">01_Data!C1081</f>
        <v>2026-03</v>
      </c>
      <c r="C1081" s="5" t="str">
        <f aca="false">01_Data!D1081</f>
        <v>FY25</v>
      </c>
      <c r="D1081" s="7" t="n">
        <f aca="false">01_Data!E1081</f>
        <v>85026</v>
      </c>
      <c r="E1081" s="7" t="n">
        <f aca="false">01_Data!F1081</f>
        <v>88282</v>
      </c>
      <c r="F1081" s="7" t="n">
        <f aca="false">E1081-D1081</f>
        <v>3256</v>
      </c>
      <c r="G1081" s="8" t="n">
        <f aca="false">IFERROR(F1081/D1081,0)</f>
        <v>0.0382941688424717</v>
      </c>
      <c r="H1081" s="7" t="n">
        <f aca="false">01_Data!G1081</f>
        <v>47504</v>
      </c>
      <c r="I1081" s="7" t="n">
        <f aca="false">01_Data!H1081</f>
        <v>51755</v>
      </c>
      <c r="J1081" s="7" t="n">
        <f aca="false">H1081-I1081</f>
        <v>-4251</v>
      </c>
      <c r="K1081" s="8" t="n">
        <f aca="false">IFERROR(J1081/H1081,0)</f>
        <v>-0.089487201077804</v>
      </c>
      <c r="L1081" s="7" t="n">
        <f aca="false">D1081-H1081</f>
        <v>37522</v>
      </c>
      <c r="M1081" s="7" t="n">
        <f aca="false">E1081-I1081</f>
        <v>36527</v>
      </c>
      <c r="N1081" s="7" t="n">
        <f aca="false">IFERROR(L1081/D1081,0)</f>
        <v>0.441300308141039</v>
      </c>
      <c r="O1081" s="7" t="n">
        <f aca="false">IFERROR(M1081/E1081,0)</f>
        <v>0.41375365306631</v>
      </c>
      <c r="P1081" s="7" t="n">
        <f aca="false">01_Data!I1081+01_Data!K1081+01_Data!M1081+01_Data!O1081+01_Data!Q1081+01_Data!S1081+01_Data!U1081</f>
        <v>21840</v>
      </c>
      <c r="Q1081" s="7" t="n">
        <f aca="false">01_Data!J1081+01_Data!L1081+01_Data!N1081+01_Data!P1081+01_Data!R1081+01_Data!T1081+01_Data!V1081</f>
        <v>22970</v>
      </c>
      <c r="R1081" s="7" t="n">
        <f aca="false">P1081-Q1081</f>
        <v>-1130</v>
      </c>
      <c r="S1081" s="7" t="n">
        <f aca="false">L1081-P1081</f>
        <v>15682</v>
      </c>
      <c r="T1081" s="7" t="n">
        <f aca="false">M1081-Q1081</f>
        <v>13557</v>
      </c>
      <c r="U1081" s="7" t="n">
        <f aca="false">T1081-S1081</f>
        <v>-2125</v>
      </c>
      <c r="V1081" s="8" t="n">
        <f aca="false">IFERROR(U1081/S1081,0)</f>
        <v>-0.135505675296518</v>
      </c>
      <c r="W1081" s="5" t="str">
        <f aca="false">IF(V1081&lt;-0.1,"ADVERSE &gt;10%","")</f>
        <v>ADVERSE &gt;10%</v>
      </c>
    </row>
  </sheetData>
  <conditionalFormatting sqref="W2:W1081">
    <cfRule type="cellIs" priority="2" operator="equal" aboveAverage="0" equalAverage="0" bottom="0" percent="0" rank="0" text="" dxfId="0">
      <formula>"ADVERSE &gt;10%"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0" min="2" style="0" width="16"/>
  </cols>
  <sheetData>
    <row r="2" customFormat="false" ht="17.35" hidden="false" customHeight="false" outlineLevel="0" collapsed="false">
      <c r="B2" s="1" t="s">
        <v>98</v>
      </c>
    </row>
    <row r="4" customFormat="false" ht="23.85" hidden="false" customHeight="false" outlineLevel="0" collapsed="false">
      <c r="B4" s="4" t="s">
        <v>99</v>
      </c>
      <c r="C4" s="4" t="s">
        <v>100</v>
      </c>
      <c r="D4" s="4" t="s">
        <v>101</v>
      </c>
      <c r="E4" s="4" t="s">
        <v>102</v>
      </c>
      <c r="F4" s="4" t="s">
        <v>103</v>
      </c>
      <c r="G4" s="4" t="s">
        <v>104</v>
      </c>
      <c r="H4" s="4" t="s">
        <v>105</v>
      </c>
    </row>
    <row r="5" customFormat="false" ht="15" hidden="false" customHeight="false" outlineLevel="0" collapsed="false">
      <c r="B5" s="5" t="s">
        <v>32</v>
      </c>
      <c r="C5" s="9" t="n">
        <f aca="false">SUMIFS(02_Variance!E2:E1081,02_Variance!A2:A1081,B5)</f>
        <v>61972121</v>
      </c>
      <c r="D5" s="10" t="n">
        <f aca="false">SUMIFS(02_Variance!E2:E1081,02_Variance!A2:A1081,B5)/SUMIFS(02_Variance!D2:D1081,02_Variance!A2:A1081,B5)-1</f>
        <v>0.00206942811508792</v>
      </c>
      <c r="E5" s="10" t="n">
        <f aca="false">SUMIFS(02_Variance!M2:M1081,02_Variance!A2:A1081,B5)/C5</f>
        <v>0.425202471285435</v>
      </c>
      <c r="F5" s="10" t="n">
        <f aca="false">SUMIFS(02_Variance!T2:T1081,02_Variance!A2:A1081,B5)/C5</f>
        <v>0.151984938517757</v>
      </c>
      <c r="G5" s="9" t="n">
        <f aca="false">SUMIFS(02_Variance!R2:R1081,02_Variance!A2:A1081,B5)</f>
        <v>-350280</v>
      </c>
      <c r="H5" s="11" t="n">
        <f aca="false">COUNTIFS(02_Variance!A2:A1081,B5,02_Variance!W2:W1081,"ADVERSE &gt;10%")</f>
        <v>86</v>
      </c>
    </row>
    <row r="6" customFormat="false" ht="15" hidden="false" customHeight="false" outlineLevel="0" collapsed="false">
      <c r="B6" s="5" t="s">
        <v>78</v>
      </c>
      <c r="C6" s="9" t="n">
        <f aca="false">SUMIFS(02_Variance!E2:E1081,02_Variance!A2:A1081,B6)</f>
        <v>39727486</v>
      </c>
      <c r="D6" s="10" t="n">
        <f aca="false">SUMIFS(02_Variance!E2:E1081,02_Variance!A2:A1081,B6)/SUMIFS(02_Variance!D2:D1081,02_Variance!A2:A1081,B6)-1</f>
        <v>0.00265456533499076</v>
      </c>
      <c r="E6" s="10" t="n">
        <f aca="false">SUMIFS(02_Variance!M2:M1081,02_Variance!A2:A1081,B6)/C6</f>
        <v>0.424448277447005</v>
      </c>
      <c r="F6" s="10" t="n">
        <f aca="false">SUMIFS(02_Variance!T2:T1081,02_Variance!A2:A1081,B6)/C6</f>
        <v>0.152932027966733</v>
      </c>
      <c r="G6" s="9" t="n">
        <f aca="false">SUMIFS(02_Variance!R2:R1081,02_Variance!A2:A1081,B6)</f>
        <v>-222469</v>
      </c>
      <c r="H6" s="11" t="n">
        <f aca="false">COUNTIFS(02_Variance!A2:A1081,B6,02_Variance!W2:W1081,"ADVERSE &gt;10%")</f>
        <v>83</v>
      </c>
    </row>
    <row r="7" customFormat="false" ht="15" hidden="false" customHeight="false" outlineLevel="0" collapsed="false">
      <c r="B7" s="5" t="s">
        <v>81</v>
      </c>
      <c r="C7" s="9" t="n">
        <f aca="false">SUMIFS(02_Variance!E2:E1081,02_Variance!A2:A1081,B7)</f>
        <v>33226409</v>
      </c>
      <c r="D7" s="10" t="n">
        <f aca="false">SUMIFS(02_Variance!E2:E1081,02_Variance!A2:A1081,B7)/SUMIFS(02_Variance!D2:D1081,02_Variance!A2:A1081,B7)-1</f>
        <v>-0.000815372253941349</v>
      </c>
      <c r="E7" s="10" t="n">
        <f aca="false">SUMIFS(02_Variance!M2:M1081,02_Variance!A2:A1081,B7)/C7</f>
        <v>0.423724694414013</v>
      </c>
      <c r="F7" s="10" t="n">
        <f aca="false">SUMIFS(02_Variance!T2:T1081,02_Variance!A2:A1081,B7)/C7</f>
        <v>0.152442775263496</v>
      </c>
      <c r="G7" s="9" t="n">
        <f aca="false">SUMIFS(02_Variance!R2:R1081,02_Variance!A2:A1081,B7)</f>
        <v>-173438</v>
      </c>
      <c r="H7" s="11" t="n">
        <f aca="false">COUNTIFS(02_Variance!A2:A1081,B7,02_Variance!W2:W1081,"ADVERSE &gt;10%")</f>
        <v>91</v>
      </c>
    </row>
    <row r="8" customFormat="false" ht="15" hidden="false" customHeight="false" outlineLevel="0" collapsed="false">
      <c r="B8" s="5" t="s">
        <v>79</v>
      </c>
      <c r="C8" s="9" t="n">
        <f aca="false">SUMIFS(02_Variance!E2:E1081,02_Variance!A2:A1081,B8)</f>
        <v>48374303</v>
      </c>
      <c r="D8" s="10" t="n">
        <f aca="false">SUMIFS(02_Variance!E2:E1081,02_Variance!A2:A1081,B8)/SUMIFS(02_Variance!D2:D1081,02_Variance!A2:A1081,B8)-1</f>
        <v>0.000208811458987324</v>
      </c>
      <c r="E8" s="10" t="n">
        <f aca="false">SUMIFS(02_Variance!M2:M1081,02_Variance!A2:A1081,B8)/C8</f>
        <v>0.423309830427944</v>
      </c>
      <c r="F8" s="10" t="n">
        <f aca="false">SUMIFS(02_Variance!T2:T1081,02_Variance!A2:A1081,B8)/C8</f>
        <v>0.149917405528303</v>
      </c>
      <c r="G8" s="9" t="n">
        <f aca="false">SUMIFS(02_Variance!R2:R1081,02_Variance!A2:A1081,B8)</f>
        <v>-246871</v>
      </c>
      <c r="H8" s="11" t="n">
        <f aca="false">COUNTIFS(02_Variance!A2:A1081,B8,02_Variance!W2:W1081,"ADVERSE &gt;10%")</f>
        <v>86</v>
      </c>
    </row>
    <row r="9" customFormat="false" ht="15" hidden="false" customHeight="false" outlineLevel="0" collapsed="false">
      <c r="B9" s="5" t="s">
        <v>80</v>
      </c>
      <c r="C9" s="9" t="n">
        <f aca="false">SUMIFS(02_Variance!E2:E1081,02_Variance!A2:A1081,B9)</f>
        <v>72395110</v>
      </c>
      <c r="D9" s="10" t="n">
        <f aca="false">SUMIFS(02_Variance!E2:E1081,02_Variance!A2:A1081,B9)/SUMIFS(02_Variance!D2:D1081,02_Variance!A2:A1081,B9)-1</f>
        <v>-0.00376950094673056</v>
      </c>
      <c r="E9" s="10" t="n">
        <f aca="false">SUMIFS(02_Variance!M2:M1081,02_Variance!A2:A1081,B9)/C9</f>
        <v>0.424481170067978</v>
      </c>
      <c r="F9" s="10" t="n">
        <f aca="false">SUMIFS(02_Variance!T2:T1081,02_Variance!A2:A1081,B9)/C9</f>
        <v>0.149142062219396</v>
      </c>
      <c r="G9" s="9" t="n">
        <f aca="false">SUMIFS(02_Variance!R2:R1081,02_Variance!A2:A1081,B9)</f>
        <v>-435939</v>
      </c>
      <c r="H9" s="11" t="n">
        <f aca="false">COUNTIFS(02_Variance!A2:A1081,B9,02_Variance!W2:W1081,"ADVERSE &gt;10%")</f>
        <v>98</v>
      </c>
    </row>
    <row r="10" customFormat="false" ht="15" hidden="false" customHeight="false" outlineLevel="0" collapsed="false">
      <c r="B10" s="12" t="s">
        <v>106</v>
      </c>
      <c r="C10" s="13" t="n">
        <f aca="false">SUM(C5:C9)</f>
        <v>255695429</v>
      </c>
    </row>
    <row r="34" customFormat="false" ht="15" hidden="false" customHeight="false" outlineLevel="0" collapsed="false">
      <c r="B34" s="12" t="s">
        <v>107</v>
      </c>
    </row>
    <row r="35" customFormat="false" ht="15" hidden="false" customHeight="false" outlineLevel="0" collapsed="false">
      <c r="B35" s="14" t="s">
        <v>12</v>
      </c>
      <c r="C35" s="14" t="s">
        <v>108</v>
      </c>
      <c r="D35" s="14" t="s">
        <v>109</v>
      </c>
      <c r="E35" s="14" t="s">
        <v>110</v>
      </c>
    </row>
    <row r="36" customFormat="false" ht="15" hidden="false" customHeight="false" outlineLevel="0" collapsed="false">
      <c r="B36" s="5" t="s">
        <v>34</v>
      </c>
      <c r="C36" s="9" t="n">
        <f aca="false">SUMIFS(02_Variance!D2:D1081,02_Variance!B2:B1081,B36)</f>
        <v>5975688</v>
      </c>
      <c r="D36" s="9" t="n">
        <f aca="false">SUMIFS(02_Variance!E2:E1081,02_Variance!B2:B1081,B36)</f>
        <v>5957196</v>
      </c>
      <c r="E36" s="9" t="n">
        <f aca="false">SUMIFS(02_Variance!T2:T1081,02_Variance!B2:B1081,B36)</f>
        <v>856306</v>
      </c>
    </row>
    <row r="37" customFormat="false" ht="15" hidden="false" customHeight="false" outlineLevel="0" collapsed="false">
      <c r="B37" s="5" t="s">
        <v>36</v>
      </c>
      <c r="C37" s="9" t="n">
        <f aca="false">SUMIFS(02_Variance!D2:D1081,02_Variance!B2:B1081,B37)</f>
        <v>6031069</v>
      </c>
      <c r="D37" s="9" t="n">
        <f aca="false">SUMIFS(02_Variance!E2:E1081,02_Variance!B2:B1081,B37)</f>
        <v>6017703</v>
      </c>
      <c r="E37" s="9" t="n">
        <f aca="false">SUMIFS(02_Variance!T2:T1081,02_Variance!B2:B1081,B37)</f>
        <v>919656</v>
      </c>
    </row>
    <row r="38" customFormat="false" ht="15" hidden="false" customHeight="false" outlineLevel="0" collapsed="false">
      <c r="B38" s="5" t="s">
        <v>37</v>
      </c>
      <c r="C38" s="9" t="n">
        <f aca="false">SUMIFS(02_Variance!D2:D1081,02_Variance!B2:B1081,B38)</f>
        <v>6090416</v>
      </c>
      <c r="D38" s="9" t="n">
        <f aca="false">SUMIFS(02_Variance!E2:E1081,02_Variance!B2:B1081,B38)</f>
        <v>6067111</v>
      </c>
      <c r="E38" s="9" t="n">
        <f aca="false">SUMIFS(02_Variance!T2:T1081,02_Variance!B2:B1081,B38)</f>
        <v>931820</v>
      </c>
    </row>
    <row r="39" customFormat="false" ht="15" hidden="false" customHeight="false" outlineLevel="0" collapsed="false">
      <c r="B39" s="5" t="s">
        <v>38</v>
      </c>
      <c r="C39" s="9" t="n">
        <f aca="false">SUMIFS(02_Variance!D2:D1081,02_Variance!B2:B1081,B39)</f>
        <v>6151282</v>
      </c>
      <c r="D39" s="9" t="n">
        <f aca="false">SUMIFS(02_Variance!E2:E1081,02_Variance!B2:B1081,B39)</f>
        <v>6126440</v>
      </c>
      <c r="E39" s="9" t="n">
        <f aca="false">SUMIFS(02_Variance!T2:T1081,02_Variance!B2:B1081,B39)</f>
        <v>985450</v>
      </c>
    </row>
    <row r="40" customFormat="false" ht="15" hidden="false" customHeight="false" outlineLevel="0" collapsed="false">
      <c r="B40" s="5" t="s">
        <v>39</v>
      </c>
      <c r="C40" s="9" t="n">
        <f aca="false">SUMIFS(02_Variance!D2:D1081,02_Variance!B2:B1081,B40)</f>
        <v>6159258</v>
      </c>
      <c r="D40" s="9" t="n">
        <f aca="false">SUMIFS(02_Variance!E2:E1081,02_Variance!B2:B1081,B40)</f>
        <v>6172185</v>
      </c>
      <c r="E40" s="9" t="n">
        <f aca="false">SUMIFS(02_Variance!T2:T1081,02_Variance!B2:B1081,B40)</f>
        <v>942827</v>
      </c>
    </row>
    <row r="41" customFormat="false" ht="15" hidden="false" customHeight="false" outlineLevel="0" collapsed="false">
      <c r="B41" s="5" t="s">
        <v>40</v>
      </c>
      <c r="C41" s="9" t="n">
        <f aca="false">SUMIFS(02_Variance!D2:D1081,02_Variance!B2:B1081,B41)</f>
        <v>6695158</v>
      </c>
      <c r="D41" s="9" t="n">
        <f aca="false">SUMIFS(02_Variance!E2:E1081,02_Variance!B2:B1081,B41)</f>
        <v>6653119</v>
      </c>
      <c r="E41" s="9" t="n">
        <f aca="false">SUMIFS(02_Variance!T2:T1081,02_Variance!B2:B1081,B41)</f>
        <v>970535</v>
      </c>
    </row>
    <row r="42" customFormat="false" ht="15" hidden="false" customHeight="false" outlineLevel="0" collapsed="false">
      <c r="B42" s="5" t="s">
        <v>41</v>
      </c>
      <c r="C42" s="9" t="n">
        <f aca="false">SUMIFS(02_Variance!D2:D1081,02_Variance!B2:B1081,B42)</f>
        <v>6282663</v>
      </c>
      <c r="D42" s="9" t="n">
        <f aca="false">SUMIFS(02_Variance!E2:E1081,02_Variance!B2:B1081,B42)</f>
        <v>6275355</v>
      </c>
      <c r="E42" s="9" t="n">
        <f aca="false">SUMIFS(02_Variance!T2:T1081,02_Variance!B2:B1081,B42)</f>
        <v>959033</v>
      </c>
    </row>
    <row r="43" customFormat="false" ht="15" hidden="false" customHeight="false" outlineLevel="0" collapsed="false">
      <c r="B43" s="5" t="s">
        <v>42</v>
      </c>
      <c r="C43" s="9" t="n">
        <f aca="false">SUMIFS(02_Variance!D2:D1081,02_Variance!B2:B1081,B43)</f>
        <v>6373338</v>
      </c>
      <c r="D43" s="9" t="n">
        <f aca="false">SUMIFS(02_Variance!E2:E1081,02_Variance!B2:B1081,B43)</f>
        <v>6325325</v>
      </c>
      <c r="E43" s="9" t="n">
        <f aca="false">SUMIFS(02_Variance!T2:T1081,02_Variance!B2:B1081,B43)</f>
        <v>878125</v>
      </c>
    </row>
    <row r="44" customFormat="false" ht="15" hidden="false" customHeight="false" outlineLevel="0" collapsed="false">
      <c r="B44" s="5" t="s">
        <v>43</v>
      </c>
      <c r="C44" s="9" t="n">
        <f aca="false">SUMIFS(02_Variance!D2:D1081,02_Variance!B2:B1081,B44)</f>
        <v>6798952</v>
      </c>
      <c r="D44" s="9" t="n">
        <f aca="false">SUMIFS(02_Variance!E2:E1081,02_Variance!B2:B1081,B44)</f>
        <v>6816058</v>
      </c>
      <c r="E44" s="9" t="n">
        <f aca="false">SUMIFS(02_Variance!T2:T1081,02_Variance!B2:B1081,B44)</f>
        <v>1100984</v>
      </c>
    </row>
    <row r="45" customFormat="false" ht="15" hidden="false" customHeight="false" outlineLevel="0" collapsed="false">
      <c r="B45" s="5" t="s">
        <v>44</v>
      </c>
      <c r="C45" s="9" t="n">
        <f aca="false">SUMIFS(02_Variance!D2:D1081,02_Variance!B2:B1081,B45)</f>
        <v>6375053</v>
      </c>
      <c r="D45" s="9" t="n">
        <f aca="false">SUMIFS(02_Variance!E2:E1081,02_Variance!B2:B1081,B45)</f>
        <v>6444112</v>
      </c>
      <c r="E45" s="9" t="n">
        <f aca="false">SUMIFS(02_Variance!T2:T1081,02_Variance!B2:B1081,B45)</f>
        <v>950270</v>
      </c>
    </row>
    <row r="46" customFormat="false" ht="15" hidden="false" customHeight="false" outlineLevel="0" collapsed="false">
      <c r="B46" s="5" t="s">
        <v>45</v>
      </c>
      <c r="C46" s="9" t="n">
        <f aca="false">SUMIFS(02_Variance!D2:D1081,02_Variance!B2:B1081,B46)</f>
        <v>6455409</v>
      </c>
      <c r="D46" s="9" t="n">
        <f aca="false">SUMIFS(02_Variance!E2:E1081,02_Variance!B2:B1081,B46)</f>
        <v>6507895</v>
      </c>
      <c r="E46" s="9" t="n">
        <f aca="false">SUMIFS(02_Variance!T2:T1081,02_Variance!B2:B1081,B46)</f>
        <v>964390</v>
      </c>
    </row>
    <row r="47" customFormat="false" ht="15" hidden="false" customHeight="false" outlineLevel="0" collapsed="false">
      <c r="B47" s="5" t="s">
        <v>46</v>
      </c>
      <c r="C47" s="9" t="n">
        <f aca="false">SUMIFS(02_Variance!D2:D1081,02_Variance!B2:B1081,B47)</f>
        <v>7096223</v>
      </c>
      <c r="D47" s="9" t="n">
        <f aca="false">SUMIFS(02_Variance!E2:E1081,02_Variance!B2:B1081,B47)</f>
        <v>7021343</v>
      </c>
      <c r="E47" s="9" t="n">
        <f aca="false">SUMIFS(02_Variance!T2:T1081,02_Variance!B2:B1081,B47)</f>
        <v>1040380</v>
      </c>
    </row>
    <row r="48" customFormat="false" ht="15" hidden="false" customHeight="false" outlineLevel="0" collapsed="false">
      <c r="B48" s="5" t="s">
        <v>47</v>
      </c>
      <c r="C48" s="9" t="n">
        <f aca="false">SUMIFS(02_Variance!D2:D1081,02_Variance!B2:B1081,B48)</f>
        <v>6653375</v>
      </c>
      <c r="D48" s="9" t="n">
        <f aca="false">SUMIFS(02_Variance!E2:E1081,02_Variance!B2:B1081,B48)</f>
        <v>6625373</v>
      </c>
      <c r="E48" s="9" t="n">
        <f aca="false">SUMIFS(02_Variance!T2:T1081,02_Variance!B2:B1081,B48)</f>
        <v>983906</v>
      </c>
    </row>
    <row r="49" customFormat="false" ht="15" hidden="false" customHeight="false" outlineLevel="0" collapsed="false">
      <c r="B49" s="5" t="s">
        <v>49</v>
      </c>
      <c r="C49" s="9" t="n">
        <f aca="false">SUMIFS(02_Variance!D2:D1081,02_Variance!B2:B1081,B49)</f>
        <v>6606613</v>
      </c>
      <c r="D49" s="9" t="n">
        <f aca="false">SUMIFS(02_Variance!E2:E1081,02_Variance!B2:B1081,B49)</f>
        <v>6669379</v>
      </c>
      <c r="E49" s="9" t="n">
        <f aca="false">SUMIFS(02_Variance!T2:T1081,02_Variance!B2:B1081,B49)</f>
        <v>1003332</v>
      </c>
    </row>
    <row r="50" customFormat="false" ht="15" hidden="false" customHeight="false" outlineLevel="0" collapsed="false">
      <c r="B50" s="5" t="s">
        <v>50</v>
      </c>
      <c r="C50" s="9" t="n">
        <f aca="false">SUMIFS(02_Variance!D2:D1081,02_Variance!B2:B1081,B50)</f>
        <v>6664453</v>
      </c>
      <c r="D50" s="9" t="n">
        <f aca="false">SUMIFS(02_Variance!E2:E1081,02_Variance!B2:B1081,B50)</f>
        <v>6703038</v>
      </c>
      <c r="E50" s="9" t="n">
        <f aca="false">SUMIFS(02_Variance!T2:T1081,02_Variance!B2:B1081,B50)</f>
        <v>950561</v>
      </c>
    </row>
    <row r="51" customFormat="false" ht="15" hidden="false" customHeight="false" outlineLevel="0" collapsed="false">
      <c r="B51" s="5" t="s">
        <v>51</v>
      </c>
      <c r="C51" s="9" t="n">
        <f aca="false">SUMIFS(02_Variance!D2:D1081,02_Variance!B2:B1081,B51)</f>
        <v>6878311</v>
      </c>
      <c r="D51" s="9" t="n">
        <f aca="false">SUMIFS(02_Variance!E2:E1081,02_Variance!B2:B1081,B51)</f>
        <v>6764969</v>
      </c>
      <c r="E51" s="9" t="n">
        <f aca="false">SUMIFS(02_Variance!T2:T1081,02_Variance!B2:B1081,B51)</f>
        <v>1002671</v>
      </c>
    </row>
    <row r="52" customFormat="false" ht="15" hidden="false" customHeight="false" outlineLevel="0" collapsed="false">
      <c r="B52" s="5" t="s">
        <v>52</v>
      </c>
      <c r="C52" s="9" t="n">
        <f aca="false">SUMIFS(02_Variance!D2:D1081,02_Variance!B2:B1081,B52)</f>
        <v>6897135</v>
      </c>
      <c r="D52" s="9" t="n">
        <f aca="false">SUMIFS(02_Variance!E2:E1081,02_Variance!B2:B1081,B52)</f>
        <v>6823481</v>
      </c>
      <c r="E52" s="9" t="n">
        <f aca="false">SUMIFS(02_Variance!T2:T1081,02_Variance!B2:B1081,B52)</f>
        <v>1016244</v>
      </c>
    </row>
    <row r="53" customFormat="false" ht="15" hidden="false" customHeight="false" outlineLevel="0" collapsed="false">
      <c r="B53" s="5" t="s">
        <v>53</v>
      </c>
      <c r="C53" s="9" t="n">
        <f aca="false">SUMIFS(02_Variance!D2:D1081,02_Variance!B2:B1081,B53)</f>
        <v>7378172</v>
      </c>
      <c r="D53" s="9" t="n">
        <f aca="false">SUMIFS(02_Variance!E2:E1081,02_Variance!B2:B1081,B53)</f>
        <v>7377086</v>
      </c>
      <c r="E53" s="9" t="n">
        <f aca="false">SUMIFS(02_Variance!T2:T1081,02_Variance!B2:B1081,B53)</f>
        <v>1050965</v>
      </c>
    </row>
    <row r="54" customFormat="false" ht="15" hidden="false" customHeight="false" outlineLevel="0" collapsed="false">
      <c r="B54" s="5" t="s">
        <v>54</v>
      </c>
      <c r="C54" s="9" t="n">
        <f aca="false">SUMIFS(02_Variance!D2:D1081,02_Variance!B2:B1081,B54)</f>
        <v>6996723</v>
      </c>
      <c r="D54" s="9" t="n">
        <f aca="false">SUMIFS(02_Variance!E2:E1081,02_Variance!B2:B1081,B54)</f>
        <v>6947810</v>
      </c>
      <c r="E54" s="9" t="n">
        <f aca="false">SUMIFS(02_Variance!T2:T1081,02_Variance!B2:B1081,B54)</f>
        <v>1101308</v>
      </c>
    </row>
    <row r="55" customFormat="false" ht="15" hidden="false" customHeight="false" outlineLevel="0" collapsed="false">
      <c r="B55" s="5" t="s">
        <v>55</v>
      </c>
      <c r="C55" s="9" t="n">
        <f aca="false">SUMIFS(02_Variance!D2:D1081,02_Variance!B2:B1081,B55)</f>
        <v>7040662</v>
      </c>
      <c r="D55" s="9" t="n">
        <f aca="false">SUMIFS(02_Variance!E2:E1081,02_Variance!B2:B1081,B55)</f>
        <v>7032197</v>
      </c>
      <c r="E55" s="9" t="n">
        <f aca="false">SUMIFS(02_Variance!T2:T1081,02_Variance!B2:B1081,B55)</f>
        <v>1022298</v>
      </c>
    </row>
    <row r="56" customFormat="false" ht="15" hidden="false" customHeight="false" outlineLevel="0" collapsed="false">
      <c r="B56" s="5" t="s">
        <v>56</v>
      </c>
      <c r="C56" s="9" t="n">
        <f aca="false">SUMIFS(02_Variance!D2:D1081,02_Variance!B2:B1081,B56)</f>
        <v>7544808</v>
      </c>
      <c r="D56" s="9" t="n">
        <f aca="false">SUMIFS(02_Variance!E2:E1081,02_Variance!B2:B1081,B56)</f>
        <v>7586632</v>
      </c>
      <c r="E56" s="9" t="n">
        <f aca="false">SUMIFS(02_Variance!T2:T1081,02_Variance!B2:B1081,B56)</f>
        <v>1176377</v>
      </c>
    </row>
    <row r="57" customFormat="false" ht="15" hidden="false" customHeight="false" outlineLevel="0" collapsed="false">
      <c r="B57" s="5" t="s">
        <v>57</v>
      </c>
      <c r="C57" s="9" t="n">
        <f aca="false">SUMIFS(02_Variance!D2:D1081,02_Variance!B2:B1081,B57)</f>
        <v>7122717</v>
      </c>
      <c r="D57" s="9" t="n">
        <f aca="false">SUMIFS(02_Variance!E2:E1081,02_Variance!B2:B1081,B57)</f>
        <v>7149979</v>
      </c>
      <c r="E57" s="9" t="n">
        <f aca="false">SUMIFS(02_Variance!T2:T1081,02_Variance!B2:B1081,B57)</f>
        <v>1084837</v>
      </c>
    </row>
    <row r="58" customFormat="false" ht="15" hidden="false" customHeight="false" outlineLevel="0" collapsed="false">
      <c r="B58" s="5" t="s">
        <v>58</v>
      </c>
      <c r="C58" s="9" t="n">
        <f aca="false">SUMIFS(02_Variance!D2:D1081,02_Variance!B2:B1081,B58)</f>
        <v>7236973</v>
      </c>
      <c r="D58" s="9" t="n">
        <f aca="false">SUMIFS(02_Variance!E2:E1081,02_Variance!B2:B1081,B58)</f>
        <v>7210521</v>
      </c>
      <c r="E58" s="9" t="n">
        <f aca="false">SUMIFS(02_Variance!T2:T1081,02_Variance!B2:B1081,B58)</f>
        <v>1091793</v>
      </c>
    </row>
    <row r="59" customFormat="false" ht="15" hidden="false" customHeight="false" outlineLevel="0" collapsed="false">
      <c r="B59" s="5" t="s">
        <v>59</v>
      </c>
      <c r="C59" s="9" t="n">
        <f aca="false">SUMIFS(02_Variance!D2:D1081,02_Variance!B2:B1081,B59)</f>
        <v>7841857</v>
      </c>
      <c r="D59" s="9" t="n">
        <f aca="false">SUMIFS(02_Variance!E2:E1081,02_Variance!B2:B1081,B59)</f>
        <v>7786717</v>
      </c>
      <c r="E59" s="9" t="n">
        <f aca="false">SUMIFS(02_Variance!T2:T1081,02_Variance!B2:B1081,B59)</f>
        <v>1123174</v>
      </c>
    </row>
    <row r="60" customFormat="false" ht="15" hidden="false" customHeight="false" outlineLevel="0" collapsed="false">
      <c r="B60" s="5" t="s">
        <v>60</v>
      </c>
      <c r="C60" s="9" t="n">
        <f aca="false">SUMIFS(02_Variance!D2:D1081,02_Variance!B2:B1081,B60)</f>
        <v>7323410</v>
      </c>
      <c r="D60" s="9" t="n">
        <f aca="false">SUMIFS(02_Variance!E2:E1081,02_Variance!B2:B1081,B60)</f>
        <v>7364802</v>
      </c>
      <c r="E60" s="9" t="n">
        <f aca="false">SUMIFS(02_Variance!T2:T1081,02_Variance!B2:B1081,B60)</f>
        <v>1079951</v>
      </c>
    </row>
    <row r="61" customFormat="false" ht="15" hidden="false" customHeight="false" outlineLevel="0" collapsed="false">
      <c r="B61" s="5" t="s">
        <v>62</v>
      </c>
      <c r="C61" s="9" t="n">
        <f aca="false">SUMIFS(02_Variance!D2:D1081,02_Variance!B2:B1081,B61)</f>
        <v>7343377</v>
      </c>
      <c r="D61" s="9" t="n">
        <f aca="false">SUMIFS(02_Variance!E2:E1081,02_Variance!B2:B1081,B61)</f>
        <v>7441693</v>
      </c>
      <c r="E61" s="9" t="n">
        <f aca="false">SUMIFS(02_Variance!T2:T1081,02_Variance!B2:B1081,B61)</f>
        <v>1180756</v>
      </c>
    </row>
    <row r="62" customFormat="false" ht="15" hidden="false" customHeight="false" outlineLevel="0" collapsed="false">
      <c r="B62" s="5" t="s">
        <v>63</v>
      </c>
      <c r="C62" s="9" t="n">
        <f aca="false">SUMIFS(02_Variance!D2:D1081,02_Variance!B2:B1081,B62)</f>
        <v>7524320</v>
      </c>
      <c r="D62" s="9" t="n">
        <f aca="false">SUMIFS(02_Variance!E2:E1081,02_Variance!B2:B1081,B62)</f>
        <v>7517660</v>
      </c>
      <c r="E62" s="9" t="n">
        <f aca="false">SUMIFS(02_Variance!T2:T1081,02_Variance!B2:B1081,B62)</f>
        <v>1126393</v>
      </c>
    </row>
    <row r="63" customFormat="false" ht="15" hidden="false" customHeight="false" outlineLevel="0" collapsed="false">
      <c r="B63" s="5" t="s">
        <v>64</v>
      </c>
      <c r="C63" s="9" t="n">
        <f aca="false">SUMIFS(02_Variance!D2:D1081,02_Variance!B2:B1081,B63)</f>
        <v>7609275</v>
      </c>
      <c r="D63" s="9" t="n">
        <f aca="false">SUMIFS(02_Variance!E2:E1081,02_Variance!B2:B1081,B63)</f>
        <v>7624526</v>
      </c>
      <c r="E63" s="9" t="n">
        <f aca="false">SUMIFS(02_Variance!T2:T1081,02_Variance!B2:B1081,B63)</f>
        <v>1205155</v>
      </c>
    </row>
    <row r="64" customFormat="false" ht="15" hidden="false" customHeight="false" outlineLevel="0" collapsed="false">
      <c r="B64" s="5" t="s">
        <v>65</v>
      </c>
      <c r="C64" s="9" t="n">
        <f aca="false">SUMIFS(02_Variance!D2:D1081,02_Variance!B2:B1081,B64)</f>
        <v>7671525</v>
      </c>
      <c r="D64" s="9" t="n">
        <f aca="false">SUMIFS(02_Variance!E2:E1081,02_Variance!B2:B1081,B64)</f>
        <v>7678461</v>
      </c>
      <c r="E64" s="9" t="n">
        <f aca="false">SUMIFS(02_Variance!T2:T1081,02_Variance!B2:B1081,B64)</f>
        <v>1219116</v>
      </c>
    </row>
    <row r="65" customFormat="false" ht="15" hidden="false" customHeight="false" outlineLevel="0" collapsed="false">
      <c r="B65" s="5" t="s">
        <v>66</v>
      </c>
      <c r="C65" s="9" t="n">
        <f aca="false">SUMIFS(02_Variance!D2:D1081,02_Variance!B2:B1081,B65)</f>
        <v>8280138</v>
      </c>
      <c r="D65" s="9" t="n">
        <f aca="false">SUMIFS(02_Variance!E2:E1081,02_Variance!B2:B1081,B65)</f>
        <v>8276166</v>
      </c>
      <c r="E65" s="9" t="n">
        <f aca="false">SUMIFS(02_Variance!T2:T1081,02_Variance!B2:B1081,B65)</f>
        <v>1268445</v>
      </c>
    </row>
    <row r="66" customFormat="false" ht="15" hidden="false" customHeight="false" outlineLevel="0" collapsed="false">
      <c r="B66" s="5" t="s">
        <v>67</v>
      </c>
      <c r="C66" s="9" t="n">
        <f aca="false">SUMIFS(02_Variance!D2:D1081,02_Variance!B2:B1081,B66)</f>
        <v>7798052</v>
      </c>
      <c r="D66" s="9" t="n">
        <f aca="false">SUMIFS(02_Variance!E2:E1081,02_Variance!B2:B1081,B66)</f>
        <v>7797061</v>
      </c>
      <c r="E66" s="9" t="n">
        <f aca="false">SUMIFS(02_Variance!T2:T1081,02_Variance!B2:B1081,B66)</f>
        <v>1103659</v>
      </c>
    </row>
    <row r="67" customFormat="false" ht="15" hidden="false" customHeight="false" outlineLevel="0" collapsed="false">
      <c r="B67" s="5" t="s">
        <v>68</v>
      </c>
      <c r="C67" s="9" t="n">
        <f aca="false">SUMIFS(02_Variance!D2:D1081,02_Variance!B2:B1081,B67)</f>
        <v>7838469</v>
      </c>
      <c r="D67" s="9" t="n">
        <f aca="false">SUMIFS(02_Variance!E2:E1081,02_Variance!B2:B1081,B67)</f>
        <v>7851180</v>
      </c>
      <c r="E67" s="9" t="n">
        <f aca="false">SUMIFS(02_Variance!T2:T1081,02_Variance!B2:B1081,B67)</f>
        <v>1180367</v>
      </c>
    </row>
    <row r="68" customFormat="false" ht="15" hidden="false" customHeight="false" outlineLevel="0" collapsed="false">
      <c r="B68" s="5" t="s">
        <v>69</v>
      </c>
      <c r="C68" s="9" t="n">
        <f aca="false">SUMIFS(02_Variance!D2:D1081,02_Variance!B2:B1081,B68)</f>
        <v>8532780</v>
      </c>
      <c r="D68" s="9" t="n">
        <f aca="false">SUMIFS(02_Variance!E2:E1081,02_Variance!B2:B1081,B68)</f>
        <v>8440371</v>
      </c>
      <c r="E68" s="9" t="n">
        <f aca="false">SUMIFS(02_Variance!T2:T1081,02_Variance!B2:B1081,B68)</f>
        <v>1235771</v>
      </c>
    </row>
    <row r="69" customFormat="false" ht="15" hidden="false" customHeight="false" outlineLevel="0" collapsed="false">
      <c r="B69" s="5" t="s">
        <v>70</v>
      </c>
      <c r="C69" s="9" t="n">
        <f aca="false">SUMIFS(02_Variance!D2:D1081,02_Variance!B2:B1081,B69)</f>
        <v>7900539</v>
      </c>
      <c r="D69" s="9" t="n">
        <f aca="false">SUMIFS(02_Variance!E2:E1081,02_Variance!B2:B1081,B69)</f>
        <v>7948387</v>
      </c>
      <c r="E69" s="9" t="n">
        <f aca="false">SUMIFS(02_Variance!T2:T1081,02_Variance!B2:B1081,B69)</f>
        <v>1265651</v>
      </c>
    </row>
    <row r="70" customFormat="false" ht="15" hidden="false" customHeight="false" outlineLevel="0" collapsed="false">
      <c r="B70" s="5" t="s">
        <v>71</v>
      </c>
      <c r="C70" s="9" t="n">
        <f aca="false">SUMIFS(02_Variance!D2:D1081,02_Variance!B2:B1081,B70)</f>
        <v>8029516</v>
      </c>
      <c r="D70" s="9" t="n">
        <f aca="false">SUMIFS(02_Variance!E2:E1081,02_Variance!B2:B1081,B70)</f>
        <v>8039165</v>
      </c>
      <c r="E70" s="9" t="n">
        <f aca="false">SUMIFS(02_Variance!T2:T1081,02_Variance!B2:B1081,B70)</f>
        <v>1255364</v>
      </c>
    </row>
    <row r="71" customFormat="false" ht="15" hidden="false" customHeight="false" outlineLevel="0" collapsed="false">
      <c r="B71" s="5" t="s">
        <v>72</v>
      </c>
      <c r="C71" s="9" t="n">
        <f aca="false">SUMIFS(02_Variance!D2:D1081,02_Variance!B2:B1081,B71)</f>
        <v>8555499</v>
      </c>
      <c r="D71" s="9" t="n">
        <f aca="false">SUMIFS(02_Variance!E2:E1081,02_Variance!B2:B1081,B71)</f>
        <v>8654933</v>
      </c>
      <c r="E71" s="9" t="n">
        <f aca="false">SUMIFS(02_Variance!T2:T1081,02_Variance!B2:B1081,B71)</f>
        <v>1380996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0"/>
    <col collapsed="false" customWidth="true" hidden="false" outlineLevel="0" max="4" min="4" style="0" width="70"/>
  </cols>
  <sheetData>
    <row r="2" customFormat="false" ht="17.35" hidden="false" customHeight="false" outlineLevel="0" collapsed="false">
      <c r="B2" s="1" t="s">
        <v>111</v>
      </c>
    </row>
    <row r="4" customFormat="false" ht="15" hidden="false" customHeight="false" outlineLevel="0" collapsed="false">
      <c r="B4" s="12" t="s">
        <v>112</v>
      </c>
      <c r="D4" s="15" t="s">
        <v>113</v>
      </c>
    </row>
    <row r="5" customFormat="false" ht="15" hidden="false" customHeight="false" outlineLevel="0" collapsed="false">
      <c r="B5" s="12" t="s">
        <v>114</v>
      </c>
      <c r="D5" s="15" t="s">
        <v>115</v>
      </c>
    </row>
    <row r="6" customFormat="false" ht="15" hidden="false" customHeight="false" outlineLevel="0" collapsed="false">
      <c r="B6" s="12" t="s">
        <v>116</v>
      </c>
      <c r="D6" s="15" t="s">
        <v>117</v>
      </c>
    </row>
    <row r="7" customFormat="false" ht="15" hidden="false" customHeight="false" outlineLevel="0" collapsed="false">
      <c r="B7" s="12"/>
    </row>
    <row r="8" customFormat="false" ht="15" hidden="false" customHeight="false" outlineLevel="0" collapsed="false">
      <c r="B8" s="12" t="s">
        <v>118</v>
      </c>
      <c r="D8" s="15" t="s">
        <v>119</v>
      </c>
    </row>
    <row r="9" customFormat="false" ht="15" hidden="false" customHeight="false" outlineLevel="0" collapsed="false">
      <c r="B9" s="12" t="s">
        <v>120</v>
      </c>
      <c r="D9" s="15" t="s">
        <v>121</v>
      </c>
    </row>
    <row r="10" customFormat="false" ht="15" hidden="false" customHeight="false" outlineLevel="0" collapsed="false">
      <c r="B10" s="12" t="s">
        <v>122</v>
      </c>
      <c r="D10" s="15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2026-09-17T04:32:47Z</dcterms:created>
  <dc:creator>openpyxl</dc:creator>
  <dc:description/>
  <dc:language>en-US</dc:language>
  <cp:lastModifiedBy/>
  <dcterms:modified xsi:type="dcterms:W3CDTF">2026-09-17T04:32:56Z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